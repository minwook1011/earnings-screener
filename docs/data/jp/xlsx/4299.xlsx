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  <sheet xmlns:r="http://schemas.openxmlformats.org/officeDocument/2006/relationships" name="재무제표 한눈에 보기" sheetId="5" state="visible" r:id="rId5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  <numFmt numFmtId="170" formatCode="0.0&quot;%&quot;"/>
  </numFmts>
  <fonts count="26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0000FF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  <font>
      <name val="맑은 고딕"/>
      <b val="1"/>
      <sz val="12"/>
    </font>
    <font>
      <name val="맑은 고딕"/>
      <color rgb="00666666"/>
      <sz val="8"/>
    </font>
    <font>
      <name val="맑은 고딕"/>
      <b val="1"/>
      <sz val="9"/>
    </font>
    <font>
      <name val="맑은 고딕"/>
      <sz val="9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  <fill>
      <patternFill patternType="solid">
        <fgColor rgb="00D9E1F2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5" fontId="11" fillId="0" borderId="3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0" borderId="0" pivotButton="0" quotePrefix="0" xfId="0"/>
    <xf numFmtId="0" fontId="18" fillId="6" borderId="0" applyAlignment="1" pivotButton="0" quotePrefix="0" xfId="0">
      <alignment horizontal="center" vertical="center"/>
    </xf>
    <xf numFmtId="0" fontId="19" fillId="7" borderId="0" applyAlignment="1" pivotButton="0" quotePrefix="0" xfId="0">
      <alignment horizontal="center" vertical="center"/>
    </xf>
    <xf numFmtId="0" fontId="20" fillId="0" borderId="0" pivotButton="0" quotePrefix="0" xfId="0"/>
    <xf numFmtId="169" fontId="20" fillId="0" borderId="0" applyAlignment="1" pivotButton="0" quotePrefix="0" xfId="0">
      <alignment horizontal="center" vertical="center"/>
    </xf>
    <xf numFmtId="0" fontId="21" fillId="0" borderId="0" pivotButton="0" quotePrefix="0" xfId="0"/>
    <xf numFmtId="3" fontId="20" fillId="0" borderId="0" applyAlignment="1" pivotButton="0" quotePrefix="0" xfId="0">
      <alignment horizontal="center" vertical="center"/>
    </xf>
    <xf numFmtId="0" fontId="19" fillId="7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4" fillId="8" borderId="0" applyAlignment="1" pivotButton="0" quotePrefix="0" xfId="0">
      <alignment horizontal="center"/>
    </xf>
    <xf numFmtId="0" fontId="25" fillId="0" borderId="0" pivotButton="0" quotePrefix="0" xfId="0"/>
    <xf numFmtId="3" fontId="25" fillId="0" borderId="0" pivotButton="0" quotePrefix="0" xfId="0"/>
    <xf numFmtId="170" fontId="25" fillId="0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매출액 (억 엔) · 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보기'!A5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보기'!$B$5:$AO$5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보기'!A6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보기'!$B$6:$AO$6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영업이익 (억 엔) · OPM·YoY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보기'!A7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보기'!$B$7:$AO$7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보기'!A8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보기'!$B$8:$AO$8</f>
            </numRef>
          </val>
          <smooth val="0"/>
        </ser>
        <ser>
          <idx val="2"/>
          <order val="2"/>
          <tx>
            <strRef>
              <f>'재무제표 한눈에 보기'!A9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보기'!$B$9:$AO$9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재무 안정성 — 총 차입금·현금 (억 엔) · 부채비율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보기'!A22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보기'!$B$22:$AO$22</f>
            </numRef>
          </val>
        </ser>
        <ser>
          <idx val="1"/>
          <order val="1"/>
          <tx>
            <strRef>
              <f>'재무제표 한눈에 보기'!A23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보기'!$B$23:$AO$23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2"/>
          <order val="2"/>
          <tx>
            <strRef>
              <f>'재무제표 한눈에 보기'!A15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보기'!$B$15:$AO$15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25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22</col>
      <colOff>0</colOff>
      <row>25</row>
      <rowOff>0</rowOff>
    </from>
    <ext cx="86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44</row>
      <rowOff>0</rowOff>
    </from>
    <ext cx="864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161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4299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2027.1Q = 2027년 3월 결산기 1분기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2024.2Q</t>
        </is>
      </c>
      <c r="D3" s="5" t="inlineStr">
        <is>
          <t>2024.3Q</t>
        </is>
      </c>
      <c r="E3" s="5" t="inlineStr">
        <is>
          <t>2024.4Q</t>
        </is>
      </c>
      <c r="F3" s="5" t="inlineStr">
        <is>
          <t>2025.1Q</t>
        </is>
      </c>
      <c r="G3" s="5" t="inlineStr">
        <is>
          <t>2025.2Q</t>
        </is>
      </c>
      <c r="H3" s="5" t="inlineStr">
        <is>
          <t>2025.3Q</t>
        </is>
      </c>
      <c r="I3" s="5" t="inlineStr">
        <is>
          <t>2025.4Q</t>
        </is>
      </c>
      <c r="J3" s="5" t="inlineStr">
        <is>
          <t>2026.1Q</t>
        </is>
      </c>
      <c r="K3" s="5" t="inlineStr">
        <is>
          <t>2026.2Q</t>
        </is>
      </c>
      <c r="L3" s="5" t="inlineStr">
        <is>
          <t>2026.3Q</t>
        </is>
      </c>
      <c r="M3" s="5" t="inlineStr">
        <is>
          <t>2026.4Q</t>
        </is>
      </c>
      <c r="N3" s="5" t="inlineStr">
        <is>
          <t>2027.1Q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직접 입력</t>
        </is>
      </c>
      <c r="C4" s="11" t="n">
        <v>4333</v>
      </c>
      <c r="D4" s="12" t="n">
        <v>4336</v>
      </c>
      <c r="E4" s="12" t="n">
        <v>4353</v>
      </c>
      <c r="F4" s="12" t="n">
        <v>4327</v>
      </c>
      <c r="G4" s="12" t="n">
        <v>4489</v>
      </c>
      <c r="H4" s="12" t="n">
        <v>4510</v>
      </c>
      <c r="I4" s="12" t="n">
        <v>4740</v>
      </c>
      <c r="J4" s="12" t="n">
        <v>4454</v>
      </c>
      <c r="K4" s="12" t="n">
        <v>4495</v>
      </c>
      <c r="L4" s="12" t="n">
        <v>4522</v>
      </c>
      <c r="M4" s="12" t="n">
        <v>4745</v>
      </c>
      <c r="N4" s="12" t="n">
        <v>5124</v>
      </c>
      <c r="O4" s="11" t="n">
        <v>12485</v>
      </c>
      <c r="P4" s="12" t="n">
        <v>13493</v>
      </c>
      <c r="Q4" s="12" t="n">
        <v>14834</v>
      </c>
      <c r="R4" s="12" t="n">
        <v>15342</v>
      </c>
      <c r="S4" s="12" t="n">
        <v>15431</v>
      </c>
      <c r="T4" s="12" t="n">
        <v>16681</v>
      </c>
      <c r="U4" s="12" t="n">
        <v>17331</v>
      </c>
      <c r="V4" s="12" t="n">
        <v>17357</v>
      </c>
      <c r="W4" s="12" t="n">
        <v>18066</v>
      </c>
      <c r="X4" s="12" t="n">
        <v>18216</v>
      </c>
      <c r="Y4" s="13">
        <f>IF(COUNT(Y7)=0,"",SUM(Y7))</f>
        <v/>
      </c>
      <c r="Z4" s="14">
        <f>IF(COUNT(Z7)=0,"",SUM(Z7))</f>
        <v/>
      </c>
      <c r="AA4" s="14">
        <f>IF(COUNT(AA7)=0,"",SUM(AA7))</f>
        <v/>
      </c>
      <c r="AB4" s="14">
        <f>IF(COUNT(AB7)=0,"",SUM(AB7))</f>
        <v/>
      </c>
      <c r="AC4" s="14">
        <f>IF(COUNT(AC7)=0,"",SUM(AC7))</f>
        <v/>
      </c>
    </row>
    <row r="5">
      <c r="A5" s="15" t="inlineStr">
        <is>
          <t>YoY</t>
        </is>
      </c>
      <c r="B5" s="10" t="n"/>
      <c r="C5" s="16" t="n"/>
      <c r="D5" s="17" t="n"/>
      <c r="E5" s="17" t="n"/>
      <c r="F5" s="17" t="n"/>
      <c r="G5" s="17">
        <f>IF(OR(G4="",C4=""),"",IFERROR(G4/C4-1,""))</f>
        <v/>
      </c>
      <c r="H5" s="17">
        <f>IF(OR(H4="",D4=""),"",IFERROR(H4/D4-1,""))</f>
        <v/>
      </c>
      <c r="I5" s="17">
        <f>IF(OR(I4="",E4=""),"",IFERROR(I4/E4-1,""))</f>
        <v/>
      </c>
      <c r="J5" s="17">
        <f>IF(OR(J4="",F4=""),"",IFERROR(J4/F4-1,""))</f>
        <v/>
      </c>
      <c r="K5" s="17">
        <f>IF(OR(K4="",G4=""),"",IFERROR(K4/G4-1,""))</f>
        <v/>
      </c>
      <c r="L5" s="17">
        <f>IF(OR(L4="",H4=""),"",IFERROR(L4/H4-1,""))</f>
        <v/>
      </c>
      <c r="M5" s="17">
        <f>IF(OR(M4="",I4=""),"",IFERROR(M4/I4-1,""))</f>
        <v/>
      </c>
      <c r="N5" s="17">
        <f>IF(OR(N4="",J4=""),"",IFERROR(N4/J4-1,""))</f>
        <v/>
      </c>
      <c r="O5" s="16" t="n"/>
      <c r="P5" s="17">
        <f>IF(OR(P4="",O4=""),"",IFERROR(P4/O4-1,""))</f>
        <v/>
      </c>
      <c r="Q5" s="17">
        <f>IF(OR(Q4="",P4=""),"",IFERROR(Q4/P4-1,""))</f>
        <v/>
      </c>
      <c r="R5" s="17">
        <f>IF(OR(R4="",Q4=""),"",IFERROR(R4/Q4-1,""))</f>
        <v/>
      </c>
      <c r="S5" s="17">
        <f>IF(OR(S4="",R4=""),"",IFERROR(S4/R4-1,""))</f>
        <v/>
      </c>
      <c r="T5" s="17">
        <f>IF(OR(T4="",S4=""),"",IFERROR(T4/S4-1,""))</f>
        <v/>
      </c>
      <c r="U5" s="17">
        <f>IF(OR(U4="",T4=""),"",IFERROR(U4/T4-1,""))</f>
        <v/>
      </c>
      <c r="V5" s="17">
        <f>IF(OR(V4="",U4=""),"",IFERROR(V4/U4-1,""))</f>
        <v/>
      </c>
      <c r="W5" s="17">
        <f>IF(OR(W4="",V4=""),"",IFERROR(W4/V4-1,""))</f>
        <v/>
      </c>
      <c r="X5" s="17">
        <f>IF(OR(X4="",W4=""),"",IFERROR(X4/W4-1,""))</f>
        <v/>
      </c>
      <c r="Y5" s="16">
        <f>IF(OR(Y4="",X4=""),"",IFERROR(Y4/X4-1,""))</f>
        <v/>
      </c>
      <c r="Z5" s="17">
        <f>IF(OR(Z4="",Y4=""),"",IFERROR(Z4/Y4-1,""))</f>
        <v/>
      </c>
      <c r="AA5" s="17">
        <f>IF(OR(AA4="",Z4=""),"",IFERROR(AA4/Z4-1,""))</f>
        <v/>
      </c>
      <c r="AB5" s="17">
        <f>IF(OR(AB4="",AA4=""),"",IFERROR(AB4/AA4-1,""))</f>
        <v/>
      </c>
      <c r="AC5" s="17">
        <f>IF(OR(AC4="",AB4=""),"",IFERROR(AC4/AB4-1,""))</f>
        <v/>
      </c>
    </row>
    <row r="6">
      <c r="A6" s="18" t="inlineStr">
        <is>
          <t>제품별 매출 분류</t>
        </is>
      </c>
      <c r="B6" s="18" t="inlineStr">
        <is>
          <t>사업보고서 매출실적</t>
        </is>
      </c>
      <c r="C6" s="19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9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9" t="n"/>
      <c r="Z6" s="18" t="n"/>
      <c r="AA6" s="18" t="n"/>
      <c r="AB6" s="18" t="n"/>
      <c r="AC6" s="18" t="n"/>
    </row>
    <row r="7">
      <c r="A7" s="20" t="inlineStr">
        <is>
          <t>(제품별 매출 미공시 — 직접 입력)</t>
        </is>
      </c>
      <c r="B7" s="10" t="n"/>
      <c r="C7" s="21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1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3" t="n"/>
      <c r="Z7" s="24" t="n"/>
      <c r="AA7" s="24" t="n"/>
      <c r="AB7" s="24" t="n"/>
      <c r="AC7" s="24" t="n"/>
    </row>
    <row r="8">
      <c r="A8" s="15" t="inlineStr">
        <is>
          <t>비중</t>
        </is>
      </c>
      <c r="B8" s="10" t="n"/>
      <c r="C8" s="16">
        <f>IF(OR(C7="",C4=""),"",IFERROR(C7/C4,""))</f>
        <v/>
      </c>
      <c r="D8" s="17">
        <f>IF(OR(D7="",D4=""),"",IFERROR(D7/D4,""))</f>
        <v/>
      </c>
      <c r="E8" s="17">
        <f>IF(OR(E7="",E4=""),"",IFERROR(E7/E4,""))</f>
        <v/>
      </c>
      <c r="F8" s="17">
        <f>IF(OR(F7="",F4=""),"",IFERROR(F7/F4,""))</f>
        <v/>
      </c>
      <c r="G8" s="17">
        <f>IF(OR(G7="",G4=""),"",IFERROR(G7/G4,""))</f>
        <v/>
      </c>
      <c r="H8" s="17">
        <f>IF(OR(H7="",H4=""),"",IFERROR(H7/H4,""))</f>
        <v/>
      </c>
      <c r="I8" s="17">
        <f>IF(OR(I7="",I4=""),"",IFERROR(I7/I4,""))</f>
        <v/>
      </c>
      <c r="J8" s="17">
        <f>IF(OR(J7="",J4=""),"",IFERROR(J7/J4,""))</f>
        <v/>
      </c>
      <c r="K8" s="17">
        <f>IF(OR(K7="",K4=""),"",IFERROR(K7/K4,""))</f>
        <v/>
      </c>
      <c r="L8" s="17">
        <f>IF(OR(L7="",L4=""),"",IFERROR(L7/L4,""))</f>
        <v/>
      </c>
      <c r="M8" s="17">
        <f>IF(OR(M7="",M4=""),"",IFERROR(M7/M4,""))</f>
        <v/>
      </c>
      <c r="N8" s="17">
        <f>IF(OR(N7="",N4=""),"",IFERROR(N7/N4,""))</f>
        <v/>
      </c>
      <c r="O8" s="16">
        <f>IF(OR(O7="",O4=""),"",IFERROR(O7/O4,""))</f>
        <v/>
      </c>
      <c r="P8" s="17">
        <f>IF(OR(P7="",P4=""),"",IFERROR(P7/P4,""))</f>
        <v/>
      </c>
      <c r="Q8" s="17">
        <f>IF(OR(Q7="",Q4=""),"",IFERROR(Q7/Q4,""))</f>
        <v/>
      </c>
      <c r="R8" s="17">
        <f>IF(OR(R7="",R4=""),"",IFERROR(R7/R4,""))</f>
        <v/>
      </c>
      <c r="S8" s="17">
        <f>IF(OR(S7="",S4=""),"",IFERROR(S7/S4,""))</f>
        <v/>
      </c>
      <c r="T8" s="17">
        <f>IF(OR(T7="",T4=""),"",IFERROR(T7/T4,""))</f>
        <v/>
      </c>
      <c r="U8" s="17">
        <f>IF(OR(U7="",U4=""),"",IFERROR(U7/U4,""))</f>
        <v/>
      </c>
      <c r="V8" s="17">
        <f>IF(OR(V7="",V4=""),"",IFERROR(V7/V4,""))</f>
        <v/>
      </c>
      <c r="W8" s="17">
        <f>IF(OR(W7="",W4=""),"",IFERROR(W7/W4,""))</f>
        <v/>
      </c>
      <c r="X8" s="17">
        <f>IF(OR(X7="",X4=""),"",IFERROR(X7/X4,""))</f>
        <v/>
      </c>
      <c r="Y8" s="16">
        <f>IF(OR(Y7="",Y4=""),"",IFERROR(Y7/Y4,""))</f>
        <v/>
      </c>
      <c r="Z8" s="17">
        <f>IF(OR(Z7="",Z4=""),"",IFERROR(Z7/Z4,""))</f>
        <v/>
      </c>
      <c r="AA8" s="17">
        <f>IF(OR(AA7="",AA4=""),"",IFERROR(AA7/AA4,""))</f>
        <v/>
      </c>
      <c r="AB8" s="17">
        <f>IF(OR(AB7="",AB4=""),"",IFERROR(AB7/AB4,""))</f>
        <v/>
      </c>
      <c r="AC8" s="17">
        <f>IF(OR(AC7="",AC4=""),"",IFERROR(AC7/AC4,""))</f>
        <v/>
      </c>
    </row>
    <row r="9">
      <c r="A9" s="15" t="inlineStr">
        <is>
          <t>YoY</t>
        </is>
      </c>
      <c r="B9" s="10" t="n"/>
      <c r="C9" s="16" t="n"/>
      <c r="D9" s="17" t="n"/>
      <c r="E9" s="17" t="n"/>
      <c r="F9" s="17" t="n"/>
      <c r="G9" s="17">
        <f>IF(OR(G7="",C7=""),"",IFERROR(G7/C7-1,""))</f>
        <v/>
      </c>
      <c r="H9" s="17">
        <f>IF(OR(H7="",D7=""),"",IFERROR(H7/D7-1,""))</f>
        <v/>
      </c>
      <c r="I9" s="17">
        <f>IF(OR(I7="",E7=""),"",IFERROR(I7/E7-1,""))</f>
        <v/>
      </c>
      <c r="J9" s="17">
        <f>IF(OR(J7="",F7=""),"",IFERROR(J7/F7-1,""))</f>
        <v/>
      </c>
      <c r="K9" s="17">
        <f>IF(OR(K7="",G7=""),"",IFERROR(K7/G7-1,""))</f>
        <v/>
      </c>
      <c r="L9" s="17">
        <f>IF(OR(L7="",H7=""),"",IFERROR(L7/H7-1,""))</f>
        <v/>
      </c>
      <c r="M9" s="17">
        <f>IF(OR(M7="",I7=""),"",IFERROR(M7/I7-1,""))</f>
        <v/>
      </c>
      <c r="N9" s="17">
        <f>IF(OR(N7="",J7=""),"",IFERROR(N7/J7-1,""))</f>
        <v/>
      </c>
      <c r="O9" s="16" t="n"/>
      <c r="P9" s="17">
        <f>IF(OR(P7="",O7=""),"",IFERROR(P7/O7-1,""))</f>
        <v/>
      </c>
      <c r="Q9" s="17">
        <f>IF(OR(Q7="",P7=""),"",IFERROR(Q7/P7-1,""))</f>
        <v/>
      </c>
      <c r="R9" s="17">
        <f>IF(OR(R7="",Q7=""),"",IFERROR(R7/Q7-1,""))</f>
        <v/>
      </c>
      <c r="S9" s="17">
        <f>IF(OR(S7="",R7=""),"",IFERROR(S7/R7-1,""))</f>
        <v/>
      </c>
      <c r="T9" s="17">
        <f>IF(OR(T7="",S7=""),"",IFERROR(T7/S7-1,""))</f>
        <v/>
      </c>
      <c r="U9" s="17">
        <f>IF(OR(U7="",T7=""),"",IFERROR(U7/T7-1,""))</f>
        <v/>
      </c>
      <c r="V9" s="17">
        <f>IF(OR(V7="",U7=""),"",IFERROR(V7/U7-1,""))</f>
        <v/>
      </c>
      <c r="W9" s="17">
        <f>IF(OR(W7="",V7=""),"",IFERROR(W7/V7-1,""))</f>
        <v/>
      </c>
      <c r="X9" s="17">
        <f>IF(OR(X7="",W7=""),"",IFERROR(X7/W7-1,""))</f>
        <v/>
      </c>
      <c r="Y9" s="16">
        <f>IF(OR(Y7="",X7=""),"",IFERROR(Y7/X7-1,""))</f>
        <v/>
      </c>
      <c r="Z9" s="17">
        <f>IF(OR(Z7="",Y7=""),"",IFERROR(Z7/Y7-1,""))</f>
        <v/>
      </c>
      <c r="AA9" s="17">
        <f>IF(OR(AA7="",Z7=""),"",IFERROR(AA7/Z7-1,""))</f>
        <v/>
      </c>
      <c r="AB9" s="17">
        <f>IF(OR(AB7="",AA7=""),"",IFERROR(AB7/AA7-1,""))</f>
        <v/>
      </c>
      <c r="AC9" s="17">
        <f>IF(OR(AC7="",AB7=""),"",IFERROR(AC7/AB7-1,""))</f>
        <v/>
      </c>
    </row>
    <row r="10">
      <c r="A10" s="18" t="inlineStr">
        <is>
          <t>매출원가</t>
        </is>
      </c>
      <c r="B10" s="18" t="n"/>
      <c r="C10" s="19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9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9" t="n"/>
      <c r="Z10" s="18" t="n"/>
      <c r="AA10" s="18" t="n"/>
      <c r="AB10" s="18" t="n"/>
      <c r="AC10" s="18" t="n"/>
    </row>
    <row r="11">
      <c r="A11" s="20" t="inlineStr">
        <is>
          <t>전체 매출원가</t>
        </is>
      </c>
      <c r="B11" s="10" t="n"/>
      <c r="C11" s="21" t="n">
        <v>3504</v>
      </c>
      <c r="D11" s="22" t="n">
        <v>3449</v>
      </c>
      <c r="E11" s="22" t="n">
        <v>3418</v>
      </c>
      <c r="F11" s="22" t="n">
        <v>3413</v>
      </c>
      <c r="G11" s="22" t="n">
        <v>3598</v>
      </c>
      <c r="H11" s="22" t="n">
        <v>3596</v>
      </c>
      <c r="I11" s="22" t="n">
        <v>3816</v>
      </c>
      <c r="J11" s="22" t="n">
        <v>3573</v>
      </c>
      <c r="K11" s="22" t="n">
        <v>3642</v>
      </c>
      <c r="L11" s="22" t="n">
        <v>3660</v>
      </c>
      <c r="M11" s="22" t="n">
        <v>3809</v>
      </c>
      <c r="N11" s="22" t="n">
        <v>4074</v>
      </c>
      <c r="O11" s="21" t="n">
        <v>10130</v>
      </c>
      <c r="P11" s="22" t="n">
        <v>11034</v>
      </c>
      <c r="Q11" s="22" t="n">
        <v>12123</v>
      </c>
      <c r="R11" s="22" t="n">
        <v>12563</v>
      </c>
      <c r="S11" s="22" t="n">
        <v>12450</v>
      </c>
      <c r="T11" s="22" t="n">
        <v>13374</v>
      </c>
      <c r="U11" s="22" t="n">
        <v>13860</v>
      </c>
      <c r="V11" s="22" t="n">
        <v>13819</v>
      </c>
      <c r="W11" s="22" t="n">
        <v>14423</v>
      </c>
      <c r="X11" s="22" t="n">
        <v>14684</v>
      </c>
      <c r="Y11" s="21" t="n"/>
      <c r="Z11" s="22" t="n"/>
      <c r="AA11" s="22" t="n"/>
      <c r="AB11" s="22" t="n"/>
      <c r="AC11" s="22" t="n"/>
    </row>
    <row r="12">
      <c r="A12" s="15" t="inlineStr">
        <is>
          <t>YoY</t>
        </is>
      </c>
      <c r="B12" s="10" t="n"/>
      <c r="C12" s="16" t="n"/>
      <c r="D12" s="17" t="n"/>
      <c r="E12" s="17" t="n"/>
      <c r="F12" s="17" t="n"/>
      <c r="G12" s="17">
        <f>IF(OR(G11="",C11=""),"",IF(C11&lt;=0,"",IFERROR(G11/C11-1,"")))</f>
        <v/>
      </c>
      <c r="H12" s="17">
        <f>IF(OR(H11="",D11=""),"",IF(D11&lt;=0,"",IFERROR(H11/D11-1,"")))</f>
        <v/>
      </c>
      <c r="I12" s="17">
        <f>IF(OR(I11="",E11=""),"",IF(E11&lt;=0,"",IFERROR(I11/E11-1,"")))</f>
        <v/>
      </c>
      <c r="J12" s="17">
        <f>IF(OR(J11="",F11=""),"",IF(F11&lt;=0,"",IFERROR(J11/F11-1,"")))</f>
        <v/>
      </c>
      <c r="K12" s="17">
        <f>IF(OR(K11="",G11=""),"",IF(G11&lt;=0,"",IFERROR(K11/G11-1,"")))</f>
        <v/>
      </c>
      <c r="L12" s="17">
        <f>IF(OR(L11="",H11=""),"",IF(H11&lt;=0,"",IFERROR(L11/H11-1,"")))</f>
        <v/>
      </c>
      <c r="M12" s="17">
        <f>IF(OR(M11="",I11=""),"",IF(I11&lt;=0,"",IFERROR(M11/I11-1,"")))</f>
        <v/>
      </c>
      <c r="N12" s="17">
        <f>IF(OR(N11="",J11=""),"",IF(J11&lt;=0,"",IFERROR(N11/J11-1,"")))</f>
        <v/>
      </c>
      <c r="O12" s="16" t="n"/>
      <c r="P12" s="17">
        <f>IF(OR(P11="",O11=""),"",IF(O11&lt;=0,"",IFERROR(P11/O11-1,"")))</f>
        <v/>
      </c>
      <c r="Q12" s="17">
        <f>IF(OR(Q11="",P11=""),"",IF(P11&lt;=0,"",IFERROR(Q11/P11-1,"")))</f>
        <v/>
      </c>
      <c r="R12" s="17">
        <f>IF(OR(R11="",Q11=""),"",IF(Q11&lt;=0,"",IFERROR(R11/Q11-1,"")))</f>
        <v/>
      </c>
      <c r="S12" s="17">
        <f>IF(OR(S11="",R11=""),"",IF(R11&lt;=0,"",IFERROR(S11/R11-1,"")))</f>
        <v/>
      </c>
      <c r="T12" s="17">
        <f>IF(OR(T11="",S11=""),"",IF(S11&lt;=0,"",IFERROR(T11/S11-1,"")))</f>
        <v/>
      </c>
      <c r="U12" s="17">
        <f>IF(OR(U11="",T11=""),"",IF(T11&lt;=0,"",IFERROR(U11/T11-1,"")))</f>
        <v/>
      </c>
      <c r="V12" s="17">
        <f>IF(OR(V11="",U11=""),"",IF(U11&lt;=0,"",IFERROR(V11/U11-1,"")))</f>
        <v/>
      </c>
      <c r="W12" s="17">
        <f>IF(OR(W11="",V11=""),"",IF(V11&lt;=0,"",IFERROR(W11/V11-1,"")))</f>
        <v/>
      </c>
      <c r="X12" s="17">
        <f>IF(OR(X11="",W11=""),"",IF(W11&lt;=0,"",IFERROR(X11/W11-1,"")))</f>
        <v/>
      </c>
      <c r="Y12" s="16">
        <f>IF(OR(Y11="",X11=""),"",IF(X11&lt;=0,"",IFERROR(Y11/X11-1,"")))</f>
        <v/>
      </c>
      <c r="Z12" s="17">
        <f>IF(OR(Z11="",Y11=""),"",IF(Y11&lt;=0,"",IFERROR(Z11/Y11-1,"")))</f>
        <v/>
      </c>
      <c r="AA12" s="17">
        <f>IF(OR(AA11="",Z11=""),"",IF(Z11&lt;=0,"",IFERROR(AA11/Z11-1,"")))</f>
        <v/>
      </c>
      <c r="AB12" s="17">
        <f>IF(OR(AB11="",AA11=""),"",IF(AA11&lt;=0,"",IFERROR(AB11/AA11-1,"")))</f>
        <v/>
      </c>
      <c r="AC12" s="17">
        <f>IF(OR(AC11="",AB11=""),"",IF(AB11&lt;=0,"",IFERROR(AC11/AB11-1,"")))</f>
        <v/>
      </c>
    </row>
    <row r="13">
      <c r="A13" s="20" t="inlineStr">
        <is>
          <t>매출총이익</t>
        </is>
      </c>
      <c r="B13" s="10" t="n"/>
      <c r="C13" s="21">
        <f>IF(OR(C4="",C11=""),"",IFERROR(C4-C11,""))</f>
        <v/>
      </c>
      <c r="D13" s="22">
        <f>IF(OR(D4="",D11=""),"",IFERROR(D4-D11,""))</f>
        <v/>
      </c>
      <c r="E13" s="22">
        <f>IF(OR(E4="",E11=""),"",IFERROR(E4-E11,""))</f>
        <v/>
      </c>
      <c r="F13" s="22">
        <f>IF(OR(F4="",F11=""),"",IFERROR(F4-F11,""))</f>
        <v/>
      </c>
      <c r="G13" s="22">
        <f>IF(OR(G4="",G11=""),"",IFERROR(G4-G11,""))</f>
        <v/>
      </c>
      <c r="H13" s="22">
        <f>IF(OR(H4="",H11=""),"",IFERROR(H4-H11,""))</f>
        <v/>
      </c>
      <c r="I13" s="22">
        <f>IF(OR(I4="",I11=""),"",IFERROR(I4-I11,""))</f>
        <v/>
      </c>
      <c r="J13" s="22">
        <f>IF(OR(J4="",J11=""),"",IFERROR(J4-J11,""))</f>
        <v/>
      </c>
      <c r="K13" s="22">
        <f>IF(OR(K4="",K11=""),"",IFERROR(K4-K11,""))</f>
        <v/>
      </c>
      <c r="L13" s="22">
        <f>IF(OR(L4="",L11=""),"",IFERROR(L4-L11,""))</f>
        <v/>
      </c>
      <c r="M13" s="22">
        <f>IF(OR(M4="",M11=""),"",IFERROR(M4-M11,""))</f>
        <v/>
      </c>
      <c r="N13" s="22">
        <f>IF(OR(N4="",N11=""),"",IFERROR(N4-N11,""))</f>
        <v/>
      </c>
      <c r="O13" s="21">
        <f>IF(OR(O4="",O11=""),"",IFERROR(O4-O11,""))</f>
        <v/>
      </c>
      <c r="P13" s="22">
        <f>IF(OR(P4="",P11=""),"",IFERROR(P4-P11,""))</f>
        <v/>
      </c>
      <c r="Q13" s="22">
        <f>IF(OR(Q4="",Q11=""),"",IFERROR(Q4-Q11,""))</f>
        <v/>
      </c>
      <c r="R13" s="22">
        <f>IF(OR(R4="",R11=""),"",IFERROR(R4-R11,""))</f>
        <v/>
      </c>
      <c r="S13" s="22">
        <f>IF(OR(S4="",S11=""),"",IFERROR(S4-S11,""))</f>
        <v/>
      </c>
      <c r="T13" s="22">
        <f>IF(OR(T4="",T11=""),"",IFERROR(T4-T11,""))</f>
        <v/>
      </c>
      <c r="U13" s="22">
        <f>IF(OR(U4="",U11=""),"",IFERROR(U4-U11,""))</f>
        <v/>
      </c>
      <c r="V13" s="22">
        <f>IF(OR(V4="",V11=""),"",IFERROR(V4-V11,""))</f>
        <v/>
      </c>
      <c r="W13" s="22">
        <f>IF(OR(W4="",W11=""),"",IFERROR(W4-W11,""))</f>
        <v/>
      </c>
      <c r="X13" s="22">
        <f>IF(OR(X4="",X11=""),"",IFERROR(X4-X11,""))</f>
        <v/>
      </c>
      <c r="Y13" s="21" t="n"/>
      <c r="Z13" s="22" t="n"/>
      <c r="AA13" s="22" t="n"/>
      <c r="AB13" s="22" t="n"/>
      <c r="AC13" s="22" t="n"/>
    </row>
    <row r="14">
      <c r="A14" s="15" t="inlineStr">
        <is>
          <t>GPM</t>
        </is>
      </c>
      <c r="B14" s="10" t="n"/>
      <c r="C14" s="16">
        <f>IF(OR(C13="",C4=""),"",IFERROR(C13/C4,""))</f>
        <v/>
      </c>
      <c r="D14" s="17">
        <f>IF(OR(D13="",D4=""),"",IFERROR(D13/D4,""))</f>
        <v/>
      </c>
      <c r="E14" s="17">
        <f>IF(OR(E13="",E4=""),"",IFERROR(E13/E4,""))</f>
        <v/>
      </c>
      <c r="F14" s="17">
        <f>IF(OR(F13="",F4=""),"",IFERROR(F13/F4,""))</f>
        <v/>
      </c>
      <c r="G14" s="17">
        <f>IF(OR(G13="",G4=""),"",IFERROR(G13/G4,""))</f>
        <v/>
      </c>
      <c r="H14" s="17">
        <f>IF(OR(H13="",H4=""),"",IFERROR(H13/H4,""))</f>
        <v/>
      </c>
      <c r="I14" s="17">
        <f>IF(OR(I13="",I4=""),"",IFERROR(I13/I4,""))</f>
        <v/>
      </c>
      <c r="J14" s="17">
        <f>IF(OR(J13="",J4=""),"",IFERROR(J13/J4,""))</f>
        <v/>
      </c>
      <c r="K14" s="17">
        <f>IF(OR(K13="",K4=""),"",IFERROR(K13/K4,""))</f>
        <v/>
      </c>
      <c r="L14" s="17">
        <f>IF(OR(L13="",L4=""),"",IFERROR(L13/L4,""))</f>
        <v/>
      </c>
      <c r="M14" s="17">
        <f>IF(OR(M13="",M4=""),"",IFERROR(M13/M4,""))</f>
        <v/>
      </c>
      <c r="N14" s="17">
        <f>IF(OR(N13="",N4=""),"",IFERROR(N13/N4,""))</f>
        <v/>
      </c>
      <c r="O14" s="16">
        <f>IF(OR(O13="",O4=""),"",IFERROR(O13/O4,""))</f>
        <v/>
      </c>
      <c r="P14" s="17">
        <f>IF(OR(P13="",P4=""),"",IFERROR(P13/P4,""))</f>
        <v/>
      </c>
      <c r="Q14" s="17">
        <f>IF(OR(Q13="",Q4=""),"",IFERROR(Q13/Q4,""))</f>
        <v/>
      </c>
      <c r="R14" s="17">
        <f>IF(OR(R13="",R4=""),"",IFERROR(R13/R4,""))</f>
        <v/>
      </c>
      <c r="S14" s="17">
        <f>IF(OR(S13="",S4=""),"",IFERROR(S13/S4,""))</f>
        <v/>
      </c>
      <c r="T14" s="17">
        <f>IF(OR(T13="",T4=""),"",IFERROR(T13/T4,""))</f>
        <v/>
      </c>
      <c r="U14" s="17">
        <f>IF(OR(U13="",U4=""),"",IFERROR(U13/U4,""))</f>
        <v/>
      </c>
      <c r="V14" s="17">
        <f>IF(OR(V13="",V4=""),"",IFERROR(V13/V4,""))</f>
        <v/>
      </c>
      <c r="W14" s="17">
        <f>IF(OR(W13="",W4=""),"",IFERROR(W13/W4,""))</f>
        <v/>
      </c>
      <c r="X14" s="17">
        <f>IF(OR(X13="",X4=""),"",IFERROR(X13/X4,""))</f>
        <v/>
      </c>
      <c r="Y14" s="16">
        <f>IF(OR(Y13="",Y4=""),"",IFERROR(Y13/Y4,""))</f>
        <v/>
      </c>
      <c r="Z14" s="17">
        <f>IF(OR(Z13="",Z4=""),"",IFERROR(Z13/Z4,""))</f>
        <v/>
      </c>
      <c r="AA14" s="17">
        <f>IF(OR(AA13="",AA4=""),"",IFERROR(AA13/AA4,""))</f>
        <v/>
      </c>
      <c r="AB14" s="17">
        <f>IF(OR(AB13="",AB4=""),"",IFERROR(AB13/AB4,""))</f>
        <v/>
      </c>
      <c r="AC14" s="17">
        <f>IF(OR(AC13="",AC4=""),"",IFERROR(AC13/AC4,""))</f>
        <v/>
      </c>
    </row>
    <row r="15">
      <c r="A15" s="15" t="inlineStr">
        <is>
          <t>YoY</t>
        </is>
      </c>
      <c r="B15" s="10" t="n"/>
      <c r="C15" s="16" t="n"/>
      <c r="D15" s="17" t="n"/>
      <c r="E15" s="17" t="n"/>
      <c r="F15" s="17" t="n"/>
      <c r="G15" s="17">
        <f>IF(OR(G13="",C13=""),"",IF(C13&lt;=0,"",IFERROR(G13/C13-1,"")))</f>
        <v/>
      </c>
      <c r="H15" s="17">
        <f>IF(OR(H13="",D13=""),"",IF(D13&lt;=0,"",IFERROR(H13/D13-1,"")))</f>
        <v/>
      </c>
      <c r="I15" s="17">
        <f>IF(OR(I13="",E13=""),"",IF(E13&lt;=0,"",IFERROR(I13/E13-1,"")))</f>
        <v/>
      </c>
      <c r="J15" s="17">
        <f>IF(OR(J13="",F13=""),"",IF(F13&lt;=0,"",IFERROR(J13/F13-1,"")))</f>
        <v/>
      </c>
      <c r="K15" s="17">
        <f>IF(OR(K13="",G13=""),"",IF(G13&lt;=0,"",IFERROR(K13/G13-1,"")))</f>
        <v/>
      </c>
      <c r="L15" s="17">
        <f>IF(OR(L13="",H13=""),"",IF(H13&lt;=0,"",IFERROR(L13/H13-1,"")))</f>
        <v/>
      </c>
      <c r="M15" s="17">
        <f>IF(OR(M13="",I13=""),"",IF(I13&lt;=0,"",IFERROR(M13/I13-1,"")))</f>
        <v/>
      </c>
      <c r="N15" s="17">
        <f>IF(OR(N13="",J13=""),"",IF(J13&lt;=0,"",IFERROR(N13/J13-1,"")))</f>
        <v/>
      </c>
      <c r="O15" s="16" t="n"/>
      <c r="P15" s="17">
        <f>IF(OR(P13="",O13=""),"",IF(O13&lt;=0,"",IFERROR(P13/O13-1,"")))</f>
        <v/>
      </c>
      <c r="Q15" s="17">
        <f>IF(OR(Q13="",P13=""),"",IF(P13&lt;=0,"",IFERROR(Q13/P13-1,"")))</f>
        <v/>
      </c>
      <c r="R15" s="17">
        <f>IF(OR(R13="",Q13=""),"",IF(Q13&lt;=0,"",IFERROR(R13/Q13-1,"")))</f>
        <v/>
      </c>
      <c r="S15" s="17">
        <f>IF(OR(S13="",R13=""),"",IF(R13&lt;=0,"",IFERROR(S13/R13-1,"")))</f>
        <v/>
      </c>
      <c r="T15" s="17">
        <f>IF(OR(T13="",S13=""),"",IF(S13&lt;=0,"",IFERROR(T13/S13-1,"")))</f>
        <v/>
      </c>
      <c r="U15" s="17">
        <f>IF(OR(U13="",T13=""),"",IF(T13&lt;=0,"",IFERROR(U13/T13-1,"")))</f>
        <v/>
      </c>
      <c r="V15" s="17">
        <f>IF(OR(V13="",U13=""),"",IF(U13&lt;=0,"",IFERROR(V13/U13-1,"")))</f>
        <v/>
      </c>
      <c r="W15" s="17">
        <f>IF(OR(W13="",V13=""),"",IF(V13&lt;=0,"",IFERROR(W13/V13-1,"")))</f>
        <v/>
      </c>
      <c r="X15" s="17">
        <f>IF(OR(X13="",W13=""),"",IF(W13&lt;=0,"",IFERROR(X13/W13-1,"")))</f>
        <v/>
      </c>
      <c r="Y15" s="16">
        <f>IF(OR(Y13="",X13=""),"",IF(X13&lt;=0,"",IFERROR(Y13/X13-1,"")))</f>
        <v/>
      </c>
      <c r="Z15" s="17">
        <f>IF(OR(Z13="",Y13=""),"",IF(Y13&lt;=0,"",IFERROR(Z13/Y13-1,"")))</f>
        <v/>
      </c>
      <c r="AA15" s="17">
        <f>IF(OR(AA13="",Z13=""),"",IF(Z13&lt;=0,"",IFERROR(AA13/Z13-1,"")))</f>
        <v/>
      </c>
      <c r="AB15" s="17">
        <f>IF(OR(AB13="",AA13=""),"",IF(AA13&lt;=0,"",IFERROR(AB13/AA13-1,"")))</f>
        <v/>
      </c>
      <c r="AC15" s="17">
        <f>IF(OR(AC13="",AB13=""),"",IF(AB13&lt;=0,"",IFERROR(AC13/AB13-1,"")))</f>
        <v/>
      </c>
    </row>
    <row r="16">
      <c r="A16" s="25" t="inlineStr">
        <is>
          <t>판매관리비</t>
        </is>
      </c>
      <c r="B16" s="25" t="n"/>
      <c r="C16" s="26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6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6" t="n"/>
      <c r="Z16" s="25" t="n"/>
      <c r="AA16" s="25" t="n"/>
      <c r="AB16" s="25" t="n"/>
      <c r="AC16" s="25" t="n"/>
    </row>
    <row r="17">
      <c r="A17" s="20" t="inlineStr">
        <is>
          <t>전체 판관비</t>
        </is>
      </c>
      <c r="B17" s="10" t="n"/>
      <c r="C17" s="21" t="n">
        <v>410</v>
      </c>
      <c r="D17" s="22" t="n">
        <v>394</v>
      </c>
      <c r="E17" s="22" t="n">
        <v>412</v>
      </c>
      <c r="F17" s="22" t="n">
        <v>614</v>
      </c>
      <c r="G17" s="22" t="n">
        <v>388</v>
      </c>
      <c r="H17" s="22" t="n">
        <v>406</v>
      </c>
      <c r="I17" s="22" t="n">
        <v>429</v>
      </c>
      <c r="J17" s="22" t="n">
        <v>646</v>
      </c>
      <c r="K17" s="22" t="n">
        <v>406</v>
      </c>
      <c r="L17" s="22" t="n">
        <v>417</v>
      </c>
      <c r="M17" s="22" t="n">
        <v>501</v>
      </c>
      <c r="N17" s="22" t="n">
        <v>817</v>
      </c>
      <c r="O17" s="21" t="n">
        <v>1394</v>
      </c>
      <c r="P17" s="22" t="n">
        <v>1478</v>
      </c>
      <c r="Q17" s="22" t="n">
        <v>1725</v>
      </c>
      <c r="R17" s="22" t="n">
        <v>1768</v>
      </c>
      <c r="S17" s="22" t="n">
        <v>1615</v>
      </c>
      <c r="T17" s="22" t="n">
        <v>1590</v>
      </c>
      <c r="U17" s="22" t="n">
        <v>1638</v>
      </c>
      <c r="V17" s="22" t="n">
        <v>1818</v>
      </c>
      <c r="W17" s="22" t="n">
        <v>1837</v>
      </c>
      <c r="X17" s="22" t="n">
        <v>1970</v>
      </c>
      <c r="Y17" s="21" t="n"/>
      <c r="Z17" s="22" t="n"/>
      <c r="AA17" s="22" t="n"/>
      <c r="AB17" s="22" t="n"/>
      <c r="AC17" s="22" t="n"/>
    </row>
    <row r="18">
      <c r="A18" s="15" t="inlineStr">
        <is>
          <t>YoY</t>
        </is>
      </c>
      <c r="B18" s="10" t="n"/>
      <c r="C18" s="16" t="n"/>
      <c r="D18" s="17" t="n"/>
      <c r="E18" s="17" t="n"/>
      <c r="F18" s="17" t="n"/>
      <c r="G18" s="17">
        <f>IF(OR(G17="",C17=""),"",IF(C17&lt;=0,"",IFERROR(G17/C17-1,"")))</f>
        <v/>
      </c>
      <c r="H18" s="17">
        <f>IF(OR(H17="",D17=""),"",IF(D17&lt;=0,"",IFERROR(H17/D17-1,"")))</f>
        <v/>
      </c>
      <c r="I18" s="17">
        <f>IF(OR(I17="",E17=""),"",IF(E17&lt;=0,"",IFERROR(I17/E17-1,"")))</f>
        <v/>
      </c>
      <c r="J18" s="17">
        <f>IF(OR(J17="",F17=""),"",IF(F17&lt;=0,"",IFERROR(J17/F17-1,"")))</f>
        <v/>
      </c>
      <c r="K18" s="17">
        <f>IF(OR(K17="",G17=""),"",IF(G17&lt;=0,"",IFERROR(K17/G17-1,"")))</f>
        <v/>
      </c>
      <c r="L18" s="17">
        <f>IF(OR(L17="",H17=""),"",IF(H17&lt;=0,"",IFERROR(L17/H17-1,"")))</f>
        <v/>
      </c>
      <c r="M18" s="17">
        <f>IF(OR(M17="",I17=""),"",IF(I17&lt;=0,"",IFERROR(M17/I17-1,"")))</f>
        <v/>
      </c>
      <c r="N18" s="17">
        <f>IF(OR(N17="",J17=""),"",IF(J17&lt;=0,"",IFERROR(N17/J17-1,"")))</f>
        <v/>
      </c>
      <c r="O18" s="16" t="n"/>
      <c r="P18" s="17">
        <f>IF(OR(P17="",O17=""),"",IF(O17&lt;=0,"",IFERROR(P17/O17-1,"")))</f>
        <v/>
      </c>
      <c r="Q18" s="17">
        <f>IF(OR(Q17="",P17=""),"",IF(P17&lt;=0,"",IFERROR(Q17/P17-1,"")))</f>
        <v/>
      </c>
      <c r="R18" s="17">
        <f>IF(OR(R17="",Q17=""),"",IF(Q17&lt;=0,"",IFERROR(R17/Q17-1,"")))</f>
        <v/>
      </c>
      <c r="S18" s="17">
        <f>IF(OR(S17="",R17=""),"",IF(R17&lt;=0,"",IFERROR(S17/R17-1,"")))</f>
        <v/>
      </c>
      <c r="T18" s="17">
        <f>IF(OR(T17="",S17=""),"",IF(S17&lt;=0,"",IFERROR(T17/S17-1,"")))</f>
        <v/>
      </c>
      <c r="U18" s="17">
        <f>IF(OR(U17="",T17=""),"",IF(T17&lt;=0,"",IFERROR(U17/T17-1,"")))</f>
        <v/>
      </c>
      <c r="V18" s="17">
        <f>IF(OR(V17="",U17=""),"",IF(U17&lt;=0,"",IFERROR(V17/U17-1,"")))</f>
        <v/>
      </c>
      <c r="W18" s="17">
        <f>IF(OR(W17="",V17=""),"",IF(V17&lt;=0,"",IFERROR(W17/V17-1,"")))</f>
        <v/>
      </c>
      <c r="X18" s="17">
        <f>IF(OR(X17="",W17=""),"",IF(W17&lt;=0,"",IFERROR(X17/W17-1,"")))</f>
        <v/>
      </c>
      <c r="Y18" s="16">
        <f>IF(OR(Y17="",X17=""),"",IF(X17&lt;=0,"",IFERROR(Y17/X17-1,"")))</f>
        <v/>
      </c>
      <c r="Z18" s="17">
        <f>IF(OR(Z17="",Y17=""),"",IF(Y17&lt;=0,"",IFERROR(Z17/Y17-1,"")))</f>
        <v/>
      </c>
      <c r="AA18" s="17">
        <f>IF(OR(AA17="",Z17=""),"",IF(Z17&lt;=0,"",IFERROR(AA17/Z17-1,"")))</f>
        <v/>
      </c>
      <c r="AB18" s="17">
        <f>IF(OR(AB17="",AA17=""),"",IF(AA17&lt;=0,"",IFERROR(AB17/AA17-1,"")))</f>
        <v/>
      </c>
      <c r="AC18" s="17">
        <f>IF(OR(AC17="",AB17=""),"",IF(AB17&lt;=0,"",IFERROR(AC17/AB17-1,"")))</f>
        <v/>
      </c>
    </row>
    <row r="19">
      <c r="A19" s="9" t="inlineStr">
        <is>
          <t>영업이익</t>
        </is>
      </c>
      <c r="B19" s="10" t="inlineStr">
        <is>
          <t>MW = 매출 × OPM</t>
        </is>
      </c>
      <c r="C19" s="11" t="n">
        <v>418</v>
      </c>
      <c r="D19" s="12" t="n">
        <v>494</v>
      </c>
      <c r="E19" s="12" t="n">
        <v>522</v>
      </c>
      <c r="F19" s="12" t="n">
        <v>301</v>
      </c>
      <c r="G19" s="12" t="n">
        <v>503</v>
      </c>
      <c r="H19" s="12" t="n">
        <v>507</v>
      </c>
      <c r="I19" s="12" t="n">
        <v>496</v>
      </c>
      <c r="J19" s="12" t="n">
        <v>235</v>
      </c>
      <c r="K19" s="12" t="n">
        <v>447</v>
      </c>
      <c r="L19" s="12" t="n">
        <v>445</v>
      </c>
      <c r="M19" s="12" t="n">
        <v>435</v>
      </c>
      <c r="N19" s="12" t="n">
        <v>232</v>
      </c>
      <c r="O19" s="11" t="n">
        <v>961</v>
      </c>
      <c r="P19" s="12" t="n">
        <v>981</v>
      </c>
      <c r="Q19" s="12" t="n">
        <v>986</v>
      </c>
      <c r="R19" s="12" t="n">
        <v>1012</v>
      </c>
      <c r="S19" s="12" t="n">
        <v>1367</v>
      </c>
      <c r="T19" s="12" t="n">
        <v>1716</v>
      </c>
      <c r="U19" s="12" t="n">
        <v>1833</v>
      </c>
      <c r="V19" s="12" t="n">
        <v>1719</v>
      </c>
      <c r="W19" s="12" t="n">
        <v>1807</v>
      </c>
      <c r="X19" s="12" t="n">
        <v>1562</v>
      </c>
      <c r="Y19" s="11">
        <f>IF(OR(Y4="",Y20=""),"",IFERROR(Y4*Y20,""))</f>
        <v/>
      </c>
      <c r="Z19" s="12">
        <f>IF(OR(Z4="",Z20=""),"",IFERROR(Z4*Z20,""))</f>
        <v/>
      </c>
      <c r="AA19" s="12">
        <f>IF(OR(AA4="",AA20=""),"",IFERROR(AA4*AA20,""))</f>
        <v/>
      </c>
      <c r="AB19" s="12">
        <f>IF(OR(AB4="",AB20=""),"",IFERROR(AB4*AB20,""))</f>
        <v/>
      </c>
      <c r="AC19" s="12">
        <f>IF(OR(AC4="",AC20=""),"",IFERROR(AC4*AC20,""))</f>
        <v/>
      </c>
    </row>
    <row r="20">
      <c r="A20" s="15" t="inlineStr">
        <is>
          <t>OPM</t>
        </is>
      </c>
      <c r="B20" s="10" t="inlineStr">
        <is>
          <t>MW 입력</t>
        </is>
      </c>
      <c r="C20" s="16">
        <f>IF(OR(C19="",C4=""),"",IFERROR(C19/C4,""))</f>
        <v/>
      </c>
      <c r="D20" s="17">
        <f>IF(OR(D19="",D4=""),"",IFERROR(D19/D4,""))</f>
        <v/>
      </c>
      <c r="E20" s="17">
        <f>IF(OR(E19="",E4=""),"",IFERROR(E19/E4,""))</f>
        <v/>
      </c>
      <c r="F20" s="17">
        <f>IF(OR(F19="",F4=""),"",IFERROR(F19/F4,""))</f>
        <v/>
      </c>
      <c r="G20" s="17">
        <f>IF(OR(G19="",G4=""),"",IFERROR(G19/G4,""))</f>
        <v/>
      </c>
      <c r="H20" s="17">
        <f>IF(OR(H19="",H4=""),"",IFERROR(H19/H4,""))</f>
        <v/>
      </c>
      <c r="I20" s="17">
        <f>IF(OR(I19="",I4=""),"",IFERROR(I19/I4,""))</f>
        <v/>
      </c>
      <c r="J20" s="17">
        <f>IF(OR(J19="",J4=""),"",IFERROR(J19/J4,""))</f>
        <v/>
      </c>
      <c r="K20" s="17">
        <f>IF(OR(K19="",K4=""),"",IFERROR(K19/K4,""))</f>
        <v/>
      </c>
      <c r="L20" s="17">
        <f>IF(OR(L19="",L4=""),"",IFERROR(L19/L4,""))</f>
        <v/>
      </c>
      <c r="M20" s="17">
        <f>IF(OR(M19="",M4=""),"",IFERROR(M19/M4,""))</f>
        <v/>
      </c>
      <c r="N20" s="17">
        <f>IF(OR(N19="",N4=""),"",IFERROR(N19/N4,""))</f>
        <v/>
      </c>
      <c r="O20" s="16">
        <f>IF(OR(O19="",O4=""),"",IFERROR(O19/O4,""))</f>
        <v/>
      </c>
      <c r="P20" s="17">
        <f>IF(OR(P19="",P4=""),"",IFERROR(P19/P4,""))</f>
        <v/>
      </c>
      <c r="Q20" s="17">
        <f>IF(OR(Q19="",Q4=""),"",IFERROR(Q19/Q4,""))</f>
        <v/>
      </c>
      <c r="R20" s="17">
        <f>IF(OR(R19="",R4=""),"",IFERROR(R19/R4,""))</f>
        <v/>
      </c>
      <c r="S20" s="17">
        <f>IF(OR(S19="",S4=""),"",IFERROR(S19/S4,""))</f>
        <v/>
      </c>
      <c r="T20" s="17">
        <f>IF(OR(T19="",T4=""),"",IFERROR(T19/T4,""))</f>
        <v/>
      </c>
      <c r="U20" s="17">
        <f>IF(OR(U19="",U4=""),"",IFERROR(U19/U4,""))</f>
        <v/>
      </c>
      <c r="V20" s="17">
        <f>IF(OR(V19="",V4=""),"",IFERROR(V19/V4,""))</f>
        <v/>
      </c>
      <c r="W20" s="17">
        <f>IF(OR(W19="",W4=""),"",IFERROR(W19/W4,""))</f>
        <v/>
      </c>
      <c r="X20" s="17">
        <f>IF(OR(X19="",X4=""),"",IFERROR(X19/X4,""))</f>
        <v/>
      </c>
      <c r="Y20" s="27" t="n"/>
      <c r="Z20" s="28" t="n"/>
      <c r="AA20" s="28" t="n"/>
      <c r="AB20" s="28" t="n"/>
      <c r="AC20" s="28" t="n"/>
    </row>
    <row r="21">
      <c r="A21" s="15" t="inlineStr">
        <is>
          <t>증가율</t>
        </is>
      </c>
      <c r="B21" s="10" t="n"/>
      <c r="C21" s="16" t="n"/>
      <c r="D21" s="17" t="n"/>
      <c r="E21" s="17" t="n"/>
      <c r="F21" s="17" t="n"/>
      <c r="G21" s="17">
        <f>IF(OR(G19="",C19=""),"",IFERROR(G19/C19-1,""))</f>
        <v/>
      </c>
      <c r="H21" s="17">
        <f>IF(OR(H19="",D19=""),"",IFERROR(H19/D19-1,""))</f>
        <v/>
      </c>
      <c r="I21" s="17">
        <f>IF(OR(I19="",E19=""),"",IFERROR(I19/E19-1,""))</f>
        <v/>
      </c>
      <c r="J21" s="17">
        <f>IF(OR(J19="",F19=""),"",IFERROR(J19/F19-1,""))</f>
        <v/>
      </c>
      <c r="K21" s="17">
        <f>IF(OR(K19="",G19=""),"",IFERROR(K19/G19-1,""))</f>
        <v/>
      </c>
      <c r="L21" s="17">
        <f>IF(OR(L19="",H19=""),"",IFERROR(L19/H19-1,""))</f>
        <v/>
      </c>
      <c r="M21" s="17">
        <f>IF(OR(M19="",I19=""),"",IFERROR(M19/I19-1,""))</f>
        <v/>
      </c>
      <c r="N21" s="17">
        <f>IF(OR(N19="",J19=""),"",IFERROR(N19/J19-1,""))</f>
        <v/>
      </c>
      <c r="O21" s="16" t="n"/>
      <c r="P21" s="17">
        <f>IF(OR(P19="",O19=""),"",IFERROR(P19/O19-1,""))</f>
        <v/>
      </c>
      <c r="Q21" s="17">
        <f>IF(OR(Q19="",P19=""),"",IFERROR(Q19/P19-1,""))</f>
        <v/>
      </c>
      <c r="R21" s="17">
        <f>IF(OR(R19="",Q19=""),"",IFERROR(R19/Q19-1,""))</f>
        <v/>
      </c>
      <c r="S21" s="17">
        <f>IF(OR(S19="",R19=""),"",IFERROR(S19/R19-1,""))</f>
        <v/>
      </c>
      <c r="T21" s="17">
        <f>IF(OR(T19="",S19=""),"",IFERROR(T19/S19-1,""))</f>
        <v/>
      </c>
      <c r="U21" s="17">
        <f>IF(OR(U19="",T19=""),"",IFERROR(U19/T19-1,""))</f>
        <v/>
      </c>
      <c r="V21" s="17">
        <f>IF(OR(V19="",U19=""),"",IFERROR(V19/U19-1,""))</f>
        <v/>
      </c>
      <c r="W21" s="17">
        <f>IF(OR(W19="",V19=""),"",IFERROR(W19/V19-1,""))</f>
        <v/>
      </c>
      <c r="X21" s="17">
        <f>IF(OR(X19="",W19=""),"",IFERROR(X19/W19-1,""))</f>
        <v/>
      </c>
      <c r="Y21" s="16">
        <f>IF(OR(Y19="",X19=""),"",IFERROR(Y19/X19-1,""))</f>
        <v/>
      </c>
      <c r="Z21" s="17">
        <f>IF(OR(Z19="",Y19=""),"",IFERROR(Z19/Y19-1,""))</f>
        <v/>
      </c>
      <c r="AA21" s="17">
        <f>IF(OR(AA19="",Z19=""),"",IFERROR(AA19/Z19-1,""))</f>
        <v/>
      </c>
      <c r="AB21" s="17">
        <f>IF(OR(AB19="",AA19=""),"",IFERROR(AB19/AA19-1,""))</f>
        <v/>
      </c>
      <c r="AC21" s="17">
        <f>IF(OR(AC19="",AB19=""),"",IFERROR(AC19/AB19-1,""))</f>
        <v/>
      </c>
    </row>
    <row r="22">
      <c r="A22" s="18" t="inlineStr">
        <is>
          <t>비용의 성격별 분류</t>
        </is>
      </c>
      <c r="B22" s="18" t="inlineStr">
        <is>
          <t>참고 데이터</t>
        </is>
      </c>
      <c r="C22" s="19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9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9" t="n"/>
      <c r="Z22" s="18" t="n"/>
      <c r="AA22" s="18" t="n"/>
      <c r="AB22" s="18" t="n"/>
      <c r="AC22" s="18" t="n"/>
    </row>
    <row r="23">
      <c r="A23" s="9" t="inlineStr">
        <is>
          <t>총 판관비</t>
        </is>
      </c>
      <c r="B23" s="10" t="n"/>
      <c r="C23" s="11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1">
        <f>IF(O17="","",O17)</f>
        <v/>
      </c>
      <c r="P23" s="12">
        <f>IF(P17="","",P17)</f>
        <v/>
      </c>
      <c r="Q23" s="12">
        <f>IF(Q17="","",Q17)</f>
        <v/>
      </c>
      <c r="R23" s="12">
        <f>IF(R17="","",R17)</f>
        <v/>
      </c>
      <c r="S23" s="12">
        <f>IF(S17="","",S17)</f>
        <v/>
      </c>
      <c r="T23" s="12">
        <f>IF(T17="","",T17)</f>
        <v/>
      </c>
      <c r="U23" s="12">
        <f>IF(U17="","",U17)</f>
        <v/>
      </c>
      <c r="V23" s="12">
        <f>IF(V17="","",V17)</f>
        <v/>
      </c>
      <c r="W23" s="12">
        <f>IF(W17="","",W17)</f>
        <v/>
      </c>
      <c r="X23" s="12">
        <f>IF(X17="","",X17)</f>
        <v/>
      </c>
      <c r="Y23" s="11" t="n"/>
      <c r="Z23" s="12" t="n"/>
      <c r="AA23" s="12" t="n"/>
      <c r="AB23" s="12" t="n"/>
      <c r="AC23" s="12" t="n"/>
    </row>
    <row r="24">
      <c r="A24" s="20" t="inlineStr">
        <is>
          <t>급여</t>
        </is>
      </c>
      <c r="B24" s="10" t="inlineStr">
        <is>
          <t>고정비</t>
        </is>
      </c>
      <c r="C24" s="21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1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1" t="n"/>
      <c r="Z24" s="22" t="n"/>
      <c r="AA24" s="22" t="n"/>
      <c r="AB24" s="22" t="n"/>
      <c r="AC24" s="22" t="n"/>
    </row>
    <row r="25">
      <c r="A25" s="15" t="inlineStr">
        <is>
          <t>% of Sales</t>
        </is>
      </c>
      <c r="B25" s="10" t="n"/>
      <c r="C25" s="16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6">
        <f>IF(OR(O24="",O4=""),"",IFERROR(O24/O4,""))</f>
        <v/>
      </c>
      <c r="P25" s="17">
        <f>IF(OR(P24="",P4=""),"",IFERROR(P24/P4,""))</f>
        <v/>
      </c>
      <c r="Q25" s="17">
        <f>IF(OR(Q24="",Q4=""),"",IFERROR(Q24/Q4,""))</f>
        <v/>
      </c>
      <c r="R25" s="17">
        <f>IF(OR(R24="",R4=""),"",IFERROR(R24/R4,""))</f>
        <v/>
      </c>
      <c r="S25" s="17">
        <f>IF(OR(S24="",S4=""),"",IFERROR(S24/S4,""))</f>
        <v/>
      </c>
      <c r="T25" s="17">
        <f>IF(OR(T24="",T4=""),"",IFERROR(T24/T4,""))</f>
        <v/>
      </c>
      <c r="U25" s="17">
        <f>IF(OR(U24="",U4=""),"",IFERROR(U24/U4,""))</f>
        <v/>
      </c>
      <c r="V25" s="17">
        <f>IF(OR(V24="",V4=""),"",IFERROR(V24/V4,""))</f>
        <v/>
      </c>
      <c r="W25" s="17">
        <f>IF(OR(W24="",W4=""),"",IFERROR(W24/W4,""))</f>
        <v/>
      </c>
      <c r="X25" s="17">
        <f>IF(OR(X24="",X4=""),"",IFERROR(X24/X4,""))</f>
        <v/>
      </c>
      <c r="Y25" s="16" t="n"/>
      <c r="Z25" s="17" t="n"/>
      <c r="AA25" s="17" t="n"/>
      <c r="AB25" s="17" t="n"/>
      <c r="AC25" s="17" t="n"/>
    </row>
    <row r="26">
      <c r="A26" s="20" t="inlineStr">
        <is>
          <t>감가상각비</t>
        </is>
      </c>
      <c r="B26" s="10" t="inlineStr">
        <is>
          <t>고정비</t>
        </is>
      </c>
      <c r="C26" s="21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1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1" t="n"/>
      <c r="Z26" s="22" t="n"/>
      <c r="AA26" s="22" t="n"/>
      <c r="AB26" s="22" t="n"/>
      <c r="AC26" s="22" t="n"/>
    </row>
    <row r="27">
      <c r="A27" s="15" t="inlineStr">
        <is>
          <t>% of Sales</t>
        </is>
      </c>
      <c r="B27" s="10" t="n"/>
      <c r="C27" s="16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6">
        <f>IF(OR(O26="",O4=""),"",IFERROR(O26/O4,""))</f>
        <v/>
      </c>
      <c r="P27" s="17">
        <f>IF(OR(P26="",P4=""),"",IFERROR(P26/P4,""))</f>
        <v/>
      </c>
      <c r="Q27" s="17">
        <f>IF(OR(Q26="",Q4=""),"",IFERROR(Q26/Q4,""))</f>
        <v/>
      </c>
      <c r="R27" s="17">
        <f>IF(OR(R26="",R4=""),"",IFERROR(R26/R4,""))</f>
        <v/>
      </c>
      <c r="S27" s="17">
        <f>IF(OR(S26="",S4=""),"",IFERROR(S26/S4,""))</f>
        <v/>
      </c>
      <c r="T27" s="17">
        <f>IF(OR(T26="",T4=""),"",IFERROR(T26/T4,""))</f>
        <v/>
      </c>
      <c r="U27" s="17">
        <f>IF(OR(U26="",U4=""),"",IFERROR(U26/U4,""))</f>
        <v/>
      </c>
      <c r="V27" s="17">
        <f>IF(OR(V26="",V4=""),"",IFERROR(V26/V4,""))</f>
        <v/>
      </c>
      <c r="W27" s="17">
        <f>IF(OR(W26="",W4=""),"",IFERROR(W26/W4,""))</f>
        <v/>
      </c>
      <c r="X27" s="17">
        <f>IF(OR(X26="",X4=""),"",IFERROR(X26/X4,""))</f>
        <v/>
      </c>
      <c r="Y27" s="16" t="n"/>
      <c r="Z27" s="17" t="n"/>
      <c r="AA27" s="17" t="n"/>
      <c r="AB27" s="17" t="n"/>
      <c r="AC27" s="17" t="n"/>
    </row>
    <row r="28">
      <c r="A28" s="20" t="inlineStr">
        <is>
          <t>지급수수료</t>
        </is>
      </c>
      <c r="B28" s="10" t="inlineStr">
        <is>
          <t>고정비</t>
        </is>
      </c>
      <c r="C28" s="21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1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1" t="n"/>
      <c r="Z28" s="22" t="n"/>
      <c r="AA28" s="22" t="n"/>
      <c r="AB28" s="22" t="n"/>
      <c r="AC28" s="22" t="n"/>
    </row>
    <row r="29">
      <c r="A29" s="15" t="inlineStr">
        <is>
          <t>% of Sales</t>
        </is>
      </c>
      <c r="B29" s="10" t="n"/>
      <c r="C29" s="16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6">
        <f>IF(OR(O28="",O4=""),"",IFERROR(O28/O4,""))</f>
        <v/>
      </c>
      <c r="P29" s="17">
        <f>IF(OR(P28="",P4=""),"",IFERROR(P28/P4,""))</f>
        <v/>
      </c>
      <c r="Q29" s="17">
        <f>IF(OR(Q28="",Q4=""),"",IFERROR(Q28/Q4,""))</f>
        <v/>
      </c>
      <c r="R29" s="17">
        <f>IF(OR(R28="",R4=""),"",IFERROR(R28/R4,""))</f>
        <v/>
      </c>
      <c r="S29" s="17">
        <f>IF(OR(S28="",S4=""),"",IFERROR(S28/S4,""))</f>
        <v/>
      </c>
      <c r="T29" s="17">
        <f>IF(OR(T28="",T4=""),"",IFERROR(T28/T4,""))</f>
        <v/>
      </c>
      <c r="U29" s="17">
        <f>IF(OR(U28="",U4=""),"",IFERROR(U28/U4,""))</f>
        <v/>
      </c>
      <c r="V29" s="17">
        <f>IF(OR(V28="",V4=""),"",IFERROR(V28/V4,""))</f>
        <v/>
      </c>
      <c r="W29" s="17">
        <f>IF(OR(W28="",W4=""),"",IFERROR(W28/W4,""))</f>
        <v/>
      </c>
      <c r="X29" s="17">
        <f>IF(OR(X28="",X4=""),"",IFERROR(X28/X4,""))</f>
        <v/>
      </c>
      <c r="Y29" s="16" t="n"/>
      <c r="Z29" s="17" t="n"/>
      <c r="AA29" s="17" t="n"/>
      <c r="AB29" s="17" t="n"/>
      <c r="AC29" s="17" t="n"/>
    </row>
    <row r="30">
      <c r="A30" s="20" t="inlineStr">
        <is>
          <t>연구개발비</t>
        </is>
      </c>
      <c r="B30" s="10" t="inlineStr">
        <is>
          <t>변동비</t>
        </is>
      </c>
      <c r="C30" s="21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1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1" t="n"/>
      <c r="Z30" s="22" t="n"/>
      <c r="AA30" s="22" t="n"/>
      <c r="AB30" s="22" t="n"/>
      <c r="AC30" s="22" t="n"/>
    </row>
    <row r="31">
      <c r="A31" s="15" t="inlineStr">
        <is>
          <t>% of Sales</t>
        </is>
      </c>
      <c r="B31" s="10" t="n"/>
      <c r="C31" s="16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6">
        <f>IF(OR(O30="",O4=""),"",IFERROR(O30/O4,""))</f>
        <v/>
      </c>
      <c r="P31" s="17">
        <f>IF(OR(P30="",P4=""),"",IFERROR(P30/P4,""))</f>
        <v/>
      </c>
      <c r="Q31" s="17">
        <f>IF(OR(Q30="",Q4=""),"",IFERROR(Q30/Q4,""))</f>
        <v/>
      </c>
      <c r="R31" s="17">
        <f>IF(OR(R30="",R4=""),"",IFERROR(R30/R4,""))</f>
        <v/>
      </c>
      <c r="S31" s="17">
        <f>IF(OR(S30="",S4=""),"",IFERROR(S30/S4,""))</f>
        <v/>
      </c>
      <c r="T31" s="17">
        <f>IF(OR(T30="",T4=""),"",IFERROR(T30/T4,""))</f>
        <v/>
      </c>
      <c r="U31" s="17">
        <f>IF(OR(U30="",U4=""),"",IFERROR(U30/U4,""))</f>
        <v/>
      </c>
      <c r="V31" s="17">
        <f>IF(OR(V30="",V4=""),"",IFERROR(V30/V4,""))</f>
        <v/>
      </c>
      <c r="W31" s="17">
        <f>IF(OR(W30="",W4=""),"",IFERROR(W30/W4,""))</f>
        <v/>
      </c>
      <c r="X31" s="17">
        <f>IF(OR(X30="",X4=""),"",IFERROR(X30/X4,""))</f>
        <v/>
      </c>
      <c r="Y31" s="16" t="n"/>
      <c r="Z31" s="17" t="n"/>
      <c r="AA31" s="17" t="n"/>
      <c r="AB31" s="17" t="n"/>
      <c r="AC31" s="17" t="n"/>
    </row>
    <row r="32">
      <c r="A32" s="20" t="inlineStr">
        <is>
          <t>기타비용</t>
        </is>
      </c>
      <c r="B32" s="10" t="inlineStr">
        <is>
          <t>변동비</t>
        </is>
      </c>
      <c r="C32" s="21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1">
        <f>IF(OR(O23="",O24="",O26="",O28="",O30=""),"",IFERROR(O23-O24-O26-O28-O30,""))</f>
        <v/>
      </c>
      <c r="P32" s="22">
        <f>IF(OR(P23="",P24="",P26="",P28="",P30=""),"",IFERROR(P23-P24-P26-P28-P30,""))</f>
        <v/>
      </c>
      <c r="Q32" s="22">
        <f>IF(OR(Q23="",Q24="",Q26="",Q28="",Q30=""),"",IFERROR(Q23-Q24-Q26-Q28-Q30,""))</f>
        <v/>
      </c>
      <c r="R32" s="22">
        <f>IF(OR(R23="",R24="",R26="",R28="",R30=""),"",IFERROR(R23-R24-R26-R28-R30,""))</f>
        <v/>
      </c>
      <c r="S32" s="22">
        <f>IF(OR(S23="",S24="",S26="",S28="",S30=""),"",IFERROR(S23-S24-S26-S28-S30,""))</f>
        <v/>
      </c>
      <c r="T32" s="22">
        <f>IF(OR(T23="",T24="",T26="",T28="",T30=""),"",IFERROR(T23-T24-T26-T28-T30,""))</f>
        <v/>
      </c>
      <c r="U32" s="22">
        <f>IF(OR(U23="",U24="",U26="",U28="",U30=""),"",IFERROR(U23-U24-U26-U28-U30,""))</f>
        <v/>
      </c>
      <c r="V32" s="22">
        <f>IF(OR(V23="",V24="",V26="",V28="",V30=""),"",IFERROR(V23-V24-V26-V28-V30,""))</f>
        <v/>
      </c>
      <c r="W32" s="22">
        <f>IF(OR(W23="",W24="",W26="",W28="",W30=""),"",IFERROR(W23-W24-W26-W28-W30,""))</f>
        <v/>
      </c>
      <c r="X32" s="22">
        <f>IF(OR(X23="",X24="",X26="",X28="",X30=""),"",IFERROR(X23-X24-X26-X28-X30,""))</f>
        <v/>
      </c>
      <c r="Y32" s="21" t="n"/>
      <c r="Z32" s="22" t="n"/>
      <c r="AA32" s="22" t="n"/>
      <c r="AB32" s="22" t="n"/>
      <c r="AC32" s="22" t="n"/>
    </row>
    <row r="33">
      <c r="A33" s="15" t="inlineStr">
        <is>
          <t>% of Sales</t>
        </is>
      </c>
      <c r="B33" s="10" t="n"/>
      <c r="C33" s="16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6">
        <f>IF(OR(O32="",O4=""),"",IFERROR(O32/O4,""))</f>
        <v/>
      </c>
      <c r="P33" s="17">
        <f>IF(OR(P32="",P4=""),"",IFERROR(P32/P4,""))</f>
        <v/>
      </c>
      <c r="Q33" s="17">
        <f>IF(OR(Q32="",Q4=""),"",IFERROR(Q32/Q4,""))</f>
        <v/>
      </c>
      <c r="R33" s="17">
        <f>IF(OR(R32="",R4=""),"",IFERROR(R32/R4,""))</f>
        <v/>
      </c>
      <c r="S33" s="17">
        <f>IF(OR(S32="",S4=""),"",IFERROR(S32/S4,""))</f>
        <v/>
      </c>
      <c r="T33" s="17">
        <f>IF(OR(T32="",T4=""),"",IFERROR(T32/T4,""))</f>
        <v/>
      </c>
      <c r="U33" s="17">
        <f>IF(OR(U32="",U4=""),"",IFERROR(U32/U4,""))</f>
        <v/>
      </c>
      <c r="V33" s="17">
        <f>IF(OR(V32="",V4=""),"",IFERROR(V32/V4,""))</f>
        <v/>
      </c>
      <c r="W33" s="17">
        <f>IF(OR(W32="",W4=""),"",IFERROR(W32/W4,""))</f>
        <v/>
      </c>
      <c r="X33" s="17">
        <f>IF(OR(X32="",X4=""),"",IFERROR(X32/X4,""))</f>
        <v/>
      </c>
      <c r="Y33" s="16" t="n"/>
      <c r="Z33" s="17" t="n"/>
      <c r="AA33" s="17" t="n"/>
      <c r="AB33" s="17" t="n"/>
      <c r="AC33" s="17" t="n"/>
    </row>
    <row r="34">
      <c r="A34" s="18" t="inlineStr">
        <is>
          <t>당기순이익 추정</t>
        </is>
      </c>
      <c r="B34" s="18" t="n"/>
      <c r="C34" s="19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9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9" t="n"/>
      <c r="Z34" s="18" t="n"/>
      <c r="AA34" s="18" t="n"/>
      <c r="AB34" s="18" t="n"/>
      <c r="AC34" s="18" t="n"/>
    </row>
    <row r="35">
      <c r="A35" s="20" t="inlineStr">
        <is>
          <t>특별이익</t>
        </is>
      </c>
      <c r="B35" s="10" t="n"/>
      <c r="C35" s="21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1" t="n">
        <v>15</v>
      </c>
      <c r="P35" s="22" t="n">
        <v>0</v>
      </c>
      <c r="Q35" s="22" t="n"/>
      <c r="R35" s="22" t="n"/>
      <c r="S35" s="22" t="n"/>
      <c r="T35" s="22" t="n"/>
      <c r="U35" s="22" t="n"/>
      <c r="V35" s="22" t="n"/>
      <c r="W35" s="22" t="n"/>
      <c r="X35" s="22" t="n"/>
      <c r="Y35" s="21">
        <f>IF(OR(Y4="",Y36=""),"",IFERROR(Y4*Y36,""))</f>
        <v/>
      </c>
      <c r="Z35" s="22">
        <f>IF(OR(Z4="",Z36=""),"",IFERROR(Z4*Z36,""))</f>
        <v/>
      </c>
      <c r="AA35" s="22">
        <f>IF(OR(AA4="",AA36=""),"",IFERROR(AA4*AA36,""))</f>
        <v/>
      </c>
      <c r="AB35" s="22">
        <f>IF(OR(AB4="",AB36=""),"",IFERROR(AB4*AB36,""))</f>
        <v/>
      </c>
      <c r="AC35" s="22">
        <f>IF(OR(AC4="",AC36=""),"",IFERROR(AC4*AC36,""))</f>
        <v/>
      </c>
    </row>
    <row r="36">
      <c r="A36" s="15" t="inlineStr">
        <is>
          <t>% of Sales</t>
        </is>
      </c>
      <c r="B36" s="10" t="inlineStr">
        <is>
          <t>MW = 최근 3년 평균</t>
        </is>
      </c>
      <c r="C36" s="16">
        <f>IF(OR(C35="",C4=""),"",IFERROR(C35/C4,""))</f>
        <v/>
      </c>
      <c r="D36" s="17">
        <f>IF(OR(D35="",D4=""),"",IFERROR(D35/D4,""))</f>
        <v/>
      </c>
      <c r="E36" s="17">
        <f>IF(OR(E35="",E4=""),"",IFERROR(E35/E4,""))</f>
        <v/>
      </c>
      <c r="F36" s="17">
        <f>IF(OR(F35="",F4=""),"",IFERROR(F35/F4,""))</f>
        <v/>
      </c>
      <c r="G36" s="17">
        <f>IF(OR(G35="",G4=""),"",IFERROR(G35/G4,""))</f>
        <v/>
      </c>
      <c r="H36" s="17">
        <f>IF(OR(H35="",H4=""),"",IFERROR(H35/H4,""))</f>
        <v/>
      </c>
      <c r="I36" s="17">
        <f>IF(OR(I35="",I4=""),"",IFERROR(I35/I4,""))</f>
        <v/>
      </c>
      <c r="J36" s="17">
        <f>IF(OR(J35="",J4=""),"",IFERROR(J35/J4,""))</f>
        <v/>
      </c>
      <c r="K36" s="17">
        <f>IF(OR(K35="",K4=""),"",IFERROR(K35/K4,""))</f>
        <v/>
      </c>
      <c r="L36" s="17">
        <f>IF(OR(L35="",L4=""),"",IFERROR(L35/L4,""))</f>
        <v/>
      </c>
      <c r="M36" s="17">
        <f>IF(OR(M35="",M4=""),"",IFERROR(M35/M4,""))</f>
        <v/>
      </c>
      <c r="N36" s="17">
        <f>IF(OR(N35="",N4=""),"",IFERROR(N35/N4,""))</f>
        <v/>
      </c>
      <c r="O36" s="16">
        <f>IF(OR(O35="",O4=""),"",IFERROR(O35/O4,""))</f>
        <v/>
      </c>
      <c r="P36" s="17">
        <f>IF(OR(P35="",P4=""),"",IFERROR(P35/P4,""))</f>
        <v/>
      </c>
      <c r="Q36" s="17">
        <f>IF(OR(Q35="",Q4=""),"",IFERROR(Q35/Q4,""))</f>
        <v/>
      </c>
      <c r="R36" s="17">
        <f>IF(OR(R35="",R4=""),"",IFERROR(R35/R4,""))</f>
        <v/>
      </c>
      <c r="S36" s="17">
        <f>IF(OR(S35="",S4=""),"",IFERROR(S35/S4,""))</f>
        <v/>
      </c>
      <c r="T36" s="17">
        <f>IF(OR(T35="",T4=""),"",IFERROR(T35/T4,""))</f>
        <v/>
      </c>
      <c r="U36" s="17">
        <f>IF(OR(U35="",U4=""),"",IFERROR(U35/U4,""))</f>
        <v/>
      </c>
      <c r="V36" s="17">
        <f>IF(OR(V35="",V4=""),"",IFERROR(V35/V4,""))</f>
        <v/>
      </c>
      <c r="W36" s="17">
        <f>IF(OR(W35="",W4=""),"",IFERROR(W35/W4,""))</f>
        <v/>
      </c>
      <c r="X36" s="17">
        <f>IF(OR(X35="",X4=""),"",IFERROR(X35/X4,""))</f>
        <v/>
      </c>
      <c r="Y36" s="27">
        <f>IFERROR(AVERAGE(V36,W36,X36),"")</f>
        <v/>
      </c>
      <c r="Z36" s="28">
        <f>Y36</f>
        <v/>
      </c>
      <c r="AA36" s="28">
        <f>Z36</f>
        <v/>
      </c>
      <c r="AB36" s="28">
        <f>AA36</f>
        <v/>
      </c>
      <c r="AC36" s="28">
        <f>AB36</f>
        <v/>
      </c>
    </row>
    <row r="37">
      <c r="A37" s="20" t="inlineStr">
        <is>
          <t>특별손실</t>
        </is>
      </c>
      <c r="B37" s="10" t="n"/>
      <c r="C37" s="21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1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1">
        <f>IF(OR(Y4="",Y38=""),"",IFERROR(Y4*Y38,""))</f>
        <v/>
      </c>
      <c r="Z37" s="22">
        <f>IF(OR(Z4="",Z38=""),"",IFERROR(Z4*Z38,""))</f>
        <v/>
      </c>
      <c r="AA37" s="22">
        <f>IF(OR(AA4="",AA38=""),"",IFERROR(AA4*AA38,""))</f>
        <v/>
      </c>
      <c r="AB37" s="22">
        <f>IF(OR(AB4="",AB38=""),"",IFERROR(AB4*AB38,""))</f>
        <v/>
      </c>
      <c r="AC37" s="22">
        <f>IF(OR(AC4="",AC38=""),"",IFERROR(AC4*AC38,""))</f>
        <v/>
      </c>
    </row>
    <row r="38">
      <c r="A38" s="15" t="inlineStr">
        <is>
          <t>% of Sales</t>
        </is>
      </c>
      <c r="B38" s="10" t="n"/>
      <c r="C38" s="16">
        <f>IF(OR(C37="",C4=""),"",IFERROR(C37/C4,""))</f>
        <v/>
      </c>
      <c r="D38" s="17">
        <f>IF(OR(D37="",D4=""),"",IFERROR(D37/D4,""))</f>
        <v/>
      </c>
      <c r="E38" s="17">
        <f>IF(OR(E37="",E4=""),"",IFERROR(E37/E4,""))</f>
        <v/>
      </c>
      <c r="F38" s="17">
        <f>IF(OR(F37="",F4=""),"",IFERROR(F37/F4,""))</f>
        <v/>
      </c>
      <c r="G38" s="17">
        <f>IF(OR(G37="",G4=""),"",IFERROR(G37/G4,""))</f>
        <v/>
      </c>
      <c r="H38" s="17">
        <f>IF(OR(H37="",H4=""),"",IFERROR(H37/H4,""))</f>
        <v/>
      </c>
      <c r="I38" s="17">
        <f>IF(OR(I37="",I4=""),"",IFERROR(I37/I4,""))</f>
        <v/>
      </c>
      <c r="J38" s="17">
        <f>IF(OR(J37="",J4=""),"",IFERROR(J37/J4,""))</f>
        <v/>
      </c>
      <c r="K38" s="17">
        <f>IF(OR(K37="",K4=""),"",IFERROR(K37/K4,""))</f>
        <v/>
      </c>
      <c r="L38" s="17">
        <f>IF(OR(L37="",L4=""),"",IFERROR(L37/L4,""))</f>
        <v/>
      </c>
      <c r="M38" s="17">
        <f>IF(OR(M37="",M4=""),"",IFERROR(M37/M4,""))</f>
        <v/>
      </c>
      <c r="N38" s="17">
        <f>IF(OR(N37="",N4=""),"",IFERROR(N37/N4,""))</f>
        <v/>
      </c>
      <c r="O38" s="16">
        <f>IF(OR(O37="",O4=""),"",IFERROR(O37/O4,""))</f>
        <v/>
      </c>
      <c r="P38" s="17">
        <f>IF(OR(P37="",P4=""),"",IFERROR(P37/P4,""))</f>
        <v/>
      </c>
      <c r="Q38" s="17">
        <f>IF(OR(Q37="",Q4=""),"",IFERROR(Q37/Q4,""))</f>
        <v/>
      </c>
      <c r="R38" s="17">
        <f>IF(OR(R37="",R4=""),"",IFERROR(R37/R4,""))</f>
        <v/>
      </c>
      <c r="S38" s="17">
        <f>IF(OR(S37="",S4=""),"",IFERROR(S37/S4,""))</f>
        <v/>
      </c>
      <c r="T38" s="17">
        <f>IF(OR(T37="",T4=""),"",IFERROR(T37/T4,""))</f>
        <v/>
      </c>
      <c r="U38" s="17">
        <f>IF(OR(U37="",U4=""),"",IFERROR(U37/U4,""))</f>
        <v/>
      </c>
      <c r="V38" s="17">
        <f>IF(OR(V37="",V4=""),"",IFERROR(V37/V4,""))</f>
        <v/>
      </c>
      <c r="W38" s="17">
        <f>IF(OR(W37="",W4=""),"",IFERROR(W37/W4,""))</f>
        <v/>
      </c>
      <c r="X38" s="17">
        <f>IF(OR(X37="",X4=""),"",IFERROR(X37/X4,""))</f>
        <v/>
      </c>
      <c r="Y38" s="27">
        <f>IFERROR(AVERAGE(V38,W38,X38),"")</f>
        <v/>
      </c>
      <c r="Z38" s="28">
        <f>Y38</f>
        <v/>
      </c>
      <c r="AA38" s="28">
        <f>Z38</f>
        <v/>
      </c>
      <c r="AB38" s="28">
        <f>AA38</f>
        <v/>
      </c>
      <c r="AC38" s="28">
        <f>AB38</f>
        <v/>
      </c>
    </row>
    <row r="39">
      <c r="A39" s="20" t="inlineStr">
        <is>
          <t>영업외수익</t>
        </is>
      </c>
      <c r="B39" s="10" t="n"/>
      <c r="C39" s="21" t="n">
        <v>2</v>
      </c>
      <c r="D39" s="22" t="n">
        <v>3</v>
      </c>
      <c r="E39" s="22" t="n">
        <v>7</v>
      </c>
      <c r="F39" s="22" t="n">
        <v>2</v>
      </c>
      <c r="G39" s="22" t="n">
        <v>5</v>
      </c>
      <c r="H39" s="22" t="n">
        <v>6</v>
      </c>
      <c r="I39" s="22" t="n">
        <v>2</v>
      </c>
      <c r="J39" s="22" t="n">
        <v>2</v>
      </c>
      <c r="K39" s="22" t="n">
        <v>15</v>
      </c>
      <c r="L39" s="22" t="n">
        <v>5</v>
      </c>
      <c r="M39" s="22" t="n">
        <v>3</v>
      </c>
      <c r="N39" s="22" t="n">
        <v>2</v>
      </c>
      <c r="O39" s="21" t="n">
        <v>9</v>
      </c>
      <c r="P39" s="22" t="n">
        <v>8</v>
      </c>
      <c r="Q39" s="22" t="n">
        <v>7</v>
      </c>
      <c r="R39" s="22" t="n">
        <v>7</v>
      </c>
      <c r="S39" s="22" t="n">
        <v>9</v>
      </c>
      <c r="T39" s="22" t="n">
        <v>7</v>
      </c>
      <c r="U39" s="22" t="n">
        <v>12</v>
      </c>
      <c r="V39" s="22" t="n">
        <v>14</v>
      </c>
      <c r="W39" s="22" t="n">
        <v>15</v>
      </c>
      <c r="X39" s="22" t="n">
        <v>25</v>
      </c>
      <c r="Y39" s="21">
        <f>IF(OR(Y4="",Y40=""),"",IFERROR(Y4*Y40,""))</f>
        <v/>
      </c>
      <c r="Z39" s="22">
        <f>IF(OR(Z4="",Z40=""),"",IFERROR(Z4*Z40,""))</f>
        <v/>
      </c>
      <c r="AA39" s="22">
        <f>IF(OR(AA4="",AA40=""),"",IFERROR(AA4*AA40,""))</f>
        <v/>
      </c>
      <c r="AB39" s="22">
        <f>IF(OR(AB4="",AB40=""),"",IFERROR(AB4*AB40,""))</f>
        <v/>
      </c>
      <c r="AC39" s="22">
        <f>IF(OR(AC4="",AC40=""),"",IFERROR(AC4*AC40,""))</f>
        <v/>
      </c>
    </row>
    <row r="40">
      <c r="A40" s="15" t="inlineStr">
        <is>
          <t>% of Sales</t>
        </is>
      </c>
      <c r="B40" s="10" t="n"/>
      <c r="C40" s="16">
        <f>IF(OR(C39="",C4=""),"",IFERROR(C39/C4,""))</f>
        <v/>
      </c>
      <c r="D40" s="17">
        <f>IF(OR(D39="",D4=""),"",IFERROR(D39/D4,""))</f>
        <v/>
      </c>
      <c r="E40" s="17">
        <f>IF(OR(E39="",E4=""),"",IFERROR(E39/E4,""))</f>
        <v/>
      </c>
      <c r="F40" s="17">
        <f>IF(OR(F39="",F4=""),"",IFERROR(F39/F4,""))</f>
        <v/>
      </c>
      <c r="G40" s="17">
        <f>IF(OR(G39="",G4=""),"",IFERROR(G39/G4,""))</f>
        <v/>
      </c>
      <c r="H40" s="17">
        <f>IF(OR(H39="",H4=""),"",IFERROR(H39/H4,""))</f>
        <v/>
      </c>
      <c r="I40" s="17">
        <f>IF(OR(I39="",I4=""),"",IFERROR(I39/I4,""))</f>
        <v/>
      </c>
      <c r="J40" s="17">
        <f>IF(OR(J39="",J4=""),"",IFERROR(J39/J4,""))</f>
        <v/>
      </c>
      <c r="K40" s="17">
        <f>IF(OR(K39="",K4=""),"",IFERROR(K39/K4,""))</f>
        <v/>
      </c>
      <c r="L40" s="17">
        <f>IF(OR(L39="",L4=""),"",IFERROR(L39/L4,""))</f>
        <v/>
      </c>
      <c r="M40" s="17">
        <f>IF(OR(M39="",M4=""),"",IFERROR(M39/M4,""))</f>
        <v/>
      </c>
      <c r="N40" s="17">
        <f>IF(OR(N39="",N4=""),"",IFERROR(N39/N4,""))</f>
        <v/>
      </c>
      <c r="O40" s="16">
        <f>IF(OR(O39="",O4=""),"",IFERROR(O39/O4,""))</f>
        <v/>
      </c>
      <c r="P40" s="17">
        <f>IF(OR(P39="",P4=""),"",IFERROR(P39/P4,""))</f>
        <v/>
      </c>
      <c r="Q40" s="17">
        <f>IF(OR(Q39="",Q4=""),"",IFERROR(Q39/Q4,""))</f>
        <v/>
      </c>
      <c r="R40" s="17">
        <f>IF(OR(R39="",R4=""),"",IFERROR(R39/R4,""))</f>
        <v/>
      </c>
      <c r="S40" s="17">
        <f>IF(OR(S39="",S4=""),"",IFERROR(S39/S4,""))</f>
        <v/>
      </c>
      <c r="T40" s="17">
        <f>IF(OR(T39="",T4=""),"",IFERROR(T39/T4,""))</f>
        <v/>
      </c>
      <c r="U40" s="17">
        <f>IF(OR(U39="",U4=""),"",IFERROR(U39/U4,""))</f>
        <v/>
      </c>
      <c r="V40" s="17">
        <f>IF(OR(V39="",V4=""),"",IFERROR(V39/V4,""))</f>
        <v/>
      </c>
      <c r="W40" s="17">
        <f>IF(OR(W39="",W4=""),"",IFERROR(W39/W4,""))</f>
        <v/>
      </c>
      <c r="X40" s="17">
        <f>IF(OR(X39="",X4=""),"",IFERROR(X39/X4,""))</f>
        <v/>
      </c>
      <c r="Y40" s="27">
        <f>IFERROR(AVERAGE(V40,W40,X40),"")</f>
        <v/>
      </c>
      <c r="Z40" s="28">
        <f>Y40</f>
        <v/>
      </c>
      <c r="AA40" s="28">
        <f>Z40</f>
        <v/>
      </c>
      <c r="AB40" s="28">
        <f>AA40</f>
        <v/>
      </c>
      <c r="AC40" s="28">
        <f>AB40</f>
        <v/>
      </c>
    </row>
    <row r="41">
      <c r="A41" s="20" t="inlineStr">
        <is>
          <t>영업외비용</t>
        </is>
      </c>
      <c r="B41" s="10" t="n"/>
      <c r="C41" s="21" t="n">
        <v>2</v>
      </c>
      <c r="D41" s="22" t="n">
        <v>0</v>
      </c>
      <c r="E41" s="22" t="n">
        <v>0</v>
      </c>
      <c r="F41" s="22" t="n">
        <v>0</v>
      </c>
      <c r="G41" s="22" t="n">
        <v>0</v>
      </c>
      <c r="H41" s="22" t="n">
        <v>0</v>
      </c>
      <c r="I41" s="22" t="n">
        <v>0</v>
      </c>
      <c r="J41" s="22" t="n">
        <v>0</v>
      </c>
      <c r="K41" s="22" t="n">
        <v>1</v>
      </c>
      <c r="L41" s="22" t="n">
        <v>0</v>
      </c>
      <c r="M41" s="22" t="n">
        <v>4</v>
      </c>
      <c r="N41" s="22" t="n">
        <v>0</v>
      </c>
      <c r="O41" s="21" t="n">
        <v>0</v>
      </c>
      <c r="P41" s="22" t="n">
        <v>7</v>
      </c>
      <c r="Q41" s="22" t="n">
        <v>0</v>
      </c>
      <c r="R41" s="22" t="n">
        <v>1</v>
      </c>
      <c r="S41" s="22" t="n">
        <v>7</v>
      </c>
      <c r="T41" s="22" t="n">
        <v>4</v>
      </c>
      <c r="U41" s="22" t="n">
        <v>1</v>
      </c>
      <c r="V41" s="22" t="n">
        <v>2</v>
      </c>
      <c r="W41" s="22" t="n">
        <v>0</v>
      </c>
      <c r="X41" s="22" t="n">
        <v>5</v>
      </c>
      <c r="Y41" s="21">
        <f>IF(OR(Y4="",Y42=""),"",IFERROR(Y4*Y42,""))</f>
        <v/>
      </c>
      <c r="Z41" s="22">
        <f>IF(OR(Z4="",Z42=""),"",IFERROR(Z4*Z42,""))</f>
        <v/>
      </c>
      <c r="AA41" s="22">
        <f>IF(OR(AA4="",AA42=""),"",IFERROR(AA4*AA42,""))</f>
        <v/>
      </c>
      <c r="AB41" s="22">
        <f>IF(OR(AB4="",AB42=""),"",IFERROR(AB4*AB42,""))</f>
        <v/>
      </c>
      <c r="AC41" s="22">
        <f>IF(OR(AC4="",AC42=""),"",IFERROR(AC4*AC42,""))</f>
        <v/>
      </c>
    </row>
    <row r="42">
      <c r="A42" s="15" t="inlineStr">
        <is>
          <t>% of Sales</t>
        </is>
      </c>
      <c r="B42" s="10" t="n"/>
      <c r="C42" s="16">
        <f>IF(OR(C41="",C4=""),"",IFERROR(C41/C4,""))</f>
        <v/>
      </c>
      <c r="D42" s="17">
        <f>IF(OR(D41="",D4=""),"",IFERROR(D41/D4,""))</f>
        <v/>
      </c>
      <c r="E42" s="17">
        <f>IF(OR(E41="",E4=""),"",IFERROR(E41/E4,""))</f>
        <v/>
      </c>
      <c r="F42" s="17">
        <f>IF(OR(F41="",F4=""),"",IFERROR(F41/F4,""))</f>
        <v/>
      </c>
      <c r="G42" s="17">
        <f>IF(OR(G41="",G4=""),"",IFERROR(G41/G4,""))</f>
        <v/>
      </c>
      <c r="H42" s="17">
        <f>IF(OR(H41="",H4=""),"",IFERROR(H41/H4,""))</f>
        <v/>
      </c>
      <c r="I42" s="17">
        <f>IF(OR(I41="",I4=""),"",IFERROR(I41/I4,""))</f>
        <v/>
      </c>
      <c r="J42" s="17">
        <f>IF(OR(J41="",J4=""),"",IFERROR(J41/J4,""))</f>
        <v/>
      </c>
      <c r="K42" s="17">
        <f>IF(OR(K41="",K4=""),"",IFERROR(K41/K4,""))</f>
        <v/>
      </c>
      <c r="L42" s="17">
        <f>IF(OR(L41="",L4=""),"",IFERROR(L41/L4,""))</f>
        <v/>
      </c>
      <c r="M42" s="17">
        <f>IF(OR(M41="",M4=""),"",IFERROR(M41/M4,""))</f>
        <v/>
      </c>
      <c r="N42" s="17">
        <f>IF(OR(N41="",N4=""),"",IFERROR(N41/N4,""))</f>
        <v/>
      </c>
      <c r="O42" s="16">
        <f>IF(OR(O41="",O4=""),"",IFERROR(O41/O4,""))</f>
        <v/>
      </c>
      <c r="P42" s="17">
        <f>IF(OR(P41="",P4=""),"",IFERROR(P41/P4,""))</f>
        <v/>
      </c>
      <c r="Q42" s="17">
        <f>IF(OR(Q41="",Q4=""),"",IFERROR(Q41/Q4,""))</f>
        <v/>
      </c>
      <c r="R42" s="17">
        <f>IF(OR(R41="",R4=""),"",IFERROR(R41/R4,""))</f>
        <v/>
      </c>
      <c r="S42" s="17">
        <f>IF(OR(S41="",S4=""),"",IFERROR(S41/S4,""))</f>
        <v/>
      </c>
      <c r="T42" s="17">
        <f>IF(OR(T41="",T4=""),"",IFERROR(T41/T4,""))</f>
        <v/>
      </c>
      <c r="U42" s="17">
        <f>IF(OR(U41="",U4=""),"",IFERROR(U41/U4,""))</f>
        <v/>
      </c>
      <c r="V42" s="17">
        <f>IF(OR(V41="",V4=""),"",IFERROR(V41/V4,""))</f>
        <v/>
      </c>
      <c r="W42" s="17">
        <f>IF(OR(W41="",W4=""),"",IFERROR(W41/W4,""))</f>
        <v/>
      </c>
      <c r="X42" s="17">
        <f>IF(OR(X41="",X4=""),"",IFERROR(X41/X4,""))</f>
        <v/>
      </c>
      <c r="Y42" s="27">
        <f>IFERROR(AVERAGE(V42,W42,X42),"")</f>
        <v/>
      </c>
      <c r="Z42" s="28">
        <f>Y42</f>
        <v/>
      </c>
      <c r="AA42" s="28">
        <f>Z42</f>
        <v/>
      </c>
      <c r="AB42" s="28">
        <f>AA42</f>
        <v/>
      </c>
      <c r="AC42" s="28">
        <f>AB42</f>
        <v/>
      </c>
    </row>
    <row r="43">
      <c r="A43" s="9" t="inlineStr">
        <is>
          <t>법인세비용차감전순이익(손실)</t>
        </is>
      </c>
      <c r="B43" s="10" t="n"/>
      <c r="C43" s="11" t="n">
        <v>418</v>
      </c>
      <c r="D43" s="12" t="n">
        <v>497</v>
      </c>
      <c r="E43" s="12" t="n">
        <v>528</v>
      </c>
      <c r="F43" s="12" t="n">
        <v>303</v>
      </c>
      <c r="G43" s="12" t="n">
        <v>508</v>
      </c>
      <c r="H43" s="12" t="n">
        <v>513</v>
      </c>
      <c r="I43" s="12" t="n">
        <v>497</v>
      </c>
      <c r="J43" s="12" t="n">
        <v>237</v>
      </c>
      <c r="K43" s="12" t="n">
        <v>460</v>
      </c>
      <c r="L43" s="12" t="n">
        <v>451</v>
      </c>
      <c r="M43" s="12" t="n">
        <v>435</v>
      </c>
      <c r="N43" s="12" t="n">
        <v>234</v>
      </c>
      <c r="O43" s="11" t="n">
        <v>985</v>
      </c>
      <c r="P43" s="12" t="n">
        <v>982</v>
      </c>
      <c r="Q43" s="12" t="n">
        <v>993</v>
      </c>
      <c r="R43" s="12" t="n">
        <v>1017</v>
      </c>
      <c r="S43" s="12" t="n">
        <v>1369</v>
      </c>
      <c r="T43" s="12" t="n">
        <v>1719</v>
      </c>
      <c r="U43" s="12" t="n">
        <v>1844</v>
      </c>
      <c r="V43" s="12" t="n">
        <v>1730</v>
      </c>
      <c r="W43" s="12" t="n">
        <v>1821</v>
      </c>
      <c r="X43" s="12" t="n">
        <v>1583</v>
      </c>
      <c r="Y43" s="11">
        <f>IF(OR(Y19=""),"",IFERROR(Y19+N(Y35)-N(Y37)+N(Y39)-N(Y41),""))</f>
        <v/>
      </c>
      <c r="Z43" s="12">
        <f>IF(OR(Z19=""),"",IFERROR(Z19+N(Z35)-N(Z37)+N(Z39)-N(Z41),""))</f>
        <v/>
      </c>
      <c r="AA43" s="12">
        <f>IF(OR(AA19=""),"",IFERROR(AA19+N(AA35)-N(AA37)+N(AA39)-N(AA41),""))</f>
        <v/>
      </c>
      <c r="AB43" s="12">
        <f>IF(OR(AB19=""),"",IFERROR(AB19+N(AB35)-N(AB37)+N(AB39)-N(AB41),""))</f>
        <v/>
      </c>
      <c r="AC43" s="12">
        <f>IF(OR(AC19=""),"",IFERROR(AC19+N(AC35)-N(AC37)+N(AC39)-N(AC41),""))</f>
        <v/>
      </c>
    </row>
    <row r="44">
      <c r="A44" s="15" t="inlineStr">
        <is>
          <t>YoY</t>
        </is>
      </c>
      <c r="B44" s="10" t="n"/>
      <c r="C44" s="16" t="n"/>
      <c r="D44" s="17" t="n"/>
      <c r="E44" s="17" t="n"/>
      <c r="F44" s="17" t="n"/>
      <c r="G44" s="17">
        <f>IF(OR(G43="",C43=""),"",IF(C43&lt;=0,"",IFERROR(G43/C43-1,"")))</f>
        <v/>
      </c>
      <c r="H44" s="17">
        <f>IF(OR(H43="",D43=""),"",IF(D43&lt;=0,"",IFERROR(H43/D43-1,"")))</f>
        <v/>
      </c>
      <c r="I44" s="17">
        <f>IF(OR(I43="",E43=""),"",IF(E43&lt;=0,"",IFERROR(I43/E43-1,"")))</f>
        <v/>
      </c>
      <c r="J44" s="17">
        <f>IF(OR(J43="",F43=""),"",IF(F43&lt;=0,"",IFERROR(J43/F43-1,"")))</f>
        <v/>
      </c>
      <c r="K44" s="17">
        <f>IF(OR(K43="",G43=""),"",IF(G43&lt;=0,"",IFERROR(K43/G43-1,"")))</f>
        <v/>
      </c>
      <c r="L44" s="17">
        <f>IF(OR(L43="",H43=""),"",IF(H43&lt;=0,"",IFERROR(L43/H43-1,"")))</f>
        <v/>
      </c>
      <c r="M44" s="17">
        <f>IF(OR(M43="",I43=""),"",IF(I43&lt;=0,"",IFERROR(M43/I43-1,"")))</f>
        <v/>
      </c>
      <c r="N44" s="17">
        <f>IF(OR(N43="",J43=""),"",IF(J43&lt;=0,"",IFERROR(N43/J43-1,"")))</f>
        <v/>
      </c>
      <c r="O44" s="16" t="n"/>
      <c r="P44" s="17">
        <f>IF(OR(P43="",O43=""),"",IF(O43&lt;=0,"",IFERROR(P43/O43-1,"")))</f>
        <v/>
      </c>
      <c r="Q44" s="17">
        <f>IF(OR(Q43="",P43=""),"",IF(P43&lt;=0,"",IFERROR(Q43/P43-1,"")))</f>
        <v/>
      </c>
      <c r="R44" s="17">
        <f>IF(OR(R43="",Q43=""),"",IF(Q43&lt;=0,"",IFERROR(R43/Q43-1,"")))</f>
        <v/>
      </c>
      <c r="S44" s="17">
        <f>IF(OR(S43="",R43=""),"",IF(R43&lt;=0,"",IFERROR(S43/R43-1,"")))</f>
        <v/>
      </c>
      <c r="T44" s="17">
        <f>IF(OR(T43="",S43=""),"",IF(S43&lt;=0,"",IFERROR(T43/S43-1,"")))</f>
        <v/>
      </c>
      <c r="U44" s="17">
        <f>IF(OR(U43="",T43=""),"",IF(T43&lt;=0,"",IFERROR(U43/T43-1,"")))</f>
        <v/>
      </c>
      <c r="V44" s="17">
        <f>IF(OR(V43="",U43=""),"",IF(U43&lt;=0,"",IFERROR(V43/U43-1,"")))</f>
        <v/>
      </c>
      <c r="W44" s="17">
        <f>IF(OR(W43="",V43=""),"",IF(V43&lt;=0,"",IFERROR(W43/V43-1,"")))</f>
        <v/>
      </c>
      <c r="X44" s="17">
        <f>IF(OR(X43="",W43=""),"",IF(W43&lt;=0,"",IFERROR(X43/W43-1,"")))</f>
        <v/>
      </c>
      <c r="Y44" s="16">
        <f>IF(OR(Y43="",X43=""),"",IF(X43&lt;=0,"",IFERROR(Y43/X43-1,"")))</f>
        <v/>
      </c>
      <c r="Z44" s="17">
        <f>IF(OR(Z43="",Y43=""),"",IF(Y43&lt;=0,"",IFERROR(Z43/Y43-1,"")))</f>
        <v/>
      </c>
      <c r="AA44" s="17">
        <f>IF(OR(AA43="",Z43=""),"",IF(Z43&lt;=0,"",IFERROR(AA43/Z43-1,"")))</f>
        <v/>
      </c>
      <c r="AB44" s="17">
        <f>IF(OR(AB43="",AA43=""),"",IF(AA43&lt;=0,"",IFERROR(AB43/AA43-1,"")))</f>
        <v/>
      </c>
      <c r="AC44" s="17">
        <f>IF(OR(AC43="",AB43=""),"",IF(AB43&lt;=0,"",IFERROR(AC43/AB43-1,"")))</f>
        <v/>
      </c>
    </row>
    <row r="45">
      <c r="A45" s="20" t="inlineStr">
        <is>
          <t>법인세비용(수익)</t>
        </is>
      </c>
      <c r="B45" s="10" t="n"/>
      <c r="C45" s="21" t="n">
        <v>133</v>
      </c>
      <c r="D45" s="22" t="n">
        <v>157</v>
      </c>
      <c r="E45" s="22" t="n">
        <v>166</v>
      </c>
      <c r="F45" s="22" t="n">
        <v>96</v>
      </c>
      <c r="G45" s="22" t="n">
        <v>161</v>
      </c>
      <c r="H45" s="22" t="n">
        <v>162</v>
      </c>
      <c r="I45" s="22" t="n">
        <v>110</v>
      </c>
      <c r="J45" s="22" t="n">
        <v>77</v>
      </c>
      <c r="K45" s="22" t="n">
        <v>148</v>
      </c>
      <c r="L45" s="22" t="n">
        <v>145</v>
      </c>
      <c r="M45" s="22" t="n">
        <v>72</v>
      </c>
      <c r="N45" s="22" t="n">
        <v>85</v>
      </c>
      <c r="O45" s="21" t="n">
        <v>299</v>
      </c>
      <c r="P45" s="22" t="n">
        <v>320</v>
      </c>
      <c r="Q45" s="22" t="n">
        <v>275</v>
      </c>
      <c r="R45" s="22" t="n">
        <v>323</v>
      </c>
      <c r="S45" s="22" t="n">
        <v>433</v>
      </c>
      <c r="T45" s="22" t="n">
        <v>506</v>
      </c>
      <c r="U45" s="22" t="n">
        <v>550</v>
      </c>
      <c r="V45" s="22" t="n">
        <v>547</v>
      </c>
      <c r="W45" s="22" t="n">
        <v>529</v>
      </c>
      <c r="X45" s="22" t="n">
        <v>442</v>
      </c>
      <c r="Y45" s="21">
        <f>IF(OR(Y43="",Y46=""),"",IFERROR(MAX(Y43,0)*Y46,""))</f>
        <v/>
      </c>
      <c r="Z45" s="22">
        <f>IF(OR(Z43="",Z46=""),"",IFERROR(MAX(Z43,0)*Z46,""))</f>
        <v/>
      </c>
      <c r="AA45" s="22">
        <f>IF(OR(AA43="",AA46=""),"",IFERROR(MAX(AA43,0)*AA46,""))</f>
        <v/>
      </c>
      <c r="AB45" s="22">
        <f>IF(OR(AB43="",AB46=""),"",IFERROR(MAX(AB43,0)*AB46,""))</f>
        <v/>
      </c>
      <c r="AC45" s="22">
        <f>IF(OR(AC43="",AC46=""),"",IFERROR(MAX(AC43,0)*AC46,""))</f>
        <v/>
      </c>
    </row>
    <row r="46">
      <c r="A46" s="15" t="inlineStr">
        <is>
          <t>법인세율</t>
        </is>
      </c>
      <c r="B46" s="10" t="inlineStr">
        <is>
          <t>MW 기본 30%</t>
        </is>
      </c>
      <c r="C46" s="16">
        <f>IF(OR(C45="",C43=""),"",IFERROR(C45/C43,""))</f>
        <v/>
      </c>
      <c r="D46" s="17">
        <f>IF(OR(D45="",D43=""),"",IFERROR(D45/D43,""))</f>
        <v/>
      </c>
      <c r="E46" s="17">
        <f>IF(OR(E45="",E43=""),"",IFERROR(E45/E43,""))</f>
        <v/>
      </c>
      <c r="F46" s="17">
        <f>IF(OR(F45="",F43=""),"",IFERROR(F45/F43,""))</f>
        <v/>
      </c>
      <c r="G46" s="17">
        <f>IF(OR(G45="",G43=""),"",IFERROR(G45/G43,""))</f>
        <v/>
      </c>
      <c r="H46" s="17">
        <f>IF(OR(H45="",H43=""),"",IFERROR(H45/H43,""))</f>
        <v/>
      </c>
      <c r="I46" s="17">
        <f>IF(OR(I45="",I43=""),"",IFERROR(I45/I43,""))</f>
        <v/>
      </c>
      <c r="J46" s="17">
        <f>IF(OR(J45="",J43=""),"",IFERROR(J45/J43,""))</f>
        <v/>
      </c>
      <c r="K46" s="17">
        <f>IF(OR(K45="",K43=""),"",IFERROR(K45/K43,""))</f>
        <v/>
      </c>
      <c r="L46" s="17">
        <f>IF(OR(L45="",L43=""),"",IFERROR(L45/L43,""))</f>
        <v/>
      </c>
      <c r="M46" s="17">
        <f>IF(OR(M45="",M43=""),"",IFERROR(M45/M43,""))</f>
        <v/>
      </c>
      <c r="N46" s="17">
        <f>IF(OR(N45="",N43=""),"",IFERROR(N45/N43,""))</f>
        <v/>
      </c>
      <c r="O46" s="16">
        <f>IF(OR(O45="",O43=""),"",IFERROR(O45/O43,""))</f>
        <v/>
      </c>
      <c r="P46" s="17">
        <f>IF(OR(P45="",P43=""),"",IFERROR(P45/P43,""))</f>
        <v/>
      </c>
      <c r="Q46" s="17">
        <f>IF(OR(Q45="",Q43=""),"",IFERROR(Q45/Q43,""))</f>
        <v/>
      </c>
      <c r="R46" s="17">
        <f>IF(OR(R45="",R43=""),"",IFERROR(R45/R43,""))</f>
        <v/>
      </c>
      <c r="S46" s="17">
        <f>IF(OR(S45="",S43=""),"",IFERROR(S45/S43,""))</f>
        <v/>
      </c>
      <c r="T46" s="17">
        <f>IF(OR(T45="",T43=""),"",IFERROR(T45/T43,""))</f>
        <v/>
      </c>
      <c r="U46" s="17">
        <f>IF(OR(U45="",U43=""),"",IFERROR(U45/U43,""))</f>
        <v/>
      </c>
      <c r="V46" s="17">
        <f>IF(OR(V45="",V43=""),"",IFERROR(V45/V43,""))</f>
        <v/>
      </c>
      <c r="W46" s="17">
        <f>IF(OR(W45="",W43=""),"",IFERROR(W45/W43,""))</f>
        <v/>
      </c>
      <c r="X46" s="17">
        <f>IF(OR(X45="",X43=""),"",IFERROR(X45/X43,""))</f>
        <v/>
      </c>
      <c r="Y46" s="27" t="n">
        <v>0.3</v>
      </c>
      <c r="Z46" s="28" t="n">
        <v>0.3</v>
      </c>
      <c r="AA46" s="28" t="n">
        <v>0.3</v>
      </c>
      <c r="AB46" s="28" t="n">
        <v>0.3</v>
      </c>
      <c r="AC46" s="28" t="n">
        <v>0.3</v>
      </c>
    </row>
    <row r="47">
      <c r="A47" s="9" t="inlineStr">
        <is>
          <t>당기순이익(손실)</t>
        </is>
      </c>
      <c r="B47" s="10" t="n"/>
      <c r="C47" s="11" t="n">
        <v>286</v>
      </c>
      <c r="D47" s="12" t="n">
        <v>339</v>
      </c>
      <c r="E47" s="12" t="n">
        <v>363</v>
      </c>
      <c r="F47" s="12" t="n">
        <v>207</v>
      </c>
      <c r="G47" s="12" t="n">
        <v>347</v>
      </c>
      <c r="H47" s="12" t="n">
        <v>350</v>
      </c>
      <c r="I47" s="12" t="n">
        <v>389</v>
      </c>
      <c r="J47" s="12" t="n">
        <v>161</v>
      </c>
      <c r="K47" s="12" t="n">
        <v>311</v>
      </c>
      <c r="L47" s="12" t="n">
        <v>306</v>
      </c>
      <c r="M47" s="12" t="n">
        <v>363</v>
      </c>
      <c r="N47" s="12" t="n">
        <v>149</v>
      </c>
      <c r="O47" s="11" t="n">
        <v>686</v>
      </c>
      <c r="P47" s="12" t="n">
        <v>661</v>
      </c>
      <c r="Q47" s="12" t="n">
        <v>717</v>
      </c>
      <c r="R47" s="12" t="n">
        <v>695</v>
      </c>
      <c r="S47" s="12" t="n">
        <v>937</v>
      </c>
      <c r="T47" s="12" t="n">
        <v>1213</v>
      </c>
      <c r="U47" s="12" t="n">
        <v>1294</v>
      </c>
      <c r="V47" s="12" t="n">
        <v>1184</v>
      </c>
      <c r="W47" s="12" t="n">
        <v>1293</v>
      </c>
      <c r="X47" s="12" t="n">
        <v>1141</v>
      </c>
      <c r="Y47" s="11">
        <f>IF(OR(Y43=""),"",IFERROR(Y43-Y45,""))</f>
        <v/>
      </c>
      <c r="Z47" s="12">
        <f>IF(OR(Z43=""),"",IFERROR(Z43-Z45,""))</f>
        <v/>
      </c>
      <c r="AA47" s="12">
        <f>IF(OR(AA43=""),"",IFERROR(AA43-AA45,""))</f>
        <v/>
      </c>
      <c r="AB47" s="12">
        <f>IF(OR(AB43=""),"",IFERROR(AB43-AB45,""))</f>
        <v/>
      </c>
      <c r="AC47" s="12">
        <f>IF(OR(AC43=""),"",IFERROR(AC43-AC45,""))</f>
        <v/>
      </c>
    </row>
    <row r="48">
      <c r="A48" s="15" t="inlineStr">
        <is>
          <t>YoY</t>
        </is>
      </c>
      <c r="B48" s="10" t="n"/>
      <c r="C48" s="16" t="n"/>
      <c r="D48" s="17" t="n"/>
      <c r="E48" s="17" t="n"/>
      <c r="F48" s="17" t="n"/>
      <c r="G48" s="17">
        <f>IF(OR(G47="",C47=""),"",IF(C47&lt;=0,"",IFERROR(G47/C47-1,"")))</f>
        <v/>
      </c>
      <c r="H48" s="17">
        <f>IF(OR(H47="",D47=""),"",IF(D47&lt;=0,"",IFERROR(H47/D47-1,"")))</f>
        <v/>
      </c>
      <c r="I48" s="17">
        <f>IF(OR(I47="",E47=""),"",IF(E47&lt;=0,"",IFERROR(I47/E47-1,"")))</f>
        <v/>
      </c>
      <c r="J48" s="17">
        <f>IF(OR(J47="",F47=""),"",IF(F47&lt;=0,"",IFERROR(J47/F47-1,"")))</f>
        <v/>
      </c>
      <c r="K48" s="17">
        <f>IF(OR(K47="",G47=""),"",IF(G47&lt;=0,"",IFERROR(K47/G47-1,"")))</f>
        <v/>
      </c>
      <c r="L48" s="17">
        <f>IF(OR(L47="",H47=""),"",IF(H47&lt;=0,"",IFERROR(L47/H47-1,"")))</f>
        <v/>
      </c>
      <c r="M48" s="17">
        <f>IF(OR(M47="",I47=""),"",IF(I47&lt;=0,"",IFERROR(M47/I47-1,"")))</f>
        <v/>
      </c>
      <c r="N48" s="17">
        <f>IF(OR(N47="",J47=""),"",IF(J47&lt;=0,"",IFERROR(N47/J47-1,"")))</f>
        <v/>
      </c>
      <c r="O48" s="16" t="n"/>
      <c r="P48" s="17">
        <f>IF(OR(P47="",O47=""),"",IF(O47&lt;=0,"",IFERROR(P47/O47-1,"")))</f>
        <v/>
      </c>
      <c r="Q48" s="17">
        <f>IF(OR(Q47="",P47=""),"",IF(P47&lt;=0,"",IFERROR(Q47/P47-1,"")))</f>
        <v/>
      </c>
      <c r="R48" s="17">
        <f>IF(OR(R47="",Q47=""),"",IF(Q47&lt;=0,"",IFERROR(R47/Q47-1,"")))</f>
        <v/>
      </c>
      <c r="S48" s="17">
        <f>IF(OR(S47="",R47=""),"",IF(R47&lt;=0,"",IFERROR(S47/R47-1,"")))</f>
        <v/>
      </c>
      <c r="T48" s="17">
        <f>IF(OR(T47="",S47=""),"",IF(S47&lt;=0,"",IFERROR(T47/S47-1,"")))</f>
        <v/>
      </c>
      <c r="U48" s="17">
        <f>IF(OR(U47="",T47=""),"",IF(T47&lt;=0,"",IFERROR(U47/T47-1,"")))</f>
        <v/>
      </c>
      <c r="V48" s="17">
        <f>IF(OR(V47="",U47=""),"",IF(U47&lt;=0,"",IFERROR(V47/U47-1,"")))</f>
        <v/>
      </c>
      <c r="W48" s="17">
        <f>IF(OR(W47="",V47=""),"",IF(V47&lt;=0,"",IFERROR(W47/V47-1,"")))</f>
        <v/>
      </c>
      <c r="X48" s="17">
        <f>IF(OR(X47="",W47=""),"",IF(W47&lt;=0,"",IFERROR(X47/W47-1,"")))</f>
        <v/>
      </c>
      <c r="Y48" s="16">
        <f>IF(OR(Y47="",X47=""),"",IF(X47&lt;=0,"",IFERROR(Y47/X47-1,"")))</f>
        <v/>
      </c>
      <c r="Z48" s="17">
        <f>IF(OR(Z47="",Y47=""),"",IF(Y47&lt;=0,"",IFERROR(Z47/Y47-1,"")))</f>
        <v/>
      </c>
      <c r="AA48" s="17">
        <f>IF(OR(AA47="",Z47=""),"",IF(Z47&lt;=0,"",IFERROR(AA47/Z47-1,"")))</f>
        <v/>
      </c>
      <c r="AB48" s="17">
        <f>IF(OR(AB47="",AA47=""),"",IF(AA47&lt;=0,"",IFERROR(AB47/AA47-1,"")))</f>
        <v/>
      </c>
      <c r="AC48" s="17">
        <f>IF(OR(AC47="",AB47=""),"",IF(AB47&lt;=0,"",IFERROR(AC47/AB47-1,"")))</f>
        <v/>
      </c>
    </row>
    <row r="49">
      <c r="A49" s="9" t="inlineStr">
        <is>
          <t>지배주주 순이익</t>
        </is>
      </c>
      <c r="B49" s="10" t="n"/>
      <c r="C49" s="11" t="n">
        <v>286</v>
      </c>
      <c r="D49" s="12" t="n">
        <v>339</v>
      </c>
      <c r="E49" s="12" t="n">
        <v>363</v>
      </c>
      <c r="F49" s="12" t="n">
        <v>207</v>
      </c>
      <c r="G49" s="12" t="n">
        <v>347</v>
      </c>
      <c r="H49" s="12" t="n">
        <v>350</v>
      </c>
      <c r="I49" s="12" t="n">
        <v>389</v>
      </c>
      <c r="J49" s="12" t="n">
        <v>161</v>
      </c>
      <c r="K49" s="12" t="n">
        <v>311</v>
      </c>
      <c r="L49" s="12" t="n">
        <v>306</v>
      </c>
      <c r="M49" s="12" t="n">
        <v>363</v>
      </c>
      <c r="N49" s="12" t="n">
        <v>149</v>
      </c>
      <c r="O49" s="11" t="n">
        <v>686</v>
      </c>
      <c r="P49" s="12" t="n">
        <v>661</v>
      </c>
      <c r="Q49" s="12" t="n">
        <v>717</v>
      </c>
      <c r="R49" s="12" t="n">
        <v>695</v>
      </c>
      <c r="S49" s="12" t="n">
        <v>937</v>
      </c>
      <c r="T49" s="12" t="n">
        <v>1213</v>
      </c>
      <c r="U49" s="12" t="n">
        <v>1294</v>
      </c>
      <c r="V49" s="12" t="n">
        <v>1184</v>
      </c>
      <c r="W49" s="12" t="n">
        <v>1293</v>
      </c>
      <c r="X49" s="12" t="n">
        <v>1141</v>
      </c>
      <c r="Y49" s="11">
        <f>IF(OR(Y47="",Y50=""),"",IFERROR(Y47*Y50,""))</f>
        <v/>
      </c>
      <c r="Z49" s="12">
        <f>IF(OR(Z47="",Z50=""),"",IFERROR(Z47*Z50,""))</f>
        <v/>
      </c>
      <c r="AA49" s="12">
        <f>IF(OR(AA47="",AA50=""),"",IFERROR(AA47*AA50,""))</f>
        <v/>
      </c>
      <c r="AB49" s="12">
        <f>IF(OR(AB47="",AB50=""),"",IFERROR(AB47*AB50,""))</f>
        <v/>
      </c>
      <c r="AC49" s="12">
        <f>IF(OR(AC47="",AC50=""),"",IFERROR(AC47*AC50,""))</f>
        <v/>
      </c>
    </row>
    <row r="50">
      <c r="A50" s="15" t="inlineStr">
        <is>
          <t>지배주주 순이익률</t>
        </is>
      </c>
      <c r="B50" s="10" t="inlineStr">
        <is>
          <t>MW 기본 100%</t>
        </is>
      </c>
      <c r="C50" s="16">
        <f>IF(OR(C49="",C47=""),"",IFERROR(C49/C47,""))</f>
        <v/>
      </c>
      <c r="D50" s="17">
        <f>IF(OR(D49="",D47=""),"",IFERROR(D49/D47,""))</f>
        <v/>
      </c>
      <c r="E50" s="17">
        <f>IF(OR(E49="",E47=""),"",IFERROR(E49/E47,""))</f>
        <v/>
      </c>
      <c r="F50" s="17">
        <f>IF(OR(F49="",F47=""),"",IFERROR(F49/F47,""))</f>
        <v/>
      </c>
      <c r="G50" s="17">
        <f>IF(OR(G49="",G47=""),"",IFERROR(G49/G47,""))</f>
        <v/>
      </c>
      <c r="H50" s="17">
        <f>IF(OR(H49="",H47=""),"",IFERROR(H49/H47,""))</f>
        <v/>
      </c>
      <c r="I50" s="17">
        <f>IF(OR(I49="",I47=""),"",IFERROR(I49/I47,""))</f>
        <v/>
      </c>
      <c r="J50" s="17">
        <f>IF(OR(J49="",J47=""),"",IFERROR(J49/J47,""))</f>
        <v/>
      </c>
      <c r="K50" s="17">
        <f>IF(OR(K49="",K47=""),"",IFERROR(K49/K47,""))</f>
        <v/>
      </c>
      <c r="L50" s="17">
        <f>IF(OR(L49="",L47=""),"",IFERROR(L49/L47,""))</f>
        <v/>
      </c>
      <c r="M50" s="17">
        <f>IF(OR(M49="",M47=""),"",IFERROR(M49/M47,""))</f>
        <v/>
      </c>
      <c r="N50" s="17">
        <f>IF(OR(N49="",N47=""),"",IFERROR(N49/N47,""))</f>
        <v/>
      </c>
      <c r="O50" s="16">
        <f>IF(OR(O49="",O47=""),"",IFERROR(O49/O47,""))</f>
        <v/>
      </c>
      <c r="P50" s="17">
        <f>IF(OR(P49="",P47=""),"",IFERROR(P49/P47,""))</f>
        <v/>
      </c>
      <c r="Q50" s="17">
        <f>IF(OR(Q49="",Q47=""),"",IFERROR(Q49/Q47,""))</f>
        <v/>
      </c>
      <c r="R50" s="17">
        <f>IF(OR(R49="",R47=""),"",IFERROR(R49/R47,""))</f>
        <v/>
      </c>
      <c r="S50" s="17">
        <f>IF(OR(S49="",S47=""),"",IFERROR(S49/S47,""))</f>
        <v/>
      </c>
      <c r="T50" s="17">
        <f>IF(OR(T49="",T47=""),"",IFERROR(T49/T47,""))</f>
        <v/>
      </c>
      <c r="U50" s="17">
        <f>IF(OR(U49="",U47=""),"",IFERROR(U49/U47,""))</f>
        <v/>
      </c>
      <c r="V50" s="17">
        <f>IF(OR(V49="",V47=""),"",IFERROR(V49/V47,""))</f>
        <v/>
      </c>
      <c r="W50" s="17">
        <f>IF(OR(W49="",W47=""),"",IFERROR(W49/W47,""))</f>
        <v/>
      </c>
      <c r="X50" s="17">
        <f>IF(OR(X49="",X47=""),"",IFERROR(X49/X47,""))</f>
        <v/>
      </c>
      <c r="Y50" s="27" t="n">
        <v>1</v>
      </c>
      <c r="Z50" s="28" t="n">
        <v>1</v>
      </c>
      <c r="AA50" s="28" t="n">
        <v>1</v>
      </c>
      <c r="AB50" s="28" t="n">
        <v>1</v>
      </c>
      <c r="AC50" s="28" t="n">
        <v>1</v>
      </c>
    </row>
    <row r="51">
      <c r="A51" s="15" t="inlineStr">
        <is>
          <t>지배주주 순이익 YoY</t>
        </is>
      </c>
      <c r="B51" s="10" t="n"/>
      <c r="C51" s="16" t="n"/>
      <c r="D51" s="17" t="n"/>
      <c r="E51" s="17" t="n"/>
      <c r="F51" s="17" t="n"/>
      <c r="G51" s="17">
        <f>IF(OR(G49="",C49=""),"",IF(C49&lt;=0,"",IFERROR(G49/C49-1,"")))</f>
        <v/>
      </c>
      <c r="H51" s="17">
        <f>IF(OR(H49="",D49=""),"",IF(D49&lt;=0,"",IFERROR(H49/D49-1,"")))</f>
        <v/>
      </c>
      <c r="I51" s="17">
        <f>IF(OR(I49="",E49=""),"",IF(E49&lt;=0,"",IFERROR(I49/E49-1,"")))</f>
        <v/>
      </c>
      <c r="J51" s="17">
        <f>IF(OR(J49="",F49=""),"",IF(F49&lt;=0,"",IFERROR(J49/F49-1,"")))</f>
        <v/>
      </c>
      <c r="K51" s="17">
        <f>IF(OR(K49="",G49=""),"",IF(G49&lt;=0,"",IFERROR(K49/G49-1,"")))</f>
        <v/>
      </c>
      <c r="L51" s="17">
        <f>IF(OR(L49="",H49=""),"",IF(H49&lt;=0,"",IFERROR(L49/H49-1,"")))</f>
        <v/>
      </c>
      <c r="M51" s="17">
        <f>IF(OR(M49="",I49=""),"",IF(I49&lt;=0,"",IFERROR(M49/I49-1,"")))</f>
        <v/>
      </c>
      <c r="N51" s="17">
        <f>IF(OR(N49="",J49=""),"",IF(J49&lt;=0,"",IFERROR(N49/J49-1,"")))</f>
        <v/>
      </c>
      <c r="O51" s="16" t="n"/>
      <c r="P51" s="17">
        <f>IF(OR(P49="",O49=""),"",IF(O49&lt;=0,"",IFERROR(P49/O49-1,"")))</f>
        <v/>
      </c>
      <c r="Q51" s="17">
        <f>IF(OR(Q49="",P49=""),"",IF(P49&lt;=0,"",IFERROR(Q49/P49-1,"")))</f>
        <v/>
      </c>
      <c r="R51" s="17">
        <f>IF(OR(R49="",Q49=""),"",IF(Q49&lt;=0,"",IFERROR(R49/Q49-1,"")))</f>
        <v/>
      </c>
      <c r="S51" s="17">
        <f>IF(OR(S49="",R49=""),"",IF(R49&lt;=0,"",IFERROR(S49/R49-1,"")))</f>
        <v/>
      </c>
      <c r="T51" s="17">
        <f>IF(OR(T49="",S49=""),"",IF(S49&lt;=0,"",IFERROR(T49/S49-1,"")))</f>
        <v/>
      </c>
      <c r="U51" s="17">
        <f>IF(OR(U49="",T49=""),"",IF(T49&lt;=0,"",IFERROR(U49/T49-1,"")))</f>
        <v/>
      </c>
      <c r="V51" s="17">
        <f>IF(OR(V49="",U49=""),"",IF(U49&lt;=0,"",IFERROR(V49/U49-1,"")))</f>
        <v/>
      </c>
      <c r="W51" s="17">
        <f>IF(OR(W49="",V49=""),"",IF(V49&lt;=0,"",IFERROR(W49/V49-1,"")))</f>
        <v/>
      </c>
      <c r="X51" s="17">
        <f>IF(OR(X49="",W49=""),"",IF(W49&lt;=0,"",IFERROR(X49/W49-1,"")))</f>
        <v/>
      </c>
      <c r="Y51" s="16">
        <f>IF(OR(Y49="",X49=""),"",IF(X49&lt;=0,"",IFERROR(Y49/X49-1,"")))</f>
        <v/>
      </c>
      <c r="Z51" s="17">
        <f>IF(OR(Z49="",Y49=""),"",IF(Y49&lt;=0,"",IFERROR(Z49/Y49-1,"")))</f>
        <v/>
      </c>
      <c r="AA51" s="17">
        <f>IF(OR(AA49="",Z49=""),"",IF(Z49&lt;=0,"",IFERROR(AA49/Z49-1,"")))</f>
        <v/>
      </c>
      <c r="AB51" s="17">
        <f>IF(OR(AB49="",AA49=""),"",IF(AA49&lt;=0,"",IFERROR(AB49/AA49-1,"")))</f>
        <v/>
      </c>
      <c r="AC51" s="17">
        <f>IF(OR(AC49="",AB49=""),"",IF(AB49&lt;=0,"",IFERROR(AC49/AB49-1,"")))</f>
        <v/>
      </c>
    </row>
    <row r="52">
      <c r="A52" s="18" t="inlineStr">
        <is>
          <t>목표주가 산출</t>
        </is>
      </c>
      <c r="B52" s="18" t="n"/>
      <c r="C52" s="19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9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9" t="n"/>
      <c r="Z52" s="18" t="n"/>
      <c r="AA52" s="18" t="n"/>
      <c r="AB52" s="18" t="n"/>
      <c r="AC52" s="18" t="n"/>
    </row>
    <row r="53">
      <c r="A53" s="20" t="inlineStr">
        <is>
          <t>현재 주가 ()</t>
        </is>
      </c>
      <c r="B53" s="29" t="n"/>
      <c r="C53" s="30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0" t="n"/>
      <c r="P53" s="31" t="n"/>
      <c r="Q53" s="31" t="n"/>
      <c r="R53" s="31" t="n"/>
      <c r="S53" s="31" t="n"/>
      <c r="T53" s="31" t="n"/>
      <c r="U53" s="31" t="n"/>
      <c r="V53" s="31" t="n"/>
      <c r="W53" s="31" t="n"/>
      <c r="X53" s="31" t="n"/>
      <c r="Y53" s="30" t="n"/>
      <c r="Z53" s="31" t="n"/>
      <c r="AA53" s="31" t="n"/>
      <c r="AB53" s="31" t="n"/>
      <c r="AC53" s="31" t="n"/>
    </row>
    <row r="54">
      <c r="A54" s="20" t="inlineStr">
        <is>
          <t>발행주식수 (보통주)</t>
        </is>
      </c>
      <c r="B54" s="29" t="n"/>
      <c r="C54" s="30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0" t="n"/>
      <c r="P54" s="31" t="n"/>
      <c r="Q54" s="31" t="n"/>
      <c r="R54" s="31" t="n"/>
      <c r="S54" s="31" t="n"/>
      <c r="T54" s="31" t="n"/>
      <c r="U54" s="31" t="n"/>
      <c r="V54" s="31" t="n"/>
      <c r="W54" s="31" t="n"/>
      <c r="X54" s="31" t="n"/>
      <c r="Y54" s="30" t="n"/>
      <c r="Z54" s="31" t="n"/>
      <c r="AA54" s="31" t="n"/>
      <c r="AB54" s="31" t="n"/>
      <c r="AC54" s="31" t="n"/>
    </row>
    <row r="55">
      <c r="A55" s="20" t="inlineStr">
        <is>
          <t>시가총액 (백만엔)</t>
        </is>
      </c>
      <c r="B55" s="12">
        <f>IF(OR(B53="",B54=""),"",B53*B54/1000000.0)</f>
        <v/>
      </c>
      <c r="C55" s="21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1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1" t="n"/>
      <c r="Z55" s="22" t="n"/>
      <c r="AA55" s="22" t="n"/>
      <c r="AB55" s="22" t="n"/>
      <c r="AC55" s="22" t="n"/>
    </row>
    <row r="56">
      <c r="A56" s="15" t="inlineStr">
        <is>
          <t>OPM</t>
        </is>
      </c>
      <c r="B56" s="10" t="n"/>
      <c r="C56" s="16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6">
        <f>IF(O20="","",O20)</f>
        <v/>
      </c>
      <c r="P56" s="17">
        <f>IF(P20="","",P20)</f>
        <v/>
      </c>
      <c r="Q56" s="17">
        <f>IF(Q20="","",Q20)</f>
        <v/>
      </c>
      <c r="R56" s="17">
        <f>IF(R20="","",R20)</f>
        <v/>
      </c>
      <c r="S56" s="17">
        <f>IF(S20="","",S20)</f>
        <v/>
      </c>
      <c r="T56" s="17">
        <f>IF(T20="","",T20)</f>
        <v/>
      </c>
      <c r="U56" s="17">
        <f>IF(U20="","",U20)</f>
        <v/>
      </c>
      <c r="V56" s="17">
        <f>IF(V20="","",V20)</f>
        <v/>
      </c>
      <c r="W56" s="17">
        <f>IF(W20="","",W20)</f>
        <v/>
      </c>
      <c r="X56" s="17">
        <f>IF(X20="","",X20)</f>
        <v/>
      </c>
      <c r="Y56" s="16">
        <f>IF(Y20="","",Y20)</f>
        <v/>
      </c>
      <c r="Z56" s="17">
        <f>IF(Z20="","",Z20)</f>
        <v/>
      </c>
      <c r="AA56" s="17">
        <f>IF(AA20="","",AA20)</f>
        <v/>
      </c>
      <c r="AB56" s="17">
        <f>IF(AB20="","",AB20)</f>
        <v/>
      </c>
      <c r="AC56" s="17">
        <f>IF(AC20="","",AC20)</f>
        <v/>
      </c>
    </row>
    <row r="57">
      <c r="A57" s="15" t="inlineStr">
        <is>
          <t>지배주주 순이익 증가율</t>
        </is>
      </c>
      <c r="B57" s="10" t="n"/>
      <c r="C57" s="16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6" t="n"/>
      <c r="P57" s="17">
        <f>IF(OR(P49="",O49=""),"",IFERROR(P49/O49-1,""))</f>
        <v/>
      </c>
      <c r="Q57" s="17">
        <f>IF(OR(Q49="",P49=""),"",IFERROR(Q49/P49-1,""))</f>
        <v/>
      </c>
      <c r="R57" s="17">
        <f>IF(OR(R49="",Q49=""),"",IFERROR(R49/Q49-1,""))</f>
        <v/>
      </c>
      <c r="S57" s="17">
        <f>IF(OR(S49="",R49=""),"",IFERROR(S49/R49-1,""))</f>
        <v/>
      </c>
      <c r="T57" s="17">
        <f>IF(OR(T49="",S49=""),"",IFERROR(T49/S49-1,""))</f>
        <v/>
      </c>
      <c r="U57" s="17">
        <f>IF(OR(U49="",T49=""),"",IFERROR(U49/T49-1,""))</f>
        <v/>
      </c>
      <c r="V57" s="17">
        <f>IF(OR(V49="",U49=""),"",IFERROR(V49/U49-1,""))</f>
        <v/>
      </c>
      <c r="W57" s="17">
        <f>IF(OR(W49="",V49=""),"",IFERROR(W49/V49-1,""))</f>
        <v/>
      </c>
      <c r="X57" s="17">
        <f>IF(OR(X49="",W49=""),"",IFERROR(X49/W49-1,""))</f>
        <v/>
      </c>
      <c r="Y57" s="16">
        <f>IF(OR(Y49="",X49=""),"",IFERROR(Y49/X49-1,""))</f>
        <v/>
      </c>
      <c r="Z57" s="17">
        <f>IF(OR(Z49="",Y49=""),"",IFERROR(Z49/Y49-1,""))</f>
        <v/>
      </c>
      <c r="AA57" s="17">
        <f>IF(OR(AA49="",Z49=""),"",IFERROR(AA49/Z49-1,""))</f>
        <v/>
      </c>
      <c r="AB57" s="17">
        <f>IF(OR(AB49="",AA49=""),"",IFERROR(AB49/AA49-1,""))</f>
        <v/>
      </c>
      <c r="AC57" s="17">
        <f>IF(OR(AC49="",AB49=""),"",IFERROR(AC49/AB49-1,""))</f>
        <v/>
      </c>
    </row>
    <row r="58">
      <c r="A58" s="20" t="inlineStr">
        <is>
          <t>P/E (현재 주가)</t>
        </is>
      </c>
      <c r="B58" s="10" t="inlineStr">
        <is>
          <t>시총 ÷ 지배순이익</t>
        </is>
      </c>
      <c r="C58" s="32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2" t="n"/>
      <c r="P58" s="33" t="n"/>
      <c r="Q58" s="33" t="n"/>
      <c r="R58" s="33" t="n"/>
      <c r="S58" s="33" t="n"/>
      <c r="T58" s="33" t="n"/>
      <c r="U58" s="33" t="n"/>
      <c r="V58" s="33" t="n"/>
      <c r="W58" s="33" t="n"/>
      <c r="X58" s="33">
        <f>IF(OR($B$55="",X49=""),"",IFERROR($B$55/X49,""))</f>
        <v/>
      </c>
      <c r="Y58" s="32">
        <f>IF(OR($B$55="",Y49=""),"",IFERROR($B$55/Y49,""))</f>
        <v/>
      </c>
      <c r="Z58" s="33">
        <f>IF(OR($B$55="",Z49=""),"",IFERROR($B$55/Z49,""))</f>
        <v/>
      </c>
      <c r="AA58" s="33">
        <f>IF(OR($B$55="",AA49=""),"",IFERROR($B$55/AA49,""))</f>
        <v/>
      </c>
      <c r="AB58" s="33">
        <f>IF(OR($B$55="",AB49=""),"",IFERROR($B$55/AB49,""))</f>
        <v/>
      </c>
      <c r="AC58" s="33">
        <f>IF(OR($B$55="",AC49=""),"",IFERROR($B$55/AC49,""))</f>
        <v/>
      </c>
    </row>
    <row r="59">
      <c r="A59" s="20" t="inlineStr">
        <is>
          <t>Target P/E</t>
        </is>
      </c>
      <c r="B59" s="10" t="inlineStr">
        <is>
          <t>직접 입력</t>
        </is>
      </c>
      <c r="C59" s="32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2" t="n"/>
      <c r="P59" s="33" t="n"/>
      <c r="Q59" s="33" t="n"/>
      <c r="R59" s="33" t="n"/>
      <c r="S59" s="33" t="n"/>
      <c r="T59" s="33" t="n"/>
      <c r="U59" s="33" t="n"/>
      <c r="V59" s="33" t="n"/>
      <c r="W59" s="33" t="n"/>
      <c r="X59" s="33" t="n"/>
      <c r="Y59" s="34" t="n"/>
      <c r="Z59" s="35" t="n"/>
      <c r="AA59" s="35" t="n"/>
      <c r="AB59" s="35" t="n"/>
      <c r="AC59" s="35" t="n"/>
    </row>
    <row r="60">
      <c r="A60" s="20" t="inlineStr">
        <is>
          <t>EPS</t>
        </is>
      </c>
      <c r="B60" s="10" t="inlineStr">
        <is>
          <t>지배순이익 ÷ 주식수</t>
        </is>
      </c>
      <c r="C60" s="30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0">
        <f>IF(OR(O49="",$B$54=""),"",IFERROR(O49*1000000.0/$B$54,""))</f>
        <v/>
      </c>
      <c r="P60" s="31">
        <f>IF(OR(P49="",$B$54=""),"",IFERROR(P49*1000000.0/$B$54,""))</f>
        <v/>
      </c>
      <c r="Q60" s="31">
        <f>IF(OR(Q49="",$B$54=""),"",IFERROR(Q49*1000000.0/$B$54,""))</f>
        <v/>
      </c>
      <c r="R60" s="31">
        <f>IF(OR(R49="",$B$54=""),"",IFERROR(R49*1000000.0/$B$54,""))</f>
        <v/>
      </c>
      <c r="S60" s="31">
        <f>IF(OR(S49="",$B$54=""),"",IFERROR(S49*1000000.0/$B$54,""))</f>
        <v/>
      </c>
      <c r="T60" s="31">
        <f>IF(OR(T49="",$B$54=""),"",IFERROR(T49*1000000.0/$B$54,""))</f>
        <v/>
      </c>
      <c r="U60" s="31">
        <f>IF(OR(U49="",$B$54=""),"",IFERROR(U49*1000000.0/$B$54,""))</f>
        <v/>
      </c>
      <c r="V60" s="31">
        <f>IF(OR(V49="",$B$54=""),"",IFERROR(V49*1000000.0/$B$54,""))</f>
        <v/>
      </c>
      <c r="W60" s="31">
        <f>IF(OR(W49="",$B$54=""),"",IFERROR(W49*1000000.0/$B$54,""))</f>
        <v/>
      </c>
      <c r="X60" s="31">
        <f>IF(OR(X49="",$B$54=""),"",IFERROR(X49*1000000.0/$B$54,""))</f>
        <v/>
      </c>
      <c r="Y60" s="30">
        <f>IF(OR(Y49="",$B$54=""),"",IFERROR(Y49*1000000.0/$B$54,""))</f>
        <v/>
      </c>
      <c r="Z60" s="31">
        <f>IF(OR(Z49="",$B$54=""),"",IFERROR(Z49*1000000.0/$B$54,""))</f>
        <v/>
      </c>
      <c r="AA60" s="31">
        <f>IF(OR(AA49="",$B$54=""),"",IFERROR(AA49*1000000.0/$B$54,""))</f>
        <v/>
      </c>
      <c r="AB60" s="31">
        <f>IF(OR(AB49="",$B$54=""),"",IFERROR(AB49*1000000.0/$B$54,""))</f>
        <v/>
      </c>
      <c r="AC60" s="31">
        <f>IF(OR(AC49="",$B$54=""),"",IFERROR(AC49*1000000.0/$B$54,""))</f>
        <v/>
      </c>
    </row>
    <row r="61">
      <c r="A61" s="9" t="inlineStr">
        <is>
          <t>목표주가</t>
        </is>
      </c>
      <c r="B61" s="10" t="n"/>
      <c r="C61" s="36" t="n"/>
      <c r="D61" s="29" t="n"/>
      <c r="E61" s="29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36" t="n"/>
      <c r="P61" s="29" t="n"/>
      <c r="Q61" s="29" t="n"/>
      <c r="R61" s="29" t="n"/>
      <c r="S61" s="29" t="n"/>
      <c r="T61" s="29" t="n"/>
      <c r="U61" s="29" t="n"/>
      <c r="V61" s="29" t="n"/>
      <c r="W61" s="29" t="n"/>
      <c r="X61" s="29" t="n"/>
      <c r="Y61" s="36">
        <f>IF(OR(Y60="",Y59=""),"",IFERROR(Y60*Y59,""))</f>
        <v/>
      </c>
      <c r="Z61" s="29">
        <f>IF(OR(Z60="",Z59=""),"",IFERROR(Z60*Z59,""))</f>
        <v/>
      </c>
      <c r="AA61" s="29">
        <f>IF(OR(AA60="",AA59=""),"",IFERROR(AA60*AA59,""))</f>
        <v/>
      </c>
      <c r="AB61" s="29">
        <f>IF(OR(AB60="",AB59=""),"",IFERROR(AB60*AB59,""))</f>
        <v/>
      </c>
      <c r="AC61" s="29">
        <f>IF(OR(AC60="",AC59=""),"",IFERROR(AC60*AC59,""))</f>
        <v/>
      </c>
    </row>
    <row r="62">
      <c r="A62" s="20" t="inlineStr">
        <is>
          <t>상승여력</t>
        </is>
      </c>
      <c r="B62" s="10" t="n"/>
      <c r="C62" s="37" t="n"/>
      <c r="D62" s="38" t="n"/>
      <c r="E62" s="38" t="n"/>
      <c r="F62" s="38" t="n"/>
      <c r="G62" s="38" t="n"/>
      <c r="H62" s="38" t="n"/>
      <c r="I62" s="38" t="n"/>
      <c r="J62" s="38" t="n"/>
      <c r="K62" s="38" t="n"/>
      <c r="L62" s="38" t="n"/>
      <c r="M62" s="38" t="n"/>
      <c r="N62" s="38" t="n"/>
      <c r="O62" s="37" t="n"/>
      <c r="P62" s="38" t="n"/>
      <c r="Q62" s="38" t="n"/>
      <c r="R62" s="38" t="n"/>
      <c r="S62" s="38" t="n"/>
      <c r="T62" s="38" t="n"/>
      <c r="U62" s="38" t="n"/>
      <c r="V62" s="38" t="n"/>
      <c r="W62" s="38" t="n"/>
      <c r="X62" s="38" t="n"/>
      <c r="Y62" s="39">
        <f>IF(OR(Y61="",$B$53=""),"",IFERROR(Y61/$B$53-1,""))</f>
        <v/>
      </c>
      <c r="Z62" s="40">
        <f>IF(OR(Z61="",$B$53=""),"",IFERROR(Z61/$B$53-1,""))</f>
        <v/>
      </c>
      <c r="AA62" s="40">
        <f>IF(OR(AA61="",$B$53=""),"",IFERROR(AA61/$B$53-1,""))</f>
        <v/>
      </c>
      <c r="AB62" s="40">
        <f>IF(OR(AB61="",$B$53=""),"",IFERROR(AB61/$B$53-1,""))</f>
        <v/>
      </c>
      <c r="AC62" s="40">
        <f>IF(OR(AC61="",$B$53=""),"",IFERROR(AC61/$B$53-1,""))</f>
        <v/>
      </c>
    </row>
    <row r="63">
      <c r="A63" s="18" t="inlineStr">
        <is>
          <t>자산가치 산출</t>
        </is>
      </c>
      <c r="B63" s="18" t="inlineStr">
        <is>
          <t>최신 분기 BS</t>
        </is>
      </c>
      <c r="C63" s="19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9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9" t="n"/>
      <c r="Z63" s="18" t="n"/>
      <c r="AA63" s="18" t="n"/>
      <c r="AB63" s="18" t="n"/>
      <c r="AC63" s="18" t="n"/>
    </row>
    <row r="64">
      <c r="A64" s="20" t="inlineStr">
        <is>
          <t>현금및현금성자산</t>
        </is>
      </c>
      <c r="B64" s="10" t="n"/>
      <c r="C64" s="21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1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>
        <f>'재무상태표'!G6</f>
        <v/>
      </c>
      <c r="Y64" s="21">
        <f>'재무상태표'!G6</f>
        <v/>
      </c>
      <c r="Z64" s="22">
        <f>'재무상태표'!G6</f>
        <v/>
      </c>
      <c r="AA64" s="22">
        <f>'재무상태표'!G6</f>
        <v/>
      </c>
      <c r="AB64" s="22">
        <f>'재무상태표'!G6</f>
        <v/>
      </c>
      <c r="AC64" s="22">
        <f>'재무상태표'!G6</f>
        <v/>
      </c>
    </row>
    <row r="65">
      <c r="A65" s="20" t="inlineStr">
        <is>
          <t>단기금융상품</t>
        </is>
      </c>
      <c r="B65" s="10" t="n"/>
      <c r="C65" s="21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1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>
        <f>'재무상태표'!G7</f>
        <v/>
      </c>
      <c r="Y65" s="21">
        <f>'재무상태표'!G7</f>
        <v/>
      </c>
      <c r="Z65" s="22">
        <f>'재무상태표'!G7</f>
        <v/>
      </c>
      <c r="AA65" s="22">
        <f>'재무상태표'!G7</f>
        <v/>
      </c>
      <c r="AB65" s="22">
        <f>'재무상태표'!G7</f>
        <v/>
      </c>
      <c r="AC65" s="22">
        <f>'재무상태표'!G7</f>
        <v/>
      </c>
    </row>
    <row r="66">
      <c r="A66" s="20" t="inlineStr">
        <is>
          <t>투자부동산</t>
        </is>
      </c>
      <c r="B66" s="10" t="n"/>
      <c r="C66" s="21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1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>
        <f>'재무상태표'!G14</f>
        <v/>
      </c>
      <c r="Y66" s="21">
        <f>'재무상태표'!G14</f>
        <v/>
      </c>
      <c r="Z66" s="22">
        <f>'재무상태표'!G14</f>
        <v/>
      </c>
      <c r="AA66" s="22">
        <f>'재무상태표'!G14</f>
        <v/>
      </c>
      <c r="AB66" s="22">
        <f>'재무상태표'!G14</f>
        <v/>
      </c>
      <c r="AC66" s="22">
        <f>'재무상태표'!G14</f>
        <v/>
      </c>
    </row>
    <row r="67">
      <c r="A67" s="20" t="inlineStr">
        <is>
          <t>지배자본</t>
        </is>
      </c>
      <c r="B67" s="10" t="n"/>
      <c r="C67" s="21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1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>
        <f>'재무상태표'!G31</f>
        <v/>
      </c>
      <c r="Y67" s="21">
        <f>'재무상태표'!G31</f>
        <v/>
      </c>
      <c r="Z67" s="22">
        <f>'재무상태표'!G31</f>
        <v/>
      </c>
      <c r="AA67" s="22">
        <f>'재무상태표'!G31</f>
        <v/>
      </c>
      <c r="AB67" s="22">
        <f>'재무상태표'!G31</f>
        <v/>
      </c>
      <c r="AC67" s="22">
        <f>'재무상태표'!G31</f>
        <v/>
      </c>
    </row>
    <row r="68">
      <c r="A68" s="20" t="inlineStr">
        <is>
          <t>부채</t>
        </is>
      </c>
      <c r="B68" s="10" t="n"/>
      <c r="C68" s="21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1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>
        <f>'재무상태표'!G27</f>
        <v/>
      </c>
      <c r="Y68" s="21">
        <f>'재무상태표'!G27</f>
        <v/>
      </c>
      <c r="Z68" s="22">
        <f>'재무상태표'!G27</f>
        <v/>
      </c>
      <c r="AA68" s="22">
        <f>'재무상태표'!G27</f>
        <v/>
      </c>
      <c r="AB68" s="22">
        <f>'재무상태표'!G27</f>
        <v/>
      </c>
      <c r="AC68" s="22">
        <f>'재무상태표'!G27</f>
        <v/>
      </c>
    </row>
    <row r="69">
      <c r="A69" s="15" t="inlineStr">
        <is>
          <t>부채비율</t>
        </is>
      </c>
      <c r="B69" s="10" t="n"/>
      <c r="C69" s="16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6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>
        <f>IF(OR(X68="",X67=""),"",IFERROR(X68/X67,""))</f>
        <v/>
      </c>
      <c r="Y69" s="16">
        <f>IF(OR(Y68="",Y67=""),"",IFERROR(Y68/Y67,""))</f>
        <v/>
      </c>
      <c r="Z69" s="17">
        <f>IF(OR(Z68="",Z67=""),"",IFERROR(Z68/Z67,""))</f>
        <v/>
      </c>
      <c r="AA69" s="17">
        <f>IF(OR(AA68="",AA67=""),"",IFERROR(AA68/AA67,""))</f>
        <v/>
      </c>
      <c r="AB69" s="17">
        <f>IF(OR(AB68="",AB67=""),"",IFERROR(AB68/AB67,""))</f>
        <v/>
      </c>
      <c r="AC69" s="17">
        <f>IF(OR(AC68="",AC67=""),"",IFERROR(AC68/AC67,""))</f>
        <v/>
      </c>
    </row>
    <row r="70">
      <c r="A70" s="9" t="inlineStr">
        <is>
          <t>자산가치</t>
        </is>
      </c>
      <c r="B70" s="10" t="inlineStr">
        <is>
          <t>현금+단기금융+투자부동산</t>
        </is>
      </c>
      <c r="C70" s="11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1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>
        <f>SUM(X64,X65,X66)</f>
        <v/>
      </c>
      <c r="Y70" s="11">
        <f>SUM(Y64,Y65,Y66)</f>
        <v/>
      </c>
      <c r="Z70" s="12">
        <f>SUM(Z64,Z65,Z66)</f>
        <v/>
      </c>
      <c r="AA70" s="12">
        <f>SUM(AA64,AA65,AA66)</f>
        <v/>
      </c>
      <c r="AB70" s="12">
        <f>SUM(AB64,AB65,AB66)</f>
        <v/>
      </c>
      <c r="AC70" s="12">
        <f>SUM(AC64,AC65,AC66)</f>
        <v/>
      </c>
    </row>
    <row r="71">
      <c r="A71" s="18" t="inlineStr">
        <is>
          <t>기업가치 산출</t>
        </is>
      </c>
      <c r="B71" s="18" t="n"/>
      <c r="C71" s="19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9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9" t="n"/>
      <c r="Z71" s="18" t="n"/>
      <c r="AA71" s="18" t="n"/>
      <c r="AB71" s="18" t="n"/>
      <c r="AC71" s="18" t="n"/>
    </row>
    <row r="72">
      <c r="A72" s="20" t="inlineStr">
        <is>
          <t>목표 시가총액 (P/E)</t>
        </is>
      </c>
      <c r="B72" s="10" t="inlineStr">
        <is>
          <t>지배순이익 × Target P/E</t>
        </is>
      </c>
      <c r="C72" s="21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1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1">
        <f>IF(OR(Y49="",Y59=""),"",IFERROR(Y49*Y59,""))</f>
        <v/>
      </c>
      <c r="Z72" s="22">
        <f>IF(OR(Z49="",Z59=""),"",IFERROR(Z49*Z59,""))</f>
        <v/>
      </c>
      <c r="AA72" s="22">
        <f>IF(OR(AA49="",AA59=""),"",IFERROR(AA49*AA59,""))</f>
        <v/>
      </c>
      <c r="AB72" s="22">
        <f>IF(OR(AB49="",AB59=""),"",IFERROR(AB49*AB59,""))</f>
        <v/>
      </c>
      <c r="AC72" s="22">
        <f>IF(OR(AC49="",AC59=""),"",IFERROR(AC49*AC59,""))</f>
        <v/>
      </c>
    </row>
    <row r="73">
      <c r="A73" s="9" t="inlineStr">
        <is>
          <t>기업가치</t>
        </is>
      </c>
      <c r="B73" s="10" t="inlineStr">
        <is>
          <t>목표시총 + 자산가치</t>
        </is>
      </c>
      <c r="C73" s="11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1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1">
        <f>IF(OR(Y72=""),"",IFERROR(Y72+Y70,""))</f>
        <v/>
      </c>
      <c r="Z73" s="12">
        <f>IF(OR(Z72=""),"",IFERROR(Z72+Z70,""))</f>
        <v/>
      </c>
      <c r="AA73" s="12">
        <f>IF(OR(AA72=""),"",IFERROR(AA72+AA70,""))</f>
        <v/>
      </c>
      <c r="AB73" s="12">
        <f>IF(OR(AB72=""),"",IFERROR(AB72+AB70,""))</f>
        <v/>
      </c>
      <c r="AC73" s="12">
        <f>IF(OR(AC72=""),"",IFERROR(AC72+AC70,""))</f>
        <v/>
      </c>
    </row>
    <row r="74">
      <c r="A74" s="20" t="inlineStr">
        <is>
          <t>현재 시가총액</t>
        </is>
      </c>
      <c r="B74" s="10" t="n"/>
      <c r="C74" s="21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1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1">
        <f>$B$55</f>
        <v/>
      </c>
      <c r="Z74" s="22">
        <f>$B$55</f>
        <v/>
      </c>
      <c r="AA74" s="22">
        <f>$B$55</f>
        <v/>
      </c>
      <c r="AB74" s="22">
        <f>$B$55</f>
        <v/>
      </c>
      <c r="AC74" s="22">
        <f>$B$55</f>
        <v/>
      </c>
    </row>
    <row r="75">
      <c r="A75" s="20" t="inlineStr">
        <is>
          <t>상승여력</t>
        </is>
      </c>
      <c r="B75" s="10" t="n"/>
      <c r="C75" s="37" t="n"/>
      <c r="D75" s="38" t="n"/>
      <c r="E75" s="38" t="n"/>
      <c r="F75" s="38" t="n"/>
      <c r="G75" s="38" t="n"/>
      <c r="H75" s="38" t="n"/>
      <c r="I75" s="38" t="n"/>
      <c r="J75" s="38" t="n"/>
      <c r="K75" s="38" t="n"/>
      <c r="L75" s="38" t="n"/>
      <c r="M75" s="38" t="n"/>
      <c r="N75" s="38" t="n"/>
      <c r="O75" s="37" t="n"/>
      <c r="P75" s="38" t="n"/>
      <c r="Q75" s="38" t="n"/>
      <c r="R75" s="38" t="n"/>
      <c r="S75" s="38" t="n"/>
      <c r="T75" s="38" t="n"/>
      <c r="U75" s="38" t="n"/>
      <c r="V75" s="38" t="n"/>
      <c r="W75" s="38" t="n"/>
      <c r="X75" s="38" t="n"/>
      <c r="Y75" s="39">
        <f>IF(OR(Y73="",Y74=""),"",IFERROR(Y73/Y74-1,""))</f>
        <v/>
      </c>
      <c r="Z75" s="40">
        <f>IF(OR(Z73="",Z74=""),"",IFERROR(Z73/Z74-1,""))</f>
        <v/>
      </c>
      <c r="AA75" s="40">
        <f>IF(OR(AA73="",AA74=""),"",IFERROR(AA73/AA74-1,""))</f>
        <v/>
      </c>
      <c r="AB75" s="40">
        <f>IF(OR(AB73="",AB74=""),"",IFERROR(AB73/AB74-1,""))</f>
        <v/>
      </c>
      <c r="AC75" s="40">
        <f>IF(OR(AC73="",AC74=""),"",IFERROR(AC73/AC74-1,""))</f>
        <v/>
      </c>
    </row>
    <row r="76">
      <c r="C76" s="41" t="n"/>
      <c r="O76" s="41" t="n"/>
      <c r="Y76" s="41" t="n"/>
    </row>
    <row r="77">
      <c r="A77" s="42" t="inlineStr">
        <is>
          <t>출처</t>
        </is>
      </c>
      <c r="C77" s="41" t="n"/>
      <c r="O77" s="41" t="n"/>
      <c r="Y77" s="41" t="n"/>
    </row>
    <row r="78">
      <c r="A78" s="43" t="inlineStr">
        <is>
          <t>결산단신 XBRL(TDnet·JPX 보관소) — 쓴 문서는 '출처' 시트</t>
        </is>
      </c>
      <c r="C78" s="41" t="n"/>
      <c r="O78" s="41" t="n"/>
      <c r="Y78" s="41" t="n"/>
    </row>
    <row r="79">
      <c r="A79" s="43" t="inlineStr">
        <is>
          <t>분기 = 누계에서 앞 분기를 뺀 3개월 값</t>
        </is>
      </c>
      <c r="C79" s="41" t="n"/>
      <c r="O79" s="41" t="n"/>
      <c r="Y79" s="41" t="n"/>
    </row>
    <row r="80">
      <c r="A80" s="43" t="inlineStr">
        <is>
          <t>주가: 야후 파이낸스 일봉</t>
        </is>
      </c>
      <c r="C80" s="41" t="n"/>
      <c r="O80" s="41" t="n"/>
      <c r="Y80" s="41" t="n"/>
    </row>
    <row r="82">
      <c r="A82" s="18" t="inlineStr">
        <is>
          <t>손익계산서 · 전 항목</t>
        </is>
      </c>
      <c r="B82" s="44" t="inlineStr">
        <is>
          <t>분기 = 3개월 단독</t>
        </is>
      </c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</row>
    <row r="83">
      <c r="A83" s="5" t="inlineStr">
        <is>
          <t>항목</t>
        </is>
      </c>
      <c r="B83" s="5" t="inlineStr">
        <is>
          <t>참고</t>
        </is>
      </c>
      <c r="C83" s="5" t="inlineStr">
        <is>
          <t>2024.2Q</t>
        </is>
      </c>
      <c r="D83" s="5" t="inlineStr">
        <is>
          <t>2024.3Q</t>
        </is>
      </c>
      <c r="E83" s="5" t="inlineStr">
        <is>
          <t>2024.4Q</t>
        </is>
      </c>
      <c r="F83" s="5" t="inlineStr">
        <is>
          <t>2025.1Q</t>
        </is>
      </c>
      <c r="G83" s="5" t="inlineStr">
        <is>
          <t>2025.2Q</t>
        </is>
      </c>
      <c r="H83" s="5" t="inlineStr">
        <is>
          <t>2025.3Q</t>
        </is>
      </c>
      <c r="I83" s="5" t="inlineStr">
        <is>
          <t>2025.4Q</t>
        </is>
      </c>
      <c r="J83" s="5" t="inlineStr">
        <is>
          <t>2026.1Q</t>
        </is>
      </c>
      <c r="K83" s="5" t="inlineStr">
        <is>
          <t>2026.2Q</t>
        </is>
      </c>
      <c r="L83" s="5" t="inlineStr">
        <is>
          <t>2026.3Q</t>
        </is>
      </c>
      <c r="M83" s="5" t="inlineStr">
        <is>
          <t>2026.4Q</t>
        </is>
      </c>
      <c r="N83" s="5" t="inlineStr">
        <is>
          <t>2027.1Q</t>
        </is>
      </c>
      <c r="O83" s="5" t="inlineStr">
        <is>
          <t>2017</t>
        </is>
      </c>
      <c r="P83" s="5" t="inlineStr">
        <is>
          <t>2018</t>
        </is>
      </c>
      <c r="Q83" s="5" t="inlineStr">
        <is>
          <t>2019</t>
        </is>
      </c>
      <c r="R83" s="5" t="inlineStr">
        <is>
          <t>2020</t>
        </is>
      </c>
      <c r="S83" s="5" t="inlineStr">
        <is>
          <t>2021</t>
        </is>
      </c>
      <c r="T83" s="5" t="inlineStr">
        <is>
          <t>2022</t>
        </is>
      </c>
      <c r="U83" s="5" t="inlineStr">
        <is>
          <t>2023</t>
        </is>
      </c>
      <c r="V83" s="5" t="inlineStr">
        <is>
          <t>2024</t>
        </is>
      </c>
      <c r="W83" s="5" t="inlineStr">
        <is>
          <t>2025</t>
        </is>
      </c>
      <c r="X83" s="5" t="inlineStr">
        <is>
          <t>2026</t>
        </is>
      </c>
      <c r="Y83" s="5" t="inlineStr">
        <is>
          <t>2027(MW)</t>
        </is>
      </c>
      <c r="Z83" s="5" t="inlineStr">
        <is>
          <t>2028(MW)</t>
        </is>
      </c>
      <c r="AA83" s="5" t="inlineStr">
        <is>
          <t>2029(MW)</t>
        </is>
      </c>
      <c r="AB83" s="5" t="inlineStr">
        <is>
          <t>2030(MW)</t>
        </is>
      </c>
      <c r="AC83" s="5" t="inlineStr">
        <is>
          <t>2031(MW)</t>
        </is>
      </c>
    </row>
    <row r="84">
      <c r="A84" s="9" t="inlineStr">
        <is>
          <t>매출액</t>
        </is>
      </c>
      <c r="C84" s="12" t="n">
        <v>4333</v>
      </c>
      <c r="D84" s="12" t="n">
        <v>4336</v>
      </c>
      <c r="E84" s="12" t="n">
        <v>4353</v>
      </c>
      <c r="F84" s="12" t="n">
        <v>4327</v>
      </c>
      <c r="G84" s="12" t="n">
        <v>4489</v>
      </c>
      <c r="H84" s="12" t="n">
        <v>4510</v>
      </c>
      <c r="I84" s="12" t="n">
        <v>4740</v>
      </c>
      <c r="J84" s="12" t="n">
        <v>4454</v>
      </c>
      <c r="K84" s="12" t="n">
        <v>4495</v>
      </c>
      <c r="L84" s="12" t="n">
        <v>4522</v>
      </c>
      <c r="M84" s="12" t="n">
        <v>4745</v>
      </c>
      <c r="N84" s="12" t="n">
        <v>5124</v>
      </c>
      <c r="T84" s="12" t="n">
        <v>4482</v>
      </c>
      <c r="U84" s="12" t="n">
        <v>4306</v>
      </c>
      <c r="V84" s="12" t="n">
        <v>4353</v>
      </c>
      <c r="W84" s="12" t="n">
        <v>4740</v>
      </c>
      <c r="X84" s="12" t="n">
        <v>4745</v>
      </c>
    </row>
    <row r="85">
      <c r="A85" s="45" t="inlineStr">
        <is>
          <t>YoY</t>
        </is>
      </c>
      <c r="B85" s="3" t="inlineStr">
        <is>
          <t>전년 같은 분기·전년 대비</t>
        </is>
      </c>
      <c r="G85" s="17">
        <f>IF(OR(G84="",C84=""),"",IF(C84&lt;=0,"",IFERROR(G84/C84-1,"")))</f>
        <v/>
      </c>
      <c r="H85" s="17">
        <f>IF(OR(H84="",D84=""),"",IF(D84&lt;=0,"",IFERROR(H84/D84-1,"")))</f>
        <v/>
      </c>
      <c r="I85" s="17">
        <f>IF(OR(I84="",E84=""),"",IF(E84&lt;=0,"",IFERROR(I84/E84-1,"")))</f>
        <v/>
      </c>
      <c r="J85" s="17">
        <f>IF(OR(J84="",F84=""),"",IF(F84&lt;=0,"",IFERROR(J84/F84-1,"")))</f>
        <v/>
      </c>
      <c r="K85" s="17">
        <f>IF(OR(K84="",G84=""),"",IF(G84&lt;=0,"",IFERROR(K84/G84-1,"")))</f>
        <v/>
      </c>
      <c r="L85" s="17">
        <f>IF(OR(L84="",H84=""),"",IF(H84&lt;=0,"",IFERROR(L84/H84-1,"")))</f>
        <v/>
      </c>
      <c r="M85" s="17">
        <f>IF(OR(M84="",I84=""),"",IF(I84&lt;=0,"",IFERROR(M84/I84-1,"")))</f>
        <v/>
      </c>
      <c r="N85" s="17">
        <f>IF(OR(N84="",J84=""),"",IF(J84&lt;=0,"",IFERROR(N84/J84-1,"")))</f>
        <v/>
      </c>
      <c r="T85" s="17">
        <f>IF(OR(T84="",S84=""),"",IF(S84&lt;=0,"",IFERROR(T84/S84-1,"")))</f>
        <v/>
      </c>
      <c r="U85" s="17">
        <f>IF(OR(U84="",T84=""),"",IF(T84&lt;=0,"",IFERROR(U84/T84-1,"")))</f>
        <v/>
      </c>
      <c r="V85" s="17">
        <f>IF(OR(V84="",U84=""),"",IF(U84&lt;=0,"",IFERROR(V84/U84-1,"")))</f>
        <v/>
      </c>
      <c r="W85" s="17">
        <f>IF(OR(W84="",V84=""),"",IF(V84&lt;=0,"",IFERROR(W84/V84-1,"")))</f>
        <v/>
      </c>
      <c r="X85" s="17">
        <f>IF(OR(X84="",W84=""),"",IF(W84&lt;=0,"",IFERROR(X84/W84-1,"")))</f>
        <v/>
      </c>
    </row>
    <row r="86">
      <c r="A86" s="20" t="inlineStr">
        <is>
          <t>매출원가</t>
        </is>
      </c>
      <c r="C86" s="22" t="n">
        <v>3504</v>
      </c>
      <c r="D86" s="22" t="n">
        <v>3449</v>
      </c>
      <c r="E86" s="22" t="n">
        <v>3418</v>
      </c>
      <c r="F86" s="22" t="n">
        <v>3413</v>
      </c>
      <c r="G86" s="22" t="n">
        <v>3598</v>
      </c>
      <c r="H86" s="22" t="n">
        <v>3596</v>
      </c>
      <c r="I86" s="22" t="n">
        <v>3816</v>
      </c>
      <c r="J86" s="22" t="n">
        <v>3573</v>
      </c>
      <c r="K86" s="22" t="n">
        <v>3642</v>
      </c>
      <c r="L86" s="22" t="n">
        <v>3660</v>
      </c>
      <c r="M86" s="22" t="n">
        <v>3809</v>
      </c>
      <c r="N86" s="22" t="n">
        <v>4074</v>
      </c>
      <c r="T86" s="22" t="n">
        <v>3672</v>
      </c>
      <c r="U86" s="22" t="n">
        <v>3424</v>
      </c>
      <c r="V86" s="22" t="n">
        <v>3418</v>
      </c>
      <c r="W86" s="22" t="n">
        <v>3816</v>
      </c>
      <c r="X86" s="22" t="n">
        <v>3809</v>
      </c>
    </row>
    <row r="87">
      <c r="A87" s="45" t="inlineStr">
        <is>
          <t>YoY</t>
        </is>
      </c>
      <c r="B87" s="3" t="inlineStr">
        <is>
          <t>전년 같은 분기·전년 대비</t>
        </is>
      </c>
      <c r="G87" s="17">
        <f>IF(OR(G86="",C86=""),"",IF(G86*C86&lt;=0,"",IFERROR(G86/C86-1,"")))</f>
        <v/>
      </c>
      <c r="H87" s="17">
        <f>IF(OR(H86="",D86=""),"",IF(H86*D86&lt;=0,"",IFERROR(H86/D86-1,"")))</f>
        <v/>
      </c>
      <c r="I87" s="17">
        <f>IF(OR(I86="",E86=""),"",IF(I86*E86&lt;=0,"",IFERROR(I86/E86-1,"")))</f>
        <v/>
      </c>
      <c r="J87" s="17">
        <f>IF(OR(J86="",F86=""),"",IF(J86*F86&lt;=0,"",IFERROR(J86/F86-1,"")))</f>
        <v/>
      </c>
      <c r="K87" s="17">
        <f>IF(OR(K86="",G86=""),"",IF(K86*G86&lt;=0,"",IFERROR(K86/G86-1,"")))</f>
        <v/>
      </c>
      <c r="L87" s="17">
        <f>IF(OR(L86="",H86=""),"",IF(L86*H86&lt;=0,"",IFERROR(L86/H86-1,"")))</f>
        <v/>
      </c>
      <c r="M87" s="17">
        <f>IF(OR(M86="",I86=""),"",IF(M86*I86&lt;=0,"",IFERROR(M86/I86-1,"")))</f>
        <v/>
      </c>
      <c r="N87" s="17">
        <f>IF(OR(N86="",J86=""),"",IF(N86*J86&lt;=0,"",IFERROR(N86/J86-1,"")))</f>
        <v/>
      </c>
      <c r="T87" s="17">
        <f>IF(OR(T86="",S86=""),"",IF(T86*S86&lt;=0,"",IFERROR(T86/S86-1,"")))</f>
        <v/>
      </c>
      <c r="U87" s="17">
        <f>IF(OR(U86="",T86=""),"",IF(U86*T86&lt;=0,"",IFERROR(U86/T86-1,"")))</f>
        <v/>
      </c>
      <c r="V87" s="17">
        <f>IF(OR(V86="",U86=""),"",IF(V86*U86&lt;=0,"",IFERROR(V86/U86-1,"")))</f>
        <v/>
      </c>
      <c r="W87" s="17">
        <f>IF(OR(W86="",V86=""),"",IF(W86*V86&lt;=0,"",IFERROR(W86/V86-1,"")))</f>
        <v/>
      </c>
      <c r="X87" s="17">
        <f>IF(OR(X86="",W86=""),"",IF(X86*W86&lt;=0,"",IFERROR(X86/W86-1,"")))</f>
        <v/>
      </c>
    </row>
    <row r="88">
      <c r="A88" s="9" t="inlineStr">
        <is>
          <t>매출총이익</t>
        </is>
      </c>
      <c r="C88" s="12" t="n">
        <v>828</v>
      </c>
      <c r="D88" s="12" t="n">
        <v>888</v>
      </c>
      <c r="E88" s="12" t="n">
        <v>934</v>
      </c>
      <c r="F88" s="12" t="n">
        <v>915</v>
      </c>
      <c r="G88" s="12" t="n">
        <v>890</v>
      </c>
      <c r="H88" s="12" t="n">
        <v>915</v>
      </c>
      <c r="I88" s="12" t="n">
        <v>923</v>
      </c>
      <c r="J88" s="12" t="n">
        <v>881</v>
      </c>
      <c r="K88" s="12" t="n">
        <v>852</v>
      </c>
      <c r="L88" s="12" t="n">
        <v>863</v>
      </c>
      <c r="M88" s="12" t="n">
        <v>936</v>
      </c>
      <c r="N88" s="12" t="n">
        <v>1049</v>
      </c>
      <c r="T88" s="12" t="n">
        <v>809</v>
      </c>
      <c r="U88" s="12" t="n">
        <v>881</v>
      </c>
      <c r="V88" s="12" t="n">
        <v>934</v>
      </c>
      <c r="W88" s="12" t="n">
        <v>923</v>
      </c>
      <c r="X88" s="12" t="n">
        <v>936</v>
      </c>
    </row>
    <row r="89">
      <c r="A89" s="45" t="inlineStr">
        <is>
          <t>YoY</t>
        </is>
      </c>
      <c r="B89" s="3" t="inlineStr">
        <is>
          <t>전년 같은 분기·전년 대비</t>
        </is>
      </c>
      <c r="G89" s="17">
        <f>IF(OR(G88="",C88=""),"",IF(C88&lt;=0,"",IFERROR(G88/C88-1,"")))</f>
        <v/>
      </c>
      <c r="H89" s="17">
        <f>IF(OR(H88="",D88=""),"",IF(D88&lt;=0,"",IFERROR(H88/D88-1,"")))</f>
        <v/>
      </c>
      <c r="I89" s="17">
        <f>IF(OR(I88="",E88=""),"",IF(E88&lt;=0,"",IFERROR(I88/E88-1,"")))</f>
        <v/>
      </c>
      <c r="J89" s="17">
        <f>IF(OR(J88="",F88=""),"",IF(F88&lt;=0,"",IFERROR(J88/F88-1,"")))</f>
        <v/>
      </c>
      <c r="K89" s="17">
        <f>IF(OR(K88="",G88=""),"",IF(G88&lt;=0,"",IFERROR(K88/G88-1,"")))</f>
        <v/>
      </c>
      <c r="L89" s="17">
        <f>IF(OR(L88="",H88=""),"",IF(H88&lt;=0,"",IFERROR(L88/H88-1,"")))</f>
        <v/>
      </c>
      <c r="M89" s="17">
        <f>IF(OR(M88="",I88=""),"",IF(I88&lt;=0,"",IFERROR(M88/I88-1,"")))</f>
        <v/>
      </c>
      <c r="N89" s="17">
        <f>IF(OR(N88="",J88=""),"",IF(J88&lt;=0,"",IFERROR(N88/J88-1,"")))</f>
        <v/>
      </c>
      <c r="T89" s="17">
        <f>IF(OR(T88="",S88=""),"",IF(S88&lt;=0,"",IFERROR(T88/S88-1,"")))</f>
        <v/>
      </c>
      <c r="U89" s="17">
        <f>IF(OR(U88="",T88=""),"",IF(T88&lt;=0,"",IFERROR(U88/T88-1,"")))</f>
        <v/>
      </c>
      <c r="V89" s="17">
        <f>IF(OR(V88="",U88=""),"",IF(U88&lt;=0,"",IFERROR(V88/U88-1,"")))</f>
        <v/>
      </c>
      <c r="W89" s="17">
        <f>IF(OR(W88="",V88=""),"",IF(V88&lt;=0,"",IFERROR(W88/V88-1,"")))</f>
        <v/>
      </c>
      <c r="X89" s="17">
        <f>IF(OR(X88="",W88=""),"",IF(W88&lt;=0,"",IFERROR(X88/W88-1,"")))</f>
        <v/>
      </c>
    </row>
    <row r="90">
      <c r="A90" s="20" t="inlineStr">
        <is>
          <t>판매비와 관리비</t>
        </is>
      </c>
      <c r="C90" s="22" t="n">
        <v>410</v>
      </c>
      <c r="D90" s="22" t="n">
        <v>394</v>
      </c>
      <c r="E90" s="22" t="n">
        <v>412</v>
      </c>
      <c r="F90" s="22" t="n">
        <v>614</v>
      </c>
      <c r="G90" s="22" t="n">
        <v>388</v>
      </c>
      <c r="H90" s="22" t="n">
        <v>406</v>
      </c>
      <c r="I90" s="22" t="n">
        <v>429</v>
      </c>
      <c r="J90" s="22" t="n">
        <v>646</v>
      </c>
      <c r="K90" s="22" t="n">
        <v>406</v>
      </c>
      <c r="L90" s="22" t="n">
        <v>417</v>
      </c>
      <c r="M90" s="22" t="n">
        <v>501</v>
      </c>
      <c r="N90" s="22" t="n">
        <v>817</v>
      </c>
      <c r="T90" s="22" t="n">
        <v>407</v>
      </c>
      <c r="U90" s="22" t="n">
        <v>404</v>
      </c>
      <c r="V90" s="22" t="n">
        <v>412</v>
      </c>
      <c r="W90" s="22" t="n">
        <v>429</v>
      </c>
      <c r="X90" s="22" t="n">
        <v>501</v>
      </c>
    </row>
    <row r="91">
      <c r="A91" s="45" t="inlineStr">
        <is>
          <t>YoY</t>
        </is>
      </c>
      <c r="B91" s="3" t="inlineStr">
        <is>
          <t>전년 같은 분기·전년 대비</t>
        </is>
      </c>
      <c r="G91" s="17">
        <f>IF(OR(G90="",C90=""),"",IF(G90*C90&lt;=0,"",IFERROR(G90/C90-1,"")))</f>
        <v/>
      </c>
      <c r="H91" s="17">
        <f>IF(OR(H90="",D90=""),"",IF(H90*D90&lt;=0,"",IFERROR(H90/D90-1,"")))</f>
        <v/>
      </c>
      <c r="I91" s="17">
        <f>IF(OR(I90="",E90=""),"",IF(I90*E90&lt;=0,"",IFERROR(I90/E90-1,"")))</f>
        <v/>
      </c>
      <c r="J91" s="17">
        <f>IF(OR(J90="",F90=""),"",IF(J90*F90&lt;=0,"",IFERROR(J90/F90-1,"")))</f>
        <v/>
      </c>
      <c r="K91" s="17">
        <f>IF(OR(K90="",G90=""),"",IF(K90*G90&lt;=0,"",IFERROR(K90/G90-1,"")))</f>
        <v/>
      </c>
      <c r="L91" s="17">
        <f>IF(OR(L90="",H90=""),"",IF(L90*H90&lt;=0,"",IFERROR(L90/H90-1,"")))</f>
        <v/>
      </c>
      <c r="M91" s="17">
        <f>IF(OR(M90="",I90=""),"",IF(M90*I90&lt;=0,"",IFERROR(M90/I90-1,"")))</f>
        <v/>
      </c>
      <c r="N91" s="17">
        <f>IF(OR(N90="",J90=""),"",IF(N90*J90&lt;=0,"",IFERROR(N90/J90-1,"")))</f>
        <v/>
      </c>
      <c r="T91" s="17">
        <f>IF(OR(T90="",S90=""),"",IF(T90*S90&lt;=0,"",IFERROR(T90/S90-1,"")))</f>
        <v/>
      </c>
      <c r="U91" s="17">
        <f>IF(OR(U90="",T90=""),"",IF(U90*T90&lt;=0,"",IFERROR(U90/T90-1,"")))</f>
        <v/>
      </c>
      <c r="V91" s="17">
        <f>IF(OR(V90="",U90=""),"",IF(V90*U90&lt;=0,"",IFERROR(V90/U90-1,"")))</f>
        <v/>
      </c>
      <c r="W91" s="17">
        <f>IF(OR(W90="",V90=""),"",IF(W90*V90&lt;=0,"",IFERROR(W90/V90-1,"")))</f>
        <v/>
      </c>
      <c r="X91" s="17">
        <f>IF(OR(X90="",W90=""),"",IF(X90*W90&lt;=0,"",IFERROR(X90/W90-1,"")))</f>
        <v/>
      </c>
    </row>
    <row r="92">
      <c r="A92" s="9" t="inlineStr">
        <is>
          <t>영업이익</t>
        </is>
      </c>
      <c r="C92" s="12" t="n">
        <v>418</v>
      </c>
      <c r="D92" s="12" t="n">
        <v>494</v>
      </c>
      <c r="E92" s="12" t="n">
        <v>522</v>
      </c>
      <c r="F92" s="12" t="n">
        <v>301</v>
      </c>
      <c r="G92" s="12" t="n">
        <v>503</v>
      </c>
      <c r="H92" s="12" t="n">
        <v>507</v>
      </c>
      <c r="I92" s="12" t="n">
        <v>496</v>
      </c>
      <c r="J92" s="12" t="n">
        <v>235</v>
      </c>
      <c r="K92" s="12" t="n">
        <v>447</v>
      </c>
      <c r="L92" s="12" t="n">
        <v>445</v>
      </c>
      <c r="M92" s="12" t="n">
        <v>435</v>
      </c>
      <c r="N92" s="12" t="n">
        <v>232</v>
      </c>
      <c r="T92" s="12" t="n">
        <v>402</v>
      </c>
      <c r="U92" s="12" t="n">
        <v>477</v>
      </c>
      <c r="V92" s="12" t="n">
        <v>522</v>
      </c>
      <c r="W92" s="12" t="n">
        <v>496</v>
      </c>
      <c r="X92" s="12" t="n">
        <v>435</v>
      </c>
    </row>
    <row r="93">
      <c r="A93" s="45" t="inlineStr">
        <is>
          <t>OPM</t>
        </is>
      </c>
      <c r="B93" s="3" t="inlineStr">
        <is>
          <t>영업이익 ÷ 매출</t>
        </is>
      </c>
      <c r="C93" s="17">
        <f>IF(OR(C92="",C84=""),"",IF(C84&lt;=0,"",IFERROR(C92/C84,"")))</f>
        <v/>
      </c>
      <c r="D93" s="17">
        <f>IF(OR(D92="",D84=""),"",IF(D84&lt;=0,"",IFERROR(D92/D84,"")))</f>
        <v/>
      </c>
      <c r="E93" s="17">
        <f>IF(OR(E92="",E84=""),"",IF(E84&lt;=0,"",IFERROR(E92/E84,"")))</f>
        <v/>
      </c>
      <c r="F93" s="17">
        <f>IF(OR(F92="",F84=""),"",IF(F84&lt;=0,"",IFERROR(F92/F84,"")))</f>
        <v/>
      </c>
      <c r="G93" s="17">
        <f>IF(OR(G92="",G84=""),"",IF(G84&lt;=0,"",IFERROR(G92/G84,"")))</f>
        <v/>
      </c>
      <c r="H93" s="17">
        <f>IF(OR(H92="",H84=""),"",IF(H84&lt;=0,"",IFERROR(H92/H84,"")))</f>
        <v/>
      </c>
      <c r="I93" s="17">
        <f>IF(OR(I92="",I84=""),"",IF(I84&lt;=0,"",IFERROR(I92/I84,"")))</f>
        <v/>
      </c>
      <c r="J93" s="17">
        <f>IF(OR(J92="",J84=""),"",IF(J84&lt;=0,"",IFERROR(J92/J84,"")))</f>
        <v/>
      </c>
      <c r="K93" s="17">
        <f>IF(OR(K92="",K84=""),"",IF(K84&lt;=0,"",IFERROR(K92/K84,"")))</f>
        <v/>
      </c>
      <c r="L93" s="17">
        <f>IF(OR(L92="",L84=""),"",IF(L84&lt;=0,"",IFERROR(L92/L84,"")))</f>
        <v/>
      </c>
      <c r="M93" s="17">
        <f>IF(OR(M92="",M84=""),"",IF(M84&lt;=0,"",IFERROR(M92/M84,"")))</f>
        <v/>
      </c>
      <c r="N93" s="17">
        <f>IF(OR(N92="",N84=""),"",IF(N84&lt;=0,"",IFERROR(N92/N84,"")))</f>
        <v/>
      </c>
      <c r="T93" s="17">
        <f>IF(OR(T92="",T84=""),"",IF(T84&lt;=0,"",IFERROR(T92/T84,"")))</f>
        <v/>
      </c>
      <c r="U93" s="17">
        <f>IF(OR(U92="",U84=""),"",IF(U84&lt;=0,"",IFERROR(U92/U84,"")))</f>
        <v/>
      </c>
      <c r="V93" s="17">
        <f>IF(OR(V92="",V84=""),"",IF(V84&lt;=0,"",IFERROR(V92/V84,"")))</f>
        <v/>
      </c>
      <c r="W93" s="17">
        <f>IF(OR(W92="",W84=""),"",IF(W84&lt;=0,"",IFERROR(W92/W84,"")))</f>
        <v/>
      </c>
      <c r="X93" s="17">
        <f>IF(OR(X92="",X84=""),"",IF(X84&lt;=0,"",IFERROR(X92/X84,"")))</f>
        <v/>
      </c>
    </row>
    <row r="94">
      <c r="A94" s="45" t="inlineStr">
        <is>
          <t>YoY</t>
        </is>
      </c>
      <c r="B94" s="3" t="inlineStr">
        <is>
          <t>전년 같은 분기·전년 대비</t>
        </is>
      </c>
      <c r="G94" s="17">
        <f>IF(OR(G92="",C92=""),"",IF(C92&lt;=0,"",IFERROR(G92/C92-1,"")))</f>
        <v/>
      </c>
      <c r="H94" s="17">
        <f>IF(OR(H92="",D92=""),"",IF(D92&lt;=0,"",IFERROR(H92/D92-1,"")))</f>
        <v/>
      </c>
      <c r="I94" s="17">
        <f>IF(OR(I92="",E92=""),"",IF(E92&lt;=0,"",IFERROR(I92/E92-1,"")))</f>
        <v/>
      </c>
      <c r="J94" s="17">
        <f>IF(OR(J92="",F92=""),"",IF(F92&lt;=0,"",IFERROR(J92/F92-1,"")))</f>
        <v/>
      </c>
      <c r="K94" s="17">
        <f>IF(OR(K92="",G92=""),"",IF(G92&lt;=0,"",IFERROR(K92/G92-1,"")))</f>
        <v/>
      </c>
      <c r="L94" s="17">
        <f>IF(OR(L92="",H92=""),"",IF(H92&lt;=0,"",IFERROR(L92/H92-1,"")))</f>
        <v/>
      </c>
      <c r="M94" s="17">
        <f>IF(OR(M92="",I92=""),"",IF(I92&lt;=0,"",IFERROR(M92/I92-1,"")))</f>
        <v/>
      </c>
      <c r="N94" s="17">
        <f>IF(OR(N92="",J92=""),"",IF(J92&lt;=0,"",IFERROR(N92/J92-1,"")))</f>
        <v/>
      </c>
      <c r="T94" s="17">
        <f>IF(OR(T92="",S92=""),"",IF(S92&lt;=0,"",IFERROR(T92/S92-1,"")))</f>
        <v/>
      </c>
      <c r="U94" s="17">
        <f>IF(OR(U92="",T92=""),"",IF(T92&lt;=0,"",IFERROR(U92/T92-1,"")))</f>
        <v/>
      </c>
      <c r="V94" s="17">
        <f>IF(OR(V92="",U92=""),"",IF(U92&lt;=0,"",IFERROR(V92/U92-1,"")))</f>
        <v/>
      </c>
      <c r="W94" s="17">
        <f>IF(OR(W92="",V92=""),"",IF(V92&lt;=0,"",IFERROR(W92/V92-1,"")))</f>
        <v/>
      </c>
      <c r="X94" s="17">
        <f>IF(OR(X92="",W92=""),"",IF(W92&lt;=0,"",IFERROR(X92/W92-1,"")))</f>
        <v/>
      </c>
    </row>
    <row r="95">
      <c r="A95" s="20" t="inlineStr">
        <is>
          <t>보조금 수입</t>
        </is>
      </c>
      <c r="H95" s="22" t="n">
        <v>0</v>
      </c>
      <c r="I95" s="22" t="n">
        <v>0</v>
      </c>
      <c r="L95" s="22" t="n">
        <v>0</v>
      </c>
      <c r="M95" s="22" t="n">
        <v>0</v>
      </c>
      <c r="W95" s="22" t="n">
        <v>0</v>
      </c>
      <c r="X95" s="22" t="n">
        <v>0</v>
      </c>
    </row>
    <row r="96">
      <c r="A96" s="20" t="inlineStr">
        <is>
          <t>잡이익</t>
        </is>
      </c>
      <c r="C96" s="22" t="n">
        <v>2</v>
      </c>
      <c r="D96" s="22" t="n">
        <v>3</v>
      </c>
      <c r="E96" s="22" t="n">
        <v>7</v>
      </c>
      <c r="F96" s="22" t="n">
        <v>2</v>
      </c>
      <c r="G96" s="22" t="n">
        <v>5</v>
      </c>
      <c r="H96" s="22" t="n">
        <v>6</v>
      </c>
      <c r="I96" s="22" t="n">
        <v>2</v>
      </c>
      <c r="J96" s="22" t="n">
        <v>2</v>
      </c>
      <c r="K96" s="22" t="n">
        <v>5</v>
      </c>
      <c r="L96" s="22" t="n">
        <v>5</v>
      </c>
      <c r="M96" s="22" t="n">
        <v>3</v>
      </c>
      <c r="N96" s="22" t="n">
        <v>2</v>
      </c>
      <c r="T96" s="22" t="n">
        <v>5</v>
      </c>
      <c r="U96" s="22" t="n">
        <v>2</v>
      </c>
      <c r="V96" s="22" t="n">
        <v>7</v>
      </c>
      <c r="W96" s="22" t="n">
        <v>2</v>
      </c>
      <c r="X96" s="22" t="n">
        <v>3</v>
      </c>
    </row>
    <row r="97">
      <c r="A97" s="20" t="inlineStr">
        <is>
          <t>영업외수익 합계</t>
        </is>
      </c>
      <c r="C97" s="22" t="n">
        <v>2</v>
      </c>
      <c r="D97" s="22" t="n">
        <v>3</v>
      </c>
      <c r="E97" s="22" t="n">
        <v>7</v>
      </c>
      <c r="F97" s="22" t="n">
        <v>2</v>
      </c>
      <c r="G97" s="22" t="n">
        <v>5</v>
      </c>
      <c r="H97" s="22" t="n">
        <v>6</v>
      </c>
      <c r="I97" s="22" t="n">
        <v>2</v>
      </c>
      <c r="J97" s="22" t="n">
        <v>2</v>
      </c>
      <c r="K97" s="22" t="n">
        <v>15</v>
      </c>
      <c r="L97" s="22" t="n">
        <v>5</v>
      </c>
      <c r="M97" s="22" t="n">
        <v>3</v>
      </c>
      <c r="N97" s="22" t="n">
        <v>2</v>
      </c>
      <c r="T97" s="22" t="n">
        <v>2</v>
      </c>
      <c r="U97" s="22" t="n">
        <v>2</v>
      </c>
      <c r="V97" s="22" t="n">
        <v>7</v>
      </c>
      <c r="W97" s="22" t="n">
        <v>2</v>
      </c>
      <c r="X97" s="22" t="n">
        <v>3</v>
      </c>
    </row>
    <row r="98">
      <c r="A98" s="45" t="inlineStr">
        <is>
          <t>YoY</t>
        </is>
      </c>
      <c r="B98" s="3" t="inlineStr">
        <is>
          <t>전년 같은 분기·전년 대비</t>
        </is>
      </c>
      <c r="G98" s="17">
        <f>IF(OR(G97="",C97=""),"",IF(G97*C97&lt;=0,"",IFERROR(G97/C97-1,"")))</f>
        <v/>
      </c>
      <c r="H98" s="17">
        <f>IF(OR(H97="",D97=""),"",IF(H97*D97&lt;=0,"",IFERROR(H97/D97-1,"")))</f>
        <v/>
      </c>
      <c r="I98" s="17">
        <f>IF(OR(I97="",E97=""),"",IF(I97*E97&lt;=0,"",IFERROR(I97/E97-1,"")))</f>
        <v/>
      </c>
      <c r="J98" s="17">
        <f>IF(OR(J97="",F97=""),"",IF(J97*F97&lt;=0,"",IFERROR(J97/F97-1,"")))</f>
        <v/>
      </c>
      <c r="K98" s="17">
        <f>IF(OR(K97="",G97=""),"",IF(K97*G97&lt;=0,"",IFERROR(K97/G97-1,"")))</f>
        <v/>
      </c>
      <c r="L98" s="17">
        <f>IF(OR(L97="",H97=""),"",IF(L97*H97&lt;=0,"",IFERROR(L97/H97-1,"")))</f>
        <v/>
      </c>
      <c r="M98" s="17">
        <f>IF(OR(M97="",I97=""),"",IF(M97*I97&lt;=0,"",IFERROR(M97/I97-1,"")))</f>
        <v/>
      </c>
      <c r="N98" s="17">
        <f>IF(OR(N97="",J97=""),"",IF(N97*J97&lt;=0,"",IFERROR(N97/J97-1,"")))</f>
        <v/>
      </c>
      <c r="T98" s="17">
        <f>IF(OR(T97="",S97=""),"",IF(T97*S97&lt;=0,"",IFERROR(T97/S97-1,"")))</f>
        <v/>
      </c>
      <c r="U98" s="17">
        <f>IF(OR(U97="",T97=""),"",IF(U97*T97&lt;=0,"",IFERROR(U97/T97-1,"")))</f>
        <v/>
      </c>
      <c r="V98" s="17">
        <f>IF(OR(V97="",U97=""),"",IF(V97*U97&lt;=0,"",IFERROR(V97/U97-1,"")))</f>
        <v/>
      </c>
      <c r="W98" s="17">
        <f>IF(OR(W97="",V97=""),"",IF(W97*V97&lt;=0,"",IFERROR(W97/V97-1,"")))</f>
        <v/>
      </c>
      <c r="X98" s="17">
        <f>IF(OR(X97="",W97=""),"",IF(X97*W97&lt;=0,"",IFERROR(X97/W97-1,"")))</f>
        <v/>
      </c>
    </row>
    <row r="99">
      <c r="A99" s="20" t="inlineStr">
        <is>
          <t>잡손실</t>
        </is>
      </c>
      <c r="C99" s="22" t="n">
        <v>2</v>
      </c>
      <c r="D99" s="22" t="n">
        <v>0</v>
      </c>
      <c r="E99" s="22" t="n">
        <v>0</v>
      </c>
      <c r="F99" s="22" t="n">
        <v>0</v>
      </c>
      <c r="G99" s="22" t="n">
        <v>0</v>
      </c>
      <c r="H99" s="22" t="n">
        <v>0</v>
      </c>
      <c r="I99" s="22" t="n">
        <v>0</v>
      </c>
      <c r="J99" s="22" t="n">
        <v>0</v>
      </c>
      <c r="K99" s="22" t="n">
        <v>1</v>
      </c>
      <c r="L99" s="22" t="n">
        <v>0</v>
      </c>
      <c r="M99" s="22" t="n">
        <v>4</v>
      </c>
      <c r="N99" s="22" t="n">
        <v>0</v>
      </c>
      <c r="T99" s="22" t="n">
        <v>1</v>
      </c>
      <c r="U99" s="22" t="n">
        <v>0</v>
      </c>
      <c r="V99" s="22" t="n">
        <v>0</v>
      </c>
      <c r="W99" s="22" t="n">
        <v>0</v>
      </c>
      <c r="X99" s="22" t="n">
        <v>4</v>
      </c>
    </row>
    <row r="100">
      <c r="A100" s="20" t="inlineStr">
        <is>
          <t>영업외비용 합계</t>
        </is>
      </c>
      <c r="C100" s="22" t="n">
        <v>2</v>
      </c>
      <c r="D100" s="22" t="n">
        <v>0</v>
      </c>
      <c r="E100" s="22" t="n">
        <v>0</v>
      </c>
      <c r="F100" s="22" t="n">
        <v>0</v>
      </c>
      <c r="G100" s="22" t="n">
        <v>0</v>
      </c>
      <c r="H100" s="22" t="n">
        <v>0</v>
      </c>
      <c r="I100" s="22" t="n">
        <v>0</v>
      </c>
      <c r="J100" s="22" t="n">
        <v>0</v>
      </c>
      <c r="K100" s="22" t="n">
        <v>1</v>
      </c>
      <c r="L100" s="22" t="n">
        <v>0</v>
      </c>
      <c r="M100" s="22" t="n">
        <v>4</v>
      </c>
      <c r="N100" s="22" t="n">
        <v>0</v>
      </c>
      <c r="T100" s="22" t="n">
        <v>1</v>
      </c>
      <c r="U100" s="22" t="n">
        <v>0</v>
      </c>
      <c r="V100" s="22" t="n">
        <v>0</v>
      </c>
      <c r="W100" s="22" t="n">
        <v>0</v>
      </c>
      <c r="X100" s="22" t="n">
        <v>4</v>
      </c>
    </row>
    <row r="101">
      <c r="A101" s="45" t="inlineStr">
        <is>
          <t>YoY</t>
        </is>
      </c>
      <c r="B101" s="3" t="inlineStr">
        <is>
          <t>전년 같은 분기·전년 대비</t>
        </is>
      </c>
      <c r="G101" s="17">
        <f>IF(OR(G100="",C100=""),"",IF(G100*C100&lt;=0,"",IFERROR(G100/C100-1,"")))</f>
        <v/>
      </c>
      <c r="H101" s="17">
        <f>IF(OR(H100="",D100=""),"",IF(H100*D100&lt;=0,"",IFERROR(H100/D100-1,"")))</f>
        <v/>
      </c>
      <c r="I101" s="17">
        <f>IF(OR(I100="",E100=""),"",IF(I100*E100&lt;=0,"",IFERROR(I100/E100-1,"")))</f>
        <v/>
      </c>
      <c r="J101" s="17">
        <f>IF(OR(J100="",F100=""),"",IF(J100*F100&lt;=0,"",IFERROR(J100/F100-1,"")))</f>
        <v/>
      </c>
      <c r="K101" s="17">
        <f>IF(OR(K100="",G100=""),"",IF(K100*G100&lt;=0,"",IFERROR(K100/G100-1,"")))</f>
        <v/>
      </c>
      <c r="L101" s="17">
        <f>IF(OR(L100="",H100=""),"",IF(L100*H100&lt;=0,"",IFERROR(L100/H100-1,"")))</f>
        <v/>
      </c>
      <c r="M101" s="17">
        <f>IF(OR(M100="",I100=""),"",IF(M100*I100&lt;=0,"",IFERROR(M100/I100-1,"")))</f>
        <v/>
      </c>
      <c r="N101" s="17">
        <f>IF(OR(N100="",J100=""),"",IF(N100*J100&lt;=0,"",IFERROR(N100/J100-1,"")))</f>
        <v/>
      </c>
      <c r="T101" s="17">
        <f>IF(OR(T100="",S100=""),"",IF(T100*S100&lt;=0,"",IFERROR(T100/S100-1,"")))</f>
        <v/>
      </c>
      <c r="U101" s="17">
        <f>IF(OR(U100="",T100=""),"",IF(U100*T100&lt;=0,"",IFERROR(U100/T100-1,"")))</f>
        <v/>
      </c>
      <c r="V101" s="17">
        <f>IF(OR(V100="",U100=""),"",IF(V100*U100&lt;=0,"",IFERROR(V100/U100-1,"")))</f>
        <v/>
      </c>
      <c r="W101" s="17">
        <f>IF(OR(W100="",V100=""),"",IF(W100*V100&lt;=0,"",IFERROR(W100/V100-1,"")))</f>
        <v/>
      </c>
      <c r="X101" s="17">
        <f>IF(OR(X100="",W100=""),"",IF(X100*W100&lt;=0,"",IFERROR(X100/W100-1,"")))</f>
        <v/>
      </c>
    </row>
    <row r="102">
      <c r="A102" s="9" t="inlineStr">
        <is>
          <t>경상이익</t>
        </is>
      </c>
      <c r="C102" s="12" t="n">
        <v>418</v>
      </c>
      <c r="D102" s="12" t="n">
        <v>497</v>
      </c>
      <c r="E102" s="12" t="n">
        <v>528</v>
      </c>
      <c r="F102" s="12" t="n">
        <v>303</v>
      </c>
      <c r="G102" s="12" t="n">
        <v>508</v>
      </c>
      <c r="H102" s="12" t="n">
        <v>513</v>
      </c>
      <c r="I102" s="12" t="n">
        <v>497</v>
      </c>
      <c r="J102" s="12" t="n">
        <v>237</v>
      </c>
      <c r="K102" s="12" t="n">
        <v>460</v>
      </c>
      <c r="L102" s="12" t="n">
        <v>451</v>
      </c>
      <c r="M102" s="12" t="n">
        <v>435</v>
      </c>
      <c r="N102" s="12" t="n">
        <v>234</v>
      </c>
      <c r="T102" s="12" t="n">
        <v>403</v>
      </c>
      <c r="U102" s="12" t="n">
        <v>479</v>
      </c>
      <c r="V102" s="12" t="n">
        <v>528</v>
      </c>
      <c r="W102" s="12" t="n">
        <v>497</v>
      </c>
      <c r="X102" s="12" t="n">
        <v>435</v>
      </c>
    </row>
    <row r="103">
      <c r="A103" s="45" t="inlineStr">
        <is>
          <t>YoY</t>
        </is>
      </c>
      <c r="B103" s="3" t="inlineStr">
        <is>
          <t>전년 같은 분기·전년 대비</t>
        </is>
      </c>
      <c r="G103" s="17">
        <f>IF(OR(G102="",C102=""),"",IF(C102&lt;=0,"",IFERROR(G102/C102-1,"")))</f>
        <v/>
      </c>
      <c r="H103" s="17">
        <f>IF(OR(H102="",D102=""),"",IF(D102&lt;=0,"",IFERROR(H102/D102-1,"")))</f>
        <v/>
      </c>
      <c r="I103" s="17">
        <f>IF(OR(I102="",E102=""),"",IF(E102&lt;=0,"",IFERROR(I102/E102-1,"")))</f>
        <v/>
      </c>
      <c r="J103" s="17">
        <f>IF(OR(J102="",F102=""),"",IF(F102&lt;=0,"",IFERROR(J102/F102-1,"")))</f>
        <v/>
      </c>
      <c r="K103" s="17">
        <f>IF(OR(K102="",G102=""),"",IF(G102&lt;=0,"",IFERROR(K102/G102-1,"")))</f>
        <v/>
      </c>
      <c r="L103" s="17">
        <f>IF(OR(L102="",H102=""),"",IF(H102&lt;=0,"",IFERROR(L102/H102-1,"")))</f>
        <v/>
      </c>
      <c r="M103" s="17">
        <f>IF(OR(M102="",I102=""),"",IF(I102&lt;=0,"",IFERROR(M102/I102-1,"")))</f>
        <v/>
      </c>
      <c r="N103" s="17">
        <f>IF(OR(N102="",J102=""),"",IF(J102&lt;=0,"",IFERROR(N102/J102-1,"")))</f>
        <v/>
      </c>
      <c r="T103" s="17">
        <f>IF(OR(T102="",S102=""),"",IF(S102&lt;=0,"",IFERROR(T102/S102-1,"")))</f>
        <v/>
      </c>
      <c r="U103" s="17">
        <f>IF(OR(U102="",T102=""),"",IF(T102&lt;=0,"",IFERROR(U102/T102-1,"")))</f>
        <v/>
      </c>
      <c r="V103" s="17">
        <f>IF(OR(V102="",U102=""),"",IF(U102&lt;=0,"",IFERROR(V102/U102-1,"")))</f>
        <v/>
      </c>
      <c r="W103" s="17">
        <f>IF(OR(W102="",V102=""),"",IF(V102&lt;=0,"",IFERROR(W102/V102-1,"")))</f>
        <v/>
      </c>
      <c r="X103" s="17">
        <f>IF(OR(X102="",W102=""),"",IF(W102&lt;=0,"",IFERROR(X102/W102-1,"")))</f>
        <v/>
      </c>
    </row>
    <row r="104">
      <c r="A104" s="9" t="inlineStr">
        <is>
          <t>법인세차감전 순이익</t>
        </is>
      </c>
      <c r="C104" s="12" t="n">
        <v>418</v>
      </c>
      <c r="D104" s="12" t="n">
        <v>497</v>
      </c>
      <c r="E104" s="12" t="n">
        <v>528</v>
      </c>
      <c r="F104" s="12" t="n">
        <v>303</v>
      </c>
      <c r="G104" s="12" t="n">
        <v>508</v>
      </c>
      <c r="H104" s="12" t="n">
        <v>513</v>
      </c>
      <c r="I104" s="12" t="n">
        <v>497</v>
      </c>
      <c r="J104" s="12" t="n">
        <v>237</v>
      </c>
      <c r="K104" s="12" t="n">
        <v>460</v>
      </c>
      <c r="L104" s="12" t="n">
        <v>451</v>
      </c>
      <c r="M104" s="12" t="n">
        <v>435</v>
      </c>
      <c r="N104" s="12" t="n">
        <v>234</v>
      </c>
      <c r="T104" s="12" t="n">
        <v>403</v>
      </c>
      <c r="U104" s="12" t="n">
        <v>479</v>
      </c>
      <c r="V104" s="12" t="n">
        <v>528</v>
      </c>
      <c r="W104" s="12" t="n">
        <v>497</v>
      </c>
      <c r="X104" s="12" t="n">
        <v>435</v>
      </c>
    </row>
    <row r="105">
      <c r="A105" s="45" t="inlineStr">
        <is>
          <t>YoY</t>
        </is>
      </c>
      <c r="B105" s="3" t="inlineStr">
        <is>
          <t>전년 같은 분기·전년 대비</t>
        </is>
      </c>
      <c r="G105" s="17">
        <f>IF(OR(G104="",C104=""),"",IF(C104&lt;=0,"",IFERROR(G104/C104-1,"")))</f>
        <v/>
      </c>
      <c r="H105" s="17">
        <f>IF(OR(H104="",D104=""),"",IF(D104&lt;=0,"",IFERROR(H104/D104-1,"")))</f>
        <v/>
      </c>
      <c r="I105" s="17">
        <f>IF(OR(I104="",E104=""),"",IF(E104&lt;=0,"",IFERROR(I104/E104-1,"")))</f>
        <v/>
      </c>
      <c r="J105" s="17">
        <f>IF(OR(J104="",F104=""),"",IF(F104&lt;=0,"",IFERROR(J104/F104-1,"")))</f>
        <v/>
      </c>
      <c r="K105" s="17">
        <f>IF(OR(K104="",G104=""),"",IF(G104&lt;=0,"",IFERROR(K104/G104-1,"")))</f>
        <v/>
      </c>
      <c r="L105" s="17">
        <f>IF(OR(L104="",H104=""),"",IF(H104&lt;=0,"",IFERROR(L104/H104-1,"")))</f>
        <v/>
      </c>
      <c r="M105" s="17">
        <f>IF(OR(M104="",I104=""),"",IF(I104&lt;=0,"",IFERROR(M104/I104-1,"")))</f>
        <v/>
      </c>
      <c r="N105" s="17">
        <f>IF(OR(N104="",J104=""),"",IF(J104&lt;=0,"",IFERROR(N104/J104-1,"")))</f>
        <v/>
      </c>
      <c r="T105" s="17">
        <f>IF(OR(T104="",S104=""),"",IF(S104&lt;=0,"",IFERROR(T104/S104-1,"")))</f>
        <v/>
      </c>
      <c r="U105" s="17">
        <f>IF(OR(U104="",T104=""),"",IF(T104&lt;=0,"",IFERROR(U104/T104-1,"")))</f>
        <v/>
      </c>
      <c r="V105" s="17">
        <f>IF(OR(V104="",U104=""),"",IF(U104&lt;=0,"",IFERROR(V104/U104-1,"")))</f>
        <v/>
      </c>
      <c r="W105" s="17">
        <f>IF(OR(W104="",V104=""),"",IF(V104&lt;=0,"",IFERROR(W104/V104-1,"")))</f>
        <v/>
      </c>
      <c r="X105" s="17">
        <f>IF(OR(X104="",W104=""),"",IF(W104&lt;=0,"",IFERROR(X104/W104-1,"")))</f>
        <v/>
      </c>
    </row>
    <row r="106">
      <c r="A106" s="20" t="inlineStr">
        <is>
          <t>법인세 등</t>
        </is>
      </c>
      <c r="C106" s="22" t="n">
        <v>133</v>
      </c>
      <c r="D106" s="22" t="n">
        <v>157</v>
      </c>
      <c r="E106" s="22" t="n">
        <v>166</v>
      </c>
      <c r="F106" s="22" t="n">
        <v>96</v>
      </c>
      <c r="G106" s="22" t="n">
        <v>161</v>
      </c>
      <c r="H106" s="22" t="n">
        <v>162</v>
      </c>
      <c r="I106" s="22" t="n">
        <v>110</v>
      </c>
      <c r="J106" s="22" t="n">
        <v>77</v>
      </c>
      <c r="K106" s="22" t="n">
        <v>148</v>
      </c>
      <c r="L106" s="22" t="n">
        <v>145</v>
      </c>
      <c r="M106" s="22" t="n">
        <v>72</v>
      </c>
      <c r="N106" s="22" t="n">
        <v>85</v>
      </c>
      <c r="T106" s="22" t="n">
        <v>79</v>
      </c>
      <c r="U106" s="22" t="n">
        <v>117</v>
      </c>
      <c r="V106" s="22" t="n">
        <v>166</v>
      </c>
      <c r="W106" s="22" t="n">
        <v>110</v>
      </c>
      <c r="X106" s="22" t="n">
        <v>72</v>
      </c>
    </row>
    <row r="107">
      <c r="A107" s="45" t="inlineStr">
        <is>
          <t>YoY</t>
        </is>
      </c>
      <c r="B107" s="3" t="inlineStr">
        <is>
          <t>전년 같은 분기·전년 대비</t>
        </is>
      </c>
      <c r="G107" s="17">
        <f>IF(OR(G106="",C106=""),"",IF(G106*C106&lt;=0,"",IFERROR(G106/C106-1,"")))</f>
        <v/>
      </c>
      <c r="H107" s="17">
        <f>IF(OR(H106="",D106=""),"",IF(H106*D106&lt;=0,"",IFERROR(H106/D106-1,"")))</f>
        <v/>
      </c>
      <c r="I107" s="17">
        <f>IF(OR(I106="",E106=""),"",IF(I106*E106&lt;=0,"",IFERROR(I106/E106-1,"")))</f>
        <v/>
      </c>
      <c r="J107" s="17">
        <f>IF(OR(J106="",F106=""),"",IF(J106*F106&lt;=0,"",IFERROR(J106/F106-1,"")))</f>
        <v/>
      </c>
      <c r="K107" s="17">
        <f>IF(OR(K106="",G106=""),"",IF(K106*G106&lt;=0,"",IFERROR(K106/G106-1,"")))</f>
        <v/>
      </c>
      <c r="L107" s="17">
        <f>IF(OR(L106="",H106=""),"",IF(L106*H106&lt;=0,"",IFERROR(L106/H106-1,"")))</f>
        <v/>
      </c>
      <c r="M107" s="17">
        <f>IF(OR(M106="",I106=""),"",IF(M106*I106&lt;=0,"",IFERROR(M106/I106-1,"")))</f>
        <v/>
      </c>
      <c r="N107" s="17">
        <f>IF(OR(N106="",J106=""),"",IF(N106*J106&lt;=0,"",IFERROR(N106/J106-1,"")))</f>
        <v/>
      </c>
      <c r="T107" s="17">
        <f>IF(OR(T106="",S106=""),"",IF(T106*S106&lt;=0,"",IFERROR(T106/S106-1,"")))</f>
        <v/>
      </c>
      <c r="U107" s="17">
        <f>IF(OR(U106="",T106=""),"",IF(U106*T106&lt;=0,"",IFERROR(U106/T106-1,"")))</f>
        <v/>
      </c>
      <c r="V107" s="17">
        <f>IF(OR(V106="",U106=""),"",IF(V106*U106&lt;=0,"",IFERROR(V106/U106-1,"")))</f>
        <v/>
      </c>
      <c r="W107" s="17">
        <f>IF(OR(W106="",V106=""),"",IF(W106*V106&lt;=0,"",IFERROR(W106/V106-1,"")))</f>
        <v/>
      </c>
      <c r="X107" s="17">
        <f>IF(OR(X106="",W106=""),"",IF(X106*W106&lt;=0,"",IFERROR(X106/W106-1,"")))</f>
        <v/>
      </c>
    </row>
    <row r="108">
      <c r="A108" s="9" t="inlineStr">
        <is>
          <t>순이익</t>
        </is>
      </c>
      <c r="C108" s="12" t="n">
        <v>286</v>
      </c>
      <c r="D108" s="12" t="n">
        <v>339</v>
      </c>
      <c r="E108" s="12" t="n">
        <v>363</v>
      </c>
      <c r="F108" s="12" t="n">
        <v>207</v>
      </c>
      <c r="G108" s="12" t="n">
        <v>347</v>
      </c>
      <c r="H108" s="12" t="n">
        <v>350</v>
      </c>
      <c r="I108" s="12" t="n">
        <v>389</v>
      </c>
      <c r="J108" s="12" t="n">
        <v>161</v>
      </c>
      <c r="K108" s="12" t="n">
        <v>311</v>
      </c>
      <c r="L108" s="12" t="n">
        <v>306</v>
      </c>
      <c r="M108" s="12" t="n">
        <v>363</v>
      </c>
      <c r="N108" s="12" t="n">
        <v>149</v>
      </c>
      <c r="T108" s="12" t="n">
        <v>324</v>
      </c>
      <c r="U108" s="12" t="n">
        <v>362</v>
      </c>
      <c r="V108" s="12" t="n">
        <v>363</v>
      </c>
      <c r="W108" s="12" t="n">
        <v>389</v>
      </c>
      <c r="X108" s="12" t="n">
        <v>363</v>
      </c>
    </row>
    <row r="109">
      <c r="A109" s="45" t="inlineStr">
        <is>
          <t>YoY</t>
        </is>
      </c>
      <c r="B109" s="3" t="inlineStr">
        <is>
          <t>전년 같은 분기·전년 대비</t>
        </is>
      </c>
      <c r="G109" s="17">
        <f>IF(OR(G108="",C108=""),"",IF(C108&lt;=0,"",IFERROR(G108/C108-1,"")))</f>
        <v/>
      </c>
      <c r="H109" s="17">
        <f>IF(OR(H108="",D108=""),"",IF(D108&lt;=0,"",IFERROR(H108/D108-1,"")))</f>
        <v/>
      </c>
      <c r="I109" s="17">
        <f>IF(OR(I108="",E108=""),"",IF(E108&lt;=0,"",IFERROR(I108/E108-1,"")))</f>
        <v/>
      </c>
      <c r="J109" s="17">
        <f>IF(OR(J108="",F108=""),"",IF(F108&lt;=0,"",IFERROR(J108/F108-1,"")))</f>
        <v/>
      </c>
      <c r="K109" s="17">
        <f>IF(OR(K108="",G108=""),"",IF(G108&lt;=0,"",IFERROR(K108/G108-1,"")))</f>
        <v/>
      </c>
      <c r="L109" s="17">
        <f>IF(OR(L108="",H108=""),"",IF(H108&lt;=0,"",IFERROR(L108/H108-1,"")))</f>
        <v/>
      </c>
      <c r="M109" s="17">
        <f>IF(OR(M108="",I108=""),"",IF(I108&lt;=0,"",IFERROR(M108/I108-1,"")))</f>
        <v/>
      </c>
      <c r="N109" s="17">
        <f>IF(OR(N108="",J108=""),"",IF(J108&lt;=0,"",IFERROR(N108/J108-1,"")))</f>
        <v/>
      </c>
      <c r="T109" s="17">
        <f>IF(OR(T108="",S108=""),"",IF(S108&lt;=0,"",IFERROR(T108/S108-1,"")))</f>
        <v/>
      </c>
      <c r="U109" s="17">
        <f>IF(OR(U108="",T108=""),"",IF(T108&lt;=0,"",IFERROR(U108/T108-1,"")))</f>
        <v/>
      </c>
      <c r="V109" s="17">
        <f>IF(OR(V108="",U108=""),"",IF(U108&lt;=0,"",IFERROR(V108/U108-1,"")))</f>
        <v/>
      </c>
      <c r="W109" s="17">
        <f>IF(OR(W108="",V108=""),"",IF(V108&lt;=0,"",IFERROR(W108/V108-1,"")))</f>
        <v/>
      </c>
      <c r="X109" s="17">
        <f>IF(OR(X108="",W108=""),"",IF(W108&lt;=0,"",IFERROR(X108/W108-1,"")))</f>
        <v/>
      </c>
    </row>
    <row r="110">
      <c r="A110" s="9" t="inlineStr">
        <is>
          <t>지배주주 순이익</t>
        </is>
      </c>
      <c r="C110" s="12" t="n">
        <v>286</v>
      </c>
      <c r="D110" s="12" t="n">
        <v>339</v>
      </c>
      <c r="E110" s="12" t="n">
        <v>363</v>
      </c>
      <c r="F110" s="12" t="n">
        <v>207</v>
      </c>
      <c r="G110" s="12" t="n">
        <v>347</v>
      </c>
      <c r="H110" s="12" t="n">
        <v>350</v>
      </c>
      <c r="I110" s="12" t="n">
        <v>389</v>
      </c>
      <c r="J110" s="12" t="n">
        <v>161</v>
      </c>
      <c r="K110" s="12" t="n">
        <v>311</v>
      </c>
      <c r="L110" s="12" t="n">
        <v>306</v>
      </c>
      <c r="M110" s="12" t="n">
        <v>363</v>
      </c>
      <c r="N110" s="12" t="n">
        <v>149</v>
      </c>
      <c r="T110" s="12" t="n">
        <v>324</v>
      </c>
      <c r="U110" s="12" t="n">
        <v>362</v>
      </c>
      <c r="V110" s="12" t="n">
        <v>363</v>
      </c>
      <c r="W110" s="12" t="n">
        <v>389</v>
      </c>
      <c r="X110" s="12" t="n">
        <v>363</v>
      </c>
    </row>
    <row r="111">
      <c r="A111" s="45" t="inlineStr">
        <is>
          <t>YoY</t>
        </is>
      </c>
      <c r="B111" s="3" t="inlineStr">
        <is>
          <t>전년 같은 분기·전년 대비</t>
        </is>
      </c>
      <c r="G111" s="17">
        <f>IF(OR(G110="",C110=""),"",IF(C110&lt;=0,"",IFERROR(G110/C110-1,"")))</f>
        <v/>
      </c>
      <c r="H111" s="17">
        <f>IF(OR(H110="",D110=""),"",IF(D110&lt;=0,"",IFERROR(H110/D110-1,"")))</f>
        <v/>
      </c>
      <c r="I111" s="17">
        <f>IF(OR(I110="",E110=""),"",IF(E110&lt;=0,"",IFERROR(I110/E110-1,"")))</f>
        <v/>
      </c>
      <c r="J111" s="17">
        <f>IF(OR(J110="",F110=""),"",IF(F110&lt;=0,"",IFERROR(J110/F110-1,"")))</f>
        <v/>
      </c>
      <c r="K111" s="17">
        <f>IF(OR(K110="",G110=""),"",IF(G110&lt;=0,"",IFERROR(K110/G110-1,"")))</f>
        <v/>
      </c>
      <c r="L111" s="17">
        <f>IF(OR(L110="",H110=""),"",IF(H110&lt;=0,"",IFERROR(L110/H110-1,"")))</f>
        <v/>
      </c>
      <c r="M111" s="17">
        <f>IF(OR(M110="",I110=""),"",IF(I110&lt;=0,"",IFERROR(M110/I110-1,"")))</f>
        <v/>
      </c>
      <c r="N111" s="17">
        <f>IF(OR(N110="",J110=""),"",IF(J110&lt;=0,"",IFERROR(N110/J110-1,"")))</f>
        <v/>
      </c>
      <c r="T111" s="17">
        <f>IF(OR(T110="",S110=""),"",IF(S110&lt;=0,"",IFERROR(T110/S110-1,"")))</f>
        <v/>
      </c>
      <c r="U111" s="17">
        <f>IF(OR(U110="",T110=""),"",IF(T110&lt;=0,"",IFERROR(U110/T110-1,"")))</f>
        <v/>
      </c>
      <c r="V111" s="17">
        <f>IF(OR(V110="",U110=""),"",IF(U110&lt;=0,"",IFERROR(V110/U110-1,"")))</f>
        <v/>
      </c>
      <c r="W111" s="17">
        <f>IF(OR(W110="",V110=""),"",IF(V110&lt;=0,"",IFERROR(W110/V110-1,"")))</f>
        <v/>
      </c>
      <c r="X111" s="17">
        <f>IF(OR(X110="",W110=""),"",IF(W110&lt;=0,"",IFERROR(X110/W110-1,"")))</f>
        <v/>
      </c>
    </row>
    <row r="113">
      <c r="A113" s="18" t="inlineStr">
        <is>
          <t>포괄손익 · 전 항목</t>
        </is>
      </c>
      <c r="B113" s="44" t="inlineStr">
        <is>
          <t>분기 = 3개월 단독</t>
        </is>
      </c>
      <c r="C113" s="18" t="n"/>
      <c r="D113" s="18" t="n"/>
      <c r="E113" s="18" t="n"/>
      <c r="F113" s="18" t="n"/>
      <c r="G113" s="18" t="n"/>
      <c r="H113" s="18" t="n"/>
      <c r="I113" s="18" t="n"/>
      <c r="J113" s="18" t="n"/>
      <c r="K113" s="18" t="n"/>
      <c r="L113" s="18" t="n"/>
      <c r="M113" s="18" t="n"/>
      <c r="N113" s="18" t="n"/>
      <c r="O113" s="18" t="n"/>
      <c r="P113" s="18" t="n"/>
      <c r="Q113" s="18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  <c r="AA113" s="18" t="n"/>
      <c r="AB113" s="18" t="n"/>
      <c r="AC113" s="18" t="n"/>
    </row>
    <row r="114">
      <c r="A114" s="5" t="inlineStr">
        <is>
          <t>항목</t>
        </is>
      </c>
      <c r="B114" s="5" t="inlineStr">
        <is>
          <t>참고</t>
        </is>
      </c>
      <c r="C114" s="5" t="inlineStr">
        <is>
          <t>2024.2Q</t>
        </is>
      </c>
      <c r="D114" s="5" t="inlineStr">
        <is>
          <t>2024.3Q</t>
        </is>
      </c>
      <c r="E114" s="5" t="inlineStr">
        <is>
          <t>2024.4Q</t>
        </is>
      </c>
      <c r="F114" s="5" t="inlineStr">
        <is>
          <t>2025.1Q</t>
        </is>
      </c>
      <c r="G114" s="5" t="inlineStr">
        <is>
          <t>2025.2Q</t>
        </is>
      </c>
      <c r="H114" s="5" t="inlineStr">
        <is>
          <t>2025.3Q</t>
        </is>
      </c>
      <c r="I114" s="5" t="inlineStr">
        <is>
          <t>2025.4Q</t>
        </is>
      </c>
      <c r="J114" s="5" t="inlineStr">
        <is>
          <t>2026.1Q</t>
        </is>
      </c>
      <c r="K114" s="5" t="inlineStr">
        <is>
          <t>2026.2Q</t>
        </is>
      </c>
      <c r="L114" s="5" t="inlineStr">
        <is>
          <t>2026.3Q</t>
        </is>
      </c>
      <c r="M114" s="5" t="inlineStr">
        <is>
          <t>2026.4Q</t>
        </is>
      </c>
      <c r="N114" s="5" t="inlineStr">
        <is>
          <t>2027.1Q</t>
        </is>
      </c>
      <c r="O114" s="5" t="inlineStr">
        <is>
          <t>2017</t>
        </is>
      </c>
      <c r="P114" s="5" t="inlineStr">
        <is>
          <t>2018</t>
        </is>
      </c>
      <c r="Q114" s="5" t="inlineStr">
        <is>
          <t>2019</t>
        </is>
      </c>
      <c r="R114" s="5" t="inlineStr">
        <is>
          <t>2020</t>
        </is>
      </c>
      <c r="S114" s="5" t="inlineStr">
        <is>
          <t>2021</t>
        </is>
      </c>
      <c r="T114" s="5" t="inlineStr">
        <is>
          <t>2022</t>
        </is>
      </c>
      <c r="U114" s="5" t="inlineStr">
        <is>
          <t>2023</t>
        </is>
      </c>
      <c r="V114" s="5" t="inlineStr">
        <is>
          <t>2024</t>
        </is>
      </c>
      <c r="W114" s="5" t="inlineStr">
        <is>
          <t>2025</t>
        </is>
      </c>
      <c r="X114" s="5" t="inlineStr">
        <is>
          <t>2026</t>
        </is>
      </c>
      <c r="Y114" s="5" t="inlineStr">
        <is>
          <t>2027(MW)</t>
        </is>
      </c>
      <c r="Z114" s="5" t="inlineStr">
        <is>
          <t>2028(MW)</t>
        </is>
      </c>
      <c r="AA114" s="5" t="inlineStr">
        <is>
          <t>2029(MW)</t>
        </is>
      </c>
      <c r="AB114" s="5" t="inlineStr">
        <is>
          <t>2030(MW)</t>
        </is>
      </c>
      <c r="AC114" s="5" t="inlineStr">
        <is>
          <t>2031(MW)</t>
        </is>
      </c>
    </row>
    <row r="115">
      <c r="A115" s="9" t="inlineStr">
        <is>
          <t>순이익</t>
        </is>
      </c>
      <c r="C115" s="12" t="n">
        <v>286</v>
      </c>
      <c r="D115" s="12" t="n">
        <v>339</v>
      </c>
      <c r="E115" s="12" t="n">
        <v>363</v>
      </c>
      <c r="F115" s="12" t="n">
        <v>207</v>
      </c>
      <c r="G115" s="12" t="n">
        <v>347</v>
      </c>
      <c r="H115" s="12" t="n">
        <v>350</v>
      </c>
      <c r="I115" s="12" t="n">
        <v>389</v>
      </c>
      <c r="J115" s="12" t="n">
        <v>161</v>
      </c>
      <c r="K115" s="12" t="n">
        <v>311</v>
      </c>
      <c r="L115" s="12" t="n">
        <v>306</v>
      </c>
      <c r="M115" s="12" t="n">
        <v>363</v>
      </c>
      <c r="N115" s="12" t="n">
        <v>149</v>
      </c>
      <c r="T115" s="12" t="n">
        <v>324</v>
      </c>
      <c r="U115" s="12" t="n">
        <v>362</v>
      </c>
      <c r="V115" s="12" t="n">
        <v>363</v>
      </c>
      <c r="W115" s="12" t="n">
        <v>389</v>
      </c>
      <c r="X115" s="12" t="n">
        <v>363</v>
      </c>
    </row>
    <row r="116">
      <c r="A116" s="20" t="inlineStr">
        <is>
          <t>기타유가증권 평가차액</t>
        </is>
      </c>
      <c r="C116" s="22" t="n">
        <v>-1</v>
      </c>
      <c r="D116" s="22" t="n">
        <v>0</v>
      </c>
      <c r="E116" s="22" t="n">
        <v>1</v>
      </c>
      <c r="F116" s="22" t="n">
        <v>-1</v>
      </c>
      <c r="G116" s="22" t="n">
        <v>0</v>
      </c>
      <c r="H116" s="22" t="n">
        <v>-1</v>
      </c>
      <c r="I116" s="22" t="n">
        <v>0</v>
      </c>
      <c r="J116" s="22" t="n">
        <v>0</v>
      </c>
      <c r="K116" s="22" t="n">
        <v>0</v>
      </c>
      <c r="L116" s="22" t="n">
        <v>1</v>
      </c>
      <c r="M116" s="22" t="n">
        <v>-1</v>
      </c>
      <c r="N116" s="22" t="n">
        <v>1</v>
      </c>
      <c r="T116" s="22" t="n">
        <v>1</v>
      </c>
      <c r="U116" s="22" t="n">
        <v>0</v>
      </c>
      <c r="V116" s="22" t="n">
        <v>1</v>
      </c>
      <c r="W116" s="22" t="n">
        <v>0</v>
      </c>
      <c r="X116" s="22" t="n">
        <v>-1</v>
      </c>
    </row>
    <row r="117">
      <c r="A117" s="20" t="inlineStr">
        <is>
          <t>퇴직급여 조정액</t>
        </is>
      </c>
      <c r="C117" s="22" t="n">
        <v>6</v>
      </c>
      <c r="D117" s="22" t="n">
        <v>5</v>
      </c>
      <c r="E117" s="22" t="n">
        <v>22</v>
      </c>
      <c r="F117" s="22" t="n">
        <v>-4</v>
      </c>
      <c r="G117" s="22" t="n">
        <v>-4</v>
      </c>
      <c r="H117" s="22" t="n">
        <v>-4</v>
      </c>
      <c r="I117" s="22" t="n">
        <v>37</v>
      </c>
      <c r="J117" s="22" t="n">
        <v>-10</v>
      </c>
      <c r="K117" s="22" t="n">
        <v>-11</v>
      </c>
      <c r="L117" s="22" t="n">
        <v>-10</v>
      </c>
      <c r="M117" s="22" t="n">
        <v>-44</v>
      </c>
      <c r="N117" s="22" t="n">
        <v>9</v>
      </c>
      <c r="T117" s="22" t="n">
        <v>-9</v>
      </c>
      <c r="U117" s="22" t="n">
        <v>-20</v>
      </c>
      <c r="V117" s="22" t="n">
        <v>22</v>
      </c>
      <c r="W117" s="22" t="n">
        <v>37</v>
      </c>
      <c r="X117" s="22" t="n">
        <v>-44</v>
      </c>
    </row>
    <row r="118">
      <c r="A118" s="20" t="inlineStr">
        <is>
          <t>기타포괄손익 합계</t>
        </is>
      </c>
      <c r="C118" s="22" t="n">
        <v>4</v>
      </c>
      <c r="D118" s="22" t="n">
        <v>5</v>
      </c>
      <c r="E118" s="22" t="n">
        <v>22</v>
      </c>
      <c r="F118" s="22" t="n">
        <v>-5</v>
      </c>
      <c r="G118" s="22" t="n">
        <v>-4</v>
      </c>
      <c r="H118" s="22" t="n">
        <v>-5</v>
      </c>
      <c r="I118" s="22" t="n">
        <v>37</v>
      </c>
      <c r="J118" s="22" t="n">
        <v>-10</v>
      </c>
      <c r="K118" s="22" t="n">
        <v>-10</v>
      </c>
      <c r="L118" s="22" t="n">
        <v>-10</v>
      </c>
      <c r="M118" s="22" t="n">
        <v>-45</v>
      </c>
      <c r="N118" s="22" t="n">
        <v>9</v>
      </c>
      <c r="T118" s="22" t="n">
        <v>-9</v>
      </c>
      <c r="U118" s="22" t="n">
        <v>-20</v>
      </c>
      <c r="V118" s="22" t="n">
        <v>22</v>
      </c>
      <c r="W118" s="22" t="n">
        <v>37</v>
      </c>
      <c r="X118" s="22" t="n">
        <v>-45</v>
      </c>
    </row>
    <row r="119">
      <c r="A119" s="9" t="inlineStr">
        <is>
          <t>포괄이익</t>
        </is>
      </c>
      <c r="C119" s="12" t="n">
        <v>291</v>
      </c>
      <c r="D119" s="12" t="n">
        <v>343</v>
      </c>
      <c r="E119" s="12" t="n">
        <v>386</v>
      </c>
      <c r="F119" s="12" t="n">
        <v>202</v>
      </c>
      <c r="G119" s="12" t="n">
        <v>343</v>
      </c>
      <c r="H119" s="12" t="n">
        <v>345</v>
      </c>
      <c r="I119" s="12" t="n">
        <v>426</v>
      </c>
      <c r="J119" s="12" t="n">
        <v>151</v>
      </c>
      <c r="K119" s="12" t="n">
        <v>301</v>
      </c>
      <c r="L119" s="12" t="n">
        <v>296</v>
      </c>
      <c r="M119" s="12" t="n">
        <v>318</v>
      </c>
      <c r="N119" s="12" t="n">
        <v>159</v>
      </c>
      <c r="T119" s="12" t="n">
        <v>316</v>
      </c>
      <c r="U119" s="12" t="n">
        <v>342</v>
      </c>
      <c r="V119" s="12" t="n">
        <v>386</v>
      </c>
      <c r="W119" s="12" t="n">
        <v>426</v>
      </c>
      <c r="X119" s="12" t="n">
        <v>318</v>
      </c>
    </row>
    <row r="120">
      <c r="A120" s="9" t="inlineStr">
        <is>
          <t>지배주주 포괄이익</t>
        </is>
      </c>
      <c r="C120" s="12" t="n">
        <v>291</v>
      </c>
      <c r="D120" s="12" t="n">
        <v>343</v>
      </c>
      <c r="E120" s="12" t="n">
        <v>386</v>
      </c>
      <c r="F120" s="12" t="n">
        <v>202</v>
      </c>
      <c r="G120" s="12" t="n">
        <v>343</v>
      </c>
      <c r="H120" s="12" t="n">
        <v>345</v>
      </c>
      <c r="I120" s="12" t="n">
        <v>426</v>
      </c>
      <c r="J120" s="12" t="n">
        <v>151</v>
      </c>
      <c r="K120" s="12" t="n">
        <v>301</v>
      </c>
      <c r="L120" s="12" t="n">
        <v>296</v>
      </c>
      <c r="M120" s="12" t="n">
        <v>318</v>
      </c>
      <c r="N120" s="12" t="n">
        <v>159</v>
      </c>
      <c r="T120" s="12" t="n">
        <v>316</v>
      </c>
      <c r="U120" s="12" t="n">
        <v>342</v>
      </c>
      <c r="V120" s="12" t="n">
        <v>386</v>
      </c>
      <c r="W120" s="12" t="n">
        <v>426</v>
      </c>
      <c r="X120" s="12" t="n">
        <v>318</v>
      </c>
    </row>
    <row r="121">
      <c r="A121" s="9" t="inlineStr">
        <is>
          <t>비지배주주 포괄이익</t>
        </is>
      </c>
      <c r="C121" s="12" t="n">
        <v>0</v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0</v>
      </c>
      <c r="K121" s="12" t="n">
        <v>0</v>
      </c>
      <c r="L121" s="12" t="n">
        <v>0</v>
      </c>
      <c r="M121" s="12" t="n">
        <v>0</v>
      </c>
      <c r="N121" s="12" t="n">
        <v>0</v>
      </c>
      <c r="T121" s="12" t="n">
        <v>0</v>
      </c>
      <c r="U121" s="12" t="n">
        <v>0</v>
      </c>
      <c r="V121" s="12" t="n">
        <v>0</v>
      </c>
      <c r="W121" s="12" t="n">
        <v>0</v>
      </c>
      <c r="X121" s="12" t="n">
        <v>0</v>
      </c>
    </row>
    <row r="123">
      <c r="A123" s="18" t="inlineStr">
        <is>
          <t>현금흐름표 · 전 항목</t>
        </is>
      </c>
      <c r="B123" s="44" t="inlineStr">
        <is>
          <t>분기 = 결산기 첫날부터 누계(공시 그대로)</t>
        </is>
      </c>
      <c r="C123" s="18" t="n"/>
      <c r="D123" s="18" t="n"/>
      <c r="E123" s="18" t="n"/>
      <c r="F123" s="18" t="n"/>
      <c r="G123" s="18" t="n"/>
      <c r="H123" s="18" t="n"/>
      <c r="I123" s="18" t="n"/>
      <c r="J123" s="18" t="n"/>
      <c r="K123" s="18" t="n"/>
      <c r="L123" s="18" t="n"/>
      <c r="M123" s="18" t="n"/>
      <c r="N123" s="18" t="n"/>
      <c r="O123" s="18" t="n"/>
      <c r="P123" s="18" t="n"/>
      <c r="Q123" s="18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  <c r="AA123" s="18" t="n"/>
      <c r="AB123" s="18" t="n"/>
      <c r="AC123" s="18" t="n"/>
    </row>
    <row r="124">
      <c r="A124" s="5" t="inlineStr">
        <is>
          <t>항목</t>
        </is>
      </c>
      <c r="B124" s="5" t="inlineStr">
        <is>
          <t>참고</t>
        </is>
      </c>
      <c r="C124" s="5" t="inlineStr">
        <is>
          <t>2024.2Q</t>
        </is>
      </c>
      <c r="D124" s="5" t="inlineStr">
        <is>
          <t>2024.3Q</t>
        </is>
      </c>
      <c r="E124" s="5" t="inlineStr">
        <is>
          <t>2024.4Q</t>
        </is>
      </c>
      <c r="F124" s="5" t="inlineStr">
        <is>
          <t>2025.1Q</t>
        </is>
      </c>
      <c r="G124" s="5" t="inlineStr">
        <is>
          <t>2025.2Q</t>
        </is>
      </c>
      <c r="H124" s="5" t="inlineStr">
        <is>
          <t>2025.3Q</t>
        </is>
      </c>
      <c r="I124" s="5" t="inlineStr">
        <is>
          <t>2025.4Q</t>
        </is>
      </c>
      <c r="J124" s="5" t="inlineStr">
        <is>
          <t>2026.1Q</t>
        </is>
      </c>
      <c r="K124" s="5" t="inlineStr">
        <is>
          <t>2026.2Q</t>
        </is>
      </c>
      <c r="L124" s="5" t="inlineStr">
        <is>
          <t>2026.3Q</t>
        </is>
      </c>
      <c r="M124" s="5" t="inlineStr">
        <is>
          <t>2026.4Q</t>
        </is>
      </c>
      <c r="N124" s="5" t="inlineStr">
        <is>
          <t>2027.1Q</t>
        </is>
      </c>
      <c r="O124" s="5" t="inlineStr">
        <is>
          <t>2017</t>
        </is>
      </c>
      <c r="P124" s="5" t="inlineStr">
        <is>
          <t>2018</t>
        </is>
      </c>
      <c r="Q124" s="5" t="inlineStr">
        <is>
          <t>2019</t>
        </is>
      </c>
      <c r="R124" s="5" t="inlineStr">
        <is>
          <t>2020</t>
        </is>
      </c>
      <c r="S124" s="5" t="inlineStr">
        <is>
          <t>2021</t>
        </is>
      </c>
      <c r="T124" s="5" t="inlineStr">
        <is>
          <t>2022</t>
        </is>
      </c>
      <c r="U124" s="5" t="inlineStr">
        <is>
          <t>2023</t>
        </is>
      </c>
      <c r="V124" s="5" t="inlineStr">
        <is>
          <t>2024</t>
        </is>
      </c>
      <c r="W124" s="5" t="inlineStr">
        <is>
          <t>2025</t>
        </is>
      </c>
      <c r="X124" s="5" t="inlineStr">
        <is>
          <t>2026</t>
        </is>
      </c>
      <c r="Y124" s="5" t="inlineStr">
        <is>
          <t>2027(MW)</t>
        </is>
      </c>
      <c r="Z124" s="5" t="inlineStr">
        <is>
          <t>2028(MW)</t>
        </is>
      </c>
      <c r="AA124" s="5" t="inlineStr">
        <is>
          <t>2029(MW)</t>
        </is>
      </c>
      <c r="AB124" s="5" t="inlineStr">
        <is>
          <t>2030(MW)</t>
        </is>
      </c>
      <c r="AC124" s="5" t="inlineStr">
        <is>
          <t>2031(MW)</t>
        </is>
      </c>
    </row>
    <row r="125">
      <c r="A125" s="9" t="inlineStr">
        <is>
          <t>법인세차감전 순이익</t>
        </is>
      </c>
      <c r="C125" s="12" t="n">
        <v>705</v>
      </c>
      <c r="D125" s="12" t="n">
        <v>1202</v>
      </c>
      <c r="E125" s="12" t="n">
        <v>1730</v>
      </c>
      <c r="F125" s="12" t="n">
        <v>303</v>
      </c>
      <c r="G125" s="12" t="n">
        <v>811</v>
      </c>
      <c r="H125" s="12" t="n">
        <v>1324</v>
      </c>
      <c r="I125" s="12" t="n">
        <v>1821</v>
      </c>
      <c r="J125" s="12" t="n">
        <v>237</v>
      </c>
      <c r="K125" s="12" t="n">
        <v>697</v>
      </c>
      <c r="L125" s="12" t="n">
        <v>1148</v>
      </c>
      <c r="M125" s="12" t="n">
        <v>1583</v>
      </c>
      <c r="O125" s="12" t="n">
        <v>985</v>
      </c>
      <c r="P125" s="12" t="n">
        <v>982</v>
      </c>
      <c r="Q125" s="12" t="n">
        <v>993</v>
      </c>
      <c r="R125" s="12" t="n">
        <v>1017</v>
      </c>
      <c r="S125" s="12" t="n">
        <v>1369</v>
      </c>
      <c r="T125" s="12" t="n">
        <v>1719</v>
      </c>
      <c r="U125" s="12" t="n">
        <v>1844</v>
      </c>
      <c r="V125" s="12" t="n">
        <v>1730</v>
      </c>
      <c r="W125" s="12" t="n">
        <v>1821</v>
      </c>
      <c r="X125" s="12" t="n">
        <v>1583</v>
      </c>
    </row>
    <row r="126">
      <c r="A126" s="20" t="inlineStr">
        <is>
          <t>감가상각비</t>
        </is>
      </c>
      <c r="C126" s="22" t="n">
        <v>20</v>
      </c>
      <c r="D126" s="22" t="n">
        <v>29</v>
      </c>
      <c r="E126" s="22" t="n">
        <v>38</v>
      </c>
      <c r="F126" s="22" t="n">
        <v>4</v>
      </c>
      <c r="G126" s="22" t="n">
        <v>9</v>
      </c>
      <c r="H126" s="22" t="n">
        <v>14</v>
      </c>
      <c r="I126" s="22" t="n">
        <v>18</v>
      </c>
      <c r="J126" s="22" t="n">
        <v>4</v>
      </c>
      <c r="K126" s="22" t="n">
        <v>9</v>
      </c>
      <c r="L126" s="22" t="n">
        <v>14</v>
      </c>
      <c r="M126" s="22" t="n">
        <v>22</v>
      </c>
      <c r="O126" s="22" t="n">
        <v>37</v>
      </c>
      <c r="P126" s="22" t="n">
        <v>34</v>
      </c>
      <c r="Q126" s="22" t="n">
        <v>28</v>
      </c>
      <c r="R126" s="22" t="n">
        <v>42</v>
      </c>
      <c r="S126" s="22" t="n">
        <v>42</v>
      </c>
      <c r="T126" s="22" t="n">
        <v>51</v>
      </c>
      <c r="U126" s="22" t="n">
        <v>45</v>
      </c>
      <c r="V126" s="22" t="n">
        <v>38</v>
      </c>
      <c r="W126" s="22" t="n">
        <v>18</v>
      </c>
      <c r="X126" s="22" t="n">
        <v>22</v>
      </c>
    </row>
    <row r="127">
      <c r="A127" s="20" t="inlineStr">
        <is>
          <t>상여충당금 증감</t>
        </is>
      </c>
      <c r="C127" s="22" t="n">
        <v>18</v>
      </c>
      <c r="D127" s="22" t="n">
        <v>-320</v>
      </c>
      <c r="E127" s="22" t="n">
        <v>-23</v>
      </c>
      <c r="F127" s="22" t="n">
        <v>-291</v>
      </c>
      <c r="G127" s="22" t="n">
        <v>36</v>
      </c>
      <c r="H127" s="22" t="n">
        <v>-302</v>
      </c>
      <c r="I127" s="22" t="n">
        <v>82</v>
      </c>
      <c r="J127" s="22" t="n">
        <v>-348</v>
      </c>
      <c r="K127" s="22" t="n">
        <v>-19</v>
      </c>
      <c r="L127" s="22" t="n">
        <v>-362</v>
      </c>
      <c r="M127" s="22" t="n">
        <v>-30</v>
      </c>
      <c r="O127" s="22" t="n">
        <v>-10</v>
      </c>
      <c r="P127" s="22" t="n">
        <v>16</v>
      </c>
      <c r="Q127" s="22" t="n">
        <v>30</v>
      </c>
      <c r="R127" s="22" t="n">
        <v>-1</v>
      </c>
      <c r="S127" s="22" t="n">
        <v>59</v>
      </c>
      <c r="T127" s="22" t="n">
        <v>89</v>
      </c>
      <c r="U127" s="22" t="n">
        <v>-107</v>
      </c>
      <c r="V127" s="22" t="n">
        <v>-23</v>
      </c>
      <c r="W127" s="22" t="n">
        <v>82</v>
      </c>
      <c r="X127" s="22" t="n">
        <v>-30</v>
      </c>
    </row>
    <row r="128">
      <c r="A128" s="20" t="inlineStr">
        <is>
          <t>임원 상여충당금 증감</t>
        </is>
      </c>
      <c r="C128" s="22" t="n">
        <v>-15</v>
      </c>
      <c r="D128" s="22" t="n">
        <v>-12</v>
      </c>
      <c r="E128" s="22" t="n">
        <v>-4</v>
      </c>
      <c r="F128" s="22" t="n">
        <v>-16</v>
      </c>
      <c r="G128" s="22" t="n">
        <v>-1</v>
      </c>
      <c r="H128" s="22" t="n">
        <v>12</v>
      </c>
      <c r="I128" s="22" t="n">
        <v>26</v>
      </c>
      <c r="J128" s="22" t="n">
        <v>-39</v>
      </c>
      <c r="K128" s="22" t="n">
        <v>-26</v>
      </c>
      <c r="L128" s="22" t="n">
        <v>-15</v>
      </c>
      <c r="M128" s="22" t="n">
        <v>-5</v>
      </c>
      <c r="O128" s="22" t="n">
        <v>4</v>
      </c>
      <c r="P128" s="22" t="n">
        <v>2</v>
      </c>
      <c r="Q128" s="22" t="n">
        <v>0</v>
      </c>
      <c r="R128" s="22" t="n">
        <v>-4</v>
      </c>
      <c r="S128" s="22" t="n">
        <v>13</v>
      </c>
      <c r="T128" s="22" t="n">
        <v>1</v>
      </c>
      <c r="U128" s="22" t="n">
        <v>-4</v>
      </c>
      <c r="V128" s="22" t="n">
        <v>-4</v>
      </c>
      <c r="W128" s="22" t="n">
        <v>26</v>
      </c>
      <c r="X128" s="22" t="n">
        <v>-5</v>
      </c>
    </row>
    <row r="129">
      <c r="A129" s="20" t="inlineStr">
        <is>
          <t>수주손실 충당금 증감</t>
        </is>
      </c>
      <c r="I129" s="22" t="n">
        <v>0</v>
      </c>
      <c r="M129" s="22" t="n">
        <v>25</v>
      </c>
      <c r="O129" s="22" t="n">
        <v>0</v>
      </c>
      <c r="P129" s="22" t="n">
        <v>4</v>
      </c>
      <c r="Q129" s="22" t="n">
        <v>10</v>
      </c>
      <c r="R129" s="22" t="n">
        <v>-14</v>
      </c>
      <c r="S129" s="22" t="n">
        <v>0</v>
      </c>
      <c r="W129" s="22" t="n">
        <v>0</v>
      </c>
      <c r="X129" s="22" t="n">
        <v>25</v>
      </c>
    </row>
    <row r="130">
      <c r="A130" s="20" t="inlineStr">
        <is>
          <t>퇴직급여부채 증감</t>
        </is>
      </c>
      <c r="C130" s="22" t="n">
        <v>20</v>
      </c>
      <c r="D130" s="22" t="n">
        <v>27</v>
      </c>
      <c r="E130" s="22" t="n">
        <v>35</v>
      </c>
      <c r="F130" s="22" t="n">
        <v>-7</v>
      </c>
      <c r="G130" s="22" t="n">
        <v>-13</v>
      </c>
      <c r="H130" s="22" t="n">
        <v>-17</v>
      </c>
      <c r="I130" s="22" t="n">
        <v>-31</v>
      </c>
      <c r="J130" s="22" t="n">
        <v>-15</v>
      </c>
      <c r="K130" s="22" t="n">
        <v>-29</v>
      </c>
      <c r="L130" s="22" t="n">
        <v>-44</v>
      </c>
      <c r="M130" s="22" t="n">
        <v>-64</v>
      </c>
      <c r="O130" s="22" t="n">
        <v>37</v>
      </c>
      <c r="P130" s="22" t="n">
        <v>37</v>
      </c>
      <c r="Q130" s="22" t="n">
        <v>56</v>
      </c>
      <c r="R130" s="22" t="n">
        <v>-9</v>
      </c>
      <c r="S130" s="22" t="n">
        <v>-43</v>
      </c>
      <c r="T130" s="22" t="n">
        <v>-26</v>
      </c>
      <c r="U130" s="22" t="n">
        <v>6</v>
      </c>
      <c r="V130" s="22" t="n">
        <v>35</v>
      </c>
      <c r="W130" s="22" t="n">
        <v>-31</v>
      </c>
      <c r="X130" s="22" t="n">
        <v>-64</v>
      </c>
    </row>
    <row r="131">
      <c r="A131" s="20" t="inlineStr">
        <is>
          <t>매출채권 증감</t>
        </is>
      </c>
      <c r="C131" s="22" t="n">
        <v>-36</v>
      </c>
      <c r="D131" s="22" t="n">
        <v>56</v>
      </c>
      <c r="E131" s="22" t="n">
        <v>-25</v>
      </c>
      <c r="F131" s="22" t="n">
        <v>28</v>
      </c>
      <c r="G131" s="22" t="n">
        <v>-135</v>
      </c>
      <c r="H131" s="22" t="n">
        <v>-233</v>
      </c>
      <c r="I131" s="22" t="n">
        <v>-540</v>
      </c>
      <c r="J131" s="22" t="n">
        <v>553</v>
      </c>
      <c r="K131" s="22" t="n">
        <v>478</v>
      </c>
      <c r="L131" s="22" t="n">
        <v>384</v>
      </c>
      <c r="M131" s="22" t="n">
        <v>296</v>
      </c>
      <c r="O131" s="22" t="n">
        <v>-544</v>
      </c>
      <c r="P131" s="22" t="n">
        <v>-198</v>
      </c>
      <c r="Q131" s="22" t="n">
        <v>243</v>
      </c>
      <c r="R131" s="22" t="n">
        <v>-75</v>
      </c>
      <c r="S131" s="22" t="n">
        <v>-251</v>
      </c>
      <c r="T131" s="22" t="n">
        <v>-420</v>
      </c>
      <c r="U131" s="22" t="n">
        <v>355</v>
      </c>
      <c r="V131" s="22" t="n">
        <v>-25</v>
      </c>
      <c r="W131" s="22" t="n">
        <v>-540</v>
      </c>
      <c r="X131" s="22" t="n">
        <v>296</v>
      </c>
    </row>
    <row r="132">
      <c r="A132" s="20" t="inlineStr">
        <is>
          <t>선수금 증감</t>
        </is>
      </c>
      <c r="O132" s="22" t="n">
        <v>0</v>
      </c>
      <c r="P132" s="22" t="n">
        <v>-7</v>
      </c>
      <c r="Q132" s="22" t="n">
        <v>141</v>
      </c>
      <c r="R132" s="22" t="n">
        <v>-130</v>
      </c>
      <c r="S132" s="22" t="n">
        <v>11</v>
      </c>
      <c r="T132" s="22" t="n">
        <v>5</v>
      </c>
      <c r="U132" s="22" t="n">
        <v>-8</v>
      </c>
    </row>
    <row r="133">
      <c r="A133" s="20" t="inlineStr">
        <is>
          <t>재고자산 증감</t>
        </is>
      </c>
      <c r="C133" s="22" t="n">
        <v>-67</v>
      </c>
      <c r="D133" s="22" t="n">
        <v>-38</v>
      </c>
      <c r="E133" s="22" t="n">
        <v>13</v>
      </c>
      <c r="F133" s="22" t="n">
        <v>-46</v>
      </c>
      <c r="G133" s="22" t="n">
        <v>-55</v>
      </c>
      <c r="H133" s="22" t="n">
        <v>-97</v>
      </c>
      <c r="I133" s="22" t="n">
        <v>7</v>
      </c>
      <c r="J133" s="22" t="n">
        <v>-35</v>
      </c>
      <c r="K133" s="22" t="n">
        <v>-31</v>
      </c>
      <c r="L133" s="22" t="n">
        <v>-61</v>
      </c>
      <c r="M133" s="22" t="n">
        <v>-28</v>
      </c>
      <c r="O133" s="22" t="n">
        <v>-33</v>
      </c>
      <c r="P133" s="22" t="n">
        <v>24</v>
      </c>
      <c r="Q133" s="22" t="n">
        <v>-46</v>
      </c>
      <c r="R133" s="22" t="n">
        <v>50</v>
      </c>
      <c r="S133" s="22" t="n">
        <v>18</v>
      </c>
      <c r="T133" s="22" t="n">
        <v>-36</v>
      </c>
      <c r="U133" s="22" t="n">
        <v>30</v>
      </c>
      <c r="V133" s="22" t="n">
        <v>13</v>
      </c>
      <c r="W133" s="22" t="n">
        <v>7</v>
      </c>
      <c r="X133" s="22" t="n">
        <v>-28</v>
      </c>
    </row>
    <row r="134">
      <c r="A134" s="20" t="inlineStr">
        <is>
          <t>매입채무 증감</t>
        </is>
      </c>
      <c r="C134" s="22" t="n">
        <v>-3</v>
      </c>
      <c r="D134" s="22" t="n">
        <v>-26</v>
      </c>
      <c r="E134" s="22" t="n">
        <v>-29</v>
      </c>
      <c r="F134" s="22" t="n">
        <v>22</v>
      </c>
      <c r="G134" s="22" t="n">
        <v>35</v>
      </c>
      <c r="H134" s="22" t="n">
        <v>80</v>
      </c>
      <c r="I134" s="22" t="n">
        <v>84</v>
      </c>
      <c r="J134" s="22" t="n">
        <v>-32</v>
      </c>
      <c r="K134" s="22" t="n">
        <v>-63</v>
      </c>
      <c r="L134" s="22" t="n">
        <v>-40</v>
      </c>
      <c r="M134" s="22" t="n">
        <v>32</v>
      </c>
      <c r="O134" s="22" t="n">
        <v>43</v>
      </c>
      <c r="P134" s="22" t="n">
        <v>79</v>
      </c>
      <c r="Q134" s="22" t="n">
        <v>119</v>
      </c>
      <c r="R134" s="22" t="n">
        <v>-33</v>
      </c>
      <c r="S134" s="22" t="n">
        <v>6</v>
      </c>
      <c r="T134" s="22" t="n">
        <v>146</v>
      </c>
      <c r="U134" s="22" t="n">
        <v>-84</v>
      </c>
      <c r="V134" s="22" t="n">
        <v>-29</v>
      </c>
      <c r="W134" s="22" t="n">
        <v>84</v>
      </c>
      <c r="X134" s="22" t="n">
        <v>32</v>
      </c>
    </row>
    <row r="135">
      <c r="A135" s="20" t="inlineStr">
        <is>
          <t>이자·배당금 수익</t>
        </is>
      </c>
      <c r="C135" s="22" t="n">
        <v>-0</v>
      </c>
      <c r="D135" s="22" t="n">
        <v>-0</v>
      </c>
      <c r="E135" s="22" t="n">
        <v>-0</v>
      </c>
      <c r="F135" s="22" t="n">
        <v>-0</v>
      </c>
      <c r="G135" s="22" t="n">
        <v>-0</v>
      </c>
      <c r="H135" s="22" t="n">
        <v>-0</v>
      </c>
      <c r="I135" s="22" t="n">
        <v>-1</v>
      </c>
      <c r="J135" s="22" t="n">
        <v>-0</v>
      </c>
      <c r="K135" s="22" t="n">
        <v>-3</v>
      </c>
      <c r="L135" s="22" t="n">
        <v>-4</v>
      </c>
      <c r="M135" s="22" t="n">
        <v>-5</v>
      </c>
      <c r="O135" s="22" t="n">
        <v>-1</v>
      </c>
      <c r="P135" s="22" t="n">
        <v>-1</v>
      </c>
      <c r="Q135" s="22" t="n">
        <v>-0</v>
      </c>
      <c r="R135" s="22" t="n">
        <v>-1</v>
      </c>
      <c r="S135" s="22" t="n">
        <v>-0</v>
      </c>
      <c r="T135" s="22" t="n">
        <v>-0</v>
      </c>
      <c r="U135" s="22" t="n">
        <v>-0</v>
      </c>
      <c r="V135" s="22" t="n">
        <v>-0</v>
      </c>
      <c r="W135" s="22" t="n">
        <v>-1</v>
      </c>
      <c r="X135" s="22" t="n">
        <v>-5</v>
      </c>
    </row>
    <row r="136">
      <c r="A136" s="20" t="inlineStr">
        <is>
          <t>투자유가증권 매각손익</t>
        </is>
      </c>
      <c r="O136" s="22" t="n">
        <v>-15</v>
      </c>
      <c r="P136" s="22" t="n">
        <v>0</v>
      </c>
    </row>
    <row r="137">
      <c r="A137" s="20" t="inlineStr">
        <is>
          <t>기타</t>
        </is>
      </c>
      <c r="C137" s="22" t="n">
        <v>91</v>
      </c>
      <c r="D137" s="22" t="n">
        <v>247</v>
      </c>
      <c r="E137" s="22" t="n">
        <v>165</v>
      </c>
      <c r="F137" s="22" t="n">
        <v>220</v>
      </c>
      <c r="G137" s="22" t="n">
        <v>-187</v>
      </c>
      <c r="H137" s="22" t="n">
        <v>208</v>
      </c>
      <c r="I137" s="22" t="n">
        <v>-119</v>
      </c>
      <c r="J137" s="22" t="n">
        <v>400</v>
      </c>
      <c r="K137" s="22" t="n">
        <v>-21</v>
      </c>
      <c r="L137" s="22" t="n">
        <v>357</v>
      </c>
      <c r="M137" s="22" t="n">
        <v>112</v>
      </c>
      <c r="O137" s="22" t="n">
        <v>-76</v>
      </c>
      <c r="P137" s="22" t="n">
        <v>-9</v>
      </c>
      <c r="Q137" s="22" t="n">
        <v>-38</v>
      </c>
      <c r="R137" s="22" t="n">
        <v>-82</v>
      </c>
      <c r="S137" s="22" t="n">
        <v>101</v>
      </c>
      <c r="T137" s="22" t="n">
        <v>-45</v>
      </c>
      <c r="U137" s="22" t="n">
        <v>81</v>
      </c>
      <c r="V137" s="22" t="n">
        <v>165</v>
      </c>
      <c r="W137" s="22" t="n">
        <v>-119</v>
      </c>
      <c r="X137" s="22" t="n">
        <v>112</v>
      </c>
    </row>
    <row r="138">
      <c r="A138" s="20" t="inlineStr">
        <is>
          <t>소계</t>
        </is>
      </c>
      <c r="C138" s="22" t="n">
        <v>733</v>
      </c>
      <c r="D138" s="22" t="n">
        <v>1166</v>
      </c>
      <c r="E138" s="22" t="n">
        <v>1900</v>
      </c>
      <c r="F138" s="22" t="n">
        <v>217</v>
      </c>
      <c r="G138" s="22" t="n">
        <v>499</v>
      </c>
      <c r="H138" s="22" t="n">
        <v>988</v>
      </c>
      <c r="I138" s="22" t="n">
        <v>1348</v>
      </c>
      <c r="J138" s="22" t="n">
        <v>726</v>
      </c>
      <c r="K138" s="22" t="n">
        <v>992</v>
      </c>
      <c r="L138" s="22" t="n">
        <v>1377</v>
      </c>
      <c r="M138" s="22" t="n">
        <v>1937</v>
      </c>
      <c r="O138" s="22" t="n">
        <v>427</v>
      </c>
      <c r="P138" s="22" t="n">
        <v>963</v>
      </c>
      <c r="Q138" s="22" t="n">
        <v>1536</v>
      </c>
      <c r="R138" s="22" t="n">
        <v>762</v>
      </c>
      <c r="S138" s="22" t="n">
        <v>1327</v>
      </c>
      <c r="T138" s="22" t="n">
        <v>1484</v>
      </c>
      <c r="U138" s="22" t="n">
        <v>2165</v>
      </c>
      <c r="V138" s="22" t="n">
        <v>1900</v>
      </c>
      <c r="W138" s="22" t="n">
        <v>1348</v>
      </c>
      <c r="X138" s="22" t="n">
        <v>1937</v>
      </c>
    </row>
    <row r="139">
      <c r="A139" s="20" t="inlineStr">
        <is>
          <t>이자·배당금 수취</t>
        </is>
      </c>
      <c r="C139" s="22" t="n">
        <v>0</v>
      </c>
      <c r="D139" s="22" t="n">
        <v>0</v>
      </c>
      <c r="E139" s="22" t="n">
        <v>0</v>
      </c>
      <c r="F139" s="22" t="n">
        <v>0</v>
      </c>
      <c r="G139" s="22" t="n">
        <v>0</v>
      </c>
      <c r="H139" s="22" t="n">
        <v>0</v>
      </c>
      <c r="I139" s="22" t="n">
        <v>1</v>
      </c>
      <c r="J139" s="22" t="n">
        <v>0</v>
      </c>
      <c r="K139" s="22" t="n">
        <v>1</v>
      </c>
      <c r="L139" s="22" t="n">
        <v>2</v>
      </c>
      <c r="M139" s="22" t="n">
        <v>5</v>
      </c>
      <c r="O139" s="22" t="n">
        <v>2</v>
      </c>
      <c r="P139" s="22" t="n">
        <v>1</v>
      </c>
      <c r="Q139" s="22" t="n">
        <v>1</v>
      </c>
      <c r="R139" s="22" t="n">
        <v>1</v>
      </c>
      <c r="S139" s="22" t="n">
        <v>0</v>
      </c>
      <c r="T139" s="22" t="n">
        <v>0</v>
      </c>
      <c r="U139" s="22" t="n">
        <v>0</v>
      </c>
      <c r="V139" s="22" t="n">
        <v>0</v>
      </c>
      <c r="W139" s="22" t="n">
        <v>1</v>
      </c>
      <c r="X139" s="22" t="n">
        <v>5</v>
      </c>
    </row>
    <row r="140">
      <c r="A140" s="20" t="inlineStr">
        <is>
          <t>법인세 납부</t>
        </is>
      </c>
      <c r="C140" s="22" t="n">
        <v>-251</v>
      </c>
      <c r="D140" s="22" t="n">
        <v>-512</v>
      </c>
      <c r="E140" s="22" t="n">
        <v>-512</v>
      </c>
      <c r="F140" s="22" t="n">
        <v>-301</v>
      </c>
      <c r="G140" s="22" t="n">
        <v>-301</v>
      </c>
      <c r="H140" s="22" t="n">
        <v>-582</v>
      </c>
      <c r="I140" s="22" t="n">
        <v>-582</v>
      </c>
      <c r="J140" s="22" t="n">
        <v>-281</v>
      </c>
      <c r="K140" s="22" t="n">
        <v>-281</v>
      </c>
      <c r="L140" s="22" t="n">
        <v>-563</v>
      </c>
      <c r="M140" s="22" t="n">
        <v>-563</v>
      </c>
      <c r="O140" s="22" t="n">
        <v>-263</v>
      </c>
      <c r="P140" s="22" t="n">
        <v>-266</v>
      </c>
      <c r="Q140" s="22" t="n">
        <v>-331</v>
      </c>
      <c r="R140" s="22" t="n">
        <v>-335</v>
      </c>
      <c r="S140" s="22" t="n">
        <v>-250</v>
      </c>
      <c r="T140" s="22" t="n">
        <v>-536</v>
      </c>
      <c r="U140" s="22" t="n">
        <v>-586</v>
      </c>
      <c r="V140" s="22" t="n">
        <v>-512</v>
      </c>
      <c r="W140" s="22" t="n">
        <v>-582</v>
      </c>
      <c r="X140" s="22" t="n">
        <v>-563</v>
      </c>
    </row>
    <row r="141">
      <c r="A141" s="20" t="inlineStr">
        <is>
          <t>보조금 수취</t>
        </is>
      </c>
      <c r="G141" s="22" t="n">
        <v>0</v>
      </c>
      <c r="H141" s="22" t="n">
        <v>0</v>
      </c>
      <c r="I141" s="22" t="n">
        <v>0</v>
      </c>
      <c r="K141" s="22" t="n">
        <v>10</v>
      </c>
      <c r="L141" s="22" t="n">
        <v>10</v>
      </c>
      <c r="M141" s="22" t="n">
        <v>10</v>
      </c>
      <c r="W141" s="22" t="n">
        <v>0</v>
      </c>
      <c r="X141" s="22" t="n">
        <v>10</v>
      </c>
    </row>
    <row r="142">
      <c r="A142" s="9" t="inlineStr">
        <is>
          <t>영업활동 현금흐름</t>
        </is>
      </c>
      <c r="C142" s="12" t="n">
        <v>482</v>
      </c>
      <c r="D142" s="12" t="n">
        <v>655</v>
      </c>
      <c r="E142" s="12" t="n">
        <v>1389</v>
      </c>
      <c r="F142" s="12" t="n">
        <v>-84</v>
      </c>
      <c r="G142" s="12" t="n">
        <v>197</v>
      </c>
      <c r="H142" s="12" t="n">
        <v>406</v>
      </c>
      <c r="I142" s="12" t="n">
        <v>766</v>
      </c>
      <c r="J142" s="12" t="n">
        <v>444</v>
      </c>
      <c r="K142" s="12" t="n">
        <v>722</v>
      </c>
      <c r="L142" s="12" t="n">
        <v>826</v>
      </c>
      <c r="M142" s="12" t="n">
        <v>1389</v>
      </c>
      <c r="O142" s="12" t="n">
        <v>166</v>
      </c>
      <c r="P142" s="12" t="n">
        <v>698</v>
      </c>
      <c r="Q142" s="12" t="n">
        <v>1205</v>
      </c>
      <c r="R142" s="12" t="n">
        <v>428</v>
      </c>
      <c r="S142" s="12" t="n">
        <v>1077</v>
      </c>
      <c r="T142" s="12" t="n">
        <v>948</v>
      </c>
      <c r="U142" s="12" t="n">
        <v>1579</v>
      </c>
      <c r="V142" s="12" t="n">
        <v>1389</v>
      </c>
      <c r="W142" s="12" t="n">
        <v>766</v>
      </c>
      <c r="X142" s="12" t="n">
        <v>1389</v>
      </c>
    </row>
    <row r="143">
      <c r="A143" s="20" t="inlineStr">
        <is>
          <t>임차보증금·보증금 납입</t>
        </is>
      </c>
      <c r="O143" s="22" t="n">
        <v>-4</v>
      </c>
      <c r="P143" s="22" t="n">
        <v>-24</v>
      </c>
      <c r="Q143" s="22" t="n">
        <v>-4</v>
      </c>
      <c r="R143" s="22" t="n">
        <v>0</v>
      </c>
      <c r="S143" s="22" t="n">
        <v>-31</v>
      </c>
      <c r="T143" s="22" t="n">
        <v>0</v>
      </c>
    </row>
    <row r="144">
      <c r="A144" s="20" t="inlineStr">
        <is>
          <t>임차보증금·보증금 회수</t>
        </is>
      </c>
      <c r="R144" s="22" t="n">
        <v>0</v>
      </c>
      <c r="S144" s="22" t="n">
        <v>20</v>
      </c>
      <c r="T144" s="22" t="n">
        <v>0</v>
      </c>
    </row>
    <row r="145">
      <c r="A145" s="20" t="inlineStr">
        <is>
          <t>보험적립금 적립</t>
        </is>
      </c>
      <c r="E145" s="22" t="n">
        <v>-218</v>
      </c>
      <c r="I145" s="22" t="n">
        <v>0</v>
      </c>
      <c r="O145" s="22" t="n">
        <v>-1</v>
      </c>
      <c r="P145" s="22" t="n">
        <v>-11</v>
      </c>
      <c r="Q145" s="22" t="n">
        <v>0</v>
      </c>
      <c r="R145" s="22" t="n">
        <v>-21</v>
      </c>
      <c r="S145" s="22" t="n">
        <v>-57</v>
      </c>
      <c r="T145" s="22" t="n">
        <v>-30</v>
      </c>
      <c r="U145" s="22" t="n">
        <v>-105</v>
      </c>
      <c r="V145" s="22" t="n">
        <v>-218</v>
      </c>
      <c r="W145" s="22" t="n">
        <v>0</v>
      </c>
    </row>
    <row r="146">
      <c r="A146" s="20" t="inlineStr">
        <is>
          <t>보험적립금 환급</t>
        </is>
      </c>
      <c r="O146" s="22" t="n">
        <v>23</v>
      </c>
      <c r="P146" s="22" t="n">
        <v>0</v>
      </c>
    </row>
    <row r="147">
      <c r="A147" s="20" t="inlineStr">
        <is>
          <t>보험적립금 해약</t>
        </is>
      </c>
      <c r="C147" s="22" t="n">
        <v>6</v>
      </c>
      <c r="D147" s="22" t="n">
        <v>6</v>
      </c>
      <c r="E147" s="22" t="n">
        <v>247</v>
      </c>
      <c r="G147" s="22" t="n">
        <v>0</v>
      </c>
      <c r="H147" s="22" t="n">
        <v>0</v>
      </c>
      <c r="I147" s="22" t="n">
        <v>0</v>
      </c>
      <c r="O147" s="22" t="n">
        <v>0</v>
      </c>
      <c r="P147" s="22" t="n">
        <v>13</v>
      </c>
      <c r="Q147" s="22" t="n">
        <v>34</v>
      </c>
      <c r="R147" s="22" t="n">
        <v>44</v>
      </c>
      <c r="S147" s="22" t="n">
        <v>68</v>
      </c>
      <c r="T147" s="22" t="n">
        <v>0</v>
      </c>
      <c r="U147" s="22" t="n">
        <v>121</v>
      </c>
      <c r="V147" s="22" t="n">
        <v>247</v>
      </c>
      <c r="W147" s="22" t="n">
        <v>0</v>
      </c>
    </row>
    <row r="148">
      <c r="A148" s="20" t="inlineStr">
        <is>
          <t>장기선급비용 지출</t>
        </is>
      </c>
      <c r="O148" s="22" t="n">
        <v>-2</v>
      </c>
      <c r="P148" s="22" t="n">
        <v>0</v>
      </c>
    </row>
    <row r="149">
      <c r="A149" s="20" t="inlineStr">
        <is>
          <t>유·무형자산 취득 지출</t>
        </is>
      </c>
      <c r="C149" s="22" t="n">
        <v>-1</v>
      </c>
      <c r="D149" s="22" t="n">
        <v>-1</v>
      </c>
      <c r="E149" s="22" t="n">
        <v>-1</v>
      </c>
      <c r="F149" s="22" t="n">
        <v>-1</v>
      </c>
      <c r="G149" s="22" t="n">
        <v>-3</v>
      </c>
      <c r="H149" s="22" t="n">
        <v>-8</v>
      </c>
      <c r="I149" s="22" t="n">
        <v>-27</v>
      </c>
      <c r="J149" s="22" t="n">
        <v>-23</v>
      </c>
      <c r="K149" s="22" t="n">
        <v>-40</v>
      </c>
      <c r="L149" s="22" t="n">
        <v>-52</v>
      </c>
      <c r="M149" s="22" t="n">
        <v>-52</v>
      </c>
      <c r="O149" s="22" t="n">
        <v>-24</v>
      </c>
      <c r="P149" s="22" t="n">
        <v>-78</v>
      </c>
      <c r="Q149" s="22" t="n">
        <v>-61</v>
      </c>
      <c r="R149" s="22" t="n">
        <v>-18</v>
      </c>
      <c r="S149" s="22" t="n">
        <v>-41</v>
      </c>
      <c r="T149" s="22" t="n">
        <v>-46</v>
      </c>
      <c r="U149" s="22" t="n">
        <v>-0</v>
      </c>
      <c r="V149" s="22" t="n">
        <v>-1</v>
      </c>
      <c r="W149" s="22" t="n">
        <v>-27</v>
      </c>
      <c r="X149" s="22" t="n">
        <v>-52</v>
      </c>
    </row>
    <row r="150">
      <c r="A150" s="20" t="inlineStr">
        <is>
          <t>투자유가증권 매각</t>
        </is>
      </c>
      <c r="O150" s="22" t="n">
        <v>16</v>
      </c>
      <c r="P150" s="22" t="n">
        <v>0</v>
      </c>
    </row>
    <row r="151">
      <c r="A151" s="20" t="inlineStr">
        <is>
          <t>정기예금 예입</t>
        </is>
      </c>
      <c r="C151" s="22" t="n">
        <v>-1150</v>
      </c>
      <c r="D151" s="22" t="n">
        <v>-1500</v>
      </c>
      <c r="E151" s="22" t="n">
        <v>-1800</v>
      </c>
      <c r="F151" s="22" t="n">
        <v>-550</v>
      </c>
      <c r="G151" s="22" t="n">
        <v>-1150</v>
      </c>
      <c r="H151" s="22" t="n">
        <v>-1500</v>
      </c>
      <c r="I151" s="22" t="n">
        <v>-2400</v>
      </c>
      <c r="J151" s="22" t="n">
        <v>-550</v>
      </c>
      <c r="K151" s="22" t="n">
        <v>-1150</v>
      </c>
      <c r="L151" s="22" t="n">
        <v>-1500</v>
      </c>
      <c r="M151" s="22" t="n">
        <v>-1800</v>
      </c>
      <c r="O151" s="22" t="n">
        <v>-3100</v>
      </c>
      <c r="P151" s="22" t="n">
        <v>-2400</v>
      </c>
      <c r="Q151" s="22" t="n">
        <v>-1300</v>
      </c>
      <c r="R151" s="22" t="n">
        <v>-2400</v>
      </c>
      <c r="S151" s="22" t="n">
        <v>-1300</v>
      </c>
      <c r="T151" s="22" t="n">
        <v>-1300</v>
      </c>
      <c r="U151" s="22" t="n">
        <v>-1800</v>
      </c>
      <c r="V151" s="22" t="n">
        <v>-1800</v>
      </c>
      <c r="W151" s="22" t="n">
        <v>-2400</v>
      </c>
      <c r="X151" s="22" t="n">
        <v>-1800</v>
      </c>
    </row>
    <row r="152">
      <c r="A152" s="20" t="inlineStr">
        <is>
          <t>정기예금 인출</t>
        </is>
      </c>
      <c r="C152" s="22" t="n">
        <v>1150</v>
      </c>
      <c r="D152" s="22" t="n">
        <v>1500</v>
      </c>
      <c r="E152" s="22" t="n">
        <v>1800</v>
      </c>
      <c r="F152" s="22" t="n">
        <v>550</v>
      </c>
      <c r="G152" s="22" t="n">
        <v>1150</v>
      </c>
      <c r="H152" s="22" t="n">
        <v>1500</v>
      </c>
      <c r="I152" s="22" t="n">
        <v>2400</v>
      </c>
      <c r="J152" s="22" t="n">
        <v>550</v>
      </c>
      <c r="K152" s="22" t="n">
        <v>1150</v>
      </c>
      <c r="L152" s="22" t="n">
        <v>1500</v>
      </c>
      <c r="M152" s="22" t="n">
        <v>1800</v>
      </c>
      <c r="O152" s="22" t="n">
        <v>3400</v>
      </c>
      <c r="P152" s="22" t="n">
        <v>2400</v>
      </c>
      <c r="Q152" s="22" t="n">
        <v>1300</v>
      </c>
      <c r="R152" s="22" t="n">
        <v>2400</v>
      </c>
      <c r="S152" s="22" t="n">
        <v>1300</v>
      </c>
      <c r="T152" s="22" t="n">
        <v>1300</v>
      </c>
      <c r="U152" s="22" t="n">
        <v>1800</v>
      </c>
      <c r="V152" s="22" t="n">
        <v>1800</v>
      </c>
      <c r="W152" s="22" t="n">
        <v>2400</v>
      </c>
      <c r="X152" s="22" t="n">
        <v>1800</v>
      </c>
    </row>
    <row r="153">
      <c r="A153" s="20" t="inlineStr">
        <is>
          <t>투자유가증권 취득</t>
        </is>
      </c>
      <c r="D153" s="22" t="n">
        <v>0</v>
      </c>
      <c r="H153" s="22" t="n">
        <v>-10</v>
      </c>
    </row>
    <row r="154">
      <c r="A154" s="20" t="inlineStr">
        <is>
          <t>골프회원권 매각</t>
        </is>
      </c>
      <c r="C154" s="22" t="n">
        <v>0</v>
      </c>
      <c r="D154" s="22" t="n">
        <v>0</v>
      </c>
      <c r="E154" s="22" t="n">
        <v>0</v>
      </c>
      <c r="G154" s="22" t="n">
        <v>5</v>
      </c>
      <c r="H154" s="22" t="n">
        <v>5</v>
      </c>
      <c r="I154" s="22" t="n">
        <v>5</v>
      </c>
      <c r="K154" s="22" t="n">
        <v>0</v>
      </c>
      <c r="L154" s="22" t="n">
        <v>0</v>
      </c>
      <c r="M154" s="22" t="n">
        <v>0</v>
      </c>
      <c r="V154" s="22" t="n">
        <v>0</v>
      </c>
      <c r="W154" s="22" t="n">
        <v>5</v>
      </c>
      <c r="X154" s="22" t="n">
        <v>0</v>
      </c>
    </row>
    <row r="155">
      <c r="A155" s="20" t="inlineStr">
        <is>
          <t>기타</t>
        </is>
      </c>
      <c r="C155" s="22" t="n">
        <v>0</v>
      </c>
      <c r="E155" s="22" t="n">
        <v>-5</v>
      </c>
      <c r="G155" s="22" t="n">
        <v>-0</v>
      </c>
      <c r="H155" s="22" t="n">
        <v>-10</v>
      </c>
      <c r="I155" s="22" t="n">
        <v>-10</v>
      </c>
      <c r="K155" s="22" t="n">
        <v>-0</v>
      </c>
      <c r="L155" s="22" t="n">
        <v>-0</v>
      </c>
      <c r="M155" s="22" t="n">
        <v>-7</v>
      </c>
      <c r="O155" s="22" t="n">
        <v>-0</v>
      </c>
      <c r="P155" s="22" t="n">
        <v>-0</v>
      </c>
      <c r="Q155" s="22" t="n">
        <v>-7</v>
      </c>
      <c r="R155" s="22" t="n">
        <v>-1</v>
      </c>
      <c r="S155" s="22" t="n">
        <v>2</v>
      </c>
      <c r="T155" s="22" t="n">
        <v>0</v>
      </c>
      <c r="U155" s="22" t="n">
        <v>0</v>
      </c>
      <c r="V155" s="22" t="n">
        <v>-5</v>
      </c>
      <c r="W155" s="22" t="n">
        <v>-10</v>
      </c>
      <c r="X155" s="22" t="n">
        <v>-7</v>
      </c>
    </row>
    <row r="156">
      <c r="A156" s="9" t="inlineStr">
        <is>
          <t>투자활동 현금흐름</t>
        </is>
      </c>
      <c r="C156" s="12" t="n">
        <v>6</v>
      </c>
      <c r="D156" s="12" t="n">
        <v>6</v>
      </c>
      <c r="E156" s="12" t="n">
        <v>23</v>
      </c>
      <c r="F156" s="12" t="n">
        <v>-1</v>
      </c>
      <c r="G156" s="12" t="n">
        <v>2</v>
      </c>
      <c r="H156" s="12" t="n">
        <v>-13</v>
      </c>
      <c r="I156" s="12" t="n">
        <v>-32</v>
      </c>
      <c r="J156" s="12" t="n">
        <v>-23</v>
      </c>
      <c r="K156" s="12" t="n">
        <v>-40</v>
      </c>
      <c r="L156" s="12" t="n">
        <v>-52</v>
      </c>
      <c r="M156" s="12" t="n">
        <v>-59</v>
      </c>
      <c r="O156" s="12" t="n">
        <v>309</v>
      </c>
      <c r="P156" s="12" t="n">
        <v>-100</v>
      </c>
      <c r="Q156" s="12" t="n">
        <v>-38</v>
      </c>
      <c r="R156" s="12" t="n">
        <v>5</v>
      </c>
      <c r="S156" s="12" t="n">
        <v>-38</v>
      </c>
      <c r="T156" s="12" t="n">
        <v>-76</v>
      </c>
      <c r="U156" s="12" t="n">
        <v>15</v>
      </c>
      <c r="V156" s="12" t="n">
        <v>23</v>
      </c>
      <c r="W156" s="12" t="n">
        <v>-32</v>
      </c>
      <c r="X156" s="12" t="n">
        <v>-59</v>
      </c>
    </row>
    <row r="157">
      <c r="A157" s="20" t="inlineStr">
        <is>
          <t>배당금 지급</t>
        </is>
      </c>
      <c r="C157" s="22" t="n">
        <v>-256</v>
      </c>
      <c r="D157" s="22" t="n">
        <v>-507</v>
      </c>
      <c r="E157" s="22" t="n">
        <v>-507</v>
      </c>
      <c r="F157" s="22" t="n">
        <v>-254</v>
      </c>
      <c r="G157" s="22" t="n">
        <v>-254</v>
      </c>
      <c r="H157" s="22" t="n">
        <v>-509</v>
      </c>
      <c r="I157" s="22" t="n">
        <v>-509</v>
      </c>
      <c r="J157" s="22" t="n">
        <v>-267</v>
      </c>
      <c r="K157" s="22" t="n">
        <v>-267</v>
      </c>
      <c r="L157" s="22" t="n">
        <v>-534</v>
      </c>
      <c r="M157" s="22" t="n">
        <v>-534</v>
      </c>
      <c r="O157" s="22" t="n">
        <v>-190</v>
      </c>
      <c r="P157" s="22" t="n">
        <v>-207</v>
      </c>
      <c r="Q157" s="22" t="n">
        <v>-231</v>
      </c>
      <c r="R157" s="22" t="n">
        <v>-244</v>
      </c>
      <c r="S157" s="22" t="n">
        <v>-244</v>
      </c>
      <c r="T157" s="22" t="n">
        <v>-348</v>
      </c>
      <c r="U157" s="22" t="n">
        <v>-506</v>
      </c>
      <c r="V157" s="22" t="n">
        <v>-507</v>
      </c>
      <c r="W157" s="22" t="n">
        <v>-509</v>
      </c>
      <c r="X157" s="22" t="n">
        <v>-534</v>
      </c>
    </row>
    <row r="158">
      <c r="A158" s="20" t="inlineStr">
        <is>
          <t>자기주식 취득</t>
        </is>
      </c>
      <c r="C158" s="22" t="n">
        <v>-0</v>
      </c>
      <c r="D158" s="22" t="n">
        <v>-133</v>
      </c>
      <c r="E158" s="22" t="n">
        <v>-133</v>
      </c>
      <c r="F158" s="22" t="n">
        <v>-0</v>
      </c>
      <c r="G158" s="22" t="n">
        <v>-0</v>
      </c>
      <c r="H158" s="22" t="n">
        <v>-0</v>
      </c>
      <c r="I158" s="22" t="n">
        <v>-1</v>
      </c>
      <c r="J158" s="22" t="n">
        <v>-0</v>
      </c>
      <c r="K158" s="22" t="n">
        <v>-0</v>
      </c>
      <c r="L158" s="22" t="n">
        <v>-1447</v>
      </c>
      <c r="M158" s="22" t="n">
        <v>-1447</v>
      </c>
      <c r="O158" s="22" t="n">
        <v>-0</v>
      </c>
      <c r="P158" s="22" t="n">
        <v>-0</v>
      </c>
      <c r="Q158" s="22" t="n">
        <v>-0</v>
      </c>
      <c r="R158" s="22" t="n">
        <v>-0</v>
      </c>
      <c r="S158" s="22" t="n">
        <v>-193</v>
      </c>
      <c r="T158" s="22" t="n">
        <v>-2</v>
      </c>
      <c r="U158" s="22" t="n">
        <v>-1</v>
      </c>
      <c r="V158" s="22" t="n">
        <v>-133</v>
      </c>
      <c r="W158" s="22" t="n">
        <v>-1</v>
      </c>
      <c r="X158" s="22" t="n">
        <v>-1447</v>
      </c>
    </row>
    <row r="159">
      <c r="A159" s="20" t="inlineStr">
        <is>
          <t>기타</t>
        </is>
      </c>
      <c r="D159" s="22" t="n">
        <v>0</v>
      </c>
      <c r="E159" s="22" t="n">
        <v>0</v>
      </c>
      <c r="H159" s="22" t="n">
        <v>0</v>
      </c>
      <c r="I159" s="22" t="n">
        <v>0</v>
      </c>
      <c r="M159" s="22" t="n">
        <v>0</v>
      </c>
      <c r="R159" s="22" t="n">
        <v>0</v>
      </c>
      <c r="S159" s="22" t="n">
        <v>0</v>
      </c>
      <c r="T159" s="22" t="n">
        <v>3</v>
      </c>
      <c r="U159" s="22" t="n">
        <v>0</v>
      </c>
      <c r="V159" s="22" t="n">
        <v>0</v>
      </c>
      <c r="W159" s="22" t="n">
        <v>0</v>
      </c>
      <c r="X159" s="22" t="n">
        <v>0</v>
      </c>
    </row>
    <row r="160">
      <c r="A160" s="9" t="inlineStr">
        <is>
          <t>재무활동 현금흐름</t>
        </is>
      </c>
      <c r="C160" s="12" t="n">
        <v>-256</v>
      </c>
      <c r="D160" s="12" t="n">
        <v>-639</v>
      </c>
      <c r="E160" s="12" t="n">
        <v>-640</v>
      </c>
      <c r="F160" s="12" t="n">
        <v>-254</v>
      </c>
      <c r="G160" s="12" t="n">
        <v>-255</v>
      </c>
      <c r="H160" s="12" t="n">
        <v>-510</v>
      </c>
      <c r="I160" s="12" t="n">
        <v>-510</v>
      </c>
      <c r="J160" s="12" t="n">
        <v>-267</v>
      </c>
      <c r="K160" s="12" t="n">
        <v>-267</v>
      </c>
      <c r="L160" s="12" t="n">
        <v>-1981</v>
      </c>
      <c r="M160" s="12" t="n">
        <v>-1981</v>
      </c>
      <c r="O160" s="12" t="n">
        <v>-190</v>
      </c>
      <c r="P160" s="12" t="n">
        <v>-207</v>
      </c>
      <c r="Q160" s="12" t="n">
        <v>-232</v>
      </c>
      <c r="R160" s="12" t="n">
        <v>-244</v>
      </c>
      <c r="S160" s="12" t="n">
        <v>-437</v>
      </c>
      <c r="T160" s="12" t="n">
        <v>-347</v>
      </c>
      <c r="U160" s="12" t="n">
        <v>-507</v>
      </c>
      <c r="V160" s="12" t="n">
        <v>-640</v>
      </c>
      <c r="W160" s="12" t="n">
        <v>-510</v>
      </c>
      <c r="X160" s="12" t="n">
        <v>-1981</v>
      </c>
    </row>
    <row r="161">
      <c r="A161" s="20" t="inlineStr">
        <is>
          <t>현금성자산 증감</t>
        </is>
      </c>
      <c r="C161" s="22" t="n">
        <v>232</v>
      </c>
      <c r="D161" s="22" t="n">
        <v>21</v>
      </c>
      <c r="E161" s="22" t="n">
        <v>772</v>
      </c>
      <c r="F161" s="22" t="n">
        <v>-340</v>
      </c>
      <c r="G161" s="22" t="n">
        <v>-55</v>
      </c>
      <c r="H161" s="22" t="n">
        <v>-117</v>
      </c>
      <c r="I161" s="22" t="n">
        <v>224</v>
      </c>
      <c r="J161" s="22" t="n">
        <v>155</v>
      </c>
      <c r="K161" s="22" t="n">
        <v>415</v>
      </c>
      <c r="L161" s="22" t="n">
        <v>-1206</v>
      </c>
      <c r="M161" s="22" t="n">
        <v>-651</v>
      </c>
      <c r="O161" s="22" t="n">
        <v>284</v>
      </c>
      <c r="P161" s="22" t="n">
        <v>390</v>
      </c>
      <c r="Q161" s="22" t="n">
        <v>936</v>
      </c>
      <c r="R161" s="22" t="n">
        <v>189</v>
      </c>
      <c r="S161" s="22" t="n">
        <v>602</v>
      </c>
      <c r="T161" s="22" t="n">
        <v>524</v>
      </c>
      <c r="U161" s="22" t="n">
        <v>1088</v>
      </c>
      <c r="V161" s="22" t="n">
        <v>772</v>
      </c>
      <c r="W161" s="22" t="n">
        <v>224</v>
      </c>
      <c r="X161" s="22" t="n">
        <v>-651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19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4299 재무상태표</t>
        </is>
      </c>
    </row>
    <row r="2">
      <c r="A2" s="46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2026.1Q</t>
        </is>
      </c>
      <c r="D3" s="5" t="inlineStr">
        <is>
          <t>2026.2Q</t>
        </is>
      </c>
      <c r="E3" s="5" t="inlineStr">
        <is>
          <t>2026.3Q</t>
        </is>
      </c>
      <c r="F3" s="5" t="inlineStr">
        <is>
          <t>2026.4Q</t>
        </is>
      </c>
      <c r="G3" s="5" t="inlineStr">
        <is>
          <t>2027.1Q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8" t="inlineStr">
        <is>
          <t>자산</t>
        </is>
      </c>
      <c r="B4" s="18" t="n"/>
      <c r="C4" s="19" t="n"/>
      <c r="D4" s="18" t="n"/>
      <c r="E4" s="18" t="n"/>
      <c r="F4" s="18" t="n"/>
      <c r="G4" s="18" t="n"/>
      <c r="H4" s="19" t="n"/>
      <c r="I4" s="18" t="n"/>
      <c r="J4" s="18" t="n"/>
      <c r="K4" s="18" t="n"/>
      <c r="L4" s="18" t="n"/>
    </row>
    <row r="5">
      <c r="A5" s="9" t="inlineStr">
        <is>
          <t>유동자산</t>
        </is>
      </c>
      <c r="B5" s="10" t="n"/>
      <c r="C5" s="11" t="n">
        <v>12218</v>
      </c>
      <c r="D5" s="12" t="n">
        <v>12561</v>
      </c>
      <c r="E5" s="12" t="n">
        <v>11047</v>
      </c>
      <c r="F5" s="12" t="n">
        <v>11620</v>
      </c>
      <c r="G5" s="12" t="n">
        <v>10862</v>
      </c>
      <c r="H5" s="11" t="n">
        <v>10286</v>
      </c>
      <c r="I5" s="12" t="n">
        <v>10993</v>
      </c>
      <c r="J5" s="12" t="n">
        <v>12366</v>
      </c>
      <c r="K5" s="12" t="n">
        <v>12575</v>
      </c>
      <c r="L5" s="12" t="n">
        <v>11620</v>
      </c>
    </row>
    <row r="6">
      <c r="A6" s="20" t="inlineStr">
        <is>
          <t>현금및현금성자산</t>
        </is>
      </c>
      <c r="B6" s="10" t="n"/>
      <c r="C6" s="21" t="n">
        <v>9624</v>
      </c>
      <c r="D6" s="22" t="n">
        <v>9885</v>
      </c>
      <c r="E6" s="22" t="n">
        <v>8263</v>
      </c>
      <c r="F6" s="22" t="n">
        <v>8818</v>
      </c>
      <c r="G6" s="22" t="n">
        <v>7808</v>
      </c>
      <c r="H6" s="21" t="n">
        <v>7386</v>
      </c>
      <c r="I6" s="22" t="n">
        <v>8474</v>
      </c>
      <c r="J6" s="22" t="n">
        <v>9846</v>
      </c>
      <c r="K6" s="22" t="n">
        <v>9469</v>
      </c>
      <c r="L6" s="22" t="n">
        <v>8818</v>
      </c>
    </row>
    <row r="7">
      <c r="A7" s="20" t="inlineStr">
        <is>
          <t>단기금융상품</t>
        </is>
      </c>
      <c r="B7" s="10" t="n"/>
      <c r="C7" s="21" t="n"/>
      <c r="D7" s="22" t="n"/>
      <c r="E7" s="22" t="n"/>
      <c r="F7" s="22" t="n"/>
      <c r="G7" s="22" t="n"/>
      <c r="H7" s="21" t="n"/>
      <c r="I7" s="22" t="n"/>
      <c r="J7" s="22" t="n"/>
      <c r="K7" s="22" t="n"/>
      <c r="L7" s="22" t="n"/>
    </row>
    <row r="8">
      <c r="A8" s="20" t="inlineStr">
        <is>
          <t>매출채권</t>
        </is>
      </c>
      <c r="B8" s="10" t="n"/>
      <c r="C8" s="21" t="n">
        <v>2367</v>
      </c>
      <c r="D8" s="22" t="n">
        <v>2445</v>
      </c>
      <c r="E8" s="22" t="n">
        <v>2556</v>
      </c>
      <c r="F8" s="22" t="n">
        <v>2544</v>
      </c>
      <c r="G8" s="22" t="n">
        <v>2697</v>
      </c>
      <c r="H8" s="21" t="n">
        <v>2485</v>
      </c>
      <c r="I8" s="22" t="n">
        <v>2323</v>
      </c>
      <c r="J8" s="22" t="n">
        <v>2430</v>
      </c>
      <c r="K8" s="22" t="n">
        <v>2766</v>
      </c>
      <c r="L8" s="22" t="n">
        <v>2544</v>
      </c>
    </row>
    <row r="9">
      <c r="A9" s="20" t="inlineStr">
        <is>
          <t>재고자산</t>
        </is>
      </c>
      <c r="B9" s="10" t="n"/>
      <c r="C9" s="21" t="n">
        <v>47</v>
      </c>
      <c r="D9" s="22" t="n">
        <v>42</v>
      </c>
      <c r="E9" s="22" t="n">
        <v>73</v>
      </c>
      <c r="F9" s="22" t="n">
        <v>42</v>
      </c>
      <c r="G9" s="22" t="n">
        <v>68</v>
      </c>
      <c r="H9" s="21" t="n">
        <v>64</v>
      </c>
      <c r="I9" s="22" t="n">
        <v>33</v>
      </c>
      <c r="J9" s="22" t="n">
        <v>21</v>
      </c>
      <c r="K9" s="22" t="n">
        <v>14</v>
      </c>
      <c r="L9" s="22" t="n">
        <v>42</v>
      </c>
    </row>
    <row r="10">
      <c r="A10" s="20" t="inlineStr">
        <is>
          <t>기타유동자산</t>
        </is>
      </c>
      <c r="B10" s="10" t="inlineStr">
        <is>
          <t>총계 − 위 항목</t>
        </is>
      </c>
      <c r="C10" s="21">
        <f>IF(OR(C5=""),"",IFERROR(C5-SUM(C6,C7,C8,C9),""))</f>
        <v/>
      </c>
      <c r="D10" s="22">
        <f>IF(OR(D5=""),"",IFERROR(D5-SUM(D6,D7,D8,D9),""))</f>
        <v/>
      </c>
      <c r="E10" s="22">
        <f>IF(OR(E5=""),"",IFERROR(E5-SUM(E6,E7,E8,E9),""))</f>
        <v/>
      </c>
      <c r="F10" s="22">
        <f>IF(OR(F5=""),"",IFERROR(F5-SUM(F6,F7,F8,F9),""))</f>
        <v/>
      </c>
      <c r="G10" s="22">
        <f>IF(OR(G5=""),"",IFERROR(G5-SUM(G6,G7,G8,G9),""))</f>
        <v/>
      </c>
      <c r="H10" s="21">
        <f>IF(OR(H5=""),"",IFERROR(H5-SUM(H6,H7,H8,H9),""))</f>
        <v/>
      </c>
      <c r="I10" s="22">
        <f>IF(OR(I5=""),"",IFERROR(I5-SUM(I6,I7,I8,I9),""))</f>
        <v/>
      </c>
      <c r="J10" s="22">
        <f>IF(OR(J5=""),"",IFERROR(J5-SUM(J6,J7,J8,J9),""))</f>
        <v/>
      </c>
      <c r="K10" s="22">
        <f>IF(OR(K5=""),"",IFERROR(K5-SUM(K6,K7,K8,K9),""))</f>
        <v/>
      </c>
      <c r="L10" s="22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1877</v>
      </c>
      <c r="D11" s="12" t="n">
        <v>1895</v>
      </c>
      <c r="E11" s="12" t="n">
        <v>1905</v>
      </c>
      <c r="F11" s="12" t="n">
        <v>1902</v>
      </c>
      <c r="G11" s="12" t="n">
        <v>2702</v>
      </c>
      <c r="H11" s="11" t="n">
        <v>1970</v>
      </c>
      <c r="I11" s="12" t="n">
        <v>1882</v>
      </c>
      <c r="J11" s="12" t="n">
        <v>1224</v>
      </c>
      <c r="K11" s="12" t="n">
        <v>1854</v>
      </c>
      <c r="L11" s="12" t="n">
        <v>1902</v>
      </c>
    </row>
    <row r="12">
      <c r="A12" s="20" t="inlineStr">
        <is>
          <t>유형자산</t>
        </is>
      </c>
      <c r="B12" s="10" t="n"/>
      <c r="C12" s="21" t="n">
        <v>71</v>
      </c>
      <c r="D12" s="22" t="n">
        <v>67</v>
      </c>
      <c r="E12" s="22" t="n">
        <v>63</v>
      </c>
      <c r="F12" s="22" t="n">
        <v>56</v>
      </c>
      <c r="G12" s="22" t="n">
        <v>59</v>
      </c>
      <c r="H12" s="21" t="n">
        <v>129</v>
      </c>
      <c r="I12" s="22" t="n">
        <v>105</v>
      </c>
      <c r="J12" s="22" t="n">
        <v>87</v>
      </c>
      <c r="K12" s="22" t="n">
        <v>75</v>
      </c>
      <c r="L12" s="22" t="n">
        <v>56</v>
      </c>
    </row>
    <row r="13">
      <c r="A13" s="20" t="inlineStr">
        <is>
          <t>무형자산</t>
        </is>
      </c>
      <c r="B13" s="10" t="n"/>
      <c r="C13" s="21" t="n">
        <v>45</v>
      </c>
      <c r="D13" s="22" t="n">
        <v>62</v>
      </c>
      <c r="E13" s="22" t="n">
        <v>72</v>
      </c>
      <c r="F13" s="22" t="n">
        <v>68</v>
      </c>
      <c r="G13" s="22" t="n">
        <v>848</v>
      </c>
      <c r="H13" s="21" t="n">
        <v>41</v>
      </c>
      <c r="I13" s="22" t="n">
        <v>21</v>
      </c>
      <c r="J13" s="22" t="n">
        <v>2</v>
      </c>
      <c r="K13" s="22" t="n">
        <v>22</v>
      </c>
      <c r="L13" s="22" t="n">
        <v>68</v>
      </c>
    </row>
    <row r="14">
      <c r="A14" s="20" t="inlineStr">
        <is>
          <t>투자부동산</t>
        </is>
      </c>
      <c r="B14" s="10" t="n"/>
      <c r="C14" s="21" t="n"/>
      <c r="D14" s="22" t="n"/>
      <c r="E14" s="22" t="n"/>
      <c r="F14" s="22" t="n"/>
      <c r="G14" s="22" t="n"/>
      <c r="H14" s="21" t="n"/>
      <c r="I14" s="22" t="n"/>
      <c r="J14" s="22" t="n"/>
      <c r="K14" s="22" t="n"/>
      <c r="L14" s="22" t="n"/>
    </row>
    <row r="15">
      <c r="A15" s="20" t="inlineStr">
        <is>
          <t>기타비유동자산</t>
        </is>
      </c>
      <c r="B15" s="10" t="inlineStr">
        <is>
          <t>총계 − 위 항목</t>
        </is>
      </c>
      <c r="C15" s="21">
        <f>IF(OR(C11=""),"",IFERROR(C11-SUM(C12,C13,C14),""))</f>
        <v/>
      </c>
      <c r="D15" s="22">
        <f>IF(OR(D11=""),"",IFERROR(D11-SUM(D12,D13,D14),""))</f>
        <v/>
      </c>
      <c r="E15" s="22">
        <f>IF(OR(E11=""),"",IFERROR(E11-SUM(E12,E13,E14),""))</f>
        <v/>
      </c>
      <c r="F15" s="22">
        <f>IF(OR(F11=""),"",IFERROR(F11-SUM(F12,F13,F14),""))</f>
        <v/>
      </c>
      <c r="G15" s="22">
        <f>IF(OR(G11=""),"",IFERROR(G11-SUM(G12,G13,G14),""))</f>
        <v/>
      </c>
      <c r="H15" s="21">
        <f>IF(OR(H11=""),"",IFERROR(H11-SUM(H12,H13,H14),""))</f>
        <v/>
      </c>
      <c r="I15" s="22">
        <f>IF(OR(I11=""),"",IFERROR(I11-SUM(I12,I13,I14),""))</f>
        <v/>
      </c>
      <c r="J15" s="22">
        <f>IF(OR(J11=""),"",IFERROR(J11-SUM(J12,J13,J14),""))</f>
        <v/>
      </c>
      <c r="K15" s="22">
        <f>IF(OR(K11=""),"",IFERROR(K11-SUM(K12,K13,K14),""))</f>
        <v/>
      </c>
      <c r="L15" s="22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14095</v>
      </c>
      <c r="D16" s="12" t="n">
        <v>14456</v>
      </c>
      <c r="E16" s="12" t="n">
        <v>12952</v>
      </c>
      <c r="F16" s="12" t="n">
        <v>13522</v>
      </c>
      <c r="G16" s="12" t="n">
        <v>13564</v>
      </c>
      <c r="H16" s="11" t="n">
        <v>12257</v>
      </c>
      <c r="I16" s="12" t="n">
        <v>12875</v>
      </c>
      <c r="J16" s="12" t="n">
        <v>13590</v>
      </c>
      <c r="K16" s="12" t="n">
        <v>14430</v>
      </c>
      <c r="L16" s="12" t="n">
        <v>13522</v>
      </c>
    </row>
    <row r="17">
      <c r="A17" s="18" t="inlineStr">
        <is>
          <t>부채</t>
        </is>
      </c>
      <c r="B17" s="18" t="n"/>
      <c r="C17" s="19" t="n"/>
      <c r="D17" s="18" t="n"/>
      <c r="E17" s="18" t="n"/>
      <c r="F17" s="18" t="n"/>
      <c r="G17" s="18" t="n"/>
      <c r="H17" s="19" t="n"/>
      <c r="I17" s="18" t="n"/>
      <c r="J17" s="18" t="n"/>
      <c r="K17" s="18" t="n"/>
      <c r="L17" s="18" t="n"/>
    </row>
    <row r="18">
      <c r="A18" s="9" t="inlineStr">
        <is>
          <t>유동부채</t>
        </is>
      </c>
      <c r="B18" s="10" t="n"/>
      <c r="C18" s="11" t="n">
        <v>2184</v>
      </c>
      <c r="D18" s="12" t="n">
        <v>2204</v>
      </c>
      <c r="E18" s="12" t="n">
        <v>2119</v>
      </c>
      <c r="F18" s="12" t="n">
        <v>2326</v>
      </c>
      <c r="G18" s="12" t="n">
        <v>2444</v>
      </c>
      <c r="H18" s="11" t="n">
        <v>2436</v>
      </c>
      <c r="I18" s="12" t="n">
        <v>2221</v>
      </c>
      <c r="J18" s="12" t="n">
        <v>2332</v>
      </c>
      <c r="K18" s="12" t="n">
        <v>2402</v>
      </c>
      <c r="L18" s="12" t="n">
        <v>2326</v>
      </c>
    </row>
    <row r="19">
      <c r="A19" s="20" t="inlineStr">
        <is>
          <t>매입채무</t>
        </is>
      </c>
      <c r="B19" s="10" t="n"/>
      <c r="C19" s="21" t="n">
        <v>732</v>
      </c>
      <c r="D19" s="22" t="n">
        <v>701</v>
      </c>
      <c r="E19" s="22" t="n">
        <v>724</v>
      </c>
      <c r="F19" s="22" t="n">
        <v>796</v>
      </c>
      <c r="G19" s="22" t="n">
        <v>850</v>
      </c>
      <c r="H19" s="21" t="n">
        <v>792</v>
      </c>
      <c r="I19" s="22" t="n">
        <v>708</v>
      </c>
      <c r="J19" s="22" t="n">
        <v>679</v>
      </c>
      <c r="K19" s="22" t="n">
        <v>764</v>
      </c>
      <c r="L19" s="22" t="n">
        <v>796</v>
      </c>
    </row>
    <row r="20">
      <c r="A20" s="20" t="inlineStr">
        <is>
          <t>단기차입금</t>
        </is>
      </c>
      <c r="B20" s="10" t="n"/>
      <c r="C20" s="21" t="n"/>
      <c r="D20" s="22" t="n"/>
      <c r="E20" s="22" t="n"/>
      <c r="F20" s="22" t="n"/>
      <c r="G20" s="22" t="n"/>
      <c r="H20" s="21" t="n"/>
      <c r="I20" s="22" t="n"/>
      <c r="J20" s="22" t="n"/>
      <c r="K20" s="22" t="n"/>
      <c r="L20" s="22" t="n"/>
    </row>
    <row r="21">
      <c r="A21" s="20" t="inlineStr">
        <is>
          <t>유동성장기부채</t>
        </is>
      </c>
      <c r="B21" s="10" t="n"/>
      <c r="C21" s="21" t="n"/>
      <c r="D21" s="22" t="n"/>
      <c r="E21" s="22" t="n"/>
      <c r="F21" s="22" t="n"/>
      <c r="G21" s="22" t="n"/>
      <c r="H21" s="21" t="n"/>
      <c r="I21" s="22" t="n"/>
      <c r="J21" s="22" t="n"/>
      <c r="K21" s="22" t="n"/>
      <c r="L21" s="22" t="n"/>
    </row>
    <row r="22">
      <c r="A22" s="20" t="inlineStr">
        <is>
          <t>기타유동부채</t>
        </is>
      </c>
      <c r="B22" s="10" t="inlineStr">
        <is>
          <t>총계 − 위 항목</t>
        </is>
      </c>
      <c r="C22" s="21">
        <f>IF(OR(C18=""),"",IFERROR(C18-SUM(C19,C20,C21),""))</f>
        <v/>
      </c>
      <c r="D22" s="22">
        <f>IF(OR(D18=""),"",IFERROR(D18-SUM(D19,D20,D21),""))</f>
        <v/>
      </c>
      <c r="E22" s="22">
        <f>IF(OR(E18=""),"",IFERROR(E18-SUM(E19,E20,E21),""))</f>
        <v/>
      </c>
      <c r="F22" s="22">
        <f>IF(OR(F18=""),"",IFERROR(F18-SUM(F19,F20,F21),""))</f>
        <v/>
      </c>
      <c r="G22" s="22">
        <f>IF(OR(G18=""),"",IFERROR(G18-SUM(G19,G20,G21),""))</f>
        <v/>
      </c>
      <c r="H22" s="21">
        <f>IF(OR(H18=""),"",IFERROR(H18-SUM(H19,H20,H21),""))</f>
        <v/>
      </c>
      <c r="I22" s="22">
        <f>IF(OR(I18=""),"",IFERROR(I18-SUM(I19,I20,I21),""))</f>
        <v/>
      </c>
      <c r="J22" s="22">
        <f>IF(OR(J18=""),"",IFERROR(J18-SUM(J19,J20,J21),""))</f>
        <v/>
      </c>
      <c r="K22" s="22">
        <f>IF(OR(K18=""),"",IFERROR(K18-SUM(K19,K20,K21),""))</f>
        <v/>
      </c>
      <c r="L22" s="22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246</v>
      </c>
      <c r="D23" s="12" t="n">
        <v>247</v>
      </c>
      <c r="E23" s="12" t="n">
        <v>247</v>
      </c>
      <c r="F23" s="12" t="n">
        <v>291</v>
      </c>
      <c r="G23" s="12" t="n">
        <v>296</v>
      </c>
      <c r="H23" s="11" t="n">
        <v>311</v>
      </c>
      <c r="I23" s="12" t="n">
        <v>342</v>
      </c>
      <c r="J23" s="12" t="n">
        <v>323</v>
      </c>
      <c r="K23" s="12" t="n">
        <v>246</v>
      </c>
      <c r="L23" s="12" t="n">
        <v>291</v>
      </c>
    </row>
    <row r="24">
      <c r="A24" s="20" t="inlineStr">
        <is>
          <t>장기차입금</t>
        </is>
      </c>
      <c r="B24" s="10" t="n"/>
      <c r="C24" s="21" t="n"/>
      <c r="D24" s="22" t="n"/>
      <c r="E24" s="22" t="n"/>
      <c r="F24" s="22" t="n"/>
      <c r="G24" s="22" t="n"/>
      <c r="H24" s="21" t="n"/>
      <c r="I24" s="22" t="n"/>
      <c r="J24" s="22" t="n"/>
      <c r="K24" s="22" t="n"/>
      <c r="L24" s="22" t="n"/>
    </row>
    <row r="25">
      <c r="A25" s="20" t="inlineStr">
        <is>
          <t>사채</t>
        </is>
      </c>
      <c r="B25" s="10" t="n"/>
      <c r="C25" s="21" t="n"/>
      <c r="D25" s="22" t="n"/>
      <c r="E25" s="22" t="n"/>
      <c r="F25" s="22" t="n"/>
      <c r="G25" s="22" t="n"/>
      <c r="H25" s="21" t="n"/>
      <c r="I25" s="22" t="n"/>
      <c r="J25" s="22" t="n"/>
      <c r="K25" s="22" t="n"/>
      <c r="L25" s="22" t="n"/>
    </row>
    <row r="26">
      <c r="A26" s="20" t="inlineStr">
        <is>
          <t>기타비유동부채</t>
        </is>
      </c>
      <c r="B26" s="10" t="inlineStr">
        <is>
          <t>총계 − 위 항목</t>
        </is>
      </c>
      <c r="C26" s="21">
        <f>IF(OR(C23=""),"",IFERROR(C23-SUM(C24,C25),""))</f>
        <v/>
      </c>
      <c r="D26" s="22">
        <f>IF(OR(D23=""),"",IFERROR(D23-SUM(D24,D25),""))</f>
        <v/>
      </c>
      <c r="E26" s="22">
        <f>IF(OR(E23=""),"",IFERROR(E23-SUM(E24,E25),""))</f>
        <v/>
      </c>
      <c r="F26" s="22">
        <f>IF(OR(F23=""),"",IFERROR(F23-SUM(F24,F25),""))</f>
        <v/>
      </c>
      <c r="G26" s="22">
        <f>IF(OR(G23=""),"",IFERROR(G23-SUM(G24,G25),""))</f>
        <v/>
      </c>
      <c r="H26" s="21">
        <f>IF(OR(H23=""),"",IFERROR(H23-SUM(H24,H25),""))</f>
        <v/>
      </c>
      <c r="I26" s="22">
        <f>IF(OR(I23=""),"",IFERROR(I23-SUM(I24,I25),""))</f>
        <v/>
      </c>
      <c r="J26" s="22">
        <f>IF(OR(J23=""),"",IFERROR(J23-SUM(J24,J25),""))</f>
        <v/>
      </c>
      <c r="K26" s="22">
        <f>IF(OR(K23=""),"",IFERROR(K23-SUM(K24,K25),""))</f>
        <v/>
      </c>
      <c r="L26" s="22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2430</v>
      </c>
      <c r="D27" s="12" t="n">
        <v>2451</v>
      </c>
      <c r="E27" s="12" t="n">
        <v>2366</v>
      </c>
      <c r="F27" s="12" t="n">
        <v>2617</v>
      </c>
      <c r="G27" s="12" t="n">
        <v>2740</v>
      </c>
      <c r="H27" s="11" t="n">
        <v>2747</v>
      </c>
      <c r="I27" s="12" t="n">
        <v>2563</v>
      </c>
      <c r="J27" s="12" t="n">
        <v>2655</v>
      </c>
      <c r="K27" s="12" t="n">
        <v>2648</v>
      </c>
      <c r="L27" s="12" t="n">
        <v>2617</v>
      </c>
    </row>
    <row r="28">
      <c r="A28" s="20" t="inlineStr">
        <is>
          <t>총차입금</t>
        </is>
      </c>
      <c r="B28" s="10" t="inlineStr">
        <is>
          <t>단기+유동성장기+장기+사채</t>
        </is>
      </c>
      <c r="C28" s="21">
        <f>SUM(C20,C21,C24,C25)</f>
        <v/>
      </c>
      <c r="D28" s="22">
        <f>SUM(D20,D21,D24,D25)</f>
        <v/>
      </c>
      <c r="E28" s="22">
        <f>SUM(E20,E21,E24,E25)</f>
        <v/>
      </c>
      <c r="F28" s="22">
        <f>SUM(F20,F21,F24,F25)</f>
        <v/>
      </c>
      <c r="G28" s="22">
        <f>SUM(G20,G21,G24,G25)</f>
        <v/>
      </c>
      <c r="H28" s="21">
        <f>SUM(H20,H21,H24,H25)</f>
        <v/>
      </c>
      <c r="I28" s="22">
        <f>SUM(I20,I21,I24,I25)</f>
        <v/>
      </c>
      <c r="J28" s="22">
        <f>SUM(J20,J21,J24,J25)</f>
        <v/>
      </c>
      <c r="K28" s="22">
        <f>SUM(K20,K21,K24,K25)</f>
        <v/>
      </c>
      <c r="L28" s="22">
        <f>SUM(L20,L21,L24,L25)</f>
        <v/>
      </c>
    </row>
    <row r="29">
      <c r="A29" s="20" t="inlineStr">
        <is>
          <t>순차입금</t>
        </is>
      </c>
      <c r="B29" s="10" t="inlineStr">
        <is>
          <t>음수 = 순현금</t>
        </is>
      </c>
      <c r="C29" s="21">
        <f>C28-C6-N(C7)</f>
        <v/>
      </c>
      <c r="D29" s="22">
        <f>D28-D6-N(D7)</f>
        <v/>
      </c>
      <c r="E29" s="22">
        <f>E28-E6-N(E7)</f>
        <v/>
      </c>
      <c r="F29" s="22">
        <f>F28-F6-N(F7)</f>
        <v/>
      </c>
      <c r="G29" s="22">
        <f>G28-G6-N(G7)</f>
        <v/>
      </c>
      <c r="H29" s="21">
        <f>H28-H6-N(H7)</f>
        <v/>
      </c>
      <c r="I29" s="22">
        <f>I28-I6-N(I7)</f>
        <v/>
      </c>
      <c r="J29" s="22">
        <f>J28-J6-N(J7)</f>
        <v/>
      </c>
      <c r="K29" s="22">
        <f>K28-K6-N(K7)</f>
        <v/>
      </c>
      <c r="L29" s="22">
        <f>L28-L6-N(L7)</f>
        <v/>
      </c>
    </row>
    <row r="30">
      <c r="A30" s="18" t="inlineStr">
        <is>
          <t>자본</t>
        </is>
      </c>
      <c r="B30" s="18" t="n"/>
      <c r="C30" s="19" t="n"/>
      <c r="D30" s="18" t="n"/>
      <c r="E30" s="18" t="n"/>
      <c r="F30" s="18" t="n"/>
      <c r="G30" s="18" t="n"/>
      <c r="H30" s="19" t="n"/>
      <c r="I30" s="18" t="n"/>
      <c r="J30" s="18" t="n"/>
      <c r="K30" s="18" t="n"/>
      <c r="L30" s="18" t="n"/>
    </row>
    <row r="31">
      <c r="A31" s="9" t="inlineStr">
        <is>
          <t>지배주주지분</t>
        </is>
      </c>
      <c r="B31" s="10" t="n"/>
      <c r="C31" s="11" t="n">
        <v>11665</v>
      </c>
      <c r="D31" s="12" t="n">
        <v>12005</v>
      </c>
      <c r="E31" s="12" t="n">
        <v>10587</v>
      </c>
      <c r="F31" s="12" t="n">
        <v>10904</v>
      </c>
      <c r="G31" s="12" t="n">
        <v>10823</v>
      </c>
      <c r="H31" s="11" t="n">
        <v>9510</v>
      </c>
      <c r="I31" s="12" t="n">
        <v>10313</v>
      </c>
      <c r="J31" s="12" t="n">
        <v>10935</v>
      </c>
      <c r="K31" s="12" t="n">
        <v>11782</v>
      </c>
      <c r="L31" s="12" t="n">
        <v>10904</v>
      </c>
    </row>
    <row r="32">
      <c r="A32" s="20" t="inlineStr">
        <is>
          <t>자본금</t>
        </is>
      </c>
      <c r="B32" s="10" t="n"/>
      <c r="C32" s="21" t="n">
        <v>689</v>
      </c>
      <c r="D32" s="22" t="n">
        <v>689</v>
      </c>
      <c r="E32" s="22" t="n">
        <v>689</v>
      </c>
      <c r="F32" s="22" t="n">
        <v>689</v>
      </c>
      <c r="G32" s="22" t="n">
        <v>689</v>
      </c>
      <c r="H32" s="21" t="n">
        <v>689</v>
      </c>
      <c r="I32" s="22" t="n">
        <v>689</v>
      </c>
      <c r="J32" s="22" t="n">
        <v>689</v>
      </c>
      <c r="K32" s="22" t="n">
        <v>689</v>
      </c>
      <c r="L32" s="22" t="n">
        <v>689</v>
      </c>
    </row>
    <row r="33">
      <c r="A33" s="20" t="inlineStr">
        <is>
          <t>이익잉여금</t>
        </is>
      </c>
      <c r="B33" s="10" t="n"/>
      <c r="C33" s="21" t="n">
        <v>10569</v>
      </c>
      <c r="D33" s="22" t="n">
        <v>10881</v>
      </c>
      <c r="E33" s="22" t="n">
        <v>10919</v>
      </c>
      <c r="F33" s="22" t="n">
        <v>10113</v>
      </c>
      <c r="G33" s="22" t="n">
        <v>10023</v>
      </c>
      <c r="H33" s="21" t="n">
        <v>8427</v>
      </c>
      <c r="I33" s="22" t="n">
        <v>9215</v>
      </c>
      <c r="J33" s="22" t="n">
        <v>9892</v>
      </c>
      <c r="K33" s="22" t="n">
        <v>10675</v>
      </c>
      <c r="L33" s="22" t="n">
        <v>10113</v>
      </c>
    </row>
    <row r="34">
      <c r="A34" s="20" t="inlineStr">
        <is>
          <t>비지배지분</t>
        </is>
      </c>
      <c r="B34" s="10" t="n"/>
      <c r="C34" s="21" t="n"/>
      <c r="D34" s="22" t="n"/>
      <c r="E34" s="22" t="n"/>
      <c r="F34" s="22" t="n"/>
      <c r="G34" s="22" t="n"/>
      <c r="H34" s="21" t="n"/>
      <c r="I34" s="22" t="n"/>
      <c r="J34" s="22" t="n"/>
      <c r="K34" s="22" t="n"/>
      <c r="L34" s="22" t="n"/>
    </row>
    <row r="35">
      <c r="A35" s="9" t="inlineStr">
        <is>
          <t>자본총계</t>
        </is>
      </c>
      <c r="B35" s="10" t="n"/>
      <c r="C35" s="11" t="n">
        <v>11665</v>
      </c>
      <c r="D35" s="12" t="n">
        <v>12005</v>
      </c>
      <c r="E35" s="12" t="n">
        <v>10587</v>
      </c>
      <c r="F35" s="12" t="n">
        <v>10904</v>
      </c>
      <c r="G35" s="12" t="n">
        <v>10823</v>
      </c>
      <c r="H35" s="11" t="n">
        <v>9510</v>
      </c>
      <c r="I35" s="12" t="n">
        <v>10313</v>
      </c>
      <c r="J35" s="12" t="n">
        <v>10935</v>
      </c>
      <c r="K35" s="12" t="n">
        <v>11782</v>
      </c>
      <c r="L35" s="12" t="n">
        <v>10904</v>
      </c>
    </row>
    <row r="36">
      <c r="A36" s="18" t="inlineStr">
        <is>
          <t>현금흐름 요약</t>
        </is>
      </c>
      <c r="B36" s="18" t="inlineStr">
        <is>
          <t>분기 = TTM (있을 때만)</t>
        </is>
      </c>
      <c r="C36" s="19" t="n"/>
      <c r="D36" s="18" t="n"/>
      <c r="E36" s="18" t="n"/>
      <c r="F36" s="18" t="n"/>
      <c r="G36" s="18" t="n"/>
      <c r="H36" s="19" t="n"/>
      <c r="I36" s="18" t="n"/>
      <c r="J36" s="18" t="n"/>
      <c r="K36" s="18" t="n"/>
      <c r="L36" s="18" t="n"/>
    </row>
    <row r="37">
      <c r="A37" s="9" t="inlineStr">
        <is>
          <t>영업활동현금흐름</t>
        </is>
      </c>
      <c r="B37" s="10" t="n"/>
      <c r="C37" s="11" t="n">
        <v>1294</v>
      </c>
      <c r="D37" s="12" t="n">
        <v>1291</v>
      </c>
      <c r="E37" s="12" t="n">
        <v>1186</v>
      </c>
      <c r="F37" s="12" t="n">
        <v>1389</v>
      </c>
      <c r="G37" s="12" t="n"/>
      <c r="H37" s="11" t="n">
        <v>948</v>
      </c>
      <c r="I37" s="12" t="n">
        <v>1579</v>
      </c>
      <c r="J37" s="12" t="n">
        <v>1389</v>
      </c>
      <c r="K37" s="12" t="n">
        <v>766</v>
      </c>
      <c r="L37" s="12" t="n">
        <v>1389</v>
      </c>
    </row>
    <row r="38">
      <c r="A38" s="20" t="inlineStr">
        <is>
          <t>CAPEX (유·무형 취득)</t>
        </is>
      </c>
      <c r="B38" s="10" t="inlineStr">
        <is>
          <t>양수로 입력</t>
        </is>
      </c>
      <c r="C38" s="21" t="n"/>
      <c r="D38" s="22" t="n"/>
      <c r="E38" s="22" t="n"/>
      <c r="F38" s="22" t="n"/>
      <c r="G38" s="22" t="n"/>
      <c r="H38" s="21" t="n"/>
      <c r="I38" s="22" t="n"/>
      <c r="J38" s="22" t="n"/>
      <c r="K38" s="22" t="n"/>
      <c r="L38" s="22" t="n"/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20" t="inlineStr">
        <is>
          <t>배당금 지급</t>
        </is>
      </c>
      <c r="B40" s="10" t="inlineStr">
        <is>
          <t>양수로 입력</t>
        </is>
      </c>
      <c r="C40" s="21" t="n">
        <v>522</v>
      </c>
      <c r="D40" s="22" t="n">
        <v>522</v>
      </c>
      <c r="E40" s="22" t="n">
        <v>534</v>
      </c>
      <c r="F40" s="22" t="n">
        <v>534</v>
      </c>
      <c r="G40" s="22" t="n"/>
      <c r="H40" s="21" t="n">
        <v>348</v>
      </c>
      <c r="I40" s="22" t="n">
        <v>506</v>
      </c>
      <c r="J40" s="22" t="n">
        <v>507</v>
      </c>
      <c r="K40" s="22" t="n">
        <v>509</v>
      </c>
      <c r="L40" s="22" t="n">
        <v>534</v>
      </c>
    </row>
    <row r="41">
      <c r="A41" s="18" t="inlineStr">
        <is>
          <t>주요 재무 비율</t>
        </is>
      </c>
      <c r="B41" s="18" t="inlineStr">
        <is>
          <t>기준 (빨간 글씨 = 미달)</t>
        </is>
      </c>
      <c r="C41" s="19" t="n"/>
      <c r="D41" s="18" t="n"/>
      <c r="E41" s="18" t="n"/>
      <c r="F41" s="18" t="n"/>
      <c r="G41" s="18" t="n"/>
      <c r="H41" s="19" t="n"/>
      <c r="I41" s="18" t="n"/>
      <c r="J41" s="18" t="n"/>
      <c r="K41" s="18" t="n"/>
      <c r="L41" s="18" t="n"/>
    </row>
    <row r="42">
      <c r="A42" s="25" t="inlineStr">
        <is>
          <t>안정성</t>
        </is>
      </c>
      <c r="B42" s="25" t="n"/>
      <c r="C42" s="26" t="n"/>
      <c r="D42" s="25" t="n"/>
      <c r="E42" s="25" t="n"/>
      <c r="F42" s="25" t="n"/>
      <c r="G42" s="25" t="n"/>
      <c r="H42" s="26" t="n"/>
      <c r="I42" s="25" t="n"/>
      <c r="J42" s="25" t="n"/>
      <c r="K42" s="25" t="n"/>
      <c r="L42" s="25" t="n"/>
    </row>
    <row r="43">
      <c r="A43" s="47" t="inlineStr">
        <is>
          <t>부채비율</t>
        </is>
      </c>
      <c r="B43" s="10" t="inlineStr">
        <is>
          <t>100%↓</t>
        </is>
      </c>
      <c r="C43" s="37">
        <f>IF(OR(C27="",C35=""),"",IFERROR(C27/C35,""))</f>
        <v/>
      </c>
      <c r="D43" s="38">
        <f>IF(OR(D27="",D35=""),"",IFERROR(D27/D35,""))</f>
        <v/>
      </c>
      <c r="E43" s="38">
        <f>IF(OR(E27="",E35=""),"",IFERROR(E27/E35,""))</f>
        <v/>
      </c>
      <c r="F43" s="38">
        <f>IF(OR(F27="",F35=""),"",IFERROR(F27/F35,""))</f>
        <v/>
      </c>
      <c r="G43" s="38">
        <f>IF(OR(G27="",G35=""),"",IFERROR(G27/G35,""))</f>
        <v/>
      </c>
      <c r="H43" s="37">
        <f>IF(OR(H27="",H35=""),"",IFERROR(H27/H35,""))</f>
        <v/>
      </c>
      <c r="I43" s="38">
        <f>IF(OR(I27="",I35=""),"",IFERROR(I27/I35,""))</f>
        <v/>
      </c>
      <c r="J43" s="38">
        <f>IF(OR(J27="",J35=""),"",IFERROR(J27/J35,""))</f>
        <v/>
      </c>
      <c r="K43" s="38">
        <f>IF(OR(K27="",K35=""),"",IFERROR(K27/K35,""))</f>
        <v/>
      </c>
      <c r="L43" s="38">
        <f>IF(OR(L27="",L35=""),"",IFERROR(L27/L35,""))</f>
        <v/>
      </c>
    </row>
    <row r="44">
      <c r="A44" s="47" t="inlineStr">
        <is>
          <t>순차입금비율</t>
        </is>
      </c>
      <c r="B44" s="10" t="inlineStr">
        <is>
          <t>0%↓ 순현금</t>
        </is>
      </c>
      <c r="C44" s="37">
        <f>IF(OR(C29="",C35=""),"",IFERROR(C29/C35,""))</f>
        <v/>
      </c>
      <c r="D44" s="38">
        <f>IF(OR(D29="",D35=""),"",IFERROR(D29/D35,""))</f>
        <v/>
      </c>
      <c r="E44" s="38">
        <f>IF(OR(E29="",E35=""),"",IFERROR(E29/E35,""))</f>
        <v/>
      </c>
      <c r="F44" s="38">
        <f>IF(OR(F29="",F35=""),"",IFERROR(F29/F35,""))</f>
        <v/>
      </c>
      <c r="G44" s="38">
        <f>IF(OR(G29="",G35=""),"",IFERROR(G29/G35,""))</f>
        <v/>
      </c>
      <c r="H44" s="37">
        <f>IF(OR(H29="",H35=""),"",IFERROR(H29/H35,""))</f>
        <v/>
      </c>
      <c r="I44" s="38">
        <f>IF(OR(I29="",I35=""),"",IFERROR(I29/I35,""))</f>
        <v/>
      </c>
      <c r="J44" s="38">
        <f>IF(OR(J29="",J35=""),"",IFERROR(J29/J35,""))</f>
        <v/>
      </c>
      <c r="K44" s="38">
        <f>IF(OR(K29="",K35=""),"",IFERROR(K29/K35,""))</f>
        <v/>
      </c>
      <c r="L44" s="38">
        <f>IF(OR(L29="",L35=""),"",IFERROR(L29/L35,""))</f>
        <v/>
      </c>
    </row>
    <row r="45">
      <c r="A45" s="47" t="inlineStr">
        <is>
          <t>자기자본비율</t>
        </is>
      </c>
      <c r="B45" s="10" t="inlineStr">
        <is>
          <t>50%↑</t>
        </is>
      </c>
      <c r="C45" s="37">
        <f>IF(OR(C35="",C16=""),"",IFERROR(C35/C16,""))</f>
        <v/>
      </c>
      <c r="D45" s="38">
        <f>IF(OR(D35="",D16=""),"",IFERROR(D35/D16,""))</f>
        <v/>
      </c>
      <c r="E45" s="38">
        <f>IF(OR(E35="",E16=""),"",IFERROR(E35/E16,""))</f>
        <v/>
      </c>
      <c r="F45" s="38">
        <f>IF(OR(F35="",F16=""),"",IFERROR(F35/F16,""))</f>
        <v/>
      </c>
      <c r="G45" s="38">
        <f>IF(OR(G35="",G16=""),"",IFERROR(G35/G16,""))</f>
        <v/>
      </c>
      <c r="H45" s="37">
        <f>IF(OR(H35="",H16=""),"",IFERROR(H35/H16,""))</f>
        <v/>
      </c>
      <c r="I45" s="38">
        <f>IF(OR(I35="",I16=""),"",IFERROR(I35/I16,""))</f>
        <v/>
      </c>
      <c r="J45" s="38">
        <f>IF(OR(J35="",J16=""),"",IFERROR(J35/J16,""))</f>
        <v/>
      </c>
      <c r="K45" s="38">
        <f>IF(OR(K35="",K16=""),"",IFERROR(K35/K16,""))</f>
        <v/>
      </c>
      <c r="L45" s="38">
        <f>IF(OR(L35="",L16=""),"",IFERROR(L35/L16,""))</f>
        <v/>
      </c>
    </row>
    <row r="46">
      <c r="A46" s="47" t="inlineStr">
        <is>
          <t>유동비율</t>
        </is>
      </c>
      <c r="B46" s="10" t="inlineStr">
        <is>
          <t>150%↑</t>
        </is>
      </c>
      <c r="C46" s="37">
        <f>IF(OR(C5="",C18=""),"",IFERROR(C5/C18,""))</f>
        <v/>
      </c>
      <c r="D46" s="38">
        <f>IF(OR(D5="",D18=""),"",IFERROR(D5/D18,""))</f>
        <v/>
      </c>
      <c r="E46" s="38">
        <f>IF(OR(E5="",E18=""),"",IFERROR(E5/E18,""))</f>
        <v/>
      </c>
      <c r="F46" s="38">
        <f>IF(OR(F5="",F18=""),"",IFERROR(F5/F18,""))</f>
        <v/>
      </c>
      <c r="G46" s="38">
        <f>IF(OR(G5="",G18=""),"",IFERROR(G5/G18,""))</f>
        <v/>
      </c>
      <c r="H46" s="37">
        <f>IF(OR(H5="",H18=""),"",IFERROR(H5/H18,""))</f>
        <v/>
      </c>
      <c r="I46" s="38">
        <f>IF(OR(I5="",I18=""),"",IFERROR(I5/I18,""))</f>
        <v/>
      </c>
      <c r="J46" s="38">
        <f>IF(OR(J5="",J18=""),"",IFERROR(J5/J18,""))</f>
        <v/>
      </c>
      <c r="K46" s="38">
        <f>IF(OR(K5="",K18=""),"",IFERROR(K5/K18,""))</f>
        <v/>
      </c>
      <c r="L46" s="38">
        <f>IF(OR(L5="",L18=""),"",IFERROR(L5/L18,""))</f>
        <v/>
      </c>
    </row>
    <row r="47">
      <c r="A47" s="47" t="inlineStr">
        <is>
          <t>당좌비율</t>
        </is>
      </c>
      <c r="B47" s="10" t="inlineStr">
        <is>
          <t>100%↑</t>
        </is>
      </c>
      <c r="C47" s="37">
        <f>IF(OR(C5="",C18=""),"",IFERROR((C5-N(C9))/C18,""))</f>
        <v/>
      </c>
      <c r="D47" s="38">
        <f>IF(OR(D5="",D18=""),"",IFERROR((D5-N(D9))/D18,""))</f>
        <v/>
      </c>
      <c r="E47" s="38">
        <f>IF(OR(E5="",E18=""),"",IFERROR((E5-N(E9))/E18,""))</f>
        <v/>
      </c>
      <c r="F47" s="38">
        <f>IF(OR(F5="",F18=""),"",IFERROR((F5-N(F9))/F18,""))</f>
        <v/>
      </c>
      <c r="G47" s="38">
        <f>IF(OR(G5="",G18=""),"",IFERROR((G5-N(G9))/G18,""))</f>
        <v/>
      </c>
      <c r="H47" s="37">
        <f>IF(OR(H5="",H18=""),"",IFERROR((H5-N(H9))/H18,""))</f>
        <v/>
      </c>
      <c r="I47" s="38">
        <f>IF(OR(I5="",I18=""),"",IFERROR((I5-N(I9))/I18,""))</f>
        <v/>
      </c>
      <c r="J47" s="38">
        <f>IF(OR(J5="",J18=""),"",IFERROR((J5-N(J9))/J18,""))</f>
        <v/>
      </c>
      <c r="K47" s="38">
        <f>IF(OR(K5="",K18=""),"",IFERROR((K5-N(K9))/K18,""))</f>
        <v/>
      </c>
      <c r="L47" s="38">
        <f>IF(OR(L5="",L18=""),"",IFERROR((L5-N(L9))/L18,""))</f>
        <v/>
      </c>
    </row>
    <row r="48">
      <c r="A48" s="47" t="inlineStr">
        <is>
          <t>이자보상배율</t>
        </is>
      </c>
      <c r="B48" s="10" t="inlineStr">
        <is>
          <t>5x↑ (금융원가 기준)</t>
        </is>
      </c>
      <c r="C48" s="32">
        <f>IFERROR((IF(COUNT('연간'!G19:J19)&lt;4,"",SUM('연간'!G19:J19)))/(IF(COUNT('연간'!G41:J41)&lt;4,"",SUM('연간'!G41:J41))),"")</f>
        <v/>
      </c>
      <c r="D48" s="33">
        <f>IFERROR((IF(COUNT('연간'!H19:K19)&lt;4,"",SUM('연간'!H19:K19)))/(IF(COUNT('연간'!H41:K41)&lt;4,"",SUM('연간'!H41:K41))),"")</f>
        <v/>
      </c>
      <c r="E48" s="33">
        <f>IFERROR((IF(COUNT('연간'!I19:L19)&lt;4,"",SUM('연간'!I19:L19)))/(IF(COUNT('연간'!I41:L41)&lt;4,"",SUM('연간'!I41:L41))),"")</f>
        <v/>
      </c>
      <c r="F48" s="33">
        <f>IFERROR((IF(COUNT('연간'!J19:M19)&lt;4,"",SUM('연간'!J19:M19)))/(IF(COUNT('연간'!J41:M41)&lt;4,"",SUM('연간'!J41:M41))),"")</f>
        <v/>
      </c>
      <c r="G48" s="33">
        <f>IFERROR((IF(COUNT('연간'!K19:N19)&lt;4,"",SUM('연간'!K19:N19)))/(IF(COUNT('연간'!K41:N41)&lt;4,"",SUM('연간'!K41:N41))),"")</f>
        <v/>
      </c>
      <c r="H48" s="32">
        <f>IFERROR(('연간'!T19)/('연간'!T41),"")</f>
        <v/>
      </c>
      <c r="I48" s="33">
        <f>IFERROR(('연간'!U19)/('연간'!U41),"")</f>
        <v/>
      </c>
      <c r="J48" s="33">
        <f>IFERROR(('연간'!V19)/('연간'!V41),"")</f>
        <v/>
      </c>
      <c r="K48" s="33">
        <f>IFERROR(('연간'!W19)/('연간'!W41),"")</f>
        <v/>
      </c>
      <c r="L48" s="33">
        <f>IFERROR(('연간'!X19)/('연간'!X41),"")</f>
        <v/>
      </c>
    </row>
    <row r="49">
      <c r="A49" s="47" t="inlineStr">
        <is>
          <t>차입금 상환연수</t>
        </is>
      </c>
      <c r="B49" s="10" t="inlineStr">
        <is>
          <t>4년↓ (버핏)</t>
        </is>
      </c>
      <c r="C49" s="48">
        <f>IFERROR(IF((IF(COUNT('연간'!G49:J49)&lt;4,"",SUM('연간'!G49:J49)))&lt;=0,"적자",C28/(IF(COUNT('연간'!G49:J49)&lt;4,"",SUM('연간'!G49:J49)))),"")</f>
        <v/>
      </c>
      <c r="D49" s="49">
        <f>IFERROR(IF((IF(COUNT('연간'!H49:K49)&lt;4,"",SUM('연간'!H49:K49)))&lt;=0,"적자",D28/(IF(COUNT('연간'!H49:K49)&lt;4,"",SUM('연간'!H49:K49)))),"")</f>
        <v/>
      </c>
      <c r="E49" s="49">
        <f>IFERROR(IF((IF(COUNT('연간'!I49:L49)&lt;4,"",SUM('연간'!I49:L49)))&lt;=0,"적자",E28/(IF(COUNT('연간'!I49:L49)&lt;4,"",SUM('연간'!I49:L49)))),"")</f>
        <v/>
      </c>
      <c r="F49" s="49">
        <f>IFERROR(IF((IF(COUNT('연간'!J49:M49)&lt;4,"",SUM('연간'!J49:M49)))&lt;=0,"적자",F28/(IF(COUNT('연간'!J49:M49)&lt;4,"",SUM('연간'!J49:M49)))),"")</f>
        <v/>
      </c>
      <c r="G49" s="49">
        <f>IFERROR(IF((IF(COUNT('연간'!K49:N49)&lt;4,"",SUM('연간'!K49:N49)))&lt;=0,"적자",G28/(IF(COUNT('연간'!K49:N49)&lt;4,"",SUM('연간'!K49:N49)))),"")</f>
        <v/>
      </c>
      <c r="H49" s="48">
        <f>IFERROR(IF(('연간'!T49)&lt;=0,"적자",H28/('연간'!T49)),"")</f>
        <v/>
      </c>
      <c r="I49" s="49">
        <f>IFERROR(IF(('연간'!U49)&lt;=0,"적자",I28/('연간'!U49)),"")</f>
        <v/>
      </c>
      <c r="J49" s="49">
        <f>IFERROR(IF(('연간'!V49)&lt;=0,"적자",J28/('연간'!V49)),"")</f>
        <v/>
      </c>
      <c r="K49" s="49">
        <f>IFERROR(IF(('연간'!W49)&lt;=0,"적자",K28/('연간'!W49)),"")</f>
        <v/>
      </c>
      <c r="L49" s="49">
        <f>IFERROR(IF(('연간'!X49)&lt;=0,"적자",L28/('연간'!X49)),"")</f>
        <v/>
      </c>
    </row>
    <row r="50">
      <c r="A50" s="25" t="inlineStr">
        <is>
          <t>수익성</t>
        </is>
      </c>
      <c r="B50" s="25" t="n"/>
      <c r="C50" s="26" t="n"/>
      <c r="D50" s="25" t="n"/>
      <c r="E50" s="25" t="n"/>
      <c r="F50" s="25" t="n"/>
      <c r="G50" s="25" t="n"/>
      <c r="H50" s="26" t="n"/>
      <c r="I50" s="25" t="n"/>
      <c r="J50" s="25" t="n"/>
      <c r="K50" s="25" t="n"/>
      <c r="L50" s="25" t="n"/>
    </row>
    <row r="51">
      <c r="A51" s="47" t="inlineStr">
        <is>
          <t>ROE</t>
        </is>
      </c>
      <c r="B51" s="10" t="inlineStr">
        <is>
          <t>15%↑ (버핏)</t>
        </is>
      </c>
      <c r="C51" s="37">
        <f>IFERROR((IF(COUNT('연간'!G49:J49)&lt;4,"",SUM('연간'!G49:J49)))/C31,"")</f>
        <v/>
      </c>
      <c r="D51" s="38">
        <f>IFERROR((IF(COUNT('연간'!H49:K49)&lt;4,"",SUM('연간'!H49:K49)))/D31,"")</f>
        <v/>
      </c>
      <c r="E51" s="38">
        <f>IFERROR((IF(COUNT('연간'!I49:L49)&lt;4,"",SUM('연간'!I49:L49)))/E31,"")</f>
        <v/>
      </c>
      <c r="F51" s="38">
        <f>IFERROR((IF(COUNT('연간'!J49:M49)&lt;4,"",SUM('연간'!J49:M49)))/F31,"")</f>
        <v/>
      </c>
      <c r="G51" s="38">
        <f>IFERROR((IF(COUNT('연간'!K49:N49)&lt;4,"",SUM('연간'!K49:N49)))/G31,"")</f>
        <v/>
      </c>
      <c r="H51" s="37">
        <f>IFERROR(('연간'!T49)/H31,"")</f>
        <v/>
      </c>
      <c r="I51" s="38">
        <f>IFERROR(('연간'!U49)/I31,"")</f>
        <v/>
      </c>
      <c r="J51" s="38">
        <f>IFERROR(('연간'!V49)/J31,"")</f>
        <v/>
      </c>
      <c r="K51" s="38">
        <f>IFERROR(('연간'!W49)/K31,"")</f>
        <v/>
      </c>
      <c r="L51" s="38">
        <f>IFERROR(('연간'!X49)/L31,"")</f>
        <v/>
      </c>
    </row>
    <row r="52">
      <c r="A52" s="47" t="inlineStr">
        <is>
          <t>ROA</t>
        </is>
      </c>
      <c r="B52" s="10" t="inlineStr">
        <is>
          <t>5%↑</t>
        </is>
      </c>
      <c r="C52" s="37">
        <f>IFERROR((IF(COUNT('연간'!G47:J47)&lt;4,"",SUM('연간'!G47:J47)))/C16,"")</f>
        <v/>
      </c>
      <c r="D52" s="38">
        <f>IFERROR((IF(COUNT('연간'!H47:K47)&lt;4,"",SUM('연간'!H47:K47)))/D16,"")</f>
        <v/>
      </c>
      <c r="E52" s="38">
        <f>IFERROR((IF(COUNT('연간'!I47:L47)&lt;4,"",SUM('연간'!I47:L47)))/E16,"")</f>
        <v/>
      </c>
      <c r="F52" s="38">
        <f>IFERROR((IF(COUNT('연간'!J47:M47)&lt;4,"",SUM('연간'!J47:M47)))/F16,"")</f>
        <v/>
      </c>
      <c r="G52" s="38">
        <f>IFERROR((IF(COUNT('연간'!K47:N47)&lt;4,"",SUM('연간'!K47:N47)))/G16,"")</f>
        <v/>
      </c>
      <c r="H52" s="37">
        <f>IFERROR(('연간'!T47)/H16,"")</f>
        <v/>
      </c>
      <c r="I52" s="38">
        <f>IFERROR(('연간'!U47)/I16,"")</f>
        <v/>
      </c>
      <c r="J52" s="38">
        <f>IFERROR(('연간'!V47)/J16,"")</f>
        <v/>
      </c>
      <c r="K52" s="38">
        <f>IFERROR(('연간'!W47)/K16,"")</f>
        <v/>
      </c>
      <c r="L52" s="38">
        <f>IFERROR(('연간'!X47)/L16,"")</f>
        <v/>
      </c>
    </row>
    <row r="53">
      <c r="A53" s="47" t="inlineStr">
        <is>
          <t>ROIC</t>
        </is>
      </c>
      <c r="B53" s="10" t="inlineStr">
        <is>
          <t>10%↑ (세후영업이익 기준)</t>
        </is>
      </c>
      <c r="C53" s="37">
        <f>IFERROR((IF(COUNT('연간'!G19:J19)&lt;4,"",SUM('연간'!G19:J19)))*(1-0.3)/(C35+C29),"")</f>
        <v/>
      </c>
      <c r="D53" s="38">
        <f>IFERROR((IF(COUNT('연간'!H19:K19)&lt;4,"",SUM('연간'!H19:K19)))*(1-0.3)/(D35+D29),"")</f>
        <v/>
      </c>
      <c r="E53" s="38">
        <f>IFERROR((IF(COUNT('연간'!I19:L19)&lt;4,"",SUM('연간'!I19:L19)))*(1-0.3)/(E35+E29),"")</f>
        <v/>
      </c>
      <c r="F53" s="38">
        <f>IFERROR((IF(COUNT('연간'!J19:M19)&lt;4,"",SUM('연간'!J19:M19)))*(1-0.3)/(F35+F29),"")</f>
        <v/>
      </c>
      <c r="G53" s="38">
        <f>IFERROR((IF(COUNT('연간'!K19:N19)&lt;4,"",SUM('연간'!K19:N19)))*(1-0.3)/(G35+G29),"")</f>
        <v/>
      </c>
      <c r="H53" s="37">
        <f>IFERROR(('연간'!T19)*(1-0.3)/(H35+H29),"")</f>
        <v/>
      </c>
      <c r="I53" s="38">
        <f>IFERROR(('연간'!U19)*(1-0.3)/(I35+I29),"")</f>
        <v/>
      </c>
      <c r="J53" s="38">
        <f>IFERROR(('연간'!V19)*(1-0.3)/(J35+J29),"")</f>
        <v/>
      </c>
      <c r="K53" s="38">
        <f>IFERROR(('연간'!W19)*(1-0.3)/(K35+K29),"")</f>
        <v/>
      </c>
      <c r="L53" s="38">
        <f>IFERROR(('연간'!X19)*(1-0.3)/(L35+L29),"")</f>
        <v/>
      </c>
    </row>
    <row r="54">
      <c r="A54" s="47" t="inlineStr">
        <is>
          <t>매출총이익률 (GPM)</t>
        </is>
      </c>
      <c r="B54" s="10" t="inlineStr">
        <is>
          <t>40%↑ (해자 신호)</t>
        </is>
      </c>
      <c r="C54" s="37">
        <f>IFERROR((IF(COUNT('연간'!G13:J13)&lt;4,"",SUM('연간'!G13:J13)))/(IF(COUNT('연간'!G4:J4)&lt;4,"",SUM('연간'!G4:J4))),"")</f>
        <v/>
      </c>
      <c r="D54" s="38">
        <f>IFERROR((IF(COUNT('연간'!H13:K13)&lt;4,"",SUM('연간'!H13:K13)))/(IF(COUNT('연간'!H4:K4)&lt;4,"",SUM('연간'!H4:K4))),"")</f>
        <v/>
      </c>
      <c r="E54" s="38">
        <f>IFERROR((IF(COUNT('연간'!I13:L13)&lt;4,"",SUM('연간'!I13:L13)))/(IF(COUNT('연간'!I4:L4)&lt;4,"",SUM('연간'!I4:L4))),"")</f>
        <v/>
      </c>
      <c r="F54" s="38">
        <f>IFERROR((IF(COUNT('연간'!J13:M13)&lt;4,"",SUM('연간'!J13:M13)))/(IF(COUNT('연간'!J4:M4)&lt;4,"",SUM('연간'!J4:M4))),"")</f>
        <v/>
      </c>
      <c r="G54" s="38">
        <f>IFERROR((IF(COUNT('연간'!K13:N13)&lt;4,"",SUM('연간'!K13:N13)))/(IF(COUNT('연간'!K4:N4)&lt;4,"",SUM('연간'!K4:N4))),"")</f>
        <v/>
      </c>
      <c r="H54" s="37">
        <f>IFERROR(('연간'!T13)/('연간'!T4),"")</f>
        <v/>
      </c>
      <c r="I54" s="38">
        <f>IFERROR(('연간'!U13)/('연간'!U4),"")</f>
        <v/>
      </c>
      <c r="J54" s="38">
        <f>IFERROR(('연간'!V13)/('연간'!V4),"")</f>
        <v/>
      </c>
      <c r="K54" s="38">
        <f>IFERROR(('연간'!W13)/('연간'!W4),"")</f>
        <v/>
      </c>
      <c r="L54" s="38">
        <f>IFERROR(('연간'!X13)/('연간'!X4),"")</f>
        <v/>
      </c>
    </row>
    <row r="55">
      <c r="A55" s="47" t="inlineStr">
        <is>
          <t>영업이익률 (OPM)</t>
        </is>
      </c>
      <c r="B55" s="10" t="inlineStr">
        <is>
          <t>15%↑</t>
        </is>
      </c>
      <c r="C55" s="37">
        <f>IFERROR((IF(COUNT('연간'!G19:J19)&lt;4,"",SUM('연간'!G19:J19)))/(IF(COUNT('연간'!G4:J4)&lt;4,"",SUM('연간'!G4:J4))),"")</f>
        <v/>
      </c>
      <c r="D55" s="38">
        <f>IFERROR((IF(COUNT('연간'!H19:K19)&lt;4,"",SUM('연간'!H19:K19)))/(IF(COUNT('연간'!H4:K4)&lt;4,"",SUM('연간'!H4:K4))),"")</f>
        <v/>
      </c>
      <c r="E55" s="38">
        <f>IFERROR((IF(COUNT('연간'!I19:L19)&lt;4,"",SUM('연간'!I19:L19)))/(IF(COUNT('연간'!I4:L4)&lt;4,"",SUM('연간'!I4:L4))),"")</f>
        <v/>
      </c>
      <c r="F55" s="38">
        <f>IFERROR((IF(COUNT('연간'!J19:M19)&lt;4,"",SUM('연간'!J19:M19)))/(IF(COUNT('연간'!J4:M4)&lt;4,"",SUM('연간'!J4:M4))),"")</f>
        <v/>
      </c>
      <c r="G55" s="38">
        <f>IFERROR((IF(COUNT('연간'!K19:N19)&lt;4,"",SUM('연간'!K19:N19)))/(IF(COUNT('연간'!K4:N4)&lt;4,"",SUM('연간'!K4:N4))),"")</f>
        <v/>
      </c>
      <c r="H55" s="37">
        <f>IFERROR(('연간'!T19)/('연간'!T4),"")</f>
        <v/>
      </c>
      <c r="I55" s="38">
        <f>IFERROR(('연간'!U19)/('연간'!U4),"")</f>
        <v/>
      </c>
      <c r="J55" s="38">
        <f>IFERROR(('연간'!V19)/('연간'!V4),"")</f>
        <v/>
      </c>
      <c r="K55" s="38">
        <f>IFERROR(('연간'!W19)/('연간'!W4),"")</f>
        <v/>
      </c>
      <c r="L55" s="38">
        <f>IFERROR(('연간'!X19)/('연간'!X4),"")</f>
        <v/>
      </c>
    </row>
    <row r="56">
      <c r="A56" s="47" t="inlineStr">
        <is>
          <t>순이익률</t>
        </is>
      </c>
      <c r="B56" s="10" t="inlineStr">
        <is>
          <t>10%↑</t>
        </is>
      </c>
      <c r="C56" s="37">
        <f>IFERROR((IF(COUNT('연간'!G47:J47)&lt;4,"",SUM('연간'!G47:J47)))/(IF(COUNT('연간'!G4:J4)&lt;4,"",SUM('연간'!G4:J4))),"")</f>
        <v/>
      </c>
      <c r="D56" s="38">
        <f>IFERROR((IF(COUNT('연간'!H47:K47)&lt;4,"",SUM('연간'!H47:K47)))/(IF(COUNT('연간'!H4:K4)&lt;4,"",SUM('연간'!H4:K4))),"")</f>
        <v/>
      </c>
      <c r="E56" s="38">
        <f>IFERROR((IF(COUNT('연간'!I47:L47)&lt;4,"",SUM('연간'!I47:L47)))/(IF(COUNT('연간'!I4:L4)&lt;4,"",SUM('연간'!I4:L4))),"")</f>
        <v/>
      </c>
      <c r="F56" s="38">
        <f>IFERROR((IF(COUNT('연간'!J47:M47)&lt;4,"",SUM('연간'!J47:M47)))/(IF(COUNT('연간'!J4:M4)&lt;4,"",SUM('연간'!J4:M4))),"")</f>
        <v/>
      </c>
      <c r="G56" s="38">
        <f>IFERROR((IF(COUNT('연간'!K47:N47)&lt;4,"",SUM('연간'!K47:N47)))/(IF(COUNT('연간'!K4:N4)&lt;4,"",SUM('연간'!K4:N4))),"")</f>
        <v/>
      </c>
      <c r="H56" s="37">
        <f>IFERROR(('연간'!T47)/('연간'!T4),"")</f>
        <v/>
      </c>
      <c r="I56" s="38">
        <f>IFERROR(('연간'!U47)/('연간'!U4),"")</f>
        <v/>
      </c>
      <c r="J56" s="38">
        <f>IFERROR(('연간'!V47)/('연간'!V4),"")</f>
        <v/>
      </c>
      <c r="K56" s="38">
        <f>IFERROR(('연간'!W47)/('연간'!W4),"")</f>
        <v/>
      </c>
      <c r="L56" s="38">
        <f>IFERROR(('연간'!X47)/('연간'!X4),"")</f>
        <v/>
      </c>
    </row>
    <row r="57">
      <c r="A57" s="25" t="inlineStr">
        <is>
          <t>효율성 (회전율)</t>
        </is>
      </c>
      <c r="B57" s="25" t="n"/>
      <c r="C57" s="26" t="n"/>
      <c r="D57" s="25" t="n"/>
      <c r="E57" s="25" t="n"/>
      <c r="F57" s="25" t="n"/>
      <c r="G57" s="25" t="n"/>
      <c r="H57" s="26" t="n"/>
      <c r="I57" s="25" t="n"/>
      <c r="J57" s="25" t="n"/>
      <c r="K57" s="25" t="n"/>
      <c r="L57" s="25" t="n"/>
    </row>
    <row r="58">
      <c r="A58" s="47" t="inlineStr">
        <is>
          <t>총자산회전율</t>
        </is>
      </c>
      <c r="B58" s="10" t="inlineStr">
        <is>
          <t>높을수록↑</t>
        </is>
      </c>
      <c r="C58" s="32">
        <f>IFERROR((IF(COUNT('연간'!G4:J4)&lt;4,"",SUM('연간'!G4:J4)))/C16,"")</f>
        <v/>
      </c>
      <c r="D58" s="33">
        <f>IFERROR((IF(COUNT('연간'!H4:K4)&lt;4,"",SUM('연간'!H4:K4)))/D16,"")</f>
        <v/>
      </c>
      <c r="E58" s="33">
        <f>IFERROR((IF(COUNT('연간'!I4:L4)&lt;4,"",SUM('연간'!I4:L4)))/E16,"")</f>
        <v/>
      </c>
      <c r="F58" s="33">
        <f>IFERROR((IF(COUNT('연간'!J4:M4)&lt;4,"",SUM('연간'!J4:M4)))/F16,"")</f>
        <v/>
      </c>
      <c r="G58" s="33">
        <f>IFERROR((IF(COUNT('연간'!K4:N4)&lt;4,"",SUM('연간'!K4:N4)))/G16,"")</f>
        <v/>
      </c>
      <c r="H58" s="32">
        <f>IFERROR(('연간'!T4)/H16,"")</f>
        <v/>
      </c>
      <c r="I58" s="33">
        <f>IFERROR(('연간'!U4)/I16,"")</f>
        <v/>
      </c>
      <c r="J58" s="33">
        <f>IFERROR(('연간'!V4)/J16,"")</f>
        <v/>
      </c>
      <c r="K58" s="33">
        <f>IFERROR(('연간'!W4)/K16,"")</f>
        <v/>
      </c>
      <c r="L58" s="33">
        <f>IFERROR(('연간'!X4)/L16,"")</f>
        <v/>
      </c>
    </row>
    <row r="59">
      <c r="A59" s="47" t="inlineStr">
        <is>
          <t>매출채권회전일수</t>
        </is>
      </c>
      <c r="B59" s="10" t="inlineStr">
        <is>
          <t>짧을수록↑</t>
        </is>
      </c>
      <c r="C59" s="50">
        <f>IFERROR(C8/(IF(COUNT('연간'!G4:J4)&lt;4,"",SUM('연간'!G4:J4)))*365,"")</f>
        <v/>
      </c>
      <c r="D59" s="51">
        <f>IFERROR(D8/(IF(COUNT('연간'!H4:K4)&lt;4,"",SUM('연간'!H4:K4)))*365,"")</f>
        <v/>
      </c>
      <c r="E59" s="51">
        <f>IFERROR(E8/(IF(COUNT('연간'!I4:L4)&lt;4,"",SUM('연간'!I4:L4)))*365,"")</f>
        <v/>
      </c>
      <c r="F59" s="51">
        <f>IFERROR(F8/(IF(COUNT('연간'!J4:M4)&lt;4,"",SUM('연간'!J4:M4)))*365,"")</f>
        <v/>
      </c>
      <c r="G59" s="51">
        <f>IFERROR(G8/(IF(COUNT('연간'!K4:N4)&lt;4,"",SUM('연간'!K4:N4)))*365,"")</f>
        <v/>
      </c>
      <c r="H59" s="50">
        <f>IFERROR(H8/('연간'!T4)*365,"")</f>
        <v/>
      </c>
      <c r="I59" s="51">
        <f>IFERROR(I8/('연간'!U4)*365,"")</f>
        <v/>
      </c>
      <c r="J59" s="51">
        <f>IFERROR(J8/('연간'!V4)*365,"")</f>
        <v/>
      </c>
      <c r="K59" s="51">
        <f>IFERROR(K8/('연간'!W4)*365,"")</f>
        <v/>
      </c>
      <c r="L59" s="51">
        <f>IFERROR(L8/('연간'!X4)*365,"")</f>
        <v/>
      </c>
    </row>
    <row r="60">
      <c r="A60" s="47" t="inlineStr">
        <is>
          <t>재고자산회전일수</t>
        </is>
      </c>
      <c r="B60" s="10" t="inlineStr">
        <is>
          <t>짧을수록↑</t>
        </is>
      </c>
      <c r="C60" s="50">
        <f>IFERROR(C9/(IF(COUNT('연간'!G11:J11)&lt;4,"",SUM('연간'!G11:J11)))*365,"")</f>
        <v/>
      </c>
      <c r="D60" s="51">
        <f>IFERROR(D9/(IF(COUNT('연간'!H11:K11)&lt;4,"",SUM('연간'!H11:K11)))*365,"")</f>
        <v/>
      </c>
      <c r="E60" s="51">
        <f>IFERROR(E9/(IF(COUNT('연간'!I11:L11)&lt;4,"",SUM('연간'!I11:L11)))*365,"")</f>
        <v/>
      </c>
      <c r="F60" s="51">
        <f>IFERROR(F9/(IF(COUNT('연간'!J11:M11)&lt;4,"",SUM('연간'!J11:M11)))*365,"")</f>
        <v/>
      </c>
      <c r="G60" s="51">
        <f>IFERROR(G9/(IF(COUNT('연간'!K11:N11)&lt;4,"",SUM('연간'!K11:N11)))*365,"")</f>
        <v/>
      </c>
      <c r="H60" s="50">
        <f>IFERROR(H9/('연간'!T11)*365,"")</f>
        <v/>
      </c>
      <c r="I60" s="51">
        <f>IFERROR(I9/('연간'!U11)*365,"")</f>
        <v/>
      </c>
      <c r="J60" s="51">
        <f>IFERROR(J9/('연간'!V11)*365,"")</f>
        <v/>
      </c>
      <c r="K60" s="51">
        <f>IFERROR(K9/('연간'!W11)*365,"")</f>
        <v/>
      </c>
      <c r="L60" s="51">
        <f>IFERROR(L9/('연간'!X11)*365,"")</f>
        <v/>
      </c>
    </row>
    <row r="61">
      <c r="A61" s="47" t="inlineStr">
        <is>
          <t>매입채무회전일수</t>
        </is>
      </c>
      <c r="B61" s="10" t="inlineStr">
        <is>
          <t>길수록 유리</t>
        </is>
      </c>
      <c r="C61" s="50">
        <f>IFERROR(C19/(IF(COUNT('연간'!G11:J11)&lt;4,"",SUM('연간'!G11:J11)))*365,"")</f>
        <v/>
      </c>
      <c r="D61" s="51">
        <f>IFERROR(D19/(IF(COUNT('연간'!H11:K11)&lt;4,"",SUM('연간'!H11:K11)))*365,"")</f>
        <v/>
      </c>
      <c r="E61" s="51">
        <f>IFERROR(E19/(IF(COUNT('연간'!I11:L11)&lt;4,"",SUM('연간'!I11:L11)))*365,"")</f>
        <v/>
      </c>
      <c r="F61" s="51">
        <f>IFERROR(F19/(IF(COUNT('연간'!J11:M11)&lt;4,"",SUM('연간'!J11:M11)))*365,"")</f>
        <v/>
      </c>
      <c r="G61" s="51">
        <f>IFERROR(G19/(IF(COUNT('연간'!K11:N11)&lt;4,"",SUM('연간'!K11:N11)))*365,"")</f>
        <v/>
      </c>
      <c r="H61" s="50">
        <f>IFERROR(H19/('연간'!T11)*365,"")</f>
        <v/>
      </c>
      <c r="I61" s="51">
        <f>IFERROR(I19/('연간'!U11)*365,"")</f>
        <v/>
      </c>
      <c r="J61" s="51">
        <f>IFERROR(J19/('연간'!V11)*365,"")</f>
        <v/>
      </c>
      <c r="K61" s="51">
        <f>IFERROR(K19/('연간'!W11)*365,"")</f>
        <v/>
      </c>
      <c r="L61" s="51">
        <f>IFERROR(L19/('연간'!X11)*365,"")</f>
        <v/>
      </c>
    </row>
    <row r="62">
      <c r="A62" s="47" t="inlineStr">
        <is>
          <t>현금전환주기 (CCC)</t>
        </is>
      </c>
      <c r="B62" s="10" t="inlineStr">
        <is>
          <t>짧을수록↑</t>
        </is>
      </c>
      <c r="C62" s="50">
        <f>IF(OR(C59="",C60="",C61=""),"",IFERROR(C59+C60-C61,""))</f>
        <v/>
      </c>
      <c r="D62" s="51">
        <f>IF(OR(D59="",D60="",D61=""),"",IFERROR(D59+D60-D61,""))</f>
        <v/>
      </c>
      <c r="E62" s="51">
        <f>IF(OR(E59="",E60="",E61=""),"",IFERROR(E59+E60-E61,""))</f>
        <v/>
      </c>
      <c r="F62" s="51">
        <f>IF(OR(F59="",F60="",F61=""),"",IFERROR(F59+F60-F61,""))</f>
        <v/>
      </c>
      <c r="G62" s="51">
        <f>IF(OR(G59="",G60="",G61=""),"",IFERROR(G59+G60-G61,""))</f>
        <v/>
      </c>
      <c r="H62" s="50">
        <f>IF(OR(H59="",H60="",H61=""),"",IFERROR(H59+H60-H61,""))</f>
        <v/>
      </c>
      <c r="I62" s="51">
        <f>IF(OR(I59="",I60="",I61=""),"",IFERROR(I59+I60-I61,""))</f>
        <v/>
      </c>
      <c r="J62" s="51">
        <f>IF(OR(J59="",J60="",J61=""),"",IFERROR(J59+J60-J61,""))</f>
        <v/>
      </c>
      <c r="K62" s="51">
        <f>IF(OR(K59="",K60="",K61=""),"",IFERROR(K59+K60-K61,""))</f>
        <v/>
      </c>
      <c r="L62" s="51">
        <f>IF(OR(L59="",L60="",L61=""),"",IFERROR(L59+L60-L61,""))</f>
        <v/>
      </c>
    </row>
    <row r="63">
      <c r="A63" s="25" t="inlineStr">
        <is>
          <t>현금흐름</t>
        </is>
      </c>
      <c r="B63" s="25" t="n"/>
      <c r="C63" s="26" t="n"/>
      <c r="D63" s="25" t="n"/>
      <c r="E63" s="25" t="n"/>
      <c r="F63" s="25" t="n"/>
      <c r="G63" s="25" t="n"/>
      <c r="H63" s="26" t="n"/>
      <c r="I63" s="25" t="n"/>
      <c r="J63" s="25" t="n"/>
      <c r="K63" s="25" t="n"/>
      <c r="L63" s="25" t="n"/>
    </row>
    <row r="64">
      <c r="A64" s="47" t="inlineStr">
        <is>
          <t>영업현금흐름 / 순이익</t>
        </is>
      </c>
      <c r="B64" s="10" t="inlineStr">
        <is>
          <t>1x↑ (이익의 질)</t>
        </is>
      </c>
      <c r="C64" s="32">
        <f>IF(C37="","",IFERROR(C37/(IF(COUNT('연간'!G47:J47)&lt;4,"",SUM('연간'!G47:J47))),""))</f>
        <v/>
      </c>
      <c r="D64" s="33">
        <f>IF(D37="","",IFERROR(D37/(IF(COUNT('연간'!H47:K47)&lt;4,"",SUM('연간'!H47:K47))),""))</f>
        <v/>
      </c>
      <c r="E64" s="33">
        <f>IF(E37="","",IFERROR(E37/(IF(COUNT('연간'!I47:L47)&lt;4,"",SUM('연간'!I47:L47))),""))</f>
        <v/>
      </c>
      <c r="F64" s="33">
        <f>IF(F37="","",IFERROR(F37/(IF(COUNT('연간'!J47:M47)&lt;4,"",SUM('연간'!J47:M47))),""))</f>
        <v/>
      </c>
      <c r="G64" s="33">
        <f>IF(G37="","",IFERROR(G37/(IF(COUNT('연간'!K47:N47)&lt;4,"",SUM('연간'!K47:N47))),""))</f>
        <v/>
      </c>
      <c r="H64" s="32">
        <f>IF(H37="","",IFERROR(H37/('연간'!T47),""))</f>
        <v/>
      </c>
      <c r="I64" s="33">
        <f>IF(I37="","",IFERROR(I37/('연간'!U47),""))</f>
        <v/>
      </c>
      <c r="J64" s="33">
        <f>IF(J37="","",IFERROR(J37/('연간'!V47),""))</f>
        <v/>
      </c>
      <c r="K64" s="33">
        <f>IF(K37="","",IFERROR(K37/('연간'!W47),""))</f>
        <v/>
      </c>
      <c r="L64" s="33">
        <f>IF(L37="","",IFERROR(L37/('연간'!X47),""))</f>
        <v/>
      </c>
    </row>
    <row r="65">
      <c r="A65" s="47" t="inlineStr">
        <is>
          <t>FCF 마진</t>
        </is>
      </c>
      <c r="B65" s="10" t="inlineStr">
        <is>
          <t>5%↑</t>
        </is>
      </c>
      <c r="C65" s="37">
        <f>IF(C39="","",IFERROR(C39/(IF(COUNT('연간'!G4:J4)&lt;4,"",SUM('연간'!G4:J4))),""))</f>
        <v/>
      </c>
      <c r="D65" s="38">
        <f>IF(D39="","",IFERROR(D39/(IF(COUNT('연간'!H4:K4)&lt;4,"",SUM('연간'!H4:K4))),""))</f>
        <v/>
      </c>
      <c r="E65" s="38">
        <f>IF(E39="","",IFERROR(E39/(IF(COUNT('연간'!I4:L4)&lt;4,"",SUM('연간'!I4:L4))),""))</f>
        <v/>
      </c>
      <c r="F65" s="38">
        <f>IF(F39="","",IFERROR(F39/(IF(COUNT('연간'!J4:M4)&lt;4,"",SUM('연간'!J4:M4))),""))</f>
        <v/>
      </c>
      <c r="G65" s="38">
        <f>IF(G39="","",IFERROR(G39/(IF(COUNT('연간'!K4:N4)&lt;4,"",SUM('연간'!K4:N4))),""))</f>
        <v/>
      </c>
      <c r="H65" s="37">
        <f>IF(H39="","",IFERROR(H39/('연간'!T4),""))</f>
        <v/>
      </c>
      <c r="I65" s="38">
        <f>IF(I39="","",IFERROR(I39/('연간'!U4),""))</f>
        <v/>
      </c>
      <c r="J65" s="38">
        <f>IF(J39="","",IFERROR(J39/('연간'!V4),""))</f>
        <v/>
      </c>
      <c r="K65" s="38">
        <f>IF(K39="","",IFERROR(K39/('연간'!W4),""))</f>
        <v/>
      </c>
      <c r="L65" s="38">
        <f>IF(L39="","",IFERROR(L39/('연간'!X4),""))</f>
        <v/>
      </c>
    </row>
    <row r="66">
      <c r="A66" s="47" t="inlineStr">
        <is>
          <t>CAPEX / 매출</t>
        </is>
      </c>
      <c r="B66" s="10" t="inlineStr">
        <is>
          <t>낮을수록↑ (자본 가벼움)</t>
        </is>
      </c>
      <c r="C66" s="37">
        <f>IF(C38="","",IFERROR(C38/(IF(COUNT('연간'!G4:J4)&lt;4,"",SUM('연간'!G4:J4))),""))</f>
        <v/>
      </c>
      <c r="D66" s="38">
        <f>IF(D38="","",IFERROR(D38/(IF(COUNT('연간'!H4:K4)&lt;4,"",SUM('연간'!H4:K4))),""))</f>
        <v/>
      </c>
      <c r="E66" s="38">
        <f>IF(E38="","",IFERROR(E38/(IF(COUNT('연간'!I4:L4)&lt;4,"",SUM('연간'!I4:L4))),""))</f>
        <v/>
      </c>
      <c r="F66" s="38">
        <f>IF(F38="","",IFERROR(F38/(IF(COUNT('연간'!J4:M4)&lt;4,"",SUM('연간'!J4:M4))),""))</f>
        <v/>
      </c>
      <c r="G66" s="38">
        <f>IF(G38="","",IFERROR(G38/(IF(COUNT('연간'!K4:N4)&lt;4,"",SUM('연간'!K4:N4))),""))</f>
        <v/>
      </c>
      <c r="H66" s="37">
        <f>IF(H38="","",IFERROR(H38/('연간'!T4),""))</f>
        <v/>
      </c>
      <c r="I66" s="38">
        <f>IF(I38="","",IFERROR(I38/('연간'!U4),""))</f>
        <v/>
      </c>
      <c r="J66" s="38">
        <f>IF(J38="","",IFERROR(J38/('연간'!V4),""))</f>
        <v/>
      </c>
      <c r="K66" s="38">
        <f>IF(K38="","",IFERROR(K38/('연간'!W4),""))</f>
        <v/>
      </c>
      <c r="L66" s="38">
        <f>IF(L38="","",IFERROR(L38/('연간'!X4),""))</f>
        <v/>
      </c>
    </row>
    <row r="67">
      <c r="A67" s="47" t="inlineStr">
        <is>
          <t>배당성향</t>
        </is>
      </c>
      <c r="B67" s="10" t="inlineStr">
        <is>
          <t>참고</t>
        </is>
      </c>
      <c r="C67" s="37">
        <f>IF(C40="","",IFERROR(C40/(IF(COUNT('연간'!G49:J49)&lt;4,"",SUM('연간'!G49:J49))),""))</f>
        <v/>
      </c>
      <c r="D67" s="38">
        <f>IF(D40="","",IFERROR(D40/(IF(COUNT('연간'!H49:K49)&lt;4,"",SUM('연간'!H49:K49))),""))</f>
        <v/>
      </c>
      <c r="E67" s="38">
        <f>IF(E40="","",IFERROR(E40/(IF(COUNT('연간'!I49:L49)&lt;4,"",SUM('연간'!I49:L49))),""))</f>
        <v/>
      </c>
      <c r="F67" s="38">
        <f>IF(F40="","",IFERROR(F40/(IF(COUNT('연간'!J49:M49)&lt;4,"",SUM('연간'!J49:M49))),""))</f>
        <v/>
      </c>
      <c r="G67" s="38">
        <f>IF(G40="","",IFERROR(G40/(IF(COUNT('연간'!K49:N49)&lt;4,"",SUM('연간'!K49:N49))),""))</f>
        <v/>
      </c>
      <c r="H67" s="37">
        <f>IF(H40="","",IFERROR(H40/('연간'!T49),""))</f>
        <v/>
      </c>
      <c r="I67" s="38">
        <f>IF(I40="","",IFERROR(I40/('연간'!U49),""))</f>
        <v/>
      </c>
      <c r="J67" s="38">
        <f>IF(J40="","",IFERROR(J40/('연간'!V49),""))</f>
        <v/>
      </c>
      <c r="K67" s="38">
        <f>IF(K40="","",IFERROR(K40/('연간'!W49),""))</f>
        <v/>
      </c>
      <c r="L67" s="38">
        <f>IF(L40="","",IFERROR(L40/('연간'!X49),""))</f>
        <v/>
      </c>
    </row>
    <row r="69">
      <c r="A69" s="18" t="inlineStr">
        <is>
          <t>재무상태표 · 전 항목</t>
        </is>
      </c>
      <c r="B69" s="44" t="inlineStr">
        <is>
          <t>분기 말 잔액</t>
        </is>
      </c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2026.1Q</t>
        </is>
      </c>
      <c r="D70" s="5" t="inlineStr">
        <is>
          <t>2026.2Q</t>
        </is>
      </c>
      <c r="E70" s="5" t="inlineStr">
        <is>
          <t>2026.3Q</t>
        </is>
      </c>
      <c r="F70" s="5" t="inlineStr">
        <is>
          <t>2026.4Q</t>
        </is>
      </c>
      <c r="G70" s="5" t="inlineStr">
        <is>
          <t>2027.1Q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20" t="inlineStr">
        <is>
          <t>현금 및 예금</t>
        </is>
      </c>
      <c r="C71" s="22" t="n">
        <v>9624</v>
      </c>
      <c r="D71" s="22" t="n">
        <v>9885</v>
      </c>
      <c r="E71" s="22" t="n">
        <v>8263</v>
      </c>
      <c r="F71" s="22" t="n">
        <v>8818</v>
      </c>
      <c r="G71" s="22" t="n">
        <v>7808</v>
      </c>
      <c r="H71" s="22" t="n">
        <v>7386</v>
      </c>
      <c r="I71" s="22" t="n">
        <v>8474</v>
      </c>
      <c r="J71" s="22" t="n">
        <v>9846</v>
      </c>
      <c r="K71" s="22" t="n">
        <v>9469</v>
      </c>
      <c r="L71" s="22" t="n">
        <v>8818</v>
      </c>
    </row>
    <row r="72">
      <c r="A72" s="20" t="inlineStr">
        <is>
          <t>매출채권</t>
        </is>
      </c>
      <c r="C72" s="22" t="n">
        <v>2367</v>
      </c>
      <c r="D72" s="22" t="n">
        <v>2445</v>
      </c>
      <c r="E72" s="22" t="n">
        <v>2556</v>
      </c>
      <c r="F72" s="22" t="n">
        <v>2544</v>
      </c>
      <c r="G72" s="22" t="n">
        <v>2697</v>
      </c>
      <c r="H72" s="22" t="n">
        <v>2485</v>
      </c>
      <c r="I72" s="22" t="n">
        <v>2323</v>
      </c>
      <c r="J72" s="22" t="n">
        <v>2430</v>
      </c>
      <c r="K72" s="22" t="n">
        <v>2766</v>
      </c>
      <c r="L72" s="22" t="n">
        <v>2544</v>
      </c>
    </row>
    <row r="73">
      <c r="A73" s="20" t="inlineStr">
        <is>
          <t>계약자산</t>
        </is>
      </c>
      <c r="C73" s="22" t="n">
        <v>49</v>
      </c>
      <c r="D73" s="22" t="n">
        <v>47</v>
      </c>
      <c r="E73" s="22" t="n">
        <v>30</v>
      </c>
      <c r="F73" s="22" t="n">
        <v>130</v>
      </c>
      <c r="G73" s="22" t="n">
        <v>91</v>
      </c>
      <c r="H73" s="22" t="n">
        <v>274</v>
      </c>
      <c r="I73" s="22" t="n">
        <v>82</v>
      </c>
      <c r="J73" s="22" t="n">
        <v>0</v>
      </c>
      <c r="K73" s="22" t="n">
        <v>204</v>
      </c>
      <c r="L73" s="22" t="n">
        <v>130</v>
      </c>
    </row>
    <row r="74">
      <c r="A74" s="20" t="inlineStr">
        <is>
          <t>전자기록채권</t>
        </is>
      </c>
      <c r="F74" s="22" t="n">
        <v>0</v>
      </c>
      <c r="G74" s="22" t="n">
        <v>15</v>
      </c>
      <c r="L74" s="22" t="n">
        <v>0</v>
      </c>
    </row>
    <row r="75">
      <c r="A75" s="20" t="inlineStr">
        <is>
          <t>재공품</t>
        </is>
      </c>
      <c r="C75" s="22" t="n">
        <v>47</v>
      </c>
      <c r="D75" s="22" t="n">
        <v>42</v>
      </c>
      <c r="E75" s="22" t="n">
        <v>73</v>
      </c>
      <c r="F75" s="22" t="n">
        <v>38</v>
      </c>
      <c r="G75" s="22" t="n">
        <v>68</v>
      </c>
      <c r="H75" s="22" t="n">
        <v>61</v>
      </c>
      <c r="I75" s="22" t="n">
        <v>30</v>
      </c>
      <c r="J75" s="22" t="n">
        <v>17</v>
      </c>
      <c r="K75" s="22" t="n">
        <v>11</v>
      </c>
      <c r="L75" s="22" t="n">
        <v>38</v>
      </c>
    </row>
    <row r="76">
      <c r="A76" s="20" t="inlineStr">
        <is>
          <t>저장품</t>
        </is>
      </c>
      <c r="F76" s="22" t="n">
        <v>4</v>
      </c>
      <c r="H76" s="22" t="n">
        <v>3</v>
      </c>
      <c r="I76" s="22" t="n">
        <v>3</v>
      </c>
      <c r="J76" s="22" t="n">
        <v>4</v>
      </c>
      <c r="K76" s="22" t="n">
        <v>3</v>
      </c>
      <c r="L76" s="22" t="n">
        <v>4</v>
      </c>
    </row>
    <row r="77">
      <c r="A77" s="20" t="inlineStr">
        <is>
          <t>기타</t>
        </is>
      </c>
      <c r="C77" s="22" t="n">
        <v>131</v>
      </c>
      <c r="D77" s="22" t="n">
        <v>142</v>
      </c>
      <c r="E77" s="22" t="n">
        <v>125</v>
      </c>
      <c r="F77" s="22" t="n">
        <v>89</v>
      </c>
      <c r="G77" s="22" t="n">
        <v>184</v>
      </c>
      <c r="H77" s="22" t="n">
        <v>77</v>
      </c>
      <c r="I77" s="22" t="n">
        <v>81</v>
      </c>
      <c r="J77" s="22" t="n">
        <v>70</v>
      </c>
      <c r="K77" s="22" t="n">
        <v>122</v>
      </c>
      <c r="L77" s="22" t="n">
        <v>89</v>
      </c>
    </row>
    <row r="78">
      <c r="A78" s="20" t="inlineStr">
        <is>
          <t>대손충당금</t>
        </is>
      </c>
      <c r="F78" s="22" t="n">
        <v>0</v>
      </c>
      <c r="G78" s="22" t="n">
        <v>-1</v>
      </c>
      <c r="L78" s="22" t="n">
        <v>0</v>
      </c>
    </row>
    <row r="79">
      <c r="A79" s="9" t="inlineStr">
        <is>
          <t>유동자산 합계</t>
        </is>
      </c>
      <c r="C79" s="12" t="n">
        <v>12218</v>
      </c>
      <c r="D79" s="12" t="n">
        <v>12561</v>
      </c>
      <c r="E79" s="12" t="n">
        <v>11047</v>
      </c>
      <c r="F79" s="12" t="n">
        <v>11620</v>
      </c>
      <c r="G79" s="12" t="n">
        <v>10862</v>
      </c>
      <c r="H79" s="12" t="n">
        <v>10286</v>
      </c>
      <c r="I79" s="12" t="n">
        <v>10993</v>
      </c>
      <c r="J79" s="12" t="n">
        <v>12366</v>
      </c>
      <c r="K79" s="12" t="n">
        <v>12575</v>
      </c>
      <c r="L79" s="12" t="n">
        <v>11620</v>
      </c>
    </row>
    <row r="80">
      <c r="A80" s="20" t="inlineStr">
        <is>
          <t>건물</t>
        </is>
      </c>
      <c r="F80" s="22" t="n">
        <v>181</v>
      </c>
      <c r="H80" s="22" t="n">
        <v>196</v>
      </c>
      <c r="I80" s="22" t="n">
        <v>196</v>
      </c>
      <c r="J80" s="22" t="n">
        <v>197</v>
      </c>
      <c r="K80" s="22" t="n">
        <v>198</v>
      </c>
      <c r="L80" s="22" t="n">
        <v>181</v>
      </c>
    </row>
    <row r="81">
      <c r="A81" s="20" t="inlineStr">
        <is>
          <t>감가상각누계액</t>
        </is>
      </c>
      <c r="F81" s="22" t="n">
        <v>-134</v>
      </c>
      <c r="H81" s="22" t="n">
        <v>-107</v>
      </c>
      <c r="I81" s="22" t="n">
        <v>-119</v>
      </c>
      <c r="J81" s="22" t="n">
        <v>-129</v>
      </c>
      <c r="K81" s="22" t="n">
        <v>-138</v>
      </c>
      <c r="L81" s="22" t="n">
        <v>-134</v>
      </c>
    </row>
    <row r="82">
      <c r="A82" s="20" t="inlineStr">
        <is>
          <t>건물(순액)</t>
        </is>
      </c>
      <c r="F82" s="22" t="n">
        <v>46</v>
      </c>
      <c r="H82" s="22" t="n">
        <v>89</v>
      </c>
      <c r="I82" s="22" t="n">
        <v>78</v>
      </c>
      <c r="J82" s="22" t="n">
        <v>68</v>
      </c>
      <c r="K82" s="22" t="n">
        <v>59</v>
      </c>
      <c r="L82" s="22" t="n">
        <v>46</v>
      </c>
    </row>
    <row r="83">
      <c r="A83" s="20" t="inlineStr">
        <is>
          <t>공구·기구·비품</t>
        </is>
      </c>
      <c r="F83" s="22" t="n">
        <v>81</v>
      </c>
      <c r="H83" s="22" t="n">
        <v>99</v>
      </c>
      <c r="I83" s="22" t="n">
        <v>87</v>
      </c>
      <c r="J83" s="22" t="n">
        <v>86</v>
      </c>
      <c r="K83" s="22" t="n">
        <v>82</v>
      </c>
      <c r="L83" s="22" t="n">
        <v>81</v>
      </c>
    </row>
    <row r="84">
      <c r="A84" s="20" t="inlineStr">
        <is>
          <t>감가상각누계액</t>
        </is>
      </c>
      <c r="F84" s="22" t="n">
        <v>-71</v>
      </c>
      <c r="H84" s="22" t="n">
        <v>-59</v>
      </c>
      <c r="I84" s="22" t="n">
        <v>-60</v>
      </c>
      <c r="J84" s="22" t="n">
        <v>-67</v>
      </c>
      <c r="K84" s="22" t="n">
        <v>-66</v>
      </c>
      <c r="L84" s="22" t="n">
        <v>-71</v>
      </c>
    </row>
    <row r="85">
      <c r="A85" s="20" t="inlineStr">
        <is>
          <t>공구·기구·비품(순액)</t>
        </is>
      </c>
      <c r="F85" s="22" t="n">
        <v>10</v>
      </c>
      <c r="H85" s="22" t="n">
        <v>40</v>
      </c>
      <c r="I85" s="22" t="n">
        <v>27</v>
      </c>
      <c r="J85" s="22" t="n">
        <v>19</v>
      </c>
      <c r="K85" s="22" t="n">
        <v>16</v>
      </c>
      <c r="L85" s="22" t="n">
        <v>10</v>
      </c>
    </row>
    <row r="86">
      <c r="A86" s="20" t="inlineStr">
        <is>
          <t>유형자산</t>
        </is>
      </c>
      <c r="C86" s="22" t="n">
        <v>71</v>
      </c>
      <c r="D86" s="22" t="n">
        <v>67</v>
      </c>
      <c r="E86" s="22" t="n">
        <v>63</v>
      </c>
      <c r="F86" s="22" t="n">
        <v>56</v>
      </c>
      <c r="G86" s="22" t="n">
        <v>59</v>
      </c>
      <c r="H86" s="22" t="n">
        <v>129</v>
      </c>
      <c r="I86" s="22" t="n">
        <v>105</v>
      </c>
      <c r="J86" s="22" t="n">
        <v>87</v>
      </c>
      <c r="K86" s="22" t="n">
        <v>75</v>
      </c>
      <c r="L86" s="22" t="n">
        <v>56</v>
      </c>
    </row>
    <row r="87">
      <c r="A87" s="20" t="inlineStr">
        <is>
          <t>영업권</t>
        </is>
      </c>
      <c r="F87" s="22" t="n">
        <v>0</v>
      </c>
      <c r="G87" s="22" t="n">
        <v>783</v>
      </c>
      <c r="L87" s="22" t="n">
        <v>0</v>
      </c>
    </row>
    <row r="88">
      <c r="A88" s="20" t="inlineStr">
        <is>
          <t>기타</t>
        </is>
      </c>
      <c r="F88" s="22" t="n">
        <v>68</v>
      </c>
      <c r="G88" s="22" t="n">
        <v>64</v>
      </c>
      <c r="L88" s="22" t="n">
        <v>68</v>
      </c>
    </row>
    <row r="89">
      <c r="A89" s="20" t="inlineStr">
        <is>
          <t>무형자산 합계</t>
        </is>
      </c>
      <c r="C89" s="22" t="n">
        <v>45</v>
      </c>
      <c r="D89" s="22" t="n">
        <v>62</v>
      </c>
      <c r="E89" s="22" t="n">
        <v>72</v>
      </c>
      <c r="F89" s="22" t="n">
        <v>68</v>
      </c>
      <c r="G89" s="22" t="n">
        <v>848</v>
      </c>
      <c r="H89" s="22" t="n">
        <v>41</v>
      </c>
      <c r="I89" s="22" t="n">
        <v>21</v>
      </c>
      <c r="J89" s="22" t="n">
        <v>2</v>
      </c>
      <c r="K89" s="22" t="n">
        <v>22</v>
      </c>
      <c r="L89" s="22" t="n">
        <v>68</v>
      </c>
    </row>
    <row r="90">
      <c r="A90" s="20" t="inlineStr">
        <is>
          <t>이연법인세자산</t>
        </is>
      </c>
      <c r="F90" s="22" t="n">
        <v>444</v>
      </c>
      <c r="H90" s="22" t="n">
        <v>429</v>
      </c>
      <c r="I90" s="22" t="n">
        <v>408</v>
      </c>
      <c r="J90" s="22" t="n">
        <v>410</v>
      </c>
      <c r="K90" s="22" t="n">
        <v>428</v>
      </c>
      <c r="L90" s="22" t="n">
        <v>444</v>
      </c>
    </row>
    <row r="91">
      <c r="A91" s="20" t="inlineStr">
        <is>
          <t>보험적립금</t>
        </is>
      </c>
      <c r="F91" s="22" t="n">
        <v>545</v>
      </c>
      <c r="H91" s="22" t="n">
        <v>580</v>
      </c>
      <c r="I91" s="22" t="n">
        <v>569</v>
      </c>
      <c r="J91" s="22" t="n">
        <v>542</v>
      </c>
      <c r="K91" s="22" t="n">
        <v>543</v>
      </c>
      <c r="L91" s="22" t="n">
        <v>545</v>
      </c>
    </row>
    <row r="92">
      <c r="A92" s="20" t="inlineStr">
        <is>
          <t>장기예금</t>
        </is>
      </c>
      <c r="C92" s="22" t="n">
        <v>600</v>
      </c>
      <c r="D92" s="22" t="n">
        <v>600</v>
      </c>
      <c r="E92" s="22" t="n">
        <v>600</v>
      </c>
      <c r="F92" s="22" t="n">
        <v>600</v>
      </c>
      <c r="G92" s="22" t="n">
        <v>600</v>
      </c>
      <c r="H92" s="22" t="n">
        <v>600</v>
      </c>
      <c r="I92" s="22" t="n">
        <v>600</v>
      </c>
      <c r="J92" s="22" t="n">
        <v>0</v>
      </c>
      <c r="K92" s="22" t="n">
        <v>600</v>
      </c>
      <c r="L92" s="22" t="n">
        <v>600</v>
      </c>
    </row>
    <row r="93">
      <c r="A93" s="20" t="inlineStr">
        <is>
          <t>기타</t>
        </is>
      </c>
      <c r="C93" s="22" t="n">
        <v>1163</v>
      </c>
      <c r="D93" s="22" t="n">
        <v>1168</v>
      </c>
      <c r="E93" s="22" t="n">
        <v>1173</v>
      </c>
      <c r="F93" s="22" t="n">
        <v>1180</v>
      </c>
      <c r="G93" s="22" t="n">
        <v>1197</v>
      </c>
      <c r="H93" s="22" t="n">
        <v>193</v>
      </c>
      <c r="I93" s="22" t="n">
        <v>182</v>
      </c>
      <c r="J93" s="22" t="n">
        <v>185</v>
      </c>
      <c r="K93" s="22" t="n">
        <v>188</v>
      </c>
      <c r="L93" s="22" t="n">
        <v>1180</v>
      </c>
    </row>
    <row r="94">
      <c r="A94" s="20" t="inlineStr">
        <is>
          <t>대손충당금</t>
        </is>
      </c>
      <c r="C94" s="22" t="n">
        <v>-2</v>
      </c>
      <c r="D94" s="22" t="n">
        <v>-2</v>
      </c>
      <c r="E94" s="22" t="n">
        <v>-2</v>
      </c>
      <c r="F94" s="22" t="n">
        <v>-2</v>
      </c>
      <c r="G94" s="22" t="n">
        <v>-2</v>
      </c>
      <c r="H94" s="22" t="n">
        <v>-2</v>
      </c>
      <c r="I94" s="22" t="n">
        <v>-2</v>
      </c>
      <c r="J94" s="22" t="n">
        <v>-2</v>
      </c>
      <c r="K94" s="22" t="n">
        <v>-2</v>
      </c>
      <c r="L94" s="22" t="n">
        <v>-2</v>
      </c>
    </row>
    <row r="95">
      <c r="A95" s="20" t="inlineStr">
        <is>
          <t>투자 및 기타자산 합계</t>
        </is>
      </c>
      <c r="C95" s="22" t="n">
        <v>1761</v>
      </c>
      <c r="D95" s="22" t="n">
        <v>1766</v>
      </c>
      <c r="E95" s="22" t="n">
        <v>1770</v>
      </c>
      <c r="F95" s="22" t="n">
        <v>1778</v>
      </c>
      <c r="G95" s="22" t="n">
        <v>1795</v>
      </c>
      <c r="H95" s="22" t="n">
        <v>1800</v>
      </c>
      <c r="I95" s="22" t="n">
        <v>1757</v>
      </c>
      <c r="J95" s="22" t="n">
        <v>1135</v>
      </c>
      <c r="K95" s="22" t="n">
        <v>1757</v>
      </c>
      <c r="L95" s="22" t="n">
        <v>1778</v>
      </c>
    </row>
    <row r="96">
      <c r="A96" s="9" t="inlineStr">
        <is>
          <t>비유동자산 합계</t>
        </is>
      </c>
      <c r="C96" s="12" t="n">
        <v>1877</v>
      </c>
      <c r="D96" s="12" t="n">
        <v>1895</v>
      </c>
      <c r="E96" s="12" t="n">
        <v>1905</v>
      </c>
      <c r="F96" s="12" t="n">
        <v>1902</v>
      </c>
      <c r="G96" s="12" t="n">
        <v>2702</v>
      </c>
      <c r="H96" s="12" t="n">
        <v>1970</v>
      </c>
      <c r="I96" s="12" t="n">
        <v>1882</v>
      </c>
      <c r="J96" s="12" t="n">
        <v>1224</v>
      </c>
      <c r="K96" s="12" t="n">
        <v>1854</v>
      </c>
      <c r="L96" s="12" t="n">
        <v>1902</v>
      </c>
    </row>
    <row r="97">
      <c r="A97" s="9" t="inlineStr">
        <is>
          <t>자산 합계</t>
        </is>
      </c>
      <c r="C97" s="12" t="n">
        <v>14095</v>
      </c>
      <c r="D97" s="12" t="n">
        <v>14456</v>
      </c>
      <c r="E97" s="12" t="n">
        <v>12952</v>
      </c>
      <c r="F97" s="12" t="n">
        <v>13522</v>
      </c>
      <c r="G97" s="12" t="n">
        <v>13564</v>
      </c>
      <c r="H97" s="12" t="n">
        <v>12257</v>
      </c>
      <c r="I97" s="12" t="n">
        <v>12875</v>
      </c>
      <c r="J97" s="12" t="n">
        <v>13590</v>
      </c>
      <c r="K97" s="12" t="n">
        <v>14430</v>
      </c>
      <c r="L97" s="12" t="n">
        <v>13522</v>
      </c>
    </row>
    <row r="98">
      <c r="A98" s="20" t="inlineStr">
        <is>
          <t>매입채무</t>
        </is>
      </c>
      <c r="C98" s="22" t="n">
        <v>732</v>
      </c>
      <c r="D98" s="22" t="n">
        <v>701</v>
      </c>
      <c r="E98" s="22" t="n">
        <v>724</v>
      </c>
      <c r="F98" s="22" t="n">
        <v>796</v>
      </c>
      <c r="G98" s="22" t="n">
        <v>850</v>
      </c>
      <c r="H98" s="22" t="n">
        <v>792</v>
      </c>
      <c r="I98" s="22" t="n">
        <v>708</v>
      </c>
      <c r="J98" s="22" t="n">
        <v>679</v>
      </c>
      <c r="K98" s="22" t="n">
        <v>764</v>
      </c>
      <c r="L98" s="22" t="n">
        <v>796</v>
      </c>
    </row>
    <row r="99">
      <c r="A99" s="20" t="inlineStr">
        <is>
          <t>미지급법인세</t>
        </is>
      </c>
      <c r="C99" s="22" t="n">
        <v>97</v>
      </c>
      <c r="D99" s="22" t="n">
        <v>267</v>
      </c>
      <c r="E99" s="22" t="n">
        <v>111</v>
      </c>
      <c r="F99" s="22" t="n">
        <v>182</v>
      </c>
      <c r="G99" s="22" t="n">
        <v>106</v>
      </c>
      <c r="H99" s="22" t="n">
        <v>359</v>
      </c>
      <c r="I99" s="22" t="n">
        <v>292</v>
      </c>
      <c r="J99" s="22" t="n">
        <v>347</v>
      </c>
      <c r="K99" s="22" t="n">
        <v>324</v>
      </c>
      <c r="L99" s="22" t="n">
        <v>182</v>
      </c>
    </row>
    <row r="100">
      <c r="A100" s="20" t="inlineStr">
        <is>
          <t>계약부채</t>
        </is>
      </c>
      <c r="C100" s="22" t="n">
        <v>58</v>
      </c>
      <c r="D100" s="22" t="n">
        <v>35</v>
      </c>
      <c r="E100" s="22" t="n">
        <v>42</v>
      </c>
      <c r="F100" s="22" t="n">
        <v>19</v>
      </c>
      <c r="G100" s="22" t="n">
        <v>67</v>
      </c>
      <c r="H100" s="22" t="n">
        <v>30</v>
      </c>
      <c r="I100" s="22" t="n">
        <v>22</v>
      </c>
      <c r="J100" s="22" t="n">
        <v>18</v>
      </c>
      <c r="K100" s="22" t="n">
        <v>67</v>
      </c>
      <c r="L100" s="22" t="n">
        <v>19</v>
      </c>
    </row>
    <row r="101">
      <c r="A101" s="20" t="inlineStr">
        <is>
          <t>상여충당금</t>
        </is>
      </c>
      <c r="C101" s="22" t="n">
        <v>360</v>
      </c>
      <c r="D101" s="22" t="n">
        <v>688</v>
      </c>
      <c r="E101" s="22" t="n">
        <v>345</v>
      </c>
      <c r="F101" s="22" t="n">
        <v>677</v>
      </c>
      <c r="G101" s="22" t="n">
        <v>316</v>
      </c>
      <c r="H101" s="22" t="n">
        <v>754</v>
      </c>
      <c r="I101" s="22" t="n">
        <v>647</v>
      </c>
      <c r="J101" s="22" t="n">
        <v>625</v>
      </c>
      <c r="K101" s="22" t="n">
        <v>707</v>
      </c>
      <c r="L101" s="22" t="n">
        <v>677</v>
      </c>
    </row>
    <row r="102">
      <c r="A102" s="20" t="inlineStr">
        <is>
          <t>임원 상여충당금</t>
        </is>
      </c>
      <c r="C102" s="22" t="n">
        <v>12</v>
      </c>
      <c r="D102" s="22" t="n">
        <v>25</v>
      </c>
      <c r="E102" s="22" t="n">
        <v>37</v>
      </c>
      <c r="F102" s="22" t="n">
        <v>46</v>
      </c>
      <c r="G102" s="22" t="n">
        <v>13</v>
      </c>
      <c r="H102" s="22" t="n">
        <v>34</v>
      </c>
      <c r="I102" s="22" t="n">
        <v>30</v>
      </c>
      <c r="J102" s="22" t="n">
        <v>25</v>
      </c>
      <c r="K102" s="22" t="n">
        <v>51</v>
      </c>
      <c r="L102" s="22" t="n">
        <v>46</v>
      </c>
    </row>
    <row r="103">
      <c r="A103" s="20" t="inlineStr">
        <is>
          <t>수주손실 충당금</t>
        </is>
      </c>
      <c r="F103" s="22" t="n">
        <v>25</v>
      </c>
      <c r="G103" s="22" t="n">
        <v>43</v>
      </c>
      <c r="K103" s="22" t="n">
        <v>0</v>
      </c>
      <c r="L103" s="22" t="n">
        <v>25</v>
      </c>
    </row>
    <row r="104">
      <c r="A104" s="20" t="inlineStr">
        <is>
          <t>기타</t>
        </is>
      </c>
      <c r="C104" s="22" t="n">
        <v>926</v>
      </c>
      <c r="D104" s="22" t="n">
        <v>487</v>
      </c>
      <c r="E104" s="22" t="n">
        <v>860</v>
      </c>
      <c r="F104" s="22" t="n">
        <v>581</v>
      </c>
      <c r="G104" s="22" t="n">
        <v>1048</v>
      </c>
      <c r="H104" s="22" t="n">
        <v>467</v>
      </c>
      <c r="I104" s="22" t="n">
        <v>522</v>
      </c>
      <c r="J104" s="22" t="n">
        <v>637</v>
      </c>
      <c r="K104" s="22" t="n">
        <v>489</v>
      </c>
      <c r="L104" s="22" t="n">
        <v>581</v>
      </c>
    </row>
    <row r="105">
      <c r="A105" s="9" t="inlineStr">
        <is>
          <t>유동부채 합계</t>
        </is>
      </c>
      <c r="C105" s="12" t="n">
        <v>2184</v>
      </c>
      <c r="D105" s="12" t="n">
        <v>2204</v>
      </c>
      <c r="E105" s="12" t="n">
        <v>2119</v>
      </c>
      <c r="F105" s="12" t="n">
        <v>2326</v>
      </c>
      <c r="G105" s="12" t="n">
        <v>2444</v>
      </c>
      <c r="H105" s="12" t="n">
        <v>2436</v>
      </c>
      <c r="I105" s="12" t="n">
        <v>2221</v>
      </c>
      <c r="J105" s="12" t="n">
        <v>2332</v>
      </c>
      <c r="K105" s="12" t="n">
        <v>2402</v>
      </c>
      <c r="L105" s="12" t="n">
        <v>2326</v>
      </c>
    </row>
    <row r="106">
      <c r="A106" s="20" t="inlineStr">
        <is>
          <t>퇴직급여부채</t>
        </is>
      </c>
      <c r="C106" s="22" t="n">
        <v>246</v>
      </c>
      <c r="D106" s="22" t="n">
        <v>247</v>
      </c>
      <c r="E106" s="22" t="n">
        <v>247</v>
      </c>
      <c r="F106" s="22" t="n">
        <v>291</v>
      </c>
      <c r="G106" s="22" t="n">
        <v>294</v>
      </c>
      <c r="H106" s="22" t="n">
        <v>302</v>
      </c>
      <c r="I106" s="22" t="n">
        <v>332</v>
      </c>
      <c r="J106" s="22" t="n">
        <v>313</v>
      </c>
      <c r="K106" s="22" t="n">
        <v>246</v>
      </c>
      <c r="L106" s="22" t="n">
        <v>291</v>
      </c>
    </row>
    <row r="107">
      <c r="A107" s="20" t="inlineStr">
        <is>
          <t>기타</t>
        </is>
      </c>
      <c r="F107" s="22" t="n">
        <v>0</v>
      </c>
      <c r="G107" s="22" t="n">
        <v>2</v>
      </c>
      <c r="H107" s="22" t="n">
        <v>9</v>
      </c>
      <c r="I107" s="22" t="n">
        <v>9</v>
      </c>
      <c r="J107" s="22" t="n">
        <v>9</v>
      </c>
      <c r="K107" s="22" t="n">
        <v>0</v>
      </c>
      <c r="L107" s="22" t="n">
        <v>0</v>
      </c>
    </row>
    <row r="108">
      <c r="A108" s="9" t="inlineStr">
        <is>
          <t>비유동부채 합계</t>
        </is>
      </c>
      <c r="C108" s="12" t="n">
        <v>246</v>
      </c>
      <c r="D108" s="12" t="n">
        <v>247</v>
      </c>
      <c r="E108" s="12" t="n">
        <v>247</v>
      </c>
      <c r="F108" s="12" t="n">
        <v>291</v>
      </c>
      <c r="G108" s="12" t="n">
        <v>296</v>
      </c>
      <c r="H108" s="12" t="n">
        <v>311</v>
      </c>
      <c r="I108" s="12" t="n">
        <v>342</v>
      </c>
      <c r="J108" s="12" t="n">
        <v>323</v>
      </c>
      <c r="K108" s="12" t="n">
        <v>246</v>
      </c>
      <c r="L108" s="12" t="n">
        <v>291</v>
      </c>
    </row>
    <row r="109">
      <c r="A109" s="9" t="inlineStr">
        <is>
          <t>부채 합계</t>
        </is>
      </c>
      <c r="C109" s="12" t="n">
        <v>2430</v>
      </c>
      <c r="D109" s="12" t="n">
        <v>2451</v>
      </c>
      <c r="E109" s="12" t="n">
        <v>2366</v>
      </c>
      <c r="F109" s="12" t="n">
        <v>2617</v>
      </c>
      <c r="G109" s="12" t="n">
        <v>2740</v>
      </c>
      <c r="H109" s="12" t="n">
        <v>2747</v>
      </c>
      <c r="I109" s="12" t="n">
        <v>2563</v>
      </c>
      <c r="J109" s="12" t="n">
        <v>2655</v>
      </c>
      <c r="K109" s="12" t="n">
        <v>2648</v>
      </c>
      <c r="L109" s="12" t="n">
        <v>2617</v>
      </c>
    </row>
    <row r="110">
      <c r="A110" s="20" t="inlineStr">
        <is>
          <t>자본금</t>
        </is>
      </c>
      <c r="C110" s="22" t="n">
        <v>689</v>
      </c>
      <c r="D110" s="22" t="n">
        <v>689</v>
      </c>
      <c r="E110" s="22" t="n">
        <v>689</v>
      </c>
      <c r="F110" s="22" t="n">
        <v>689</v>
      </c>
      <c r="G110" s="22" t="n">
        <v>689</v>
      </c>
      <c r="H110" s="22" t="n">
        <v>689</v>
      </c>
      <c r="I110" s="22" t="n">
        <v>689</v>
      </c>
      <c r="J110" s="22" t="n">
        <v>689</v>
      </c>
      <c r="K110" s="22" t="n">
        <v>689</v>
      </c>
      <c r="L110" s="22" t="n">
        <v>689</v>
      </c>
    </row>
    <row r="111">
      <c r="A111" s="20" t="inlineStr">
        <is>
          <t>자본잉여금</t>
        </is>
      </c>
      <c r="C111" s="22" t="n">
        <v>780</v>
      </c>
      <c r="D111" s="22" t="n">
        <v>802</v>
      </c>
      <c r="E111" s="22" t="n">
        <v>802</v>
      </c>
      <c r="F111" s="22" t="n">
        <v>666</v>
      </c>
      <c r="G111" s="22" t="n">
        <v>666</v>
      </c>
      <c r="H111" s="22" t="n">
        <v>703</v>
      </c>
      <c r="I111" s="22" t="n">
        <v>725</v>
      </c>
      <c r="J111" s="22" t="n">
        <v>754</v>
      </c>
      <c r="K111" s="22" t="n">
        <v>780</v>
      </c>
      <c r="L111" s="22" t="n">
        <v>666</v>
      </c>
    </row>
    <row r="112">
      <c r="A112" s="20" t="inlineStr">
        <is>
          <t>이익잉여금</t>
        </is>
      </c>
      <c r="C112" s="22" t="n">
        <v>10569</v>
      </c>
      <c r="D112" s="22" t="n">
        <v>10881</v>
      </c>
      <c r="E112" s="22" t="n">
        <v>10919</v>
      </c>
      <c r="F112" s="22" t="n">
        <v>10113</v>
      </c>
      <c r="G112" s="22" t="n">
        <v>10023</v>
      </c>
      <c r="H112" s="22" t="n">
        <v>8427</v>
      </c>
      <c r="I112" s="22" t="n">
        <v>9215</v>
      </c>
      <c r="J112" s="22" t="n">
        <v>9892</v>
      </c>
      <c r="K112" s="22" t="n">
        <v>10675</v>
      </c>
      <c r="L112" s="22" t="n">
        <v>10113</v>
      </c>
    </row>
    <row r="113">
      <c r="A113" s="20" t="inlineStr">
        <is>
          <t>자기주식</t>
        </is>
      </c>
      <c r="C113" s="22" t="n">
        <v>-407</v>
      </c>
      <c r="D113" s="22" t="n">
        <v>-392</v>
      </c>
      <c r="E113" s="22" t="n">
        <v>-1839</v>
      </c>
      <c r="F113" s="22" t="n">
        <v>-533</v>
      </c>
      <c r="G113" s="22" t="n">
        <v>-533</v>
      </c>
      <c r="H113" s="22" t="n">
        <v>-308</v>
      </c>
      <c r="I113" s="22" t="n">
        <v>-299</v>
      </c>
      <c r="J113" s="22" t="n">
        <v>-422</v>
      </c>
      <c r="K113" s="22" t="n">
        <v>-407</v>
      </c>
      <c r="L113" s="22" t="n">
        <v>-533</v>
      </c>
    </row>
    <row r="114">
      <c r="A114" s="9" t="inlineStr">
        <is>
          <t>주주자본 합계</t>
        </is>
      </c>
      <c r="C114" s="12" t="n">
        <v>11630</v>
      </c>
      <c r="D114" s="12" t="n">
        <v>11980</v>
      </c>
      <c r="E114" s="12" t="n">
        <v>10571</v>
      </c>
      <c r="F114" s="12" t="n">
        <v>10935</v>
      </c>
      <c r="G114" s="12" t="n">
        <v>10844</v>
      </c>
      <c r="H114" s="12" t="n">
        <v>9511</v>
      </c>
      <c r="I114" s="12" t="n">
        <v>10330</v>
      </c>
      <c r="J114" s="12" t="n">
        <v>10913</v>
      </c>
      <c r="K114" s="12" t="n">
        <v>11737</v>
      </c>
      <c r="L114" s="12" t="n">
        <v>10935</v>
      </c>
    </row>
    <row r="115">
      <c r="A115" s="20" t="inlineStr">
        <is>
          <t>기타유가증권 평가차액</t>
        </is>
      </c>
      <c r="C115" s="22" t="n">
        <v>4</v>
      </c>
      <c r="D115" s="22" t="n">
        <v>4</v>
      </c>
      <c r="E115" s="22" t="n">
        <v>5</v>
      </c>
      <c r="F115" s="22" t="n">
        <v>4</v>
      </c>
      <c r="G115" s="22" t="n">
        <v>5</v>
      </c>
      <c r="H115" s="22" t="n">
        <v>3</v>
      </c>
      <c r="I115" s="22" t="n">
        <v>4</v>
      </c>
      <c r="J115" s="22" t="n">
        <v>6</v>
      </c>
      <c r="K115" s="22" t="n">
        <v>4</v>
      </c>
      <c r="L115" s="22" t="n">
        <v>4</v>
      </c>
    </row>
    <row r="116">
      <c r="A116" s="20" t="inlineStr">
        <is>
          <t>퇴직급여 조정누계액</t>
        </is>
      </c>
      <c r="C116" s="22" t="n">
        <v>31</v>
      </c>
      <c r="D116" s="22" t="n">
        <v>21</v>
      </c>
      <c r="E116" s="22" t="n">
        <v>10</v>
      </c>
      <c r="F116" s="22" t="n">
        <v>-34</v>
      </c>
      <c r="G116" s="22" t="n">
        <v>-26</v>
      </c>
      <c r="H116" s="22" t="n">
        <v>-4</v>
      </c>
      <c r="I116" s="22" t="n">
        <v>-21</v>
      </c>
      <c r="J116" s="22" t="n">
        <v>16</v>
      </c>
      <c r="K116" s="22" t="n">
        <v>41</v>
      </c>
      <c r="L116" s="22" t="n">
        <v>-34</v>
      </c>
    </row>
    <row r="117">
      <c r="A117" s="20" t="inlineStr">
        <is>
          <t>기타포괄손익누계액 합계</t>
        </is>
      </c>
      <c r="C117" s="22" t="n">
        <v>35</v>
      </c>
      <c r="D117" s="22" t="n">
        <v>25</v>
      </c>
      <c r="E117" s="22" t="n">
        <v>15</v>
      </c>
      <c r="F117" s="22" t="n">
        <v>-30</v>
      </c>
      <c r="G117" s="22" t="n">
        <v>-21</v>
      </c>
      <c r="H117" s="22" t="n">
        <v>-1</v>
      </c>
      <c r="I117" s="22" t="n">
        <v>-17</v>
      </c>
      <c r="J117" s="22" t="n">
        <v>22</v>
      </c>
      <c r="K117" s="22" t="n">
        <v>45</v>
      </c>
      <c r="L117" s="22" t="n">
        <v>-30</v>
      </c>
    </row>
    <row r="118">
      <c r="A118" s="9" t="inlineStr">
        <is>
          <t>순자산 합계</t>
        </is>
      </c>
      <c r="C118" s="12" t="n">
        <v>11665</v>
      </c>
      <c r="D118" s="12" t="n">
        <v>12005</v>
      </c>
      <c r="E118" s="12" t="n">
        <v>10587</v>
      </c>
      <c r="F118" s="12" t="n">
        <v>10904</v>
      </c>
      <c r="G118" s="12" t="n">
        <v>10823</v>
      </c>
      <c r="H118" s="12" t="n">
        <v>9510</v>
      </c>
      <c r="I118" s="12" t="n">
        <v>10313</v>
      </c>
      <c r="J118" s="12" t="n">
        <v>10935</v>
      </c>
      <c r="K118" s="12" t="n">
        <v>11782</v>
      </c>
      <c r="L118" s="12" t="n">
        <v>10904</v>
      </c>
    </row>
    <row r="119">
      <c r="A119" s="9" t="inlineStr">
        <is>
          <t>부채·순자산 합계</t>
        </is>
      </c>
      <c r="C119" s="12" t="n">
        <v>14095</v>
      </c>
      <c r="D119" s="12" t="n">
        <v>14456</v>
      </c>
      <c r="E119" s="12" t="n">
        <v>12952</v>
      </c>
      <c r="F119" s="12" t="n">
        <v>13522</v>
      </c>
      <c r="G119" s="12" t="n">
        <v>13564</v>
      </c>
      <c r="H119" s="12" t="n">
        <v>12257</v>
      </c>
      <c r="I119" s="12" t="n">
        <v>12875</v>
      </c>
      <c r="J119" s="12" t="n">
        <v>13590</v>
      </c>
      <c r="K119" s="12" t="n">
        <v>14430</v>
      </c>
      <c r="L119" s="12" t="n">
        <v>13522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44" customWidth="1" min="3" max="3"/>
  </cols>
  <sheetData>
    <row r="1">
      <c r="A1" s="52" t="inlineStr">
        <is>
          <t>4299 섹터·사업 데이터</t>
        </is>
      </c>
    </row>
    <row r="2">
      <c r="A2" s="53" t="inlineStr">
        <is>
          <t>2단계 보고서를 만들 때 모은 자료 · 월차 · 출처는 맨 오른쪽</t>
        </is>
      </c>
    </row>
    <row r="4">
      <c r="A4" s="54" t="inlineStr">
        <is>
          <t>revision 2026 10 30 · 상반기 직전</t>
        </is>
      </c>
      <c r="B4" s="54" t="n"/>
      <c r="C4" s="54" t="n"/>
    </row>
    <row r="5">
      <c r="A5" s="55" t="inlineStr">
        <is>
          <t>항목</t>
        </is>
      </c>
      <c r="B5" s="55" t="inlineStr">
        <is>
          <t>값</t>
        </is>
      </c>
      <c r="C5" s="55" t="inlineStr">
        <is>
          <t>출처</t>
        </is>
      </c>
    </row>
    <row r="6">
      <c r="A6" s="56" t="inlineStr">
        <is>
          <t>매출</t>
        </is>
      </c>
      <c r="B6" s="57" t="n">
        <v>98.09999999999999</v>
      </c>
      <c r="C6" s="58" t="inlineStr">
        <is>
          <t>2단계 보고서 자료(회사 설명회 자료·공시)</t>
        </is>
      </c>
    </row>
    <row r="7">
      <c r="A7" s="56" t="inlineStr">
        <is>
          <t>영업이익</t>
        </is>
      </c>
      <c r="B7" s="57" t="n">
        <v>3.8</v>
      </c>
    </row>
    <row r="8">
      <c r="A8" s="56" t="inlineStr">
        <is>
          <t>ord</t>
        </is>
      </c>
      <c r="B8" s="57" t="n">
        <v>3.95</v>
      </c>
    </row>
    <row r="9">
      <c r="A9" s="56" t="inlineStr">
        <is>
          <t>순이익</t>
        </is>
      </c>
      <c r="B9" s="57" t="n">
        <v>2.2</v>
      </c>
    </row>
    <row r="10">
      <c r="A10" s="56" t="inlineStr">
        <is>
          <t>EPS</t>
        </is>
      </c>
      <c r="B10" s="57" t="n">
        <v>21.07</v>
      </c>
    </row>
    <row r="12">
      <c r="A12" s="54" t="inlineStr">
        <is>
          <t>revision 2026 10 30 · 상반기 new</t>
        </is>
      </c>
      <c r="B12" s="54" t="n"/>
      <c r="C12" s="54" t="n"/>
    </row>
    <row r="13">
      <c r="A13" s="55" t="inlineStr">
        <is>
          <t>항목</t>
        </is>
      </c>
      <c r="B13" s="55" t="inlineStr">
        <is>
          <t>값</t>
        </is>
      </c>
      <c r="C13" s="55" t="inlineStr">
        <is>
          <t>출처</t>
        </is>
      </c>
    </row>
    <row r="14">
      <c r="A14" s="56" t="inlineStr">
        <is>
          <t>매출</t>
        </is>
      </c>
      <c r="B14" s="57" t="n">
        <v>103</v>
      </c>
      <c r="C14" s="58" t="inlineStr">
        <is>
          <t>2단계 보고서 자료(회사 설명회 자료·공시)</t>
        </is>
      </c>
    </row>
    <row r="15">
      <c r="A15" s="56" t="inlineStr">
        <is>
          <t>영업이익</t>
        </is>
      </c>
      <c r="B15" s="57" t="n">
        <v>6.3</v>
      </c>
    </row>
    <row r="16">
      <c r="A16" s="56" t="inlineStr">
        <is>
          <t>ord</t>
        </is>
      </c>
      <c r="B16" s="57" t="n">
        <v>6.55</v>
      </c>
    </row>
    <row r="17">
      <c r="A17" s="56" t="inlineStr">
        <is>
          <t>순이익</t>
        </is>
      </c>
      <c r="B17" s="57" t="n">
        <v>4.2</v>
      </c>
    </row>
    <row r="18">
      <c r="A18" s="56" t="inlineStr">
        <is>
          <t>EPS</t>
        </is>
      </c>
      <c r="B18" s="57" t="n">
        <v>40.23</v>
      </c>
    </row>
    <row r="20">
      <c r="A20" s="54" t="inlineStr">
        <is>
          <t>revision 2026 10 30 · 상반기 change %</t>
        </is>
      </c>
      <c r="B20" s="54" t="n"/>
      <c r="C20" s="54" t="n"/>
    </row>
    <row r="21">
      <c r="A21" s="55" t="inlineStr">
        <is>
          <t>항목</t>
        </is>
      </c>
      <c r="B21" s="55" t="inlineStr">
        <is>
          <t>값</t>
        </is>
      </c>
      <c r="C21" s="55" t="inlineStr">
        <is>
          <t>출처</t>
        </is>
      </c>
    </row>
    <row r="22">
      <c r="A22" s="56" t="inlineStr">
        <is>
          <t>매출</t>
        </is>
      </c>
      <c r="B22" s="57" t="n">
        <v>5</v>
      </c>
      <c r="C22" s="58" t="inlineStr">
        <is>
          <t>2단계 보고서 자료(회사 설명회 자료·공시)</t>
        </is>
      </c>
    </row>
    <row r="23">
      <c r="A23" s="56" t="inlineStr">
        <is>
          <t>영업이익</t>
        </is>
      </c>
      <c r="B23" s="57" t="n">
        <v>65.8</v>
      </c>
    </row>
    <row r="24">
      <c r="A24" s="56" t="inlineStr">
        <is>
          <t>ord</t>
        </is>
      </c>
      <c r="B24" s="57" t="n">
        <v>65.8</v>
      </c>
    </row>
    <row r="25">
      <c r="A25" s="56" t="inlineStr">
        <is>
          <t>순이익</t>
        </is>
      </c>
      <c r="B25" s="57" t="n">
        <v>90.90000000000001</v>
      </c>
    </row>
    <row r="27">
      <c r="A27" s="54" t="inlineStr">
        <is>
          <t>revision 2026 10 30 · 상반기 last year</t>
        </is>
      </c>
      <c r="B27" s="54" t="n"/>
      <c r="C27" s="54" t="n"/>
    </row>
    <row r="28">
      <c r="A28" s="55" t="inlineStr">
        <is>
          <t>항목</t>
        </is>
      </c>
      <c r="B28" s="55" t="inlineStr">
        <is>
          <t>값</t>
        </is>
      </c>
      <c r="C28" s="55" t="inlineStr">
        <is>
          <t>출처</t>
        </is>
      </c>
    </row>
    <row r="29">
      <c r="A29" s="56" t="inlineStr">
        <is>
          <t>매출</t>
        </is>
      </c>
      <c r="B29" s="57" t="n">
        <v>89.48999999999999</v>
      </c>
      <c r="C29" s="58" t="inlineStr">
        <is>
          <t>2단계 보고서 자료(회사 설명회 자료·공시)</t>
        </is>
      </c>
    </row>
    <row r="30">
      <c r="A30" s="56" t="inlineStr">
        <is>
          <t>영업이익</t>
        </is>
      </c>
      <c r="B30" s="57" t="n">
        <v>6.82</v>
      </c>
    </row>
    <row r="31">
      <c r="A31" s="56" t="inlineStr">
        <is>
          <t>ord</t>
        </is>
      </c>
      <c r="B31" s="57" t="n">
        <v>6.97</v>
      </c>
    </row>
    <row r="32">
      <c r="A32" s="56" t="inlineStr">
        <is>
          <t>순이익</t>
        </is>
      </c>
      <c r="B32" s="57" t="n">
        <v>4.72</v>
      </c>
    </row>
    <row r="33">
      <c r="A33" s="56" t="inlineStr">
        <is>
          <t>EPS</t>
        </is>
      </c>
      <c r="B33" s="57" t="n">
        <v>40.7</v>
      </c>
    </row>
    <row r="35">
      <c r="A35" s="54" t="inlineStr">
        <is>
          <t>revision 2026 10 30 · FY 직전</t>
        </is>
      </c>
      <c r="B35" s="54" t="n"/>
      <c r="C35" s="54" t="n"/>
    </row>
    <row r="36">
      <c r="A36" s="55" t="inlineStr">
        <is>
          <t>항목</t>
        </is>
      </c>
      <c r="B36" s="55" t="inlineStr">
        <is>
          <t>값</t>
        </is>
      </c>
      <c r="C36" s="55" t="inlineStr">
        <is>
          <t>출처</t>
        </is>
      </c>
    </row>
    <row r="37">
      <c r="A37" s="56" t="inlineStr">
        <is>
          <t>매출</t>
        </is>
      </c>
      <c r="B37" s="57" t="n">
        <v>200</v>
      </c>
      <c r="C37" s="58" t="inlineStr">
        <is>
          <t>2단계 보고서 자료(회사 설명회 자료·공시)</t>
        </is>
      </c>
    </row>
    <row r="38">
      <c r="A38" s="56" t="inlineStr">
        <is>
          <t>영업이익</t>
        </is>
      </c>
      <c r="B38" s="57" t="n">
        <v>12</v>
      </c>
    </row>
    <row r="39">
      <c r="A39" s="56" t="inlineStr">
        <is>
          <t>ord</t>
        </is>
      </c>
      <c r="B39" s="57" t="n">
        <v>12.2</v>
      </c>
    </row>
    <row r="40">
      <c r="A40" s="56" t="inlineStr">
        <is>
          <t>순이익</t>
        </is>
      </c>
      <c r="B40" s="57" t="n">
        <v>7.8</v>
      </c>
    </row>
    <row r="41">
      <c r="A41" s="56" t="inlineStr">
        <is>
          <t>EPS</t>
        </is>
      </c>
      <c r="B41" s="57" t="n">
        <v>74.51000000000001</v>
      </c>
    </row>
    <row r="43">
      <c r="A43" s="54" t="inlineStr">
        <is>
          <t>revision 2026 10 30 · FY new</t>
        </is>
      </c>
      <c r="B43" s="54" t="n"/>
      <c r="C43" s="54" t="n"/>
    </row>
    <row r="44">
      <c r="A44" s="55" t="inlineStr">
        <is>
          <t>항목</t>
        </is>
      </c>
      <c r="B44" s="55" t="inlineStr">
        <is>
          <t>값</t>
        </is>
      </c>
      <c r="C44" s="55" t="inlineStr">
        <is>
          <t>출처</t>
        </is>
      </c>
    </row>
    <row r="45">
      <c r="A45" s="56" t="inlineStr">
        <is>
          <t>매출</t>
        </is>
      </c>
      <c r="B45" s="57" t="n">
        <v>210</v>
      </c>
      <c r="C45" s="58" t="inlineStr">
        <is>
          <t>2단계 보고서 자료(회사 설명회 자료·공시)</t>
        </is>
      </c>
    </row>
    <row r="46">
      <c r="A46" s="56" t="inlineStr">
        <is>
          <t>영업이익</t>
        </is>
      </c>
      <c r="B46" s="57" t="n">
        <v>14.5</v>
      </c>
    </row>
    <row r="47">
      <c r="A47" s="56" t="inlineStr">
        <is>
          <t>ord</t>
        </is>
      </c>
      <c r="B47" s="57" t="n">
        <v>14.75</v>
      </c>
    </row>
    <row r="48">
      <c r="A48" s="56" t="inlineStr">
        <is>
          <t>순이익</t>
        </is>
      </c>
      <c r="B48" s="57" t="n">
        <v>10</v>
      </c>
    </row>
    <row r="49">
      <c r="A49" s="56" t="inlineStr">
        <is>
          <t>EPS</t>
        </is>
      </c>
      <c r="B49" s="57" t="n">
        <v>95.53</v>
      </c>
    </row>
    <row r="51">
      <c r="A51" s="54" t="inlineStr">
        <is>
          <t>revision 2026 10 30 · FY change %</t>
        </is>
      </c>
      <c r="B51" s="54" t="n"/>
      <c r="C51" s="54" t="n"/>
    </row>
    <row r="52">
      <c r="A52" s="55" t="inlineStr">
        <is>
          <t>항목</t>
        </is>
      </c>
      <c r="B52" s="55" t="inlineStr">
        <is>
          <t>값</t>
        </is>
      </c>
      <c r="C52" s="55" t="inlineStr">
        <is>
          <t>출처</t>
        </is>
      </c>
    </row>
    <row r="53">
      <c r="A53" s="56" t="inlineStr">
        <is>
          <t>매출</t>
        </is>
      </c>
      <c r="B53" s="57" t="n">
        <v>5</v>
      </c>
      <c r="C53" s="58" t="inlineStr">
        <is>
          <t>2단계 보고서 자료(회사 설명회 자료·공시)</t>
        </is>
      </c>
    </row>
    <row r="54">
      <c r="A54" s="56" t="inlineStr">
        <is>
          <t>영업이익</t>
        </is>
      </c>
      <c r="B54" s="57" t="n">
        <v>20.8</v>
      </c>
    </row>
    <row r="55">
      <c r="A55" s="56" t="inlineStr">
        <is>
          <t>ord</t>
        </is>
      </c>
      <c r="B55" s="57" t="n">
        <v>20.9</v>
      </c>
    </row>
    <row r="56">
      <c r="A56" s="56" t="inlineStr">
        <is>
          <t>순이익</t>
        </is>
      </c>
      <c r="B56" s="57" t="n">
        <v>28.2</v>
      </c>
    </row>
    <row r="58">
      <c r="A58" s="54" t="inlineStr">
        <is>
          <t>revision 2026 10 30 · FY last year</t>
        </is>
      </c>
      <c r="B58" s="54" t="n"/>
      <c r="C58" s="54" t="n"/>
    </row>
    <row r="59">
      <c r="A59" s="55" t="inlineStr">
        <is>
          <t>항목</t>
        </is>
      </c>
      <c r="B59" s="55" t="inlineStr">
        <is>
          <t>값</t>
        </is>
      </c>
      <c r="C59" s="55" t="inlineStr">
        <is>
          <t>출처</t>
        </is>
      </c>
    </row>
    <row r="60">
      <c r="A60" s="56" t="inlineStr">
        <is>
          <t>매출</t>
        </is>
      </c>
      <c r="B60" s="57" t="n">
        <v>182.16</v>
      </c>
      <c r="C60" s="58" t="inlineStr">
        <is>
          <t>2단계 보고서 자료(회사 설명회 자료·공시)</t>
        </is>
      </c>
    </row>
    <row r="61">
      <c r="A61" s="56" t="inlineStr">
        <is>
          <t>영업이익</t>
        </is>
      </c>
      <c r="B61" s="57" t="n">
        <v>15.62</v>
      </c>
    </row>
    <row r="62">
      <c r="A62" s="56" t="inlineStr">
        <is>
          <t>ord</t>
        </is>
      </c>
      <c r="B62" s="57" t="n">
        <v>15.83</v>
      </c>
    </row>
    <row r="63">
      <c r="A63" s="56" t="inlineStr">
        <is>
          <t>순이익</t>
        </is>
      </c>
      <c r="B63" s="57" t="n">
        <v>11.41</v>
      </c>
    </row>
    <row r="64">
      <c r="A64" s="56" t="inlineStr">
        <is>
          <t>EPS</t>
        </is>
      </c>
      <c r="B64" s="57" t="n">
        <v>101.6</v>
      </c>
    </row>
    <row r="66">
      <c r="A66" s="54" t="inlineStr">
        <is>
          <t>this quarter calc</t>
        </is>
      </c>
      <c r="B66" s="54" t="n"/>
      <c r="C66" s="54" t="n"/>
    </row>
    <row r="67">
      <c r="A67" s="55" t="inlineStr">
        <is>
          <t>항목</t>
        </is>
      </c>
      <c r="B67" s="55" t="inlineStr">
        <is>
          <t>값</t>
        </is>
      </c>
      <c r="C67" s="55" t="inlineStr">
        <is>
          <t>출처</t>
        </is>
      </c>
    </row>
    <row r="68">
      <c r="A68" s="56" t="inlineStr">
        <is>
          <t>매출</t>
        </is>
      </c>
      <c r="B68" s="57" t="n">
        <v>51.76</v>
      </c>
      <c r="C68" s="58" t="inlineStr">
        <is>
          <t>2단계 보고서 자료(회사 설명회 자료·공시)</t>
        </is>
      </c>
    </row>
    <row r="69">
      <c r="A69" s="56" t="inlineStr">
        <is>
          <t>영업이익</t>
        </is>
      </c>
      <c r="B69" s="57" t="n">
        <v>3.98</v>
      </c>
    </row>
    <row r="70">
      <c r="A70" s="56" t="inlineStr">
        <is>
          <t>ord</t>
        </is>
      </c>
      <c r="B70" s="57" t="n">
        <v>4.21</v>
      </c>
    </row>
    <row r="71">
      <c r="A71" s="56" t="inlineStr">
        <is>
          <t>순이익</t>
        </is>
      </c>
      <c r="B71" s="57" t="n">
        <v>2.71</v>
      </c>
    </row>
    <row r="72">
      <c r="A72" s="56" t="inlineStr">
        <is>
          <t>EPS approx</t>
        </is>
      </c>
      <c r="B72" s="57" t="n">
        <v>25.9</v>
      </c>
    </row>
    <row r="74">
      <c r="A74" s="54" t="inlineStr">
        <is>
          <t>this quarter calc · YoY vs 2026 2Q</t>
        </is>
      </c>
      <c r="B74" s="54" t="n"/>
      <c r="C74" s="54" t="n"/>
    </row>
    <row r="75">
      <c r="A75" s="55" t="inlineStr">
        <is>
          <t>항목</t>
        </is>
      </c>
      <c r="B75" s="55" t="inlineStr">
        <is>
          <t>값</t>
        </is>
      </c>
      <c r="C75" s="55" t="inlineStr">
        <is>
          <t>출처</t>
        </is>
      </c>
    </row>
    <row r="76">
      <c r="A76" s="56" t="inlineStr">
        <is>
          <t>매출</t>
        </is>
      </c>
      <c r="B76" s="57" t="n">
        <v>15.2</v>
      </c>
      <c r="C76" s="58" t="inlineStr">
        <is>
          <t>2단계 보고서 자료(회사 설명회 자료·공시)</t>
        </is>
      </c>
    </row>
    <row r="77">
      <c r="A77" s="56" t="inlineStr">
        <is>
          <t>영업이익</t>
        </is>
      </c>
      <c r="B77" s="57" t="n">
        <v>-11</v>
      </c>
    </row>
    <row r="78">
      <c r="A78" s="56" t="inlineStr">
        <is>
          <t>ord</t>
        </is>
      </c>
      <c r="B78" s="57" t="n">
        <v>-8.5</v>
      </c>
    </row>
    <row r="79">
      <c r="A79" s="56" t="inlineStr">
        <is>
          <t>순이익</t>
        </is>
      </c>
      <c r="B79" s="57" t="n">
        <v>-12.9</v>
      </c>
    </row>
    <row r="81">
      <c r="A81" s="54" t="inlineStr">
        <is>
          <t>this quarter calc · 상반기 YoY</t>
        </is>
      </c>
      <c r="B81" s="54" t="n"/>
      <c r="C81" s="54" t="n"/>
    </row>
    <row r="82">
      <c r="A82" s="55" t="inlineStr">
        <is>
          <t>항목</t>
        </is>
      </c>
      <c r="B82" s="55" t="inlineStr">
        <is>
          <t>값</t>
        </is>
      </c>
      <c r="C82" s="55" t="inlineStr">
        <is>
          <t>출처</t>
        </is>
      </c>
    </row>
    <row r="83">
      <c r="A83" s="56" t="inlineStr">
        <is>
          <t>매출</t>
        </is>
      </c>
      <c r="B83" s="57" t="n">
        <v>15.1</v>
      </c>
      <c r="C83" s="58" t="inlineStr">
        <is>
          <t>2단계 보고서 자료(회사 설명회 자료·공시)</t>
        </is>
      </c>
    </row>
    <row r="84">
      <c r="A84" s="56" t="inlineStr">
        <is>
          <t>영업이익</t>
        </is>
      </c>
      <c r="B84" s="57" t="n">
        <v>-7.6</v>
      </c>
    </row>
    <row r="85">
      <c r="A85" s="56" t="inlineStr">
        <is>
          <t>ord</t>
        </is>
      </c>
      <c r="B85" s="57" t="n">
        <v>-6</v>
      </c>
    </row>
    <row r="86">
      <c r="A86" s="56" t="inlineStr">
        <is>
          <t>순이익</t>
        </is>
      </c>
      <c r="B86" s="57" t="n">
        <v>-11</v>
      </c>
    </row>
    <row r="88">
      <c r="A88" s="54" t="inlineStr">
        <is>
          <t>this quarter calc · 하반기 implied</t>
        </is>
      </c>
      <c r="B88" s="54" t="n"/>
      <c r="C88" s="54" t="n"/>
    </row>
    <row r="89">
      <c r="A89" s="55" t="inlineStr">
        <is>
          <t>항목</t>
        </is>
      </c>
      <c r="B89" s="55" t="inlineStr">
        <is>
          <t>값</t>
        </is>
      </c>
      <c r="C89" s="55" t="inlineStr">
        <is>
          <t>출처</t>
        </is>
      </c>
    </row>
    <row r="90">
      <c r="A90" s="56" t="inlineStr">
        <is>
          <t>매출</t>
        </is>
      </c>
      <c r="B90" s="57" t="n">
        <v>107</v>
      </c>
      <c r="C90" s="58" t="inlineStr">
        <is>
          <t>2단계 보고서 자료(회사 설명회 자료·공시)</t>
        </is>
      </c>
    </row>
    <row r="91">
      <c r="A91" s="56" t="inlineStr">
        <is>
          <t>영업이익</t>
        </is>
      </c>
      <c r="B91" s="57" t="n">
        <v>8.199999999999999</v>
      </c>
    </row>
    <row r="92">
      <c r="A92" s="56" t="inlineStr">
        <is>
          <t>ord</t>
        </is>
      </c>
      <c r="B92" s="57" t="n">
        <v>8.199999999999999</v>
      </c>
    </row>
    <row r="93">
      <c r="A93" s="56" t="inlineStr">
        <is>
          <t>순이익</t>
        </is>
      </c>
      <c r="B93" s="57" t="n">
        <v>5.8</v>
      </c>
    </row>
    <row r="95">
      <c r="A95" s="54" t="inlineStr">
        <is>
          <t>shares mcap</t>
        </is>
      </c>
      <c r="B95" s="54" t="n"/>
      <c r="C95" s="54" t="n"/>
    </row>
    <row r="96">
      <c r="A96" s="55" t="inlineStr">
        <is>
          <t>항목</t>
        </is>
      </c>
      <c r="B96" s="55" t="inlineStr">
        <is>
          <t>값</t>
        </is>
      </c>
      <c r="C96" s="55" t="inlineStr">
        <is>
          <t>출처</t>
        </is>
      </c>
    </row>
    <row r="97">
      <c r="A97" s="56" t="inlineStr">
        <is>
          <t>mcap yahoo</t>
        </is>
      </c>
      <c r="B97" s="57" t="n">
        <v>117.2</v>
      </c>
      <c r="C97" s="58" t="inlineStr">
        <is>
          <t>야후 시총 117.2억 엔(1,124엔 기준) → 주식수 약 1,042만 주(자사주 제외). 수정 예상 NI 10.0/EPS 95.53 = 1,047만 주와 일치</t>
        </is>
      </c>
    </row>
    <row r="98">
      <c r="A98" s="56" t="inlineStr">
        <is>
          <t>shares approx mn</t>
        </is>
      </c>
      <c r="B98" s="57" t="n">
        <v>10.42</v>
      </c>
    </row>
    <row r="100">
      <c r="A100" s="54" t="inlineStr">
        <is>
          <t>밸류에이션 now</t>
        </is>
      </c>
      <c r="B100" s="54" t="n"/>
      <c r="C100" s="54" t="n"/>
    </row>
    <row r="101">
      <c r="A101" s="55" t="inlineStr">
        <is>
          <t>항목</t>
        </is>
      </c>
      <c r="B101" s="55" t="inlineStr">
        <is>
          <t>값</t>
        </is>
      </c>
      <c r="C101" s="55" t="inlineStr">
        <is>
          <t>출처</t>
        </is>
      </c>
    </row>
    <row r="102">
      <c r="A102" s="56" t="inlineStr">
        <is>
          <t>PER new guide</t>
        </is>
      </c>
      <c r="B102" s="57" t="n">
        <v>11.77</v>
      </c>
      <c r="C102" s="58" t="inlineStr">
        <is>
          <t>2단계 보고서 자료(회사 설명회 자료·공시)</t>
        </is>
      </c>
    </row>
    <row r="103">
      <c r="A103" s="56" t="inlineStr">
        <is>
          <t>PER old guide</t>
        </is>
      </c>
      <c r="B103" s="57" t="n">
        <v>15.09</v>
      </c>
    </row>
    <row r="104">
      <c r="A104" s="56" t="inlineStr">
        <is>
          <t>PER trailing FY26</t>
        </is>
      </c>
      <c r="B104" s="57" t="n">
        <v>11.06</v>
      </c>
    </row>
    <row r="105">
      <c r="A105" s="56" t="inlineStr">
        <is>
          <t>dps fc</t>
        </is>
      </c>
      <c r="B105" s="59" t="n">
        <v>51</v>
      </c>
    </row>
    <row r="106">
      <c r="A106" s="56" t="inlineStr">
        <is>
          <t>div yield %</t>
        </is>
      </c>
      <c r="B106" s="57" t="n">
        <v>4.54</v>
      </c>
    </row>
    <row r="107">
      <c r="A107" s="56" t="inlineStr">
        <is>
          <t>PBR approx</t>
        </is>
      </c>
      <c r="B107" s="57" t="n">
        <v>1.08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2" t="inlineStr">
        <is>
          <t>출처 · 쓴 결산단신</t>
        </is>
      </c>
    </row>
    <row r="3">
      <c r="A3" s="60" t="inlineStr">
        <is>
          <t>공시일</t>
        </is>
      </c>
      <c r="B3" s="60" t="inlineStr">
        <is>
          <t>문서</t>
        </is>
      </c>
      <c r="C3" s="60" t="inlineStr">
        <is>
          <t>PDF</t>
        </is>
      </c>
    </row>
    <row r="4">
      <c r="A4" t="inlineStr">
        <is>
          <t>2026-08-14</t>
        </is>
      </c>
      <c r="B4" t="inlineStr">
        <is>
          <t>2027년 3월 결산기 １분기 결산단신</t>
        </is>
      </c>
      <c r="C4" t="inlineStr">
        <is>
          <t>https://www2.jpx.co.jp/disc/42990/140120260813519687.pdf</t>
        </is>
      </c>
    </row>
    <row r="5">
      <c r="A5" t="inlineStr">
        <is>
          <t>2026-05-13</t>
        </is>
      </c>
      <c r="B5" t="inlineStr">
        <is>
          <t>2026년 3월 결산기 연간 결산단신</t>
        </is>
      </c>
      <c r="C5" t="inlineStr">
        <is>
          <t>https://www2.jpx.co.jp/disc/42990/140120260512526607.pdf</t>
        </is>
      </c>
    </row>
    <row r="6">
      <c r="A6" t="inlineStr">
        <is>
          <t>2026-01-30</t>
        </is>
      </c>
      <c r="B6" t="inlineStr">
        <is>
          <t>2026년 3월 결산기 ３분기 결산단신</t>
        </is>
      </c>
      <c r="C6" t="inlineStr">
        <is>
          <t>https://www2.jpx.co.jp/disc/42990/140120260129541387.pdf</t>
        </is>
      </c>
    </row>
    <row r="7">
      <c r="A7" t="inlineStr">
        <is>
          <t>2025-10-31</t>
        </is>
      </c>
      <c r="B7" t="inlineStr">
        <is>
          <t>2026년 3월 결산기 ２분기 결산단신</t>
        </is>
      </c>
      <c r="C7" t="inlineStr">
        <is>
          <t>https://www2.jpx.co.jp/disc/42990/140120251030582380.pdf</t>
        </is>
      </c>
    </row>
    <row r="8">
      <c r="A8" t="inlineStr">
        <is>
          <t>2025-07-31</t>
        </is>
      </c>
      <c r="B8" t="inlineStr">
        <is>
          <t>2026년 3월 결산기 １분기 결산단신</t>
        </is>
      </c>
      <c r="C8" t="inlineStr">
        <is>
          <t>https://www2.jpx.co.jp/disc/42990/140120250730523369.pdf</t>
        </is>
      </c>
    </row>
    <row r="9">
      <c r="A9" t="inlineStr">
        <is>
          <t>2025-05-13</t>
        </is>
      </c>
      <c r="B9" t="inlineStr">
        <is>
          <t>2025년 3월 결산기 연간 결산단신</t>
        </is>
      </c>
      <c r="C9" t="inlineStr">
        <is>
          <t>https://www2.jpx.co.jp/disc/42990/140120250512539969.pdf</t>
        </is>
      </c>
    </row>
    <row r="10">
      <c r="A10" t="inlineStr">
        <is>
          <t>2025-01-31</t>
        </is>
      </c>
      <c r="B10" t="inlineStr">
        <is>
          <t>2025년 3월 결산기 ３분기 결산단신</t>
        </is>
      </c>
      <c r="C10" t="inlineStr">
        <is>
          <t>https://www2.jpx.co.jp/disc/42990/140120250130558817.pdf</t>
        </is>
      </c>
    </row>
    <row r="11">
      <c r="A11" t="inlineStr">
        <is>
          <t>2024-10-31</t>
        </is>
      </c>
      <c r="B11" t="inlineStr">
        <is>
          <t>2025년 3월 결산기 ２분기 결산단신</t>
        </is>
      </c>
      <c r="C11" t="inlineStr">
        <is>
          <t>https://www2.jpx.co.jp/disc/42990/140120241031507275.pdf</t>
        </is>
      </c>
    </row>
    <row r="12">
      <c r="A12" t="inlineStr">
        <is>
          <t>2024-07-31</t>
        </is>
      </c>
      <c r="B12" t="inlineStr">
        <is>
          <t>2025년 3월 결산기 １분기 결산단신</t>
        </is>
      </c>
      <c r="C12" t="inlineStr">
        <is>
          <t>https://www2.jpx.co.jp/disc/42990/140120240731558690.pdf</t>
        </is>
      </c>
    </row>
    <row r="13">
      <c r="A13" t="inlineStr">
        <is>
          <t>2024-05-14</t>
        </is>
      </c>
      <c r="B13" t="inlineStr">
        <is>
          <t>2024년 3월 결산기 연간 결산단신</t>
        </is>
      </c>
      <c r="C13" t="inlineStr">
        <is>
          <t>https://www2.jpx.co.jp/disc/42990/140120240514595292.pdf</t>
        </is>
      </c>
    </row>
    <row r="14">
      <c r="A14" t="inlineStr">
        <is>
          <t>2024-01-31</t>
        </is>
      </c>
      <c r="B14" t="inlineStr">
        <is>
          <t>2024년 3월 결산기 ３분기 결산단신</t>
        </is>
      </c>
      <c r="C14" t="inlineStr">
        <is>
          <t>https://www2.jpx.co.jp/disc/42990/140120240131522942.pdf</t>
        </is>
      </c>
    </row>
    <row r="15">
      <c r="A15" t="inlineStr">
        <is>
          <t>2023-10-31</t>
        </is>
      </c>
      <c r="B15" t="inlineStr">
        <is>
          <t>2024년 3월 결산기 ２분기 결산단신</t>
        </is>
      </c>
      <c r="C15" t="inlineStr">
        <is>
          <t>https://www2.jpx.co.jp/disc/42990/140120231031575583.pdf</t>
        </is>
      </c>
    </row>
    <row r="16">
      <c r="A16" t="inlineStr">
        <is>
          <t>2023-07-28</t>
        </is>
      </c>
      <c r="B16" t="inlineStr">
        <is>
          <t>2024년 3월 결산기 １분기 결산단신</t>
        </is>
      </c>
      <c r="C16" t="inlineStr">
        <is>
          <t>https://www2.jpx.co.jp/disc/42990/140120230728528864.pdf</t>
        </is>
      </c>
    </row>
    <row r="17">
      <c r="A17" t="inlineStr">
        <is>
          <t>2023-05-12</t>
        </is>
      </c>
      <c r="B17" t="inlineStr">
        <is>
          <t>2023년 3월 결산기 연간 결산단신</t>
        </is>
      </c>
      <c r="C17" t="inlineStr">
        <is>
          <t>https://www2.jpx.co.jp/disc/42990/140120230512569965.pdf</t>
        </is>
      </c>
    </row>
    <row r="18">
      <c r="A18" t="inlineStr">
        <is>
          <t>2023-01-31</t>
        </is>
      </c>
      <c r="B18" t="inlineStr">
        <is>
          <t>2023년 3월 결산기 ３분기 결산단신</t>
        </is>
      </c>
      <c r="C18" t="inlineStr">
        <is>
          <t>https://www2.jpx.co.jp/disc/42990/140120230131597303.pdf</t>
        </is>
      </c>
    </row>
    <row r="19">
      <c r="A19" t="inlineStr">
        <is>
          <t>2022-10-28</t>
        </is>
      </c>
      <c r="B19" t="inlineStr">
        <is>
          <t>2023년 3월 결산기 ２분기 결산단신</t>
        </is>
      </c>
      <c r="C19" t="inlineStr">
        <is>
          <t>https://www2.jpx.co.jp/disc/42990/140120221028551761.pdf</t>
        </is>
      </c>
    </row>
    <row r="20">
      <c r="A20" t="inlineStr">
        <is>
          <t>2022-05-13</t>
        </is>
      </c>
      <c r="B20" t="inlineStr">
        <is>
          <t>2022년 3월 결산기 연간 결산단신</t>
        </is>
      </c>
      <c r="C20" t="inlineStr">
        <is>
          <t>https://www2.jpx.co.jp/disc/42990/140120220513545846.pdf</t>
        </is>
      </c>
    </row>
    <row r="21">
      <c r="A21" t="inlineStr">
        <is>
          <t>2021-05-14</t>
        </is>
      </c>
      <c r="B21" t="inlineStr">
        <is>
          <t>2021년 3월 결산기 연간 결산단신</t>
        </is>
      </c>
      <c r="C21" t="inlineStr">
        <is>
          <t>https://www2.jpx.co.jp/disc/42990/140120210514418953.pdf</t>
        </is>
      </c>
    </row>
    <row r="22">
      <c r="A22" t="inlineStr">
        <is>
          <t>2020-05-13</t>
        </is>
      </c>
      <c r="B22" t="inlineStr">
        <is>
          <t>2020년 3월 결산기 연간 결산단신</t>
        </is>
      </c>
      <c r="C22" t="inlineStr">
        <is>
          <t>https://www2.jpx.co.jp/disc/42990/140120200513412163.pdf</t>
        </is>
      </c>
    </row>
    <row r="23">
      <c r="A23" t="inlineStr">
        <is>
          <t>2019-05-10</t>
        </is>
      </c>
      <c r="B23" t="inlineStr">
        <is>
          <t>2019년 3월 결산기 연간 결산단신</t>
        </is>
      </c>
      <c r="C23" t="inlineStr">
        <is>
          <t>https://www2.jpx.co.jp/disc/42990/140120190509419860.pdf</t>
        </is>
      </c>
    </row>
    <row r="24">
      <c r="A24" t="inlineStr">
        <is>
          <t>2018-05-10</t>
        </is>
      </c>
      <c r="B24" t="inlineStr">
        <is>
          <t>연간 결산단신</t>
        </is>
      </c>
      <c r="C24" t="inlineStr">
        <is>
          <t>https://www2.jpx.co.jp/disc/42990/140120180509431734.pdf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61" t="inlineStr">
        <is>
          <t>4299 재무제표 한눈에 보기 — 최근 40개 분기(달력 분기, 3Q26 = 26.7~9) · 단위 억 엔</t>
        </is>
      </c>
    </row>
    <row r="2">
      <c r="A2" s="62" t="inlineStr">
        <is>
          <t>출처: 매출·영업이익 결산단신 XBRL · 재무상태표 등 결산단신 XBRL 36건(2017-10-31~2026-08-14). 부문·지역·수주·수출은 있을 때만(출처는 줄 끝). 총 차입금 = 이자 붙는 부채 전부(단기·장기 차입금, CP, 사채·전환사채, 리스부채)</t>
        </is>
      </c>
    </row>
    <row r="4">
      <c r="A4" s="63" t="inlineStr">
        <is>
          <t>항목</t>
        </is>
      </c>
      <c r="B4" s="64" t="inlineStr">
        <is>
          <t>3Q16</t>
        </is>
      </c>
      <c r="C4" s="64" t="inlineStr">
        <is>
          <t>4Q16</t>
        </is>
      </c>
      <c r="D4" s="64" t="inlineStr">
        <is>
          <t>1Q17</t>
        </is>
      </c>
      <c r="E4" s="64" t="inlineStr">
        <is>
          <t>2Q17</t>
        </is>
      </c>
      <c r="F4" s="64" t="inlineStr">
        <is>
          <t>3Q17</t>
        </is>
      </c>
      <c r="G4" s="64" t="inlineStr">
        <is>
          <t>4Q17</t>
        </is>
      </c>
      <c r="H4" s="64" t="inlineStr">
        <is>
          <t>1Q18</t>
        </is>
      </c>
      <c r="I4" s="64" t="inlineStr">
        <is>
          <t>2Q18</t>
        </is>
      </c>
      <c r="J4" s="64" t="inlineStr">
        <is>
          <t>3Q18</t>
        </is>
      </c>
      <c r="K4" s="64" t="inlineStr">
        <is>
          <t>4Q18</t>
        </is>
      </c>
      <c r="L4" s="64" t="inlineStr">
        <is>
          <t>1Q19</t>
        </is>
      </c>
      <c r="M4" s="64" t="inlineStr">
        <is>
          <t>2Q19</t>
        </is>
      </c>
      <c r="N4" s="64" t="inlineStr">
        <is>
          <t>3Q19</t>
        </is>
      </c>
      <c r="O4" s="64" t="inlineStr">
        <is>
          <t>4Q19</t>
        </is>
      </c>
      <c r="P4" s="64" t="inlineStr">
        <is>
          <t>1Q20</t>
        </is>
      </c>
      <c r="Q4" s="64" t="inlineStr">
        <is>
          <t>2Q20</t>
        </is>
      </c>
      <c r="R4" s="64" t="inlineStr">
        <is>
          <t>3Q20</t>
        </is>
      </c>
      <c r="S4" s="64" t="inlineStr">
        <is>
          <t>4Q20</t>
        </is>
      </c>
      <c r="T4" s="64" t="inlineStr">
        <is>
          <t>1Q21</t>
        </is>
      </c>
      <c r="U4" s="64" t="inlineStr">
        <is>
          <t>2Q21</t>
        </is>
      </c>
      <c r="V4" s="64" t="inlineStr">
        <is>
          <t>3Q21</t>
        </is>
      </c>
      <c r="W4" s="64" t="inlineStr">
        <is>
          <t>4Q21</t>
        </is>
      </c>
      <c r="X4" s="64" t="inlineStr">
        <is>
          <t>1Q22</t>
        </is>
      </c>
      <c r="Y4" s="64" t="inlineStr">
        <is>
          <t>2Q22</t>
        </is>
      </c>
      <c r="Z4" s="64" t="inlineStr">
        <is>
          <t>3Q22</t>
        </is>
      </c>
      <c r="AA4" s="64" t="inlineStr">
        <is>
          <t>4Q22</t>
        </is>
      </c>
      <c r="AB4" s="64" t="inlineStr">
        <is>
          <t>1Q23</t>
        </is>
      </c>
      <c r="AC4" s="64" t="inlineStr">
        <is>
          <t>2Q23</t>
        </is>
      </c>
      <c r="AD4" s="64" t="inlineStr">
        <is>
          <t>3Q23</t>
        </is>
      </c>
      <c r="AE4" s="64" t="inlineStr">
        <is>
          <t>4Q23</t>
        </is>
      </c>
      <c r="AF4" s="64" t="inlineStr">
        <is>
          <t>1Q24</t>
        </is>
      </c>
      <c r="AG4" s="64" t="inlineStr">
        <is>
          <t>2Q24</t>
        </is>
      </c>
      <c r="AH4" s="64" t="inlineStr">
        <is>
          <t>3Q24</t>
        </is>
      </c>
      <c r="AI4" s="64" t="inlineStr">
        <is>
          <t>4Q24</t>
        </is>
      </c>
      <c r="AJ4" s="64" t="inlineStr">
        <is>
          <t>1Q25</t>
        </is>
      </c>
      <c r="AK4" s="64" t="inlineStr">
        <is>
          <t>2Q25</t>
        </is>
      </c>
      <c r="AL4" s="64" t="inlineStr">
        <is>
          <t>3Q25</t>
        </is>
      </c>
      <c r="AM4" s="64" t="inlineStr">
        <is>
          <t>4Q25</t>
        </is>
      </c>
      <c r="AN4" s="64" t="inlineStr">
        <is>
          <t>1Q26</t>
        </is>
      </c>
      <c r="AO4" s="64" t="inlineStr">
        <is>
          <t>2Q26</t>
        </is>
      </c>
      <c r="AP4" s="63" t="inlineStr">
        <is>
          <t>출처</t>
        </is>
      </c>
    </row>
    <row r="5">
      <c r="A5" s="65" t="inlineStr">
        <is>
          <t>매출액</t>
        </is>
      </c>
      <c r="B5" s="66" t="n"/>
      <c r="C5" s="66" t="n">
        <v>30.3</v>
      </c>
      <c r="D5" s="66" t="n">
        <v>32.6</v>
      </c>
      <c r="E5" s="66" t="n">
        <v>30.5</v>
      </c>
      <c r="F5" s="66" t="n">
        <v>34</v>
      </c>
      <c r="G5" s="66" t="n">
        <v>33.9</v>
      </c>
      <c r="H5" s="66" t="n">
        <v>36.5</v>
      </c>
      <c r="I5" s="66" t="n">
        <v>33.6</v>
      </c>
      <c r="J5" s="66" t="n">
        <v>38</v>
      </c>
      <c r="K5" s="66" t="n">
        <v>38.8</v>
      </c>
      <c r="L5" s="66" t="n">
        <v>37.9</v>
      </c>
      <c r="M5" s="66" t="n">
        <v>36.7</v>
      </c>
      <c r="N5" s="66" t="n">
        <v>40.4</v>
      </c>
      <c r="O5" s="66" t="n">
        <v>36.6</v>
      </c>
      <c r="P5" s="66" t="n">
        <v>39.7</v>
      </c>
      <c r="Q5" s="66" t="n">
        <v>37.8</v>
      </c>
      <c r="R5" s="66" t="n">
        <v>38.1</v>
      </c>
      <c r="S5" s="66" t="n">
        <v>38.3</v>
      </c>
      <c r="T5" s="66" t="n">
        <v>40.2</v>
      </c>
      <c r="U5" s="66" t="n">
        <v>37.8</v>
      </c>
      <c r="V5" s="66" t="n">
        <v>41.2</v>
      </c>
      <c r="W5" s="66" t="n">
        <v>43</v>
      </c>
      <c r="X5" s="66" t="n">
        <v>44.8</v>
      </c>
      <c r="Y5" s="66" t="n">
        <v>44.4</v>
      </c>
      <c r="Z5" s="66" t="n">
        <v>43.6</v>
      </c>
      <c r="AA5" s="66" t="n">
        <v>42.3</v>
      </c>
      <c r="AB5" s="66" t="n">
        <v>43.1</v>
      </c>
      <c r="AC5" s="66" t="n">
        <v>43.4</v>
      </c>
      <c r="AD5" s="66" t="n">
        <v>43.3</v>
      </c>
      <c r="AE5" s="66" t="n">
        <v>43.4</v>
      </c>
      <c r="AF5" s="66" t="n">
        <v>43.5</v>
      </c>
      <c r="AG5" s="66" t="n">
        <v>43.3</v>
      </c>
      <c r="AH5" s="66" t="n">
        <v>44.9</v>
      </c>
      <c r="AI5" s="66" t="n">
        <v>45.1</v>
      </c>
      <c r="AJ5" s="66" t="n">
        <v>47.4</v>
      </c>
      <c r="AK5" s="66" t="n">
        <v>44.5</v>
      </c>
      <c r="AL5" s="66" t="n">
        <v>45</v>
      </c>
      <c r="AM5" s="66" t="n">
        <v>45.2</v>
      </c>
      <c r="AN5" s="66" t="n">
        <v>47.5</v>
      </c>
      <c r="AO5" s="66" t="n">
        <v>51.2</v>
      </c>
    </row>
    <row r="6">
      <c r="A6" s="65" t="inlineStr">
        <is>
          <t>매출액 YoY</t>
        </is>
      </c>
      <c r="B6" s="67" t="n"/>
      <c r="C6" s="67" t="n"/>
      <c r="D6" s="67" t="n"/>
      <c r="E6" s="67" t="n"/>
      <c r="F6" s="67" t="n"/>
      <c r="G6" s="67" t="n">
        <v>11.9</v>
      </c>
      <c r="H6" s="67" t="n">
        <v>12</v>
      </c>
      <c r="I6" s="67" t="n">
        <v>10.2</v>
      </c>
      <c r="J6" s="67" t="n">
        <v>11.8</v>
      </c>
      <c r="K6" s="67" t="n">
        <v>14.5</v>
      </c>
      <c r="L6" s="67" t="n">
        <v>3.8</v>
      </c>
      <c r="M6" s="67" t="n">
        <v>9.199999999999999</v>
      </c>
      <c r="N6" s="67" t="n">
        <v>6.3</v>
      </c>
      <c r="O6" s="67" t="n">
        <v>-5.7</v>
      </c>
      <c r="P6" s="67" t="n">
        <v>4.7</v>
      </c>
      <c r="Q6" s="67" t="n">
        <v>3</v>
      </c>
      <c r="R6" s="67" t="n">
        <v>-5.7</v>
      </c>
      <c r="S6" s="67" t="n">
        <v>4.6</v>
      </c>
      <c r="T6" s="67" t="n">
        <v>1.3</v>
      </c>
      <c r="U6" s="67" t="n">
        <v>0</v>
      </c>
      <c r="V6" s="67" t="n">
        <v>8.1</v>
      </c>
      <c r="W6" s="67" t="n">
        <v>12.3</v>
      </c>
      <c r="X6" s="67" t="n">
        <v>11.4</v>
      </c>
      <c r="Y6" s="67" t="n">
        <v>17.5</v>
      </c>
      <c r="Z6" s="67" t="n">
        <v>5.8</v>
      </c>
      <c r="AA6" s="67" t="n">
        <v>-1.6</v>
      </c>
      <c r="AB6" s="67" t="n">
        <v>-3.8</v>
      </c>
      <c r="AC6" s="67" t="n">
        <v>-2.3</v>
      </c>
      <c r="AD6" s="67" t="n">
        <v>-0.7</v>
      </c>
      <c r="AE6" s="67" t="n">
        <v>2.6</v>
      </c>
      <c r="AF6" s="67" t="n">
        <v>0.9</v>
      </c>
      <c r="AG6" s="67" t="n">
        <v>-0.2</v>
      </c>
      <c r="AH6" s="67" t="n">
        <v>3.7</v>
      </c>
      <c r="AI6" s="67" t="n">
        <v>3.9</v>
      </c>
      <c r="AJ6" s="67" t="n">
        <v>9</v>
      </c>
      <c r="AK6" s="67" t="n">
        <v>2.8</v>
      </c>
      <c r="AL6" s="67" t="n">
        <v>0.2</v>
      </c>
      <c r="AM6" s="67" t="n">
        <v>0.2</v>
      </c>
      <c r="AN6" s="67" t="n">
        <v>0.2</v>
      </c>
      <c r="AO6" s="67" t="n">
        <v>15.1</v>
      </c>
    </row>
    <row r="7">
      <c r="A7" s="65" t="inlineStr">
        <is>
          <t>영업이익</t>
        </is>
      </c>
      <c r="B7" s="66" t="n"/>
      <c r="C7" s="66" t="n">
        <v>3.3</v>
      </c>
      <c r="D7" s="66" t="n">
        <v>1.8</v>
      </c>
      <c r="E7" s="66" t="n">
        <v>1.2</v>
      </c>
      <c r="F7" s="66" t="n">
        <v>2.8</v>
      </c>
      <c r="G7" s="66" t="n">
        <v>3</v>
      </c>
      <c r="H7" s="66" t="n">
        <v>2.8</v>
      </c>
      <c r="I7" s="66" t="n">
        <v>1.7</v>
      </c>
      <c r="J7" s="66" t="n">
        <v>2.5</v>
      </c>
      <c r="K7" s="66" t="n">
        <v>3.3</v>
      </c>
      <c r="L7" s="66" t="n">
        <v>2.3</v>
      </c>
      <c r="M7" s="66" t="n">
        <v>2</v>
      </c>
      <c r="N7" s="66" t="n">
        <v>1</v>
      </c>
      <c r="O7" s="66" t="n">
        <v>3.4</v>
      </c>
      <c r="P7" s="66" t="n">
        <v>3.7</v>
      </c>
      <c r="Q7" s="66" t="n">
        <v>2.9</v>
      </c>
      <c r="R7" s="66" t="n">
        <v>3.7</v>
      </c>
      <c r="S7" s="66" t="n">
        <v>3.6</v>
      </c>
      <c r="T7" s="66" t="n">
        <v>3.5</v>
      </c>
      <c r="U7" s="66" t="n">
        <v>2.9</v>
      </c>
      <c r="V7" s="66" t="n">
        <v>4.6</v>
      </c>
      <c r="W7" s="66" t="n">
        <v>5.6</v>
      </c>
      <c r="X7" s="66" t="n">
        <v>4</v>
      </c>
      <c r="Y7" s="66" t="n">
        <v>4</v>
      </c>
      <c r="Z7" s="66" t="n">
        <v>4.7</v>
      </c>
      <c r="AA7" s="66" t="n">
        <v>4.8</v>
      </c>
      <c r="AB7" s="66" t="n">
        <v>4.8</v>
      </c>
      <c r="AC7" s="66" t="n">
        <v>2.9</v>
      </c>
      <c r="AD7" s="66" t="n">
        <v>4.2</v>
      </c>
      <c r="AE7" s="66" t="n">
        <v>4.9</v>
      </c>
      <c r="AF7" s="66" t="n">
        <v>5.2</v>
      </c>
      <c r="AG7" s="66" t="n">
        <v>3</v>
      </c>
      <c r="AH7" s="66" t="n">
        <v>5</v>
      </c>
      <c r="AI7" s="66" t="n">
        <v>5.1</v>
      </c>
      <c r="AJ7" s="66" t="n">
        <v>5</v>
      </c>
      <c r="AK7" s="66" t="n">
        <v>2.4</v>
      </c>
      <c r="AL7" s="66" t="n">
        <v>4.5</v>
      </c>
      <c r="AM7" s="66" t="n">
        <v>4.5</v>
      </c>
      <c r="AN7" s="66" t="n">
        <v>4.3</v>
      </c>
      <c r="AO7" s="66" t="n">
        <v>2.3</v>
      </c>
    </row>
    <row r="8">
      <c r="A8" s="65" t="inlineStr">
        <is>
          <t>영업이익률</t>
        </is>
      </c>
      <c r="B8" s="67" t="n"/>
      <c r="C8" s="67" t="n">
        <v>10.9</v>
      </c>
      <c r="D8" s="67" t="n">
        <v>5.5</v>
      </c>
      <c r="E8" s="67" t="n">
        <v>3.9</v>
      </c>
      <c r="F8" s="67" t="n">
        <v>8.199999999999999</v>
      </c>
      <c r="G8" s="67" t="n">
        <v>8.800000000000001</v>
      </c>
      <c r="H8" s="67" t="n">
        <v>7.7</v>
      </c>
      <c r="I8" s="67" t="n">
        <v>5.1</v>
      </c>
      <c r="J8" s="67" t="n">
        <v>6.6</v>
      </c>
      <c r="K8" s="67" t="n">
        <v>8.5</v>
      </c>
      <c r="L8" s="67" t="n">
        <v>6.1</v>
      </c>
      <c r="M8" s="67" t="n">
        <v>5.4</v>
      </c>
      <c r="N8" s="67" t="n">
        <v>2.5</v>
      </c>
      <c r="O8" s="67" t="n">
        <v>9.300000000000001</v>
      </c>
      <c r="P8" s="67" t="n">
        <v>9.300000000000001</v>
      </c>
      <c r="Q8" s="67" t="n">
        <v>7.7</v>
      </c>
      <c r="R8" s="67" t="n">
        <v>9.699999999999999</v>
      </c>
      <c r="S8" s="67" t="n">
        <v>9.4</v>
      </c>
      <c r="T8" s="67" t="n">
        <v>8.699999999999999</v>
      </c>
      <c r="U8" s="67" t="n">
        <v>7.7</v>
      </c>
      <c r="V8" s="67" t="n">
        <v>11.2</v>
      </c>
      <c r="W8" s="67" t="n">
        <v>13</v>
      </c>
      <c r="X8" s="67" t="n">
        <v>8.9</v>
      </c>
      <c r="Y8" s="67" t="n">
        <v>9</v>
      </c>
      <c r="Z8" s="67" t="n">
        <v>10.8</v>
      </c>
      <c r="AA8" s="67" t="n">
        <v>11.3</v>
      </c>
      <c r="AB8" s="67" t="n">
        <v>11.1</v>
      </c>
      <c r="AC8" s="67" t="n">
        <v>6.7</v>
      </c>
      <c r="AD8" s="67" t="n">
        <v>9.699999999999999</v>
      </c>
      <c r="AE8" s="67" t="n">
        <v>11.3</v>
      </c>
      <c r="AF8" s="67" t="n">
        <v>12</v>
      </c>
      <c r="AG8" s="67" t="n">
        <v>6.9</v>
      </c>
      <c r="AH8" s="67" t="n">
        <v>11.1</v>
      </c>
      <c r="AI8" s="67" t="n">
        <v>11.3</v>
      </c>
      <c r="AJ8" s="67" t="n">
        <v>10.5</v>
      </c>
      <c r="AK8" s="67" t="n">
        <v>5.4</v>
      </c>
      <c r="AL8" s="67" t="n">
        <v>10</v>
      </c>
      <c r="AM8" s="67" t="n">
        <v>10</v>
      </c>
      <c r="AN8" s="67" t="n">
        <v>9.1</v>
      </c>
      <c r="AO8" s="67" t="n">
        <v>4.5</v>
      </c>
    </row>
    <row r="9">
      <c r="A9" s="65" t="inlineStr">
        <is>
          <t>영업이익 YoY</t>
        </is>
      </c>
      <c r="B9" s="67" t="n"/>
      <c r="C9" s="67" t="n"/>
      <c r="D9" s="67" t="n"/>
      <c r="E9" s="67" t="n"/>
      <c r="F9" s="67" t="n"/>
      <c r="G9" s="67" t="n">
        <v>-9.1</v>
      </c>
      <c r="H9" s="67" t="n">
        <v>55.6</v>
      </c>
      <c r="I9" s="67" t="n">
        <v>41.7</v>
      </c>
      <c r="J9" s="67" t="n">
        <v>-10.7</v>
      </c>
      <c r="K9" s="67" t="n">
        <v>10</v>
      </c>
      <c r="L9" s="67" t="n">
        <v>-17.9</v>
      </c>
      <c r="M9" s="67" t="n">
        <v>17.6</v>
      </c>
      <c r="N9" s="67" t="n">
        <v>-60</v>
      </c>
      <c r="O9" s="67" t="n">
        <v>3</v>
      </c>
      <c r="P9" s="67" t="n">
        <v>60.9</v>
      </c>
      <c r="Q9" s="67" t="n">
        <v>45</v>
      </c>
      <c r="R9" s="67" t="n">
        <v>270</v>
      </c>
      <c r="S9" s="67" t="n">
        <v>5.9</v>
      </c>
      <c r="T9" s="67" t="n">
        <v>-5.4</v>
      </c>
      <c r="U9" s="67" t="n">
        <v>0</v>
      </c>
      <c r="V9" s="67" t="n">
        <v>24.3</v>
      </c>
      <c r="W9" s="67" t="n">
        <v>55.6</v>
      </c>
      <c r="X9" s="67" t="n">
        <v>14.3</v>
      </c>
      <c r="Y9" s="67" t="n">
        <v>37.9</v>
      </c>
      <c r="Z9" s="67" t="n">
        <v>2.2</v>
      </c>
      <c r="AA9" s="67" t="n">
        <v>-14.3</v>
      </c>
      <c r="AB9" s="67" t="n">
        <v>20</v>
      </c>
      <c r="AC9" s="67" t="n">
        <v>-27.5</v>
      </c>
      <c r="AD9" s="67" t="n">
        <v>-10.6</v>
      </c>
      <c r="AE9" s="67" t="n">
        <v>2.1</v>
      </c>
      <c r="AF9" s="67" t="n">
        <v>8.300000000000001</v>
      </c>
      <c r="AG9" s="67" t="n">
        <v>3.4</v>
      </c>
      <c r="AH9" s="67" t="n">
        <v>19</v>
      </c>
      <c r="AI9" s="67" t="n">
        <v>4.1</v>
      </c>
      <c r="AJ9" s="67" t="n">
        <v>-3.8</v>
      </c>
      <c r="AK9" s="67" t="n">
        <v>-20</v>
      </c>
      <c r="AL9" s="67" t="n">
        <v>-10</v>
      </c>
      <c r="AM9" s="67" t="n">
        <v>-11.8</v>
      </c>
      <c r="AN9" s="67" t="n">
        <v>-14</v>
      </c>
      <c r="AO9" s="67" t="n">
        <v>-4.2</v>
      </c>
    </row>
    <row r="10">
      <c r="A10" s="65" t="inlineStr">
        <is>
          <t>유동자산</t>
        </is>
      </c>
      <c r="B10" s="66" t="n"/>
      <c r="C10" s="66" t="n"/>
      <c r="D10" s="66" t="n">
        <v>66.8</v>
      </c>
      <c r="E10" s="66" t="n"/>
      <c r="F10" s="66" t="n">
        <v>67.8</v>
      </c>
      <c r="G10" s="66" t="n">
        <v>67.2</v>
      </c>
      <c r="H10" s="66" t="n">
        <v>69.8</v>
      </c>
      <c r="I10" s="66" t="n">
        <v>67.5</v>
      </c>
      <c r="J10" s="66" t="n">
        <v>71.7</v>
      </c>
      <c r="K10" s="66" t="n">
        <v>71.3</v>
      </c>
      <c r="L10" s="66" t="n">
        <v>77.40000000000001</v>
      </c>
      <c r="M10" s="66" t="n">
        <v>75.8</v>
      </c>
      <c r="N10" s="66" t="n">
        <v>75.40000000000001</v>
      </c>
      <c r="O10" s="66" t="n">
        <v>74.5</v>
      </c>
      <c r="P10" s="66" t="n">
        <v>79.5</v>
      </c>
      <c r="Q10" s="66" t="n">
        <v>80.2</v>
      </c>
      <c r="R10" s="66" t="n">
        <v>84.59999999999999</v>
      </c>
      <c r="S10" s="66" t="n">
        <v>82.59999999999999</v>
      </c>
      <c r="T10" s="66" t="n">
        <v>87.90000000000001</v>
      </c>
      <c r="U10" s="66" t="n">
        <v>86.5</v>
      </c>
      <c r="V10" s="66" t="n">
        <v>94.40000000000001</v>
      </c>
      <c r="W10" s="66" t="n">
        <v>95.59999999999999</v>
      </c>
      <c r="X10" s="66" t="n">
        <v>102.9</v>
      </c>
      <c r="Y10" s="66" t="n">
        <v>101.2</v>
      </c>
      <c r="Z10" s="66" t="n">
        <v>104.8</v>
      </c>
      <c r="AA10" s="66" t="n">
        <v>104.9</v>
      </c>
      <c r="AB10" s="66" t="n">
        <v>109.9</v>
      </c>
      <c r="AC10" s="66" t="n">
        <v>107.9</v>
      </c>
      <c r="AD10" s="66" t="n">
        <v>113.7</v>
      </c>
      <c r="AE10" s="66" t="n">
        <v>110.2</v>
      </c>
      <c r="AF10" s="66" t="n">
        <v>123.7</v>
      </c>
      <c r="AG10" s="66" t="n">
        <v>120.8</v>
      </c>
      <c r="AH10" s="66" t="n">
        <v>125.5</v>
      </c>
      <c r="AI10" s="66" t="n">
        <v>126.2</v>
      </c>
      <c r="AJ10" s="66" t="n">
        <v>125.8</v>
      </c>
      <c r="AK10" s="66" t="n">
        <v>122.2</v>
      </c>
      <c r="AL10" s="66" t="n">
        <v>125.6</v>
      </c>
      <c r="AM10" s="66" t="n">
        <v>110.5</v>
      </c>
      <c r="AN10" s="66" t="n">
        <v>116.2</v>
      </c>
      <c r="AO10" s="66" t="n">
        <v>108.6</v>
      </c>
    </row>
    <row r="11">
      <c r="A11" s="65" t="inlineStr">
        <is>
          <t>유동부채</t>
        </is>
      </c>
      <c r="B11" s="66" t="n"/>
      <c r="C11" s="66" t="n"/>
      <c r="D11" s="66" t="n">
        <v>17.9</v>
      </c>
      <c r="E11" s="66" t="n"/>
      <c r="F11" s="66" t="n">
        <v>17.3</v>
      </c>
      <c r="G11" s="66" t="n">
        <v>15.9</v>
      </c>
      <c r="H11" s="66" t="n">
        <v>19.3</v>
      </c>
      <c r="I11" s="66" t="n">
        <v>17.2</v>
      </c>
      <c r="J11" s="66" t="n">
        <v>19.4</v>
      </c>
      <c r="K11" s="66" t="n">
        <v>17.8</v>
      </c>
      <c r="L11" s="66" t="n">
        <v>22.4</v>
      </c>
      <c r="M11" s="66" t="n">
        <v>20.1</v>
      </c>
      <c r="N11" s="66" t="n">
        <v>19.3</v>
      </c>
      <c r="O11" s="66" t="n">
        <v>17.2</v>
      </c>
      <c r="P11" s="66" t="n">
        <v>19</v>
      </c>
      <c r="Q11" s="66" t="n">
        <v>18.5</v>
      </c>
      <c r="R11" s="66" t="n">
        <v>20.8</v>
      </c>
      <c r="S11" s="66" t="n">
        <v>19.8</v>
      </c>
      <c r="T11" s="66" t="n">
        <v>23.1</v>
      </c>
      <c r="U11" s="66" t="n">
        <v>19.1</v>
      </c>
      <c r="V11" s="66" t="n">
        <v>20.7</v>
      </c>
      <c r="W11" s="66" t="n">
        <v>20</v>
      </c>
      <c r="X11" s="66" t="n">
        <v>24.4</v>
      </c>
      <c r="Y11" s="66" t="n">
        <v>22.4</v>
      </c>
      <c r="Z11" s="66" t="n">
        <v>22.3</v>
      </c>
      <c r="AA11" s="66" t="n">
        <v>20.1</v>
      </c>
      <c r="AB11" s="66" t="n">
        <v>22.2</v>
      </c>
      <c r="AC11" s="66" t="n">
        <v>20.5</v>
      </c>
      <c r="AD11" s="66" t="n">
        <v>22.9</v>
      </c>
      <c r="AE11" s="66" t="n">
        <v>19.6</v>
      </c>
      <c r="AF11" s="66" t="n">
        <v>23.3</v>
      </c>
      <c r="AG11" s="66" t="n">
        <v>20.9</v>
      </c>
      <c r="AH11" s="66" t="n">
        <v>21.8</v>
      </c>
      <c r="AI11" s="66" t="n">
        <v>21.7</v>
      </c>
      <c r="AJ11" s="66" t="n">
        <v>24</v>
      </c>
      <c r="AK11" s="66" t="n">
        <v>21.8</v>
      </c>
      <c r="AL11" s="66" t="n">
        <v>22</v>
      </c>
      <c r="AM11" s="66" t="n">
        <v>21.2</v>
      </c>
      <c r="AN11" s="66" t="n">
        <v>23.3</v>
      </c>
      <c r="AO11" s="66" t="n">
        <v>24.4</v>
      </c>
    </row>
    <row r="12">
      <c r="A12" s="65" t="inlineStr">
        <is>
          <t>부채총계</t>
        </is>
      </c>
      <c r="B12" s="66" t="n"/>
      <c r="C12" s="66" t="n"/>
      <c r="D12" s="66" t="n">
        <v>21.5</v>
      </c>
      <c r="E12" s="66" t="n"/>
      <c r="F12" s="66" t="n">
        <v>21.1</v>
      </c>
      <c r="G12" s="66" t="n">
        <v>19.7</v>
      </c>
      <c r="H12" s="66" t="n">
        <v>23.6</v>
      </c>
      <c r="I12" s="66" t="n">
        <v>21</v>
      </c>
      <c r="J12" s="66" t="n">
        <v>23.4</v>
      </c>
      <c r="K12" s="66" t="n">
        <v>21.9</v>
      </c>
      <c r="L12" s="66" t="n">
        <v>26.1</v>
      </c>
      <c r="M12" s="66" t="n">
        <v>23.8</v>
      </c>
      <c r="N12" s="66" t="n">
        <v>23</v>
      </c>
      <c r="O12" s="66" t="n">
        <v>20.9</v>
      </c>
      <c r="P12" s="66" t="n">
        <v>22.2</v>
      </c>
      <c r="Q12" s="66" t="n">
        <v>21.7</v>
      </c>
      <c r="R12" s="66" t="n">
        <v>24.1</v>
      </c>
      <c r="S12" s="66" t="n">
        <v>23.1</v>
      </c>
      <c r="T12" s="66" t="n">
        <v>26</v>
      </c>
      <c r="U12" s="66" t="n">
        <v>22</v>
      </c>
      <c r="V12" s="66" t="n">
        <v>23.7</v>
      </c>
      <c r="W12" s="66" t="n">
        <v>23.1</v>
      </c>
      <c r="X12" s="66" t="n">
        <v>27.5</v>
      </c>
      <c r="Y12" s="66" t="n">
        <v>25.5</v>
      </c>
      <c r="Z12" s="66" t="n">
        <v>25.4</v>
      </c>
      <c r="AA12" s="66" t="n">
        <v>23.3</v>
      </c>
      <c r="AB12" s="66" t="n">
        <v>25.6</v>
      </c>
      <c r="AC12" s="66" t="n">
        <v>24</v>
      </c>
      <c r="AD12" s="66" t="n">
        <v>26.3</v>
      </c>
      <c r="AE12" s="66" t="n">
        <v>23.1</v>
      </c>
      <c r="AF12" s="66" t="n">
        <v>26.6</v>
      </c>
      <c r="AG12" s="66" t="n">
        <v>24.2</v>
      </c>
      <c r="AH12" s="66" t="n">
        <v>25</v>
      </c>
      <c r="AI12" s="66" t="n">
        <v>24.9</v>
      </c>
      <c r="AJ12" s="66" t="n">
        <v>26.5</v>
      </c>
      <c r="AK12" s="66" t="n">
        <v>24.3</v>
      </c>
      <c r="AL12" s="66" t="n">
        <v>24.5</v>
      </c>
      <c r="AM12" s="66" t="n">
        <v>23.7</v>
      </c>
      <c r="AN12" s="66" t="n">
        <v>26.2</v>
      </c>
      <c r="AO12" s="66" t="n">
        <v>27.4</v>
      </c>
    </row>
    <row r="13">
      <c r="A13" s="65" t="inlineStr">
        <is>
          <t>자기자본</t>
        </is>
      </c>
      <c r="B13" s="67" t="n"/>
      <c r="C13" s="67" t="n"/>
      <c r="D13" s="67" t="n">
        <v>66.5</v>
      </c>
      <c r="E13" s="67" t="n"/>
      <c r="F13" s="67" t="n">
        <v>68.40000000000001</v>
      </c>
      <c r="G13" s="67" t="n">
        <v>69.5</v>
      </c>
      <c r="H13" s="67" t="n">
        <v>70.90000000000001</v>
      </c>
      <c r="I13" s="67" t="n">
        <v>71.09999999999999</v>
      </c>
      <c r="J13" s="67" t="n">
        <v>72.8</v>
      </c>
      <c r="K13" s="67" t="n">
        <v>73.90000000000001</v>
      </c>
      <c r="L13" s="67" t="n">
        <v>76.2</v>
      </c>
      <c r="M13" s="67" t="n">
        <v>76.3</v>
      </c>
      <c r="N13" s="67" t="n">
        <v>77</v>
      </c>
      <c r="O13" s="67" t="n">
        <v>78</v>
      </c>
      <c r="P13" s="67" t="n">
        <v>80.90000000000001</v>
      </c>
      <c r="Q13" s="67" t="n">
        <v>81.5</v>
      </c>
      <c r="R13" s="67" t="n">
        <v>84.3</v>
      </c>
      <c r="S13" s="67" t="n">
        <v>83.5</v>
      </c>
      <c r="T13" s="67" t="n">
        <v>86.2</v>
      </c>
      <c r="U13" s="67" t="n">
        <v>86.59999999999999</v>
      </c>
      <c r="V13" s="67" t="n">
        <v>90.2</v>
      </c>
      <c r="W13" s="67" t="n">
        <v>91.90000000000001</v>
      </c>
      <c r="X13" s="67" t="n">
        <v>95.09999999999999</v>
      </c>
      <c r="Y13" s="67" t="n">
        <v>95.2</v>
      </c>
      <c r="Z13" s="67" t="n">
        <v>98.8</v>
      </c>
      <c r="AA13" s="67" t="n">
        <v>99.7</v>
      </c>
      <c r="AB13" s="67" t="n">
        <v>103.1</v>
      </c>
      <c r="AC13" s="67" t="n">
        <v>102.6</v>
      </c>
      <c r="AD13" s="67" t="n">
        <v>105.9</v>
      </c>
      <c r="AE13" s="67" t="n">
        <v>105.5</v>
      </c>
      <c r="AF13" s="67" t="n">
        <v>109.3</v>
      </c>
      <c r="AG13" s="67" t="n">
        <v>108.8</v>
      </c>
      <c r="AH13" s="67" t="n">
        <v>112.7</v>
      </c>
      <c r="AI13" s="67" t="n">
        <v>113.6</v>
      </c>
      <c r="AJ13" s="67" t="n">
        <v>117.8</v>
      </c>
      <c r="AK13" s="67" t="n">
        <v>116.7</v>
      </c>
      <c r="AL13" s="67" t="n">
        <v>120</v>
      </c>
      <c r="AM13" s="67" t="n">
        <v>105.9</v>
      </c>
      <c r="AN13" s="67" t="n">
        <v>109</v>
      </c>
      <c r="AO13" s="67" t="n">
        <v>108.2</v>
      </c>
    </row>
    <row r="14">
      <c r="A14" s="65" t="inlineStr">
        <is>
          <t>유동비율</t>
        </is>
      </c>
      <c r="B14" s="67" t="n"/>
      <c r="C14" s="67" t="n"/>
      <c r="D14" s="67" t="n">
        <v>373.2</v>
      </c>
      <c r="E14" s="67" t="n"/>
      <c r="F14" s="67" t="n">
        <v>391.9</v>
      </c>
      <c r="G14" s="67" t="n">
        <v>422.6</v>
      </c>
      <c r="H14" s="67" t="n">
        <v>361.7</v>
      </c>
      <c r="I14" s="67" t="n">
        <v>392.4</v>
      </c>
      <c r="J14" s="67" t="n">
        <v>369.6</v>
      </c>
      <c r="K14" s="67" t="n">
        <v>400.6</v>
      </c>
      <c r="L14" s="67" t="n">
        <v>345.5</v>
      </c>
      <c r="M14" s="67" t="n">
        <v>377.1</v>
      </c>
      <c r="N14" s="67" t="n">
        <v>390.7</v>
      </c>
      <c r="O14" s="67" t="n">
        <v>433.1</v>
      </c>
      <c r="P14" s="67" t="n">
        <v>418.4</v>
      </c>
      <c r="Q14" s="67" t="n">
        <v>433.5</v>
      </c>
      <c r="R14" s="67" t="n">
        <v>406.7</v>
      </c>
      <c r="S14" s="67" t="n">
        <v>417.2</v>
      </c>
      <c r="T14" s="67" t="n">
        <v>380.5</v>
      </c>
      <c r="U14" s="67" t="n">
        <v>452.9</v>
      </c>
      <c r="V14" s="67" t="n">
        <v>456</v>
      </c>
      <c r="W14" s="67" t="n">
        <v>478</v>
      </c>
      <c r="X14" s="67" t="n">
        <v>421.7</v>
      </c>
      <c r="Y14" s="67" t="n">
        <v>451.8</v>
      </c>
      <c r="Z14" s="67" t="n">
        <v>470</v>
      </c>
      <c r="AA14" s="67" t="n">
        <v>521.9</v>
      </c>
      <c r="AB14" s="67" t="n">
        <v>495</v>
      </c>
      <c r="AC14" s="67" t="n">
        <v>526.3</v>
      </c>
      <c r="AD14" s="67" t="n">
        <v>496.5</v>
      </c>
      <c r="AE14" s="67" t="n">
        <v>562.2</v>
      </c>
      <c r="AF14" s="67" t="n">
        <v>530.9</v>
      </c>
      <c r="AG14" s="67" t="n">
        <v>578</v>
      </c>
      <c r="AH14" s="67" t="n">
        <v>575.7</v>
      </c>
      <c r="AI14" s="67" t="n">
        <v>581.6</v>
      </c>
      <c r="AJ14" s="67" t="n">
        <v>524.2</v>
      </c>
      <c r="AK14" s="67" t="n">
        <v>560.6</v>
      </c>
      <c r="AL14" s="67" t="n">
        <v>570.9</v>
      </c>
      <c r="AM14" s="67" t="n">
        <v>521.2</v>
      </c>
      <c r="AN14" s="67" t="n">
        <v>498.7</v>
      </c>
      <c r="AO14" s="67" t="n">
        <v>445.1</v>
      </c>
    </row>
    <row r="15">
      <c r="A15" s="65" t="inlineStr">
        <is>
          <t>부채비율</t>
        </is>
      </c>
      <c r="B15" s="67" t="n"/>
      <c r="C15" s="67" t="n"/>
      <c r="D15" s="67" t="n">
        <v>32.3</v>
      </c>
      <c r="E15" s="67" t="n"/>
      <c r="F15" s="67" t="n">
        <v>30.8</v>
      </c>
      <c r="G15" s="67" t="n">
        <v>28.3</v>
      </c>
      <c r="H15" s="67" t="n">
        <v>33.3</v>
      </c>
      <c r="I15" s="67" t="n">
        <v>29.5</v>
      </c>
      <c r="J15" s="67" t="n">
        <v>32.1</v>
      </c>
      <c r="K15" s="67" t="n">
        <v>29.6</v>
      </c>
      <c r="L15" s="67" t="n">
        <v>34.3</v>
      </c>
      <c r="M15" s="67" t="n">
        <v>31.2</v>
      </c>
      <c r="N15" s="67" t="n">
        <v>29.9</v>
      </c>
      <c r="O15" s="67" t="n">
        <v>26.8</v>
      </c>
      <c r="P15" s="67" t="n">
        <v>27.4</v>
      </c>
      <c r="Q15" s="67" t="n">
        <v>26.6</v>
      </c>
      <c r="R15" s="67" t="n">
        <v>28.6</v>
      </c>
      <c r="S15" s="67" t="n">
        <v>27.7</v>
      </c>
      <c r="T15" s="67" t="n">
        <v>30.2</v>
      </c>
      <c r="U15" s="67" t="n">
        <v>25.4</v>
      </c>
      <c r="V15" s="67" t="n">
        <v>26.3</v>
      </c>
      <c r="W15" s="67" t="n">
        <v>25.1</v>
      </c>
      <c r="X15" s="67" t="n">
        <v>28.9</v>
      </c>
      <c r="Y15" s="67" t="n">
        <v>26.8</v>
      </c>
      <c r="Z15" s="67" t="n">
        <v>25.7</v>
      </c>
      <c r="AA15" s="67" t="n">
        <v>23.4</v>
      </c>
      <c r="AB15" s="67" t="n">
        <v>24.8</v>
      </c>
      <c r="AC15" s="67" t="n">
        <v>23.4</v>
      </c>
      <c r="AD15" s="67" t="n">
        <v>24.8</v>
      </c>
      <c r="AE15" s="67" t="n">
        <v>21.9</v>
      </c>
      <c r="AF15" s="67" t="n">
        <v>24.3</v>
      </c>
      <c r="AG15" s="67" t="n">
        <v>22.2</v>
      </c>
      <c r="AH15" s="67" t="n">
        <v>22.2</v>
      </c>
      <c r="AI15" s="67" t="n">
        <v>21.9</v>
      </c>
      <c r="AJ15" s="67" t="n">
        <v>22.5</v>
      </c>
      <c r="AK15" s="67" t="n">
        <v>20.8</v>
      </c>
      <c r="AL15" s="67" t="n">
        <v>20.4</v>
      </c>
      <c r="AM15" s="67" t="n">
        <v>22.4</v>
      </c>
      <c r="AN15" s="67" t="n">
        <v>24</v>
      </c>
      <c r="AO15" s="67" t="n">
        <v>25.3</v>
      </c>
    </row>
    <row r="16">
      <c r="A16" s="65" t="inlineStr">
        <is>
          <t>순차입금/자기자본</t>
        </is>
      </c>
      <c r="B16" s="67" t="n"/>
      <c r="C16" s="67" t="n"/>
      <c r="D16" s="67" t="n">
        <v>-63.8</v>
      </c>
      <c r="E16" s="67" t="n"/>
      <c r="F16" s="67" t="n">
        <v>-64.3</v>
      </c>
      <c r="G16" s="67" t="n">
        <v>-62.6</v>
      </c>
      <c r="H16" s="67" t="n">
        <v>-65.3</v>
      </c>
      <c r="I16" s="67" t="n">
        <v>-63.7</v>
      </c>
      <c r="J16" s="67" t="n">
        <v>-66.59999999999999</v>
      </c>
      <c r="K16" s="67" t="n">
        <v>-65.09999999999999</v>
      </c>
      <c r="L16" s="67" t="n">
        <v>-73.09999999999999</v>
      </c>
      <c r="M16" s="67" t="n">
        <v>-69.5</v>
      </c>
      <c r="N16" s="67" t="n">
        <v>-70.59999999999999</v>
      </c>
      <c r="O16" s="67" t="n">
        <v>-67.90000000000001</v>
      </c>
      <c r="P16" s="67" t="n">
        <v>-71.2</v>
      </c>
      <c r="Q16" s="67" t="n">
        <v>-69.59999999999999</v>
      </c>
      <c r="R16" s="67" t="n">
        <v>-69.3</v>
      </c>
      <c r="S16" s="67" t="n">
        <v>-69.90000000000001</v>
      </c>
      <c r="T16" s="67" t="n">
        <v>-73.8</v>
      </c>
      <c r="U16" s="67" t="n">
        <v>-74.09999999999999</v>
      </c>
      <c r="V16" s="67" t="n">
        <v>-77.5</v>
      </c>
      <c r="W16" s="67" t="n">
        <v>-74.40000000000001</v>
      </c>
      <c r="X16" s="67" t="n">
        <v>-77.7</v>
      </c>
      <c r="Y16" s="67" t="n">
        <v>-76.5</v>
      </c>
      <c r="Z16" s="67" t="n">
        <v>-79</v>
      </c>
      <c r="AA16" s="67" t="n">
        <v>-79.59999999999999</v>
      </c>
      <c r="AB16" s="67" t="n">
        <v>-82.2</v>
      </c>
      <c r="AC16" s="67" t="n">
        <v>-79.90000000000001</v>
      </c>
      <c r="AD16" s="67" t="n">
        <v>-82.2</v>
      </c>
      <c r="AE16" s="67" t="n">
        <v>-80.5</v>
      </c>
      <c r="AF16" s="67" t="n">
        <v>-90.09999999999999</v>
      </c>
      <c r="AG16" s="67" t="n">
        <v>-87.40000000000001</v>
      </c>
      <c r="AH16" s="67" t="n">
        <v>-86.90000000000001</v>
      </c>
      <c r="AI16" s="67" t="n">
        <v>-85.7</v>
      </c>
      <c r="AJ16" s="67" t="n">
        <v>-80.40000000000001</v>
      </c>
      <c r="AK16" s="67" t="n">
        <v>-82.40000000000001</v>
      </c>
      <c r="AL16" s="67" t="n">
        <v>-82.3</v>
      </c>
      <c r="AM16" s="67" t="n">
        <v>-78</v>
      </c>
      <c r="AN16" s="67" t="n">
        <v>-80.90000000000001</v>
      </c>
      <c r="AO16" s="67" t="n">
        <v>-72.2</v>
      </c>
    </row>
    <row r="17">
      <c r="A17" s="65" t="inlineStr">
        <is>
          <t>재고자산</t>
        </is>
      </c>
      <c r="B17" s="66" t="n"/>
      <c r="C17" s="66" t="n"/>
      <c r="D17" s="66" t="n">
        <v>0.7</v>
      </c>
      <c r="E17" s="66" t="n"/>
      <c r="F17" s="66" t="n">
        <v>1.4</v>
      </c>
      <c r="G17" s="66" t="n">
        <v>1.7</v>
      </c>
      <c r="H17" s="66" t="n">
        <v>0.5</v>
      </c>
      <c r="I17" s="66" t="n">
        <v>2.1</v>
      </c>
      <c r="J17" s="66" t="n">
        <v>1</v>
      </c>
      <c r="K17" s="66" t="n">
        <v>0.8</v>
      </c>
      <c r="L17" s="66" t="n">
        <v>0.9</v>
      </c>
      <c r="M17" s="66" t="n">
        <v>2.8</v>
      </c>
      <c r="N17" s="66" t="n">
        <v>0.5</v>
      </c>
      <c r="O17" s="66" t="n">
        <v>1.1</v>
      </c>
      <c r="P17" s="66" t="n">
        <v>0.5</v>
      </c>
      <c r="Q17" s="66" t="n">
        <v>1.3</v>
      </c>
      <c r="R17" s="66" t="n">
        <v>1.1</v>
      </c>
      <c r="S17" s="66" t="n">
        <v>1.1</v>
      </c>
      <c r="T17" s="66" t="n">
        <v>0.2</v>
      </c>
      <c r="U17" s="66" t="n">
        <v>1.2</v>
      </c>
      <c r="V17" s="66" t="n">
        <v>0.4</v>
      </c>
      <c r="W17" s="66" t="n">
        <v>0.9</v>
      </c>
      <c r="X17" s="66" t="n">
        <v>0.6</v>
      </c>
      <c r="Y17" s="66" t="n">
        <v>0.9</v>
      </c>
      <c r="Z17" s="66" t="n">
        <v>0.7</v>
      </c>
      <c r="AA17" s="66" t="n">
        <v>0.7</v>
      </c>
      <c r="AB17" s="66" t="n">
        <v>0.3</v>
      </c>
      <c r="AC17" s="66" t="n">
        <v>0.5</v>
      </c>
      <c r="AD17" s="66" t="n">
        <v>1</v>
      </c>
      <c r="AE17" s="66" t="n">
        <v>0.7</v>
      </c>
      <c r="AF17" s="66" t="n">
        <v>0.2</v>
      </c>
      <c r="AG17" s="66" t="n">
        <v>0.6</v>
      </c>
      <c r="AH17" s="66" t="n">
        <v>0.7</v>
      </c>
      <c r="AI17" s="66" t="n">
        <v>1.1</v>
      </c>
      <c r="AJ17" s="66" t="n">
        <v>0.1</v>
      </c>
      <c r="AK17" s="66" t="n">
        <v>0.5</v>
      </c>
      <c r="AL17" s="66" t="n">
        <v>0.4</v>
      </c>
      <c r="AM17" s="66" t="n">
        <v>0.7</v>
      </c>
      <c r="AN17" s="66" t="n">
        <v>0.4</v>
      </c>
      <c r="AO17" s="66" t="n">
        <v>0.7</v>
      </c>
    </row>
    <row r="18">
      <c r="A18" s="65" t="inlineStr">
        <is>
          <t>재고자산 회전일수</t>
        </is>
      </c>
      <c r="B18" s="66" t="n"/>
      <c r="C18" s="66" t="n"/>
      <c r="D18" s="66" t="n">
        <v>2</v>
      </c>
      <c r="E18" s="66" t="n"/>
      <c r="F18" s="66" t="n">
        <v>5</v>
      </c>
      <c r="G18" s="66" t="n">
        <v>6</v>
      </c>
      <c r="H18" s="66" t="n">
        <v>2</v>
      </c>
      <c r="I18" s="66" t="n">
        <v>7</v>
      </c>
      <c r="J18" s="66" t="n">
        <v>3</v>
      </c>
      <c r="K18" s="66" t="n">
        <v>2</v>
      </c>
      <c r="L18" s="66" t="n">
        <v>3</v>
      </c>
      <c r="M18" s="66" t="n">
        <v>9</v>
      </c>
      <c r="N18" s="66" t="n">
        <v>1</v>
      </c>
      <c r="O18" s="66" t="n">
        <v>3</v>
      </c>
      <c r="P18" s="66" t="n">
        <v>1</v>
      </c>
      <c r="Q18" s="66" t="n">
        <v>4</v>
      </c>
      <c r="R18" s="66" t="n">
        <v>3</v>
      </c>
      <c r="S18" s="66" t="n">
        <v>3</v>
      </c>
      <c r="T18" s="66" t="n">
        <v>1</v>
      </c>
      <c r="U18" s="66" t="n">
        <v>4</v>
      </c>
      <c r="V18" s="66" t="n">
        <v>1</v>
      </c>
      <c r="W18" s="66" t="n">
        <v>2</v>
      </c>
      <c r="X18" s="66" t="n">
        <v>1</v>
      </c>
      <c r="Y18" s="66" t="n">
        <v>2</v>
      </c>
      <c r="Z18" s="66" t="n">
        <v>2</v>
      </c>
      <c r="AA18" s="66" t="n">
        <v>2</v>
      </c>
      <c r="AB18" s="66" t="n">
        <v>1</v>
      </c>
      <c r="AC18" s="66" t="n">
        <v>1</v>
      </c>
      <c r="AD18" s="66" t="n">
        <v>3</v>
      </c>
      <c r="AE18" s="66" t="n">
        <v>2</v>
      </c>
      <c r="AF18" s="66" t="n">
        <v>1</v>
      </c>
      <c r="AG18" s="66" t="n">
        <v>2</v>
      </c>
      <c r="AH18" s="66" t="n">
        <v>2</v>
      </c>
      <c r="AI18" s="66" t="n">
        <v>3</v>
      </c>
      <c r="AJ18" s="66" t="n">
        <v>0</v>
      </c>
      <c r="AK18" s="66" t="n">
        <v>1</v>
      </c>
      <c r="AL18" s="66" t="n">
        <v>1</v>
      </c>
      <c r="AM18" s="66" t="n">
        <v>2</v>
      </c>
      <c r="AN18" s="66" t="n">
        <v>1</v>
      </c>
      <c r="AO18" s="66" t="n">
        <v>2</v>
      </c>
    </row>
    <row r="19">
      <c r="A19" s="65" t="inlineStr">
        <is>
          <t>매출채권 회전일수</t>
        </is>
      </c>
      <c r="B19" s="66" t="n"/>
      <c r="C19" s="66" t="n"/>
      <c r="D19" s="66" t="n">
        <v>58</v>
      </c>
      <c r="E19" s="66" t="n"/>
      <c r="F19" s="66" t="n">
        <v>52</v>
      </c>
      <c r="G19" s="66" t="n">
        <v>51</v>
      </c>
      <c r="H19" s="66" t="n">
        <v>56</v>
      </c>
      <c r="I19" s="66" t="n">
        <v>52</v>
      </c>
      <c r="J19" s="66" t="n">
        <v>51</v>
      </c>
      <c r="K19" s="66" t="n">
        <v>51</v>
      </c>
      <c r="L19" s="66" t="n">
        <v>48</v>
      </c>
      <c r="M19" s="66" t="n">
        <v>47</v>
      </c>
      <c r="N19" s="66" t="n">
        <v>44</v>
      </c>
      <c r="O19" s="66" t="n">
        <v>49</v>
      </c>
      <c r="P19" s="66" t="n">
        <v>48</v>
      </c>
      <c r="Q19" s="66" t="n">
        <v>51</v>
      </c>
      <c r="R19" s="66" t="n">
        <v>58</v>
      </c>
      <c r="S19" s="66" t="n">
        <v>53</v>
      </c>
      <c r="T19" s="66" t="n">
        <v>53</v>
      </c>
      <c r="U19" s="66" t="n">
        <v>0</v>
      </c>
      <c r="V19" s="66" t="n">
        <v>0</v>
      </c>
      <c r="W19" s="66" t="n">
        <v>0</v>
      </c>
      <c r="X19" s="66" t="n">
        <v>51</v>
      </c>
      <c r="Y19" s="66" t="n">
        <v>51</v>
      </c>
      <c r="Z19" s="66" t="n">
        <v>50</v>
      </c>
      <c r="AA19" s="66" t="n">
        <v>49</v>
      </c>
      <c r="AB19" s="66" t="n">
        <v>49</v>
      </c>
      <c r="AC19" s="66" t="n">
        <v>50</v>
      </c>
      <c r="AD19" s="66" t="n">
        <v>50</v>
      </c>
      <c r="AE19" s="66" t="n">
        <v>49</v>
      </c>
      <c r="AF19" s="66" t="n">
        <v>51</v>
      </c>
      <c r="AG19" s="66" t="n">
        <v>50</v>
      </c>
      <c r="AH19" s="66" t="n">
        <v>50</v>
      </c>
      <c r="AI19" s="66" t="n">
        <v>48</v>
      </c>
      <c r="AJ19" s="66" t="n">
        <v>53</v>
      </c>
      <c r="AK19" s="66" t="n">
        <v>48</v>
      </c>
      <c r="AL19" s="66" t="n">
        <v>49</v>
      </c>
      <c r="AM19" s="66" t="n">
        <v>52</v>
      </c>
      <c r="AN19" s="66" t="n">
        <v>49</v>
      </c>
      <c r="AO19" s="66" t="n">
        <v>48</v>
      </c>
    </row>
    <row r="20">
      <c r="A20" s="65" t="inlineStr">
        <is>
          <t>매입채무 회전일수</t>
        </is>
      </c>
      <c r="B20" s="66" t="n"/>
      <c r="C20" s="66" t="n"/>
      <c r="D20" s="66" t="n">
        <v>16</v>
      </c>
      <c r="E20" s="66" t="n"/>
      <c r="F20" s="66" t="n">
        <v>16</v>
      </c>
      <c r="G20" s="66" t="n">
        <v>19</v>
      </c>
      <c r="H20" s="66" t="n">
        <v>17</v>
      </c>
      <c r="I20" s="66" t="n">
        <v>20</v>
      </c>
      <c r="J20" s="66" t="n">
        <v>17</v>
      </c>
      <c r="K20" s="66" t="n">
        <v>19</v>
      </c>
      <c r="L20" s="66" t="n">
        <v>19</v>
      </c>
      <c r="M20" s="66" t="n">
        <v>21</v>
      </c>
      <c r="N20" s="66" t="n">
        <v>16</v>
      </c>
      <c r="O20" s="66" t="n">
        <v>20</v>
      </c>
      <c r="P20" s="66" t="n">
        <v>18</v>
      </c>
      <c r="Q20" s="66" t="n">
        <v>20</v>
      </c>
      <c r="R20" s="66" t="n">
        <v>19</v>
      </c>
      <c r="S20" s="66" t="n">
        <v>18</v>
      </c>
      <c r="T20" s="66" t="n">
        <v>18</v>
      </c>
      <c r="U20" s="66" t="n">
        <v>19</v>
      </c>
      <c r="V20" s="66" t="n">
        <v>18</v>
      </c>
      <c r="W20" s="66" t="n">
        <v>19</v>
      </c>
      <c r="X20" s="66" t="n">
        <v>20</v>
      </c>
      <c r="Y20" s="66" t="n">
        <v>21</v>
      </c>
      <c r="Z20" s="66" t="n">
        <v>19</v>
      </c>
      <c r="AA20" s="66" t="n">
        <v>19</v>
      </c>
      <c r="AB20" s="66" t="n">
        <v>19</v>
      </c>
      <c r="AC20" s="66" t="n">
        <v>20</v>
      </c>
      <c r="AD20" s="66" t="n">
        <v>18</v>
      </c>
      <c r="AE20" s="66" t="n">
        <v>18</v>
      </c>
      <c r="AF20" s="66" t="n">
        <v>18</v>
      </c>
      <c r="AG20" s="66" t="n">
        <v>19</v>
      </c>
      <c r="AH20" s="66" t="n">
        <v>18</v>
      </c>
      <c r="AI20" s="66" t="n">
        <v>19</v>
      </c>
      <c r="AJ20" s="66" t="n">
        <v>18</v>
      </c>
      <c r="AK20" s="66" t="n">
        <v>19</v>
      </c>
      <c r="AL20" s="66" t="n">
        <v>18</v>
      </c>
      <c r="AM20" s="66" t="n">
        <v>18</v>
      </c>
      <c r="AN20" s="66" t="n">
        <v>19</v>
      </c>
      <c r="AO20" s="66" t="n">
        <v>19</v>
      </c>
    </row>
    <row r="21">
      <c r="A21" s="65" t="inlineStr">
        <is>
          <t>현금전환주기(CCC)</t>
        </is>
      </c>
      <c r="B21" s="66" t="n"/>
      <c r="C21" s="66" t="n"/>
      <c r="D21" s="66" t="n">
        <v>44</v>
      </c>
      <c r="E21" s="66" t="n"/>
      <c r="F21" s="66" t="n">
        <v>41</v>
      </c>
      <c r="G21" s="66" t="n">
        <v>38</v>
      </c>
      <c r="H21" s="66" t="n">
        <v>41</v>
      </c>
      <c r="I21" s="66" t="n">
        <v>39</v>
      </c>
      <c r="J21" s="66" t="n">
        <v>37</v>
      </c>
      <c r="K21" s="66" t="n">
        <v>34</v>
      </c>
      <c r="L21" s="66" t="n">
        <v>32</v>
      </c>
      <c r="M21" s="66" t="n">
        <v>35</v>
      </c>
      <c r="N21" s="66" t="n">
        <v>29</v>
      </c>
      <c r="O21" s="66" t="n">
        <v>32</v>
      </c>
      <c r="P21" s="66" t="n">
        <v>31</v>
      </c>
      <c r="Q21" s="66" t="n">
        <v>35</v>
      </c>
      <c r="R21" s="66" t="n">
        <v>42</v>
      </c>
      <c r="S21" s="66" t="n">
        <v>38</v>
      </c>
      <c r="T21" s="66" t="n">
        <v>36</v>
      </c>
      <c r="U21" s="66" t="n">
        <v>-15</v>
      </c>
      <c r="V21" s="66" t="n">
        <v>-17</v>
      </c>
      <c r="W21" s="66" t="n">
        <v>-17</v>
      </c>
      <c r="X21" s="66" t="n">
        <v>32</v>
      </c>
      <c r="Y21" s="66" t="n">
        <v>32</v>
      </c>
      <c r="Z21" s="66" t="n">
        <v>33</v>
      </c>
      <c r="AA21" s="66" t="n">
        <v>32</v>
      </c>
      <c r="AB21" s="66" t="n">
        <v>31</v>
      </c>
      <c r="AC21" s="66" t="n">
        <v>31</v>
      </c>
      <c r="AD21" s="66" t="n">
        <v>35</v>
      </c>
      <c r="AE21" s="66" t="n">
        <v>33</v>
      </c>
      <c r="AF21" s="66" t="n">
        <v>34</v>
      </c>
      <c r="AG21" s="66" t="n">
        <v>33</v>
      </c>
      <c r="AH21" s="66" t="n">
        <v>34</v>
      </c>
      <c r="AI21" s="66" t="n">
        <v>32</v>
      </c>
      <c r="AJ21" s="66" t="n">
        <v>35</v>
      </c>
      <c r="AK21" s="66" t="n">
        <v>30</v>
      </c>
      <c r="AL21" s="66" t="n">
        <v>32</v>
      </c>
      <c r="AM21" s="66" t="n">
        <v>36</v>
      </c>
      <c r="AN21" s="66" t="n">
        <v>31</v>
      </c>
      <c r="AO21" s="66" t="n">
        <v>31</v>
      </c>
    </row>
    <row r="22">
      <c r="A22" s="65" t="inlineStr">
        <is>
          <t>총 차입금</t>
        </is>
      </c>
      <c r="B22" s="66" t="n"/>
      <c r="C22" s="66" t="n"/>
      <c r="D22" s="66" t="n">
        <v>0</v>
      </c>
      <c r="E22" s="66" t="n"/>
      <c r="F22" s="66" t="n">
        <v>0</v>
      </c>
      <c r="G22" s="66" t="n">
        <v>0</v>
      </c>
      <c r="H22" s="66" t="n">
        <v>0</v>
      </c>
      <c r="I22" s="66" t="n">
        <v>0</v>
      </c>
      <c r="J22" s="66" t="n">
        <v>0</v>
      </c>
      <c r="K22" s="66" t="n">
        <v>0</v>
      </c>
      <c r="L22" s="66" t="n">
        <v>0</v>
      </c>
      <c r="M22" s="66" t="n">
        <v>0</v>
      </c>
      <c r="N22" s="66" t="n">
        <v>0</v>
      </c>
      <c r="O22" s="66" t="n">
        <v>0</v>
      </c>
      <c r="P22" s="66" t="n">
        <v>0</v>
      </c>
      <c r="Q22" s="66" t="n">
        <v>0</v>
      </c>
      <c r="R22" s="66" t="n">
        <v>0</v>
      </c>
      <c r="S22" s="66" t="n">
        <v>0</v>
      </c>
      <c r="T22" s="66" t="n">
        <v>0</v>
      </c>
      <c r="U22" s="66" t="n">
        <v>0</v>
      </c>
      <c r="V22" s="66" t="n">
        <v>0</v>
      </c>
      <c r="W22" s="66" t="n">
        <v>0</v>
      </c>
      <c r="X22" s="66" t="n">
        <v>0</v>
      </c>
      <c r="Y22" s="66" t="n">
        <v>0</v>
      </c>
      <c r="Z22" s="66" t="n">
        <v>0</v>
      </c>
      <c r="AA22" s="66" t="n">
        <v>0</v>
      </c>
      <c r="AB22" s="66" t="n">
        <v>0</v>
      </c>
      <c r="AC22" s="66" t="n">
        <v>0</v>
      </c>
      <c r="AD22" s="66" t="n">
        <v>0</v>
      </c>
      <c r="AE22" s="66" t="n">
        <v>0</v>
      </c>
      <c r="AF22" s="66" t="n">
        <v>0</v>
      </c>
      <c r="AG22" s="66" t="n">
        <v>0</v>
      </c>
      <c r="AH22" s="66" t="n">
        <v>0</v>
      </c>
      <c r="AI22" s="66" t="n">
        <v>0</v>
      </c>
      <c r="AJ22" s="66" t="n">
        <v>0</v>
      </c>
      <c r="AK22" s="66" t="n">
        <v>0</v>
      </c>
      <c r="AL22" s="66" t="n">
        <v>0</v>
      </c>
      <c r="AM22" s="66" t="n">
        <v>0</v>
      </c>
      <c r="AN22" s="66" t="n">
        <v>0</v>
      </c>
      <c r="AO22" s="66" t="n">
        <v>0</v>
      </c>
    </row>
    <row r="23">
      <c r="A23" s="65" t="inlineStr">
        <is>
          <t>현금</t>
        </is>
      </c>
      <c r="B23" s="66" t="n"/>
      <c r="C23" s="66" t="n"/>
      <c r="D23" s="66" t="n">
        <v>42.4</v>
      </c>
      <c r="E23" s="66" t="n"/>
      <c r="F23" s="66" t="n">
        <v>44</v>
      </c>
      <c r="G23" s="66" t="n">
        <v>43.5</v>
      </c>
      <c r="H23" s="66" t="n">
        <v>46.3</v>
      </c>
      <c r="I23" s="66" t="n">
        <v>45.3</v>
      </c>
      <c r="J23" s="66" t="n">
        <v>48.5</v>
      </c>
      <c r="K23" s="66" t="n">
        <v>48.1</v>
      </c>
      <c r="L23" s="66" t="n">
        <v>55.7</v>
      </c>
      <c r="M23" s="66" t="n">
        <v>53</v>
      </c>
      <c r="N23" s="66" t="n">
        <v>54.4</v>
      </c>
      <c r="O23" s="66" t="n">
        <v>53</v>
      </c>
      <c r="P23" s="66" t="n">
        <v>57.6</v>
      </c>
      <c r="Q23" s="66" t="n">
        <v>56.7</v>
      </c>
      <c r="R23" s="66" t="n">
        <v>58.4</v>
      </c>
      <c r="S23" s="66" t="n">
        <v>58.4</v>
      </c>
      <c r="T23" s="66" t="n">
        <v>63.6</v>
      </c>
      <c r="U23" s="66" t="n">
        <v>64.2</v>
      </c>
      <c r="V23" s="66" t="n">
        <v>69.90000000000001</v>
      </c>
      <c r="W23" s="66" t="n">
        <v>68.40000000000001</v>
      </c>
      <c r="X23" s="66" t="n">
        <v>73.90000000000001</v>
      </c>
      <c r="Y23" s="66" t="n">
        <v>72.8</v>
      </c>
      <c r="Z23" s="66" t="n">
        <v>78.09999999999999</v>
      </c>
      <c r="AA23" s="66" t="n">
        <v>79.40000000000001</v>
      </c>
      <c r="AB23" s="66" t="n">
        <v>84.7</v>
      </c>
      <c r="AC23" s="66" t="n">
        <v>82</v>
      </c>
      <c r="AD23" s="66" t="n">
        <v>87</v>
      </c>
      <c r="AE23" s="66" t="n">
        <v>84.90000000000001</v>
      </c>
      <c r="AF23" s="66" t="n">
        <v>98.5</v>
      </c>
      <c r="AG23" s="66" t="n">
        <v>95.09999999999999</v>
      </c>
      <c r="AH23" s="66" t="n">
        <v>97.90000000000001</v>
      </c>
      <c r="AI23" s="66" t="n">
        <v>97.3</v>
      </c>
      <c r="AJ23" s="66" t="n">
        <v>94.7</v>
      </c>
      <c r="AK23" s="66" t="n">
        <v>96.2</v>
      </c>
      <c r="AL23" s="66" t="n">
        <v>98.8</v>
      </c>
      <c r="AM23" s="66" t="n">
        <v>82.59999999999999</v>
      </c>
      <c r="AN23" s="66" t="n">
        <v>88.2</v>
      </c>
      <c r="AO23" s="66" t="n">
        <v>78.09999999999999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2026-10-30T11:43:21Z</dcterms:created>
  <dcterms:modified xmlns:dcterms="http://purl.org/dc/terms/" xmlns:xsi="http://www.w3.org/2001/XMLSchema-instance" xsi:type="dcterms:W3CDTF">2026-10-30T11:43:40Z</dcterms:modified>
</cp:coreProperties>
</file>