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4299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4333</v>
      </c>
      <c r="D4" s="12" t="n">
        <v>4336</v>
      </c>
      <c r="E4" s="12" t="n">
        <v>4353</v>
      </c>
      <c r="F4" s="12" t="n">
        <v>4327</v>
      </c>
      <c r="G4" s="12" t="n">
        <v>4489</v>
      </c>
      <c r="H4" s="12" t="n">
        <v>4510</v>
      </c>
      <c r="I4" s="12" t="n">
        <v>4740</v>
      </c>
      <c r="J4" s="12" t="n">
        <v>4454</v>
      </c>
      <c r="K4" s="12" t="n">
        <v>4495</v>
      </c>
      <c r="L4" s="12" t="n">
        <v>4522</v>
      </c>
      <c r="M4" s="12" t="n">
        <v>4745</v>
      </c>
      <c r="N4" s="12" t="n">
        <v>5124</v>
      </c>
      <c r="O4" s="11" t="n">
        <v>12485</v>
      </c>
      <c r="P4" s="12" t="n">
        <v>13493</v>
      </c>
      <c r="Q4" s="12" t="n">
        <v>14834</v>
      </c>
      <c r="R4" s="12" t="n">
        <v>15342</v>
      </c>
      <c r="S4" s="12" t="n">
        <v>15431</v>
      </c>
      <c r="T4" s="12" t="n">
        <v>16681</v>
      </c>
      <c r="U4" s="12" t="n">
        <v>17331</v>
      </c>
      <c r="V4" s="12" t="n">
        <v>17357</v>
      </c>
      <c r="W4" s="12" t="n">
        <v>18066</v>
      </c>
      <c r="X4" s="12" t="n">
        <v>18216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3504</v>
      </c>
      <c r="D11" s="22" t="n">
        <v>3449</v>
      </c>
      <c r="E11" s="22" t="n">
        <v>3418</v>
      </c>
      <c r="F11" s="22" t="n">
        <v>3413</v>
      </c>
      <c r="G11" s="22" t="n">
        <v>3598</v>
      </c>
      <c r="H11" s="22" t="n">
        <v>3596</v>
      </c>
      <c r="I11" s="22" t="n">
        <v>3816</v>
      </c>
      <c r="J11" s="22" t="n">
        <v>3573</v>
      </c>
      <c r="K11" s="22" t="n">
        <v>3642</v>
      </c>
      <c r="L11" s="22" t="n">
        <v>3660</v>
      </c>
      <c r="M11" s="22" t="n">
        <v>3809</v>
      </c>
      <c r="N11" s="22" t="n">
        <v>4074</v>
      </c>
      <c r="O11" s="21" t="n">
        <v>10130</v>
      </c>
      <c r="P11" s="22" t="n">
        <v>11034</v>
      </c>
      <c r="Q11" s="22" t="n">
        <v>12123</v>
      </c>
      <c r="R11" s="22" t="n">
        <v>12563</v>
      </c>
      <c r="S11" s="22" t="n">
        <v>12450</v>
      </c>
      <c r="T11" s="22" t="n">
        <v>13374</v>
      </c>
      <c r="U11" s="22" t="n">
        <v>13860</v>
      </c>
      <c r="V11" s="22" t="n">
        <v>13819</v>
      </c>
      <c r="W11" s="22" t="n">
        <v>14423</v>
      </c>
      <c r="X11" s="22" t="n">
        <v>14684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410</v>
      </c>
      <c r="D17" s="22" t="n">
        <v>394</v>
      </c>
      <c r="E17" s="22" t="n">
        <v>412</v>
      </c>
      <c r="F17" s="22" t="n">
        <v>614</v>
      </c>
      <c r="G17" s="22" t="n">
        <v>388</v>
      </c>
      <c r="H17" s="22" t="n">
        <v>406</v>
      </c>
      <c r="I17" s="22" t="n">
        <v>429</v>
      </c>
      <c r="J17" s="22" t="n">
        <v>646</v>
      </c>
      <c r="K17" s="22" t="n">
        <v>406</v>
      </c>
      <c r="L17" s="22" t="n">
        <v>417</v>
      </c>
      <c r="M17" s="22" t="n">
        <v>501</v>
      </c>
      <c r="N17" s="22" t="n">
        <v>817</v>
      </c>
      <c r="O17" s="21" t="n">
        <v>1394</v>
      </c>
      <c r="P17" s="22" t="n">
        <v>1478</v>
      </c>
      <c r="Q17" s="22" t="n">
        <v>1725</v>
      </c>
      <c r="R17" s="22" t="n">
        <v>1768</v>
      </c>
      <c r="S17" s="22" t="n">
        <v>1615</v>
      </c>
      <c r="T17" s="22" t="n">
        <v>1590</v>
      </c>
      <c r="U17" s="22" t="n">
        <v>1638</v>
      </c>
      <c r="V17" s="22" t="n">
        <v>1818</v>
      </c>
      <c r="W17" s="22" t="n">
        <v>1837</v>
      </c>
      <c r="X17" s="22" t="n">
        <v>1970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418</v>
      </c>
      <c r="D19" s="12" t="n">
        <v>494</v>
      </c>
      <c r="E19" s="12" t="n">
        <v>522</v>
      </c>
      <c r="F19" s="12" t="n">
        <v>301</v>
      </c>
      <c r="G19" s="12" t="n">
        <v>503</v>
      </c>
      <c r="H19" s="12" t="n">
        <v>507</v>
      </c>
      <c r="I19" s="12" t="n">
        <v>496</v>
      </c>
      <c r="J19" s="12" t="n">
        <v>235</v>
      </c>
      <c r="K19" s="12" t="n">
        <v>447</v>
      </c>
      <c r="L19" s="12" t="n">
        <v>445</v>
      </c>
      <c r="M19" s="12" t="n">
        <v>435</v>
      </c>
      <c r="N19" s="12" t="n">
        <v>232</v>
      </c>
      <c r="O19" s="11" t="n">
        <v>961</v>
      </c>
      <c r="P19" s="12" t="n">
        <v>981</v>
      </c>
      <c r="Q19" s="12" t="n">
        <v>986</v>
      </c>
      <c r="R19" s="12" t="n">
        <v>1012</v>
      </c>
      <c r="S19" s="12" t="n">
        <v>1367</v>
      </c>
      <c r="T19" s="12" t="n">
        <v>1716</v>
      </c>
      <c r="U19" s="12" t="n">
        <v>1833</v>
      </c>
      <c r="V19" s="12" t="n">
        <v>1719</v>
      </c>
      <c r="W19" s="12" t="n">
        <v>1807</v>
      </c>
      <c r="X19" s="12" t="n">
        <v>1562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>
        <v>15</v>
      </c>
      <c r="P35" s="22" t="n">
        <v>0</v>
      </c>
      <c r="Q35" s="22" t="n"/>
      <c r="R35" s="22" t="n"/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</v>
      </c>
      <c r="D39" s="22" t="n">
        <v>3</v>
      </c>
      <c r="E39" s="22" t="n">
        <v>7</v>
      </c>
      <c r="F39" s="22" t="n">
        <v>2</v>
      </c>
      <c r="G39" s="22" t="n">
        <v>5</v>
      </c>
      <c r="H39" s="22" t="n">
        <v>6</v>
      </c>
      <c r="I39" s="22" t="n">
        <v>2</v>
      </c>
      <c r="J39" s="22" t="n">
        <v>2</v>
      </c>
      <c r="K39" s="22" t="n">
        <v>15</v>
      </c>
      <c r="L39" s="22" t="n">
        <v>5</v>
      </c>
      <c r="M39" s="22" t="n">
        <v>3</v>
      </c>
      <c r="N39" s="22" t="n">
        <v>2</v>
      </c>
      <c r="O39" s="21" t="n">
        <v>9</v>
      </c>
      <c r="P39" s="22" t="n">
        <v>8</v>
      </c>
      <c r="Q39" s="22" t="n">
        <v>7</v>
      </c>
      <c r="R39" s="22" t="n">
        <v>7</v>
      </c>
      <c r="S39" s="22" t="n">
        <v>9</v>
      </c>
      <c r="T39" s="22" t="n">
        <v>7</v>
      </c>
      <c r="U39" s="22" t="n">
        <v>12</v>
      </c>
      <c r="V39" s="22" t="n">
        <v>14</v>
      </c>
      <c r="W39" s="22" t="n">
        <v>15</v>
      </c>
      <c r="X39" s="22" t="n">
        <v>25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2</v>
      </c>
      <c r="D41" s="22" t="n">
        <v>0</v>
      </c>
      <c r="E41" s="22" t="n">
        <v>0</v>
      </c>
      <c r="F41" s="22" t="n">
        <v>0</v>
      </c>
      <c r="G41" s="22" t="n">
        <v>0</v>
      </c>
      <c r="H41" s="22" t="n">
        <v>0</v>
      </c>
      <c r="I41" s="22" t="n">
        <v>0</v>
      </c>
      <c r="J41" s="22" t="n">
        <v>0</v>
      </c>
      <c r="K41" s="22" t="n">
        <v>1</v>
      </c>
      <c r="L41" s="22" t="n">
        <v>0</v>
      </c>
      <c r="M41" s="22" t="n">
        <v>4</v>
      </c>
      <c r="N41" s="22" t="n">
        <v>0</v>
      </c>
      <c r="O41" s="21" t="n">
        <v>0</v>
      </c>
      <c r="P41" s="22" t="n">
        <v>7</v>
      </c>
      <c r="Q41" s="22" t="n">
        <v>0</v>
      </c>
      <c r="R41" s="22" t="n">
        <v>1</v>
      </c>
      <c r="S41" s="22" t="n">
        <v>7</v>
      </c>
      <c r="T41" s="22" t="n">
        <v>4</v>
      </c>
      <c r="U41" s="22" t="n">
        <v>1</v>
      </c>
      <c r="V41" s="22" t="n">
        <v>2</v>
      </c>
      <c r="W41" s="22" t="n">
        <v>0</v>
      </c>
      <c r="X41" s="22" t="n">
        <v>5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418</v>
      </c>
      <c r="D43" s="12" t="n">
        <v>497</v>
      </c>
      <c r="E43" s="12" t="n">
        <v>528</v>
      </c>
      <c r="F43" s="12" t="n">
        <v>303</v>
      </c>
      <c r="G43" s="12" t="n">
        <v>508</v>
      </c>
      <c r="H43" s="12" t="n">
        <v>513</v>
      </c>
      <c r="I43" s="12" t="n">
        <v>497</v>
      </c>
      <c r="J43" s="12" t="n">
        <v>237</v>
      </c>
      <c r="K43" s="12" t="n">
        <v>460</v>
      </c>
      <c r="L43" s="12" t="n">
        <v>451</v>
      </c>
      <c r="M43" s="12" t="n">
        <v>435</v>
      </c>
      <c r="N43" s="12" t="n">
        <v>234</v>
      </c>
      <c r="O43" s="11" t="n">
        <v>985</v>
      </c>
      <c r="P43" s="12" t="n">
        <v>982</v>
      </c>
      <c r="Q43" s="12" t="n">
        <v>993</v>
      </c>
      <c r="R43" s="12" t="n">
        <v>1017</v>
      </c>
      <c r="S43" s="12" t="n">
        <v>1369</v>
      </c>
      <c r="T43" s="12" t="n">
        <v>1719</v>
      </c>
      <c r="U43" s="12" t="n">
        <v>1844</v>
      </c>
      <c r="V43" s="12" t="n">
        <v>1730</v>
      </c>
      <c r="W43" s="12" t="n">
        <v>1821</v>
      </c>
      <c r="X43" s="12" t="n">
        <v>1583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133</v>
      </c>
      <c r="D45" s="22" t="n">
        <v>157</v>
      </c>
      <c r="E45" s="22" t="n">
        <v>166</v>
      </c>
      <c r="F45" s="22" t="n">
        <v>96</v>
      </c>
      <c r="G45" s="22" t="n">
        <v>161</v>
      </c>
      <c r="H45" s="22" t="n">
        <v>162</v>
      </c>
      <c r="I45" s="22" t="n">
        <v>110</v>
      </c>
      <c r="J45" s="22" t="n">
        <v>77</v>
      </c>
      <c r="K45" s="22" t="n">
        <v>148</v>
      </c>
      <c r="L45" s="22" t="n">
        <v>145</v>
      </c>
      <c r="M45" s="22" t="n">
        <v>72</v>
      </c>
      <c r="N45" s="22" t="n">
        <v>85</v>
      </c>
      <c r="O45" s="21" t="n">
        <v>299</v>
      </c>
      <c r="P45" s="22" t="n">
        <v>320</v>
      </c>
      <c r="Q45" s="22" t="n">
        <v>275</v>
      </c>
      <c r="R45" s="22" t="n">
        <v>323</v>
      </c>
      <c r="S45" s="22" t="n">
        <v>433</v>
      </c>
      <c r="T45" s="22" t="n">
        <v>506</v>
      </c>
      <c r="U45" s="22" t="n">
        <v>550</v>
      </c>
      <c r="V45" s="22" t="n">
        <v>547</v>
      </c>
      <c r="W45" s="22" t="n">
        <v>529</v>
      </c>
      <c r="X45" s="22" t="n">
        <v>442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286</v>
      </c>
      <c r="D47" s="12" t="n">
        <v>339</v>
      </c>
      <c r="E47" s="12" t="n">
        <v>363</v>
      </c>
      <c r="F47" s="12" t="n">
        <v>207</v>
      </c>
      <c r="G47" s="12" t="n">
        <v>347</v>
      </c>
      <c r="H47" s="12" t="n">
        <v>350</v>
      </c>
      <c r="I47" s="12" t="n">
        <v>389</v>
      </c>
      <c r="J47" s="12" t="n">
        <v>161</v>
      </c>
      <c r="K47" s="12" t="n">
        <v>311</v>
      </c>
      <c r="L47" s="12" t="n">
        <v>306</v>
      </c>
      <c r="M47" s="12" t="n">
        <v>363</v>
      </c>
      <c r="N47" s="12" t="n">
        <v>149</v>
      </c>
      <c r="O47" s="11" t="n">
        <v>686</v>
      </c>
      <c r="P47" s="12" t="n">
        <v>661</v>
      </c>
      <c r="Q47" s="12" t="n">
        <v>717</v>
      </c>
      <c r="R47" s="12" t="n">
        <v>695</v>
      </c>
      <c r="S47" s="12" t="n">
        <v>937</v>
      </c>
      <c r="T47" s="12" t="n">
        <v>1213</v>
      </c>
      <c r="U47" s="12" t="n">
        <v>1294</v>
      </c>
      <c r="V47" s="12" t="n">
        <v>1184</v>
      </c>
      <c r="W47" s="12" t="n">
        <v>1293</v>
      </c>
      <c r="X47" s="12" t="n">
        <v>1141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286</v>
      </c>
      <c r="D49" s="12" t="n">
        <v>339</v>
      </c>
      <c r="E49" s="12" t="n">
        <v>363</v>
      </c>
      <c r="F49" s="12" t="n">
        <v>207</v>
      </c>
      <c r="G49" s="12" t="n">
        <v>347</v>
      </c>
      <c r="H49" s="12" t="n">
        <v>350</v>
      </c>
      <c r="I49" s="12" t="n">
        <v>389</v>
      </c>
      <c r="J49" s="12" t="n">
        <v>161</v>
      </c>
      <c r="K49" s="12" t="n">
        <v>311</v>
      </c>
      <c r="L49" s="12" t="n">
        <v>306</v>
      </c>
      <c r="M49" s="12" t="n">
        <v>363</v>
      </c>
      <c r="N49" s="12" t="n">
        <v>149</v>
      </c>
      <c r="O49" s="11" t="n">
        <v>686</v>
      </c>
      <c r="P49" s="12" t="n">
        <v>661</v>
      </c>
      <c r="Q49" s="12" t="n">
        <v>717</v>
      </c>
      <c r="R49" s="12" t="n">
        <v>695</v>
      </c>
      <c r="S49" s="12" t="n">
        <v>937</v>
      </c>
      <c r="T49" s="12" t="n">
        <v>1213</v>
      </c>
      <c r="U49" s="12" t="n">
        <v>1294</v>
      </c>
      <c r="V49" s="12" t="n">
        <v>1184</v>
      </c>
      <c r="W49" s="12" t="n">
        <v>1293</v>
      </c>
      <c r="X49" s="12" t="n">
        <v>1141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4333</v>
      </c>
      <c r="D84" s="12" t="n">
        <v>4336</v>
      </c>
      <c r="E84" s="12" t="n">
        <v>4353</v>
      </c>
      <c r="F84" s="12" t="n">
        <v>4327</v>
      </c>
      <c r="G84" s="12" t="n">
        <v>4489</v>
      </c>
      <c r="H84" s="12" t="n">
        <v>4510</v>
      </c>
      <c r="I84" s="12" t="n">
        <v>4740</v>
      </c>
      <c r="J84" s="12" t="n">
        <v>4454</v>
      </c>
      <c r="K84" s="12" t="n">
        <v>4495</v>
      </c>
      <c r="L84" s="12" t="n">
        <v>4522</v>
      </c>
      <c r="M84" s="12" t="n">
        <v>4745</v>
      </c>
      <c r="N84" s="12" t="n">
        <v>5124</v>
      </c>
      <c r="T84" s="12" t="n">
        <v>4482</v>
      </c>
      <c r="U84" s="12" t="n">
        <v>4306</v>
      </c>
      <c r="V84" s="12" t="n">
        <v>4353</v>
      </c>
      <c r="W84" s="12" t="n">
        <v>4740</v>
      </c>
      <c r="X84" s="12" t="n">
        <v>4745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3504</v>
      </c>
      <c r="D86" s="22" t="n">
        <v>3449</v>
      </c>
      <c r="E86" s="22" t="n">
        <v>3418</v>
      </c>
      <c r="F86" s="22" t="n">
        <v>3413</v>
      </c>
      <c r="G86" s="22" t="n">
        <v>3598</v>
      </c>
      <c r="H86" s="22" t="n">
        <v>3596</v>
      </c>
      <c r="I86" s="22" t="n">
        <v>3816</v>
      </c>
      <c r="J86" s="22" t="n">
        <v>3573</v>
      </c>
      <c r="K86" s="22" t="n">
        <v>3642</v>
      </c>
      <c r="L86" s="22" t="n">
        <v>3660</v>
      </c>
      <c r="M86" s="22" t="n">
        <v>3809</v>
      </c>
      <c r="N86" s="22" t="n">
        <v>4074</v>
      </c>
      <c r="T86" s="22" t="n">
        <v>3672</v>
      </c>
      <c r="U86" s="22" t="n">
        <v>3424</v>
      </c>
      <c r="V86" s="22" t="n">
        <v>3418</v>
      </c>
      <c r="W86" s="22" t="n">
        <v>3816</v>
      </c>
      <c r="X86" s="22" t="n">
        <v>3809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828</v>
      </c>
      <c r="D88" s="12" t="n">
        <v>888</v>
      </c>
      <c r="E88" s="12" t="n">
        <v>934</v>
      </c>
      <c r="F88" s="12" t="n">
        <v>915</v>
      </c>
      <c r="G88" s="12" t="n">
        <v>890</v>
      </c>
      <c r="H88" s="12" t="n">
        <v>915</v>
      </c>
      <c r="I88" s="12" t="n">
        <v>923</v>
      </c>
      <c r="J88" s="12" t="n">
        <v>881</v>
      </c>
      <c r="K88" s="12" t="n">
        <v>852</v>
      </c>
      <c r="L88" s="12" t="n">
        <v>863</v>
      </c>
      <c r="M88" s="12" t="n">
        <v>936</v>
      </c>
      <c r="N88" s="12" t="n">
        <v>1049</v>
      </c>
      <c r="T88" s="12" t="n">
        <v>809</v>
      </c>
      <c r="U88" s="12" t="n">
        <v>881</v>
      </c>
      <c r="V88" s="12" t="n">
        <v>934</v>
      </c>
      <c r="W88" s="12" t="n">
        <v>923</v>
      </c>
      <c r="X88" s="12" t="n">
        <v>936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410</v>
      </c>
      <c r="D90" s="22" t="n">
        <v>394</v>
      </c>
      <c r="E90" s="22" t="n">
        <v>412</v>
      </c>
      <c r="F90" s="22" t="n">
        <v>614</v>
      </c>
      <c r="G90" s="22" t="n">
        <v>388</v>
      </c>
      <c r="H90" s="22" t="n">
        <v>406</v>
      </c>
      <c r="I90" s="22" t="n">
        <v>429</v>
      </c>
      <c r="J90" s="22" t="n">
        <v>646</v>
      </c>
      <c r="K90" s="22" t="n">
        <v>406</v>
      </c>
      <c r="L90" s="22" t="n">
        <v>417</v>
      </c>
      <c r="M90" s="22" t="n">
        <v>501</v>
      </c>
      <c r="N90" s="22" t="n">
        <v>817</v>
      </c>
      <c r="T90" s="22" t="n">
        <v>407</v>
      </c>
      <c r="U90" s="22" t="n">
        <v>404</v>
      </c>
      <c r="V90" s="22" t="n">
        <v>412</v>
      </c>
      <c r="W90" s="22" t="n">
        <v>429</v>
      </c>
      <c r="X90" s="22" t="n">
        <v>501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418</v>
      </c>
      <c r="D92" s="12" t="n">
        <v>494</v>
      </c>
      <c r="E92" s="12" t="n">
        <v>522</v>
      </c>
      <c r="F92" s="12" t="n">
        <v>301</v>
      </c>
      <c r="G92" s="12" t="n">
        <v>503</v>
      </c>
      <c r="H92" s="12" t="n">
        <v>507</v>
      </c>
      <c r="I92" s="12" t="n">
        <v>496</v>
      </c>
      <c r="J92" s="12" t="n">
        <v>235</v>
      </c>
      <c r="K92" s="12" t="n">
        <v>447</v>
      </c>
      <c r="L92" s="12" t="n">
        <v>445</v>
      </c>
      <c r="M92" s="12" t="n">
        <v>435</v>
      </c>
      <c r="N92" s="12" t="n">
        <v>232</v>
      </c>
      <c r="T92" s="12" t="n">
        <v>402</v>
      </c>
      <c r="U92" s="12" t="n">
        <v>477</v>
      </c>
      <c r="V92" s="12" t="n">
        <v>522</v>
      </c>
      <c r="W92" s="12" t="n">
        <v>496</v>
      </c>
      <c r="X92" s="12" t="n">
        <v>435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보조금 수입</t>
        </is>
      </c>
      <c r="H95" s="22" t="n">
        <v>0</v>
      </c>
      <c r="I95" s="22" t="n">
        <v>0</v>
      </c>
      <c r="L95" s="22" t="n">
        <v>0</v>
      </c>
      <c r="M95" s="22" t="n">
        <v>0</v>
      </c>
      <c r="W95" s="22" t="n">
        <v>0</v>
      </c>
      <c r="X95" s="22" t="n">
        <v>0</v>
      </c>
    </row>
    <row r="96">
      <c r="A96" s="20" t="inlineStr">
        <is>
          <t>잡이익</t>
        </is>
      </c>
      <c r="C96" s="22" t="n">
        <v>2</v>
      </c>
      <c r="D96" s="22" t="n">
        <v>3</v>
      </c>
      <c r="E96" s="22" t="n">
        <v>7</v>
      </c>
      <c r="F96" s="22" t="n">
        <v>2</v>
      </c>
      <c r="G96" s="22" t="n">
        <v>5</v>
      </c>
      <c r="H96" s="22" t="n">
        <v>6</v>
      </c>
      <c r="I96" s="22" t="n">
        <v>2</v>
      </c>
      <c r="J96" s="22" t="n">
        <v>2</v>
      </c>
      <c r="K96" s="22" t="n">
        <v>5</v>
      </c>
      <c r="L96" s="22" t="n">
        <v>5</v>
      </c>
      <c r="M96" s="22" t="n">
        <v>3</v>
      </c>
      <c r="N96" s="22" t="n">
        <v>2</v>
      </c>
      <c r="T96" s="22" t="n">
        <v>5</v>
      </c>
      <c r="U96" s="22" t="n">
        <v>2</v>
      </c>
      <c r="V96" s="22" t="n">
        <v>7</v>
      </c>
      <c r="W96" s="22" t="n">
        <v>2</v>
      </c>
      <c r="X96" s="22" t="n">
        <v>3</v>
      </c>
    </row>
    <row r="97">
      <c r="A97" s="20" t="inlineStr">
        <is>
          <t>영업외수익 합계</t>
        </is>
      </c>
      <c r="C97" s="22" t="n">
        <v>2</v>
      </c>
      <c r="D97" s="22" t="n">
        <v>3</v>
      </c>
      <c r="E97" s="22" t="n">
        <v>7</v>
      </c>
      <c r="F97" s="22" t="n">
        <v>2</v>
      </c>
      <c r="G97" s="22" t="n">
        <v>5</v>
      </c>
      <c r="H97" s="22" t="n">
        <v>6</v>
      </c>
      <c r="I97" s="22" t="n">
        <v>2</v>
      </c>
      <c r="J97" s="22" t="n">
        <v>2</v>
      </c>
      <c r="K97" s="22" t="n">
        <v>15</v>
      </c>
      <c r="L97" s="22" t="n">
        <v>5</v>
      </c>
      <c r="M97" s="22" t="n">
        <v>3</v>
      </c>
      <c r="N97" s="22" t="n">
        <v>2</v>
      </c>
      <c r="T97" s="22" t="n">
        <v>2</v>
      </c>
      <c r="U97" s="22" t="n">
        <v>2</v>
      </c>
      <c r="V97" s="22" t="n">
        <v>7</v>
      </c>
      <c r="W97" s="22" t="n">
        <v>2</v>
      </c>
      <c r="X97" s="22" t="n">
        <v>3</v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IF(OR(G97="",C97=""),"",IF(G97*C97&lt;=0,"",IFERROR(G97/C97-1,"")))</f>
        <v/>
      </c>
      <c r="H98" s="17">
        <f>IF(OR(H97="",D97=""),"",IF(H97*D97&lt;=0,"",IFERROR(H97/D97-1,"")))</f>
        <v/>
      </c>
      <c r="I98" s="17">
        <f>IF(OR(I97="",E97=""),"",IF(I97*E97&lt;=0,"",IFERROR(I97/E97-1,"")))</f>
        <v/>
      </c>
      <c r="J98" s="17">
        <f>IF(OR(J97="",F97=""),"",IF(J97*F97&lt;=0,"",IFERROR(J97/F97-1,"")))</f>
        <v/>
      </c>
      <c r="K98" s="17">
        <f>IF(OR(K97="",G97=""),"",IF(K97*G97&lt;=0,"",IFERROR(K97/G97-1,"")))</f>
        <v/>
      </c>
      <c r="L98" s="17">
        <f>IF(OR(L97="",H97=""),"",IF(L97*H97&lt;=0,"",IFERROR(L97/H97-1,"")))</f>
        <v/>
      </c>
      <c r="M98" s="17">
        <f>IF(OR(M97="",I97=""),"",IF(M97*I97&lt;=0,"",IFERROR(M97/I97-1,"")))</f>
        <v/>
      </c>
      <c r="N98" s="17">
        <f>IF(OR(N97="",J97=""),"",IF(N97*J97&lt;=0,"",IFERROR(N97/J97-1,"")))</f>
        <v/>
      </c>
      <c r="T98" s="17">
        <f>IF(OR(T97="",S97=""),"",IF(T97*S97&lt;=0,"",IFERROR(T97/S97-1,"")))</f>
        <v/>
      </c>
      <c r="U98" s="17">
        <f>IF(OR(U97="",T97=""),"",IF(U97*T97&lt;=0,"",IFERROR(U97/T97-1,"")))</f>
        <v/>
      </c>
      <c r="V98" s="17">
        <f>IF(OR(V97="",U97=""),"",IF(V97*U97&lt;=0,"",IFERROR(V97/U97-1,"")))</f>
        <v/>
      </c>
      <c r="W98" s="17">
        <f>IF(OR(W97="",V97=""),"",IF(W97*V97&lt;=0,"",IFERROR(W97/V97-1,"")))</f>
        <v/>
      </c>
      <c r="X98" s="17">
        <f>IF(OR(X97="",W97=""),"",IF(X97*W97&lt;=0,"",IFERROR(X97/W97-1,"")))</f>
        <v/>
      </c>
    </row>
    <row r="99">
      <c r="A99" s="20" t="inlineStr">
        <is>
          <t>잡손실</t>
        </is>
      </c>
      <c r="C99" s="22" t="n">
        <v>2</v>
      </c>
      <c r="D99" s="22" t="n"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1</v>
      </c>
      <c r="L99" s="22" t="n">
        <v>0</v>
      </c>
      <c r="M99" s="22" t="n">
        <v>4</v>
      </c>
      <c r="N99" s="22" t="n">
        <v>0</v>
      </c>
      <c r="T99" s="22" t="n">
        <v>1</v>
      </c>
      <c r="U99" s="22" t="n">
        <v>0</v>
      </c>
      <c r="V99" s="22" t="n">
        <v>0</v>
      </c>
      <c r="W99" s="22" t="n">
        <v>0</v>
      </c>
      <c r="X99" s="22" t="n">
        <v>4</v>
      </c>
    </row>
    <row r="100">
      <c r="A100" s="20" t="inlineStr">
        <is>
          <t>영업외비용 합계</t>
        </is>
      </c>
      <c r="C100" s="22" t="n">
        <v>2</v>
      </c>
      <c r="D100" s="22" t="n">
        <v>0</v>
      </c>
      <c r="E100" s="22" t="n">
        <v>0</v>
      </c>
      <c r="F100" s="22" t="n">
        <v>0</v>
      </c>
      <c r="G100" s="22" t="n">
        <v>0</v>
      </c>
      <c r="H100" s="22" t="n">
        <v>0</v>
      </c>
      <c r="I100" s="22" t="n">
        <v>0</v>
      </c>
      <c r="J100" s="22" t="n">
        <v>0</v>
      </c>
      <c r="K100" s="22" t="n">
        <v>1</v>
      </c>
      <c r="L100" s="22" t="n">
        <v>0</v>
      </c>
      <c r="M100" s="22" t="n">
        <v>4</v>
      </c>
      <c r="N100" s="22" t="n">
        <v>0</v>
      </c>
      <c r="T100" s="22" t="n">
        <v>1</v>
      </c>
      <c r="U100" s="22" t="n">
        <v>0</v>
      </c>
      <c r="V100" s="22" t="n">
        <v>0</v>
      </c>
      <c r="W100" s="22" t="n">
        <v>0</v>
      </c>
      <c r="X100" s="22" t="n">
        <v>4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IF(OR(G100="",C100=""),"",IF(G100*C100&lt;=0,"",IFERROR(G100/C100-1,"")))</f>
        <v/>
      </c>
      <c r="H101" s="17">
        <f>IF(OR(H100="",D100=""),"",IF(H100*D100&lt;=0,"",IFERROR(H100/D100-1,"")))</f>
        <v/>
      </c>
      <c r="I101" s="17">
        <f>IF(OR(I100="",E100=""),"",IF(I100*E100&lt;=0,"",IFERROR(I100/E100-1,"")))</f>
        <v/>
      </c>
      <c r="J101" s="17">
        <f>IF(OR(J100="",F100=""),"",IF(J100*F100&lt;=0,"",IFERROR(J100/F100-1,"")))</f>
        <v/>
      </c>
      <c r="K101" s="17">
        <f>IF(OR(K100="",G100=""),"",IF(K100*G100&lt;=0,"",IFERROR(K100/G100-1,"")))</f>
        <v/>
      </c>
      <c r="L101" s="17">
        <f>IF(OR(L100="",H100=""),"",IF(L100*H100&lt;=0,"",IFERROR(L100/H100-1,"")))</f>
        <v/>
      </c>
      <c r="M101" s="17">
        <f>IF(OR(M100="",I100=""),"",IF(M100*I100&lt;=0,"",IFERROR(M100/I100-1,"")))</f>
        <v/>
      </c>
      <c r="N101" s="17">
        <f>IF(OR(N100="",J100=""),"",IF(N100*J100&lt;=0,"",IFERROR(N100/J100-1,"")))</f>
        <v/>
      </c>
      <c r="T101" s="17">
        <f>IF(OR(T100="",S100=""),"",IF(T100*S100&lt;=0,"",IFERROR(T100/S100-1,"")))</f>
        <v/>
      </c>
      <c r="U101" s="17">
        <f>IF(OR(U100="",T100=""),"",IF(U100*T100&lt;=0,"",IFERROR(U100/T100-1,"")))</f>
        <v/>
      </c>
      <c r="V101" s="17">
        <f>IF(OR(V100="",U100=""),"",IF(V100*U100&lt;=0,"",IFERROR(V100/U100-1,"")))</f>
        <v/>
      </c>
      <c r="W101" s="17">
        <f>IF(OR(W100="",V100=""),"",IF(W100*V100&lt;=0,"",IFERROR(W100/V100-1,"")))</f>
        <v/>
      </c>
      <c r="X101" s="17">
        <f>IF(OR(X100="",W100=""),"",IF(X100*W100&lt;=0,"",IFERROR(X100/W100-1,"")))</f>
        <v/>
      </c>
    </row>
    <row r="102">
      <c r="A102" s="9" t="inlineStr">
        <is>
          <t>경상이익</t>
        </is>
      </c>
      <c r="C102" s="12" t="n">
        <v>418</v>
      </c>
      <c r="D102" s="12" t="n">
        <v>497</v>
      </c>
      <c r="E102" s="12" t="n">
        <v>528</v>
      </c>
      <c r="F102" s="12" t="n">
        <v>303</v>
      </c>
      <c r="G102" s="12" t="n">
        <v>508</v>
      </c>
      <c r="H102" s="12" t="n">
        <v>513</v>
      </c>
      <c r="I102" s="12" t="n">
        <v>497</v>
      </c>
      <c r="J102" s="12" t="n">
        <v>237</v>
      </c>
      <c r="K102" s="12" t="n">
        <v>460</v>
      </c>
      <c r="L102" s="12" t="n">
        <v>451</v>
      </c>
      <c r="M102" s="12" t="n">
        <v>435</v>
      </c>
      <c r="N102" s="12" t="n">
        <v>234</v>
      </c>
      <c r="T102" s="12" t="n">
        <v>403</v>
      </c>
      <c r="U102" s="12" t="n">
        <v>479</v>
      </c>
      <c r="V102" s="12" t="n">
        <v>528</v>
      </c>
      <c r="W102" s="12" t="n">
        <v>497</v>
      </c>
      <c r="X102" s="12" t="n">
        <v>435</v>
      </c>
    </row>
    <row r="103">
      <c r="A103" s="45" t="inlineStr">
        <is>
          <t>YoY</t>
        </is>
      </c>
      <c r="B103" s="3" t="inlineStr">
        <is>
          <t>전년 같은 분기·전년 대비</t>
        </is>
      </c>
      <c r="G103" s="17">
        <f>IF(OR(G102="",C102=""),"",IF(C102&lt;=0,"",IFERROR(G102/C102-1,"")))</f>
        <v/>
      </c>
      <c r="H103" s="17">
        <f>IF(OR(H102="",D102=""),"",IF(D102&lt;=0,"",IFERROR(H102/D102-1,"")))</f>
        <v/>
      </c>
      <c r="I103" s="17">
        <f>IF(OR(I102="",E102=""),"",IF(E102&lt;=0,"",IFERROR(I102/E102-1,"")))</f>
        <v/>
      </c>
      <c r="J103" s="17">
        <f>IF(OR(J102="",F102=""),"",IF(F102&lt;=0,"",IFERROR(J102/F102-1,"")))</f>
        <v/>
      </c>
      <c r="K103" s="17">
        <f>IF(OR(K102="",G102=""),"",IF(G102&lt;=0,"",IFERROR(K102/G102-1,"")))</f>
        <v/>
      </c>
      <c r="L103" s="17">
        <f>IF(OR(L102="",H102=""),"",IF(H102&lt;=0,"",IFERROR(L102/H102-1,"")))</f>
        <v/>
      </c>
      <c r="M103" s="17">
        <f>IF(OR(M102="",I102=""),"",IF(I102&lt;=0,"",IFERROR(M102/I102-1,"")))</f>
        <v/>
      </c>
      <c r="N103" s="17">
        <f>IF(OR(N102="",J102=""),"",IF(J102&lt;=0,"",IFERROR(N102/J102-1,"")))</f>
        <v/>
      </c>
      <c r="T103" s="17">
        <f>IF(OR(T102="",S102=""),"",IF(S102&lt;=0,"",IFERROR(T102/S102-1,"")))</f>
        <v/>
      </c>
      <c r="U103" s="17">
        <f>IF(OR(U102="",T102=""),"",IF(T102&lt;=0,"",IFERROR(U102/T102-1,"")))</f>
        <v/>
      </c>
      <c r="V103" s="17">
        <f>IF(OR(V102="",U102=""),"",IF(U102&lt;=0,"",IFERROR(V102/U102-1,"")))</f>
        <v/>
      </c>
      <c r="W103" s="17">
        <f>IF(OR(W102="",V102=""),"",IF(V102&lt;=0,"",IFERROR(W102/V102-1,"")))</f>
        <v/>
      </c>
      <c r="X103" s="17">
        <f>IF(OR(X102="",W102=""),"",IF(W102&lt;=0,"",IFERROR(X102/W102-1,"")))</f>
        <v/>
      </c>
    </row>
    <row r="104">
      <c r="A104" s="9" t="inlineStr">
        <is>
          <t>법인세차감전 순이익</t>
        </is>
      </c>
      <c r="C104" s="12" t="n">
        <v>418</v>
      </c>
      <c r="D104" s="12" t="n">
        <v>497</v>
      </c>
      <c r="E104" s="12" t="n">
        <v>528</v>
      </c>
      <c r="F104" s="12" t="n">
        <v>303</v>
      </c>
      <c r="G104" s="12" t="n">
        <v>508</v>
      </c>
      <c r="H104" s="12" t="n">
        <v>513</v>
      </c>
      <c r="I104" s="12" t="n">
        <v>497</v>
      </c>
      <c r="J104" s="12" t="n">
        <v>237</v>
      </c>
      <c r="K104" s="12" t="n">
        <v>460</v>
      </c>
      <c r="L104" s="12" t="n">
        <v>451</v>
      </c>
      <c r="M104" s="12" t="n">
        <v>435</v>
      </c>
      <c r="N104" s="12" t="n">
        <v>234</v>
      </c>
      <c r="T104" s="12" t="n">
        <v>403</v>
      </c>
      <c r="U104" s="12" t="n">
        <v>479</v>
      </c>
      <c r="V104" s="12" t="n">
        <v>528</v>
      </c>
      <c r="W104" s="12" t="n">
        <v>497</v>
      </c>
      <c r="X104" s="12" t="n">
        <v>435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IF(OR(G104="",C104=""),"",IF(C104&lt;=0,"",IFERROR(G104/C104-1,"")))</f>
        <v/>
      </c>
      <c r="H105" s="17">
        <f>IF(OR(H104="",D104=""),"",IF(D104&lt;=0,"",IFERROR(H104/D104-1,"")))</f>
        <v/>
      </c>
      <c r="I105" s="17">
        <f>IF(OR(I104="",E104=""),"",IF(E104&lt;=0,"",IFERROR(I104/E104-1,"")))</f>
        <v/>
      </c>
      <c r="J105" s="17">
        <f>IF(OR(J104="",F104=""),"",IF(F104&lt;=0,"",IFERROR(J104/F104-1,"")))</f>
        <v/>
      </c>
      <c r="K105" s="17">
        <f>IF(OR(K104="",G104=""),"",IF(G104&lt;=0,"",IFERROR(K104/G104-1,"")))</f>
        <v/>
      </c>
      <c r="L105" s="17">
        <f>IF(OR(L104="",H104=""),"",IF(H104&lt;=0,"",IFERROR(L104/H104-1,"")))</f>
        <v/>
      </c>
      <c r="M105" s="17">
        <f>IF(OR(M104="",I104=""),"",IF(I104&lt;=0,"",IFERROR(M104/I104-1,"")))</f>
        <v/>
      </c>
      <c r="N105" s="17">
        <f>IF(OR(N104="",J104=""),"",IF(J104&lt;=0,"",IFERROR(N104/J104-1,"")))</f>
        <v/>
      </c>
      <c r="T105" s="17">
        <f>IF(OR(T104="",S104=""),"",IF(S104&lt;=0,"",IFERROR(T104/S104-1,"")))</f>
        <v/>
      </c>
      <c r="U105" s="17">
        <f>IF(OR(U104="",T104=""),"",IF(T104&lt;=0,"",IFERROR(U104/T104-1,"")))</f>
        <v/>
      </c>
      <c r="V105" s="17">
        <f>IF(OR(V104="",U104=""),"",IF(U104&lt;=0,"",IFERROR(V104/U104-1,"")))</f>
        <v/>
      </c>
      <c r="W105" s="17">
        <f>IF(OR(W104="",V104=""),"",IF(V104&lt;=0,"",IFERROR(W104/V104-1,"")))</f>
        <v/>
      </c>
      <c r="X105" s="17">
        <f>IF(OR(X104="",W104=""),"",IF(W104&lt;=0,"",IFERROR(X104/W104-1,"")))</f>
        <v/>
      </c>
    </row>
    <row r="106">
      <c r="A106" s="20" t="inlineStr">
        <is>
          <t>법인세 등</t>
        </is>
      </c>
      <c r="C106" s="22" t="n">
        <v>133</v>
      </c>
      <c r="D106" s="22" t="n">
        <v>157</v>
      </c>
      <c r="E106" s="22" t="n">
        <v>166</v>
      </c>
      <c r="F106" s="22" t="n">
        <v>96</v>
      </c>
      <c r="G106" s="22" t="n">
        <v>161</v>
      </c>
      <c r="H106" s="22" t="n">
        <v>162</v>
      </c>
      <c r="I106" s="22" t="n">
        <v>110</v>
      </c>
      <c r="J106" s="22" t="n">
        <v>77</v>
      </c>
      <c r="K106" s="22" t="n">
        <v>148</v>
      </c>
      <c r="L106" s="22" t="n">
        <v>145</v>
      </c>
      <c r="M106" s="22" t="n">
        <v>72</v>
      </c>
      <c r="N106" s="22" t="n">
        <v>85</v>
      </c>
      <c r="T106" s="22" t="n">
        <v>79</v>
      </c>
      <c r="U106" s="22" t="n">
        <v>117</v>
      </c>
      <c r="V106" s="22" t="n">
        <v>166</v>
      </c>
      <c r="W106" s="22" t="n">
        <v>110</v>
      </c>
      <c r="X106" s="22" t="n">
        <v>72</v>
      </c>
    </row>
    <row r="107">
      <c r="A107" s="45" t="inlineStr">
        <is>
          <t>YoY</t>
        </is>
      </c>
      <c r="B107" s="3" t="inlineStr">
        <is>
          <t>전년 같은 분기·전년 대비</t>
        </is>
      </c>
      <c r="G107" s="17">
        <f>IF(OR(G106="",C106=""),"",IF(G106*C106&lt;=0,"",IFERROR(G106/C106-1,"")))</f>
        <v/>
      </c>
      <c r="H107" s="17">
        <f>IF(OR(H106="",D106=""),"",IF(H106*D106&lt;=0,"",IFERROR(H106/D106-1,"")))</f>
        <v/>
      </c>
      <c r="I107" s="17">
        <f>IF(OR(I106="",E106=""),"",IF(I106*E106&lt;=0,"",IFERROR(I106/E106-1,"")))</f>
        <v/>
      </c>
      <c r="J107" s="17">
        <f>IF(OR(J106="",F106=""),"",IF(J106*F106&lt;=0,"",IFERROR(J106/F106-1,"")))</f>
        <v/>
      </c>
      <c r="K107" s="17">
        <f>IF(OR(K106="",G106=""),"",IF(K106*G106&lt;=0,"",IFERROR(K106/G106-1,"")))</f>
        <v/>
      </c>
      <c r="L107" s="17">
        <f>IF(OR(L106="",H106=""),"",IF(L106*H106&lt;=0,"",IFERROR(L106/H106-1,"")))</f>
        <v/>
      </c>
      <c r="M107" s="17">
        <f>IF(OR(M106="",I106=""),"",IF(M106*I106&lt;=0,"",IFERROR(M106/I106-1,"")))</f>
        <v/>
      </c>
      <c r="N107" s="17">
        <f>IF(OR(N106="",J106=""),"",IF(N106*J106&lt;=0,"",IFERROR(N106/J106-1,"")))</f>
        <v/>
      </c>
      <c r="T107" s="17">
        <f>IF(OR(T106="",S106=""),"",IF(T106*S106&lt;=0,"",IFERROR(T106/S106-1,"")))</f>
        <v/>
      </c>
      <c r="U107" s="17">
        <f>IF(OR(U106="",T106=""),"",IF(U106*T106&lt;=0,"",IFERROR(U106/T106-1,"")))</f>
        <v/>
      </c>
      <c r="V107" s="17">
        <f>IF(OR(V106="",U106=""),"",IF(V106*U106&lt;=0,"",IFERROR(V106/U106-1,"")))</f>
        <v/>
      </c>
      <c r="W107" s="17">
        <f>IF(OR(W106="",V106=""),"",IF(W106*V106&lt;=0,"",IFERROR(W106/V106-1,"")))</f>
        <v/>
      </c>
      <c r="X107" s="17">
        <f>IF(OR(X106="",W106=""),"",IF(X106*W106&lt;=0,"",IFERROR(X106/W106-1,"")))</f>
        <v/>
      </c>
    </row>
    <row r="108">
      <c r="A108" s="9" t="inlineStr">
        <is>
          <t>순이익</t>
        </is>
      </c>
      <c r="C108" s="12" t="n">
        <v>286</v>
      </c>
      <c r="D108" s="12" t="n">
        <v>339</v>
      </c>
      <c r="E108" s="12" t="n">
        <v>363</v>
      </c>
      <c r="F108" s="12" t="n">
        <v>207</v>
      </c>
      <c r="G108" s="12" t="n">
        <v>347</v>
      </c>
      <c r="H108" s="12" t="n">
        <v>350</v>
      </c>
      <c r="I108" s="12" t="n">
        <v>389</v>
      </c>
      <c r="J108" s="12" t="n">
        <v>161</v>
      </c>
      <c r="K108" s="12" t="n">
        <v>311</v>
      </c>
      <c r="L108" s="12" t="n">
        <v>306</v>
      </c>
      <c r="M108" s="12" t="n">
        <v>363</v>
      </c>
      <c r="N108" s="12" t="n">
        <v>149</v>
      </c>
      <c r="T108" s="12" t="n">
        <v>324</v>
      </c>
      <c r="U108" s="12" t="n">
        <v>362</v>
      </c>
      <c r="V108" s="12" t="n">
        <v>363</v>
      </c>
      <c r="W108" s="12" t="n">
        <v>389</v>
      </c>
      <c r="X108" s="12" t="n">
        <v>363</v>
      </c>
    </row>
    <row r="109">
      <c r="A109" s="45" t="inlineStr">
        <is>
          <t>YoY</t>
        </is>
      </c>
      <c r="B109" s="3" t="inlineStr">
        <is>
          <t>전년 같은 분기·전년 대비</t>
        </is>
      </c>
      <c r="G109" s="17">
        <f>IF(OR(G108="",C108=""),"",IF(C108&lt;=0,"",IFERROR(G108/C108-1,"")))</f>
        <v/>
      </c>
      <c r="H109" s="17">
        <f>IF(OR(H108="",D108=""),"",IF(D108&lt;=0,"",IFERROR(H108/D108-1,"")))</f>
        <v/>
      </c>
      <c r="I109" s="17">
        <f>IF(OR(I108="",E108=""),"",IF(E108&lt;=0,"",IFERROR(I108/E108-1,"")))</f>
        <v/>
      </c>
      <c r="J109" s="17">
        <f>IF(OR(J108="",F108=""),"",IF(F108&lt;=0,"",IFERROR(J108/F108-1,"")))</f>
        <v/>
      </c>
      <c r="K109" s="17">
        <f>IF(OR(K108="",G108=""),"",IF(G108&lt;=0,"",IFERROR(K108/G108-1,"")))</f>
        <v/>
      </c>
      <c r="L109" s="17">
        <f>IF(OR(L108="",H108=""),"",IF(H108&lt;=0,"",IFERROR(L108/H108-1,"")))</f>
        <v/>
      </c>
      <c r="M109" s="17">
        <f>IF(OR(M108="",I108=""),"",IF(I108&lt;=0,"",IFERROR(M108/I108-1,"")))</f>
        <v/>
      </c>
      <c r="N109" s="17">
        <f>IF(OR(N108="",J108=""),"",IF(J108&lt;=0,"",IFERROR(N108/J108-1,"")))</f>
        <v/>
      </c>
      <c r="T109" s="17">
        <f>IF(OR(T108="",S108=""),"",IF(S108&lt;=0,"",IFERROR(T108/S108-1,"")))</f>
        <v/>
      </c>
      <c r="U109" s="17">
        <f>IF(OR(U108="",T108=""),"",IF(T108&lt;=0,"",IFERROR(U108/T108-1,"")))</f>
        <v/>
      </c>
      <c r="V109" s="17">
        <f>IF(OR(V108="",U108=""),"",IF(U108&lt;=0,"",IFERROR(V108/U108-1,"")))</f>
        <v/>
      </c>
      <c r="W109" s="17">
        <f>IF(OR(W108="",V108=""),"",IF(V108&lt;=0,"",IFERROR(W108/V108-1,"")))</f>
        <v/>
      </c>
      <c r="X109" s="17">
        <f>IF(OR(X108="",W108=""),"",IF(W108&lt;=0,"",IFERROR(X108/W108-1,"")))</f>
        <v/>
      </c>
    </row>
    <row r="110">
      <c r="A110" s="9" t="inlineStr">
        <is>
          <t>지배주주 순이익</t>
        </is>
      </c>
      <c r="C110" s="12" t="n">
        <v>286</v>
      </c>
      <c r="D110" s="12" t="n">
        <v>339</v>
      </c>
      <c r="E110" s="12" t="n">
        <v>363</v>
      </c>
      <c r="F110" s="12" t="n">
        <v>207</v>
      </c>
      <c r="G110" s="12" t="n">
        <v>347</v>
      </c>
      <c r="H110" s="12" t="n">
        <v>350</v>
      </c>
      <c r="I110" s="12" t="n">
        <v>389</v>
      </c>
      <c r="J110" s="12" t="n">
        <v>161</v>
      </c>
      <c r="K110" s="12" t="n">
        <v>311</v>
      </c>
      <c r="L110" s="12" t="n">
        <v>306</v>
      </c>
      <c r="M110" s="12" t="n">
        <v>363</v>
      </c>
      <c r="N110" s="12" t="n">
        <v>149</v>
      </c>
      <c r="T110" s="12" t="n">
        <v>324</v>
      </c>
      <c r="U110" s="12" t="n">
        <v>362</v>
      </c>
      <c r="V110" s="12" t="n">
        <v>363</v>
      </c>
      <c r="W110" s="12" t="n">
        <v>389</v>
      </c>
      <c r="X110" s="12" t="n">
        <v>363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G111" s="17">
        <f>IF(OR(G110="",C110=""),"",IF(C110&lt;=0,"",IFERROR(G110/C110-1,"")))</f>
        <v/>
      </c>
      <c r="H111" s="17">
        <f>IF(OR(H110="",D110=""),"",IF(D110&lt;=0,"",IFERROR(H110/D110-1,"")))</f>
        <v/>
      </c>
      <c r="I111" s="17">
        <f>IF(OR(I110="",E110=""),"",IF(E110&lt;=0,"",IFERROR(I110/E110-1,"")))</f>
        <v/>
      </c>
      <c r="J111" s="17">
        <f>IF(OR(J110="",F110=""),"",IF(F110&lt;=0,"",IFERROR(J110/F110-1,"")))</f>
        <v/>
      </c>
      <c r="K111" s="17">
        <f>IF(OR(K110="",G110=""),"",IF(G110&lt;=0,"",IFERROR(K110/G110-1,"")))</f>
        <v/>
      </c>
      <c r="L111" s="17">
        <f>IF(OR(L110="",H110=""),"",IF(H110&lt;=0,"",IFERROR(L110/H110-1,"")))</f>
        <v/>
      </c>
      <c r="M111" s="17">
        <f>IF(OR(M110="",I110=""),"",IF(I110&lt;=0,"",IFERROR(M110/I110-1,"")))</f>
        <v/>
      </c>
      <c r="N111" s="17">
        <f>IF(OR(N110="",J110=""),"",IF(J110&lt;=0,"",IFERROR(N110/J110-1,"")))</f>
        <v/>
      </c>
      <c r="T111" s="17">
        <f>IF(OR(T110="",S110=""),"",IF(S110&lt;=0,"",IFERROR(T110/S110-1,"")))</f>
        <v/>
      </c>
      <c r="U111" s="17">
        <f>IF(OR(U110="",T110=""),"",IF(T110&lt;=0,"",IFERROR(U110/T110-1,"")))</f>
        <v/>
      </c>
      <c r="V111" s="17">
        <f>IF(OR(V110="",U110=""),"",IF(U110&lt;=0,"",IFERROR(V110/U110-1,"")))</f>
        <v/>
      </c>
      <c r="W111" s="17">
        <f>IF(OR(W110="",V110=""),"",IF(V110&lt;=0,"",IFERROR(W110/V110-1,"")))</f>
        <v/>
      </c>
      <c r="X111" s="17">
        <f>IF(OR(X110="",W110=""),"",IF(W110&lt;=0,"",IFERROR(X110/W110-1,"")))</f>
        <v/>
      </c>
    </row>
    <row r="113">
      <c r="A113" s="18" t="inlineStr">
        <is>
          <t>포괄손익 · 전 항목</t>
        </is>
      </c>
      <c r="B113" s="44" t="inlineStr">
        <is>
          <t>분기 = 3개월 단독</t>
        </is>
      </c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  <c r="AA113" s="18" t="n"/>
      <c r="AB113" s="18" t="n"/>
      <c r="AC113" s="18" t="n"/>
    </row>
    <row r="114">
      <c r="A114" s="5" t="inlineStr">
        <is>
          <t>항목</t>
        </is>
      </c>
      <c r="B114" s="5" t="inlineStr">
        <is>
          <t>참고</t>
        </is>
      </c>
      <c r="C114" s="5" t="inlineStr">
        <is>
          <t>2024.2Q</t>
        </is>
      </c>
      <c r="D114" s="5" t="inlineStr">
        <is>
          <t>2024.3Q</t>
        </is>
      </c>
      <c r="E114" s="5" t="inlineStr">
        <is>
          <t>2024.4Q</t>
        </is>
      </c>
      <c r="F114" s="5" t="inlineStr">
        <is>
          <t>2025.1Q</t>
        </is>
      </c>
      <c r="G114" s="5" t="inlineStr">
        <is>
          <t>2025.2Q</t>
        </is>
      </c>
      <c r="H114" s="5" t="inlineStr">
        <is>
          <t>2025.3Q</t>
        </is>
      </c>
      <c r="I114" s="5" t="inlineStr">
        <is>
          <t>2025.4Q</t>
        </is>
      </c>
      <c r="J114" s="5" t="inlineStr">
        <is>
          <t>2026.1Q</t>
        </is>
      </c>
      <c r="K114" s="5" t="inlineStr">
        <is>
          <t>2026.2Q</t>
        </is>
      </c>
      <c r="L114" s="5" t="inlineStr">
        <is>
          <t>2026.3Q</t>
        </is>
      </c>
      <c r="M114" s="5" t="inlineStr">
        <is>
          <t>2026.4Q</t>
        </is>
      </c>
      <c r="N114" s="5" t="inlineStr">
        <is>
          <t>2027.1Q</t>
        </is>
      </c>
      <c r="O114" s="5" t="inlineStr">
        <is>
          <t>2017</t>
        </is>
      </c>
      <c r="P114" s="5" t="inlineStr">
        <is>
          <t>2018</t>
        </is>
      </c>
      <c r="Q114" s="5" t="inlineStr">
        <is>
          <t>2019</t>
        </is>
      </c>
      <c r="R114" s="5" t="inlineStr">
        <is>
          <t>2020</t>
        </is>
      </c>
      <c r="S114" s="5" t="inlineStr">
        <is>
          <t>2021</t>
        </is>
      </c>
      <c r="T114" s="5" t="inlineStr">
        <is>
          <t>2022</t>
        </is>
      </c>
      <c r="U114" s="5" t="inlineStr">
        <is>
          <t>2023</t>
        </is>
      </c>
      <c r="V114" s="5" t="inlineStr">
        <is>
          <t>2024</t>
        </is>
      </c>
      <c r="W114" s="5" t="inlineStr">
        <is>
          <t>2025</t>
        </is>
      </c>
      <c r="X114" s="5" t="inlineStr">
        <is>
          <t>2026</t>
        </is>
      </c>
      <c r="Y114" s="5" t="inlineStr">
        <is>
          <t>2027(MW)</t>
        </is>
      </c>
      <c r="Z114" s="5" t="inlineStr">
        <is>
          <t>2028(MW)</t>
        </is>
      </c>
      <c r="AA114" s="5" t="inlineStr">
        <is>
          <t>2029(MW)</t>
        </is>
      </c>
      <c r="AB114" s="5" t="inlineStr">
        <is>
          <t>2030(MW)</t>
        </is>
      </c>
      <c r="AC114" s="5" t="inlineStr">
        <is>
          <t>2031(MW)</t>
        </is>
      </c>
    </row>
    <row r="115">
      <c r="A115" s="9" t="inlineStr">
        <is>
          <t>순이익</t>
        </is>
      </c>
      <c r="C115" s="12" t="n">
        <v>286</v>
      </c>
      <c r="D115" s="12" t="n">
        <v>339</v>
      </c>
      <c r="E115" s="12" t="n">
        <v>363</v>
      </c>
      <c r="F115" s="12" t="n">
        <v>207</v>
      </c>
      <c r="G115" s="12" t="n">
        <v>347</v>
      </c>
      <c r="H115" s="12" t="n">
        <v>350</v>
      </c>
      <c r="I115" s="12" t="n">
        <v>389</v>
      </c>
      <c r="J115" s="12" t="n">
        <v>161</v>
      </c>
      <c r="K115" s="12" t="n">
        <v>311</v>
      </c>
      <c r="L115" s="12" t="n">
        <v>306</v>
      </c>
      <c r="M115" s="12" t="n">
        <v>363</v>
      </c>
      <c r="N115" s="12" t="n">
        <v>149</v>
      </c>
      <c r="T115" s="12" t="n">
        <v>324</v>
      </c>
      <c r="U115" s="12" t="n">
        <v>362</v>
      </c>
      <c r="V115" s="12" t="n">
        <v>363</v>
      </c>
      <c r="W115" s="12" t="n">
        <v>389</v>
      </c>
      <c r="X115" s="12" t="n">
        <v>363</v>
      </c>
    </row>
    <row r="116">
      <c r="A116" s="20" t="inlineStr">
        <is>
          <t>기타유가증권 평가차액</t>
        </is>
      </c>
      <c r="C116" s="22" t="n">
        <v>-1</v>
      </c>
      <c r="D116" s="22" t="n">
        <v>0</v>
      </c>
      <c r="E116" s="22" t="n">
        <v>1</v>
      </c>
      <c r="F116" s="22" t="n">
        <v>-1</v>
      </c>
      <c r="G116" s="22" t="n">
        <v>0</v>
      </c>
      <c r="H116" s="22" t="n">
        <v>-1</v>
      </c>
      <c r="I116" s="22" t="n">
        <v>0</v>
      </c>
      <c r="J116" s="22" t="n">
        <v>0</v>
      </c>
      <c r="K116" s="22" t="n">
        <v>0</v>
      </c>
      <c r="L116" s="22" t="n">
        <v>1</v>
      </c>
      <c r="M116" s="22" t="n">
        <v>-1</v>
      </c>
      <c r="N116" s="22" t="n">
        <v>1</v>
      </c>
      <c r="T116" s="22" t="n">
        <v>1</v>
      </c>
      <c r="U116" s="22" t="n">
        <v>0</v>
      </c>
      <c r="V116" s="22" t="n">
        <v>1</v>
      </c>
      <c r="W116" s="22" t="n">
        <v>0</v>
      </c>
      <c r="X116" s="22" t="n">
        <v>-1</v>
      </c>
    </row>
    <row r="117">
      <c r="A117" s="20" t="inlineStr">
        <is>
          <t>퇴직급여 조정액</t>
        </is>
      </c>
      <c r="C117" s="22" t="n">
        <v>6</v>
      </c>
      <c r="D117" s="22" t="n">
        <v>5</v>
      </c>
      <c r="E117" s="22" t="n">
        <v>22</v>
      </c>
      <c r="F117" s="22" t="n">
        <v>-4</v>
      </c>
      <c r="G117" s="22" t="n">
        <v>-4</v>
      </c>
      <c r="H117" s="22" t="n">
        <v>-4</v>
      </c>
      <c r="I117" s="22" t="n">
        <v>37</v>
      </c>
      <c r="J117" s="22" t="n">
        <v>-10</v>
      </c>
      <c r="K117" s="22" t="n">
        <v>-11</v>
      </c>
      <c r="L117" s="22" t="n">
        <v>-10</v>
      </c>
      <c r="M117" s="22" t="n">
        <v>-44</v>
      </c>
      <c r="N117" s="22" t="n">
        <v>9</v>
      </c>
      <c r="T117" s="22" t="n">
        <v>-9</v>
      </c>
      <c r="U117" s="22" t="n">
        <v>-20</v>
      </c>
      <c r="V117" s="22" t="n">
        <v>22</v>
      </c>
      <c r="W117" s="22" t="n">
        <v>37</v>
      </c>
      <c r="X117" s="22" t="n">
        <v>-44</v>
      </c>
    </row>
    <row r="118">
      <c r="A118" s="20" t="inlineStr">
        <is>
          <t>기타포괄손익 합계</t>
        </is>
      </c>
      <c r="C118" s="22" t="n">
        <v>4</v>
      </c>
      <c r="D118" s="22" t="n">
        <v>5</v>
      </c>
      <c r="E118" s="22" t="n">
        <v>22</v>
      </c>
      <c r="F118" s="22" t="n">
        <v>-5</v>
      </c>
      <c r="G118" s="22" t="n">
        <v>-4</v>
      </c>
      <c r="H118" s="22" t="n">
        <v>-5</v>
      </c>
      <c r="I118" s="22" t="n">
        <v>37</v>
      </c>
      <c r="J118" s="22" t="n">
        <v>-10</v>
      </c>
      <c r="K118" s="22" t="n">
        <v>-10</v>
      </c>
      <c r="L118" s="22" t="n">
        <v>-10</v>
      </c>
      <c r="M118" s="22" t="n">
        <v>-45</v>
      </c>
      <c r="N118" s="22" t="n">
        <v>9</v>
      </c>
      <c r="T118" s="22" t="n">
        <v>-9</v>
      </c>
      <c r="U118" s="22" t="n">
        <v>-20</v>
      </c>
      <c r="V118" s="22" t="n">
        <v>22</v>
      </c>
      <c r="W118" s="22" t="n">
        <v>37</v>
      </c>
      <c r="X118" s="22" t="n">
        <v>-45</v>
      </c>
    </row>
    <row r="119">
      <c r="A119" s="9" t="inlineStr">
        <is>
          <t>포괄이익</t>
        </is>
      </c>
      <c r="C119" s="12" t="n">
        <v>291</v>
      </c>
      <c r="D119" s="12" t="n">
        <v>343</v>
      </c>
      <c r="E119" s="12" t="n">
        <v>386</v>
      </c>
      <c r="F119" s="12" t="n">
        <v>202</v>
      </c>
      <c r="G119" s="12" t="n">
        <v>343</v>
      </c>
      <c r="H119" s="12" t="n">
        <v>345</v>
      </c>
      <c r="I119" s="12" t="n">
        <v>426</v>
      </c>
      <c r="J119" s="12" t="n">
        <v>151</v>
      </c>
      <c r="K119" s="12" t="n">
        <v>301</v>
      </c>
      <c r="L119" s="12" t="n">
        <v>296</v>
      </c>
      <c r="M119" s="12" t="n">
        <v>318</v>
      </c>
      <c r="N119" s="12" t="n">
        <v>159</v>
      </c>
      <c r="T119" s="12" t="n">
        <v>316</v>
      </c>
      <c r="U119" s="12" t="n">
        <v>342</v>
      </c>
      <c r="V119" s="12" t="n">
        <v>386</v>
      </c>
      <c r="W119" s="12" t="n">
        <v>426</v>
      </c>
      <c r="X119" s="12" t="n">
        <v>318</v>
      </c>
    </row>
    <row r="120">
      <c r="A120" s="9" t="inlineStr">
        <is>
          <t>지배주주 포괄이익</t>
        </is>
      </c>
      <c r="C120" s="12" t="n">
        <v>291</v>
      </c>
      <c r="D120" s="12" t="n">
        <v>343</v>
      </c>
      <c r="E120" s="12" t="n">
        <v>386</v>
      </c>
      <c r="F120" s="12" t="n">
        <v>202</v>
      </c>
      <c r="G120" s="12" t="n">
        <v>343</v>
      </c>
      <c r="H120" s="12" t="n">
        <v>345</v>
      </c>
      <c r="I120" s="12" t="n">
        <v>426</v>
      </c>
      <c r="J120" s="12" t="n">
        <v>151</v>
      </c>
      <c r="K120" s="12" t="n">
        <v>301</v>
      </c>
      <c r="L120" s="12" t="n">
        <v>296</v>
      </c>
      <c r="M120" s="12" t="n">
        <v>318</v>
      </c>
      <c r="N120" s="12" t="n">
        <v>159</v>
      </c>
      <c r="T120" s="12" t="n">
        <v>316</v>
      </c>
      <c r="U120" s="12" t="n">
        <v>342</v>
      </c>
      <c r="V120" s="12" t="n">
        <v>386</v>
      </c>
      <c r="W120" s="12" t="n">
        <v>426</v>
      </c>
      <c r="X120" s="12" t="n">
        <v>318</v>
      </c>
    </row>
    <row r="121">
      <c r="A121" s="9" t="inlineStr">
        <is>
          <t>비지배주주 포괄이익</t>
        </is>
      </c>
      <c r="C121" s="12" t="n">
        <v>0</v>
      </c>
      <c r="D121" s="12" t="n">
        <v>0</v>
      </c>
      <c r="E121" s="12" t="n">
        <v>0</v>
      </c>
      <c r="F121" s="12" t="n">
        <v>0</v>
      </c>
      <c r="G121" s="12" t="n">
        <v>0</v>
      </c>
      <c r="H121" s="12" t="n">
        <v>0</v>
      </c>
      <c r="I121" s="12" t="n">
        <v>0</v>
      </c>
      <c r="J121" s="12" t="n">
        <v>0</v>
      </c>
      <c r="K121" s="12" t="n">
        <v>0</v>
      </c>
      <c r="L121" s="12" t="n">
        <v>0</v>
      </c>
      <c r="M121" s="12" t="n">
        <v>0</v>
      </c>
      <c r="N121" s="12" t="n">
        <v>0</v>
      </c>
      <c r="T121" s="12" t="n">
        <v>0</v>
      </c>
      <c r="U121" s="12" t="n">
        <v>0</v>
      </c>
      <c r="V121" s="12" t="n">
        <v>0</v>
      </c>
      <c r="W121" s="12" t="n">
        <v>0</v>
      </c>
      <c r="X121" s="12" t="n">
        <v>0</v>
      </c>
    </row>
    <row r="123">
      <c r="A123" s="18" t="inlineStr">
        <is>
          <t>현금흐름표 · 전 항목</t>
        </is>
      </c>
      <c r="B123" s="44" t="inlineStr">
        <is>
          <t>분기 = 결산기 첫날부터 누계(공시 그대로)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2024.2Q</t>
        </is>
      </c>
      <c r="D124" s="5" t="inlineStr">
        <is>
          <t>2024.3Q</t>
        </is>
      </c>
      <c r="E124" s="5" t="inlineStr">
        <is>
          <t>2024.4Q</t>
        </is>
      </c>
      <c r="F124" s="5" t="inlineStr">
        <is>
          <t>2025.1Q</t>
        </is>
      </c>
      <c r="G124" s="5" t="inlineStr">
        <is>
          <t>2025.2Q</t>
        </is>
      </c>
      <c r="H124" s="5" t="inlineStr">
        <is>
          <t>2025.3Q</t>
        </is>
      </c>
      <c r="I124" s="5" t="inlineStr">
        <is>
          <t>2025.4Q</t>
        </is>
      </c>
      <c r="J124" s="5" t="inlineStr">
        <is>
          <t>2026.1Q</t>
        </is>
      </c>
      <c r="K124" s="5" t="inlineStr">
        <is>
          <t>2026.2Q</t>
        </is>
      </c>
      <c r="L124" s="5" t="inlineStr">
        <is>
          <t>2026.3Q</t>
        </is>
      </c>
      <c r="M124" s="5" t="inlineStr">
        <is>
          <t>2026.4Q</t>
        </is>
      </c>
      <c r="N124" s="5" t="inlineStr">
        <is>
          <t>2027.1Q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법인세차감전 순이익</t>
        </is>
      </c>
      <c r="C125" s="12" t="n">
        <v>705</v>
      </c>
      <c r="D125" s="12" t="n">
        <v>1202</v>
      </c>
      <c r="E125" s="12" t="n">
        <v>1730</v>
      </c>
      <c r="F125" s="12" t="n">
        <v>303</v>
      </c>
      <c r="G125" s="12" t="n">
        <v>811</v>
      </c>
      <c r="H125" s="12" t="n">
        <v>1324</v>
      </c>
      <c r="I125" s="12" t="n">
        <v>1821</v>
      </c>
      <c r="J125" s="12" t="n">
        <v>237</v>
      </c>
      <c r="K125" s="12" t="n">
        <v>697</v>
      </c>
      <c r="L125" s="12" t="n">
        <v>1148</v>
      </c>
      <c r="M125" s="12" t="n">
        <v>1583</v>
      </c>
      <c r="O125" s="12" t="n">
        <v>985</v>
      </c>
      <c r="P125" s="12" t="n">
        <v>982</v>
      </c>
      <c r="Q125" s="12" t="n">
        <v>993</v>
      </c>
      <c r="R125" s="12" t="n">
        <v>1017</v>
      </c>
      <c r="S125" s="12" t="n">
        <v>1369</v>
      </c>
      <c r="T125" s="12" t="n">
        <v>1719</v>
      </c>
      <c r="U125" s="12" t="n">
        <v>1844</v>
      </c>
      <c r="V125" s="12" t="n">
        <v>1730</v>
      </c>
      <c r="W125" s="12" t="n">
        <v>1821</v>
      </c>
      <c r="X125" s="12" t="n">
        <v>1583</v>
      </c>
    </row>
    <row r="126">
      <c r="A126" s="20" t="inlineStr">
        <is>
          <t>감가상각비</t>
        </is>
      </c>
      <c r="C126" s="22" t="n">
        <v>20</v>
      </c>
      <c r="D126" s="22" t="n">
        <v>29</v>
      </c>
      <c r="E126" s="22" t="n">
        <v>38</v>
      </c>
      <c r="F126" s="22" t="n">
        <v>4</v>
      </c>
      <c r="G126" s="22" t="n">
        <v>9</v>
      </c>
      <c r="H126" s="22" t="n">
        <v>14</v>
      </c>
      <c r="I126" s="22" t="n">
        <v>18</v>
      </c>
      <c r="J126" s="22" t="n">
        <v>4</v>
      </c>
      <c r="K126" s="22" t="n">
        <v>9</v>
      </c>
      <c r="L126" s="22" t="n">
        <v>14</v>
      </c>
      <c r="M126" s="22" t="n">
        <v>22</v>
      </c>
      <c r="O126" s="22" t="n">
        <v>37</v>
      </c>
      <c r="P126" s="22" t="n">
        <v>34</v>
      </c>
      <c r="Q126" s="22" t="n">
        <v>28</v>
      </c>
      <c r="R126" s="22" t="n">
        <v>42</v>
      </c>
      <c r="S126" s="22" t="n">
        <v>42</v>
      </c>
      <c r="T126" s="22" t="n">
        <v>51</v>
      </c>
      <c r="U126" s="22" t="n">
        <v>45</v>
      </c>
      <c r="V126" s="22" t="n">
        <v>38</v>
      </c>
      <c r="W126" s="22" t="n">
        <v>18</v>
      </c>
      <c r="X126" s="22" t="n">
        <v>22</v>
      </c>
    </row>
    <row r="127">
      <c r="A127" s="20" t="inlineStr">
        <is>
          <t>상여충당금 증감</t>
        </is>
      </c>
      <c r="C127" s="22" t="n">
        <v>18</v>
      </c>
      <c r="D127" s="22" t="n">
        <v>-320</v>
      </c>
      <c r="E127" s="22" t="n">
        <v>-23</v>
      </c>
      <c r="F127" s="22" t="n">
        <v>-291</v>
      </c>
      <c r="G127" s="22" t="n">
        <v>36</v>
      </c>
      <c r="H127" s="22" t="n">
        <v>-302</v>
      </c>
      <c r="I127" s="22" t="n">
        <v>82</v>
      </c>
      <c r="J127" s="22" t="n">
        <v>-348</v>
      </c>
      <c r="K127" s="22" t="n">
        <v>-19</v>
      </c>
      <c r="L127" s="22" t="n">
        <v>-362</v>
      </c>
      <c r="M127" s="22" t="n">
        <v>-30</v>
      </c>
      <c r="O127" s="22" t="n">
        <v>-10</v>
      </c>
      <c r="P127" s="22" t="n">
        <v>16</v>
      </c>
      <c r="Q127" s="22" t="n">
        <v>30</v>
      </c>
      <c r="R127" s="22" t="n">
        <v>-1</v>
      </c>
      <c r="S127" s="22" t="n">
        <v>59</v>
      </c>
      <c r="T127" s="22" t="n">
        <v>89</v>
      </c>
      <c r="U127" s="22" t="n">
        <v>-107</v>
      </c>
      <c r="V127" s="22" t="n">
        <v>-23</v>
      </c>
      <c r="W127" s="22" t="n">
        <v>82</v>
      </c>
      <c r="X127" s="22" t="n">
        <v>-30</v>
      </c>
    </row>
    <row r="128">
      <c r="A128" s="20" t="inlineStr">
        <is>
          <t>임원 상여충당금 증감</t>
        </is>
      </c>
      <c r="C128" s="22" t="n">
        <v>-15</v>
      </c>
      <c r="D128" s="22" t="n">
        <v>-12</v>
      </c>
      <c r="E128" s="22" t="n">
        <v>-4</v>
      </c>
      <c r="F128" s="22" t="n">
        <v>-16</v>
      </c>
      <c r="G128" s="22" t="n">
        <v>-1</v>
      </c>
      <c r="H128" s="22" t="n">
        <v>12</v>
      </c>
      <c r="I128" s="22" t="n">
        <v>26</v>
      </c>
      <c r="J128" s="22" t="n">
        <v>-39</v>
      </c>
      <c r="K128" s="22" t="n">
        <v>-26</v>
      </c>
      <c r="L128" s="22" t="n">
        <v>-15</v>
      </c>
      <c r="M128" s="22" t="n">
        <v>-5</v>
      </c>
      <c r="O128" s="22" t="n">
        <v>4</v>
      </c>
      <c r="P128" s="22" t="n">
        <v>2</v>
      </c>
      <c r="Q128" s="22" t="n">
        <v>0</v>
      </c>
      <c r="R128" s="22" t="n">
        <v>-4</v>
      </c>
      <c r="S128" s="22" t="n">
        <v>13</v>
      </c>
      <c r="T128" s="22" t="n">
        <v>1</v>
      </c>
      <c r="U128" s="22" t="n">
        <v>-4</v>
      </c>
      <c r="V128" s="22" t="n">
        <v>-4</v>
      </c>
      <c r="W128" s="22" t="n">
        <v>26</v>
      </c>
      <c r="X128" s="22" t="n">
        <v>-5</v>
      </c>
    </row>
    <row r="129">
      <c r="A129" s="20" t="inlineStr">
        <is>
          <t>수주손실 충당금 증감</t>
        </is>
      </c>
      <c r="I129" s="22" t="n">
        <v>0</v>
      </c>
      <c r="M129" s="22" t="n">
        <v>25</v>
      </c>
      <c r="O129" s="22" t="n">
        <v>0</v>
      </c>
      <c r="P129" s="22" t="n">
        <v>4</v>
      </c>
      <c r="Q129" s="22" t="n">
        <v>10</v>
      </c>
      <c r="R129" s="22" t="n">
        <v>-14</v>
      </c>
      <c r="S129" s="22" t="n">
        <v>0</v>
      </c>
      <c r="W129" s="22" t="n">
        <v>0</v>
      </c>
      <c r="X129" s="22" t="n">
        <v>25</v>
      </c>
    </row>
    <row r="130">
      <c r="A130" s="20" t="inlineStr">
        <is>
          <t>퇴직급여부채 증감</t>
        </is>
      </c>
      <c r="C130" s="22" t="n">
        <v>20</v>
      </c>
      <c r="D130" s="22" t="n">
        <v>27</v>
      </c>
      <c r="E130" s="22" t="n">
        <v>35</v>
      </c>
      <c r="F130" s="22" t="n">
        <v>-7</v>
      </c>
      <c r="G130" s="22" t="n">
        <v>-13</v>
      </c>
      <c r="H130" s="22" t="n">
        <v>-17</v>
      </c>
      <c r="I130" s="22" t="n">
        <v>-31</v>
      </c>
      <c r="J130" s="22" t="n">
        <v>-15</v>
      </c>
      <c r="K130" s="22" t="n">
        <v>-29</v>
      </c>
      <c r="L130" s="22" t="n">
        <v>-44</v>
      </c>
      <c r="M130" s="22" t="n">
        <v>-64</v>
      </c>
      <c r="O130" s="22" t="n">
        <v>37</v>
      </c>
      <c r="P130" s="22" t="n">
        <v>37</v>
      </c>
      <c r="Q130" s="22" t="n">
        <v>56</v>
      </c>
      <c r="R130" s="22" t="n">
        <v>-9</v>
      </c>
      <c r="S130" s="22" t="n">
        <v>-43</v>
      </c>
      <c r="T130" s="22" t="n">
        <v>-26</v>
      </c>
      <c r="U130" s="22" t="n">
        <v>6</v>
      </c>
      <c r="V130" s="22" t="n">
        <v>35</v>
      </c>
      <c r="W130" s="22" t="n">
        <v>-31</v>
      </c>
      <c r="X130" s="22" t="n">
        <v>-64</v>
      </c>
    </row>
    <row r="131">
      <c r="A131" s="20" t="inlineStr">
        <is>
          <t>매출채권 증감</t>
        </is>
      </c>
      <c r="C131" s="22" t="n">
        <v>-36</v>
      </c>
      <c r="D131" s="22" t="n">
        <v>56</v>
      </c>
      <c r="E131" s="22" t="n">
        <v>-25</v>
      </c>
      <c r="F131" s="22" t="n">
        <v>28</v>
      </c>
      <c r="G131" s="22" t="n">
        <v>-135</v>
      </c>
      <c r="H131" s="22" t="n">
        <v>-233</v>
      </c>
      <c r="I131" s="22" t="n">
        <v>-540</v>
      </c>
      <c r="J131" s="22" t="n">
        <v>553</v>
      </c>
      <c r="K131" s="22" t="n">
        <v>478</v>
      </c>
      <c r="L131" s="22" t="n">
        <v>384</v>
      </c>
      <c r="M131" s="22" t="n">
        <v>296</v>
      </c>
      <c r="O131" s="22" t="n">
        <v>-544</v>
      </c>
      <c r="P131" s="22" t="n">
        <v>-198</v>
      </c>
      <c r="Q131" s="22" t="n">
        <v>243</v>
      </c>
      <c r="R131" s="22" t="n">
        <v>-75</v>
      </c>
      <c r="S131" s="22" t="n">
        <v>-251</v>
      </c>
      <c r="T131" s="22" t="n">
        <v>-420</v>
      </c>
      <c r="U131" s="22" t="n">
        <v>355</v>
      </c>
      <c r="V131" s="22" t="n">
        <v>-25</v>
      </c>
      <c r="W131" s="22" t="n">
        <v>-540</v>
      </c>
      <c r="X131" s="22" t="n">
        <v>296</v>
      </c>
    </row>
    <row r="132">
      <c r="A132" s="20" t="inlineStr">
        <is>
          <t>선수금 증감</t>
        </is>
      </c>
      <c r="O132" s="22" t="n">
        <v>0</v>
      </c>
      <c r="P132" s="22" t="n">
        <v>-7</v>
      </c>
      <c r="Q132" s="22" t="n">
        <v>141</v>
      </c>
      <c r="R132" s="22" t="n">
        <v>-130</v>
      </c>
      <c r="S132" s="22" t="n">
        <v>11</v>
      </c>
      <c r="T132" s="22" t="n">
        <v>5</v>
      </c>
      <c r="U132" s="22" t="n">
        <v>-8</v>
      </c>
    </row>
    <row r="133">
      <c r="A133" s="20" t="inlineStr">
        <is>
          <t>재고자산 증감</t>
        </is>
      </c>
      <c r="C133" s="22" t="n">
        <v>-67</v>
      </c>
      <c r="D133" s="22" t="n">
        <v>-38</v>
      </c>
      <c r="E133" s="22" t="n">
        <v>13</v>
      </c>
      <c r="F133" s="22" t="n">
        <v>-46</v>
      </c>
      <c r="G133" s="22" t="n">
        <v>-55</v>
      </c>
      <c r="H133" s="22" t="n">
        <v>-97</v>
      </c>
      <c r="I133" s="22" t="n">
        <v>7</v>
      </c>
      <c r="J133" s="22" t="n">
        <v>-35</v>
      </c>
      <c r="K133" s="22" t="n">
        <v>-31</v>
      </c>
      <c r="L133" s="22" t="n">
        <v>-61</v>
      </c>
      <c r="M133" s="22" t="n">
        <v>-28</v>
      </c>
      <c r="O133" s="22" t="n">
        <v>-33</v>
      </c>
      <c r="P133" s="22" t="n">
        <v>24</v>
      </c>
      <c r="Q133" s="22" t="n">
        <v>-46</v>
      </c>
      <c r="R133" s="22" t="n">
        <v>50</v>
      </c>
      <c r="S133" s="22" t="n">
        <v>18</v>
      </c>
      <c r="T133" s="22" t="n">
        <v>-36</v>
      </c>
      <c r="U133" s="22" t="n">
        <v>30</v>
      </c>
      <c r="V133" s="22" t="n">
        <v>13</v>
      </c>
      <c r="W133" s="22" t="n">
        <v>7</v>
      </c>
      <c r="X133" s="22" t="n">
        <v>-28</v>
      </c>
    </row>
    <row r="134">
      <c r="A134" s="20" t="inlineStr">
        <is>
          <t>매입채무 증감</t>
        </is>
      </c>
      <c r="C134" s="22" t="n">
        <v>-3</v>
      </c>
      <c r="D134" s="22" t="n">
        <v>-26</v>
      </c>
      <c r="E134" s="22" t="n">
        <v>-29</v>
      </c>
      <c r="F134" s="22" t="n">
        <v>22</v>
      </c>
      <c r="G134" s="22" t="n">
        <v>35</v>
      </c>
      <c r="H134" s="22" t="n">
        <v>80</v>
      </c>
      <c r="I134" s="22" t="n">
        <v>84</v>
      </c>
      <c r="J134" s="22" t="n">
        <v>-32</v>
      </c>
      <c r="K134" s="22" t="n">
        <v>-63</v>
      </c>
      <c r="L134" s="22" t="n">
        <v>-40</v>
      </c>
      <c r="M134" s="22" t="n">
        <v>32</v>
      </c>
      <c r="O134" s="22" t="n">
        <v>43</v>
      </c>
      <c r="P134" s="22" t="n">
        <v>79</v>
      </c>
      <c r="Q134" s="22" t="n">
        <v>119</v>
      </c>
      <c r="R134" s="22" t="n">
        <v>-33</v>
      </c>
      <c r="S134" s="22" t="n">
        <v>6</v>
      </c>
      <c r="T134" s="22" t="n">
        <v>146</v>
      </c>
      <c r="U134" s="22" t="n">
        <v>-84</v>
      </c>
      <c r="V134" s="22" t="n">
        <v>-29</v>
      </c>
      <c r="W134" s="22" t="n">
        <v>84</v>
      </c>
      <c r="X134" s="22" t="n">
        <v>32</v>
      </c>
    </row>
    <row r="135">
      <c r="A135" s="20" t="inlineStr">
        <is>
          <t>이자·배당금 수익</t>
        </is>
      </c>
      <c r="C135" s="22" t="n">
        <v>-0</v>
      </c>
      <c r="D135" s="22" t="n">
        <v>-0</v>
      </c>
      <c r="E135" s="22" t="n">
        <v>-0</v>
      </c>
      <c r="F135" s="22" t="n">
        <v>-0</v>
      </c>
      <c r="G135" s="22" t="n">
        <v>-0</v>
      </c>
      <c r="H135" s="22" t="n">
        <v>-0</v>
      </c>
      <c r="I135" s="22" t="n">
        <v>-1</v>
      </c>
      <c r="J135" s="22" t="n">
        <v>-0</v>
      </c>
      <c r="K135" s="22" t="n">
        <v>-3</v>
      </c>
      <c r="L135" s="22" t="n">
        <v>-4</v>
      </c>
      <c r="M135" s="22" t="n">
        <v>-5</v>
      </c>
      <c r="O135" s="22" t="n">
        <v>-1</v>
      </c>
      <c r="P135" s="22" t="n">
        <v>-1</v>
      </c>
      <c r="Q135" s="22" t="n">
        <v>-0</v>
      </c>
      <c r="R135" s="22" t="n">
        <v>-1</v>
      </c>
      <c r="S135" s="22" t="n">
        <v>-0</v>
      </c>
      <c r="T135" s="22" t="n">
        <v>-0</v>
      </c>
      <c r="U135" s="22" t="n">
        <v>-0</v>
      </c>
      <c r="V135" s="22" t="n">
        <v>-0</v>
      </c>
      <c r="W135" s="22" t="n">
        <v>-1</v>
      </c>
      <c r="X135" s="22" t="n">
        <v>-5</v>
      </c>
    </row>
    <row r="136">
      <c r="A136" s="20" t="inlineStr">
        <is>
          <t>투자유가증권 매각손익</t>
        </is>
      </c>
      <c r="O136" s="22" t="n">
        <v>-15</v>
      </c>
      <c r="P136" s="22" t="n">
        <v>0</v>
      </c>
    </row>
    <row r="137">
      <c r="A137" s="20" t="inlineStr">
        <is>
          <t>기타</t>
        </is>
      </c>
      <c r="C137" s="22" t="n">
        <v>91</v>
      </c>
      <c r="D137" s="22" t="n">
        <v>247</v>
      </c>
      <c r="E137" s="22" t="n">
        <v>165</v>
      </c>
      <c r="F137" s="22" t="n">
        <v>220</v>
      </c>
      <c r="G137" s="22" t="n">
        <v>-187</v>
      </c>
      <c r="H137" s="22" t="n">
        <v>208</v>
      </c>
      <c r="I137" s="22" t="n">
        <v>-119</v>
      </c>
      <c r="J137" s="22" t="n">
        <v>400</v>
      </c>
      <c r="K137" s="22" t="n">
        <v>-21</v>
      </c>
      <c r="L137" s="22" t="n">
        <v>357</v>
      </c>
      <c r="M137" s="22" t="n">
        <v>112</v>
      </c>
      <c r="O137" s="22" t="n">
        <v>-76</v>
      </c>
      <c r="P137" s="22" t="n">
        <v>-9</v>
      </c>
      <c r="Q137" s="22" t="n">
        <v>-38</v>
      </c>
      <c r="R137" s="22" t="n">
        <v>-82</v>
      </c>
      <c r="S137" s="22" t="n">
        <v>101</v>
      </c>
      <c r="T137" s="22" t="n">
        <v>-45</v>
      </c>
      <c r="U137" s="22" t="n">
        <v>81</v>
      </c>
      <c r="V137" s="22" t="n">
        <v>165</v>
      </c>
      <c r="W137" s="22" t="n">
        <v>-119</v>
      </c>
      <c r="X137" s="22" t="n">
        <v>112</v>
      </c>
    </row>
    <row r="138">
      <c r="A138" s="20" t="inlineStr">
        <is>
          <t>소계</t>
        </is>
      </c>
      <c r="C138" s="22" t="n">
        <v>733</v>
      </c>
      <c r="D138" s="22" t="n">
        <v>1166</v>
      </c>
      <c r="E138" s="22" t="n">
        <v>1900</v>
      </c>
      <c r="F138" s="22" t="n">
        <v>217</v>
      </c>
      <c r="G138" s="22" t="n">
        <v>499</v>
      </c>
      <c r="H138" s="22" t="n">
        <v>988</v>
      </c>
      <c r="I138" s="22" t="n">
        <v>1348</v>
      </c>
      <c r="J138" s="22" t="n">
        <v>726</v>
      </c>
      <c r="K138" s="22" t="n">
        <v>992</v>
      </c>
      <c r="L138" s="22" t="n">
        <v>1377</v>
      </c>
      <c r="M138" s="22" t="n">
        <v>1937</v>
      </c>
      <c r="O138" s="22" t="n">
        <v>427</v>
      </c>
      <c r="P138" s="22" t="n">
        <v>963</v>
      </c>
      <c r="Q138" s="22" t="n">
        <v>1536</v>
      </c>
      <c r="R138" s="22" t="n">
        <v>762</v>
      </c>
      <c r="S138" s="22" t="n">
        <v>1327</v>
      </c>
      <c r="T138" s="22" t="n">
        <v>1484</v>
      </c>
      <c r="U138" s="22" t="n">
        <v>2165</v>
      </c>
      <c r="V138" s="22" t="n">
        <v>1900</v>
      </c>
      <c r="W138" s="22" t="n">
        <v>1348</v>
      </c>
      <c r="X138" s="22" t="n">
        <v>1937</v>
      </c>
    </row>
    <row r="139">
      <c r="A139" s="20" t="inlineStr">
        <is>
          <t>이자·배당금 수취</t>
        </is>
      </c>
      <c r="C139" s="22" t="n">
        <v>0</v>
      </c>
      <c r="D139" s="22" t="n">
        <v>0</v>
      </c>
      <c r="E139" s="22" t="n">
        <v>0</v>
      </c>
      <c r="F139" s="22" t="n">
        <v>0</v>
      </c>
      <c r="G139" s="22" t="n">
        <v>0</v>
      </c>
      <c r="H139" s="22" t="n">
        <v>0</v>
      </c>
      <c r="I139" s="22" t="n">
        <v>1</v>
      </c>
      <c r="J139" s="22" t="n">
        <v>0</v>
      </c>
      <c r="K139" s="22" t="n">
        <v>1</v>
      </c>
      <c r="L139" s="22" t="n">
        <v>2</v>
      </c>
      <c r="M139" s="22" t="n">
        <v>5</v>
      </c>
      <c r="O139" s="22" t="n">
        <v>2</v>
      </c>
      <c r="P139" s="22" t="n">
        <v>1</v>
      </c>
      <c r="Q139" s="22" t="n">
        <v>1</v>
      </c>
      <c r="R139" s="22" t="n">
        <v>1</v>
      </c>
      <c r="S139" s="22" t="n">
        <v>0</v>
      </c>
      <c r="T139" s="22" t="n">
        <v>0</v>
      </c>
      <c r="U139" s="22" t="n">
        <v>0</v>
      </c>
      <c r="V139" s="22" t="n">
        <v>0</v>
      </c>
      <c r="W139" s="22" t="n">
        <v>1</v>
      </c>
      <c r="X139" s="22" t="n">
        <v>5</v>
      </c>
    </row>
    <row r="140">
      <c r="A140" s="20" t="inlineStr">
        <is>
          <t>법인세 납부</t>
        </is>
      </c>
      <c r="C140" s="22" t="n">
        <v>-251</v>
      </c>
      <c r="D140" s="22" t="n">
        <v>-512</v>
      </c>
      <c r="E140" s="22" t="n">
        <v>-512</v>
      </c>
      <c r="F140" s="22" t="n">
        <v>-301</v>
      </c>
      <c r="G140" s="22" t="n">
        <v>-301</v>
      </c>
      <c r="H140" s="22" t="n">
        <v>-582</v>
      </c>
      <c r="I140" s="22" t="n">
        <v>-582</v>
      </c>
      <c r="J140" s="22" t="n">
        <v>-281</v>
      </c>
      <c r="K140" s="22" t="n">
        <v>-281</v>
      </c>
      <c r="L140" s="22" t="n">
        <v>-563</v>
      </c>
      <c r="M140" s="22" t="n">
        <v>-563</v>
      </c>
      <c r="O140" s="22" t="n">
        <v>-263</v>
      </c>
      <c r="P140" s="22" t="n">
        <v>-266</v>
      </c>
      <c r="Q140" s="22" t="n">
        <v>-331</v>
      </c>
      <c r="R140" s="22" t="n">
        <v>-335</v>
      </c>
      <c r="S140" s="22" t="n">
        <v>-250</v>
      </c>
      <c r="T140" s="22" t="n">
        <v>-536</v>
      </c>
      <c r="U140" s="22" t="n">
        <v>-586</v>
      </c>
      <c r="V140" s="22" t="n">
        <v>-512</v>
      </c>
      <c r="W140" s="22" t="n">
        <v>-582</v>
      </c>
      <c r="X140" s="22" t="n">
        <v>-563</v>
      </c>
    </row>
    <row r="141">
      <c r="A141" s="20" t="inlineStr">
        <is>
          <t>보조금 수취</t>
        </is>
      </c>
      <c r="G141" s="22" t="n">
        <v>0</v>
      </c>
      <c r="H141" s="22" t="n">
        <v>0</v>
      </c>
      <c r="I141" s="22" t="n">
        <v>0</v>
      </c>
      <c r="K141" s="22" t="n">
        <v>10</v>
      </c>
      <c r="L141" s="22" t="n">
        <v>10</v>
      </c>
      <c r="M141" s="22" t="n">
        <v>10</v>
      </c>
      <c r="W141" s="22" t="n">
        <v>0</v>
      </c>
      <c r="X141" s="22" t="n">
        <v>10</v>
      </c>
    </row>
    <row r="142">
      <c r="A142" s="9" t="inlineStr">
        <is>
          <t>영업활동 현금흐름</t>
        </is>
      </c>
      <c r="C142" s="12" t="n">
        <v>482</v>
      </c>
      <c r="D142" s="12" t="n">
        <v>655</v>
      </c>
      <c r="E142" s="12" t="n">
        <v>1389</v>
      </c>
      <c r="F142" s="12" t="n">
        <v>-84</v>
      </c>
      <c r="G142" s="12" t="n">
        <v>197</v>
      </c>
      <c r="H142" s="12" t="n">
        <v>406</v>
      </c>
      <c r="I142" s="12" t="n">
        <v>766</v>
      </c>
      <c r="J142" s="12" t="n">
        <v>444</v>
      </c>
      <c r="K142" s="12" t="n">
        <v>722</v>
      </c>
      <c r="L142" s="12" t="n">
        <v>826</v>
      </c>
      <c r="M142" s="12" t="n">
        <v>1389</v>
      </c>
      <c r="O142" s="12" t="n">
        <v>166</v>
      </c>
      <c r="P142" s="12" t="n">
        <v>698</v>
      </c>
      <c r="Q142" s="12" t="n">
        <v>1205</v>
      </c>
      <c r="R142" s="12" t="n">
        <v>428</v>
      </c>
      <c r="S142" s="12" t="n">
        <v>1077</v>
      </c>
      <c r="T142" s="12" t="n">
        <v>948</v>
      </c>
      <c r="U142" s="12" t="n">
        <v>1579</v>
      </c>
      <c r="V142" s="12" t="n">
        <v>1389</v>
      </c>
      <c r="W142" s="12" t="n">
        <v>766</v>
      </c>
      <c r="X142" s="12" t="n">
        <v>1389</v>
      </c>
    </row>
    <row r="143">
      <c r="A143" s="20" t="inlineStr">
        <is>
          <t>임차보증금·보증금 납입</t>
        </is>
      </c>
      <c r="O143" s="22" t="n">
        <v>-4</v>
      </c>
      <c r="P143" s="22" t="n">
        <v>-24</v>
      </c>
      <c r="Q143" s="22" t="n">
        <v>-4</v>
      </c>
      <c r="R143" s="22" t="n">
        <v>0</v>
      </c>
      <c r="S143" s="22" t="n">
        <v>-31</v>
      </c>
      <c r="T143" s="22" t="n">
        <v>0</v>
      </c>
    </row>
    <row r="144">
      <c r="A144" s="20" t="inlineStr">
        <is>
          <t>임차보증금·보증금 회수</t>
        </is>
      </c>
      <c r="R144" s="22" t="n">
        <v>0</v>
      </c>
      <c r="S144" s="22" t="n">
        <v>20</v>
      </c>
      <c r="T144" s="22" t="n">
        <v>0</v>
      </c>
    </row>
    <row r="145">
      <c r="A145" s="20" t="inlineStr">
        <is>
          <t>보험적립금 적립</t>
        </is>
      </c>
      <c r="E145" s="22" t="n">
        <v>-218</v>
      </c>
      <c r="I145" s="22" t="n">
        <v>0</v>
      </c>
      <c r="O145" s="22" t="n">
        <v>-1</v>
      </c>
      <c r="P145" s="22" t="n">
        <v>-11</v>
      </c>
      <c r="Q145" s="22" t="n">
        <v>0</v>
      </c>
      <c r="R145" s="22" t="n">
        <v>-21</v>
      </c>
      <c r="S145" s="22" t="n">
        <v>-57</v>
      </c>
      <c r="T145" s="22" t="n">
        <v>-30</v>
      </c>
      <c r="U145" s="22" t="n">
        <v>-105</v>
      </c>
      <c r="V145" s="22" t="n">
        <v>-218</v>
      </c>
      <c r="W145" s="22" t="n">
        <v>0</v>
      </c>
    </row>
    <row r="146">
      <c r="A146" s="20" t="inlineStr">
        <is>
          <t>보험적립금 환급</t>
        </is>
      </c>
      <c r="O146" s="22" t="n">
        <v>23</v>
      </c>
      <c r="P146" s="22" t="n">
        <v>0</v>
      </c>
    </row>
    <row r="147">
      <c r="A147" s="20" t="inlineStr">
        <is>
          <t>보험적립금 해약</t>
        </is>
      </c>
      <c r="C147" s="22" t="n">
        <v>6</v>
      </c>
      <c r="D147" s="22" t="n">
        <v>6</v>
      </c>
      <c r="E147" s="22" t="n">
        <v>247</v>
      </c>
      <c r="G147" s="22" t="n">
        <v>0</v>
      </c>
      <c r="H147" s="22" t="n">
        <v>0</v>
      </c>
      <c r="I147" s="22" t="n">
        <v>0</v>
      </c>
      <c r="O147" s="22" t="n">
        <v>0</v>
      </c>
      <c r="P147" s="22" t="n">
        <v>13</v>
      </c>
      <c r="Q147" s="22" t="n">
        <v>34</v>
      </c>
      <c r="R147" s="22" t="n">
        <v>44</v>
      </c>
      <c r="S147" s="22" t="n">
        <v>68</v>
      </c>
      <c r="T147" s="22" t="n">
        <v>0</v>
      </c>
      <c r="U147" s="22" t="n">
        <v>121</v>
      </c>
      <c r="V147" s="22" t="n">
        <v>247</v>
      </c>
      <c r="W147" s="22" t="n">
        <v>0</v>
      </c>
    </row>
    <row r="148">
      <c r="A148" s="20" t="inlineStr">
        <is>
          <t>장기선급비용 지출</t>
        </is>
      </c>
      <c r="O148" s="22" t="n">
        <v>-2</v>
      </c>
      <c r="P148" s="22" t="n">
        <v>0</v>
      </c>
    </row>
    <row r="149">
      <c r="A149" s="20" t="inlineStr">
        <is>
          <t>유·무형자산 취득 지출</t>
        </is>
      </c>
      <c r="C149" s="22" t="n">
        <v>-1</v>
      </c>
      <c r="D149" s="22" t="n">
        <v>-1</v>
      </c>
      <c r="E149" s="22" t="n">
        <v>-1</v>
      </c>
      <c r="F149" s="22" t="n">
        <v>-1</v>
      </c>
      <c r="G149" s="22" t="n">
        <v>-3</v>
      </c>
      <c r="H149" s="22" t="n">
        <v>-8</v>
      </c>
      <c r="I149" s="22" t="n">
        <v>-27</v>
      </c>
      <c r="J149" s="22" t="n">
        <v>-23</v>
      </c>
      <c r="K149" s="22" t="n">
        <v>-40</v>
      </c>
      <c r="L149" s="22" t="n">
        <v>-52</v>
      </c>
      <c r="M149" s="22" t="n">
        <v>-52</v>
      </c>
      <c r="O149" s="22" t="n">
        <v>-24</v>
      </c>
      <c r="P149" s="22" t="n">
        <v>-78</v>
      </c>
      <c r="Q149" s="22" t="n">
        <v>-61</v>
      </c>
      <c r="R149" s="22" t="n">
        <v>-18</v>
      </c>
      <c r="S149" s="22" t="n">
        <v>-41</v>
      </c>
      <c r="T149" s="22" t="n">
        <v>-46</v>
      </c>
      <c r="U149" s="22" t="n">
        <v>-0</v>
      </c>
      <c r="V149" s="22" t="n">
        <v>-1</v>
      </c>
      <c r="W149" s="22" t="n">
        <v>-27</v>
      </c>
      <c r="X149" s="22" t="n">
        <v>-52</v>
      </c>
    </row>
    <row r="150">
      <c r="A150" s="20" t="inlineStr">
        <is>
          <t>투자유가증권 매각</t>
        </is>
      </c>
      <c r="O150" s="22" t="n">
        <v>16</v>
      </c>
      <c r="P150" s="22" t="n">
        <v>0</v>
      </c>
    </row>
    <row r="151">
      <c r="A151" s="20" t="inlineStr">
        <is>
          <t>정기예금 예입</t>
        </is>
      </c>
      <c r="C151" s="22" t="n">
        <v>-1150</v>
      </c>
      <c r="D151" s="22" t="n">
        <v>-1500</v>
      </c>
      <c r="E151" s="22" t="n">
        <v>-1800</v>
      </c>
      <c r="F151" s="22" t="n">
        <v>-550</v>
      </c>
      <c r="G151" s="22" t="n">
        <v>-1150</v>
      </c>
      <c r="H151" s="22" t="n">
        <v>-1500</v>
      </c>
      <c r="I151" s="22" t="n">
        <v>-2400</v>
      </c>
      <c r="J151" s="22" t="n">
        <v>-550</v>
      </c>
      <c r="K151" s="22" t="n">
        <v>-1150</v>
      </c>
      <c r="L151" s="22" t="n">
        <v>-1500</v>
      </c>
      <c r="M151" s="22" t="n">
        <v>-1800</v>
      </c>
      <c r="O151" s="22" t="n">
        <v>-3100</v>
      </c>
      <c r="P151" s="22" t="n">
        <v>-2400</v>
      </c>
      <c r="Q151" s="22" t="n">
        <v>-1300</v>
      </c>
      <c r="R151" s="22" t="n">
        <v>-2400</v>
      </c>
      <c r="S151" s="22" t="n">
        <v>-1300</v>
      </c>
      <c r="T151" s="22" t="n">
        <v>-1300</v>
      </c>
      <c r="U151" s="22" t="n">
        <v>-1800</v>
      </c>
      <c r="V151" s="22" t="n">
        <v>-1800</v>
      </c>
      <c r="W151" s="22" t="n">
        <v>-2400</v>
      </c>
      <c r="X151" s="22" t="n">
        <v>-1800</v>
      </c>
    </row>
    <row r="152">
      <c r="A152" s="20" t="inlineStr">
        <is>
          <t>정기예금 인출</t>
        </is>
      </c>
      <c r="C152" s="22" t="n">
        <v>1150</v>
      </c>
      <c r="D152" s="22" t="n">
        <v>1500</v>
      </c>
      <c r="E152" s="22" t="n">
        <v>1800</v>
      </c>
      <c r="F152" s="22" t="n">
        <v>550</v>
      </c>
      <c r="G152" s="22" t="n">
        <v>1150</v>
      </c>
      <c r="H152" s="22" t="n">
        <v>1500</v>
      </c>
      <c r="I152" s="22" t="n">
        <v>2400</v>
      </c>
      <c r="J152" s="22" t="n">
        <v>550</v>
      </c>
      <c r="K152" s="22" t="n">
        <v>1150</v>
      </c>
      <c r="L152" s="22" t="n">
        <v>1500</v>
      </c>
      <c r="M152" s="22" t="n">
        <v>1800</v>
      </c>
      <c r="O152" s="22" t="n">
        <v>3400</v>
      </c>
      <c r="P152" s="22" t="n">
        <v>2400</v>
      </c>
      <c r="Q152" s="22" t="n">
        <v>1300</v>
      </c>
      <c r="R152" s="22" t="n">
        <v>2400</v>
      </c>
      <c r="S152" s="22" t="n">
        <v>1300</v>
      </c>
      <c r="T152" s="22" t="n">
        <v>1300</v>
      </c>
      <c r="U152" s="22" t="n">
        <v>1800</v>
      </c>
      <c r="V152" s="22" t="n">
        <v>1800</v>
      </c>
      <c r="W152" s="22" t="n">
        <v>2400</v>
      </c>
      <c r="X152" s="22" t="n">
        <v>1800</v>
      </c>
    </row>
    <row r="153">
      <c r="A153" s="20" t="inlineStr">
        <is>
          <t>투자유가증권 취득</t>
        </is>
      </c>
      <c r="D153" s="22" t="n">
        <v>0</v>
      </c>
      <c r="H153" s="22" t="n">
        <v>-10</v>
      </c>
    </row>
    <row r="154">
      <c r="A154" s="20" t="inlineStr">
        <is>
          <t>골프회원권 매각</t>
        </is>
      </c>
      <c r="C154" s="22" t="n">
        <v>0</v>
      </c>
      <c r="D154" s="22" t="n">
        <v>0</v>
      </c>
      <c r="E154" s="22" t="n">
        <v>0</v>
      </c>
      <c r="G154" s="22" t="n">
        <v>5</v>
      </c>
      <c r="H154" s="22" t="n">
        <v>5</v>
      </c>
      <c r="I154" s="22" t="n">
        <v>5</v>
      </c>
      <c r="K154" s="22" t="n">
        <v>0</v>
      </c>
      <c r="L154" s="22" t="n">
        <v>0</v>
      </c>
      <c r="M154" s="22" t="n">
        <v>0</v>
      </c>
      <c r="V154" s="22" t="n">
        <v>0</v>
      </c>
      <c r="W154" s="22" t="n">
        <v>5</v>
      </c>
      <c r="X154" s="22" t="n">
        <v>0</v>
      </c>
    </row>
    <row r="155">
      <c r="A155" s="20" t="inlineStr">
        <is>
          <t>기타</t>
        </is>
      </c>
      <c r="C155" s="22" t="n">
        <v>0</v>
      </c>
      <c r="E155" s="22" t="n">
        <v>-5</v>
      </c>
      <c r="G155" s="22" t="n">
        <v>-0</v>
      </c>
      <c r="H155" s="22" t="n">
        <v>-10</v>
      </c>
      <c r="I155" s="22" t="n">
        <v>-10</v>
      </c>
      <c r="K155" s="22" t="n">
        <v>-0</v>
      </c>
      <c r="L155" s="22" t="n">
        <v>-0</v>
      </c>
      <c r="M155" s="22" t="n">
        <v>-7</v>
      </c>
      <c r="O155" s="22" t="n">
        <v>-0</v>
      </c>
      <c r="P155" s="22" t="n">
        <v>-0</v>
      </c>
      <c r="Q155" s="22" t="n">
        <v>-7</v>
      </c>
      <c r="R155" s="22" t="n">
        <v>-1</v>
      </c>
      <c r="S155" s="22" t="n">
        <v>2</v>
      </c>
      <c r="T155" s="22" t="n">
        <v>0</v>
      </c>
      <c r="U155" s="22" t="n">
        <v>0</v>
      </c>
      <c r="V155" s="22" t="n">
        <v>-5</v>
      </c>
      <c r="W155" s="22" t="n">
        <v>-10</v>
      </c>
      <c r="X155" s="22" t="n">
        <v>-7</v>
      </c>
    </row>
    <row r="156">
      <c r="A156" s="9" t="inlineStr">
        <is>
          <t>투자활동 현금흐름</t>
        </is>
      </c>
      <c r="C156" s="12" t="n">
        <v>6</v>
      </c>
      <c r="D156" s="12" t="n">
        <v>6</v>
      </c>
      <c r="E156" s="12" t="n">
        <v>23</v>
      </c>
      <c r="F156" s="12" t="n">
        <v>-1</v>
      </c>
      <c r="G156" s="12" t="n">
        <v>2</v>
      </c>
      <c r="H156" s="12" t="n">
        <v>-13</v>
      </c>
      <c r="I156" s="12" t="n">
        <v>-32</v>
      </c>
      <c r="J156" s="12" t="n">
        <v>-23</v>
      </c>
      <c r="K156" s="12" t="n">
        <v>-40</v>
      </c>
      <c r="L156" s="12" t="n">
        <v>-52</v>
      </c>
      <c r="M156" s="12" t="n">
        <v>-59</v>
      </c>
      <c r="O156" s="12" t="n">
        <v>309</v>
      </c>
      <c r="P156" s="12" t="n">
        <v>-100</v>
      </c>
      <c r="Q156" s="12" t="n">
        <v>-38</v>
      </c>
      <c r="R156" s="12" t="n">
        <v>5</v>
      </c>
      <c r="S156" s="12" t="n">
        <v>-38</v>
      </c>
      <c r="T156" s="12" t="n">
        <v>-76</v>
      </c>
      <c r="U156" s="12" t="n">
        <v>15</v>
      </c>
      <c r="V156" s="12" t="n">
        <v>23</v>
      </c>
      <c r="W156" s="12" t="n">
        <v>-32</v>
      </c>
      <c r="X156" s="12" t="n">
        <v>-59</v>
      </c>
    </row>
    <row r="157">
      <c r="A157" s="20" t="inlineStr">
        <is>
          <t>배당금 지급</t>
        </is>
      </c>
      <c r="C157" s="22" t="n">
        <v>-256</v>
      </c>
      <c r="D157" s="22" t="n">
        <v>-507</v>
      </c>
      <c r="E157" s="22" t="n">
        <v>-507</v>
      </c>
      <c r="F157" s="22" t="n">
        <v>-254</v>
      </c>
      <c r="G157" s="22" t="n">
        <v>-254</v>
      </c>
      <c r="H157" s="22" t="n">
        <v>-509</v>
      </c>
      <c r="I157" s="22" t="n">
        <v>-509</v>
      </c>
      <c r="J157" s="22" t="n">
        <v>-267</v>
      </c>
      <c r="K157" s="22" t="n">
        <v>-267</v>
      </c>
      <c r="L157" s="22" t="n">
        <v>-534</v>
      </c>
      <c r="M157" s="22" t="n">
        <v>-534</v>
      </c>
      <c r="O157" s="22" t="n">
        <v>-190</v>
      </c>
      <c r="P157" s="22" t="n">
        <v>-207</v>
      </c>
      <c r="Q157" s="22" t="n">
        <v>-231</v>
      </c>
      <c r="R157" s="22" t="n">
        <v>-244</v>
      </c>
      <c r="S157" s="22" t="n">
        <v>-244</v>
      </c>
      <c r="T157" s="22" t="n">
        <v>-348</v>
      </c>
      <c r="U157" s="22" t="n">
        <v>-506</v>
      </c>
      <c r="V157" s="22" t="n">
        <v>-507</v>
      </c>
      <c r="W157" s="22" t="n">
        <v>-509</v>
      </c>
      <c r="X157" s="22" t="n">
        <v>-534</v>
      </c>
    </row>
    <row r="158">
      <c r="A158" s="20" t="inlineStr">
        <is>
          <t>자기주식 취득</t>
        </is>
      </c>
      <c r="C158" s="22" t="n">
        <v>-0</v>
      </c>
      <c r="D158" s="22" t="n">
        <v>-133</v>
      </c>
      <c r="E158" s="22" t="n">
        <v>-133</v>
      </c>
      <c r="F158" s="22" t="n">
        <v>-0</v>
      </c>
      <c r="G158" s="22" t="n">
        <v>-0</v>
      </c>
      <c r="H158" s="22" t="n">
        <v>-0</v>
      </c>
      <c r="I158" s="22" t="n">
        <v>-1</v>
      </c>
      <c r="J158" s="22" t="n">
        <v>-0</v>
      </c>
      <c r="K158" s="22" t="n">
        <v>-0</v>
      </c>
      <c r="L158" s="22" t="n">
        <v>-1447</v>
      </c>
      <c r="M158" s="22" t="n">
        <v>-1447</v>
      </c>
      <c r="O158" s="22" t="n">
        <v>-0</v>
      </c>
      <c r="P158" s="22" t="n">
        <v>-0</v>
      </c>
      <c r="Q158" s="22" t="n">
        <v>-0</v>
      </c>
      <c r="R158" s="22" t="n">
        <v>-0</v>
      </c>
      <c r="S158" s="22" t="n">
        <v>-193</v>
      </c>
      <c r="T158" s="22" t="n">
        <v>-2</v>
      </c>
      <c r="U158" s="22" t="n">
        <v>-1</v>
      </c>
      <c r="V158" s="22" t="n">
        <v>-133</v>
      </c>
      <c r="W158" s="22" t="n">
        <v>-1</v>
      </c>
      <c r="X158" s="22" t="n">
        <v>-1447</v>
      </c>
    </row>
    <row r="159">
      <c r="A159" s="20" t="inlineStr">
        <is>
          <t>기타</t>
        </is>
      </c>
      <c r="D159" s="22" t="n">
        <v>0</v>
      </c>
      <c r="E159" s="22" t="n">
        <v>0</v>
      </c>
      <c r="H159" s="22" t="n">
        <v>0</v>
      </c>
      <c r="I159" s="22" t="n">
        <v>0</v>
      </c>
      <c r="M159" s="22" t="n">
        <v>0</v>
      </c>
      <c r="R159" s="22" t="n">
        <v>0</v>
      </c>
      <c r="S159" s="22" t="n">
        <v>0</v>
      </c>
      <c r="T159" s="22" t="n">
        <v>3</v>
      </c>
      <c r="U159" s="22" t="n">
        <v>0</v>
      </c>
      <c r="V159" s="22" t="n">
        <v>0</v>
      </c>
      <c r="W159" s="22" t="n">
        <v>0</v>
      </c>
      <c r="X159" s="22" t="n">
        <v>0</v>
      </c>
    </row>
    <row r="160">
      <c r="A160" s="9" t="inlineStr">
        <is>
          <t>재무활동 현금흐름</t>
        </is>
      </c>
      <c r="C160" s="12" t="n">
        <v>-256</v>
      </c>
      <c r="D160" s="12" t="n">
        <v>-639</v>
      </c>
      <c r="E160" s="12" t="n">
        <v>-640</v>
      </c>
      <c r="F160" s="12" t="n">
        <v>-254</v>
      </c>
      <c r="G160" s="12" t="n">
        <v>-255</v>
      </c>
      <c r="H160" s="12" t="n">
        <v>-510</v>
      </c>
      <c r="I160" s="12" t="n">
        <v>-510</v>
      </c>
      <c r="J160" s="12" t="n">
        <v>-267</v>
      </c>
      <c r="K160" s="12" t="n">
        <v>-267</v>
      </c>
      <c r="L160" s="12" t="n">
        <v>-1981</v>
      </c>
      <c r="M160" s="12" t="n">
        <v>-1981</v>
      </c>
      <c r="O160" s="12" t="n">
        <v>-190</v>
      </c>
      <c r="P160" s="12" t="n">
        <v>-207</v>
      </c>
      <c r="Q160" s="12" t="n">
        <v>-232</v>
      </c>
      <c r="R160" s="12" t="n">
        <v>-244</v>
      </c>
      <c r="S160" s="12" t="n">
        <v>-437</v>
      </c>
      <c r="T160" s="12" t="n">
        <v>-347</v>
      </c>
      <c r="U160" s="12" t="n">
        <v>-507</v>
      </c>
      <c r="V160" s="12" t="n">
        <v>-640</v>
      </c>
      <c r="W160" s="12" t="n">
        <v>-510</v>
      </c>
      <c r="X160" s="12" t="n">
        <v>-1981</v>
      </c>
    </row>
    <row r="161">
      <c r="A161" s="20" t="inlineStr">
        <is>
          <t>현금성자산 증감</t>
        </is>
      </c>
      <c r="C161" s="22" t="n">
        <v>232</v>
      </c>
      <c r="D161" s="22" t="n">
        <v>21</v>
      </c>
      <c r="E161" s="22" t="n">
        <v>772</v>
      </c>
      <c r="F161" s="22" t="n">
        <v>-340</v>
      </c>
      <c r="G161" s="22" t="n">
        <v>-55</v>
      </c>
      <c r="H161" s="22" t="n">
        <v>-117</v>
      </c>
      <c r="I161" s="22" t="n">
        <v>224</v>
      </c>
      <c r="J161" s="22" t="n">
        <v>155</v>
      </c>
      <c r="K161" s="22" t="n">
        <v>415</v>
      </c>
      <c r="L161" s="22" t="n">
        <v>-1206</v>
      </c>
      <c r="M161" s="22" t="n">
        <v>-651</v>
      </c>
      <c r="O161" s="22" t="n">
        <v>284</v>
      </c>
      <c r="P161" s="22" t="n">
        <v>390</v>
      </c>
      <c r="Q161" s="22" t="n">
        <v>936</v>
      </c>
      <c r="R161" s="22" t="n">
        <v>189</v>
      </c>
      <c r="S161" s="22" t="n">
        <v>602</v>
      </c>
      <c r="T161" s="22" t="n">
        <v>524</v>
      </c>
      <c r="U161" s="22" t="n">
        <v>1088</v>
      </c>
      <c r="V161" s="22" t="n">
        <v>772</v>
      </c>
      <c r="W161" s="22" t="n">
        <v>224</v>
      </c>
      <c r="X161" s="22" t="n">
        <v>-651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4299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12218</v>
      </c>
      <c r="D5" s="12" t="n">
        <v>12561</v>
      </c>
      <c r="E5" s="12" t="n">
        <v>11047</v>
      </c>
      <c r="F5" s="12" t="n">
        <v>11620</v>
      </c>
      <c r="G5" s="12" t="n">
        <v>10862</v>
      </c>
      <c r="H5" s="11" t="n">
        <v>10286</v>
      </c>
      <c r="I5" s="12" t="n">
        <v>10993</v>
      </c>
      <c r="J5" s="12" t="n">
        <v>12366</v>
      </c>
      <c r="K5" s="12" t="n">
        <v>12575</v>
      </c>
      <c r="L5" s="12" t="n">
        <v>11620</v>
      </c>
    </row>
    <row r="6">
      <c r="A6" s="20" t="inlineStr">
        <is>
          <t>현금및현금성자산</t>
        </is>
      </c>
      <c r="B6" s="10" t="n"/>
      <c r="C6" s="21" t="n">
        <v>9624</v>
      </c>
      <c r="D6" s="22" t="n">
        <v>9885</v>
      </c>
      <c r="E6" s="22" t="n">
        <v>8263</v>
      </c>
      <c r="F6" s="22" t="n">
        <v>8818</v>
      </c>
      <c r="G6" s="22" t="n">
        <v>7808</v>
      </c>
      <c r="H6" s="21" t="n">
        <v>7386</v>
      </c>
      <c r="I6" s="22" t="n">
        <v>8474</v>
      </c>
      <c r="J6" s="22" t="n">
        <v>9846</v>
      </c>
      <c r="K6" s="22" t="n">
        <v>9469</v>
      </c>
      <c r="L6" s="22" t="n">
        <v>8818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2367</v>
      </c>
      <c r="D8" s="22" t="n">
        <v>2445</v>
      </c>
      <c r="E8" s="22" t="n">
        <v>2556</v>
      </c>
      <c r="F8" s="22" t="n">
        <v>2544</v>
      </c>
      <c r="G8" s="22" t="n">
        <v>2697</v>
      </c>
      <c r="H8" s="21" t="n">
        <v>2485</v>
      </c>
      <c r="I8" s="22" t="n">
        <v>2323</v>
      </c>
      <c r="J8" s="22" t="n">
        <v>2430</v>
      </c>
      <c r="K8" s="22" t="n">
        <v>2766</v>
      </c>
      <c r="L8" s="22" t="n">
        <v>2544</v>
      </c>
    </row>
    <row r="9">
      <c r="A9" s="20" t="inlineStr">
        <is>
          <t>재고자산</t>
        </is>
      </c>
      <c r="B9" s="10" t="n"/>
      <c r="C9" s="21" t="n">
        <v>47</v>
      </c>
      <c r="D9" s="22" t="n">
        <v>42</v>
      </c>
      <c r="E9" s="22" t="n">
        <v>73</v>
      </c>
      <c r="F9" s="22" t="n">
        <v>42</v>
      </c>
      <c r="G9" s="22" t="n">
        <v>68</v>
      </c>
      <c r="H9" s="21" t="n">
        <v>64</v>
      </c>
      <c r="I9" s="22" t="n">
        <v>33</v>
      </c>
      <c r="J9" s="22" t="n">
        <v>21</v>
      </c>
      <c r="K9" s="22" t="n">
        <v>14</v>
      </c>
      <c r="L9" s="22" t="n">
        <v>42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1877</v>
      </c>
      <c r="D11" s="12" t="n">
        <v>1895</v>
      </c>
      <c r="E11" s="12" t="n">
        <v>1905</v>
      </c>
      <c r="F11" s="12" t="n">
        <v>1902</v>
      </c>
      <c r="G11" s="12" t="n">
        <v>2702</v>
      </c>
      <c r="H11" s="11" t="n">
        <v>1970</v>
      </c>
      <c r="I11" s="12" t="n">
        <v>1882</v>
      </c>
      <c r="J11" s="12" t="n">
        <v>1224</v>
      </c>
      <c r="K11" s="12" t="n">
        <v>1854</v>
      </c>
      <c r="L11" s="12" t="n">
        <v>1902</v>
      </c>
    </row>
    <row r="12">
      <c r="A12" s="20" t="inlineStr">
        <is>
          <t>유형자산</t>
        </is>
      </c>
      <c r="B12" s="10" t="n"/>
      <c r="C12" s="21" t="n">
        <v>71</v>
      </c>
      <c r="D12" s="22" t="n">
        <v>67</v>
      </c>
      <c r="E12" s="22" t="n">
        <v>63</v>
      </c>
      <c r="F12" s="22" t="n">
        <v>56</v>
      </c>
      <c r="G12" s="22" t="n">
        <v>59</v>
      </c>
      <c r="H12" s="21" t="n">
        <v>129</v>
      </c>
      <c r="I12" s="22" t="n">
        <v>105</v>
      </c>
      <c r="J12" s="22" t="n">
        <v>87</v>
      </c>
      <c r="K12" s="22" t="n">
        <v>75</v>
      </c>
      <c r="L12" s="22" t="n">
        <v>56</v>
      </c>
    </row>
    <row r="13">
      <c r="A13" s="20" t="inlineStr">
        <is>
          <t>무형자산</t>
        </is>
      </c>
      <c r="B13" s="10" t="n"/>
      <c r="C13" s="21" t="n">
        <v>45</v>
      </c>
      <c r="D13" s="22" t="n">
        <v>62</v>
      </c>
      <c r="E13" s="22" t="n">
        <v>72</v>
      </c>
      <c r="F13" s="22" t="n">
        <v>68</v>
      </c>
      <c r="G13" s="22" t="n">
        <v>848</v>
      </c>
      <c r="H13" s="21" t="n">
        <v>41</v>
      </c>
      <c r="I13" s="22" t="n">
        <v>21</v>
      </c>
      <c r="J13" s="22" t="n">
        <v>2</v>
      </c>
      <c r="K13" s="22" t="n">
        <v>22</v>
      </c>
      <c r="L13" s="22" t="n">
        <v>68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14095</v>
      </c>
      <c r="D16" s="12" t="n">
        <v>14456</v>
      </c>
      <c r="E16" s="12" t="n">
        <v>12952</v>
      </c>
      <c r="F16" s="12" t="n">
        <v>13522</v>
      </c>
      <c r="G16" s="12" t="n">
        <v>13564</v>
      </c>
      <c r="H16" s="11" t="n">
        <v>12257</v>
      </c>
      <c r="I16" s="12" t="n">
        <v>12875</v>
      </c>
      <c r="J16" s="12" t="n">
        <v>13590</v>
      </c>
      <c r="K16" s="12" t="n">
        <v>14430</v>
      </c>
      <c r="L16" s="12" t="n">
        <v>13522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2184</v>
      </c>
      <c r="D18" s="12" t="n">
        <v>2204</v>
      </c>
      <c r="E18" s="12" t="n">
        <v>2119</v>
      </c>
      <c r="F18" s="12" t="n">
        <v>2326</v>
      </c>
      <c r="G18" s="12" t="n">
        <v>2444</v>
      </c>
      <c r="H18" s="11" t="n">
        <v>2436</v>
      </c>
      <c r="I18" s="12" t="n">
        <v>2221</v>
      </c>
      <c r="J18" s="12" t="n">
        <v>2332</v>
      </c>
      <c r="K18" s="12" t="n">
        <v>2402</v>
      </c>
      <c r="L18" s="12" t="n">
        <v>2326</v>
      </c>
    </row>
    <row r="19">
      <c r="A19" s="20" t="inlineStr">
        <is>
          <t>매입채무</t>
        </is>
      </c>
      <c r="B19" s="10" t="n"/>
      <c r="C19" s="21" t="n">
        <v>732</v>
      </c>
      <c r="D19" s="22" t="n">
        <v>701</v>
      </c>
      <c r="E19" s="22" t="n">
        <v>724</v>
      </c>
      <c r="F19" s="22" t="n">
        <v>796</v>
      </c>
      <c r="G19" s="22" t="n">
        <v>850</v>
      </c>
      <c r="H19" s="21" t="n">
        <v>792</v>
      </c>
      <c r="I19" s="22" t="n">
        <v>708</v>
      </c>
      <c r="J19" s="22" t="n">
        <v>679</v>
      </c>
      <c r="K19" s="22" t="n">
        <v>764</v>
      </c>
      <c r="L19" s="22" t="n">
        <v>796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246</v>
      </c>
      <c r="D23" s="12" t="n">
        <v>247</v>
      </c>
      <c r="E23" s="12" t="n">
        <v>247</v>
      </c>
      <c r="F23" s="12" t="n">
        <v>291</v>
      </c>
      <c r="G23" s="12" t="n">
        <v>296</v>
      </c>
      <c r="H23" s="11" t="n">
        <v>311</v>
      </c>
      <c r="I23" s="12" t="n">
        <v>342</v>
      </c>
      <c r="J23" s="12" t="n">
        <v>323</v>
      </c>
      <c r="K23" s="12" t="n">
        <v>246</v>
      </c>
      <c r="L23" s="12" t="n">
        <v>291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2430</v>
      </c>
      <c r="D27" s="12" t="n">
        <v>2451</v>
      </c>
      <c r="E27" s="12" t="n">
        <v>2366</v>
      </c>
      <c r="F27" s="12" t="n">
        <v>2617</v>
      </c>
      <c r="G27" s="12" t="n">
        <v>2740</v>
      </c>
      <c r="H27" s="11" t="n">
        <v>2747</v>
      </c>
      <c r="I27" s="12" t="n">
        <v>2563</v>
      </c>
      <c r="J27" s="12" t="n">
        <v>2655</v>
      </c>
      <c r="K27" s="12" t="n">
        <v>2648</v>
      </c>
      <c r="L27" s="12" t="n">
        <v>2617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11665</v>
      </c>
      <c r="D31" s="12" t="n">
        <v>12005</v>
      </c>
      <c r="E31" s="12" t="n">
        <v>10587</v>
      </c>
      <c r="F31" s="12" t="n">
        <v>10904</v>
      </c>
      <c r="G31" s="12" t="n">
        <v>10823</v>
      </c>
      <c r="H31" s="11" t="n">
        <v>9510</v>
      </c>
      <c r="I31" s="12" t="n">
        <v>10313</v>
      </c>
      <c r="J31" s="12" t="n">
        <v>10935</v>
      </c>
      <c r="K31" s="12" t="n">
        <v>11782</v>
      </c>
      <c r="L31" s="12" t="n">
        <v>10904</v>
      </c>
    </row>
    <row r="32">
      <c r="A32" s="20" t="inlineStr">
        <is>
          <t>자본금</t>
        </is>
      </c>
      <c r="B32" s="10" t="n"/>
      <c r="C32" s="21" t="n">
        <v>689</v>
      </c>
      <c r="D32" s="22" t="n">
        <v>689</v>
      </c>
      <c r="E32" s="22" t="n">
        <v>689</v>
      </c>
      <c r="F32" s="22" t="n">
        <v>689</v>
      </c>
      <c r="G32" s="22" t="n">
        <v>689</v>
      </c>
      <c r="H32" s="21" t="n">
        <v>689</v>
      </c>
      <c r="I32" s="22" t="n">
        <v>689</v>
      </c>
      <c r="J32" s="22" t="n">
        <v>689</v>
      </c>
      <c r="K32" s="22" t="n">
        <v>689</v>
      </c>
      <c r="L32" s="22" t="n">
        <v>689</v>
      </c>
    </row>
    <row r="33">
      <c r="A33" s="20" t="inlineStr">
        <is>
          <t>이익잉여금</t>
        </is>
      </c>
      <c r="B33" s="10" t="n"/>
      <c r="C33" s="21" t="n">
        <v>10569</v>
      </c>
      <c r="D33" s="22" t="n">
        <v>10881</v>
      </c>
      <c r="E33" s="22" t="n">
        <v>10919</v>
      </c>
      <c r="F33" s="22" t="n">
        <v>10113</v>
      </c>
      <c r="G33" s="22" t="n">
        <v>10023</v>
      </c>
      <c r="H33" s="21" t="n">
        <v>8427</v>
      </c>
      <c r="I33" s="22" t="n">
        <v>9215</v>
      </c>
      <c r="J33" s="22" t="n">
        <v>9892</v>
      </c>
      <c r="K33" s="22" t="n">
        <v>10675</v>
      </c>
      <c r="L33" s="22" t="n">
        <v>10113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11665</v>
      </c>
      <c r="D35" s="12" t="n">
        <v>12005</v>
      </c>
      <c r="E35" s="12" t="n">
        <v>10587</v>
      </c>
      <c r="F35" s="12" t="n">
        <v>10904</v>
      </c>
      <c r="G35" s="12" t="n">
        <v>10823</v>
      </c>
      <c r="H35" s="11" t="n">
        <v>9510</v>
      </c>
      <c r="I35" s="12" t="n">
        <v>10313</v>
      </c>
      <c r="J35" s="12" t="n">
        <v>10935</v>
      </c>
      <c r="K35" s="12" t="n">
        <v>11782</v>
      </c>
      <c r="L35" s="12" t="n">
        <v>10904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1294</v>
      </c>
      <c r="D37" s="12" t="n">
        <v>1291</v>
      </c>
      <c r="E37" s="12" t="n">
        <v>1186</v>
      </c>
      <c r="F37" s="12" t="n">
        <v>1389</v>
      </c>
      <c r="G37" s="12" t="n"/>
      <c r="H37" s="11" t="n">
        <v>948</v>
      </c>
      <c r="I37" s="12" t="n">
        <v>1579</v>
      </c>
      <c r="J37" s="12" t="n">
        <v>1389</v>
      </c>
      <c r="K37" s="12" t="n">
        <v>766</v>
      </c>
      <c r="L37" s="12" t="n">
        <v>1389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/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522</v>
      </c>
      <c r="D40" s="22" t="n">
        <v>522</v>
      </c>
      <c r="E40" s="22" t="n">
        <v>534</v>
      </c>
      <c r="F40" s="22" t="n">
        <v>534</v>
      </c>
      <c r="G40" s="22" t="n"/>
      <c r="H40" s="21" t="n">
        <v>348</v>
      </c>
      <c r="I40" s="22" t="n">
        <v>506</v>
      </c>
      <c r="J40" s="22" t="n">
        <v>507</v>
      </c>
      <c r="K40" s="22" t="n">
        <v>509</v>
      </c>
      <c r="L40" s="22" t="n">
        <v>534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9624</v>
      </c>
      <c r="D71" s="22" t="n">
        <v>9885</v>
      </c>
      <c r="E71" s="22" t="n">
        <v>8263</v>
      </c>
      <c r="F71" s="22" t="n">
        <v>8818</v>
      </c>
      <c r="G71" s="22" t="n">
        <v>7808</v>
      </c>
      <c r="H71" s="22" t="n">
        <v>7386</v>
      </c>
      <c r="I71" s="22" t="n">
        <v>8474</v>
      </c>
      <c r="J71" s="22" t="n">
        <v>9846</v>
      </c>
      <c r="K71" s="22" t="n">
        <v>9469</v>
      </c>
      <c r="L71" s="22" t="n">
        <v>8818</v>
      </c>
    </row>
    <row r="72">
      <c r="A72" s="20" t="inlineStr">
        <is>
          <t>매출채권</t>
        </is>
      </c>
      <c r="C72" s="22" t="n">
        <v>2367</v>
      </c>
      <c r="D72" s="22" t="n">
        <v>2445</v>
      </c>
      <c r="E72" s="22" t="n">
        <v>2556</v>
      </c>
      <c r="F72" s="22" t="n">
        <v>2544</v>
      </c>
      <c r="G72" s="22" t="n">
        <v>2697</v>
      </c>
      <c r="H72" s="22" t="n">
        <v>2485</v>
      </c>
      <c r="I72" s="22" t="n">
        <v>2323</v>
      </c>
      <c r="J72" s="22" t="n">
        <v>2430</v>
      </c>
      <c r="K72" s="22" t="n">
        <v>2766</v>
      </c>
      <c r="L72" s="22" t="n">
        <v>2544</v>
      </c>
    </row>
    <row r="73">
      <c r="A73" s="20" t="inlineStr">
        <is>
          <t>계약자산</t>
        </is>
      </c>
      <c r="C73" s="22" t="n">
        <v>49</v>
      </c>
      <c r="D73" s="22" t="n">
        <v>47</v>
      </c>
      <c r="E73" s="22" t="n">
        <v>30</v>
      </c>
      <c r="F73" s="22" t="n">
        <v>130</v>
      </c>
      <c r="G73" s="22" t="n">
        <v>91</v>
      </c>
      <c r="H73" s="22" t="n">
        <v>274</v>
      </c>
      <c r="I73" s="22" t="n">
        <v>82</v>
      </c>
      <c r="J73" s="22" t="n">
        <v>0</v>
      </c>
      <c r="K73" s="22" t="n">
        <v>204</v>
      </c>
      <c r="L73" s="22" t="n">
        <v>130</v>
      </c>
    </row>
    <row r="74">
      <c r="A74" s="20" t="inlineStr">
        <is>
          <t>전자기록채권</t>
        </is>
      </c>
      <c r="F74" s="22" t="n">
        <v>0</v>
      </c>
      <c r="G74" s="22" t="n">
        <v>15</v>
      </c>
      <c r="L74" s="22" t="n">
        <v>0</v>
      </c>
    </row>
    <row r="75">
      <c r="A75" s="20" t="inlineStr">
        <is>
          <t>재공품</t>
        </is>
      </c>
      <c r="C75" s="22" t="n">
        <v>47</v>
      </c>
      <c r="D75" s="22" t="n">
        <v>42</v>
      </c>
      <c r="E75" s="22" t="n">
        <v>73</v>
      </c>
      <c r="F75" s="22" t="n">
        <v>38</v>
      </c>
      <c r="G75" s="22" t="n">
        <v>68</v>
      </c>
      <c r="H75" s="22" t="n">
        <v>61</v>
      </c>
      <c r="I75" s="22" t="n">
        <v>30</v>
      </c>
      <c r="J75" s="22" t="n">
        <v>17</v>
      </c>
      <c r="K75" s="22" t="n">
        <v>11</v>
      </c>
      <c r="L75" s="22" t="n">
        <v>38</v>
      </c>
    </row>
    <row r="76">
      <c r="A76" s="20" t="inlineStr">
        <is>
          <t>저장품</t>
        </is>
      </c>
      <c r="F76" s="22" t="n">
        <v>4</v>
      </c>
      <c r="H76" s="22" t="n">
        <v>3</v>
      </c>
      <c r="I76" s="22" t="n">
        <v>3</v>
      </c>
      <c r="J76" s="22" t="n">
        <v>4</v>
      </c>
      <c r="K76" s="22" t="n">
        <v>3</v>
      </c>
      <c r="L76" s="22" t="n">
        <v>4</v>
      </c>
    </row>
    <row r="77">
      <c r="A77" s="20" t="inlineStr">
        <is>
          <t>기타</t>
        </is>
      </c>
      <c r="C77" s="22" t="n">
        <v>131</v>
      </c>
      <c r="D77" s="22" t="n">
        <v>142</v>
      </c>
      <c r="E77" s="22" t="n">
        <v>125</v>
      </c>
      <c r="F77" s="22" t="n">
        <v>89</v>
      </c>
      <c r="G77" s="22" t="n">
        <v>184</v>
      </c>
      <c r="H77" s="22" t="n">
        <v>77</v>
      </c>
      <c r="I77" s="22" t="n">
        <v>81</v>
      </c>
      <c r="J77" s="22" t="n">
        <v>70</v>
      </c>
      <c r="K77" s="22" t="n">
        <v>122</v>
      </c>
      <c r="L77" s="22" t="n">
        <v>89</v>
      </c>
    </row>
    <row r="78">
      <c r="A78" s="20" t="inlineStr">
        <is>
          <t>대손충당금</t>
        </is>
      </c>
      <c r="F78" s="22" t="n">
        <v>0</v>
      </c>
      <c r="G78" s="22" t="n">
        <v>-1</v>
      </c>
      <c r="L78" s="22" t="n">
        <v>0</v>
      </c>
    </row>
    <row r="79">
      <c r="A79" s="9" t="inlineStr">
        <is>
          <t>유동자산 합계</t>
        </is>
      </c>
      <c r="C79" s="12" t="n">
        <v>12218</v>
      </c>
      <c r="D79" s="12" t="n">
        <v>12561</v>
      </c>
      <c r="E79" s="12" t="n">
        <v>11047</v>
      </c>
      <c r="F79" s="12" t="n">
        <v>11620</v>
      </c>
      <c r="G79" s="12" t="n">
        <v>10862</v>
      </c>
      <c r="H79" s="12" t="n">
        <v>10286</v>
      </c>
      <c r="I79" s="12" t="n">
        <v>10993</v>
      </c>
      <c r="J79" s="12" t="n">
        <v>12366</v>
      </c>
      <c r="K79" s="12" t="n">
        <v>12575</v>
      </c>
      <c r="L79" s="12" t="n">
        <v>11620</v>
      </c>
    </row>
    <row r="80">
      <c r="A80" s="20" t="inlineStr">
        <is>
          <t>건물</t>
        </is>
      </c>
      <c r="F80" s="22" t="n">
        <v>181</v>
      </c>
      <c r="H80" s="22" t="n">
        <v>196</v>
      </c>
      <c r="I80" s="22" t="n">
        <v>196</v>
      </c>
      <c r="J80" s="22" t="n">
        <v>197</v>
      </c>
      <c r="K80" s="22" t="n">
        <v>198</v>
      </c>
      <c r="L80" s="22" t="n">
        <v>181</v>
      </c>
    </row>
    <row r="81">
      <c r="A81" s="20" t="inlineStr">
        <is>
          <t>감가상각누계액</t>
        </is>
      </c>
      <c r="F81" s="22" t="n">
        <v>-134</v>
      </c>
      <c r="H81" s="22" t="n">
        <v>-107</v>
      </c>
      <c r="I81" s="22" t="n">
        <v>-119</v>
      </c>
      <c r="J81" s="22" t="n">
        <v>-129</v>
      </c>
      <c r="K81" s="22" t="n">
        <v>-138</v>
      </c>
      <c r="L81" s="22" t="n">
        <v>-134</v>
      </c>
    </row>
    <row r="82">
      <c r="A82" s="20" t="inlineStr">
        <is>
          <t>건물(순액)</t>
        </is>
      </c>
      <c r="F82" s="22" t="n">
        <v>46</v>
      </c>
      <c r="H82" s="22" t="n">
        <v>89</v>
      </c>
      <c r="I82" s="22" t="n">
        <v>78</v>
      </c>
      <c r="J82" s="22" t="n">
        <v>68</v>
      </c>
      <c r="K82" s="22" t="n">
        <v>59</v>
      </c>
      <c r="L82" s="22" t="n">
        <v>46</v>
      </c>
    </row>
    <row r="83">
      <c r="A83" s="20" t="inlineStr">
        <is>
          <t>공구·기구·비품</t>
        </is>
      </c>
      <c r="F83" s="22" t="n">
        <v>81</v>
      </c>
      <c r="H83" s="22" t="n">
        <v>99</v>
      </c>
      <c r="I83" s="22" t="n">
        <v>87</v>
      </c>
      <c r="J83" s="22" t="n">
        <v>86</v>
      </c>
      <c r="K83" s="22" t="n">
        <v>82</v>
      </c>
      <c r="L83" s="22" t="n">
        <v>81</v>
      </c>
    </row>
    <row r="84">
      <c r="A84" s="20" t="inlineStr">
        <is>
          <t>감가상각누계액</t>
        </is>
      </c>
      <c r="F84" s="22" t="n">
        <v>-71</v>
      </c>
      <c r="H84" s="22" t="n">
        <v>-59</v>
      </c>
      <c r="I84" s="22" t="n">
        <v>-60</v>
      </c>
      <c r="J84" s="22" t="n">
        <v>-67</v>
      </c>
      <c r="K84" s="22" t="n">
        <v>-66</v>
      </c>
      <c r="L84" s="22" t="n">
        <v>-71</v>
      </c>
    </row>
    <row r="85">
      <c r="A85" s="20" t="inlineStr">
        <is>
          <t>공구·기구·비품(순액)</t>
        </is>
      </c>
      <c r="F85" s="22" t="n">
        <v>10</v>
      </c>
      <c r="H85" s="22" t="n">
        <v>40</v>
      </c>
      <c r="I85" s="22" t="n">
        <v>27</v>
      </c>
      <c r="J85" s="22" t="n">
        <v>19</v>
      </c>
      <c r="K85" s="22" t="n">
        <v>16</v>
      </c>
      <c r="L85" s="22" t="n">
        <v>10</v>
      </c>
    </row>
    <row r="86">
      <c r="A86" s="20" t="inlineStr">
        <is>
          <t>유형자산</t>
        </is>
      </c>
      <c r="C86" s="22" t="n">
        <v>71</v>
      </c>
      <c r="D86" s="22" t="n">
        <v>67</v>
      </c>
      <c r="E86" s="22" t="n">
        <v>63</v>
      </c>
      <c r="F86" s="22" t="n">
        <v>56</v>
      </c>
      <c r="G86" s="22" t="n">
        <v>59</v>
      </c>
      <c r="H86" s="22" t="n">
        <v>129</v>
      </c>
      <c r="I86" s="22" t="n">
        <v>105</v>
      </c>
      <c r="J86" s="22" t="n">
        <v>87</v>
      </c>
      <c r="K86" s="22" t="n">
        <v>75</v>
      </c>
      <c r="L86" s="22" t="n">
        <v>56</v>
      </c>
    </row>
    <row r="87">
      <c r="A87" s="20" t="inlineStr">
        <is>
          <t>영업권</t>
        </is>
      </c>
      <c r="F87" s="22" t="n">
        <v>0</v>
      </c>
      <c r="G87" s="22" t="n">
        <v>783</v>
      </c>
      <c r="L87" s="22" t="n">
        <v>0</v>
      </c>
    </row>
    <row r="88">
      <c r="A88" s="20" t="inlineStr">
        <is>
          <t>기타</t>
        </is>
      </c>
      <c r="F88" s="22" t="n">
        <v>68</v>
      </c>
      <c r="G88" s="22" t="n">
        <v>64</v>
      </c>
      <c r="L88" s="22" t="n">
        <v>68</v>
      </c>
    </row>
    <row r="89">
      <c r="A89" s="20" t="inlineStr">
        <is>
          <t>무형자산 합계</t>
        </is>
      </c>
      <c r="C89" s="22" t="n">
        <v>45</v>
      </c>
      <c r="D89" s="22" t="n">
        <v>62</v>
      </c>
      <c r="E89" s="22" t="n">
        <v>72</v>
      </c>
      <c r="F89" s="22" t="n">
        <v>68</v>
      </c>
      <c r="G89" s="22" t="n">
        <v>848</v>
      </c>
      <c r="H89" s="22" t="n">
        <v>41</v>
      </c>
      <c r="I89" s="22" t="n">
        <v>21</v>
      </c>
      <c r="J89" s="22" t="n">
        <v>2</v>
      </c>
      <c r="K89" s="22" t="n">
        <v>22</v>
      </c>
      <c r="L89" s="22" t="n">
        <v>68</v>
      </c>
    </row>
    <row r="90">
      <c r="A90" s="20" t="inlineStr">
        <is>
          <t>이연법인세자산</t>
        </is>
      </c>
      <c r="F90" s="22" t="n">
        <v>444</v>
      </c>
      <c r="H90" s="22" t="n">
        <v>429</v>
      </c>
      <c r="I90" s="22" t="n">
        <v>408</v>
      </c>
      <c r="J90" s="22" t="n">
        <v>410</v>
      </c>
      <c r="K90" s="22" t="n">
        <v>428</v>
      </c>
      <c r="L90" s="22" t="n">
        <v>444</v>
      </c>
    </row>
    <row r="91">
      <c r="A91" s="20" t="inlineStr">
        <is>
          <t>보험적립금</t>
        </is>
      </c>
      <c r="F91" s="22" t="n">
        <v>545</v>
      </c>
      <c r="H91" s="22" t="n">
        <v>580</v>
      </c>
      <c r="I91" s="22" t="n">
        <v>569</v>
      </c>
      <c r="J91" s="22" t="n">
        <v>542</v>
      </c>
      <c r="K91" s="22" t="n">
        <v>543</v>
      </c>
      <c r="L91" s="22" t="n">
        <v>545</v>
      </c>
    </row>
    <row r="92">
      <c r="A92" s="20" t="inlineStr">
        <is>
          <t>장기예금</t>
        </is>
      </c>
      <c r="C92" s="22" t="n">
        <v>600</v>
      </c>
      <c r="D92" s="22" t="n">
        <v>600</v>
      </c>
      <c r="E92" s="22" t="n">
        <v>600</v>
      </c>
      <c r="F92" s="22" t="n">
        <v>600</v>
      </c>
      <c r="G92" s="22" t="n">
        <v>600</v>
      </c>
      <c r="H92" s="22" t="n">
        <v>600</v>
      </c>
      <c r="I92" s="22" t="n">
        <v>600</v>
      </c>
      <c r="J92" s="22" t="n">
        <v>0</v>
      </c>
      <c r="K92" s="22" t="n">
        <v>600</v>
      </c>
      <c r="L92" s="22" t="n">
        <v>600</v>
      </c>
    </row>
    <row r="93">
      <c r="A93" s="20" t="inlineStr">
        <is>
          <t>기타</t>
        </is>
      </c>
      <c r="C93" s="22" t="n">
        <v>1163</v>
      </c>
      <c r="D93" s="22" t="n">
        <v>1168</v>
      </c>
      <c r="E93" s="22" t="n">
        <v>1173</v>
      </c>
      <c r="F93" s="22" t="n">
        <v>1180</v>
      </c>
      <c r="G93" s="22" t="n">
        <v>1197</v>
      </c>
      <c r="H93" s="22" t="n">
        <v>193</v>
      </c>
      <c r="I93" s="22" t="n">
        <v>182</v>
      </c>
      <c r="J93" s="22" t="n">
        <v>185</v>
      </c>
      <c r="K93" s="22" t="n">
        <v>188</v>
      </c>
      <c r="L93" s="22" t="n">
        <v>1180</v>
      </c>
    </row>
    <row r="94">
      <c r="A94" s="20" t="inlineStr">
        <is>
          <t>대손충당금</t>
        </is>
      </c>
      <c r="C94" s="22" t="n">
        <v>-2</v>
      </c>
      <c r="D94" s="22" t="n">
        <v>-2</v>
      </c>
      <c r="E94" s="22" t="n">
        <v>-2</v>
      </c>
      <c r="F94" s="22" t="n">
        <v>-2</v>
      </c>
      <c r="G94" s="22" t="n">
        <v>-2</v>
      </c>
      <c r="H94" s="22" t="n">
        <v>-2</v>
      </c>
      <c r="I94" s="22" t="n">
        <v>-2</v>
      </c>
      <c r="J94" s="22" t="n">
        <v>-2</v>
      </c>
      <c r="K94" s="22" t="n">
        <v>-2</v>
      </c>
      <c r="L94" s="22" t="n">
        <v>-2</v>
      </c>
    </row>
    <row r="95">
      <c r="A95" s="20" t="inlineStr">
        <is>
          <t>투자 및 기타자산 합계</t>
        </is>
      </c>
      <c r="C95" s="22" t="n">
        <v>1761</v>
      </c>
      <c r="D95" s="22" t="n">
        <v>1766</v>
      </c>
      <c r="E95" s="22" t="n">
        <v>1770</v>
      </c>
      <c r="F95" s="22" t="n">
        <v>1778</v>
      </c>
      <c r="G95" s="22" t="n">
        <v>1795</v>
      </c>
      <c r="H95" s="22" t="n">
        <v>1800</v>
      </c>
      <c r="I95" s="22" t="n">
        <v>1757</v>
      </c>
      <c r="J95" s="22" t="n">
        <v>1135</v>
      </c>
      <c r="K95" s="22" t="n">
        <v>1757</v>
      </c>
      <c r="L95" s="22" t="n">
        <v>1778</v>
      </c>
    </row>
    <row r="96">
      <c r="A96" s="9" t="inlineStr">
        <is>
          <t>비유동자산 합계</t>
        </is>
      </c>
      <c r="C96" s="12" t="n">
        <v>1877</v>
      </c>
      <c r="D96" s="12" t="n">
        <v>1895</v>
      </c>
      <c r="E96" s="12" t="n">
        <v>1905</v>
      </c>
      <c r="F96" s="12" t="n">
        <v>1902</v>
      </c>
      <c r="G96" s="12" t="n">
        <v>2702</v>
      </c>
      <c r="H96" s="12" t="n">
        <v>1970</v>
      </c>
      <c r="I96" s="12" t="n">
        <v>1882</v>
      </c>
      <c r="J96" s="12" t="n">
        <v>1224</v>
      </c>
      <c r="K96" s="12" t="n">
        <v>1854</v>
      </c>
      <c r="L96" s="12" t="n">
        <v>1902</v>
      </c>
    </row>
    <row r="97">
      <c r="A97" s="9" t="inlineStr">
        <is>
          <t>자산 합계</t>
        </is>
      </c>
      <c r="C97" s="12" t="n">
        <v>14095</v>
      </c>
      <c r="D97" s="12" t="n">
        <v>14456</v>
      </c>
      <c r="E97" s="12" t="n">
        <v>12952</v>
      </c>
      <c r="F97" s="12" t="n">
        <v>13522</v>
      </c>
      <c r="G97" s="12" t="n">
        <v>13564</v>
      </c>
      <c r="H97" s="12" t="n">
        <v>12257</v>
      </c>
      <c r="I97" s="12" t="n">
        <v>12875</v>
      </c>
      <c r="J97" s="12" t="n">
        <v>13590</v>
      </c>
      <c r="K97" s="12" t="n">
        <v>14430</v>
      </c>
      <c r="L97" s="12" t="n">
        <v>13522</v>
      </c>
    </row>
    <row r="98">
      <c r="A98" s="20" t="inlineStr">
        <is>
          <t>매입채무</t>
        </is>
      </c>
      <c r="C98" s="22" t="n">
        <v>732</v>
      </c>
      <c r="D98" s="22" t="n">
        <v>701</v>
      </c>
      <c r="E98" s="22" t="n">
        <v>724</v>
      </c>
      <c r="F98" s="22" t="n">
        <v>796</v>
      </c>
      <c r="G98" s="22" t="n">
        <v>850</v>
      </c>
      <c r="H98" s="22" t="n">
        <v>792</v>
      </c>
      <c r="I98" s="22" t="n">
        <v>708</v>
      </c>
      <c r="J98" s="22" t="n">
        <v>679</v>
      </c>
      <c r="K98" s="22" t="n">
        <v>764</v>
      </c>
      <c r="L98" s="22" t="n">
        <v>796</v>
      </c>
    </row>
    <row r="99">
      <c r="A99" s="20" t="inlineStr">
        <is>
          <t>미지급법인세</t>
        </is>
      </c>
      <c r="C99" s="22" t="n">
        <v>97</v>
      </c>
      <c r="D99" s="22" t="n">
        <v>267</v>
      </c>
      <c r="E99" s="22" t="n">
        <v>111</v>
      </c>
      <c r="F99" s="22" t="n">
        <v>182</v>
      </c>
      <c r="G99" s="22" t="n">
        <v>106</v>
      </c>
      <c r="H99" s="22" t="n">
        <v>359</v>
      </c>
      <c r="I99" s="22" t="n">
        <v>292</v>
      </c>
      <c r="J99" s="22" t="n">
        <v>347</v>
      </c>
      <c r="K99" s="22" t="n">
        <v>324</v>
      </c>
      <c r="L99" s="22" t="n">
        <v>182</v>
      </c>
    </row>
    <row r="100">
      <c r="A100" s="20" t="inlineStr">
        <is>
          <t>계약부채</t>
        </is>
      </c>
      <c r="C100" s="22" t="n">
        <v>58</v>
      </c>
      <c r="D100" s="22" t="n">
        <v>35</v>
      </c>
      <c r="E100" s="22" t="n">
        <v>42</v>
      </c>
      <c r="F100" s="22" t="n">
        <v>19</v>
      </c>
      <c r="G100" s="22" t="n">
        <v>67</v>
      </c>
      <c r="H100" s="22" t="n">
        <v>30</v>
      </c>
      <c r="I100" s="22" t="n">
        <v>22</v>
      </c>
      <c r="J100" s="22" t="n">
        <v>18</v>
      </c>
      <c r="K100" s="22" t="n">
        <v>67</v>
      </c>
      <c r="L100" s="22" t="n">
        <v>19</v>
      </c>
    </row>
    <row r="101">
      <c r="A101" s="20" t="inlineStr">
        <is>
          <t>상여충당금</t>
        </is>
      </c>
      <c r="C101" s="22" t="n">
        <v>360</v>
      </c>
      <c r="D101" s="22" t="n">
        <v>688</v>
      </c>
      <c r="E101" s="22" t="n">
        <v>345</v>
      </c>
      <c r="F101" s="22" t="n">
        <v>677</v>
      </c>
      <c r="G101" s="22" t="n">
        <v>316</v>
      </c>
      <c r="H101" s="22" t="n">
        <v>754</v>
      </c>
      <c r="I101" s="22" t="n">
        <v>647</v>
      </c>
      <c r="J101" s="22" t="n">
        <v>625</v>
      </c>
      <c r="K101" s="22" t="n">
        <v>707</v>
      </c>
      <c r="L101" s="22" t="n">
        <v>677</v>
      </c>
    </row>
    <row r="102">
      <c r="A102" s="20" t="inlineStr">
        <is>
          <t>임원 상여충당금</t>
        </is>
      </c>
      <c r="C102" s="22" t="n">
        <v>12</v>
      </c>
      <c r="D102" s="22" t="n">
        <v>25</v>
      </c>
      <c r="E102" s="22" t="n">
        <v>37</v>
      </c>
      <c r="F102" s="22" t="n">
        <v>46</v>
      </c>
      <c r="G102" s="22" t="n">
        <v>13</v>
      </c>
      <c r="H102" s="22" t="n">
        <v>34</v>
      </c>
      <c r="I102" s="22" t="n">
        <v>30</v>
      </c>
      <c r="J102" s="22" t="n">
        <v>25</v>
      </c>
      <c r="K102" s="22" t="n">
        <v>51</v>
      </c>
      <c r="L102" s="22" t="n">
        <v>46</v>
      </c>
    </row>
    <row r="103">
      <c r="A103" s="20" t="inlineStr">
        <is>
          <t>수주손실 충당금</t>
        </is>
      </c>
      <c r="F103" s="22" t="n">
        <v>25</v>
      </c>
      <c r="G103" s="22" t="n">
        <v>43</v>
      </c>
      <c r="K103" s="22" t="n">
        <v>0</v>
      </c>
      <c r="L103" s="22" t="n">
        <v>25</v>
      </c>
    </row>
    <row r="104">
      <c r="A104" s="20" t="inlineStr">
        <is>
          <t>기타</t>
        </is>
      </c>
      <c r="C104" s="22" t="n">
        <v>926</v>
      </c>
      <c r="D104" s="22" t="n">
        <v>487</v>
      </c>
      <c r="E104" s="22" t="n">
        <v>860</v>
      </c>
      <c r="F104" s="22" t="n">
        <v>581</v>
      </c>
      <c r="G104" s="22" t="n">
        <v>1048</v>
      </c>
      <c r="H104" s="22" t="n">
        <v>467</v>
      </c>
      <c r="I104" s="22" t="n">
        <v>522</v>
      </c>
      <c r="J104" s="22" t="n">
        <v>637</v>
      </c>
      <c r="K104" s="22" t="n">
        <v>489</v>
      </c>
      <c r="L104" s="22" t="n">
        <v>581</v>
      </c>
    </row>
    <row r="105">
      <c r="A105" s="9" t="inlineStr">
        <is>
          <t>유동부채 합계</t>
        </is>
      </c>
      <c r="C105" s="12" t="n">
        <v>2184</v>
      </c>
      <c r="D105" s="12" t="n">
        <v>2204</v>
      </c>
      <c r="E105" s="12" t="n">
        <v>2119</v>
      </c>
      <c r="F105" s="12" t="n">
        <v>2326</v>
      </c>
      <c r="G105" s="12" t="n">
        <v>2444</v>
      </c>
      <c r="H105" s="12" t="n">
        <v>2436</v>
      </c>
      <c r="I105" s="12" t="n">
        <v>2221</v>
      </c>
      <c r="J105" s="12" t="n">
        <v>2332</v>
      </c>
      <c r="K105" s="12" t="n">
        <v>2402</v>
      </c>
      <c r="L105" s="12" t="n">
        <v>2326</v>
      </c>
    </row>
    <row r="106">
      <c r="A106" s="20" t="inlineStr">
        <is>
          <t>퇴직급여부채</t>
        </is>
      </c>
      <c r="C106" s="22" t="n">
        <v>246</v>
      </c>
      <c r="D106" s="22" t="n">
        <v>247</v>
      </c>
      <c r="E106" s="22" t="n">
        <v>247</v>
      </c>
      <c r="F106" s="22" t="n">
        <v>291</v>
      </c>
      <c r="G106" s="22" t="n">
        <v>294</v>
      </c>
      <c r="H106" s="22" t="n">
        <v>302</v>
      </c>
      <c r="I106" s="22" t="n">
        <v>332</v>
      </c>
      <c r="J106" s="22" t="n">
        <v>313</v>
      </c>
      <c r="K106" s="22" t="n">
        <v>246</v>
      </c>
      <c r="L106" s="22" t="n">
        <v>291</v>
      </c>
    </row>
    <row r="107">
      <c r="A107" s="20" t="inlineStr">
        <is>
          <t>기타</t>
        </is>
      </c>
      <c r="F107" s="22" t="n">
        <v>0</v>
      </c>
      <c r="G107" s="22" t="n">
        <v>2</v>
      </c>
      <c r="H107" s="22" t="n">
        <v>9</v>
      </c>
      <c r="I107" s="22" t="n">
        <v>9</v>
      </c>
      <c r="J107" s="22" t="n">
        <v>9</v>
      </c>
      <c r="K107" s="22" t="n">
        <v>0</v>
      </c>
      <c r="L107" s="22" t="n">
        <v>0</v>
      </c>
    </row>
    <row r="108">
      <c r="A108" s="9" t="inlineStr">
        <is>
          <t>비유동부채 합계</t>
        </is>
      </c>
      <c r="C108" s="12" t="n">
        <v>246</v>
      </c>
      <c r="D108" s="12" t="n">
        <v>247</v>
      </c>
      <c r="E108" s="12" t="n">
        <v>247</v>
      </c>
      <c r="F108" s="12" t="n">
        <v>291</v>
      </c>
      <c r="G108" s="12" t="n">
        <v>296</v>
      </c>
      <c r="H108" s="12" t="n">
        <v>311</v>
      </c>
      <c r="I108" s="12" t="n">
        <v>342</v>
      </c>
      <c r="J108" s="12" t="n">
        <v>323</v>
      </c>
      <c r="K108" s="12" t="n">
        <v>246</v>
      </c>
      <c r="L108" s="12" t="n">
        <v>291</v>
      </c>
    </row>
    <row r="109">
      <c r="A109" s="9" t="inlineStr">
        <is>
          <t>부채 합계</t>
        </is>
      </c>
      <c r="C109" s="12" t="n">
        <v>2430</v>
      </c>
      <c r="D109" s="12" t="n">
        <v>2451</v>
      </c>
      <c r="E109" s="12" t="n">
        <v>2366</v>
      </c>
      <c r="F109" s="12" t="n">
        <v>2617</v>
      </c>
      <c r="G109" s="12" t="n">
        <v>2740</v>
      </c>
      <c r="H109" s="12" t="n">
        <v>2747</v>
      </c>
      <c r="I109" s="12" t="n">
        <v>2563</v>
      </c>
      <c r="J109" s="12" t="n">
        <v>2655</v>
      </c>
      <c r="K109" s="12" t="n">
        <v>2648</v>
      </c>
      <c r="L109" s="12" t="n">
        <v>2617</v>
      </c>
    </row>
    <row r="110">
      <c r="A110" s="20" t="inlineStr">
        <is>
          <t>자본금</t>
        </is>
      </c>
      <c r="C110" s="22" t="n">
        <v>689</v>
      </c>
      <c r="D110" s="22" t="n">
        <v>689</v>
      </c>
      <c r="E110" s="22" t="n">
        <v>689</v>
      </c>
      <c r="F110" s="22" t="n">
        <v>689</v>
      </c>
      <c r="G110" s="22" t="n">
        <v>689</v>
      </c>
      <c r="H110" s="22" t="n">
        <v>689</v>
      </c>
      <c r="I110" s="22" t="n">
        <v>689</v>
      </c>
      <c r="J110" s="22" t="n">
        <v>689</v>
      </c>
      <c r="K110" s="22" t="n">
        <v>689</v>
      </c>
      <c r="L110" s="22" t="n">
        <v>689</v>
      </c>
    </row>
    <row r="111">
      <c r="A111" s="20" t="inlineStr">
        <is>
          <t>자본잉여금</t>
        </is>
      </c>
      <c r="C111" s="22" t="n">
        <v>780</v>
      </c>
      <c r="D111" s="22" t="n">
        <v>802</v>
      </c>
      <c r="E111" s="22" t="n">
        <v>802</v>
      </c>
      <c r="F111" s="22" t="n">
        <v>666</v>
      </c>
      <c r="G111" s="22" t="n">
        <v>666</v>
      </c>
      <c r="H111" s="22" t="n">
        <v>703</v>
      </c>
      <c r="I111" s="22" t="n">
        <v>725</v>
      </c>
      <c r="J111" s="22" t="n">
        <v>754</v>
      </c>
      <c r="K111" s="22" t="n">
        <v>780</v>
      </c>
      <c r="L111" s="22" t="n">
        <v>666</v>
      </c>
    </row>
    <row r="112">
      <c r="A112" s="20" t="inlineStr">
        <is>
          <t>이익잉여금</t>
        </is>
      </c>
      <c r="C112" s="22" t="n">
        <v>10569</v>
      </c>
      <c r="D112" s="22" t="n">
        <v>10881</v>
      </c>
      <c r="E112" s="22" t="n">
        <v>10919</v>
      </c>
      <c r="F112" s="22" t="n">
        <v>10113</v>
      </c>
      <c r="G112" s="22" t="n">
        <v>10023</v>
      </c>
      <c r="H112" s="22" t="n">
        <v>8427</v>
      </c>
      <c r="I112" s="22" t="n">
        <v>9215</v>
      </c>
      <c r="J112" s="22" t="n">
        <v>9892</v>
      </c>
      <c r="K112" s="22" t="n">
        <v>10675</v>
      </c>
      <c r="L112" s="22" t="n">
        <v>10113</v>
      </c>
    </row>
    <row r="113">
      <c r="A113" s="20" t="inlineStr">
        <is>
          <t>자기주식</t>
        </is>
      </c>
      <c r="C113" s="22" t="n">
        <v>-407</v>
      </c>
      <c r="D113" s="22" t="n">
        <v>-392</v>
      </c>
      <c r="E113" s="22" t="n">
        <v>-1839</v>
      </c>
      <c r="F113" s="22" t="n">
        <v>-533</v>
      </c>
      <c r="G113" s="22" t="n">
        <v>-533</v>
      </c>
      <c r="H113" s="22" t="n">
        <v>-308</v>
      </c>
      <c r="I113" s="22" t="n">
        <v>-299</v>
      </c>
      <c r="J113" s="22" t="n">
        <v>-422</v>
      </c>
      <c r="K113" s="22" t="n">
        <v>-407</v>
      </c>
      <c r="L113" s="22" t="n">
        <v>-533</v>
      </c>
    </row>
    <row r="114">
      <c r="A114" s="9" t="inlineStr">
        <is>
          <t>주주자본 합계</t>
        </is>
      </c>
      <c r="C114" s="12" t="n">
        <v>11630</v>
      </c>
      <c r="D114" s="12" t="n">
        <v>11980</v>
      </c>
      <c r="E114" s="12" t="n">
        <v>10571</v>
      </c>
      <c r="F114" s="12" t="n">
        <v>10935</v>
      </c>
      <c r="G114" s="12" t="n">
        <v>10844</v>
      </c>
      <c r="H114" s="12" t="n">
        <v>9511</v>
      </c>
      <c r="I114" s="12" t="n">
        <v>10330</v>
      </c>
      <c r="J114" s="12" t="n">
        <v>10913</v>
      </c>
      <c r="K114" s="12" t="n">
        <v>11737</v>
      </c>
      <c r="L114" s="12" t="n">
        <v>10935</v>
      </c>
    </row>
    <row r="115">
      <c r="A115" s="20" t="inlineStr">
        <is>
          <t>기타유가증권 평가차액</t>
        </is>
      </c>
      <c r="C115" s="22" t="n">
        <v>4</v>
      </c>
      <c r="D115" s="22" t="n">
        <v>4</v>
      </c>
      <c r="E115" s="22" t="n">
        <v>5</v>
      </c>
      <c r="F115" s="22" t="n">
        <v>4</v>
      </c>
      <c r="G115" s="22" t="n">
        <v>5</v>
      </c>
      <c r="H115" s="22" t="n">
        <v>3</v>
      </c>
      <c r="I115" s="22" t="n">
        <v>4</v>
      </c>
      <c r="J115" s="22" t="n">
        <v>6</v>
      </c>
      <c r="K115" s="22" t="n">
        <v>4</v>
      </c>
      <c r="L115" s="22" t="n">
        <v>4</v>
      </c>
    </row>
    <row r="116">
      <c r="A116" s="20" t="inlineStr">
        <is>
          <t>퇴직급여 조정누계액</t>
        </is>
      </c>
      <c r="C116" s="22" t="n">
        <v>31</v>
      </c>
      <c r="D116" s="22" t="n">
        <v>21</v>
      </c>
      <c r="E116" s="22" t="n">
        <v>10</v>
      </c>
      <c r="F116" s="22" t="n">
        <v>-34</v>
      </c>
      <c r="G116" s="22" t="n">
        <v>-26</v>
      </c>
      <c r="H116" s="22" t="n">
        <v>-4</v>
      </c>
      <c r="I116" s="22" t="n">
        <v>-21</v>
      </c>
      <c r="J116" s="22" t="n">
        <v>16</v>
      </c>
      <c r="K116" s="22" t="n">
        <v>41</v>
      </c>
      <c r="L116" s="22" t="n">
        <v>-34</v>
      </c>
    </row>
    <row r="117">
      <c r="A117" s="20" t="inlineStr">
        <is>
          <t>기타포괄손익누계액 합계</t>
        </is>
      </c>
      <c r="C117" s="22" t="n">
        <v>35</v>
      </c>
      <c r="D117" s="22" t="n">
        <v>25</v>
      </c>
      <c r="E117" s="22" t="n">
        <v>15</v>
      </c>
      <c r="F117" s="22" t="n">
        <v>-30</v>
      </c>
      <c r="G117" s="22" t="n">
        <v>-21</v>
      </c>
      <c r="H117" s="22" t="n">
        <v>-1</v>
      </c>
      <c r="I117" s="22" t="n">
        <v>-17</v>
      </c>
      <c r="J117" s="22" t="n">
        <v>22</v>
      </c>
      <c r="K117" s="22" t="n">
        <v>45</v>
      </c>
      <c r="L117" s="22" t="n">
        <v>-30</v>
      </c>
    </row>
    <row r="118">
      <c r="A118" s="9" t="inlineStr">
        <is>
          <t>순자산 합계</t>
        </is>
      </c>
      <c r="C118" s="12" t="n">
        <v>11665</v>
      </c>
      <c r="D118" s="12" t="n">
        <v>12005</v>
      </c>
      <c r="E118" s="12" t="n">
        <v>10587</v>
      </c>
      <c r="F118" s="12" t="n">
        <v>10904</v>
      </c>
      <c r="G118" s="12" t="n">
        <v>10823</v>
      </c>
      <c r="H118" s="12" t="n">
        <v>9510</v>
      </c>
      <c r="I118" s="12" t="n">
        <v>10313</v>
      </c>
      <c r="J118" s="12" t="n">
        <v>10935</v>
      </c>
      <c r="K118" s="12" t="n">
        <v>11782</v>
      </c>
      <c r="L118" s="12" t="n">
        <v>10904</v>
      </c>
    </row>
    <row r="119">
      <c r="A119" s="9" t="inlineStr">
        <is>
          <t>부채·순자산 합계</t>
        </is>
      </c>
      <c r="C119" s="12" t="n">
        <v>14095</v>
      </c>
      <c r="D119" s="12" t="n">
        <v>14456</v>
      </c>
      <c r="E119" s="12" t="n">
        <v>12952</v>
      </c>
      <c r="F119" s="12" t="n">
        <v>13522</v>
      </c>
      <c r="G119" s="12" t="n">
        <v>13564</v>
      </c>
      <c r="H119" s="12" t="n">
        <v>12257</v>
      </c>
      <c r="I119" s="12" t="n">
        <v>12875</v>
      </c>
      <c r="J119" s="12" t="n">
        <v>13590</v>
      </c>
      <c r="K119" s="12" t="n">
        <v>14430</v>
      </c>
      <c r="L119" s="12" t="n">
        <v>13522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4299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revision 2026 10 30 · 상반기 직전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매출</t>
        </is>
      </c>
      <c r="B6" s="57" t="n">
        <v>98.09999999999999</v>
      </c>
      <c r="C6" s="58" t="inlineStr">
        <is>
          <t>2단계 보고서 자료(회사 설명회 자료·공시)</t>
        </is>
      </c>
    </row>
    <row r="7">
      <c r="A7" s="56" t="inlineStr">
        <is>
          <t>영업이익</t>
        </is>
      </c>
      <c r="B7" s="57" t="n">
        <v>3.8</v>
      </c>
    </row>
    <row r="8">
      <c r="A8" s="56" t="inlineStr">
        <is>
          <t>ord</t>
        </is>
      </c>
      <c r="B8" s="57" t="n">
        <v>3.95</v>
      </c>
    </row>
    <row r="9">
      <c r="A9" s="56" t="inlineStr">
        <is>
          <t>순이익</t>
        </is>
      </c>
      <c r="B9" s="57" t="n">
        <v>2.2</v>
      </c>
    </row>
    <row r="10">
      <c r="A10" s="56" t="inlineStr">
        <is>
          <t>EPS</t>
        </is>
      </c>
      <c r="B10" s="57" t="n">
        <v>21.07</v>
      </c>
    </row>
    <row r="12">
      <c r="A12" s="54" t="inlineStr">
        <is>
          <t>revision 2026 10 30 · 상반기 new</t>
        </is>
      </c>
      <c r="B12" s="54" t="n"/>
      <c r="C12" s="54" t="n"/>
    </row>
    <row r="13">
      <c r="A13" s="55" t="inlineStr">
        <is>
          <t>항목</t>
        </is>
      </c>
      <c r="B13" s="55" t="inlineStr">
        <is>
          <t>값</t>
        </is>
      </c>
      <c r="C13" s="55" t="inlineStr">
        <is>
          <t>출처</t>
        </is>
      </c>
    </row>
    <row r="14">
      <c r="A14" s="56" t="inlineStr">
        <is>
          <t>매출</t>
        </is>
      </c>
      <c r="B14" s="57" t="n">
        <v>103</v>
      </c>
      <c r="C14" s="58" t="inlineStr">
        <is>
          <t>2단계 보고서 자료(회사 설명회 자료·공시)</t>
        </is>
      </c>
    </row>
    <row r="15">
      <c r="A15" s="56" t="inlineStr">
        <is>
          <t>영업이익</t>
        </is>
      </c>
      <c r="B15" s="57" t="n">
        <v>6.3</v>
      </c>
    </row>
    <row r="16">
      <c r="A16" s="56" t="inlineStr">
        <is>
          <t>ord</t>
        </is>
      </c>
      <c r="B16" s="57" t="n">
        <v>6.55</v>
      </c>
    </row>
    <row r="17">
      <c r="A17" s="56" t="inlineStr">
        <is>
          <t>순이익</t>
        </is>
      </c>
      <c r="B17" s="57" t="n">
        <v>4.2</v>
      </c>
    </row>
    <row r="18">
      <c r="A18" s="56" t="inlineStr">
        <is>
          <t>EPS</t>
        </is>
      </c>
      <c r="B18" s="57" t="n">
        <v>40.23</v>
      </c>
    </row>
    <row r="20">
      <c r="A20" s="54" t="inlineStr">
        <is>
          <t>revision 2026 10 30 · 상반기 change %</t>
        </is>
      </c>
      <c r="B20" s="54" t="n"/>
      <c r="C20" s="54" t="n"/>
    </row>
    <row r="21">
      <c r="A21" s="55" t="inlineStr">
        <is>
          <t>항목</t>
        </is>
      </c>
      <c r="B21" s="55" t="inlineStr">
        <is>
          <t>값</t>
        </is>
      </c>
      <c r="C21" s="55" t="inlineStr">
        <is>
          <t>출처</t>
        </is>
      </c>
    </row>
    <row r="22">
      <c r="A22" s="56" t="inlineStr">
        <is>
          <t>매출</t>
        </is>
      </c>
      <c r="B22" s="57" t="n">
        <v>5</v>
      </c>
      <c r="C22" s="58" t="inlineStr">
        <is>
          <t>2단계 보고서 자료(회사 설명회 자료·공시)</t>
        </is>
      </c>
    </row>
    <row r="23">
      <c r="A23" s="56" t="inlineStr">
        <is>
          <t>영업이익</t>
        </is>
      </c>
      <c r="B23" s="57" t="n">
        <v>65.8</v>
      </c>
    </row>
    <row r="24">
      <c r="A24" s="56" t="inlineStr">
        <is>
          <t>ord</t>
        </is>
      </c>
      <c r="B24" s="57" t="n">
        <v>65.8</v>
      </c>
    </row>
    <row r="25">
      <c r="A25" s="56" t="inlineStr">
        <is>
          <t>순이익</t>
        </is>
      </c>
      <c r="B25" s="57" t="n">
        <v>90.90000000000001</v>
      </c>
    </row>
    <row r="27">
      <c r="A27" s="54" t="inlineStr">
        <is>
          <t>revision 2026 10 30 · 상반기 last year</t>
        </is>
      </c>
      <c r="B27" s="54" t="n"/>
      <c r="C27" s="54" t="n"/>
    </row>
    <row r="28">
      <c r="A28" s="55" t="inlineStr">
        <is>
          <t>항목</t>
        </is>
      </c>
      <c r="B28" s="55" t="inlineStr">
        <is>
          <t>값</t>
        </is>
      </c>
      <c r="C28" s="55" t="inlineStr">
        <is>
          <t>출처</t>
        </is>
      </c>
    </row>
    <row r="29">
      <c r="A29" s="56" t="inlineStr">
        <is>
          <t>매출</t>
        </is>
      </c>
      <c r="B29" s="57" t="n">
        <v>89.48999999999999</v>
      </c>
      <c r="C29" s="58" t="inlineStr">
        <is>
          <t>2단계 보고서 자료(회사 설명회 자료·공시)</t>
        </is>
      </c>
    </row>
    <row r="30">
      <c r="A30" s="56" t="inlineStr">
        <is>
          <t>영업이익</t>
        </is>
      </c>
      <c r="B30" s="57" t="n">
        <v>6.82</v>
      </c>
    </row>
    <row r="31">
      <c r="A31" s="56" t="inlineStr">
        <is>
          <t>ord</t>
        </is>
      </c>
      <c r="B31" s="57" t="n">
        <v>6.97</v>
      </c>
    </row>
    <row r="32">
      <c r="A32" s="56" t="inlineStr">
        <is>
          <t>순이익</t>
        </is>
      </c>
      <c r="B32" s="57" t="n">
        <v>4.72</v>
      </c>
    </row>
    <row r="33">
      <c r="A33" s="56" t="inlineStr">
        <is>
          <t>EPS</t>
        </is>
      </c>
      <c r="B33" s="57" t="n">
        <v>40.7</v>
      </c>
    </row>
    <row r="35">
      <c r="A35" s="54" t="inlineStr">
        <is>
          <t>revision 2026 10 30 · FY 직전</t>
        </is>
      </c>
      <c r="B35" s="54" t="n"/>
      <c r="C35" s="54" t="n"/>
    </row>
    <row r="36">
      <c r="A36" s="55" t="inlineStr">
        <is>
          <t>항목</t>
        </is>
      </c>
      <c r="B36" s="55" t="inlineStr">
        <is>
          <t>값</t>
        </is>
      </c>
      <c r="C36" s="55" t="inlineStr">
        <is>
          <t>출처</t>
        </is>
      </c>
    </row>
    <row r="37">
      <c r="A37" s="56" t="inlineStr">
        <is>
          <t>매출</t>
        </is>
      </c>
      <c r="B37" s="57" t="n">
        <v>200</v>
      </c>
      <c r="C37" s="58" t="inlineStr">
        <is>
          <t>2단계 보고서 자료(회사 설명회 자료·공시)</t>
        </is>
      </c>
    </row>
    <row r="38">
      <c r="A38" s="56" t="inlineStr">
        <is>
          <t>영업이익</t>
        </is>
      </c>
      <c r="B38" s="57" t="n">
        <v>12</v>
      </c>
    </row>
    <row r="39">
      <c r="A39" s="56" t="inlineStr">
        <is>
          <t>ord</t>
        </is>
      </c>
      <c r="B39" s="57" t="n">
        <v>12.2</v>
      </c>
    </row>
    <row r="40">
      <c r="A40" s="56" t="inlineStr">
        <is>
          <t>순이익</t>
        </is>
      </c>
      <c r="B40" s="57" t="n">
        <v>7.8</v>
      </c>
    </row>
    <row r="41">
      <c r="A41" s="56" t="inlineStr">
        <is>
          <t>EPS</t>
        </is>
      </c>
      <c r="B41" s="57" t="n">
        <v>74.51000000000001</v>
      </c>
    </row>
    <row r="43">
      <c r="A43" s="54" t="inlineStr">
        <is>
          <t>revision 2026 10 30 · FY new</t>
        </is>
      </c>
      <c r="B43" s="54" t="n"/>
      <c r="C43" s="54" t="n"/>
    </row>
    <row r="44">
      <c r="A44" s="55" t="inlineStr">
        <is>
          <t>항목</t>
        </is>
      </c>
      <c r="B44" s="55" t="inlineStr">
        <is>
          <t>값</t>
        </is>
      </c>
      <c r="C44" s="55" t="inlineStr">
        <is>
          <t>출처</t>
        </is>
      </c>
    </row>
    <row r="45">
      <c r="A45" s="56" t="inlineStr">
        <is>
          <t>매출</t>
        </is>
      </c>
      <c r="B45" s="57" t="n">
        <v>210</v>
      </c>
      <c r="C45" s="58" t="inlineStr">
        <is>
          <t>2단계 보고서 자료(회사 설명회 자료·공시)</t>
        </is>
      </c>
    </row>
    <row r="46">
      <c r="A46" s="56" t="inlineStr">
        <is>
          <t>영업이익</t>
        </is>
      </c>
      <c r="B46" s="57" t="n">
        <v>14.5</v>
      </c>
    </row>
    <row r="47">
      <c r="A47" s="56" t="inlineStr">
        <is>
          <t>ord</t>
        </is>
      </c>
      <c r="B47" s="57" t="n">
        <v>14.75</v>
      </c>
    </row>
    <row r="48">
      <c r="A48" s="56" t="inlineStr">
        <is>
          <t>순이익</t>
        </is>
      </c>
      <c r="B48" s="57" t="n">
        <v>10</v>
      </c>
    </row>
    <row r="49">
      <c r="A49" s="56" t="inlineStr">
        <is>
          <t>EPS</t>
        </is>
      </c>
      <c r="B49" s="57" t="n">
        <v>95.53</v>
      </c>
    </row>
    <row r="51">
      <c r="A51" s="54" t="inlineStr">
        <is>
          <t>revision 2026 10 30 · FY change %</t>
        </is>
      </c>
      <c r="B51" s="54" t="n"/>
      <c r="C51" s="54" t="n"/>
    </row>
    <row r="52">
      <c r="A52" s="55" t="inlineStr">
        <is>
          <t>항목</t>
        </is>
      </c>
      <c r="B52" s="55" t="inlineStr">
        <is>
          <t>값</t>
        </is>
      </c>
      <c r="C52" s="55" t="inlineStr">
        <is>
          <t>출처</t>
        </is>
      </c>
    </row>
    <row r="53">
      <c r="A53" s="56" t="inlineStr">
        <is>
          <t>매출</t>
        </is>
      </c>
      <c r="B53" s="57" t="n">
        <v>5</v>
      </c>
      <c r="C53" s="58" t="inlineStr">
        <is>
          <t>2단계 보고서 자료(회사 설명회 자료·공시)</t>
        </is>
      </c>
    </row>
    <row r="54">
      <c r="A54" s="56" t="inlineStr">
        <is>
          <t>영업이익</t>
        </is>
      </c>
      <c r="B54" s="57" t="n">
        <v>20.8</v>
      </c>
    </row>
    <row r="55">
      <c r="A55" s="56" t="inlineStr">
        <is>
          <t>ord</t>
        </is>
      </c>
      <c r="B55" s="57" t="n">
        <v>20.9</v>
      </c>
    </row>
    <row r="56">
      <c r="A56" s="56" t="inlineStr">
        <is>
          <t>순이익</t>
        </is>
      </c>
      <c r="B56" s="57" t="n">
        <v>28.2</v>
      </c>
    </row>
    <row r="58">
      <c r="A58" s="54" t="inlineStr">
        <is>
          <t>revision 2026 10 30 · FY last year</t>
        </is>
      </c>
      <c r="B58" s="54" t="n"/>
      <c r="C58" s="54" t="n"/>
    </row>
    <row r="59">
      <c r="A59" s="55" t="inlineStr">
        <is>
          <t>항목</t>
        </is>
      </c>
      <c r="B59" s="55" t="inlineStr">
        <is>
          <t>값</t>
        </is>
      </c>
      <c r="C59" s="55" t="inlineStr">
        <is>
          <t>출처</t>
        </is>
      </c>
    </row>
    <row r="60">
      <c r="A60" s="56" t="inlineStr">
        <is>
          <t>매출</t>
        </is>
      </c>
      <c r="B60" s="57" t="n">
        <v>182.16</v>
      </c>
      <c r="C60" s="58" t="inlineStr">
        <is>
          <t>2단계 보고서 자료(회사 설명회 자료·공시)</t>
        </is>
      </c>
    </row>
    <row r="61">
      <c r="A61" s="56" t="inlineStr">
        <is>
          <t>영업이익</t>
        </is>
      </c>
      <c r="B61" s="57" t="n">
        <v>15.62</v>
      </c>
    </row>
    <row r="62">
      <c r="A62" s="56" t="inlineStr">
        <is>
          <t>ord</t>
        </is>
      </c>
      <c r="B62" s="57" t="n">
        <v>15.83</v>
      </c>
    </row>
    <row r="63">
      <c r="A63" s="56" t="inlineStr">
        <is>
          <t>순이익</t>
        </is>
      </c>
      <c r="B63" s="57" t="n">
        <v>11.41</v>
      </c>
    </row>
    <row r="64">
      <c r="A64" s="56" t="inlineStr">
        <is>
          <t>EPS</t>
        </is>
      </c>
      <c r="B64" s="57" t="n">
        <v>101.6</v>
      </c>
    </row>
    <row r="66">
      <c r="A66" s="54" t="inlineStr">
        <is>
          <t>this quarter calc</t>
        </is>
      </c>
      <c r="B66" s="54" t="n"/>
      <c r="C66" s="54" t="n"/>
    </row>
    <row r="67">
      <c r="A67" s="55" t="inlineStr">
        <is>
          <t>항목</t>
        </is>
      </c>
      <c r="B67" s="55" t="inlineStr">
        <is>
          <t>값</t>
        </is>
      </c>
      <c r="C67" s="55" t="inlineStr">
        <is>
          <t>출처</t>
        </is>
      </c>
    </row>
    <row r="68">
      <c r="A68" s="56" t="inlineStr">
        <is>
          <t>매출</t>
        </is>
      </c>
      <c r="B68" s="57" t="n">
        <v>51.76</v>
      </c>
      <c r="C68" s="58" t="inlineStr">
        <is>
          <t>2단계 보고서 자료(회사 설명회 자료·공시)</t>
        </is>
      </c>
    </row>
    <row r="69">
      <c r="A69" s="56" t="inlineStr">
        <is>
          <t>영업이익</t>
        </is>
      </c>
      <c r="B69" s="57" t="n">
        <v>3.98</v>
      </c>
    </row>
    <row r="70">
      <c r="A70" s="56" t="inlineStr">
        <is>
          <t>ord</t>
        </is>
      </c>
      <c r="B70" s="57" t="n">
        <v>4.21</v>
      </c>
    </row>
    <row r="71">
      <c r="A71" s="56" t="inlineStr">
        <is>
          <t>순이익</t>
        </is>
      </c>
      <c r="B71" s="57" t="n">
        <v>2.71</v>
      </c>
    </row>
    <row r="72">
      <c r="A72" s="56" t="inlineStr">
        <is>
          <t>EPS approx</t>
        </is>
      </c>
      <c r="B72" s="57" t="n">
        <v>25.9</v>
      </c>
    </row>
    <row r="74">
      <c r="A74" s="54" t="inlineStr">
        <is>
          <t>this quarter calc · YoY vs 2026 2Q</t>
        </is>
      </c>
      <c r="B74" s="54" t="n"/>
      <c r="C74" s="54" t="n"/>
    </row>
    <row r="75">
      <c r="A75" s="55" t="inlineStr">
        <is>
          <t>항목</t>
        </is>
      </c>
      <c r="B75" s="55" t="inlineStr">
        <is>
          <t>값</t>
        </is>
      </c>
      <c r="C75" s="55" t="inlineStr">
        <is>
          <t>출처</t>
        </is>
      </c>
    </row>
    <row r="76">
      <c r="A76" s="56" t="inlineStr">
        <is>
          <t>매출</t>
        </is>
      </c>
      <c r="B76" s="57" t="n">
        <v>15.2</v>
      </c>
      <c r="C76" s="58" t="inlineStr">
        <is>
          <t>2단계 보고서 자료(회사 설명회 자료·공시)</t>
        </is>
      </c>
    </row>
    <row r="77">
      <c r="A77" s="56" t="inlineStr">
        <is>
          <t>영업이익</t>
        </is>
      </c>
      <c r="B77" s="57" t="n">
        <v>-11</v>
      </c>
    </row>
    <row r="78">
      <c r="A78" s="56" t="inlineStr">
        <is>
          <t>ord</t>
        </is>
      </c>
      <c r="B78" s="57" t="n">
        <v>-8.5</v>
      </c>
    </row>
    <row r="79">
      <c r="A79" s="56" t="inlineStr">
        <is>
          <t>순이익</t>
        </is>
      </c>
      <c r="B79" s="57" t="n">
        <v>-12.9</v>
      </c>
    </row>
    <row r="81">
      <c r="A81" s="54" t="inlineStr">
        <is>
          <t>this quarter calc · 상반기 YoY</t>
        </is>
      </c>
      <c r="B81" s="54" t="n"/>
      <c r="C81" s="54" t="n"/>
    </row>
    <row r="82">
      <c r="A82" s="55" t="inlineStr">
        <is>
          <t>항목</t>
        </is>
      </c>
      <c r="B82" s="55" t="inlineStr">
        <is>
          <t>값</t>
        </is>
      </c>
      <c r="C82" s="55" t="inlineStr">
        <is>
          <t>출처</t>
        </is>
      </c>
    </row>
    <row r="83">
      <c r="A83" s="56" t="inlineStr">
        <is>
          <t>매출</t>
        </is>
      </c>
      <c r="B83" s="57" t="n">
        <v>15.1</v>
      </c>
      <c r="C83" s="58" t="inlineStr">
        <is>
          <t>2단계 보고서 자료(회사 설명회 자료·공시)</t>
        </is>
      </c>
    </row>
    <row r="84">
      <c r="A84" s="56" t="inlineStr">
        <is>
          <t>영업이익</t>
        </is>
      </c>
      <c r="B84" s="57" t="n">
        <v>-7.6</v>
      </c>
    </row>
    <row r="85">
      <c r="A85" s="56" t="inlineStr">
        <is>
          <t>ord</t>
        </is>
      </c>
      <c r="B85" s="57" t="n">
        <v>-6</v>
      </c>
    </row>
    <row r="86">
      <c r="A86" s="56" t="inlineStr">
        <is>
          <t>순이익</t>
        </is>
      </c>
      <c r="B86" s="57" t="n">
        <v>-11</v>
      </c>
    </row>
    <row r="88">
      <c r="A88" s="54" t="inlineStr">
        <is>
          <t>this quarter calc · 하반기 implied</t>
        </is>
      </c>
      <c r="B88" s="54" t="n"/>
      <c r="C88" s="54" t="n"/>
    </row>
    <row r="89">
      <c r="A89" s="55" t="inlineStr">
        <is>
          <t>항목</t>
        </is>
      </c>
      <c r="B89" s="55" t="inlineStr">
        <is>
          <t>값</t>
        </is>
      </c>
      <c r="C89" s="55" t="inlineStr">
        <is>
          <t>출처</t>
        </is>
      </c>
    </row>
    <row r="90">
      <c r="A90" s="56" t="inlineStr">
        <is>
          <t>매출</t>
        </is>
      </c>
      <c r="B90" s="57" t="n">
        <v>107</v>
      </c>
      <c r="C90" s="58" t="inlineStr">
        <is>
          <t>2단계 보고서 자료(회사 설명회 자료·공시)</t>
        </is>
      </c>
    </row>
    <row r="91">
      <c r="A91" s="56" t="inlineStr">
        <is>
          <t>영업이익</t>
        </is>
      </c>
      <c r="B91" s="57" t="n">
        <v>8.199999999999999</v>
      </c>
    </row>
    <row r="92">
      <c r="A92" s="56" t="inlineStr">
        <is>
          <t>ord</t>
        </is>
      </c>
      <c r="B92" s="57" t="n">
        <v>8.199999999999999</v>
      </c>
    </row>
    <row r="93">
      <c r="A93" s="56" t="inlineStr">
        <is>
          <t>순이익</t>
        </is>
      </c>
      <c r="B93" s="57" t="n">
        <v>5.8</v>
      </c>
    </row>
    <row r="95">
      <c r="A95" s="54" t="inlineStr">
        <is>
          <t>shares mcap</t>
        </is>
      </c>
      <c r="B95" s="54" t="n"/>
      <c r="C95" s="54" t="n"/>
    </row>
    <row r="96">
      <c r="A96" s="55" t="inlineStr">
        <is>
          <t>항목</t>
        </is>
      </c>
      <c r="B96" s="55" t="inlineStr">
        <is>
          <t>값</t>
        </is>
      </c>
      <c r="C96" s="55" t="inlineStr">
        <is>
          <t>출처</t>
        </is>
      </c>
    </row>
    <row r="97">
      <c r="A97" s="56" t="inlineStr">
        <is>
          <t>mcap yahoo</t>
        </is>
      </c>
      <c r="B97" s="57" t="n">
        <v>117.2</v>
      </c>
      <c r="C97" s="58" t="inlineStr">
        <is>
          <t>야후 시총 117.2억 엔(1,124엔 기준) → 주식수 약 1,042만 주(자사주 제외). 수정 예상 NI 10.0/EPS 95.53 = 1,047만 주와 일치</t>
        </is>
      </c>
    </row>
    <row r="98">
      <c r="A98" s="56" t="inlineStr">
        <is>
          <t>shares approx mn</t>
        </is>
      </c>
      <c r="B98" s="57" t="n">
        <v>10.42</v>
      </c>
    </row>
    <row r="100">
      <c r="A100" s="54" t="inlineStr">
        <is>
          <t>밸류에이션 now</t>
        </is>
      </c>
      <c r="B100" s="54" t="n"/>
      <c r="C100" s="54" t="n"/>
    </row>
    <row r="101">
      <c r="A101" s="55" t="inlineStr">
        <is>
          <t>항목</t>
        </is>
      </c>
      <c r="B101" s="55" t="inlineStr">
        <is>
          <t>값</t>
        </is>
      </c>
      <c r="C101" s="55" t="inlineStr">
        <is>
          <t>출처</t>
        </is>
      </c>
    </row>
    <row r="102">
      <c r="A102" s="56" t="inlineStr">
        <is>
          <t>PER new guide</t>
        </is>
      </c>
      <c r="B102" s="57" t="n">
        <v>11.77</v>
      </c>
      <c r="C102" s="58" t="inlineStr">
        <is>
          <t>2단계 보고서 자료(회사 설명회 자료·공시)</t>
        </is>
      </c>
    </row>
    <row r="103">
      <c r="A103" s="56" t="inlineStr">
        <is>
          <t>PER old guide</t>
        </is>
      </c>
      <c r="B103" s="57" t="n">
        <v>15.09</v>
      </c>
    </row>
    <row r="104">
      <c r="A104" s="56" t="inlineStr">
        <is>
          <t>PER trailing FY26</t>
        </is>
      </c>
      <c r="B104" s="57" t="n">
        <v>11.06</v>
      </c>
    </row>
    <row r="105">
      <c r="A105" s="56" t="inlineStr">
        <is>
          <t>dps fc</t>
        </is>
      </c>
      <c r="B105" s="59" t="n">
        <v>51</v>
      </c>
    </row>
    <row r="106">
      <c r="A106" s="56" t="inlineStr">
        <is>
          <t>div yield %</t>
        </is>
      </c>
      <c r="B106" s="57" t="n">
        <v>4.54</v>
      </c>
    </row>
    <row r="107">
      <c r="A107" s="56" t="inlineStr">
        <is>
          <t>PBR approx</t>
        </is>
      </c>
      <c r="B107" s="57" t="n">
        <v>1.08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2026-08-14</t>
        </is>
      </c>
      <c r="B4" t="inlineStr">
        <is>
          <t>2027년 3월 결산기 １분기 결산단신</t>
        </is>
      </c>
      <c r="C4" t="inlineStr">
        <is>
          <t>https://www2.jpx.co.jp/disc/42990/140120260813519687.pdf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https://www2.jpx.co.jp/disc/42990/140120260512526607.pdf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https://www2.jpx.co.jp/disc/42990/140120260129541387.pdf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https://www2.jpx.co.jp/disc/42990/140120251030582380.pdf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https://www2.jpx.co.jp/disc/42990/140120250730523369.pdf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https://www2.jpx.co.jp/disc/42990/140120250512539969.pdf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https://www2.jpx.co.jp/disc/42990/140120250130558817.pdf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https://www2.jpx.co.jp/disc/42990/140120241031507275.pdf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https://www2.jpx.co.jp/disc/42990/140120240731558690.pdf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https://www2.jpx.co.jp/disc/42990/140120240514595292.pdf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https://www2.jpx.co.jp/disc/42990/140120240131522942.pdf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https://www2.jpx.co.jp/disc/42990/140120231031575583.pdf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https://www2.jpx.co.jp/disc/42990/140120230728528864.pdf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https://www2.jpx.co.jp/disc/42990/140120230512569965.pdf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https://www2.jpx.co.jp/disc/42990/140120230131597303.pdf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https://www2.jpx.co.jp/disc/42990/140120221028551761.pdf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https://www2.jpx.co.jp/disc/42990/140120220513545846.pdf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https://www2.jpx.co.jp/disc/42990/140120210514418953.pdf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https://www2.jpx.co.jp/disc/42990/140120200513412163.pdf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https://www2.jpx.co.jp/disc/42990/140120190509419860.pdf</t>
        </is>
      </c>
    </row>
    <row r="24">
      <c r="A24" t="inlineStr">
        <is>
          <t>2018-05-10</t>
        </is>
      </c>
      <c r="B24" t="inlineStr">
        <is>
          <t>연간 결산단신</t>
        </is>
      </c>
      <c r="C24" t="inlineStr">
        <is>
          <t>https://www2.jpx.co.jp/disc/42990/140120180509431734.pdf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1" t="inlineStr">
        <is>
          <t>4299 재무제표 한눈에 보기 — 최근 40개 분기(달력 분기, 3Q26 = 26.7~9) · 단위 억 엔</t>
        </is>
      </c>
    </row>
    <row r="2">
      <c r="A2" s="62" t="inlineStr">
        <is>
          <t>출처: 매출·영업이익 결산단신 XBRL · 재무상태표 등 결산단신 XBRL 36건(2017-10-31~2026-08-14). 부문·지역·수주·수출은 있을 때만(출처는 줄 끝). 총 차입금 = 이자 붙는 부채 전부(단기·장기 차입금, CP, 사채·전환사채, 리스부채)</t>
        </is>
      </c>
    </row>
    <row r="4">
      <c r="A4" s="63" t="inlineStr">
        <is>
          <t>항목</t>
        </is>
      </c>
      <c r="B4" s="64" t="inlineStr">
        <is>
          <t>3Q16</t>
        </is>
      </c>
      <c r="C4" s="64" t="inlineStr">
        <is>
          <t>4Q16</t>
        </is>
      </c>
      <c r="D4" s="64" t="inlineStr">
        <is>
          <t>1Q17</t>
        </is>
      </c>
      <c r="E4" s="64" t="inlineStr">
        <is>
          <t>2Q17</t>
        </is>
      </c>
      <c r="F4" s="64" t="inlineStr">
        <is>
          <t>3Q17</t>
        </is>
      </c>
      <c r="G4" s="64" t="inlineStr">
        <is>
          <t>4Q17</t>
        </is>
      </c>
      <c r="H4" s="64" t="inlineStr">
        <is>
          <t>1Q18</t>
        </is>
      </c>
      <c r="I4" s="64" t="inlineStr">
        <is>
          <t>2Q18</t>
        </is>
      </c>
      <c r="J4" s="64" t="inlineStr">
        <is>
          <t>3Q18</t>
        </is>
      </c>
      <c r="K4" s="64" t="inlineStr">
        <is>
          <t>4Q18</t>
        </is>
      </c>
      <c r="L4" s="64" t="inlineStr">
        <is>
          <t>1Q19</t>
        </is>
      </c>
      <c r="M4" s="64" t="inlineStr">
        <is>
          <t>2Q19</t>
        </is>
      </c>
      <c r="N4" s="64" t="inlineStr">
        <is>
          <t>3Q19</t>
        </is>
      </c>
      <c r="O4" s="64" t="inlineStr">
        <is>
          <t>4Q19</t>
        </is>
      </c>
      <c r="P4" s="64" t="inlineStr">
        <is>
          <t>1Q20</t>
        </is>
      </c>
      <c r="Q4" s="64" t="inlineStr">
        <is>
          <t>2Q20</t>
        </is>
      </c>
      <c r="R4" s="64" t="inlineStr">
        <is>
          <t>3Q20</t>
        </is>
      </c>
      <c r="S4" s="64" t="inlineStr">
        <is>
          <t>4Q20</t>
        </is>
      </c>
      <c r="T4" s="64" t="inlineStr">
        <is>
          <t>1Q21</t>
        </is>
      </c>
      <c r="U4" s="64" t="inlineStr">
        <is>
          <t>2Q21</t>
        </is>
      </c>
      <c r="V4" s="64" t="inlineStr">
        <is>
          <t>3Q21</t>
        </is>
      </c>
      <c r="W4" s="64" t="inlineStr">
        <is>
          <t>4Q21</t>
        </is>
      </c>
      <c r="X4" s="64" t="inlineStr">
        <is>
          <t>1Q22</t>
        </is>
      </c>
      <c r="Y4" s="64" t="inlineStr">
        <is>
          <t>2Q22</t>
        </is>
      </c>
      <c r="Z4" s="64" t="inlineStr">
        <is>
          <t>3Q22</t>
        </is>
      </c>
      <c r="AA4" s="64" t="inlineStr">
        <is>
          <t>4Q22</t>
        </is>
      </c>
      <c r="AB4" s="64" t="inlineStr">
        <is>
          <t>1Q23</t>
        </is>
      </c>
      <c r="AC4" s="64" t="inlineStr">
        <is>
          <t>2Q23</t>
        </is>
      </c>
      <c r="AD4" s="64" t="inlineStr">
        <is>
          <t>3Q23</t>
        </is>
      </c>
      <c r="AE4" s="64" t="inlineStr">
        <is>
          <t>4Q23</t>
        </is>
      </c>
      <c r="AF4" s="64" t="inlineStr">
        <is>
          <t>1Q24</t>
        </is>
      </c>
      <c r="AG4" s="64" t="inlineStr">
        <is>
          <t>2Q24</t>
        </is>
      </c>
      <c r="AH4" s="64" t="inlineStr">
        <is>
          <t>3Q24</t>
        </is>
      </c>
      <c r="AI4" s="64" t="inlineStr">
        <is>
          <t>4Q24</t>
        </is>
      </c>
      <c r="AJ4" s="64" t="inlineStr">
        <is>
          <t>1Q25</t>
        </is>
      </c>
      <c r="AK4" s="64" t="inlineStr">
        <is>
          <t>2Q25</t>
        </is>
      </c>
      <c r="AL4" s="64" t="inlineStr">
        <is>
          <t>3Q25</t>
        </is>
      </c>
      <c r="AM4" s="64" t="inlineStr">
        <is>
          <t>4Q25</t>
        </is>
      </c>
      <c r="AN4" s="64" t="inlineStr">
        <is>
          <t>1Q26</t>
        </is>
      </c>
      <c r="AO4" s="64" t="inlineStr">
        <is>
          <t>2Q26</t>
        </is>
      </c>
      <c r="AP4" s="63" t="inlineStr">
        <is>
          <t>출처</t>
        </is>
      </c>
    </row>
    <row r="5">
      <c r="A5" s="65" t="inlineStr">
        <is>
          <t>매출액</t>
        </is>
      </c>
      <c r="B5" s="66" t="n"/>
      <c r="C5" s="66" t="n">
        <v>30.3</v>
      </c>
      <c r="D5" s="66" t="n">
        <v>32.6</v>
      </c>
      <c r="E5" s="66" t="n">
        <v>30.5</v>
      </c>
      <c r="F5" s="66" t="n">
        <v>34</v>
      </c>
      <c r="G5" s="66" t="n">
        <v>33.9</v>
      </c>
      <c r="H5" s="66" t="n">
        <v>36.5</v>
      </c>
      <c r="I5" s="66" t="n">
        <v>33.6</v>
      </c>
      <c r="J5" s="66" t="n">
        <v>38</v>
      </c>
      <c r="K5" s="66" t="n">
        <v>38.8</v>
      </c>
      <c r="L5" s="66" t="n">
        <v>37.9</v>
      </c>
      <c r="M5" s="66" t="n">
        <v>36.7</v>
      </c>
      <c r="N5" s="66" t="n">
        <v>40.4</v>
      </c>
      <c r="O5" s="66" t="n">
        <v>36.6</v>
      </c>
      <c r="P5" s="66" t="n">
        <v>39.7</v>
      </c>
      <c r="Q5" s="66" t="n">
        <v>37.8</v>
      </c>
      <c r="R5" s="66" t="n">
        <v>38.1</v>
      </c>
      <c r="S5" s="66" t="n">
        <v>38.3</v>
      </c>
      <c r="T5" s="66" t="n">
        <v>40.2</v>
      </c>
      <c r="U5" s="66" t="n">
        <v>37.8</v>
      </c>
      <c r="V5" s="66" t="n">
        <v>41.2</v>
      </c>
      <c r="W5" s="66" t="n">
        <v>43</v>
      </c>
      <c r="X5" s="66" t="n">
        <v>44.8</v>
      </c>
      <c r="Y5" s="66" t="n">
        <v>44.4</v>
      </c>
      <c r="Z5" s="66" t="n">
        <v>43.6</v>
      </c>
      <c r="AA5" s="66" t="n">
        <v>42.3</v>
      </c>
      <c r="AB5" s="66" t="n">
        <v>43.1</v>
      </c>
      <c r="AC5" s="66" t="n">
        <v>43.4</v>
      </c>
      <c r="AD5" s="66" t="n">
        <v>43.3</v>
      </c>
      <c r="AE5" s="66" t="n">
        <v>43.4</v>
      </c>
      <c r="AF5" s="66" t="n">
        <v>43.5</v>
      </c>
      <c r="AG5" s="66" t="n">
        <v>43.3</v>
      </c>
      <c r="AH5" s="66" t="n">
        <v>44.9</v>
      </c>
      <c r="AI5" s="66" t="n">
        <v>45.1</v>
      </c>
      <c r="AJ5" s="66" t="n">
        <v>47.4</v>
      </c>
      <c r="AK5" s="66" t="n">
        <v>44.5</v>
      </c>
      <c r="AL5" s="66" t="n">
        <v>45</v>
      </c>
      <c r="AM5" s="66" t="n">
        <v>45.2</v>
      </c>
      <c r="AN5" s="66" t="n">
        <v>47.5</v>
      </c>
      <c r="AO5" s="66" t="n">
        <v>51.2</v>
      </c>
    </row>
    <row r="6">
      <c r="A6" s="65" t="inlineStr">
        <is>
          <t>매출액 YoY</t>
        </is>
      </c>
      <c r="B6" s="67" t="n"/>
      <c r="C6" s="67" t="n"/>
      <c r="D6" s="67" t="n"/>
      <c r="E6" s="67" t="n"/>
      <c r="F6" s="67" t="n"/>
      <c r="G6" s="67" t="n">
        <v>11.9</v>
      </c>
      <c r="H6" s="67" t="n">
        <v>12</v>
      </c>
      <c r="I6" s="67" t="n">
        <v>10.2</v>
      </c>
      <c r="J6" s="67" t="n">
        <v>11.8</v>
      </c>
      <c r="K6" s="67" t="n">
        <v>14.5</v>
      </c>
      <c r="L6" s="67" t="n">
        <v>3.8</v>
      </c>
      <c r="M6" s="67" t="n">
        <v>9.199999999999999</v>
      </c>
      <c r="N6" s="67" t="n">
        <v>6.3</v>
      </c>
      <c r="O6" s="67" t="n">
        <v>-5.7</v>
      </c>
      <c r="P6" s="67" t="n">
        <v>4.7</v>
      </c>
      <c r="Q6" s="67" t="n">
        <v>3</v>
      </c>
      <c r="R6" s="67" t="n">
        <v>-5.7</v>
      </c>
      <c r="S6" s="67" t="n">
        <v>4.6</v>
      </c>
      <c r="T6" s="67" t="n">
        <v>1.3</v>
      </c>
      <c r="U6" s="67" t="n">
        <v>0</v>
      </c>
      <c r="V6" s="67" t="n">
        <v>8.1</v>
      </c>
      <c r="W6" s="67" t="n">
        <v>12.3</v>
      </c>
      <c r="X6" s="67" t="n">
        <v>11.4</v>
      </c>
      <c r="Y6" s="67" t="n">
        <v>17.5</v>
      </c>
      <c r="Z6" s="67" t="n">
        <v>5.8</v>
      </c>
      <c r="AA6" s="67" t="n">
        <v>-1.6</v>
      </c>
      <c r="AB6" s="67" t="n">
        <v>-3.8</v>
      </c>
      <c r="AC6" s="67" t="n">
        <v>-2.3</v>
      </c>
      <c r="AD6" s="67" t="n">
        <v>-0.7</v>
      </c>
      <c r="AE6" s="67" t="n">
        <v>2.6</v>
      </c>
      <c r="AF6" s="67" t="n">
        <v>0.9</v>
      </c>
      <c r="AG6" s="67" t="n">
        <v>-0.2</v>
      </c>
      <c r="AH6" s="67" t="n">
        <v>3.7</v>
      </c>
      <c r="AI6" s="67" t="n">
        <v>3.9</v>
      </c>
      <c r="AJ6" s="67" t="n">
        <v>9</v>
      </c>
      <c r="AK6" s="67" t="n">
        <v>2.8</v>
      </c>
      <c r="AL6" s="67" t="n">
        <v>0.2</v>
      </c>
      <c r="AM6" s="67" t="n">
        <v>0.2</v>
      </c>
      <c r="AN6" s="67" t="n">
        <v>0.2</v>
      </c>
      <c r="AO6" s="67" t="n">
        <v>15.1</v>
      </c>
    </row>
    <row r="7">
      <c r="A7" s="65" t="inlineStr">
        <is>
          <t>영업이익</t>
        </is>
      </c>
      <c r="B7" s="66" t="n"/>
      <c r="C7" s="66" t="n">
        <v>3.3</v>
      </c>
      <c r="D7" s="66" t="n">
        <v>1.8</v>
      </c>
      <c r="E7" s="66" t="n">
        <v>1.2</v>
      </c>
      <c r="F7" s="66" t="n">
        <v>2.8</v>
      </c>
      <c r="G7" s="66" t="n">
        <v>3</v>
      </c>
      <c r="H7" s="66" t="n">
        <v>2.8</v>
      </c>
      <c r="I7" s="66" t="n">
        <v>1.7</v>
      </c>
      <c r="J7" s="66" t="n">
        <v>2.5</v>
      </c>
      <c r="K7" s="66" t="n">
        <v>3.3</v>
      </c>
      <c r="L7" s="66" t="n">
        <v>2.3</v>
      </c>
      <c r="M7" s="66" t="n">
        <v>2</v>
      </c>
      <c r="N7" s="66" t="n">
        <v>1</v>
      </c>
      <c r="O7" s="66" t="n">
        <v>3.4</v>
      </c>
      <c r="P7" s="66" t="n">
        <v>3.7</v>
      </c>
      <c r="Q7" s="66" t="n">
        <v>2.9</v>
      </c>
      <c r="R7" s="66" t="n">
        <v>3.7</v>
      </c>
      <c r="S7" s="66" t="n">
        <v>3.6</v>
      </c>
      <c r="T7" s="66" t="n">
        <v>3.5</v>
      </c>
      <c r="U7" s="66" t="n">
        <v>2.9</v>
      </c>
      <c r="V7" s="66" t="n">
        <v>4.6</v>
      </c>
      <c r="W7" s="66" t="n">
        <v>5.6</v>
      </c>
      <c r="X7" s="66" t="n">
        <v>4</v>
      </c>
      <c r="Y7" s="66" t="n">
        <v>4</v>
      </c>
      <c r="Z7" s="66" t="n">
        <v>4.7</v>
      </c>
      <c r="AA7" s="66" t="n">
        <v>4.8</v>
      </c>
      <c r="AB7" s="66" t="n">
        <v>4.8</v>
      </c>
      <c r="AC7" s="66" t="n">
        <v>2.9</v>
      </c>
      <c r="AD7" s="66" t="n">
        <v>4.2</v>
      </c>
      <c r="AE7" s="66" t="n">
        <v>4.9</v>
      </c>
      <c r="AF7" s="66" t="n">
        <v>5.2</v>
      </c>
      <c r="AG7" s="66" t="n">
        <v>3</v>
      </c>
      <c r="AH7" s="66" t="n">
        <v>5</v>
      </c>
      <c r="AI7" s="66" t="n">
        <v>5.1</v>
      </c>
      <c r="AJ7" s="66" t="n">
        <v>5</v>
      </c>
      <c r="AK7" s="66" t="n">
        <v>2.4</v>
      </c>
      <c r="AL7" s="66" t="n">
        <v>4.5</v>
      </c>
      <c r="AM7" s="66" t="n">
        <v>4.5</v>
      </c>
      <c r="AN7" s="66" t="n">
        <v>4.3</v>
      </c>
      <c r="AO7" s="66" t="n">
        <v>2.3</v>
      </c>
    </row>
    <row r="8">
      <c r="A8" s="65" t="inlineStr">
        <is>
          <t>영업이익률</t>
        </is>
      </c>
      <c r="B8" s="67" t="n"/>
      <c r="C8" s="67" t="n">
        <v>10.9</v>
      </c>
      <c r="D8" s="67" t="n">
        <v>5.5</v>
      </c>
      <c r="E8" s="67" t="n">
        <v>3.9</v>
      </c>
      <c r="F8" s="67" t="n">
        <v>8.199999999999999</v>
      </c>
      <c r="G8" s="67" t="n">
        <v>8.800000000000001</v>
      </c>
      <c r="H8" s="67" t="n">
        <v>7.7</v>
      </c>
      <c r="I8" s="67" t="n">
        <v>5.1</v>
      </c>
      <c r="J8" s="67" t="n">
        <v>6.6</v>
      </c>
      <c r="K8" s="67" t="n">
        <v>8.5</v>
      </c>
      <c r="L8" s="67" t="n">
        <v>6.1</v>
      </c>
      <c r="M8" s="67" t="n">
        <v>5.4</v>
      </c>
      <c r="N8" s="67" t="n">
        <v>2.5</v>
      </c>
      <c r="O8" s="67" t="n">
        <v>9.300000000000001</v>
      </c>
      <c r="P8" s="67" t="n">
        <v>9.300000000000001</v>
      </c>
      <c r="Q8" s="67" t="n">
        <v>7.7</v>
      </c>
      <c r="R8" s="67" t="n">
        <v>9.699999999999999</v>
      </c>
      <c r="S8" s="67" t="n">
        <v>9.4</v>
      </c>
      <c r="T8" s="67" t="n">
        <v>8.699999999999999</v>
      </c>
      <c r="U8" s="67" t="n">
        <v>7.7</v>
      </c>
      <c r="V8" s="67" t="n">
        <v>11.2</v>
      </c>
      <c r="W8" s="67" t="n">
        <v>13</v>
      </c>
      <c r="X8" s="67" t="n">
        <v>8.9</v>
      </c>
      <c r="Y8" s="67" t="n">
        <v>9</v>
      </c>
      <c r="Z8" s="67" t="n">
        <v>10.8</v>
      </c>
      <c r="AA8" s="67" t="n">
        <v>11.3</v>
      </c>
      <c r="AB8" s="67" t="n">
        <v>11.1</v>
      </c>
      <c r="AC8" s="67" t="n">
        <v>6.7</v>
      </c>
      <c r="AD8" s="67" t="n">
        <v>9.699999999999999</v>
      </c>
      <c r="AE8" s="67" t="n">
        <v>11.3</v>
      </c>
      <c r="AF8" s="67" t="n">
        <v>12</v>
      </c>
      <c r="AG8" s="67" t="n">
        <v>6.9</v>
      </c>
      <c r="AH8" s="67" t="n">
        <v>11.1</v>
      </c>
      <c r="AI8" s="67" t="n">
        <v>11.3</v>
      </c>
      <c r="AJ8" s="67" t="n">
        <v>10.5</v>
      </c>
      <c r="AK8" s="67" t="n">
        <v>5.4</v>
      </c>
      <c r="AL8" s="67" t="n">
        <v>10</v>
      </c>
      <c r="AM8" s="67" t="n">
        <v>10</v>
      </c>
      <c r="AN8" s="67" t="n">
        <v>9.1</v>
      </c>
      <c r="AO8" s="67" t="n">
        <v>4.5</v>
      </c>
    </row>
    <row r="9">
      <c r="A9" s="65" t="inlineStr">
        <is>
          <t>영업이익 YoY</t>
        </is>
      </c>
      <c r="B9" s="67" t="n"/>
      <c r="C9" s="67" t="n"/>
      <c r="D9" s="67" t="n"/>
      <c r="E9" s="67" t="n"/>
      <c r="F9" s="67" t="n"/>
      <c r="G9" s="67" t="n">
        <v>-9.1</v>
      </c>
      <c r="H9" s="67" t="n">
        <v>55.6</v>
      </c>
      <c r="I9" s="67" t="n">
        <v>41.7</v>
      </c>
      <c r="J9" s="67" t="n">
        <v>-10.7</v>
      </c>
      <c r="K9" s="67" t="n">
        <v>10</v>
      </c>
      <c r="L9" s="67" t="n">
        <v>-17.9</v>
      </c>
      <c r="M9" s="67" t="n">
        <v>17.6</v>
      </c>
      <c r="N9" s="67" t="n">
        <v>-60</v>
      </c>
      <c r="O9" s="67" t="n">
        <v>3</v>
      </c>
      <c r="P9" s="67" t="n">
        <v>60.9</v>
      </c>
      <c r="Q9" s="67" t="n">
        <v>45</v>
      </c>
      <c r="R9" s="67" t="n">
        <v>270</v>
      </c>
      <c r="S9" s="67" t="n">
        <v>5.9</v>
      </c>
      <c r="T9" s="67" t="n">
        <v>-5.4</v>
      </c>
      <c r="U9" s="67" t="n">
        <v>0</v>
      </c>
      <c r="V9" s="67" t="n">
        <v>24.3</v>
      </c>
      <c r="W9" s="67" t="n">
        <v>55.6</v>
      </c>
      <c r="X9" s="67" t="n">
        <v>14.3</v>
      </c>
      <c r="Y9" s="67" t="n">
        <v>37.9</v>
      </c>
      <c r="Z9" s="67" t="n">
        <v>2.2</v>
      </c>
      <c r="AA9" s="67" t="n">
        <v>-14.3</v>
      </c>
      <c r="AB9" s="67" t="n">
        <v>20</v>
      </c>
      <c r="AC9" s="67" t="n">
        <v>-27.5</v>
      </c>
      <c r="AD9" s="67" t="n">
        <v>-10.6</v>
      </c>
      <c r="AE9" s="67" t="n">
        <v>2.1</v>
      </c>
      <c r="AF9" s="67" t="n">
        <v>8.300000000000001</v>
      </c>
      <c r="AG9" s="67" t="n">
        <v>3.4</v>
      </c>
      <c r="AH9" s="67" t="n">
        <v>19</v>
      </c>
      <c r="AI9" s="67" t="n">
        <v>4.1</v>
      </c>
      <c r="AJ9" s="67" t="n">
        <v>-3.8</v>
      </c>
      <c r="AK9" s="67" t="n">
        <v>-20</v>
      </c>
      <c r="AL9" s="67" t="n">
        <v>-10</v>
      </c>
      <c r="AM9" s="67" t="n">
        <v>-11.8</v>
      </c>
      <c r="AN9" s="67" t="n">
        <v>-14</v>
      </c>
      <c r="AO9" s="67" t="n">
        <v>-4.2</v>
      </c>
    </row>
    <row r="10">
      <c r="A10" s="65" t="inlineStr">
        <is>
          <t>유동자산</t>
        </is>
      </c>
      <c r="B10" s="66" t="n"/>
      <c r="C10" s="66" t="n"/>
      <c r="D10" s="66" t="n">
        <v>66.8</v>
      </c>
      <c r="E10" s="66" t="n"/>
      <c r="F10" s="66" t="n">
        <v>67.8</v>
      </c>
      <c r="G10" s="66" t="n">
        <v>67.2</v>
      </c>
      <c r="H10" s="66" t="n">
        <v>69.8</v>
      </c>
      <c r="I10" s="66" t="n">
        <v>67.5</v>
      </c>
      <c r="J10" s="66" t="n">
        <v>71.7</v>
      </c>
      <c r="K10" s="66" t="n">
        <v>71.3</v>
      </c>
      <c r="L10" s="66" t="n">
        <v>77.40000000000001</v>
      </c>
      <c r="M10" s="66" t="n">
        <v>75.8</v>
      </c>
      <c r="N10" s="66" t="n">
        <v>75.40000000000001</v>
      </c>
      <c r="O10" s="66" t="n">
        <v>74.5</v>
      </c>
      <c r="P10" s="66" t="n">
        <v>79.5</v>
      </c>
      <c r="Q10" s="66" t="n">
        <v>80.2</v>
      </c>
      <c r="R10" s="66" t="n">
        <v>84.59999999999999</v>
      </c>
      <c r="S10" s="66" t="n">
        <v>82.59999999999999</v>
      </c>
      <c r="T10" s="66" t="n">
        <v>87.90000000000001</v>
      </c>
      <c r="U10" s="66" t="n">
        <v>86.5</v>
      </c>
      <c r="V10" s="66" t="n">
        <v>94.40000000000001</v>
      </c>
      <c r="W10" s="66" t="n">
        <v>95.59999999999999</v>
      </c>
      <c r="X10" s="66" t="n">
        <v>102.9</v>
      </c>
      <c r="Y10" s="66" t="n">
        <v>101.2</v>
      </c>
      <c r="Z10" s="66" t="n">
        <v>104.8</v>
      </c>
      <c r="AA10" s="66" t="n">
        <v>104.9</v>
      </c>
      <c r="AB10" s="66" t="n">
        <v>109.9</v>
      </c>
      <c r="AC10" s="66" t="n">
        <v>107.9</v>
      </c>
      <c r="AD10" s="66" t="n">
        <v>113.7</v>
      </c>
      <c r="AE10" s="66" t="n">
        <v>110.2</v>
      </c>
      <c r="AF10" s="66" t="n">
        <v>123.7</v>
      </c>
      <c r="AG10" s="66" t="n">
        <v>120.8</v>
      </c>
      <c r="AH10" s="66" t="n">
        <v>125.5</v>
      </c>
      <c r="AI10" s="66" t="n">
        <v>126.2</v>
      </c>
      <c r="AJ10" s="66" t="n">
        <v>125.8</v>
      </c>
      <c r="AK10" s="66" t="n">
        <v>122.2</v>
      </c>
      <c r="AL10" s="66" t="n">
        <v>125.6</v>
      </c>
      <c r="AM10" s="66" t="n">
        <v>110.5</v>
      </c>
      <c r="AN10" s="66" t="n">
        <v>116.2</v>
      </c>
      <c r="AO10" s="66" t="n">
        <v>108.6</v>
      </c>
    </row>
    <row r="11">
      <c r="A11" s="65" t="inlineStr">
        <is>
          <t>유동부채</t>
        </is>
      </c>
      <c r="B11" s="66" t="n"/>
      <c r="C11" s="66" t="n"/>
      <c r="D11" s="66" t="n">
        <v>17.9</v>
      </c>
      <c r="E11" s="66" t="n"/>
      <c r="F11" s="66" t="n">
        <v>17.3</v>
      </c>
      <c r="G11" s="66" t="n">
        <v>15.9</v>
      </c>
      <c r="H11" s="66" t="n">
        <v>19.3</v>
      </c>
      <c r="I11" s="66" t="n">
        <v>17.2</v>
      </c>
      <c r="J11" s="66" t="n">
        <v>19.4</v>
      </c>
      <c r="K11" s="66" t="n">
        <v>17.8</v>
      </c>
      <c r="L11" s="66" t="n">
        <v>22.4</v>
      </c>
      <c r="M11" s="66" t="n">
        <v>20.1</v>
      </c>
      <c r="N11" s="66" t="n">
        <v>19.3</v>
      </c>
      <c r="O11" s="66" t="n">
        <v>17.2</v>
      </c>
      <c r="P11" s="66" t="n">
        <v>19</v>
      </c>
      <c r="Q11" s="66" t="n">
        <v>18.5</v>
      </c>
      <c r="R11" s="66" t="n">
        <v>20.8</v>
      </c>
      <c r="S11" s="66" t="n">
        <v>19.8</v>
      </c>
      <c r="T11" s="66" t="n">
        <v>23.1</v>
      </c>
      <c r="U11" s="66" t="n">
        <v>19.1</v>
      </c>
      <c r="V11" s="66" t="n">
        <v>20.7</v>
      </c>
      <c r="W11" s="66" t="n">
        <v>20</v>
      </c>
      <c r="X11" s="66" t="n">
        <v>24.4</v>
      </c>
      <c r="Y11" s="66" t="n">
        <v>22.4</v>
      </c>
      <c r="Z11" s="66" t="n">
        <v>22.3</v>
      </c>
      <c r="AA11" s="66" t="n">
        <v>20.1</v>
      </c>
      <c r="AB11" s="66" t="n">
        <v>22.2</v>
      </c>
      <c r="AC11" s="66" t="n">
        <v>20.5</v>
      </c>
      <c r="AD11" s="66" t="n">
        <v>22.9</v>
      </c>
      <c r="AE11" s="66" t="n">
        <v>19.6</v>
      </c>
      <c r="AF11" s="66" t="n">
        <v>23.3</v>
      </c>
      <c r="AG11" s="66" t="n">
        <v>20.9</v>
      </c>
      <c r="AH11" s="66" t="n">
        <v>21.8</v>
      </c>
      <c r="AI11" s="66" t="n">
        <v>21.7</v>
      </c>
      <c r="AJ11" s="66" t="n">
        <v>24</v>
      </c>
      <c r="AK11" s="66" t="n">
        <v>21.8</v>
      </c>
      <c r="AL11" s="66" t="n">
        <v>22</v>
      </c>
      <c r="AM11" s="66" t="n">
        <v>21.2</v>
      </c>
      <c r="AN11" s="66" t="n">
        <v>23.3</v>
      </c>
      <c r="AO11" s="66" t="n">
        <v>24.4</v>
      </c>
    </row>
    <row r="12">
      <c r="A12" s="65" t="inlineStr">
        <is>
          <t>부채총계</t>
        </is>
      </c>
      <c r="B12" s="66" t="n"/>
      <c r="C12" s="66" t="n"/>
      <c r="D12" s="66" t="n">
        <v>21.5</v>
      </c>
      <c r="E12" s="66" t="n"/>
      <c r="F12" s="66" t="n">
        <v>21.1</v>
      </c>
      <c r="G12" s="66" t="n">
        <v>19.7</v>
      </c>
      <c r="H12" s="66" t="n">
        <v>23.6</v>
      </c>
      <c r="I12" s="66" t="n">
        <v>21</v>
      </c>
      <c r="J12" s="66" t="n">
        <v>23.4</v>
      </c>
      <c r="K12" s="66" t="n">
        <v>21.9</v>
      </c>
      <c r="L12" s="66" t="n">
        <v>26.1</v>
      </c>
      <c r="M12" s="66" t="n">
        <v>23.8</v>
      </c>
      <c r="N12" s="66" t="n">
        <v>23</v>
      </c>
      <c r="O12" s="66" t="n">
        <v>20.9</v>
      </c>
      <c r="P12" s="66" t="n">
        <v>22.2</v>
      </c>
      <c r="Q12" s="66" t="n">
        <v>21.7</v>
      </c>
      <c r="R12" s="66" t="n">
        <v>24.1</v>
      </c>
      <c r="S12" s="66" t="n">
        <v>23.1</v>
      </c>
      <c r="T12" s="66" t="n">
        <v>26</v>
      </c>
      <c r="U12" s="66" t="n">
        <v>22</v>
      </c>
      <c r="V12" s="66" t="n">
        <v>23.7</v>
      </c>
      <c r="W12" s="66" t="n">
        <v>23.1</v>
      </c>
      <c r="X12" s="66" t="n">
        <v>27.5</v>
      </c>
      <c r="Y12" s="66" t="n">
        <v>25.5</v>
      </c>
      <c r="Z12" s="66" t="n">
        <v>25.4</v>
      </c>
      <c r="AA12" s="66" t="n">
        <v>23.3</v>
      </c>
      <c r="AB12" s="66" t="n">
        <v>25.6</v>
      </c>
      <c r="AC12" s="66" t="n">
        <v>24</v>
      </c>
      <c r="AD12" s="66" t="n">
        <v>26.3</v>
      </c>
      <c r="AE12" s="66" t="n">
        <v>23.1</v>
      </c>
      <c r="AF12" s="66" t="n">
        <v>26.6</v>
      </c>
      <c r="AG12" s="66" t="n">
        <v>24.2</v>
      </c>
      <c r="AH12" s="66" t="n">
        <v>25</v>
      </c>
      <c r="AI12" s="66" t="n">
        <v>24.9</v>
      </c>
      <c r="AJ12" s="66" t="n">
        <v>26.5</v>
      </c>
      <c r="AK12" s="66" t="n">
        <v>24.3</v>
      </c>
      <c r="AL12" s="66" t="n">
        <v>24.5</v>
      </c>
      <c r="AM12" s="66" t="n">
        <v>23.7</v>
      </c>
      <c r="AN12" s="66" t="n">
        <v>26.2</v>
      </c>
      <c r="AO12" s="66" t="n">
        <v>27.4</v>
      </c>
    </row>
    <row r="13">
      <c r="A13" s="65" t="inlineStr">
        <is>
          <t>자기자본</t>
        </is>
      </c>
      <c r="B13" s="67" t="n"/>
      <c r="C13" s="67" t="n"/>
      <c r="D13" s="67" t="n">
        <v>66.5</v>
      </c>
      <c r="E13" s="67" t="n"/>
      <c r="F13" s="67" t="n">
        <v>68.40000000000001</v>
      </c>
      <c r="G13" s="67" t="n">
        <v>69.5</v>
      </c>
      <c r="H13" s="67" t="n">
        <v>70.90000000000001</v>
      </c>
      <c r="I13" s="67" t="n">
        <v>71.09999999999999</v>
      </c>
      <c r="J13" s="67" t="n">
        <v>72.8</v>
      </c>
      <c r="K13" s="67" t="n">
        <v>73.90000000000001</v>
      </c>
      <c r="L13" s="67" t="n">
        <v>76.2</v>
      </c>
      <c r="M13" s="67" t="n">
        <v>76.3</v>
      </c>
      <c r="N13" s="67" t="n">
        <v>77</v>
      </c>
      <c r="O13" s="67" t="n">
        <v>78</v>
      </c>
      <c r="P13" s="67" t="n">
        <v>80.90000000000001</v>
      </c>
      <c r="Q13" s="67" t="n">
        <v>81.5</v>
      </c>
      <c r="R13" s="67" t="n">
        <v>84.3</v>
      </c>
      <c r="S13" s="67" t="n">
        <v>83.5</v>
      </c>
      <c r="T13" s="67" t="n">
        <v>86.2</v>
      </c>
      <c r="U13" s="67" t="n">
        <v>86.59999999999999</v>
      </c>
      <c r="V13" s="67" t="n">
        <v>90.2</v>
      </c>
      <c r="W13" s="67" t="n">
        <v>91.90000000000001</v>
      </c>
      <c r="X13" s="67" t="n">
        <v>95.09999999999999</v>
      </c>
      <c r="Y13" s="67" t="n">
        <v>95.2</v>
      </c>
      <c r="Z13" s="67" t="n">
        <v>98.8</v>
      </c>
      <c r="AA13" s="67" t="n">
        <v>99.7</v>
      </c>
      <c r="AB13" s="67" t="n">
        <v>103.1</v>
      </c>
      <c r="AC13" s="67" t="n">
        <v>102.6</v>
      </c>
      <c r="AD13" s="67" t="n">
        <v>105.9</v>
      </c>
      <c r="AE13" s="67" t="n">
        <v>105.5</v>
      </c>
      <c r="AF13" s="67" t="n">
        <v>109.3</v>
      </c>
      <c r="AG13" s="67" t="n">
        <v>108.8</v>
      </c>
      <c r="AH13" s="67" t="n">
        <v>112.7</v>
      </c>
      <c r="AI13" s="67" t="n">
        <v>113.6</v>
      </c>
      <c r="AJ13" s="67" t="n">
        <v>117.8</v>
      </c>
      <c r="AK13" s="67" t="n">
        <v>116.7</v>
      </c>
      <c r="AL13" s="67" t="n">
        <v>120</v>
      </c>
      <c r="AM13" s="67" t="n">
        <v>105.9</v>
      </c>
      <c r="AN13" s="67" t="n">
        <v>109</v>
      </c>
      <c r="AO13" s="67" t="n">
        <v>108.2</v>
      </c>
    </row>
    <row r="14">
      <c r="A14" s="65" t="inlineStr">
        <is>
          <t>유동비율</t>
        </is>
      </c>
      <c r="B14" s="67" t="n"/>
      <c r="C14" s="67" t="n"/>
      <c r="D14" s="67" t="n">
        <v>373.2</v>
      </c>
      <c r="E14" s="67" t="n"/>
      <c r="F14" s="67" t="n">
        <v>391.9</v>
      </c>
      <c r="G14" s="67" t="n">
        <v>422.6</v>
      </c>
      <c r="H14" s="67" t="n">
        <v>361.7</v>
      </c>
      <c r="I14" s="67" t="n">
        <v>392.4</v>
      </c>
      <c r="J14" s="67" t="n">
        <v>369.6</v>
      </c>
      <c r="K14" s="67" t="n">
        <v>400.6</v>
      </c>
      <c r="L14" s="67" t="n">
        <v>345.5</v>
      </c>
      <c r="M14" s="67" t="n">
        <v>377.1</v>
      </c>
      <c r="N14" s="67" t="n">
        <v>390.7</v>
      </c>
      <c r="O14" s="67" t="n">
        <v>433.1</v>
      </c>
      <c r="P14" s="67" t="n">
        <v>418.4</v>
      </c>
      <c r="Q14" s="67" t="n">
        <v>433.5</v>
      </c>
      <c r="R14" s="67" t="n">
        <v>406.7</v>
      </c>
      <c r="S14" s="67" t="n">
        <v>417.2</v>
      </c>
      <c r="T14" s="67" t="n">
        <v>380.5</v>
      </c>
      <c r="U14" s="67" t="n">
        <v>452.9</v>
      </c>
      <c r="V14" s="67" t="n">
        <v>456</v>
      </c>
      <c r="W14" s="67" t="n">
        <v>478</v>
      </c>
      <c r="X14" s="67" t="n">
        <v>421.7</v>
      </c>
      <c r="Y14" s="67" t="n">
        <v>451.8</v>
      </c>
      <c r="Z14" s="67" t="n">
        <v>470</v>
      </c>
      <c r="AA14" s="67" t="n">
        <v>521.9</v>
      </c>
      <c r="AB14" s="67" t="n">
        <v>495</v>
      </c>
      <c r="AC14" s="67" t="n">
        <v>526.3</v>
      </c>
      <c r="AD14" s="67" t="n">
        <v>496.5</v>
      </c>
      <c r="AE14" s="67" t="n">
        <v>562.2</v>
      </c>
      <c r="AF14" s="67" t="n">
        <v>530.9</v>
      </c>
      <c r="AG14" s="67" t="n">
        <v>578</v>
      </c>
      <c r="AH14" s="67" t="n">
        <v>575.7</v>
      </c>
      <c r="AI14" s="67" t="n">
        <v>581.6</v>
      </c>
      <c r="AJ14" s="67" t="n">
        <v>524.2</v>
      </c>
      <c r="AK14" s="67" t="n">
        <v>560.6</v>
      </c>
      <c r="AL14" s="67" t="n">
        <v>570.9</v>
      </c>
      <c r="AM14" s="67" t="n">
        <v>521.2</v>
      </c>
      <c r="AN14" s="67" t="n">
        <v>498.7</v>
      </c>
      <c r="AO14" s="67" t="n">
        <v>445.1</v>
      </c>
    </row>
    <row r="15">
      <c r="A15" s="65" t="inlineStr">
        <is>
          <t>부채비율</t>
        </is>
      </c>
      <c r="B15" s="67" t="n"/>
      <c r="C15" s="67" t="n"/>
      <c r="D15" s="67" t="n">
        <v>32.3</v>
      </c>
      <c r="E15" s="67" t="n"/>
      <c r="F15" s="67" t="n">
        <v>30.8</v>
      </c>
      <c r="G15" s="67" t="n">
        <v>28.3</v>
      </c>
      <c r="H15" s="67" t="n">
        <v>33.3</v>
      </c>
      <c r="I15" s="67" t="n">
        <v>29.5</v>
      </c>
      <c r="J15" s="67" t="n">
        <v>32.1</v>
      </c>
      <c r="K15" s="67" t="n">
        <v>29.6</v>
      </c>
      <c r="L15" s="67" t="n">
        <v>34.3</v>
      </c>
      <c r="M15" s="67" t="n">
        <v>31.2</v>
      </c>
      <c r="N15" s="67" t="n">
        <v>29.9</v>
      </c>
      <c r="O15" s="67" t="n">
        <v>26.8</v>
      </c>
      <c r="P15" s="67" t="n">
        <v>27.4</v>
      </c>
      <c r="Q15" s="67" t="n">
        <v>26.6</v>
      </c>
      <c r="R15" s="67" t="n">
        <v>28.6</v>
      </c>
      <c r="S15" s="67" t="n">
        <v>27.7</v>
      </c>
      <c r="T15" s="67" t="n">
        <v>30.2</v>
      </c>
      <c r="U15" s="67" t="n">
        <v>25.4</v>
      </c>
      <c r="V15" s="67" t="n">
        <v>26.3</v>
      </c>
      <c r="W15" s="67" t="n">
        <v>25.1</v>
      </c>
      <c r="X15" s="67" t="n">
        <v>28.9</v>
      </c>
      <c r="Y15" s="67" t="n">
        <v>26.8</v>
      </c>
      <c r="Z15" s="67" t="n">
        <v>25.7</v>
      </c>
      <c r="AA15" s="67" t="n">
        <v>23.4</v>
      </c>
      <c r="AB15" s="67" t="n">
        <v>24.8</v>
      </c>
      <c r="AC15" s="67" t="n">
        <v>23.4</v>
      </c>
      <c r="AD15" s="67" t="n">
        <v>24.8</v>
      </c>
      <c r="AE15" s="67" t="n">
        <v>21.9</v>
      </c>
      <c r="AF15" s="67" t="n">
        <v>24.3</v>
      </c>
      <c r="AG15" s="67" t="n">
        <v>22.2</v>
      </c>
      <c r="AH15" s="67" t="n">
        <v>22.2</v>
      </c>
      <c r="AI15" s="67" t="n">
        <v>21.9</v>
      </c>
      <c r="AJ15" s="67" t="n">
        <v>22.5</v>
      </c>
      <c r="AK15" s="67" t="n">
        <v>20.8</v>
      </c>
      <c r="AL15" s="67" t="n">
        <v>20.4</v>
      </c>
      <c r="AM15" s="67" t="n">
        <v>22.4</v>
      </c>
      <c r="AN15" s="67" t="n">
        <v>24</v>
      </c>
      <c r="AO15" s="67" t="n">
        <v>25.3</v>
      </c>
    </row>
    <row r="16">
      <c r="A16" s="65" t="inlineStr">
        <is>
          <t>순차입금/자기자본</t>
        </is>
      </c>
      <c r="B16" s="67" t="n"/>
      <c r="C16" s="67" t="n"/>
      <c r="D16" s="67" t="n">
        <v>-63.8</v>
      </c>
      <c r="E16" s="67" t="n"/>
      <c r="F16" s="67" t="n">
        <v>-64.3</v>
      </c>
      <c r="G16" s="67" t="n">
        <v>-62.6</v>
      </c>
      <c r="H16" s="67" t="n">
        <v>-65.3</v>
      </c>
      <c r="I16" s="67" t="n">
        <v>-63.7</v>
      </c>
      <c r="J16" s="67" t="n">
        <v>-66.59999999999999</v>
      </c>
      <c r="K16" s="67" t="n">
        <v>-65.09999999999999</v>
      </c>
      <c r="L16" s="67" t="n">
        <v>-73.09999999999999</v>
      </c>
      <c r="M16" s="67" t="n">
        <v>-69.5</v>
      </c>
      <c r="N16" s="67" t="n">
        <v>-70.59999999999999</v>
      </c>
      <c r="O16" s="67" t="n">
        <v>-67.90000000000001</v>
      </c>
      <c r="P16" s="67" t="n">
        <v>-71.2</v>
      </c>
      <c r="Q16" s="67" t="n">
        <v>-69.59999999999999</v>
      </c>
      <c r="R16" s="67" t="n">
        <v>-69.3</v>
      </c>
      <c r="S16" s="67" t="n">
        <v>-69.90000000000001</v>
      </c>
      <c r="T16" s="67" t="n">
        <v>-73.8</v>
      </c>
      <c r="U16" s="67" t="n">
        <v>-74.09999999999999</v>
      </c>
      <c r="V16" s="67" t="n">
        <v>-77.5</v>
      </c>
      <c r="W16" s="67" t="n">
        <v>-74.40000000000001</v>
      </c>
      <c r="X16" s="67" t="n">
        <v>-77.7</v>
      </c>
      <c r="Y16" s="67" t="n">
        <v>-76.5</v>
      </c>
      <c r="Z16" s="67" t="n">
        <v>-79</v>
      </c>
      <c r="AA16" s="67" t="n">
        <v>-79.59999999999999</v>
      </c>
      <c r="AB16" s="67" t="n">
        <v>-82.2</v>
      </c>
      <c r="AC16" s="67" t="n">
        <v>-79.90000000000001</v>
      </c>
      <c r="AD16" s="67" t="n">
        <v>-82.2</v>
      </c>
      <c r="AE16" s="67" t="n">
        <v>-80.5</v>
      </c>
      <c r="AF16" s="67" t="n">
        <v>-90.09999999999999</v>
      </c>
      <c r="AG16" s="67" t="n">
        <v>-87.40000000000001</v>
      </c>
      <c r="AH16" s="67" t="n">
        <v>-86.90000000000001</v>
      </c>
      <c r="AI16" s="67" t="n">
        <v>-85.7</v>
      </c>
      <c r="AJ16" s="67" t="n">
        <v>-80.40000000000001</v>
      </c>
      <c r="AK16" s="67" t="n">
        <v>-82.40000000000001</v>
      </c>
      <c r="AL16" s="67" t="n">
        <v>-82.3</v>
      </c>
      <c r="AM16" s="67" t="n">
        <v>-78</v>
      </c>
      <c r="AN16" s="67" t="n">
        <v>-80.90000000000001</v>
      </c>
      <c r="AO16" s="67" t="n">
        <v>-72.2</v>
      </c>
    </row>
    <row r="17">
      <c r="A17" s="65" t="inlineStr">
        <is>
          <t>재고자산</t>
        </is>
      </c>
      <c r="B17" s="66" t="n"/>
      <c r="C17" s="66" t="n"/>
      <c r="D17" s="66" t="n">
        <v>0.7</v>
      </c>
      <c r="E17" s="66" t="n"/>
      <c r="F17" s="66" t="n">
        <v>1.4</v>
      </c>
      <c r="G17" s="66" t="n">
        <v>1.7</v>
      </c>
      <c r="H17" s="66" t="n">
        <v>0.5</v>
      </c>
      <c r="I17" s="66" t="n">
        <v>2.1</v>
      </c>
      <c r="J17" s="66" t="n">
        <v>1</v>
      </c>
      <c r="K17" s="66" t="n">
        <v>0.8</v>
      </c>
      <c r="L17" s="66" t="n">
        <v>0.9</v>
      </c>
      <c r="M17" s="66" t="n">
        <v>2.8</v>
      </c>
      <c r="N17" s="66" t="n">
        <v>0.5</v>
      </c>
      <c r="O17" s="66" t="n">
        <v>1.1</v>
      </c>
      <c r="P17" s="66" t="n">
        <v>0.5</v>
      </c>
      <c r="Q17" s="66" t="n">
        <v>1.3</v>
      </c>
      <c r="R17" s="66" t="n">
        <v>1.1</v>
      </c>
      <c r="S17" s="66" t="n">
        <v>1.1</v>
      </c>
      <c r="T17" s="66" t="n">
        <v>0.2</v>
      </c>
      <c r="U17" s="66" t="n">
        <v>1.2</v>
      </c>
      <c r="V17" s="66" t="n">
        <v>0.4</v>
      </c>
      <c r="W17" s="66" t="n">
        <v>0.9</v>
      </c>
      <c r="X17" s="66" t="n">
        <v>0.6</v>
      </c>
      <c r="Y17" s="66" t="n">
        <v>0.9</v>
      </c>
      <c r="Z17" s="66" t="n">
        <v>0.7</v>
      </c>
      <c r="AA17" s="66" t="n">
        <v>0.7</v>
      </c>
      <c r="AB17" s="66" t="n">
        <v>0.3</v>
      </c>
      <c r="AC17" s="66" t="n">
        <v>0.5</v>
      </c>
      <c r="AD17" s="66" t="n">
        <v>1</v>
      </c>
      <c r="AE17" s="66" t="n">
        <v>0.7</v>
      </c>
      <c r="AF17" s="66" t="n">
        <v>0.2</v>
      </c>
      <c r="AG17" s="66" t="n">
        <v>0.6</v>
      </c>
      <c r="AH17" s="66" t="n">
        <v>0.7</v>
      </c>
      <c r="AI17" s="66" t="n">
        <v>1.1</v>
      </c>
      <c r="AJ17" s="66" t="n">
        <v>0.1</v>
      </c>
      <c r="AK17" s="66" t="n">
        <v>0.5</v>
      </c>
      <c r="AL17" s="66" t="n">
        <v>0.4</v>
      </c>
      <c r="AM17" s="66" t="n">
        <v>0.7</v>
      </c>
      <c r="AN17" s="66" t="n">
        <v>0.4</v>
      </c>
      <c r="AO17" s="66" t="n">
        <v>0.7</v>
      </c>
    </row>
    <row r="18">
      <c r="A18" s="65" t="inlineStr">
        <is>
          <t>재고자산 회전일수</t>
        </is>
      </c>
      <c r="B18" s="66" t="n"/>
      <c r="C18" s="66" t="n"/>
      <c r="D18" s="66" t="n">
        <v>2</v>
      </c>
      <c r="E18" s="66" t="n"/>
      <c r="F18" s="66" t="n">
        <v>5</v>
      </c>
      <c r="G18" s="66" t="n">
        <v>6</v>
      </c>
      <c r="H18" s="66" t="n">
        <v>2</v>
      </c>
      <c r="I18" s="66" t="n">
        <v>7</v>
      </c>
      <c r="J18" s="66" t="n">
        <v>3</v>
      </c>
      <c r="K18" s="66" t="n">
        <v>2</v>
      </c>
      <c r="L18" s="66" t="n">
        <v>3</v>
      </c>
      <c r="M18" s="66" t="n">
        <v>9</v>
      </c>
      <c r="N18" s="66" t="n">
        <v>1</v>
      </c>
      <c r="O18" s="66" t="n">
        <v>3</v>
      </c>
      <c r="P18" s="66" t="n">
        <v>1</v>
      </c>
      <c r="Q18" s="66" t="n">
        <v>4</v>
      </c>
      <c r="R18" s="66" t="n">
        <v>3</v>
      </c>
      <c r="S18" s="66" t="n">
        <v>3</v>
      </c>
      <c r="T18" s="66" t="n">
        <v>1</v>
      </c>
      <c r="U18" s="66" t="n">
        <v>4</v>
      </c>
      <c r="V18" s="66" t="n">
        <v>1</v>
      </c>
      <c r="W18" s="66" t="n">
        <v>2</v>
      </c>
      <c r="X18" s="66" t="n">
        <v>1</v>
      </c>
      <c r="Y18" s="66" t="n">
        <v>2</v>
      </c>
      <c r="Z18" s="66" t="n">
        <v>2</v>
      </c>
      <c r="AA18" s="66" t="n">
        <v>2</v>
      </c>
      <c r="AB18" s="66" t="n">
        <v>1</v>
      </c>
      <c r="AC18" s="66" t="n">
        <v>1</v>
      </c>
      <c r="AD18" s="66" t="n">
        <v>3</v>
      </c>
      <c r="AE18" s="66" t="n">
        <v>2</v>
      </c>
      <c r="AF18" s="66" t="n">
        <v>1</v>
      </c>
      <c r="AG18" s="66" t="n">
        <v>2</v>
      </c>
      <c r="AH18" s="66" t="n">
        <v>2</v>
      </c>
      <c r="AI18" s="66" t="n">
        <v>3</v>
      </c>
      <c r="AJ18" s="66" t="n">
        <v>0</v>
      </c>
      <c r="AK18" s="66" t="n">
        <v>1</v>
      </c>
      <c r="AL18" s="66" t="n">
        <v>1</v>
      </c>
      <c r="AM18" s="66" t="n">
        <v>2</v>
      </c>
      <c r="AN18" s="66" t="n">
        <v>1</v>
      </c>
      <c r="AO18" s="66" t="n">
        <v>2</v>
      </c>
    </row>
    <row r="19">
      <c r="A19" s="65" t="inlineStr">
        <is>
          <t>매출채권 회전일수</t>
        </is>
      </c>
      <c r="B19" s="66" t="n"/>
      <c r="C19" s="66" t="n"/>
      <c r="D19" s="66" t="n">
        <v>58</v>
      </c>
      <c r="E19" s="66" t="n"/>
      <c r="F19" s="66" t="n">
        <v>52</v>
      </c>
      <c r="G19" s="66" t="n">
        <v>51</v>
      </c>
      <c r="H19" s="66" t="n">
        <v>56</v>
      </c>
      <c r="I19" s="66" t="n">
        <v>52</v>
      </c>
      <c r="J19" s="66" t="n">
        <v>51</v>
      </c>
      <c r="K19" s="66" t="n">
        <v>51</v>
      </c>
      <c r="L19" s="66" t="n">
        <v>48</v>
      </c>
      <c r="M19" s="66" t="n">
        <v>47</v>
      </c>
      <c r="N19" s="66" t="n">
        <v>44</v>
      </c>
      <c r="O19" s="66" t="n">
        <v>49</v>
      </c>
      <c r="P19" s="66" t="n">
        <v>48</v>
      </c>
      <c r="Q19" s="66" t="n">
        <v>51</v>
      </c>
      <c r="R19" s="66" t="n">
        <v>58</v>
      </c>
      <c r="S19" s="66" t="n">
        <v>53</v>
      </c>
      <c r="T19" s="66" t="n">
        <v>53</v>
      </c>
      <c r="U19" s="66" t="n">
        <v>0</v>
      </c>
      <c r="V19" s="66" t="n">
        <v>0</v>
      </c>
      <c r="W19" s="66" t="n">
        <v>0</v>
      </c>
      <c r="X19" s="66" t="n">
        <v>51</v>
      </c>
      <c r="Y19" s="66" t="n">
        <v>51</v>
      </c>
      <c r="Z19" s="66" t="n">
        <v>50</v>
      </c>
      <c r="AA19" s="66" t="n">
        <v>49</v>
      </c>
      <c r="AB19" s="66" t="n">
        <v>49</v>
      </c>
      <c r="AC19" s="66" t="n">
        <v>50</v>
      </c>
      <c r="AD19" s="66" t="n">
        <v>50</v>
      </c>
      <c r="AE19" s="66" t="n">
        <v>49</v>
      </c>
      <c r="AF19" s="66" t="n">
        <v>51</v>
      </c>
      <c r="AG19" s="66" t="n">
        <v>50</v>
      </c>
      <c r="AH19" s="66" t="n">
        <v>50</v>
      </c>
      <c r="AI19" s="66" t="n">
        <v>48</v>
      </c>
      <c r="AJ19" s="66" t="n">
        <v>53</v>
      </c>
      <c r="AK19" s="66" t="n">
        <v>48</v>
      </c>
      <c r="AL19" s="66" t="n">
        <v>49</v>
      </c>
      <c r="AM19" s="66" t="n">
        <v>52</v>
      </c>
      <c r="AN19" s="66" t="n">
        <v>49</v>
      </c>
      <c r="AO19" s="66" t="n">
        <v>48</v>
      </c>
    </row>
    <row r="20">
      <c r="A20" s="65" t="inlineStr">
        <is>
          <t>매입채무 회전일수</t>
        </is>
      </c>
      <c r="B20" s="66" t="n"/>
      <c r="C20" s="66" t="n"/>
      <c r="D20" s="66" t="n">
        <v>16</v>
      </c>
      <c r="E20" s="66" t="n"/>
      <c r="F20" s="66" t="n">
        <v>16</v>
      </c>
      <c r="G20" s="66" t="n">
        <v>19</v>
      </c>
      <c r="H20" s="66" t="n">
        <v>17</v>
      </c>
      <c r="I20" s="66" t="n">
        <v>20</v>
      </c>
      <c r="J20" s="66" t="n">
        <v>17</v>
      </c>
      <c r="K20" s="66" t="n">
        <v>19</v>
      </c>
      <c r="L20" s="66" t="n">
        <v>19</v>
      </c>
      <c r="M20" s="66" t="n">
        <v>21</v>
      </c>
      <c r="N20" s="66" t="n">
        <v>16</v>
      </c>
      <c r="O20" s="66" t="n">
        <v>20</v>
      </c>
      <c r="P20" s="66" t="n">
        <v>18</v>
      </c>
      <c r="Q20" s="66" t="n">
        <v>20</v>
      </c>
      <c r="R20" s="66" t="n">
        <v>19</v>
      </c>
      <c r="S20" s="66" t="n">
        <v>18</v>
      </c>
      <c r="T20" s="66" t="n">
        <v>18</v>
      </c>
      <c r="U20" s="66" t="n">
        <v>19</v>
      </c>
      <c r="V20" s="66" t="n">
        <v>18</v>
      </c>
      <c r="W20" s="66" t="n">
        <v>19</v>
      </c>
      <c r="X20" s="66" t="n">
        <v>20</v>
      </c>
      <c r="Y20" s="66" t="n">
        <v>21</v>
      </c>
      <c r="Z20" s="66" t="n">
        <v>19</v>
      </c>
      <c r="AA20" s="66" t="n">
        <v>19</v>
      </c>
      <c r="AB20" s="66" t="n">
        <v>19</v>
      </c>
      <c r="AC20" s="66" t="n">
        <v>20</v>
      </c>
      <c r="AD20" s="66" t="n">
        <v>18</v>
      </c>
      <c r="AE20" s="66" t="n">
        <v>18</v>
      </c>
      <c r="AF20" s="66" t="n">
        <v>18</v>
      </c>
      <c r="AG20" s="66" t="n">
        <v>19</v>
      </c>
      <c r="AH20" s="66" t="n">
        <v>18</v>
      </c>
      <c r="AI20" s="66" t="n">
        <v>19</v>
      </c>
      <c r="AJ20" s="66" t="n">
        <v>18</v>
      </c>
      <c r="AK20" s="66" t="n">
        <v>19</v>
      </c>
      <c r="AL20" s="66" t="n">
        <v>18</v>
      </c>
      <c r="AM20" s="66" t="n">
        <v>18</v>
      </c>
      <c r="AN20" s="66" t="n">
        <v>19</v>
      </c>
      <c r="AO20" s="66" t="n">
        <v>19</v>
      </c>
    </row>
    <row r="21">
      <c r="A21" s="65" t="inlineStr">
        <is>
          <t>현금전환주기(CCC)</t>
        </is>
      </c>
      <c r="B21" s="66" t="n"/>
      <c r="C21" s="66" t="n"/>
      <c r="D21" s="66" t="n">
        <v>44</v>
      </c>
      <c r="E21" s="66" t="n"/>
      <c r="F21" s="66" t="n">
        <v>41</v>
      </c>
      <c r="G21" s="66" t="n">
        <v>38</v>
      </c>
      <c r="H21" s="66" t="n">
        <v>41</v>
      </c>
      <c r="I21" s="66" t="n">
        <v>39</v>
      </c>
      <c r="J21" s="66" t="n">
        <v>37</v>
      </c>
      <c r="K21" s="66" t="n">
        <v>34</v>
      </c>
      <c r="L21" s="66" t="n">
        <v>32</v>
      </c>
      <c r="M21" s="66" t="n">
        <v>35</v>
      </c>
      <c r="N21" s="66" t="n">
        <v>29</v>
      </c>
      <c r="O21" s="66" t="n">
        <v>32</v>
      </c>
      <c r="P21" s="66" t="n">
        <v>31</v>
      </c>
      <c r="Q21" s="66" t="n">
        <v>35</v>
      </c>
      <c r="R21" s="66" t="n">
        <v>42</v>
      </c>
      <c r="S21" s="66" t="n">
        <v>38</v>
      </c>
      <c r="T21" s="66" t="n">
        <v>36</v>
      </c>
      <c r="U21" s="66" t="n">
        <v>-15</v>
      </c>
      <c r="V21" s="66" t="n">
        <v>-17</v>
      </c>
      <c r="W21" s="66" t="n">
        <v>-17</v>
      </c>
      <c r="X21" s="66" t="n">
        <v>32</v>
      </c>
      <c r="Y21" s="66" t="n">
        <v>32</v>
      </c>
      <c r="Z21" s="66" t="n">
        <v>33</v>
      </c>
      <c r="AA21" s="66" t="n">
        <v>32</v>
      </c>
      <c r="AB21" s="66" t="n">
        <v>31</v>
      </c>
      <c r="AC21" s="66" t="n">
        <v>31</v>
      </c>
      <c r="AD21" s="66" t="n">
        <v>35</v>
      </c>
      <c r="AE21" s="66" t="n">
        <v>33</v>
      </c>
      <c r="AF21" s="66" t="n">
        <v>34</v>
      </c>
      <c r="AG21" s="66" t="n">
        <v>33</v>
      </c>
      <c r="AH21" s="66" t="n">
        <v>34</v>
      </c>
      <c r="AI21" s="66" t="n">
        <v>32</v>
      </c>
      <c r="AJ21" s="66" t="n">
        <v>35</v>
      </c>
      <c r="AK21" s="66" t="n">
        <v>30</v>
      </c>
      <c r="AL21" s="66" t="n">
        <v>32</v>
      </c>
      <c r="AM21" s="66" t="n">
        <v>36</v>
      </c>
      <c r="AN21" s="66" t="n">
        <v>31</v>
      </c>
      <c r="AO21" s="66" t="n">
        <v>31</v>
      </c>
    </row>
    <row r="22">
      <c r="A22" s="65" t="inlineStr">
        <is>
          <t>총 차입금</t>
        </is>
      </c>
      <c r="B22" s="66" t="n"/>
      <c r="C22" s="66" t="n"/>
      <c r="D22" s="66" t="n">
        <v>0</v>
      </c>
      <c r="E22" s="66" t="n"/>
      <c r="F22" s="66" t="n">
        <v>0</v>
      </c>
      <c r="G22" s="66" t="n">
        <v>0</v>
      </c>
      <c r="H22" s="66" t="n">
        <v>0</v>
      </c>
      <c r="I22" s="66" t="n">
        <v>0</v>
      </c>
      <c r="J22" s="66" t="n">
        <v>0</v>
      </c>
      <c r="K22" s="66" t="n">
        <v>0</v>
      </c>
      <c r="L22" s="66" t="n">
        <v>0</v>
      </c>
      <c r="M22" s="66" t="n">
        <v>0</v>
      </c>
      <c r="N22" s="66" t="n">
        <v>0</v>
      </c>
      <c r="O22" s="66" t="n">
        <v>0</v>
      </c>
      <c r="P22" s="66" t="n">
        <v>0</v>
      </c>
      <c r="Q22" s="66" t="n">
        <v>0</v>
      </c>
      <c r="R22" s="66" t="n">
        <v>0</v>
      </c>
      <c r="S22" s="66" t="n">
        <v>0</v>
      </c>
      <c r="T22" s="66" t="n">
        <v>0</v>
      </c>
      <c r="U22" s="66" t="n">
        <v>0</v>
      </c>
      <c r="V22" s="66" t="n">
        <v>0</v>
      </c>
      <c r="W22" s="66" t="n">
        <v>0</v>
      </c>
      <c r="X22" s="66" t="n">
        <v>0</v>
      </c>
      <c r="Y22" s="66" t="n">
        <v>0</v>
      </c>
      <c r="Z22" s="66" t="n">
        <v>0</v>
      </c>
      <c r="AA22" s="66" t="n">
        <v>0</v>
      </c>
      <c r="AB22" s="66" t="n">
        <v>0</v>
      </c>
      <c r="AC22" s="66" t="n">
        <v>0</v>
      </c>
      <c r="AD22" s="66" t="n">
        <v>0</v>
      </c>
      <c r="AE22" s="66" t="n">
        <v>0</v>
      </c>
      <c r="AF22" s="66" t="n">
        <v>0</v>
      </c>
      <c r="AG22" s="66" t="n">
        <v>0</v>
      </c>
      <c r="AH22" s="66" t="n">
        <v>0</v>
      </c>
      <c r="AI22" s="66" t="n">
        <v>0</v>
      </c>
      <c r="AJ22" s="66" t="n">
        <v>0</v>
      </c>
      <c r="AK22" s="66" t="n">
        <v>0</v>
      </c>
      <c r="AL22" s="66" t="n">
        <v>0</v>
      </c>
      <c r="AM22" s="66" t="n">
        <v>0</v>
      </c>
      <c r="AN22" s="66" t="n">
        <v>0</v>
      </c>
      <c r="AO22" s="66" t="n">
        <v>0</v>
      </c>
    </row>
    <row r="23">
      <c r="A23" s="65" t="inlineStr">
        <is>
          <t>현금</t>
        </is>
      </c>
      <c r="B23" s="66" t="n"/>
      <c r="C23" s="66" t="n"/>
      <c r="D23" s="66" t="n">
        <v>42.4</v>
      </c>
      <c r="E23" s="66" t="n"/>
      <c r="F23" s="66" t="n">
        <v>44</v>
      </c>
      <c r="G23" s="66" t="n">
        <v>43.5</v>
      </c>
      <c r="H23" s="66" t="n">
        <v>46.3</v>
      </c>
      <c r="I23" s="66" t="n">
        <v>45.3</v>
      </c>
      <c r="J23" s="66" t="n">
        <v>48.5</v>
      </c>
      <c r="K23" s="66" t="n">
        <v>48.1</v>
      </c>
      <c r="L23" s="66" t="n">
        <v>55.7</v>
      </c>
      <c r="M23" s="66" t="n">
        <v>53</v>
      </c>
      <c r="N23" s="66" t="n">
        <v>54.4</v>
      </c>
      <c r="O23" s="66" t="n">
        <v>53</v>
      </c>
      <c r="P23" s="66" t="n">
        <v>57.6</v>
      </c>
      <c r="Q23" s="66" t="n">
        <v>56.7</v>
      </c>
      <c r="R23" s="66" t="n">
        <v>58.4</v>
      </c>
      <c r="S23" s="66" t="n">
        <v>58.4</v>
      </c>
      <c r="T23" s="66" t="n">
        <v>63.6</v>
      </c>
      <c r="U23" s="66" t="n">
        <v>64.2</v>
      </c>
      <c r="V23" s="66" t="n">
        <v>69.90000000000001</v>
      </c>
      <c r="W23" s="66" t="n">
        <v>68.40000000000001</v>
      </c>
      <c r="X23" s="66" t="n">
        <v>73.90000000000001</v>
      </c>
      <c r="Y23" s="66" t="n">
        <v>72.8</v>
      </c>
      <c r="Z23" s="66" t="n">
        <v>78.09999999999999</v>
      </c>
      <c r="AA23" s="66" t="n">
        <v>79.40000000000001</v>
      </c>
      <c r="AB23" s="66" t="n">
        <v>84.7</v>
      </c>
      <c r="AC23" s="66" t="n">
        <v>82</v>
      </c>
      <c r="AD23" s="66" t="n">
        <v>87</v>
      </c>
      <c r="AE23" s="66" t="n">
        <v>84.90000000000001</v>
      </c>
      <c r="AF23" s="66" t="n">
        <v>98.5</v>
      </c>
      <c r="AG23" s="66" t="n">
        <v>95.09999999999999</v>
      </c>
      <c r="AH23" s="66" t="n">
        <v>97.90000000000001</v>
      </c>
      <c r="AI23" s="66" t="n">
        <v>97.3</v>
      </c>
      <c r="AJ23" s="66" t="n">
        <v>94.7</v>
      </c>
      <c r="AK23" s="66" t="n">
        <v>96.2</v>
      </c>
      <c r="AL23" s="66" t="n">
        <v>98.8</v>
      </c>
      <c r="AM23" s="66" t="n">
        <v>82.59999999999999</v>
      </c>
      <c r="AN23" s="66" t="n">
        <v>88.2</v>
      </c>
      <c r="AO23" s="66" t="n">
        <v>78.09999999999999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2026-10-30T10:28:15Z</dcterms:created>
  <dcterms:modified xmlns:dcterms="http://purl.org/dc/terms/" xmlns:xsi="http://www.w3.org/2001/XMLSchema-instance" xsi:type="dcterms:W3CDTF">2026-10-30T10:29:23Z</dcterms:modified>
</cp:coreProperties>
</file>