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5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VRAIN 솔루션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/>
      <c r="D4" s="12" t="n">
        <v>358.214</v>
      </c>
      <c r="E4" s="12" t="n">
        <v>366</v>
      </c>
      <c r="F4" s="12" t="n">
        <v>442</v>
      </c>
      <c r="G4" s="12" t="n">
        <v>392</v>
      </c>
      <c r="H4" s="12" t="n">
        <v>944</v>
      </c>
      <c r="I4" s="12" t="n">
        <v>195</v>
      </c>
      <c r="J4" s="12" t="n">
        <v>852</v>
      </c>
      <c r="K4" s="12" t="n">
        <v>581</v>
      </c>
      <c r="L4" s="12" t="n">
        <v>1650</v>
      </c>
      <c r="M4" s="12" t="n">
        <v>648</v>
      </c>
      <c r="N4" s="12" t="n">
        <v>1236</v>
      </c>
      <c r="O4" s="11" t="n"/>
      <c r="P4" s="12" t="n"/>
      <c r="Q4" s="12" t="n"/>
      <c r="R4" s="12" t="n"/>
      <c r="S4" s="12" t="n"/>
      <c r="T4" s="12" t="n"/>
      <c r="U4" s="12" t="n">
        <v>617.397</v>
      </c>
      <c r="V4" s="12" t="n">
        <v>1411.008</v>
      </c>
      <c r="W4" s="12" t="n">
        <v>2144</v>
      </c>
      <c r="X4" s="12" t="n">
        <v>3278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/>
      <c r="D11" s="22" t="n">
        <v>54.88</v>
      </c>
      <c r="E11" s="22" t="n">
        <v>103</v>
      </c>
      <c r="F11" s="22" t="n">
        <v>90</v>
      </c>
      <c r="G11" s="22" t="n">
        <v>82</v>
      </c>
      <c r="H11" s="22" t="n">
        <v>187</v>
      </c>
      <c r="I11" s="22" t="n">
        <v>51</v>
      </c>
      <c r="J11" s="22" t="n">
        <v>154</v>
      </c>
      <c r="K11" s="22" t="n">
        <v>146</v>
      </c>
      <c r="L11" s="22" t="n">
        <v>341</v>
      </c>
      <c r="M11" s="22" t="n">
        <v>152</v>
      </c>
      <c r="N11" s="22" t="n">
        <v>296</v>
      </c>
      <c r="O11" s="21" t="n"/>
      <c r="P11" s="22" t="n"/>
      <c r="Q11" s="22" t="n"/>
      <c r="R11" s="22" t="n"/>
      <c r="S11" s="22" t="n"/>
      <c r="T11" s="22" t="n"/>
      <c r="U11" s="22" t="n">
        <v>70.307</v>
      </c>
      <c r="V11" s="22" t="n">
        <v>275.711</v>
      </c>
      <c r="W11" s="22" t="n">
        <v>462</v>
      </c>
      <c r="X11" s="22" t="n">
        <v>692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/>
      <c r="D17" s="22" t="n">
        <v>179.239</v>
      </c>
      <c r="E17" s="22" t="n">
        <v>199</v>
      </c>
      <c r="F17" s="22" t="n">
        <v>225</v>
      </c>
      <c r="G17" s="22" t="n">
        <v>315</v>
      </c>
      <c r="H17" s="22" t="n">
        <v>348</v>
      </c>
      <c r="I17" s="22" t="n">
        <v>373</v>
      </c>
      <c r="J17" s="22" t="n">
        <v>373</v>
      </c>
      <c r="K17" s="22" t="n">
        <v>456</v>
      </c>
      <c r="L17" s="22" t="n">
        <v>468</v>
      </c>
      <c r="M17" s="22" t="n">
        <v>527</v>
      </c>
      <c r="N17" s="22" t="n">
        <v>499</v>
      </c>
      <c r="O17" s="21" t="n"/>
      <c r="P17" s="22" t="n"/>
      <c r="Q17" s="22" t="n"/>
      <c r="R17" s="22" t="n"/>
      <c r="S17" s="22" t="n"/>
      <c r="T17" s="22" t="n"/>
      <c r="U17" s="22" t="n">
        <v>482.771</v>
      </c>
      <c r="V17" s="22" t="n">
        <v>627.14</v>
      </c>
      <c r="W17" s="22" t="n">
        <v>1087</v>
      </c>
      <c r="X17" s="22" t="n">
        <v>1670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/>
      <c r="D19" s="12" t="n">
        <v>124.095</v>
      </c>
      <c r="E19" s="12" t="n">
        <v>63</v>
      </c>
      <c r="F19" s="12" t="n">
        <v>126</v>
      </c>
      <c r="G19" s="12" t="n">
        <v>-4</v>
      </c>
      <c r="H19" s="12" t="n">
        <v>409</v>
      </c>
      <c r="I19" s="12" t="n">
        <v>-228</v>
      </c>
      <c r="J19" s="12" t="n">
        <v>323</v>
      </c>
      <c r="K19" s="12" t="n">
        <v>-21</v>
      </c>
      <c r="L19" s="12" t="n">
        <v>840</v>
      </c>
      <c r="M19" s="12" t="n">
        <v>-31</v>
      </c>
      <c r="N19" s="12" t="n">
        <v>440</v>
      </c>
      <c r="O19" s="11" t="n"/>
      <c r="P19" s="12" t="n"/>
      <c r="Q19" s="12" t="n"/>
      <c r="R19" s="12" t="n"/>
      <c r="S19" s="12" t="n"/>
      <c r="T19" s="12" t="n"/>
      <c r="U19" s="12" t="n">
        <v>64.319</v>
      </c>
      <c r="V19" s="12" t="n">
        <v>508.156</v>
      </c>
      <c r="W19" s="12" t="n">
        <v>594</v>
      </c>
      <c r="X19" s="12" t="n">
        <v>914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/>
      <c r="P37" s="22" t="n"/>
      <c r="Q37" s="22" t="n"/>
      <c r="R37" s="22" t="n"/>
      <c r="S37" s="22" t="n"/>
      <c r="T37" s="22" t="n"/>
      <c r="U37" s="22" t="n">
        <v>3.609</v>
      </c>
      <c r="V37" s="22" t="n">
        <v>0</v>
      </c>
      <c r="W37" s="22" t="n"/>
      <c r="X37" s="22" t="n"/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/>
      <c r="D39" s="22" t="n">
        <v>-0.017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1" t="n"/>
      <c r="P39" s="22" t="n"/>
      <c r="Q39" s="22" t="n"/>
      <c r="R39" s="22" t="n"/>
      <c r="S39" s="22" t="n"/>
      <c r="T39" s="22" t="n"/>
      <c r="U39" s="22" t="n">
        <v>0.244</v>
      </c>
      <c r="V39" s="22" t="n">
        <v>0.108</v>
      </c>
      <c r="W39" s="22" t="n">
        <v>0</v>
      </c>
      <c r="X39" s="22" t="n">
        <v>0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/>
      <c r="D41" s="22" t="n">
        <v>11.809</v>
      </c>
      <c r="E41" s="22" t="n">
        <v>0</v>
      </c>
      <c r="F41" s="22" t="n">
        <v>0</v>
      </c>
      <c r="G41" s="22" t="n">
        <v>0</v>
      </c>
      <c r="H41" s="22" t="n">
        <v>0</v>
      </c>
      <c r="I41" s="22" t="n">
        <v>0</v>
      </c>
      <c r="J41" s="22" t="n">
        <v>0</v>
      </c>
      <c r="K41" s="22" t="n">
        <v>1</v>
      </c>
      <c r="L41" s="22" t="n">
        <v>2</v>
      </c>
      <c r="M41" s="22" t="n">
        <v>0</v>
      </c>
      <c r="N41" s="22" t="n">
        <v>0</v>
      </c>
      <c r="O41" s="21" t="n"/>
      <c r="P41" s="22" t="n"/>
      <c r="Q41" s="22" t="n"/>
      <c r="R41" s="22" t="n"/>
      <c r="S41" s="22" t="n"/>
      <c r="T41" s="22" t="n"/>
      <c r="U41" s="22" t="n">
        <v>1.164</v>
      </c>
      <c r="V41" s="22" t="n">
        <v>12.587</v>
      </c>
      <c r="W41" s="22" t="n">
        <v>0</v>
      </c>
      <c r="X41" s="22" t="n">
        <v>3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/>
      <c r="D43" s="12" t="n">
        <v>112.269</v>
      </c>
      <c r="E43" s="12" t="n">
        <v>63</v>
      </c>
      <c r="F43" s="12" t="n">
        <v>126</v>
      </c>
      <c r="G43" s="12" t="n">
        <v>-4</v>
      </c>
      <c r="H43" s="12" t="n">
        <v>410</v>
      </c>
      <c r="I43" s="12" t="n">
        <v>-228</v>
      </c>
      <c r="J43" s="12" t="n">
        <v>323</v>
      </c>
      <c r="K43" s="12" t="n">
        <v>-22</v>
      </c>
      <c r="L43" s="12" t="n">
        <v>839</v>
      </c>
      <c r="M43" s="12" t="n">
        <v>-31</v>
      </c>
      <c r="N43" s="12" t="n">
        <v>440</v>
      </c>
      <c r="O43" s="11" t="n"/>
      <c r="P43" s="12" t="n"/>
      <c r="Q43" s="12" t="n"/>
      <c r="R43" s="12" t="n"/>
      <c r="S43" s="12" t="n"/>
      <c r="T43" s="12" t="n"/>
      <c r="U43" s="12" t="n">
        <v>59.79</v>
      </c>
      <c r="V43" s="12" t="n">
        <v>495.677</v>
      </c>
      <c r="W43" s="12" t="n">
        <v>595</v>
      </c>
      <c r="X43" s="12" t="n">
        <v>912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/>
      <c r="D45" s="22" t="n">
        <v>35.565</v>
      </c>
      <c r="E45" s="22" t="n">
        <v>19</v>
      </c>
      <c r="F45" s="22" t="n">
        <v>44</v>
      </c>
      <c r="G45" s="22" t="n">
        <v>-1</v>
      </c>
      <c r="H45" s="22" t="n">
        <v>108</v>
      </c>
      <c r="I45" s="22" t="n">
        <v>-79</v>
      </c>
      <c r="J45" s="22" t="n">
        <v>113</v>
      </c>
      <c r="K45" s="22" t="n">
        <v>-10</v>
      </c>
      <c r="L45" s="22" t="n">
        <v>236</v>
      </c>
      <c r="M45" s="22" t="n">
        <v>-11</v>
      </c>
      <c r="N45" s="22" t="n">
        <v>153</v>
      </c>
      <c r="O45" s="21" t="n"/>
      <c r="P45" s="22" t="n"/>
      <c r="Q45" s="22" t="n"/>
      <c r="R45" s="22" t="n"/>
      <c r="S45" s="22" t="n"/>
      <c r="T45" s="22" t="n"/>
      <c r="U45" s="22" t="n">
        <v>9.859</v>
      </c>
      <c r="V45" s="22" t="n">
        <v>165.515</v>
      </c>
      <c r="W45" s="22" t="n">
        <v>170</v>
      </c>
      <c r="X45" s="22" t="n">
        <v>260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/>
      <c r="D47" s="12" t="n">
        <v>76.70399999999999</v>
      </c>
      <c r="E47" s="12" t="n">
        <v>43</v>
      </c>
      <c r="F47" s="12" t="n">
        <v>83</v>
      </c>
      <c r="G47" s="12" t="n">
        <v>-3</v>
      </c>
      <c r="H47" s="12" t="n">
        <v>302</v>
      </c>
      <c r="I47" s="12" t="n">
        <v>-149</v>
      </c>
      <c r="J47" s="12" t="n">
        <v>210</v>
      </c>
      <c r="K47" s="12" t="n">
        <v>-12</v>
      </c>
      <c r="L47" s="12" t="n">
        <v>603</v>
      </c>
      <c r="M47" s="12" t="n">
        <v>-20</v>
      </c>
      <c r="N47" s="12" t="n">
        <v>287</v>
      </c>
      <c r="O47" s="11" t="n"/>
      <c r="P47" s="12" t="n"/>
      <c r="Q47" s="12" t="n"/>
      <c r="R47" s="12" t="n"/>
      <c r="S47" s="12" t="n"/>
      <c r="T47" s="12" t="n"/>
      <c r="U47" s="12" t="n">
        <v>49.93</v>
      </c>
      <c r="V47" s="12" t="n">
        <v>330.161</v>
      </c>
      <c r="W47" s="12" t="n">
        <v>425</v>
      </c>
      <c r="X47" s="12" t="n">
        <v>652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/>
      <c r="D49" s="12" t="n">
        <v>76.70399999999999</v>
      </c>
      <c r="E49" s="12" t="n">
        <v>43</v>
      </c>
      <c r="F49" s="12" t="n">
        <v>83</v>
      </c>
      <c r="G49" s="12" t="n">
        <v>-3</v>
      </c>
      <c r="H49" s="12" t="n">
        <v>302</v>
      </c>
      <c r="I49" s="12" t="n">
        <v>-149</v>
      </c>
      <c r="J49" s="12" t="n">
        <v>210</v>
      </c>
      <c r="K49" s="12" t="n">
        <v>-12</v>
      </c>
      <c r="L49" s="12" t="n">
        <v>603</v>
      </c>
      <c r="M49" s="12" t="n">
        <v>-20</v>
      </c>
      <c r="N49" s="12" t="n">
        <v>287</v>
      </c>
      <c r="O49" s="11" t="n"/>
      <c r="P49" s="12" t="n"/>
      <c r="Q49" s="12" t="n"/>
      <c r="R49" s="12" t="n"/>
      <c r="S49" s="12" t="n"/>
      <c r="T49" s="12" t="n"/>
      <c r="U49" s="12" t="n">
        <v>49.93</v>
      </c>
      <c r="V49" s="12" t="n">
        <v>330.161</v>
      </c>
      <c r="W49" s="12" t="n">
        <v>425</v>
      </c>
      <c r="X49" s="12" t="n">
        <v>652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D84" s="12" t="n">
        <v>358.214</v>
      </c>
      <c r="E84" s="12" t="n">
        <v>366</v>
      </c>
      <c r="F84" s="12" t="n">
        <v>442</v>
      </c>
      <c r="G84" s="12" t="n">
        <v>392</v>
      </c>
      <c r="H84" s="12" t="n">
        <v>944</v>
      </c>
      <c r="I84" s="12" t="n">
        <v>195</v>
      </c>
      <c r="J84" s="12" t="n">
        <v>852</v>
      </c>
      <c r="K84" s="12" t="n">
        <v>581</v>
      </c>
      <c r="L84" s="12" t="n">
        <v>1650</v>
      </c>
      <c r="M84" s="12" t="n">
        <v>648</v>
      </c>
      <c r="N84" s="12" t="n">
        <v>1236</v>
      </c>
      <c r="V84" s="12" t="n">
        <v>358.214</v>
      </c>
      <c r="W84" s="12" t="n">
        <v>944</v>
      </c>
      <c r="X84" s="12" t="n">
        <v>1650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D86" s="22" t="n">
        <v>54.88</v>
      </c>
      <c r="E86" s="22" t="n">
        <v>103</v>
      </c>
      <c r="F86" s="22" t="n">
        <v>90</v>
      </c>
      <c r="G86" s="22" t="n">
        <v>82</v>
      </c>
      <c r="H86" s="22" t="n">
        <v>187</v>
      </c>
      <c r="I86" s="22" t="n">
        <v>51</v>
      </c>
      <c r="J86" s="22" t="n">
        <v>154</v>
      </c>
      <c r="K86" s="22" t="n">
        <v>146</v>
      </c>
      <c r="L86" s="22" t="n">
        <v>341</v>
      </c>
      <c r="M86" s="22" t="n">
        <v>152</v>
      </c>
      <c r="N86" s="22" t="n">
        <v>296</v>
      </c>
      <c r="V86" s="22" t="n">
        <v>54.88</v>
      </c>
      <c r="W86" s="22" t="n">
        <v>187</v>
      </c>
      <c r="X86" s="22" t="n">
        <v>341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D88" s="12" t="n">
        <v>303.334</v>
      </c>
      <c r="E88" s="12" t="n">
        <v>262</v>
      </c>
      <c r="F88" s="12" t="n">
        <v>352</v>
      </c>
      <c r="G88" s="12" t="n">
        <v>311</v>
      </c>
      <c r="H88" s="12" t="n">
        <v>757</v>
      </c>
      <c r="I88" s="12" t="n">
        <v>144</v>
      </c>
      <c r="J88" s="12" t="n">
        <v>697</v>
      </c>
      <c r="K88" s="12" t="n">
        <v>436</v>
      </c>
      <c r="L88" s="12" t="n">
        <v>1308</v>
      </c>
      <c r="M88" s="12" t="n">
        <v>496</v>
      </c>
      <c r="N88" s="12" t="n">
        <v>940</v>
      </c>
      <c r="V88" s="12" t="n">
        <v>303.334</v>
      </c>
      <c r="W88" s="12" t="n">
        <v>757</v>
      </c>
      <c r="X88" s="12" t="n">
        <v>1308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D90" s="22" t="n">
        <v>179.239</v>
      </c>
      <c r="E90" s="22" t="n">
        <v>199</v>
      </c>
      <c r="F90" s="22" t="n">
        <v>225</v>
      </c>
      <c r="G90" s="22" t="n">
        <v>315</v>
      </c>
      <c r="H90" s="22" t="n">
        <v>348</v>
      </c>
      <c r="I90" s="22" t="n">
        <v>373</v>
      </c>
      <c r="J90" s="22" t="n">
        <v>373</v>
      </c>
      <c r="K90" s="22" t="n">
        <v>456</v>
      </c>
      <c r="L90" s="22" t="n">
        <v>468</v>
      </c>
      <c r="M90" s="22" t="n">
        <v>527</v>
      </c>
      <c r="N90" s="22" t="n">
        <v>499</v>
      </c>
      <c r="V90" s="22" t="n">
        <v>179.239</v>
      </c>
      <c r="W90" s="22" t="n">
        <v>348</v>
      </c>
      <c r="X90" s="22" t="n">
        <v>468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D92" s="12" t="n">
        <v>124.095</v>
      </c>
      <c r="E92" s="12" t="n">
        <v>63</v>
      </c>
      <c r="F92" s="12" t="n">
        <v>126</v>
      </c>
      <c r="G92" s="12" t="n">
        <v>-4</v>
      </c>
      <c r="H92" s="12" t="n">
        <v>409</v>
      </c>
      <c r="I92" s="12" t="n">
        <v>-228</v>
      </c>
      <c r="J92" s="12" t="n">
        <v>323</v>
      </c>
      <c r="K92" s="12" t="n">
        <v>-21</v>
      </c>
      <c r="L92" s="12" t="n">
        <v>840</v>
      </c>
      <c r="M92" s="12" t="n">
        <v>-31</v>
      </c>
      <c r="N92" s="12" t="n">
        <v>440</v>
      </c>
      <c r="V92" s="12" t="n">
        <v>124.095</v>
      </c>
      <c r="W92" s="12" t="n">
        <v>409</v>
      </c>
      <c r="X92" s="12" t="n">
        <v>840</v>
      </c>
    </row>
    <row r="93">
      <c r="A93" s="45" t="inlineStr">
        <is>
          <t>OPM</t>
        </is>
      </c>
      <c r="B93" s="3" t="inlineStr">
        <is>
          <t>영업이익 ÷ 매출</t>
        </is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D95" s="22" t="n">
        <v>0</v>
      </c>
      <c r="E95" s="22" t="n">
        <v>0</v>
      </c>
      <c r="F95" s="22" t="n">
        <v>0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0</v>
      </c>
      <c r="L95" s="22" t="n">
        <v>0</v>
      </c>
      <c r="M95" s="22" t="n">
        <v>0</v>
      </c>
      <c r="N95" s="22" t="n">
        <v>0</v>
      </c>
      <c r="V95" s="22" t="n">
        <v>0</v>
      </c>
      <c r="W95" s="22" t="n">
        <v>0</v>
      </c>
      <c r="X95" s="22" t="n">
        <v>0</v>
      </c>
    </row>
    <row r="96">
      <c r="A96" s="20" t="inlineStr">
        <is>
          <t>보조금 수입</t>
        </is>
      </c>
      <c r="D96" s="22" t="n">
        <v>0</v>
      </c>
      <c r="E96" s="22" t="n">
        <v>0</v>
      </c>
      <c r="F96" s="22" t="n">
        <v>0</v>
      </c>
      <c r="G96" s="22" t="n">
        <v>0</v>
      </c>
      <c r="H96" s="22" t="n">
        <v>0</v>
      </c>
      <c r="I96" s="22" t="n">
        <v>0</v>
      </c>
      <c r="J96" s="22" t="n">
        <v>0</v>
      </c>
      <c r="K96" s="22" t="n">
        <v>0</v>
      </c>
      <c r="L96" s="22" t="n">
        <v>0</v>
      </c>
      <c r="M96" s="22" t="n">
        <v>0</v>
      </c>
      <c r="V96" s="22" t="n">
        <v>0</v>
      </c>
      <c r="W96" s="22" t="n">
        <v>0</v>
      </c>
      <c r="X96" s="22" t="n">
        <v>0</v>
      </c>
    </row>
    <row r="97">
      <c r="A97" s="20" t="inlineStr">
        <is>
          <t>잡이익</t>
        </is>
      </c>
      <c r="D97" s="22" t="n">
        <v>0</v>
      </c>
      <c r="E97" s="22" t="n">
        <v>0</v>
      </c>
      <c r="F97" s="22" t="n">
        <v>0</v>
      </c>
      <c r="G97" s="22" t="n">
        <v>0</v>
      </c>
      <c r="H97" s="22" t="n">
        <v>0</v>
      </c>
      <c r="I97" s="22" t="n">
        <v>0</v>
      </c>
      <c r="J97" s="22" t="n">
        <v>0</v>
      </c>
      <c r="K97" s="22" t="n">
        <v>0</v>
      </c>
      <c r="L97" s="22" t="n">
        <v>0</v>
      </c>
      <c r="V97" s="22" t="n">
        <v>0</v>
      </c>
      <c r="W97" s="22" t="n">
        <v>0</v>
      </c>
      <c r="X97" s="22" t="n">
        <v>0</v>
      </c>
    </row>
    <row r="98">
      <c r="A98" s="20" t="inlineStr">
        <is>
          <t>외환차익</t>
        </is>
      </c>
      <c r="D98" s="22" t="n">
        <v>-0.018</v>
      </c>
      <c r="E98" s="22" t="n">
        <v>0</v>
      </c>
      <c r="H98" s="22" t="n">
        <v>0</v>
      </c>
      <c r="I98" s="22" t="n">
        <v>0</v>
      </c>
      <c r="J98" s="22" t="n">
        <v>0</v>
      </c>
      <c r="K98" s="22" t="n">
        <v>0</v>
      </c>
      <c r="L98" s="22" t="n">
        <v>0</v>
      </c>
      <c r="V98" s="22" t="n">
        <v>-0.018</v>
      </c>
      <c r="W98" s="22" t="n">
        <v>0</v>
      </c>
      <c r="X98" s="22" t="n">
        <v>0</v>
      </c>
    </row>
    <row r="99">
      <c r="A99" s="20" t="inlineStr">
        <is>
          <t>영업외수익 합계</t>
        </is>
      </c>
      <c r="D99" s="22" t="n">
        <v>-0.017</v>
      </c>
      <c r="E99" s="22" t="n">
        <v>0</v>
      </c>
      <c r="F99" s="22" t="n">
        <v>0</v>
      </c>
      <c r="G99" s="22" t="n">
        <v>0</v>
      </c>
      <c r="H99" s="22" t="n">
        <v>0</v>
      </c>
      <c r="I99" s="22" t="n">
        <v>0</v>
      </c>
      <c r="J99" s="22" t="n">
        <v>0</v>
      </c>
      <c r="K99" s="22" t="n">
        <v>0</v>
      </c>
      <c r="L99" s="22" t="n">
        <v>0</v>
      </c>
      <c r="M99" s="22" t="n">
        <v>0</v>
      </c>
      <c r="N99" s="22" t="n">
        <v>0</v>
      </c>
      <c r="V99" s="22" t="n">
        <v>-0.017</v>
      </c>
      <c r="W99" s="22" t="n">
        <v>0</v>
      </c>
      <c r="X99" s="22" t="n">
        <v>0</v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IF(OR(G99="",C99=""),"",IF(G99*C99&lt;=0,"",IFERROR(G99/C99-1,"")))</f>
        <v/>
      </c>
      <c r="H100" s="17">
        <f>IF(OR(H99="",D99=""),"",IF(H99*D99&lt;=0,"",IFERROR(H99/D99-1,"")))</f>
        <v/>
      </c>
      <c r="I100" s="17">
        <f>IF(OR(I99="",E99=""),"",IF(I99*E99&lt;=0,"",IFERROR(I99/E99-1,"")))</f>
        <v/>
      </c>
      <c r="J100" s="17">
        <f>IF(OR(J99="",F99=""),"",IF(J99*F99&lt;=0,"",IFERROR(J99/F99-1,"")))</f>
        <v/>
      </c>
      <c r="K100" s="17">
        <f>IF(OR(K99="",G99=""),"",IF(K99*G99&lt;=0,"",IFERROR(K99/G99-1,"")))</f>
        <v/>
      </c>
      <c r="L100" s="17">
        <f>IF(OR(L99="",H99=""),"",IF(L99*H99&lt;=0,"",IFERROR(L99/H99-1,"")))</f>
        <v/>
      </c>
      <c r="M100" s="17">
        <f>IF(OR(M99="",I99=""),"",IF(M99*I99&lt;=0,"",IFERROR(M99/I99-1,"")))</f>
        <v/>
      </c>
      <c r="N100" s="17">
        <f>IF(OR(N99="",J99=""),"",IF(N99*J99&lt;=0,"",IFERROR(N99/J99-1,"")))</f>
        <v/>
      </c>
      <c r="V100" s="17">
        <f>IF(OR(V99="",U99=""),"",IF(V99*U99&lt;=0,"",IFERROR(V99/U99-1,"")))</f>
        <v/>
      </c>
      <c r="W100" s="17">
        <f>IF(OR(W99="",V99=""),"",IF(W99*V99&lt;=0,"",IFERROR(W99/V99-1,"")))</f>
        <v/>
      </c>
      <c r="X100" s="17">
        <f>IF(OR(X99="",W99=""),"",IF(X99*W99&lt;=0,"",IFERROR(X99/W99-1,"")))</f>
        <v/>
      </c>
    </row>
    <row r="101">
      <c r="A101" s="20" t="inlineStr">
        <is>
          <t>이자비용</t>
        </is>
      </c>
      <c r="D101" s="22" t="n">
        <v>0.187</v>
      </c>
      <c r="E101" s="22" t="n">
        <v>0</v>
      </c>
      <c r="F101" s="22" t="n">
        <v>0</v>
      </c>
      <c r="G101" s="22" t="n">
        <v>0</v>
      </c>
      <c r="H101" s="22" t="n">
        <v>0</v>
      </c>
      <c r="I101" s="22" t="n">
        <v>0</v>
      </c>
      <c r="J101" s="22" t="n">
        <v>0</v>
      </c>
      <c r="K101" s="22" t="n">
        <v>1</v>
      </c>
      <c r="L101" s="22" t="n">
        <v>1</v>
      </c>
      <c r="M101" s="22" t="n">
        <v>0</v>
      </c>
      <c r="N101" s="22" t="n">
        <v>0</v>
      </c>
      <c r="V101" s="22" t="n">
        <v>0.187</v>
      </c>
      <c r="W101" s="22" t="n">
        <v>0</v>
      </c>
      <c r="X101" s="22" t="n">
        <v>1</v>
      </c>
    </row>
    <row r="102">
      <c r="A102" s="20" t="inlineStr">
        <is>
          <t>외환차손</t>
        </is>
      </c>
      <c r="E102" s="22" t="n">
        <v>0</v>
      </c>
      <c r="F102" s="22" t="n">
        <v>0</v>
      </c>
      <c r="I102" s="22" t="n">
        <v>0</v>
      </c>
      <c r="J102" s="22" t="n">
        <v>0</v>
      </c>
      <c r="M102" s="22" t="n">
        <v>0</v>
      </c>
      <c r="N102" s="22" t="n">
        <v>0</v>
      </c>
    </row>
    <row r="103">
      <c r="A103" s="20" t="inlineStr">
        <is>
          <t>영업외비용 합계</t>
        </is>
      </c>
      <c r="D103" s="22" t="n">
        <v>11.809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1</v>
      </c>
      <c r="L103" s="22" t="n">
        <v>2</v>
      </c>
      <c r="M103" s="22" t="n">
        <v>0</v>
      </c>
      <c r="N103" s="22" t="n">
        <v>0</v>
      </c>
      <c r="V103" s="22" t="n">
        <v>11.809</v>
      </c>
      <c r="W103" s="22" t="n">
        <v>0</v>
      </c>
      <c r="X103" s="22" t="n">
        <v>2</v>
      </c>
    </row>
    <row r="104">
      <c r="A104" s="45" t="inlineStr">
        <is>
          <t>YoY</t>
        </is>
      </c>
      <c r="B104" s="3" t="inlineStr">
        <is>
          <t>전년 같은 분기·전년 대비</t>
        </is>
      </c>
      <c r="G104" s="17">
        <f>IF(OR(G103="",C103=""),"",IF(G103*C103&lt;=0,"",IFERROR(G103/C103-1,"")))</f>
        <v/>
      </c>
      <c r="H104" s="17">
        <f>IF(OR(H103="",D103=""),"",IF(H103*D103&lt;=0,"",IFERROR(H103/D103-1,"")))</f>
        <v/>
      </c>
      <c r="I104" s="17">
        <f>IF(OR(I103="",E103=""),"",IF(I103*E103&lt;=0,"",IFERROR(I103/E103-1,"")))</f>
        <v/>
      </c>
      <c r="J104" s="17">
        <f>IF(OR(J103="",F103=""),"",IF(J103*F103&lt;=0,"",IFERROR(J103/F103-1,"")))</f>
        <v/>
      </c>
      <c r="K104" s="17">
        <f>IF(OR(K103="",G103=""),"",IF(K103*G103&lt;=0,"",IFERROR(K103/G103-1,"")))</f>
        <v/>
      </c>
      <c r="L104" s="17">
        <f>IF(OR(L103="",H103=""),"",IF(L103*H103&lt;=0,"",IFERROR(L103/H103-1,"")))</f>
        <v/>
      </c>
      <c r="M104" s="17">
        <f>IF(OR(M103="",I103=""),"",IF(M103*I103&lt;=0,"",IFERROR(M103/I103-1,"")))</f>
        <v/>
      </c>
      <c r="N104" s="17">
        <f>IF(OR(N103="",J103=""),"",IF(N103*J103&lt;=0,"",IFERROR(N103/J103-1,"")))</f>
        <v/>
      </c>
      <c r="V104" s="17">
        <f>IF(OR(V103="",U103=""),"",IF(V103*U103&lt;=0,"",IFERROR(V103/U103-1,"")))</f>
        <v/>
      </c>
      <c r="W104" s="17">
        <f>IF(OR(W103="",V103=""),"",IF(W103*V103&lt;=0,"",IFERROR(W103/V103-1,"")))</f>
        <v/>
      </c>
      <c r="X104" s="17">
        <f>IF(OR(X103="",W103=""),"",IF(X103*W103&lt;=0,"",IFERROR(X103/W103-1,"")))</f>
        <v/>
      </c>
    </row>
    <row r="105">
      <c r="A105" s="9" t="inlineStr">
        <is>
          <t>경상이익</t>
        </is>
      </c>
      <c r="D105" s="12" t="n">
        <v>112.269</v>
      </c>
      <c r="E105" s="12" t="n">
        <v>63</v>
      </c>
      <c r="F105" s="12" t="n">
        <v>126</v>
      </c>
      <c r="G105" s="12" t="n">
        <v>-4</v>
      </c>
      <c r="H105" s="12" t="n">
        <v>410</v>
      </c>
      <c r="I105" s="12" t="n">
        <v>-228</v>
      </c>
      <c r="J105" s="12" t="n">
        <v>323</v>
      </c>
      <c r="K105" s="12" t="n">
        <v>-22</v>
      </c>
      <c r="L105" s="12" t="n">
        <v>839</v>
      </c>
      <c r="M105" s="12" t="n">
        <v>-31</v>
      </c>
      <c r="N105" s="12" t="n">
        <v>440</v>
      </c>
      <c r="V105" s="12" t="n">
        <v>112.269</v>
      </c>
      <c r="W105" s="12" t="n">
        <v>410</v>
      </c>
      <c r="X105" s="12" t="n">
        <v>839</v>
      </c>
    </row>
    <row r="106">
      <c r="A106" s="45" t="inlineStr">
        <is>
          <t>YoY</t>
        </is>
      </c>
      <c r="B106" s="3" t="inlineStr">
        <is>
          <t>전년 같은 분기·전년 대비</t>
        </is>
      </c>
      <c r="G106" s="17">
        <f>IF(OR(G105="",C105=""),"",IF(C105&lt;=0,"",IFERROR(G105/C105-1,"")))</f>
        <v/>
      </c>
      <c r="H106" s="17">
        <f>IF(OR(H105="",D105=""),"",IF(D105&lt;=0,"",IFERROR(H105/D105-1,"")))</f>
        <v/>
      </c>
      <c r="I106" s="17">
        <f>IF(OR(I105="",E105=""),"",IF(E105&lt;=0,"",IFERROR(I105/E105-1,"")))</f>
        <v/>
      </c>
      <c r="J106" s="17">
        <f>IF(OR(J105="",F105=""),"",IF(F105&lt;=0,"",IFERROR(J105/F105-1,"")))</f>
        <v/>
      </c>
      <c r="K106" s="17">
        <f>IF(OR(K105="",G105=""),"",IF(G105&lt;=0,"",IFERROR(K105/G105-1,"")))</f>
        <v/>
      </c>
      <c r="L106" s="17">
        <f>IF(OR(L105="",H105=""),"",IF(H105&lt;=0,"",IFERROR(L105/H105-1,"")))</f>
        <v/>
      </c>
      <c r="M106" s="17">
        <f>IF(OR(M105="",I105=""),"",IF(I105&lt;=0,"",IFERROR(M105/I105-1,"")))</f>
        <v/>
      </c>
      <c r="N106" s="17">
        <f>IF(OR(N105="",J105=""),"",IF(J105&lt;=0,"",IFERROR(N105/J105-1,"")))</f>
        <v/>
      </c>
      <c r="V106" s="17">
        <f>IF(OR(V105="",U105=""),"",IF(U105&lt;=0,"",IFERROR(V105/U105-1,"")))</f>
        <v/>
      </c>
      <c r="W106" s="17">
        <f>IF(OR(W105="",V105=""),"",IF(V105&lt;=0,"",IFERROR(W105/V105-1,"")))</f>
        <v/>
      </c>
      <c r="X106" s="17">
        <f>IF(OR(X105="",W105=""),"",IF(W105&lt;=0,"",IFERROR(X105/W105-1,"")))</f>
        <v/>
      </c>
    </row>
    <row r="107">
      <c r="A107" s="9" t="inlineStr">
        <is>
          <t>법인세차감전 순이익</t>
        </is>
      </c>
      <c r="D107" s="12" t="n">
        <v>112.269</v>
      </c>
      <c r="E107" s="12" t="n">
        <v>63</v>
      </c>
      <c r="F107" s="12" t="n">
        <v>126</v>
      </c>
      <c r="G107" s="12" t="n">
        <v>-4</v>
      </c>
      <c r="H107" s="12" t="n">
        <v>410</v>
      </c>
      <c r="I107" s="12" t="n">
        <v>-228</v>
      </c>
      <c r="J107" s="12" t="n">
        <v>323</v>
      </c>
      <c r="K107" s="12" t="n">
        <v>-22</v>
      </c>
      <c r="L107" s="12" t="n">
        <v>839</v>
      </c>
      <c r="M107" s="12" t="n">
        <v>-31</v>
      </c>
      <c r="N107" s="12" t="n">
        <v>440</v>
      </c>
      <c r="V107" s="12" t="n">
        <v>112.269</v>
      </c>
      <c r="W107" s="12" t="n">
        <v>410</v>
      </c>
      <c r="X107" s="12" t="n">
        <v>839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G108" s="17">
        <f>IF(OR(G107="",C107=""),"",IF(C107&lt;=0,"",IFERROR(G107/C107-1,"")))</f>
        <v/>
      </c>
      <c r="H108" s="17">
        <f>IF(OR(H107="",D107=""),"",IF(D107&lt;=0,"",IFERROR(H107/D107-1,"")))</f>
        <v/>
      </c>
      <c r="I108" s="17">
        <f>IF(OR(I107="",E107=""),"",IF(E107&lt;=0,"",IFERROR(I107/E107-1,"")))</f>
        <v/>
      </c>
      <c r="J108" s="17">
        <f>IF(OR(J107="",F107=""),"",IF(F107&lt;=0,"",IFERROR(J107/F107-1,"")))</f>
        <v/>
      </c>
      <c r="K108" s="17">
        <f>IF(OR(K107="",G107=""),"",IF(G107&lt;=0,"",IFERROR(K107/G107-1,"")))</f>
        <v/>
      </c>
      <c r="L108" s="17">
        <f>IF(OR(L107="",H107=""),"",IF(H107&lt;=0,"",IFERROR(L107/H107-1,"")))</f>
        <v/>
      </c>
      <c r="M108" s="17">
        <f>IF(OR(M107="",I107=""),"",IF(I107&lt;=0,"",IFERROR(M107/I107-1,"")))</f>
        <v/>
      </c>
      <c r="N108" s="17">
        <f>IF(OR(N107="",J107=""),"",IF(J107&lt;=0,"",IFERROR(N107/J107-1,"")))</f>
        <v/>
      </c>
      <c r="V108" s="17">
        <f>IF(OR(V107="",U107=""),"",IF(U107&lt;=0,"",IFERROR(V107/U107-1,"")))</f>
        <v/>
      </c>
      <c r="W108" s="17">
        <f>IF(OR(W107="",V107=""),"",IF(V107&lt;=0,"",IFERROR(W107/V107-1,"")))</f>
        <v/>
      </c>
      <c r="X108" s="17">
        <f>IF(OR(X107="",W107=""),"",IF(W107&lt;=0,"",IFERROR(X107/W107-1,"")))</f>
        <v/>
      </c>
    </row>
    <row r="109">
      <c r="A109" s="20" t="inlineStr">
        <is>
          <t>법인세·주민세·사업세</t>
        </is>
      </c>
      <c r="D109" s="22" t="n">
        <v>34.693</v>
      </c>
      <c r="E109" s="22" t="n">
        <v>10</v>
      </c>
      <c r="F109" s="22" t="n">
        <v>51</v>
      </c>
      <c r="G109" s="22" t="n">
        <v>-10</v>
      </c>
      <c r="H109" s="22" t="n">
        <v>144</v>
      </c>
      <c r="I109" s="22" t="n">
        <v>0</v>
      </c>
      <c r="J109" s="22" t="n">
        <v>36</v>
      </c>
      <c r="K109" s="22" t="n">
        <v>-6</v>
      </c>
      <c r="L109" s="22" t="n">
        <v>270</v>
      </c>
      <c r="M109" s="22" t="n">
        <v>0</v>
      </c>
      <c r="N109" s="22" t="n">
        <v>118</v>
      </c>
      <c r="V109" s="22" t="n">
        <v>34.693</v>
      </c>
      <c r="W109" s="22" t="n">
        <v>144</v>
      </c>
      <c r="X109" s="22" t="n">
        <v>270</v>
      </c>
    </row>
    <row r="110">
      <c r="A110" s="20" t="inlineStr">
        <is>
          <t>법인세 조정액</t>
        </is>
      </c>
      <c r="D110" s="22" t="n">
        <v>0.872</v>
      </c>
      <c r="E110" s="22" t="n">
        <v>9</v>
      </c>
      <c r="F110" s="22" t="n">
        <v>-7</v>
      </c>
      <c r="G110" s="22" t="n">
        <v>8</v>
      </c>
      <c r="H110" s="22" t="n">
        <v>-34</v>
      </c>
      <c r="I110" s="22" t="n">
        <v>-79</v>
      </c>
      <c r="J110" s="22" t="n">
        <v>77</v>
      </c>
      <c r="K110" s="22" t="n">
        <v>-4</v>
      </c>
      <c r="L110" s="22" t="n">
        <v>-33</v>
      </c>
      <c r="M110" s="22" t="n">
        <v>-12</v>
      </c>
      <c r="N110" s="22" t="n">
        <v>35</v>
      </c>
      <c r="V110" s="22" t="n">
        <v>0.872</v>
      </c>
      <c r="W110" s="22" t="n">
        <v>-34</v>
      </c>
      <c r="X110" s="22" t="n">
        <v>-33</v>
      </c>
    </row>
    <row r="111">
      <c r="A111" s="20" t="inlineStr">
        <is>
          <t>법인세 등 합계</t>
        </is>
      </c>
      <c r="D111" s="22" t="n">
        <v>35.565</v>
      </c>
      <c r="E111" s="22" t="n">
        <v>19</v>
      </c>
      <c r="F111" s="22" t="n">
        <v>44</v>
      </c>
      <c r="G111" s="22" t="n">
        <v>-1</v>
      </c>
      <c r="H111" s="22" t="n">
        <v>108</v>
      </c>
      <c r="I111" s="22" t="n">
        <v>-79</v>
      </c>
      <c r="J111" s="22" t="n">
        <v>113</v>
      </c>
      <c r="K111" s="22" t="n">
        <v>-10</v>
      </c>
      <c r="L111" s="22" t="n">
        <v>236</v>
      </c>
      <c r="M111" s="22" t="n">
        <v>-11</v>
      </c>
      <c r="N111" s="22" t="n">
        <v>153</v>
      </c>
      <c r="V111" s="22" t="n">
        <v>35.565</v>
      </c>
      <c r="W111" s="22" t="n">
        <v>108</v>
      </c>
      <c r="X111" s="22" t="n">
        <v>236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G112" s="17">
        <f>IF(OR(G111="",C111=""),"",IF(G111*C111&lt;=0,"",IFERROR(G111/C111-1,"")))</f>
        <v/>
      </c>
      <c r="H112" s="17">
        <f>IF(OR(H111="",D111=""),"",IF(H111*D111&lt;=0,"",IFERROR(H111/D111-1,"")))</f>
        <v/>
      </c>
      <c r="I112" s="17">
        <f>IF(OR(I111="",E111=""),"",IF(I111*E111&lt;=0,"",IFERROR(I111/E111-1,"")))</f>
        <v/>
      </c>
      <c r="J112" s="17">
        <f>IF(OR(J111="",F111=""),"",IF(J111*F111&lt;=0,"",IFERROR(J111/F111-1,"")))</f>
        <v/>
      </c>
      <c r="K112" s="17">
        <f>IF(OR(K111="",G111=""),"",IF(K111*G111&lt;=0,"",IFERROR(K111/G111-1,"")))</f>
        <v/>
      </c>
      <c r="L112" s="17">
        <f>IF(OR(L111="",H111=""),"",IF(L111*H111&lt;=0,"",IFERROR(L111/H111-1,"")))</f>
        <v/>
      </c>
      <c r="M112" s="17">
        <f>IF(OR(M111="",I111=""),"",IF(M111*I111&lt;=0,"",IFERROR(M111/I111-1,"")))</f>
        <v/>
      </c>
      <c r="N112" s="17">
        <f>IF(OR(N111="",J111=""),"",IF(N111*J111&lt;=0,"",IFERROR(N111/J111-1,"")))</f>
        <v/>
      </c>
      <c r="V112" s="17">
        <f>IF(OR(V111="",U111=""),"",IF(V111*U111&lt;=0,"",IFERROR(V111/U111-1,"")))</f>
        <v/>
      </c>
      <c r="W112" s="17">
        <f>IF(OR(W111="",V111=""),"",IF(W111*V111&lt;=0,"",IFERROR(W111/V111-1,"")))</f>
        <v/>
      </c>
      <c r="X112" s="17">
        <f>IF(OR(X111="",W111=""),"",IF(X111*W111&lt;=0,"",IFERROR(X111/W111-1,"")))</f>
        <v/>
      </c>
    </row>
    <row r="113">
      <c r="A113" s="9" t="inlineStr">
        <is>
          <t>순이익</t>
        </is>
      </c>
      <c r="D113" s="12" t="n">
        <v>76.70399999999999</v>
      </c>
      <c r="E113" s="12" t="n">
        <v>43</v>
      </c>
      <c r="F113" s="12" t="n">
        <v>83</v>
      </c>
      <c r="G113" s="12" t="n">
        <v>-3</v>
      </c>
      <c r="H113" s="12" t="n">
        <v>302</v>
      </c>
      <c r="I113" s="12" t="n">
        <v>-149</v>
      </c>
      <c r="J113" s="12" t="n">
        <v>210</v>
      </c>
      <c r="K113" s="12" t="n">
        <v>-12</v>
      </c>
      <c r="L113" s="12" t="n">
        <v>603</v>
      </c>
      <c r="M113" s="12" t="n">
        <v>-20</v>
      </c>
      <c r="N113" s="12" t="n">
        <v>287</v>
      </c>
      <c r="V113" s="12" t="n">
        <v>76.70399999999999</v>
      </c>
      <c r="W113" s="12" t="n">
        <v>302</v>
      </c>
      <c r="X113" s="12" t="n">
        <v>603</v>
      </c>
    </row>
    <row r="114">
      <c r="A114" s="45" t="inlineStr">
        <is>
          <t>YoY</t>
        </is>
      </c>
      <c r="B114" s="3" t="inlineStr">
        <is>
          <t>전년 같은 분기·전년 대비</t>
        </is>
      </c>
      <c r="G114" s="17">
        <f>IF(OR(G113="",C113=""),"",IF(C113&lt;=0,"",IFERROR(G113/C113-1,"")))</f>
        <v/>
      </c>
      <c r="H114" s="17">
        <f>IF(OR(H113="",D113=""),"",IF(D113&lt;=0,"",IFERROR(H113/D113-1,"")))</f>
        <v/>
      </c>
      <c r="I114" s="17">
        <f>IF(OR(I113="",E113=""),"",IF(E113&lt;=0,"",IFERROR(I113/E113-1,"")))</f>
        <v/>
      </c>
      <c r="J114" s="17">
        <f>IF(OR(J113="",F113=""),"",IF(F113&lt;=0,"",IFERROR(J113/F113-1,"")))</f>
        <v/>
      </c>
      <c r="K114" s="17">
        <f>IF(OR(K113="",G113=""),"",IF(G113&lt;=0,"",IFERROR(K113/G113-1,"")))</f>
        <v/>
      </c>
      <c r="L114" s="17">
        <f>IF(OR(L113="",H113=""),"",IF(H113&lt;=0,"",IFERROR(L113/H113-1,"")))</f>
        <v/>
      </c>
      <c r="M114" s="17">
        <f>IF(OR(M113="",I113=""),"",IF(I113&lt;=0,"",IFERROR(M113/I113-1,"")))</f>
        <v/>
      </c>
      <c r="N114" s="17">
        <f>IF(OR(N113="",J113=""),"",IF(J113&lt;=0,"",IFERROR(N113/J113-1,"")))</f>
        <v/>
      </c>
      <c r="V114" s="17">
        <f>IF(OR(V113="",U113=""),"",IF(U113&lt;=0,"",IFERROR(V113/U113-1,"")))</f>
        <v/>
      </c>
      <c r="W114" s="17">
        <f>IF(OR(W113="",V113=""),"",IF(V113&lt;=0,"",IFERROR(W113/V113-1,"")))</f>
        <v/>
      </c>
      <c r="X114" s="17">
        <f>IF(OR(X113="",W113=""),"",IF(W113&lt;=0,"",IFERROR(X113/W113-1,"")))</f>
        <v/>
      </c>
    </row>
    <row r="116">
      <c r="A116" s="18" t="inlineStr">
        <is>
          <t>현금흐름표 · 전 항목</t>
        </is>
      </c>
      <c r="B116" s="44" t="inlineStr">
        <is>
          <t>분기 = 결산기 첫날부터 누계(공시 그대로)</t>
        </is>
      </c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</row>
    <row r="117">
      <c r="A117" s="5" t="inlineStr">
        <is>
          <t>항목</t>
        </is>
      </c>
      <c r="B117" s="5" t="inlineStr">
        <is>
          <t>참고</t>
        </is>
      </c>
      <c r="C117" s="5" t="inlineStr">
        <is>
          <t>2024.3Q</t>
        </is>
      </c>
      <c r="D117" s="5" t="inlineStr">
        <is>
          <t>2024.4Q</t>
        </is>
      </c>
      <c r="E117" s="5" t="inlineStr">
        <is>
          <t>2025.1Q</t>
        </is>
      </c>
      <c r="F117" s="5" t="inlineStr">
        <is>
          <t>2025.2Q</t>
        </is>
      </c>
      <c r="G117" s="5" t="inlineStr">
        <is>
          <t>2025.3Q</t>
        </is>
      </c>
      <c r="H117" s="5" t="inlineStr">
        <is>
          <t>2025.4Q</t>
        </is>
      </c>
      <c r="I117" s="5" t="inlineStr">
        <is>
          <t>2026.1Q</t>
        </is>
      </c>
      <c r="J117" s="5" t="inlineStr">
        <is>
          <t>2026.2Q</t>
        </is>
      </c>
      <c r="K117" s="5" t="inlineStr">
        <is>
          <t>2026.3Q</t>
        </is>
      </c>
      <c r="L117" s="5" t="inlineStr">
        <is>
          <t>2026.4Q</t>
        </is>
      </c>
      <c r="M117" s="5" t="inlineStr">
        <is>
          <t>2027.1Q</t>
        </is>
      </c>
      <c r="N117" s="5" t="inlineStr">
        <is>
          <t>2027.2Q</t>
        </is>
      </c>
      <c r="O117" s="5" t="inlineStr">
        <is>
          <t>2017</t>
        </is>
      </c>
      <c r="P117" s="5" t="inlineStr">
        <is>
          <t>2018</t>
        </is>
      </c>
      <c r="Q117" s="5" t="inlineStr">
        <is>
          <t>2019</t>
        </is>
      </c>
      <c r="R117" s="5" t="inlineStr">
        <is>
          <t>2020</t>
        </is>
      </c>
      <c r="S117" s="5" t="inlineStr">
        <is>
          <t>2021</t>
        </is>
      </c>
      <c r="T117" s="5" t="inlineStr">
        <is>
          <t>2022</t>
        </is>
      </c>
      <c r="U117" s="5" t="inlineStr">
        <is>
          <t>2023</t>
        </is>
      </c>
      <c r="V117" s="5" t="inlineStr">
        <is>
          <t>2024</t>
        </is>
      </c>
      <c r="W117" s="5" t="inlineStr">
        <is>
          <t>2025</t>
        </is>
      </c>
      <c r="X117" s="5" t="inlineStr">
        <is>
          <t>2026</t>
        </is>
      </c>
      <c r="Y117" s="5" t="inlineStr">
        <is>
          <t>2027(MW)</t>
        </is>
      </c>
      <c r="Z117" s="5" t="inlineStr">
        <is>
          <t>2028(MW)</t>
        </is>
      </c>
      <c r="AA117" s="5" t="inlineStr">
        <is>
          <t>2029(MW)</t>
        </is>
      </c>
      <c r="AB117" s="5" t="inlineStr">
        <is>
          <t>2030(MW)</t>
        </is>
      </c>
      <c r="AC117" s="5" t="inlineStr">
        <is>
          <t>2031(MW)</t>
        </is>
      </c>
    </row>
    <row r="118">
      <c r="A118" s="9" t="inlineStr">
        <is>
          <t>법인세차감전 순이익</t>
        </is>
      </c>
      <c r="D118" s="12" t="n">
        <v>495.677</v>
      </c>
      <c r="F118" s="12" t="n">
        <v>189</v>
      </c>
      <c r="H118" s="12" t="n">
        <v>595</v>
      </c>
      <c r="J118" s="12" t="n">
        <v>95</v>
      </c>
      <c r="L118" s="12" t="n">
        <v>912</v>
      </c>
      <c r="N118" s="12" t="n">
        <v>409</v>
      </c>
      <c r="U118" s="12" t="n">
        <v>59.79</v>
      </c>
      <c r="V118" s="12" t="n">
        <v>495.677</v>
      </c>
      <c r="W118" s="12" t="n">
        <v>595</v>
      </c>
      <c r="X118" s="12" t="n">
        <v>912</v>
      </c>
    </row>
    <row r="119">
      <c r="A119" s="20" t="inlineStr">
        <is>
          <t>감가상각비</t>
        </is>
      </c>
      <c r="D119" s="22" t="n">
        <v>18.929</v>
      </c>
      <c r="F119" s="22" t="n">
        <v>8</v>
      </c>
      <c r="H119" s="22" t="n">
        <v>35</v>
      </c>
      <c r="J119" s="22" t="n">
        <v>28</v>
      </c>
      <c r="L119" s="22" t="n">
        <v>53</v>
      </c>
      <c r="N119" s="22" t="n">
        <v>30</v>
      </c>
      <c r="U119" s="22" t="n">
        <v>15.96</v>
      </c>
      <c r="V119" s="22" t="n">
        <v>18.929</v>
      </c>
      <c r="W119" s="22" t="n">
        <v>35</v>
      </c>
      <c r="X119" s="22" t="n">
        <v>53</v>
      </c>
    </row>
    <row r="120">
      <c r="A120" s="20" t="inlineStr">
        <is>
          <t>이자·배당금 수익</t>
        </is>
      </c>
      <c r="D120" s="22" t="n">
        <v>-0</v>
      </c>
      <c r="F120" s="22" t="n">
        <v>0</v>
      </c>
      <c r="H120" s="22" t="n">
        <v>-0</v>
      </c>
      <c r="J120" s="22" t="n">
        <v>0</v>
      </c>
      <c r="L120" s="22" t="n">
        <v>-0</v>
      </c>
      <c r="N120" s="22" t="n">
        <v>0</v>
      </c>
      <c r="U120" s="22" t="n">
        <v>-0</v>
      </c>
      <c r="V120" s="22" t="n">
        <v>-0</v>
      </c>
      <c r="W120" s="22" t="n">
        <v>-0</v>
      </c>
      <c r="X120" s="22" t="n">
        <v>-0</v>
      </c>
    </row>
    <row r="121">
      <c r="A121" s="20" t="inlineStr">
        <is>
          <t>이자비용</t>
        </is>
      </c>
      <c r="D121" s="22" t="n">
        <v>0.965</v>
      </c>
      <c r="F121" s="22" t="n">
        <v>0</v>
      </c>
      <c r="H121" s="22" t="n">
        <v>0</v>
      </c>
      <c r="J121" s="22" t="n">
        <v>0</v>
      </c>
      <c r="L121" s="22" t="n">
        <v>2</v>
      </c>
      <c r="N121" s="22" t="n">
        <v>0</v>
      </c>
      <c r="U121" s="22" t="n">
        <v>1.163</v>
      </c>
      <c r="V121" s="22" t="n">
        <v>0.965</v>
      </c>
      <c r="W121" s="22" t="n">
        <v>0</v>
      </c>
      <c r="X121" s="22" t="n">
        <v>2</v>
      </c>
    </row>
    <row r="122">
      <c r="A122" s="20" t="inlineStr">
        <is>
          <t>고정자산 제각손실</t>
        </is>
      </c>
      <c r="D122" s="22" t="n">
        <v>0</v>
      </c>
      <c r="U122" s="22" t="n">
        <v>3.609</v>
      </c>
      <c r="V122" s="22" t="n">
        <v>0</v>
      </c>
    </row>
    <row r="123">
      <c r="A123" s="20" t="inlineStr">
        <is>
          <t>매출채권·계약자산 증감</t>
        </is>
      </c>
      <c r="D123" s="22" t="n">
        <v>-134.613</v>
      </c>
      <c r="F123" s="22" t="n">
        <v>-109.139</v>
      </c>
      <c r="U123" s="22" t="n">
        <v>-126.894</v>
      </c>
      <c r="V123" s="22" t="n">
        <v>-134.613</v>
      </c>
    </row>
    <row r="124">
      <c r="A124" s="20" t="inlineStr">
        <is>
          <t>상장 관련 비용</t>
        </is>
      </c>
      <c r="D124" s="22" t="n">
        <v>11.621</v>
      </c>
      <c r="H124" s="22" t="n">
        <v>0</v>
      </c>
      <c r="U124" s="22" t="n">
        <v>0</v>
      </c>
      <c r="V124" s="22" t="n">
        <v>11.621</v>
      </c>
      <c r="W124" s="22" t="n">
        <v>0</v>
      </c>
    </row>
    <row r="125">
      <c r="A125" s="20" t="inlineStr">
        <is>
          <t>매출채권·계약자산 증감</t>
        </is>
      </c>
      <c r="D125" s="22" t="n">
        <v>-134.613</v>
      </c>
      <c r="F125" s="22" t="n">
        <v>-109</v>
      </c>
      <c r="H125" s="22" t="n">
        <v>-545</v>
      </c>
      <c r="J125" s="22" t="n">
        <v>-418</v>
      </c>
      <c r="L125" s="22" t="n">
        <v>-1118</v>
      </c>
      <c r="N125" s="22" t="n">
        <v>154</v>
      </c>
      <c r="V125" s="22" t="n">
        <v>-134.613</v>
      </c>
      <c r="W125" s="22" t="n">
        <v>-545</v>
      </c>
      <c r="X125" s="22" t="n">
        <v>-1118</v>
      </c>
    </row>
    <row r="126">
      <c r="A126" s="20" t="inlineStr">
        <is>
          <t>재고자산 증감</t>
        </is>
      </c>
      <c r="D126" s="22" t="n">
        <v>-18.318</v>
      </c>
      <c r="F126" s="22" t="n">
        <v>-52</v>
      </c>
      <c r="H126" s="22" t="n">
        <v>-37</v>
      </c>
      <c r="J126" s="22" t="n">
        <v>-39</v>
      </c>
      <c r="L126" s="22" t="n">
        <v>-110</v>
      </c>
      <c r="N126" s="22" t="n">
        <v>-46</v>
      </c>
      <c r="U126" s="22" t="n">
        <v>-20.876</v>
      </c>
      <c r="V126" s="22" t="n">
        <v>-18.318</v>
      </c>
      <c r="W126" s="22" t="n">
        <v>-37</v>
      </c>
      <c r="X126" s="22" t="n">
        <v>-110</v>
      </c>
    </row>
    <row r="127">
      <c r="A127" s="20" t="inlineStr">
        <is>
          <t>선급금 증감</t>
        </is>
      </c>
      <c r="D127" s="22" t="n">
        <v>1.821</v>
      </c>
      <c r="U127" s="22" t="n">
        <v>3.203</v>
      </c>
      <c r="V127" s="22" t="n">
        <v>1.821</v>
      </c>
    </row>
    <row r="128">
      <c r="A128" s="20" t="inlineStr">
        <is>
          <t>선급비용 증감</t>
        </is>
      </c>
      <c r="D128" s="22" t="n">
        <v>-7.4</v>
      </c>
      <c r="F128" s="22" t="n">
        <v>-78</v>
      </c>
      <c r="H128" s="22" t="n">
        <v>-89</v>
      </c>
      <c r="J128" s="22" t="n">
        <v>-31</v>
      </c>
      <c r="L128" s="22" t="n">
        <v>25</v>
      </c>
      <c r="N128" s="22" t="n">
        <v>16</v>
      </c>
      <c r="U128" s="22" t="n">
        <v>3.733</v>
      </c>
      <c r="V128" s="22" t="n">
        <v>-7.4</v>
      </c>
      <c r="W128" s="22" t="n">
        <v>-89</v>
      </c>
      <c r="X128" s="22" t="n">
        <v>25</v>
      </c>
    </row>
    <row r="129">
      <c r="A129" s="20" t="inlineStr">
        <is>
          <t>매입채무 증감</t>
        </is>
      </c>
      <c r="D129" s="22" t="n">
        <v>1.202</v>
      </c>
      <c r="F129" s="22" t="n">
        <v>6</v>
      </c>
      <c r="H129" s="22" t="n">
        <v>33</v>
      </c>
      <c r="J129" s="22" t="n">
        <v>13</v>
      </c>
      <c r="L129" s="22" t="n">
        <v>126</v>
      </c>
      <c r="N129" s="22" t="n">
        <v>-84</v>
      </c>
      <c r="U129" s="22" t="n">
        <v>0</v>
      </c>
      <c r="V129" s="22" t="n">
        <v>1.202</v>
      </c>
      <c r="W129" s="22" t="n">
        <v>33</v>
      </c>
      <c r="X129" s="22" t="n">
        <v>126</v>
      </c>
    </row>
    <row r="130">
      <c r="A130" s="20" t="inlineStr">
        <is>
          <t>계약부채 증감</t>
        </is>
      </c>
      <c r="D130" s="22" t="n">
        <v>30.661</v>
      </c>
      <c r="F130" s="22" t="n">
        <v>-40.886</v>
      </c>
      <c r="U130" s="22" t="n">
        <v>-33.066</v>
      </c>
      <c r="V130" s="22" t="n">
        <v>30.661</v>
      </c>
    </row>
    <row r="131">
      <c r="A131" s="20" t="inlineStr">
        <is>
          <t>미지급금 증감</t>
        </is>
      </c>
      <c r="D131" s="22" t="n">
        <v>5.466</v>
      </c>
      <c r="F131" s="22" t="n">
        <v>21</v>
      </c>
      <c r="H131" s="22" t="n">
        <v>76</v>
      </c>
      <c r="J131" s="22" t="n">
        <v>-36</v>
      </c>
      <c r="L131" s="22" t="n">
        <v>-46</v>
      </c>
      <c r="N131" s="22" t="n">
        <v>-23</v>
      </c>
      <c r="U131" s="22" t="n">
        <v>-1.204</v>
      </c>
      <c r="V131" s="22" t="n">
        <v>5.466</v>
      </c>
      <c r="W131" s="22" t="n">
        <v>76</v>
      </c>
      <c r="X131" s="22" t="n">
        <v>-46</v>
      </c>
    </row>
    <row r="132">
      <c r="A132" s="20" t="inlineStr">
        <is>
          <t>미지급비용 증감</t>
        </is>
      </c>
      <c r="D132" s="22" t="n">
        <v>3.911</v>
      </c>
      <c r="F132" s="22" t="n">
        <v>11</v>
      </c>
      <c r="H132" s="22" t="n">
        <v>48</v>
      </c>
      <c r="J132" s="22" t="n">
        <v>60</v>
      </c>
      <c r="L132" s="22" t="n">
        <v>131</v>
      </c>
      <c r="N132" s="22" t="n">
        <v>-32</v>
      </c>
      <c r="U132" s="22" t="n">
        <v>22.93</v>
      </c>
      <c r="V132" s="22" t="n">
        <v>3.911</v>
      </c>
      <c r="W132" s="22" t="n">
        <v>48</v>
      </c>
      <c r="X132" s="22" t="n">
        <v>131</v>
      </c>
    </row>
    <row r="133">
      <c r="A133" s="20" t="inlineStr">
        <is>
          <t>계약부채 증감</t>
        </is>
      </c>
      <c r="D133" s="22" t="n">
        <v>30.661</v>
      </c>
      <c r="F133" s="22" t="n">
        <v>-40</v>
      </c>
      <c r="H133" s="22" t="n">
        <v>-21</v>
      </c>
      <c r="J133" s="22" t="n">
        <v>4</v>
      </c>
      <c r="L133" s="22" t="n">
        <v>-31</v>
      </c>
      <c r="N133" s="22" t="n">
        <v>19</v>
      </c>
      <c r="V133" s="22" t="n">
        <v>30.661</v>
      </c>
      <c r="W133" s="22" t="n">
        <v>-21</v>
      </c>
      <c r="X133" s="22" t="n">
        <v>-31</v>
      </c>
    </row>
    <row r="134">
      <c r="A134" s="20" t="inlineStr">
        <is>
          <t>미지급 소비세 증감</t>
        </is>
      </c>
      <c r="D134" s="22" t="n">
        <v>38.6</v>
      </c>
      <c r="F134" s="22" t="n">
        <v>-50</v>
      </c>
      <c r="H134" s="22" t="n">
        <v>-13</v>
      </c>
      <c r="J134" s="22" t="n">
        <v>-40</v>
      </c>
      <c r="L134" s="22" t="n">
        <v>-9</v>
      </c>
      <c r="N134" s="22" t="n">
        <v>-32</v>
      </c>
      <c r="U134" s="22" t="n">
        <v>24.002</v>
      </c>
      <c r="V134" s="22" t="n">
        <v>38.6</v>
      </c>
      <c r="W134" s="22" t="n">
        <v>-13</v>
      </c>
      <c r="X134" s="22" t="n">
        <v>-9</v>
      </c>
    </row>
    <row r="135">
      <c r="A135" s="20" t="inlineStr">
        <is>
          <t>기타</t>
        </is>
      </c>
      <c r="D135" s="22" t="n">
        <v>18.686</v>
      </c>
      <c r="F135" s="22" t="n">
        <v>23</v>
      </c>
      <c r="H135" s="22" t="n">
        <v>10</v>
      </c>
      <c r="J135" s="22" t="n">
        <v>-3</v>
      </c>
      <c r="L135" s="22" t="n">
        <v>-104</v>
      </c>
      <c r="N135" s="22" t="n">
        <v>14</v>
      </c>
      <c r="U135" s="22" t="n">
        <v>12.917</v>
      </c>
      <c r="V135" s="22" t="n">
        <v>18.686</v>
      </c>
      <c r="W135" s="22" t="n">
        <v>10</v>
      </c>
      <c r="X135" s="22" t="n">
        <v>-104</v>
      </c>
    </row>
    <row r="136">
      <c r="A136" s="20" t="inlineStr">
        <is>
          <t>소계</t>
        </is>
      </c>
      <c r="D136" s="22" t="n">
        <v>465.39</v>
      </c>
      <c r="F136" s="22" t="n">
        <v>-69</v>
      </c>
      <c r="H136" s="22" t="n">
        <v>91</v>
      </c>
      <c r="J136" s="22" t="n">
        <v>-365</v>
      </c>
      <c r="L136" s="22" t="n">
        <v>-170</v>
      </c>
      <c r="N136" s="22" t="n">
        <v>425</v>
      </c>
      <c r="U136" s="22" t="n">
        <v>-34.729</v>
      </c>
      <c r="V136" s="22" t="n">
        <v>465.39</v>
      </c>
      <c r="W136" s="22" t="n">
        <v>91</v>
      </c>
      <c r="X136" s="22" t="n">
        <v>-170</v>
      </c>
    </row>
    <row r="137">
      <c r="A137" s="20" t="inlineStr">
        <is>
          <t>이자·배당금 수취</t>
        </is>
      </c>
      <c r="D137" s="22" t="n">
        <v>0</v>
      </c>
      <c r="F137" s="22" t="n">
        <v>0</v>
      </c>
      <c r="H137" s="22" t="n">
        <v>0</v>
      </c>
      <c r="J137" s="22" t="n">
        <v>0</v>
      </c>
      <c r="L137" s="22" t="n">
        <v>0</v>
      </c>
      <c r="N137" s="22" t="n">
        <v>0</v>
      </c>
      <c r="U137" s="22" t="n">
        <v>0</v>
      </c>
      <c r="V137" s="22" t="n">
        <v>0</v>
      </c>
      <c r="W137" s="22" t="n">
        <v>0</v>
      </c>
      <c r="X137" s="22" t="n">
        <v>0</v>
      </c>
    </row>
    <row r="138">
      <c r="A138" s="20" t="inlineStr">
        <is>
          <t>이자 지급</t>
        </is>
      </c>
      <c r="D138" s="22" t="n">
        <v>-0.965</v>
      </c>
      <c r="F138" s="22" t="n">
        <v>-0</v>
      </c>
      <c r="H138" s="22" t="n">
        <v>-0</v>
      </c>
      <c r="J138" s="22" t="n">
        <v>-0</v>
      </c>
      <c r="L138" s="22" t="n">
        <v>-2</v>
      </c>
      <c r="N138" s="22" t="n">
        <v>-0</v>
      </c>
      <c r="U138" s="22" t="n">
        <v>-1.163</v>
      </c>
      <c r="V138" s="22" t="n">
        <v>-0.965</v>
      </c>
      <c r="W138" s="22" t="n">
        <v>-0</v>
      </c>
      <c r="X138" s="22" t="n">
        <v>-2</v>
      </c>
    </row>
    <row r="139">
      <c r="A139" s="20" t="inlineStr">
        <is>
          <t>법인세 납부</t>
        </is>
      </c>
      <c r="D139" s="22" t="n">
        <v>-28.503</v>
      </c>
      <c r="F139" s="22" t="n">
        <v>-161</v>
      </c>
      <c r="H139" s="22" t="n">
        <v>-252</v>
      </c>
      <c r="J139" s="22" t="n">
        <v>-103</v>
      </c>
      <c r="L139" s="22" t="n">
        <v>-201</v>
      </c>
      <c r="N139" s="22" t="n">
        <v>-202</v>
      </c>
      <c r="U139" s="22" t="n">
        <v>-5.037</v>
      </c>
      <c r="V139" s="22" t="n">
        <v>-28.503</v>
      </c>
      <c r="W139" s="22" t="n">
        <v>-252</v>
      </c>
      <c r="X139" s="22" t="n">
        <v>-201</v>
      </c>
    </row>
    <row r="140">
      <c r="A140" s="9" t="inlineStr">
        <is>
          <t>영업활동 현금흐름</t>
        </is>
      </c>
      <c r="D140" s="12" t="n">
        <v>435.922</v>
      </c>
      <c r="F140" s="12" t="n">
        <v>-231</v>
      </c>
      <c r="H140" s="12" t="n">
        <v>-161</v>
      </c>
      <c r="J140" s="12" t="n">
        <v>-468</v>
      </c>
      <c r="L140" s="12" t="n">
        <v>-374</v>
      </c>
      <c r="N140" s="12" t="n">
        <v>223</v>
      </c>
      <c r="U140" s="12" t="n">
        <v>-40.931</v>
      </c>
      <c r="V140" s="12" t="n">
        <v>435.922</v>
      </c>
      <c r="W140" s="12" t="n">
        <v>-161</v>
      </c>
      <c r="X140" s="12" t="n">
        <v>-374</v>
      </c>
    </row>
    <row r="141">
      <c r="A141" s="20" t="inlineStr">
        <is>
          <t>유형자산 취득(설비투자)</t>
        </is>
      </c>
      <c r="D141" s="22" t="n">
        <v>-18.073</v>
      </c>
      <c r="F141" s="22" t="n">
        <v>-23</v>
      </c>
      <c r="H141" s="22" t="n">
        <v>-77</v>
      </c>
      <c r="J141" s="22" t="n">
        <v>-71</v>
      </c>
      <c r="L141" s="22" t="n">
        <v>-101</v>
      </c>
      <c r="N141" s="22" t="n">
        <v>-100</v>
      </c>
      <c r="U141" s="22" t="n">
        <v>-47.061</v>
      </c>
      <c r="V141" s="22" t="n">
        <v>-18.073</v>
      </c>
      <c r="W141" s="22" t="n">
        <v>-77</v>
      </c>
      <c r="X141" s="22" t="n">
        <v>-101</v>
      </c>
    </row>
    <row r="142">
      <c r="A142" s="20" t="inlineStr">
        <is>
          <t>무형자산 취득</t>
        </is>
      </c>
      <c r="D142" s="22" t="n">
        <v>0</v>
      </c>
      <c r="F142" s="22" t="n">
        <v>-1</v>
      </c>
      <c r="H142" s="22" t="n">
        <v>-2</v>
      </c>
      <c r="J142" s="22" t="n">
        <v>0</v>
      </c>
      <c r="L142" s="22" t="n">
        <v>-0</v>
      </c>
      <c r="V142" s="22" t="n">
        <v>0</v>
      </c>
      <c r="W142" s="22" t="n">
        <v>-2</v>
      </c>
      <c r="X142" s="22" t="n">
        <v>-0</v>
      </c>
    </row>
    <row r="143">
      <c r="A143" s="20" t="inlineStr">
        <is>
          <t>임차보증금 납입</t>
        </is>
      </c>
      <c r="D143" s="22" t="n">
        <v>-0.603</v>
      </c>
      <c r="F143" s="22" t="n">
        <v>-8</v>
      </c>
      <c r="H143" s="22" t="n">
        <v>-162</v>
      </c>
      <c r="J143" s="22" t="n">
        <v>-9</v>
      </c>
      <c r="L143" s="22" t="n">
        <v>-25</v>
      </c>
      <c r="N143" s="22" t="n">
        <v>-11</v>
      </c>
      <c r="U143" s="22" t="n">
        <v>-0.194</v>
      </c>
      <c r="V143" s="22" t="n">
        <v>-0.603</v>
      </c>
      <c r="W143" s="22" t="n">
        <v>-162</v>
      </c>
      <c r="X143" s="22" t="n">
        <v>-25</v>
      </c>
    </row>
    <row r="144">
      <c r="A144" s="20" t="inlineStr">
        <is>
          <t>보증금 반환 수입</t>
        </is>
      </c>
      <c r="D144" s="22" t="n">
        <v>0.068</v>
      </c>
      <c r="H144" s="22" t="n">
        <v>0</v>
      </c>
      <c r="L144" s="22" t="n">
        <v>55</v>
      </c>
      <c r="U144" s="22" t="n">
        <v>18.065</v>
      </c>
      <c r="V144" s="22" t="n">
        <v>0.068</v>
      </c>
      <c r="W144" s="22" t="n">
        <v>0</v>
      </c>
      <c r="X144" s="22" t="n">
        <v>55</v>
      </c>
    </row>
    <row r="145">
      <c r="A145" s="20" t="inlineStr">
        <is>
          <t>자산복구부채 이행 지출</t>
        </is>
      </c>
      <c r="D145" s="22" t="n">
        <v>0</v>
      </c>
      <c r="F145" s="22" t="n">
        <v>0</v>
      </c>
      <c r="H145" s="22" t="n">
        <v>0</v>
      </c>
      <c r="J145" s="22" t="n">
        <v>-21</v>
      </c>
      <c r="L145" s="22" t="n">
        <v>-21</v>
      </c>
      <c r="N145" s="22" t="n">
        <v>0</v>
      </c>
      <c r="U145" s="22" t="n">
        <v>-10.5</v>
      </c>
      <c r="V145" s="22" t="n">
        <v>0</v>
      </c>
      <c r="W145" s="22" t="n">
        <v>0</v>
      </c>
      <c r="X145" s="22" t="n">
        <v>-21</v>
      </c>
    </row>
    <row r="146">
      <c r="A146" s="20" t="inlineStr">
        <is>
          <t>기타</t>
        </is>
      </c>
      <c r="F146" s="22" t="n">
        <v>0</v>
      </c>
      <c r="J146" s="22" t="n">
        <v>0</v>
      </c>
      <c r="N146" s="22" t="n">
        <v>0</v>
      </c>
    </row>
    <row r="147">
      <c r="A147" s="9" t="inlineStr">
        <is>
          <t>투자활동 현금흐름</t>
        </is>
      </c>
      <c r="D147" s="12" t="n">
        <v>-18.609</v>
      </c>
      <c r="F147" s="12" t="n">
        <v>-32</v>
      </c>
      <c r="H147" s="12" t="n">
        <v>-242</v>
      </c>
      <c r="J147" s="12" t="n">
        <v>-101</v>
      </c>
      <c r="L147" s="12" t="n">
        <v>-94</v>
      </c>
      <c r="N147" s="12" t="n">
        <v>-111</v>
      </c>
      <c r="U147" s="12" t="n">
        <v>-39.689</v>
      </c>
      <c r="V147" s="12" t="n">
        <v>-18.609</v>
      </c>
      <c r="W147" s="12" t="n">
        <v>-242</v>
      </c>
      <c r="X147" s="12" t="n">
        <v>-94</v>
      </c>
    </row>
    <row r="148">
      <c r="A148" s="20" t="inlineStr">
        <is>
          <t>단기차입금 순증감액</t>
        </is>
      </c>
      <c r="D148" s="22" t="n">
        <v>0</v>
      </c>
      <c r="H148" s="22" t="n">
        <v>0</v>
      </c>
      <c r="L148" s="22" t="n">
        <v>400</v>
      </c>
      <c r="U148" s="22" t="n">
        <v>-47.22</v>
      </c>
      <c r="V148" s="22" t="n">
        <v>0</v>
      </c>
      <c r="W148" s="22" t="n">
        <v>0</v>
      </c>
      <c r="X148" s="22" t="n">
        <v>400</v>
      </c>
    </row>
    <row r="149">
      <c r="A149" s="20" t="inlineStr">
        <is>
          <t>장기차입</t>
        </is>
      </c>
      <c r="D149" s="22" t="n">
        <v>0</v>
      </c>
      <c r="U149" s="22" t="n">
        <v>91.31999999999999</v>
      </c>
      <c r="V149" s="22" t="n">
        <v>0</v>
      </c>
    </row>
    <row r="150">
      <c r="A150" s="20" t="inlineStr">
        <is>
          <t>단기차입금 순증감</t>
        </is>
      </c>
      <c r="F150" s="22" t="n">
        <v>0</v>
      </c>
      <c r="J150" s="22" t="n">
        <v>170</v>
      </c>
      <c r="N150" s="22" t="n">
        <v>-400</v>
      </c>
    </row>
    <row r="151">
      <c r="A151" s="20" t="inlineStr">
        <is>
          <t>장기차입금 상환</t>
        </is>
      </c>
      <c r="D151" s="22" t="n">
        <v>-50.964</v>
      </c>
      <c r="F151" s="22" t="n">
        <v>-23</v>
      </c>
      <c r="H151" s="22" t="n">
        <v>-63</v>
      </c>
      <c r="J151" s="22" t="n">
        <v>-5</v>
      </c>
      <c r="L151" s="22" t="n">
        <v>-5</v>
      </c>
      <c r="N151" s="22" t="n">
        <v>0</v>
      </c>
      <c r="U151" s="22" t="n">
        <v>-27.296</v>
      </c>
      <c r="V151" s="22" t="n">
        <v>-50.964</v>
      </c>
      <c r="W151" s="22" t="n">
        <v>-63</v>
      </c>
      <c r="X151" s="22" t="n">
        <v>-5</v>
      </c>
    </row>
    <row r="152">
      <c r="A152" s="20" t="inlineStr">
        <is>
          <t>주식 발행</t>
        </is>
      </c>
      <c r="D152" s="22" t="n">
        <v>577.668</v>
      </c>
      <c r="H152" s="22" t="n">
        <v>0</v>
      </c>
      <c r="L152" s="22" t="n">
        <v>12</v>
      </c>
      <c r="U152" s="22" t="n">
        <v>0</v>
      </c>
      <c r="V152" s="22" t="n">
        <v>577.668</v>
      </c>
      <c r="W152" s="22" t="n">
        <v>0</v>
      </c>
      <c r="X152" s="22" t="n">
        <v>12</v>
      </c>
    </row>
    <row r="153">
      <c r="A153" s="20" t="inlineStr">
        <is>
          <t>상장 관련 비용 지출</t>
        </is>
      </c>
      <c r="D153" s="22" t="n">
        <v>0</v>
      </c>
      <c r="H153" s="22" t="n">
        <v>-6</v>
      </c>
      <c r="L153" s="22" t="n">
        <v>0</v>
      </c>
      <c r="V153" s="22" t="n">
        <v>0</v>
      </c>
      <c r="W153" s="22" t="n">
        <v>-6</v>
      </c>
      <c r="X153" s="22" t="n">
        <v>0</v>
      </c>
    </row>
    <row r="154">
      <c r="A154" s="20" t="inlineStr">
        <is>
          <t>신주예약권 행사에 따른 주식 발행</t>
        </is>
      </c>
      <c r="F154" s="22" t="n">
        <v>0</v>
      </c>
      <c r="J154" s="22" t="n">
        <v>6</v>
      </c>
      <c r="N154" s="22" t="n">
        <v>0</v>
      </c>
    </row>
    <row r="155">
      <c r="A155" s="9" t="inlineStr">
        <is>
          <t>재무활동 현금흐름</t>
        </is>
      </c>
      <c r="D155" s="12" t="n">
        <v>526.704</v>
      </c>
      <c r="F155" s="12" t="n">
        <v>-23</v>
      </c>
      <c r="H155" s="12" t="n">
        <v>-69</v>
      </c>
      <c r="J155" s="12" t="n">
        <v>171</v>
      </c>
      <c r="L155" s="12" t="n">
        <v>406</v>
      </c>
      <c r="N155" s="12" t="n">
        <v>-400</v>
      </c>
      <c r="U155" s="12" t="n">
        <v>16.804</v>
      </c>
      <c r="V155" s="12" t="n">
        <v>526.704</v>
      </c>
      <c r="W155" s="12" t="n">
        <v>-69</v>
      </c>
      <c r="X155" s="12" t="n">
        <v>406</v>
      </c>
    </row>
    <row r="156">
      <c r="A156" s="20" t="inlineStr">
        <is>
          <t>현금성자산 증감</t>
        </is>
      </c>
      <c r="D156" s="22" t="n">
        <v>944.0170000000001</v>
      </c>
      <c r="F156" s="22" t="n">
        <v>-287</v>
      </c>
      <c r="H156" s="22" t="n">
        <v>-473</v>
      </c>
      <c r="J156" s="22" t="n">
        <v>-399</v>
      </c>
      <c r="L156" s="22" t="n">
        <v>-61</v>
      </c>
      <c r="N156" s="22" t="n">
        <v>-288</v>
      </c>
      <c r="U156" s="22" t="n">
        <v>-63.816</v>
      </c>
      <c r="V156" s="22" t="n">
        <v>944.0170000000001</v>
      </c>
      <c r="W156" s="22" t="n">
        <v>-473</v>
      </c>
      <c r="X156" s="22" t="n">
        <v>-61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VRAIN 솔루션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2023</t>
        </is>
      </c>
      <c r="I3" s="5" t="inlineStr">
        <is>
          <t>2024</t>
        </is>
      </c>
      <c r="J3" s="5" t="inlineStr">
        <is>
          <t>2025</t>
        </is>
      </c>
      <c r="K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</row>
    <row r="5">
      <c r="A5" s="9" t="inlineStr">
        <is>
          <t>유동자산</t>
        </is>
      </c>
      <c r="B5" s="10" t="n"/>
      <c r="C5" s="11" t="n">
        <v>1707</v>
      </c>
      <c r="D5" s="12" t="n">
        <v>1916</v>
      </c>
      <c r="E5" s="12" t="n">
        <v>2747</v>
      </c>
      <c r="F5" s="12" t="n">
        <v>2024</v>
      </c>
      <c r="G5" s="12" t="n">
        <v>2402</v>
      </c>
      <c r="H5" s="11" t="n">
        <v>231.816</v>
      </c>
      <c r="I5" s="12" t="n">
        <v>1337.928</v>
      </c>
      <c r="J5" s="12" t="n">
        <v>1539</v>
      </c>
      <c r="K5" s="12" t="n">
        <v>2747</v>
      </c>
    </row>
    <row r="6">
      <c r="A6" s="20" t="inlineStr">
        <is>
          <t>현금및현금성자산</t>
        </is>
      </c>
      <c r="B6" s="10" t="n"/>
      <c r="C6" s="21" t="n">
        <v>89</v>
      </c>
      <c r="D6" s="22" t="n">
        <v>74</v>
      </c>
      <c r="E6" s="22" t="n">
        <v>427</v>
      </c>
      <c r="F6" s="22" t="n">
        <v>308</v>
      </c>
      <c r="G6" s="22" t="n">
        <v>138</v>
      </c>
      <c r="H6" s="21" t="n">
        <v>18.086</v>
      </c>
      <c r="I6" s="22" t="n">
        <v>962.104</v>
      </c>
      <c r="J6" s="22" t="n">
        <v>488</v>
      </c>
      <c r="K6" s="22" t="n">
        <v>427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</row>
    <row r="8">
      <c r="A8" s="20" t="inlineStr">
        <is>
          <t>매출채권</t>
        </is>
      </c>
      <c r="B8" s="10" t="n"/>
      <c r="C8" s="21" t="n"/>
      <c r="D8" s="22" t="n"/>
      <c r="E8" s="22" t="n">
        <v>1957</v>
      </c>
      <c r="F8" s="22" t="n"/>
      <c r="G8" s="22" t="n"/>
      <c r="H8" s="21" t="n"/>
      <c r="I8" s="22" t="n">
        <v>292.989</v>
      </c>
      <c r="J8" s="22" t="n">
        <v>838</v>
      </c>
      <c r="K8" s="22" t="n">
        <v>1957</v>
      </c>
    </row>
    <row r="9">
      <c r="A9" s="20" t="inlineStr">
        <is>
          <t>재고자산</t>
        </is>
      </c>
      <c r="B9" s="10" t="n"/>
      <c r="C9" s="21" t="n">
        <v>135</v>
      </c>
      <c r="D9" s="22" t="n">
        <v>191</v>
      </c>
      <c r="E9" s="22" t="n">
        <v>206</v>
      </c>
      <c r="F9" s="22" t="n">
        <v>269</v>
      </c>
      <c r="G9" s="22" t="n">
        <v>252</v>
      </c>
      <c r="H9" s="21" t="n">
        <v>41.593</v>
      </c>
      <c r="I9" s="22" t="n">
        <v>59.912</v>
      </c>
      <c r="J9" s="22" t="n">
        <v>96</v>
      </c>
      <c r="K9" s="22" t="n">
        <v>206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</row>
    <row r="11">
      <c r="A11" s="9" t="inlineStr">
        <is>
          <t>비유동자산</t>
        </is>
      </c>
      <c r="B11" s="10" t="n"/>
      <c r="C11" s="11" t="n">
        <v>341</v>
      </c>
      <c r="D11" s="12" t="n">
        <v>359</v>
      </c>
      <c r="E11" s="12" t="n">
        <v>468</v>
      </c>
      <c r="F11" s="12" t="n">
        <v>481</v>
      </c>
      <c r="G11" s="12" t="n">
        <v>448</v>
      </c>
      <c r="H11" s="11" t="n">
        <v>109.298</v>
      </c>
      <c r="I11" s="12" t="n">
        <v>111.973</v>
      </c>
      <c r="J11" s="12" t="n">
        <v>333</v>
      </c>
      <c r="K11" s="12" t="n">
        <v>468</v>
      </c>
    </row>
    <row r="12">
      <c r="A12" s="20" t="inlineStr">
        <is>
          <t>유형자산</t>
        </is>
      </c>
      <c r="B12" s="10" t="n"/>
      <c r="C12" s="21" t="n">
        <v>128</v>
      </c>
      <c r="D12" s="22" t="n">
        <v>127</v>
      </c>
      <c r="E12" s="22" t="n">
        <v>130</v>
      </c>
      <c r="F12" s="22" t="n">
        <v>206</v>
      </c>
      <c r="G12" s="22" t="n">
        <v>207</v>
      </c>
      <c r="H12" s="21" t="n">
        <v>44.01</v>
      </c>
      <c r="I12" s="22" t="n">
        <v>42.954</v>
      </c>
      <c r="J12" s="22" t="n">
        <v>85</v>
      </c>
      <c r="K12" s="22" t="n">
        <v>130</v>
      </c>
    </row>
    <row r="13">
      <c r="A13" s="20" t="inlineStr">
        <is>
          <t>무형자산</t>
        </is>
      </c>
      <c r="B13" s="10" t="n"/>
      <c r="C13" s="21" t="n">
        <v>1</v>
      </c>
      <c r="D13" s="22" t="n">
        <v>2</v>
      </c>
      <c r="E13" s="22" t="n">
        <v>2</v>
      </c>
      <c r="F13" s="22" t="n">
        <v>2</v>
      </c>
      <c r="G13" s="22" t="n">
        <v>1</v>
      </c>
      <c r="H13" s="21" t="n"/>
      <c r="I13" s="22" t="n">
        <v>0</v>
      </c>
      <c r="J13" s="22" t="n">
        <v>1</v>
      </c>
      <c r="K13" s="22" t="n">
        <v>2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</row>
    <row r="16">
      <c r="A16" s="9" t="inlineStr">
        <is>
          <t>자산총계</t>
        </is>
      </c>
      <c r="B16" s="10" t="n"/>
      <c r="C16" s="11" t="n">
        <v>2048</v>
      </c>
      <c r="D16" s="12" t="n">
        <v>2276</v>
      </c>
      <c r="E16" s="12" t="n">
        <v>3215</v>
      </c>
      <c r="F16" s="12" t="n">
        <v>2505</v>
      </c>
      <c r="G16" s="12" t="n">
        <v>2850</v>
      </c>
      <c r="H16" s="11" t="n">
        <v>341.115</v>
      </c>
      <c r="I16" s="12" t="n">
        <v>1449.901</v>
      </c>
      <c r="J16" s="12" t="n">
        <v>1873</v>
      </c>
      <c r="K16" s="12" t="n">
        <v>3215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</row>
    <row r="18">
      <c r="A18" s="9" t="inlineStr">
        <is>
          <t>유동부채</t>
        </is>
      </c>
      <c r="B18" s="10" t="n"/>
      <c r="C18" s="11" t="n">
        <v>559</v>
      </c>
      <c r="D18" s="12" t="n">
        <v>798</v>
      </c>
      <c r="E18" s="12" t="n">
        <v>1129</v>
      </c>
      <c r="F18" s="12" t="n">
        <v>439</v>
      </c>
      <c r="G18" s="12" t="n">
        <v>496</v>
      </c>
      <c r="H18" s="11" t="n">
        <v>183.213</v>
      </c>
      <c r="I18" s="12" t="n">
        <v>430.92</v>
      </c>
      <c r="J18" s="12" t="n">
        <v>451</v>
      </c>
      <c r="K18" s="12" t="n">
        <v>1129</v>
      </c>
    </row>
    <row r="19">
      <c r="A19" s="20" t="inlineStr">
        <is>
          <t>매입채무</t>
        </is>
      </c>
      <c r="B19" s="10" t="n"/>
      <c r="C19" s="21" t="n">
        <v>48</v>
      </c>
      <c r="D19" s="22" t="n">
        <v>74</v>
      </c>
      <c r="E19" s="22" t="n">
        <v>160</v>
      </c>
      <c r="F19" s="22" t="n">
        <v>52</v>
      </c>
      <c r="G19" s="22" t="n">
        <v>75</v>
      </c>
      <c r="H19" s="21" t="n">
        <v>0</v>
      </c>
      <c r="I19" s="22" t="n">
        <v>1.202</v>
      </c>
      <c r="J19" s="22" t="n">
        <v>34</v>
      </c>
      <c r="K19" s="22" t="n">
        <v>160</v>
      </c>
    </row>
    <row r="20">
      <c r="A20" s="20" t="inlineStr">
        <is>
          <t>단기차입금</t>
        </is>
      </c>
      <c r="B20" s="10" t="n"/>
      <c r="C20" s="21" t="n">
        <v>170</v>
      </c>
      <c r="D20" s="22" t="n">
        <v>400</v>
      </c>
      <c r="E20" s="22" t="n">
        <v>400</v>
      </c>
      <c r="F20" s="22" t="n">
        <v>0</v>
      </c>
      <c r="G20" s="22" t="n">
        <v>0</v>
      </c>
      <c r="H20" s="21" t="n"/>
      <c r="I20" s="22" t="n"/>
      <c r="J20" s="22" t="n">
        <v>0</v>
      </c>
      <c r="K20" s="22" t="n">
        <v>400</v>
      </c>
    </row>
    <row r="21">
      <c r="A21" s="20" t="inlineStr">
        <is>
          <t>유동성장기부채</t>
        </is>
      </c>
      <c r="B21" s="10" t="n"/>
      <c r="C21" s="21" t="n">
        <v>0</v>
      </c>
      <c r="D21" s="22" t="n">
        <v>0</v>
      </c>
      <c r="E21" s="22" t="n">
        <v>0</v>
      </c>
      <c r="F21" s="22" t="n"/>
      <c r="G21" s="22" t="n"/>
      <c r="H21" s="21" t="n">
        <v>50.964</v>
      </c>
      <c r="I21" s="22" t="n">
        <v>46.751</v>
      </c>
      <c r="J21" s="22" t="n">
        <v>5</v>
      </c>
      <c r="K21" s="22" t="n">
        <v>0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</row>
    <row r="23">
      <c r="A23" s="9" t="inlineStr">
        <is>
          <t>비유동부채</t>
        </is>
      </c>
      <c r="B23" s="10" t="n"/>
      <c r="C23" s="11" t="n"/>
      <c r="D23" s="12" t="n"/>
      <c r="E23" s="12" t="n"/>
      <c r="F23" s="12" t="n"/>
      <c r="G23" s="12" t="n"/>
      <c r="H23" s="11" t="n">
        <v>68.691</v>
      </c>
      <c r="I23" s="12" t="n">
        <v>21.94</v>
      </c>
      <c r="J23" s="12" t="n">
        <v>0</v>
      </c>
      <c r="K23" s="12" t="n"/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>
        <v>68.691</v>
      </c>
      <c r="I24" s="22" t="n">
        <v>21.94</v>
      </c>
      <c r="J24" s="22" t="n">
        <v>0</v>
      </c>
      <c r="K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</row>
    <row r="27">
      <c r="A27" s="9" t="inlineStr">
        <is>
          <t>부채총계</t>
        </is>
      </c>
      <c r="B27" s="10" t="n"/>
      <c r="C27" s="11" t="n">
        <v>559</v>
      </c>
      <c r="D27" s="12" t="n">
        <v>798</v>
      </c>
      <c r="E27" s="12" t="n">
        <v>1129</v>
      </c>
      <c r="F27" s="12" t="n">
        <v>439</v>
      </c>
      <c r="G27" s="12" t="n">
        <v>496</v>
      </c>
      <c r="H27" s="11" t="n">
        <v>251.904</v>
      </c>
      <c r="I27" s="12" t="n">
        <v>452.86</v>
      </c>
      <c r="J27" s="12" t="n">
        <v>451</v>
      </c>
      <c r="K27" s="12" t="n">
        <v>1129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</row>
    <row r="31">
      <c r="A31" s="9" t="inlineStr">
        <is>
          <t>지배주주지분</t>
        </is>
      </c>
      <c r="B31" s="10" t="n"/>
      <c r="C31" s="11" t="n">
        <v>1489</v>
      </c>
      <c r="D31" s="12" t="n">
        <v>1477</v>
      </c>
      <c r="E31" s="12" t="n">
        <v>2086</v>
      </c>
      <c r="F31" s="12" t="n">
        <v>2066</v>
      </c>
      <c r="G31" s="12" t="n">
        <v>2353</v>
      </c>
      <c r="H31" s="11" t="n">
        <v>89.211</v>
      </c>
      <c r="I31" s="12" t="n">
        <v>997.04</v>
      </c>
      <c r="J31" s="12" t="n">
        <v>1422</v>
      </c>
      <c r="K31" s="12" t="n">
        <v>2086</v>
      </c>
    </row>
    <row r="32">
      <c r="A32" s="20" t="inlineStr">
        <is>
          <t>자본금</t>
        </is>
      </c>
      <c r="B32" s="10" t="n"/>
      <c r="C32" s="21" t="n">
        <v>13</v>
      </c>
      <c r="D32" s="22" t="n">
        <v>13</v>
      </c>
      <c r="E32" s="22" t="n">
        <v>16</v>
      </c>
      <c r="F32" s="22" t="n">
        <v>16</v>
      </c>
      <c r="G32" s="22" t="n">
        <v>16</v>
      </c>
      <c r="H32" s="21" t="n">
        <v>9.9</v>
      </c>
      <c r="I32" s="22" t="n">
        <v>298.734</v>
      </c>
      <c r="J32" s="22" t="n">
        <v>10</v>
      </c>
      <c r="K32" s="22" t="n">
        <v>16</v>
      </c>
    </row>
    <row r="33">
      <c r="A33" s="20" t="inlineStr">
        <is>
          <t>이익잉여금</t>
        </is>
      </c>
      <c r="B33" s="10" t="n"/>
      <c r="C33" s="21" t="n">
        <v>895</v>
      </c>
      <c r="D33" s="22" t="n">
        <v>884</v>
      </c>
      <c r="E33" s="22" t="n">
        <v>1486</v>
      </c>
      <c r="F33" s="22" t="n">
        <v>1466</v>
      </c>
      <c r="G33" s="22" t="n">
        <v>1753</v>
      </c>
      <c r="H33" s="21" t="n">
        <v>79.31100000000001</v>
      </c>
      <c r="I33" s="22" t="n">
        <v>409.472</v>
      </c>
      <c r="J33" s="22" t="n">
        <v>834</v>
      </c>
      <c r="K33" s="22" t="n">
        <v>1486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</row>
    <row r="35">
      <c r="A35" s="9" t="inlineStr">
        <is>
          <t>자본총계</t>
        </is>
      </c>
      <c r="B35" s="10" t="n"/>
      <c r="C35" s="11" t="n">
        <v>1489</v>
      </c>
      <c r="D35" s="12" t="n">
        <v>1477</v>
      </c>
      <c r="E35" s="12" t="n">
        <v>2086</v>
      </c>
      <c r="F35" s="12" t="n">
        <v>2066</v>
      </c>
      <c r="G35" s="12" t="n">
        <v>2353</v>
      </c>
      <c r="H35" s="11" t="n">
        <v>89.211</v>
      </c>
      <c r="I35" s="12" t="n">
        <v>997.04</v>
      </c>
      <c r="J35" s="12" t="n">
        <v>1422</v>
      </c>
      <c r="K35" s="12" t="n">
        <v>2086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</row>
    <row r="37">
      <c r="A37" s="9" t="inlineStr">
        <is>
          <t>영업활동현금흐름</t>
        </is>
      </c>
      <c r="B37" s="10" t="n"/>
      <c r="C37" s="11" t="n">
        <v>-398</v>
      </c>
      <c r="D37" s="12" t="n"/>
      <c r="E37" s="12" t="n">
        <v>-374</v>
      </c>
      <c r="F37" s="12" t="n"/>
      <c r="G37" s="12" t="n">
        <v>317</v>
      </c>
      <c r="H37" s="11" t="n">
        <v>-40.931</v>
      </c>
      <c r="I37" s="12" t="n">
        <v>435.922</v>
      </c>
      <c r="J37" s="12" t="n">
        <v>-161</v>
      </c>
      <c r="K37" s="12" t="n">
        <v>-374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126</v>
      </c>
      <c r="D38" s="22" t="n"/>
      <c r="E38" s="22" t="n">
        <v>101</v>
      </c>
      <c r="F38" s="22" t="n"/>
      <c r="G38" s="22" t="n">
        <v>130</v>
      </c>
      <c r="H38" s="21" t="n">
        <v>47.061</v>
      </c>
      <c r="I38" s="22" t="n">
        <v>18.073</v>
      </c>
      <c r="J38" s="22" t="n">
        <v>79</v>
      </c>
      <c r="K38" s="22" t="n">
        <v>101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/>
      <c r="J40" s="22" t="n"/>
      <c r="K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IFERROR(('연간'!U19)/('연간'!U41),"")</f>
        <v/>
      </c>
      <c r="I48" s="33">
        <f>IFERROR(('연간'!V19)/('연간'!V41),"")</f>
        <v/>
      </c>
      <c r="J48" s="33">
        <f>IFERROR(('연간'!W19)/('연간'!W41),"")</f>
        <v/>
      </c>
      <c r="K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IFERROR(IF(('연간'!U49)&lt;=0,"적자",H28/('연간'!U49)),"")</f>
        <v/>
      </c>
      <c r="I49" s="49">
        <f>IFERROR(IF(('연간'!V49)&lt;=0,"적자",I28/('연간'!V49)),"")</f>
        <v/>
      </c>
      <c r="J49" s="49">
        <f>IFERROR(IF(('연간'!W49)&lt;=0,"적자",J28/('연간'!W49)),"")</f>
        <v/>
      </c>
      <c r="K49" s="49">
        <f>IFERROR(IF(('연간'!X49)&lt;=0,"적자",K28/('연간'!X49)),"")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IFERROR(('연간'!U49)/H31,"")</f>
        <v/>
      </c>
      <c r="I51" s="38">
        <f>IFERROR(('연간'!V49)/I31,"")</f>
        <v/>
      </c>
      <c r="J51" s="38">
        <f>IFERROR(('연간'!W49)/J31,"")</f>
        <v/>
      </c>
      <c r="K51" s="38">
        <f>IFERROR(('연간'!X49)/K31,"")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IFERROR(('연간'!U47)/H16,"")</f>
        <v/>
      </c>
      <c r="I52" s="38">
        <f>IFERROR(('연간'!V47)/I16,"")</f>
        <v/>
      </c>
      <c r="J52" s="38">
        <f>IFERROR(('연간'!W47)/J16,"")</f>
        <v/>
      </c>
      <c r="K52" s="38">
        <f>IFERROR(('연간'!X47)/K16,"")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IFERROR(('연간'!U19)*(1-0.3)/(H35+H29),"")</f>
        <v/>
      </c>
      <c r="I53" s="38">
        <f>IFERROR(('연간'!V19)*(1-0.3)/(I35+I29),"")</f>
        <v/>
      </c>
      <c r="J53" s="38">
        <f>IFERROR(('연간'!W19)*(1-0.3)/(J35+J29),"")</f>
        <v/>
      </c>
      <c r="K53" s="38">
        <f>IFERROR(('연간'!X19)*(1-0.3)/(K35+K29),"")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IFERROR(('연간'!U13)/('연간'!U4),"")</f>
        <v/>
      </c>
      <c r="I54" s="38">
        <f>IFERROR(('연간'!V13)/('연간'!V4),"")</f>
        <v/>
      </c>
      <c r="J54" s="38">
        <f>IFERROR(('연간'!W13)/('연간'!W4),"")</f>
        <v/>
      </c>
      <c r="K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IFERROR(('연간'!U19)/('연간'!U4),"")</f>
        <v/>
      </c>
      <c r="I55" s="38">
        <f>IFERROR(('연간'!V19)/('연간'!V4),"")</f>
        <v/>
      </c>
      <c r="J55" s="38">
        <f>IFERROR(('연간'!W19)/('연간'!W4),"")</f>
        <v/>
      </c>
      <c r="K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IFERROR(('연간'!U47)/('연간'!U4),"")</f>
        <v/>
      </c>
      <c r="I56" s="38">
        <f>IFERROR(('연간'!V47)/('연간'!V4),"")</f>
        <v/>
      </c>
      <c r="J56" s="38">
        <f>IFERROR(('연간'!W47)/('연간'!W4),"")</f>
        <v/>
      </c>
      <c r="K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IFERROR(('연간'!U4)/H16,"")</f>
        <v/>
      </c>
      <c r="I58" s="33">
        <f>IFERROR(('연간'!V4)/I16,"")</f>
        <v/>
      </c>
      <c r="J58" s="33">
        <f>IFERROR(('연간'!W4)/J16,"")</f>
        <v/>
      </c>
      <c r="K58" s="33">
        <f>IFERROR(('연간'!X4)/K16,"")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IFERROR(H8/('연간'!U4)*365,"")</f>
        <v/>
      </c>
      <c r="I59" s="51">
        <f>IFERROR(I8/('연간'!V4)*365,"")</f>
        <v/>
      </c>
      <c r="J59" s="51">
        <f>IFERROR(J8/('연간'!W4)*365,"")</f>
        <v/>
      </c>
      <c r="K59" s="51">
        <f>IFERROR(K8/('연간'!X4)*365,"")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IFERROR(H9/('연간'!U11)*365,"")</f>
        <v/>
      </c>
      <c r="I60" s="51">
        <f>IFERROR(I9/('연간'!V11)*365,"")</f>
        <v/>
      </c>
      <c r="J60" s="51">
        <f>IFERROR(J9/('연간'!W11)*365,"")</f>
        <v/>
      </c>
      <c r="K60" s="51">
        <f>IFERROR(K9/('연간'!X11)*365,"")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IFERROR(H19/('연간'!U11)*365,"")</f>
        <v/>
      </c>
      <c r="I61" s="51">
        <f>IFERROR(I19/('연간'!V11)*365,"")</f>
        <v/>
      </c>
      <c r="J61" s="51">
        <f>IFERROR(J19/('연간'!W11)*365,"")</f>
        <v/>
      </c>
      <c r="K61" s="51">
        <f>IFERROR(K19/('연간'!X11)*365,"")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IF(H37="","",IFERROR(H37/('연간'!U47),""))</f>
        <v/>
      </c>
      <c r="I64" s="33">
        <f>IF(I37="","",IFERROR(I37/('연간'!V47),""))</f>
        <v/>
      </c>
      <c r="J64" s="33">
        <f>IF(J37="","",IFERROR(J37/('연간'!W47),""))</f>
        <v/>
      </c>
      <c r="K64" s="33">
        <f>IF(K37="","",IFERROR(K37/('연간'!X47),""))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IF(H39="","",IFERROR(H39/('연간'!U4),""))</f>
        <v/>
      </c>
      <c r="I65" s="38">
        <f>IF(I39="","",IFERROR(I39/('연간'!V4),""))</f>
        <v/>
      </c>
      <c r="J65" s="38">
        <f>IF(J39="","",IFERROR(J39/('연간'!W4),""))</f>
        <v/>
      </c>
      <c r="K65" s="38">
        <f>IF(K39="","",IFERROR(K39/('연간'!X4),""))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IF(H38="","",IFERROR(H38/('연간'!U4),""))</f>
        <v/>
      </c>
      <c r="I66" s="38">
        <f>IF(I38="","",IFERROR(I38/('연간'!V4),""))</f>
        <v/>
      </c>
      <c r="J66" s="38">
        <f>IF(J38="","",IFERROR(J38/('연간'!W4),""))</f>
        <v/>
      </c>
      <c r="K66" s="38">
        <f>IF(K38="","",IFERROR(K38/('연간'!X4),""))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IF(H40="","",IFERROR(H40/('연간'!U49),""))</f>
        <v/>
      </c>
      <c r="I67" s="38">
        <f>IF(I40="","",IFERROR(I40/('연간'!V49),""))</f>
        <v/>
      </c>
      <c r="J67" s="38">
        <f>IF(J40="","",IFERROR(J40/('연간'!W49),""))</f>
        <v/>
      </c>
      <c r="K67" s="38">
        <f>IF(K40="","",IFERROR(K40/('연간'!X49),""))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2023</t>
        </is>
      </c>
      <c r="I70" s="5" t="inlineStr">
        <is>
          <t>2024</t>
        </is>
      </c>
      <c r="J70" s="5" t="inlineStr">
        <is>
          <t>2025</t>
        </is>
      </c>
      <c r="K70" s="5" t="inlineStr">
        <is>
          <t>2026</t>
        </is>
      </c>
    </row>
    <row r="71">
      <c r="A71" s="20" t="inlineStr">
        <is>
          <t>현금 및 예금</t>
        </is>
      </c>
      <c r="C71" s="22" t="n">
        <v>89</v>
      </c>
      <c r="D71" s="22" t="n">
        <v>74</v>
      </c>
      <c r="E71" s="22" t="n">
        <v>427</v>
      </c>
      <c r="F71" s="22" t="n">
        <v>308</v>
      </c>
      <c r="G71" s="22" t="n">
        <v>138</v>
      </c>
      <c r="H71" s="22" t="n">
        <v>18.086</v>
      </c>
      <c r="I71" s="22" t="n">
        <v>962.104</v>
      </c>
      <c r="J71" s="22" t="n">
        <v>488</v>
      </c>
      <c r="K71" s="22" t="n">
        <v>427</v>
      </c>
    </row>
    <row r="72">
      <c r="A72" s="20" t="inlineStr">
        <is>
          <t>매출채권·계약자산</t>
        </is>
      </c>
      <c r="E72" s="22" t="n">
        <v>1957</v>
      </c>
      <c r="I72" s="22" t="n">
        <v>292.989</v>
      </c>
      <c r="J72" s="22" t="n">
        <v>838</v>
      </c>
      <c r="K72" s="22" t="n">
        <v>1957</v>
      </c>
    </row>
    <row r="73">
      <c r="A73" s="20" t="inlineStr">
        <is>
          <t>전자기록채권</t>
        </is>
      </c>
      <c r="E73" s="22" t="n">
        <v>0</v>
      </c>
      <c r="F73" s="22" t="n">
        <v>0</v>
      </c>
      <c r="K73" s="22" t="n">
        <v>0</v>
      </c>
    </row>
    <row r="74">
      <c r="A74" s="20" t="inlineStr">
        <is>
          <t>매출채권·계약자산</t>
        </is>
      </c>
      <c r="C74" s="22" t="n">
        <v>1256</v>
      </c>
      <c r="D74" s="22" t="n">
        <v>1358</v>
      </c>
      <c r="E74" s="22" t="n">
        <v>1957</v>
      </c>
      <c r="F74" s="22" t="n">
        <v>1224</v>
      </c>
      <c r="G74" s="22" t="n">
        <v>1802</v>
      </c>
      <c r="H74" s="22" t="n">
        <v>158.375</v>
      </c>
      <c r="I74" s="22" t="n">
        <v>292.989</v>
      </c>
      <c r="J74" s="22" t="n">
        <v>838</v>
      </c>
      <c r="K74" s="22" t="n">
        <v>1957</v>
      </c>
    </row>
    <row r="75">
      <c r="A75" s="20" t="inlineStr">
        <is>
          <t>상품·제품</t>
        </is>
      </c>
      <c r="C75" s="22" t="n">
        <v>2</v>
      </c>
      <c r="D75" s="22" t="n">
        <v>17</v>
      </c>
      <c r="E75" s="22" t="n">
        <v>17</v>
      </c>
      <c r="F75" s="22" t="n">
        <v>19</v>
      </c>
      <c r="G75" s="22" t="n">
        <v>20</v>
      </c>
      <c r="I75" s="22" t="n">
        <v>0</v>
      </c>
      <c r="J75" s="22" t="n">
        <v>3</v>
      </c>
      <c r="K75" s="22" t="n">
        <v>17</v>
      </c>
    </row>
    <row r="76">
      <c r="A76" s="20" t="inlineStr">
        <is>
          <t>재공품</t>
        </is>
      </c>
      <c r="C76" s="22" t="n">
        <v>2</v>
      </c>
      <c r="D76" s="22" t="n">
        <v>5</v>
      </c>
      <c r="E76" s="22" t="n">
        <v>10</v>
      </c>
      <c r="F76" s="22" t="n">
        <v>23</v>
      </c>
      <c r="G76" s="22" t="n">
        <v>7</v>
      </c>
      <c r="H76" s="22" t="n">
        <v>2.553</v>
      </c>
      <c r="I76" s="22" t="n">
        <v>0.838</v>
      </c>
      <c r="J76" s="22" t="n">
        <v>5</v>
      </c>
      <c r="K76" s="22" t="n">
        <v>10</v>
      </c>
    </row>
    <row r="77">
      <c r="A77" s="20" t="inlineStr">
        <is>
          <t>원재료</t>
        </is>
      </c>
      <c r="C77" s="22" t="n">
        <v>131</v>
      </c>
      <c r="D77" s="22" t="n">
        <v>169</v>
      </c>
      <c r="E77" s="22" t="n">
        <v>179</v>
      </c>
      <c r="F77" s="22" t="n">
        <v>227</v>
      </c>
      <c r="G77" s="22" t="n">
        <v>225</v>
      </c>
      <c r="H77" s="22" t="n">
        <v>39.04</v>
      </c>
      <c r="I77" s="22" t="n">
        <v>59.074</v>
      </c>
      <c r="J77" s="22" t="n">
        <v>88</v>
      </c>
      <c r="K77" s="22" t="n">
        <v>179</v>
      </c>
    </row>
    <row r="78">
      <c r="A78" s="20" t="inlineStr">
        <is>
          <t>선급금</t>
        </is>
      </c>
      <c r="E78" s="22" t="n">
        <v>70</v>
      </c>
      <c r="J78" s="22" t="n">
        <v>6</v>
      </c>
      <c r="K78" s="22" t="n">
        <v>70</v>
      </c>
    </row>
    <row r="79">
      <c r="A79" s="20" t="inlineStr">
        <is>
          <t>선급비용</t>
        </is>
      </c>
      <c r="C79" s="22" t="n">
        <v>138</v>
      </c>
      <c r="D79" s="22" t="n">
        <v>163</v>
      </c>
      <c r="E79" s="22" t="n">
        <v>82</v>
      </c>
      <c r="F79" s="22" t="n">
        <v>141</v>
      </c>
      <c r="G79" s="22" t="n">
        <v>140</v>
      </c>
      <c r="H79" s="22" t="n">
        <v>10.639</v>
      </c>
      <c r="I79" s="22" t="n">
        <v>18.04</v>
      </c>
      <c r="J79" s="22" t="n">
        <v>107</v>
      </c>
      <c r="K79" s="22" t="n">
        <v>82</v>
      </c>
    </row>
    <row r="80">
      <c r="A80" s="20" t="inlineStr">
        <is>
          <t>미수 소비세</t>
        </is>
      </c>
      <c r="D80" s="22" t="n">
        <v>30</v>
      </c>
      <c r="J80" s="22" t="n">
        <v>0</v>
      </c>
    </row>
    <row r="81">
      <c r="A81" s="20" t="inlineStr">
        <is>
          <t>미수 환급법인세</t>
        </is>
      </c>
      <c r="D81" s="22" t="n">
        <v>67</v>
      </c>
      <c r="J81" s="22" t="n">
        <v>0</v>
      </c>
    </row>
    <row r="82">
      <c r="A82" s="20" t="inlineStr">
        <is>
          <t>기타</t>
        </is>
      </c>
      <c r="C82" s="22" t="n">
        <v>85</v>
      </c>
      <c r="D82" s="22" t="n">
        <v>30</v>
      </c>
      <c r="E82" s="22" t="n">
        <v>72</v>
      </c>
      <c r="F82" s="22" t="n">
        <v>77</v>
      </c>
      <c r="G82" s="22" t="n">
        <v>65</v>
      </c>
      <c r="H82" s="22" t="n">
        <v>3.12</v>
      </c>
      <c r="I82" s="22" t="n">
        <v>4.882</v>
      </c>
      <c r="J82" s="22" t="n">
        <v>1</v>
      </c>
      <c r="K82" s="22" t="n">
        <v>72</v>
      </c>
    </row>
    <row r="83">
      <c r="A83" s="9" t="inlineStr">
        <is>
          <t>유동자산 합계</t>
        </is>
      </c>
      <c r="C83" s="12" t="n">
        <v>1707</v>
      </c>
      <c r="D83" s="12" t="n">
        <v>1916</v>
      </c>
      <c r="E83" s="12" t="n">
        <v>2747</v>
      </c>
      <c r="F83" s="12" t="n">
        <v>2024</v>
      </c>
      <c r="G83" s="12" t="n">
        <v>2402</v>
      </c>
      <c r="H83" s="12" t="n">
        <v>231.816</v>
      </c>
      <c r="I83" s="12" t="n">
        <v>1337.928</v>
      </c>
      <c r="J83" s="12" t="n">
        <v>1539</v>
      </c>
      <c r="K83" s="12" t="n">
        <v>2747</v>
      </c>
    </row>
    <row r="84">
      <c r="A84" s="20" t="inlineStr">
        <is>
          <t>건물</t>
        </is>
      </c>
      <c r="E84" s="22" t="n">
        <v>99</v>
      </c>
      <c r="H84" s="22" t="n">
        <v>23.87</v>
      </c>
      <c r="I84" s="22" t="n">
        <v>23.87</v>
      </c>
      <c r="J84" s="22" t="n">
        <v>35</v>
      </c>
      <c r="K84" s="22" t="n">
        <v>99</v>
      </c>
    </row>
    <row r="85">
      <c r="A85" s="20" t="inlineStr">
        <is>
          <t>감가상각누계액</t>
        </is>
      </c>
      <c r="E85" s="22" t="n">
        <v>-30</v>
      </c>
      <c r="H85" s="22" t="n">
        <v>-1.51</v>
      </c>
      <c r="I85" s="22" t="n">
        <v>-3.541</v>
      </c>
      <c r="J85" s="22" t="n">
        <v>-15</v>
      </c>
      <c r="K85" s="22" t="n">
        <v>-30</v>
      </c>
    </row>
    <row r="86">
      <c r="A86" s="20" t="inlineStr">
        <is>
          <t>건물(순액)</t>
        </is>
      </c>
      <c r="E86" s="22" t="n">
        <v>69</v>
      </c>
      <c r="H86" s="22" t="n">
        <v>22.359</v>
      </c>
      <c r="I86" s="22" t="n">
        <v>20.329</v>
      </c>
      <c r="J86" s="22" t="n">
        <v>19</v>
      </c>
      <c r="K86" s="22" t="n">
        <v>69</v>
      </c>
    </row>
    <row r="87">
      <c r="A87" s="20" t="inlineStr">
        <is>
          <t>차량운반구</t>
        </is>
      </c>
      <c r="E87" s="22" t="n">
        <v>32</v>
      </c>
      <c r="H87" s="22" t="n">
        <v>5.691</v>
      </c>
      <c r="I87" s="22" t="n">
        <v>5.691</v>
      </c>
      <c r="J87" s="22" t="n">
        <v>28</v>
      </c>
      <c r="K87" s="22" t="n">
        <v>32</v>
      </c>
    </row>
    <row r="88">
      <c r="A88" s="20" t="inlineStr">
        <is>
          <t>감가상각누계액</t>
        </is>
      </c>
      <c r="E88" s="22" t="n">
        <v>-17</v>
      </c>
      <c r="H88" s="22" t="n">
        <v>-0.789</v>
      </c>
      <c r="I88" s="22" t="n">
        <v>-5.691</v>
      </c>
      <c r="J88" s="22" t="n">
        <v>-8</v>
      </c>
      <c r="K88" s="22" t="n">
        <v>-17</v>
      </c>
    </row>
    <row r="89">
      <c r="A89" s="20" t="inlineStr">
        <is>
          <t>차량운반구(순액)</t>
        </is>
      </c>
      <c r="E89" s="22" t="n">
        <v>14</v>
      </c>
      <c r="H89" s="22" t="n">
        <v>4.901</v>
      </c>
      <c r="I89" s="22" t="n">
        <v>0</v>
      </c>
      <c r="J89" s="22" t="n">
        <v>19</v>
      </c>
      <c r="K89" s="22" t="n">
        <v>14</v>
      </c>
    </row>
    <row r="90">
      <c r="A90" s="20" t="inlineStr">
        <is>
          <t>공구·기구·비품</t>
        </is>
      </c>
      <c r="E90" s="22" t="n">
        <v>116</v>
      </c>
      <c r="H90" s="22" t="n">
        <v>27.457</v>
      </c>
      <c r="I90" s="22" t="n">
        <v>44.361</v>
      </c>
      <c r="J90" s="22" t="n">
        <v>80</v>
      </c>
      <c r="K90" s="22" t="n">
        <v>116</v>
      </c>
    </row>
    <row r="91">
      <c r="A91" s="20" t="inlineStr">
        <is>
          <t>감가상각누계액</t>
        </is>
      </c>
      <c r="E91" s="22" t="n">
        <v>-72</v>
      </c>
      <c r="H91" s="22" t="n">
        <v>-10.709</v>
      </c>
      <c r="I91" s="22" t="n">
        <v>-22.706</v>
      </c>
      <c r="J91" s="22" t="n">
        <v>-42</v>
      </c>
      <c r="K91" s="22" t="n">
        <v>-72</v>
      </c>
    </row>
    <row r="92">
      <c r="A92" s="20" t="inlineStr">
        <is>
          <t>공구·기구·비품(순액)</t>
        </is>
      </c>
      <c r="E92" s="22" t="n">
        <v>43</v>
      </c>
      <c r="H92" s="22" t="n">
        <v>16.748</v>
      </c>
      <c r="I92" s="22" t="n">
        <v>21.655</v>
      </c>
      <c r="J92" s="22" t="n">
        <v>37</v>
      </c>
      <c r="K92" s="22" t="n">
        <v>43</v>
      </c>
    </row>
    <row r="93">
      <c r="A93" s="20" t="inlineStr">
        <is>
          <t>건설중인자산</t>
        </is>
      </c>
      <c r="E93" s="22" t="n">
        <v>1</v>
      </c>
      <c r="H93" s="22" t="n">
        <v>0</v>
      </c>
      <c r="I93" s="22" t="n">
        <v>0.97</v>
      </c>
      <c r="J93" s="22" t="n">
        <v>8</v>
      </c>
      <c r="K93" s="22" t="n">
        <v>1</v>
      </c>
    </row>
    <row r="94">
      <c r="A94" s="20" t="inlineStr">
        <is>
          <t>유형자산</t>
        </is>
      </c>
      <c r="C94" s="22" t="n">
        <v>128</v>
      </c>
      <c r="D94" s="22" t="n">
        <v>127</v>
      </c>
      <c r="E94" s="22" t="n">
        <v>130</v>
      </c>
      <c r="F94" s="22" t="n">
        <v>206</v>
      </c>
      <c r="G94" s="22" t="n">
        <v>207</v>
      </c>
      <c r="H94" s="22" t="n">
        <v>44.01</v>
      </c>
      <c r="I94" s="22" t="n">
        <v>42.954</v>
      </c>
      <c r="J94" s="22" t="n">
        <v>85</v>
      </c>
      <c r="K94" s="22" t="n">
        <v>130</v>
      </c>
    </row>
    <row r="95">
      <c r="A95" s="20" t="inlineStr">
        <is>
          <t>소프트웨어</t>
        </is>
      </c>
      <c r="E95" s="22" t="n">
        <v>2</v>
      </c>
      <c r="I95" s="22" t="n">
        <v>0</v>
      </c>
      <c r="J95" s="22" t="n">
        <v>1</v>
      </c>
      <c r="K95" s="22" t="n">
        <v>2</v>
      </c>
    </row>
    <row r="96">
      <c r="A96" s="20" t="inlineStr">
        <is>
          <t>무형자산</t>
        </is>
      </c>
      <c r="C96" s="22" t="n">
        <v>1</v>
      </c>
      <c r="D96" s="22" t="n">
        <v>2</v>
      </c>
      <c r="E96" s="22" t="n">
        <v>2</v>
      </c>
      <c r="F96" s="22" t="n">
        <v>2</v>
      </c>
      <c r="G96" s="22" t="n">
        <v>1</v>
      </c>
      <c r="I96" s="22" t="n">
        <v>0</v>
      </c>
      <c r="J96" s="22" t="n">
        <v>1</v>
      </c>
      <c r="K96" s="22" t="n">
        <v>2</v>
      </c>
    </row>
    <row r="97">
      <c r="A97" s="20" t="inlineStr">
        <is>
          <t>임차보증금</t>
        </is>
      </c>
      <c r="E97" s="22" t="n">
        <v>175</v>
      </c>
      <c r="H97" s="22" t="n">
        <v>53.289</v>
      </c>
      <c r="I97" s="22" t="n">
        <v>51.794</v>
      </c>
      <c r="J97" s="22" t="n">
        <v>204</v>
      </c>
      <c r="K97" s="22" t="n">
        <v>175</v>
      </c>
    </row>
    <row r="98">
      <c r="A98" s="20" t="inlineStr">
        <is>
          <t>장기선급비용</t>
        </is>
      </c>
      <c r="E98" s="22" t="n">
        <v>77</v>
      </c>
      <c r="J98" s="22" t="n">
        <v>0</v>
      </c>
      <c r="K98" s="22" t="n">
        <v>77</v>
      </c>
    </row>
    <row r="99">
      <c r="A99" s="20" t="inlineStr">
        <is>
          <t>이연법인세자산</t>
        </is>
      </c>
      <c r="E99" s="22" t="n">
        <v>82</v>
      </c>
      <c r="H99" s="22" t="n">
        <v>11.968</v>
      </c>
      <c r="I99" s="22" t="n">
        <v>17.193</v>
      </c>
      <c r="J99" s="22" t="n">
        <v>42</v>
      </c>
      <c r="K99" s="22" t="n">
        <v>82</v>
      </c>
    </row>
    <row r="100">
      <c r="A100" s="20" t="inlineStr">
        <is>
          <t>기타</t>
        </is>
      </c>
      <c r="E100" s="22" t="n">
        <v>0</v>
      </c>
      <c r="H100" s="22" t="n">
        <v>0.03</v>
      </c>
      <c r="I100" s="22" t="n">
        <v>0.03</v>
      </c>
      <c r="J100" s="22" t="n">
        <v>0</v>
      </c>
      <c r="K100" s="22" t="n">
        <v>0</v>
      </c>
    </row>
    <row r="101">
      <c r="A101" s="20" t="inlineStr">
        <is>
          <t>투자 및 기타자산</t>
        </is>
      </c>
      <c r="E101" s="22" t="n">
        <v>335</v>
      </c>
      <c r="F101" s="22" t="n">
        <v>272</v>
      </c>
      <c r="I101" s="22" t="n">
        <v>69.018</v>
      </c>
      <c r="J101" s="22" t="n">
        <v>246</v>
      </c>
      <c r="K101" s="22" t="n">
        <v>335</v>
      </c>
    </row>
    <row r="102">
      <c r="A102" s="20" t="inlineStr">
        <is>
          <t>투자 및 기타자산</t>
        </is>
      </c>
      <c r="C102" s="22" t="n">
        <v>211</v>
      </c>
      <c r="D102" s="22" t="n">
        <v>230</v>
      </c>
      <c r="E102" s="22" t="n">
        <v>335</v>
      </c>
      <c r="G102" s="22" t="n">
        <v>239</v>
      </c>
      <c r="H102" s="22" t="n">
        <v>65.288</v>
      </c>
      <c r="I102" s="22" t="n">
        <v>69.018</v>
      </c>
      <c r="J102" s="22" t="n">
        <v>246</v>
      </c>
      <c r="K102" s="22" t="n">
        <v>335</v>
      </c>
    </row>
    <row r="103">
      <c r="A103" s="9" t="inlineStr">
        <is>
          <t>비유동자산 합계</t>
        </is>
      </c>
      <c r="C103" s="12" t="n">
        <v>341</v>
      </c>
      <c r="D103" s="12" t="n">
        <v>359</v>
      </c>
      <c r="E103" s="12" t="n">
        <v>468</v>
      </c>
      <c r="F103" s="12" t="n">
        <v>481</v>
      </c>
      <c r="G103" s="12" t="n">
        <v>448</v>
      </c>
      <c r="H103" s="12" t="n">
        <v>109.298</v>
      </c>
      <c r="I103" s="12" t="n">
        <v>111.973</v>
      </c>
      <c r="J103" s="12" t="n">
        <v>333</v>
      </c>
      <c r="K103" s="12" t="n">
        <v>468</v>
      </c>
    </row>
    <row r="104">
      <c r="A104" s="9" t="inlineStr">
        <is>
          <t>자산 합계</t>
        </is>
      </c>
      <c r="C104" s="12" t="n">
        <v>2048</v>
      </c>
      <c r="D104" s="12" t="n">
        <v>2276</v>
      </c>
      <c r="E104" s="12" t="n">
        <v>3215</v>
      </c>
      <c r="F104" s="12" t="n">
        <v>2505</v>
      </c>
      <c r="G104" s="12" t="n">
        <v>2850</v>
      </c>
      <c r="H104" s="12" t="n">
        <v>341.115</v>
      </c>
      <c r="I104" s="12" t="n">
        <v>1449.901</v>
      </c>
      <c r="J104" s="12" t="n">
        <v>1873</v>
      </c>
      <c r="K104" s="12" t="n">
        <v>3215</v>
      </c>
    </row>
    <row r="105">
      <c r="A105" s="20" t="inlineStr">
        <is>
          <t>매입채무</t>
        </is>
      </c>
      <c r="C105" s="22" t="n">
        <v>48</v>
      </c>
      <c r="D105" s="22" t="n">
        <v>74</v>
      </c>
      <c r="E105" s="22" t="n">
        <v>160</v>
      </c>
      <c r="F105" s="22" t="n">
        <v>52</v>
      </c>
      <c r="G105" s="22" t="n">
        <v>75</v>
      </c>
      <c r="H105" s="22" t="n">
        <v>0</v>
      </c>
      <c r="I105" s="22" t="n">
        <v>1.202</v>
      </c>
      <c r="J105" s="22" t="n">
        <v>34</v>
      </c>
      <c r="K105" s="22" t="n">
        <v>160</v>
      </c>
    </row>
    <row r="106">
      <c r="A106" s="20" t="inlineStr">
        <is>
          <t>단기차입금</t>
        </is>
      </c>
      <c r="C106" s="22" t="n">
        <v>170</v>
      </c>
      <c r="D106" s="22" t="n">
        <v>400</v>
      </c>
      <c r="E106" s="22" t="n">
        <v>400</v>
      </c>
      <c r="F106" s="22" t="n">
        <v>0</v>
      </c>
      <c r="G106" s="22" t="n">
        <v>0</v>
      </c>
      <c r="J106" s="22" t="n">
        <v>0</v>
      </c>
      <c r="K106" s="22" t="n">
        <v>400</v>
      </c>
    </row>
    <row r="107">
      <c r="A107" s="20" t="inlineStr">
        <is>
          <t>미지급금</t>
        </is>
      </c>
      <c r="C107" s="22" t="n">
        <v>72</v>
      </c>
      <c r="D107" s="22" t="n">
        <v>56</v>
      </c>
      <c r="E107" s="22" t="n">
        <v>61</v>
      </c>
      <c r="F107" s="22" t="n">
        <v>67</v>
      </c>
      <c r="G107" s="22" t="n">
        <v>45</v>
      </c>
      <c r="H107" s="22" t="n">
        <v>21.348</v>
      </c>
      <c r="I107" s="22" t="n">
        <v>38.436</v>
      </c>
      <c r="J107" s="22" t="n">
        <v>108</v>
      </c>
      <c r="K107" s="22" t="n">
        <v>61</v>
      </c>
    </row>
    <row r="108">
      <c r="A108" s="20" t="inlineStr">
        <is>
          <t>미지급비용</t>
        </is>
      </c>
      <c r="C108" s="22" t="n">
        <v>151</v>
      </c>
      <c r="D108" s="22" t="n">
        <v>175</v>
      </c>
      <c r="E108" s="22" t="n">
        <v>221</v>
      </c>
      <c r="F108" s="22" t="n">
        <v>185</v>
      </c>
      <c r="G108" s="22" t="n">
        <v>189</v>
      </c>
      <c r="H108" s="22" t="n">
        <v>32.981</v>
      </c>
      <c r="I108" s="22" t="n">
        <v>42.456</v>
      </c>
      <c r="J108" s="22" t="n">
        <v>90</v>
      </c>
      <c r="K108" s="22" t="n">
        <v>221</v>
      </c>
    </row>
    <row r="109">
      <c r="A109" s="20" t="inlineStr">
        <is>
          <t>상여충당금</t>
        </is>
      </c>
      <c r="E109" s="22" t="n">
        <v>0</v>
      </c>
      <c r="F109" s="22" t="n">
        <v>15</v>
      </c>
      <c r="I109" s="22" t="n">
        <v>0</v>
      </c>
      <c r="J109" s="22" t="n">
        <v>0</v>
      </c>
      <c r="K109" s="22" t="n">
        <v>0</v>
      </c>
    </row>
    <row r="110">
      <c r="A110" s="20" t="inlineStr">
        <is>
          <t>계약부채</t>
        </is>
      </c>
      <c r="C110" s="22" t="n">
        <v>37</v>
      </c>
      <c r="D110" s="22" t="n">
        <v>37</v>
      </c>
      <c r="E110" s="22" t="n">
        <v>0</v>
      </c>
      <c r="F110" s="22" t="n">
        <v>55</v>
      </c>
      <c r="G110" s="22" t="n">
        <v>19</v>
      </c>
      <c r="H110" s="22" t="n">
        <v>23.199</v>
      </c>
      <c r="I110" s="22" t="n">
        <v>53.86</v>
      </c>
      <c r="J110" s="22" t="n">
        <v>32</v>
      </c>
      <c r="K110" s="22" t="n">
        <v>0</v>
      </c>
    </row>
    <row r="111">
      <c r="A111" s="20" t="inlineStr">
        <is>
          <t>미지급법인세</t>
        </is>
      </c>
      <c r="C111" s="22" t="n">
        <v>36</v>
      </c>
      <c r="D111" s="22" t="n">
        <v>0</v>
      </c>
      <c r="E111" s="22" t="n">
        <v>202</v>
      </c>
      <c r="F111" s="22" t="n">
        <v>0</v>
      </c>
      <c r="G111" s="22" t="n">
        <v>118</v>
      </c>
      <c r="H111" s="22" t="n">
        <v>18.779</v>
      </c>
      <c r="I111" s="22" t="n">
        <v>173.358</v>
      </c>
      <c r="J111" s="22" t="n">
        <v>103</v>
      </c>
      <c r="K111" s="22" t="n">
        <v>202</v>
      </c>
    </row>
    <row r="112">
      <c r="A112" s="20" t="inlineStr">
        <is>
          <t>1년 내 상환 장기차입금</t>
        </is>
      </c>
      <c r="C112" s="22" t="n">
        <v>0</v>
      </c>
      <c r="D112" s="22" t="n">
        <v>0</v>
      </c>
      <c r="E112" s="22" t="n">
        <v>0</v>
      </c>
      <c r="H112" s="22" t="n">
        <v>50.964</v>
      </c>
      <c r="I112" s="22" t="n">
        <v>46.751</v>
      </c>
      <c r="J112" s="22" t="n">
        <v>5</v>
      </c>
      <c r="K112" s="22" t="n">
        <v>0</v>
      </c>
    </row>
    <row r="113">
      <c r="A113" s="20" t="inlineStr">
        <is>
          <t>미지급 소비세</t>
        </is>
      </c>
      <c r="C113" s="22" t="n">
        <v>7</v>
      </c>
      <c r="D113" s="22" t="n">
        <v>0</v>
      </c>
      <c r="E113" s="22" t="n">
        <v>39</v>
      </c>
      <c r="F113" s="22" t="n">
        <v>18</v>
      </c>
      <c r="G113" s="22" t="n">
        <v>6</v>
      </c>
      <c r="H113" s="22" t="n">
        <v>24.002</v>
      </c>
      <c r="I113" s="22" t="n">
        <v>62.603</v>
      </c>
      <c r="J113" s="22" t="n">
        <v>48</v>
      </c>
      <c r="K113" s="22" t="n">
        <v>39</v>
      </c>
    </row>
    <row r="114">
      <c r="A114" s="20" t="inlineStr">
        <is>
          <t>기타</t>
        </is>
      </c>
      <c r="C114" s="22" t="n">
        <v>35</v>
      </c>
      <c r="D114" s="22" t="n">
        <v>55</v>
      </c>
      <c r="E114" s="22" t="n">
        <v>42</v>
      </c>
      <c r="F114" s="22" t="n">
        <v>44</v>
      </c>
      <c r="G114" s="22" t="n">
        <v>41</v>
      </c>
      <c r="H114" s="22" t="n">
        <v>11.938</v>
      </c>
      <c r="I114" s="22" t="n">
        <v>12.252</v>
      </c>
      <c r="J114" s="22" t="n">
        <v>27</v>
      </c>
      <c r="K114" s="22" t="n">
        <v>42</v>
      </c>
    </row>
    <row r="115">
      <c r="A115" s="9" t="inlineStr">
        <is>
          <t>유동부채 합계</t>
        </is>
      </c>
      <c r="C115" s="12" t="n">
        <v>559</v>
      </c>
      <c r="D115" s="12" t="n">
        <v>798</v>
      </c>
      <c r="E115" s="12" t="n">
        <v>1129</v>
      </c>
      <c r="F115" s="12" t="n">
        <v>439</v>
      </c>
      <c r="G115" s="12" t="n">
        <v>496</v>
      </c>
      <c r="H115" s="12" t="n">
        <v>183.213</v>
      </c>
      <c r="I115" s="12" t="n">
        <v>430.92</v>
      </c>
      <c r="J115" s="12" t="n">
        <v>451</v>
      </c>
      <c r="K115" s="12" t="n">
        <v>1129</v>
      </c>
    </row>
    <row r="116">
      <c r="A116" s="20" t="inlineStr">
        <is>
          <t>장기차입금</t>
        </is>
      </c>
      <c r="H116" s="22" t="n">
        <v>68.691</v>
      </c>
      <c r="I116" s="22" t="n">
        <v>21.94</v>
      </c>
      <c r="J116" s="22" t="n">
        <v>0</v>
      </c>
    </row>
    <row r="117">
      <c r="A117" s="9" t="inlineStr">
        <is>
          <t>비유동부채 합계</t>
        </is>
      </c>
      <c r="H117" s="12" t="n">
        <v>68.691</v>
      </c>
      <c r="I117" s="12" t="n">
        <v>21.94</v>
      </c>
      <c r="J117" s="12" t="n">
        <v>0</v>
      </c>
    </row>
    <row r="118">
      <c r="A118" s="9" t="inlineStr">
        <is>
          <t>부채 합계</t>
        </is>
      </c>
      <c r="C118" s="12" t="n">
        <v>559</v>
      </c>
      <c r="D118" s="12" t="n">
        <v>798</v>
      </c>
      <c r="E118" s="12" t="n">
        <v>1129</v>
      </c>
      <c r="F118" s="12" t="n">
        <v>439</v>
      </c>
      <c r="G118" s="12" t="n">
        <v>496</v>
      </c>
      <c r="H118" s="12" t="n">
        <v>251.904</v>
      </c>
      <c r="I118" s="12" t="n">
        <v>452.86</v>
      </c>
      <c r="J118" s="12" t="n">
        <v>451</v>
      </c>
      <c r="K118" s="12" t="n">
        <v>1129</v>
      </c>
    </row>
    <row r="119">
      <c r="A119" s="20" t="inlineStr">
        <is>
          <t>자본금</t>
        </is>
      </c>
      <c r="C119" s="22" t="n">
        <v>13</v>
      </c>
      <c r="D119" s="22" t="n">
        <v>13</v>
      </c>
      <c r="E119" s="22" t="n">
        <v>16</v>
      </c>
      <c r="F119" s="22" t="n">
        <v>16</v>
      </c>
      <c r="G119" s="22" t="n">
        <v>16</v>
      </c>
      <c r="H119" s="22" t="n">
        <v>9.9</v>
      </c>
      <c r="I119" s="22" t="n">
        <v>298.734</v>
      </c>
      <c r="J119" s="22" t="n">
        <v>10</v>
      </c>
      <c r="K119" s="22" t="n">
        <v>16</v>
      </c>
    </row>
    <row r="120">
      <c r="A120" s="20" t="inlineStr">
        <is>
          <t>자본준비금</t>
        </is>
      </c>
      <c r="C120" s="22" t="n">
        <v>292</v>
      </c>
      <c r="E120" s="22" t="n">
        <v>294</v>
      </c>
      <c r="F120" s="22" t="n">
        <v>294</v>
      </c>
      <c r="G120" s="22" t="n">
        <v>294</v>
      </c>
      <c r="H120" s="22" t="n">
        <v>0</v>
      </c>
      <c r="I120" s="22" t="n">
        <v>288.834</v>
      </c>
      <c r="J120" s="22" t="n">
        <v>288</v>
      </c>
      <c r="K120" s="22" t="n">
        <v>294</v>
      </c>
    </row>
    <row r="121">
      <c r="A121" s="20" t="inlineStr">
        <is>
          <t>기타자본잉여금</t>
        </is>
      </c>
      <c r="C121" s="22" t="n">
        <v>288</v>
      </c>
      <c r="E121" s="22" t="n">
        <v>288</v>
      </c>
      <c r="F121" s="22" t="n">
        <v>288</v>
      </c>
      <c r="G121" s="22" t="n">
        <v>288</v>
      </c>
      <c r="I121" s="22" t="n">
        <v>0</v>
      </c>
      <c r="J121" s="22" t="n">
        <v>288</v>
      </c>
      <c r="K121" s="22" t="n">
        <v>288</v>
      </c>
    </row>
    <row r="122">
      <c r="A122" s="20" t="inlineStr">
        <is>
          <t>자본잉여금 합계</t>
        </is>
      </c>
      <c r="C122" s="22" t="n">
        <v>580</v>
      </c>
      <c r="D122" s="22" t="n">
        <v>580</v>
      </c>
      <c r="E122" s="22" t="n">
        <v>583</v>
      </c>
      <c r="F122" s="22" t="n">
        <v>583</v>
      </c>
      <c r="G122" s="22" t="n">
        <v>583</v>
      </c>
      <c r="H122" s="22" t="n">
        <v>0</v>
      </c>
      <c r="I122" s="22" t="n">
        <v>288.834</v>
      </c>
      <c r="J122" s="22" t="n">
        <v>577</v>
      </c>
      <c r="K122" s="22" t="n">
        <v>583</v>
      </c>
    </row>
    <row r="123">
      <c r="A123" s="20" t="inlineStr">
        <is>
          <t>이월이익잉여금</t>
        </is>
      </c>
      <c r="C123" s="22" t="n">
        <v>895</v>
      </c>
      <c r="E123" s="22" t="n">
        <v>1486</v>
      </c>
      <c r="F123" s="22" t="n">
        <v>1466</v>
      </c>
      <c r="G123" s="22" t="n">
        <v>1753</v>
      </c>
      <c r="H123" s="22" t="n">
        <v>79.31100000000001</v>
      </c>
      <c r="I123" s="22" t="n">
        <v>409.472</v>
      </c>
      <c r="J123" s="22" t="n">
        <v>834</v>
      </c>
      <c r="K123" s="22" t="n">
        <v>1486</v>
      </c>
    </row>
    <row r="124">
      <c r="A124" s="20" t="inlineStr">
        <is>
          <t>이익잉여금 합계</t>
        </is>
      </c>
      <c r="C124" s="22" t="n">
        <v>895</v>
      </c>
      <c r="D124" s="22" t="n">
        <v>884</v>
      </c>
      <c r="E124" s="22" t="n">
        <v>1486</v>
      </c>
      <c r="F124" s="22" t="n">
        <v>1466</v>
      </c>
      <c r="G124" s="22" t="n">
        <v>1753</v>
      </c>
      <c r="H124" s="22" t="n">
        <v>79.31100000000001</v>
      </c>
      <c r="I124" s="22" t="n">
        <v>409.472</v>
      </c>
      <c r="J124" s="22" t="n">
        <v>834</v>
      </c>
      <c r="K124" s="22" t="n">
        <v>1486</v>
      </c>
    </row>
    <row r="125">
      <c r="A125" s="9" t="inlineStr">
        <is>
          <t>주주자본 합계</t>
        </is>
      </c>
      <c r="C125" s="12" t="n">
        <v>1489</v>
      </c>
      <c r="D125" s="12" t="n">
        <v>1477</v>
      </c>
      <c r="E125" s="12" t="n">
        <v>2086</v>
      </c>
      <c r="F125" s="12" t="n">
        <v>2066</v>
      </c>
      <c r="G125" s="12" t="n">
        <v>2353</v>
      </c>
      <c r="H125" s="12" t="n">
        <v>89.211</v>
      </c>
      <c r="I125" s="12" t="n">
        <v>997.04</v>
      </c>
      <c r="J125" s="12" t="n">
        <v>1422</v>
      </c>
      <c r="K125" s="12" t="n">
        <v>2086</v>
      </c>
    </row>
    <row r="126">
      <c r="A126" s="9" t="inlineStr">
        <is>
          <t>순자산 합계</t>
        </is>
      </c>
      <c r="C126" s="12" t="n">
        <v>1489</v>
      </c>
      <c r="D126" s="12" t="n">
        <v>1477</v>
      </c>
      <c r="E126" s="12" t="n">
        <v>2086</v>
      </c>
      <c r="F126" s="12" t="n">
        <v>2066</v>
      </c>
      <c r="G126" s="12" t="n">
        <v>2353</v>
      </c>
      <c r="H126" s="12" t="n">
        <v>89.211</v>
      </c>
      <c r="I126" s="12" t="n">
        <v>997.04</v>
      </c>
      <c r="J126" s="12" t="n">
        <v>1422</v>
      </c>
      <c r="K126" s="12" t="n">
        <v>2086</v>
      </c>
    </row>
    <row r="127">
      <c r="A127" s="9" t="inlineStr">
        <is>
          <t>부채·순자산 합계</t>
        </is>
      </c>
      <c r="C127" s="12" t="n">
        <v>2048</v>
      </c>
      <c r="D127" s="12" t="n">
        <v>2276</v>
      </c>
      <c r="E127" s="12" t="n">
        <v>3215</v>
      </c>
      <c r="F127" s="12" t="n">
        <v>2505</v>
      </c>
      <c r="G127" s="12" t="n">
        <v>2850</v>
      </c>
      <c r="H127" s="12" t="n">
        <v>341.115</v>
      </c>
      <c r="I127" s="12" t="n">
        <v>1449.901</v>
      </c>
      <c r="J127" s="12" t="n">
        <v>1873</v>
      </c>
      <c r="K127" s="12" t="n">
        <v>3215</v>
      </c>
    </row>
  </sheetData>
  <conditionalFormatting sqref="C43:K43">
    <cfRule type="expression" priority="1" dxfId="0">
      <formula>AND(ISNUMBER(C43),C43&gt;1.0)</formula>
    </cfRule>
  </conditionalFormatting>
  <conditionalFormatting sqref="C44:K44">
    <cfRule type="expression" priority="2" dxfId="0">
      <formula>AND(ISNUMBER(C44),C44&gt;0.5)</formula>
    </cfRule>
  </conditionalFormatting>
  <conditionalFormatting sqref="C45:K45">
    <cfRule type="expression" priority="3" dxfId="0">
      <formula>AND(ISNUMBER(C45),C45&lt;0.5)</formula>
    </cfRule>
  </conditionalFormatting>
  <conditionalFormatting sqref="C46:K46">
    <cfRule type="expression" priority="4" dxfId="0">
      <formula>AND(ISNUMBER(C46),C46&lt;1.5)</formula>
    </cfRule>
  </conditionalFormatting>
  <conditionalFormatting sqref="C47:K47">
    <cfRule type="expression" priority="5" dxfId="0">
      <formula>AND(ISNUMBER(C47),C47&lt;1.0)</formula>
    </cfRule>
  </conditionalFormatting>
  <conditionalFormatting sqref="C48:K48">
    <cfRule type="expression" priority="6" dxfId="0">
      <formula>AND(ISNUMBER(C48),C48&lt;5)</formula>
    </cfRule>
  </conditionalFormatting>
  <conditionalFormatting sqref="C49:K49">
    <cfRule type="expression" priority="7" dxfId="0">
      <formula>AND(ISNUMBER(C49),C49&gt;4)</formula>
    </cfRule>
  </conditionalFormatting>
  <conditionalFormatting sqref="C51:K51">
    <cfRule type="expression" priority="8" dxfId="0">
      <formula>AND(ISNUMBER(C51),C51&lt;0.15)</formula>
    </cfRule>
  </conditionalFormatting>
  <conditionalFormatting sqref="C52:K52">
    <cfRule type="expression" priority="9" dxfId="0">
      <formula>AND(ISNUMBER(C52),C52&lt;0.05)</formula>
    </cfRule>
  </conditionalFormatting>
  <conditionalFormatting sqref="C53:K53">
    <cfRule type="expression" priority="10" dxfId="0">
      <formula>AND(ISNUMBER(C53),C53&lt;0.1)</formula>
    </cfRule>
  </conditionalFormatting>
  <conditionalFormatting sqref="C54:K54">
    <cfRule type="expression" priority="11" dxfId="0">
      <formula>AND(ISNUMBER(C54),C54&lt;0.4)</formula>
    </cfRule>
  </conditionalFormatting>
  <conditionalFormatting sqref="C55:K55">
    <cfRule type="expression" priority="12" dxfId="0">
      <formula>AND(ISNUMBER(C55),C55&lt;0.15)</formula>
    </cfRule>
  </conditionalFormatting>
  <conditionalFormatting sqref="C56:K56">
    <cfRule type="expression" priority="13" dxfId="0">
      <formula>AND(ISNUMBER(C56),C56&lt;0.1)</formula>
    </cfRule>
  </conditionalFormatting>
  <conditionalFormatting sqref="C64:K64">
    <cfRule type="expression" priority="14" dxfId="0">
      <formula>AND(ISNUMBER(C64),C64&lt;1.0)</formula>
    </cfRule>
  </conditionalFormatting>
  <conditionalFormatting sqref="C65:K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2" t="inlineStr">
        <is>
          <t>VRAIN 솔루션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RESULT · 2Q standalone</t>
        </is>
      </c>
      <c r="B4" s="54" t="n"/>
      <c r="C4" s="54" t="n"/>
    </row>
    <row r="5">
      <c r="A5" s="55" t="inlineStr">
        <is>
          <t>항목</t>
        </is>
      </c>
      <c r="B5" s="55" t="inlineStr">
        <is>
          <t>값</t>
        </is>
      </c>
      <c r="C5" s="55" t="inlineStr">
        <is>
          <t>출처</t>
        </is>
      </c>
    </row>
    <row r="6">
      <c r="A6" s="56" t="inlineStr">
        <is>
          <t>매출</t>
        </is>
      </c>
      <c r="B6" s="57" t="n">
        <v>12.36</v>
      </c>
      <c r="C6" s="58" t="inlineStr">
        <is>
          <t>2단계 보고서 자료(회사 설명회 자료·공시)</t>
        </is>
      </c>
    </row>
    <row r="7">
      <c r="A7" s="56" t="inlineStr">
        <is>
          <t>gp</t>
        </is>
      </c>
      <c r="B7" s="57" t="n">
        <v>9.4</v>
      </c>
    </row>
    <row r="8">
      <c r="A8" s="56" t="inlineStr">
        <is>
          <t>매출총이익률</t>
        </is>
      </c>
      <c r="B8" s="57" t="n">
        <v>76</v>
      </c>
    </row>
    <row r="9">
      <c r="A9" s="56" t="inlineStr">
        <is>
          <t>sga</t>
        </is>
      </c>
      <c r="B9" s="57" t="n">
        <v>4.99</v>
      </c>
    </row>
    <row r="10">
      <c r="A10" s="56" t="inlineStr">
        <is>
          <t>영업이익</t>
        </is>
      </c>
      <c r="B10" s="57" t="n">
        <v>4.4</v>
      </c>
    </row>
    <row r="11">
      <c r="A11" s="56" t="inlineStr">
        <is>
          <t>영업이익률</t>
        </is>
      </c>
      <c r="B11" s="57" t="n">
        <v>35.7</v>
      </c>
    </row>
    <row r="12">
      <c r="A12" s="56" t="inlineStr">
        <is>
          <t>ordinary</t>
        </is>
      </c>
      <c r="B12" s="57" t="n">
        <v>4.41</v>
      </c>
    </row>
    <row r="13">
      <c r="A13" s="56" t="inlineStr">
        <is>
          <t>순이익</t>
        </is>
      </c>
      <c r="B13" s="57" t="n">
        <v>2.87</v>
      </c>
    </row>
    <row r="14">
      <c r="A14" s="56" t="inlineStr">
        <is>
          <t>YoY 매출</t>
        </is>
      </c>
      <c r="B14" s="57" t="n">
        <v>45.2</v>
      </c>
    </row>
    <row r="15">
      <c r="A15" s="56" t="inlineStr">
        <is>
          <t>YoY 영업이익</t>
        </is>
      </c>
      <c r="B15" s="57" t="n">
        <v>35.9</v>
      </c>
    </row>
    <row r="16">
      <c r="A16" s="56" t="inlineStr">
        <is>
          <t>QoQ 매출</t>
        </is>
      </c>
      <c r="B16" s="57" t="n">
        <v>90.59999999999999</v>
      </c>
    </row>
    <row r="17">
      <c r="A17" s="56" t="inlineStr">
        <is>
          <t>ly 매출</t>
        </is>
      </c>
      <c r="B17" s="57" t="n">
        <v>8.51</v>
      </c>
    </row>
    <row r="18">
      <c r="A18" s="56" t="inlineStr">
        <is>
          <t>ly gp</t>
        </is>
      </c>
      <c r="B18" s="57" t="n">
        <v>6.97</v>
      </c>
    </row>
    <row r="19">
      <c r="A19" s="56" t="inlineStr">
        <is>
          <t>ly 매출총이익률</t>
        </is>
      </c>
      <c r="B19" s="57" t="n">
        <v>81.90000000000001</v>
      </c>
    </row>
    <row r="20">
      <c r="A20" s="56" t="inlineStr">
        <is>
          <t>ly sga</t>
        </is>
      </c>
      <c r="B20" s="57" t="n">
        <v>3.73</v>
      </c>
    </row>
    <row r="21">
      <c r="A21" s="56" t="inlineStr">
        <is>
          <t>ly 영업이익</t>
        </is>
      </c>
      <c r="B21" s="57" t="n">
        <v>3.24</v>
      </c>
    </row>
    <row r="22">
      <c r="A22" s="56" t="inlineStr">
        <is>
          <t>ly 영업이익률</t>
        </is>
      </c>
      <c r="B22" s="57" t="n">
        <v>38.1</v>
      </c>
    </row>
    <row r="24">
      <c r="A24" s="54" t="inlineStr">
        <is>
          <t>THIS RESULT · 상반기 cum</t>
        </is>
      </c>
      <c r="B24" s="54" t="n"/>
      <c r="C24" s="54" t="n"/>
    </row>
    <row r="25">
      <c r="A25" s="55" t="inlineStr">
        <is>
          <t>항목</t>
        </is>
      </c>
      <c r="B25" s="55" t="inlineStr">
        <is>
          <t>값</t>
        </is>
      </c>
      <c r="C25" s="55" t="inlineStr">
        <is>
          <t>출처</t>
        </is>
      </c>
    </row>
    <row r="26">
      <c r="A26" s="56" t="inlineStr">
        <is>
          <t>매출</t>
        </is>
      </c>
      <c r="B26" s="57" t="n">
        <v>18.84</v>
      </c>
      <c r="C26" s="58" t="inlineStr">
        <is>
          <t>2단계 보고서 자료(회사 설명회 자료·공시)</t>
        </is>
      </c>
    </row>
    <row r="27">
      <c r="A27" s="56" t="inlineStr">
        <is>
          <t>매출 YoY</t>
        </is>
      </c>
      <c r="B27" s="57" t="n">
        <v>80</v>
      </c>
    </row>
    <row r="28">
      <c r="A28" s="56" t="inlineStr">
        <is>
          <t>cogs</t>
        </is>
      </c>
      <c r="B28" s="57" t="n">
        <v>4.48</v>
      </c>
    </row>
    <row r="29">
      <c r="A29" s="56" t="inlineStr">
        <is>
          <t>gp</t>
        </is>
      </c>
      <c r="B29" s="57" t="n">
        <v>14.36</v>
      </c>
    </row>
    <row r="30">
      <c r="A30" s="56" t="inlineStr">
        <is>
          <t>매출총이익률</t>
        </is>
      </c>
      <c r="B30" s="57" t="n">
        <v>76.2</v>
      </c>
    </row>
    <row r="31">
      <c r="A31" s="56" t="inlineStr">
        <is>
          <t>매출총이익률 ly</t>
        </is>
      </c>
      <c r="B31" s="57" t="n">
        <v>80.40000000000001</v>
      </c>
    </row>
    <row r="32">
      <c r="A32" s="56" t="inlineStr">
        <is>
          <t>sga</t>
        </is>
      </c>
      <c r="B32" s="57" t="n">
        <v>10.26</v>
      </c>
    </row>
    <row r="33">
      <c r="A33" s="56" t="inlineStr">
        <is>
          <t>영업이익</t>
        </is>
      </c>
      <c r="B33" s="57" t="n">
        <v>4.09</v>
      </c>
    </row>
    <row r="34">
      <c r="A34" s="56" t="inlineStr">
        <is>
          <t>영업이익 YoY</t>
        </is>
      </c>
      <c r="B34" s="57" t="n">
        <v>328.1</v>
      </c>
    </row>
    <row r="35">
      <c r="A35" s="56" t="inlineStr">
        <is>
          <t>영업이익률</t>
        </is>
      </c>
      <c r="B35" s="57" t="n">
        <v>21.7</v>
      </c>
    </row>
    <row r="36">
      <c r="A36" s="56" t="inlineStr">
        <is>
          <t>ordinary</t>
        </is>
      </c>
      <c r="B36" s="57" t="n">
        <v>4.09</v>
      </c>
    </row>
    <row r="37">
      <c r="A37" s="56" t="inlineStr">
        <is>
          <t>pbt</t>
        </is>
      </c>
      <c r="B37" s="57" t="n">
        <v>4.09</v>
      </c>
    </row>
    <row r="38">
      <c r="A38" s="56" t="inlineStr">
        <is>
          <t>tax</t>
        </is>
      </c>
      <c r="B38" s="57" t="n">
        <v>1.42</v>
      </c>
    </row>
    <row r="39">
      <c r="A39" s="56" t="inlineStr">
        <is>
          <t>순이익</t>
        </is>
      </c>
      <c r="B39" s="57" t="n">
        <v>2.67</v>
      </c>
    </row>
    <row r="40">
      <c r="A40" s="56" t="inlineStr">
        <is>
          <t>EPS 상반기</t>
        </is>
      </c>
      <c r="B40" s="57" t="n">
        <v>26.06</v>
      </c>
    </row>
    <row r="42">
      <c r="A42" s="54" t="inlineStr">
        <is>
          <t>THIS RESULT · 가이던스 fy27</t>
        </is>
      </c>
      <c r="B42" s="54" t="n"/>
      <c r="C42" s="54" t="n"/>
    </row>
    <row r="43">
      <c r="A43" s="55" t="inlineStr">
        <is>
          <t>항목</t>
        </is>
      </c>
      <c r="B43" s="55" t="inlineStr">
        <is>
          <t>값</t>
        </is>
      </c>
      <c r="C43" s="55" t="inlineStr">
        <is>
          <t>출처</t>
        </is>
      </c>
    </row>
    <row r="44">
      <c r="A44" s="56" t="inlineStr">
        <is>
          <t>매출</t>
        </is>
      </c>
      <c r="B44" s="57" t="n">
        <v>48.23</v>
      </c>
      <c r="C44" s="58" t="inlineStr">
        <is>
          <t>2단계 보고서 자료(회사 설명회 자료·공시)</t>
        </is>
      </c>
    </row>
    <row r="45">
      <c r="A45" s="56" t="inlineStr">
        <is>
          <t>매출 YoY</t>
        </is>
      </c>
      <c r="B45" s="57" t="n">
        <v>47.1</v>
      </c>
    </row>
    <row r="46">
      <c r="A46" s="56" t="inlineStr">
        <is>
          <t>gp</t>
        </is>
      </c>
      <c r="B46" s="57" t="n">
        <v>38.58</v>
      </c>
    </row>
    <row r="47">
      <c r="A47" s="56" t="inlineStr">
        <is>
          <t>매출총이익률</t>
        </is>
      </c>
      <c r="B47" s="57" t="n">
        <v>80</v>
      </c>
    </row>
    <row r="48">
      <c r="A48" s="56" t="inlineStr">
        <is>
          <t>sga</t>
        </is>
      </c>
      <c r="B48" s="57" t="n">
        <v>24.08</v>
      </c>
    </row>
    <row r="49">
      <c r="A49" s="56" t="inlineStr">
        <is>
          <t>영업이익</t>
        </is>
      </c>
      <c r="B49" s="57" t="n">
        <v>14.49</v>
      </c>
    </row>
    <row r="50">
      <c r="A50" s="56" t="inlineStr">
        <is>
          <t>영업이익 YoY</t>
        </is>
      </c>
      <c r="B50" s="57" t="n">
        <v>58.5</v>
      </c>
    </row>
    <row r="51">
      <c r="A51" s="56" t="inlineStr">
        <is>
          <t>영업이익률</t>
        </is>
      </c>
      <c r="B51" s="57" t="n">
        <v>30.1</v>
      </c>
    </row>
    <row r="52">
      <c r="A52" s="56" t="inlineStr">
        <is>
          <t>ordinary</t>
        </is>
      </c>
      <c r="B52" s="57" t="n">
        <v>14.49</v>
      </c>
    </row>
    <row r="53">
      <c r="A53" s="56" t="inlineStr">
        <is>
          <t>순이익</t>
        </is>
      </c>
      <c r="B53" s="57" t="n">
        <v>9.720000000000001</v>
      </c>
    </row>
    <row r="54">
      <c r="A54" s="56" t="inlineStr">
        <is>
          <t>EPS</t>
        </is>
      </c>
      <c r="B54" s="57" t="n">
        <v>94.84999999999999</v>
      </c>
    </row>
    <row r="55">
      <c r="A55" s="56" t="inlineStr">
        <is>
          <t>dps</t>
        </is>
      </c>
      <c r="B55" s="59" t="n">
        <v>0</v>
      </c>
    </row>
    <row r="56">
      <c r="A56" s="56" t="inlineStr">
        <is>
          <t>employees 목표주가</t>
        </is>
      </c>
      <c r="B56" s="59" t="n">
        <v>210</v>
      </c>
    </row>
    <row r="58">
      <c r="A58" s="54" t="inlineStr">
        <is>
          <t>bs · FY26말</t>
        </is>
      </c>
      <c r="B58" s="54" t="n"/>
      <c r="C58" s="54" t="n"/>
    </row>
    <row r="59">
      <c r="A59" s="55" t="inlineStr">
        <is>
          <t>항목</t>
        </is>
      </c>
      <c r="B59" s="55" t="inlineStr">
        <is>
          <t>값</t>
        </is>
      </c>
      <c r="C59" s="55" t="inlineStr">
        <is>
          <t>출처</t>
        </is>
      </c>
    </row>
    <row r="60">
      <c r="A60" s="56" t="inlineStr">
        <is>
          <t>현금</t>
        </is>
      </c>
      <c r="B60" s="57" t="n">
        <v>4.27</v>
      </c>
      <c r="C60" s="58" t="inlineStr">
        <is>
          <t>2단계 보고서 자료(회사 설명회 자료·공시)</t>
        </is>
      </c>
    </row>
    <row r="61">
      <c r="A61" s="56" t="inlineStr">
        <is>
          <t>매출채권·계약자산</t>
        </is>
      </c>
      <c r="B61" s="57" t="n">
        <v>19.57</v>
      </c>
    </row>
    <row r="62">
      <c r="A62" s="56" t="inlineStr">
        <is>
          <t>원재료</t>
        </is>
      </c>
      <c r="B62" s="57" t="n">
        <v>1.79</v>
      </c>
    </row>
    <row r="63">
      <c r="A63" s="56" t="inlineStr">
        <is>
          <t>총자산</t>
        </is>
      </c>
      <c r="B63" s="57" t="n">
        <v>32.15</v>
      </c>
    </row>
    <row r="64">
      <c r="A64" s="56" t="inlineStr">
        <is>
          <t>단기차입</t>
        </is>
      </c>
      <c r="B64" s="57" t="n">
        <v>4</v>
      </c>
    </row>
    <row r="65">
      <c r="A65" s="56" t="inlineStr">
        <is>
          <t>순자산</t>
        </is>
      </c>
      <c r="B65" s="57" t="n">
        <v>20.86</v>
      </c>
    </row>
    <row r="67">
      <c r="A67" s="54" t="inlineStr">
        <is>
          <t>bs · FY27 2Q말</t>
        </is>
      </c>
      <c r="B67" s="54" t="n"/>
      <c r="C67" s="54" t="n"/>
    </row>
    <row r="68">
      <c r="A68" s="55" t="inlineStr">
        <is>
          <t>항목</t>
        </is>
      </c>
      <c r="B68" s="55" t="inlineStr">
        <is>
          <t>값</t>
        </is>
      </c>
      <c r="C68" s="55" t="inlineStr">
        <is>
          <t>출처</t>
        </is>
      </c>
    </row>
    <row r="69">
      <c r="A69" s="56" t="inlineStr">
        <is>
          <t>현금</t>
        </is>
      </c>
      <c r="B69" s="57" t="n">
        <v>1.38</v>
      </c>
      <c r="C69" s="58" t="inlineStr">
        <is>
          <t>2단계 보고서 자료(회사 설명회 자료·공시)</t>
        </is>
      </c>
    </row>
    <row r="70">
      <c r="A70" s="56" t="inlineStr">
        <is>
          <t>매출채권·계약자산</t>
        </is>
      </c>
      <c r="B70" s="57" t="n">
        <v>18.02</v>
      </c>
    </row>
    <row r="71">
      <c r="A71" s="56" t="inlineStr">
        <is>
          <t>원재료</t>
        </is>
      </c>
      <c r="B71" s="57" t="n">
        <v>2.25</v>
      </c>
    </row>
    <row r="72">
      <c r="A72" s="56" t="inlineStr">
        <is>
          <t>총자산</t>
        </is>
      </c>
      <c r="B72" s="57" t="n">
        <v>28.5</v>
      </c>
    </row>
    <row r="73">
      <c r="A73" s="56" t="inlineStr">
        <is>
          <t>단기차입</t>
        </is>
      </c>
      <c r="B73" s="59" t="n">
        <v>0</v>
      </c>
    </row>
    <row r="74">
      <c r="A74" s="56" t="inlineStr">
        <is>
          <t>계약부채</t>
        </is>
      </c>
      <c r="B74" s="57" t="n">
        <v>0.19</v>
      </c>
    </row>
    <row r="75">
      <c r="A75" s="56" t="inlineStr">
        <is>
          <t>순자산</t>
        </is>
      </c>
      <c r="B75" s="57" t="n">
        <v>23.53</v>
      </c>
    </row>
    <row r="76">
      <c r="A76" s="56" t="inlineStr">
        <is>
          <t>자기자본비율</t>
        </is>
      </c>
      <c r="B76" s="57" t="n">
        <v>82.59999999999999</v>
      </c>
    </row>
    <row r="78">
      <c r="A78" s="54" t="inlineStr">
        <is>
          <t>bs · cf 상반기 fy27</t>
        </is>
      </c>
      <c r="B78" s="54" t="n"/>
      <c r="C78" s="54" t="n"/>
    </row>
    <row r="79">
      <c r="A79" s="55" t="inlineStr">
        <is>
          <t>항목</t>
        </is>
      </c>
      <c r="B79" s="55" t="inlineStr">
        <is>
          <t>값</t>
        </is>
      </c>
      <c r="C79" s="55" t="inlineStr">
        <is>
          <t>출처</t>
        </is>
      </c>
    </row>
    <row r="80">
      <c r="A80" s="56" t="inlineStr">
        <is>
          <t>ocf</t>
        </is>
      </c>
      <c r="B80" s="57" t="n">
        <v>2.23</v>
      </c>
      <c r="C80" s="58" t="inlineStr">
        <is>
          <t>2단계 보고서 자료(회사 설명회 자료·공시)</t>
        </is>
      </c>
    </row>
    <row r="81">
      <c r="A81" s="56" t="inlineStr">
        <is>
          <t>icf</t>
        </is>
      </c>
      <c r="B81" s="57" t="n">
        <v>-1.11</v>
      </c>
    </row>
    <row r="83">
      <c r="A83" s="54" t="inlineStr">
        <is>
          <t>shares</t>
        </is>
      </c>
      <c r="B83" s="54" t="n"/>
      <c r="C83" s="54" t="n"/>
    </row>
    <row r="84">
      <c r="A84" s="55" t="inlineStr">
        <is>
          <t>항목</t>
        </is>
      </c>
      <c r="B84" s="55" t="inlineStr">
        <is>
          <t>값</t>
        </is>
      </c>
      <c r="C84" s="55" t="inlineStr">
        <is>
          <t>출처</t>
        </is>
      </c>
    </row>
    <row r="85">
      <c r="A85" s="56" t="inlineStr">
        <is>
          <t>issued</t>
        </is>
      </c>
      <c r="B85" s="59" t="n">
        <v>10256000</v>
      </c>
      <c r="C85" s="58" t="inlineStr">
        <is>
          <t>2026-08말</t>
        </is>
      </c>
    </row>
    <row r="86">
      <c r="A86" s="56" t="inlineStr">
        <is>
          <t>treasury</t>
        </is>
      </c>
      <c r="B86" s="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0" t="inlineStr">
        <is>
          <t>공시일</t>
        </is>
      </c>
      <c r="B3" s="60" t="inlineStr">
        <is>
          <t>문서</t>
        </is>
      </c>
      <c r="C3" s="60" t="inlineStr">
        <is>
          <t>PDF</t>
        </is>
      </c>
    </row>
    <row r="4">
      <c r="A4" t="inlineStr">
        <is>
          <t>2026-10-14</t>
        </is>
      </c>
      <c r="B4" t="inlineStr">
        <is>
          <t>2027년 2월 결산기 ２분기 결산단신</t>
        </is>
      </c>
      <c r="C4" t="inlineStr">
        <is>
          <t>https://www2.jpx.co.jp/disc/135A0/140120260831528808.pdf</t>
        </is>
      </c>
    </row>
    <row r="5">
      <c r="A5" t="inlineStr">
        <is>
          <t>2026-07-14</t>
        </is>
      </c>
      <c r="B5" t="inlineStr">
        <is>
          <t>2027년 2월 결산기 １분기 결산단신</t>
        </is>
      </c>
      <c r="C5" t="inlineStr">
        <is>
          <t>https://www2.jpx.co.jp/disc/135A0/140120260630584464.pdf</t>
        </is>
      </c>
    </row>
    <row r="6">
      <c r="A6" t="inlineStr">
        <is>
          <t>2026-04-14</t>
        </is>
      </c>
      <c r="B6" t="inlineStr">
        <is>
          <t>2026년 2월 결산기 연간 결산단신</t>
        </is>
      </c>
      <c r="C6" t="inlineStr">
        <is>
          <t>https://www2.jpx.co.jp/disc/135A0/140120260401596757.pdf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https://www2.jpx.co.jp/disc/135A0/140120251225526650.pdf</t>
        </is>
      </c>
    </row>
    <row r="8">
      <c r="A8" t="inlineStr">
        <is>
          <t>2025-10-14</t>
        </is>
      </c>
      <c r="B8" t="inlineStr">
        <is>
          <t>2026년 2월 결산기 ２분기 결산단신</t>
        </is>
      </c>
      <c r="C8" t="inlineStr">
        <is>
          <t>https://www2.jpx.co.jp/disc/135A0/140120251008570370.pdf</t>
        </is>
      </c>
    </row>
    <row r="9">
      <c r="A9" t="inlineStr">
        <is>
          <t>2025-07-14</t>
        </is>
      </c>
      <c r="B9" t="inlineStr">
        <is>
          <t>2026년 2월 결산기 １분기 결산단신</t>
        </is>
      </c>
      <c r="C9" t="inlineStr">
        <is>
          <t>https://www2.jpx.co.jp/disc/135A0/140120250625599004.pdf</t>
        </is>
      </c>
    </row>
    <row r="10">
      <c r="A10" t="inlineStr">
        <is>
          <t>2025-04-14</t>
        </is>
      </c>
      <c r="B10" t="inlineStr">
        <is>
          <t>2025년 2월 결산기 연간 결산단신</t>
        </is>
      </c>
      <c r="C10" t="inlineStr">
        <is>
          <t>https://www2.jpx.co.jp/disc/135A0/140120250414514580.pdf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https://www2.jpx.co.jp/disc/135A0/140120250108548165.pdf</t>
        </is>
      </c>
    </row>
    <row r="12">
      <c r="A12" t="inlineStr">
        <is>
          <t>2024-10-15</t>
        </is>
      </c>
      <c r="B12" t="inlineStr">
        <is>
          <t>2025년 2월 결산기 ２분기 결산단신</t>
        </is>
      </c>
      <c r="C12" t="inlineStr">
        <is>
          <t>https://www2.jpx.co.jp/disc/135A0/140120240927590144.pdf</t>
        </is>
      </c>
    </row>
    <row r="13">
      <c r="A13" t="inlineStr">
        <is>
          <t>2024-07-11</t>
        </is>
      </c>
      <c r="B13" t="inlineStr">
        <is>
          <t>2025년 2월 결산기 １분기 결산단신</t>
        </is>
      </c>
      <c r="C13" t="inlineStr">
        <is>
          <t>https://www2.jpx.co.jp/disc/135A0/140120240704544655.pdf</t>
        </is>
      </c>
    </row>
    <row r="14">
      <c r="A14" t="inlineStr">
        <is>
          <t>2024-04-15</t>
        </is>
      </c>
      <c r="B14" t="inlineStr">
        <is>
          <t>2024년 2월 결산기 연간 결산단신</t>
        </is>
      </c>
      <c r="C14" t="inlineStr">
        <is>
          <t>https://www2.jpx.co.jp/disc/135A0/140120240412570387.pdf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2026-10-28T10:09:27Z</dcterms:created>
  <dcterms:modified xmlns:dcterms="http://purl.org/dc/terms/" xmlns:xsi="http://www.w3.org/2001/XMLSchema-instance" xsi:type="dcterms:W3CDTF">2026-10-28T10:09:27Z</dcterms:modified>
</cp:coreProperties>
</file>