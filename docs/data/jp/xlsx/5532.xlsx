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8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5532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9월 결산 · 일본 기준 · 2026.3Q = 2026년 9월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1757.173</v>
      </c>
      <c r="D4" s="12" t="n">
        <v>2588.383</v>
      </c>
      <c r="E4" s="12" t="n">
        <v>2425.441</v>
      </c>
      <c r="F4" s="12" t="n">
        <v>1457.637</v>
      </c>
      <c r="G4" s="12" t="n">
        <v>1477.025</v>
      </c>
      <c r="H4" s="12" t="n">
        <v>2816.632</v>
      </c>
      <c r="I4" s="12" t="n">
        <v>3569.23</v>
      </c>
      <c r="J4" s="12" t="n">
        <v>1774.488</v>
      </c>
      <c r="K4" s="12" t="n">
        <v>1631.648</v>
      </c>
      <c r="L4" s="12" t="n">
        <v>3951.287</v>
      </c>
      <c r="M4" s="12" t="n">
        <v>1721.978</v>
      </c>
      <c r="N4" s="12" t="n">
        <v>2036.119</v>
      </c>
      <c r="O4" s="11" t="n"/>
      <c r="P4" s="12" t="n"/>
      <c r="Q4" s="12" t="n"/>
      <c r="R4" s="12" t="n"/>
      <c r="S4" s="12" t="n"/>
      <c r="T4" s="12" t="n"/>
      <c r="U4" s="12" t="n">
        <v>5843.209</v>
      </c>
      <c r="V4" s="12" t="n">
        <v>6972.224</v>
      </c>
      <c r="W4" s="12" t="n">
        <v>7948.486</v>
      </c>
      <c r="X4" s="12" t="n">
        <v>9791.998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1591.928</v>
      </c>
      <c r="D11" s="22" t="n">
        <v>2201.369</v>
      </c>
      <c r="E11" s="22" t="n">
        <v>1847.602</v>
      </c>
      <c r="F11" s="22" t="n">
        <v>1286.301</v>
      </c>
      <c r="G11" s="22" t="n">
        <v>1320.913</v>
      </c>
      <c r="H11" s="22" t="n">
        <v>2410.547</v>
      </c>
      <c r="I11" s="22" t="n">
        <v>2861.804</v>
      </c>
      <c r="J11" s="22" t="n">
        <v>1429.712</v>
      </c>
      <c r="K11" s="22" t="n">
        <v>1412.849</v>
      </c>
      <c r="L11" s="22" t="n">
        <v>2837.032</v>
      </c>
      <c r="M11" s="22" t="n">
        <v>1414.472</v>
      </c>
      <c r="N11" s="22" t="n">
        <v>1720.312</v>
      </c>
      <c r="O11" s="21" t="n"/>
      <c r="P11" s="22" t="n"/>
      <c r="Q11" s="22" t="n"/>
      <c r="R11" s="22" t="n"/>
      <c r="S11" s="22" t="n"/>
      <c r="T11" s="22" t="n"/>
      <c r="U11" s="22" t="n">
        <v>5054.53</v>
      </c>
      <c r="V11" s="22" t="n">
        <v>5988.986</v>
      </c>
      <c r="W11" s="22" t="n">
        <v>6656.185</v>
      </c>
      <c r="X11" s="22" t="n">
        <v>8114.912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107.555</v>
      </c>
      <c r="D15" s="22" t="n">
        <v>126.462</v>
      </c>
      <c r="E15" s="22" t="n">
        <v>135.414</v>
      </c>
      <c r="F15" s="22" t="n">
        <v>126.925</v>
      </c>
      <c r="G15" s="22" t="n">
        <v>136.726</v>
      </c>
      <c r="H15" s="22" t="n">
        <v>168.756</v>
      </c>
      <c r="I15" s="22" t="n">
        <v>162.153</v>
      </c>
      <c r="J15" s="22" t="n">
        <v>147.934</v>
      </c>
      <c r="K15" s="22" t="n">
        <v>155.063</v>
      </c>
      <c r="L15" s="22" t="n">
        <v>201.594</v>
      </c>
      <c r="M15" s="22" t="n">
        <v>176.52</v>
      </c>
      <c r="N15" s="22" t="n">
        <v>198.919</v>
      </c>
      <c r="O15" s="21" t="n"/>
      <c r="P15" s="22" t="n"/>
      <c r="Q15" s="22" t="n"/>
      <c r="R15" s="22" t="n"/>
      <c r="S15" s="22" t="n"/>
      <c r="T15" s="22" t="n"/>
      <c r="U15" s="22" t="n">
        <v>359.373</v>
      </c>
      <c r="V15" s="22" t="n">
        <v>434.334</v>
      </c>
      <c r="W15" s="22" t="n">
        <v>525.527</v>
      </c>
      <c r="X15" s="22" t="n">
        <v>633.9059999999999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57.689</v>
      </c>
      <c r="D16" s="12" t="n">
        <v>260.55</v>
      </c>
      <c r="E16" s="12" t="n">
        <v>442.426</v>
      </c>
      <c r="F16" s="12" t="n">
        <v>44.411</v>
      </c>
      <c r="G16" s="12" t="n">
        <v>19.386</v>
      </c>
      <c r="H16" s="12" t="n">
        <v>237.328</v>
      </c>
      <c r="I16" s="12" t="n">
        <v>545.273</v>
      </c>
      <c r="J16" s="12" t="n">
        <v>196.842</v>
      </c>
      <c r="K16" s="12" t="n">
        <v>63.736</v>
      </c>
      <c r="L16" s="12" t="n">
        <v>912.659</v>
      </c>
      <c r="M16" s="12" t="n">
        <v>130.987</v>
      </c>
      <c r="N16" s="12" t="n">
        <v>116.887</v>
      </c>
      <c r="O16" s="11" t="n"/>
      <c r="P16" s="12" t="n"/>
      <c r="Q16" s="12" t="n"/>
      <c r="R16" s="12" t="n"/>
      <c r="S16" s="12" t="n"/>
      <c r="T16" s="12" t="n"/>
      <c r="U16" s="12" t="n">
        <v>429.306</v>
      </c>
      <c r="V16" s="12" t="n">
        <v>548.902</v>
      </c>
      <c r="W16" s="12" t="n">
        <v>766.773</v>
      </c>
      <c r="X16" s="12" t="n">
        <v>1043.179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5.338</v>
      </c>
      <c r="D32" s="22" t="n"/>
      <c r="E32" s="22" t="n"/>
      <c r="F32" s="22" t="n">
        <v>0</v>
      </c>
      <c r="G32" s="22" t="n">
        <v>0</v>
      </c>
      <c r="H32" s="22" t="n"/>
      <c r="I32" s="22" t="n"/>
      <c r="J32" s="22" t="n">
        <v>0</v>
      </c>
      <c r="K32" s="22" t="n">
        <v>0.617</v>
      </c>
      <c r="L32" s="22" t="n"/>
      <c r="M32" s="22" t="n"/>
      <c r="N32" s="22" t="n"/>
      <c r="O32" s="21" t="n"/>
      <c r="P32" s="22" t="n"/>
      <c r="Q32" s="22" t="n"/>
      <c r="R32" s="22" t="n"/>
      <c r="S32" s="22" t="n"/>
      <c r="T32" s="22" t="n"/>
      <c r="U32" s="22" t="n">
        <v>0.497</v>
      </c>
      <c r="V32" s="22" t="n">
        <v>5.338</v>
      </c>
      <c r="W32" s="22" t="n">
        <v>9.5</v>
      </c>
      <c r="X32" s="22" t="n">
        <v>0.617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50.757</v>
      </c>
      <c r="D34" s="22" t="n"/>
      <c r="E34" s="22" t="n"/>
      <c r="F34" s="22" t="n">
        <v>0</v>
      </c>
      <c r="G34" s="22" t="n">
        <v>87.858</v>
      </c>
      <c r="H34" s="22" t="n"/>
      <c r="I34" s="22" t="n"/>
      <c r="J34" s="22" t="n"/>
      <c r="K34" s="22" t="n">
        <v>30.75</v>
      </c>
      <c r="L34" s="22" t="n"/>
      <c r="M34" s="22" t="n"/>
      <c r="N34" s="22" t="n"/>
      <c r="O34" s="21" t="n"/>
      <c r="P34" s="22" t="n"/>
      <c r="Q34" s="22" t="n"/>
      <c r="R34" s="22" t="n"/>
      <c r="S34" s="22" t="n"/>
      <c r="T34" s="22" t="n"/>
      <c r="U34" s="22" t="n">
        <v>347.911</v>
      </c>
      <c r="V34" s="22" t="n">
        <v>64.108</v>
      </c>
      <c r="W34" s="22" t="n">
        <v>87.858</v>
      </c>
      <c r="X34" s="22" t="n">
        <v>30.75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0.015</v>
      </c>
      <c r="D36" s="22" t="n">
        <v>0</v>
      </c>
      <c r="E36" s="22" t="n">
        <v>0.408</v>
      </c>
      <c r="F36" s="22" t="n">
        <v>1.248</v>
      </c>
      <c r="G36" s="22" t="n">
        <v>0.422</v>
      </c>
      <c r="H36" s="22" t="n">
        <v>0.304</v>
      </c>
      <c r="I36" s="22" t="n">
        <v>1.399</v>
      </c>
      <c r="J36" s="22" t="n">
        <v>1.303</v>
      </c>
      <c r="K36" s="22" t="n">
        <v>3.525</v>
      </c>
      <c r="L36" s="22" t="n">
        <v>0.843</v>
      </c>
      <c r="M36" s="22" t="n">
        <v>1.938</v>
      </c>
      <c r="N36" s="22" t="n">
        <v>0.644</v>
      </c>
      <c r="O36" s="21" t="n"/>
      <c r="P36" s="22" t="n"/>
      <c r="Q36" s="22" t="n"/>
      <c r="R36" s="22" t="n"/>
      <c r="S36" s="22" t="n"/>
      <c r="T36" s="22" t="n"/>
      <c r="U36" s="22" t="n">
        <v>0.664</v>
      </c>
      <c r="V36" s="22" t="n">
        <v>1.503</v>
      </c>
      <c r="W36" s="22" t="n">
        <v>2.078</v>
      </c>
      <c r="X36" s="22" t="n">
        <v>6.531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15.815</v>
      </c>
      <c r="D38" s="22" t="n">
        <v>13.254</v>
      </c>
      <c r="E38" s="22" t="n">
        <v>42.187</v>
      </c>
      <c r="F38" s="22" t="n">
        <v>54.383</v>
      </c>
      <c r="G38" s="22" t="n">
        <v>29.092</v>
      </c>
      <c r="H38" s="22" t="n">
        <v>50.915</v>
      </c>
      <c r="I38" s="22" t="n">
        <v>40.482</v>
      </c>
      <c r="J38" s="22" t="n">
        <v>45.743</v>
      </c>
      <c r="K38" s="22" t="n">
        <v>85.53100000000001</v>
      </c>
      <c r="L38" s="22" t="n">
        <v>75.77</v>
      </c>
      <c r="M38" s="22" t="n">
        <v>95.849</v>
      </c>
      <c r="N38" s="22" t="n">
        <v>121.531</v>
      </c>
      <c r="O38" s="21" t="n"/>
      <c r="P38" s="22" t="n"/>
      <c r="Q38" s="22" t="n"/>
      <c r="R38" s="22" t="n"/>
      <c r="S38" s="22" t="n"/>
      <c r="T38" s="22" t="n"/>
      <c r="U38" s="22" t="n">
        <v>42.375</v>
      </c>
      <c r="V38" s="22" t="n">
        <v>65.76300000000001</v>
      </c>
      <c r="W38" s="22" t="n">
        <v>138.916</v>
      </c>
      <c r="X38" s="22" t="n">
        <v>222.671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-3.53</v>
      </c>
      <c r="D40" s="12" t="n">
        <v>247.296</v>
      </c>
      <c r="E40" s="12" t="n">
        <v>410.147</v>
      </c>
      <c r="F40" s="12" t="n">
        <v>-8.725</v>
      </c>
      <c r="G40" s="12" t="n">
        <v>-97.14100000000001</v>
      </c>
      <c r="H40" s="12" t="n">
        <v>186.718</v>
      </c>
      <c r="I40" s="12" t="n">
        <v>506.189</v>
      </c>
      <c r="J40" s="12" t="n">
        <v>152.402</v>
      </c>
      <c r="K40" s="12" t="n">
        <v>-48.403</v>
      </c>
      <c r="L40" s="12" t="n">
        <v>837.732</v>
      </c>
      <c r="M40" s="12" t="n">
        <v>37.077</v>
      </c>
      <c r="N40" s="12" t="n">
        <v>-24.739</v>
      </c>
      <c r="O40" s="11" t="n"/>
      <c r="P40" s="12" t="n"/>
      <c r="Q40" s="12" t="n"/>
      <c r="R40" s="12" t="n"/>
      <c r="S40" s="12" t="n"/>
      <c r="T40" s="12" t="n"/>
      <c r="U40" s="12" t="n">
        <v>40.18</v>
      </c>
      <c r="V40" s="12" t="n">
        <v>425.872</v>
      </c>
      <c r="W40" s="12" t="n">
        <v>551.577</v>
      </c>
      <c r="X40" s="12" t="n">
        <v>796.9059999999999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-15.159</v>
      </c>
      <c r="D41" s="22" t="n">
        <v>77.654</v>
      </c>
      <c r="E41" s="22" t="n">
        <v>135.715</v>
      </c>
      <c r="F41" s="22" t="n">
        <v>-8.119999999999999</v>
      </c>
      <c r="G41" s="22" t="n">
        <v>-34.041</v>
      </c>
      <c r="H41" s="22" t="n">
        <v>61.89</v>
      </c>
      <c r="I41" s="22" t="n">
        <v>153.608</v>
      </c>
      <c r="J41" s="22" t="n">
        <v>50.889</v>
      </c>
      <c r="K41" s="22" t="n">
        <v>-28.702</v>
      </c>
      <c r="L41" s="22" t="n">
        <v>261.47</v>
      </c>
      <c r="M41" s="22" t="n">
        <v>19.365</v>
      </c>
      <c r="N41" s="22" t="n">
        <v>1.284</v>
      </c>
      <c r="O41" s="21" t="n"/>
      <c r="P41" s="22" t="n"/>
      <c r="Q41" s="22" t="n"/>
      <c r="R41" s="22" t="n"/>
      <c r="S41" s="22" t="n"/>
      <c r="T41" s="22" t="n"/>
      <c r="U41" s="22" t="n">
        <v>4.08</v>
      </c>
      <c r="V41" s="22" t="n">
        <v>147.278</v>
      </c>
      <c r="W41" s="22" t="n">
        <v>171.208</v>
      </c>
      <c r="X41" s="22" t="n">
        <v>237.685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11.629</v>
      </c>
      <c r="D43" s="12" t="n">
        <v>169.642</v>
      </c>
      <c r="E43" s="12" t="n">
        <v>274.431</v>
      </c>
      <c r="F43" s="12" t="n">
        <v>-0.604</v>
      </c>
      <c r="G43" s="12" t="n">
        <v>-63.101</v>
      </c>
      <c r="H43" s="12" t="n">
        <v>124.827</v>
      </c>
      <c r="I43" s="12" t="n">
        <v>352.581</v>
      </c>
      <c r="J43" s="12" t="n">
        <v>101.514</v>
      </c>
      <c r="K43" s="12" t="n">
        <v>-19.702</v>
      </c>
      <c r="L43" s="12" t="n">
        <v>576.261</v>
      </c>
      <c r="M43" s="12" t="n">
        <v>17.712</v>
      </c>
      <c r="N43" s="12" t="n">
        <v>-26.023</v>
      </c>
      <c r="O43" s="11" t="n"/>
      <c r="P43" s="12" t="n"/>
      <c r="Q43" s="12" t="n"/>
      <c r="R43" s="12" t="n"/>
      <c r="S43" s="12" t="n"/>
      <c r="T43" s="12" t="n"/>
      <c r="U43" s="12" t="n">
        <v>36.099</v>
      </c>
      <c r="V43" s="12" t="n">
        <v>278.593</v>
      </c>
      <c r="W43" s="12" t="n">
        <v>380.368</v>
      </c>
      <c r="X43" s="12" t="n">
        <v>559.22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11.629</v>
      </c>
      <c r="D44" s="12" t="n">
        <v>169.642</v>
      </c>
      <c r="E44" s="12" t="n">
        <v>274.431</v>
      </c>
      <c r="F44" s="12" t="n">
        <v>-0.604</v>
      </c>
      <c r="G44" s="12" t="n">
        <v>-63.101</v>
      </c>
      <c r="H44" s="12" t="n">
        <v>124.827</v>
      </c>
      <c r="I44" s="12" t="n">
        <v>352.581</v>
      </c>
      <c r="J44" s="12" t="n">
        <v>101.514</v>
      </c>
      <c r="K44" s="12" t="n">
        <v>-19.702</v>
      </c>
      <c r="L44" s="12" t="n">
        <v>576.261</v>
      </c>
      <c r="M44" s="12" t="n">
        <v>17.712</v>
      </c>
      <c r="N44" s="12" t="n">
        <v>-26.023</v>
      </c>
      <c r="O44" s="11" t="n"/>
      <c r="P44" s="12" t="n"/>
      <c r="Q44" s="12" t="n"/>
      <c r="R44" s="12" t="n"/>
      <c r="S44" s="12" t="n"/>
      <c r="T44" s="12" t="n"/>
      <c r="U44" s="12" t="n">
        <v>36.099</v>
      </c>
      <c r="V44" s="12" t="n">
        <v>278.593</v>
      </c>
      <c r="W44" s="12" t="n">
        <v>380.368</v>
      </c>
      <c r="X44" s="12" t="n">
        <v>559.22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()</t>
        </is>
      </c>
      <c r="B47" s="29" t="n"/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/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2023.4Q</t>
        </is>
      </c>
      <c r="D77" s="5" t="inlineStr">
        <is>
          <t>2024.1Q</t>
        </is>
      </c>
      <c r="E77" s="5" t="inlineStr">
        <is>
          <t>2024.2Q</t>
        </is>
      </c>
      <c r="F77" s="5" t="inlineStr">
        <is>
          <t>2024.3Q</t>
        </is>
      </c>
      <c r="G77" s="5" t="inlineStr">
        <is>
          <t>2024.4Q</t>
        </is>
      </c>
      <c r="H77" s="5" t="inlineStr">
        <is>
          <t>2025.1Q</t>
        </is>
      </c>
      <c r="I77" s="5" t="inlineStr">
        <is>
          <t>2025.2Q</t>
        </is>
      </c>
      <c r="J77" s="5" t="inlineStr">
        <is>
          <t>2025.3Q</t>
        </is>
      </c>
      <c r="K77" s="5" t="inlineStr">
        <is>
          <t>2025.4Q</t>
        </is>
      </c>
      <c r="L77" s="5" t="inlineStr">
        <is>
          <t>2026.1Q</t>
        </is>
      </c>
      <c r="M77" s="5" t="inlineStr">
        <is>
          <t>2026.2Q</t>
        </is>
      </c>
      <c r="N77" s="5" t="inlineStr">
        <is>
          <t>2026.3Q</t>
        </is>
      </c>
      <c r="O77" s="5" t="inlineStr">
        <is>
          <t>2016</t>
        </is>
      </c>
      <c r="P77" s="5" t="inlineStr">
        <is>
          <t>2017</t>
        </is>
      </c>
      <c r="Q77" s="5" t="inlineStr">
        <is>
          <t>2018</t>
        </is>
      </c>
      <c r="R77" s="5" t="inlineStr">
        <is>
          <t>2019</t>
        </is>
      </c>
      <c r="S77" s="5" t="inlineStr">
        <is>
          <t>2020</t>
        </is>
      </c>
      <c r="T77" s="5" t="inlineStr">
        <is>
          <t>2021</t>
        </is>
      </c>
      <c r="U77" s="5" t="inlineStr">
        <is>
          <t>2022</t>
        </is>
      </c>
      <c r="V77" s="5" t="inlineStr">
        <is>
          <t>2023</t>
        </is>
      </c>
      <c r="W77" s="5" t="inlineStr">
        <is>
          <t>2024</t>
        </is>
      </c>
      <c r="X77" s="5" t="inlineStr">
        <is>
          <t>2025</t>
        </is>
      </c>
      <c r="Y77" s="5" t="inlineStr">
        <is>
          <t>2026(MW)</t>
        </is>
      </c>
      <c r="Z77" s="5" t="inlineStr">
        <is>
          <t>2027(MW)</t>
        </is>
      </c>
      <c r="AA77" s="5" t="inlineStr">
        <is>
          <t>2028(MW)</t>
        </is>
      </c>
      <c r="AB77" s="5" t="inlineStr">
        <is>
          <t>2029(MW)</t>
        </is>
      </c>
      <c r="AC77" s="5" t="inlineStr">
        <is>
          <t>2030(MW)</t>
        </is>
      </c>
    </row>
    <row r="78">
      <c r="A78" s="9" t="inlineStr">
        <is>
          <t>매출액</t>
        </is>
      </c>
      <c r="C78" s="12" t="n">
        <v>1757.173</v>
      </c>
      <c r="D78" s="12" t="n">
        <v>2588.383</v>
      </c>
      <c r="E78" s="12" t="n">
        <v>2425.441</v>
      </c>
      <c r="F78" s="12" t="n">
        <v>1457.637</v>
      </c>
      <c r="G78" s="12" t="n">
        <v>1477.025</v>
      </c>
      <c r="H78" s="12" t="n">
        <v>2816.632</v>
      </c>
      <c r="I78" s="12" t="n">
        <v>3569.23</v>
      </c>
      <c r="J78" s="12" t="n">
        <v>1774.488</v>
      </c>
      <c r="K78" s="12" t="n">
        <v>1631.648</v>
      </c>
      <c r="L78" s="12" t="n">
        <v>3951.287</v>
      </c>
      <c r="M78" s="12" t="n">
        <v>1721.978</v>
      </c>
      <c r="N78" s="12" t="n">
        <v>2036.119</v>
      </c>
      <c r="V78" s="12" t="n">
        <v>1757.173</v>
      </c>
      <c r="W78" s="12" t="n">
        <v>1477.025</v>
      </c>
      <c r="X78" s="12" t="n">
        <v>1631.648</v>
      </c>
    </row>
    <row r="79">
      <c r="A79" s="20" t="inlineStr">
        <is>
          <t>매출원가</t>
        </is>
      </c>
      <c r="C79" s="22" t="n">
        <v>1591.928</v>
      </c>
      <c r="D79" s="22" t="n">
        <v>2201.369</v>
      </c>
      <c r="E79" s="22" t="n">
        <v>1847.602</v>
      </c>
      <c r="F79" s="22" t="n">
        <v>1286.301</v>
      </c>
      <c r="G79" s="22" t="n">
        <v>1320.913</v>
      </c>
      <c r="H79" s="22" t="n">
        <v>2410.547</v>
      </c>
      <c r="I79" s="22" t="n">
        <v>2861.804</v>
      </c>
      <c r="J79" s="22" t="n">
        <v>1429.712</v>
      </c>
      <c r="K79" s="22" t="n">
        <v>1412.849</v>
      </c>
      <c r="L79" s="22" t="n">
        <v>2837.032</v>
      </c>
      <c r="M79" s="22" t="n">
        <v>1414.472</v>
      </c>
      <c r="N79" s="22" t="n">
        <v>1720.312</v>
      </c>
      <c r="V79" s="22" t="n">
        <v>1591.928</v>
      </c>
      <c r="W79" s="22" t="n">
        <v>1320.913</v>
      </c>
      <c r="X79" s="22" t="n">
        <v>1412.849</v>
      </c>
    </row>
    <row r="80">
      <c r="A80" s="9" t="inlineStr">
        <is>
          <t>매출총이익</t>
        </is>
      </c>
      <c r="C80" s="12" t="n">
        <v>165.244</v>
      </c>
      <c r="D80" s="12" t="n">
        <v>387.013</v>
      </c>
      <c r="E80" s="12" t="n">
        <v>577.8390000000001</v>
      </c>
      <c r="F80" s="12" t="n">
        <v>171.337</v>
      </c>
      <c r="G80" s="12" t="n">
        <v>156.112</v>
      </c>
      <c r="H80" s="12" t="n">
        <v>406.085</v>
      </c>
      <c r="I80" s="12" t="n">
        <v>707.425</v>
      </c>
      <c r="J80" s="12" t="n">
        <v>344.776</v>
      </c>
      <c r="K80" s="12" t="n">
        <v>218.8</v>
      </c>
      <c r="L80" s="12" t="n">
        <v>1114.254</v>
      </c>
      <c r="M80" s="12" t="n">
        <v>307.506</v>
      </c>
      <c r="N80" s="12" t="n">
        <v>315.807</v>
      </c>
      <c r="V80" s="12" t="n">
        <v>165.244</v>
      </c>
      <c r="W80" s="12" t="n">
        <v>156.112</v>
      </c>
      <c r="X80" s="12" t="n">
        <v>218.8</v>
      </c>
    </row>
    <row r="81">
      <c r="A81" s="20" t="inlineStr">
        <is>
          <t>판매비와 관리비</t>
        </is>
      </c>
      <c r="C81" s="22" t="n">
        <v>107.555</v>
      </c>
      <c r="D81" s="22" t="n">
        <v>126.462</v>
      </c>
      <c r="E81" s="22" t="n">
        <v>135.414</v>
      </c>
      <c r="F81" s="22" t="n">
        <v>126.925</v>
      </c>
      <c r="G81" s="22" t="n">
        <v>136.726</v>
      </c>
      <c r="H81" s="22" t="n">
        <v>168.756</v>
      </c>
      <c r="I81" s="22" t="n">
        <v>162.153</v>
      </c>
      <c r="J81" s="22" t="n">
        <v>147.934</v>
      </c>
      <c r="K81" s="22" t="n">
        <v>155.063</v>
      </c>
      <c r="L81" s="22" t="n">
        <v>201.594</v>
      </c>
      <c r="M81" s="22" t="n">
        <v>176.52</v>
      </c>
      <c r="N81" s="22" t="n">
        <v>198.919</v>
      </c>
      <c r="V81" s="22" t="n">
        <v>107.555</v>
      </c>
      <c r="W81" s="22" t="n">
        <v>136.726</v>
      </c>
      <c r="X81" s="22" t="n">
        <v>155.063</v>
      </c>
    </row>
    <row r="82">
      <c r="A82" s="9" t="inlineStr">
        <is>
          <t>영업이익</t>
        </is>
      </c>
      <c r="C82" s="12" t="n">
        <v>57.689</v>
      </c>
      <c r="D82" s="12" t="n">
        <v>260.55</v>
      </c>
      <c r="E82" s="12" t="n">
        <v>442.426</v>
      </c>
      <c r="F82" s="12" t="n">
        <v>44.411</v>
      </c>
      <c r="G82" s="12" t="n">
        <v>19.386</v>
      </c>
      <c r="H82" s="12" t="n">
        <v>237.328</v>
      </c>
      <c r="I82" s="12" t="n">
        <v>545.273</v>
      </c>
      <c r="J82" s="12" t="n">
        <v>196.842</v>
      </c>
      <c r="K82" s="12" t="n">
        <v>63.736</v>
      </c>
      <c r="L82" s="12" t="n">
        <v>912.659</v>
      </c>
      <c r="M82" s="12" t="n">
        <v>130.987</v>
      </c>
      <c r="N82" s="12" t="n">
        <v>116.887</v>
      </c>
      <c r="V82" s="12" t="n">
        <v>57.689</v>
      </c>
      <c r="W82" s="12" t="n">
        <v>19.386</v>
      </c>
      <c r="X82" s="12" t="n">
        <v>63.736</v>
      </c>
    </row>
    <row r="83">
      <c r="A83" s="20" t="inlineStr">
        <is>
          <t>이자수익</t>
        </is>
      </c>
      <c r="C83" s="22" t="n">
        <v>0.005</v>
      </c>
      <c r="D83" s="22" t="n">
        <v>0</v>
      </c>
      <c r="E83" s="22" t="n">
        <v>0.08599999999999999</v>
      </c>
      <c r="F83" s="22" t="n">
        <v>0.368</v>
      </c>
      <c r="G83" s="22" t="n">
        <v>0.422</v>
      </c>
      <c r="H83" s="22" t="n">
        <v>0.304</v>
      </c>
      <c r="I83" s="22" t="n">
        <v>1.19</v>
      </c>
      <c r="J83" s="22" t="n">
        <v>0.523</v>
      </c>
      <c r="K83" s="22" t="n">
        <v>2.314</v>
      </c>
      <c r="L83" s="22" t="n">
        <v>0.403</v>
      </c>
      <c r="M83" s="22" t="n">
        <v>1.854</v>
      </c>
      <c r="N83" s="22" t="n">
        <v>0.407</v>
      </c>
      <c r="V83" s="22" t="n">
        <v>0.005</v>
      </c>
      <c r="W83" s="22" t="n">
        <v>0.422</v>
      </c>
      <c r="X83" s="22" t="n">
        <v>2.314</v>
      </c>
    </row>
    <row r="84">
      <c r="A84" s="20" t="inlineStr">
        <is>
          <t>보조금 수입</t>
        </is>
      </c>
      <c r="C84" s="22" t="n">
        <v>0</v>
      </c>
      <c r="F84" s="22" t="n">
        <v>0</v>
      </c>
      <c r="G84" s="22" t="n">
        <v>0</v>
      </c>
      <c r="V84" s="22" t="n">
        <v>0</v>
      </c>
      <c r="W84" s="22" t="n">
        <v>0</v>
      </c>
    </row>
    <row r="85">
      <c r="A85" s="20" t="inlineStr">
        <is>
          <t>협찬금 수입</t>
        </is>
      </c>
      <c r="C85" s="22" t="n">
        <v>0</v>
      </c>
      <c r="F85" s="22" t="n">
        <v>0.88</v>
      </c>
      <c r="G85" s="22" t="n">
        <v>0</v>
      </c>
      <c r="H85" s="22" t="n">
        <v>0</v>
      </c>
      <c r="I85" s="22" t="n">
        <v>0</v>
      </c>
      <c r="J85" s="22" t="n">
        <v>0.209</v>
      </c>
      <c r="K85" s="22" t="n">
        <v>0</v>
      </c>
      <c r="L85" s="22" t="n">
        <v>0.21</v>
      </c>
      <c r="M85" s="22" t="n">
        <v>0</v>
      </c>
      <c r="N85" s="22" t="n">
        <v>0</v>
      </c>
      <c r="V85" s="22" t="n">
        <v>0</v>
      </c>
      <c r="W85" s="22" t="n">
        <v>0</v>
      </c>
      <c r="X85" s="22" t="n">
        <v>0</v>
      </c>
    </row>
    <row r="86">
      <c r="A86" s="20" t="inlineStr">
        <is>
          <t>기타</t>
        </is>
      </c>
      <c r="C86" s="22" t="n">
        <v>0.01</v>
      </c>
      <c r="D86" s="22" t="n">
        <v>0</v>
      </c>
      <c r="E86" s="22" t="n">
        <v>0.025</v>
      </c>
      <c r="F86" s="22" t="n">
        <v>0</v>
      </c>
      <c r="G86" s="22" t="n">
        <v>0</v>
      </c>
      <c r="H86" s="22" t="n">
        <v>0</v>
      </c>
      <c r="I86" s="22" t="n">
        <v>0.208</v>
      </c>
      <c r="J86" s="22" t="n">
        <v>0.571</v>
      </c>
      <c r="K86" s="22" t="n">
        <v>0.04</v>
      </c>
      <c r="L86" s="22" t="n">
        <v>0.23</v>
      </c>
      <c r="M86" s="22" t="n">
        <v>0.083</v>
      </c>
      <c r="N86" s="22" t="n">
        <v>0.237</v>
      </c>
      <c r="V86" s="22" t="n">
        <v>0.01</v>
      </c>
      <c r="W86" s="22" t="n">
        <v>0</v>
      </c>
      <c r="X86" s="22" t="n">
        <v>0.04</v>
      </c>
    </row>
    <row r="87">
      <c r="A87" s="20" t="inlineStr">
        <is>
          <t>영업외수익 합계</t>
        </is>
      </c>
      <c r="C87" s="22" t="n">
        <v>0.015</v>
      </c>
      <c r="D87" s="22" t="n">
        <v>0</v>
      </c>
      <c r="E87" s="22" t="n">
        <v>0.408</v>
      </c>
      <c r="F87" s="22" t="n">
        <v>1.248</v>
      </c>
      <c r="G87" s="22" t="n">
        <v>0.422</v>
      </c>
      <c r="H87" s="22" t="n">
        <v>0.304</v>
      </c>
      <c r="I87" s="22" t="n">
        <v>1.399</v>
      </c>
      <c r="J87" s="22" t="n">
        <v>1.303</v>
      </c>
      <c r="K87" s="22" t="n">
        <v>3.525</v>
      </c>
      <c r="L87" s="22" t="n">
        <v>0.843</v>
      </c>
      <c r="M87" s="22" t="n">
        <v>1.938</v>
      </c>
      <c r="N87" s="22" t="n">
        <v>0.644</v>
      </c>
      <c r="V87" s="22" t="n">
        <v>0.015</v>
      </c>
      <c r="W87" s="22" t="n">
        <v>0.422</v>
      </c>
      <c r="X87" s="22" t="n">
        <v>3.525</v>
      </c>
    </row>
    <row r="88">
      <c r="A88" s="20" t="inlineStr">
        <is>
          <t>이자비용</t>
        </is>
      </c>
      <c r="C88" s="22" t="n">
        <v>14.346</v>
      </c>
      <c r="D88" s="22" t="n">
        <v>12.914</v>
      </c>
      <c r="E88" s="22" t="n">
        <v>11.626</v>
      </c>
      <c r="F88" s="22" t="n">
        <v>16.271</v>
      </c>
      <c r="G88" s="22" t="n">
        <v>24.822</v>
      </c>
      <c r="H88" s="22" t="n">
        <v>30.423</v>
      </c>
      <c r="I88" s="22" t="n">
        <v>38.329</v>
      </c>
      <c r="J88" s="22" t="n">
        <v>43.835</v>
      </c>
      <c r="K88" s="22" t="n">
        <v>47.266</v>
      </c>
      <c r="L88" s="22" t="n">
        <v>58.105</v>
      </c>
      <c r="M88" s="22" t="n">
        <v>68.033</v>
      </c>
      <c r="N88" s="22" t="n">
        <v>89.2</v>
      </c>
      <c r="V88" s="22" t="n">
        <v>14.346</v>
      </c>
      <c r="W88" s="22" t="n">
        <v>24.822</v>
      </c>
      <c r="X88" s="22" t="n">
        <v>47.266</v>
      </c>
    </row>
    <row r="89">
      <c r="A89" s="20" t="inlineStr">
        <is>
          <t>지급수수료</t>
        </is>
      </c>
      <c r="C89" s="22" t="n">
        <v>0</v>
      </c>
      <c r="D89" s="22" t="n">
        <v>0</v>
      </c>
      <c r="E89" s="22" t="n">
        <v>26.469</v>
      </c>
      <c r="F89" s="22" t="n">
        <v>28.878</v>
      </c>
      <c r="G89" s="22" t="n">
        <v>0.022</v>
      </c>
      <c r="H89" s="22" t="n">
        <v>16.035</v>
      </c>
      <c r="I89" s="22" t="n">
        <v>0.446</v>
      </c>
      <c r="J89" s="22" t="n">
        <v>0.036</v>
      </c>
      <c r="K89" s="22" t="n">
        <v>35.816</v>
      </c>
      <c r="L89" s="22" t="n">
        <v>12.739</v>
      </c>
      <c r="M89" s="22" t="n">
        <v>23.735</v>
      </c>
      <c r="N89" s="22" t="n">
        <v>2.555</v>
      </c>
      <c r="V89" s="22" t="n">
        <v>0</v>
      </c>
      <c r="W89" s="22" t="n">
        <v>0.022</v>
      </c>
      <c r="X89" s="22" t="n">
        <v>35.816</v>
      </c>
    </row>
    <row r="90">
      <c r="A90" s="20" t="inlineStr">
        <is>
          <t>감가상각비</t>
        </is>
      </c>
      <c r="D90" s="22" t="n">
        <v>0</v>
      </c>
      <c r="E90" s="22" t="n">
        <v>3.843</v>
      </c>
      <c r="F90" s="22" t="n">
        <v>8.749000000000001</v>
      </c>
      <c r="G90" s="22" t="n">
        <v>4.188</v>
      </c>
      <c r="H90" s="22" t="n">
        <v>2.791</v>
      </c>
      <c r="I90" s="22" t="n">
        <v>0.93</v>
      </c>
      <c r="J90" s="22" t="n">
        <v>1.872</v>
      </c>
      <c r="K90" s="22" t="n">
        <v>2.449</v>
      </c>
      <c r="L90" s="22" t="n">
        <v>4.554</v>
      </c>
      <c r="M90" s="22" t="n">
        <v>3.664</v>
      </c>
      <c r="N90" s="22" t="n">
        <v>4.772</v>
      </c>
      <c r="W90" s="22" t="n">
        <v>4.188</v>
      </c>
      <c r="X90" s="22" t="n">
        <v>2.449</v>
      </c>
    </row>
    <row r="91">
      <c r="A91" s="20" t="inlineStr">
        <is>
          <t>상장 관련 비용</t>
        </is>
      </c>
      <c r="C91" s="22" t="n">
        <v>0.212</v>
      </c>
      <c r="F91" s="22" t="n">
        <v>0</v>
      </c>
      <c r="G91" s="22" t="n">
        <v>0</v>
      </c>
      <c r="V91" s="22" t="n">
        <v>0.212</v>
      </c>
      <c r="W91" s="22" t="n">
        <v>0</v>
      </c>
    </row>
    <row r="92">
      <c r="A92" s="20" t="inlineStr">
        <is>
          <t>주식교부비</t>
        </is>
      </c>
      <c r="C92" s="22" t="n">
        <v>1.19</v>
      </c>
      <c r="D92" s="22" t="n">
        <v>0.17</v>
      </c>
      <c r="E92" s="22" t="n">
        <v>0.153</v>
      </c>
      <c r="F92" s="22" t="n">
        <v>0.09</v>
      </c>
      <c r="G92" s="22" t="n">
        <v>0.06</v>
      </c>
      <c r="H92" s="22" t="n">
        <v>0</v>
      </c>
      <c r="I92" s="22" t="n">
        <v>0</v>
      </c>
      <c r="J92" s="22" t="n">
        <v>0</v>
      </c>
      <c r="K92" s="22" t="n">
        <v>0</v>
      </c>
      <c r="V92" s="22" t="n">
        <v>1.19</v>
      </c>
      <c r="W92" s="22" t="n">
        <v>0.06</v>
      </c>
      <c r="X92" s="22" t="n">
        <v>0</v>
      </c>
    </row>
    <row r="93">
      <c r="A93" s="20" t="inlineStr">
        <is>
          <t>기타</t>
        </is>
      </c>
      <c r="C93" s="22" t="n">
        <v>-0.111</v>
      </c>
      <c r="D93" s="22" t="n">
        <v>0.169</v>
      </c>
      <c r="E93" s="22" t="n">
        <v>0.094</v>
      </c>
      <c r="F93" s="22" t="n">
        <v>0.396</v>
      </c>
      <c r="G93" s="22" t="n">
        <v>0</v>
      </c>
      <c r="H93" s="22" t="n">
        <v>1.665</v>
      </c>
      <c r="I93" s="22" t="n">
        <v>0.777</v>
      </c>
      <c r="J93" s="22" t="n">
        <v>0</v>
      </c>
      <c r="K93" s="22" t="n">
        <v>0</v>
      </c>
      <c r="L93" s="22" t="n">
        <v>0.371</v>
      </c>
      <c r="M93" s="22" t="n">
        <v>0.416</v>
      </c>
      <c r="N93" s="22" t="n">
        <v>1.063</v>
      </c>
      <c r="V93" s="22" t="n">
        <v>-0.111</v>
      </c>
      <c r="W93" s="22" t="n">
        <v>0</v>
      </c>
      <c r="X93" s="22" t="n">
        <v>0</v>
      </c>
    </row>
    <row r="94">
      <c r="A94" s="20" t="inlineStr">
        <is>
          <t>영업외비용 합계</t>
        </is>
      </c>
      <c r="C94" s="22" t="n">
        <v>15.815</v>
      </c>
      <c r="D94" s="22" t="n">
        <v>13.254</v>
      </c>
      <c r="E94" s="22" t="n">
        <v>42.187</v>
      </c>
      <c r="F94" s="22" t="n">
        <v>54.383</v>
      </c>
      <c r="G94" s="22" t="n">
        <v>29.092</v>
      </c>
      <c r="H94" s="22" t="n">
        <v>50.915</v>
      </c>
      <c r="I94" s="22" t="n">
        <v>40.482</v>
      </c>
      <c r="J94" s="22" t="n">
        <v>45.743</v>
      </c>
      <c r="K94" s="22" t="n">
        <v>85.53100000000001</v>
      </c>
      <c r="L94" s="22" t="n">
        <v>75.77</v>
      </c>
      <c r="M94" s="22" t="n">
        <v>95.849</v>
      </c>
      <c r="N94" s="22" t="n">
        <v>121.531</v>
      </c>
      <c r="V94" s="22" t="n">
        <v>15.815</v>
      </c>
      <c r="W94" s="22" t="n">
        <v>29.092</v>
      </c>
      <c r="X94" s="22" t="n">
        <v>85.53100000000001</v>
      </c>
    </row>
    <row r="95">
      <c r="A95" s="9" t="inlineStr">
        <is>
          <t>경상이익</t>
        </is>
      </c>
      <c r="C95" s="12" t="n">
        <v>41.889</v>
      </c>
      <c r="D95" s="12" t="n">
        <v>247.296</v>
      </c>
      <c r="E95" s="12" t="n">
        <v>400.647</v>
      </c>
      <c r="F95" s="12" t="n">
        <v>-8.725</v>
      </c>
      <c r="G95" s="12" t="n">
        <v>-9.282999999999999</v>
      </c>
      <c r="H95" s="12" t="n">
        <v>186.718</v>
      </c>
      <c r="I95" s="12" t="n">
        <v>506.189</v>
      </c>
      <c r="J95" s="12" t="n">
        <v>152.402</v>
      </c>
      <c r="K95" s="12" t="n">
        <v>-18.27</v>
      </c>
      <c r="L95" s="12" t="n">
        <v>837.732</v>
      </c>
      <c r="M95" s="12" t="n">
        <v>37.077</v>
      </c>
      <c r="N95" s="12" t="n">
        <v>-4.001</v>
      </c>
      <c r="V95" s="12" t="n">
        <v>41.889</v>
      </c>
      <c r="W95" s="12" t="n">
        <v>-9.282999999999999</v>
      </c>
      <c r="X95" s="12" t="n">
        <v>-18.27</v>
      </c>
    </row>
    <row r="96">
      <c r="A96" s="20" t="inlineStr">
        <is>
          <t>보상금 수취</t>
        </is>
      </c>
      <c r="C96" s="22" t="n">
        <v>0</v>
      </c>
      <c r="F96" s="22" t="n">
        <v>0</v>
      </c>
      <c r="G96" s="22" t="n">
        <v>0</v>
      </c>
      <c r="J96" s="22" t="n">
        <v>0</v>
      </c>
      <c r="K96" s="22" t="n">
        <v>0</v>
      </c>
      <c r="V96" s="22" t="n">
        <v>0</v>
      </c>
      <c r="W96" s="22" t="n">
        <v>0</v>
      </c>
      <c r="X96" s="22" t="n">
        <v>0</v>
      </c>
    </row>
    <row r="97">
      <c r="A97" s="20" t="inlineStr">
        <is>
          <t>특별이익 합계</t>
        </is>
      </c>
      <c r="C97" s="22" t="n">
        <v>5.338</v>
      </c>
      <c r="F97" s="22" t="n">
        <v>0</v>
      </c>
      <c r="G97" s="22" t="n">
        <v>0</v>
      </c>
      <c r="J97" s="22" t="n">
        <v>0</v>
      </c>
      <c r="K97" s="22" t="n">
        <v>0.617</v>
      </c>
      <c r="V97" s="22" t="n">
        <v>5.338</v>
      </c>
      <c r="W97" s="22" t="n">
        <v>0</v>
      </c>
      <c r="X97" s="22" t="n">
        <v>0.617</v>
      </c>
    </row>
    <row r="98">
      <c r="A98" s="20" t="inlineStr">
        <is>
          <t>손상차손</t>
        </is>
      </c>
      <c r="K98" s="22" t="n">
        <v>30.75</v>
      </c>
      <c r="X98" s="22" t="n">
        <v>30.75</v>
      </c>
    </row>
    <row r="99">
      <c r="A99" s="20" t="inlineStr">
        <is>
          <t>고정자산 제각손실</t>
        </is>
      </c>
      <c r="C99" s="22" t="n">
        <v>3.898</v>
      </c>
      <c r="F99" s="22" t="n">
        <v>0</v>
      </c>
      <c r="G99" s="22" t="n">
        <v>0</v>
      </c>
      <c r="V99" s="22" t="n">
        <v>3.898</v>
      </c>
      <c r="W99" s="22" t="n">
        <v>0</v>
      </c>
    </row>
    <row r="100">
      <c r="A100" s="20" t="inlineStr">
        <is>
          <t>특별손실 합계</t>
        </is>
      </c>
      <c r="C100" s="22" t="n">
        <v>50.757</v>
      </c>
      <c r="F100" s="22" t="n">
        <v>0</v>
      </c>
      <c r="G100" s="22" t="n">
        <v>87.858</v>
      </c>
      <c r="K100" s="22" t="n">
        <v>30.75</v>
      </c>
      <c r="V100" s="22" t="n">
        <v>50.757</v>
      </c>
      <c r="W100" s="22" t="n">
        <v>87.858</v>
      </c>
      <c r="X100" s="22" t="n">
        <v>30.75</v>
      </c>
    </row>
    <row r="101">
      <c r="A101" s="9" t="inlineStr">
        <is>
          <t>법인세차감전 순이익</t>
        </is>
      </c>
      <c r="C101" s="12" t="n">
        <v>-3.53</v>
      </c>
      <c r="D101" s="12" t="n">
        <v>247.296</v>
      </c>
      <c r="E101" s="12" t="n">
        <v>410.147</v>
      </c>
      <c r="F101" s="12" t="n">
        <v>-8.725</v>
      </c>
      <c r="G101" s="12" t="n">
        <v>-97.14100000000001</v>
      </c>
      <c r="H101" s="12" t="n">
        <v>186.718</v>
      </c>
      <c r="I101" s="12" t="n">
        <v>506.189</v>
      </c>
      <c r="J101" s="12" t="n">
        <v>152.402</v>
      </c>
      <c r="K101" s="12" t="n">
        <v>-48.403</v>
      </c>
      <c r="L101" s="12" t="n">
        <v>837.732</v>
      </c>
      <c r="M101" s="12" t="n">
        <v>37.077</v>
      </c>
      <c r="N101" s="12" t="n">
        <v>-24.739</v>
      </c>
      <c r="V101" s="12" t="n">
        <v>-3.53</v>
      </c>
      <c r="W101" s="12" t="n">
        <v>-97.14100000000001</v>
      </c>
      <c r="X101" s="12" t="n">
        <v>-48.403</v>
      </c>
    </row>
    <row r="102">
      <c r="A102" s="20" t="inlineStr">
        <is>
          <t>법인세·주민세·사업세</t>
        </is>
      </c>
      <c r="C102" s="22" t="n">
        <v>9.763</v>
      </c>
      <c r="D102" s="22" t="n">
        <v>63.778</v>
      </c>
      <c r="E102" s="22" t="n">
        <v>140.107</v>
      </c>
      <c r="F102" s="22" t="n">
        <v>-0.879</v>
      </c>
      <c r="G102" s="22" t="n">
        <v>12.432</v>
      </c>
      <c r="H102" s="22" t="n">
        <v>47.052</v>
      </c>
      <c r="I102" s="22" t="n">
        <v>157.656</v>
      </c>
      <c r="J102" s="22" t="n">
        <v>34.658</v>
      </c>
      <c r="K102" s="22" t="n">
        <v>5.364</v>
      </c>
      <c r="L102" s="22" t="n">
        <v>248.161</v>
      </c>
      <c r="M102" s="22" t="n">
        <v>32.695</v>
      </c>
      <c r="N102" s="22" t="n">
        <v>-6.329</v>
      </c>
      <c r="V102" s="22" t="n">
        <v>9.763</v>
      </c>
      <c r="W102" s="22" t="n">
        <v>12.432</v>
      </c>
      <c r="X102" s="22" t="n">
        <v>5.364</v>
      </c>
    </row>
    <row r="103">
      <c r="A103" s="20" t="inlineStr">
        <is>
          <t>법인세 조정액</t>
        </is>
      </c>
      <c r="C103" s="22" t="n">
        <v>-24.922</v>
      </c>
      <c r="D103" s="22" t="n">
        <v>13.876</v>
      </c>
      <c r="E103" s="22" t="n">
        <v>-4.392</v>
      </c>
      <c r="F103" s="22" t="n">
        <v>-7.241</v>
      </c>
      <c r="G103" s="22" t="n">
        <v>-46.472</v>
      </c>
      <c r="H103" s="22" t="n">
        <v>14.837</v>
      </c>
      <c r="I103" s="22" t="n">
        <v>-4.048</v>
      </c>
      <c r="J103" s="22" t="n">
        <v>16.231</v>
      </c>
      <c r="K103" s="22" t="n">
        <v>-34.065</v>
      </c>
      <c r="L103" s="22" t="n">
        <v>13.308</v>
      </c>
      <c r="M103" s="22" t="n">
        <v>-13.328</v>
      </c>
      <c r="N103" s="22" t="n">
        <v>7.612</v>
      </c>
      <c r="V103" s="22" t="n">
        <v>-24.922</v>
      </c>
      <c r="W103" s="22" t="n">
        <v>-46.472</v>
      </c>
      <c r="X103" s="22" t="n">
        <v>-34.065</v>
      </c>
    </row>
    <row r="104">
      <c r="A104" s="20" t="inlineStr">
        <is>
          <t>법인세 등 합계</t>
        </is>
      </c>
      <c r="C104" s="22" t="n">
        <v>-15.159</v>
      </c>
      <c r="D104" s="22" t="n">
        <v>77.654</v>
      </c>
      <c r="E104" s="22" t="n">
        <v>135.715</v>
      </c>
      <c r="F104" s="22" t="n">
        <v>-8.119999999999999</v>
      </c>
      <c r="G104" s="22" t="n">
        <v>-34.041</v>
      </c>
      <c r="H104" s="22" t="n">
        <v>61.89</v>
      </c>
      <c r="I104" s="22" t="n">
        <v>153.608</v>
      </c>
      <c r="J104" s="22" t="n">
        <v>50.889</v>
      </c>
      <c r="K104" s="22" t="n">
        <v>-28.702</v>
      </c>
      <c r="L104" s="22" t="n">
        <v>261.47</v>
      </c>
      <c r="M104" s="22" t="n">
        <v>19.365</v>
      </c>
      <c r="N104" s="22" t="n">
        <v>1.284</v>
      </c>
      <c r="V104" s="22" t="n">
        <v>-15.159</v>
      </c>
      <c r="W104" s="22" t="n">
        <v>-34.041</v>
      </c>
      <c r="X104" s="22" t="n">
        <v>-28.702</v>
      </c>
    </row>
    <row r="105">
      <c r="A105" s="9" t="inlineStr">
        <is>
          <t>순이익</t>
        </is>
      </c>
      <c r="C105" s="12" t="n">
        <v>11.629</v>
      </c>
      <c r="D105" s="12" t="n">
        <v>169.642</v>
      </c>
      <c r="E105" s="12" t="n">
        <v>274.431</v>
      </c>
      <c r="F105" s="12" t="n">
        <v>-0.604</v>
      </c>
      <c r="G105" s="12" t="n">
        <v>-63.101</v>
      </c>
      <c r="H105" s="12" t="n">
        <v>124.827</v>
      </c>
      <c r="I105" s="12" t="n">
        <v>352.581</v>
      </c>
      <c r="J105" s="12" t="n">
        <v>101.514</v>
      </c>
      <c r="K105" s="12" t="n">
        <v>-19.702</v>
      </c>
      <c r="L105" s="12" t="n">
        <v>576.261</v>
      </c>
      <c r="M105" s="12" t="n">
        <v>17.712</v>
      </c>
      <c r="N105" s="12" t="n">
        <v>-26.023</v>
      </c>
      <c r="V105" s="12" t="n">
        <v>11.629</v>
      </c>
      <c r="W105" s="12" t="n">
        <v>-63.101</v>
      </c>
      <c r="X105" s="12" t="n">
        <v>-19.702</v>
      </c>
    </row>
    <row r="107">
      <c r="A107" s="18" t="inlineStr">
        <is>
          <t>현금흐름표 · 전 항목</t>
        </is>
      </c>
      <c r="B107" s="44" t="inlineStr">
        <is>
          <t>분기 = 결산기 첫날부터 누계(공시 그대로)</t>
        </is>
      </c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</row>
    <row r="108">
      <c r="A108" s="5" t="inlineStr">
        <is>
          <t>항목</t>
        </is>
      </c>
      <c r="B108" s="5" t="inlineStr">
        <is>
          <t>참고</t>
        </is>
      </c>
      <c r="C108" s="5" t="inlineStr">
        <is>
          <t>2023.4Q</t>
        </is>
      </c>
      <c r="D108" s="5" t="inlineStr">
        <is>
          <t>2024.1Q</t>
        </is>
      </c>
      <c r="E108" s="5" t="inlineStr">
        <is>
          <t>2024.2Q</t>
        </is>
      </c>
      <c r="F108" s="5" t="inlineStr">
        <is>
          <t>2024.3Q</t>
        </is>
      </c>
      <c r="G108" s="5" t="inlineStr">
        <is>
          <t>2024.4Q</t>
        </is>
      </c>
      <c r="H108" s="5" t="inlineStr">
        <is>
          <t>2025.1Q</t>
        </is>
      </c>
      <c r="I108" s="5" t="inlineStr">
        <is>
          <t>2025.2Q</t>
        </is>
      </c>
      <c r="J108" s="5" t="inlineStr">
        <is>
          <t>2025.3Q</t>
        </is>
      </c>
      <c r="K108" s="5" t="inlineStr">
        <is>
          <t>2025.4Q</t>
        </is>
      </c>
      <c r="L108" s="5" t="inlineStr">
        <is>
          <t>2026.1Q</t>
        </is>
      </c>
      <c r="M108" s="5" t="inlineStr">
        <is>
          <t>2026.2Q</t>
        </is>
      </c>
      <c r="N108" s="5" t="inlineStr">
        <is>
          <t>2026.3Q</t>
        </is>
      </c>
      <c r="O108" s="5" t="inlineStr">
        <is>
          <t>2016</t>
        </is>
      </c>
      <c r="P108" s="5" t="inlineStr">
        <is>
          <t>2017</t>
        </is>
      </c>
      <c r="Q108" s="5" t="inlineStr">
        <is>
          <t>2018</t>
        </is>
      </c>
      <c r="R108" s="5" t="inlineStr">
        <is>
          <t>2019</t>
        </is>
      </c>
      <c r="S108" s="5" t="inlineStr">
        <is>
          <t>2020</t>
        </is>
      </c>
      <c r="T108" s="5" t="inlineStr">
        <is>
          <t>2021</t>
        </is>
      </c>
      <c r="U108" s="5" t="inlineStr">
        <is>
          <t>2022</t>
        </is>
      </c>
      <c r="V108" s="5" t="inlineStr">
        <is>
          <t>2023</t>
        </is>
      </c>
      <c r="W108" s="5" t="inlineStr">
        <is>
          <t>2024</t>
        </is>
      </c>
      <c r="X108" s="5" t="inlineStr">
        <is>
          <t>2025</t>
        </is>
      </c>
      <c r="Y108" s="5" t="inlineStr">
        <is>
          <t>2026(MW)</t>
        </is>
      </c>
      <c r="Z108" s="5" t="inlineStr">
        <is>
          <t>2027(MW)</t>
        </is>
      </c>
      <c r="AA108" s="5" t="inlineStr">
        <is>
          <t>2028(MW)</t>
        </is>
      </c>
      <c r="AB108" s="5" t="inlineStr">
        <is>
          <t>2029(MW)</t>
        </is>
      </c>
      <c r="AC108" s="5" t="inlineStr">
        <is>
          <t>2030(MW)</t>
        </is>
      </c>
    </row>
    <row r="109">
      <c r="A109" s="9" t="inlineStr">
        <is>
          <t>법인세차감전 순이익</t>
        </is>
      </c>
      <c r="C109" s="12" t="n">
        <v>425.872</v>
      </c>
      <c r="E109" s="12" t="n">
        <v>657.443</v>
      </c>
      <c r="G109" s="12" t="n">
        <v>551.577</v>
      </c>
      <c r="I109" s="12" t="n">
        <v>692.907</v>
      </c>
      <c r="K109" s="12" t="n">
        <v>796.9059999999999</v>
      </c>
      <c r="M109" s="12" t="n">
        <v>874.809</v>
      </c>
      <c r="U109" s="12" t="n">
        <v>40.18</v>
      </c>
      <c r="V109" s="12" t="n">
        <v>425.872</v>
      </c>
      <c r="W109" s="12" t="n">
        <v>551.577</v>
      </c>
      <c r="X109" s="12" t="n">
        <v>796.9059999999999</v>
      </c>
    </row>
    <row r="110">
      <c r="A110" s="20" t="inlineStr">
        <is>
          <t>감가상각비</t>
        </is>
      </c>
      <c r="C110" s="22" t="n">
        <v>367.464</v>
      </c>
      <c r="E110" s="22" t="n">
        <v>175.772</v>
      </c>
      <c r="G110" s="22" t="n">
        <v>369.555</v>
      </c>
      <c r="I110" s="22" t="n">
        <v>198.185</v>
      </c>
      <c r="K110" s="22" t="n">
        <v>398.754</v>
      </c>
      <c r="M110" s="22" t="n">
        <v>212.714</v>
      </c>
      <c r="U110" s="22" t="n">
        <v>372.773</v>
      </c>
      <c r="V110" s="22" t="n">
        <v>367.464</v>
      </c>
      <c r="W110" s="22" t="n">
        <v>369.555</v>
      </c>
      <c r="X110" s="22" t="n">
        <v>398.754</v>
      </c>
    </row>
    <row r="111">
      <c r="A111" s="20" t="inlineStr">
        <is>
          <t>손상차손</t>
        </is>
      </c>
      <c r="C111" s="22" t="n">
        <v>46.858</v>
      </c>
      <c r="G111" s="22" t="n">
        <v>87.858</v>
      </c>
      <c r="K111" s="22" t="n">
        <v>30.75</v>
      </c>
      <c r="U111" s="22" t="n">
        <v>329.526</v>
      </c>
      <c r="V111" s="22" t="n">
        <v>46.858</v>
      </c>
      <c r="W111" s="22" t="n">
        <v>87.858</v>
      </c>
      <c r="X111" s="22" t="n">
        <v>30.75</v>
      </c>
    </row>
    <row r="112">
      <c r="A112" s="20" t="inlineStr">
        <is>
          <t>대손충당금 증감</t>
        </is>
      </c>
      <c r="C112" s="22" t="n">
        <v>-0.196</v>
      </c>
      <c r="E112" s="22" t="n">
        <v>0.389</v>
      </c>
      <c r="G112" s="22" t="n">
        <v>0.193</v>
      </c>
      <c r="I112" s="22" t="n">
        <v>0.019</v>
      </c>
      <c r="K112" s="22" t="n">
        <v>0.198</v>
      </c>
      <c r="M112" s="22" t="n">
        <v>-0.034</v>
      </c>
      <c r="U112" s="22" t="n">
        <v>0.198</v>
      </c>
      <c r="V112" s="22" t="n">
        <v>-0.196</v>
      </c>
      <c r="W112" s="22" t="n">
        <v>0.193</v>
      </c>
      <c r="X112" s="22" t="n">
        <v>0.198</v>
      </c>
    </row>
    <row r="113">
      <c r="A113" s="20" t="inlineStr">
        <is>
          <t>임원 상여충당금 증감</t>
        </is>
      </c>
      <c r="C113" s="22" t="n">
        <v>0</v>
      </c>
      <c r="E113" s="22" t="n">
        <v>-9</v>
      </c>
      <c r="G113" s="22" t="n">
        <v>0</v>
      </c>
      <c r="I113" s="22" t="n">
        <v>-6.9</v>
      </c>
      <c r="K113" s="22" t="n">
        <v>-4.8</v>
      </c>
      <c r="M113" s="22" t="n">
        <v>-2.1</v>
      </c>
      <c r="U113" s="22" t="n">
        <v>0.9</v>
      </c>
      <c r="V113" s="22" t="n">
        <v>0</v>
      </c>
      <c r="W113" s="22" t="n">
        <v>0</v>
      </c>
      <c r="X113" s="22" t="n">
        <v>-4.8</v>
      </c>
    </row>
    <row r="114">
      <c r="A114" s="20" t="inlineStr">
        <is>
          <t>수주손실 충당금 증감</t>
        </is>
      </c>
      <c r="C114" s="22" t="n">
        <v>15.132</v>
      </c>
      <c r="E114" s="22" t="n">
        <v>-12.922</v>
      </c>
      <c r="G114" s="22" t="n">
        <v>-13.004</v>
      </c>
      <c r="I114" s="22" t="n">
        <v>-1.552</v>
      </c>
      <c r="K114" s="22" t="n">
        <v>-2.319</v>
      </c>
      <c r="M114" s="22" t="n">
        <v>0</v>
      </c>
      <c r="U114" s="22" t="n">
        <v>-3.494</v>
      </c>
      <c r="V114" s="22" t="n">
        <v>15.132</v>
      </c>
      <c r="W114" s="22" t="n">
        <v>-13.004</v>
      </c>
      <c r="X114" s="22" t="n">
        <v>-2.319</v>
      </c>
    </row>
    <row r="115">
      <c r="A115" s="20" t="inlineStr">
        <is>
          <t>Increase Decrease In Provision For Loss Compensation Ope CF</t>
        </is>
      </c>
      <c r="C115" s="22" t="n">
        <v>-6.133</v>
      </c>
      <c r="E115" s="22" t="n">
        <v>0</v>
      </c>
      <c r="G115" s="22" t="n">
        <v>42</v>
      </c>
      <c r="I115" s="22" t="n">
        <v>-30</v>
      </c>
      <c r="K115" s="22" t="n">
        <v>-32</v>
      </c>
      <c r="M115" s="22" t="n">
        <v>0</v>
      </c>
      <c r="U115" s="22" t="n">
        <v>6.133</v>
      </c>
      <c r="V115" s="22" t="n">
        <v>-6.133</v>
      </c>
      <c r="W115" s="22" t="n">
        <v>42</v>
      </c>
      <c r="X115" s="22" t="n">
        <v>-32</v>
      </c>
    </row>
    <row r="116">
      <c r="A116" s="20" t="inlineStr">
        <is>
          <t>Gain On Donation Of Noncurrent Assets Ope CF</t>
        </is>
      </c>
      <c r="C116" s="22" t="n">
        <v>0</v>
      </c>
      <c r="U116" s="22" t="n">
        <v>-0.497</v>
      </c>
      <c r="V116" s="22" t="n">
        <v>0</v>
      </c>
    </row>
    <row r="117">
      <c r="A117" s="20" t="inlineStr">
        <is>
          <t>이자수익</t>
        </is>
      </c>
      <c r="C117" s="22" t="n">
        <v>-0.008</v>
      </c>
      <c r="E117" s="22" t="n">
        <v>-0.08599999999999999</v>
      </c>
      <c r="G117" s="22" t="n">
        <v>-0.876</v>
      </c>
      <c r="I117" s="22" t="n">
        <v>-1.494</v>
      </c>
      <c r="K117" s="22" t="n">
        <v>-4.331</v>
      </c>
      <c r="M117" s="22" t="n">
        <v>-2.257</v>
      </c>
      <c r="U117" s="22" t="n">
        <v>-0.007</v>
      </c>
      <c r="V117" s="22" t="n">
        <v>-0.008</v>
      </c>
      <c r="W117" s="22" t="n">
        <v>-0.876</v>
      </c>
      <c r="X117" s="22" t="n">
        <v>-4.331</v>
      </c>
    </row>
    <row r="118">
      <c r="A118" s="20" t="inlineStr">
        <is>
          <t>보조금 수입</t>
        </is>
      </c>
      <c r="C118" s="22" t="n">
        <v>-1.32</v>
      </c>
      <c r="E118" s="22" t="n">
        <v>0</v>
      </c>
      <c r="G118" s="22" t="n">
        <v>0</v>
      </c>
      <c r="U118" s="22" t="n">
        <v>0</v>
      </c>
      <c r="V118" s="22" t="n">
        <v>-1.32</v>
      </c>
      <c r="W118" s="22" t="n">
        <v>0</v>
      </c>
    </row>
    <row r="119">
      <c r="A119" s="20" t="inlineStr">
        <is>
          <t>협찬금 수입</t>
        </is>
      </c>
      <c r="C119" s="22" t="n">
        <v>0</v>
      </c>
      <c r="E119" s="22" t="n">
        <v>-0.297</v>
      </c>
      <c r="G119" s="22" t="n">
        <v>-1.177</v>
      </c>
      <c r="I119" s="22" t="n">
        <v>0</v>
      </c>
      <c r="K119" s="22" t="n">
        <v>-0.209</v>
      </c>
      <c r="M119" s="22" t="n">
        <v>-0.21</v>
      </c>
      <c r="U119" s="22" t="n">
        <v>-0.556</v>
      </c>
      <c r="V119" s="22" t="n">
        <v>0</v>
      </c>
      <c r="W119" s="22" t="n">
        <v>-1.177</v>
      </c>
      <c r="X119" s="22" t="n">
        <v>-0.209</v>
      </c>
    </row>
    <row r="120">
      <c r="A120" s="20" t="inlineStr">
        <is>
          <t>신주예약권 환입이익</t>
        </is>
      </c>
      <c r="C120" s="22" t="n">
        <v>-5.338</v>
      </c>
      <c r="G120" s="22" t="n">
        <v>0</v>
      </c>
      <c r="U120" s="22" t="n">
        <v>0</v>
      </c>
      <c r="V120" s="22" t="n">
        <v>-5.338</v>
      </c>
      <c r="W120" s="22" t="n">
        <v>0</v>
      </c>
    </row>
    <row r="121">
      <c r="A121" s="20" t="inlineStr">
        <is>
          <t>위약금</t>
        </is>
      </c>
      <c r="C121" s="22" t="n">
        <v>0.011</v>
      </c>
      <c r="U121" s="22" t="n">
        <v>1.141</v>
      </c>
      <c r="V121" s="22" t="n">
        <v>0.011</v>
      </c>
    </row>
    <row r="122">
      <c r="A122" s="20" t="inlineStr">
        <is>
          <t>지급수수료</t>
        </is>
      </c>
      <c r="C122" s="22" t="n">
        <v>0</v>
      </c>
      <c r="E122" s="22" t="n">
        <v>26.469</v>
      </c>
      <c r="G122" s="22" t="n">
        <v>55.369</v>
      </c>
      <c r="I122" s="22" t="n">
        <v>16.481</v>
      </c>
      <c r="K122" s="22" t="n">
        <v>52.333</v>
      </c>
      <c r="M122" s="22" t="n">
        <v>36.474</v>
      </c>
      <c r="U122" s="22" t="n">
        <v>9.039999999999999</v>
      </c>
      <c r="V122" s="22" t="n">
        <v>0</v>
      </c>
      <c r="W122" s="22" t="n">
        <v>55.369</v>
      </c>
      <c r="X122" s="22" t="n">
        <v>52.333</v>
      </c>
    </row>
    <row r="123">
      <c r="A123" s="20" t="inlineStr">
        <is>
          <t>고정자산 제각손실</t>
        </is>
      </c>
      <c r="C123" s="22" t="n">
        <v>7.249</v>
      </c>
      <c r="E123" s="22" t="n">
        <v>0</v>
      </c>
      <c r="G123" s="22" t="n">
        <v>0</v>
      </c>
      <c r="U123" s="22" t="n">
        <v>12.251</v>
      </c>
      <c r="V123" s="22" t="n">
        <v>7.249</v>
      </c>
      <c r="W123" s="22" t="n">
        <v>0</v>
      </c>
    </row>
    <row r="124">
      <c r="A124" s="20" t="inlineStr">
        <is>
          <t>상장 관련 비용</t>
        </is>
      </c>
      <c r="C124" s="22" t="n">
        <v>8.212</v>
      </c>
      <c r="E124" s="22" t="n">
        <v>0</v>
      </c>
      <c r="G124" s="22" t="n">
        <v>0</v>
      </c>
      <c r="U124" s="22" t="n">
        <v>0</v>
      </c>
      <c r="V124" s="22" t="n">
        <v>8.212</v>
      </c>
      <c r="W124" s="22" t="n">
        <v>0</v>
      </c>
    </row>
    <row r="125">
      <c r="A125" s="20" t="inlineStr">
        <is>
          <t>주식교부비</t>
        </is>
      </c>
      <c r="C125" s="22" t="n">
        <v>10.207</v>
      </c>
      <c r="E125" s="22" t="n">
        <v>0.323</v>
      </c>
      <c r="G125" s="22" t="n">
        <v>0.473</v>
      </c>
      <c r="I125" s="22" t="n">
        <v>0</v>
      </c>
      <c r="K125" s="22" t="n">
        <v>0</v>
      </c>
      <c r="U125" s="22" t="n">
        <v>0</v>
      </c>
      <c r="V125" s="22" t="n">
        <v>10.207</v>
      </c>
      <c r="W125" s="22" t="n">
        <v>0.473</v>
      </c>
      <c r="X125" s="22" t="n">
        <v>0</v>
      </c>
    </row>
    <row r="126">
      <c r="A126" s="20" t="inlineStr">
        <is>
          <t>손해보상 손실</t>
        </is>
      </c>
      <c r="C126" s="22" t="n">
        <v>10</v>
      </c>
      <c r="E126" s="22" t="n">
        <v>0</v>
      </c>
      <c r="G126" s="22" t="n">
        <v>0</v>
      </c>
      <c r="U126" s="22" t="n">
        <v>0</v>
      </c>
      <c r="V126" s="22" t="n">
        <v>10</v>
      </c>
      <c r="W126" s="22" t="n">
        <v>0</v>
      </c>
    </row>
    <row r="127">
      <c r="A127" s="20" t="inlineStr">
        <is>
          <t>주식보상비용</t>
        </is>
      </c>
      <c r="C127" s="22" t="n">
        <v>0</v>
      </c>
      <c r="E127" s="22" t="n">
        <v>10.208</v>
      </c>
      <c r="G127" s="22" t="n">
        <v>31.34</v>
      </c>
      <c r="I127" s="22" t="n">
        <v>29.706</v>
      </c>
      <c r="K127" s="22" t="n">
        <v>63.309</v>
      </c>
      <c r="M127" s="22" t="n">
        <v>63.496</v>
      </c>
      <c r="V127" s="22" t="n">
        <v>0</v>
      </c>
      <c r="W127" s="22" t="n">
        <v>31.34</v>
      </c>
      <c r="X127" s="22" t="n">
        <v>63.309</v>
      </c>
    </row>
    <row r="128">
      <c r="A128" s="20" t="inlineStr">
        <is>
          <t>보상금 수취</t>
        </is>
      </c>
      <c r="C128" s="22" t="n">
        <v>0</v>
      </c>
      <c r="E128" s="22" t="n">
        <v>-9.5</v>
      </c>
      <c r="G128" s="22" t="n">
        <v>-9.5</v>
      </c>
      <c r="I128" s="22" t="n">
        <v>0</v>
      </c>
      <c r="K128" s="22" t="n">
        <v>-1.171</v>
      </c>
      <c r="V128" s="22" t="n">
        <v>0</v>
      </c>
      <c r="W128" s="22" t="n">
        <v>-9.5</v>
      </c>
      <c r="X128" s="22" t="n">
        <v>-1.171</v>
      </c>
    </row>
    <row r="129">
      <c r="A129" s="20" t="inlineStr">
        <is>
          <t>이자비용·사채이자</t>
        </is>
      </c>
      <c r="C129" s="22" t="n">
        <v>48.777</v>
      </c>
      <c r="E129" s="22" t="n">
        <v>26.183</v>
      </c>
      <c r="G129" s="22" t="n">
        <v>68.923</v>
      </c>
      <c r="I129" s="22" t="n">
        <v>70.33499999999999</v>
      </c>
      <c r="K129" s="22" t="n">
        <v>162.961</v>
      </c>
      <c r="M129" s="22" t="n">
        <v>127.61</v>
      </c>
      <c r="U129" s="22" t="n">
        <v>32.919</v>
      </c>
      <c r="V129" s="22" t="n">
        <v>48.777</v>
      </c>
      <c r="W129" s="22" t="n">
        <v>68.923</v>
      </c>
      <c r="X129" s="22" t="n">
        <v>162.961</v>
      </c>
    </row>
    <row r="130">
      <c r="A130" s="20" t="inlineStr">
        <is>
          <t>매출채권 증감</t>
        </is>
      </c>
      <c r="C130" s="22" t="n">
        <v>-178.229</v>
      </c>
      <c r="E130" s="22" t="n">
        <v>2.209</v>
      </c>
      <c r="G130" s="22" t="n">
        <v>-20.979</v>
      </c>
      <c r="I130" s="22" t="n">
        <v>-56.304</v>
      </c>
      <c r="K130" s="22" t="n">
        <v>-10.071</v>
      </c>
      <c r="M130" s="22" t="n">
        <v>-26.043</v>
      </c>
      <c r="U130" s="22" t="n">
        <v>-69.97</v>
      </c>
      <c r="V130" s="22" t="n">
        <v>-178.229</v>
      </c>
      <c r="W130" s="22" t="n">
        <v>-20.979</v>
      </c>
      <c r="X130" s="22" t="n">
        <v>-10.071</v>
      </c>
    </row>
    <row r="131">
      <c r="A131" s="20" t="inlineStr">
        <is>
          <t>Decrease Increase In Contract Asset Ope CF</t>
        </is>
      </c>
      <c r="C131" s="22" t="n">
        <v>-17.346</v>
      </c>
      <c r="E131" s="22" t="n">
        <v>16.474</v>
      </c>
      <c r="G131" s="22" t="n">
        <v>13.203</v>
      </c>
      <c r="I131" s="22" t="n">
        <v>1.164</v>
      </c>
      <c r="K131" s="22" t="n">
        <v>4.587</v>
      </c>
      <c r="M131" s="22" t="n">
        <v>-97.369</v>
      </c>
      <c r="U131" s="22" t="n">
        <v>-3.289</v>
      </c>
      <c r="V131" s="22" t="n">
        <v>-17.346</v>
      </c>
      <c r="W131" s="22" t="n">
        <v>13.203</v>
      </c>
      <c r="X131" s="22" t="n">
        <v>4.587</v>
      </c>
    </row>
    <row r="132">
      <c r="A132" s="20" t="inlineStr">
        <is>
          <t>Decrease Increase In Costs On Construction Contracts In Progress Ope CF</t>
        </is>
      </c>
      <c r="C132" s="22" t="n">
        <v>-0.001</v>
      </c>
      <c r="E132" s="22" t="n">
        <v>-0.119</v>
      </c>
      <c r="G132" s="22" t="n">
        <v>0.143</v>
      </c>
      <c r="I132" s="22" t="n">
        <v>-0.759</v>
      </c>
      <c r="K132" s="22" t="n">
        <v>-0.08500000000000001</v>
      </c>
      <c r="M132" s="22" t="n">
        <v>-0.113</v>
      </c>
      <c r="U132" s="22" t="n">
        <v>12.826</v>
      </c>
      <c r="V132" s="22" t="n">
        <v>-0.001</v>
      </c>
      <c r="W132" s="22" t="n">
        <v>0.143</v>
      </c>
      <c r="X132" s="22" t="n">
        <v>-0.08500000000000001</v>
      </c>
    </row>
    <row r="133">
      <c r="A133" s="20" t="inlineStr">
        <is>
          <t>Decrease Increase In Costs On Uncompleted Services Ope CF</t>
        </is>
      </c>
      <c r="C133" s="22" t="n">
        <v>-3.263</v>
      </c>
      <c r="E133" s="22" t="n">
        <v>1.888</v>
      </c>
      <c r="G133" s="22" t="n">
        <v>3.263</v>
      </c>
      <c r="I133" s="22" t="n">
        <v>-0.575</v>
      </c>
      <c r="K133" s="22" t="n">
        <v>0</v>
      </c>
      <c r="M133" s="22" t="n">
        <v>0</v>
      </c>
      <c r="U133" s="22" t="n">
        <v>12.051</v>
      </c>
      <c r="V133" s="22" t="n">
        <v>-3.263</v>
      </c>
      <c r="W133" s="22" t="n">
        <v>3.263</v>
      </c>
      <c r="X133" s="22" t="n">
        <v>0</v>
      </c>
    </row>
    <row r="134">
      <c r="A134" s="20" t="inlineStr">
        <is>
          <t>Decrease Increase In Real Estate For Sale Ope CF</t>
        </is>
      </c>
      <c r="C134" s="22" t="n">
        <v>458.368</v>
      </c>
      <c r="E134" s="22" t="n">
        <v>-1360.403</v>
      </c>
      <c r="G134" s="22" t="n">
        <v>-2308.269</v>
      </c>
      <c r="I134" s="22" t="n">
        <v>2374.402</v>
      </c>
      <c r="K134" s="22" t="n">
        <v>1975.98</v>
      </c>
      <c r="M134" s="22" t="n">
        <v>1038.441</v>
      </c>
      <c r="U134" s="22" t="n">
        <v>-589.914</v>
      </c>
      <c r="V134" s="22" t="n">
        <v>458.368</v>
      </c>
      <c r="W134" s="22" t="n">
        <v>-2308.269</v>
      </c>
      <c r="X134" s="22" t="n">
        <v>1975.98</v>
      </c>
    </row>
    <row r="135">
      <c r="A135" s="20" t="inlineStr">
        <is>
          <t>매입채무 증감</t>
        </is>
      </c>
      <c r="C135" s="22" t="n">
        <v>45.917</v>
      </c>
      <c r="E135" s="22" t="n">
        <v>7.708</v>
      </c>
      <c r="G135" s="22" t="n">
        <v>33.649</v>
      </c>
      <c r="I135" s="22" t="n">
        <v>22.472</v>
      </c>
      <c r="K135" s="22" t="n">
        <v>20.6</v>
      </c>
      <c r="M135" s="22" t="n">
        <v>-25.837</v>
      </c>
      <c r="U135" s="22" t="n">
        <v>20.248</v>
      </c>
      <c r="V135" s="22" t="n">
        <v>45.917</v>
      </c>
      <c r="W135" s="22" t="n">
        <v>33.649</v>
      </c>
      <c r="X135" s="22" t="n">
        <v>20.6</v>
      </c>
    </row>
    <row r="136">
      <c r="A136" s="20" t="inlineStr">
        <is>
          <t>고정자산 매각손익</t>
        </is>
      </c>
      <c r="G136" s="22" t="n">
        <v>0</v>
      </c>
      <c r="K136" s="22" t="n">
        <v>-0.617</v>
      </c>
      <c r="W136" s="22" t="n">
        <v>0</v>
      </c>
      <c r="X136" s="22" t="n">
        <v>-0.617</v>
      </c>
    </row>
    <row r="137">
      <c r="A137" s="20" t="inlineStr">
        <is>
          <t>선급비용 증감</t>
        </is>
      </c>
      <c r="C137" s="22" t="n">
        <v>-29.366</v>
      </c>
      <c r="E137" s="22" t="n">
        <v>-12.012</v>
      </c>
      <c r="G137" s="22" t="n">
        <v>-37.125</v>
      </c>
      <c r="I137" s="22" t="n">
        <v>5.775</v>
      </c>
      <c r="K137" s="22" t="n">
        <v>11.402</v>
      </c>
      <c r="M137" s="22" t="n">
        <v>-17.133</v>
      </c>
      <c r="U137" s="22" t="n">
        <v>-29.051</v>
      </c>
      <c r="V137" s="22" t="n">
        <v>-29.366</v>
      </c>
      <c r="W137" s="22" t="n">
        <v>-37.125</v>
      </c>
      <c r="X137" s="22" t="n">
        <v>11.402</v>
      </c>
    </row>
    <row r="138">
      <c r="A138" s="20" t="inlineStr">
        <is>
          <t>장기선급비용 증감</t>
        </is>
      </c>
      <c r="C138" s="22" t="n">
        <v>0.255</v>
      </c>
      <c r="G138" s="22" t="n">
        <v>0</v>
      </c>
      <c r="U138" s="22" t="n">
        <v>3.06</v>
      </c>
      <c r="V138" s="22" t="n">
        <v>0.255</v>
      </c>
      <c r="W138" s="22" t="n">
        <v>0</v>
      </c>
    </row>
    <row r="139">
      <c r="A139" s="20" t="inlineStr">
        <is>
          <t>기타 자산 증감</t>
        </is>
      </c>
      <c r="C139" s="22" t="n">
        <v>8.253</v>
      </c>
      <c r="E139" s="22" t="n">
        <v>-167.771</v>
      </c>
      <c r="G139" s="22" t="n">
        <v>3.373</v>
      </c>
      <c r="I139" s="22" t="n">
        <v>-7.551</v>
      </c>
      <c r="K139" s="22" t="n">
        <v>-5.638</v>
      </c>
      <c r="M139" s="22" t="n">
        <v>37.366</v>
      </c>
      <c r="U139" s="22" t="n">
        <v>54.026</v>
      </c>
      <c r="V139" s="22" t="n">
        <v>8.253</v>
      </c>
      <c r="W139" s="22" t="n">
        <v>3.373</v>
      </c>
      <c r="X139" s="22" t="n">
        <v>-5.638</v>
      </c>
    </row>
    <row r="140">
      <c r="A140" s="20" t="inlineStr">
        <is>
          <t>미지급금 증감</t>
        </is>
      </c>
      <c r="C140" s="22" t="n">
        <v>-47.061</v>
      </c>
      <c r="E140" s="22" t="n">
        <v>5.911</v>
      </c>
      <c r="G140" s="22" t="n">
        <v>14.71</v>
      </c>
      <c r="I140" s="22" t="n">
        <v>32.933</v>
      </c>
      <c r="K140" s="22" t="n">
        <v>97.709</v>
      </c>
      <c r="M140" s="22" t="n">
        <v>-50.927</v>
      </c>
      <c r="U140" s="22" t="n">
        <v>26.431</v>
      </c>
      <c r="V140" s="22" t="n">
        <v>-47.061</v>
      </c>
      <c r="W140" s="22" t="n">
        <v>14.71</v>
      </c>
      <c r="X140" s="22" t="n">
        <v>97.709</v>
      </c>
    </row>
    <row r="141">
      <c r="A141" s="20" t="inlineStr">
        <is>
          <t>미지급비용 증감</t>
        </is>
      </c>
      <c r="C141" s="22" t="n">
        <v>22.299</v>
      </c>
      <c r="E141" s="22" t="n">
        <v>-4.702</v>
      </c>
      <c r="G141" s="22" t="n">
        <v>-0.482</v>
      </c>
      <c r="I141" s="22" t="n">
        <v>-7.26</v>
      </c>
      <c r="K141" s="22" t="n">
        <v>18.96</v>
      </c>
      <c r="M141" s="22" t="n">
        <v>-9.377000000000001</v>
      </c>
      <c r="U141" s="22" t="n">
        <v>16.329</v>
      </c>
      <c r="V141" s="22" t="n">
        <v>22.299</v>
      </c>
      <c r="W141" s="22" t="n">
        <v>-0.482</v>
      </c>
      <c r="X141" s="22" t="n">
        <v>18.96</v>
      </c>
    </row>
    <row r="142">
      <c r="A142" s="20" t="inlineStr">
        <is>
          <t>선수금 증감</t>
        </is>
      </c>
      <c r="C142" s="22" t="n">
        <v>12.077</v>
      </c>
      <c r="E142" s="22" t="n">
        <v>22.774</v>
      </c>
      <c r="G142" s="22" t="n">
        <v>99.64100000000001</v>
      </c>
      <c r="I142" s="22" t="n">
        <v>-32.008</v>
      </c>
      <c r="K142" s="22" t="n">
        <v>-13.338</v>
      </c>
      <c r="M142" s="22" t="n">
        <v>-32.046</v>
      </c>
      <c r="U142" s="22" t="n">
        <v>12.908</v>
      </c>
      <c r="V142" s="22" t="n">
        <v>12.077</v>
      </c>
      <c r="W142" s="22" t="n">
        <v>99.64100000000001</v>
      </c>
      <c r="X142" s="22" t="n">
        <v>-13.338</v>
      </c>
    </row>
    <row r="143">
      <c r="A143" s="20" t="inlineStr">
        <is>
          <t>계약부채 증감</t>
        </is>
      </c>
      <c r="C143" s="22" t="n">
        <v>286.535</v>
      </c>
      <c r="E143" s="22" t="n">
        <v>-275.301</v>
      </c>
      <c r="U143" s="22" t="n">
        <v>27.762</v>
      </c>
      <c r="V143" s="22" t="n">
        <v>286.535</v>
      </c>
    </row>
    <row r="144">
      <c r="A144" s="20" t="inlineStr">
        <is>
          <t>계약부채 증감</t>
        </is>
      </c>
      <c r="C144" s="22" t="n">
        <v>286.535</v>
      </c>
      <c r="E144" s="22" t="n">
        <v>-275.301</v>
      </c>
      <c r="G144" s="22" t="n">
        <v>-273.019</v>
      </c>
      <c r="I144" s="22" t="n">
        <v>79.431</v>
      </c>
      <c r="K144" s="22" t="n">
        <v>269.494</v>
      </c>
      <c r="M144" s="22" t="n">
        <v>-272.881</v>
      </c>
      <c r="V144" s="22" t="n">
        <v>286.535</v>
      </c>
      <c r="W144" s="22" t="n">
        <v>-273.019</v>
      </c>
      <c r="X144" s="22" t="n">
        <v>269.494</v>
      </c>
    </row>
    <row r="145">
      <c r="A145" s="20" t="inlineStr">
        <is>
          <t>예수금 증감</t>
        </is>
      </c>
      <c r="C145" s="22" t="n">
        <v>1.67</v>
      </c>
      <c r="E145" s="22" t="n">
        <v>34.561</v>
      </c>
      <c r="G145" s="22" t="n">
        <v>3.785</v>
      </c>
      <c r="I145" s="22" t="n">
        <v>29.874</v>
      </c>
      <c r="K145" s="22" t="n">
        <v>27.209</v>
      </c>
      <c r="M145" s="22" t="n">
        <v>24.378</v>
      </c>
      <c r="U145" s="22" t="n">
        <v>53.787</v>
      </c>
      <c r="V145" s="22" t="n">
        <v>1.67</v>
      </c>
      <c r="W145" s="22" t="n">
        <v>3.785</v>
      </c>
      <c r="X145" s="22" t="n">
        <v>27.209</v>
      </c>
    </row>
    <row r="146">
      <c r="A146" s="20" t="inlineStr">
        <is>
          <t>Increase Decrease In Guarantee Deposits Received Ope CF</t>
        </is>
      </c>
      <c r="C146" s="22" t="n">
        <v>112.962</v>
      </c>
      <c r="E146" s="22" t="n">
        <v>35.098</v>
      </c>
      <c r="G146" s="22" t="n">
        <v>101.628</v>
      </c>
      <c r="I146" s="22" t="n">
        <v>28.595</v>
      </c>
      <c r="K146" s="22" t="n">
        <v>-36.276</v>
      </c>
      <c r="M146" s="22" t="n">
        <v>98.77</v>
      </c>
      <c r="U146" s="22" t="n">
        <v>215.822</v>
      </c>
      <c r="V146" s="22" t="n">
        <v>112.962</v>
      </c>
      <c r="W146" s="22" t="n">
        <v>101.628</v>
      </c>
      <c r="X146" s="22" t="n">
        <v>-36.276</v>
      </c>
    </row>
    <row r="147">
      <c r="A147" s="20" t="inlineStr">
        <is>
          <t>기타 부채 증감</t>
        </is>
      </c>
      <c r="C147" s="22" t="n">
        <v>117.824</v>
      </c>
      <c r="E147" s="22" t="n">
        <v>76.48999999999999</v>
      </c>
      <c r="G147" s="22" t="n">
        <v>35.132</v>
      </c>
      <c r="I147" s="22" t="n">
        <v>93.90900000000001</v>
      </c>
      <c r="K147" s="22" t="n">
        <v>161.062</v>
      </c>
      <c r="M147" s="22" t="n">
        <v>-46.889</v>
      </c>
      <c r="U147" s="22" t="n">
        <v>-46.211</v>
      </c>
      <c r="V147" s="22" t="n">
        <v>117.824</v>
      </c>
      <c r="W147" s="22" t="n">
        <v>35.132</v>
      </c>
      <c r="X147" s="22" t="n">
        <v>161.062</v>
      </c>
    </row>
    <row r="148">
      <c r="A148" s="20" t="inlineStr">
        <is>
          <t>기타</t>
        </is>
      </c>
      <c r="C148" s="22" t="n">
        <v>0.011</v>
      </c>
      <c r="E148" s="22" t="n">
        <v>0.23</v>
      </c>
      <c r="G148" s="22" t="n">
        <v>0.23</v>
      </c>
      <c r="I148" s="22" t="n">
        <v>0.058</v>
      </c>
      <c r="K148" s="22" t="n">
        <v>0.058</v>
      </c>
      <c r="M148" s="22" t="n">
        <v>0</v>
      </c>
      <c r="U148" s="22" t="n">
        <v>0.189</v>
      </c>
      <c r="V148" s="22" t="n">
        <v>0.011</v>
      </c>
      <c r="W148" s="22" t="n">
        <v>0.23</v>
      </c>
      <c r="X148" s="22" t="n">
        <v>0.058</v>
      </c>
    </row>
    <row r="149">
      <c r="A149" s="20" t="inlineStr">
        <is>
          <t>소계</t>
        </is>
      </c>
      <c r="C149" s="22" t="n">
        <v>1717.685</v>
      </c>
      <c r="E149" s="22" t="n">
        <v>-751.978</v>
      </c>
      <c r="G149" s="22" t="n">
        <v>-1148.382</v>
      </c>
      <c r="I149" s="22" t="n">
        <v>3531.845</v>
      </c>
      <c r="K149" s="22" t="n">
        <v>3981.418</v>
      </c>
      <c r="M149" s="22" t="n">
        <v>1930.84</v>
      </c>
      <c r="U149" s="22" t="n">
        <v>517.5170000000001</v>
      </c>
      <c r="V149" s="22" t="n">
        <v>1717.685</v>
      </c>
      <c r="W149" s="22" t="n">
        <v>-1148.382</v>
      </c>
      <c r="X149" s="22" t="n">
        <v>3981.418</v>
      </c>
    </row>
    <row r="150">
      <c r="A150" s="20" t="inlineStr">
        <is>
          <t>이자 지급</t>
        </is>
      </c>
      <c r="C150" s="22" t="n">
        <v>-45.229</v>
      </c>
      <c r="E150" s="22" t="n">
        <v>-25.563</v>
      </c>
      <c r="G150" s="22" t="n">
        <v>-73.98999999999999</v>
      </c>
      <c r="I150" s="22" t="n">
        <v>-71.508</v>
      </c>
      <c r="K150" s="22" t="n">
        <v>-164.696</v>
      </c>
      <c r="M150" s="22" t="n">
        <v>-133.549</v>
      </c>
      <c r="U150" s="22" t="n">
        <v>-33.948</v>
      </c>
      <c r="V150" s="22" t="n">
        <v>-45.229</v>
      </c>
      <c r="W150" s="22" t="n">
        <v>-73.98999999999999</v>
      </c>
      <c r="X150" s="22" t="n">
        <v>-164.696</v>
      </c>
    </row>
    <row r="151">
      <c r="A151" s="20" t="inlineStr">
        <is>
          <t>이자·배당금 수취</t>
        </is>
      </c>
      <c r="C151" s="22" t="n">
        <v>0.008</v>
      </c>
      <c r="E151" s="22" t="n">
        <v>0.008999999999999999</v>
      </c>
      <c r="G151" s="22" t="n">
        <v>0.122</v>
      </c>
      <c r="I151" s="22" t="n">
        <v>0.861</v>
      </c>
      <c r="K151" s="22" t="n">
        <v>2.981</v>
      </c>
      <c r="M151" s="22" t="n">
        <v>1.528</v>
      </c>
      <c r="U151" s="22" t="n">
        <v>0.007</v>
      </c>
      <c r="V151" s="22" t="n">
        <v>0.008</v>
      </c>
      <c r="W151" s="22" t="n">
        <v>0.122</v>
      </c>
      <c r="X151" s="22" t="n">
        <v>2.981</v>
      </c>
    </row>
    <row r="152">
      <c r="A152" s="20" t="inlineStr">
        <is>
          <t>보조금 수취</t>
        </is>
      </c>
      <c r="C152" s="22" t="n">
        <v>1.32</v>
      </c>
      <c r="E152" s="22" t="n">
        <v>0</v>
      </c>
      <c r="G152" s="22" t="n">
        <v>0</v>
      </c>
      <c r="U152" s="22" t="n">
        <v>0</v>
      </c>
      <c r="V152" s="22" t="n">
        <v>1.32</v>
      </c>
      <c r="W152" s="22" t="n">
        <v>0</v>
      </c>
    </row>
    <row r="153">
      <c r="A153" s="20" t="inlineStr">
        <is>
          <t>법인세 납부</t>
        </is>
      </c>
      <c r="C153" s="22" t="n">
        <v>-157.871</v>
      </c>
      <c r="E153" s="22" t="n">
        <v>-58.438</v>
      </c>
      <c r="G153" s="22" t="n">
        <v>-121.019</v>
      </c>
      <c r="I153" s="22" t="n">
        <v>-152.563</v>
      </c>
      <c r="K153" s="22" t="n">
        <v>-260.402</v>
      </c>
      <c r="M153" s="22" t="n">
        <v>-137.155</v>
      </c>
      <c r="U153" s="22" t="n">
        <v>-72.386</v>
      </c>
      <c r="V153" s="22" t="n">
        <v>-157.871</v>
      </c>
      <c r="W153" s="22" t="n">
        <v>-121.019</v>
      </c>
      <c r="X153" s="22" t="n">
        <v>-260.402</v>
      </c>
    </row>
    <row r="154">
      <c r="A154" s="20" t="inlineStr">
        <is>
          <t>보상금 수취</t>
        </is>
      </c>
      <c r="C154" s="22" t="n">
        <v>0</v>
      </c>
      <c r="E154" s="22" t="n">
        <v>9.5</v>
      </c>
      <c r="G154" s="22" t="n">
        <v>9.5</v>
      </c>
      <c r="I154" s="22" t="n">
        <v>0</v>
      </c>
      <c r="K154" s="22" t="n">
        <v>1.171</v>
      </c>
      <c r="V154" s="22" t="n">
        <v>0</v>
      </c>
      <c r="W154" s="22" t="n">
        <v>9.5</v>
      </c>
      <c r="X154" s="22" t="n">
        <v>1.171</v>
      </c>
    </row>
    <row r="155">
      <c r="A155" s="20" t="inlineStr">
        <is>
          <t>Compensation Paid Ope CF</t>
        </is>
      </c>
      <c r="C155" s="22" t="n">
        <v>-10</v>
      </c>
      <c r="E155" s="22" t="n">
        <v>0</v>
      </c>
      <c r="G155" s="22" t="n">
        <v>0</v>
      </c>
      <c r="U155" s="22" t="n">
        <v>0</v>
      </c>
      <c r="V155" s="22" t="n">
        <v>-10</v>
      </c>
      <c r="W155" s="22" t="n">
        <v>0</v>
      </c>
    </row>
    <row r="156">
      <c r="A156" s="20" t="inlineStr">
        <is>
          <t>Support Money Received Ope CF</t>
        </is>
      </c>
      <c r="C156" s="22" t="n">
        <v>0</v>
      </c>
      <c r="E156" s="22" t="n">
        <v>0.297</v>
      </c>
      <c r="G156" s="22" t="n">
        <v>1.177</v>
      </c>
      <c r="I156" s="22" t="n">
        <v>0</v>
      </c>
      <c r="K156" s="22" t="n">
        <v>0.209</v>
      </c>
      <c r="M156" s="22" t="n">
        <v>0.21</v>
      </c>
      <c r="U156" s="22" t="n">
        <v>0.556</v>
      </c>
      <c r="V156" s="22" t="n">
        <v>0</v>
      </c>
      <c r="W156" s="22" t="n">
        <v>1.177</v>
      </c>
      <c r="X156" s="22" t="n">
        <v>0.209</v>
      </c>
    </row>
    <row r="157">
      <c r="A157" s="20" t="inlineStr">
        <is>
          <t>Penalty Paid Ope CF</t>
        </is>
      </c>
      <c r="C157" s="22" t="n">
        <v>-0.011</v>
      </c>
      <c r="U157" s="22" t="n">
        <v>-1.141</v>
      </c>
      <c r="V157" s="22" t="n">
        <v>-0.011</v>
      </c>
    </row>
    <row r="158">
      <c r="A158" s="20" t="inlineStr">
        <is>
          <t>기타</t>
        </is>
      </c>
      <c r="C158" s="22" t="n">
        <v>-0.011</v>
      </c>
      <c r="E158" s="22" t="n">
        <v>-0.23</v>
      </c>
      <c r="G158" s="22" t="n">
        <v>-0.23</v>
      </c>
      <c r="I158" s="22" t="n">
        <v>-0.058</v>
      </c>
      <c r="K158" s="22" t="n">
        <v>-0.058</v>
      </c>
      <c r="M158" s="22" t="n">
        <v>0</v>
      </c>
      <c r="V158" s="22" t="n">
        <v>-0.011</v>
      </c>
      <c r="W158" s="22" t="n">
        <v>-0.23</v>
      </c>
      <c r="X158" s="22" t="n">
        <v>-0.058</v>
      </c>
    </row>
    <row r="159">
      <c r="A159" s="9" t="inlineStr">
        <is>
          <t>영업활동 현금흐름</t>
        </is>
      </c>
      <c r="C159" s="12" t="n">
        <v>1505.901</v>
      </c>
      <c r="E159" s="12" t="n">
        <v>-826.404</v>
      </c>
      <c r="G159" s="12" t="n">
        <v>-1332.824</v>
      </c>
      <c r="I159" s="12" t="n">
        <v>3308.576</v>
      </c>
      <c r="K159" s="12" t="n">
        <v>3560.622</v>
      </c>
      <c r="M159" s="12" t="n">
        <v>1661.873</v>
      </c>
      <c r="U159" s="12" t="n">
        <v>410.604</v>
      </c>
      <c r="V159" s="12" t="n">
        <v>1505.901</v>
      </c>
      <c r="W159" s="12" t="n">
        <v>-1332.824</v>
      </c>
      <c r="X159" s="12" t="n">
        <v>3560.622</v>
      </c>
    </row>
    <row r="160">
      <c r="A160" s="20" t="inlineStr">
        <is>
          <t>정기예금 인출</t>
        </is>
      </c>
      <c r="C160" s="22" t="n">
        <v>0</v>
      </c>
      <c r="U160" s="22" t="n">
        <v>10</v>
      </c>
      <c r="V160" s="22" t="n">
        <v>0</v>
      </c>
    </row>
    <row r="161">
      <c r="A161" s="20" t="inlineStr">
        <is>
          <t>유형자산 취득(설비투자)</t>
        </is>
      </c>
      <c r="C161" s="22" t="n">
        <v>-2911.956</v>
      </c>
      <c r="E161" s="22" t="n">
        <v>-115.996</v>
      </c>
      <c r="G161" s="22" t="n">
        <v>-3197.148</v>
      </c>
      <c r="I161" s="22" t="n">
        <v>-4143.581</v>
      </c>
      <c r="K161" s="22" t="n">
        <v>-7739.481</v>
      </c>
      <c r="M161" s="22" t="n">
        <v>-5356.227</v>
      </c>
      <c r="U161" s="22" t="n">
        <v>-2255.84</v>
      </c>
      <c r="V161" s="22" t="n">
        <v>-2911.956</v>
      </c>
      <c r="W161" s="22" t="n">
        <v>-3197.148</v>
      </c>
      <c r="X161" s="22" t="n">
        <v>-7739.481</v>
      </c>
    </row>
    <row r="162">
      <c r="A162" s="20" t="inlineStr">
        <is>
          <t>유형자산 제각 지출</t>
        </is>
      </c>
      <c r="C162" s="22" t="n">
        <v>-1.178</v>
      </c>
      <c r="E162" s="22" t="n">
        <v>0</v>
      </c>
      <c r="G162" s="22" t="n">
        <v>0</v>
      </c>
      <c r="U162" s="22" t="n">
        <v>-0.008999999999999999</v>
      </c>
      <c r="V162" s="22" t="n">
        <v>-1.178</v>
      </c>
      <c r="W162" s="22" t="n">
        <v>0</v>
      </c>
    </row>
    <row r="163">
      <c r="A163" s="20" t="inlineStr">
        <is>
          <t>유형자산 매각</t>
        </is>
      </c>
      <c r="G163" s="22" t="n">
        <v>0</v>
      </c>
      <c r="K163" s="22" t="n">
        <v>0.617</v>
      </c>
      <c r="W163" s="22" t="n">
        <v>0</v>
      </c>
      <c r="X163" s="22" t="n">
        <v>0.617</v>
      </c>
    </row>
    <row r="164">
      <c r="A164" s="20" t="inlineStr">
        <is>
          <t>무형자산 취득</t>
        </is>
      </c>
      <c r="C164" s="22" t="n">
        <v>-17.242</v>
      </c>
      <c r="E164" s="22" t="n">
        <v>-7.942</v>
      </c>
      <c r="G164" s="22" t="n">
        <v>-7.942</v>
      </c>
      <c r="I164" s="22" t="n">
        <v>-17.336</v>
      </c>
      <c r="K164" s="22" t="n">
        <v>-27.291</v>
      </c>
      <c r="M164" s="22" t="n">
        <v>-1.727</v>
      </c>
      <c r="U164" s="22" t="n">
        <v>-58.394</v>
      </c>
      <c r="V164" s="22" t="n">
        <v>-17.242</v>
      </c>
      <c r="W164" s="22" t="n">
        <v>-7.942</v>
      </c>
      <c r="X164" s="22" t="n">
        <v>-27.291</v>
      </c>
    </row>
    <row r="165">
      <c r="A165" s="20" t="inlineStr">
        <is>
          <t>자산복구부채 이행 지출</t>
        </is>
      </c>
      <c r="C165" s="22" t="n">
        <v>0</v>
      </c>
      <c r="U165" s="22" t="n">
        <v>-5.951</v>
      </c>
      <c r="V165" s="22" t="n">
        <v>0</v>
      </c>
    </row>
    <row r="166">
      <c r="A166" s="20" t="inlineStr">
        <is>
          <t>장기대여</t>
        </is>
      </c>
      <c r="C166" s="22" t="n">
        <v>0</v>
      </c>
      <c r="E166" s="22" t="n">
        <v>-33.423</v>
      </c>
      <c r="G166" s="22" t="n">
        <v>-59.91</v>
      </c>
      <c r="I166" s="22" t="n">
        <v>-10.105</v>
      </c>
      <c r="K166" s="22" t="n">
        <v>-17.423</v>
      </c>
      <c r="M166" s="22" t="n">
        <v>0</v>
      </c>
      <c r="V166" s="22" t="n">
        <v>0</v>
      </c>
      <c r="W166" s="22" t="n">
        <v>-59.91</v>
      </c>
      <c r="X166" s="22" t="n">
        <v>-17.423</v>
      </c>
    </row>
    <row r="167">
      <c r="A167" s="20" t="inlineStr">
        <is>
          <t>장기대여금 회수</t>
        </is>
      </c>
      <c r="C167" s="22" t="n">
        <v>0</v>
      </c>
      <c r="E167" s="22" t="n">
        <v>0.202</v>
      </c>
      <c r="G167" s="22" t="n">
        <v>2.541</v>
      </c>
      <c r="I167" s="22" t="n">
        <v>2.339</v>
      </c>
      <c r="K167" s="22" t="n">
        <v>5.085</v>
      </c>
      <c r="M167" s="22" t="n">
        <v>3.057</v>
      </c>
      <c r="V167" s="22" t="n">
        <v>0</v>
      </c>
      <c r="W167" s="22" t="n">
        <v>2.541</v>
      </c>
      <c r="X167" s="22" t="n">
        <v>5.085</v>
      </c>
    </row>
    <row r="168">
      <c r="A168" s="20" t="inlineStr">
        <is>
          <t>임차보증금·보증금 납입</t>
        </is>
      </c>
      <c r="C168" s="22" t="n">
        <v>-105.056</v>
      </c>
      <c r="E168" s="22" t="n">
        <v>-73.625</v>
      </c>
      <c r="G168" s="22" t="n">
        <v>-108.717</v>
      </c>
      <c r="I168" s="22" t="n">
        <v>-10.909</v>
      </c>
      <c r="K168" s="22" t="n">
        <v>-23.531</v>
      </c>
      <c r="M168" s="22" t="n">
        <v>-106.754</v>
      </c>
      <c r="U168" s="22" t="n">
        <v>-200.256</v>
      </c>
      <c r="V168" s="22" t="n">
        <v>-105.056</v>
      </c>
      <c r="W168" s="22" t="n">
        <v>-108.717</v>
      </c>
      <c r="X168" s="22" t="n">
        <v>-23.531</v>
      </c>
    </row>
    <row r="169">
      <c r="A169" s="20" t="inlineStr">
        <is>
          <t>임차보증금·보증금 회수</t>
        </is>
      </c>
      <c r="C169" s="22" t="n">
        <v>56.756</v>
      </c>
      <c r="E169" s="22" t="n">
        <v>28.167</v>
      </c>
      <c r="G169" s="22" t="n">
        <v>48.966</v>
      </c>
      <c r="I169" s="22" t="n">
        <v>41.186</v>
      </c>
      <c r="K169" s="22" t="n">
        <v>61.87</v>
      </c>
      <c r="M169" s="22" t="n">
        <v>61.02</v>
      </c>
      <c r="U169" s="22" t="n">
        <v>31.955</v>
      </c>
      <c r="V169" s="22" t="n">
        <v>56.756</v>
      </c>
      <c r="W169" s="22" t="n">
        <v>48.966</v>
      </c>
      <c r="X169" s="22" t="n">
        <v>61.87</v>
      </c>
    </row>
    <row r="170">
      <c r="A170" s="20" t="inlineStr">
        <is>
          <t>출자금 납입</t>
        </is>
      </c>
      <c r="I170" s="22" t="n">
        <v>0</v>
      </c>
      <c r="M170" s="22" t="n">
        <v>-10</v>
      </c>
    </row>
    <row r="171">
      <c r="A171" s="20" t="inlineStr">
        <is>
          <t>Decrease Increase In Other Investments Inv CF</t>
        </is>
      </c>
      <c r="C171" s="22" t="n">
        <v>-72.36</v>
      </c>
      <c r="E171" s="22" t="n">
        <v>-44.805</v>
      </c>
      <c r="G171" s="22" t="n">
        <v>-60.192</v>
      </c>
      <c r="I171" s="22" t="n">
        <v>-97.57599999999999</v>
      </c>
      <c r="K171" s="22" t="n">
        <v>-186.117</v>
      </c>
      <c r="M171" s="22" t="n">
        <v>-137.353</v>
      </c>
      <c r="U171" s="22" t="n">
        <v>-50.175</v>
      </c>
      <c r="V171" s="22" t="n">
        <v>-72.36</v>
      </c>
      <c r="W171" s="22" t="n">
        <v>-60.192</v>
      </c>
      <c r="X171" s="22" t="n">
        <v>-186.117</v>
      </c>
    </row>
    <row r="172">
      <c r="A172" s="9" t="inlineStr">
        <is>
          <t>투자활동 현금흐름</t>
        </is>
      </c>
      <c r="C172" s="12" t="n">
        <v>-3051.036</v>
      </c>
      <c r="E172" s="12" t="n">
        <v>-247.424</v>
      </c>
      <c r="G172" s="12" t="n">
        <v>-3382.402</v>
      </c>
      <c r="I172" s="12" t="n">
        <v>-4235.981</v>
      </c>
      <c r="K172" s="12" t="n">
        <v>-7926.27</v>
      </c>
      <c r="M172" s="12" t="n">
        <v>-5547.984</v>
      </c>
      <c r="U172" s="12" t="n">
        <v>-2528.67</v>
      </c>
      <c r="V172" s="12" t="n">
        <v>-3051.036</v>
      </c>
      <c r="W172" s="12" t="n">
        <v>-3382.402</v>
      </c>
      <c r="X172" s="12" t="n">
        <v>-7926.27</v>
      </c>
    </row>
    <row r="173">
      <c r="A173" s="20" t="inlineStr">
        <is>
          <t>단기차입금 순증감</t>
        </is>
      </c>
      <c r="C173" s="22" t="n">
        <v>1842</v>
      </c>
      <c r="E173" s="22" t="n">
        <v>-1727</v>
      </c>
      <c r="G173" s="22" t="n">
        <v>-1842</v>
      </c>
      <c r="I173" s="22" t="n">
        <v>135</v>
      </c>
      <c r="K173" s="22" t="n">
        <v>0</v>
      </c>
      <c r="M173" s="22" t="n">
        <v>1490</v>
      </c>
      <c r="U173" s="22" t="n">
        <v>-157</v>
      </c>
      <c r="V173" s="22" t="n">
        <v>1842</v>
      </c>
      <c r="W173" s="22" t="n">
        <v>-1842</v>
      </c>
      <c r="X173" s="22" t="n">
        <v>0</v>
      </c>
    </row>
    <row r="174">
      <c r="A174" s="20" t="inlineStr">
        <is>
          <t>장기차입</t>
        </is>
      </c>
      <c r="C174" s="22" t="n">
        <v>922.042</v>
      </c>
      <c r="E174" s="22" t="n">
        <v>3299</v>
      </c>
      <c r="G174" s="22" t="n">
        <v>7333</v>
      </c>
      <c r="I174" s="22" t="n">
        <v>3520</v>
      </c>
      <c r="K174" s="22" t="n">
        <v>9890</v>
      </c>
      <c r="M174" s="22" t="n">
        <v>3638.54</v>
      </c>
      <c r="U174" s="22" t="n">
        <v>3181</v>
      </c>
      <c r="V174" s="22" t="n">
        <v>922.042</v>
      </c>
      <c r="W174" s="22" t="n">
        <v>7333</v>
      </c>
      <c r="X174" s="22" t="n">
        <v>9890</v>
      </c>
    </row>
    <row r="175">
      <c r="A175" s="20" t="inlineStr">
        <is>
          <t>장기차입금 상환</t>
        </is>
      </c>
      <c r="C175" s="22" t="n">
        <v>-1132.054</v>
      </c>
      <c r="E175" s="22" t="n">
        <v>-1132.991</v>
      </c>
      <c r="G175" s="22" t="n">
        <v>-1557.67</v>
      </c>
      <c r="I175" s="22" t="n">
        <v>-1704.294</v>
      </c>
      <c r="K175" s="22" t="n">
        <v>-5661.186</v>
      </c>
      <c r="M175" s="22" t="n">
        <v>-1612.596</v>
      </c>
      <c r="U175" s="22" t="n">
        <v>-623.515</v>
      </c>
      <c r="V175" s="22" t="n">
        <v>-1132.054</v>
      </c>
      <c r="W175" s="22" t="n">
        <v>-1557.67</v>
      </c>
      <c r="X175" s="22" t="n">
        <v>-5661.186</v>
      </c>
    </row>
    <row r="176">
      <c r="A176" s="20" t="inlineStr">
        <is>
          <t>사채 상환</t>
        </is>
      </c>
      <c r="C176" s="22" t="n">
        <v>-20</v>
      </c>
      <c r="E176" s="22" t="n">
        <v>0</v>
      </c>
      <c r="G176" s="22" t="n">
        <v>0</v>
      </c>
      <c r="U176" s="22" t="n">
        <v>-20</v>
      </c>
      <c r="V176" s="22" t="n">
        <v>-20</v>
      </c>
      <c r="W176" s="22" t="n">
        <v>0</v>
      </c>
    </row>
    <row r="177">
      <c r="A177" s="20" t="inlineStr">
        <is>
          <t>신주예약권 행사에 따른 주식 발행</t>
        </is>
      </c>
      <c r="C177" s="22" t="n">
        <v>2.521</v>
      </c>
      <c r="E177" s="22" t="n">
        <v>0.711</v>
      </c>
      <c r="G177" s="22" t="n">
        <v>3.649</v>
      </c>
      <c r="I177" s="22" t="n">
        <v>2.796</v>
      </c>
      <c r="K177" s="22" t="n">
        <v>6.348</v>
      </c>
      <c r="M177" s="22" t="n">
        <v>11.284</v>
      </c>
      <c r="U177" s="22" t="n">
        <v>0</v>
      </c>
      <c r="V177" s="22" t="n">
        <v>2.521</v>
      </c>
      <c r="W177" s="22" t="n">
        <v>3.649</v>
      </c>
      <c r="X177" s="22" t="n">
        <v>6.348</v>
      </c>
    </row>
    <row r="178">
      <c r="A178" s="20" t="inlineStr">
        <is>
          <t>주식 발행</t>
        </is>
      </c>
      <c r="C178" s="22" t="n">
        <v>1268.859</v>
      </c>
      <c r="G178" s="22" t="n">
        <v>0</v>
      </c>
      <c r="U178" s="22" t="n">
        <v>0</v>
      </c>
      <c r="V178" s="22" t="n">
        <v>1268.859</v>
      </c>
      <c r="W178" s="22" t="n">
        <v>0</v>
      </c>
    </row>
    <row r="179">
      <c r="A179" s="20" t="inlineStr">
        <is>
          <t>Payments For Issuance Of Common Stock Fin CF</t>
        </is>
      </c>
      <c r="C179" s="22" t="n">
        <v>-10.207</v>
      </c>
      <c r="E179" s="22" t="n">
        <v>-0.323</v>
      </c>
      <c r="G179" s="22" t="n">
        <v>-0.473</v>
      </c>
      <c r="I179" s="22" t="n">
        <v>0</v>
      </c>
      <c r="K179" s="22" t="n">
        <v>0</v>
      </c>
      <c r="U179" s="22" t="n">
        <v>0</v>
      </c>
      <c r="V179" s="22" t="n">
        <v>-10.207</v>
      </c>
      <c r="W179" s="22" t="n">
        <v>-0.473</v>
      </c>
      <c r="X179" s="22" t="n">
        <v>0</v>
      </c>
    </row>
    <row r="180">
      <c r="A180" s="20" t="inlineStr">
        <is>
          <t>Deposit For Subscriptions To Shares Income Fin CF</t>
        </is>
      </c>
      <c r="E180" s="22" t="n">
        <v>0</v>
      </c>
      <c r="I180" s="22" t="n">
        <v>0.047</v>
      </c>
      <c r="M180" s="22" t="n">
        <v>0</v>
      </c>
    </row>
    <row r="181">
      <c r="A181" s="20" t="inlineStr">
        <is>
          <t>자기주식 취득</t>
        </is>
      </c>
      <c r="C181" s="22" t="n">
        <v>0</v>
      </c>
      <c r="E181" s="22" t="n">
        <v>-0.07099999999999999</v>
      </c>
      <c r="G181" s="22" t="n">
        <v>-0.218</v>
      </c>
      <c r="I181" s="22" t="n">
        <v>0</v>
      </c>
      <c r="K181" s="22" t="n">
        <v>0</v>
      </c>
      <c r="M181" s="22" t="n">
        <v>-0.136</v>
      </c>
      <c r="V181" s="22" t="n">
        <v>0</v>
      </c>
      <c r="W181" s="22" t="n">
        <v>-0.218</v>
      </c>
      <c r="X181" s="22" t="n">
        <v>0</v>
      </c>
    </row>
    <row r="182">
      <c r="A182" s="20" t="inlineStr">
        <is>
          <t>신주예약권 발행</t>
        </is>
      </c>
      <c r="C182" s="22" t="n">
        <v>0</v>
      </c>
      <c r="E182" s="22" t="n">
        <v>1.908</v>
      </c>
      <c r="G182" s="22" t="n">
        <v>1.908</v>
      </c>
      <c r="I182" s="22" t="n">
        <v>0.057</v>
      </c>
      <c r="K182" s="22" t="n">
        <v>0.057</v>
      </c>
      <c r="M182" s="22" t="n">
        <v>0.171</v>
      </c>
      <c r="U182" s="22" t="n">
        <v>5.351</v>
      </c>
      <c r="V182" s="22" t="n">
        <v>0</v>
      </c>
      <c r="W182" s="22" t="n">
        <v>1.908</v>
      </c>
      <c r="X182" s="22" t="n">
        <v>0.057</v>
      </c>
    </row>
    <row r="183">
      <c r="A183" s="20" t="inlineStr">
        <is>
          <t>상장 관련 비용 지출</t>
        </is>
      </c>
      <c r="C183" s="22" t="n">
        <v>-8.212</v>
      </c>
      <c r="G183" s="22" t="n">
        <v>0</v>
      </c>
      <c r="U183" s="22" t="n">
        <v>0</v>
      </c>
      <c r="V183" s="22" t="n">
        <v>-8.212</v>
      </c>
      <c r="W183" s="22" t="n">
        <v>0</v>
      </c>
    </row>
    <row r="184">
      <c r="A184" s="20" t="inlineStr">
        <is>
          <t>리스부채 상환</t>
        </is>
      </c>
      <c r="E184" s="22" t="n">
        <v>0</v>
      </c>
      <c r="G184" s="22" t="n">
        <v>0</v>
      </c>
      <c r="I184" s="22" t="n">
        <v>-0.11</v>
      </c>
      <c r="K184" s="22" t="n">
        <v>-0.442</v>
      </c>
      <c r="M184" s="22" t="n">
        <v>-0.331</v>
      </c>
      <c r="W184" s="22" t="n">
        <v>0</v>
      </c>
      <c r="X184" s="22" t="n">
        <v>-0.442</v>
      </c>
    </row>
    <row r="185">
      <c r="A185" s="20" t="inlineStr">
        <is>
          <t>Commission Fee Paid Fin CF</t>
        </is>
      </c>
      <c r="C185" s="22" t="n">
        <v>0</v>
      </c>
      <c r="E185" s="22" t="n">
        <v>-26.469</v>
      </c>
      <c r="G185" s="22" t="n">
        <v>-55.369</v>
      </c>
      <c r="I185" s="22" t="n">
        <v>-16.481</v>
      </c>
      <c r="K185" s="22" t="n">
        <v>-52.333</v>
      </c>
      <c r="M185" s="22" t="n">
        <v>-36.474</v>
      </c>
      <c r="U185" s="22" t="n">
        <v>-9.039999999999999</v>
      </c>
      <c r="V185" s="22" t="n">
        <v>0</v>
      </c>
      <c r="W185" s="22" t="n">
        <v>-55.369</v>
      </c>
      <c r="X185" s="22" t="n">
        <v>-52.333</v>
      </c>
    </row>
    <row r="186">
      <c r="A186" s="20" t="inlineStr">
        <is>
          <t>Payment Of Listing Expenses Fin CF</t>
        </is>
      </c>
      <c r="E186" s="22" t="n">
        <v>0</v>
      </c>
    </row>
    <row r="187">
      <c r="A187" s="9" t="inlineStr">
        <is>
          <t>재무활동 현금흐름</t>
        </is>
      </c>
      <c r="C187" s="12" t="n">
        <v>2864.949</v>
      </c>
      <c r="E187" s="12" t="n">
        <v>414.762</v>
      </c>
      <c r="G187" s="12" t="n">
        <v>3882.825</v>
      </c>
      <c r="I187" s="12" t="n">
        <v>1937.014</v>
      </c>
      <c r="K187" s="12" t="n">
        <v>4182.443</v>
      </c>
      <c r="M187" s="12" t="n">
        <v>3490.455</v>
      </c>
      <c r="U187" s="12" t="n">
        <v>2376.795</v>
      </c>
      <c r="V187" s="12" t="n">
        <v>2864.949</v>
      </c>
      <c r="W187" s="12" t="n">
        <v>3882.825</v>
      </c>
      <c r="X187" s="12" t="n">
        <v>4182.443</v>
      </c>
    </row>
    <row r="188">
      <c r="A188" s="20" t="inlineStr">
        <is>
          <t>현금성자산 증감</t>
        </is>
      </c>
      <c r="C188" s="22" t="n">
        <v>1319.814</v>
      </c>
      <c r="E188" s="22" t="n">
        <v>-659.066</v>
      </c>
      <c r="G188" s="22" t="n">
        <v>-832.401</v>
      </c>
      <c r="I188" s="22" t="n">
        <v>1009.609</v>
      </c>
      <c r="K188" s="22" t="n">
        <v>-183.205</v>
      </c>
      <c r="M188" s="22" t="n">
        <v>-395.654</v>
      </c>
      <c r="U188" s="22" t="n">
        <v>258.729</v>
      </c>
      <c r="V188" s="22" t="n">
        <v>1319.814</v>
      </c>
      <c r="W188" s="22" t="n">
        <v>-832.401</v>
      </c>
      <c r="X188" s="22" t="n">
        <v>-183.205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5532 재무상태표</t>
        </is>
      </c>
    </row>
    <row r="2">
      <c r="A2" s="45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</row>
    <row r="5">
      <c r="A5" s="9" t="inlineStr">
        <is>
          <t>유동자산</t>
        </is>
      </c>
      <c r="B5" s="10" t="n"/>
      <c r="C5" s="11" t="n">
        <v>4347.558</v>
      </c>
      <c r="D5" s="12" t="n">
        <v>4472.266</v>
      </c>
      <c r="E5" s="12" t="n">
        <v>3903.33</v>
      </c>
      <c r="F5" s="12" t="n">
        <v>3192.709</v>
      </c>
      <c r="G5" s="12" t="n">
        <v>5320.596</v>
      </c>
      <c r="H5" s="11" t="n">
        <v>2043.317</v>
      </c>
      <c r="I5" s="12" t="n">
        <v>4007.328</v>
      </c>
      <c r="J5" s="12" t="n">
        <v>5526.633</v>
      </c>
      <c r="K5" s="12" t="n">
        <v>4472.266</v>
      </c>
    </row>
    <row r="6">
      <c r="A6" s="20" t="inlineStr">
        <is>
          <t>현금및현금성자산</t>
        </is>
      </c>
      <c r="B6" s="10" t="n"/>
      <c r="C6" s="21" t="n">
        <v>2051.601</v>
      </c>
      <c r="D6" s="22" t="n">
        <v>947.147</v>
      </c>
      <c r="E6" s="22" t="n">
        <v>1368.944</v>
      </c>
      <c r="F6" s="22" t="n">
        <v>551.492</v>
      </c>
      <c r="G6" s="22" t="n">
        <v>2170.351</v>
      </c>
      <c r="H6" s="21" t="n">
        <v>642.939</v>
      </c>
      <c r="I6" s="22" t="n">
        <v>1962.754</v>
      </c>
      <c r="J6" s="22" t="n">
        <v>1130.352</v>
      </c>
      <c r="K6" s="22" t="n">
        <v>947.147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</row>
    <row r="8">
      <c r="A8" s="20" t="inlineStr">
        <is>
          <t>매출채권</t>
        </is>
      </c>
      <c r="B8" s="10" t="n"/>
      <c r="C8" s="21" t="n"/>
      <c r="D8" s="22" t="n"/>
      <c r="E8" s="22" t="n"/>
      <c r="F8" s="22" t="n"/>
      <c r="G8" s="22" t="n"/>
      <c r="H8" s="21" t="n"/>
      <c r="I8" s="22" t="n"/>
      <c r="J8" s="22" t="n"/>
      <c r="K8" s="22" t="n"/>
    </row>
    <row r="9">
      <c r="A9" s="20" t="inlineStr">
        <is>
          <t>재고자산</t>
        </is>
      </c>
      <c r="B9" s="10" t="n"/>
      <c r="C9" s="21" t="n">
        <v>948.17</v>
      </c>
      <c r="D9" s="22" t="n">
        <v>2372.776</v>
      </c>
      <c r="E9" s="22" t="n">
        <v>1325.957</v>
      </c>
      <c r="F9" s="22" t="n">
        <v>1323.187</v>
      </c>
      <c r="G9" s="22" t="n">
        <v>1694.953</v>
      </c>
      <c r="H9" s="21" t="n">
        <v>589.453</v>
      </c>
      <c r="I9" s="22" t="n">
        <v>1010.532</v>
      </c>
      <c r="J9" s="22" t="n">
        <v>3299.284</v>
      </c>
      <c r="K9" s="22" t="n">
        <v>2372.776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</row>
    <row r="11">
      <c r="A11" s="9" t="inlineStr">
        <is>
          <t>비유동자산</t>
        </is>
      </c>
      <c r="B11" s="10" t="n"/>
      <c r="C11" s="11" t="n">
        <v>14609.096</v>
      </c>
      <c r="D11" s="12" t="n">
        <v>16792.466</v>
      </c>
      <c r="E11" s="12" t="n">
        <v>18231.458</v>
      </c>
      <c r="F11" s="12" t="n">
        <v>22050.124</v>
      </c>
      <c r="G11" s="12" t="n">
        <v>23359.552</v>
      </c>
      <c r="H11" s="11" t="n">
        <v>5716.793</v>
      </c>
      <c r="I11" s="12" t="n">
        <v>7399.641</v>
      </c>
      <c r="J11" s="12" t="n">
        <v>10368.085</v>
      </c>
      <c r="K11" s="12" t="n">
        <v>16792.466</v>
      </c>
    </row>
    <row r="12">
      <c r="A12" s="20" t="inlineStr">
        <is>
          <t>유형자산</t>
        </is>
      </c>
      <c r="B12" s="10" t="n"/>
      <c r="C12" s="21" t="n">
        <v>12290.623</v>
      </c>
      <c r="D12" s="22" t="n">
        <v>14440.749</v>
      </c>
      <c r="E12" s="22" t="n">
        <v>15890.711</v>
      </c>
      <c r="F12" s="22" t="n">
        <v>19477.626</v>
      </c>
      <c r="G12" s="22" t="n">
        <v>20826.975</v>
      </c>
      <c r="H12" s="21" t="n">
        <v>3799.943</v>
      </c>
      <c r="I12" s="22" t="n">
        <v>5393.194</v>
      </c>
      <c r="J12" s="22" t="n">
        <v>8153.064</v>
      </c>
      <c r="K12" s="22" t="n">
        <v>14440.749</v>
      </c>
    </row>
    <row r="13">
      <c r="A13" s="20" t="inlineStr">
        <is>
          <t>무형자산</t>
        </is>
      </c>
      <c r="B13" s="10" t="n"/>
      <c r="C13" s="21" t="n">
        <v>59.53</v>
      </c>
      <c r="D13" s="22" t="n">
        <v>60.748</v>
      </c>
      <c r="E13" s="22" t="n">
        <v>55.764</v>
      </c>
      <c r="F13" s="22" t="n">
        <v>50.114</v>
      </c>
      <c r="G13" s="22" t="n">
        <v>44.594</v>
      </c>
      <c r="H13" s="21" t="n">
        <v>74.785</v>
      </c>
      <c r="I13" s="22" t="n">
        <v>70.524</v>
      </c>
      <c r="J13" s="22" t="n">
        <v>58.505</v>
      </c>
      <c r="K13" s="22" t="n">
        <v>60.748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</row>
    <row r="16">
      <c r="A16" s="9" t="inlineStr">
        <is>
          <t>자산총계</t>
        </is>
      </c>
      <c r="B16" s="10" t="n"/>
      <c r="C16" s="11" t="n">
        <v>18956.654</v>
      </c>
      <c r="D16" s="12" t="n">
        <v>21264.732</v>
      </c>
      <c r="E16" s="12" t="n">
        <v>22134.789</v>
      </c>
      <c r="F16" s="12" t="n">
        <v>25242.833</v>
      </c>
      <c r="G16" s="12" t="n">
        <v>28680.149</v>
      </c>
      <c r="H16" s="11" t="n">
        <v>7760.11</v>
      </c>
      <c r="I16" s="12" t="n">
        <v>11406.97</v>
      </c>
      <c r="J16" s="12" t="n">
        <v>15894.719</v>
      </c>
      <c r="K16" s="12" t="n">
        <v>21264.732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</row>
    <row r="18">
      <c r="A18" s="9" t="inlineStr">
        <is>
          <t>유동부채</t>
        </is>
      </c>
      <c r="B18" s="10" t="n"/>
      <c r="C18" s="11" t="n">
        <v>3019.607</v>
      </c>
      <c r="D18" s="12" t="n">
        <v>3901.427</v>
      </c>
      <c r="E18" s="12" t="n">
        <v>3604.267</v>
      </c>
      <c r="F18" s="12" t="n">
        <v>5004.413</v>
      </c>
      <c r="G18" s="12" t="n">
        <v>5829.901</v>
      </c>
      <c r="H18" s="11" t="n">
        <v>1973.719</v>
      </c>
      <c r="I18" s="12" t="n">
        <v>4327.304</v>
      </c>
      <c r="J18" s="12" t="n">
        <v>5837.629</v>
      </c>
      <c r="K18" s="12" t="n">
        <v>3901.427</v>
      </c>
    </row>
    <row r="19">
      <c r="A19" s="20" t="inlineStr">
        <is>
          <t>매입채무</t>
        </is>
      </c>
      <c r="B19" s="10" t="n"/>
      <c r="C19" s="21" t="n"/>
      <c r="D19" s="22" t="n"/>
      <c r="E19" s="22" t="n"/>
      <c r="F19" s="22" t="n"/>
      <c r="G19" s="22" t="n"/>
      <c r="H19" s="21" t="n"/>
      <c r="I19" s="22" t="n"/>
      <c r="J19" s="22" t="n"/>
      <c r="K19" s="22" t="n"/>
    </row>
    <row r="20">
      <c r="A20" s="20" t="inlineStr">
        <is>
          <t>단기차입금</t>
        </is>
      </c>
      <c r="B20" s="10" t="n"/>
      <c r="C20" s="21" t="n"/>
      <c r="D20" s="22" t="n">
        <v>0</v>
      </c>
      <c r="E20" s="22" t="n">
        <v>180</v>
      </c>
      <c r="F20" s="22" t="n">
        <v>1490</v>
      </c>
      <c r="G20" s="22" t="n">
        <v>2000.45</v>
      </c>
      <c r="H20" s="21" t="n">
        <v>0</v>
      </c>
      <c r="I20" s="22" t="n">
        <v>1842</v>
      </c>
      <c r="J20" s="22" t="n">
        <v>0</v>
      </c>
      <c r="K20" s="22" t="n">
        <v>0</v>
      </c>
    </row>
    <row r="21">
      <c r="A21" s="20" t="inlineStr">
        <is>
          <t>유동성장기부채</t>
        </is>
      </c>
      <c r="B21" s="10" t="n"/>
      <c r="C21" s="21" t="n">
        <v>1010.521</v>
      </c>
      <c r="D21" s="22" t="n">
        <v>1646.526</v>
      </c>
      <c r="E21" s="22" t="n">
        <v>1598.036</v>
      </c>
      <c r="F21" s="22" t="n">
        <v>1608.847</v>
      </c>
      <c r="G21" s="22" t="n">
        <v>1783.23</v>
      </c>
      <c r="H21" s="21" t="n">
        <v>594.61</v>
      </c>
      <c r="I21" s="22" t="n">
        <v>791.965</v>
      </c>
      <c r="J21" s="22" t="n">
        <v>4126.706</v>
      </c>
      <c r="K21" s="22" t="n">
        <v>1646.526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</row>
    <row r="23">
      <c r="A23" s="9" t="inlineStr">
        <is>
          <t>비유동부채</t>
        </is>
      </c>
      <c r="B23" s="10" t="n"/>
      <c r="C23" s="11" t="n">
        <v>12573.825</v>
      </c>
      <c r="D23" s="12" t="n">
        <v>14011.697</v>
      </c>
      <c r="E23" s="12" t="n">
        <v>14585.997</v>
      </c>
      <c r="F23" s="12" t="n">
        <v>16174.586</v>
      </c>
      <c r="G23" s="12" t="n">
        <v>16348.8</v>
      </c>
      <c r="H23" s="11" t="n">
        <v>5049.475</v>
      </c>
      <c r="I23" s="12" t="n">
        <v>4798.113</v>
      </c>
      <c r="J23" s="12" t="n">
        <v>7345.438</v>
      </c>
      <c r="K23" s="12" t="n">
        <v>14011.697</v>
      </c>
    </row>
    <row r="24">
      <c r="A24" s="20" t="inlineStr">
        <is>
          <t>장기차입금</t>
        </is>
      </c>
      <c r="B24" s="10" t="n"/>
      <c r="C24" s="21" t="n">
        <v>10744.795</v>
      </c>
      <c r="D24" s="22" t="n">
        <v>12291.17</v>
      </c>
      <c r="E24" s="22" t="n">
        <v>12850.796</v>
      </c>
      <c r="F24" s="22" t="n">
        <v>14355.744</v>
      </c>
      <c r="G24" s="22" t="n">
        <v>14482.994</v>
      </c>
      <c r="H24" s="21" t="n">
        <v>3563.687</v>
      </c>
      <c r="I24" s="22" t="n">
        <v>3137.216</v>
      </c>
      <c r="J24" s="22" t="n">
        <v>5580.105</v>
      </c>
      <c r="K24" s="22" t="n">
        <v>12291.17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</row>
    <row r="27">
      <c r="A27" s="9" t="inlineStr">
        <is>
          <t>부채총계</t>
        </is>
      </c>
      <c r="B27" s="10" t="n"/>
      <c r="C27" s="11" t="n">
        <v>15593.432</v>
      </c>
      <c r="D27" s="12" t="n">
        <v>17913.124</v>
      </c>
      <c r="E27" s="12" t="n">
        <v>18190.264</v>
      </c>
      <c r="F27" s="12" t="n">
        <v>21179</v>
      </c>
      <c r="G27" s="12" t="n">
        <v>22178.701</v>
      </c>
      <c r="H27" s="11" t="n">
        <v>7023.194</v>
      </c>
      <c r="I27" s="12" t="n">
        <v>9125.418</v>
      </c>
      <c r="J27" s="12" t="n">
        <v>13183.068</v>
      </c>
      <c r="K27" s="12" t="n">
        <v>17913.124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</row>
    <row r="31">
      <c r="A31" s="9" t="inlineStr">
        <is>
          <t>지배주주지분</t>
        </is>
      </c>
      <c r="B31" s="10" t="n"/>
      <c r="C31" s="11" t="n">
        <v>3319.475</v>
      </c>
      <c r="D31" s="12" t="n">
        <v>3300.088</v>
      </c>
      <c r="E31" s="12" t="n">
        <v>3876.214</v>
      </c>
      <c r="F31" s="12" t="n">
        <v>3976.246</v>
      </c>
      <c r="G31" s="12" t="n">
        <v>6392.464</v>
      </c>
      <c r="H31" s="11" t="n">
        <v>731.564</v>
      </c>
      <c r="I31" s="12" t="n">
        <v>2281.552</v>
      </c>
      <c r="J31" s="12" t="n">
        <v>2692.252</v>
      </c>
      <c r="K31" s="12" t="n">
        <v>3300.088</v>
      </c>
    </row>
    <row r="32">
      <c r="A32" s="20" t="inlineStr">
        <is>
          <t>자본금</t>
        </is>
      </c>
      <c r="B32" s="10" t="n"/>
      <c r="C32" s="21" t="n">
        <v>705.121</v>
      </c>
      <c r="D32" s="22" t="n">
        <v>705.279</v>
      </c>
      <c r="E32" s="22" t="n">
        <v>705.279</v>
      </c>
      <c r="F32" s="22" t="n">
        <v>746.439</v>
      </c>
      <c r="G32" s="22" t="n">
        <v>1967.559</v>
      </c>
      <c r="H32" s="21" t="n">
        <v>30</v>
      </c>
      <c r="I32" s="22" t="n">
        <v>665.697</v>
      </c>
      <c r="J32" s="22" t="n">
        <v>680.971</v>
      </c>
      <c r="K32" s="22" t="n">
        <v>705.279</v>
      </c>
    </row>
    <row r="33">
      <c r="A33" s="20" t="inlineStr">
        <is>
          <t>이익잉여금</t>
        </is>
      </c>
      <c r="B33" s="10" t="n"/>
      <c r="C33" s="21" t="n">
        <v>1939.45</v>
      </c>
      <c r="D33" s="22" t="n">
        <v>1919.747</v>
      </c>
      <c r="E33" s="22" t="n">
        <v>2496.009</v>
      </c>
      <c r="F33" s="22" t="n">
        <v>2513.721</v>
      </c>
      <c r="G33" s="22" t="n">
        <v>2487.698</v>
      </c>
      <c r="H33" s="21" t="n">
        <v>701.564</v>
      </c>
      <c r="I33" s="22" t="n">
        <v>980.158</v>
      </c>
      <c r="J33" s="22" t="n">
        <v>1360.527</v>
      </c>
      <c r="K33" s="22" t="n">
        <v>1919.747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</row>
    <row r="35">
      <c r="A35" s="9" t="inlineStr">
        <is>
          <t>자본총계</t>
        </is>
      </c>
      <c r="B35" s="10" t="n"/>
      <c r="C35" s="11" t="n">
        <v>3363.222</v>
      </c>
      <c r="D35" s="12" t="n">
        <v>3351.607</v>
      </c>
      <c r="E35" s="12" t="n">
        <v>3944.525</v>
      </c>
      <c r="F35" s="12" t="n">
        <v>4063.832</v>
      </c>
      <c r="G35" s="12" t="n">
        <v>6501.447</v>
      </c>
      <c r="H35" s="11" t="n">
        <v>736.915</v>
      </c>
      <c r="I35" s="12" t="n">
        <v>2281.552</v>
      </c>
      <c r="J35" s="12" t="n">
        <v>2711.65</v>
      </c>
      <c r="K35" s="12" t="n">
        <v>3351.607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</row>
    <row r="37">
      <c r="A37" s="9" t="inlineStr">
        <is>
          <t>영업활동현금흐름</t>
        </is>
      </c>
      <c r="B37" s="10" t="n"/>
      <c r="C37" s="11" t="n"/>
      <c r="D37" s="12" t="n">
        <v>3560.622</v>
      </c>
      <c r="E37" s="12" t="n"/>
      <c r="F37" s="12" t="n">
        <v>1913.919</v>
      </c>
      <c r="G37" s="12" t="n"/>
      <c r="H37" s="11" t="n">
        <v>410.604</v>
      </c>
      <c r="I37" s="12" t="n">
        <v>1505.901</v>
      </c>
      <c r="J37" s="12" t="n">
        <v>-1332.824</v>
      </c>
      <c r="K37" s="12" t="n">
        <v>3560.622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7766.772</v>
      </c>
      <c r="E38" s="22" t="n"/>
      <c r="F38" s="22" t="n">
        <v>8963.808999999999</v>
      </c>
      <c r="G38" s="22" t="n"/>
      <c r="H38" s="21" t="n">
        <v>2314.234</v>
      </c>
      <c r="I38" s="22" t="n">
        <v>2929.198</v>
      </c>
      <c r="J38" s="22" t="n">
        <v>3205.09</v>
      </c>
      <c r="K38" s="22" t="n">
        <v>7766.772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/>
      <c r="J40" s="22" t="n"/>
      <c r="K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</row>
    <row r="43">
      <c r="A43" s="46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</row>
    <row r="44">
      <c r="A44" s="46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</row>
    <row r="45">
      <c r="A45" s="46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</row>
    <row r="46">
      <c r="A46" s="46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</row>
    <row r="47">
      <c r="A47" s="46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</row>
    <row r="48">
      <c r="A48" s="46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IFERROR(('연간'!U16)/('연간'!U38),"")</f>
        <v/>
      </c>
      <c r="I48" s="33">
        <f>IFERROR(('연간'!V16)/('연간'!V38),"")</f>
        <v/>
      </c>
      <c r="J48" s="33">
        <f>IFERROR(('연간'!W16)/('연간'!W38),"")</f>
        <v/>
      </c>
      <c r="K48" s="33">
        <f>IFERROR(('연간'!X16)/('연간'!X38),"")</f>
        <v/>
      </c>
    </row>
    <row r="49">
      <c r="A49" s="46" t="inlineStr">
        <is>
          <t>차입금 상환연수</t>
        </is>
      </c>
      <c r="B49" s="10" t="inlineStr">
        <is>
          <t>4년↓ (버핏)</t>
        </is>
      </c>
      <c r="C49" s="47">
        <f>IFERROR(IF((IF(COUNT('연간'!G44:J44)&lt;4,"",SUM('연간'!G44:J44)))&lt;=0,"적자",C28/(IF(COUNT('연간'!G44:J44)&lt;4,"",SUM('연간'!G44:J44)))),"")</f>
        <v/>
      </c>
      <c r="D49" s="48">
        <f>IFERROR(IF((IF(COUNT('연간'!H44:K44)&lt;4,"",SUM('연간'!H44:K44)))&lt;=0,"적자",D28/(IF(COUNT('연간'!H44:K44)&lt;4,"",SUM('연간'!H44:K44)))),"")</f>
        <v/>
      </c>
      <c r="E49" s="48">
        <f>IFERROR(IF((IF(COUNT('연간'!I44:L44)&lt;4,"",SUM('연간'!I44:L44)))&lt;=0,"적자",E28/(IF(COUNT('연간'!I44:L44)&lt;4,"",SUM('연간'!I44:L44)))),"")</f>
        <v/>
      </c>
      <c r="F49" s="48">
        <f>IFERROR(IF((IF(COUNT('연간'!J44:M44)&lt;4,"",SUM('연간'!J44:M44)))&lt;=0,"적자",F28/(IF(COUNT('연간'!J44:M44)&lt;4,"",SUM('연간'!J44:M44)))),"")</f>
        <v/>
      </c>
      <c r="G49" s="48">
        <f>IFERROR(IF((IF(COUNT('연간'!K44:N44)&lt;4,"",SUM('연간'!K44:N44)))&lt;=0,"적자",G28/(IF(COUNT('연간'!K44:N44)&lt;4,"",SUM('연간'!K44:N44)))),"")</f>
        <v/>
      </c>
      <c r="H49" s="47">
        <f>IFERROR(IF(('연간'!U44)&lt;=0,"적자",H28/('연간'!U44)),"")</f>
        <v/>
      </c>
      <c r="I49" s="48">
        <f>IFERROR(IF(('연간'!V44)&lt;=0,"적자",I28/('연간'!V44)),"")</f>
        <v/>
      </c>
      <c r="J49" s="48">
        <f>IFERROR(IF(('연간'!W44)&lt;=0,"적자",J28/('연간'!W44)),"")</f>
        <v/>
      </c>
      <c r="K49" s="48">
        <f>IFERROR(IF(('연간'!X44)&lt;=0,"적자",K28/('연간'!X44)),"")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</row>
    <row r="51">
      <c r="A51" s="46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IFERROR(('연간'!U44)/H31,"")</f>
        <v/>
      </c>
      <c r="I51" s="38">
        <f>IFERROR(('연간'!V44)/I31,"")</f>
        <v/>
      </c>
      <c r="J51" s="38">
        <f>IFERROR(('연간'!W44)/J31,"")</f>
        <v/>
      </c>
      <c r="K51" s="38">
        <f>IFERROR(('연간'!X44)/K31,"")</f>
        <v/>
      </c>
    </row>
    <row r="52">
      <c r="A52" s="46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IFERROR(('연간'!U43)/H16,"")</f>
        <v/>
      </c>
      <c r="I52" s="38">
        <f>IFERROR(('연간'!V43)/I16,"")</f>
        <v/>
      </c>
      <c r="J52" s="38">
        <f>IFERROR(('연간'!W43)/J16,"")</f>
        <v/>
      </c>
      <c r="K52" s="38">
        <f>IFERROR(('연간'!X43)/K16,"")</f>
        <v/>
      </c>
    </row>
    <row r="53">
      <c r="A53" s="46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IFERROR(('연간'!U16)*(1-0.3)/(H35+H29),"")</f>
        <v/>
      </c>
      <c r="I53" s="38">
        <f>IFERROR(('연간'!V16)*(1-0.3)/(I35+I29),"")</f>
        <v/>
      </c>
      <c r="J53" s="38">
        <f>IFERROR(('연간'!W16)*(1-0.3)/(J35+J29),"")</f>
        <v/>
      </c>
      <c r="K53" s="38">
        <f>IFERROR(('연간'!X16)*(1-0.3)/(K35+K29),"")</f>
        <v/>
      </c>
    </row>
    <row r="54">
      <c r="A54" s="46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IFERROR(('연간'!U12)/('연간'!U4),"")</f>
        <v/>
      </c>
      <c r="I54" s="38">
        <f>IFERROR(('연간'!V12)/('연간'!V4),"")</f>
        <v/>
      </c>
      <c r="J54" s="38">
        <f>IFERROR(('연간'!W12)/('연간'!W4),"")</f>
        <v/>
      </c>
      <c r="K54" s="38">
        <f>IFERROR(('연간'!X12)/('연간'!X4),"")</f>
        <v/>
      </c>
    </row>
    <row r="55">
      <c r="A55" s="46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IFERROR(('연간'!U16)/('연간'!U4),"")</f>
        <v/>
      </c>
      <c r="I55" s="38">
        <f>IFERROR(('연간'!V16)/('연간'!V4),"")</f>
        <v/>
      </c>
      <c r="J55" s="38">
        <f>IFERROR(('연간'!W16)/('연간'!W4),"")</f>
        <v/>
      </c>
      <c r="K55" s="38">
        <f>IFERROR(('연간'!X16)/('연간'!X4),"")</f>
        <v/>
      </c>
    </row>
    <row r="56">
      <c r="A56" s="46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IFERROR(('연간'!U43)/('연간'!U4),"")</f>
        <v/>
      </c>
      <c r="I56" s="38">
        <f>IFERROR(('연간'!V43)/('연간'!V4),"")</f>
        <v/>
      </c>
      <c r="J56" s="38">
        <f>IFERROR(('연간'!W43)/('연간'!W4),"")</f>
        <v/>
      </c>
      <c r="K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</row>
    <row r="58">
      <c r="A58" s="46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IFERROR(('연간'!U4)/H16,"")</f>
        <v/>
      </c>
      <c r="I58" s="33">
        <f>IFERROR(('연간'!V4)/I16,"")</f>
        <v/>
      </c>
      <c r="J58" s="33">
        <f>IFERROR(('연간'!W4)/J16,"")</f>
        <v/>
      </c>
      <c r="K58" s="33">
        <f>IFERROR(('연간'!X4)/K16,"")</f>
        <v/>
      </c>
    </row>
    <row r="59">
      <c r="A59" s="46" t="inlineStr">
        <is>
          <t>매출채권회전일수</t>
        </is>
      </c>
      <c r="B59" s="10" t="inlineStr">
        <is>
          <t>짧을수록↑</t>
        </is>
      </c>
      <c r="C59" s="49">
        <f>IFERROR(C8/(IF(COUNT('연간'!G4:J4)&lt;4,"",SUM('연간'!G4:J4)))*365,"")</f>
        <v/>
      </c>
      <c r="D59" s="50">
        <f>IFERROR(D8/(IF(COUNT('연간'!H4:K4)&lt;4,"",SUM('연간'!H4:K4)))*365,"")</f>
        <v/>
      </c>
      <c r="E59" s="50">
        <f>IFERROR(E8/(IF(COUNT('연간'!I4:L4)&lt;4,"",SUM('연간'!I4:L4)))*365,"")</f>
        <v/>
      </c>
      <c r="F59" s="50">
        <f>IFERROR(F8/(IF(COUNT('연간'!J4:M4)&lt;4,"",SUM('연간'!J4:M4)))*365,"")</f>
        <v/>
      </c>
      <c r="G59" s="50">
        <f>IFERROR(G8/(IF(COUNT('연간'!K4:N4)&lt;4,"",SUM('연간'!K4:N4)))*365,"")</f>
        <v/>
      </c>
      <c r="H59" s="49">
        <f>IFERROR(H8/('연간'!U4)*365,"")</f>
        <v/>
      </c>
      <c r="I59" s="50">
        <f>IFERROR(I8/('연간'!V4)*365,"")</f>
        <v/>
      </c>
      <c r="J59" s="50">
        <f>IFERROR(J8/('연간'!W4)*365,"")</f>
        <v/>
      </c>
      <c r="K59" s="50">
        <f>IFERROR(K8/('연간'!X4)*365,"")</f>
        <v/>
      </c>
    </row>
    <row r="60">
      <c r="A60" s="46" t="inlineStr">
        <is>
          <t>재고자산회전일수</t>
        </is>
      </c>
      <c r="B60" s="10" t="inlineStr">
        <is>
          <t>짧을수록↑</t>
        </is>
      </c>
      <c r="C60" s="49">
        <f>IFERROR(C9/(IF(COUNT('연간'!G11:J11)&lt;4,"",SUM('연간'!G11:J11)))*365,"")</f>
        <v/>
      </c>
      <c r="D60" s="50">
        <f>IFERROR(D9/(IF(COUNT('연간'!H11:K11)&lt;4,"",SUM('연간'!H11:K11)))*365,"")</f>
        <v/>
      </c>
      <c r="E60" s="50">
        <f>IFERROR(E9/(IF(COUNT('연간'!I11:L11)&lt;4,"",SUM('연간'!I11:L11)))*365,"")</f>
        <v/>
      </c>
      <c r="F60" s="50">
        <f>IFERROR(F9/(IF(COUNT('연간'!J11:M11)&lt;4,"",SUM('연간'!J11:M11)))*365,"")</f>
        <v/>
      </c>
      <c r="G60" s="50">
        <f>IFERROR(G9/(IF(COUNT('연간'!K11:N11)&lt;4,"",SUM('연간'!K11:N11)))*365,"")</f>
        <v/>
      </c>
      <c r="H60" s="49">
        <f>IFERROR(H9/('연간'!U11)*365,"")</f>
        <v/>
      </c>
      <c r="I60" s="50">
        <f>IFERROR(I9/('연간'!V11)*365,"")</f>
        <v/>
      </c>
      <c r="J60" s="50">
        <f>IFERROR(J9/('연간'!W11)*365,"")</f>
        <v/>
      </c>
      <c r="K60" s="50">
        <f>IFERROR(K9/('연간'!X11)*365,"")</f>
        <v/>
      </c>
    </row>
    <row r="61">
      <c r="A61" s="46" t="inlineStr">
        <is>
          <t>매입채무회전일수</t>
        </is>
      </c>
      <c r="B61" s="10" t="inlineStr">
        <is>
          <t>길수록 유리</t>
        </is>
      </c>
      <c r="C61" s="49">
        <f>IFERROR(C19/(IF(COUNT('연간'!G11:J11)&lt;4,"",SUM('연간'!G11:J11)))*365,"")</f>
        <v/>
      </c>
      <c r="D61" s="50">
        <f>IFERROR(D19/(IF(COUNT('연간'!H11:K11)&lt;4,"",SUM('연간'!H11:K11)))*365,"")</f>
        <v/>
      </c>
      <c r="E61" s="50">
        <f>IFERROR(E19/(IF(COUNT('연간'!I11:L11)&lt;4,"",SUM('연간'!I11:L11)))*365,"")</f>
        <v/>
      </c>
      <c r="F61" s="50">
        <f>IFERROR(F19/(IF(COUNT('연간'!J11:M11)&lt;4,"",SUM('연간'!J11:M11)))*365,"")</f>
        <v/>
      </c>
      <c r="G61" s="50">
        <f>IFERROR(G19/(IF(COUNT('연간'!K11:N11)&lt;4,"",SUM('연간'!K11:N11)))*365,"")</f>
        <v/>
      </c>
      <c r="H61" s="49">
        <f>IFERROR(H19/('연간'!U11)*365,"")</f>
        <v/>
      </c>
      <c r="I61" s="50">
        <f>IFERROR(I19/('연간'!V11)*365,"")</f>
        <v/>
      </c>
      <c r="J61" s="50">
        <f>IFERROR(J19/('연간'!W11)*365,"")</f>
        <v/>
      </c>
      <c r="K61" s="50">
        <f>IFERROR(K19/('연간'!X11)*365,"")</f>
        <v/>
      </c>
    </row>
    <row r="62">
      <c r="A62" s="46" t="inlineStr">
        <is>
          <t>현금전환주기 (CCC)</t>
        </is>
      </c>
      <c r="B62" s="10" t="inlineStr">
        <is>
          <t>짧을수록↑</t>
        </is>
      </c>
      <c r="C62" s="49">
        <f>IF(OR(C59="",C60="",C61=""),"",IFERROR(C59+C60-C61,""))</f>
        <v/>
      </c>
      <c r="D62" s="50">
        <f>IF(OR(D59="",D60="",D61=""),"",IFERROR(D59+D60-D61,""))</f>
        <v/>
      </c>
      <c r="E62" s="50">
        <f>IF(OR(E59="",E60="",E61=""),"",IFERROR(E59+E60-E61,""))</f>
        <v/>
      </c>
      <c r="F62" s="50">
        <f>IF(OR(F59="",F60="",F61=""),"",IFERROR(F59+F60-F61,""))</f>
        <v/>
      </c>
      <c r="G62" s="50">
        <f>IF(OR(G59="",G60="",G61=""),"",IFERROR(G59+G60-G61,""))</f>
        <v/>
      </c>
      <c r="H62" s="49">
        <f>IF(OR(H59="",H60="",H61=""),"",IFERROR(H59+H60-H61,""))</f>
        <v/>
      </c>
      <c r="I62" s="50">
        <f>IF(OR(I59="",I60="",I61=""),"",IFERROR(I59+I60-I61,""))</f>
        <v/>
      </c>
      <c r="J62" s="50">
        <f>IF(OR(J59="",J60="",J61=""),"",IFERROR(J59+J60-J61,""))</f>
        <v/>
      </c>
      <c r="K62" s="50">
        <f>IF(OR(K59="",K60="",K61=""),"",IFERROR(K59+K60-K61,""))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</row>
    <row r="64">
      <c r="A64" s="46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IF(H37="","",IFERROR(H37/('연간'!U43),""))</f>
        <v/>
      </c>
      <c r="I64" s="33">
        <f>IF(I37="","",IFERROR(I37/('연간'!V43),""))</f>
        <v/>
      </c>
      <c r="J64" s="33">
        <f>IF(J37="","",IFERROR(J37/('연간'!W43),""))</f>
        <v/>
      </c>
      <c r="K64" s="33">
        <f>IF(K37="","",IFERROR(K37/('연간'!X43),""))</f>
        <v/>
      </c>
    </row>
    <row r="65">
      <c r="A65" s="46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IF(H39="","",IFERROR(H39/('연간'!U4),""))</f>
        <v/>
      </c>
      <c r="I65" s="38">
        <f>IF(I39="","",IFERROR(I39/('연간'!V4),""))</f>
        <v/>
      </c>
      <c r="J65" s="38">
        <f>IF(J39="","",IFERROR(J39/('연간'!W4),""))</f>
        <v/>
      </c>
      <c r="K65" s="38">
        <f>IF(K39="","",IFERROR(K39/('연간'!X4),""))</f>
        <v/>
      </c>
    </row>
    <row r="66">
      <c r="A66" s="46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IF(H38="","",IFERROR(H38/('연간'!U4),""))</f>
        <v/>
      </c>
      <c r="I66" s="38">
        <f>IF(I38="","",IFERROR(I38/('연간'!V4),""))</f>
        <v/>
      </c>
      <c r="J66" s="38">
        <f>IF(J38="","",IFERROR(J38/('연간'!W4),""))</f>
        <v/>
      </c>
      <c r="K66" s="38">
        <f>IF(K38="","",IFERROR(K38/('연간'!X4),""))</f>
        <v/>
      </c>
    </row>
    <row r="67">
      <c r="A67" s="46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IF(H40="","",IFERROR(H40/('연간'!U44),""))</f>
        <v/>
      </c>
      <c r="I67" s="38">
        <f>IF(I40="","",IFERROR(I40/('연간'!V44),""))</f>
        <v/>
      </c>
      <c r="J67" s="38">
        <f>IF(J40="","",IFERROR(J40/('연간'!W44),""))</f>
        <v/>
      </c>
      <c r="K67" s="38">
        <f>IF(K40="","",IFERROR(K40/('연간'!X44),""))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</row>
    <row r="71">
      <c r="A71" s="20" t="inlineStr">
        <is>
          <t>현금 및 예금</t>
        </is>
      </c>
      <c r="C71" s="22" t="n">
        <v>2051.601</v>
      </c>
      <c r="D71" s="22" t="n">
        <v>947.147</v>
      </c>
      <c r="E71" s="22" t="n">
        <v>1368.944</v>
      </c>
      <c r="F71" s="22" t="n">
        <v>551.492</v>
      </c>
      <c r="G71" s="22" t="n">
        <v>2170.351</v>
      </c>
      <c r="H71" s="22" t="n">
        <v>642.939</v>
      </c>
      <c r="I71" s="22" t="n">
        <v>1962.754</v>
      </c>
      <c r="J71" s="22" t="n">
        <v>1130.352</v>
      </c>
      <c r="K71" s="22" t="n">
        <v>947.147</v>
      </c>
    </row>
    <row r="72">
      <c r="A72" s="20" t="inlineStr">
        <is>
          <t>Operating Accounts Receivable CA</t>
        </is>
      </c>
      <c r="C72" s="22" t="n">
        <v>706.207</v>
      </c>
      <c r="D72" s="22" t="n">
        <v>703.778</v>
      </c>
      <c r="E72" s="22" t="n">
        <v>661.831</v>
      </c>
      <c r="F72" s="22" t="n">
        <v>689.467</v>
      </c>
      <c r="G72" s="22" t="n">
        <v>698.467</v>
      </c>
      <c r="H72" s="22" t="n">
        <v>490.793</v>
      </c>
      <c r="I72" s="22" t="n">
        <v>601.902</v>
      </c>
      <c r="J72" s="22" t="n">
        <v>689.042</v>
      </c>
      <c r="K72" s="22" t="n">
        <v>703.778</v>
      </c>
    </row>
    <row r="73">
      <c r="A73" s="20" t="inlineStr">
        <is>
          <t>완성공사 미수금</t>
        </is>
      </c>
      <c r="C73" s="22" t="n">
        <v>106.294</v>
      </c>
      <c r="D73" s="22" t="n">
        <v>1.52</v>
      </c>
      <c r="E73" s="22" t="n">
        <v>0.09</v>
      </c>
      <c r="F73" s="22" t="n">
        <v>41.874</v>
      </c>
      <c r="G73" s="22" t="n">
        <v>16.012</v>
      </c>
      <c r="H73" s="22" t="n">
        <v>5.225</v>
      </c>
      <c r="I73" s="22" t="n">
        <v>72.34399999999999</v>
      </c>
      <c r="J73" s="22" t="n">
        <v>6.184</v>
      </c>
      <c r="K73" s="22" t="n">
        <v>1.52</v>
      </c>
    </row>
    <row r="74">
      <c r="A74" s="20" t="inlineStr">
        <is>
          <t>계약자산</t>
        </is>
      </c>
      <c r="C74" s="22" t="n">
        <v>0.51</v>
      </c>
      <c r="D74" s="22" t="n">
        <v>2.845</v>
      </c>
      <c r="E74" s="22" t="n">
        <v>96.767</v>
      </c>
      <c r="F74" s="22" t="n">
        <v>100.215</v>
      </c>
      <c r="G74" s="22" t="n">
        <v>54.794</v>
      </c>
      <c r="H74" s="22" t="n">
        <v>3.289</v>
      </c>
      <c r="I74" s="22" t="n">
        <v>20.636</v>
      </c>
      <c r="J74" s="22" t="n">
        <v>7.432</v>
      </c>
      <c r="K74" s="22" t="n">
        <v>2.845</v>
      </c>
    </row>
    <row r="75">
      <c r="A75" s="20" t="inlineStr">
        <is>
          <t>판매용 부동산</t>
        </is>
      </c>
      <c r="C75" s="22" t="n">
        <v>948.17</v>
      </c>
      <c r="D75" s="22" t="n">
        <v>2372.776</v>
      </c>
      <c r="E75" s="22" t="n">
        <v>1325.957</v>
      </c>
      <c r="F75" s="22" t="n">
        <v>1323.187</v>
      </c>
      <c r="G75" s="22" t="n">
        <v>1694.953</v>
      </c>
      <c r="H75" s="22" t="n">
        <v>589.453</v>
      </c>
      <c r="I75" s="22" t="n">
        <v>1010.532</v>
      </c>
      <c r="J75" s="22" t="n">
        <v>3299.284</v>
      </c>
      <c r="K75" s="22" t="n">
        <v>2372.776</v>
      </c>
    </row>
    <row r="76">
      <c r="A76" s="20" t="inlineStr">
        <is>
          <t>미성공사 지출금</t>
        </is>
      </c>
      <c r="C76" s="22" t="n">
        <v>0.02</v>
      </c>
      <c r="D76" s="22" t="n">
        <v>0.08500000000000001</v>
      </c>
      <c r="E76" s="22" t="n">
        <v>0.112</v>
      </c>
      <c r="F76" s="22" t="n">
        <v>0.199</v>
      </c>
      <c r="G76" s="22" t="n">
        <v>0.221</v>
      </c>
      <c r="H76" s="22" t="n">
        <v>0.142</v>
      </c>
      <c r="I76" s="22" t="n">
        <v>0.143</v>
      </c>
      <c r="J76" s="22" t="n">
        <v>0</v>
      </c>
      <c r="K76" s="22" t="n">
        <v>0.08500000000000001</v>
      </c>
    </row>
    <row r="77">
      <c r="A77" s="20" t="inlineStr">
        <is>
          <t>Costs On Uncompleted Services</t>
        </is>
      </c>
      <c r="H77" s="22" t="n">
        <v>0</v>
      </c>
      <c r="I77" s="22" t="n">
        <v>3.263</v>
      </c>
      <c r="J77" s="22" t="n">
        <v>0</v>
      </c>
    </row>
    <row r="78">
      <c r="A78" s="20" t="inlineStr">
        <is>
          <t>선급비용</t>
        </is>
      </c>
      <c r="C78" s="22" t="n">
        <v>329.548</v>
      </c>
      <c r="D78" s="22" t="n">
        <v>308.175</v>
      </c>
      <c r="E78" s="22" t="n">
        <v>309.831</v>
      </c>
      <c r="F78" s="22" t="n">
        <v>367.673</v>
      </c>
      <c r="G78" s="22" t="n">
        <v>343.862</v>
      </c>
      <c r="H78" s="22" t="n">
        <v>224.938</v>
      </c>
      <c r="I78" s="22" t="n">
        <v>252.387</v>
      </c>
      <c r="J78" s="22" t="n">
        <v>306.007</v>
      </c>
      <c r="K78" s="22" t="n">
        <v>308.175</v>
      </c>
    </row>
    <row r="79">
      <c r="A79" s="20" t="inlineStr">
        <is>
          <t>기타</t>
        </is>
      </c>
      <c r="C79" s="22" t="n">
        <v>205.626</v>
      </c>
      <c r="D79" s="22" t="n">
        <v>136.512</v>
      </c>
      <c r="E79" s="22" t="n">
        <v>140.335</v>
      </c>
      <c r="F79" s="22" t="n">
        <v>119.141</v>
      </c>
      <c r="G79" s="22" t="n">
        <v>342.393</v>
      </c>
      <c r="H79" s="22" t="n">
        <v>86.91500000000001</v>
      </c>
      <c r="I79" s="22" t="n">
        <v>83.54900000000001</v>
      </c>
      <c r="J79" s="22" t="n">
        <v>88.70699999999999</v>
      </c>
      <c r="K79" s="22" t="n">
        <v>136.512</v>
      </c>
    </row>
    <row r="80">
      <c r="A80" s="20" t="inlineStr">
        <is>
          <t>대손충당금</t>
        </is>
      </c>
      <c r="C80" s="22" t="n">
        <v>-0.422</v>
      </c>
      <c r="D80" s="22" t="n">
        <v>-0.576</v>
      </c>
      <c r="E80" s="22" t="n">
        <v>-0.54</v>
      </c>
      <c r="F80" s="22" t="n">
        <v>-0.541</v>
      </c>
      <c r="G80" s="22" t="n">
        <v>-0.46</v>
      </c>
      <c r="H80" s="22" t="n">
        <v>-0.38</v>
      </c>
      <c r="I80" s="22" t="n">
        <v>-0.183</v>
      </c>
      <c r="J80" s="22" t="n">
        <v>-0.377</v>
      </c>
      <c r="K80" s="22" t="n">
        <v>-0.576</v>
      </c>
    </row>
    <row r="81">
      <c r="A81" s="9" t="inlineStr">
        <is>
          <t>유동자산 합계</t>
        </is>
      </c>
      <c r="C81" s="12" t="n">
        <v>4347.558</v>
      </c>
      <c r="D81" s="12" t="n">
        <v>4472.266</v>
      </c>
      <c r="E81" s="12" t="n">
        <v>3903.33</v>
      </c>
      <c r="F81" s="12" t="n">
        <v>3192.709</v>
      </c>
      <c r="G81" s="12" t="n">
        <v>5320.596</v>
      </c>
      <c r="H81" s="12" t="n">
        <v>2043.317</v>
      </c>
      <c r="I81" s="12" t="n">
        <v>4007.328</v>
      </c>
      <c r="J81" s="12" t="n">
        <v>5526.633</v>
      </c>
      <c r="K81" s="12" t="n">
        <v>4472.266</v>
      </c>
    </row>
    <row r="82">
      <c r="A82" s="20" t="inlineStr">
        <is>
          <t>건물</t>
        </is>
      </c>
      <c r="C82" s="22" t="n">
        <v>6473.784</v>
      </c>
      <c r="D82" s="22" t="n">
        <v>6103.713</v>
      </c>
      <c r="E82" s="22" t="n">
        <v>6716.119</v>
      </c>
      <c r="F82" s="22" t="n">
        <v>7127.26</v>
      </c>
      <c r="G82" s="22" t="n">
        <v>8677.472</v>
      </c>
      <c r="H82" s="22" t="n">
        <v>4096.053</v>
      </c>
      <c r="I82" s="22" t="n">
        <v>4678.921</v>
      </c>
      <c r="J82" s="22" t="n">
        <v>5607.411</v>
      </c>
      <c r="K82" s="22" t="n">
        <v>6103.713</v>
      </c>
    </row>
    <row r="83">
      <c r="A83" s="20" t="inlineStr">
        <is>
          <t>구축물</t>
        </is>
      </c>
      <c r="C83" s="22" t="n">
        <v>71.045</v>
      </c>
      <c r="D83" s="22" t="n">
        <v>71.045</v>
      </c>
      <c r="E83" s="22" t="n">
        <v>78.864</v>
      </c>
      <c r="F83" s="22" t="n">
        <v>79.117</v>
      </c>
      <c r="G83" s="22" t="n">
        <v>97.38200000000001</v>
      </c>
      <c r="H83" s="22" t="n">
        <v>36.625</v>
      </c>
      <c r="I83" s="22" t="n">
        <v>33.787</v>
      </c>
      <c r="J83" s="22" t="n">
        <v>45.858</v>
      </c>
      <c r="K83" s="22" t="n">
        <v>71.045</v>
      </c>
    </row>
    <row r="84">
      <c r="A84" s="20" t="inlineStr">
        <is>
          <t>공구·기구·비품</t>
        </is>
      </c>
      <c r="C84" s="22" t="n">
        <v>459.414</v>
      </c>
      <c r="D84" s="22" t="n">
        <v>437.437</v>
      </c>
      <c r="E84" s="22" t="n">
        <v>464.548</v>
      </c>
      <c r="F84" s="22" t="n">
        <v>487.922</v>
      </c>
      <c r="G84" s="22" t="n">
        <v>568.164</v>
      </c>
      <c r="H84" s="22" t="n">
        <v>325.897</v>
      </c>
      <c r="I84" s="22" t="n">
        <v>403.984</v>
      </c>
      <c r="J84" s="22" t="n">
        <v>431.527</v>
      </c>
      <c r="K84" s="22" t="n">
        <v>437.437</v>
      </c>
    </row>
    <row r="85">
      <c r="A85" s="20" t="inlineStr">
        <is>
          <t>토지</t>
        </is>
      </c>
      <c r="C85" s="22" t="n">
        <v>7708.328</v>
      </c>
      <c r="D85" s="22" t="n">
        <v>9983.653</v>
      </c>
      <c r="E85" s="22" t="n">
        <v>10964.721</v>
      </c>
      <c r="F85" s="22" t="n">
        <v>13793.534</v>
      </c>
      <c r="G85" s="22" t="n">
        <v>13794.04</v>
      </c>
      <c r="H85" s="22" t="n">
        <v>1044.473</v>
      </c>
      <c r="I85" s="22" t="n">
        <v>2228.506</v>
      </c>
      <c r="J85" s="22" t="n">
        <v>4405.596</v>
      </c>
      <c r="K85" s="22" t="n">
        <v>9983.653</v>
      </c>
    </row>
    <row r="86">
      <c r="A86" s="20" t="inlineStr">
        <is>
          <t>리스자산</t>
        </is>
      </c>
      <c r="C86" s="22" t="n">
        <v>3.018</v>
      </c>
      <c r="D86" s="22" t="n">
        <v>3.018</v>
      </c>
      <c r="E86" s="22" t="n">
        <v>3.018</v>
      </c>
      <c r="F86" s="22" t="n">
        <v>3.018</v>
      </c>
      <c r="G86" s="22" t="n">
        <v>3.018</v>
      </c>
      <c r="H86" s="22" t="n">
        <v>5.412</v>
      </c>
      <c r="I86" s="22" t="n">
        <v>0</v>
      </c>
      <c r="J86" s="22" t="n">
        <v>0</v>
      </c>
      <c r="K86" s="22" t="n">
        <v>3.018</v>
      </c>
    </row>
    <row r="87">
      <c r="A87" s="20" t="inlineStr">
        <is>
          <t>건설중인자산</t>
        </is>
      </c>
      <c r="C87" s="22" t="n">
        <v>212.006</v>
      </c>
      <c r="D87" s="22" t="n">
        <v>464.912</v>
      </c>
      <c r="E87" s="22" t="n">
        <v>379.537</v>
      </c>
      <c r="F87" s="22" t="n">
        <v>798.663</v>
      </c>
      <c r="G87" s="22" t="n">
        <v>605.779</v>
      </c>
      <c r="H87" s="22" t="n">
        <v>3.257</v>
      </c>
      <c r="I87" s="22" t="n">
        <v>2.704</v>
      </c>
      <c r="J87" s="22" t="n">
        <v>34.083</v>
      </c>
      <c r="K87" s="22" t="n">
        <v>464.912</v>
      </c>
    </row>
    <row r="88">
      <c r="A88" s="20" t="inlineStr">
        <is>
          <t>기타</t>
        </is>
      </c>
      <c r="C88" s="22" t="n">
        <v>0.381</v>
      </c>
      <c r="D88" s="22" t="n">
        <v>0.381</v>
      </c>
      <c r="E88" s="22" t="n">
        <v>0.381</v>
      </c>
      <c r="F88" s="22" t="n">
        <v>0.381</v>
      </c>
      <c r="G88" s="22" t="n">
        <v>0.381</v>
      </c>
      <c r="H88" s="22" t="n">
        <v>0.271</v>
      </c>
      <c r="I88" s="22" t="n">
        <v>0.271</v>
      </c>
      <c r="J88" s="22" t="n">
        <v>0.381</v>
      </c>
      <c r="K88" s="22" t="n">
        <v>0.381</v>
      </c>
    </row>
    <row r="89">
      <c r="A89" s="20" t="inlineStr">
        <is>
          <t>Accumulated Depreciation And Impairment Loss PPEBy Group</t>
        </is>
      </c>
      <c r="C89" s="22" t="n">
        <v>-2637.355</v>
      </c>
      <c r="D89" s="22" t="n">
        <v>-2623.412</v>
      </c>
      <c r="E89" s="22" t="n">
        <v>-2716.478</v>
      </c>
      <c r="F89" s="22" t="n">
        <v>-2812.269</v>
      </c>
      <c r="G89" s="22" t="n">
        <v>-2919.264</v>
      </c>
      <c r="H89" s="22" t="n">
        <v>-1712.047</v>
      </c>
      <c r="I89" s="22" t="n">
        <v>-1954.981</v>
      </c>
      <c r="J89" s="22" t="n">
        <v>-2371.794</v>
      </c>
      <c r="K89" s="22" t="n">
        <v>-2623.412</v>
      </c>
    </row>
    <row r="90">
      <c r="A90" s="20" t="inlineStr">
        <is>
          <t>유형자산 합계</t>
        </is>
      </c>
      <c r="C90" s="22" t="n">
        <v>12290.623</v>
      </c>
      <c r="D90" s="22" t="n">
        <v>14440.749</v>
      </c>
      <c r="E90" s="22" t="n">
        <v>15890.711</v>
      </c>
      <c r="F90" s="22" t="n">
        <v>19477.626</v>
      </c>
      <c r="G90" s="22" t="n">
        <v>20826.975</v>
      </c>
      <c r="H90" s="22" t="n">
        <v>3799.943</v>
      </c>
      <c r="I90" s="22" t="n">
        <v>5393.194</v>
      </c>
      <c r="J90" s="22" t="n">
        <v>8153.064</v>
      </c>
      <c r="K90" s="22" t="n">
        <v>14440.749</v>
      </c>
    </row>
    <row r="91">
      <c r="A91" s="20" t="inlineStr">
        <is>
          <t>소프트웨어</t>
        </is>
      </c>
      <c r="C91" s="22" t="n">
        <v>54.03</v>
      </c>
      <c r="D91" s="22" t="n">
        <v>60.748</v>
      </c>
      <c r="E91" s="22" t="n">
        <v>55.764</v>
      </c>
      <c r="F91" s="22" t="n">
        <v>50.114</v>
      </c>
      <c r="G91" s="22" t="n">
        <v>44.44</v>
      </c>
      <c r="H91" s="22" t="n">
        <v>74.785</v>
      </c>
      <c r="I91" s="22" t="n">
        <v>70.524</v>
      </c>
      <c r="J91" s="22" t="n">
        <v>58.505</v>
      </c>
      <c r="K91" s="22" t="n">
        <v>60.748</v>
      </c>
    </row>
    <row r="92">
      <c r="A92" s="20" t="inlineStr">
        <is>
          <t>개발 중 소프트웨어</t>
        </is>
      </c>
      <c r="C92" s="22" t="n">
        <v>5.5</v>
      </c>
      <c r="D92" s="22" t="n">
        <v>0</v>
      </c>
      <c r="G92" s="22" t="n">
        <v>0.154</v>
      </c>
      <c r="H92" s="22" t="n">
        <v>0</v>
      </c>
      <c r="I92" s="22" t="n">
        <v>0</v>
      </c>
      <c r="J92" s="22" t="n">
        <v>0</v>
      </c>
      <c r="K92" s="22" t="n">
        <v>0</v>
      </c>
    </row>
    <row r="93">
      <c r="A93" s="20" t="inlineStr">
        <is>
          <t>무형자산 합계</t>
        </is>
      </c>
      <c r="C93" s="22" t="n">
        <v>59.53</v>
      </c>
      <c r="D93" s="22" t="n">
        <v>60.748</v>
      </c>
      <c r="E93" s="22" t="n">
        <v>55.764</v>
      </c>
      <c r="F93" s="22" t="n">
        <v>50.114</v>
      </c>
      <c r="G93" s="22" t="n">
        <v>44.594</v>
      </c>
      <c r="H93" s="22" t="n">
        <v>74.785</v>
      </c>
      <c r="I93" s="22" t="n">
        <v>70.524</v>
      </c>
      <c r="J93" s="22" t="n">
        <v>58.505</v>
      </c>
      <c r="K93" s="22" t="n">
        <v>60.748</v>
      </c>
    </row>
    <row r="94">
      <c r="A94" s="20" t="inlineStr">
        <is>
          <t>임차보증금·보증금</t>
        </is>
      </c>
      <c r="C94" s="22" t="n">
        <v>1791.842</v>
      </c>
      <c r="D94" s="22" t="n">
        <v>1744.105</v>
      </c>
      <c r="E94" s="22" t="n">
        <v>1774.088</v>
      </c>
      <c r="F94" s="22" t="n">
        <v>1843.398</v>
      </c>
      <c r="G94" s="22" t="n">
        <v>1841.593</v>
      </c>
      <c r="H94" s="22" t="n">
        <v>1517.752</v>
      </c>
      <c r="I94" s="22" t="n">
        <v>1633.346</v>
      </c>
      <c r="J94" s="22" t="n">
        <v>1804.402</v>
      </c>
      <c r="K94" s="22" t="n">
        <v>1744.105</v>
      </c>
    </row>
    <row r="95">
      <c r="A95" s="20" t="inlineStr">
        <is>
          <t>장기선급비용</t>
        </is>
      </c>
      <c r="C95" s="22" t="n">
        <v>33.77</v>
      </c>
      <c r="D95" s="22" t="n">
        <v>31.324</v>
      </c>
      <c r="E95" s="22" t="n">
        <v>29.348</v>
      </c>
      <c r="F95" s="22" t="n">
        <v>38.621</v>
      </c>
      <c r="G95" s="22" t="n">
        <v>36.577</v>
      </c>
      <c r="H95" s="22" t="n">
        <v>0.704</v>
      </c>
      <c r="I95" s="22" t="n">
        <v>0.448</v>
      </c>
      <c r="J95" s="22" t="n">
        <v>24.453</v>
      </c>
      <c r="K95" s="22" t="n">
        <v>31.324</v>
      </c>
    </row>
    <row r="96">
      <c r="A96" s="20" t="inlineStr">
        <is>
          <t>이연법인세자산</t>
        </is>
      </c>
      <c r="C96" s="22" t="n">
        <v>232.761</v>
      </c>
      <c r="D96" s="22" t="n">
        <v>266.827</v>
      </c>
      <c r="E96" s="22" t="n">
        <v>253.518</v>
      </c>
      <c r="F96" s="22" t="n">
        <v>266.848</v>
      </c>
      <c r="G96" s="22" t="n">
        <v>259.235</v>
      </c>
      <c r="H96" s="22" t="n">
        <v>237.511</v>
      </c>
      <c r="I96" s="22" t="n">
        <v>215.552</v>
      </c>
      <c r="J96" s="22" t="n">
        <v>259.782</v>
      </c>
      <c r="K96" s="22" t="n">
        <v>266.827</v>
      </c>
    </row>
    <row r="97">
      <c r="A97" s="20" t="inlineStr">
        <is>
          <t>기타</t>
        </is>
      </c>
      <c r="C97" s="22" t="n">
        <v>200.719</v>
      </c>
      <c r="D97" s="22" t="n">
        <v>248.862</v>
      </c>
      <c r="E97" s="22" t="n">
        <v>228.177</v>
      </c>
      <c r="F97" s="22" t="n">
        <v>373.666</v>
      </c>
      <c r="G97" s="22" t="n">
        <v>350.728</v>
      </c>
      <c r="H97" s="22" t="n">
        <v>86.246</v>
      </c>
      <c r="I97" s="22" t="n">
        <v>86.726</v>
      </c>
      <c r="J97" s="22" t="n">
        <v>68.027</v>
      </c>
      <c r="K97" s="22" t="n">
        <v>248.862</v>
      </c>
    </row>
    <row r="98">
      <c r="A98" s="20" t="inlineStr">
        <is>
          <t>대손충당금</t>
        </is>
      </c>
      <c r="C98" s="22" t="n">
        <v>-0.151</v>
      </c>
      <c r="D98" s="22" t="n">
        <v>-0.151</v>
      </c>
      <c r="E98" s="22" t="n">
        <v>-0.151</v>
      </c>
      <c r="F98" s="22" t="n">
        <v>-0.151</v>
      </c>
      <c r="G98" s="22" t="n">
        <v>-0.151</v>
      </c>
      <c r="H98" s="22" t="n">
        <v>-0.151</v>
      </c>
      <c r="I98" s="22" t="n">
        <v>-0.151</v>
      </c>
      <c r="J98" s="22" t="n">
        <v>-0.151</v>
      </c>
      <c r="K98" s="22" t="n">
        <v>-0.151</v>
      </c>
    </row>
    <row r="99">
      <c r="A99" s="20" t="inlineStr">
        <is>
          <t>투자 및 기타자산 합계</t>
        </is>
      </c>
      <c r="C99" s="22" t="n">
        <v>2258.943</v>
      </c>
      <c r="D99" s="22" t="n">
        <v>2290.969</v>
      </c>
      <c r="E99" s="22" t="n">
        <v>2284.982</v>
      </c>
      <c r="F99" s="22" t="n">
        <v>2522.382</v>
      </c>
      <c r="G99" s="22" t="n">
        <v>2487.982</v>
      </c>
      <c r="H99" s="22" t="n">
        <v>1842.063</v>
      </c>
      <c r="I99" s="22" t="n">
        <v>1935.922</v>
      </c>
      <c r="J99" s="22" t="n">
        <v>2156.515</v>
      </c>
      <c r="K99" s="22" t="n">
        <v>2290.969</v>
      </c>
    </row>
    <row r="100">
      <c r="A100" s="9" t="inlineStr">
        <is>
          <t>비유동자산 합계</t>
        </is>
      </c>
      <c r="C100" s="12" t="n">
        <v>14609.096</v>
      </c>
      <c r="D100" s="12" t="n">
        <v>16792.466</v>
      </c>
      <c r="E100" s="12" t="n">
        <v>18231.458</v>
      </c>
      <c r="F100" s="12" t="n">
        <v>22050.124</v>
      </c>
      <c r="G100" s="12" t="n">
        <v>23359.552</v>
      </c>
      <c r="H100" s="12" t="n">
        <v>5716.793</v>
      </c>
      <c r="I100" s="12" t="n">
        <v>7399.641</v>
      </c>
      <c r="J100" s="12" t="n">
        <v>10368.085</v>
      </c>
      <c r="K100" s="12" t="n">
        <v>16792.466</v>
      </c>
    </row>
    <row r="101">
      <c r="A101" s="9" t="inlineStr">
        <is>
          <t>자산 합계</t>
        </is>
      </c>
      <c r="C101" s="12" t="n">
        <v>18956.654</v>
      </c>
      <c r="D101" s="12" t="n">
        <v>21264.732</v>
      </c>
      <c r="E101" s="12" t="n">
        <v>22134.789</v>
      </c>
      <c r="F101" s="12" t="n">
        <v>25242.833</v>
      </c>
      <c r="G101" s="12" t="n">
        <v>28680.149</v>
      </c>
      <c r="H101" s="12" t="n">
        <v>7760.11</v>
      </c>
      <c r="I101" s="12" t="n">
        <v>11406.97</v>
      </c>
      <c r="J101" s="12" t="n">
        <v>15894.719</v>
      </c>
      <c r="K101" s="12" t="n">
        <v>21264.732</v>
      </c>
    </row>
    <row r="102">
      <c r="A102" s="20" t="inlineStr">
        <is>
          <t>Operating Accounts Payable</t>
        </is>
      </c>
      <c r="C102" s="22" t="n">
        <v>541.253</v>
      </c>
      <c r="D102" s="22" t="n">
        <v>625.426</v>
      </c>
      <c r="E102" s="22" t="n">
        <v>472.374</v>
      </c>
      <c r="F102" s="22" t="n">
        <v>558.884</v>
      </c>
      <c r="G102" s="22" t="n">
        <v>810.399</v>
      </c>
      <c r="H102" s="22" t="n">
        <v>435.131</v>
      </c>
      <c r="I102" s="22" t="n">
        <v>463.622</v>
      </c>
      <c r="J102" s="22" t="n">
        <v>503.097</v>
      </c>
      <c r="K102" s="22" t="n">
        <v>625.426</v>
      </c>
    </row>
    <row r="103">
      <c r="A103" s="20" t="inlineStr">
        <is>
          <t>단기차입금</t>
        </is>
      </c>
      <c r="D103" s="22" t="n">
        <v>0</v>
      </c>
      <c r="E103" s="22" t="n">
        <v>180</v>
      </c>
      <c r="F103" s="22" t="n">
        <v>1490</v>
      </c>
      <c r="G103" s="22" t="n">
        <v>2000.45</v>
      </c>
      <c r="H103" s="22" t="n">
        <v>0</v>
      </c>
      <c r="I103" s="22" t="n">
        <v>1842</v>
      </c>
      <c r="J103" s="22" t="n">
        <v>0</v>
      </c>
      <c r="K103" s="22" t="n">
        <v>0</v>
      </c>
    </row>
    <row r="104">
      <c r="A104" s="20" t="inlineStr">
        <is>
          <t>1년 내 상환 장기차입금</t>
        </is>
      </c>
      <c r="C104" s="22" t="n">
        <v>1010.521</v>
      </c>
      <c r="D104" s="22" t="n">
        <v>1646.526</v>
      </c>
      <c r="E104" s="22" t="n">
        <v>1598.036</v>
      </c>
      <c r="F104" s="22" t="n">
        <v>1608.847</v>
      </c>
      <c r="G104" s="22" t="n">
        <v>1783.23</v>
      </c>
      <c r="H104" s="22" t="n">
        <v>574.61</v>
      </c>
      <c r="I104" s="22" t="n">
        <v>791.965</v>
      </c>
      <c r="J104" s="22" t="n">
        <v>4126.706</v>
      </c>
      <c r="K104" s="22" t="n">
        <v>1646.526</v>
      </c>
    </row>
    <row r="105">
      <c r="A105" s="20" t="inlineStr">
        <is>
          <t>1년 내 상환 사채</t>
        </is>
      </c>
      <c r="H105" s="22" t="n">
        <v>20</v>
      </c>
      <c r="I105" s="22" t="n">
        <v>0</v>
      </c>
    </row>
    <row r="106">
      <c r="A106" s="20" t="inlineStr">
        <is>
          <t>미지급금</t>
        </is>
      </c>
      <c r="C106" s="22" t="n">
        <v>66.456</v>
      </c>
      <c r="D106" s="22" t="n">
        <v>149.157</v>
      </c>
      <c r="E106" s="22" t="n">
        <v>147.022</v>
      </c>
      <c r="F106" s="22" t="n">
        <v>103.796</v>
      </c>
      <c r="G106" s="22" t="n">
        <v>63.661</v>
      </c>
      <c r="H106" s="22" t="n">
        <v>75.66500000000001</v>
      </c>
      <c r="I106" s="22" t="n">
        <v>28.586</v>
      </c>
      <c r="J106" s="22" t="n">
        <v>46.386</v>
      </c>
      <c r="K106" s="22" t="n">
        <v>149.157</v>
      </c>
    </row>
    <row r="107">
      <c r="A107" s="20" t="inlineStr">
        <is>
          <t>미지급비용</t>
        </is>
      </c>
      <c r="C107" s="22" t="n">
        <v>61.951</v>
      </c>
      <c r="D107" s="22" t="n">
        <v>144.148</v>
      </c>
      <c r="E107" s="22" t="n">
        <v>96.863</v>
      </c>
      <c r="F107" s="22" t="n">
        <v>134.771</v>
      </c>
      <c r="G107" s="22" t="n">
        <v>71.934</v>
      </c>
      <c r="H107" s="22" t="n">
        <v>103.394</v>
      </c>
      <c r="I107" s="22" t="n">
        <v>125.746</v>
      </c>
      <c r="J107" s="22" t="n">
        <v>125.188</v>
      </c>
      <c r="K107" s="22" t="n">
        <v>144.148</v>
      </c>
    </row>
    <row r="108">
      <c r="A108" s="20" t="inlineStr">
        <is>
          <t>미지급법인세</t>
        </is>
      </c>
      <c r="C108" s="22" t="n">
        <v>143.233</v>
      </c>
      <c r="D108" s="22" t="n">
        <v>152.67</v>
      </c>
      <c r="E108" s="22" t="n">
        <v>263.535</v>
      </c>
      <c r="F108" s="22" t="n">
        <v>302.338</v>
      </c>
      <c r="G108" s="22" t="n">
        <v>175.687</v>
      </c>
      <c r="H108" s="22" t="n">
        <v>90.989</v>
      </c>
      <c r="I108" s="22" t="n">
        <v>76.872</v>
      </c>
      <c r="J108" s="22" t="n">
        <v>166.467</v>
      </c>
      <c r="K108" s="22" t="n">
        <v>152.67</v>
      </c>
    </row>
    <row r="109">
      <c r="A109" s="20" t="inlineStr">
        <is>
          <t>선수금</t>
        </is>
      </c>
      <c r="C109" s="22" t="n">
        <v>523.8680000000001</v>
      </c>
      <c r="D109" s="22" t="n">
        <v>550.6180000000001</v>
      </c>
      <c r="E109" s="22" t="n">
        <v>511.59</v>
      </c>
      <c r="F109" s="22" t="n">
        <v>518.571</v>
      </c>
      <c r="G109" s="22" t="n">
        <v>517.3099999999999</v>
      </c>
      <c r="H109" s="22" t="n">
        <v>452.238</v>
      </c>
      <c r="I109" s="22" t="n">
        <v>464.315</v>
      </c>
      <c r="J109" s="22" t="n">
        <v>563.956</v>
      </c>
      <c r="K109" s="22" t="n">
        <v>550.6180000000001</v>
      </c>
    </row>
    <row r="110">
      <c r="A110" s="20" t="inlineStr">
        <is>
          <t>계약부채</t>
        </is>
      </c>
      <c r="C110" s="22" t="n">
        <v>348.858</v>
      </c>
      <c r="D110" s="22" t="n">
        <v>310.773</v>
      </c>
      <c r="E110" s="22" t="n">
        <v>73.92</v>
      </c>
      <c r="F110" s="22" t="n">
        <v>37.891</v>
      </c>
      <c r="G110" s="22" t="n">
        <v>81.92</v>
      </c>
      <c r="H110" s="22" t="n">
        <v>27.762</v>
      </c>
      <c r="I110" s="22" t="n">
        <v>314.297</v>
      </c>
      <c r="J110" s="22" t="n">
        <v>41.278</v>
      </c>
      <c r="K110" s="22" t="n">
        <v>310.773</v>
      </c>
    </row>
    <row r="111">
      <c r="A111" s="20" t="inlineStr">
        <is>
          <t>예수금</t>
        </is>
      </c>
      <c r="C111" s="22" t="n">
        <v>191.189</v>
      </c>
      <c r="D111" s="22" t="n">
        <v>202.268</v>
      </c>
      <c r="E111" s="22" t="n">
        <v>203.173</v>
      </c>
      <c r="F111" s="22" t="n">
        <v>226.646</v>
      </c>
      <c r="G111" s="22" t="n">
        <v>261.743</v>
      </c>
      <c r="H111" s="22" t="n">
        <v>169.602</v>
      </c>
      <c r="I111" s="22" t="n">
        <v>171.273</v>
      </c>
      <c r="J111" s="22" t="n">
        <v>175.058</v>
      </c>
      <c r="K111" s="22" t="n">
        <v>202.268</v>
      </c>
    </row>
    <row r="112">
      <c r="A112" s="20" t="inlineStr">
        <is>
          <t>상여충당금</t>
        </is>
      </c>
      <c r="C112" s="22" t="n">
        <v>29.694</v>
      </c>
      <c r="D112" s="22" t="n">
        <v>0</v>
      </c>
      <c r="E112" s="22" t="n">
        <v>33.346</v>
      </c>
      <c r="G112" s="22" t="n">
        <v>36.217</v>
      </c>
      <c r="H112" s="22" t="n">
        <v>0</v>
      </c>
      <c r="I112" s="22" t="n">
        <v>0</v>
      </c>
      <c r="J112" s="22" t="n">
        <v>0</v>
      </c>
      <c r="K112" s="22" t="n">
        <v>0</v>
      </c>
    </row>
    <row r="113">
      <c r="A113" s="20" t="inlineStr">
        <is>
          <t>임원 상여충당금</t>
        </is>
      </c>
      <c r="C113" s="22" t="n">
        <v>16.65</v>
      </c>
      <c r="D113" s="22" t="n">
        <v>13.2</v>
      </c>
      <c r="E113" s="22" t="n">
        <v>5.55</v>
      </c>
      <c r="F113" s="22" t="n">
        <v>11.1</v>
      </c>
      <c r="G113" s="22" t="n">
        <v>16.65</v>
      </c>
      <c r="H113" s="22" t="n">
        <v>18</v>
      </c>
      <c r="I113" s="22" t="n">
        <v>18</v>
      </c>
      <c r="J113" s="22" t="n">
        <v>18</v>
      </c>
      <c r="K113" s="22" t="n">
        <v>13.2</v>
      </c>
    </row>
    <row r="114">
      <c r="A114" s="20" t="inlineStr">
        <is>
          <t>Provision For Loss Compensation CL</t>
        </is>
      </c>
      <c r="D114" s="22" t="n">
        <v>10</v>
      </c>
      <c r="F114" s="22" t="n">
        <v>10</v>
      </c>
      <c r="H114" s="22" t="n">
        <v>6.133</v>
      </c>
      <c r="I114" s="22" t="n">
        <v>0</v>
      </c>
      <c r="J114" s="22" t="n">
        <v>42</v>
      </c>
      <c r="K114" s="22" t="n">
        <v>10</v>
      </c>
    </row>
    <row r="115">
      <c r="A115" s="20" t="inlineStr">
        <is>
          <t>Provision For Compensation CL</t>
        </is>
      </c>
      <c r="C115" s="22" t="n">
        <v>0</v>
      </c>
      <c r="D115" s="22" t="n">
        <v>10</v>
      </c>
      <c r="E115" s="22" t="n">
        <v>10</v>
      </c>
      <c r="G115" s="22" t="n">
        <v>10</v>
      </c>
      <c r="H115" s="22" t="n">
        <v>6.133</v>
      </c>
      <c r="J115" s="22" t="n">
        <v>42</v>
      </c>
      <c r="K115" s="22" t="n">
        <v>10</v>
      </c>
    </row>
    <row r="116">
      <c r="A116" s="20" t="inlineStr">
        <is>
          <t>리스부채</t>
        </is>
      </c>
      <c r="C116" s="22" t="n">
        <v>0.663</v>
      </c>
      <c r="D116" s="22" t="n">
        <v>0.663</v>
      </c>
      <c r="E116" s="22" t="n">
        <v>0.663</v>
      </c>
      <c r="F116" s="22" t="n">
        <v>0.663</v>
      </c>
      <c r="G116" s="22" t="n">
        <v>0.663</v>
      </c>
      <c r="J116" s="22" t="n">
        <v>0</v>
      </c>
      <c r="K116" s="22" t="n">
        <v>0.663</v>
      </c>
    </row>
    <row r="117">
      <c r="A117" s="20" t="inlineStr">
        <is>
          <t>수주손실 충당금</t>
        </is>
      </c>
      <c r="C117" s="22" t="n">
        <v>0</v>
      </c>
      <c r="D117" s="22" t="n">
        <v>0</v>
      </c>
      <c r="H117" s="22" t="n">
        <v>0.192</v>
      </c>
      <c r="I117" s="22" t="n">
        <v>15.324</v>
      </c>
      <c r="J117" s="22" t="n">
        <v>2.319</v>
      </c>
      <c r="K117" s="22" t="n">
        <v>0</v>
      </c>
    </row>
    <row r="118">
      <c r="A118" s="20" t="inlineStr">
        <is>
          <t>기타</t>
        </is>
      </c>
      <c r="C118" s="22" t="n">
        <v>85.265</v>
      </c>
      <c r="D118" s="22" t="n">
        <v>95.973</v>
      </c>
      <c r="E118" s="22" t="n">
        <v>8.191000000000001</v>
      </c>
      <c r="F118" s="22" t="n">
        <v>0.902</v>
      </c>
      <c r="G118" s="22" t="n">
        <v>0.032</v>
      </c>
      <c r="H118" s="22" t="n">
        <v>0</v>
      </c>
      <c r="I118" s="22" t="n">
        <v>15.3</v>
      </c>
      <c r="J118" s="22" t="n">
        <v>27.17</v>
      </c>
      <c r="K118" s="22" t="n">
        <v>95.973</v>
      </c>
    </row>
    <row r="119">
      <c r="A119" s="9" t="inlineStr">
        <is>
          <t>유동부채 합계</t>
        </is>
      </c>
      <c r="C119" s="12" t="n">
        <v>3019.607</v>
      </c>
      <c r="D119" s="12" t="n">
        <v>3901.427</v>
      </c>
      <c r="E119" s="12" t="n">
        <v>3604.267</v>
      </c>
      <c r="F119" s="12" t="n">
        <v>5004.413</v>
      </c>
      <c r="G119" s="12" t="n">
        <v>5829.901</v>
      </c>
      <c r="H119" s="12" t="n">
        <v>1973.719</v>
      </c>
      <c r="I119" s="12" t="n">
        <v>4327.304</v>
      </c>
      <c r="J119" s="12" t="n">
        <v>5837.629</v>
      </c>
      <c r="K119" s="12" t="n">
        <v>3901.427</v>
      </c>
    </row>
    <row r="120">
      <c r="A120" s="20" t="inlineStr">
        <is>
          <t>장기차입금</t>
        </is>
      </c>
      <c r="C120" s="22" t="n">
        <v>10744.795</v>
      </c>
      <c r="D120" s="22" t="n">
        <v>12291.17</v>
      </c>
      <c r="E120" s="22" t="n">
        <v>12850.796</v>
      </c>
      <c r="F120" s="22" t="n">
        <v>14355.744</v>
      </c>
      <c r="G120" s="22" t="n">
        <v>14482.994</v>
      </c>
      <c r="H120" s="22" t="n">
        <v>3563.687</v>
      </c>
      <c r="I120" s="22" t="n">
        <v>3137.216</v>
      </c>
      <c r="J120" s="22" t="n">
        <v>5580.105</v>
      </c>
      <c r="K120" s="22" t="n">
        <v>12291.17</v>
      </c>
    </row>
    <row r="121">
      <c r="A121" s="20" t="inlineStr">
        <is>
          <t>Guarantee Deposits Received2NCL</t>
        </is>
      </c>
      <c r="C121" s="22" t="n">
        <v>1615.536</v>
      </c>
      <c r="D121" s="22" t="n">
        <v>1516.851</v>
      </c>
      <c r="E121" s="22" t="n">
        <v>1531.753</v>
      </c>
      <c r="F121" s="22" t="n">
        <v>1615.622</v>
      </c>
      <c r="G121" s="22" t="n">
        <v>1629.386</v>
      </c>
      <c r="H121" s="22" t="n">
        <v>1338.537</v>
      </c>
      <c r="I121" s="22" t="n">
        <v>1451.499</v>
      </c>
      <c r="J121" s="22" t="n">
        <v>1553.128</v>
      </c>
      <c r="K121" s="22" t="n">
        <v>1516.851</v>
      </c>
    </row>
    <row r="122">
      <c r="A122" s="20" t="inlineStr">
        <is>
          <t>리스부채</t>
        </is>
      </c>
      <c r="C122" s="22" t="n">
        <v>2.379</v>
      </c>
      <c r="D122" s="22" t="n">
        <v>2.213</v>
      </c>
      <c r="E122" s="22" t="n">
        <v>2.047</v>
      </c>
      <c r="F122" s="22" t="n">
        <v>1.881</v>
      </c>
      <c r="G122" s="22" t="n">
        <v>1.715</v>
      </c>
      <c r="J122" s="22" t="n">
        <v>0</v>
      </c>
      <c r="K122" s="22" t="n">
        <v>2.213</v>
      </c>
    </row>
    <row r="123">
      <c r="A123" s="20" t="inlineStr">
        <is>
          <t>자산복구부채</t>
        </is>
      </c>
      <c r="C123" s="22" t="n">
        <v>196.332</v>
      </c>
      <c r="D123" s="22" t="n">
        <v>187.001</v>
      </c>
      <c r="E123" s="22" t="n">
        <v>187.262</v>
      </c>
      <c r="F123" s="22" t="n">
        <v>187.523</v>
      </c>
      <c r="G123" s="22" t="n">
        <v>223.213</v>
      </c>
      <c r="H123" s="22" t="n">
        <v>127.043</v>
      </c>
      <c r="I123" s="22" t="n">
        <v>180.705</v>
      </c>
      <c r="J123" s="22" t="n">
        <v>196.067</v>
      </c>
      <c r="K123" s="22" t="n">
        <v>187.001</v>
      </c>
    </row>
    <row r="124">
      <c r="A124" s="20" t="inlineStr">
        <is>
          <t>기타</t>
        </is>
      </c>
      <c r="C124" s="22" t="n">
        <v>14.781</v>
      </c>
      <c r="D124" s="22" t="n">
        <v>14.459</v>
      </c>
      <c r="E124" s="22" t="n">
        <v>14.137</v>
      </c>
      <c r="F124" s="22" t="n">
        <v>13.815</v>
      </c>
      <c r="G124" s="22" t="n">
        <v>11.491</v>
      </c>
      <c r="H124" s="22" t="n">
        <v>20.206</v>
      </c>
      <c r="I124" s="22" t="n">
        <v>28.692</v>
      </c>
      <c r="J124" s="22" t="n">
        <v>16.137</v>
      </c>
      <c r="K124" s="22" t="n">
        <v>14.459</v>
      </c>
    </row>
    <row r="125">
      <c r="A125" s="9" t="inlineStr">
        <is>
          <t>비유동부채 합계</t>
        </is>
      </c>
      <c r="C125" s="12" t="n">
        <v>12573.825</v>
      </c>
      <c r="D125" s="12" t="n">
        <v>14011.697</v>
      </c>
      <c r="E125" s="12" t="n">
        <v>14585.997</v>
      </c>
      <c r="F125" s="12" t="n">
        <v>16174.586</v>
      </c>
      <c r="G125" s="12" t="n">
        <v>16348.8</v>
      </c>
      <c r="H125" s="12" t="n">
        <v>5049.475</v>
      </c>
      <c r="I125" s="12" t="n">
        <v>4798.113</v>
      </c>
      <c r="J125" s="12" t="n">
        <v>7345.438</v>
      </c>
      <c r="K125" s="12" t="n">
        <v>14011.697</v>
      </c>
    </row>
    <row r="126">
      <c r="A126" s="9" t="inlineStr">
        <is>
          <t>부채 합계</t>
        </is>
      </c>
      <c r="C126" s="12" t="n">
        <v>15593.432</v>
      </c>
      <c r="D126" s="12" t="n">
        <v>17913.124</v>
      </c>
      <c r="E126" s="12" t="n">
        <v>18190.264</v>
      </c>
      <c r="F126" s="12" t="n">
        <v>21179</v>
      </c>
      <c r="G126" s="12" t="n">
        <v>22178.701</v>
      </c>
      <c r="H126" s="12" t="n">
        <v>7023.194</v>
      </c>
      <c r="I126" s="12" t="n">
        <v>9125.418</v>
      </c>
      <c r="J126" s="12" t="n">
        <v>13183.068</v>
      </c>
      <c r="K126" s="12" t="n">
        <v>17913.124</v>
      </c>
    </row>
    <row r="127">
      <c r="A127" s="20" t="inlineStr">
        <is>
          <t>자본금</t>
        </is>
      </c>
      <c r="C127" s="22" t="n">
        <v>705.121</v>
      </c>
      <c r="D127" s="22" t="n">
        <v>705.279</v>
      </c>
      <c r="E127" s="22" t="n">
        <v>705.279</v>
      </c>
      <c r="F127" s="22" t="n">
        <v>746.439</v>
      </c>
      <c r="G127" s="22" t="n">
        <v>1967.559</v>
      </c>
      <c r="H127" s="22" t="n">
        <v>30</v>
      </c>
      <c r="I127" s="22" t="n">
        <v>665.697</v>
      </c>
      <c r="J127" s="22" t="n">
        <v>680.971</v>
      </c>
      <c r="K127" s="22" t="n">
        <v>705.279</v>
      </c>
    </row>
    <row r="128">
      <c r="A128" s="20" t="inlineStr">
        <is>
          <t>Deposit For Subscriptions To Shares</t>
        </is>
      </c>
      <c r="J128" s="22" t="n">
        <v>0</v>
      </c>
    </row>
    <row r="129">
      <c r="A129" s="20" t="inlineStr">
        <is>
          <t>자본준비금</t>
        </is>
      </c>
      <c r="D129" s="22" t="n">
        <v>675.279</v>
      </c>
      <c r="H129" s="22" t="n">
        <v>0</v>
      </c>
      <c r="I129" s="22" t="n">
        <v>635.697</v>
      </c>
      <c r="J129" s="22" t="n">
        <v>650.971</v>
      </c>
      <c r="K129" s="22" t="n">
        <v>675.279</v>
      </c>
    </row>
    <row r="130">
      <c r="A130" s="20" t="inlineStr">
        <is>
          <t>자본잉여금</t>
        </is>
      </c>
      <c r="C130" s="22" t="n">
        <v>675.121</v>
      </c>
      <c r="D130" s="22" t="n">
        <v>675.279</v>
      </c>
      <c r="E130" s="22" t="n">
        <v>675.279</v>
      </c>
      <c r="F130" s="22" t="n">
        <v>716.439</v>
      </c>
      <c r="G130" s="22" t="n">
        <v>1937.559</v>
      </c>
      <c r="H130" s="22" t="n">
        <v>0</v>
      </c>
      <c r="I130" s="22" t="n">
        <v>635.697</v>
      </c>
      <c r="J130" s="22" t="n">
        <v>650.971</v>
      </c>
      <c r="K130" s="22" t="n">
        <v>675.279</v>
      </c>
    </row>
    <row r="131">
      <c r="A131" s="20" t="inlineStr">
        <is>
          <t>이월이익잉여금</t>
        </is>
      </c>
      <c r="D131" s="22" t="n">
        <v>1919.747</v>
      </c>
      <c r="H131" s="22" t="n">
        <v>701.564</v>
      </c>
      <c r="I131" s="22" t="n">
        <v>980.158</v>
      </c>
      <c r="J131" s="22" t="n">
        <v>1360.527</v>
      </c>
      <c r="K131" s="22" t="n">
        <v>1919.747</v>
      </c>
    </row>
    <row r="132">
      <c r="A132" s="20" t="inlineStr">
        <is>
          <t>이익잉여금</t>
        </is>
      </c>
      <c r="C132" s="22" t="n">
        <v>1939.45</v>
      </c>
      <c r="D132" s="22" t="n">
        <v>1919.747</v>
      </c>
      <c r="E132" s="22" t="n">
        <v>2496.009</v>
      </c>
      <c r="F132" s="22" t="n">
        <v>2513.721</v>
      </c>
      <c r="G132" s="22" t="n">
        <v>2487.698</v>
      </c>
      <c r="H132" s="22" t="n">
        <v>701.564</v>
      </c>
      <c r="I132" s="22" t="n">
        <v>980.158</v>
      </c>
      <c r="J132" s="22" t="n">
        <v>1360.527</v>
      </c>
      <c r="K132" s="22" t="n">
        <v>1919.747</v>
      </c>
    </row>
    <row r="133">
      <c r="A133" s="20" t="inlineStr">
        <is>
          <t>자기주식</t>
        </is>
      </c>
      <c r="C133" s="22" t="n">
        <v>-0.218</v>
      </c>
      <c r="D133" s="22" t="n">
        <v>-0.218</v>
      </c>
      <c r="E133" s="22" t="n">
        <v>-0.354</v>
      </c>
      <c r="F133" s="22" t="n">
        <v>-0.354</v>
      </c>
      <c r="G133" s="22" t="n">
        <v>-0.354</v>
      </c>
      <c r="I133" s="22" t="n">
        <v>0</v>
      </c>
      <c r="J133" s="22" t="n">
        <v>-0.218</v>
      </c>
      <c r="K133" s="22" t="n">
        <v>-0.218</v>
      </c>
    </row>
    <row r="134">
      <c r="A134" s="9" t="inlineStr">
        <is>
          <t>주주자본 합계</t>
        </is>
      </c>
      <c r="C134" s="12" t="n">
        <v>3319.474</v>
      </c>
      <c r="D134" s="12" t="n">
        <v>3300.088</v>
      </c>
      <c r="E134" s="12" t="n">
        <v>3876.214</v>
      </c>
      <c r="F134" s="12" t="n">
        <v>3976.246</v>
      </c>
      <c r="G134" s="12" t="n">
        <v>6392.463</v>
      </c>
      <c r="H134" s="12" t="n">
        <v>731.564</v>
      </c>
      <c r="I134" s="12" t="n">
        <v>2281.552</v>
      </c>
      <c r="J134" s="12" t="n">
        <v>2692.252</v>
      </c>
      <c r="K134" s="12" t="n">
        <v>3300.088</v>
      </c>
    </row>
    <row r="135">
      <c r="A135" s="20" t="inlineStr">
        <is>
          <t>신주예약권</t>
        </is>
      </c>
      <c r="C135" s="22" t="n">
        <v>43.747</v>
      </c>
      <c r="D135" s="22" t="n">
        <v>51.519</v>
      </c>
      <c r="E135" s="22" t="n">
        <v>68.31100000000001</v>
      </c>
      <c r="F135" s="22" t="n">
        <v>87.586</v>
      </c>
      <c r="G135" s="22" t="n">
        <v>108.983</v>
      </c>
      <c r="H135" s="22" t="n">
        <v>5.351</v>
      </c>
      <c r="I135" s="22" t="n">
        <v>0</v>
      </c>
      <c r="J135" s="22" t="n">
        <v>19.398</v>
      </c>
      <c r="K135" s="22" t="n">
        <v>51.519</v>
      </c>
    </row>
    <row r="136">
      <c r="A136" s="9" t="inlineStr">
        <is>
          <t>순자산 합계</t>
        </is>
      </c>
      <c r="C136" s="12" t="n">
        <v>3363.222</v>
      </c>
      <c r="D136" s="12" t="n">
        <v>3351.607</v>
      </c>
      <c r="E136" s="12" t="n">
        <v>3944.525</v>
      </c>
      <c r="F136" s="12" t="n">
        <v>4063.832</v>
      </c>
      <c r="G136" s="12" t="n">
        <v>6501.447</v>
      </c>
      <c r="H136" s="12" t="n">
        <v>736.915</v>
      </c>
      <c r="I136" s="12" t="n">
        <v>2281.552</v>
      </c>
      <c r="J136" s="12" t="n">
        <v>2711.65</v>
      </c>
      <c r="K136" s="12" t="n">
        <v>3351.607</v>
      </c>
    </row>
    <row r="137">
      <c r="A137" s="9" t="inlineStr">
        <is>
          <t>부채·순자산 합계</t>
        </is>
      </c>
      <c r="C137" s="12" t="n">
        <v>18956.654</v>
      </c>
      <c r="D137" s="12" t="n">
        <v>21264.732</v>
      </c>
      <c r="E137" s="12" t="n">
        <v>22134.789</v>
      </c>
      <c r="F137" s="12" t="n">
        <v>25242.833</v>
      </c>
      <c r="G137" s="12" t="n">
        <v>28680.149</v>
      </c>
      <c r="H137" s="12" t="n">
        <v>7760.11</v>
      </c>
      <c r="I137" s="12" t="n">
        <v>11406.97</v>
      </c>
      <c r="J137" s="12" t="n">
        <v>15894.719</v>
      </c>
      <c r="K137" s="12" t="n">
        <v>21264.732</v>
      </c>
    </row>
  </sheetData>
  <conditionalFormatting sqref="C43:K43">
    <cfRule type="expression" priority="1" dxfId="0">
      <formula>AND(ISNUMBER(C43),C43&gt;1.0)</formula>
    </cfRule>
  </conditionalFormatting>
  <conditionalFormatting sqref="C44:K44">
    <cfRule type="expression" priority="2" dxfId="0">
      <formula>AND(ISNUMBER(C44),C44&gt;0.5)</formula>
    </cfRule>
  </conditionalFormatting>
  <conditionalFormatting sqref="C45:K45">
    <cfRule type="expression" priority="3" dxfId="0">
      <formula>AND(ISNUMBER(C45),C45&lt;0.5)</formula>
    </cfRule>
  </conditionalFormatting>
  <conditionalFormatting sqref="C46:K46">
    <cfRule type="expression" priority="4" dxfId="0">
      <formula>AND(ISNUMBER(C46),C46&lt;1.5)</formula>
    </cfRule>
  </conditionalFormatting>
  <conditionalFormatting sqref="C47:K47">
    <cfRule type="expression" priority="5" dxfId="0">
      <formula>AND(ISNUMBER(C47),C47&lt;1.0)</formula>
    </cfRule>
  </conditionalFormatting>
  <conditionalFormatting sqref="C48:K48">
    <cfRule type="expression" priority="6" dxfId="0">
      <formula>AND(ISNUMBER(C48),C48&lt;5)</formula>
    </cfRule>
  </conditionalFormatting>
  <conditionalFormatting sqref="C49:K49">
    <cfRule type="expression" priority="7" dxfId="0">
      <formula>AND(ISNUMBER(C49),C49&gt;4)</formula>
    </cfRule>
  </conditionalFormatting>
  <conditionalFormatting sqref="C51:K51">
    <cfRule type="expression" priority="8" dxfId="0">
      <formula>AND(ISNUMBER(C51),C51&lt;0.15)</formula>
    </cfRule>
  </conditionalFormatting>
  <conditionalFormatting sqref="C52:K52">
    <cfRule type="expression" priority="9" dxfId="0">
      <formula>AND(ISNUMBER(C52),C52&lt;0.05)</formula>
    </cfRule>
  </conditionalFormatting>
  <conditionalFormatting sqref="C53:K53">
    <cfRule type="expression" priority="10" dxfId="0">
      <formula>AND(ISNUMBER(C53),C53&lt;0.1)</formula>
    </cfRule>
  </conditionalFormatting>
  <conditionalFormatting sqref="C54:K54">
    <cfRule type="expression" priority="11" dxfId="0">
      <formula>AND(ISNUMBER(C54),C54&lt;0.4)</formula>
    </cfRule>
  </conditionalFormatting>
  <conditionalFormatting sqref="C55:K55">
    <cfRule type="expression" priority="12" dxfId="0">
      <formula>AND(ISNUMBER(C55),C55&lt;0.15)</formula>
    </cfRule>
  </conditionalFormatting>
  <conditionalFormatting sqref="C56:K56">
    <cfRule type="expression" priority="13" dxfId="0">
      <formula>AND(ISNUMBER(C56),C56&lt;0.1)</formula>
    </cfRule>
  </conditionalFormatting>
  <conditionalFormatting sqref="C64:K64">
    <cfRule type="expression" priority="14" dxfId="0">
      <formula>AND(ISNUMBER(C64),C64&lt;1.0)</formula>
    </cfRule>
  </conditionalFormatting>
  <conditionalFormatting sqref="C65:K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1" t="inlineStr">
        <is>
          <t>출처 · 쓴 결산단신</t>
        </is>
      </c>
    </row>
    <row r="3">
      <c r="A3" s="52" t="inlineStr">
        <is>
          <t>공시일</t>
        </is>
      </c>
      <c r="B3" s="52" t="inlineStr">
        <is>
          <t>문서</t>
        </is>
      </c>
      <c r="C3" s="52" t="inlineStr">
        <is>
          <t>PDF</t>
        </is>
      </c>
    </row>
    <row r="4">
      <c r="A4" t="inlineStr">
        <is>
          <t>2026-07-28</t>
        </is>
      </c>
      <c r="B4" t="inlineStr">
        <is>
          <t>2026년 9월 결산기 3분기 결산단신</t>
        </is>
      </c>
      <c r="C4" t="inlineStr">
        <is>
          <t>https://www2.jpx.co.jp/disc/55320/140120260728500659.pdf</t>
        </is>
      </c>
    </row>
    <row r="5">
      <c r="A5" t="inlineStr">
        <is>
          <t>2026-04-28</t>
        </is>
      </c>
      <c r="B5" t="inlineStr">
        <is>
          <t>2026년 9월 결산기 2분기 결산단신</t>
        </is>
      </c>
      <c r="C5" t="inlineStr">
        <is>
          <t>https://www2.jpx.co.jp/disc/55320/140120260428512875.pdf</t>
        </is>
      </c>
    </row>
    <row r="6">
      <c r="A6" t="inlineStr">
        <is>
          <t>2026-01-27</t>
        </is>
      </c>
      <c r="B6" t="inlineStr">
        <is>
          <t>2026년 9월 결산기 1분기 결산단신</t>
        </is>
      </c>
      <c r="C6" t="inlineStr">
        <is>
          <t>https://www2.jpx.co.jp/disc/55320/140120260127539012.pdf</t>
        </is>
      </c>
    </row>
    <row r="7">
      <c r="A7" t="inlineStr">
        <is>
          <t>2025-10-28</t>
        </is>
      </c>
      <c r="B7" t="inlineStr">
        <is>
          <t>2025년 9월 결산기 연간 결산단신</t>
        </is>
      </c>
      <c r="C7" t="inlineStr">
        <is>
          <t>https://www2.jpx.co.jp/disc/55320/140120251028580040.pdf</t>
        </is>
      </c>
    </row>
    <row r="8">
      <c r="A8" t="inlineStr">
        <is>
          <t>2025-07-29</t>
        </is>
      </c>
      <c r="B8" t="inlineStr">
        <is>
          <t>2025년 9월 결산기 3분기 결산단신</t>
        </is>
      </c>
      <c r="C8" t="inlineStr">
        <is>
          <t>https://www2.jpx.co.jp/disc/55320/140120250729522255.pdf</t>
        </is>
      </c>
    </row>
    <row r="9">
      <c r="A9" t="inlineStr">
        <is>
          <t>2025-04-22</t>
        </is>
      </c>
      <c r="B9" t="inlineStr">
        <is>
          <t>2025년 9월 결산기 2분기 결산단신</t>
        </is>
      </c>
      <c r="C9" t="inlineStr">
        <is>
          <t>https://www2.jpx.co.jp/disc/55320/140120250422520002.pdf</t>
        </is>
      </c>
    </row>
    <row r="10">
      <c r="A10" t="inlineStr">
        <is>
          <t>2025-01-28</t>
        </is>
      </c>
      <c r="B10" t="inlineStr">
        <is>
          <t>2025년 9월 결산기 1분기 결산단신</t>
        </is>
      </c>
      <c r="C10" t="inlineStr">
        <is>
          <t>https://www2.jpx.co.jp/disc/55320/140120250128556236.pdf</t>
        </is>
      </c>
    </row>
    <row r="11">
      <c r="A11" t="inlineStr">
        <is>
          <t>2024-10-29</t>
        </is>
      </c>
      <c r="B11" t="inlineStr">
        <is>
          <t>2024년 9월 결산기 연간 결산단신</t>
        </is>
      </c>
      <c r="C11" t="inlineStr">
        <is>
          <t>https://www2.jpx.co.jp/disc/55320/140120241029504911.pdf</t>
        </is>
      </c>
    </row>
    <row r="12">
      <c r="A12" t="inlineStr">
        <is>
          <t>2024-07-30</t>
        </is>
      </c>
      <c r="B12" t="inlineStr">
        <is>
          <t>2024년 9월 결산기 3분기 결산단신</t>
        </is>
      </c>
      <c r="C12" t="inlineStr">
        <is>
          <t>https://www2.jpx.co.jp/disc/55320/140120240730557600.pdf</t>
        </is>
      </c>
    </row>
    <row r="13">
      <c r="A13" t="inlineStr">
        <is>
          <t>2024-04-23</t>
        </is>
      </c>
      <c r="B13" t="inlineStr">
        <is>
          <t>2024년 9월 결산기 2분기 결산단신</t>
        </is>
      </c>
      <c r="C13" t="inlineStr">
        <is>
          <t>https://www2.jpx.co.jp/disc/55320/140120240423574540.pdf</t>
        </is>
      </c>
    </row>
    <row r="14">
      <c r="A14" t="inlineStr">
        <is>
          <t>2024-01-30</t>
        </is>
      </c>
      <c r="B14" t="inlineStr">
        <is>
          <t>2024년 9월 결산기 1분기 결산단신</t>
        </is>
      </c>
      <c r="C14" t="inlineStr">
        <is>
          <t>https://www2.jpx.co.jp/disc/55320/140120240130521750.pdf</t>
        </is>
      </c>
    </row>
    <row r="15">
      <c r="A15" t="inlineStr">
        <is>
          <t>2023-10-31</t>
        </is>
      </c>
      <c r="B15" t="inlineStr">
        <is>
          <t>2023년 9월 결산기 연간 결산단신</t>
        </is>
      </c>
      <c r="C15" t="inlineStr">
        <is>
          <t>https://www2.jpx.co.jp/disc/55320/140120231031576118.pdf</t>
        </is>
      </c>
    </row>
    <row r="16">
      <c r="A16" t="inlineStr">
        <is>
          <t>2023-07-25</t>
        </is>
      </c>
      <c r="B16" t="inlineStr">
        <is>
          <t>2023년 9월 결산기 3분기 결산단신</t>
        </is>
      </c>
      <c r="C16" t="inlineStr">
        <is>
          <t>https://www2.jpx.co.jp/disc/55320/140120230725526381.pdf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2026-10-25T09:52:15Z</dcterms:created>
  <dcterms:modified xmlns:dcterms="http://purl.org/dc/terms/" xmlns:xsi="http://www.w3.org/2001/XMLSchema-instance" xsi:type="dcterms:W3CDTF">2026-10-25T09:52:15Z</dcterms:modified>
</cp:coreProperties>
</file>