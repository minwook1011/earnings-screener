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5532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9월 결산 · 일본 기준 · 2026.4Q = 2026년 9월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2588.383</v>
      </c>
      <c r="D4" s="12" t="n">
        <v>2425.441</v>
      </c>
      <c r="E4" s="12" t="n">
        <v>1457.637</v>
      </c>
      <c r="F4" s="12" t="n">
        <v>1477.025</v>
      </c>
      <c r="G4" s="12" t="n">
        <v>2816.632</v>
      </c>
      <c r="H4" s="12" t="n">
        <v>3569.23</v>
      </c>
      <c r="I4" s="12" t="n">
        <v>1774.488</v>
      </c>
      <c r="J4" s="12" t="n">
        <v>1631.648</v>
      </c>
      <c r="K4" s="12" t="n">
        <v>3951.287</v>
      </c>
      <c r="L4" s="12" t="n">
        <v>1721.978</v>
      </c>
      <c r="M4" s="12" t="n">
        <v>2036.119</v>
      </c>
      <c r="N4" s="12" t="n">
        <v>3168.372</v>
      </c>
      <c r="O4" s="11" t="n"/>
      <c r="P4" s="12" t="n"/>
      <c r="Q4" s="12" t="n"/>
      <c r="R4" s="12" t="n"/>
      <c r="S4" s="12" t="n"/>
      <c r="T4" s="12" t="n">
        <v>5843.209</v>
      </c>
      <c r="U4" s="12" t="n">
        <v>6972.224</v>
      </c>
      <c r="V4" s="12" t="n">
        <v>7948.486</v>
      </c>
      <c r="W4" s="12" t="n">
        <v>9791.998</v>
      </c>
      <c r="X4" s="12" t="n">
        <v>10877.756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2201.369</v>
      </c>
      <c r="D11" s="22" t="n">
        <v>1847.602</v>
      </c>
      <c r="E11" s="22" t="n">
        <v>1286.301</v>
      </c>
      <c r="F11" s="22" t="n">
        <v>1320.913</v>
      </c>
      <c r="G11" s="22" t="n">
        <v>2410.547</v>
      </c>
      <c r="H11" s="22" t="n">
        <v>2861.804</v>
      </c>
      <c r="I11" s="22" t="n">
        <v>1429.712</v>
      </c>
      <c r="J11" s="22" t="n">
        <v>1412.849</v>
      </c>
      <c r="K11" s="22" t="n">
        <v>2837.032</v>
      </c>
      <c r="L11" s="22" t="n">
        <v>1414.472</v>
      </c>
      <c r="M11" s="22" t="n">
        <v>1720.312</v>
      </c>
      <c r="N11" s="22" t="n">
        <v>2594.315</v>
      </c>
      <c r="O11" s="21" t="n"/>
      <c r="P11" s="22" t="n"/>
      <c r="Q11" s="22" t="n"/>
      <c r="R11" s="22" t="n"/>
      <c r="S11" s="22" t="n"/>
      <c r="T11" s="22" t="n">
        <v>5054.53</v>
      </c>
      <c r="U11" s="22" t="n">
        <v>5988.986</v>
      </c>
      <c r="V11" s="22" t="n">
        <v>6656.185</v>
      </c>
      <c r="W11" s="22" t="n">
        <v>8114.912</v>
      </c>
      <c r="X11" s="22" t="n">
        <v>8566.130999999999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126.462</v>
      </c>
      <c r="D17" s="22" t="n">
        <v>135.414</v>
      </c>
      <c r="E17" s="22" t="n">
        <v>126.925</v>
      </c>
      <c r="F17" s="22" t="n">
        <v>136.726</v>
      </c>
      <c r="G17" s="22" t="n">
        <v>168.756</v>
      </c>
      <c r="H17" s="22" t="n">
        <v>162.153</v>
      </c>
      <c r="I17" s="22" t="n">
        <v>147.934</v>
      </c>
      <c r="J17" s="22" t="n">
        <v>155.063</v>
      </c>
      <c r="K17" s="22" t="n">
        <v>201.594</v>
      </c>
      <c r="L17" s="22" t="n">
        <v>176.52</v>
      </c>
      <c r="M17" s="22" t="n">
        <v>198.919</v>
      </c>
      <c r="N17" s="22" t="n">
        <v>198.044</v>
      </c>
      <c r="O17" s="21" t="n"/>
      <c r="P17" s="22" t="n"/>
      <c r="Q17" s="22" t="n"/>
      <c r="R17" s="22" t="n"/>
      <c r="S17" s="22" t="n"/>
      <c r="T17" s="22" t="n">
        <v>359.373</v>
      </c>
      <c r="U17" s="22" t="n">
        <v>434.334</v>
      </c>
      <c r="V17" s="22" t="n">
        <v>525.527</v>
      </c>
      <c r="W17" s="22" t="n">
        <v>633.9059999999999</v>
      </c>
      <c r="X17" s="22" t="n">
        <v>775.077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260.55</v>
      </c>
      <c r="D19" s="12" t="n">
        <v>442.426</v>
      </c>
      <c r="E19" s="12" t="n">
        <v>44.411</v>
      </c>
      <c r="F19" s="12" t="n">
        <v>19.386</v>
      </c>
      <c r="G19" s="12" t="n">
        <v>237.328</v>
      </c>
      <c r="H19" s="12" t="n">
        <v>545.273</v>
      </c>
      <c r="I19" s="12" t="n">
        <v>196.842</v>
      </c>
      <c r="J19" s="12" t="n">
        <v>63.736</v>
      </c>
      <c r="K19" s="12" t="n">
        <v>912.659</v>
      </c>
      <c r="L19" s="12" t="n">
        <v>130.987</v>
      </c>
      <c r="M19" s="12" t="n">
        <v>116.887</v>
      </c>
      <c r="N19" s="12" t="n">
        <v>376.014</v>
      </c>
      <c r="O19" s="11" t="n"/>
      <c r="P19" s="12" t="n"/>
      <c r="Q19" s="12" t="n"/>
      <c r="R19" s="12" t="n"/>
      <c r="S19" s="12" t="n"/>
      <c r="T19" s="12" t="n">
        <v>429.306</v>
      </c>
      <c r="U19" s="12" t="n">
        <v>548.902</v>
      </c>
      <c r="V19" s="12" t="n">
        <v>766.773</v>
      </c>
      <c r="W19" s="12" t="n">
        <v>1043.179</v>
      </c>
      <c r="X19" s="12" t="n">
        <v>1536.547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>
        <v>0</v>
      </c>
      <c r="F35" s="22" t="n">
        <v>0</v>
      </c>
      <c r="G35" s="22" t="n"/>
      <c r="H35" s="22" t="n"/>
      <c r="I35" s="22" t="n">
        <v>0</v>
      </c>
      <c r="J35" s="22" t="n">
        <v>0.617</v>
      </c>
      <c r="K35" s="22" t="n"/>
      <c r="L35" s="22" t="n"/>
      <c r="M35" s="22" t="n"/>
      <c r="N35" s="22" t="n">
        <v>0.256</v>
      </c>
      <c r="O35" s="21" t="n"/>
      <c r="P35" s="22" t="n"/>
      <c r="Q35" s="22" t="n"/>
      <c r="R35" s="22" t="n"/>
      <c r="S35" s="22" t="n"/>
      <c r="T35" s="22" t="n">
        <v>0.497</v>
      </c>
      <c r="U35" s="22" t="n">
        <v>5.338</v>
      </c>
      <c r="V35" s="22" t="n">
        <v>9.5</v>
      </c>
      <c r="W35" s="22" t="n">
        <v>0.617</v>
      </c>
      <c r="X35" s="22" t="n">
        <v>0.763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>
        <v>0</v>
      </c>
      <c r="F37" s="22" t="n">
        <v>87.858</v>
      </c>
      <c r="G37" s="22" t="n"/>
      <c r="H37" s="22" t="n"/>
      <c r="I37" s="22" t="n"/>
      <c r="J37" s="22" t="n">
        <v>30.75</v>
      </c>
      <c r="K37" s="22" t="n"/>
      <c r="L37" s="22" t="n"/>
      <c r="M37" s="22" t="n"/>
      <c r="N37" s="22" t="n">
        <v>63.284</v>
      </c>
      <c r="O37" s="21" t="n"/>
      <c r="P37" s="22" t="n"/>
      <c r="Q37" s="22" t="n"/>
      <c r="R37" s="22" t="n"/>
      <c r="S37" s="22" t="n"/>
      <c r="T37" s="22" t="n">
        <v>347.911</v>
      </c>
      <c r="U37" s="22" t="n">
        <v>64.108</v>
      </c>
      <c r="V37" s="22" t="n">
        <v>87.858</v>
      </c>
      <c r="W37" s="22" t="n">
        <v>30.75</v>
      </c>
      <c r="X37" s="22" t="n">
        <v>84.529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0</v>
      </c>
      <c r="D39" s="22" t="n">
        <v>0.408</v>
      </c>
      <c r="E39" s="22" t="n">
        <v>1.248</v>
      </c>
      <c r="F39" s="22" t="n">
        <v>0.422</v>
      </c>
      <c r="G39" s="22" t="n">
        <v>0.304</v>
      </c>
      <c r="H39" s="22" t="n">
        <v>1.399</v>
      </c>
      <c r="I39" s="22" t="n">
        <v>1.303</v>
      </c>
      <c r="J39" s="22" t="n">
        <v>3.525</v>
      </c>
      <c r="K39" s="22" t="n">
        <v>0.843</v>
      </c>
      <c r="L39" s="22" t="n">
        <v>1.938</v>
      </c>
      <c r="M39" s="22" t="n">
        <v>0.644</v>
      </c>
      <c r="N39" s="22" t="n">
        <v>8.928000000000001</v>
      </c>
      <c r="O39" s="21" t="n"/>
      <c r="P39" s="22" t="n"/>
      <c r="Q39" s="22" t="n"/>
      <c r="R39" s="22" t="n"/>
      <c r="S39" s="22" t="n"/>
      <c r="T39" s="22" t="n">
        <v>0.664</v>
      </c>
      <c r="U39" s="22" t="n">
        <v>1.503</v>
      </c>
      <c r="V39" s="22" t="n">
        <v>2.078</v>
      </c>
      <c r="W39" s="22" t="n">
        <v>6.531</v>
      </c>
      <c r="X39" s="22" t="n">
        <v>12.353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13.254</v>
      </c>
      <c r="D41" s="22" t="n">
        <v>42.187</v>
      </c>
      <c r="E41" s="22" t="n">
        <v>54.383</v>
      </c>
      <c r="F41" s="22" t="n">
        <v>29.092</v>
      </c>
      <c r="G41" s="22" t="n">
        <v>50.915</v>
      </c>
      <c r="H41" s="22" t="n">
        <v>40.482</v>
      </c>
      <c r="I41" s="22" t="n">
        <v>45.743</v>
      </c>
      <c r="J41" s="22" t="n">
        <v>85.53100000000001</v>
      </c>
      <c r="K41" s="22" t="n">
        <v>75.77</v>
      </c>
      <c r="L41" s="22" t="n">
        <v>95.849</v>
      </c>
      <c r="M41" s="22" t="n">
        <v>121.531</v>
      </c>
      <c r="N41" s="22" t="n">
        <v>116.429</v>
      </c>
      <c r="O41" s="21" t="n"/>
      <c r="P41" s="22" t="n"/>
      <c r="Q41" s="22" t="n"/>
      <c r="R41" s="22" t="n"/>
      <c r="S41" s="22" t="n"/>
      <c r="T41" s="22" t="n">
        <v>42.375</v>
      </c>
      <c r="U41" s="22" t="n">
        <v>65.76300000000001</v>
      </c>
      <c r="V41" s="22" t="n">
        <v>138.916</v>
      </c>
      <c r="W41" s="22" t="n">
        <v>222.671</v>
      </c>
      <c r="X41" s="22" t="n">
        <v>409.579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247.296</v>
      </c>
      <c r="D43" s="12" t="n">
        <v>410.147</v>
      </c>
      <c r="E43" s="12" t="n">
        <v>-8.725</v>
      </c>
      <c r="F43" s="12" t="n">
        <v>-97.14100000000001</v>
      </c>
      <c r="G43" s="12" t="n">
        <v>186.718</v>
      </c>
      <c r="H43" s="12" t="n">
        <v>506.189</v>
      </c>
      <c r="I43" s="12" t="n">
        <v>152.402</v>
      </c>
      <c r="J43" s="12" t="n">
        <v>-48.403</v>
      </c>
      <c r="K43" s="12" t="n">
        <v>837.732</v>
      </c>
      <c r="L43" s="12" t="n">
        <v>37.077</v>
      </c>
      <c r="M43" s="12" t="n">
        <v>-24.739</v>
      </c>
      <c r="N43" s="12" t="n">
        <v>205.485</v>
      </c>
      <c r="O43" s="11" t="n"/>
      <c r="P43" s="12" t="n"/>
      <c r="Q43" s="12" t="n"/>
      <c r="R43" s="12" t="n"/>
      <c r="S43" s="12" t="n"/>
      <c r="T43" s="12" t="n">
        <v>40.18</v>
      </c>
      <c r="U43" s="12" t="n">
        <v>425.872</v>
      </c>
      <c r="V43" s="12" t="n">
        <v>551.577</v>
      </c>
      <c r="W43" s="12" t="n">
        <v>796.9059999999999</v>
      </c>
      <c r="X43" s="12" t="n">
        <v>1055.555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77.654</v>
      </c>
      <c r="D45" s="22" t="n">
        <v>135.715</v>
      </c>
      <c r="E45" s="22" t="n">
        <v>-8.119999999999999</v>
      </c>
      <c r="F45" s="22" t="n">
        <v>-34.041</v>
      </c>
      <c r="G45" s="22" t="n">
        <v>61.89</v>
      </c>
      <c r="H45" s="22" t="n">
        <v>153.608</v>
      </c>
      <c r="I45" s="22" t="n">
        <v>50.889</v>
      </c>
      <c r="J45" s="22" t="n">
        <v>-28.702</v>
      </c>
      <c r="K45" s="22" t="n">
        <v>261.47</v>
      </c>
      <c r="L45" s="22" t="n">
        <v>19.365</v>
      </c>
      <c r="M45" s="22" t="n">
        <v>1.284</v>
      </c>
      <c r="N45" s="22" t="n">
        <v>32.014</v>
      </c>
      <c r="O45" s="21" t="n"/>
      <c r="P45" s="22" t="n"/>
      <c r="Q45" s="22" t="n"/>
      <c r="R45" s="22" t="n"/>
      <c r="S45" s="22" t="n"/>
      <c r="T45" s="22" t="n">
        <v>4.08</v>
      </c>
      <c r="U45" s="22" t="n">
        <v>147.278</v>
      </c>
      <c r="V45" s="22" t="n">
        <v>171.208</v>
      </c>
      <c r="W45" s="22" t="n">
        <v>237.685</v>
      </c>
      <c r="X45" s="22" t="n">
        <v>314.133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169.642</v>
      </c>
      <c r="D47" s="12" t="n">
        <v>274.431</v>
      </c>
      <c r="E47" s="12" t="n">
        <v>-0.604</v>
      </c>
      <c r="F47" s="12" t="n">
        <v>-63.101</v>
      </c>
      <c r="G47" s="12" t="n">
        <v>124.827</v>
      </c>
      <c r="H47" s="12" t="n">
        <v>352.581</v>
      </c>
      <c r="I47" s="12" t="n">
        <v>101.514</v>
      </c>
      <c r="J47" s="12" t="n">
        <v>-19.702</v>
      </c>
      <c r="K47" s="12" t="n">
        <v>576.261</v>
      </c>
      <c r="L47" s="12" t="n">
        <v>17.712</v>
      </c>
      <c r="M47" s="12" t="n">
        <v>-26.023</v>
      </c>
      <c r="N47" s="12" t="n">
        <v>173.471</v>
      </c>
      <c r="O47" s="11" t="n"/>
      <c r="P47" s="12" t="n"/>
      <c r="Q47" s="12" t="n"/>
      <c r="R47" s="12" t="n"/>
      <c r="S47" s="12" t="n"/>
      <c r="T47" s="12" t="n">
        <v>36.099</v>
      </c>
      <c r="U47" s="12" t="n">
        <v>278.593</v>
      </c>
      <c r="V47" s="12" t="n">
        <v>380.368</v>
      </c>
      <c r="W47" s="12" t="n">
        <v>559.22</v>
      </c>
      <c r="X47" s="12" t="n">
        <v>741.421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169.642</v>
      </c>
      <c r="D49" s="12" t="n">
        <v>274.431</v>
      </c>
      <c r="E49" s="12" t="n">
        <v>-0.604</v>
      </c>
      <c r="F49" s="12" t="n">
        <v>-63.101</v>
      </c>
      <c r="G49" s="12" t="n">
        <v>124.827</v>
      </c>
      <c r="H49" s="12" t="n">
        <v>352.581</v>
      </c>
      <c r="I49" s="12" t="n">
        <v>101.514</v>
      </c>
      <c r="J49" s="12" t="n">
        <v>-19.702</v>
      </c>
      <c r="K49" s="12" t="n">
        <v>576.261</v>
      </c>
      <c r="L49" s="12" t="n">
        <v>17.712</v>
      </c>
      <c r="M49" s="12" t="n">
        <v>-26.023</v>
      </c>
      <c r="N49" s="12" t="n">
        <v>173.471</v>
      </c>
      <c r="O49" s="11" t="n"/>
      <c r="P49" s="12" t="n"/>
      <c r="Q49" s="12" t="n"/>
      <c r="R49" s="12" t="n"/>
      <c r="S49" s="12" t="n"/>
      <c r="T49" s="12" t="n">
        <v>36.099</v>
      </c>
      <c r="U49" s="12" t="n">
        <v>278.593</v>
      </c>
      <c r="V49" s="12" t="n">
        <v>380.368</v>
      </c>
      <c r="W49" s="12" t="n">
        <v>559.22</v>
      </c>
      <c r="X49" s="12" t="n">
        <v>741.421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3495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6500150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2588.383</v>
      </c>
      <c r="D84" s="12" t="n">
        <v>2425.441</v>
      </c>
      <c r="E84" s="12" t="n">
        <v>1457.637</v>
      </c>
      <c r="F84" s="12" t="n">
        <v>1477.025</v>
      </c>
      <c r="G84" s="12" t="n">
        <v>2816.632</v>
      </c>
      <c r="H84" s="12" t="n">
        <v>3569.23</v>
      </c>
      <c r="I84" s="12" t="n">
        <v>1774.488</v>
      </c>
      <c r="J84" s="12" t="n">
        <v>1631.648</v>
      </c>
      <c r="K84" s="12" t="n">
        <v>3951.287</v>
      </c>
      <c r="L84" s="12" t="n">
        <v>1721.978</v>
      </c>
      <c r="M84" s="12" t="n">
        <v>2036.119</v>
      </c>
      <c r="N84" s="12" t="n">
        <v>3168.372</v>
      </c>
      <c r="U84" s="12" t="n">
        <v>1757.173</v>
      </c>
      <c r="V84" s="12" t="n">
        <v>1477.025</v>
      </c>
      <c r="W84" s="12" t="n">
        <v>1631.648</v>
      </c>
      <c r="X84" s="12" t="n">
        <v>3168.372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2201.369</v>
      </c>
      <c r="D86" s="22" t="n">
        <v>1847.602</v>
      </c>
      <c r="E86" s="22" t="n">
        <v>1286.301</v>
      </c>
      <c r="F86" s="22" t="n">
        <v>1320.913</v>
      </c>
      <c r="G86" s="22" t="n">
        <v>2410.547</v>
      </c>
      <c r="H86" s="22" t="n">
        <v>2861.804</v>
      </c>
      <c r="I86" s="22" t="n">
        <v>1429.712</v>
      </c>
      <c r="J86" s="22" t="n">
        <v>1412.849</v>
      </c>
      <c r="K86" s="22" t="n">
        <v>2837.032</v>
      </c>
      <c r="L86" s="22" t="n">
        <v>1414.472</v>
      </c>
      <c r="M86" s="22" t="n">
        <v>1720.312</v>
      </c>
      <c r="N86" s="22" t="n">
        <v>2594.315</v>
      </c>
      <c r="U86" s="22" t="n">
        <v>1591.928</v>
      </c>
      <c r="V86" s="22" t="n">
        <v>1320.913</v>
      </c>
      <c r="W86" s="22" t="n">
        <v>1412.849</v>
      </c>
      <c r="X86" s="22" t="n">
        <v>2594.315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387.013</v>
      </c>
      <c r="D88" s="12" t="n">
        <v>577.8390000000001</v>
      </c>
      <c r="E88" s="12" t="n">
        <v>171.337</v>
      </c>
      <c r="F88" s="12" t="n">
        <v>156.112</v>
      </c>
      <c r="G88" s="12" t="n">
        <v>406.085</v>
      </c>
      <c r="H88" s="12" t="n">
        <v>707.425</v>
      </c>
      <c r="I88" s="12" t="n">
        <v>344.776</v>
      </c>
      <c r="J88" s="12" t="n">
        <v>218.8</v>
      </c>
      <c r="K88" s="12" t="n">
        <v>1114.254</v>
      </c>
      <c r="L88" s="12" t="n">
        <v>307.506</v>
      </c>
      <c r="M88" s="12" t="n">
        <v>315.807</v>
      </c>
      <c r="N88" s="12" t="n">
        <v>574.057</v>
      </c>
      <c r="U88" s="12" t="n">
        <v>165.244</v>
      </c>
      <c r="V88" s="12" t="n">
        <v>156.112</v>
      </c>
      <c r="W88" s="12" t="n">
        <v>218.8</v>
      </c>
      <c r="X88" s="12" t="n">
        <v>574.057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126.462</v>
      </c>
      <c r="D90" s="22" t="n">
        <v>135.414</v>
      </c>
      <c r="E90" s="22" t="n">
        <v>126.925</v>
      </c>
      <c r="F90" s="22" t="n">
        <v>136.726</v>
      </c>
      <c r="G90" s="22" t="n">
        <v>168.756</v>
      </c>
      <c r="H90" s="22" t="n">
        <v>162.153</v>
      </c>
      <c r="I90" s="22" t="n">
        <v>147.934</v>
      </c>
      <c r="J90" s="22" t="n">
        <v>155.063</v>
      </c>
      <c r="K90" s="22" t="n">
        <v>201.594</v>
      </c>
      <c r="L90" s="22" t="n">
        <v>176.52</v>
      </c>
      <c r="M90" s="22" t="n">
        <v>198.919</v>
      </c>
      <c r="N90" s="22" t="n">
        <v>198.044</v>
      </c>
      <c r="U90" s="22" t="n">
        <v>107.555</v>
      </c>
      <c r="V90" s="22" t="n">
        <v>136.726</v>
      </c>
      <c r="W90" s="22" t="n">
        <v>155.063</v>
      </c>
      <c r="X90" s="22" t="n">
        <v>198.044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260.55</v>
      </c>
      <c r="D92" s="12" t="n">
        <v>442.426</v>
      </c>
      <c r="E92" s="12" t="n">
        <v>44.411</v>
      </c>
      <c r="F92" s="12" t="n">
        <v>19.386</v>
      </c>
      <c r="G92" s="12" t="n">
        <v>237.328</v>
      </c>
      <c r="H92" s="12" t="n">
        <v>545.273</v>
      </c>
      <c r="I92" s="12" t="n">
        <v>196.842</v>
      </c>
      <c r="J92" s="12" t="n">
        <v>63.736</v>
      </c>
      <c r="K92" s="12" t="n">
        <v>912.659</v>
      </c>
      <c r="L92" s="12" t="n">
        <v>130.987</v>
      </c>
      <c r="M92" s="12" t="n">
        <v>116.887</v>
      </c>
      <c r="N92" s="12" t="n">
        <v>376.014</v>
      </c>
      <c r="U92" s="12" t="n">
        <v>57.689</v>
      </c>
      <c r="V92" s="12" t="n">
        <v>19.386</v>
      </c>
      <c r="W92" s="12" t="n">
        <v>63.736</v>
      </c>
      <c r="X92" s="12" t="n">
        <v>376.014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</v>
      </c>
      <c r="D95" s="22" t="n">
        <v>0.08599999999999999</v>
      </c>
      <c r="E95" s="22" t="n">
        <v>0.368</v>
      </c>
      <c r="F95" s="22" t="n">
        <v>0.422</v>
      </c>
      <c r="G95" s="22" t="n">
        <v>0.304</v>
      </c>
      <c r="H95" s="22" t="n">
        <v>1.19</v>
      </c>
      <c r="I95" s="22" t="n">
        <v>0.523</v>
      </c>
      <c r="J95" s="22" t="n">
        <v>2.314</v>
      </c>
      <c r="K95" s="22" t="n">
        <v>0.403</v>
      </c>
      <c r="L95" s="22" t="n">
        <v>1.854</v>
      </c>
      <c r="M95" s="22" t="n">
        <v>0.407</v>
      </c>
      <c r="N95" s="22" t="n">
        <v>2.878</v>
      </c>
      <c r="U95" s="22" t="n">
        <v>0.005</v>
      </c>
      <c r="V95" s="22" t="n">
        <v>0.422</v>
      </c>
      <c r="W95" s="22" t="n">
        <v>2.314</v>
      </c>
      <c r="X95" s="22" t="n">
        <v>2.878</v>
      </c>
    </row>
    <row r="96">
      <c r="A96" s="20" t="inlineStr">
        <is>
          <t>보조금 수입</t>
        </is>
      </c>
      <c r="E96" s="22" t="n">
        <v>0</v>
      </c>
      <c r="F96" s="22" t="n">
        <v>0</v>
      </c>
      <c r="U96" s="22" t="n">
        <v>0</v>
      </c>
      <c r="V96" s="22" t="n">
        <v>0</v>
      </c>
    </row>
    <row r="97">
      <c r="A97" s="20" t="inlineStr">
        <is>
          <t>협찬금 수입</t>
        </is>
      </c>
      <c r="E97" s="22" t="n">
        <v>0.88</v>
      </c>
      <c r="F97" s="22" t="n">
        <v>0</v>
      </c>
      <c r="G97" s="22" t="n">
        <v>0</v>
      </c>
      <c r="H97" s="22" t="n">
        <v>0</v>
      </c>
      <c r="I97" s="22" t="n">
        <v>0.209</v>
      </c>
      <c r="J97" s="22" t="n">
        <v>0</v>
      </c>
      <c r="K97" s="22" t="n">
        <v>0.21</v>
      </c>
      <c r="L97" s="22" t="n">
        <v>0</v>
      </c>
      <c r="M97" s="22" t="n">
        <v>0</v>
      </c>
      <c r="N97" s="22" t="n">
        <v>0.43</v>
      </c>
      <c r="U97" s="22" t="n">
        <v>0</v>
      </c>
      <c r="V97" s="22" t="n">
        <v>0</v>
      </c>
      <c r="W97" s="22" t="n">
        <v>0</v>
      </c>
      <c r="X97" s="22" t="n">
        <v>0.43</v>
      </c>
    </row>
    <row r="98">
      <c r="A98" s="20" t="inlineStr">
        <is>
          <t>기타</t>
        </is>
      </c>
      <c r="C98" s="22" t="n">
        <v>0</v>
      </c>
      <c r="D98" s="22" t="n">
        <v>0.025</v>
      </c>
      <c r="E98" s="22" t="n">
        <v>0</v>
      </c>
      <c r="F98" s="22" t="n">
        <v>0</v>
      </c>
      <c r="G98" s="22" t="n">
        <v>0</v>
      </c>
      <c r="H98" s="22" t="n">
        <v>0.208</v>
      </c>
      <c r="I98" s="22" t="n">
        <v>0.571</v>
      </c>
      <c r="J98" s="22" t="n">
        <v>0.04</v>
      </c>
      <c r="K98" s="22" t="n">
        <v>0.23</v>
      </c>
      <c r="L98" s="22" t="n">
        <v>0.083</v>
      </c>
      <c r="M98" s="22" t="n">
        <v>0.237</v>
      </c>
      <c r="N98" s="22" t="n">
        <v>0.076</v>
      </c>
      <c r="U98" s="22" t="n">
        <v>0.01</v>
      </c>
      <c r="V98" s="22" t="n">
        <v>0</v>
      </c>
      <c r="W98" s="22" t="n">
        <v>0.04</v>
      </c>
      <c r="X98" s="22" t="n">
        <v>0.076</v>
      </c>
    </row>
    <row r="99">
      <c r="A99" s="20" t="inlineStr">
        <is>
          <t>영업외수익 합계</t>
        </is>
      </c>
      <c r="C99" s="22" t="n">
        <v>0</v>
      </c>
      <c r="D99" s="22" t="n">
        <v>0.408</v>
      </c>
      <c r="E99" s="22" t="n">
        <v>1.248</v>
      </c>
      <c r="F99" s="22" t="n">
        <v>0.422</v>
      </c>
      <c r="G99" s="22" t="n">
        <v>0.304</v>
      </c>
      <c r="H99" s="22" t="n">
        <v>1.399</v>
      </c>
      <c r="I99" s="22" t="n">
        <v>1.303</v>
      </c>
      <c r="J99" s="22" t="n">
        <v>3.525</v>
      </c>
      <c r="K99" s="22" t="n">
        <v>0.843</v>
      </c>
      <c r="L99" s="22" t="n">
        <v>1.938</v>
      </c>
      <c r="M99" s="22" t="n">
        <v>0.644</v>
      </c>
      <c r="N99" s="22" t="n">
        <v>8.928000000000001</v>
      </c>
      <c r="U99" s="22" t="n">
        <v>0.015</v>
      </c>
      <c r="V99" s="22" t="n">
        <v>0.422</v>
      </c>
      <c r="W99" s="22" t="n">
        <v>3.525</v>
      </c>
      <c r="X99" s="22" t="n">
        <v>8.928000000000001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12.914</v>
      </c>
      <c r="D101" s="22" t="n">
        <v>11.626</v>
      </c>
      <c r="E101" s="22" t="n">
        <v>16.271</v>
      </c>
      <c r="F101" s="22" t="n">
        <v>24.822</v>
      </c>
      <c r="G101" s="22" t="n">
        <v>30.423</v>
      </c>
      <c r="H101" s="22" t="n">
        <v>38.329</v>
      </c>
      <c r="I101" s="22" t="n">
        <v>43.835</v>
      </c>
      <c r="J101" s="22" t="n">
        <v>47.266</v>
      </c>
      <c r="K101" s="22" t="n">
        <v>58.105</v>
      </c>
      <c r="L101" s="22" t="n">
        <v>68.033</v>
      </c>
      <c r="M101" s="22" t="n">
        <v>89.2</v>
      </c>
      <c r="N101" s="22" t="n">
        <v>99.39</v>
      </c>
      <c r="U101" s="22" t="n">
        <v>14.346</v>
      </c>
      <c r="V101" s="22" t="n">
        <v>24.822</v>
      </c>
      <c r="W101" s="22" t="n">
        <v>47.266</v>
      </c>
      <c r="X101" s="22" t="n">
        <v>99.39</v>
      </c>
    </row>
    <row r="102">
      <c r="A102" s="20" t="inlineStr">
        <is>
          <t>지급수수료</t>
        </is>
      </c>
      <c r="C102" s="22" t="n">
        <v>0</v>
      </c>
      <c r="D102" s="22" t="n">
        <v>26.469</v>
      </c>
      <c r="E102" s="22" t="n">
        <v>28.878</v>
      </c>
      <c r="F102" s="22" t="n">
        <v>0.022</v>
      </c>
      <c r="G102" s="22" t="n">
        <v>16.035</v>
      </c>
      <c r="H102" s="22" t="n">
        <v>0.446</v>
      </c>
      <c r="I102" s="22" t="n">
        <v>0.036</v>
      </c>
      <c r="J102" s="22" t="n">
        <v>35.816</v>
      </c>
      <c r="K102" s="22" t="n">
        <v>12.739</v>
      </c>
      <c r="L102" s="22" t="n">
        <v>23.735</v>
      </c>
      <c r="M102" s="22" t="n">
        <v>2.555</v>
      </c>
      <c r="N102" s="22" t="n">
        <v>17.309</v>
      </c>
      <c r="U102" s="22" t="n">
        <v>0</v>
      </c>
      <c r="V102" s="22" t="n">
        <v>0.022</v>
      </c>
      <c r="W102" s="22" t="n">
        <v>35.816</v>
      </c>
      <c r="X102" s="22" t="n">
        <v>17.309</v>
      </c>
    </row>
    <row r="103">
      <c r="A103" s="20" t="inlineStr">
        <is>
          <t>감가상각비</t>
        </is>
      </c>
      <c r="C103" s="22" t="n">
        <v>0</v>
      </c>
      <c r="D103" s="22" t="n">
        <v>3.843</v>
      </c>
      <c r="E103" s="22" t="n">
        <v>8.749000000000001</v>
      </c>
      <c r="F103" s="22" t="n">
        <v>4.188</v>
      </c>
      <c r="G103" s="22" t="n">
        <v>2.791</v>
      </c>
      <c r="H103" s="22" t="n">
        <v>0.93</v>
      </c>
      <c r="I103" s="22" t="n">
        <v>1.872</v>
      </c>
      <c r="J103" s="22" t="n">
        <v>2.449</v>
      </c>
      <c r="K103" s="22" t="n">
        <v>4.554</v>
      </c>
      <c r="L103" s="22" t="n">
        <v>3.664</v>
      </c>
      <c r="M103" s="22" t="n">
        <v>4.772</v>
      </c>
      <c r="N103" s="22" t="n">
        <v>-0.748</v>
      </c>
      <c r="V103" s="22" t="n">
        <v>4.188</v>
      </c>
      <c r="W103" s="22" t="n">
        <v>2.449</v>
      </c>
      <c r="X103" s="22" t="n">
        <v>-0.748</v>
      </c>
    </row>
    <row r="104">
      <c r="A104" s="20" t="inlineStr">
        <is>
          <t>상장 관련 비용</t>
        </is>
      </c>
      <c r="E104" s="22" t="n">
        <v>0</v>
      </c>
      <c r="F104" s="22" t="n">
        <v>0</v>
      </c>
      <c r="U104" s="22" t="n">
        <v>0.212</v>
      </c>
      <c r="V104" s="22" t="n">
        <v>0</v>
      </c>
    </row>
    <row r="105">
      <c r="A105" s="20" t="inlineStr">
        <is>
          <t>주식교부비</t>
        </is>
      </c>
      <c r="C105" s="22" t="n">
        <v>0.17</v>
      </c>
      <c r="D105" s="22" t="n">
        <v>0.153</v>
      </c>
      <c r="E105" s="22" t="n">
        <v>0.09</v>
      </c>
      <c r="F105" s="22" t="n">
        <v>0.06</v>
      </c>
      <c r="G105" s="22" t="n">
        <v>0</v>
      </c>
      <c r="H105" s="22" t="n">
        <v>0</v>
      </c>
      <c r="I105" s="22" t="n">
        <v>0</v>
      </c>
      <c r="J105" s="22" t="n">
        <v>0</v>
      </c>
      <c r="N105" s="22" t="n">
        <v>0.477</v>
      </c>
      <c r="U105" s="22" t="n">
        <v>1.19</v>
      </c>
      <c r="V105" s="22" t="n">
        <v>0.06</v>
      </c>
      <c r="W105" s="22" t="n">
        <v>0</v>
      </c>
      <c r="X105" s="22" t="n">
        <v>0.477</v>
      </c>
    </row>
    <row r="106">
      <c r="A106" s="20" t="inlineStr">
        <is>
          <t>기타</t>
        </is>
      </c>
      <c r="C106" s="22" t="n">
        <v>0.169</v>
      </c>
      <c r="D106" s="22" t="n">
        <v>0.094</v>
      </c>
      <c r="E106" s="22" t="n">
        <v>0.396</v>
      </c>
      <c r="F106" s="22" t="n">
        <v>0</v>
      </c>
      <c r="G106" s="22" t="n">
        <v>1.665</v>
      </c>
      <c r="H106" s="22" t="n">
        <v>0.777</v>
      </c>
      <c r="I106" s="22" t="n">
        <v>0</v>
      </c>
      <c r="J106" s="22" t="n">
        <v>0</v>
      </c>
      <c r="K106" s="22" t="n">
        <v>0.371</v>
      </c>
      <c r="L106" s="22" t="n">
        <v>0.416</v>
      </c>
      <c r="M106" s="22" t="n">
        <v>1.063</v>
      </c>
      <c r="N106" s="22" t="n">
        <v>0</v>
      </c>
      <c r="U106" s="22" t="n">
        <v>-0.111</v>
      </c>
      <c r="V106" s="22" t="n">
        <v>0</v>
      </c>
      <c r="W106" s="22" t="n">
        <v>0</v>
      </c>
      <c r="X106" s="22" t="n">
        <v>0</v>
      </c>
    </row>
    <row r="107">
      <c r="A107" s="20" t="inlineStr">
        <is>
          <t>영업외비용 합계</t>
        </is>
      </c>
      <c r="C107" s="22" t="n">
        <v>13.254</v>
      </c>
      <c r="D107" s="22" t="n">
        <v>42.187</v>
      </c>
      <c r="E107" s="22" t="n">
        <v>54.383</v>
      </c>
      <c r="F107" s="22" t="n">
        <v>29.092</v>
      </c>
      <c r="G107" s="22" t="n">
        <v>50.915</v>
      </c>
      <c r="H107" s="22" t="n">
        <v>40.482</v>
      </c>
      <c r="I107" s="22" t="n">
        <v>45.743</v>
      </c>
      <c r="J107" s="22" t="n">
        <v>85.53100000000001</v>
      </c>
      <c r="K107" s="22" t="n">
        <v>75.77</v>
      </c>
      <c r="L107" s="22" t="n">
        <v>95.849</v>
      </c>
      <c r="M107" s="22" t="n">
        <v>121.531</v>
      </c>
      <c r="N107" s="22" t="n">
        <v>116.429</v>
      </c>
      <c r="U107" s="22" t="n">
        <v>15.815</v>
      </c>
      <c r="V107" s="22" t="n">
        <v>29.092</v>
      </c>
      <c r="W107" s="22" t="n">
        <v>85.53100000000001</v>
      </c>
      <c r="X107" s="22" t="n">
        <v>116.429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IF(OR(G107="",C107=""),"",IF(G107*C107&lt;=0,"",IFERROR(G107/C107-1,"")))</f>
        <v/>
      </c>
      <c r="H108" s="17">
        <f>IF(OR(H107="",D107=""),"",IF(H107*D107&lt;=0,"",IFERROR(H107/D107-1,"")))</f>
        <v/>
      </c>
      <c r="I108" s="17">
        <f>IF(OR(I107="",E107=""),"",IF(I107*E107&lt;=0,"",IFERROR(I107/E107-1,"")))</f>
        <v/>
      </c>
      <c r="J108" s="17">
        <f>IF(OR(J107="",F107=""),"",IF(J107*F107&lt;=0,"",IFERROR(J107/F107-1,"")))</f>
        <v/>
      </c>
      <c r="K108" s="17">
        <f>IF(OR(K107="",G107=""),"",IF(K107*G107&lt;=0,"",IFERROR(K107/G107-1,"")))</f>
        <v/>
      </c>
      <c r="L108" s="17">
        <f>IF(OR(L107="",H107=""),"",IF(L107*H107&lt;=0,"",IFERROR(L107/H107-1,"")))</f>
        <v/>
      </c>
      <c r="M108" s="17">
        <f>IF(OR(M107="",I107=""),"",IF(M107*I107&lt;=0,"",IFERROR(M107/I107-1,"")))</f>
        <v/>
      </c>
      <c r="N108" s="17">
        <f>IF(OR(N107="",J107=""),"",IF(N107*J107&lt;=0,"",IFERROR(N107/J107-1,"")))</f>
        <v/>
      </c>
      <c r="U108" s="17">
        <f>IF(OR(U107="",T107=""),"",IF(U107*T107&lt;=0,"",IFERROR(U107/T107-1,"")))</f>
        <v/>
      </c>
      <c r="V108" s="17">
        <f>IF(OR(V107="",U107=""),"",IF(V107*U107&lt;=0,"",IFERROR(V107/U107-1,"")))</f>
        <v/>
      </c>
      <c r="W108" s="17">
        <f>IF(OR(W107="",V107=""),"",IF(W107*V107&lt;=0,"",IFERROR(W107/V107-1,"")))</f>
        <v/>
      </c>
      <c r="X108" s="17">
        <f>IF(OR(X107="",W107=""),"",IF(X107*W107&lt;=0,"",IFERROR(X107/W107-1,"")))</f>
        <v/>
      </c>
    </row>
    <row r="109">
      <c r="A109" s="9" t="inlineStr">
        <is>
          <t>경상이익</t>
        </is>
      </c>
      <c r="C109" s="12" t="n">
        <v>247.296</v>
      </c>
      <c r="D109" s="12" t="n">
        <v>400.647</v>
      </c>
      <c r="E109" s="12" t="n">
        <v>-8.725</v>
      </c>
      <c r="F109" s="12" t="n">
        <v>-9.282999999999999</v>
      </c>
      <c r="G109" s="12" t="n">
        <v>186.718</v>
      </c>
      <c r="H109" s="12" t="n">
        <v>506.189</v>
      </c>
      <c r="I109" s="12" t="n">
        <v>152.402</v>
      </c>
      <c r="J109" s="12" t="n">
        <v>-18.27</v>
      </c>
      <c r="K109" s="12" t="n">
        <v>837.732</v>
      </c>
      <c r="L109" s="12" t="n">
        <v>37.077</v>
      </c>
      <c r="M109" s="12" t="n">
        <v>-4.001</v>
      </c>
      <c r="N109" s="12" t="n">
        <v>268.512</v>
      </c>
      <c r="U109" s="12" t="n">
        <v>41.889</v>
      </c>
      <c r="V109" s="12" t="n">
        <v>-9.282999999999999</v>
      </c>
      <c r="W109" s="12" t="n">
        <v>-18.27</v>
      </c>
      <c r="X109" s="12" t="n">
        <v>268.512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20" t="inlineStr">
        <is>
          <t>보상금 수취</t>
        </is>
      </c>
      <c r="E111" s="22" t="n">
        <v>0</v>
      </c>
      <c r="F111" s="22" t="n">
        <v>0</v>
      </c>
      <c r="I111" s="22" t="n">
        <v>0</v>
      </c>
      <c r="J111" s="22" t="n">
        <v>0</v>
      </c>
      <c r="U111" s="22" t="n">
        <v>0</v>
      </c>
      <c r="V111" s="22" t="n">
        <v>0</v>
      </c>
      <c r="W111" s="22" t="n">
        <v>0</v>
      </c>
    </row>
    <row r="112">
      <c r="A112" s="20" t="inlineStr">
        <is>
          <t>신주예약권 환입이익</t>
        </is>
      </c>
      <c r="J112" s="22" t="n">
        <v>0</v>
      </c>
      <c r="N112" s="22" t="n">
        <v>0</v>
      </c>
      <c r="W112" s="22" t="n">
        <v>0</v>
      </c>
      <c r="X112" s="22" t="n">
        <v>0</v>
      </c>
    </row>
    <row r="113">
      <c r="A113" s="20" t="inlineStr">
        <is>
          <t>특별이익 합계</t>
        </is>
      </c>
      <c r="E113" s="22" t="n">
        <v>0</v>
      </c>
      <c r="F113" s="22" t="n">
        <v>0</v>
      </c>
      <c r="I113" s="22" t="n">
        <v>0</v>
      </c>
      <c r="J113" s="22" t="n">
        <v>0.617</v>
      </c>
      <c r="N113" s="22" t="n">
        <v>0.256</v>
      </c>
      <c r="U113" s="22" t="n">
        <v>5.338</v>
      </c>
      <c r="V113" s="22" t="n">
        <v>0</v>
      </c>
      <c r="W113" s="22" t="n">
        <v>0.617</v>
      </c>
      <c r="X113" s="22" t="n">
        <v>0.256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I114" s="17">
        <f>IF(OR(I113="",E113=""),"",IF(I113*E113&lt;=0,"",IFERROR(I113/E113-1,"")))</f>
        <v/>
      </c>
      <c r="J114" s="17">
        <f>IF(OR(J113="",F113=""),"",IF(J113*F113&lt;=0,"",IFERROR(J113/F113-1,"")))</f>
        <v/>
      </c>
      <c r="N114" s="17">
        <f>IF(OR(N113="",J113=""),"",IF(N113*J113&lt;=0,"",IFERROR(N113/J113-1,"")))</f>
        <v/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  <c r="W114" s="17">
        <f>IF(OR(W113="",V113=""),"",IF(W113*V113&lt;=0,"",IFERROR(W113/V113-1,"")))</f>
        <v/>
      </c>
      <c r="X114" s="17">
        <f>IF(OR(X113="",W113=""),"",IF(X113*W113&lt;=0,"",IFERROR(X113/W113-1,"")))</f>
        <v/>
      </c>
    </row>
    <row r="115">
      <c r="A115" s="20" t="inlineStr">
        <is>
          <t>손상차손</t>
        </is>
      </c>
      <c r="J115" s="22" t="n">
        <v>30.75</v>
      </c>
      <c r="N115" s="22" t="n">
        <v>39.999</v>
      </c>
      <c r="W115" s="22" t="n">
        <v>30.75</v>
      </c>
      <c r="X115" s="22" t="n">
        <v>39.999</v>
      </c>
    </row>
    <row r="116">
      <c r="A116" s="20" t="inlineStr">
        <is>
          <t>고정자산 제각손실</t>
        </is>
      </c>
      <c r="E116" s="22" t="n">
        <v>0</v>
      </c>
      <c r="F116" s="22" t="n">
        <v>0</v>
      </c>
      <c r="J116" s="22" t="n">
        <v>0</v>
      </c>
      <c r="N116" s="22" t="n">
        <v>23.286</v>
      </c>
      <c r="U116" s="22" t="n">
        <v>3.898</v>
      </c>
      <c r="V116" s="22" t="n">
        <v>0</v>
      </c>
      <c r="W116" s="22" t="n">
        <v>0</v>
      </c>
      <c r="X116" s="22" t="n">
        <v>23.286</v>
      </c>
    </row>
    <row r="117">
      <c r="A117" s="20" t="inlineStr">
        <is>
          <t>특별손실 합계</t>
        </is>
      </c>
      <c r="E117" s="22" t="n">
        <v>0</v>
      </c>
      <c r="F117" s="22" t="n">
        <v>87.858</v>
      </c>
      <c r="J117" s="22" t="n">
        <v>30.75</v>
      </c>
      <c r="N117" s="22" t="n">
        <v>63.284</v>
      </c>
      <c r="U117" s="22" t="n">
        <v>50.757</v>
      </c>
      <c r="V117" s="22" t="n">
        <v>87.858</v>
      </c>
      <c r="W117" s="22" t="n">
        <v>30.75</v>
      </c>
      <c r="X117" s="22" t="n">
        <v>63.284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J118" s="17">
        <f>IF(OR(J117="",F117=""),"",IF(J117*F117&lt;=0,"",IFERROR(J117/F117-1,"")))</f>
        <v/>
      </c>
      <c r="N118" s="17">
        <f>IF(OR(N117="",J117=""),"",IF(N117*J117&lt;=0,"",IFERROR(N117/J117-1,"")))</f>
        <v/>
      </c>
      <c r="U118" s="17">
        <f>IF(OR(U117="",T117=""),"",IF(U117*T117&lt;=0,"",IFERROR(U117/T117-1,"")))</f>
        <v/>
      </c>
      <c r="V118" s="17">
        <f>IF(OR(V117="",U117=""),"",IF(V117*U117&lt;=0,"",IFERROR(V117/U117-1,"")))</f>
        <v/>
      </c>
      <c r="W118" s="17">
        <f>IF(OR(W117="",V117=""),"",IF(W117*V117&lt;=0,"",IFERROR(W117/V117-1,"")))</f>
        <v/>
      </c>
      <c r="X118" s="17">
        <f>IF(OR(X117="",W117=""),"",IF(X117*W117&lt;=0,"",IFERROR(X117/W117-1,"")))</f>
        <v/>
      </c>
    </row>
    <row r="119">
      <c r="A119" s="9" t="inlineStr">
        <is>
          <t>법인세차감전 순이익</t>
        </is>
      </c>
      <c r="C119" s="12" t="n">
        <v>247.296</v>
      </c>
      <c r="D119" s="12" t="n">
        <v>410.147</v>
      </c>
      <c r="E119" s="12" t="n">
        <v>-8.725</v>
      </c>
      <c r="F119" s="12" t="n">
        <v>-97.14100000000001</v>
      </c>
      <c r="G119" s="12" t="n">
        <v>186.718</v>
      </c>
      <c r="H119" s="12" t="n">
        <v>506.189</v>
      </c>
      <c r="I119" s="12" t="n">
        <v>152.402</v>
      </c>
      <c r="J119" s="12" t="n">
        <v>-48.403</v>
      </c>
      <c r="K119" s="12" t="n">
        <v>837.732</v>
      </c>
      <c r="L119" s="12" t="n">
        <v>37.077</v>
      </c>
      <c r="M119" s="12" t="n">
        <v>-24.739</v>
      </c>
      <c r="N119" s="12" t="n">
        <v>205.485</v>
      </c>
      <c r="U119" s="12" t="n">
        <v>-3.53</v>
      </c>
      <c r="V119" s="12" t="n">
        <v>-97.14100000000001</v>
      </c>
      <c r="W119" s="12" t="n">
        <v>-48.403</v>
      </c>
      <c r="X119" s="12" t="n">
        <v>205.485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IF(OR(G119="",C119=""),"",IF(C119&lt;=0,"",IFERROR(G119/C119-1,"")))</f>
        <v/>
      </c>
      <c r="H120" s="17">
        <f>IF(OR(H119="",D119=""),"",IF(D119&lt;=0,"",IFERROR(H119/D119-1,"")))</f>
        <v/>
      </c>
      <c r="I120" s="17">
        <f>IF(OR(I119="",E119=""),"",IF(E119&lt;=0,"",IFERROR(I119/E119-1,"")))</f>
        <v/>
      </c>
      <c r="J120" s="17">
        <f>IF(OR(J119="",F119=""),"",IF(F119&lt;=0,"",IFERROR(J119/F119-1,"")))</f>
        <v/>
      </c>
      <c r="K120" s="17">
        <f>IF(OR(K119="",G119=""),"",IF(G119&lt;=0,"",IFERROR(K119/G119-1,"")))</f>
        <v/>
      </c>
      <c r="L120" s="17">
        <f>IF(OR(L119="",H119=""),"",IF(H119&lt;=0,"",IFERROR(L119/H119-1,"")))</f>
        <v/>
      </c>
      <c r="M120" s="17">
        <f>IF(OR(M119="",I119=""),"",IF(I119&lt;=0,"",IFERROR(M119/I119-1,"")))</f>
        <v/>
      </c>
      <c r="N120" s="17">
        <f>IF(OR(N119="",J119=""),"",IF(J119&lt;=0,"",IFERROR(N119/J119-1,"")))</f>
        <v/>
      </c>
      <c r="U120" s="17">
        <f>IF(OR(U119="",T119=""),"",IF(T119&lt;=0,"",IFERROR(U119/T119-1,"")))</f>
        <v/>
      </c>
      <c r="V120" s="17">
        <f>IF(OR(V119="",U119=""),"",IF(U119&lt;=0,"",IFERROR(V119/U119-1,"")))</f>
        <v/>
      </c>
      <c r="W120" s="17">
        <f>IF(OR(W119="",V119=""),"",IF(V119&lt;=0,"",IFERROR(W119/V119-1,"")))</f>
        <v/>
      </c>
      <c r="X120" s="17">
        <f>IF(OR(X119="",W119=""),"",IF(W119&lt;=0,"",IFERROR(X119/W119-1,"")))</f>
        <v/>
      </c>
    </row>
    <row r="121">
      <c r="A121" s="20" t="inlineStr">
        <is>
          <t>법인세·주민세·사업세</t>
        </is>
      </c>
      <c r="C121" s="22" t="n">
        <v>63.778</v>
      </c>
      <c r="D121" s="22" t="n">
        <v>140.107</v>
      </c>
      <c r="E121" s="22" t="n">
        <v>-0.879</v>
      </c>
      <c r="F121" s="22" t="n">
        <v>12.432</v>
      </c>
      <c r="G121" s="22" t="n">
        <v>47.052</v>
      </c>
      <c r="H121" s="22" t="n">
        <v>157.656</v>
      </c>
      <c r="I121" s="22" t="n">
        <v>34.658</v>
      </c>
      <c r="J121" s="22" t="n">
        <v>5.364</v>
      </c>
      <c r="K121" s="22" t="n">
        <v>248.161</v>
      </c>
      <c r="L121" s="22" t="n">
        <v>32.695</v>
      </c>
      <c r="M121" s="22" t="n">
        <v>-6.329</v>
      </c>
      <c r="N121" s="22" t="n">
        <v>49.151</v>
      </c>
      <c r="U121" s="22" t="n">
        <v>9.763</v>
      </c>
      <c r="V121" s="22" t="n">
        <v>12.432</v>
      </c>
      <c r="W121" s="22" t="n">
        <v>5.364</v>
      </c>
      <c r="X121" s="22" t="n">
        <v>49.151</v>
      </c>
    </row>
    <row r="122">
      <c r="A122" s="20" t="inlineStr">
        <is>
          <t>법인세 조정액</t>
        </is>
      </c>
      <c r="C122" s="22" t="n">
        <v>13.876</v>
      </c>
      <c r="D122" s="22" t="n">
        <v>-4.392</v>
      </c>
      <c r="E122" s="22" t="n">
        <v>-7.241</v>
      </c>
      <c r="F122" s="22" t="n">
        <v>-46.472</v>
      </c>
      <c r="G122" s="22" t="n">
        <v>14.837</v>
      </c>
      <c r="H122" s="22" t="n">
        <v>-4.048</v>
      </c>
      <c r="I122" s="22" t="n">
        <v>16.231</v>
      </c>
      <c r="J122" s="22" t="n">
        <v>-34.065</v>
      </c>
      <c r="K122" s="22" t="n">
        <v>13.308</v>
      </c>
      <c r="L122" s="22" t="n">
        <v>-13.328</v>
      </c>
      <c r="M122" s="22" t="n">
        <v>7.612</v>
      </c>
      <c r="N122" s="22" t="n">
        <v>-17.137</v>
      </c>
      <c r="U122" s="22" t="n">
        <v>-24.922</v>
      </c>
      <c r="V122" s="22" t="n">
        <v>-46.472</v>
      </c>
      <c r="W122" s="22" t="n">
        <v>-34.065</v>
      </c>
      <c r="X122" s="22" t="n">
        <v>-17.137</v>
      </c>
    </row>
    <row r="123">
      <c r="A123" s="20" t="inlineStr">
        <is>
          <t>법인세 등 합계</t>
        </is>
      </c>
      <c r="C123" s="22" t="n">
        <v>77.654</v>
      </c>
      <c r="D123" s="22" t="n">
        <v>135.715</v>
      </c>
      <c r="E123" s="22" t="n">
        <v>-8.119999999999999</v>
      </c>
      <c r="F123" s="22" t="n">
        <v>-34.041</v>
      </c>
      <c r="G123" s="22" t="n">
        <v>61.89</v>
      </c>
      <c r="H123" s="22" t="n">
        <v>153.608</v>
      </c>
      <c r="I123" s="22" t="n">
        <v>50.889</v>
      </c>
      <c r="J123" s="22" t="n">
        <v>-28.702</v>
      </c>
      <c r="K123" s="22" t="n">
        <v>261.47</v>
      </c>
      <c r="L123" s="22" t="n">
        <v>19.365</v>
      </c>
      <c r="M123" s="22" t="n">
        <v>1.284</v>
      </c>
      <c r="N123" s="22" t="n">
        <v>32.014</v>
      </c>
      <c r="U123" s="22" t="n">
        <v>-15.159</v>
      </c>
      <c r="V123" s="22" t="n">
        <v>-34.041</v>
      </c>
      <c r="W123" s="22" t="n">
        <v>-28.702</v>
      </c>
      <c r="X123" s="22" t="n">
        <v>32.014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IF(OR(G123="",C123=""),"",IF(G123*C123&lt;=0,"",IFERROR(G123/C123-1,"")))</f>
        <v/>
      </c>
      <c r="H124" s="17">
        <f>IF(OR(H123="",D123=""),"",IF(H123*D123&lt;=0,"",IFERROR(H123/D123-1,"")))</f>
        <v/>
      </c>
      <c r="I124" s="17">
        <f>IF(OR(I123="",E123=""),"",IF(I123*E123&lt;=0,"",IFERROR(I123/E123-1,"")))</f>
        <v/>
      </c>
      <c r="J124" s="17">
        <f>IF(OR(J123="",F123=""),"",IF(J123*F123&lt;=0,"",IFERROR(J123/F123-1,"")))</f>
        <v/>
      </c>
      <c r="K124" s="17">
        <f>IF(OR(K123="",G123=""),"",IF(K123*G123&lt;=0,"",IFERROR(K123/G123-1,"")))</f>
        <v/>
      </c>
      <c r="L124" s="17">
        <f>IF(OR(L123="",H123=""),"",IF(L123*H123&lt;=0,"",IFERROR(L123/H123-1,"")))</f>
        <v/>
      </c>
      <c r="M124" s="17">
        <f>IF(OR(M123="",I123=""),"",IF(M123*I123&lt;=0,"",IFERROR(M123/I123-1,"")))</f>
        <v/>
      </c>
      <c r="N124" s="17">
        <f>IF(OR(N123="",J123=""),"",IF(N123*J123&lt;=0,"",IFERROR(N123/J123-1,"")))</f>
        <v/>
      </c>
      <c r="U124" s="17">
        <f>IF(OR(U123="",T123=""),"",IF(U123*T123&lt;=0,"",IFERROR(U123/T123-1,"")))</f>
        <v/>
      </c>
      <c r="V124" s="17">
        <f>IF(OR(V123="",U123=""),"",IF(V123*U123&lt;=0,"",IFERROR(V123/U123-1,"")))</f>
        <v/>
      </c>
      <c r="W124" s="17">
        <f>IF(OR(W123="",V123=""),"",IF(W123*V123&lt;=0,"",IFERROR(W123/V123-1,"")))</f>
        <v/>
      </c>
      <c r="X124" s="17">
        <f>IF(OR(X123="",W123=""),"",IF(X123*W123&lt;=0,"",IFERROR(X123/W123-1,"")))</f>
        <v/>
      </c>
    </row>
    <row r="125">
      <c r="A125" s="9" t="inlineStr">
        <is>
          <t>순이익</t>
        </is>
      </c>
      <c r="C125" s="12" t="n">
        <v>169.642</v>
      </c>
      <c r="D125" s="12" t="n">
        <v>274.431</v>
      </c>
      <c r="E125" s="12" t="n">
        <v>-0.604</v>
      </c>
      <c r="F125" s="12" t="n">
        <v>-63.101</v>
      </c>
      <c r="G125" s="12" t="n">
        <v>124.827</v>
      </c>
      <c r="H125" s="12" t="n">
        <v>352.581</v>
      </c>
      <c r="I125" s="12" t="n">
        <v>101.514</v>
      </c>
      <c r="J125" s="12" t="n">
        <v>-19.702</v>
      </c>
      <c r="K125" s="12" t="n">
        <v>576.261</v>
      </c>
      <c r="L125" s="12" t="n">
        <v>17.712</v>
      </c>
      <c r="M125" s="12" t="n">
        <v>-26.023</v>
      </c>
      <c r="N125" s="12" t="n">
        <v>173.471</v>
      </c>
      <c r="U125" s="12" t="n">
        <v>11.629</v>
      </c>
      <c r="V125" s="12" t="n">
        <v>-63.101</v>
      </c>
      <c r="W125" s="12" t="n">
        <v>-19.702</v>
      </c>
      <c r="X125" s="12" t="n">
        <v>173.471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IF(OR(G125="",C125=""),"",IF(C125&lt;=0,"",IFERROR(G125/C125-1,"")))</f>
        <v/>
      </c>
      <c r="H126" s="17">
        <f>IF(OR(H125="",D125=""),"",IF(D125&lt;=0,"",IFERROR(H125/D125-1,"")))</f>
        <v/>
      </c>
      <c r="I126" s="17">
        <f>IF(OR(I125="",E125=""),"",IF(E125&lt;=0,"",IFERROR(I125/E125-1,"")))</f>
        <v/>
      </c>
      <c r="J126" s="17">
        <f>IF(OR(J125="",F125=""),"",IF(F125&lt;=0,"",IFERROR(J125/F125-1,"")))</f>
        <v/>
      </c>
      <c r="K126" s="17">
        <f>IF(OR(K125="",G125=""),"",IF(G125&lt;=0,"",IFERROR(K125/G125-1,"")))</f>
        <v/>
      </c>
      <c r="L126" s="17">
        <f>IF(OR(L125="",H125=""),"",IF(H125&lt;=0,"",IFERROR(L125/H125-1,"")))</f>
        <v/>
      </c>
      <c r="M126" s="17">
        <f>IF(OR(M125="",I125=""),"",IF(I125&lt;=0,"",IFERROR(M125/I125-1,"")))</f>
        <v/>
      </c>
      <c r="N126" s="17">
        <f>IF(OR(N125="",J125=""),"",IF(J125&lt;=0,"",IFERROR(N125/J125-1,"")))</f>
        <v/>
      </c>
      <c r="U126" s="17">
        <f>IF(OR(U125="",T125=""),"",IF(T125&lt;=0,"",IFERROR(U125/T125-1,"")))</f>
        <v/>
      </c>
      <c r="V126" s="17">
        <f>IF(OR(V125="",U125=""),"",IF(U125&lt;=0,"",IFERROR(V125/U125-1,"")))</f>
        <v/>
      </c>
      <c r="W126" s="17">
        <f>IF(OR(W125="",V125=""),"",IF(V125&lt;=0,"",IFERROR(W125/V125-1,"")))</f>
        <v/>
      </c>
      <c r="X126" s="17">
        <f>IF(OR(X125="",W125=""),"",IF(W125&lt;=0,"",IFERROR(X125/W125-1,"")))</f>
        <v/>
      </c>
    </row>
    <row r="128">
      <c r="A128" s="18" t="inlineStr">
        <is>
          <t>현금흐름표 · 전 항목</t>
        </is>
      </c>
      <c r="B128" s="44" t="inlineStr">
        <is>
          <t>분기 = 결산기 첫날부터 누계(공시 그대로)</t>
        </is>
      </c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  <c r="AC128" s="18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2024.1Q</t>
        </is>
      </c>
      <c r="D129" s="5" t="inlineStr">
        <is>
          <t>2024.2Q</t>
        </is>
      </c>
      <c r="E129" s="5" t="inlineStr">
        <is>
          <t>2024.3Q</t>
        </is>
      </c>
      <c r="F129" s="5" t="inlineStr">
        <is>
          <t>2024.4Q</t>
        </is>
      </c>
      <c r="G129" s="5" t="inlineStr">
        <is>
          <t>2025.1Q</t>
        </is>
      </c>
      <c r="H129" s="5" t="inlineStr">
        <is>
          <t>2025.2Q</t>
        </is>
      </c>
      <c r="I129" s="5" t="inlineStr">
        <is>
          <t>2025.3Q</t>
        </is>
      </c>
      <c r="J129" s="5" t="inlineStr">
        <is>
          <t>2025.4Q</t>
        </is>
      </c>
      <c r="K129" s="5" t="inlineStr">
        <is>
          <t>2026.1Q</t>
        </is>
      </c>
      <c r="L129" s="5" t="inlineStr">
        <is>
          <t>2026.2Q</t>
        </is>
      </c>
      <c r="M129" s="5" t="inlineStr">
        <is>
          <t>2026.3Q</t>
        </is>
      </c>
      <c r="N129" s="5" t="inlineStr">
        <is>
          <t>2026.4Q</t>
        </is>
      </c>
      <c r="O129" s="5" t="inlineStr">
        <is>
          <t>2017</t>
        </is>
      </c>
      <c r="P129" s="5" t="inlineStr">
        <is>
          <t>2018</t>
        </is>
      </c>
      <c r="Q129" s="5" t="inlineStr">
        <is>
          <t>2019</t>
        </is>
      </c>
      <c r="R129" s="5" t="inlineStr">
        <is>
          <t>2020</t>
        </is>
      </c>
      <c r="S129" s="5" t="inlineStr">
        <is>
          <t>2021</t>
        </is>
      </c>
      <c r="T129" s="5" t="inlineStr">
        <is>
          <t>2022</t>
        </is>
      </c>
      <c r="U129" s="5" t="inlineStr">
        <is>
          <t>2023</t>
        </is>
      </c>
      <c r="V129" s="5" t="inlineStr">
        <is>
          <t>2024</t>
        </is>
      </c>
      <c r="W129" s="5" t="inlineStr">
        <is>
          <t>2025</t>
        </is>
      </c>
      <c r="X129" s="5" t="inlineStr">
        <is>
          <t>2026</t>
        </is>
      </c>
      <c r="Y129" s="5" t="inlineStr">
        <is>
          <t>2027(MW)</t>
        </is>
      </c>
      <c r="Z129" s="5" t="inlineStr">
        <is>
          <t>2028(MW)</t>
        </is>
      </c>
      <c r="AA129" s="5" t="inlineStr">
        <is>
          <t>2029(MW)</t>
        </is>
      </c>
      <c r="AB129" s="5" t="inlineStr">
        <is>
          <t>2030(MW)</t>
        </is>
      </c>
      <c r="AC129" s="5" t="inlineStr">
        <is>
          <t>2031(MW)</t>
        </is>
      </c>
    </row>
    <row r="130">
      <c r="A130" s="9" t="inlineStr">
        <is>
          <t>법인세차감전 순이익</t>
        </is>
      </c>
      <c r="D130" s="12" t="n">
        <v>657.443</v>
      </c>
      <c r="F130" s="12" t="n">
        <v>551.577</v>
      </c>
      <c r="H130" s="12" t="n">
        <v>692.907</v>
      </c>
      <c r="J130" s="12" t="n">
        <v>796.9059999999999</v>
      </c>
      <c r="L130" s="12" t="n">
        <v>874.809</v>
      </c>
      <c r="N130" s="12" t="n">
        <v>1055.555</v>
      </c>
      <c r="T130" s="12" t="n">
        <v>40.18</v>
      </c>
      <c r="U130" s="12" t="n">
        <v>425.872</v>
      </c>
      <c r="V130" s="12" t="n">
        <v>551.577</v>
      </c>
      <c r="W130" s="12" t="n">
        <v>796.9059999999999</v>
      </c>
      <c r="X130" s="12" t="n">
        <v>1055.555</v>
      </c>
    </row>
    <row r="131">
      <c r="A131" s="20" t="inlineStr">
        <is>
          <t>감가상각비</t>
        </is>
      </c>
      <c r="D131" s="22" t="n">
        <v>175.772</v>
      </c>
      <c r="F131" s="22" t="n">
        <v>369.555</v>
      </c>
      <c r="H131" s="22" t="n">
        <v>198.185</v>
      </c>
      <c r="J131" s="22" t="n">
        <v>398.754</v>
      </c>
      <c r="L131" s="22" t="n">
        <v>212.714</v>
      </c>
      <c r="N131" s="22" t="n">
        <v>480.466</v>
      </c>
      <c r="T131" s="22" t="n">
        <v>372.773</v>
      </c>
      <c r="U131" s="22" t="n">
        <v>367.464</v>
      </c>
      <c r="V131" s="22" t="n">
        <v>369.555</v>
      </c>
      <c r="W131" s="22" t="n">
        <v>398.754</v>
      </c>
      <c r="X131" s="22" t="n">
        <v>480.466</v>
      </c>
    </row>
    <row r="132">
      <c r="A132" s="20" t="inlineStr">
        <is>
          <t>손상차손</t>
        </is>
      </c>
      <c r="F132" s="22" t="n">
        <v>87.858</v>
      </c>
      <c r="J132" s="22" t="n">
        <v>30.75</v>
      </c>
      <c r="N132" s="22" t="n">
        <v>44.581</v>
      </c>
      <c r="T132" s="22" t="n">
        <v>329.526</v>
      </c>
      <c r="U132" s="22" t="n">
        <v>46.858</v>
      </c>
      <c r="V132" s="22" t="n">
        <v>87.858</v>
      </c>
      <c r="W132" s="22" t="n">
        <v>30.75</v>
      </c>
      <c r="X132" s="22" t="n">
        <v>44.581</v>
      </c>
    </row>
    <row r="133">
      <c r="A133" s="20" t="inlineStr">
        <is>
          <t>대손충당금 증감</t>
        </is>
      </c>
      <c r="D133" s="22" t="n">
        <v>0.389</v>
      </c>
      <c r="F133" s="22" t="n">
        <v>0.193</v>
      </c>
      <c r="H133" s="22" t="n">
        <v>0.019</v>
      </c>
      <c r="J133" s="22" t="n">
        <v>0.198</v>
      </c>
      <c r="L133" s="22" t="n">
        <v>-0.034</v>
      </c>
      <c r="N133" s="22" t="n">
        <v>-0.106</v>
      </c>
      <c r="T133" s="22" t="n">
        <v>0.198</v>
      </c>
      <c r="U133" s="22" t="n">
        <v>-0.196</v>
      </c>
      <c r="V133" s="22" t="n">
        <v>0.193</v>
      </c>
      <c r="W133" s="22" t="n">
        <v>0.198</v>
      </c>
      <c r="X133" s="22" t="n">
        <v>-0.106</v>
      </c>
    </row>
    <row r="134">
      <c r="A134" s="20" t="inlineStr">
        <is>
          <t>임원 상여충당금 증감</t>
        </is>
      </c>
      <c r="D134" s="22" t="n">
        <v>-9</v>
      </c>
      <c r="F134" s="22" t="n">
        <v>0</v>
      </c>
      <c r="H134" s="22" t="n">
        <v>-6.9</v>
      </c>
      <c r="J134" s="22" t="n">
        <v>-4.8</v>
      </c>
      <c r="L134" s="22" t="n">
        <v>-2.1</v>
      </c>
      <c r="N134" s="22" t="n">
        <v>10</v>
      </c>
      <c r="T134" s="22" t="n">
        <v>0.9</v>
      </c>
      <c r="U134" s="22" t="n">
        <v>0</v>
      </c>
      <c r="V134" s="22" t="n">
        <v>0</v>
      </c>
      <c r="W134" s="22" t="n">
        <v>-4.8</v>
      </c>
      <c r="X134" s="22" t="n">
        <v>10</v>
      </c>
    </row>
    <row r="135">
      <c r="A135" s="20" t="inlineStr">
        <is>
          <t>수주손실 충당금 증감</t>
        </is>
      </c>
      <c r="D135" s="22" t="n">
        <v>-12.922</v>
      </c>
      <c r="F135" s="22" t="n">
        <v>-13.004</v>
      </c>
      <c r="H135" s="22" t="n">
        <v>-1.552</v>
      </c>
      <c r="J135" s="22" t="n">
        <v>-2.319</v>
      </c>
      <c r="L135" s="22" t="n">
        <v>0</v>
      </c>
      <c r="N135" s="22" t="n">
        <v>0</v>
      </c>
      <c r="T135" s="22" t="n">
        <v>-3.494</v>
      </c>
      <c r="U135" s="22" t="n">
        <v>15.132</v>
      </c>
      <c r="V135" s="22" t="n">
        <v>-13.004</v>
      </c>
      <c r="W135" s="22" t="n">
        <v>-2.319</v>
      </c>
      <c r="X135" s="22" t="n">
        <v>0</v>
      </c>
    </row>
    <row r="136">
      <c r="A136" s="20" t="inlineStr">
        <is>
          <t>손해보상손실 충당금 증감액</t>
        </is>
      </c>
      <c r="D136" s="22" t="n">
        <v>0</v>
      </c>
      <c r="F136" s="22" t="n">
        <v>42</v>
      </c>
      <c r="H136" s="22" t="n">
        <v>-30</v>
      </c>
      <c r="J136" s="22" t="n">
        <v>-32</v>
      </c>
      <c r="L136" s="22" t="n">
        <v>0</v>
      </c>
      <c r="N136" s="22" t="n">
        <v>-10</v>
      </c>
      <c r="T136" s="22" t="n">
        <v>6.133</v>
      </c>
      <c r="U136" s="22" t="n">
        <v>-6.133</v>
      </c>
      <c r="V136" s="22" t="n">
        <v>42</v>
      </c>
      <c r="W136" s="22" t="n">
        <v>-32</v>
      </c>
      <c r="X136" s="22" t="n">
        <v>-10</v>
      </c>
    </row>
    <row r="137">
      <c r="A137" s="20" t="inlineStr">
        <is>
          <t>고정자산 수증이익</t>
        </is>
      </c>
      <c r="T137" s="22" t="n">
        <v>-0.497</v>
      </c>
      <c r="U137" s="22" t="n">
        <v>0</v>
      </c>
    </row>
    <row r="138">
      <c r="A138" s="20" t="inlineStr">
        <is>
          <t>이자수익</t>
        </is>
      </c>
      <c r="D138" s="22" t="n">
        <v>-0.08599999999999999</v>
      </c>
      <c r="F138" s="22" t="n">
        <v>-0.876</v>
      </c>
      <c r="H138" s="22" t="n">
        <v>-1.494</v>
      </c>
      <c r="J138" s="22" t="n">
        <v>-4.331</v>
      </c>
      <c r="L138" s="22" t="n">
        <v>-2.257</v>
      </c>
      <c r="N138" s="22" t="n">
        <v>-5.542</v>
      </c>
      <c r="T138" s="22" t="n">
        <v>-0.007</v>
      </c>
      <c r="U138" s="22" t="n">
        <v>-0.008</v>
      </c>
      <c r="V138" s="22" t="n">
        <v>-0.876</v>
      </c>
      <c r="W138" s="22" t="n">
        <v>-4.331</v>
      </c>
      <c r="X138" s="22" t="n">
        <v>-5.542</v>
      </c>
    </row>
    <row r="139">
      <c r="A139" s="20" t="inlineStr">
        <is>
          <t>보조금 수입</t>
        </is>
      </c>
      <c r="D139" s="22" t="n">
        <v>0</v>
      </c>
      <c r="F139" s="22" t="n">
        <v>0</v>
      </c>
      <c r="J139" s="22" t="n">
        <v>0</v>
      </c>
      <c r="N139" s="22" t="n">
        <v>-5.544</v>
      </c>
      <c r="T139" s="22" t="n">
        <v>0</v>
      </c>
      <c r="U139" s="22" t="n">
        <v>-1.32</v>
      </c>
      <c r="V139" s="22" t="n">
        <v>0</v>
      </c>
      <c r="W139" s="22" t="n">
        <v>0</v>
      </c>
      <c r="X139" s="22" t="n">
        <v>-5.544</v>
      </c>
    </row>
    <row r="140">
      <c r="A140" s="20" t="inlineStr">
        <is>
          <t>협찬금 수입</t>
        </is>
      </c>
      <c r="D140" s="22" t="n">
        <v>-0.297</v>
      </c>
      <c r="F140" s="22" t="n">
        <v>-1.177</v>
      </c>
      <c r="H140" s="22" t="n">
        <v>0</v>
      </c>
      <c r="J140" s="22" t="n">
        <v>-0.209</v>
      </c>
      <c r="L140" s="22" t="n">
        <v>-0.21</v>
      </c>
      <c r="N140" s="22" t="n">
        <v>-0.64</v>
      </c>
      <c r="T140" s="22" t="n">
        <v>-0.556</v>
      </c>
      <c r="U140" s="22" t="n">
        <v>0</v>
      </c>
      <c r="V140" s="22" t="n">
        <v>-1.177</v>
      </c>
      <c r="W140" s="22" t="n">
        <v>-0.209</v>
      </c>
      <c r="X140" s="22" t="n">
        <v>-0.64</v>
      </c>
    </row>
    <row r="141">
      <c r="A141" s="20" t="inlineStr">
        <is>
          <t>신주예약권 환입이익</t>
        </is>
      </c>
      <c r="F141" s="22" t="n">
        <v>0</v>
      </c>
      <c r="J141" s="22" t="n">
        <v>0</v>
      </c>
      <c r="N141" s="22" t="n">
        <v>-0.507</v>
      </c>
      <c r="T141" s="22" t="n">
        <v>0</v>
      </c>
      <c r="U141" s="22" t="n">
        <v>-5.338</v>
      </c>
      <c r="V141" s="22" t="n">
        <v>0</v>
      </c>
      <c r="W141" s="22" t="n">
        <v>0</v>
      </c>
      <c r="X141" s="22" t="n">
        <v>-0.507</v>
      </c>
    </row>
    <row r="142">
      <c r="A142" s="20" t="inlineStr">
        <is>
          <t>위약금</t>
        </is>
      </c>
      <c r="T142" s="22" t="n">
        <v>1.141</v>
      </c>
      <c r="U142" s="22" t="n">
        <v>0.011</v>
      </c>
    </row>
    <row r="143">
      <c r="A143" s="20" t="inlineStr">
        <is>
          <t>이자비용·사채이자</t>
        </is>
      </c>
      <c r="D143" s="22" t="n">
        <v>26.183</v>
      </c>
      <c r="F143" s="22" t="n">
        <v>68.923</v>
      </c>
      <c r="H143" s="22" t="n">
        <v>70.33499999999999</v>
      </c>
      <c r="J143" s="22" t="n">
        <v>162.961</v>
      </c>
      <c r="L143" s="22" t="n">
        <v>127.61</v>
      </c>
      <c r="N143" s="22" t="n">
        <v>318.121</v>
      </c>
      <c r="T143" s="22" t="n">
        <v>32.919</v>
      </c>
      <c r="U143" s="22" t="n">
        <v>48.777</v>
      </c>
      <c r="V143" s="22" t="n">
        <v>68.923</v>
      </c>
      <c r="W143" s="22" t="n">
        <v>162.961</v>
      </c>
      <c r="X143" s="22" t="n">
        <v>318.121</v>
      </c>
    </row>
    <row r="144">
      <c r="A144" s="20" t="inlineStr">
        <is>
          <t>지급수수료</t>
        </is>
      </c>
      <c r="D144" s="22" t="n">
        <v>26.469</v>
      </c>
      <c r="F144" s="22" t="n">
        <v>55.369</v>
      </c>
      <c r="H144" s="22" t="n">
        <v>16.481</v>
      </c>
      <c r="J144" s="22" t="n">
        <v>52.333</v>
      </c>
      <c r="L144" s="22" t="n">
        <v>36.474</v>
      </c>
      <c r="N144" s="22" t="n">
        <v>56.338</v>
      </c>
      <c r="T144" s="22" t="n">
        <v>9.039999999999999</v>
      </c>
      <c r="U144" s="22" t="n">
        <v>0</v>
      </c>
      <c r="V144" s="22" t="n">
        <v>55.369</v>
      </c>
      <c r="W144" s="22" t="n">
        <v>52.333</v>
      </c>
      <c r="X144" s="22" t="n">
        <v>56.338</v>
      </c>
    </row>
    <row r="145">
      <c r="A145" s="20" t="inlineStr">
        <is>
          <t>고정자산 제각손실</t>
        </is>
      </c>
      <c r="D145" s="22" t="n">
        <v>0</v>
      </c>
      <c r="F145" s="22" t="n">
        <v>0</v>
      </c>
      <c r="J145" s="22" t="n">
        <v>0</v>
      </c>
      <c r="N145" s="22" t="n">
        <v>39.948</v>
      </c>
      <c r="T145" s="22" t="n">
        <v>12.251</v>
      </c>
      <c r="U145" s="22" t="n">
        <v>7.249</v>
      </c>
      <c r="V145" s="22" t="n">
        <v>0</v>
      </c>
      <c r="W145" s="22" t="n">
        <v>0</v>
      </c>
      <c r="X145" s="22" t="n">
        <v>39.948</v>
      </c>
    </row>
    <row r="146">
      <c r="A146" s="20" t="inlineStr">
        <is>
          <t>상장 관련 비용</t>
        </is>
      </c>
      <c r="D146" s="22" t="n">
        <v>0</v>
      </c>
      <c r="F146" s="22" t="n">
        <v>0</v>
      </c>
      <c r="T146" s="22" t="n">
        <v>0</v>
      </c>
      <c r="U146" s="22" t="n">
        <v>8.212</v>
      </c>
      <c r="V146" s="22" t="n">
        <v>0</v>
      </c>
    </row>
    <row r="147">
      <c r="A147" s="20" t="inlineStr">
        <is>
          <t>주식교부비</t>
        </is>
      </c>
      <c r="D147" s="22" t="n">
        <v>0.323</v>
      </c>
      <c r="F147" s="22" t="n">
        <v>0.473</v>
      </c>
      <c r="H147" s="22" t="n">
        <v>0</v>
      </c>
      <c r="J147" s="22" t="n">
        <v>0</v>
      </c>
      <c r="N147" s="22" t="n">
        <v>24.419</v>
      </c>
      <c r="T147" s="22" t="n">
        <v>0</v>
      </c>
      <c r="U147" s="22" t="n">
        <v>10.207</v>
      </c>
      <c r="V147" s="22" t="n">
        <v>0.473</v>
      </c>
      <c r="W147" s="22" t="n">
        <v>0</v>
      </c>
      <c r="X147" s="22" t="n">
        <v>24.419</v>
      </c>
    </row>
    <row r="148">
      <c r="A148" s="20" t="inlineStr">
        <is>
          <t>손해보상 손실</t>
        </is>
      </c>
      <c r="D148" s="22" t="n">
        <v>0</v>
      </c>
      <c r="F148" s="22" t="n">
        <v>0</v>
      </c>
      <c r="T148" s="22" t="n">
        <v>0</v>
      </c>
      <c r="U148" s="22" t="n">
        <v>10</v>
      </c>
      <c r="V148" s="22" t="n">
        <v>0</v>
      </c>
    </row>
    <row r="149">
      <c r="A149" s="20" t="inlineStr">
        <is>
          <t>주식보상비용</t>
        </is>
      </c>
      <c r="D149" s="22" t="n">
        <v>10.208</v>
      </c>
      <c r="F149" s="22" t="n">
        <v>31.34</v>
      </c>
      <c r="H149" s="22" t="n">
        <v>29.706</v>
      </c>
      <c r="J149" s="22" t="n">
        <v>63.309</v>
      </c>
      <c r="L149" s="22" t="n">
        <v>63.496</v>
      </c>
      <c r="N149" s="22" t="n">
        <v>138.775</v>
      </c>
      <c r="U149" s="22" t="n">
        <v>0</v>
      </c>
      <c r="V149" s="22" t="n">
        <v>31.34</v>
      </c>
      <c r="W149" s="22" t="n">
        <v>63.309</v>
      </c>
      <c r="X149" s="22" t="n">
        <v>138.775</v>
      </c>
    </row>
    <row r="150">
      <c r="A150" s="20" t="inlineStr">
        <is>
          <t>보상금 수취</t>
        </is>
      </c>
      <c r="D150" s="22" t="n">
        <v>-9.5</v>
      </c>
      <c r="F150" s="22" t="n">
        <v>-9.5</v>
      </c>
      <c r="H150" s="22" t="n">
        <v>0</v>
      </c>
      <c r="J150" s="22" t="n">
        <v>-1.171</v>
      </c>
      <c r="N150" s="22" t="n">
        <v>0</v>
      </c>
      <c r="U150" s="22" t="n">
        <v>0</v>
      </c>
      <c r="V150" s="22" t="n">
        <v>-9.5</v>
      </c>
      <c r="W150" s="22" t="n">
        <v>-1.171</v>
      </c>
      <c r="X150" s="22" t="n">
        <v>0</v>
      </c>
    </row>
    <row r="151">
      <c r="A151" s="20" t="inlineStr">
        <is>
          <t>매출채권 증감</t>
        </is>
      </c>
      <c r="D151" s="22" t="n">
        <v>2.209</v>
      </c>
      <c r="F151" s="22" t="n">
        <v>-20.979</v>
      </c>
      <c r="H151" s="22" t="n">
        <v>-56.304</v>
      </c>
      <c r="J151" s="22" t="n">
        <v>-10.071</v>
      </c>
      <c r="L151" s="22" t="n">
        <v>-26.043</v>
      </c>
      <c r="N151" s="22" t="n">
        <v>-28.541</v>
      </c>
      <c r="T151" s="22" t="n">
        <v>-69.97</v>
      </c>
      <c r="U151" s="22" t="n">
        <v>-178.229</v>
      </c>
      <c r="V151" s="22" t="n">
        <v>-20.979</v>
      </c>
      <c r="W151" s="22" t="n">
        <v>-10.071</v>
      </c>
      <c r="X151" s="22" t="n">
        <v>-28.541</v>
      </c>
    </row>
    <row r="152">
      <c r="A152" s="20" t="inlineStr">
        <is>
          <t>계약자산 증감액</t>
        </is>
      </c>
      <c r="D152" s="22" t="n">
        <v>16.474</v>
      </c>
      <c r="F152" s="22" t="n">
        <v>13.203</v>
      </c>
      <c r="H152" s="22" t="n">
        <v>1.164</v>
      </c>
      <c r="J152" s="22" t="n">
        <v>4.587</v>
      </c>
      <c r="L152" s="22" t="n">
        <v>-97.369</v>
      </c>
      <c r="N152" s="22" t="n">
        <v>-13.535</v>
      </c>
      <c r="T152" s="22" t="n">
        <v>-3.289</v>
      </c>
      <c r="U152" s="22" t="n">
        <v>-17.346</v>
      </c>
      <c r="V152" s="22" t="n">
        <v>13.203</v>
      </c>
      <c r="W152" s="22" t="n">
        <v>4.587</v>
      </c>
      <c r="X152" s="22" t="n">
        <v>-13.535</v>
      </c>
    </row>
    <row r="153">
      <c r="A153" s="20" t="inlineStr">
        <is>
          <t>미성공사 지출금 증감액</t>
        </is>
      </c>
      <c r="D153" s="22" t="n">
        <v>-0.119</v>
      </c>
      <c r="F153" s="22" t="n">
        <v>0.143</v>
      </c>
      <c r="H153" s="22" t="n">
        <v>-0.759</v>
      </c>
      <c r="J153" s="22" t="n">
        <v>-0.08500000000000001</v>
      </c>
      <c r="L153" s="22" t="n">
        <v>-0.113</v>
      </c>
      <c r="N153" s="22" t="n">
        <v>-0</v>
      </c>
      <c r="T153" s="22" t="n">
        <v>12.826</v>
      </c>
      <c r="U153" s="22" t="n">
        <v>-0.001</v>
      </c>
      <c r="V153" s="22" t="n">
        <v>0.143</v>
      </c>
      <c r="W153" s="22" t="n">
        <v>-0.08500000000000001</v>
      </c>
      <c r="X153" s="22" t="n">
        <v>-0</v>
      </c>
    </row>
    <row r="154">
      <c r="A154" s="20" t="inlineStr">
        <is>
          <t>미성업무 지출금 증감액</t>
        </is>
      </c>
      <c r="D154" s="22" t="n">
        <v>1.888</v>
      </c>
      <c r="F154" s="22" t="n">
        <v>3.263</v>
      </c>
      <c r="H154" s="22" t="n">
        <v>-0.575</v>
      </c>
      <c r="J154" s="22" t="n">
        <v>0</v>
      </c>
      <c r="L154" s="22" t="n">
        <v>0</v>
      </c>
      <c r="T154" s="22" t="n">
        <v>12.051</v>
      </c>
      <c r="U154" s="22" t="n">
        <v>-3.263</v>
      </c>
      <c r="V154" s="22" t="n">
        <v>3.263</v>
      </c>
      <c r="W154" s="22" t="n">
        <v>0</v>
      </c>
    </row>
    <row r="155">
      <c r="A155" s="20" t="inlineStr">
        <is>
          <t>판매용 부동산 증감액</t>
        </is>
      </c>
      <c r="D155" s="22" t="n">
        <v>-1360.403</v>
      </c>
      <c r="F155" s="22" t="n">
        <v>-2308.269</v>
      </c>
      <c r="H155" s="22" t="n">
        <v>2374.402</v>
      </c>
      <c r="J155" s="22" t="n">
        <v>1975.98</v>
      </c>
      <c r="L155" s="22" t="n">
        <v>1038.441</v>
      </c>
      <c r="N155" s="22" t="n">
        <v>1403.547</v>
      </c>
      <c r="T155" s="22" t="n">
        <v>-589.914</v>
      </c>
      <c r="U155" s="22" t="n">
        <v>458.368</v>
      </c>
      <c r="V155" s="22" t="n">
        <v>-2308.269</v>
      </c>
      <c r="W155" s="22" t="n">
        <v>1975.98</v>
      </c>
      <c r="X155" s="22" t="n">
        <v>1403.547</v>
      </c>
    </row>
    <row r="156">
      <c r="A156" s="20" t="inlineStr">
        <is>
          <t>매입채무 증감</t>
        </is>
      </c>
      <c r="D156" s="22" t="n">
        <v>7.708</v>
      </c>
      <c r="F156" s="22" t="n">
        <v>33.649</v>
      </c>
      <c r="H156" s="22" t="n">
        <v>22.472</v>
      </c>
      <c r="J156" s="22" t="n">
        <v>20.6</v>
      </c>
      <c r="L156" s="22" t="n">
        <v>-25.837</v>
      </c>
      <c r="N156" s="22" t="n">
        <v>59.595</v>
      </c>
      <c r="T156" s="22" t="n">
        <v>20.248</v>
      </c>
      <c r="U156" s="22" t="n">
        <v>45.917</v>
      </c>
      <c r="V156" s="22" t="n">
        <v>33.649</v>
      </c>
      <c r="W156" s="22" t="n">
        <v>20.6</v>
      </c>
      <c r="X156" s="22" t="n">
        <v>59.595</v>
      </c>
    </row>
    <row r="157">
      <c r="A157" s="20" t="inlineStr">
        <is>
          <t>고정자산 매각손익</t>
        </is>
      </c>
      <c r="F157" s="22" t="n">
        <v>0</v>
      </c>
      <c r="J157" s="22" t="n">
        <v>-0.617</v>
      </c>
      <c r="N157" s="22" t="n">
        <v>-0.256</v>
      </c>
      <c r="V157" s="22" t="n">
        <v>0</v>
      </c>
      <c r="W157" s="22" t="n">
        <v>-0.617</v>
      </c>
      <c r="X157" s="22" t="n">
        <v>-0.256</v>
      </c>
    </row>
    <row r="158">
      <c r="A158" s="20" t="inlineStr">
        <is>
          <t>선급비용 증감</t>
        </is>
      </c>
      <c r="D158" s="22" t="n">
        <v>-12.012</v>
      </c>
      <c r="F158" s="22" t="n">
        <v>-37.125</v>
      </c>
      <c r="H158" s="22" t="n">
        <v>5.775</v>
      </c>
      <c r="J158" s="22" t="n">
        <v>11.402</v>
      </c>
      <c r="L158" s="22" t="n">
        <v>-17.133</v>
      </c>
      <c r="N158" s="22" t="n">
        <v>-18.796</v>
      </c>
      <c r="T158" s="22" t="n">
        <v>-29.051</v>
      </c>
      <c r="U158" s="22" t="n">
        <v>-29.366</v>
      </c>
      <c r="V158" s="22" t="n">
        <v>-37.125</v>
      </c>
      <c r="W158" s="22" t="n">
        <v>11.402</v>
      </c>
      <c r="X158" s="22" t="n">
        <v>-18.796</v>
      </c>
    </row>
    <row r="159">
      <c r="A159" s="20" t="inlineStr">
        <is>
          <t>장기선급비용 증감</t>
        </is>
      </c>
      <c r="F159" s="22" t="n">
        <v>0</v>
      </c>
      <c r="T159" s="22" t="n">
        <v>3.06</v>
      </c>
      <c r="U159" s="22" t="n">
        <v>0.255</v>
      </c>
      <c r="V159" s="22" t="n">
        <v>0</v>
      </c>
    </row>
    <row r="160">
      <c r="A160" s="20" t="inlineStr">
        <is>
          <t>기타 자산 증감</t>
        </is>
      </c>
      <c r="D160" s="22" t="n">
        <v>-167.771</v>
      </c>
      <c r="F160" s="22" t="n">
        <v>3.373</v>
      </c>
      <c r="H160" s="22" t="n">
        <v>-7.551</v>
      </c>
      <c r="J160" s="22" t="n">
        <v>-5.638</v>
      </c>
      <c r="L160" s="22" t="n">
        <v>37.366</v>
      </c>
      <c r="N160" s="22" t="n">
        <v>-416.88</v>
      </c>
      <c r="T160" s="22" t="n">
        <v>54.026</v>
      </c>
      <c r="U160" s="22" t="n">
        <v>8.253</v>
      </c>
      <c r="V160" s="22" t="n">
        <v>3.373</v>
      </c>
      <c r="W160" s="22" t="n">
        <v>-5.638</v>
      </c>
      <c r="X160" s="22" t="n">
        <v>-416.88</v>
      </c>
    </row>
    <row r="161">
      <c r="A161" s="20" t="inlineStr">
        <is>
          <t>미지급금 증감</t>
        </is>
      </c>
      <c r="D161" s="22" t="n">
        <v>5.911</v>
      </c>
      <c r="F161" s="22" t="n">
        <v>14.71</v>
      </c>
      <c r="H161" s="22" t="n">
        <v>32.933</v>
      </c>
      <c r="J161" s="22" t="n">
        <v>97.709</v>
      </c>
      <c r="L161" s="22" t="n">
        <v>-50.927</v>
      </c>
      <c r="N161" s="22" t="n">
        <v>-71.607</v>
      </c>
      <c r="T161" s="22" t="n">
        <v>26.431</v>
      </c>
      <c r="U161" s="22" t="n">
        <v>-47.061</v>
      </c>
      <c r="V161" s="22" t="n">
        <v>14.71</v>
      </c>
      <c r="W161" s="22" t="n">
        <v>97.709</v>
      </c>
      <c r="X161" s="22" t="n">
        <v>-71.607</v>
      </c>
    </row>
    <row r="162">
      <c r="A162" s="20" t="inlineStr">
        <is>
          <t>미지급비용 증감</t>
        </is>
      </c>
      <c r="D162" s="22" t="n">
        <v>-4.702</v>
      </c>
      <c r="F162" s="22" t="n">
        <v>-0.482</v>
      </c>
      <c r="H162" s="22" t="n">
        <v>-7.26</v>
      </c>
      <c r="J162" s="22" t="n">
        <v>18.96</v>
      </c>
      <c r="L162" s="22" t="n">
        <v>-9.377000000000001</v>
      </c>
      <c r="N162" s="22" t="n">
        <v>6.913</v>
      </c>
      <c r="T162" s="22" t="n">
        <v>16.329</v>
      </c>
      <c r="U162" s="22" t="n">
        <v>22.299</v>
      </c>
      <c r="V162" s="22" t="n">
        <v>-0.482</v>
      </c>
      <c r="W162" s="22" t="n">
        <v>18.96</v>
      </c>
      <c r="X162" s="22" t="n">
        <v>6.913</v>
      </c>
    </row>
    <row r="163">
      <c r="A163" s="20" t="inlineStr">
        <is>
          <t>선수금 증감</t>
        </is>
      </c>
      <c r="D163" s="22" t="n">
        <v>22.774</v>
      </c>
      <c r="F163" s="22" t="n">
        <v>99.64100000000001</v>
      </c>
      <c r="H163" s="22" t="n">
        <v>-32.008</v>
      </c>
      <c r="J163" s="22" t="n">
        <v>-13.338</v>
      </c>
      <c r="L163" s="22" t="n">
        <v>-32.046</v>
      </c>
      <c r="N163" s="22" t="n">
        <v>61.045</v>
      </c>
      <c r="T163" s="22" t="n">
        <v>12.908</v>
      </c>
      <c r="U163" s="22" t="n">
        <v>12.077</v>
      </c>
      <c r="V163" s="22" t="n">
        <v>99.64100000000001</v>
      </c>
      <c r="W163" s="22" t="n">
        <v>-13.338</v>
      </c>
      <c r="X163" s="22" t="n">
        <v>61.045</v>
      </c>
    </row>
    <row r="164">
      <c r="A164" s="20" t="inlineStr">
        <is>
          <t>계약부채 증감</t>
        </is>
      </c>
      <c r="D164" s="22" t="n">
        <v>-275.301</v>
      </c>
      <c r="T164" s="22" t="n">
        <v>27.762</v>
      </c>
      <c r="U164" s="22" t="n">
        <v>286.535</v>
      </c>
    </row>
    <row r="165">
      <c r="A165" s="20" t="inlineStr">
        <is>
          <t>계약부채 증감</t>
        </is>
      </c>
      <c r="D165" s="22" t="n">
        <v>-275.301</v>
      </c>
      <c r="F165" s="22" t="n">
        <v>-273.019</v>
      </c>
      <c r="H165" s="22" t="n">
        <v>79.431</v>
      </c>
      <c r="J165" s="22" t="n">
        <v>269.494</v>
      </c>
      <c r="L165" s="22" t="n">
        <v>-272.881</v>
      </c>
      <c r="N165" s="22" t="n">
        <v>-198.654</v>
      </c>
      <c r="U165" s="22" t="n">
        <v>286.535</v>
      </c>
      <c r="V165" s="22" t="n">
        <v>-273.019</v>
      </c>
      <c r="W165" s="22" t="n">
        <v>269.494</v>
      </c>
      <c r="X165" s="22" t="n">
        <v>-198.654</v>
      </c>
    </row>
    <row r="166">
      <c r="A166" s="20" t="inlineStr">
        <is>
          <t>예수금 증감</t>
        </is>
      </c>
      <c r="D166" s="22" t="n">
        <v>34.561</v>
      </c>
      <c r="F166" s="22" t="n">
        <v>3.785</v>
      </c>
      <c r="H166" s="22" t="n">
        <v>29.874</v>
      </c>
      <c r="J166" s="22" t="n">
        <v>27.209</v>
      </c>
      <c r="L166" s="22" t="n">
        <v>24.378</v>
      </c>
      <c r="N166" s="22" t="n">
        <v>75.26000000000001</v>
      </c>
      <c r="T166" s="22" t="n">
        <v>53.787</v>
      </c>
      <c r="U166" s="22" t="n">
        <v>1.67</v>
      </c>
      <c r="V166" s="22" t="n">
        <v>3.785</v>
      </c>
      <c r="W166" s="22" t="n">
        <v>27.209</v>
      </c>
      <c r="X166" s="22" t="n">
        <v>75.26000000000001</v>
      </c>
    </row>
    <row r="167">
      <c r="A167" s="20" t="inlineStr">
        <is>
          <t>예수보증금 증감액</t>
        </is>
      </c>
      <c r="D167" s="22" t="n">
        <v>35.098</v>
      </c>
      <c r="F167" s="22" t="n">
        <v>101.628</v>
      </c>
      <c r="H167" s="22" t="n">
        <v>28.595</v>
      </c>
      <c r="J167" s="22" t="n">
        <v>-36.276</v>
      </c>
      <c r="L167" s="22" t="n">
        <v>98.77</v>
      </c>
      <c r="N167" s="22" t="n">
        <v>389.398</v>
      </c>
      <c r="T167" s="22" t="n">
        <v>215.822</v>
      </c>
      <c r="U167" s="22" t="n">
        <v>112.962</v>
      </c>
      <c r="V167" s="22" t="n">
        <v>101.628</v>
      </c>
      <c r="W167" s="22" t="n">
        <v>-36.276</v>
      </c>
      <c r="X167" s="22" t="n">
        <v>389.398</v>
      </c>
    </row>
    <row r="168">
      <c r="A168" s="20" t="inlineStr">
        <is>
          <t>기타 부채 증감</t>
        </is>
      </c>
      <c r="D168" s="22" t="n">
        <v>76.48999999999999</v>
      </c>
      <c r="F168" s="22" t="n">
        <v>35.132</v>
      </c>
      <c r="H168" s="22" t="n">
        <v>93.90900000000001</v>
      </c>
      <c r="J168" s="22" t="n">
        <v>161.062</v>
      </c>
      <c r="L168" s="22" t="n">
        <v>-46.889</v>
      </c>
      <c r="N168" s="22" t="n">
        <v>157.653</v>
      </c>
      <c r="T168" s="22" t="n">
        <v>-46.211</v>
      </c>
      <c r="U168" s="22" t="n">
        <v>117.824</v>
      </c>
      <c r="V168" s="22" t="n">
        <v>35.132</v>
      </c>
      <c r="W168" s="22" t="n">
        <v>161.062</v>
      </c>
      <c r="X168" s="22" t="n">
        <v>157.653</v>
      </c>
    </row>
    <row r="169">
      <c r="A169" s="20" t="inlineStr">
        <is>
          <t>기타</t>
        </is>
      </c>
      <c r="D169" s="22" t="n">
        <v>0.23</v>
      </c>
      <c r="F169" s="22" t="n">
        <v>0.23</v>
      </c>
      <c r="H169" s="22" t="n">
        <v>0.058</v>
      </c>
      <c r="J169" s="22" t="n">
        <v>0.058</v>
      </c>
      <c r="L169" s="22" t="n">
        <v>0</v>
      </c>
      <c r="N169" s="22" t="n">
        <v>0</v>
      </c>
      <c r="T169" s="22" t="n">
        <v>0.189</v>
      </c>
      <c r="U169" s="22" t="n">
        <v>0.011</v>
      </c>
      <c r="V169" s="22" t="n">
        <v>0.23</v>
      </c>
      <c r="W169" s="22" t="n">
        <v>0.058</v>
      </c>
      <c r="X169" s="22" t="n">
        <v>0</v>
      </c>
    </row>
    <row r="170">
      <c r="A170" s="20" t="inlineStr">
        <is>
          <t>소계</t>
        </is>
      </c>
      <c r="D170" s="22" t="n">
        <v>-751.978</v>
      </c>
      <c r="F170" s="22" t="n">
        <v>-1148.382</v>
      </c>
      <c r="H170" s="22" t="n">
        <v>3531.845</v>
      </c>
      <c r="J170" s="22" t="n">
        <v>3981.418</v>
      </c>
      <c r="L170" s="22" t="n">
        <v>1930.84</v>
      </c>
      <c r="N170" s="22" t="n">
        <v>3551.005</v>
      </c>
      <c r="T170" s="22" t="n">
        <v>517.5170000000001</v>
      </c>
      <c r="U170" s="22" t="n">
        <v>1717.685</v>
      </c>
      <c r="V170" s="22" t="n">
        <v>-1148.382</v>
      </c>
      <c r="W170" s="22" t="n">
        <v>3981.418</v>
      </c>
      <c r="X170" s="22" t="n">
        <v>3551.005</v>
      </c>
    </row>
    <row r="171">
      <c r="A171" s="20" t="inlineStr">
        <is>
          <t>이자 지급</t>
        </is>
      </c>
      <c r="D171" s="22" t="n">
        <v>-25.563</v>
      </c>
      <c r="F171" s="22" t="n">
        <v>-73.98999999999999</v>
      </c>
      <c r="H171" s="22" t="n">
        <v>-71.508</v>
      </c>
      <c r="J171" s="22" t="n">
        <v>-164.696</v>
      </c>
      <c r="L171" s="22" t="n">
        <v>-133.549</v>
      </c>
      <c r="N171" s="22" t="n">
        <v>-327.956</v>
      </c>
      <c r="T171" s="22" t="n">
        <v>-33.948</v>
      </c>
      <c r="U171" s="22" t="n">
        <v>-45.229</v>
      </c>
      <c r="V171" s="22" t="n">
        <v>-73.98999999999999</v>
      </c>
      <c r="W171" s="22" t="n">
        <v>-164.696</v>
      </c>
      <c r="X171" s="22" t="n">
        <v>-327.956</v>
      </c>
    </row>
    <row r="172">
      <c r="A172" s="20" t="inlineStr">
        <is>
          <t>이자·배당금 수취</t>
        </is>
      </c>
      <c r="D172" s="22" t="n">
        <v>0.008999999999999999</v>
      </c>
      <c r="F172" s="22" t="n">
        <v>0.122</v>
      </c>
      <c r="H172" s="22" t="n">
        <v>0.861</v>
      </c>
      <c r="J172" s="22" t="n">
        <v>2.981</v>
      </c>
      <c r="L172" s="22" t="n">
        <v>1.528</v>
      </c>
      <c r="N172" s="22" t="n">
        <v>4.107</v>
      </c>
      <c r="T172" s="22" t="n">
        <v>0.007</v>
      </c>
      <c r="U172" s="22" t="n">
        <v>0.008</v>
      </c>
      <c r="V172" s="22" t="n">
        <v>0.122</v>
      </c>
      <c r="W172" s="22" t="n">
        <v>2.981</v>
      </c>
      <c r="X172" s="22" t="n">
        <v>4.107</v>
      </c>
    </row>
    <row r="173">
      <c r="A173" s="20" t="inlineStr">
        <is>
          <t>보조금 수취</t>
        </is>
      </c>
      <c r="D173" s="22" t="n">
        <v>0</v>
      </c>
      <c r="F173" s="22" t="n">
        <v>0</v>
      </c>
      <c r="T173" s="22" t="n">
        <v>0</v>
      </c>
      <c r="U173" s="22" t="n">
        <v>1.32</v>
      </c>
      <c r="V173" s="22" t="n">
        <v>0</v>
      </c>
    </row>
    <row r="174">
      <c r="A174" s="20" t="inlineStr">
        <is>
          <t>법인세 납부</t>
        </is>
      </c>
      <c r="D174" s="22" t="n">
        <v>-58.438</v>
      </c>
      <c r="F174" s="22" t="n">
        <v>-121.019</v>
      </c>
      <c r="H174" s="22" t="n">
        <v>-152.563</v>
      </c>
      <c r="J174" s="22" t="n">
        <v>-260.402</v>
      </c>
      <c r="L174" s="22" t="n">
        <v>-137.155</v>
      </c>
      <c r="N174" s="22" t="n">
        <v>-259.768</v>
      </c>
      <c r="T174" s="22" t="n">
        <v>-72.386</v>
      </c>
      <c r="U174" s="22" t="n">
        <v>-157.871</v>
      </c>
      <c r="V174" s="22" t="n">
        <v>-121.019</v>
      </c>
      <c r="W174" s="22" t="n">
        <v>-260.402</v>
      </c>
      <c r="X174" s="22" t="n">
        <v>-259.768</v>
      </c>
    </row>
    <row r="175">
      <c r="A175" s="20" t="inlineStr">
        <is>
          <t>보상금 수취</t>
        </is>
      </c>
      <c r="D175" s="22" t="n">
        <v>9.5</v>
      </c>
      <c r="F175" s="22" t="n">
        <v>9.5</v>
      </c>
      <c r="H175" s="22" t="n">
        <v>0</v>
      </c>
      <c r="J175" s="22" t="n">
        <v>1.171</v>
      </c>
      <c r="N175" s="22" t="n">
        <v>0</v>
      </c>
      <c r="U175" s="22" t="n">
        <v>0</v>
      </c>
      <c r="V175" s="22" t="n">
        <v>9.5</v>
      </c>
      <c r="W175" s="22" t="n">
        <v>1.171</v>
      </c>
      <c r="X175" s="22" t="n">
        <v>0</v>
      </c>
    </row>
    <row r="176">
      <c r="A176" s="20" t="inlineStr">
        <is>
          <t>보상금 지급액</t>
        </is>
      </c>
      <c r="D176" s="22" t="n">
        <v>0</v>
      </c>
      <c r="F176" s="22" t="n">
        <v>0</v>
      </c>
      <c r="T176" s="22" t="n">
        <v>0</v>
      </c>
      <c r="U176" s="22" t="n">
        <v>-10</v>
      </c>
      <c r="V176" s="22" t="n">
        <v>0</v>
      </c>
    </row>
    <row r="177">
      <c r="A177" s="20" t="inlineStr">
        <is>
          <t>협찬금 수취액</t>
        </is>
      </c>
      <c r="D177" s="22" t="n">
        <v>0.297</v>
      </c>
      <c r="F177" s="22" t="n">
        <v>1.177</v>
      </c>
      <c r="H177" s="22" t="n">
        <v>0</v>
      </c>
      <c r="J177" s="22" t="n">
        <v>0.209</v>
      </c>
      <c r="L177" s="22" t="n">
        <v>0.21</v>
      </c>
      <c r="N177" s="22" t="n">
        <v>0.64</v>
      </c>
      <c r="T177" s="22" t="n">
        <v>0.556</v>
      </c>
      <c r="U177" s="22" t="n">
        <v>0</v>
      </c>
      <c r="V177" s="22" t="n">
        <v>1.177</v>
      </c>
      <c r="W177" s="22" t="n">
        <v>0.209</v>
      </c>
      <c r="X177" s="22" t="n">
        <v>0.64</v>
      </c>
    </row>
    <row r="178">
      <c r="A178" s="20" t="inlineStr">
        <is>
          <t>위약금 지급액</t>
        </is>
      </c>
      <c r="T178" s="22" t="n">
        <v>-1.141</v>
      </c>
      <c r="U178" s="22" t="n">
        <v>-0.011</v>
      </c>
    </row>
    <row r="179">
      <c r="A179" s="20" t="inlineStr">
        <is>
          <t>기타</t>
        </is>
      </c>
      <c r="D179" s="22" t="n">
        <v>-0.23</v>
      </c>
      <c r="F179" s="22" t="n">
        <v>-0.23</v>
      </c>
      <c r="H179" s="22" t="n">
        <v>-0.058</v>
      </c>
      <c r="J179" s="22" t="n">
        <v>-0.058</v>
      </c>
      <c r="L179" s="22" t="n">
        <v>0</v>
      </c>
      <c r="N179" s="22" t="n">
        <v>0</v>
      </c>
      <c r="U179" s="22" t="n">
        <v>-0.011</v>
      </c>
      <c r="V179" s="22" t="n">
        <v>-0.23</v>
      </c>
      <c r="W179" s="22" t="n">
        <v>-0.058</v>
      </c>
      <c r="X179" s="22" t="n">
        <v>0</v>
      </c>
    </row>
    <row r="180">
      <c r="A180" s="9" t="inlineStr">
        <is>
          <t>영업활동 현금흐름</t>
        </is>
      </c>
      <c r="D180" s="12" t="n">
        <v>-826.404</v>
      </c>
      <c r="F180" s="12" t="n">
        <v>-1332.824</v>
      </c>
      <c r="H180" s="12" t="n">
        <v>3308.576</v>
      </c>
      <c r="J180" s="12" t="n">
        <v>3560.622</v>
      </c>
      <c r="L180" s="12" t="n">
        <v>1661.873</v>
      </c>
      <c r="N180" s="12" t="n">
        <v>2968.028</v>
      </c>
      <c r="T180" s="12" t="n">
        <v>410.604</v>
      </c>
      <c r="U180" s="12" t="n">
        <v>1505.901</v>
      </c>
      <c r="V180" s="12" t="n">
        <v>-1332.824</v>
      </c>
      <c r="W180" s="12" t="n">
        <v>3560.622</v>
      </c>
      <c r="X180" s="12" t="n">
        <v>2968.028</v>
      </c>
    </row>
    <row r="181">
      <c r="A181" s="20" t="inlineStr">
        <is>
          <t>정기예금 인출</t>
        </is>
      </c>
      <c r="T181" s="22" t="n">
        <v>10</v>
      </c>
      <c r="U181" s="22" t="n">
        <v>0</v>
      </c>
    </row>
    <row r="182">
      <c r="A182" s="20" t="inlineStr">
        <is>
          <t>유형자산 취득(설비투자)</t>
        </is>
      </c>
      <c r="D182" s="22" t="n">
        <v>-115.996</v>
      </c>
      <c r="F182" s="22" t="n">
        <v>-3197.148</v>
      </c>
      <c r="H182" s="22" t="n">
        <v>-4143.581</v>
      </c>
      <c r="J182" s="22" t="n">
        <v>-7739.481</v>
      </c>
      <c r="L182" s="22" t="n">
        <v>-5356.227</v>
      </c>
      <c r="N182" s="22" t="n">
        <v>-8010.191</v>
      </c>
      <c r="T182" s="22" t="n">
        <v>-2255.84</v>
      </c>
      <c r="U182" s="22" t="n">
        <v>-2911.956</v>
      </c>
      <c r="V182" s="22" t="n">
        <v>-3197.148</v>
      </c>
      <c r="W182" s="22" t="n">
        <v>-7739.481</v>
      </c>
      <c r="X182" s="22" t="n">
        <v>-8010.191</v>
      </c>
    </row>
    <row r="183">
      <c r="A183" s="20" t="inlineStr">
        <is>
          <t>유형자산 매각</t>
        </is>
      </c>
      <c r="F183" s="22" t="n">
        <v>0</v>
      </c>
      <c r="J183" s="22" t="n">
        <v>0.617</v>
      </c>
      <c r="N183" s="22" t="n">
        <v>0.256</v>
      </c>
      <c r="V183" s="22" t="n">
        <v>0</v>
      </c>
      <c r="W183" s="22" t="n">
        <v>0.617</v>
      </c>
      <c r="X183" s="22" t="n">
        <v>0.256</v>
      </c>
    </row>
    <row r="184">
      <c r="A184" s="20" t="inlineStr">
        <is>
          <t>유형자산 제각 지출</t>
        </is>
      </c>
      <c r="D184" s="22" t="n">
        <v>0</v>
      </c>
      <c r="F184" s="22" t="n">
        <v>0</v>
      </c>
      <c r="J184" s="22" t="n">
        <v>0</v>
      </c>
      <c r="N184" s="22" t="n">
        <v>-0.803</v>
      </c>
      <c r="T184" s="22" t="n">
        <v>-0.008999999999999999</v>
      </c>
      <c r="U184" s="22" t="n">
        <v>-1.178</v>
      </c>
      <c r="V184" s="22" t="n">
        <v>0</v>
      </c>
      <c r="W184" s="22" t="n">
        <v>0</v>
      </c>
      <c r="X184" s="22" t="n">
        <v>-0.803</v>
      </c>
    </row>
    <row r="185">
      <c r="A185" s="20" t="inlineStr">
        <is>
          <t>무형자산 취득</t>
        </is>
      </c>
      <c r="D185" s="22" t="n">
        <v>-7.942</v>
      </c>
      <c r="F185" s="22" t="n">
        <v>-7.942</v>
      </c>
      <c r="H185" s="22" t="n">
        <v>-17.336</v>
      </c>
      <c r="J185" s="22" t="n">
        <v>-27.291</v>
      </c>
      <c r="L185" s="22" t="n">
        <v>-1.727</v>
      </c>
      <c r="N185" s="22" t="n">
        <v>-2.343</v>
      </c>
      <c r="T185" s="22" t="n">
        <v>-58.394</v>
      </c>
      <c r="U185" s="22" t="n">
        <v>-17.242</v>
      </c>
      <c r="V185" s="22" t="n">
        <v>-7.942</v>
      </c>
      <c r="W185" s="22" t="n">
        <v>-27.291</v>
      </c>
      <c r="X185" s="22" t="n">
        <v>-2.343</v>
      </c>
    </row>
    <row r="186">
      <c r="A186" s="20" t="inlineStr">
        <is>
          <t>자산복구부채 이행 지출</t>
        </is>
      </c>
      <c r="T186" s="22" t="n">
        <v>-5.951</v>
      </c>
      <c r="U186" s="22" t="n">
        <v>0</v>
      </c>
    </row>
    <row r="187">
      <c r="A187" s="20" t="inlineStr">
        <is>
          <t>장기대여</t>
        </is>
      </c>
      <c r="D187" s="22" t="n">
        <v>-33.423</v>
      </c>
      <c r="F187" s="22" t="n">
        <v>-59.91</v>
      </c>
      <c r="H187" s="22" t="n">
        <v>-10.105</v>
      </c>
      <c r="J187" s="22" t="n">
        <v>-17.423</v>
      </c>
      <c r="L187" s="22" t="n">
        <v>0</v>
      </c>
      <c r="N187" s="22" t="n">
        <v>0</v>
      </c>
      <c r="U187" s="22" t="n">
        <v>0</v>
      </c>
      <c r="V187" s="22" t="n">
        <v>-59.91</v>
      </c>
      <c r="W187" s="22" t="n">
        <v>-17.423</v>
      </c>
      <c r="X187" s="22" t="n">
        <v>0</v>
      </c>
    </row>
    <row r="188">
      <c r="A188" s="20" t="inlineStr">
        <is>
          <t>장기대여금 회수</t>
        </is>
      </c>
      <c r="D188" s="22" t="n">
        <v>0.202</v>
      </c>
      <c r="F188" s="22" t="n">
        <v>2.541</v>
      </c>
      <c r="H188" s="22" t="n">
        <v>2.339</v>
      </c>
      <c r="J188" s="22" t="n">
        <v>5.085</v>
      </c>
      <c r="L188" s="22" t="n">
        <v>3.057</v>
      </c>
      <c r="N188" s="22" t="n">
        <v>6.115</v>
      </c>
      <c r="U188" s="22" t="n">
        <v>0</v>
      </c>
      <c r="V188" s="22" t="n">
        <v>2.541</v>
      </c>
      <c r="W188" s="22" t="n">
        <v>5.085</v>
      </c>
      <c r="X188" s="22" t="n">
        <v>6.115</v>
      </c>
    </row>
    <row r="189">
      <c r="A189" s="20" t="inlineStr">
        <is>
          <t>임차보증금·보증금 납입</t>
        </is>
      </c>
      <c r="D189" s="22" t="n">
        <v>-73.625</v>
      </c>
      <c r="F189" s="22" t="n">
        <v>-108.717</v>
      </c>
      <c r="H189" s="22" t="n">
        <v>-10.909</v>
      </c>
      <c r="J189" s="22" t="n">
        <v>-23.531</v>
      </c>
      <c r="L189" s="22" t="n">
        <v>-106.754</v>
      </c>
      <c r="N189" s="22" t="n">
        <v>-124.103</v>
      </c>
      <c r="T189" s="22" t="n">
        <v>-200.256</v>
      </c>
      <c r="U189" s="22" t="n">
        <v>-105.056</v>
      </c>
      <c r="V189" s="22" t="n">
        <v>-108.717</v>
      </c>
      <c r="W189" s="22" t="n">
        <v>-23.531</v>
      </c>
      <c r="X189" s="22" t="n">
        <v>-124.103</v>
      </c>
    </row>
    <row r="190">
      <c r="A190" s="20" t="inlineStr">
        <is>
          <t>임차보증금·보증금 회수</t>
        </is>
      </c>
      <c r="D190" s="22" t="n">
        <v>28.167</v>
      </c>
      <c r="F190" s="22" t="n">
        <v>48.966</v>
      </c>
      <c r="H190" s="22" t="n">
        <v>41.186</v>
      </c>
      <c r="J190" s="22" t="n">
        <v>61.87</v>
      </c>
      <c r="L190" s="22" t="n">
        <v>61.02</v>
      </c>
      <c r="N190" s="22" t="n">
        <v>123.577</v>
      </c>
      <c r="T190" s="22" t="n">
        <v>31.955</v>
      </c>
      <c r="U190" s="22" t="n">
        <v>56.756</v>
      </c>
      <c r="V190" s="22" t="n">
        <v>48.966</v>
      </c>
      <c r="W190" s="22" t="n">
        <v>61.87</v>
      </c>
      <c r="X190" s="22" t="n">
        <v>123.577</v>
      </c>
    </row>
    <row r="191">
      <c r="A191" s="20" t="inlineStr">
        <is>
          <t>출자금 납입</t>
        </is>
      </c>
      <c r="H191" s="22" t="n">
        <v>0</v>
      </c>
      <c r="L191" s="22" t="n">
        <v>-10</v>
      </c>
    </row>
    <row r="192">
      <c r="A192" s="20" t="inlineStr">
        <is>
          <t>기타 지출</t>
        </is>
      </c>
      <c r="J192" s="22" t="n">
        <v>0</v>
      </c>
      <c r="N192" s="22" t="n">
        <v>-11.11</v>
      </c>
      <c r="W192" s="22" t="n">
        <v>0</v>
      </c>
      <c r="X192" s="22" t="n">
        <v>-11.11</v>
      </c>
    </row>
    <row r="193">
      <c r="A193" s="20" t="inlineStr">
        <is>
          <t>투자 및 기타자산 증감액</t>
        </is>
      </c>
      <c r="D193" s="22" t="n">
        <v>-44.805</v>
      </c>
      <c r="F193" s="22" t="n">
        <v>-60.192</v>
      </c>
      <c r="H193" s="22" t="n">
        <v>-97.57599999999999</v>
      </c>
      <c r="J193" s="22" t="n">
        <v>-186.117</v>
      </c>
      <c r="L193" s="22" t="n">
        <v>-137.353</v>
      </c>
      <c r="N193" s="22" t="n">
        <v>-226.098</v>
      </c>
      <c r="T193" s="22" t="n">
        <v>-50.175</v>
      </c>
      <c r="U193" s="22" t="n">
        <v>-72.36</v>
      </c>
      <c r="V193" s="22" t="n">
        <v>-60.192</v>
      </c>
      <c r="W193" s="22" t="n">
        <v>-186.117</v>
      </c>
      <c r="X193" s="22" t="n">
        <v>-226.098</v>
      </c>
    </row>
    <row r="194">
      <c r="A194" s="9" t="inlineStr">
        <is>
          <t>투자활동 현금흐름</t>
        </is>
      </c>
      <c r="D194" s="12" t="n">
        <v>-247.424</v>
      </c>
      <c r="F194" s="12" t="n">
        <v>-3382.402</v>
      </c>
      <c r="H194" s="12" t="n">
        <v>-4235.981</v>
      </c>
      <c r="J194" s="12" t="n">
        <v>-7926.27</v>
      </c>
      <c r="L194" s="12" t="n">
        <v>-5547.984</v>
      </c>
      <c r="N194" s="12" t="n">
        <v>-8244.699000000001</v>
      </c>
      <c r="T194" s="12" t="n">
        <v>-2528.67</v>
      </c>
      <c r="U194" s="12" t="n">
        <v>-3051.036</v>
      </c>
      <c r="V194" s="12" t="n">
        <v>-3382.402</v>
      </c>
      <c r="W194" s="12" t="n">
        <v>-7926.27</v>
      </c>
      <c r="X194" s="12" t="n">
        <v>-8244.699000000001</v>
      </c>
    </row>
    <row r="195">
      <c r="A195" s="20" t="inlineStr">
        <is>
          <t>단기차입금 순증감</t>
        </is>
      </c>
      <c r="D195" s="22" t="n">
        <v>-1727</v>
      </c>
      <c r="F195" s="22" t="n">
        <v>-1842</v>
      </c>
      <c r="H195" s="22" t="n">
        <v>135</v>
      </c>
      <c r="J195" s="22" t="n">
        <v>0</v>
      </c>
      <c r="L195" s="22" t="n">
        <v>1490</v>
      </c>
      <c r="N195" s="22" t="n">
        <v>1815.8</v>
      </c>
      <c r="T195" s="22" t="n">
        <v>-157</v>
      </c>
      <c r="U195" s="22" t="n">
        <v>1842</v>
      </c>
      <c r="V195" s="22" t="n">
        <v>-1842</v>
      </c>
      <c r="W195" s="22" t="n">
        <v>0</v>
      </c>
      <c r="X195" s="22" t="n">
        <v>1815.8</v>
      </c>
    </row>
    <row r="196">
      <c r="A196" s="20" t="inlineStr">
        <is>
          <t>장기차입</t>
        </is>
      </c>
      <c r="D196" s="22" t="n">
        <v>3299</v>
      </c>
      <c r="F196" s="22" t="n">
        <v>7333</v>
      </c>
      <c r="H196" s="22" t="n">
        <v>3520</v>
      </c>
      <c r="J196" s="22" t="n">
        <v>9890</v>
      </c>
      <c r="L196" s="22" t="n">
        <v>3638.54</v>
      </c>
      <c r="N196" s="22" t="n">
        <v>5875.196</v>
      </c>
      <c r="T196" s="22" t="n">
        <v>3181</v>
      </c>
      <c r="U196" s="22" t="n">
        <v>922.042</v>
      </c>
      <c r="V196" s="22" t="n">
        <v>7333</v>
      </c>
      <c r="W196" s="22" t="n">
        <v>9890</v>
      </c>
      <c r="X196" s="22" t="n">
        <v>5875.196</v>
      </c>
    </row>
    <row r="197">
      <c r="A197" s="20" t="inlineStr">
        <is>
          <t>장기차입금 상환</t>
        </is>
      </c>
      <c r="D197" s="22" t="n">
        <v>-1132.991</v>
      </c>
      <c r="F197" s="22" t="n">
        <v>-1557.67</v>
      </c>
      <c r="H197" s="22" t="n">
        <v>-1704.294</v>
      </c>
      <c r="J197" s="22" t="n">
        <v>-5661.186</v>
      </c>
      <c r="L197" s="22" t="n">
        <v>-1612.596</v>
      </c>
      <c r="N197" s="22" t="n">
        <v>-3247.26</v>
      </c>
      <c r="T197" s="22" t="n">
        <v>-623.515</v>
      </c>
      <c r="U197" s="22" t="n">
        <v>-1132.054</v>
      </c>
      <c r="V197" s="22" t="n">
        <v>-1557.67</v>
      </c>
      <c r="W197" s="22" t="n">
        <v>-5661.186</v>
      </c>
      <c r="X197" s="22" t="n">
        <v>-3247.26</v>
      </c>
    </row>
    <row r="198">
      <c r="A198" s="20" t="inlineStr">
        <is>
          <t>사채 상환</t>
        </is>
      </c>
      <c r="D198" s="22" t="n">
        <v>0</v>
      </c>
      <c r="F198" s="22" t="n">
        <v>0</v>
      </c>
      <c r="T198" s="22" t="n">
        <v>-20</v>
      </c>
      <c r="U198" s="22" t="n">
        <v>-20</v>
      </c>
      <c r="V198" s="22" t="n">
        <v>0</v>
      </c>
    </row>
    <row r="199">
      <c r="A199" s="20" t="inlineStr">
        <is>
          <t>신주예약권 행사에 따른 주식 발행</t>
        </is>
      </c>
      <c r="D199" s="22" t="n">
        <v>0.711</v>
      </c>
      <c r="F199" s="22" t="n">
        <v>3.649</v>
      </c>
      <c r="H199" s="22" t="n">
        <v>2.796</v>
      </c>
      <c r="J199" s="22" t="n">
        <v>6.348</v>
      </c>
      <c r="L199" s="22" t="n">
        <v>11.284</v>
      </c>
      <c r="N199" s="22" t="n">
        <v>11.284</v>
      </c>
      <c r="T199" s="22" t="n">
        <v>0</v>
      </c>
      <c r="U199" s="22" t="n">
        <v>2.521</v>
      </c>
      <c r="V199" s="22" t="n">
        <v>3.649</v>
      </c>
      <c r="W199" s="22" t="n">
        <v>6.348</v>
      </c>
      <c r="X199" s="22" t="n">
        <v>11.284</v>
      </c>
    </row>
    <row r="200">
      <c r="A200" s="20" t="inlineStr">
        <is>
          <t>신주청약증거금 납입 수입</t>
        </is>
      </c>
      <c r="D200" s="22" t="n">
        <v>0</v>
      </c>
      <c r="H200" s="22" t="n">
        <v>0.047</v>
      </c>
      <c r="L200" s="22" t="n">
        <v>0</v>
      </c>
    </row>
    <row r="201">
      <c r="A201" s="20" t="inlineStr">
        <is>
          <t>주식 발행</t>
        </is>
      </c>
      <c r="F201" s="22" t="n">
        <v>0</v>
      </c>
      <c r="J201" s="22" t="n">
        <v>0</v>
      </c>
      <c r="N201" s="22" t="n">
        <v>2484.589</v>
      </c>
      <c r="T201" s="22" t="n">
        <v>0</v>
      </c>
      <c r="U201" s="22" t="n">
        <v>1268.859</v>
      </c>
      <c r="V201" s="22" t="n">
        <v>0</v>
      </c>
      <c r="W201" s="22" t="n">
        <v>0</v>
      </c>
      <c r="X201" s="22" t="n">
        <v>2484.589</v>
      </c>
    </row>
    <row r="202">
      <c r="A202" s="20" t="inlineStr">
        <is>
          <t>주식 발행 지출</t>
        </is>
      </c>
      <c r="D202" s="22" t="n">
        <v>-0.323</v>
      </c>
      <c r="F202" s="22" t="n">
        <v>-0.473</v>
      </c>
      <c r="H202" s="22" t="n">
        <v>0</v>
      </c>
      <c r="J202" s="22" t="n">
        <v>0</v>
      </c>
      <c r="N202" s="22" t="n">
        <v>-24.419</v>
      </c>
      <c r="T202" s="22" t="n">
        <v>0</v>
      </c>
      <c r="U202" s="22" t="n">
        <v>-10.207</v>
      </c>
      <c r="V202" s="22" t="n">
        <v>-0.473</v>
      </c>
      <c r="W202" s="22" t="n">
        <v>0</v>
      </c>
      <c r="X202" s="22" t="n">
        <v>-24.419</v>
      </c>
    </row>
    <row r="203">
      <c r="A203" s="20" t="inlineStr">
        <is>
          <t>자기주식 취득</t>
        </is>
      </c>
      <c r="D203" s="22" t="n">
        <v>-0.07099999999999999</v>
      </c>
      <c r="F203" s="22" t="n">
        <v>-0.218</v>
      </c>
      <c r="H203" s="22" t="n">
        <v>0</v>
      </c>
      <c r="J203" s="22" t="n">
        <v>0</v>
      </c>
      <c r="L203" s="22" t="n">
        <v>-0.136</v>
      </c>
      <c r="N203" s="22" t="n">
        <v>-0.136</v>
      </c>
      <c r="U203" s="22" t="n">
        <v>0</v>
      </c>
      <c r="V203" s="22" t="n">
        <v>-0.218</v>
      </c>
      <c r="W203" s="22" t="n">
        <v>0</v>
      </c>
      <c r="X203" s="22" t="n">
        <v>-0.136</v>
      </c>
    </row>
    <row r="204">
      <c r="A204" s="20" t="inlineStr">
        <is>
          <t>리스부채 상환</t>
        </is>
      </c>
      <c r="D204" s="22" t="n">
        <v>0</v>
      </c>
      <c r="F204" s="22" t="n">
        <v>0</v>
      </c>
      <c r="H204" s="22" t="n">
        <v>-0.11</v>
      </c>
      <c r="J204" s="22" t="n">
        <v>-0.442</v>
      </c>
      <c r="L204" s="22" t="n">
        <v>-0.331</v>
      </c>
      <c r="N204" s="22" t="n">
        <v>-0.663</v>
      </c>
      <c r="V204" s="22" t="n">
        <v>0</v>
      </c>
      <c r="W204" s="22" t="n">
        <v>-0.442</v>
      </c>
      <c r="X204" s="22" t="n">
        <v>-0.663</v>
      </c>
    </row>
    <row r="205">
      <c r="A205" s="20" t="inlineStr">
        <is>
          <t>수수료 지급액</t>
        </is>
      </c>
      <c r="D205" s="22" t="n">
        <v>-26.469</v>
      </c>
      <c r="F205" s="22" t="n">
        <v>-55.369</v>
      </c>
      <c r="H205" s="22" t="n">
        <v>-16.481</v>
      </c>
      <c r="J205" s="22" t="n">
        <v>-52.333</v>
      </c>
      <c r="L205" s="22" t="n">
        <v>-36.474</v>
      </c>
      <c r="N205" s="22" t="n">
        <v>-56.338</v>
      </c>
      <c r="T205" s="22" t="n">
        <v>-9.039999999999999</v>
      </c>
      <c r="U205" s="22" t="n">
        <v>0</v>
      </c>
      <c r="V205" s="22" t="n">
        <v>-55.369</v>
      </c>
      <c r="W205" s="22" t="n">
        <v>-52.333</v>
      </c>
      <c r="X205" s="22" t="n">
        <v>-56.338</v>
      </c>
    </row>
    <row r="206">
      <c r="A206" s="20" t="inlineStr">
        <is>
          <t>상장 관련 비용 지출</t>
        </is>
      </c>
      <c r="D206" s="22" t="n">
        <v>0</v>
      </c>
    </row>
    <row r="207">
      <c r="A207" s="20" t="inlineStr">
        <is>
          <t>신주예약권 발행</t>
        </is>
      </c>
      <c r="D207" s="22" t="n">
        <v>1.908</v>
      </c>
      <c r="F207" s="22" t="n">
        <v>1.908</v>
      </c>
      <c r="H207" s="22" t="n">
        <v>0.057</v>
      </c>
      <c r="J207" s="22" t="n">
        <v>0.057</v>
      </c>
      <c r="L207" s="22" t="n">
        <v>0.171</v>
      </c>
      <c r="N207" s="22" t="n">
        <v>0.171</v>
      </c>
      <c r="T207" s="22" t="n">
        <v>5.351</v>
      </c>
      <c r="U207" s="22" t="n">
        <v>0</v>
      </c>
      <c r="V207" s="22" t="n">
        <v>1.908</v>
      </c>
      <c r="W207" s="22" t="n">
        <v>0.057</v>
      </c>
      <c r="X207" s="22" t="n">
        <v>0.171</v>
      </c>
    </row>
    <row r="208">
      <c r="A208" s="20" t="inlineStr">
        <is>
          <t>상장 관련 비용 지출</t>
        </is>
      </c>
      <c r="F208" s="22" t="n">
        <v>0</v>
      </c>
      <c r="T208" s="22" t="n">
        <v>0</v>
      </c>
      <c r="U208" s="22" t="n">
        <v>-8.212</v>
      </c>
      <c r="V208" s="22" t="n">
        <v>0</v>
      </c>
    </row>
    <row r="209">
      <c r="A209" s="9" t="inlineStr">
        <is>
          <t>재무활동 현금흐름</t>
        </is>
      </c>
      <c r="D209" s="12" t="n">
        <v>414.762</v>
      </c>
      <c r="F209" s="12" t="n">
        <v>3882.825</v>
      </c>
      <c r="H209" s="12" t="n">
        <v>1937.014</v>
      </c>
      <c r="J209" s="12" t="n">
        <v>4182.443</v>
      </c>
      <c r="L209" s="12" t="n">
        <v>3490.455</v>
      </c>
      <c r="N209" s="12" t="n">
        <v>6858.221</v>
      </c>
      <c r="T209" s="12" t="n">
        <v>2376.795</v>
      </c>
      <c r="U209" s="12" t="n">
        <v>2864.949</v>
      </c>
      <c r="V209" s="12" t="n">
        <v>3882.825</v>
      </c>
      <c r="W209" s="12" t="n">
        <v>4182.443</v>
      </c>
      <c r="X209" s="12" t="n">
        <v>6858.221</v>
      </c>
    </row>
    <row r="210">
      <c r="A210" s="20" t="inlineStr">
        <is>
          <t>현금성자산 증감</t>
        </is>
      </c>
      <c r="D210" s="22" t="n">
        <v>-659.066</v>
      </c>
      <c r="F210" s="22" t="n">
        <v>-832.401</v>
      </c>
      <c r="H210" s="22" t="n">
        <v>1009.609</v>
      </c>
      <c r="J210" s="22" t="n">
        <v>-183.205</v>
      </c>
      <c r="L210" s="22" t="n">
        <v>-395.654</v>
      </c>
      <c r="N210" s="22" t="n">
        <v>1581.55</v>
      </c>
      <c r="T210" s="22" t="n">
        <v>258.729</v>
      </c>
      <c r="U210" s="22" t="n">
        <v>1319.814</v>
      </c>
      <c r="V210" s="22" t="n">
        <v>-832.401</v>
      </c>
      <c r="W210" s="22" t="n">
        <v>-183.205</v>
      </c>
      <c r="X210" s="22" t="n">
        <v>1581.55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5532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4472.266</v>
      </c>
      <c r="D5" s="12" t="n">
        <v>3903.33</v>
      </c>
      <c r="E5" s="12" t="n">
        <v>3192.709</v>
      </c>
      <c r="F5" s="12" t="n">
        <v>5320.596</v>
      </c>
      <c r="G5" s="12" t="n">
        <v>7976.608</v>
      </c>
      <c r="H5" s="11" t="n">
        <v>2043.317</v>
      </c>
      <c r="I5" s="12" t="n">
        <v>4007.328</v>
      </c>
      <c r="J5" s="12" t="n">
        <v>5526.633</v>
      </c>
      <c r="K5" s="12" t="n">
        <v>4472.266</v>
      </c>
      <c r="L5" s="12" t="n">
        <v>7976.608</v>
      </c>
    </row>
    <row r="6">
      <c r="A6" s="20" t="inlineStr">
        <is>
          <t>현금및현금성자산</t>
        </is>
      </c>
      <c r="B6" s="10" t="n"/>
      <c r="C6" s="21" t="n">
        <v>947.147</v>
      </c>
      <c r="D6" s="22" t="n">
        <v>1368.944</v>
      </c>
      <c r="E6" s="22" t="n">
        <v>551.492</v>
      </c>
      <c r="F6" s="22" t="n">
        <v>2170.351</v>
      </c>
      <c r="G6" s="22" t="n">
        <v>2528.697</v>
      </c>
      <c r="H6" s="21" t="n">
        <v>642.939</v>
      </c>
      <c r="I6" s="22" t="n">
        <v>1962.754</v>
      </c>
      <c r="J6" s="22" t="n">
        <v>1130.352</v>
      </c>
      <c r="K6" s="22" t="n">
        <v>947.147</v>
      </c>
      <c r="L6" s="22" t="n">
        <v>2528.697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2372.776</v>
      </c>
      <c r="D9" s="22" t="n">
        <v>1325.957</v>
      </c>
      <c r="E9" s="22" t="n">
        <v>1323.187</v>
      </c>
      <c r="F9" s="22" t="n">
        <v>1694.953</v>
      </c>
      <c r="G9" s="22" t="n">
        <v>3761.647</v>
      </c>
      <c r="H9" s="21" t="n">
        <v>589.453</v>
      </c>
      <c r="I9" s="22" t="n">
        <v>1010.532</v>
      </c>
      <c r="J9" s="22" t="n">
        <v>3299.284</v>
      </c>
      <c r="K9" s="22" t="n">
        <v>2372.776</v>
      </c>
      <c r="L9" s="22" t="n">
        <v>3761.647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16792.466</v>
      </c>
      <c r="D11" s="12" t="n">
        <v>18231.458</v>
      </c>
      <c r="E11" s="12" t="n">
        <v>22050.124</v>
      </c>
      <c r="F11" s="12" t="n">
        <v>23359.552</v>
      </c>
      <c r="G11" s="12" t="n">
        <v>21485.587</v>
      </c>
      <c r="H11" s="11" t="n">
        <v>5716.793</v>
      </c>
      <c r="I11" s="12" t="n">
        <v>7399.641</v>
      </c>
      <c r="J11" s="12" t="n">
        <v>10368.085</v>
      </c>
      <c r="K11" s="12" t="n">
        <v>16792.466</v>
      </c>
      <c r="L11" s="12" t="n">
        <v>21485.587</v>
      </c>
    </row>
    <row r="12">
      <c r="A12" s="20" t="inlineStr">
        <is>
          <t>유형자산</t>
        </is>
      </c>
      <c r="B12" s="10" t="n"/>
      <c r="C12" s="21" t="n">
        <v>14440.749</v>
      </c>
      <c r="D12" s="22" t="n">
        <v>15890.711</v>
      </c>
      <c r="E12" s="22" t="n">
        <v>19477.626</v>
      </c>
      <c r="F12" s="22" t="n">
        <v>20826.975</v>
      </c>
      <c r="G12" s="22" t="n">
        <v>18880.403</v>
      </c>
      <c r="H12" s="21" t="n">
        <v>3799.943</v>
      </c>
      <c r="I12" s="22" t="n">
        <v>5393.194</v>
      </c>
      <c r="J12" s="22" t="n">
        <v>8153.064</v>
      </c>
      <c r="K12" s="22" t="n">
        <v>14440.749</v>
      </c>
      <c r="L12" s="22" t="n">
        <v>18880.403</v>
      </c>
    </row>
    <row r="13">
      <c r="A13" s="20" t="inlineStr">
        <is>
          <t>무형자산</t>
        </is>
      </c>
      <c r="B13" s="10" t="n"/>
      <c r="C13" s="21" t="n">
        <v>60.748</v>
      </c>
      <c r="D13" s="22" t="n">
        <v>55.764</v>
      </c>
      <c r="E13" s="22" t="n">
        <v>50.114</v>
      </c>
      <c r="F13" s="22" t="n">
        <v>44.594</v>
      </c>
      <c r="G13" s="22" t="n">
        <v>38.462</v>
      </c>
      <c r="H13" s="21" t="n">
        <v>74.785</v>
      </c>
      <c r="I13" s="22" t="n">
        <v>70.524</v>
      </c>
      <c r="J13" s="22" t="n">
        <v>58.505</v>
      </c>
      <c r="K13" s="22" t="n">
        <v>60.748</v>
      </c>
      <c r="L13" s="22" t="n">
        <v>38.462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21264.732</v>
      </c>
      <c r="D16" s="12" t="n">
        <v>22134.789</v>
      </c>
      <c r="E16" s="12" t="n">
        <v>25242.833</v>
      </c>
      <c r="F16" s="12" t="n">
        <v>28680.149</v>
      </c>
      <c r="G16" s="12" t="n">
        <v>29462.195</v>
      </c>
      <c r="H16" s="11" t="n">
        <v>7760.11</v>
      </c>
      <c r="I16" s="12" t="n">
        <v>11406.97</v>
      </c>
      <c r="J16" s="12" t="n">
        <v>15894.719</v>
      </c>
      <c r="K16" s="12" t="n">
        <v>21264.732</v>
      </c>
      <c r="L16" s="12" t="n">
        <v>29462.195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3901.427</v>
      </c>
      <c r="D18" s="12" t="n">
        <v>3604.267</v>
      </c>
      <c r="E18" s="12" t="n">
        <v>5004.413</v>
      </c>
      <c r="F18" s="12" t="n">
        <v>5829.901</v>
      </c>
      <c r="G18" s="12" t="n">
        <v>6123.195</v>
      </c>
      <c r="H18" s="11" t="n">
        <v>1973.719</v>
      </c>
      <c r="I18" s="12" t="n">
        <v>4327.304</v>
      </c>
      <c r="J18" s="12" t="n">
        <v>5837.629</v>
      </c>
      <c r="K18" s="12" t="n">
        <v>3901.427</v>
      </c>
      <c r="L18" s="12" t="n">
        <v>6123.195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0</v>
      </c>
      <c r="D20" s="22" t="n">
        <v>180</v>
      </c>
      <c r="E20" s="22" t="n">
        <v>1490</v>
      </c>
      <c r="F20" s="22" t="n">
        <v>2000.45</v>
      </c>
      <c r="G20" s="22" t="n">
        <v>1815.8</v>
      </c>
      <c r="H20" s="21" t="n">
        <v>0</v>
      </c>
      <c r="I20" s="22" t="n">
        <v>1842</v>
      </c>
      <c r="J20" s="22" t="n">
        <v>0</v>
      </c>
      <c r="K20" s="22" t="n">
        <v>0</v>
      </c>
      <c r="L20" s="22" t="n">
        <v>1815.8</v>
      </c>
    </row>
    <row r="21">
      <c r="A21" s="20" t="inlineStr">
        <is>
          <t>유동성장기부채</t>
        </is>
      </c>
      <c r="B21" s="10" t="n"/>
      <c r="C21" s="21" t="n">
        <v>1646.526</v>
      </c>
      <c r="D21" s="22" t="n">
        <v>1598.036</v>
      </c>
      <c r="E21" s="22" t="n">
        <v>1608.847</v>
      </c>
      <c r="F21" s="22" t="n">
        <v>1783.23</v>
      </c>
      <c r="G21" s="22" t="n">
        <v>2110.27</v>
      </c>
      <c r="H21" s="21" t="n">
        <v>594.61</v>
      </c>
      <c r="I21" s="22" t="n">
        <v>791.965</v>
      </c>
      <c r="J21" s="22" t="n">
        <v>4126.706</v>
      </c>
      <c r="K21" s="22" t="n">
        <v>1646.526</v>
      </c>
      <c r="L21" s="22" t="n">
        <v>2110.27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14011.697</v>
      </c>
      <c r="D23" s="12" t="n">
        <v>14585.997</v>
      </c>
      <c r="E23" s="12" t="n">
        <v>16174.586</v>
      </c>
      <c r="F23" s="12" t="n">
        <v>16348.8</v>
      </c>
      <c r="G23" s="12" t="n">
        <v>16599.911</v>
      </c>
      <c r="H23" s="11" t="n">
        <v>5049.475</v>
      </c>
      <c r="I23" s="12" t="n">
        <v>4798.113</v>
      </c>
      <c r="J23" s="12" t="n">
        <v>7345.438</v>
      </c>
      <c r="K23" s="12" t="n">
        <v>14011.697</v>
      </c>
      <c r="L23" s="12" t="n">
        <v>16599.911</v>
      </c>
    </row>
    <row r="24">
      <c r="A24" s="20" t="inlineStr">
        <is>
          <t>장기차입금</t>
        </is>
      </c>
      <c r="B24" s="10" t="n"/>
      <c r="C24" s="21" t="n">
        <v>12291.17</v>
      </c>
      <c r="D24" s="22" t="n">
        <v>12850.796</v>
      </c>
      <c r="E24" s="22" t="n">
        <v>14355.744</v>
      </c>
      <c r="F24" s="22" t="n">
        <v>14482.994</v>
      </c>
      <c r="G24" s="22" t="n">
        <v>14457.205</v>
      </c>
      <c r="H24" s="21" t="n">
        <v>3563.687</v>
      </c>
      <c r="I24" s="22" t="n">
        <v>3137.216</v>
      </c>
      <c r="J24" s="22" t="n">
        <v>5580.105</v>
      </c>
      <c r="K24" s="22" t="n">
        <v>12291.17</v>
      </c>
      <c r="L24" s="22" t="n">
        <v>14457.205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17913.124</v>
      </c>
      <c r="D27" s="12" t="n">
        <v>18190.264</v>
      </c>
      <c r="E27" s="12" t="n">
        <v>21179</v>
      </c>
      <c r="F27" s="12" t="n">
        <v>22178.701</v>
      </c>
      <c r="G27" s="12" t="n">
        <v>22723.107</v>
      </c>
      <c r="H27" s="11" t="n">
        <v>7023.194</v>
      </c>
      <c r="I27" s="12" t="n">
        <v>9125.418</v>
      </c>
      <c r="J27" s="12" t="n">
        <v>13183.068</v>
      </c>
      <c r="K27" s="12" t="n">
        <v>17913.124</v>
      </c>
      <c r="L27" s="12" t="n">
        <v>22723.107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3300.088</v>
      </c>
      <c r="D31" s="12" t="n">
        <v>3876.214</v>
      </c>
      <c r="E31" s="12" t="n">
        <v>3976.246</v>
      </c>
      <c r="F31" s="12" t="n">
        <v>6392.464</v>
      </c>
      <c r="G31" s="12" t="n">
        <v>6608.285</v>
      </c>
      <c r="H31" s="11" t="n">
        <v>731.564</v>
      </c>
      <c r="I31" s="12" t="n">
        <v>2281.552</v>
      </c>
      <c r="J31" s="12" t="n">
        <v>2692.252</v>
      </c>
      <c r="K31" s="12" t="n">
        <v>3300.088</v>
      </c>
      <c r="L31" s="12" t="n">
        <v>6608.285</v>
      </c>
    </row>
    <row r="32">
      <c r="A32" s="20" t="inlineStr">
        <is>
          <t>자본금</t>
        </is>
      </c>
      <c r="B32" s="10" t="n"/>
      <c r="C32" s="21" t="n">
        <v>705.279</v>
      </c>
      <c r="D32" s="22" t="n">
        <v>705.279</v>
      </c>
      <c r="E32" s="22" t="n">
        <v>746.439</v>
      </c>
      <c r="F32" s="22" t="n">
        <v>1967.559</v>
      </c>
      <c r="G32" s="22" t="n">
        <v>1988.734</v>
      </c>
      <c r="H32" s="21" t="n">
        <v>30</v>
      </c>
      <c r="I32" s="22" t="n">
        <v>665.697</v>
      </c>
      <c r="J32" s="22" t="n">
        <v>680.971</v>
      </c>
      <c r="K32" s="22" t="n">
        <v>705.279</v>
      </c>
      <c r="L32" s="22" t="n">
        <v>1988.734</v>
      </c>
    </row>
    <row r="33">
      <c r="A33" s="20" t="inlineStr">
        <is>
          <t>이익잉여금</t>
        </is>
      </c>
      <c r="B33" s="10" t="n"/>
      <c r="C33" s="21" t="n">
        <v>1919.747</v>
      </c>
      <c r="D33" s="22" t="n">
        <v>2496.009</v>
      </c>
      <c r="E33" s="22" t="n">
        <v>2513.721</v>
      </c>
      <c r="F33" s="22" t="n">
        <v>2487.698</v>
      </c>
      <c r="G33" s="22" t="n">
        <v>2661.169</v>
      </c>
      <c r="H33" s="21" t="n">
        <v>701.564</v>
      </c>
      <c r="I33" s="22" t="n">
        <v>980.158</v>
      </c>
      <c r="J33" s="22" t="n">
        <v>1360.527</v>
      </c>
      <c r="K33" s="22" t="n">
        <v>1919.747</v>
      </c>
      <c r="L33" s="22" t="n">
        <v>2661.169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3351.607</v>
      </c>
      <c r="D35" s="12" t="n">
        <v>3944.525</v>
      </c>
      <c r="E35" s="12" t="n">
        <v>4063.832</v>
      </c>
      <c r="F35" s="12" t="n">
        <v>6501.447</v>
      </c>
      <c r="G35" s="12" t="n">
        <v>6739.088</v>
      </c>
      <c r="H35" s="11" t="n">
        <v>736.915</v>
      </c>
      <c r="I35" s="12" t="n">
        <v>2281.552</v>
      </c>
      <c r="J35" s="12" t="n">
        <v>2711.65</v>
      </c>
      <c r="K35" s="12" t="n">
        <v>3351.607</v>
      </c>
      <c r="L35" s="12" t="n">
        <v>6739.088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3560.622</v>
      </c>
      <c r="D37" s="12" t="n"/>
      <c r="E37" s="12" t="n">
        <v>1913.919</v>
      </c>
      <c r="F37" s="12" t="n"/>
      <c r="G37" s="12" t="n">
        <v>2968.028</v>
      </c>
      <c r="H37" s="11" t="n">
        <v>410.604</v>
      </c>
      <c r="I37" s="12" t="n">
        <v>1505.901</v>
      </c>
      <c r="J37" s="12" t="n">
        <v>-1332.824</v>
      </c>
      <c r="K37" s="12" t="n">
        <v>3560.622</v>
      </c>
      <c r="L37" s="12" t="n">
        <v>2968.028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7766.772</v>
      </c>
      <c r="D38" s="22" t="n"/>
      <c r="E38" s="22" t="n">
        <v>8963.808999999999</v>
      </c>
      <c r="F38" s="22" t="n"/>
      <c r="G38" s="22" t="n">
        <v>8012.534</v>
      </c>
      <c r="H38" s="21" t="n">
        <v>2314.234</v>
      </c>
      <c r="I38" s="22" t="n">
        <v>2929.198</v>
      </c>
      <c r="J38" s="22" t="n">
        <v>3205.09</v>
      </c>
      <c r="K38" s="22" t="n">
        <v>7766.772</v>
      </c>
      <c r="L38" s="22" t="n">
        <v>8012.534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947.147</v>
      </c>
      <c r="D71" s="22" t="n">
        <v>1368.944</v>
      </c>
      <c r="E71" s="22" t="n">
        <v>551.492</v>
      </c>
      <c r="F71" s="22" t="n">
        <v>2170.351</v>
      </c>
      <c r="G71" s="22" t="n">
        <v>2528.697</v>
      </c>
      <c r="H71" s="22" t="n">
        <v>642.939</v>
      </c>
      <c r="I71" s="22" t="n">
        <v>1962.754</v>
      </c>
      <c r="J71" s="22" t="n">
        <v>1130.352</v>
      </c>
      <c r="K71" s="22" t="n">
        <v>947.147</v>
      </c>
      <c r="L71" s="22" t="n">
        <v>2528.697</v>
      </c>
    </row>
    <row r="72">
      <c r="A72" s="20" t="inlineStr">
        <is>
          <t>영업미수금</t>
        </is>
      </c>
      <c r="C72" s="22" t="n">
        <v>703.778</v>
      </c>
      <c r="D72" s="22" t="n">
        <v>661.831</v>
      </c>
      <c r="E72" s="22" t="n">
        <v>689.467</v>
      </c>
      <c r="F72" s="22" t="n">
        <v>698.467</v>
      </c>
      <c r="G72" s="22" t="n">
        <v>716.787</v>
      </c>
      <c r="H72" s="22" t="n">
        <v>490.793</v>
      </c>
      <c r="I72" s="22" t="n">
        <v>601.902</v>
      </c>
      <c r="J72" s="22" t="n">
        <v>689.042</v>
      </c>
      <c r="K72" s="22" t="n">
        <v>703.778</v>
      </c>
      <c r="L72" s="22" t="n">
        <v>716.787</v>
      </c>
    </row>
    <row r="73">
      <c r="A73" s="20" t="inlineStr">
        <is>
          <t>완성공사 미수금</t>
        </is>
      </c>
      <c r="C73" s="22" t="n">
        <v>1.52</v>
      </c>
      <c r="D73" s="22" t="n">
        <v>0.09</v>
      </c>
      <c r="E73" s="22" t="n">
        <v>41.874</v>
      </c>
      <c r="F73" s="22" t="n">
        <v>16.012</v>
      </c>
      <c r="G73" s="22" t="n">
        <v>17.053</v>
      </c>
      <c r="H73" s="22" t="n">
        <v>5.225</v>
      </c>
      <c r="I73" s="22" t="n">
        <v>72.34399999999999</v>
      </c>
      <c r="J73" s="22" t="n">
        <v>6.184</v>
      </c>
      <c r="K73" s="22" t="n">
        <v>1.52</v>
      </c>
      <c r="L73" s="22" t="n">
        <v>17.053</v>
      </c>
    </row>
    <row r="74">
      <c r="A74" s="20" t="inlineStr">
        <is>
          <t>계약자산</t>
        </is>
      </c>
      <c r="C74" s="22" t="n">
        <v>2.845</v>
      </c>
      <c r="D74" s="22" t="n">
        <v>96.767</v>
      </c>
      <c r="E74" s="22" t="n">
        <v>100.215</v>
      </c>
      <c r="F74" s="22" t="n">
        <v>54.794</v>
      </c>
      <c r="G74" s="22" t="n">
        <v>16.381</v>
      </c>
      <c r="H74" s="22" t="n">
        <v>3.289</v>
      </c>
      <c r="I74" s="22" t="n">
        <v>20.636</v>
      </c>
      <c r="J74" s="22" t="n">
        <v>7.432</v>
      </c>
      <c r="K74" s="22" t="n">
        <v>2.845</v>
      </c>
      <c r="L74" s="22" t="n">
        <v>16.381</v>
      </c>
    </row>
    <row r="75">
      <c r="A75" s="20" t="inlineStr">
        <is>
          <t>판매용 부동산</t>
        </is>
      </c>
      <c r="C75" s="22" t="n">
        <v>2372.776</v>
      </c>
      <c r="D75" s="22" t="n">
        <v>1325.957</v>
      </c>
      <c r="E75" s="22" t="n">
        <v>1323.187</v>
      </c>
      <c r="F75" s="22" t="n">
        <v>1694.953</v>
      </c>
      <c r="G75" s="22" t="n">
        <v>3761.647</v>
      </c>
      <c r="H75" s="22" t="n">
        <v>589.453</v>
      </c>
      <c r="I75" s="22" t="n">
        <v>1010.532</v>
      </c>
      <c r="J75" s="22" t="n">
        <v>3299.284</v>
      </c>
      <c r="K75" s="22" t="n">
        <v>2372.776</v>
      </c>
      <c r="L75" s="22" t="n">
        <v>3761.647</v>
      </c>
    </row>
    <row r="76">
      <c r="A76" s="20" t="inlineStr">
        <is>
          <t>미성공사 지출금</t>
        </is>
      </c>
      <c r="C76" s="22" t="n">
        <v>0.08500000000000001</v>
      </c>
      <c r="D76" s="22" t="n">
        <v>0.112</v>
      </c>
      <c r="E76" s="22" t="n">
        <v>0.199</v>
      </c>
      <c r="F76" s="22" t="n">
        <v>0.221</v>
      </c>
      <c r="G76" s="22" t="n">
        <v>0.08599999999999999</v>
      </c>
      <c r="H76" s="22" t="n">
        <v>0.142</v>
      </c>
      <c r="I76" s="22" t="n">
        <v>0.143</v>
      </c>
      <c r="J76" s="22" t="n">
        <v>0</v>
      </c>
      <c r="K76" s="22" t="n">
        <v>0.08500000000000001</v>
      </c>
      <c r="L76" s="22" t="n">
        <v>0.08599999999999999</v>
      </c>
    </row>
    <row r="77">
      <c r="A77" s="20" t="inlineStr">
        <is>
          <t>미성업무 지출금</t>
        </is>
      </c>
      <c r="H77" s="22" t="n">
        <v>0</v>
      </c>
      <c r="I77" s="22" t="n">
        <v>3.263</v>
      </c>
      <c r="J77" s="22" t="n">
        <v>0</v>
      </c>
    </row>
    <row r="78">
      <c r="A78" s="20" t="inlineStr">
        <is>
          <t>선급비용</t>
        </is>
      </c>
      <c r="C78" s="22" t="n">
        <v>308.175</v>
      </c>
      <c r="D78" s="22" t="n">
        <v>309.831</v>
      </c>
      <c r="E78" s="22" t="n">
        <v>367.673</v>
      </c>
      <c r="F78" s="22" t="n">
        <v>343.862</v>
      </c>
      <c r="G78" s="22" t="n">
        <v>350.448</v>
      </c>
      <c r="H78" s="22" t="n">
        <v>224.938</v>
      </c>
      <c r="I78" s="22" t="n">
        <v>252.387</v>
      </c>
      <c r="J78" s="22" t="n">
        <v>306.007</v>
      </c>
      <c r="K78" s="22" t="n">
        <v>308.175</v>
      </c>
      <c r="L78" s="22" t="n">
        <v>350.448</v>
      </c>
    </row>
    <row r="79">
      <c r="A79" s="20" t="inlineStr">
        <is>
          <t>기타</t>
        </is>
      </c>
      <c r="C79" s="22" t="n">
        <v>136.512</v>
      </c>
      <c r="D79" s="22" t="n">
        <v>140.335</v>
      </c>
      <c r="E79" s="22" t="n">
        <v>119.141</v>
      </c>
      <c r="F79" s="22" t="n">
        <v>342.393</v>
      </c>
      <c r="G79" s="22" t="n">
        <v>585.975</v>
      </c>
      <c r="H79" s="22" t="n">
        <v>86.91500000000001</v>
      </c>
      <c r="I79" s="22" t="n">
        <v>83.54900000000001</v>
      </c>
      <c r="J79" s="22" t="n">
        <v>88.70699999999999</v>
      </c>
      <c r="K79" s="22" t="n">
        <v>136.512</v>
      </c>
      <c r="L79" s="22" t="n">
        <v>585.975</v>
      </c>
    </row>
    <row r="80">
      <c r="A80" s="20" t="inlineStr">
        <is>
          <t>대손충당금</t>
        </is>
      </c>
      <c r="C80" s="22" t="n">
        <v>-0.576</v>
      </c>
      <c r="D80" s="22" t="n">
        <v>-0.54</v>
      </c>
      <c r="E80" s="22" t="n">
        <v>-0.541</v>
      </c>
      <c r="F80" s="22" t="n">
        <v>-0.46</v>
      </c>
      <c r="G80" s="22" t="n">
        <v>-0.469</v>
      </c>
      <c r="H80" s="22" t="n">
        <v>-0.38</v>
      </c>
      <c r="I80" s="22" t="n">
        <v>-0.183</v>
      </c>
      <c r="J80" s="22" t="n">
        <v>-0.377</v>
      </c>
      <c r="K80" s="22" t="n">
        <v>-0.576</v>
      </c>
      <c r="L80" s="22" t="n">
        <v>-0.469</v>
      </c>
    </row>
    <row r="81">
      <c r="A81" s="9" t="inlineStr">
        <is>
          <t>유동자산 합계</t>
        </is>
      </c>
      <c r="C81" s="12" t="n">
        <v>4472.266</v>
      </c>
      <c r="D81" s="12" t="n">
        <v>3903.33</v>
      </c>
      <c r="E81" s="12" t="n">
        <v>3192.709</v>
      </c>
      <c r="F81" s="12" t="n">
        <v>5320.596</v>
      </c>
      <c r="G81" s="12" t="n">
        <v>7976.608</v>
      </c>
      <c r="H81" s="12" t="n">
        <v>2043.317</v>
      </c>
      <c r="I81" s="12" t="n">
        <v>4007.328</v>
      </c>
      <c r="J81" s="12" t="n">
        <v>5526.633</v>
      </c>
      <c r="K81" s="12" t="n">
        <v>4472.266</v>
      </c>
      <c r="L81" s="12" t="n">
        <v>7976.608</v>
      </c>
    </row>
    <row r="82">
      <c r="A82" s="20" t="inlineStr">
        <is>
          <t>건물</t>
        </is>
      </c>
      <c r="C82" s="22" t="n">
        <v>6103.713</v>
      </c>
      <c r="D82" s="22" t="n">
        <v>6716.119</v>
      </c>
      <c r="E82" s="22" t="n">
        <v>7127.26</v>
      </c>
      <c r="F82" s="22" t="n">
        <v>8677.472</v>
      </c>
      <c r="G82" s="22" t="n">
        <v>8378.751</v>
      </c>
      <c r="H82" s="22" t="n">
        <v>4096.053</v>
      </c>
      <c r="I82" s="22" t="n">
        <v>4678.921</v>
      </c>
      <c r="J82" s="22" t="n">
        <v>5607.411</v>
      </c>
      <c r="K82" s="22" t="n">
        <v>6103.713</v>
      </c>
      <c r="L82" s="22" t="n">
        <v>8378.751</v>
      </c>
    </row>
    <row r="83">
      <c r="A83" s="20" t="inlineStr">
        <is>
          <t>구축물</t>
        </is>
      </c>
      <c r="C83" s="22" t="n">
        <v>71.045</v>
      </c>
      <c r="D83" s="22" t="n">
        <v>78.864</v>
      </c>
      <c r="E83" s="22" t="n">
        <v>79.117</v>
      </c>
      <c r="F83" s="22" t="n">
        <v>97.38200000000001</v>
      </c>
      <c r="G83" s="22" t="n">
        <v>95.241</v>
      </c>
      <c r="H83" s="22" t="n">
        <v>36.625</v>
      </c>
      <c r="I83" s="22" t="n">
        <v>33.787</v>
      </c>
      <c r="J83" s="22" t="n">
        <v>45.858</v>
      </c>
      <c r="K83" s="22" t="n">
        <v>71.045</v>
      </c>
      <c r="L83" s="22" t="n">
        <v>95.241</v>
      </c>
    </row>
    <row r="84">
      <c r="A84" s="20" t="inlineStr">
        <is>
          <t>공구·기구·비품</t>
        </is>
      </c>
      <c r="C84" s="22" t="n">
        <v>437.437</v>
      </c>
      <c r="D84" s="22" t="n">
        <v>464.548</v>
      </c>
      <c r="E84" s="22" t="n">
        <v>487.922</v>
      </c>
      <c r="F84" s="22" t="n">
        <v>568.164</v>
      </c>
      <c r="G84" s="22" t="n">
        <v>575.686</v>
      </c>
      <c r="H84" s="22" t="n">
        <v>325.897</v>
      </c>
      <c r="I84" s="22" t="n">
        <v>403.984</v>
      </c>
      <c r="J84" s="22" t="n">
        <v>431.527</v>
      </c>
      <c r="K84" s="22" t="n">
        <v>437.437</v>
      </c>
      <c r="L84" s="22" t="n">
        <v>575.686</v>
      </c>
    </row>
    <row r="85">
      <c r="A85" s="20" t="inlineStr">
        <is>
          <t>토지</t>
        </is>
      </c>
      <c r="C85" s="22" t="n">
        <v>9983.653</v>
      </c>
      <c r="D85" s="22" t="n">
        <v>10964.721</v>
      </c>
      <c r="E85" s="22" t="n">
        <v>13793.534</v>
      </c>
      <c r="F85" s="22" t="n">
        <v>13794.04</v>
      </c>
      <c r="G85" s="22" t="n">
        <v>11654.082</v>
      </c>
      <c r="H85" s="22" t="n">
        <v>1044.473</v>
      </c>
      <c r="I85" s="22" t="n">
        <v>2228.506</v>
      </c>
      <c r="J85" s="22" t="n">
        <v>4405.596</v>
      </c>
      <c r="K85" s="22" t="n">
        <v>9983.653</v>
      </c>
      <c r="L85" s="22" t="n">
        <v>11654.082</v>
      </c>
    </row>
    <row r="86">
      <c r="A86" s="20" t="inlineStr">
        <is>
          <t>리스자산</t>
        </is>
      </c>
      <c r="C86" s="22" t="n">
        <v>3.018</v>
      </c>
      <c r="D86" s="22" t="n">
        <v>3.018</v>
      </c>
      <c r="E86" s="22" t="n">
        <v>3.018</v>
      </c>
      <c r="F86" s="22" t="n">
        <v>3.018</v>
      </c>
      <c r="G86" s="22" t="n">
        <v>3.018</v>
      </c>
      <c r="H86" s="22" t="n">
        <v>5.412</v>
      </c>
      <c r="I86" s="22" t="n">
        <v>0</v>
      </c>
      <c r="J86" s="22" t="n">
        <v>0</v>
      </c>
      <c r="K86" s="22" t="n">
        <v>3.018</v>
      </c>
      <c r="L86" s="22" t="n">
        <v>3.018</v>
      </c>
    </row>
    <row r="87">
      <c r="A87" s="20" t="inlineStr">
        <is>
          <t>건설중인자산</t>
        </is>
      </c>
      <c r="C87" s="22" t="n">
        <v>464.912</v>
      </c>
      <c r="D87" s="22" t="n">
        <v>379.537</v>
      </c>
      <c r="E87" s="22" t="n">
        <v>798.663</v>
      </c>
      <c r="F87" s="22" t="n">
        <v>605.779</v>
      </c>
      <c r="G87" s="22" t="n">
        <v>1119.934</v>
      </c>
      <c r="H87" s="22" t="n">
        <v>3.257</v>
      </c>
      <c r="I87" s="22" t="n">
        <v>2.704</v>
      </c>
      <c r="J87" s="22" t="n">
        <v>34.083</v>
      </c>
      <c r="K87" s="22" t="n">
        <v>464.912</v>
      </c>
      <c r="L87" s="22" t="n">
        <v>1119.934</v>
      </c>
    </row>
    <row r="88">
      <c r="A88" s="20" t="inlineStr">
        <is>
          <t>기타</t>
        </is>
      </c>
      <c r="C88" s="22" t="n">
        <v>0.381</v>
      </c>
      <c r="D88" s="22" t="n">
        <v>0.381</v>
      </c>
      <c r="E88" s="22" t="n">
        <v>0.381</v>
      </c>
      <c r="F88" s="22" t="n">
        <v>0.381</v>
      </c>
      <c r="G88" s="22" t="n">
        <v>0.381</v>
      </c>
      <c r="H88" s="22" t="n">
        <v>0.271</v>
      </c>
      <c r="I88" s="22" t="n">
        <v>0.271</v>
      </c>
      <c r="J88" s="22" t="n">
        <v>0.381</v>
      </c>
      <c r="K88" s="22" t="n">
        <v>0.381</v>
      </c>
      <c r="L88" s="22" t="n">
        <v>0.381</v>
      </c>
    </row>
    <row r="89">
      <c r="A89" s="20" t="inlineStr">
        <is>
          <t>감가상각누계액 및 손상차손누계액</t>
        </is>
      </c>
      <c r="C89" s="22" t="n">
        <v>-2623.412</v>
      </c>
      <c r="D89" s="22" t="n">
        <v>-2716.478</v>
      </c>
      <c r="E89" s="22" t="n">
        <v>-2812.269</v>
      </c>
      <c r="F89" s="22" t="n">
        <v>-2919.264</v>
      </c>
      <c r="G89" s="22" t="n">
        <v>-2946.691</v>
      </c>
      <c r="H89" s="22" t="n">
        <v>-1712.047</v>
      </c>
      <c r="I89" s="22" t="n">
        <v>-1954.981</v>
      </c>
      <c r="J89" s="22" t="n">
        <v>-2371.794</v>
      </c>
      <c r="K89" s="22" t="n">
        <v>-2623.412</v>
      </c>
      <c r="L89" s="22" t="n">
        <v>-2946.691</v>
      </c>
    </row>
    <row r="90">
      <c r="A90" s="20" t="inlineStr">
        <is>
          <t>유형자산 합계</t>
        </is>
      </c>
      <c r="C90" s="22" t="n">
        <v>14440.749</v>
      </c>
      <c r="D90" s="22" t="n">
        <v>15890.711</v>
      </c>
      <c r="E90" s="22" t="n">
        <v>19477.626</v>
      </c>
      <c r="F90" s="22" t="n">
        <v>20826.975</v>
      </c>
      <c r="G90" s="22" t="n">
        <v>18880.403</v>
      </c>
      <c r="H90" s="22" t="n">
        <v>3799.943</v>
      </c>
      <c r="I90" s="22" t="n">
        <v>5393.194</v>
      </c>
      <c r="J90" s="22" t="n">
        <v>8153.064</v>
      </c>
      <c r="K90" s="22" t="n">
        <v>14440.749</v>
      </c>
      <c r="L90" s="22" t="n">
        <v>18880.403</v>
      </c>
    </row>
    <row r="91">
      <c r="A91" s="20" t="inlineStr">
        <is>
          <t>소프트웨어</t>
        </is>
      </c>
      <c r="C91" s="22" t="n">
        <v>60.748</v>
      </c>
      <c r="D91" s="22" t="n">
        <v>55.764</v>
      </c>
      <c r="E91" s="22" t="n">
        <v>50.114</v>
      </c>
      <c r="F91" s="22" t="n">
        <v>44.44</v>
      </c>
      <c r="G91" s="22" t="n">
        <v>38.462</v>
      </c>
      <c r="H91" s="22" t="n">
        <v>74.785</v>
      </c>
      <c r="I91" s="22" t="n">
        <v>70.524</v>
      </c>
      <c r="J91" s="22" t="n">
        <v>58.505</v>
      </c>
      <c r="K91" s="22" t="n">
        <v>60.748</v>
      </c>
      <c r="L91" s="22" t="n">
        <v>38.462</v>
      </c>
    </row>
    <row r="92">
      <c r="A92" s="20" t="inlineStr">
        <is>
          <t>개발 중 소프트웨어</t>
        </is>
      </c>
      <c r="C92" s="22" t="n">
        <v>0</v>
      </c>
      <c r="F92" s="22" t="n">
        <v>0.154</v>
      </c>
      <c r="H92" s="22" t="n">
        <v>0</v>
      </c>
      <c r="I92" s="22" t="n">
        <v>0</v>
      </c>
      <c r="J92" s="22" t="n">
        <v>0</v>
      </c>
      <c r="K92" s="22" t="n">
        <v>0</v>
      </c>
    </row>
    <row r="93">
      <c r="A93" s="20" t="inlineStr">
        <is>
          <t>무형자산 합계</t>
        </is>
      </c>
      <c r="C93" s="22" t="n">
        <v>60.748</v>
      </c>
      <c r="D93" s="22" t="n">
        <v>55.764</v>
      </c>
      <c r="E93" s="22" t="n">
        <v>50.114</v>
      </c>
      <c r="F93" s="22" t="n">
        <v>44.594</v>
      </c>
      <c r="G93" s="22" t="n">
        <v>38.462</v>
      </c>
      <c r="H93" s="22" t="n">
        <v>74.785</v>
      </c>
      <c r="I93" s="22" t="n">
        <v>70.524</v>
      </c>
      <c r="J93" s="22" t="n">
        <v>58.505</v>
      </c>
      <c r="K93" s="22" t="n">
        <v>60.748</v>
      </c>
      <c r="L93" s="22" t="n">
        <v>38.462</v>
      </c>
    </row>
    <row r="94">
      <c r="A94" s="20" t="inlineStr">
        <is>
          <t>임차보증금·보증금</t>
        </is>
      </c>
      <c r="C94" s="22" t="n">
        <v>1744.105</v>
      </c>
      <c r="D94" s="22" t="n">
        <v>1774.088</v>
      </c>
      <c r="E94" s="22" t="n">
        <v>1843.398</v>
      </c>
      <c r="F94" s="22" t="n">
        <v>1841.593</v>
      </c>
      <c r="G94" s="22" t="n">
        <v>1889.256</v>
      </c>
      <c r="H94" s="22" t="n">
        <v>1517.752</v>
      </c>
      <c r="I94" s="22" t="n">
        <v>1633.346</v>
      </c>
      <c r="J94" s="22" t="n">
        <v>1804.402</v>
      </c>
      <c r="K94" s="22" t="n">
        <v>1744.105</v>
      </c>
      <c r="L94" s="22" t="n">
        <v>1889.256</v>
      </c>
    </row>
    <row r="95">
      <c r="A95" s="20" t="inlineStr">
        <is>
          <t>장기선급비용</t>
        </is>
      </c>
      <c r="C95" s="22" t="n">
        <v>31.324</v>
      </c>
      <c r="D95" s="22" t="n">
        <v>29.348</v>
      </c>
      <c r="E95" s="22" t="n">
        <v>38.621</v>
      </c>
      <c r="F95" s="22" t="n">
        <v>36.577</v>
      </c>
      <c r="G95" s="22" t="n">
        <v>36.445</v>
      </c>
      <c r="H95" s="22" t="n">
        <v>0.704</v>
      </c>
      <c r="I95" s="22" t="n">
        <v>0.448</v>
      </c>
      <c r="J95" s="22" t="n">
        <v>24.453</v>
      </c>
      <c r="K95" s="22" t="n">
        <v>31.324</v>
      </c>
      <c r="L95" s="22" t="n">
        <v>36.445</v>
      </c>
    </row>
    <row r="96">
      <c r="A96" s="20" t="inlineStr">
        <is>
          <t>이연법인세자산</t>
        </is>
      </c>
      <c r="C96" s="22" t="n">
        <v>266.827</v>
      </c>
      <c r="D96" s="22" t="n">
        <v>253.518</v>
      </c>
      <c r="E96" s="22" t="n">
        <v>266.848</v>
      </c>
      <c r="F96" s="22" t="n">
        <v>259.235</v>
      </c>
      <c r="G96" s="22" t="n">
        <v>276.372</v>
      </c>
      <c r="H96" s="22" t="n">
        <v>237.511</v>
      </c>
      <c r="I96" s="22" t="n">
        <v>215.552</v>
      </c>
      <c r="J96" s="22" t="n">
        <v>259.782</v>
      </c>
      <c r="K96" s="22" t="n">
        <v>266.827</v>
      </c>
      <c r="L96" s="22" t="n">
        <v>276.372</v>
      </c>
    </row>
    <row r="97">
      <c r="A97" s="20" t="inlineStr">
        <is>
          <t>기타</t>
        </is>
      </c>
      <c r="C97" s="22" t="n">
        <v>248.862</v>
      </c>
      <c r="D97" s="22" t="n">
        <v>228.177</v>
      </c>
      <c r="E97" s="22" t="n">
        <v>373.666</v>
      </c>
      <c r="F97" s="22" t="n">
        <v>350.728</v>
      </c>
      <c r="G97" s="22" t="n">
        <v>364.798</v>
      </c>
      <c r="H97" s="22" t="n">
        <v>86.246</v>
      </c>
      <c r="I97" s="22" t="n">
        <v>86.726</v>
      </c>
      <c r="J97" s="22" t="n">
        <v>68.027</v>
      </c>
      <c r="K97" s="22" t="n">
        <v>248.862</v>
      </c>
      <c r="L97" s="22" t="n">
        <v>364.798</v>
      </c>
    </row>
    <row r="98">
      <c r="A98" s="20" t="inlineStr">
        <is>
          <t>대손충당금</t>
        </is>
      </c>
      <c r="C98" s="22" t="n">
        <v>-0.151</v>
      </c>
      <c r="D98" s="22" t="n">
        <v>-0.151</v>
      </c>
      <c r="E98" s="22" t="n">
        <v>-0.151</v>
      </c>
      <c r="F98" s="22" t="n">
        <v>-0.151</v>
      </c>
      <c r="G98" s="22" t="n">
        <v>-0.151</v>
      </c>
      <c r="H98" s="22" t="n">
        <v>-0.151</v>
      </c>
      <c r="I98" s="22" t="n">
        <v>-0.151</v>
      </c>
      <c r="J98" s="22" t="n">
        <v>-0.151</v>
      </c>
      <c r="K98" s="22" t="n">
        <v>-0.151</v>
      </c>
      <c r="L98" s="22" t="n">
        <v>-0.151</v>
      </c>
    </row>
    <row r="99">
      <c r="A99" s="20" t="inlineStr">
        <is>
          <t>투자 및 기타자산 합계</t>
        </is>
      </c>
      <c r="C99" s="22" t="n">
        <v>2290.969</v>
      </c>
      <c r="D99" s="22" t="n">
        <v>2284.982</v>
      </c>
      <c r="E99" s="22" t="n">
        <v>2522.382</v>
      </c>
      <c r="F99" s="22" t="n">
        <v>2487.982</v>
      </c>
      <c r="G99" s="22" t="n">
        <v>2566.722</v>
      </c>
      <c r="H99" s="22" t="n">
        <v>1842.063</v>
      </c>
      <c r="I99" s="22" t="n">
        <v>1935.922</v>
      </c>
      <c r="J99" s="22" t="n">
        <v>2156.515</v>
      </c>
      <c r="K99" s="22" t="n">
        <v>2290.969</v>
      </c>
      <c r="L99" s="22" t="n">
        <v>2566.722</v>
      </c>
    </row>
    <row r="100">
      <c r="A100" s="9" t="inlineStr">
        <is>
          <t>비유동자산 합계</t>
        </is>
      </c>
      <c r="C100" s="12" t="n">
        <v>16792.466</v>
      </c>
      <c r="D100" s="12" t="n">
        <v>18231.458</v>
      </c>
      <c r="E100" s="12" t="n">
        <v>22050.124</v>
      </c>
      <c r="F100" s="12" t="n">
        <v>23359.552</v>
      </c>
      <c r="G100" s="12" t="n">
        <v>21485.587</v>
      </c>
      <c r="H100" s="12" t="n">
        <v>5716.793</v>
      </c>
      <c r="I100" s="12" t="n">
        <v>7399.641</v>
      </c>
      <c r="J100" s="12" t="n">
        <v>10368.085</v>
      </c>
      <c r="K100" s="12" t="n">
        <v>16792.466</v>
      </c>
      <c r="L100" s="12" t="n">
        <v>21485.587</v>
      </c>
    </row>
    <row r="101">
      <c r="A101" s="9" t="inlineStr">
        <is>
          <t>자산 합계</t>
        </is>
      </c>
      <c r="C101" s="12" t="n">
        <v>21264.732</v>
      </c>
      <c r="D101" s="12" t="n">
        <v>22134.789</v>
      </c>
      <c r="E101" s="12" t="n">
        <v>25242.833</v>
      </c>
      <c r="F101" s="12" t="n">
        <v>28680.149</v>
      </c>
      <c r="G101" s="12" t="n">
        <v>29462.195</v>
      </c>
      <c r="H101" s="12" t="n">
        <v>7760.11</v>
      </c>
      <c r="I101" s="12" t="n">
        <v>11406.97</v>
      </c>
      <c r="J101" s="12" t="n">
        <v>15894.719</v>
      </c>
      <c r="K101" s="12" t="n">
        <v>21264.732</v>
      </c>
      <c r="L101" s="12" t="n">
        <v>29462.195</v>
      </c>
    </row>
    <row r="102">
      <c r="A102" s="20" t="inlineStr">
        <is>
          <t>영업미지급금</t>
        </is>
      </c>
      <c r="C102" s="22" t="n">
        <v>625.426</v>
      </c>
      <c r="D102" s="22" t="n">
        <v>472.374</v>
      </c>
      <c r="E102" s="22" t="n">
        <v>558.884</v>
      </c>
      <c r="F102" s="22" t="n">
        <v>810.399</v>
      </c>
      <c r="G102" s="22" t="n">
        <v>684.564</v>
      </c>
      <c r="H102" s="22" t="n">
        <v>435.131</v>
      </c>
      <c r="I102" s="22" t="n">
        <v>463.622</v>
      </c>
      <c r="J102" s="22" t="n">
        <v>503.097</v>
      </c>
      <c r="K102" s="22" t="n">
        <v>625.426</v>
      </c>
      <c r="L102" s="22" t="n">
        <v>684.564</v>
      </c>
    </row>
    <row r="103">
      <c r="A103" s="20" t="inlineStr">
        <is>
          <t>단기차입금</t>
        </is>
      </c>
      <c r="C103" s="22" t="n">
        <v>0</v>
      </c>
      <c r="D103" s="22" t="n">
        <v>180</v>
      </c>
      <c r="E103" s="22" t="n">
        <v>1490</v>
      </c>
      <c r="F103" s="22" t="n">
        <v>2000.45</v>
      </c>
      <c r="G103" s="22" t="n">
        <v>1815.8</v>
      </c>
      <c r="H103" s="22" t="n">
        <v>0</v>
      </c>
      <c r="I103" s="22" t="n">
        <v>1842</v>
      </c>
      <c r="J103" s="22" t="n">
        <v>0</v>
      </c>
      <c r="K103" s="22" t="n">
        <v>0</v>
      </c>
      <c r="L103" s="22" t="n">
        <v>1815.8</v>
      </c>
    </row>
    <row r="104">
      <c r="A104" s="20" t="inlineStr">
        <is>
          <t>1년 내 상환 장기차입금</t>
        </is>
      </c>
      <c r="C104" s="22" t="n">
        <v>1646.526</v>
      </c>
      <c r="D104" s="22" t="n">
        <v>1598.036</v>
      </c>
      <c r="E104" s="22" t="n">
        <v>1608.847</v>
      </c>
      <c r="F104" s="22" t="n">
        <v>1783.23</v>
      </c>
      <c r="G104" s="22" t="n">
        <v>2110.27</v>
      </c>
      <c r="H104" s="22" t="n">
        <v>574.61</v>
      </c>
      <c r="I104" s="22" t="n">
        <v>791.965</v>
      </c>
      <c r="J104" s="22" t="n">
        <v>4126.706</v>
      </c>
      <c r="K104" s="22" t="n">
        <v>1646.526</v>
      </c>
      <c r="L104" s="22" t="n">
        <v>2110.27</v>
      </c>
    </row>
    <row r="105">
      <c r="A105" s="20" t="inlineStr">
        <is>
          <t>1년 내 상환 사채</t>
        </is>
      </c>
      <c r="H105" s="22" t="n">
        <v>20</v>
      </c>
      <c r="I105" s="22" t="n">
        <v>0</v>
      </c>
    </row>
    <row r="106">
      <c r="A106" s="20" t="inlineStr">
        <is>
          <t>미지급금</t>
        </is>
      </c>
      <c r="C106" s="22" t="n">
        <v>149.157</v>
      </c>
      <c r="D106" s="22" t="n">
        <v>147.022</v>
      </c>
      <c r="E106" s="22" t="n">
        <v>103.796</v>
      </c>
      <c r="F106" s="22" t="n">
        <v>63.661</v>
      </c>
      <c r="G106" s="22" t="n">
        <v>88.327</v>
      </c>
      <c r="H106" s="22" t="n">
        <v>75.66500000000001</v>
      </c>
      <c r="I106" s="22" t="n">
        <v>28.586</v>
      </c>
      <c r="J106" s="22" t="n">
        <v>46.386</v>
      </c>
      <c r="K106" s="22" t="n">
        <v>149.157</v>
      </c>
      <c r="L106" s="22" t="n">
        <v>88.327</v>
      </c>
    </row>
    <row r="107">
      <c r="A107" s="20" t="inlineStr">
        <is>
          <t>미지급비용</t>
        </is>
      </c>
      <c r="C107" s="22" t="n">
        <v>144.148</v>
      </c>
      <c r="D107" s="22" t="n">
        <v>96.863</v>
      </c>
      <c r="E107" s="22" t="n">
        <v>134.771</v>
      </c>
      <c r="F107" s="22" t="n">
        <v>71.934</v>
      </c>
      <c r="G107" s="22" t="n">
        <v>151.855</v>
      </c>
      <c r="H107" s="22" t="n">
        <v>103.394</v>
      </c>
      <c r="I107" s="22" t="n">
        <v>125.746</v>
      </c>
      <c r="J107" s="22" t="n">
        <v>125.188</v>
      </c>
      <c r="K107" s="22" t="n">
        <v>144.148</v>
      </c>
      <c r="L107" s="22" t="n">
        <v>151.855</v>
      </c>
    </row>
    <row r="108">
      <c r="A108" s="20" t="inlineStr">
        <is>
          <t>미지급법인세</t>
        </is>
      </c>
      <c r="C108" s="22" t="n">
        <v>152.67</v>
      </c>
      <c r="D108" s="22" t="n">
        <v>263.535</v>
      </c>
      <c r="E108" s="22" t="n">
        <v>302.338</v>
      </c>
      <c r="F108" s="22" t="n">
        <v>175.687</v>
      </c>
      <c r="G108" s="22" t="n">
        <v>235.528</v>
      </c>
      <c r="H108" s="22" t="n">
        <v>90.989</v>
      </c>
      <c r="I108" s="22" t="n">
        <v>76.872</v>
      </c>
      <c r="J108" s="22" t="n">
        <v>166.467</v>
      </c>
      <c r="K108" s="22" t="n">
        <v>152.67</v>
      </c>
      <c r="L108" s="22" t="n">
        <v>235.528</v>
      </c>
    </row>
    <row r="109">
      <c r="A109" s="20" t="inlineStr">
        <is>
          <t>선수금</t>
        </is>
      </c>
      <c r="C109" s="22" t="n">
        <v>550.6180000000001</v>
      </c>
      <c r="D109" s="22" t="n">
        <v>511.59</v>
      </c>
      <c r="E109" s="22" t="n">
        <v>518.571</v>
      </c>
      <c r="F109" s="22" t="n">
        <v>517.3099999999999</v>
      </c>
      <c r="G109" s="22" t="n">
        <v>611.663</v>
      </c>
      <c r="H109" s="22" t="n">
        <v>452.238</v>
      </c>
      <c r="I109" s="22" t="n">
        <v>464.315</v>
      </c>
      <c r="J109" s="22" t="n">
        <v>563.956</v>
      </c>
      <c r="K109" s="22" t="n">
        <v>550.6180000000001</v>
      </c>
      <c r="L109" s="22" t="n">
        <v>611.663</v>
      </c>
    </row>
    <row r="110">
      <c r="A110" s="20" t="inlineStr">
        <is>
          <t>계약부채</t>
        </is>
      </c>
      <c r="C110" s="22" t="n">
        <v>310.773</v>
      </c>
      <c r="D110" s="22" t="n">
        <v>73.92</v>
      </c>
      <c r="E110" s="22" t="n">
        <v>37.891</v>
      </c>
      <c r="F110" s="22" t="n">
        <v>81.92</v>
      </c>
      <c r="G110" s="22" t="n">
        <v>112.118</v>
      </c>
      <c r="H110" s="22" t="n">
        <v>27.762</v>
      </c>
      <c r="I110" s="22" t="n">
        <v>314.297</v>
      </c>
      <c r="J110" s="22" t="n">
        <v>41.278</v>
      </c>
      <c r="K110" s="22" t="n">
        <v>310.773</v>
      </c>
      <c r="L110" s="22" t="n">
        <v>112.118</v>
      </c>
    </row>
    <row r="111">
      <c r="A111" s="20" t="inlineStr">
        <is>
          <t>예수금</t>
        </is>
      </c>
      <c r="C111" s="22" t="n">
        <v>202.268</v>
      </c>
      <c r="D111" s="22" t="n">
        <v>203.173</v>
      </c>
      <c r="E111" s="22" t="n">
        <v>226.646</v>
      </c>
      <c r="F111" s="22" t="n">
        <v>261.743</v>
      </c>
      <c r="G111" s="22" t="n">
        <v>277.528</v>
      </c>
      <c r="H111" s="22" t="n">
        <v>169.602</v>
      </c>
      <c r="I111" s="22" t="n">
        <v>171.273</v>
      </c>
      <c r="J111" s="22" t="n">
        <v>175.058</v>
      </c>
      <c r="K111" s="22" t="n">
        <v>202.268</v>
      </c>
      <c r="L111" s="22" t="n">
        <v>277.528</v>
      </c>
    </row>
    <row r="112">
      <c r="A112" s="20" t="inlineStr">
        <is>
          <t>상여충당금</t>
        </is>
      </c>
      <c r="C112" s="22" t="n">
        <v>0</v>
      </c>
      <c r="D112" s="22" t="n">
        <v>33.346</v>
      </c>
      <c r="F112" s="22" t="n">
        <v>36.217</v>
      </c>
      <c r="H112" s="22" t="n">
        <v>0</v>
      </c>
      <c r="I112" s="22" t="n">
        <v>0</v>
      </c>
      <c r="J112" s="22" t="n">
        <v>0</v>
      </c>
      <c r="K112" s="22" t="n">
        <v>0</v>
      </c>
    </row>
    <row r="113">
      <c r="A113" s="20" t="inlineStr">
        <is>
          <t>임원 상여충당금</t>
        </is>
      </c>
      <c r="C113" s="22" t="n">
        <v>13.2</v>
      </c>
      <c r="D113" s="22" t="n">
        <v>5.55</v>
      </c>
      <c r="E113" s="22" t="n">
        <v>11.1</v>
      </c>
      <c r="F113" s="22" t="n">
        <v>16.65</v>
      </c>
      <c r="G113" s="22" t="n">
        <v>23.2</v>
      </c>
      <c r="H113" s="22" t="n">
        <v>18</v>
      </c>
      <c r="I113" s="22" t="n">
        <v>18</v>
      </c>
      <c r="J113" s="22" t="n">
        <v>18</v>
      </c>
      <c r="K113" s="22" t="n">
        <v>13.2</v>
      </c>
      <c r="L113" s="22" t="n">
        <v>23.2</v>
      </c>
    </row>
    <row r="114">
      <c r="A114" s="20" t="inlineStr">
        <is>
          <t>손해보상손실 충당금</t>
        </is>
      </c>
      <c r="C114" s="22" t="n">
        <v>10</v>
      </c>
      <c r="D114" s="22" t="n">
        <v>10</v>
      </c>
      <c r="F114" s="22" t="n">
        <v>10</v>
      </c>
      <c r="H114" s="22" t="n">
        <v>6.133</v>
      </c>
      <c r="J114" s="22" t="n">
        <v>42</v>
      </c>
      <c r="K114" s="22" t="n">
        <v>10</v>
      </c>
    </row>
    <row r="115">
      <c r="A115" s="20" t="inlineStr">
        <is>
          <t>리스부채</t>
        </is>
      </c>
      <c r="C115" s="22" t="n">
        <v>0.663</v>
      </c>
      <c r="D115" s="22" t="n">
        <v>0.663</v>
      </c>
      <c r="E115" s="22" t="n">
        <v>0.663</v>
      </c>
      <c r="F115" s="22" t="n">
        <v>0.663</v>
      </c>
      <c r="G115" s="22" t="n">
        <v>0.663</v>
      </c>
      <c r="J115" s="22" t="n">
        <v>0</v>
      </c>
      <c r="K115" s="22" t="n">
        <v>0.663</v>
      </c>
      <c r="L115" s="22" t="n">
        <v>0.663</v>
      </c>
    </row>
    <row r="116">
      <c r="A116" s="20" t="inlineStr">
        <is>
          <t>수주손실 충당금</t>
        </is>
      </c>
      <c r="C116" s="22" t="n">
        <v>0</v>
      </c>
      <c r="H116" s="22" t="n">
        <v>0.192</v>
      </c>
      <c r="I116" s="22" t="n">
        <v>15.324</v>
      </c>
      <c r="J116" s="22" t="n">
        <v>2.319</v>
      </c>
      <c r="K116" s="22" t="n">
        <v>0</v>
      </c>
    </row>
    <row r="117">
      <c r="A117" s="20" t="inlineStr">
        <is>
          <t>손해보상손실 충당금</t>
        </is>
      </c>
      <c r="C117" s="22" t="n">
        <v>10</v>
      </c>
      <c r="E117" s="22" t="n">
        <v>10</v>
      </c>
      <c r="G117" s="22" t="n">
        <v>0</v>
      </c>
      <c r="H117" s="22" t="n">
        <v>6.133</v>
      </c>
      <c r="I117" s="22" t="n">
        <v>0</v>
      </c>
      <c r="J117" s="22" t="n">
        <v>42</v>
      </c>
      <c r="K117" s="22" t="n">
        <v>10</v>
      </c>
      <c r="L117" s="22" t="n">
        <v>0</v>
      </c>
    </row>
    <row r="118">
      <c r="A118" s="20" t="inlineStr">
        <is>
          <t>기타</t>
        </is>
      </c>
      <c r="C118" s="22" t="n">
        <v>95.973</v>
      </c>
      <c r="D118" s="22" t="n">
        <v>8.191000000000001</v>
      </c>
      <c r="E118" s="22" t="n">
        <v>0.902</v>
      </c>
      <c r="F118" s="22" t="n">
        <v>0.032</v>
      </c>
      <c r="G118" s="22" t="n">
        <v>11.674</v>
      </c>
      <c r="H118" s="22" t="n">
        <v>0</v>
      </c>
      <c r="I118" s="22" t="n">
        <v>15.3</v>
      </c>
      <c r="J118" s="22" t="n">
        <v>27.17</v>
      </c>
      <c r="K118" s="22" t="n">
        <v>95.973</v>
      </c>
      <c r="L118" s="22" t="n">
        <v>11.674</v>
      </c>
    </row>
    <row r="119">
      <c r="A119" s="9" t="inlineStr">
        <is>
          <t>유동부채 합계</t>
        </is>
      </c>
      <c r="C119" s="12" t="n">
        <v>3901.427</v>
      </c>
      <c r="D119" s="12" t="n">
        <v>3604.267</v>
      </c>
      <c r="E119" s="12" t="n">
        <v>5004.413</v>
      </c>
      <c r="F119" s="12" t="n">
        <v>5829.901</v>
      </c>
      <c r="G119" s="12" t="n">
        <v>6123.195</v>
      </c>
      <c r="H119" s="12" t="n">
        <v>1973.719</v>
      </c>
      <c r="I119" s="12" t="n">
        <v>4327.304</v>
      </c>
      <c r="J119" s="12" t="n">
        <v>5837.629</v>
      </c>
      <c r="K119" s="12" t="n">
        <v>3901.427</v>
      </c>
      <c r="L119" s="12" t="n">
        <v>6123.195</v>
      </c>
    </row>
    <row r="120">
      <c r="A120" s="20" t="inlineStr">
        <is>
          <t>장기차입금</t>
        </is>
      </c>
      <c r="C120" s="22" t="n">
        <v>12291.17</v>
      </c>
      <c r="D120" s="22" t="n">
        <v>12850.796</v>
      </c>
      <c r="E120" s="22" t="n">
        <v>14355.744</v>
      </c>
      <c r="F120" s="22" t="n">
        <v>14482.994</v>
      </c>
      <c r="G120" s="22" t="n">
        <v>14457.205</v>
      </c>
      <c r="H120" s="22" t="n">
        <v>3563.687</v>
      </c>
      <c r="I120" s="22" t="n">
        <v>3137.216</v>
      </c>
      <c r="J120" s="22" t="n">
        <v>5580.105</v>
      </c>
      <c r="K120" s="22" t="n">
        <v>12291.17</v>
      </c>
      <c r="L120" s="22" t="n">
        <v>14457.205</v>
      </c>
    </row>
    <row r="121">
      <c r="A121" s="20" t="inlineStr">
        <is>
          <t>예수보증금</t>
        </is>
      </c>
      <c r="C121" s="22" t="n">
        <v>1516.851</v>
      </c>
      <c r="D121" s="22" t="n">
        <v>1531.753</v>
      </c>
      <c r="E121" s="22" t="n">
        <v>1615.622</v>
      </c>
      <c r="F121" s="22" t="n">
        <v>1629.386</v>
      </c>
      <c r="G121" s="22" t="n">
        <v>1906.249</v>
      </c>
      <c r="H121" s="22" t="n">
        <v>1338.537</v>
      </c>
      <c r="I121" s="22" t="n">
        <v>1451.499</v>
      </c>
      <c r="J121" s="22" t="n">
        <v>1553.128</v>
      </c>
      <c r="K121" s="22" t="n">
        <v>1516.851</v>
      </c>
      <c r="L121" s="22" t="n">
        <v>1906.249</v>
      </c>
    </row>
    <row r="122">
      <c r="A122" s="20" t="inlineStr">
        <is>
          <t>자산복구부채</t>
        </is>
      </c>
      <c r="C122" s="22" t="n">
        <v>187.001</v>
      </c>
      <c r="D122" s="22" t="n">
        <v>187.262</v>
      </c>
      <c r="E122" s="22" t="n">
        <v>187.523</v>
      </c>
      <c r="F122" s="22" t="n">
        <v>223.213</v>
      </c>
      <c r="G122" s="22" t="n">
        <v>223.737</v>
      </c>
      <c r="H122" s="22" t="n">
        <v>127.043</v>
      </c>
      <c r="I122" s="22" t="n">
        <v>180.705</v>
      </c>
      <c r="J122" s="22" t="n">
        <v>196.067</v>
      </c>
      <c r="K122" s="22" t="n">
        <v>187.001</v>
      </c>
      <c r="L122" s="22" t="n">
        <v>223.737</v>
      </c>
    </row>
    <row r="123">
      <c r="A123" s="20" t="inlineStr">
        <is>
          <t>리스부채</t>
        </is>
      </c>
      <c r="C123" s="22" t="n">
        <v>2.213</v>
      </c>
      <c r="D123" s="22" t="n">
        <v>2.047</v>
      </c>
      <c r="E123" s="22" t="n">
        <v>1.881</v>
      </c>
      <c r="F123" s="22" t="n">
        <v>1.715</v>
      </c>
      <c r="G123" s="22" t="n">
        <v>1.549</v>
      </c>
      <c r="J123" s="22" t="n">
        <v>0</v>
      </c>
      <c r="K123" s="22" t="n">
        <v>2.213</v>
      </c>
      <c r="L123" s="22" t="n">
        <v>1.549</v>
      </c>
    </row>
    <row r="124">
      <c r="A124" s="20" t="inlineStr">
        <is>
          <t>기타</t>
        </is>
      </c>
      <c r="C124" s="22" t="n">
        <v>14.459</v>
      </c>
      <c r="D124" s="22" t="n">
        <v>14.137</v>
      </c>
      <c r="E124" s="22" t="n">
        <v>13.815</v>
      </c>
      <c r="F124" s="22" t="n">
        <v>11.491</v>
      </c>
      <c r="G124" s="22" t="n">
        <v>11.169</v>
      </c>
      <c r="H124" s="22" t="n">
        <v>20.206</v>
      </c>
      <c r="I124" s="22" t="n">
        <v>28.692</v>
      </c>
      <c r="J124" s="22" t="n">
        <v>16.137</v>
      </c>
      <c r="K124" s="22" t="n">
        <v>14.459</v>
      </c>
      <c r="L124" s="22" t="n">
        <v>11.169</v>
      </c>
    </row>
    <row r="125">
      <c r="A125" s="9" t="inlineStr">
        <is>
          <t>비유동부채 합계</t>
        </is>
      </c>
      <c r="C125" s="12" t="n">
        <v>14011.697</v>
      </c>
      <c r="D125" s="12" t="n">
        <v>14585.997</v>
      </c>
      <c r="E125" s="12" t="n">
        <v>16174.586</v>
      </c>
      <c r="F125" s="12" t="n">
        <v>16348.8</v>
      </c>
      <c r="G125" s="12" t="n">
        <v>16599.911</v>
      </c>
      <c r="H125" s="12" t="n">
        <v>5049.475</v>
      </c>
      <c r="I125" s="12" t="n">
        <v>4798.113</v>
      </c>
      <c r="J125" s="12" t="n">
        <v>7345.438</v>
      </c>
      <c r="K125" s="12" t="n">
        <v>14011.697</v>
      </c>
      <c r="L125" s="12" t="n">
        <v>16599.911</v>
      </c>
    </row>
    <row r="126">
      <c r="A126" s="9" t="inlineStr">
        <is>
          <t>부채 합계</t>
        </is>
      </c>
      <c r="C126" s="12" t="n">
        <v>17913.124</v>
      </c>
      <c r="D126" s="12" t="n">
        <v>18190.264</v>
      </c>
      <c r="E126" s="12" t="n">
        <v>21179</v>
      </c>
      <c r="F126" s="12" t="n">
        <v>22178.701</v>
      </c>
      <c r="G126" s="12" t="n">
        <v>22723.107</v>
      </c>
      <c r="H126" s="12" t="n">
        <v>7023.194</v>
      </c>
      <c r="I126" s="12" t="n">
        <v>9125.418</v>
      </c>
      <c r="J126" s="12" t="n">
        <v>13183.068</v>
      </c>
      <c r="K126" s="12" t="n">
        <v>17913.124</v>
      </c>
      <c r="L126" s="12" t="n">
        <v>22723.107</v>
      </c>
    </row>
    <row r="127">
      <c r="A127" s="20" t="inlineStr">
        <is>
          <t>자본금</t>
        </is>
      </c>
      <c r="C127" s="22" t="n">
        <v>705.279</v>
      </c>
      <c r="D127" s="22" t="n">
        <v>705.279</v>
      </c>
      <c r="E127" s="22" t="n">
        <v>746.439</v>
      </c>
      <c r="F127" s="22" t="n">
        <v>1967.559</v>
      </c>
      <c r="G127" s="22" t="n">
        <v>1988.734</v>
      </c>
      <c r="H127" s="22" t="n">
        <v>30</v>
      </c>
      <c r="I127" s="22" t="n">
        <v>665.697</v>
      </c>
      <c r="J127" s="22" t="n">
        <v>680.971</v>
      </c>
      <c r="K127" s="22" t="n">
        <v>705.279</v>
      </c>
      <c r="L127" s="22" t="n">
        <v>1988.734</v>
      </c>
    </row>
    <row r="128">
      <c r="A128" s="20" t="inlineStr">
        <is>
          <t>신주청약증거금</t>
        </is>
      </c>
      <c r="J128" s="22" t="n">
        <v>0</v>
      </c>
    </row>
    <row r="129">
      <c r="A129" s="20" t="inlineStr">
        <is>
          <t>자본준비금</t>
        </is>
      </c>
      <c r="C129" s="22" t="n">
        <v>675.279</v>
      </c>
      <c r="G129" s="22" t="n">
        <v>1958.734</v>
      </c>
      <c r="H129" s="22" t="n">
        <v>0</v>
      </c>
      <c r="I129" s="22" t="n">
        <v>635.697</v>
      </c>
      <c r="J129" s="22" t="n">
        <v>650.971</v>
      </c>
      <c r="K129" s="22" t="n">
        <v>675.279</v>
      </c>
      <c r="L129" s="22" t="n">
        <v>1958.734</v>
      </c>
    </row>
    <row r="130">
      <c r="A130" s="20" t="inlineStr">
        <is>
          <t>자본잉여금 합계</t>
        </is>
      </c>
      <c r="C130" s="22" t="n">
        <v>675.279</v>
      </c>
      <c r="D130" s="22" t="n">
        <v>675.279</v>
      </c>
      <c r="E130" s="22" t="n">
        <v>716.439</v>
      </c>
      <c r="F130" s="22" t="n">
        <v>1937.559</v>
      </c>
      <c r="G130" s="22" t="n">
        <v>1958.734</v>
      </c>
      <c r="H130" s="22" t="n">
        <v>0</v>
      </c>
      <c r="I130" s="22" t="n">
        <v>635.697</v>
      </c>
      <c r="J130" s="22" t="n">
        <v>650.971</v>
      </c>
      <c r="K130" s="22" t="n">
        <v>675.279</v>
      </c>
      <c r="L130" s="22" t="n">
        <v>1958.734</v>
      </c>
    </row>
    <row r="131">
      <c r="A131" s="20" t="inlineStr">
        <is>
          <t>이월이익잉여금</t>
        </is>
      </c>
      <c r="C131" s="22" t="n">
        <v>1919.747</v>
      </c>
      <c r="G131" s="22" t="n">
        <v>2661.169</v>
      </c>
      <c r="H131" s="22" t="n">
        <v>701.564</v>
      </c>
      <c r="I131" s="22" t="n">
        <v>980.158</v>
      </c>
      <c r="J131" s="22" t="n">
        <v>1360.527</v>
      </c>
      <c r="K131" s="22" t="n">
        <v>1919.747</v>
      </c>
      <c r="L131" s="22" t="n">
        <v>2661.169</v>
      </c>
    </row>
    <row r="132">
      <c r="A132" s="20" t="inlineStr">
        <is>
          <t>이익잉여금 합계</t>
        </is>
      </c>
      <c r="C132" s="22" t="n">
        <v>1919.747</v>
      </c>
      <c r="D132" s="22" t="n">
        <v>2496.009</v>
      </c>
      <c r="E132" s="22" t="n">
        <v>2513.721</v>
      </c>
      <c r="F132" s="22" t="n">
        <v>2487.698</v>
      </c>
      <c r="G132" s="22" t="n">
        <v>2661.169</v>
      </c>
      <c r="H132" s="22" t="n">
        <v>701.564</v>
      </c>
      <c r="I132" s="22" t="n">
        <v>980.158</v>
      </c>
      <c r="J132" s="22" t="n">
        <v>1360.527</v>
      </c>
      <c r="K132" s="22" t="n">
        <v>1919.747</v>
      </c>
      <c r="L132" s="22" t="n">
        <v>2661.169</v>
      </c>
    </row>
    <row r="133">
      <c r="A133" s="20" t="inlineStr">
        <is>
          <t>자기주식</t>
        </is>
      </c>
      <c r="C133" s="22" t="n">
        <v>-0.218</v>
      </c>
      <c r="D133" s="22" t="n">
        <v>-0.354</v>
      </c>
      <c r="E133" s="22" t="n">
        <v>-0.354</v>
      </c>
      <c r="F133" s="22" t="n">
        <v>-0.354</v>
      </c>
      <c r="G133" s="22" t="n">
        <v>-0.354</v>
      </c>
      <c r="I133" s="22" t="n">
        <v>0</v>
      </c>
      <c r="J133" s="22" t="n">
        <v>-0.218</v>
      </c>
      <c r="K133" s="22" t="n">
        <v>-0.218</v>
      </c>
      <c r="L133" s="22" t="n">
        <v>-0.354</v>
      </c>
    </row>
    <row r="134">
      <c r="A134" s="9" t="inlineStr">
        <is>
          <t>주주자본 합계</t>
        </is>
      </c>
      <c r="C134" s="12" t="n">
        <v>3300.088</v>
      </c>
      <c r="D134" s="12" t="n">
        <v>3876.214</v>
      </c>
      <c r="E134" s="12" t="n">
        <v>3976.246</v>
      </c>
      <c r="F134" s="12" t="n">
        <v>6392.463</v>
      </c>
      <c r="G134" s="12" t="n">
        <v>6608.284</v>
      </c>
      <c r="H134" s="12" t="n">
        <v>731.564</v>
      </c>
      <c r="I134" s="12" t="n">
        <v>2281.552</v>
      </c>
      <c r="J134" s="12" t="n">
        <v>2692.252</v>
      </c>
      <c r="K134" s="12" t="n">
        <v>3300.088</v>
      </c>
      <c r="L134" s="12" t="n">
        <v>6608.284</v>
      </c>
    </row>
    <row r="135">
      <c r="A135" s="20" t="inlineStr">
        <is>
          <t>신주예약권</t>
        </is>
      </c>
      <c r="C135" s="22" t="n">
        <v>51.519</v>
      </c>
      <c r="D135" s="22" t="n">
        <v>68.31100000000001</v>
      </c>
      <c r="E135" s="22" t="n">
        <v>87.586</v>
      </c>
      <c r="F135" s="22" t="n">
        <v>108.983</v>
      </c>
      <c r="G135" s="22" t="n">
        <v>130.803</v>
      </c>
      <c r="H135" s="22" t="n">
        <v>5.351</v>
      </c>
      <c r="I135" s="22" t="n">
        <v>0</v>
      </c>
      <c r="J135" s="22" t="n">
        <v>19.398</v>
      </c>
      <c r="K135" s="22" t="n">
        <v>51.519</v>
      </c>
      <c r="L135" s="22" t="n">
        <v>130.803</v>
      </c>
    </row>
    <row r="136">
      <c r="A136" s="9" t="inlineStr">
        <is>
          <t>순자산 합계</t>
        </is>
      </c>
      <c r="C136" s="12" t="n">
        <v>3351.607</v>
      </c>
      <c r="D136" s="12" t="n">
        <v>3944.525</v>
      </c>
      <c r="E136" s="12" t="n">
        <v>4063.832</v>
      </c>
      <c r="F136" s="12" t="n">
        <v>6501.447</v>
      </c>
      <c r="G136" s="12" t="n">
        <v>6739.088</v>
      </c>
      <c r="H136" s="12" t="n">
        <v>736.915</v>
      </c>
      <c r="I136" s="12" t="n">
        <v>2281.552</v>
      </c>
      <c r="J136" s="12" t="n">
        <v>2711.65</v>
      </c>
      <c r="K136" s="12" t="n">
        <v>3351.607</v>
      </c>
      <c r="L136" s="12" t="n">
        <v>6739.088</v>
      </c>
    </row>
    <row r="137">
      <c r="A137" s="9" t="inlineStr">
        <is>
          <t>부채·순자산 합계</t>
        </is>
      </c>
      <c r="C137" s="12" t="n">
        <v>21264.732</v>
      </c>
      <c r="D137" s="12" t="n">
        <v>22134.789</v>
      </c>
      <c r="E137" s="12" t="n">
        <v>25242.833</v>
      </c>
      <c r="F137" s="12" t="n">
        <v>28680.149</v>
      </c>
      <c r="G137" s="12" t="n">
        <v>29462.195</v>
      </c>
      <c r="H137" s="12" t="n">
        <v>7760.11</v>
      </c>
      <c r="I137" s="12" t="n">
        <v>11406.97</v>
      </c>
      <c r="J137" s="12" t="n">
        <v>15894.719</v>
      </c>
      <c r="K137" s="12" t="n">
        <v>21264.732</v>
      </c>
      <c r="L137" s="12" t="n">
        <v>29462.195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2026-10-27</t>
        </is>
      </c>
      <c r="B4" t="inlineStr">
        <is>
          <t>2026년 9월 결산기 연간 결산단신</t>
        </is>
      </c>
      <c r="C4" t="inlineStr">
        <is>
          <t>https://www2.jpx.co.jp/disc/55320/140120261027556739.pdf</t>
        </is>
      </c>
    </row>
    <row r="5">
      <c r="A5" t="inlineStr">
        <is>
          <t>2026-07-28</t>
        </is>
      </c>
      <c r="B5" t="inlineStr">
        <is>
          <t>2026년 9월 결산기 3분기 결산단신</t>
        </is>
      </c>
      <c r="C5" t="inlineStr">
        <is>
          <t>https://www2.jpx.co.jp/disc/55320/140120260728500659.pdf</t>
        </is>
      </c>
    </row>
    <row r="6">
      <c r="A6" t="inlineStr">
        <is>
          <t>2026-04-28</t>
        </is>
      </c>
      <c r="B6" t="inlineStr">
        <is>
          <t>2026년 9월 결산기 2분기 결산단신</t>
        </is>
      </c>
      <c r="C6" t="inlineStr">
        <is>
          <t>https://www2.jpx.co.jp/disc/55320/140120260428512875.pdf</t>
        </is>
      </c>
    </row>
    <row r="7">
      <c r="A7" t="inlineStr">
        <is>
          <t>2026-01-27</t>
        </is>
      </c>
      <c r="B7" t="inlineStr">
        <is>
          <t>2026년 9월 결산기 1분기 결산단신</t>
        </is>
      </c>
      <c r="C7" t="inlineStr">
        <is>
          <t>https://www2.jpx.co.jp/disc/55320/140120260127539012.pdf</t>
        </is>
      </c>
    </row>
    <row r="8">
      <c r="A8" t="inlineStr">
        <is>
          <t>2025-10-28</t>
        </is>
      </c>
      <c r="B8" t="inlineStr">
        <is>
          <t>2025년 9월 결산기 연간 결산단신</t>
        </is>
      </c>
      <c r="C8" t="inlineStr">
        <is>
          <t>https://www2.jpx.co.jp/disc/55320/140120251028580040.pdf</t>
        </is>
      </c>
    </row>
    <row r="9">
      <c r="A9" t="inlineStr">
        <is>
          <t>2025-07-29</t>
        </is>
      </c>
      <c r="B9" t="inlineStr">
        <is>
          <t>2025년 9월 결산기 3분기 결산단신</t>
        </is>
      </c>
      <c r="C9" t="inlineStr">
        <is>
          <t>https://www2.jpx.co.jp/disc/55320/140120250729522255.pdf</t>
        </is>
      </c>
    </row>
    <row r="10">
      <c r="A10" t="inlineStr">
        <is>
          <t>2025-04-22</t>
        </is>
      </c>
      <c r="B10" t="inlineStr">
        <is>
          <t>2025년 9월 결산기 2분기 결산단신</t>
        </is>
      </c>
      <c r="C10" t="inlineStr">
        <is>
          <t>https://www2.jpx.co.jp/disc/55320/140120250422520002.pdf</t>
        </is>
      </c>
    </row>
    <row r="11">
      <c r="A11" t="inlineStr">
        <is>
          <t>2025-01-28</t>
        </is>
      </c>
      <c r="B11" t="inlineStr">
        <is>
          <t>2025년 9월 결산기 1분기 결산단신</t>
        </is>
      </c>
      <c r="C11" t="inlineStr">
        <is>
          <t>https://www2.jpx.co.jp/disc/55320/140120250128556236.pdf</t>
        </is>
      </c>
    </row>
    <row r="12">
      <c r="A12" t="inlineStr">
        <is>
          <t>2024-10-29</t>
        </is>
      </c>
      <c r="B12" t="inlineStr">
        <is>
          <t>2024년 9월 결산기 연간 결산단신</t>
        </is>
      </c>
      <c r="C12" t="inlineStr">
        <is>
          <t>https://www2.jpx.co.jp/disc/55320/140120241029504911.pdf</t>
        </is>
      </c>
    </row>
    <row r="13">
      <c r="A13" t="inlineStr">
        <is>
          <t>2024-07-30</t>
        </is>
      </c>
      <c r="B13" t="inlineStr">
        <is>
          <t>2024년 9월 결산기 3분기 결산단신</t>
        </is>
      </c>
      <c r="C13" t="inlineStr">
        <is>
          <t>https://www2.jpx.co.jp/disc/55320/140120240730557600.pdf</t>
        </is>
      </c>
    </row>
    <row r="14">
      <c r="A14" t="inlineStr">
        <is>
          <t>2024-04-23</t>
        </is>
      </c>
      <c r="B14" t="inlineStr">
        <is>
          <t>2024년 9월 결산기 2분기 결산단신</t>
        </is>
      </c>
      <c r="C14" t="inlineStr">
        <is>
          <t>https://www2.jpx.co.jp/disc/55320/140120240423574540.pdf</t>
        </is>
      </c>
    </row>
    <row r="15">
      <c r="A15" t="inlineStr">
        <is>
          <t>2024-01-30</t>
        </is>
      </c>
      <c r="B15" t="inlineStr">
        <is>
          <t>2024년 9월 결산기 1분기 결산단신</t>
        </is>
      </c>
      <c r="C15" t="inlineStr">
        <is>
          <t>https://www2.jpx.co.jp/disc/55320/140120240130521750.pdf</t>
        </is>
      </c>
    </row>
    <row r="16">
      <c r="A16" t="inlineStr">
        <is>
          <t>2023-10-31</t>
        </is>
      </c>
      <c r="B16" t="inlineStr">
        <is>
          <t>2023년 9월 결산기 연간 결산단신</t>
        </is>
      </c>
      <c r="C16" t="inlineStr">
        <is>
          <t>https://www2.jpx.co.jp/disc/55320/140120231031576118.pdf</t>
        </is>
      </c>
    </row>
    <row r="17">
      <c r="A17" t="inlineStr">
        <is>
          <t>2023-07-25</t>
        </is>
      </c>
      <c r="B17" t="inlineStr">
        <is>
          <t>2023년 9월 결산기 3분기 결산단신</t>
        </is>
      </c>
      <c r="C17" t="inlineStr">
        <is>
          <t>https://www2.jpx.co.jp/disc/55320/140120230725526381.pdf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2026-10-28T07:03:46Z</dcterms:created>
  <dcterms:modified xmlns:dcterms="http://purl.org/dc/terms/" xmlns:xsi="http://www.w3.org/2001/XMLSchema-instance" xsi:type="dcterms:W3CDTF">2026-10-28T07:03:46Z</dcterms:modified>
</cp:coreProperties>
</file>