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12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6822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6207.926</v>
      </c>
      <c r="D4" s="12" t="n">
        <v>6475.542</v>
      </c>
      <c r="E4" s="12" t="n">
        <v>11439.177</v>
      </c>
      <c r="F4" s="12" t="n">
        <v>4894.085</v>
      </c>
      <c r="G4" s="12" t="n">
        <v>5882.661</v>
      </c>
      <c r="H4" s="12" t="n">
        <v>7771.54</v>
      </c>
      <c r="I4" s="12" t="n">
        <v>10497.906</v>
      </c>
      <c r="J4" s="12" t="n">
        <v>5251.351</v>
      </c>
      <c r="K4" s="12" t="n">
        <v>6585.237</v>
      </c>
      <c r="L4" s="12" t="n">
        <v>8239.593000000001</v>
      </c>
      <c r="M4" s="12" t="n">
        <v>12633.402</v>
      </c>
      <c r="N4" s="12" t="n">
        <v>6762.843</v>
      </c>
      <c r="O4" s="11" t="n">
        <v>26077.696</v>
      </c>
      <c r="P4" s="12" t="n">
        <v>23830.534</v>
      </c>
      <c r="Q4" s="12" t="n">
        <v>22561.995</v>
      </c>
      <c r="R4" s="12" t="n">
        <v>25314.544</v>
      </c>
      <c r="S4" s="12" t="n">
        <v>29410.371</v>
      </c>
      <c r="T4" s="12" t="n">
        <v>24735.568</v>
      </c>
      <c r="U4" s="12" t="n">
        <v>22926.723</v>
      </c>
      <c r="V4" s="12" t="n">
        <v>28117.68</v>
      </c>
      <c r="W4" s="12" t="n">
        <v>29046.192</v>
      </c>
      <c r="X4" s="12" t="n">
        <v>32709.583</v>
      </c>
      <c r="Y4" s="11">
        <f>IF(COUNT(Y7,Y10)=0,"",SUM(Y7,Y10))</f>
        <v/>
      </c>
      <c r="Z4" s="12">
        <f>IF(COUNT(Z7,Z10)=0,"",SUM(Z7,Z10))</f>
        <v/>
      </c>
      <c r="AA4" s="12">
        <f>IF(COUNT(AA7,AA10)=0,"",SUM(AA7,AA10))</f>
        <v/>
      </c>
      <c r="AB4" s="12">
        <f>IF(COUNT(AB7,AB10)=0,"",SUM(AB7,AB10))</f>
        <v/>
      </c>
      <c r="AC4" s="12">
        <f>IF(COUNT(AC7,AC10)=0,"",SUM(AC7,AC10))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Information And Communication Apparatus Production Sale Business Reportable Segments</t>
        </is>
      </c>
      <c r="B7" s="10" t="n"/>
      <c r="C7" s="19" t="n">
        <v>3588.668</v>
      </c>
      <c r="D7" s="20" t="n">
        <v>3447.066</v>
      </c>
      <c r="E7" s="20" t="n">
        <v>6350.752</v>
      </c>
      <c r="F7" s="20" t="n">
        <v>2866.506</v>
      </c>
      <c r="G7" s="20" t="n">
        <v>3203.714</v>
      </c>
      <c r="H7" s="20" t="n">
        <v>5018.228</v>
      </c>
      <c r="I7" s="20" t="n">
        <v>5721.498</v>
      </c>
      <c r="J7" s="20" t="n">
        <v>3087.127</v>
      </c>
      <c r="K7" s="20" t="n">
        <v>4155.637</v>
      </c>
      <c r="L7" s="20" t="n">
        <v>5357.881</v>
      </c>
      <c r="M7" s="20" t="n">
        <v>8130.239</v>
      </c>
      <c r="N7" s="20" t="n">
        <v>4535.161</v>
      </c>
      <c r="O7" s="19" t="n"/>
      <c r="P7" s="20" t="n"/>
      <c r="Q7" s="20" t="n"/>
      <c r="R7" s="20" t="n"/>
      <c r="S7" s="20" t="n"/>
      <c r="T7" s="20" t="n"/>
      <c r="U7" s="20" t="n"/>
      <c r="V7" s="20" t="n">
        <v>15483.833</v>
      </c>
      <c r="W7" s="20" t="n">
        <v>16809.946</v>
      </c>
      <c r="X7" s="20" t="n">
        <v>20730.884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Network Construction Maintenance Business Reportable Segments</t>
        </is>
      </c>
      <c r="B10" s="10" t="n"/>
      <c r="C10" s="19" t="n">
        <v>2619.258</v>
      </c>
      <c r="D10" s="20" t="n">
        <v>3028.477</v>
      </c>
      <c r="E10" s="20" t="n">
        <v>5088.425</v>
      </c>
      <c r="F10" s="20" t="n">
        <v>2027.578</v>
      </c>
      <c r="G10" s="20" t="n">
        <v>2678.947</v>
      </c>
      <c r="H10" s="20" t="n">
        <v>2753.313</v>
      </c>
      <c r="I10" s="20" t="n">
        <v>4776.408</v>
      </c>
      <c r="J10" s="20" t="n">
        <v>2164.223</v>
      </c>
      <c r="K10" s="20" t="n">
        <v>2429.6</v>
      </c>
      <c r="L10" s="20" t="n">
        <v>2881.713</v>
      </c>
      <c r="M10" s="20" t="n">
        <v>4503.163</v>
      </c>
      <c r="N10" s="20" t="n">
        <v>2227.682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12633.847</v>
      </c>
      <c r="W10" s="20" t="n">
        <v>12236.246</v>
      </c>
      <c r="X10" s="20" t="n">
        <v>11978.699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6" t="inlineStr">
        <is>
          <t>매출원가</t>
        </is>
      </c>
      <c r="B13" s="16" t="n"/>
      <c r="C13" s="17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7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7" t="n"/>
      <c r="Z13" s="16" t="n"/>
      <c r="AA13" s="16" t="n"/>
      <c r="AB13" s="16" t="n"/>
      <c r="AC13" s="16" t="n"/>
    </row>
    <row r="14">
      <c r="A14" s="18" t="inlineStr">
        <is>
          <t>전체 매출원가</t>
        </is>
      </c>
      <c r="B14" s="10" t="n"/>
      <c r="C14" s="19" t="n">
        <v>4738.797</v>
      </c>
      <c r="D14" s="20" t="n">
        <v>5107.666</v>
      </c>
      <c r="E14" s="20" t="n">
        <v>9378.085999999999</v>
      </c>
      <c r="F14" s="20" t="n">
        <v>4048.662</v>
      </c>
      <c r="G14" s="20" t="n">
        <v>4594.635</v>
      </c>
      <c r="H14" s="20" t="n">
        <v>6067.057</v>
      </c>
      <c r="I14" s="20" t="n">
        <v>8567.427</v>
      </c>
      <c r="J14" s="20" t="n">
        <v>4062.569</v>
      </c>
      <c r="K14" s="20" t="n">
        <v>5282.795</v>
      </c>
      <c r="L14" s="20" t="n">
        <v>6443.349</v>
      </c>
      <c r="M14" s="20" t="n">
        <v>10445</v>
      </c>
      <c r="N14" s="20" t="n">
        <v>5728.341</v>
      </c>
      <c r="O14" s="19" t="n">
        <v>20962.447</v>
      </c>
      <c r="P14" s="20" t="n">
        <v>19276.838</v>
      </c>
      <c r="Q14" s="20" t="n">
        <v>19743.629</v>
      </c>
      <c r="R14" s="20" t="n">
        <v>20542.308</v>
      </c>
      <c r="S14" s="20" t="n">
        <v>24479.615</v>
      </c>
      <c r="T14" s="20" t="n">
        <v>21283.809</v>
      </c>
      <c r="U14" s="20" t="n">
        <v>18889.659</v>
      </c>
      <c r="V14" s="20" t="n">
        <v>22742.344</v>
      </c>
      <c r="W14" s="20" t="n">
        <v>23277.781</v>
      </c>
      <c r="X14" s="20" t="n">
        <v>26233.713</v>
      </c>
      <c r="Y14" s="19" t="n"/>
      <c r="Z14" s="20" t="n"/>
      <c r="AA14" s="20" t="n"/>
      <c r="AB14" s="20" t="n"/>
      <c r="AC14" s="20" t="n"/>
    </row>
    <row r="15">
      <c r="A15" s="18" t="inlineStr">
        <is>
          <t>매출총이익</t>
        </is>
      </c>
      <c r="B15" s="10" t="n"/>
      <c r="C15" s="19">
        <f>IF(OR(C4="",C14=""),"",IFERROR(C4-C14,""))</f>
        <v/>
      </c>
      <c r="D15" s="20">
        <f>IF(OR(D4="",D14=""),"",IFERROR(D4-D14,""))</f>
        <v/>
      </c>
      <c r="E15" s="20">
        <f>IF(OR(E4="",E14=""),"",IFERROR(E4-E14,""))</f>
        <v/>
      </c>
      <c r="F15" s="20">
        <f>IF(OR(F4="",F14=""),"",IFERROR(F4-F14,""))</f>
        <v/>
      </c>
      <c r="G15" s="20">
        <f>IF(OR(G4="",G14=""),"",IFERROR(G4-G14,""))</f>
        <v/>
      </c>
      <c r="H15" s="20">
        <f>IF(OR(H4="",H14=""),"",IFERROR(H4-H14,""))</f>
        <v/>
      </c>
      <c r="I15" s="20">
        <f>IF(OR(I4="",I14=""),"",IFERROR(I4-I14,""))</f>
        <v/>
      </c>
      <c r="J15" s="20">
        <f>IF(OR(J4="",J14=""),"",IFERROR(J4-J14,""))</f>
        <v/>
      </c>
      <c r="K15" s="20">
        <f>IF(OR(K4="",K14=""),"",IFERROR(K4-K14,""))</f>
        <v/>
      </c>
      <c r="L15" s="20">
        <f>IF(OR(L4="",L14=""),"",IFERROR(L4-L14,""))</f>
        <v/>
      </c>
      <c r="M15" s="20">
        <f>IF(OR(M4="",M14=""),"",IFERROR(M4-M14,""))</f>
        <v/>
      </c>
      <c r="N15" s="20">
        <f>IF(OR(N4="",N14=""),"",IFERROR(N4-N14,""))</f>
        <v/>
      </c>
      <c r="O15" s="19">
        <f>IF(OR(O4="",O14=""),"",IFERROR(O4-O14,""))</f>
        <v/>
      </c>
      <c r="P15" s="20">
        <f>IF(OR(P4="",P14=""),"",IFERROR(P4-P14,""))</f>
        <v/>
      </c>
      <c r="Q15" s="20">
        <f>IF(OR(Q4="",Q14=""),"",IFERROR(Q4-Q14,""))</f>
        <v/>
      </c>
      <c r="R15" s="20">
        <f>IF(OR(R4="",R14=""),"",IFERROR(R4-R14,""))</f>
        <v/>
      </c>
      <c r="S15" s="20">
        <f>IF(OR(S4="",S14=""),"",IFERROR(S4-S14,""))</f>
        <v/>
      </c>
      <c r="T15" s="20">
        <f>IF(OR(T4="",T14=""),"",IFERROR(T4-T14,""))</f>
        <v/>
      </c>
      <c r="U15" s="20">
        <f>IF(OR(U4="",U14=""),"",IFERROR(U4-U14,""))</f>
        <v/>
      </c>
      <c r="V15" s="20">
        <f>IF(OR(V4="",V14=""),"",IFERROR(V4-V14,""))</f>
        <v/>
      </c>
      <c r="W15" s="20">
        <f>IF(OR(W4="",W14=""),"",IFERROR(W4-W14,""))</f>
        <v/>
      </c>
      <c r="X15" s="20">
        <f>IF(OR(X4="",X14=""),"",IFERROR(X4-X14,""))</f>
        <v/>
      </c>
      <c r="Y15" s="19" t="n"/>
      <c r="Z15" s="20" t="n"/>
      <c r="AA15" s="20" t="n"/>
      <c r="AB15" s="20" t="n"/>
      <c r="AC15" s="20" t="n"/>
    </row>
    <row r="16">
      <c r="A16" s="13" t="inlineStr">
        <is>
          <t>GPM</t>
        </is>
      </c>
      <c r="B16" s="10" t="n"/>
      <c r="C16" s="14">
        <f>IF(OR(C15="",C4=""),"",IFERROR(C15/C4,""))</f>
        <v/>
      </c>
      <c r="D16" s="15">
        <f>IF(OR(D15="",D4=""),"",IFERROR(D15/D4,""))</f>
        <v/>
      </c>
      <c r="E16" s="15">
        <f>IF(OR(E15="",E4=""),"",IFERROR(E15/E4,""))</f>
        <v/>
      </c>
      <c r="F16" s="15">
        <f>IF(OR(F15="",F4=""),"",IFERROR(F15/F4,""))</f>
        <v/>
      </c>
      <c r="G16" s="15">
        <f>IF(OR(G15="",G4=""),"",IFERROR(G15/G4,""))</f>
        <v/>
      </c>
      <c r="H16" s="15">
        <f>IF(OR(H15="",H4=""),"",IFERROR(H15/H4,""))</f>
        <v/>
      </c>
      <c r="I16" s="15">
        <f>IF(OR(I15="",I4=""),"",IFERROR(I15/I4,""))</f>
        <v/>
      </c>
      <c r="J16" s="15">
        <f>IF(OR(J15="",J4=""),"",IFERROR(J15/J4,""))</f>
        <v/>
      </c>
      <c r="K16" s="15">
        <f>IF(OR(K15="",K4=""),"",IFERROR(K15/K4,""))</f>
        <v/>
      </c>
      <c r="L16" s="15">
        <f>IF(OR(L15="",L4=""),"",IFERROR(L15/L4,""))</f>
        <v/>
      </c>
      <c r="M16" s="15">
        <f>IF(OR(M15="",M4=""),"",IFERROR(M15/M4,""))</f>
        <v/>
      </c>
      <c r="N16" s="15">
        <f>IF(OR(N15="",N4=""),"",IFERROR(N15/N4,""))</f>
        <v/>
      </c>
      <c r="O16" s="14">
        <f>IF(OR(O15="",O4=""),"",IFERROR(O15/O4,""))</f>
        <v/>
      </c>
      <c r="P16" s="15">
        <f>IF(OR(P15="",P4=""),"",IFERROR(P15/P4,""))</f>
        <v/>
      </c>
      <c r="Q16" s="15">
        <f>IF(OR(Q15="",Q4=""),"",IFERROR(Q15/Q4,""))</f>
        <v/>
      </c>
      <c r="R16" s="15">
        <f>IF(OR(R15="",R4=""),"",IFERROR(R15/R4,""))</f>
        <v/>
      </c>
      <c r="S16" s="15">
        <f>IF(OR(S15="",S4=""),"",IFERROR(S15/S4,""))</f>
        <v/>
      </c>
      <c r="T16" s="15">
        <f>IF(OR(T15="",T4=""),"",IFERROR(T15/T4,""))</f>
        <v/>
      </c>
      <c r="U16" s="15">
        <f>IF(OR(U15="",U4=""),"",IFERROR(U15/U4,""))</f>
        <v/>
      </c>
      <c r="V16" s="15">
        <f>IF(OR(V15="",V4=""),"",IFERROR(V15/V4,""))</f>
        <v/>
      </c>
      <c r="W16" s="15">
        <f>IF(OR(W15="",W4=""),"",IFERROR(W15/W4,""))</f>
        <v/>
      </c>
      <c r="X16" s="15">
        <f>IF(OR(X15="",X4=""),"",IFERROR(X15/X4,""))</f>
        <v/>
      </c>
      <c r="Y16" s="14">
        <f>IF(OR(Y15="",Y4=""),"",IFERROR(Y15/Y4,""))</f>
        <v/>
      </c>
      <c r="Z16" s="15">
        <f>IF(OR(Z15="",Z4=""),"",IFERROR(Z15/Z4,""))</f>
        <v/>
      </c>
      <c r="AA16" s="15">
        <f>IF(OR(AA15="",AA4=""),"",IFERROR(AA15/AA4,""))</f>
        <v/>
      </c>
      <c r="AB16" s="15">
        <f>IF(OR(AB15="",AB4=""),"",IFERROR(AB15/AB4,""))</f>
        <v/>
      </c>
      <c r="AC16" s="15">
        <f>IF(OR(AC15="",AC4=""),"",IFERROR(AC15/AC4,""))</f>
        <v/>
      </c>
    </row>
    <row r="17">
      <c r="A17" s="23" t="inlineStr">
        <is>
          <t>판매관리비</t>
        </is>
      </c>
      <c r="B17" s="23" t="n"/>
      <c r="C17" s="24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4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4" t="n"/>
      <c r="Z17" s="23" t="n"/>
      <c r="AA17" s="23" t="n"/>
      <c r="AB17" s="23" t="n"/>
      <c r="AC17" s="23" t="n"/>
    </row>
    <row r="18">
      <c r="A18" s="18" t="inlineStr">
        <is>
          <t>전체 판관비</t>
        </is>
      </c>
      <c r="B18" s="10" t="n"/>
      <c r="C18" s="19" t="n">
        <v>1136.054</v>
      </c>
      <c r="D18" s="20" t="n">
        <v>1033.634</v>
      </c>
      <c r="E18" s="20" t="n">
        <v>1033.561</v>
      </c>
      <c r="F18" s="20" t="n">
        <v>1092.672</v>
      </c>
      <c r="G18" s="20" t="n">
        <v>1057.287</v>
      </c>
      <c r="H18" s="20" t="n">
        <v>1075.819</v>
      </c>
      <c r="I18" s="20" t="n">
        <v>1058.179</v>
      </c>
      <c r="J18" s="20" t="n">
        <v>1164.189</v>
      </c>
      <c r="K18" s="20" t="n">
        <v>1100.389</v>
      </c>
      <c r="L18" s="20" t="n">
        <v>1270.538</v>
      </c>
      <c r="M18" s="20" t="n">
        <v>1168.993</v>
      </c>
      <c r="N18" s="20" t="n">
        <v>1231.62</v>
      </c>
      <c r="O18" s="19" t="n">
        <v>4844.947</v>
      </c>
      <c r="P18" s="20" t="n">
        <v>4493.469</v>
      </c>
      <c r="Q18" s="20" t="n">
        <v>4394.511</v>
      </c>
      <c r="R18" s="20" t="n">
        <v>4203.075</v>
      </c>
      <c r="S18" s="20" t="n">
        <v>4627.363</v>
      </c>
      <c r="T18" s="20" t="n">
        <v>4270.777</v>
      </c>
      <c r="U18" s="20" t="n">
        <v>4503.714</v>
      </c>
      <c r="V18" s="20" t="n">
        <v>4456.33</v>
      </c>
      <c r="W18" s="20" t="n">
        <v>4283.957</v>
      </c>
      <c r="X18" s="20" t="n">
        <v>4704.109</v>
      </c>
      <c r="Y18" s="19" t="n"/>
      <c r="Z18" s="20" t="n"/>
      <c r="AA18" s="20" t="n"/>
      <c r="AB18" s="20" t="n"/>
      <c r="AC18" s="20" t="n"/>
    </row>
    <row r="19">
      <c r="A19" s="9" t="inlineStr">
        <is>
          <t>영업이익</t>
        </is>
      </c>
      <c r="B19" s="10" t="inlineStr">
        <is>
          <t>MW = 매출 × OPM</t>
        </is>
      </c>
      <c r="C19" s="11" t="n">
        <v>333.075</v>
      </c>
      <c r="D19" s="12" t="n">
        <v>334.242</v>
      </c>
      <c r="E19" s="12" t="n">
        <v>1027.53</v>
      </c>
      <c r="F19" s="12" t="n">
        <v>-247.249</v>
      </c>
      <c r="G19" s="12" t="n">
        <v>230.738</v>
      </c>
      <c r="H19" s="12" t="n">
        <v>628.664</v>
      </c>
      <c r="I19" s="12" t="n">
        <v>872.301</v>
      </c>
      <c r="J19" s="12" t="n">
        <v>24.592</v>
      </c>
      <c r="K19" s="12" t="n">
        <v>202.053</v>
      </c>
      <c r="L19" s="12" t="n">
        <v>525.706</v>
      </c>
      <c r="M19" s="12" t="n">
        <v>1019.409</v>
      </c>
      <c r="N19" s="12" t="n">
        <v>-197.118</v>
      </c>
      <c r="O19" s="11" t="n">
        <v>270.301</v>
      </c>
      <c r="P19" s="12" t="n">
        <v>60.227</v>
      </c>
      <c r="Q19" s="12" t="n">
        <v>-1576.145</v>
      </c>
      <c r="R19" s="12" t="n">
        <v>569.159</v>
      </c>
      <c r="S19" s="12" t="n">
        <v>303.392</v>
      </c>
      <c r="T19" s="12" t="n">
        <v>-819.018</v>
      </c>
      <c r="U19" s="12" t="n">
        <v>-466.65</v>
      </c>
      <c r="V19" s="12" t="n">
        <v>919.006</v>
      </c>
      <c r="W19" s="12" t="n">
        <v>1484.454</v>
      </c>
      <c r="X19" s="12" t="n">
        <v>1771.76</v>
      </c>
      <c r="Y19" s="11">
        <f>IF(OR(Y4="",Y20=""),"",IFERROR(Y4*Y20,""))</f>
        <v/>
      </c>
      <c r="Z19" s="12">
        <f>IF(OR(Z4="",Z20=""),"",IFERROR(Z4*Z20,""))</f>
        <v/>
      </c>
      <c r="AA19" s="12">
        <f>IF(OR(AA4="",AA20=""),"",IFERROR(AA4*AA20,""))</f>
        <v/>
      </c>
      <c r="AB19" s="12">
        <f>IF(OR(AB4="",AB20=""),"",IFERROR(AB4*AB20,""))</f>
        <v/>
      </c>
      <c r="AC19" s="12">
        <f>IF(OR(AC4="",AC20=""),"",IFERROR(AC4*AC20,""))</f>
        <v/>
      </c>
    </row>
    <row r="20">
      <c r="A20" s="13" t="inlineStr">
        <is>
          <t>OPM</t>
        </is>
      </c>
      <c r="B20" s="10" t="inlineStr">
        <is>
          <t>MW 입력</t>
        </is>
      </c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25" t="n"/>
      <c r="Z20" s="26" t="n"/>
      <c r="AA20" s="26" t="n"/>
      <c r="AB20" s="26" t="n"/>
      <c r="AC20" s="26" t="n"/>
    </row>
    <row r="21">
      <c r="A21" s="13" t="inlineStr">
        <is>
          <t>증가율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6" t="inlineStr">
        <is>
          <t>비용의 성격별 분류</t>
        </is>
      </c>
      <c r="B22" s="16" t="inlineStr">
        <is>
          <t>참고 데이터</t>
        </is>
      </c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7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7" t="n"/>
      <c r="Z22" s="16" t="n"/>
      <c r="AA22" s="16" t="n"/>
      <c r="AB22" s="16" t="n"/>
      <c r="AC22" s="16" t="n"/>
    </row>
    <row r="23">
      <c r="A23" s="9" t="inlineStr">
        <is>
          <t>총 판관비</t>
        </is>
      </c>
      <c r="B23" s="10" t="n"/>
      <c r="C23" s="11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1">
        <f>IF(O18="","",O18)</f>
        <v/>
      </c>
      <c r="P23" s="12">
        <f>IF(P18="","",P18)</f>
        <v/>
      </c>
      <c r="Q23" s="12">
        <f>IF(Q18="","",Q18)</f>
        <v/>
      </c>
      <c r="R23" s="12">
        <f>IF(R18="","",R18)</f>
        <v/>
      </c>
      <c r="S23" s="12">
        <f>IF(S18="","",S18)</f>
        <v/>
      </c>
      <c r="T23" s="12">
        <f>IF(T18="","",T18)</f>
        <v/>
      </c>
      <c r="U23" s="12">
        <f>IF(U18="","",U18)</f>
        <v/>
      </c>
      <c r="V23" s="12">
        <f>IF(V18="","",V18)</f>
        <v/>
      </c>
      <c r="W23" s="12">
        <f>IF(W18="","",W18)</f>
        <v/>
      </c>
      <c r="X23" s="12">
        <f>IF(X18="","",X18)</f>
        <v/>
      </c>
      <c r="Y23" s="11" t="n"/>
      <c r="Z23" s="12" t="n"/>
      <c r="AA23" s="12" t="n"/>
      <c r="AB23" s="12" t="n"/>
      <c r="AC23" s="12" t="n"/>
    </row>
    <row r="24">
      <c r="A24" s="18" t="inlineStr">
        <is>
          <t>급여</t>
        </is>
      </c>
      <c r="B24" s="10" t="inlineStr">
        <is>
          <t>고정비</t>
        </is>
      </c>
      <c r="C24" s="19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19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19" t="n"/>
      <c r="Z24" s="20" t="n"/>
      <c r="AA24" s="20" t="n"/>
      <c r="AB24" s="20" t="n"/>
      <c r="AC24" s="20" t="n"/>
    </row>
    <row r="25">
      <c r="A25" s="13" t="inlineStr">
        <is>
          <t>% of Sales</t>
        </is>
      </c>
      <c r="B25" s="10" t="n"/>
      <c r="C25" s="14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4">
        <f>IF(OR(O24="",O4=""),"",IFERROR(O24/O4,""))</f>
        <v/>
      </c>
      <c r="P25" s="15">
        <f>IF(OR(P24="",P4=""),"",IFERROR(P24/P4,""))</f>
        <v/>
      </c>
      <c r="Q25" s="15">
        <f>IF(OR(Q24="",Q4=""),"",IFERROR(Q24/Q4,""))</f>
        <v/>
      </c>
      <c r="R25" s="15">
        <f>IF(OR(R24="",R4=""),"",IFERROR(R24/R4,""))</f>
        <v/>
      </c>
      <c r="S25" s="15">
        <f>IF(OR(S24="",S4=""),"",IFERROR(S24/S4,""))</f>
        <v/>
      </c>
      <c r="T25" s="15">
        <f>IF(OR(T24="",T4=""),"",IFERROR(T24/T4,""))</f>
        <v/>
      </c>
      <c r="U25" s="15">
        <f>IF(OR(U24="",U4=""),"",IFERROR(U24/U4,""))</f>
        <v/>
      </c>
      <c r="V25" s="15">
        <f>IF(OR(V24="",V4=""),"",IFERROR(V24/V4,""))</f>
        <v/>
      </c>
      <c r="W25" s="15">
        <f>IF(OR(W24="",W4=""),"",IFERROR(W24/W4,""))</f>
        <v/>
      </c>
      <c r="X25" s="15">
        <f>IF(OR(X24="",X4=""),"",IFERROR(X24/X4,""))</f>
        <v/>
      </c>
      <c r="Y25" s="14" t="n"/>
      <c r="Z25" s="15" t="n"/>
      <c r="AA25" s="15" t="n"/>
      <c r="AB25" s="15" t="n"/>
      <c r="AC25" s="15" t="n"/>
    </row>
    <row r="26">
      <c r="A26" s="18" t="inlineStr">
        <is>
          <t>감가상각비</t>
        </is>
      </c>
      <c r="B26" s="10" t="inlineStr">
        <is>
          <t>고정비</t>
        </is>
      </c>
      <c r="C26" s="19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19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19" t="n"/>
      <c r="Z26" s="20" t="n"/>
      <c r="AA26" s="20" t="n"/>
      <c r="AB26" s="20" t="n"/>
      <c r="AC26" s="20" t="n"/>
    </row>
    <row r="27">
      <c r="A27" s="13" t="inlineStr">
        <is>
          <t>% of Sales</t>
        </is>
      </c>
      <c r="B27" s="10" t="n"/>
      <c r="C27" s="14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4">
        <f>IF(OR(O26="",O4=""),"",IFERROR(O26/O4,""))</f>
        <v/>
      </c>
      <c r="P27" s="15">
        <f>IF(OR(P26="",P4=""),"",IFERROR(P26/P4,""))</f>
        <v/>
      </c>
      <c r="Q27" s="15">
        <f>IF(OR(Q26="",Q4=""),"",IFERROR(Q26/Q4,""))</f>
        <v/>
      </c>
      <c r="R27" s="15">
        <f>IF(OR(R26="",R4=""),"",IFERROR(R26/R4,""))</f>
        <v/>
      </c>
      <c r="S27" s="15">
        <f>IF(OR(S26="",S4=""),"",IFERROR(S26/S4,""))</f>
        <v/>
      </c>
      <c r="T27" s="15">
        <f>IF(OR(T26="",T4=""),"",IFERROR(T26/T4,""))</f>
        <v/>
      </c>
      <c r="U27" s="15">
        <f>IF(OR(U26="",U4=""),"",IFERROR(U26/U4,""))</f>
        <v/>
      </c>
      <c r="V27" s="15">
        <f>IF(OR(V26="",V4=""),"",IFERROR(V26/V4,""))</f>
        <v/>
      </c>
      <c r="W27" s="15">
        <f>IF(OR(W26="",W4=""),"",IFERROR(W26/W4,""))</f>
        <v/>
      </c>
      <c r="X27" s="15">
        <f>IF(OR(X26="",X4=""),"",IFERROR(X26/X4,""))</f>
        <v/>
      </c>
      <c r="Y27" s="14" t="n"/>
      <c r="Z27" s="15" t="n"/>
      <c r="AA27" s="15" t="n"/>
      <c r="AB27" s="15" t="n"/>
      <c r="AC27" s="15" t="n"/>
    </row>
    <row r="28">
      <c r="A28" s="18" t="inlineStr">
        <is>
          <t>지급수수료</t>
        </is>
      </c>
      <c r="B28" s="10" t="inlineStr">
        <is>
          <t>고정비</t>
        </is>
      </c>
      <c r="C28" s="19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19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19" t="n"/>
      <c r="Z28" s="20" t="n"/>
      <c r="AA28" s="20" t="n"/>
      <c r="AB28" s="20" t="n"/>
      <c r="AC28" s="20" t="n"/>
    </row>
    <row r="29">
      <c r="A29" s="13" t="inlineStr">
        <is>
          <t>% of Sales</t>
        </is>
      </c>
      <c r="B29" s="10" t="n"/>
      <c r="C29" s="14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4">
        <f>IF(OR(O28="",O4=""),"",IFERROR(O28/O4,""))</f>
        <v/>
      </c>
      <c r="P29" s="15">
        <f>IF(OR(P28="",P4=""),"",IFERROR(P28/P4,""))</f>
        <v/>
      </c>
      <c r="Q29" s="15">
        <f>IF(OR(Q28="",Q4=""),"",IFERROR(Q28/Q4,""))</f>
        <v/>
      </c>
      <c r="R29" s="15">
        <f>IF(OR(R28="",R4=""),"",IFERROR(R28/R4,""))</f>
        <v/>
      </c>
      <c r="S29" s="15">
        <f>IF(OR(S28="",S4=""),"",IFERROR(S28/S4,""))</f>
        <v/>
      </c>
      <c r="T29" s="15">
        <f>IF(OR(T28="",T4=""),"",IFERROR(T28/T4,""))</f>
        <v/>
      </c>
      <c r="U29" s="15">
        <f>IF(OR(U28="",U4=""),"",IFERROR(U28/U4,""))</f>
        <v/>
      </c>
      <c r="V29" s="15">
        <f>IF(OR(V28="",V4=""),"",IFERROR(V28/V4,""))</f>
        <v/>
      </c>
      <c r="W29" s="15">
        <f>IF(OR(W28="",W4=""),"",IFERROR(W28/W4,""))</f>
        <v/>
      </c>
      <c r="X29" s="15">
        <f>IF(OR(X28="",X4=""),"",IFERROR(X28/X4,""))</f>
        <v/>
      </c>
      <c r="Y29" s="14" t="n"/>
      <c r="Z29" s="15" t="n"/>
      <c r="AA29" s="15" t="n"/>
      <c r="AB29" s="15" t="n"/>
      <c r="AC29" s="15" t="n"/>
    </row>
    <row r="30">
      <c r="A30" s="18" t="inlineStr">
        <is>
          <t>연구개발비</t>
        </is>
      </c>
      <c r="B30" s="10" t="inlineStr">
        <is>
          <t>변동비</t>
        </is>
      </c>
      <c r="C30" s="19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19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19" t="n"/>
      <c r="Z30" s="20" t="n"/>
      <c r="AA30" s="20" t="n"/>
      <c r="AB30" s="20" t="n"/>
      <c r="AC30" s="20" t="n"/>
    </row>
    <row r="31">
      <c r="A31" s="13" t="inlineStr">
        <is>
          <t>% of Sales</t>
        </is>
      </c>
      <c r="B31" s="10" t="n"/>
      <c r="C31" s="14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4">
        <f>IF(OR(O30="",O4=""),"",IFERROR(O30/O4,""))</f>
        <v/>
      </c>
      <c r="P31" s="15">
        <f>IF(OR(P30="",P4=""),"",IFERROR(P30/P4,""))</f>
        <v/>
      </c>
      <c r="Q31" s="15">
        <f>IF(OR(Q30="",Q4=""),"",IFERROR(Q30/Q4,""))</f>
        <v/>
      </c>
      <c r="R31" s="15">
        <f>IF(OR(R30="",R4=""),"",IFERROR(R30/R4,""))</f>
        <v/>
      </c>
      <c r="S31" s="15">
        <f>IF(OR(S30="",S4=""),"",IFERROR(S30/S4,""))</f>
        <v/>
      </c>
      <c r="T31" s="15">
        <f>IF(OR(T30="",T4=""),"",IFERROR(T30/T4,""))</f>
        <v/>
      </c>
      <c r="U31" s="15">
        <f>IF(OR(U30="",U4=""),"",IFERROR(U30/U4,""))</f>
        <v/>
      </c>
      <c r="V31" s="15">
        <f>IF(OR(V30="",V4=""),"",IFERROR(V30/V4,""))</f>
        <v/>
      </c>
      <c r="W31" s="15">
        <f>IF(OR(W30="",W4=""),"",IFERROR(W30/W4,""))</f>
        <v/>
      </c>
      <c r="X31" s="15">
        <f>IF(OR(X30="",X4=""),"",IFERROR(X30/X4,""))</f>
        <v/>
      </c>
      <c r="Y31" s="14" t="n"/>
      <c r="Z31" s="15" t="n"/>
      <c r="AA31" s="15" t="n"/>
      <c r="AB31" s="15" t="n"/>
      <c r="AC31" s="15" t="n"/>
    </row>
    <row r="32">
      <c r="A32" s="18" t="inlineStr">
        <is>
          <t>기타비용</t>
        </is>
      </c>
      <c r="B32" s="10" t="inlineStr">
        <is>
          <t>변동비</t>
        </is>
      </c>
      <c r="C32" s="19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19">
        <f>IF(OR(O23="",O24="",O26="",O28="",O30=""),"",IFERROR(O23-O24-O26-O28-O30,""))</f>
        <v/>
      </c>
      <c r="P32" s="20">
        <f>IF(OR(P23="",P24="",P26="",P28="",P30=""),"",IFERROR(P23-P24-P26-P28-P30,""))</f>
        <v/>
      </c>
      <c r="Q32" s="20">
        <f>IF(OR(Q23="",Q24="",Q26="",Q28="",Q30=""),"",IFERROR(Q23-Q24-Q26-Q28-Q30,""))</f>
        <v/>
      </c>
      <c r="R32" s="20">
        <f>IF(OR(R23="",R24="",R26="",R28="",R30=""),"",IFERROR(R23-R24-R26-R28-R30,""))</f>
        <v/>
      </c>
      <c r="S32" s="20">
        <f>IF(OR(S23="",S24="",S26="",S28="",S30=""),"",IFERROR(S23-S24-S26-S28-S30,""))</f>
        <v/>
      </c>
      <c r="T32" s="20">
        <f>IF(OR(T23="",T24="",T26="",T28="",T30=""),"",IFERROR(T23-T24-T26-T28-T30,""))</f>
        <v/>
      </c>
      <c r="U32" s="20">
        <f>IF(OR(U23="",U24="",U26="",U28="",U30=""),"",IFERROR(U23-U24-U26-U28-U30,""))</f>
        <v/>
      </c>
      <c r="V32" s="20">
        <f>IF(OR(V23="",V24="",V26="",V28="",V30=""),"",IFERROR(V23-V24-V26-V28-V30,""))</f>
        <v/>
      </c>
      <c r="W32" s="20">
        <f>IF(OR(W23="",W24="",W26="",W28="",W30=""),"",IFERROR(W23-W24-W26-W28-W30,""))</f>
        <v/>
      </c>
      <c r="X32" s="20">
        <f>IF(OR(X23="",X24="",X26="",X28="",X30=""),"",IFERROR(X23-X24-X26-X28-X30,""))</f>
        <v/>
      </c>
      <c r="Y32" s="19" t="n"/>
      <c r="Z32" s="20" t="n"/>
      <c r="AA32" s="20" t="n"/>
      <c r="AB32" s="20" t="n"/>
      <c r="AC32" s="20" t="n"/>
    </row>
    <row r="33">
      <c r="A33" s="13" t="inlineStr">
        <is>
          <t>% of Sales</t>
        </is>
      </c>
      <c r="B33" s="10" t="n"/>
      <c r="C33" s="14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4">
        <f>IF(OR(O32="",O4=""),"",IFERROR(O32/O4,""))</f>
        <v/>
      </c>
      <c r="P33" s="15">
        <f>IF(OR(P32="",P4=""),"",IFERROR(P32/P4,""))</f>
        <v/>
      </c>
      <c r="Q33" s="15">
        <f>IF(OR(Q32="",Q4=""),"",IFERROR(Q32/Q4,""))</f>
        <v/>
      </c>
      <c r="R33" s="15">
        <f>IF(OR(R32="",R4=""),"",IFERROR(R32/R4,""))</f>
        <v/>
      </c>
      <c r="S33" s="15">
        <f>IF(OR(S32="",S4=""),"",IFERROR(S32/S4,""))</f>
        <v/>
      </c>
      <c r="T33" s="15">
        <f>IF(OR(T32="",T4=""),"",IFERROR(T32/T4,""))</f>
        <v/>
      </c>
      <c r="U33" s="15">
        <f>IF(OR(U32="",U4=""),"",IFERROR(U32/U4,""))</f>
        <v/>
      </c>
      <c r="V33" s="15">
        <f>IF(OR(V32="",V4=""),"",IFERROR(V32/V4,""))</f>
        <v/>
      </c>
      <c r="W33" s="15">
        <f>IF(OR(W32="",W4=""),"",IFERROR(W32/W4,""))</f>
        <v/>
      </c>
      <c r="X33" s="15">
        <f>IF(OR(X32="",X4=""),"",IFERROR(X32/X4,""))</f>
        <v/>
      </c>
      <c r="Y33" s="14" t="n"/>
      <c r="Z33" s="15" t="n"/>
      <c r="AA33" s="15" t="n"/>
      <c r="AB33" s="15" t="n"/>
      <c r="AC33" s="15" t="n"/>
    </row>
    <row r="34">
      <c r="A34" s="16" t="inlineStr">
        <is>
          <t>당기순이익 추정</t>
        </is>
      </c>
      <c r="B34" s="16" t="n"/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7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7" t="n"/>
      <c r="Z34" s="16" t="n"/>
      <c r="AA34" s="16" t="n"/>
      <c r="AB34" s="16" t="n"/>
      <c r="AC34" s="16" t="n"/>
    </row>
    <row r="35">
      <c r="A35" s="18" t="inlineStr">
        <is>
          <t>특별이익</t>
        </is>
      </c>
      <c r="B35" s="10" t="n"/>
      <c r="C35" s="19" t="n">
        <v>14.571</v>
      </c>
      <c r="D35" s="20" t="n">
        <v>1.567</v>
      </c>
      <c r="E35" s="20" t="n">
        <v>0</v>
      </c>
      <c r="F35" s="20" t="n">
        <v>0</v>
      </c>
      <c r="G35" s="20" t="n">
        <v>0</v>
      </c>
      <c r="H35" s="20" t="n">
        <v>0</v>
      </c>
      <c r="I35" s="20" t="n">
        <v>0</v>
      </c>
      <c r="J35" s="20" t="n"/>
      <c r="K35" s="20" t="n"/>
      <c r="L35" s="20" t="n"/>
      <c r="M35" s="20" t="n"/>
      <c r="N35" s="20" t="n"/>
      <c r="O35" s="19" t="n">
        <v>0</v>
      </c>
      <c r="P35" s="20" t="n">
        <v>13.662</v>
      </c>
      <c r="Q35" s="20" t="n">
        <v>115.785</v>
      </c>
      <c r="R35" s="20" t="n">
        <v>0</v>
      </c>
      <c r="S35" s="20" t="n"/>
      <c r="T35" s="20" t="n">
        <v>0</v>
      </c>
      <c r="U35" s="20" t="n">
        <v>49.837</v>
      </c>
      <c r="V35" s="20" t="n">
        <v>47.822</v>
      </c>
      <c r="W35" s="20" t="n">
        <v>0</v>
      </c>
      <c r="X35" s="20" t="n"/>
      <c r="Y35" s="19">
        <f>IF(OR(Y4="",Y36=""),"",IFERROR(Y4*Y36,""))</f>
        <v/>
      </c>
      <c r="Z35" s="20">
        <f>IF(OR(Z4="",Z36=""),"",IFERROR(Z4*Z36,""))</f>
        <v/>
      </c>
      <c r="AA35" s="20">
        <f>IF(OR(AA4="",AA36=""),"",IFERROR(AA4*AA36,""))</f>
        <v/>
      </c>
      <c r="AB35" s="20">
        <f>IF(OR(AB4="",AB36=""),"",IFERROR(AB4*AB36,""))</f>
        <v/>
      </c>
      <c r="AC35" s="20">
        <f>IF(OR(AC4="",AC36=""),"",IFERROR(AC4*AC36,""))</f>
        <v/>
      </c>
    </row>
    <row r="36">
      <c r="A36" s="13" t="inlineStr">
        <is>
          <t>% of Sales</t>
        </is>
      </c>
      <c r="B36" s="10" t="inlineStr">
        <is>
          <t>MW = 최근 3년 평균</t>
        </is>
      </c>
      <c r="C36" s="14">
        <f>IF(OR(C35="",C4=""),"",IFERROR(C35/C4,""))</f>
        <v/>
      </c>
      <c r="D36" s="15">
        <f>IF(OR(D35="",D4=""),"",IFERROR(D35/D4,""))</f>
        <v/>
      </c>
      <c r="E36" s="15">
        <f>IF(OR(E35="",E4=""),"",IFERROR(E35/E4,""))</f>
        <v/>
      </c>
      <c r="F36" s="15">
        <f>IF(OR(F35="",F4=""),"",IFERROR(F35/F4,""))</f>
        <v/>
      </c>
      <c r="G36" s="15">
        <f>IF(OR(G35="",G4=""),"",IFERROR(G35/G4,""))</f>
        <v/>
      </c>
      <c r="H36" s="15">
        <f>IF(OR(H35="",H4=""),"",IFERROR(H35/H4,""))</f>
        <v/>
      </c>
      <c r="I36" s="15">
        <f>IF(OR(I35="",I4=""),"",IFERROR(I35/I4,""))</f>
        <v/>
      </c>
      <c r="J36" s="15">
        <f>IF(OR(J35="",J4=""),"",IFERROR(J35/J4,""))</f>
        <v/>
      </c>
      <c r="K36" s="15">
        <f>IF(OR(K35="",K4=""),"",IFERROR(K35/K4,""))</f>
        <v/>
      </c>
      <c r="L36" s="15">
        <f>IF(OR(L35="",L4=""),"",IFERROR(L35/L4,""))</f>
        <v/>
      </c>
      <c r="M36" s="15">
        <f>IF(OR(M35="",M4=""),"",IFERROR(M35/M4,""))</f>
        <v/>
      </c>
      <c r="N36" s="15">
        <f>IF(OR(N35="",N4=""),"",IFERROR(N35/N4,""))</f>
        <v/>
      </c>
      <c r="O36" s="14">
        <f>IF(OR(O35="",O4=""),"",IFERROR(O35/O4,""))</f>
        <v/>
      </c>
      <c r="P36" s="15">
        <f>IF(OR(P35="",P4=""),"",IFERROR(P35/P4,""))</f>
        <v/>
      </c>
      <c r="Q36" s="15">
        <f>IF(OR(Q35="",Q4=""),"",IFERROR(Q35/Q4,""))</f>
        <v/>
      </c>
      <c r="R36" s="15">
        <f>IF(OR(R35="",R4=""),"",IFERROR(R35/R4,""))</f>
        <v/>
      </c>
      <c r="S36" s="15">
        <f>IF(OR(S35="",S4=""),"",IFERROR(S35/S4,""))</f>
        <v/>
      </c>
      <c r="T36" s="15">
        <f>IF(OR(T35="",T4=""),"",IFERROR(T35/T4,""))</f>
        <v/>
      </c>
      <c r="U36" s="15">
        <f>IF(OR(U35="",U4=""),"",IFERROR(U35/U4,""))</f>
        <v/>
      </c>
      <c r="V36" s="15">
        <f>IF(OR(V35="",V4=""),"",IFERROR(V35/V4,""))</f>
        <v/>
      </c>
      <c r="W36" s="15">
        <f>IF(OR(W35="",W4=""),"",IFERROR(W35/W4,""))</f>
        <v/>
      </c>
      <c r="X36" s="15">
        <f>IF(OR(X35="",X4=""),"",IFERROR(X35/X4,""))</f>
        <v/>
      </c>
      <c r="Y36" s="25">
        <f>IFERROR(AVERAGE(V36,W36,X36),"")</f>
        <v/>
      </c>
      <c r="Z36" s="26">
        <f>Y36</f>
        <v/>
      </c>
      <c r="AA36" s="26">
        <f>Z36</f>
        <v/>
      </c>
      <c r="AB36" s="26">
        <f>AA36</f>
        <v/>
      </c>
      <c r="AC36" s="26">
        <f>AB36</f>
        <v/>
      </c>
    </row>
    <row r="37">
      <c r="A37" s="18" t="inlineStr">
        <is>
          <t>특별손실</t>
        </is>
      </c>
      <c r="B37" s="10" t="n"/>
      <c r="C37" s="19" t="n"/>
      <c r="D37" s="20" t="n"/>
      <c r="E37" s="20" t="n"/>
      <c r="F37" s="20" t="n"/>
      <c r="G37" s="20" t="n"/>
      <c r="H37" s="20" t="n">
        <v>0</v>
      </c>
      <c r="I37" s="20" t="n">
        <v>0</v>
      </c>
      <c r="J37" s="20" t="n"/>
      <c r="K37" s="20" t="n"/>
      <c r="L37" s="20" t="n">
        <v>0</v>
      </c>
      <c r="M37" s="20" t="n">
        <v>0</v>
      </c>
      <c r="N37" s="20" t="n"/>
      <c r="O37" s="19" t="n">
        <v>158.376</v>
      </c>
      <c r="P37" s="20" t="n">
        <v>162.867</v>
      </c>
      <c r="Q37" s="20" t="n">
        <v>173.788</v>
      </c>
      <c r="R37" s="20" t="n">
        <v>0</v>
      </c>
      <c r="S37" s="20" t="n">
        <v>0</v>
      </c>
      <c r="T37" s="20" t="n">
        <v>33.789</v>
      </c>
      <c r="U37" s="20" t="n">
        <v>23.142</v>
      </c>
      <c r="V37" s="20" t="n">
        <v>87.10299999999999</v>
      </c>
      <c r="W37" s="20" t="n">
        <v>0</v>
      </c>
      <c r="X37" s="20" t="n">
        <v>8.304</v>
      </c>
      <c r="Y37" s="19">
        <f>IF(OR(Y4="",Y38=""),"",IFERROR(Y4*Y38,""))</f>
        <v/>
      </c>
      <c r="Z37" s="20">
        <f>IF(OR(Z4="",Z38=""),"",IFERROR(Z4*Z38,""))</f>
        <v/>
      </c>
      <c r="AA37" s="20">
        <f>IF(OR(AA4="",AA38=""),"",IFERROR(AA4*AA38,""))</f>
        <v/>
      </c>
      <c r="AB37" s="20">
        <f>IF(OR(AB4="",AB38=""),"",IFERROR(AB4*AB38,""))</f>
        <v/>
      </c>
      <c r="AC37" s="20">
        <f>IF(OR(AC4="",AC38=""),"",IFERROR(AC4*AC38,""))</f>
        <v/>
      </c>
    </row>
    <row r="38">
      <c r="A38" s="13" t="inlineStr">
        <is>
          <t>% of Sales</t>
        </is>
      </c>
      <c r="B38" s="10" t="n"/>
      <c r="C38" s="14">
        <f>IF(OR(C37="",C4=""),"",IFERROR(C37/C4,""))</f>
        <v/>
      </c>
      <c r="D38" s="15">
        <f>IF(OR(D37="",D4=""),"",IFERROR(D37/D4,""))</f>
        <v/>
      </c>
      <c r="E38" s="15">
        <f>IF(OR(E37="",E4=""),"",IFERROR(E37/E4,""))</f>
        <v/>
      </c>
      <c r="F38" s="15">
        <f>IF(OR(F37="",F4=""),"",IFERROR(F37/F4,""))</f>
        <v/>
      </c>
      <c r="G38" s="15">
        <f>IF(OR(G37="",G4=""),"",IFERROR(G37/G4,""))</f>
        <v/>
      </c>
      <c r="H38" s="15">
        <f>IF(OR(H37="",H4=""),"",IFERROR(H37/H4,""))</f>
        <v/>
      </c>
      <c r="I38" s="15">
        <f>IF(OR(I37="",I4=""),"",IFERROR(I37/I4,""))</f>
        <v/>
      </c>
      <c r="J38" s="15">
        <f>IF(OR(J37="",J4=""),"",IFERROR(J37/J4,""))</f>
        <v/>
      </c>
      <c r="K38" s="15">
        <f>IF(OR(K37="",K4=""),"",IFERROR(K37/K4,""))</f>
        <v/>
      </c>
      <c r="L38" s="15">
        <f>IF(OR(L37="",L4=""),"",IFERROR(L37/L4,""))</f>
        <v/>
      </c>
      <c r="M38" s="15">
        <f>IF(OR(M37="",M4=""),"",IFERROR(M37/M4,""))</f>
        <v/>
      </c>
      <c r="N38" s="15">
        <f>IF(OR(N37="",N4=""),"",IFERROR(N37/N4,""))</f>
        <v/>
      </c>
      <c r="O38" s="14">
        <f>IF(OR(O37="",O4=""),"",IFERROR(O37/O4,""))</f>
        <v/>
      </c>
      <c r="P38" s="15">
        <f>IF(OR(P37="",P4=""),"",IFERROR(P37/P4,""))</f>
        <v/>
      </c>
      <c r="Q38" s="15">
        <f>IF(OR(Q37="",Q4=""),"",IFERROR(Q37/Q4,""))</f>
        <v/>
      </c>
      <c r="R38" s="15">
        <f>IF(OR(R37="",R4=""),"",IFERROR(R37/R4,""))</f>
        <v/>
      </c>
      <c r="S38" s="15">
        <f>IF(OR(S37="",S4=""),"",IFERROR(S37/S4,""))</f>
        <v/>
      </c>
      <c r="T38" s="15">
        <f>IF(OR(T37="",T4=""),"",IFERROR(T37/T4,""))</f>
        <v/>
      </c>
      <c r="U38" s="15">
        <f>IF(OR(U37="",U4=""),"",IFERROR(U37/U4,""))</f>
        <v/>
      </c>
      <c r="V38" s="15">
        <f>IF(OR(V37="",V4=""),"",IFERROR(V37/V4,""))</f>
        <v/>
      </c>
      <c r="W38" s="15">
        <f>IF(OR(W37="",W4=""),"",IFERROR(W37/W4,""))</f>
        <v/>
      </c>
      <c r="X38" s="15">
        <f>IF(OR(X37="",X4=""),"",IFERROR(X37/X4,""))</f>
        <v/>
      </c>
      <c r="Y38" s="25">
        <f>IFERROR(AVERAGE(V38,W38,X38),"")</f>
        <v/>
      </c>
      <c r="Z38" s="26">
        <f>Y38</f>
        <v/>
      </c>
      <c r="AA38" s="26">
        <f>Z38</f>
        <v/>
      </c>
      <c r="AB38" s="26">
        <f>AA38</f>
        <v/>
      </c>
      <c r="AC38" s="26">
        <f>AB38</f>
        <v/>
      </c>
    </row>
    <row r="39">
      <c r="A39" s="18" t="inlineStr">
        <is>
          <t>영업외수익</t>
        </is>
      </c>
      <c r="B39" s="10" t="n"/>
      <c r="C39" s="19" t="n">
        <v>13.564</v>
      </c>
      <c r="D39" s="20" t="n">
        <v>21.046</v>
      </c>
      <c r="E39" s="20" t="n">
        <v>28.857</v>
      </c>
      <c r="F39" s="20" t="n">
        <v>25.352</v>
      </c>
      <c r="G39" s="20" t="n">
        <v>30.522</v>
      </c>
      <c r="H39" s="20" t="n">
        <v>4.924</v>
      </c>
      <c r="I39" s="20" t="n">
        <v>17.926</v>
      </c>
      <c r="J39" s="20" t="n">
        <v>35.109</v>
      </c>
      <c r="K39" s="20" t="n">
        <v>1.5</v>
      </c>
      <c r="L39" s="20" t="n">
        <v>20.5</v>
      </c>
      <c r="M39" s="20" t="n">
        <v>15.234</v>
      </c>
      <c r="N39" s="20" t="n">
        <v>25.311</v>
      </c>
      <c r="O39" s="19" t="n">
        <v>144.598</v>
      </c>
      <c r="P39" s="20" t="n">
        <v>124.252</v>
      </c>
      <c r="Q39" s="20" t="n">
        <v>104.242</v>
      </c>
      <c r="R39" s="20" t="n">
        <v>68.56399999999999</v>
      </c>
      <c r="S39" s="20" t="n">
        <v>109.673</v>
      </c>
      <c r="T39" s="20" t="n">
        <v>80.517</v>
      </c>
      <c r="U39" s="20" t="n">
        <v>105.1</v>
      </c>
      <c r="V39" s="20" t="n">
        <v>99.387</v>
      </c>
      <c r="W39" s="20" t="n">
        <v>78.724</v>
      </c>
      <c r="X39" s="20" t="n">
        <v>72.343</v>
      </c>
      <c r="Y39" s="19">
        <f>IF(OR(Y4="",Y40=""),"",IFERROR(Y4*Y40,""))</f>
        <v/>
      </c>
      <c r="Z39" s="20">
        <f>IF(OR(Z4="",Z40=""),"",IFERROR(Z4*Z40,""))</f>
        <v/>
      </c>
      <c r="AA39" s="20">
        <f>IF(OR(AA4="",AA40=""),"",IFERROR(AA4*AA40,""))</f>
        <v/>
      </c>
      <c r="AB39" s="20">
        <f>IF(OR(AB4="",AB40=""),"",IFERROR(AB4*AB40,""))</f>
        <v/>
      </c>
      <c r="AC39" s="20">
        <f>IF(OR(AC4="",AC40=""),"",IFERROR(AC4*AC40,""))</f>
        <v/>
      </c>
    </row>
    <row r="40">
      <c r="A40" s="13" t="inlineStr">
        <is>
          <t>% of Sales</t>
        </is>
      </c>
      <c r="B40" s="10" t="n"/>
      <c r="C40" s="14">
        <f>IF(OR(C39="",C4=""),"",IFERROR(C39/C4,""))</f>
        <v/>
      </c>
      <c r="D40" s="15">
        <f>IF(OR(D39="",D4=""),"",IFERROR(D39/D4,""))</f>
        <v/>
      </c>
      <c r="E40" s="15">
        <f>IF(OR(E39="",E4=""),"",IFERROR(E39/E4,""))</f>
        <v/>
      </c>
      <c r="F40" s="15">
        <f>IF(OR(F39="",F4=""),"",IFERROR(F39/F4,""))</f>
        <v/>
      </c>
      <c r="G40" s="15">
        <f>IF(OR(G39="",G4=""),"",IFERROR(G39/G4,""))</f>
        <v/>
      </c>
      <c r="H40" s="15">
        <f>IF(OR(H39="",H4=""),"",IFERROR(H39/H4,""))</f>
        <v/>
      </c>
      <c r="I40" s="15">
        <f>IF(OR(I39="",I4=""),"",IFERROR(I39/I4,""))</f>
        <v/>
      </c>
      <c r="J40" s="15">
        <f>IF(OR(J39="",J4=""),"",IFERROR(J39/J4,""))</f>
        <v/>
      </c>
      <c r="K40" s="15">
        <f>IF(OR(K39="",K4=""),"",IFERROR(K39/K4,""))</f>
        <v/>
      </c>
      <c r="L40" s="15">
        <f>IF(OR(L39="",L4=""),"",IFERROR(L39/L4,""))</f>
        <v/>
      </c>
      <c r="M40" s="15">
        <f>IF(OR(M39="",M4=""),"",IFERROR(M39/M4,""))</f>
        <v/>
      </c>
      <c r="N40" s="15">
        <f>IF(OR(N39="",N4=""),"",IFERROR(N39/N4,""))</f>
        <v/>
      </c>
      <c r="O40" s="14">
        <f>IF(OR(O39="",O4=""),"",IFERROR(O39/O4,""))</f>
        <v/>
      </c>
      <c r="P40" s="15">
        <f>IF(OR(P39="",P4=""),"",IFERROR(P39/P4,""))</f>
        <v/>
      </c>
      <c r="Q40" s="15">
        <f>IF(OR(Q39="",Q4=""),"",IFERROR(Q39/Q4,""))</f>
        <v/>
      </c>
      <c r="R40" s="15">
        <f>IF(OR(R39="",R4=""),"",IFERROR(R39/R4,""))</f>
        <v/>
      </c>
      <c r="S40" s="15">
        <f>IF(OR(S39="",S4=""),"",IFERROR(S39/S4,""))</f>
        <v/>
      </c>
      <c r="T40" s="15">
        <f>IF(OR(T39="",T4=""),"",IFERROR(T39/T4,""))</f>
        <v/>
      </c>
      <c r="U40" s="15">
        <f>IF(OR(U39="",U4=""),"",IFERROR(U39/U4,""))</f>
        <v/>
      </c>
      <c r="V40" s="15">
        <f>IF(OR(V39="",V4=""),"",IFERROR(V39/V4,""))</f>
        <v/>
      </c>
      <c r="W40" s="15">
        <f>IF(OR(W39="",W4=""),"",IFERROR(W39/W4,""))</f>
        <v/>
      </c>
      <c r="X40" s="15">
        <f>IF(OR(X39="",X4=""),"",IFERROR(X39/X4,""))</f>
        <v/>
      </c>
      <c r="Y40" s="25">
        <f>IFERROR(AVERAGE(V40,W40,X40),"")</f>
        <v/>
      </c>
      <c r="Z40" s="26">
        <f>Y40</f>
        <v/>
      </c>
      <c r="AA40" s="26">
        <f>Z40</f>
        <v/>
      </c>
      <c r="AB40" s="26">
        <f>AA40</f>
        <v/>
      </c>
      <c r="AC40" s="26">
        <f>AB40</f>
        <v/>
      </c>
    </row>
    <row r="41">
      <c r="A41" s="18" t="inlineStr">
        <is>
          <t>영업외비용</t>
        </is>
      </c>
      <c r="B41" s="10" t="n"/>
      <c r="C41" s="19" t="n">
        <v>45.053</v>
      </c>
      <c r="D41" s="20" t="n">
        <v>16.5</v>
      </c>
      <c r="E41" s="20" t="n">
        <v>50.665</v>
      </c>
      <c r="F41" s="20" t="n">
        <v>55.612</v>
      </c>
      <c r="G41" s="20" t="n">
        <v>7.047</v>
      </c>
      <c r="H41" s="20" t="n">
        <v>62.955</v>
      </c>
      <c r="I41" s="20" t="n">
        <v>8</v>
      </c>
      <c r="J41" s="20" t="n">
        <v>23.212</v>
      </c>
      <c r="K41" s="20" t="n">
        <v>36.592</v>
      </c>
      <c r="L41" s="20" t="n">
        <v>90.979</v>
      </c>
      <c r="M41" s="20" t="n">
        <v>65.498</v>
      </c>
      <c r="N41" s="20" t="n">
        <v>46.858</v>
      </c>
      <c r="O41" s="19" t="n">
        <v>6.229</v>
      </c>
      <c r="P41" s="20" t="n">
        <v>22.386</v>
      </c>
      <c r="Q41" s="20" t="n">
        <v>8.718999999999999</v>
      </c>
      <c r="R41" s="20" t="n">
        <v>17.318</v>
      </c>
      <c r="S41" s="20" t="n">
        <v>37.195</v>
      </c>
      <c r="T41" s="20" t="n">
        <v>56.47</v>
      </c>
      <c r="U41" s="20" t="n">
        <v>77.98099999999999</v>
      </c>
      <c r="V41" s="20" t="n">
        <v>178.529</v>
      </c>
      <c r="W41" s="20" t="n">
        <v>133.614</v>
      </c>
      <c r="X41" s="20" t="n">
        <v>216.281</v>
      </c>
      <c r="Y41" s="19">
        <f>IF(OR(Y4="",Y42=""),"",IFERROR(Y4*Y42,""))</f>
        <v/>
      </c>
      <c r="Z41" s="20">
        <f>IF(OR(Z4="",Z42=""),"",IFERROR(Z4*Z42,""))</f>
        <v/>
      </c>
      <c r="AA41" s="20">
        <f>IF(OR(AA4="",AA42=""),"",IFERROR(AA4*AA42,""))</f>
        <v/>
      </c>
      <c r="AB41" s="20">
        <f>IF(OR(AB4="",AB42=""),"",IFERROR(AB4*AB42,""))</f>
        <v/>
      </c>
      <c r="AC41" s="20">
        <f>IF(OR(AC4="",AC42=""),"",IFERROR(AC4*AC42,""))</f>
        <v/>
      </c>
    </row>
    <row r="42">
      <c r="A42" s="13" t="inlineStr">
        <is>
          <t>% of Sales</t>
        </is>
      </c>
      <c r="B42" s="10" t="n"/>
      <c r="C42" s="14">
        <f>IF(OR(C41="",C4=""),"",IFERROR(C41/C4,""))</f>
        <v/>
      </c>
      <c r="D42" s="15">
        <f>IF(OR(D41="",D4=""),"",IFERROR(D41/D4,""))</f>
        <v/>
      </c>
      <c r="E42" s="15">
        <f>IF(OR(E41="",E4=""),"",IFERROR(E41/E4,""))</f>
        <v/>
      </c>
      <c r="F42" s="15">
        <f>IF(OR(F41="",F4=""),"",IFERROR(F41/F4,""))</f>
        <v/>
      </c>
      <c r="G42" s="15">
        <f>IF(OR(G41="",G4=""),"",IFERROR(G41/G4,""))</f>
        <v/>
      </c>
      <c r="H42" s="15">
        <f>IF(OR(H41="",H4=""),"",IFERROR(H41/H4,""))</f>
        <v/>
      </c>
      <c r="I42" s="15">
        <f>IF(OR(I41="",I4=""),"",IFERROR(I41/I4,""))</f>
        <v/>
      </c>
      <c r="J42" s="15">
        <f>IF(OR(J41="",J4=""),"",IFERROR(J41/J4,""))</f>
        <v/>
      </c>
      <c r="K42" s="15">
        <f>IF(OR(K41="",K4=""),"",IFERROR(K41/K4,""))</f>
        <v/>
      </c>
      <c r="L42" s="15">
        <f>IF(OR(L41="",L4=""),"",IFERROR(L41/L4,""))</f>
        <v/>
      </c>
      <c r="M42" s="15">
        <f>IF(OR(M41="",M4=""),"",IFERROR(M41/M4,""))</f>
        <v/>
      </c>
      <c r="N42" s="15">
        <f>IF(OR(N41="",N4=""),"",IFERROR(N41/N4,""))</f>
        <v/>
      </c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25">
        <f>IFERROR(AVERAGE(V42,W42,X42),"")</f>
        <v/>
      </c>
      <c r="Z42" s="26">
        <f>Y42</f>
        <v/>
      </c>
      <c r="AA42" s="26">
        <f>Z42</f>
        <v/>
      </c>
      <c r="AB42" s="26">
        <f>AA42</f>
        <v/>
      </c>
      <c r="AC42" s="26">
        <f>AB42</f>
        <v/>
      </c>
    </row>
    <row r="43">
      <c r="A43" s="9" t="inlineStr">
        <is>
          <t>법인세비용차감전순이익(손실)</t>
        </is>
      </c>
      <c r="B43" s="10" t="n"/>
      <c r="C43" s="11" t="n">
        <v>316.157</v>
      </c>
      <c r="D43" s="12" t="n">
        <v>340.356</v>
      </c>
      <c r="E43" s="12" t="n">
        <v>918.6180000000001</v>
      </c>
      <c r="F43" s="12" t="n">
        <v>-277.509</v>
      </c>
      <c r="G43" s="12" t="n">
        <v>254.214</v>
      </c>
      <c r="H43" s="12" t="n">
        <v>570.6319999999999</v>
      </c>
      <c r="I43" s="12" t="n">
        <v>882.226</v>
      </c>
      <c r="J43" s="12" t="n">
        <v>36.488</v>
      </c>
      <c r="K43" s="12" t="n">
        <v>158.658</v>
      </c>
      <c r="L43" s="12" t="n">
        <v>455.227</v>
      </c>
      <c r="M43" s="12" t="n">
        <v>969.144</v>
      </c>
      <c r="N43" s="12" t="n">
        <v>-218.665</v>
      </c>
      <c r="O43" s="11" t="n">
        <v>250.293</v>
      </c>
      <c r="P43" s="12" t="n">
        <v>12.887</v>
      </c>
      <c r="Q43" s="12" t="n">
        <v>-1538.626</v>
      </c>
      <c r="R43" s="12" t="n">
        <v>620.405</v>
      </c>
      <c r="S43" s="12" t="n">
        <v>375.869</v>
      </c>
      <c r="T43" s="12" t="n">
        <v>-828.76</v>
      </c>
      <c r="U43" s="12" t="n">
        <v>-412.836</v>
      </c>
      <c r="V43" s="12" t="n">
        <v>800.583</v>
      </c>
      <c r="W43" s="12" t="n">
        <v>1429.563</v>
      </c>
      <c r="X43" s="12" t="n">
        <v>1619.517</v>
      </c>
      <c r="Y43" s="11">
        <f>IF(OR(Y19=""),"",IFERROR(Y19+N(Y35)-N(Y37)+N(Y39)-N(Y41),""))</f>
        <v/>
      </c>
      <c r="Z43" s="12">
        <f>IF(OR(Z19=""),"",IFERROR(Z19+N(Z35)-N(Z37)+N(Z39)-N(Z41),""))</f>
        <v/>
      </c>
      <c r="AA43" s="12">
        <f>IF(OR(AA19=""),"",IFERROR(AA19+N(AA35)-N(AA37)+N(AA39)-N(AA41),""))</f>
        <v/>
      </c>
      <c r="AB43" s="12">
        <f>IF(OR(AB19=""),"",IFERROR(AB19+N(AB35)-N(AB37)+N(AB39)-N(AB41),""))</f>
        <v/>
      </c>
      <c r="AC43" s="12">
        <f>IF(OR(AC19=""),"",IFERROR(AC19+N(AC35)-N(AC37)+N(AC39)-N(AC41),""))</f>
        <v/>
      </c>
    </row>
    <row r="44">
      <c r="A44" s="18" t="inlineStr">
        <is>
          <t>법인세비용(수익)</t>
        </is>
      </c>
      <c r="B44" s="10" t="n"/>
      <c r="C44" s="19" t="n">
        <v>10.777</v>
      </c>
      <c r="D44" s="20" t="n">
        <v>66.889</v>
      </c>
      <c r="E44" s="20" t="n">
        <v>-86.998</v>
      </c>
      <c r="F44" s="20" t="n">
        <v>-48.135</v>
      </c>
      <c r="G44" s="20" t="n">
        <v>57.469</v>
      </c>
      <c r="H44" s="20" t="n">
        <v>116.12</v>
      </c>
      <c r="I44" s="20" t="n">
        <v>54.431</v>
      </c>
      <c r="J44" s="20" t="n">
        <v>-19.729</v>
      </c>
      <c r="K44" s="20" t="n">
        <v>39.295</v>
      </c>
      <c r="L44" s="20" t="n">
        <v>38.486</v>
      </c>
      <c r="M44" s="20" t="n">
        <v>62.641</v>
      </c>
      <c r="N44" s="20" t="n">
        <v>1.911</v>
      </c>
      <c r="O44" s="19" t="n">
        <v>143.314</v>
      </c>
      <c r="P44" s="20" t="n">
        <v>-67.75700000000001</v>
      </c>
      <c r="Q44" s="20" t="n">
        <v>1078.896</v>
      </c>
      <c r="R44" s="20" t="n">
        <v>10.591</v>
      </c>
      <c r="S44" s="20" t="n">
        <v>60.236</v>
      </c>
      <c r="T44" s="20" t="n">
        <v>103.309</v>
      </c>
      <c r="U44" s="20" t="n">
        <v>262.458</v>
      </c>
      <c r="V44" s="20" t="n">
        <v>-85.949</v>
      </c>
      <c r="W44" s="20" t="n">
        <v>179.885</v>
      </c>
      <c r="X44" s="20" t="n">
        <v>120.693</v>
      </c>
      <c r="Y44" s="19">
        <f>IF(OR(Y43="",Y45=""),"",IFERROR(MAX(Y43,0)*Y45,""))</f>
        <v/>
      </c>
      <c r="Z44" s="20">
        <f>IF(OR(Z43="",Z45=""),"",IFERROR(MAX(Z43,0)*Z45,""))</f>
        <v/>
      </c>
      <c r="AA44" s="20">
        <f>IF(OR(AA43="",AA45=""),"",IFERROR(MAX(AA43,0)*AA45,""))</f>
        <v/>
      </c>
      <c r="AB44" s="20">
        <f>IF(OR(AB43="",AB45=""),"",IFERROR(MAX(AB43,0)*AB45,""))</f>
        <v/>
      </c>
      <c r="AC44" s="20">
        <f>IF(OR(AC43="",AC45=""),"",IFERROR(MAX(AC43,0)*AC45,""))</f>
        <v/>
      </c>
    </row>
    <row r="45">
      <c r="A45" s="13" t="inlineStr">
        <is>
          <t>법인세율</t>
        </is>
      </c>
      <c r="B45" s="10" t="inlineStr">
        <is>
          <t>MW 기본 30%</t>
        </is>
      </c>
      <c r="C45" s="14">
        <f>IF(OR(C44="",C43=""),"",IFERROR(C44/C43,""))</f>
        <v/>
      </c>
      <c r="D45" s="15">
        <f>IF(OR(D44="",D43=""),"",IFERROR(D44/D43,""))</f>
        <v/>
      </c>
      <c r="E45" s="15">
        <f>IF(OR(E44="",E43=""),"",IFERROR(E44/E43,""))</f>
        <v/>
      </c>
      <c r="F45" s="15">
        <f>IF(OR(F44="",F43=""),"",IFERROR(F44/F43,""))</f>
        <v/>
      </c>
      <c r="G45" s="15">
        <f>IF(OR(G44="",G43=""),"",IFERROR(G44/G43,""))</f>
        <v/>
      </c>
      <c r="H45" s="15">
        <f>IF(OR(H44="",H43=""),"",IFERROR(H44/H43,""))</f>
        <v/>
      </c>
      <c r="I45" s="15">
        <f>IF(OR(I44="",I43=""),"",IFERROR(I44/I43,""))</f>
        <v/>
      </c>
      <c r="J45" s="15">
        <f>IF(OR(J44="",J43=""),"",IFERROR(J44/J43,""))</f>
        <v/>
      </c>
      <c r="K45" s="15">
        <f>IF(OR(K44="",K43=""),"",IFERROR(K44/K43,""))</f>
        <v/>
      </c>
      <c r="L45" s="15">
        <f>IF(OR(L44="",L43=""),"",IFERROR(L44/L43,""))</f>
        <v/>
      </c>
      <c r="M45" s="15">
        <f>IF(OR(M44="",M43=""),"",IFERROR(M44/M43,""))</f>
        <v/>
      </c>
      <c r="N45" s="15">
        <f>IF(OR(N44="",N43=""),"",IFERROR(N44/N43,""))</f>
        <v/>
      </c>
      <c r="O45" s="14">
        <f>IF(OR(O44="",O43=""),"",IFERROR(O44/O43,""))</f>
        <v/>
      </c>
      <c r="P45" s="15">
        <f>IF(OR(P44="",P43=""),"",IFERROR(P44/P43,""))</f>
        <v/>
      </c>
      <c r="Q45" s="15">
        <f>IF(OR(Q44="",Q43=""),"",IFERROR(Q44/Q43,""))</f>
        <v/>
      </c>
      <c r="R45" s="15">
        <f>IF(OR(R44="",R43=""),"",IFERROR(R44/R43,""))</f>
        <v/>
      </c>
      <c r="S45" s="15">
        <f>IF(OR(S44="",S43=""),"",IFERROR(S44/S43,""))</f>
        <v/>
      </c>
      <c r="T45" s="15">
        <f>IF(OR(T44="",T43=""),"",IFERROR(T44/T43,""))</f>
        <v/>
      </c>
      <c r="U45" s="15">
        <f>IF(OR(U44="",U43=""),"",IFERROR(U44/U43,""))</f>
        <v/>
      </c>
      <c r="V45" s="15">
        <f>IF(OR(V44="",V43=""),"",IFERROR(V44/V43,""))</f>
        <v/>
      </c>
      <c r="W45" s="15">
        <f>IF(OR(W44="",W43=""),"",IFERROR(W44/W43,""))</f>
        <v/>
      </c>
      <c r="X45" s="15">
        <f>IF(OR(X44="",X43=""),"",IFERROR(X44/X43,""))</f>
        <v/>
      </c>
      <c r="Y45" s="25" t="n">
        <v>0.3</v>
      </c>
      <c r="Z45" s="26" t="n">
        <v>0.3</v>
      </c>
      <c r="AA45" s="26" t="n">
        <v>0.3</v>
      </c>
      <c r="AB45" s="26" t="n">
        <v>0.3</v>
      </c>
      <c r="AC45" s="26" t="n">
        <v>0.3</v>
      </c>
    </row>
    <row r="46">
      <c r="A46" s="9" t="inlineStr">
        <is>
          <t>당기순이익(손실)</t>
        </is>
      </c>
      <c r="B46" s="10" t="n"/>
      <c r="C46" s="11" t="n">
        <v>305.38</v>
      </c>
      <c r="D46" s="12" t="n">
        <v>273.466</v>
      </c>
      <c r="E46" s="12" t="n">
        <v>1005.617</v>
      </c>
      <c r="F46" s="12" t="n">
        <v>-229.374</v>
      </c>
      <c r="G46" s="12" t="n">
        <v>196.745</v>
      </c>
      <c r="H46" s="12" t="n">
        <v>454.511</v>
      </c>
      <c r="I46" s="12" t="n">
        <v>827.795</v>
      </c>
      <c r="J46" s="12" t="n">
        <v>56.217</v>
      </c>
      <c r="K46" s="12" t="n">
        <v>119.363</v>
      </c>
      <c r="L46" s="12" t="n">
        <v>416.74</v>
      </c>
      <c r="M46" s="12" t="n">
        <v>906.504</v>
      </c>
      <c r="N46" s="12" t="n">
        <v>-220.577</v>
      </c>
      <c r="O46" s="11" t="n">
        <v>106.979</v>
      </c>
      <c r="P46" s="12" t="n">
        <v>80.645</v>
      </c>
      <c r="Q46" s="12" t="n">
        <v>-2617.523</v>
      </c>
      <c r="R46" s="12" t="n">
        <v>609.813</v>
      </c>
      <c r="S46" s="12" t="n">
        <v>315.633</v>
      </c>
      <c r="T46" s="12" t="n">
        <v>-932.069</v>
      </c>
      <c r="U46" s="12" t="n">
        <v>-675.294</v>
      </c>
      <c r="V46" s="12" t="n">
        <v>886.533</v>
      </c>
      <c r="W46" s="12" t="n">
        <v>1249.677</v>
      </c>
      <c r="X46" s="12" t="n">
        <v>1498.824</v>
      </c>
      <c r="Y46" s="11">
        <f>IF(OR(Y43=""),"",IFERROR(Y43-Y44,""))</f>
        <v/>
      </c>
      <c r="Z46" s="12">
        <f>IF(OR(Z43=""),"",IFERROR(Z43-Z44,""))</f>
        <v/>
      </c>
      <c r="AA46" s="12">
        <f>IF(OR(AA43=""),"",IFERROR(AA43-AA44,""))</f>
        <v/>
      </c>
      <c r="AB46" s="12">
        <f>IF(OR(AB43=""),"",IFERROR(AB43-AB44,""))</f>
        <v/>
      </c>
      <c r="AC46" s="12">
        <f>IF(OR(AC43=""),"",IFERROR(AC43-AC44,""))</f>
        <v/>
      </c>
    </row>
    <row r="47">
      <c r="A47" s="9" t="inlineStr">
        <is>
          <t>지배주주 순이익</t>
        </is>
      </c>
      <c r="B47" s="10" t="n"/>
      <c r="C47" s="11" t="n">
        <v>298.186</v>
      </c>
      <c r="D47" s="12" t="n">
        <v>235.733</v>
      </c>
      <c r="E47" s="12" t="n">
        <v>878.607</v>
      </c>
      <c r="F47" s="12" t="n">
        <v>-231.808</v>
      </c>
      <c r="G47" s="12" t="n">
        <v>171.85</v>
      </c>
      <c r="H47" s="12" t="n">
        <v>395.144</v>
      </c>
      <c r="I47" s="12" t="n">
        <v>714.744</v>
      </c>
      <c r="J47" s="12" t="n">
        <v>66.42700000000001</v>
      </c>
      <c r="K47" s="12" t="n">
        <v>141.375</v>
      </c>
      <c r="L47" s="12" t="n">
        <v>361.676</v>
      </c>
      <c r="M47" s="12" t="n">
        <v>803.086</v>
      </c>
      <c r="N47" s="12" t="n">
        <v>-233.645</v>
      </c>
      <c r="O47" s="11" t="n">
        <v>141.933</v>
      </c>
      <c r="P47" s="12" t="n">
        <v>-116.062</v>
      </c>
      <c r="Q47" s="12" t="n">
        <v>-2779.482</v>
      </c>
      <c r="R47" s="12" t="n">
        <v>523.843</v>
      </c>
      <c r="S47" s="12" t="n">
        <v>139.653</v>
      </c>
      <c r="T47" s="12" t="n">
        <v>-1023.544</v>
      </c>
      <c r="U47" s="12" t="n">
        <v>-811.8630000000001</v>
      </c>
      <c r="V47" s="12" t="n">
        <v>759.509</v>
      </c>
      <c r="W47" s="12" t="n">
        <v>1049.93</v>
      </c>
      <c r="X47" s="12" t="n">
        <v>1372.564</v>
      </c>
      <c r="Y47" s="11">
        <f>IF(OR(Y46="",Y48=""),"",IFERROR(Y46*Y48,""))</f>
        <v/>
      </c>
      <c r="Z47" s="12">
        <f>IF(OR(Z46="",Z48=""),"",IFERROR(Z46*Z48,""))</f>
        <v/>
      </c>
      <c r="AA47" s="12">
        <f>IF(OR(AA46="",AA48=""),"",IFERROR(AA46*AA48,""))</f>
        <v/>
      </c>
      <c r="AB47" s="12">
        <f>IF(OR(AB46="",AB48=""),"",IFERROR(AB46*AB48,""))</f>
        <v/>
      </c>
      <c r="AC47" s="12">
        <f>IF(OR(AC46="",AC48=""),"",IFERROR(AC46*AC48,""))</f>
        <v/>
      </c>
    </row>
    <row r="48">
      <c r="A48" s="13" t="inlineStr">
        <is>
          <t>지배주주 순이익률</t>
        </is>
      </c>
      <c r="B48" s="10" t="inlineStr">
        <is>
          <t>MW 기본 100%</t>
        </is>
      </c>
      <c r="C48" s="14">
        <f>IF(OR(C47="",C46=""),"",IFERROR(C47/C46,""))</f>
        <v/>
      </c>
      <c r="D48" s="15">
        <f>IF(OR(D47="",D46=""),"",IFERROR(D47/D46,""))</f>
        <v/>
      </c>
      <c r="E48" s="15">
        <f>IF(OR(E47="",E46=""),"",IFERROR(E47/E46,""))</f>
        <v/>
      </c>
      <c r="F48" s="15">
        <f>IF(OR(F47="",F46=""),"",IFERROR(F47/F46,""))</f>
        <v/>
      </c>
      <c r="G48" s="15">
        <f>IF(OR(G47="",G46=""),"",IFERROR(G47/G46,""))</f>
        <v/>
      </c>
      <c r="H48" s="15">
        <f>IF(OR(H47="",H46=""),"",IFERROR(H47/H46,""))</f>
        <v/>
      </c>
      <c r="I48" s="15">
        <f>IF(OR(I47="",I46=""),"",IFERROR(I47/I46,""))</f>
        <v/>
      </c>
      <c r="J48" s="15">
        <f>IF(OR(J47="",J46=""),"",IFERROR(J47/J46,""))</f>
        <v/>
      </c>
      <c r="K48" s="15">
        <f>IF(OR(K47="",K46=""),"",IFERROR(K47/K46,""))</f>
        <v/>
      </c>
      <c r="L48" s="15">
        <f>IF(OR(L47="",L46=""),"",IFERROR(L47/L46,""))</f>
        <v/>
      </c>
      <c r="M48" s="15">
        <f>IF(OR(M47="",M46=""),"",IFERROR(M47/M46,""))</f>
        <v/>
      </c>
      <c r="N48" s="15">
        <f>IF(OR(N47="",N46=""),"",IFERROR(N47/N46,""))</f>
        <v/>
      </c>
      <c r="O48" s="14">
        <f>IF(OR(O47="",O46=""),"",IFERROR(O47/O46,""))</f>
        <v/>
      </c>
      <c r="P48" s="15">
        <f>IF(OR(P47="",P46=""),"",IFERROR(P47/P46,""))</f>
        <v/>
      </c>
      <c r="Q48" s="15">
        <f>IF(OR(Q47="",Q46=""),"",IFERROR(Q47/Q46,""))</f>
        <v/>
      </c>
      <c r="R48" s="15">
        <f>IF(OR(R47="",R46=""),"",IFERROR(R47/R46,""))</f>
        <v/>
      </c>
      <c r="S48" s="15">
        <f>IF(OR(S47="",S46=""),"",IFERROR(S47/S46,""))</f>
        <v/>
      </c>
      <c r="T48" s="15">
        <f>IF(OR(T47="",T46=""),"",IFERROR(T47/T46,""))</f>
        <v/>
      </c>
      <c r="U48" s="15">
        <f>IF(OR(U47="",U46=""),"",IFERROR(U47/U46,""))</f>
        <v/>
      </c>
      <c r="V48" s="15">
        <f>IF(OR(V47="",V46=""),"",IFERROR(V47/V46,""))</f>
        <v/>
      </c>
      <c r="W48" s="15">
        <f>IF(OR(W47="",W46=""),"",IFERROR(W47/W46,""))</f>
        <v/>
      </c>
      <c r="X48" s="15">
        <f>IF(OR(X47="",X46=""),"",IFERROR(X47/X46,""))</f>
        <v/>
      </c>
      <c r="Y48" s="25" t="n">
        <v>1</v>
      </c>
      <c r="Z48" s="26" t="n">
        <v>1</v>
      </c>
      <c r="AA48" s="26" t="n">
        <v>1</v>
      </c>
      <c r="AB48" s="26" t="n">
        <v>1</v>
      </c>
      <c r="AC48" s="26" t="n">
        <v>1</v>
      </c>
    </row>
    <row r="49">
      <c r="A49" s="16" t="inlineStr">
        <is>
          <t>목표주가 산출</t>
        </is>
      </c>
      <c r="B49" s="16" t="n"/>
      <c r="C49" s="17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7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7" t="n"/>
      <c r="Z49" s="16" t="n"/>
      <c r="AA49" s="16" t="n"/>
      <c r="AB49" s="16" t="n"/>
      <c r="AC49" s="16" t="n"/>
    </row>
    <row r="50">
      <c r="A50" s="18" t="inlineStr">
        <is>
          <t>현재 주가 (2026.10.26)</t>
        </is>
      </c>
      <c r="B50" s="27" t="n">
        <v>4995</v>
      </c>
      <c r="C50" s="28" t="n"/>
      <c r="D50" s="29" t="n"/>
      <c r="E50" s="29" t="n"/>
      <c r="F50" s="29" t="n"/>
      <c r="G50" s="29" t="n"/>
      <c r="H50" s="29" t="n"/>
      <c r="I50" s="29" t="n"/>
      <c r="J50" s="29" t="n"/>
      <c r="K50" s="29" t="n"/>
      <c r="L50" s="29" t="n"/>
      <c r="M50" s="29" t="n"/>
      <c r="N50" s="29" t="n"/>
      <c r="O50" s="28" t="n"/>
      <c r="P50" s="29" t="n"/>
      <c r="Q50" s="29" t="n"/>
      <c r="R50" s="29" t="n"/>
      <c r="S50" s="29" t="n"/>
      <c r="T50" s="29" t="n"/>
      <c r="U50" s="29" t="n"/>
      <c r="V50" s="29" t="n"/>
      <c r="W50" s="29" t="n"/>
      <c r="X50" s="29" t="n"/>
      <c r="Y50" s="28" t="n"/>
      <c r="Z50" s="29" t="n"/>
      <c r="AA50" s="29" t="n"/>
      <c r="AB50" s="29" t="n"/>
      <c r="AC50" s="29" t="n"/>
    </row>
    <row r="51">
      <c r="A51" s="18" t="inlineStr">
        <is>
          <t>발행주식수 (보통주)</t>
        </is>
      </c>
      <c r="B51" s="27" t="n">
        <v>1470000</v>
      </c>
      <c r="C51" s="28" t="n"/>
      <c r="D51" s="29" t="n"/>
      <c r="E51" s="29" t="n"/>
      <c r="F51" s="29" t="n"/>
      <c r="G51" s="29" t="n"/>
      <c r="H51" s="29" t="n"/>
      <c r="I51" s="29" t="n"/>
      <c r="J51" s="29" t="n"/>
      <c r="K51" s="29" t="n"/>
      <c r="L51" s="29" t="n"/>
      <c r="M51" s="29" t="n"/>
      <c r="N51" s="29" t="n"/>
      <c r="O51" s="28" t="n"/>
      <c r="P51" s="29" t="n"/>
      <c r="Q51" s="29" t="n"/>
      <c r="R51" s="29" t="n"/>
      <c r="S51" s="29" t="n"/>
      <c r="T51" s="29" t="n"/>
      <c r="U51" s="29" t="n"/>
      <c r="V51" s="29" t="n"/>
      <c r="W51" s="29" t="n"/>
      <c r="X51" s="29" t="n"/>
      <c r="Y51" s="28" t="n"/>
      <c r="Z51" s="29" t="n"/>
      <c r="AA51" s="29" t="n"/>
      <c r="AB51" s="29" t="n"/>
      <c r="AC51" s="29" t="n"/>
    </row>
    <row r="52">
      <c r="A52" s="18" t="inlineStr">
        <is>
          <t>시가총액 (백만엔)</t>
        </is>
      </c>
      <c r="B52" s="12">
        <f>IF(OR(B50="",B51=""),"",B50*B51/1000000.0)</f>
        <v/>
      </c>
      <c r="C52" s="19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19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19" t="n"/>
      <c r="Z52" s="20" t="n"/>
      <c r="AA52" s="20" t="n"/>
      <c r="AB52" s="20" t="n"/>
      <c r="AC52" s="20" t="n"/>
    </row>
    <row r="53">
      <c r="A53" s="13" t="inlineStr">
        <is>
          <t>OPM</t>
        </is>
      </c>
      <c r="B53" s="10" t="n"/>
      <c r="C53" s="14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4">
        <f>IF(O20="","",O20)</f>
        <v/>
      </c>
      <c r="P53" s="15">
        <f>IF(P20="","",P20)</f>
        <v/>
      </c>
      <c r="Q53" s="15">
        <f>IF(Q20="","",Q20)</f>
        <v/>
      </c>
      <c r="R53" s="15">
        <f>IF(R20="","",R20)</f>
        <v/>
      </c>
      <c r="S53" s="15">
        <f>IF(S20="","",S20)</f>
        <v/>
      </c>
      <c r="T53" s="15">
        <f>IF(T20="","",T20)</f>
        <v/>
      </c>
      <c r="U53" s="15">
        <f>IF(U20="","",U20)</f>
        <v/>
      </c>
      <c r="V53" s="15">
        <f>IF(V20="","",V20)</f>
        <v/>
      </c>
      <c r="W53" s="15">
        <f>IF(W20="","",W20)</f>
        <v/>
      </c>
      <c r="X53" s="15">
        <f>IF(X20="","",X20)</f>
        <v/>
      </c>
      <c r="Y53" s="14">
        <f>IF(Y20="","",Y20)</f>
        <v/>
      </c>
      <c r="Z53" s="15">
        <f>IF(Z20="","",Z20)</f>
        <v/>
      </c>
      <c r="AA53" s="15">
        <f>IF(AA20="","",AA20)</f>
        <v/>
      </c>
      <c r="AB53" s="15">
        <f>IF(AB20="","",AB20)</f>
        <v/>
      </c>
      <c r="AC53" s="15">
        <f>IF(AC20="","",AC20)</f>
        <v/>
      </c>
    </row>
    <row r="54">
      <c r="A54" s="13" t="inlineStr">
        <is>
          <t>지배주주 순이익 증가율</t>
        </is>
      </c>
      <c r="B54" s="10" t="n"/>
      <c r="C54" s="14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4" t="n"/>
      <c r="P54" s="15">
        <f>IF(OR(P47="",O47=""),"",IFERROR(P47/O47-1,""))</f>
        <v/>
      </c>
      <c r="Q54" s="15">
        <f>IF(OR(Q47="",P47=""),"",IFERROR(Q47/P47-1,""))</f>
        <v/>
      </c>
      <c r="R54" s="15">
        <f>IF(OR(R47="",Q47=""),"",IFERROR(R47/Q47-1,""))</f>
        <v/>
      </c>
      <c r="S54" s="15">
        <f>IF(OR(S47="",R47=""),"",IFERROR(S47/R47-1,""))</f>
        <v/>
      </c>
      <c r="T54" s="15">
        <f>IF(OR(T47="",S47=""),"",IFERROR(T47/S47-1,""))</f>
        <v/>
      </c>
      <c r="U54" s="15">
        <f>IF(OR(U47="",T47=""),"",IFERROR(U47/T47-1,""))</f>
        <v/>
      </c>
      <c r="V54" s="15">
        <f>IF(OR(V47="",U47=""),"",IFERROR(V47/U47-1,""))</f>
        <v/>
      </c>
      <c r="W54" s="15">
        <f>IF(OR(W47="",V47=""),"",IFERROR(W47/V47-1,""))</f>
        <v/>
      </c>
      <c r="X54" s="15">
        <f>IF(OR(X47="",W47=""),"",IFERROR(X47/W47-1,""))</f>
        <v/>
      </c>
      <c r="Y54" s="14">
        <f>IF(OR(Y47="",X47=""),"",IFERROR(Y47/X47-1,""))</f>
        <v/>
      </c>
      <c r="Z54" s="15">
        <f>IF(OR(Z47="",Y47=""),"",IFERROR(Z47/Y47-1,""))</f>
        <v/>
      </c>
      <c r="AA54" s="15">
        <f>IF(OR(AA47="",Z47=""),"",IFERROR(AA47/Z47-1,""))</f>
        <v/>
      </c>
      <c r="AB54" s="15">
        <f>IF(OR(AB47="",AA47=""),"",IFERROR(AB47/AA47-1,""))</f>
        <v/>
      </c>
      <c r="AC54" s="15">
        <f>IF(OR(AC47="",AB47=""),"",IFERROR(AC47/AB47-1,""))</f>
        <v/>
      </c>
    </row>
    <row r="55">
      <c r="A55" s="18" t="inlineStr">
        <is>
          <t>P/E (현재 주가)</t>
        </is>
      </c>
      <c r="B55" s="10" t="inlineStr">
        <is>
          <t>시총 ÷ 지배순이익</t>
        </is>
      </c>
      <c r="C55" s="30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0" t="n"/>
      <c r="P55" s="31" t="n"/>
      <c r="Q55" s="31" t="n"/>
      <c r="R55" s="31" t="n"/>
      <c r="S55" s="31" t="n"/>
      <c r="T55" s="31" t="n"/>
      <c r="U55" s="31" t="n"/>
      <c r="V55" s="31" t="n"/>
      <c r="W55" s="31" t="n"/>
      <c r="X55" s="31">
        <f>IF(OR($B$52="",X47=""),"",IFERROR($B$52/X47,""))</f>
        <v/>
      </c>
      <c r="Y55" s="30">
        <f>IF(OR($B$52="",Y47=""),"",IFERROR($B$52/Y47,""))</f>
        <v/>
      </c>
      <c r="Z55" s="31">
        <f>IF(OR($B$52="",Z47=""),"",IFERROR($B$52/Z47,""))</f>
        <v/>
      </c>
      <c r="AA55" s="31">
        <f>IF(OR($B$52="",AA47=""),"",IFERROR($B$52/AA47,""))</f>
        <v/>
      </c>
      <c r="AB55" s="31">
        <f>IF(OR($B$52="",AB47=""),"",IFERROR($B$52/AB47,""))</f>
        <v/>
      </c>
      <c r="AC55" s="31">
        <f>IF(OR($B$52="",AC47=""),"",IFERROR($B$52/AC47,""))</f>
        <v/>
      </c>
    </row>
    <row r="56">
      <c r="A56" s="18" t="inlineStr">
        <is>
          <t>Target P/E</t>
        </is>
      </c>
      <c r="B56" s="10" t="inlineStr">
        <is>
          <t>직접 입력</t>
        </is>
      </c>
      <c r="C56" s="30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0" t="n"/>
      <c r="P56" s="31" t="n"/>
      <c r="Q56" s="31" t="n"/>
      <c r="R56" s="31" t="n"/>
      <c r="S56" s="31" t="n"/>
      <c r="T56" s="31" t="n"/>
      <c r="U56" s="31" t="n"/>
      <c r="V56" s="31" t="n"/>
      <c r="W56" s="31" t="n"/>
      <c r="X56" s="31" t="n"/>
      <c r="Y56" s="32" t="n"/>
      <c r="Z56" s="33" t="n"/>
      <c r="AA56" s="33" t="n"/>
      <c r="AB56" s="33" t="n"/>
      <c r="AC56" s="33" t="n"/>
    </row>
    <row r="57">
      <c r="A57" s="18" t="inlineStr">
        <is>
          <t>EPS</t>
        </is>
      </c>
      <c r="B57" s="10" t="inlineStr">
        <is>
          <t>지배순이익 ÷ 주식수</t>
        </is>
      </c>
      <c r="C57" s="28" t="n"/>
      <c r="D57" s="29" t="n"/>
      <c r="E57" s="29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8">
        <f>IF(OR(O47="",$B$51=""),"",IFERROR(O47*1000000.0/$B$51,""))</f>
        <v/>
      </c>
      <c r="P57" s="29">
        <f>IF(OR(P47="",$B$51=""),"",IFERROR(P47*1000000.0/$B$51,""))</f>
        <v/>
      </c>
      <c r="Q57" s="29">
        <f>IF(OR(Q47="",$B$51=""),"",IFERROR(Q47*1000000.0/$B$51,""))</f>
        <v/>
      </c>
      <c r="R57" s="29">
        <f>IF(OR(R47="",$B$51=""),"",IFERROR(R47*1000000.0/$B$51,""))</f>
        <v/>
      </c>
      <c r="S57" s="29">
        <f>IF(OR(S47="",$B$51=""),"",IFERROR(S47*1000000.0/$B$51,""))</f>
        <v/>
      </c>
      <c r="T57" s="29">
        <f>IF(OR(T47="",$B$51=""),"",IFERROR(T47*1000000.0/$B$51,""))</f>
        <v/>
      </c>
      <c r="U57" s="29">
        <f>IF(OR(U47="",$B$51=""),"",IFERROR(U47*1000000.0/$B$51,""))</f>
        <v/>
      </c>
      <c r="V57" s="29">
        <f>IF(OR(V47="",$B$51=""),"",IFERROR(V47*1000000.0/$B$51,""))</f>
        <v/>
      </c>
      <c r="W57" s="29">
        <f>IF(OR(W47="",$B$51=""),"",IFERROR(W47*1000000.0/$B$51,""))</f>
        <v/>
      </c>
      <c r="X57" s="29">
        <f>IF(OR(X47="",$B$51=""),"",IFERROR(X47*1000000.0/$B$51,""))</f>
        <v/>
      </c>
      <c r="Y57" s="28">
        <f>IF(OR(Y47="",$B$51=""),"",IFERROR(Y47*1000000.0/$B$51,""))</f>
        <v/>
      </c>
      <c r="Z57" s="29">
        <f>IF(OR(Z47="",$B$51=""),"",IFERROR(Z47*1000000.0/$B$51,""))</f>
        <v/>
      </c>
      <c r="AA57" s="29">
        <f>IF(OR(AA47="",$B$51=""),"",IFERROR(AA47*1000000.0/$B$51,""))</f>
        <v/>
      </c>
      <c r="AB57" s="29">
        <f>IF(OR(AB47="",$B$51=""),"",IFERROR(AB47*1000000.0/$B$51,""))</f>
        <v/>
      </c>
      <c r="AC57" s="29">
        <f>IF(OR(AC47="",$B$51=""),"",IFERROR(AC47*1000000.0/$B$51,""))</f>
        <v/>
      </c>
    </row>
    <row r="58">
      <c r="A58" s="9" t="inlineStr">
        <is>
          <t>목표주가</t>
        </is>
      </c>
      <c r="B58" s="10" t="n"/>
      <c r="C58" s="34" t="n"/>
      <c r="D58" s="27" t="n"/>
      <c r="E58" s="27" t="n"/>
      <c r="F58" s="27" t="n"/>
      <c r="G58" s="27" t="n"/>
      <c r="H58" s="27" t="n"/>
      <c r="I58" s="27" t="n"/>
      <c r="J58" s="27" t="n"/>
      <c r="K58" s="27" t="n"/>
      <c r="L58" s="27" t="n"/>
      <c r="M58" s="27" t="n"/>
      <c r="N58" s="27" t="n"/>
      <c r="O58" s="34" t="n"/>
      <c r="P58" s="27" t="n"/>
      <c r="Q58" s="27" t="n"/>
      <c r="R58" s="27" t="n"/>
      <c r="S58" s="27" t="n"/>
      <c r="T58" s="27" t="n"/>
      <c r="U58" s="27" t="n"/>
      <c r="V58" s="27" t="n"/>
      <c r="W58" s="27" t="n"/>
      <c r="X58" s="27" t="n"/>
      <c r="Y58" s="34">
        <f>IF(OR(Y57="",Y56=""),"",IFERROR(Y57*Y56,""))</f>
        <v/>
      </c>
      <c r="Z58" s="27">
        <f>IF(OR(Z57="",Z56=""),"",IFERROR(Z57*Z56,""))</f>
        <v/>
      </c>
      <c r="AA58" s="27">
        <f>IF(OR(AA57="",AA56=""),"",IFERROR(AA57*AA56,""))</f>
        <v/>
      </c>
      <c r="AB58" s="27">
        <f>IF(OR(AB57="",AB56=""),"",IFERROR(AB57*AB56,""))</f>
        <v/>
      </c>
      <c r="AC58" s="27">
        <f>IF(OR(AC57="",AC56=""),"",IFERROR(AC57*AC56,""))</f>
        <v/>
      </c>
    </row>
    <row r="59">
      <c r="A59" s="18" t="inlineStr">
        <is>
          <t>상승여력</t>
        </is>
      </c>
      <c r="B59" s="10" t="n"/>
      <c r="C59" s="35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5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7">
        <f>IF(OR(Y58="",$B$50=""),"",IFERROR(Y58/$B$50-1,""))</f>
        <v/>
      </c>
      <c r="Z59" s="38">
        <f>IF(OR(Z58="",$B$50=""),"",IFERROR(Z58/$B$50-1,""))</f>
        <v/>
      </c>
      <c r="AA59" s="38">
        <f>IF(OR(AA58="",$B$50=""),"",IFERROR(AA58/$B$50-1,""))</f>
        <v/>
      </c>
      <c r="AB59" s="38">
        <f>IF(OR(AB58="",$B$50=""),"",IFERROR(AB58/$B$50-1,""))</f>
        <v/>
      </c>
      <c r="AC59" s="38">
        <f>IF(OR(AC58="",$B$50=""),"",IFERROR(AC58/$B$50-1,""))</f>
        <v/>
      </c>
    </row>
    <row r="60">
      <c r="A60" s="16" t="inlineStr">
        <is>
          <t>자산가치 산출</t>
        </is>
      </c>
      <c r="B60" s="16" t="inlineStr">
        <is>
          <t>최신 분기 BS</t>
        </is>
      </c>
      <c r="C60" s="17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7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7" t="n"/>
      <c r="Z60" s="16" t="n"/>
      <c r="AA60" s="16" t="n"/>
      <c r="AB60" s="16" t="n"/>
      <c r="AC60" s="16" t="n"/>
    </row>
    <row r="61">
      <c r="A61" s="18" t="inlineStr">
        <is>
          <t>현금및현금성자산</t>
        </is>
      </c>
      <c r="B61" s="10" t="n"/>
      <c r="C61" s="19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19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>
        <f>'재무상태표'!G6</f>
        <v/>
      </c>
      <c r="Y61" s="19">
        <f>'재무상태표'!G6</f>
        <v/>
      </c>
      <c r="Z61" s="20">
        <f>'재무상태표'!G6</f>
        <v/>
      </c>
      <c r="AA61" s="20">
        <f>'재무상태표'!G6</f>
        <v/>
      </c>
      <c r="AB61" s="20">
        <f>'재무상태표'!G6</f>
        <v/>
      </c>
      <c r="AC61" s="20">
        <f>'재무상태표'!G6</f>
        <v/>
      </c>
    </row>
    <row r="62">
      <c r="A62" s="18" t="inlineStr">
        <is>
          <t>단기금융상품</t>
        </is>
      </c>
      <c r="B62" s="10" t="n"/>
      <c r="C62" s="19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19" t="n"/>
      <c r="P62" s="20" t="n"/>
      <c r="Q62" s="20" t="n"/>
      <c r="R62" s="20" t="n"/>
      <c r="S62" s="20" t="n"/>
      <c r="T62" s="20" t="n"/>
      <c r="U62" s="20" t="n"/>
      <c r="V62" s="20" t="n"/>
      <c r="W62" s="20" t="n"/>
      <c r="X62" s="20">
        <f>'재무상태표'!G7</f>
        <v/>
      </c>
      <c r="Y62" s="19">
        <f>'재무상태표'!G7</f>
        <v/>
      </c>
      <c r="Z62" s="20">
        <f>'재무상태표'!G7</f>
        <v/>
      </c>
      <c r="AA62" s="20">
        <f>'재무상태표'!G7</f>
        <v/>
      </c>
      <c r="AB62" s="20">
        <f>'재무상태표'!G7</f>
        <v/>
      </c>
      <c r="AC62" s="20">
        <f>'재무상태표'!G7</f>
        <v/>
      </c>
    </row>
    <row r="63">
      <c r="A63" s="18" t="inlineStr">
        <is>
          <t>투자부동산</t>
        </is>
      </c>
      <c r="B63" s="10" t="n"/>
      <c r="C63" s="19" t="n"/>
      <c r="D63" s="20" t="n"/>
      <c r="E63" s="20" t="n"/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19" t="n"/>
      <c r="P63" s="20" t="n"/>
      <c r="Q63" s="20" t="n"/>
      <c r="R63" s="20" t="n"/>
      <c r="S63" s="20" t="n"/>
      <c r="T63" s="20" t="n"/>
      <c r="U63" s="20" t="n"/>
      <c r="V63" s="20" t="n"/>
      <c r="W63" s="20" t="n"/>
      <c r="X63" s="20">
        <f>'재무상태표'!G14</f>
        <v/>
      </c>
      <c r="Y63" s="19">
        <f>'재무상태표'!G14</f>
        <v/>
      </c>
      <c r="Z63" s="20">
        <f>'재무상태표'!G14</f>
        <v/>
      </c>
      <c r="AA63" s="20">
        <f>'재무상태표'!G14</f>
        <v/>
      </c>
      <c r="AB63" s="20">
        <f>'재무상태표'!G14</f>
        <v/>
      </c>
      <c r="AC63" s="20">
        <f>'재무상태표'!G14</f>
        <v/>
      </c>
    </row>
    <row r="64">
      <c r="A64" s="18" t="inlineStr">
        <is>
          <t>지배자본</t>
        </is>
      </c>
      <c r="B64" s="10" t="n"/>
      <c r="C64" s="19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19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>
        <f>'재무상태표'!G31</f>
        <v/>
      </c>
      <c r="Y64" s="19">
        <f>'재무상태표'!G31</f>
        <v/>
      </c>
      <c r="Z64" s="20">
        <f>'재무상태표'!G31</f>
        <v/>
      </c>
      <c r="AA64" s="20">
        <f>'재무상태표'!G31</f>
        <v/>
      </c>
      <c r="AB64" s="20">
        <f>'재무상태표'!G31</f>
        <v/>
      </c>
      <c r="AC64" s="20">
        <f>'재무상태표'!G31</f>
        <v/>
      </c>
    </row>
    <row r="65">
      <c r="A65" s="18" t="inlineStr">
        <is>
          <t>부채</t>
        </is>
      </c>
      <c r="B65" s="10" t="n"/>
      <c r="C65" s="19" t="n"/>
      <c r="D65" s="20" t="n"/>
      <c r="E65" s="20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19" t="n"/>
      <c r="P65" s="20" t="n"/>
      <c r="Q65" s="20" t="n"/>
      <c r="R65" s="20" t="n"/>
      <c r="S65" s="20" t="n"/>
      <c r="T65" s="20" t="n"/>
      <c r="U65" s="20" t="n"/>
      <c r="V65" s="20" t="n"/>
      <c r="W65" s="20" t="n"/>
      <c r="X65" s="20">
        <f>'재무상태표'!G27</f>
        <v/>
      </c>
      <c r="Y65" s="19">
        <f>'재무상태표'!G27</f>
        <v/>
      </c>
      <c r="Z65" s="20">
        <f>'재무상태표'!G27</f>
        <v/>
      </c>
      <c r="AA65" s="20">
        <f>'재무상태표'!G27</f>
        <v/>
      </c>
      <c r="AB65" s="20">
        <f>'재무상태표'!G27</f>
        <v/>
      </c>
      <c r="AC65" s="20">
        <f>'재무상태표'!G27</f>
        <v/>
      </c>
    </row>
    <row r="66">
      <c r="A66" s="13" t="inlineStr">
        <is>
          <t>부채비율</t>
        </is>
      </c>
      <c r="B66" s="10" t="n"/>
      <c r="C66" s="14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4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>
        <f>IF(OR(X65="",X64=""),"",IFERROR(X65/X64,""))</f>
        <v/>
      </c>
      <c r="Y66" s="14">
        <f>IF(OR(Y65="",Y64=""),"",IFERROR(Y65/Y64,""))</f>
        <v/>
      </c>
      <c r="Z66" s="15">
        <f>IF(OR(Z65="",Z64=""),"",IFERROR(Z65/Z64,""))</f>
        <v/>
      </c>
      <c r="AA66" s="15">
        <f>IF(OR(AA65="",AA64=""),"",IFERROR(AA65/AA64,""))</f>
        <v/>
      </c>
      <c r="AB66" s="15">
        <f>IF(OR(AB65="",AB64=""),"",IFERROR(AB65/AB64,""))</f>
        <v/>
      </c>
      <c r="AC66" s="15">
        <f>IF(OR(AC65="",AC64=""),"",IFERROR(AC65/AC64,""))</f>
        <v/>
      </c>
    </row>
    <row r="67">
      <c r="A67" s="9" t="inlineStr">
        <is>
          <t>자산가치</t>
        </is>
      </c>
      <c r="B67" s="10" t="inlineStr">
        <is>
          <t>현금+단기금융+투자부동산</t>
        </is>
      </c>
      <c r="C67" s="11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1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>
        <f>SUM(X61,X62,X63)</f>
        <v/>
      </c>
      <c r="Y67" s="11">
        <f>SUM(Y61,Y62,Y63)</f>
        <v/>
      </c>
      <c r="Z67" s="12">
        <f>SUM(Z61,Z62,Z63)</f>
        <v/>
      </c>
      <c r="AA67" s="12">
        <f>SUM(AA61,AA62,AA63)</f>
        <v/>
      </c>
      <c r="AB67" s="12">
        <f>SUM(AB61,AB62,AB63)</f>
        <v/>
      </c>
      <c r="AC67" s="12">
        <f>SUM(AC61,AC62,AC63)</f>
        <v/>
      </c>
    </row>
    <row r="68">
      <c r="A68" s="16" t="inlineStr">
        <is>
          <t>기업가치 산출</t>
        </is>
      </c>
      <c r="B68" s="16" t="n"/>
      <c r="C68" s="17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7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7" t="n"/>
      <c r="Z68" s="16" t="n"/>
      <c r="AA68" s="16" t="n"/>
      <c r="AB68" s="16" t="n"/>
      <c r="AC68" s="16" t="n"/>
    </row>
    <row r="69">
      <c r="A69" s="18" t="inlineStr">
        <is>
          <t>목표 시가총액 (P/E)</t>
        </is>
      </c>
      <c r="B69" s="10" t="inlineStr">
        <is>
          <t>지배순이익 × Target P/E</t>
        </is>
      </c>
      <c r="C69" s="19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19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 t="n"/>
      <c r="Y69" s="19">
        <f>IF(OR(Y47="",Y56=""),"",IFERROR(Y47*Y56,""))</f>
        <v/>
      </c>
      <c r="Z69" s="20">
        <f>IF(OR(Z47="",Z56=""),"",IFERROR(Z47*Z56,""))</f>
        <v/>
      </c>
      <c r="AA69" s="20">
        <f>IF(OR(AA47="",AA56=""),"",IFERROR(AA47*AA56,""))</f>
        <v/>
      </c>
      <c r="AB69" s="20">
        <f>IF(OR(AB47="",AB56=""),"",IFERROR(AB47*AB56,""))</f>
        <v/>
      </c>
      <c r="AC69" s="20">
        <f>IF(OR(AC47="",AC56=""),"",IFERROR(AC47*AC56,""))</f>
        <v/>
      </c>
    </row>
    <row r="70">
      <c r="A70" s="9" t="inlineStr">
        <is>
          <t>기업가치</t>
        </is>
      </c>
      <c r="B70" s="10" t="inlineStr">
        <is>
          <t>목표시총 + 자산가치</t>
        </is>
      </c>
      <c r="C70" s="11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1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1">
        <f>IF(OR(Y69=""),"",IFERROR(Y69+Y67,""))</f>
        <v/>
      </c>
      <c r="Z70" s="12">
        <f>IF(OR(Z69=""),"",IFERROR(Z69+Z67,""))</f>
        <v/>
      </c>
      <c r="AA70" s="12">
        <f>IF(OR(AA69=""),"",IFERROR(AA69+AA67,""))</f>
        <v/>
      </c>
      <c r="AB70" s="12">
        <f>IF(OR(AB69=""),"",IFERROR(AB69+AB67,""))</f>
        <v/>
      </c>
      <c r="AC70" s="12">
        <f>IF(OR(AC69=""),"",IFERROR(AC69+AC67,""))</f>
        <v/>
      </c>
    </row>
    <row r="71">
      <c r="A71" s="18" t="inlineStr">
        <is>
          <t>현재 시가총액</t>
        </is>
      </c>
      <c r="B71" s="10" t="n"/>
      <c r="C71" s="19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19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 t="n"/>
      <c r="Y71" s="19">
        <f>$B$52</f>
        <v/>
      </c>
      <c r="Z71" s="20">
        <f>$B$52</f>
        <v/>
      </c>
      <c r="AA71" s="20">
        <f>$B$52</f>
        <v/>
      </c>
      <c r="AB71" s="20">
        <f>$B$52</f>
        <v/>
      </c>
      <c r="AC71" s="20">
        <f>$B$52</f>
        <v/>
      </c>
    </row>
    <row r="72">
      <c r="A72" s="18" t="inlineStr">
        <is>
          <t>상승여력</t>
        </is>
      </c>
      <c r="B72" s="10" t="n"/>
      <c r="C72" s="35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5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7">
        <f>IF(OR(Y70="",Y71=""),"",IFERROR(Y70/Y71-1,""))</f>
        <v/>
      </c>
      <c r="Z72" s="38">
        <f>IF(OR(Z70="",Z71=""),"",IFERROR(Z70/Z71-1,""))</f>
        <v/>
      </c>
      <c r="AA72" s="38">
        <f>IF(OR(AA70="",AA71=""),"",IFERROR(AA70/AA71-1,""))</f>
        <v/>
      </c>
      <c r="AB72" s="38">
        <f>IF(OR(AB70="",AB71=""),"",IFERROR(AB70/AB71-1,""))</f>
        <v/>
      </c>
      <c r="AC72" s="38">
        <f>IF(OR(AC70="",AC71=""),"",IFERROR(AC70/AC71-1,""))</f>
        <v/>
      </c>
    </row>
    <row r="73">
      <c r="C73" s="39" t="n"/>
      <c r="O73" s="39" t="n"/>
      <c r="Y73" s="39" t="n"/>
    </row>
    <row r="74">
      <c r="A74" s="40" t="inlineStr">
        <is>
          <t>출처</t>
        </is>
      </c>
      <c r="C74" s="39" t="n"/>
      <c r="O74" s="39" t="n"/>
      <c r="Y74" s="39" t="n"/>
    </row>
    <row r="75">
      <c r="A75" s="41" t="inlineStr">
        <is>
          <t>결산단신 XBRL(TDnet·JPX 보관소) — 쓴 문서는 '출처' 시트</t>
        </is>
      </c>
      <c r="C75" s="39" t="n"/>
      <c r="O75" s="39" t="n"/>
      <c r="Y75" s="39" t="n"/>
    </row>
    <row r="76">
      <c r="A76" s="41" t="inlineStr">
        <is>
          <t>분기 = 누계에서 앞 분기를 뺀 3개월 값</t>
        </is>
      </c>
      <c r="C76" s="39" t="n"/>
      <c r="O76" s="39" t="n"/>
      <c r="Y76" s="39" t="n"/>
    </row>
    <row r="77">
      <c r="A77" s="41" t="inlineStr">
        <is>
          <t>주가: 야후 파이낸스 일봉 2026.10.26</t>
        </is>
      </c>
      <c r="C77" s="39" t="n"/>
      <c r="O77" s="39" t="n"/>
      <c r="Y77" s="39" t="n"/>
    </row>
    <row r="79">
      <c r="A79" s="16" t="inlineStr">
        <is>
          <t>손익계산서 · 전 항목</t>
        </is>
      </c>
      <c r="B79" s="42" t="inlineStr">
        <is>
          <t>분기 = 3개월 단독</t>
        </is>
      </c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</row>
    <row r="80">
      <c r="A80" s="5" t="inlineStr">
        <is>
          <t>항목</t>
        </is>
      </c>
      <c r="B80" s="5" t="inlineStr">
        <is>
          <t>참고</t>
        </is>
      </c>
      <c r="C80" s="5" t="inlineStr">
        <is>
          <t>2024.2Q</t>
        </is>
      </c>
      <c r="D80" s="5" t="inlineStr">
        <is>
          <t>2024.3Q</t>
        </is>
      </c>
      <c r="E80" s="5" t="inlineStr">
        <is>
          <t>2024.4Q</t>
        </is>
      </c>
      <c r="F80" s="5" t="inlineStr">
        <is>
          <t>2025.1Q</t>
        </is>
      </c>
      <c r="G80" s="5" t="inlineStr">
        <is>
          <t>2025.2Q</t>
        </is>
      </c>
      <c r="H80" s="5" t="inlineStr">
        <is>
          <t>2025.3Q</t>
        </is>
      </c>
      <c r="I80" s="5" t="inlineStr">
        <is>
          <t>2025.4Q</t>
        </is>
      </c>
      <c r="J80" s="5" t="inlineStr">
        <is>
          <t>2026.1Q</t>
        </is>
      </c>
      <c r="K80" s="5" t="inlineStr">
        <is>
          <t>2026.2Q</t>
        </is>
      </c>
      <c r="L80" s="5" t="inlineStr">
        <is>
          <t>2026.3Q</t>
        </is>
      </c>
      <c r="M80" s="5" t="inlineStr">
        <is>
          <t>2026.4Q</t>
        </is>
      </c>
      <c r="N80" s="5" t="inlineStr">
        <is>
          <t>2027.1Q</t>
        </is>
      </c>
      <c r="O80" s="5" t="inlineStr">
        <is>
          <t>2017</t>
        </is>
      </c>
      <c r="P80" s="5" t="inlineStr">
        <is>
          <t>2018</t>
        </is>
      </c>
      <c r="Q80" s="5" t="inlineStr">
        <is>
          <t>2019</t>
        </is>
      </c>
      <c r="R80" s="5" t="inlineStr">
        <is>
          <t>2020</t>
        </is>
      </c>
      <c r="S80" s="5" t="inlineStr">
        <is>
          <t>2021</t>
        </is>
      </c>
      <c r="T80" s="5" t="inlineStr">
        <is>
          <t>2022</t>
        </is>
      </c>
      <c r="U80" s="5" t="inlineStr">
        <is>
          <t>2023</t>
        </is>
      </c>
      <c r="V80" s="5" t="inlineStr">
        <is>
          <t>2024</t>
        </is>
      </c>
      <c r="W80" s="5" t="inlineStr">
        <is>
          <t>2025</t>
        </is>
      </c>
      <c r="X80" s="5" t="inlineStr">
        <is>
          <t>2026</t>
        </is>
      </c>
      <c r="Y80" s="5" t="inlineStr">
        <is>
          <t>2027(MW)</t>
        </is>
      </c>
      <c r="Z80" s="5" t="inlineStr">
        <is>
          <t>2028(MW)</t>
        </is>
      </c>
      <c r="AA80" s="5" t="inlineStr">
        <is>
          <t>2029(MW)</t>
        </is>
      </c>
      <c r="AB80" s="5" t="inlineStr">
        <is>
          <t>2030(MW)</t>
        </is>
      </c>
      <c r="AC80" s="5" t="inlineStr">
        <is>
          <t>2031(MW)</t>
        </is>
      </c>
    </row>
    <row r="81">
      <c r="A81" s="9" t="inlineStr">
        <is>
          <t>매출액</t>
        </is>
      </c>
      <c r="C81" s="12" t="n">
        <v>6207.926</v>
      </c>
      <c r="D81" s="12" t="n">
        <v>6475.542</v>
      </c>
      <c r="E81" s="12" t="n">
        <v>11439.177</v>
      </c>
      <c r="F81" s="12" t="n">
        <v>4894.085</v>
      </c>
      <c r="G81" s="12" t="n">
        <v>5882.661</v>
      </c>
      <c r="H81" s="12" t="n">
        <v>7771.54</v>
      </c>
      <c r="I81" s="12" t="n">
        <v>10497.906</v>
      </c>
      <c r="J81" s="12" t="n">
        <v>5251.351</v>
      </c>
      <c r="K81" s="12" t="n">
        <v>6585.237</v>
      </c>
      <c r="L81" s="12" t="n">
        <v>8239.593000000001</v>
      </c>
      <c r="M81" s="12" t="n">
        <v>12633.402</v>
      </c>
      <c r="N81" s="12" t="n">
        <v>6762.843</v>
      </c>
      <c r="T81" s="12" t="n">
        <v>8482.671</v>
      </c>
      <c r="U81" s="12" t="n">
        <v>8805.705</v>
      </c>
      <c r="V81" s="12" t="n">
        <v>11439.177</v>
      </c>
      <c r="W81" s="12" t="n">
        <v>10497.906</v>
      </c>
      <c r="X81" s="12" t="n">
        <v>12633.402</v>
      </c>
    </row>
    <row r="82">
      <c r="A82" s="43" t="inlineStr">
        <is>
          <t>YoY</t>
        </is>
      </c>
      <c r="B82" s="3" t="inlineStr">
        <is>
          <t>전년 같은 분기·전년 대비</t>
        </is>
      </c>
      <c r="G82" s="15">
        <f>IF(OR(G81="",C81=""),"",IF(C81&lt;=0,"",IFERROR(G81/C81-1,"")))</f>
        <v/>
      </c>
      <c r="H82" s="15">
        <f>IF(OR(H81="",D81=""),"",IF(D81&lt;=0,"",IFERROR(H81/D81-1,"")))</f>
        <v/>
      </c>
      <c r="I82" s="15">
        <f>IF(OR(I81="",E81=""),"",IF(E81&lt;=0,"",IFERROR(I81/E81-1,"")))</f>
        <v/>
      </c>
      <c r="J82" s="15">
        <f>IF(OR(J81="",F81=""),"",IF(F81&lt;=0,"",IFERROR(J81/F81-1,"")))</f>
        <v/>
      </c>
      <c r="K82" s="15">
        <f>IF(OR(K81="",G81=""),"",IF(G81&lt;=0,"",IFERROR(K81/G81-1,"")))</f>
        <v/>
      </c>
      <c r="L82" s="15">
        <f>IF(OR(L81="",H81=""),"",IF(H81&lt;=0,"",IFERROR(L81/H81-1,"")))</f>
        <v/>
      </c>
      <c r="M82" s="15">
        <f>IF(OR(M81="",I81=""),"",IF(I81&lt;=0,"",IFERROR(M81/I81-1,"")))</f>
        <v/>
      </c>
      <c r="N82" s="15">
        <f>IF(OR(N81="",J81=""),"",IF(J81&lt;=0,"",IFERROR(N81/J81-1,"")))</f>
        <v/>
      </c>
      <c r="T82" s="15">
        <f>IF(OR(T81="",S81=""),"",IF(S81&lt;=0,"",IFERROR(T81/S81-1,"")))</f>
        <v/>
      </c>
      <c r="U82" s="15">
        <f>IF(OR(U81="",T81=""),"",IF(T81&lt;=0,"",IFERROR(U81/T81-1,"")))</f>
        <v/>
      </c>
      <c r="V82" s="15">
        <f>IF(OR(V81="",U81=""),"",IF(U81&lt;=0,"",IFERROR(V81/U81-1,"")))</f>
        <v/>
      </c>
      <c r="W82" s="15">
        <f>IF(OR(W81="",V81=""),"",IF(V81&lt;=0,"",IFERROR(W81/V81-1,"")))</f>
        <v/>
      </c>
      <c r="X82" s="15">
        <f>IF(OR(X81="",W81=""),"",IF(W81&lt;=0,"",IFERROR(X81/W81-1,"")))</f>
        <v/>
      </c>
    </row>
    <row r="83">
      <c r="A83" s="18" t="inlineStr">
        <is>
          <t>매출원가</t>
        </is>
      </c>
      <c r="C83" s="20" t="n">
        <v>4738.797</v>
      </c>
      <c r="D83" s="20" t="n">
        <v>5107.666</v>
      </c>
      <c r="E83" s="20" t="n">
        <v>9378.085999999999</v>
      </c>
      <c r="F83" s="20" t="n">
        <v>4048.662</v>
      </c>
      <c r="G83" s="20" t="n">
        <v>4594.635</v>
      </c>
      <c r="H83" s="20" t="n">
        <v>6067.057</v>
      </c>
      <c r="I83" s="20" t="n">
        <v>8567.427</v>
      </c>
      <c r="J83" s="20" t="n">
        <v>4062.569</v>
      </c>
      <c r="K83" s="20" t="n">
        <v>5282.795</v>
      </c>
      <c r="L83" s="20" t="n">
        <v>6443.349</v>
      </c>
      <c r="M83" s="20" t="n">
        <v>10445</v>
      </c>
      <c r="N83" s="20" t="n">
        <v>5728.341</v>
      </c>
      <c r="T83" s="20" t="n">
        <v>7109.352</v>
      </c>
      <c r="U83" s="20" t="n">
        <v>6944.035</v>
      </c>
      <c r="V83" s="20" t="n">
        <v>9378.085999999999</v>
      </c>
      <c r="W83" s="20" t="n">
        <v>8567.427</v>
      </c>
      <c r="X83" s="20" t="n">
        <v>10445</v>
      </c>
    </row>
    <row r="84">
      <c r="A84" s="9" t="inlineStr">
        <is>
          <t>매출총이익</t>
        </is>
      </c>
      <c r="C84" s="12" t="n">
        <v>1469.128</v>
      </c>
      <c r="D84" s="12" t="n">
        <v>1367.877</v>
      </c>
      <c r="E84" s="12" t="n">
        <v>2061.091</v>
      </c>
      <c r="F84" s="12" t="n">
        <v>845.422</v>
      </c>
      <c r="G84" s="12" t="n">
        <v>1288.026</v>
      </c>
      <c r="H84" s="12" t="n">
        <v>1704.483</v>
      </c>
      <c r="I84" s="12" t="n">
        <v>1930.48</v>
      </c>
      <c r="J84" s="12" t="n">
        <v>1188.781</v>
      </c>
      <c r="K84" s="12" t="n">
        <v>1302.443</v>
      </c>
      <c r="L84" s="12" t="n">
        <v>1796.244</v>
      </c>
      <c r="M84" s="12" t="n">
        <v>2188.402</v>
      </c>
      <c r="N84" s="12" t="n">
        <v>1034.501</v>
      </c>
      <c r="T84" s="12" t="n">
        <v>1373.319</v>
      </c>
      <c r="U84" s="12" t="n">
        <v>1861.669</v>
      </c>
      <c r="V84" s="12" t="n">
        <v>2061.091</v>
      </c>
      <c r="W84" s="12" t="n">
        <v>1930.48</v>
      </c>
      <c r="X84" s="12" t="n">
        <v>2188.402</v>
      </c>
    </row>
    <row r="85">
      <c r="A85" s="43" t="inlineStr">
        <is>
          <t>YoY</t>
        </is>
      </c>
      <c r="B85" s="3" t="inlineStr">
        <is>
          <t>전년 같은 분기·전년 대비</t>
        </is>
      </c>
      <c r="G85" s="15">
        <f>IF(OR(G84="",C84=""),"",IF(C84&lt;=0,"",IFERROR(G84/C84-1,"")))</f>
        <v/>
      </c>
      <c r="H85" s="15">
        <f>IF(OR(H84="",D84=""),"",IF(D84&lt;=0,"",IFERROR(H84/D84-1,"")))</f>
        <v/>
      </c>
      <c r="I85" s="15">
        <f>IF(OR(I84="",E84=""),"",IF(E84&lt;=0,"",IFERROR(I84/E84-1,"")))</f>
        <v/>
      </c>
      <c r="J85" s="15">
        <f>IF(OR(J84="",F84=""),"",IF(F84&lt;=0,"",IFERROR(J84/F84-1,"")))</f>
        <v/>
      </c>
      <c r="K85" s="15">
        <f>IF(OR(K84="",G84=""),"",IF(G84&lt;=0,"",IFERROR(K84/G84-1,"")))</f>
        <v/>
      </c>
      <c r="L85" s="15">
        <f>IF(OR(L84="",H84=""),"",IF(H84&lt;=0,"",IFERROR(L84/H84-1,"")))</f>
        <v/>
      </c>
      <c r="M85" s="15">
        <f>IF(OR(M84="",I84=""),"",IF(I84&lt;=0,"",IFERROR(M84/I84-1,"")))</f>
        <v/>
      </c>
      <c r="N85" s="15">
        <f>IF(OR(N84="",J84=""),"",IF(J84&lt;=0,"",IFERROR(N84/J84-1,"")))</f>
        <v/>
      </c>
      <c r="T85" s="15">
        <f>IF(OR(T84="",S84=""),"",IF(S84&lt;=0,"",IFERROR(T84/S84-1,"")))</f>
        <v/>
      </c>
      <c r="U85" s="15">
        <f>IF(OR(U84="",T84=""),"",IF(T84&lt;=0,"",IFERROR(U84/T84-1,"")))</f>
        <v/>
      </c>
      <c r="V85" s="15">
        <f>IF(OR(V84="",U84=""),"",IF(U84&lt;=0,"",IFERROR(V84/U84-1,"")))</f>
        <v/>
      </c>
      <c r="W85" s="15">
        <f>IF(OR(W84="",V84=""),"",IF(V84&lt;=0,"",IFERROR(W84/V84-1,"")))</f>
        <v/>
      </c>
      <c r="X85" s="15">
        <f>IF(OR(X84="",W84=""),"",IF(W84&lt;=0,"",IFERROR(X84/W84-1,"")))</f>
        <v/>
      </c>
    </row>
    <row r="86">
      <c r="A86" s="18" t="inlineStr">
        <is>
          <t>판매비와 관리비</t>
        </is>
      </c>
      <c r="C86" s="20" t="n">
        <v>1136.054</v>
      </c>
      <c r="D86" s="20" t="n">
        <v>1033.634</v>
      </c>
      <c r="E86" s="20" t="n">
        <v>1033.561</v>
      </c>
      <c r="F86" s="20" t="n">
        <v>1092.672</v>
      </c>
      <c r="G86" s="20" t="n">
        <v>1057.287</v>
      </c>
      <c r="H86" s="20" t="n">
        <v>1075.819</v>
      </c>
      <c r="I86" s="20" t="n">
        <v>1058.179</v>
      </c>
      <c r="J86" s="20" t="n">
        <v>1164.189</v>
      </c>
      <c r="K86" s="20" t="n">
        <v>1100.389</v>
      </c>
      <c r="L86" s="20" t="n">
        <v>1270.538</v>
      </c>
      <c r="M86" s="20" t="n">
        <v>1168.993</v>
      </c>
      <c r="N86" s="20" t="n">
        <v>1231.62</v>
      </c>
      <c r="T86" s="20" t="n">
        <v>1024.175</v>
      </c>
      <c r="U86" s="20" t="n">
        <v>1117.684</v>
      </c>
      <c r="V86" s="20" t="n">
        <v>1033.561</v>
      </c>
      <c r="W86" s="20" t="n">
        <v>1058.179</v>
      </c>
      <c r="X86" s="20" t="n">
        <v>1168.993</v>
      </c>
    </row>
    <row r="87">
      <c r="A87" s="9" t="inlineStr">
        <is>
          <t>영업이익(손실)</t>
        </is>
      </c>
      <c r="C87" s="12" t="n">
        <v>333.075</v>
      </c>
      <c r="D87" s="12" t="n">
        <v>334.242</v>
      </c>
      <c r="E87" s="12" t="n">
        <v>1027.53</v>
      </c>
      <c r="F87" s="12" t="n">
        <v>-247.249</v>
      </c>
      <c r="G87" s="12" t="n">
        <v>230.738</v>
      </c>
      <c r="H87" s="12" t="n">
        <v>628.664</v>
      </c>
      <c r="I87" s="12" t="n">
        <v>872.301</v>
      </c>
      <c r="J87" s="12" t="n">
        <v>24.592</v>
      </c>
      <c r="K87" s="12" t="n">
        <v>202.053</v>
      </c>
      <c r="L87" s="12" t="n">
        <v>525.706</v>
      </c>
      <c r="M87" s="12" t="n">
        <v>1019.409</v>
      </c>
      <c r="N87" s="12" t="n">
        <v>-197.118</v>
      </c>
      <c r="T87" s="12" t="n">
        <v>349.144</v>
      </c>
      <c r="U87" s="12" t="n">
        <v>743.985</v>
      </c>
      <c r="V87" s="12" t="n">
        <v>1027.53</v>
      </c>
      <c r="W87" s="12" t="n">
        <v>872.301</v>
      </c>
      <c r="X87" s="12" t="n">
        <v>1019.409</v>
      </c>
    </row>
    <row r="88">
      <c r="A88" s="43" t="inlineStr">
        <is>
          <t>OPM</t>
        </is>
      </c>
      <c r="B88" s="3" t="inlineStr">
        <is>
          <t>영업이익 ÷ 매출</t>
        </is>
      </c>
      <c r="C88" s="15">
        <f>IF(OR(C87="",C81=""),"",IF(C81&lt;=0,"",IFERROR(C87/C81,"")))</f>
        <v/>
      </c>
      <c r="D88" s="15">
        <f>IF(OR(D87="",D81=""),"",IF(D81&lt;=0,"",IFERROR(D87/D81,"")))</f>
        <v/>
      </c>
      <c r="E88" s="15">
        <f>IF(OR(E87="",E81=""),"",IF(E81&lt;=0,"",IFERROR(E87/E81,"")))</f>
        <v/>
      </c>
      <c r="F88" s="15">
        <f>IF(OR(F87="",F81=""),"",IF(F81&lt;=0,"",IFERROR(F87/F81,"")))</f>
        <v/>
      </c>
      <c r="G88" s="15">
        <f>IF(OR(G87="",G81=""),"",IF(G81&lt;=0,"",IFERROR(G87/G81,"")))</f>
        <v/>
      </c>
      <c r="H88" s="15">
        <f>IF(OR(H87="",H81=""),"",IF(H81&lt;=0,"",IFERROR(H87/H81,"")))</f>
        <v/>
      </c>
      <c r="I88" s="15">
        <f>IF(OR(I87="",I81=""),"",IF(I81&lt;=0,"",IFERROR(I87/I81,"")))</f>
        <v/>
      </c>
      <c r="J88" s="15">
        <f>IF(OR(J87="",J81=""),"",IF(J81&lt;=0,"",IFERROR(J87/J81,"")))</f>
        <v/>
      </c>
      <c r="K88" s="15">
        <f>IF(OR(K87="",K81=""),"",IF(K81&lt;=0,"",IFERROR(K87/K81,"")))</f>
        <v/>
      </c>
      <c r="L88" s="15">
        <f>IF(OR(L87="",L81=""),"",IF(L81&lt;=0,"",IFERROR(L87/L81,"")))</f>
        <v/>
      </c>
      <c r="M88" s="15">
        <f>IF(OR(M87="",M81=""),"",IF(M81&lt;=0,"",IFERROR(M87/M81,"")))</f>
        <v/>
      </c>
      <c r="N88" s="15">
        <f>IF(OR(N87="",N81=""),"",IF(N81&lt;=0,"",IFERROR(N87/N81,"")))</f>
        <v/>
      </c>
      <c r="T88" s="15">
        <f>IF(OR(T87="",T81=""),"",IF(T81&lt;=0,"",IFERROR(T87/T81,"")))</f>
        <v/>
      </c>
      <c r="U88" s="15">
        <f>IF(OR(U87="",U81=""),"",IF(U81&lt;=0,"",IFERROR(U87/U81,"")))</f>
        <v/>
      </c>
      <c r="V88" s="15">
        <f>IF(OR(V87="",V81=""),"",IF(V81&lt;=0,"",IFERROR(V87/V81,"")))</f>
        <v/>
      </c>
      <c r="W88" s="15">
        <f>IF(OR(W87="",W81=""),"",IF(W81&lt;=0,"",IFERROR(W87/W81,"")))</f>
        <v/>
      </c>
      <c r="X88" s="15">
        <f>IF(OR(X87="",X81=""),"",IF(X81&lt;=0,"",IFERROR(X87/X81,"")))</f>
        <v/>
      </c>
    </row>
    <row r="89">
      <c r="A89" s="43" t="inlineStr">
        <is>
          <t>YoY</t>
        </is>
      </c>
      <c r="B89" s="3" t="inlineStr">
        <is>
          <t>전년 같은 분기·전년 대비</t>
        </is>
      </c>
      <c r="G89" s="15">
        <f>IF(OR(G87="",C87=""),"",IF(C87&lt;=0,"",IFERROR(G87/C87-1,"")))</f>
        <v/>
      </c>
      <c r="H89" s="15">
        <f>IF(OR(H87="",D87=""),"",IF(D87&lt;=0,"",IFERROR(H87/D87-1,"")))</f>
        <v/>
      </c>
      <c r="I89" s="15">
        <f>IF(OR(I87="",E87=""),"",IF(E87&lt;=0,"",IFERROR(I87/E87-1,"")))</f>
        <v/>
      </c>
      <c r="J89" s="15">
        <f>IF(OR(J87="",F87=""),"",IF(F87&lt;=0,"",IFERROR(J87/F87-1,"")))</f>
        <v/>
      </c>
      <c r="K89" s="15">
        <f>IF(OR(K87="",G87=""),"",IF(G87&lt;=0,"",IFERROR(K87/G87-1,"")))</f>
        <v/>
      </c>
      <c r="L89" s="15">
        <f>IF(OR(L87="",H87=""),"",IF(H87&lt;=0,"",IFERROR(L87/H87-1,"")))</f>
        <v/>
      </c>
      <c r="M89" s="15">
        <f>IF(OR(M87="",I87=""),"",IF(I87&lt;=0,"",IFERROR(M87/I87-1,"")))</f>
        <v/>
      </c>
      <c r="N89" s="15">
        <f>IF(OR(N87="",J87=""),"",IF(J87&lt;=0,"",IFERROR(N87/J87-1,"")))</f>
        <v/>
      </c>
      <c r="T89" s="15">
        <f>IF(OR(T87="",S87=""),"",IF(S87&lt;=0,"",IFERROR(T87/S87-1,"")))</f>
        <v/>
      </c>
      <c r="U89" s="15">
        <f>IF(OR(U87="",T87=""),"",IF(T87&lt;=0,"",IFERROR(U87/T87-1,"")))</f>
        <v/>
      </c>
      <c r="V89" s="15">
        <f>IF(OR(V87="",U87=""),"",IF(U87&lt;=0,"",IFERROR(V87/U87-1,"")))</f>
        <v/>
      </c>
      <c r="W89" s="15">
        <f>IF(OR(W87="",V87=""),"",IF(V87&lt;=0,"",IFERROR(W87/V87-1,"")))</f>
        <v/>
      </c>
      <c r="X89" s="15">
        <f>IF(OR(X87="",W87=""),"",IF(W87&lt;=0,"",IFERROR(X87/W87-1,"")))</f>
        <v/>
      </c>
    </row>
    <row r="90">
      <c r="A90" s="18" t="inlineStr">
        <is>
          <t>이자수익</t>
        </is>
      </c>
      <c r="C90" s="20" t="n">
        <v>0.025</v>
      </c>
      <c r="D90" s="20" t="n">
        <v>0.025</v>
      </c>
      <c r="E90" s="20" t="n">
        <v>0.025</v>
      </c>
      <c r="F90" s="20" t="n">
        <v>0.042</v>
      </c>
      <c r="G90" s="20" t="n">
        <v>0.204</v>
      </c>
      <c r="H90" s="20" t="n">
        <v>0.019</v>
      </c>
      <c r="I90" s="20" t="n">
        <v>1.353</v>
      </c>
      <c r="J90" s="20" t="n">
        <v>0.047</v>
      </c>
      <c r="K90" s="20" t="n">
        <v>2.37</v>
      </c>
      <c r="L90" s="20" t="n">
        <v>0.091</v>
      </c>
      <c r="M90" s="20" t="n">
        <v>2.088</v>
      </c>
      <c r="N90" s="20" t="n">
        <v>0.101</v>
      </c>
      <c r="T90" s="20" t="n">
        <v>0.034</v>
      </c>
      <c r="U90" s="20" t="n">
        <v>0.025</v>
      </c>
      <c r="V90" s="20" t="n">
        <v>0.025</v>
      </c>
      <c r="W90" s="20" t="n">
        <v>1.353</v>
      </c>
      <c r="X90" s="20" t="n">
        <v>2.088</v>
      </c>
    </row>
    <row r="91">
      <c r="A91" s="18" t="inlineStr">
        <is>
          <t>배당금수익</t>
        </is>
      </c>
      <c r="C91" s="20" t="n">
        <v>1.448</v>
      </c>
      <c r="D91" s="20" t="n">
        <v>5.018</v>
      </c>
      <c r="E91" s="20" t="n">
        <v>0</v>
      </c>
      <c r="F91" s="20" t="n">
        <v>6.034</v>
      </c>
      <c r="G91" s="20" t="n">
        <v>0.611</v>
      </c>
      <c r="H91" s="20" t="n">
        <v>5.375</v>
      </c>
      <c r="I91" s="20" t="n">
        <v>0</v>
      </c>
      <c r="J91" s="20" t="n">
        <v>6.584</v>
      </c>
      <c r="K91" s="20" t="n">
        <v>0.879</v>
      </c>
      <c r="L91" s="20" t="n">
        <v>6.662</v>
      </c>
      <c r="M91" s="20" t="n">
        <v>0</v>
      </c>
      <c r="N91" s="20" t="n">
        <v>8.964</v>
      </c>
      <c r="T91" s="20" t="n">
        <v>0</v>
      </c>
      <c r="U91" s="20" t="n">
        <v>0</v>
      </c>
      <c r="V91" s="20" t="n">
        <v>0</v>
      </c>
      <c r="W91" s="20" t="n">
        <v>0</v>
      </c>
      <c r="X91" s="20" t="n">
        <v>0</v>
      </c>
    </row>
    <row r="92">
      <c r="A92" s="18" t="inlineStr">
        <is>
          <t>외환차익</t>
        </is>
      </c>
      <c r="F92" s="20" t="n">
        <v>0</v>
      </c>
      <c r="G92" s="20" t="n">
        <v>18.047</v>
      </c>
      <c r="J92" s="20" t="n">
        <v>14.932</v>
      </c>
      <c r="K92" s="20" t="n">
        <v>-14.213</v>
      </c>
      <c r="N92" s="20" t="n">
        <v>0</v>
      </c>
    </row>
    <row r="93">
      <c r="A93" s="18" t="inlineStr">
        <is>
          <t>임대료 수익</t>
        </is>
      </c>
      <c r="C93" s="20" t="n">
        <v>6.761</v>
      </c>
      <c r="D93" s="20" t="n">
        <v>7.79</v>
      </c>
      <c r="E93" s="20" t="n">
        <v>6.545</v>
      </c>
      <c r="F93" s="20" t="n">
        <v>7.041</v>
      </c>
      <c r="G93" s="20" t="n">
        <v>6.424</v>
      </c>
      <c r="H93" s="20" t="n">
        <v>6.486</v>
      </c>
      <c r="I93" s="20" t="n">
        <v>6.584</v>
      </c>
      <c r="J93" s="20" t="n">
        <v>6.261</v>
      </c>
      <c r="K93" s="20" t="n">
        <v>6.437</v>
      </c>
      <c r="L93" s="20" t="n">
        <v>6.594</v>
      </c>
      <c r="M93" s="20" t="n">
        <v>5.951</v>
      </c>
      <c r="N93" s="20" t="n">
        <v>6.457</v>
      </c>
      <c r="T93" s="20" t="n">
        <v>6.953</v>
      </c>
      <c r="U93" s="20" t="n">
        <v>6.358</v>
      </c>
      <c r="V93" s="20" t="n">
        <v>6.545</v>
      </c>
      <c r="W93" s="20" t="n">
        <v>6.584</v>
      </c>
      <c r="X93" s="20" t="n">
        <v>5.951</v>
      </c>
    </row>
    <row r="94">
      <c r="A94" s="18" t="inlineStr">
        <is>
          <t>대손충당금 환입</t>
        </is>
      </c>
      <c r="C94" s="20" t="n">
        <v>-0.205</v>
      </c>
      <c r="D94" s="20" t="n">
        <v>-0.221</v>
      </c>
      <c r="F94" s="20" t="n">
        <v>3.394</v>
      </c>
      <c r="G94" s="20" t="n">
        <v>-1.198</v>
      </c>
      <c r="H94" s="20" t="n">
        <v>-0.202</v>
      </c>
      <c r="J94" s="20" t="n">
        <v>2.281</v>
      </c>
      <c r="K94" s="20" t="n">
        <v>-0.045</v>
      </c>
      <c r="L94" s="20" t="n">
        <v>-0.49</v>
      </c>
      <c r="N94" s="20" t="n">
        <v>1.926</v>
      </c>
    </row>
    <row r="95">
      <c r="A95" s="18" t="inlineStr">
        <is>
          <t>기타</t>
        </is>
      </c>
      <c r="C95" s="20" t="n">
        <v>5.535</v>
      </c>
      <c r="D95" s="20" t="n">
        <v>8.435</v>
      </c>
      <c r="E95" s="20" t="n">
        <v>20.035</v>
      </c>
      <c r="F95" s="20" t="n">
        <v>8.839</v>
      </c>
      <c r="G95" s="20" t="n">
        <v>6.434</v>
      </c>
      <c r="H95" s="20" t="n">
        <v>11.292</v>
      </c>
      <c r="I95" s="20" t="n">
        <v>3.316</v>
      </c>
      <c r="J95" s="20" t="n">
        <v>5.001</v>
      </c>
      <c r="K95" s="20" t="n">
        <v>6.072</v>
      </c>
      <c r="L95" s="20" t="n">
        <v>8.363</v>
      </c>
      <c r="M95" s="20" t="n">
        <v>1.413</v>
      </c>
      <c r="N95" s="20" t="n">
        <v>7.861</v>
      </c>
      <c r="T95" s="20" t="n">
        <v>10.864</v>
      </c>
      <c r="U95" s="20" t="n">
        <v>-11.907</v>
      </c>
      <c r="V95" s="20" t="n">
        <v>20.035</v>
      </c>
      <c r="W95" s="20" t="n">
        <v>3.316</v>
      </c>
      <c r="X95" s="20" t="n">
        <v>1.413</v>
      </c>
    </row>
    <row r="96">
      <c r="A96" s="18" t="inlineStr">
        <is>
          <t>영업외수익 합계</t>
        </is>
      </c>
      <c r="C96" s="20" t="n">
        <v>13.564</v>
      </c>
      <c r="D96" s="20" t="n">
        <v>21.046</v>
      </c>
      <c r="E96" s="20" t="n">
        <v>28.857</v>
      </c>
      <c r="F96" s="20" t="n">
        <v>25.352</v>
      </c>
      <c r="G96" s="20" t="n">
        <v>30.522</v>
      </c>
      <c r="H96" s="20" t="n">
        <v>4.924</v>
      </c>
      <c r="I96" s="20" t="n">
        <v>17.926</v>
      </c>
      <c r="J96" s="20" t="n">
        <v>35.109</v>
      </c>
      <c r="K96" s="20" t="n">
        <v>1.5</v>
      </c>
      <c r="L96" s="20" t="n">
        <v>20.5</v>
      </c>
      <c r="M96" s="20" t="n">
        <v>15.234</v>
      </c>
      <c r="N96" s="20" t="n">
        <v>25.311</v>
      </c>
      <c r="T96" s="20" t="n">
        <v>15.305</v>
      </c>
      <c r="U96" s="20" t="n">
        <v>11.364</v>
      </c>
      <c r="V96" s="20" t="n">
        <v>28.857</v>
      </c>
      <c r="W96" s="20" t="n">
        <v>17.926</v>
      </c>
      <c r="X96" s="20" t="n">
        <v>15.234</v>
      </c>
    </row>
    <row r="97">
      <c r="A97" s="18" t="inlineStr">
        <is>
          <t>이자비용</t>
        </is>
      </c>
      <c r="C97" s="20" t="n">
        <v>32.005</v>
      </c>
      <c r="D97" s="20" t="n">
        <v>32.281</v>
      </c>
      <c r="E97" s="20" t="n">
        <v>32.223</v>
      </c>
      <c r="F97" s="20" t="n">
        <v>24.87</v>
      </c>
      <c r="G97" s="20" t="n">
        <v>27.155</v>
      </c>
      <c r="H97" s="20" t="n">
        <v>30.866</v>
      </c>
      <c r="I97" s="20" t="n">
        <v>27.061</v>
      </c>
      <c r="J97" s="20" t="n">
        <v>21.153</v>
      </c>
      <c r="K97" s="20" t="n">
        <v>23.065</v>
      </c>
      <c r="L97" s="20" t="n">
        <v>24.382</v>
      </c>
      <c r="M97" s="20" t="n">
        <v>27.268</v>
      </c>
      <c r="N97" s="20" t="n">
        <v>23.349</v>
      </c>
      <c r="T97" s="20" t="n">
        <v>10.089</v>
      </c>
      <c r="U97" s="20" t="n">
        <v>22.656</v>
      </c>
      <c r="V97" s="20" t="n">
        <v>32.223</v>
      </c>
      <c r="W97" s="20" t="n">
        <v>27.061</v>
      </c>
      <c r="X97" s="20" t="n">
        <v>27.268</v>
      </c>
    </row>
    <row r="98">
      <c r="A98" s="18" t="inlineStr">
        <is>
          <t>외환차손</t>
        </is>
      </c>
      <c r="C98" s="20" t="n">
        <v>11.937</v>
      </c>
      <c r="D98" s="20" t="n">
        <v>-15.513</v>
      </c>
      <c r="E98" s="20" t="n">
        <v>18.418</v>
      </c>
      <c r="F98" s="20" t="n">
        <v>23.751</v>
      </c>
      <c r="G98" s="20" t="n">
        <v>-23.751</v>
      </c>
      <c r="H98" s="20" t="n">
        <v>31.688</v>
      </c>
      <c r="I98" s="20" t="n">
        <v>-22.695</v>
      </c>
      <c r="J98" s="20" t="n">
        <v>0</v>
      </c>
      <c r="M98" s="20" t="n">
        <v>21.542</v>
      </c>
      <c r="N98" s="20" t="n">
        <v>21.044</v>
      </c>
      <c r="T98" s="20" t="n">
        <v>2.297</v>
      </c>
      <c r="U98" s="20" t="n">
        <v>-4.658</v>
      </c>
      <c r="V98" s="20" t="n">
        <v>18.418</v>
      </c>
      <c r="W98" s="20" t="n">
        <v>-22.695</v>
      </c>
      <c r="X98" s="20" t="n">
        <v>21.542</v>
      </c>
    </row>
    <row r="99">
      <c r="A99" s="18" t="inlineStr">
        <is>
          <t>기타</t>
        </is>
      </c>
      <c r="C99" s="20" t="n">
        <v>1.111</v>
      </c>
      <c r="D99" s="20" t="n">
        <v>-0.267</v>
      </c>
      <c r="E99" s="20" t="n">
        <v>0.023</v>
      </c>
      <c r="F99" s="20" t="n">
        <v>6.989</v>
      </c>
      <c r="G99" s="20" t="n">
        <v>3.644</v>
      </c>
      <c r="H99" s="20" t="n">
        <v>0.401</v>
      </c>
      <c r="I99" s="20" t="n">
        <v>3.633</v>
      </c>
      <c r="J99" s="20" t="n">
        <v>2.059</v>
      </c>
      <c r="K99" s="20" t="n">
        <v>13.526</v>
      </c>
      <c r="L99" s="20" t="n">
        <v>0.912</v>
      </c>
      <c r="M99" s="20" t="n">
        <v>16.688</v>
      </c>
      <c r="N99" s="20" t="n">
        <v>2.464</v>
      </c>
      <c r="T99" s="20" t="n">
        <v>24.961</v>
      </c>
      <c r="U99" s="20" t="n">
        <v>8.228999999999999</v>
      </c>
      <c r="V99" s="20" t="n">
        <v>0.023</v>
      </c>
      <c r="W99" s="20" t="n">
        <v>3.633</v>
      </c>
      <c r="X99" s="20" t="n">
        <v>16.688</v>
      </c>
    </row>
    <row r="100">
      <c r="A100" s="18" t="inlineStr">
        <is>
          <t>영업외비용 합계</t>
        </is>
      </c>
      <c r="C100" s="20" t="n">
        <v>45.053</v>
      </c>
      <c r="D100" s="20" t="n">
        <v>16.5</v>
      </c>
      <c r="E100" s="20" t="n">
        <v>50.665</v>
      </c>
      <c r="F100" s="20" t="n">
        <v>55.612</v>
      </c>
      <c r="G100" s="20" t="n">
        <v>7.047</v>
      </c>
      <c r="H100" s="20" t="n">
        <v>62.955</v>
      </c>
      <c r="I100" s="20" t="n">
        <v>8</v>
      </c>
      <c r="J100" s="20" t="n">
        <v>23.212</v>
      </c>
      <c r="K100" s="20" t="n">
        <v>36.592</v>
      </c>
      <c r="L100" s="20" t="n">
        <v>90.979</v>
      </c>
      <c r="M100" s="20" t="n">
        <v>65.498</v>
      </c>
      <c r="N100" s="20" t="n">
        <v>46.858</v>
      </c>
      <c r="T100" s="20" t="n">
        <v>25.431</v>
      </c>
      <c r="U100" s="20" t="n">
        <v>26.228</v>
      </c>
      <c r="V100" s="20" t="n">
        <v>50.665</v>
      </c>
      <c r="W100" s="20" t="n">
        <v>8</v>
      </c>
      <c r="X100" s="20" t="n">
        <v>65.498</v>
      </c>
    </row>
    <row r="101">
      <c r="A101" s="9" t="inlineStr">
        <is>
          <t>경상이익(손실)</t>
        </is>
      </c>
      <c r="C101" s="12" t="n">
        <v>301.586</v>
      </c>
      <c r="D101" s="12" t="n">
        <v>338.789</v>
      </c>
      <c r="E101" s="12" t="n">
        <v>1005.722</v>
      </c>
      <c r="F101" s="12" t="n">
        <v>-277.509</v>
      </c>
      <c r="G101" s="12" t="n">
        <v>254.214</v>
      </c>
      <c r="H101" s="12" t="n">
        <v>570.6319999999999</v>
      </c>
      <c r="I101" s="12" t="n">
        <v>882.226</v>
      </c>
      <c r="J101" s="12" t="n">
        <v>36.488</v>
      </c>
      <c r="K101" s="12" t="n">
        <v>166.962</v>
      </c>
      <c r="L101" s="12" t="n">
        <v>455.227</v>
      </c>
      <c r="M101" s="12" t="n">
        <v>969.145</v>
      </c>
      <c r="N101" s="12" t="n">
        <v>-218.665</v>
      </c>
      <c r="T101" s="12" t="n">
        <v>339.018</v>
      </c>
      <c r="U101" s="12" t="n">
        <v>729.121</v>
      </c>
      <c r="V101" s="12" t="n">
        <v>1005.722</v>
      </c>
      <c r="W101" s="12" t="n">
        <v>882.226</v>
      </c>
      <c r="X101" s="12" t="n">
        <v>969.145</v>
      </c>
    </row>
    <row r="102">
      <c r="A102" s="43" t="inlineStr">
        <is>
          <t>YoY</t>
        </is>
      </c>
      <c r="B102" s="3" t="inlineStr">
        <is>
          <t>전년 같은 분기·전년 대비</t>
        </is>
      </c>
      <c r="G102" s="15">
        <f>IF(OR(G101="",C101=""),"",IF(C101&lt;=0,"",IFERROR(G101/C101-1,"")))</f>
        <v/>
      </c>
      <c r="H102" s="15">
        <f>IF(OR(H101="",D101=""),"",IF(D101&lt;=0,"",IFERROR(H101/D101-1,"")))</f>
        <v/>
      </c>
      <c r="I102" s="15">
        <f>IF(OR(I101="",E101=""),"",IF(E101&lt;=0,"",IFERROR(I101/E101-1,"")))</f>
        <v/>
      </c>
      <c r="J102" s="15">
        <f>IF(OR(J101="",F101=""),"",IF(F101&lt;=0,"",IFERROR(J101/F101-1,"")))</f>
        <v/>
      </c>
      <c r="K102" s="15">
        <f>IF(OR(K101="",G101=""),"",IF(G101&lt;=0,"",IFERROR(K101/G101-1,"")))</f>
        <v/>
      </c>
      <c r="L102" s="15">
        <f>IF(OR(L101="",H101=""),"",IF(H101&lt;=0,"",IFERROR(L101/H101-1,"")))</f>
        <v/>
      </c>
      <c r="M102" s="15">
        <f>IF(OR(M101="",I101=""),"",IF(I101&lt;=0,"",IFERROR(M101/I101-1,"")))</f>
        <v/>
      </c>
      <c r="N102" s="15">
        <f>IF(OR(N101="",J101=""),"",IF(J101&lt;=0,"",IFERROR(N101/J101-1,"")))</f>
        <v/>
      </c>
      <c r="T102" s="15">
        <f>IF(OR(T101="",S101=""),"",IF(S101&lt;=0,"",IFERROR(T101/S101-1,"")))</f>
        <v/>
      </c>
      <c r="U102" s="15">
        <f>IF(OR(U101="",T101=""),"",IF(T101&lt;=0,"",IFERROR(U101/T101-1,"")))</f>
        <v/>
      </c>
      <c r="V102" s="15">
        <f>IF(OR(V101="",U101=""),"",IF(U101&lt;=0,"",IFERROR(V101/U101-1,"")))</f>
        <v/>
      </c>
      <c r="W102" s="15">
        <f>IF(OR(W101="",V101=""),"",IF(V101&lt;=0,"",IFERROR(W101/V101-1,"")))</f>
        <v/>
      </c>
      <c r="X102" s="15">
        <f>IF(OR(X101="",W101=""),"",IF(W101&lt;=0,"",IFERROR(X101/W101-1,"")))</f>
        <v/>
      </c>
    </row>
    <row r="103">
      <c r="A103" s="18" t="inlineStr">
        <is>
          <t>고정자산 매각이익</t>
        </is>
      </c>
      <c r="E103" s="20" t="n">
        <v>0</v>
      </c>
      <c r="T103" s="20" t="n">
        <v>0</v>
      </c>
      <c r="U103" s="20" t="n">
        <v>7.872</v>
      </c>
      <c r="V103" s="20" t="n">
        <v>0</v>
      </c>
    </row>
    <row r="104">
      <c r="A104" s="18" t="inlineStr">
        <is>
          <t>투자유가증권 매각이익</t>
        </is>
      </c>
      <c r="C104" s="20" t="n">
        <v>14.571</v>
      </c>
      <c r="D104" s="20" t="n">
        <v>1.567</v>
      </c>
      <c r="E104" s="20" t="n">
        <v>0</v>
      </c>
      <c r="F104" s="20" t="n">
        <v>0</v>
      </c>
      <c r="G104" s="20" t="n">
        <v>0</v>
      </c>
      <c r="H104" s="20" t="n">
        <v>0</v>
      </c>
      <c r="I104" s="20" t="n">
        <v>0</v>
      </c>
      <c r="T104" s="20" t="n">
        <v>0</v>
      </c>
      <c r="U104" s="20" t="n">
        <v>18.53</v>
      </c>
      <c r="V104" s="20" t="n">
        <v>0</v>
      </c>
      <c r="W104" s="20" t="n">
        <v>0</v>
      </c>
    </row>
    <row r="105">
      <c r="A105" s="18" t="inlineStr">
        <is>
          <t>특별이익 합계</t>
        </is>
      </c>
      <c r="C105" s="20" t="n">
        <v>14.571</v>
      </c>
      <c r="D105" s="20" t="n">
        <v>1.567</v>
      </c>
      <c r="E105" s="20" t="n">
        <v>0</v>
      </c>
      <c r="F105" s="20" t="n">
        <v>0</v>
      </c>
      <c r="G105" s="20" t="n">
        <v>0</v>
      </c>
      <c r="H105" s="20" t="n">
        <v>0</v>
      </c>
      <c r="I105" s="20" t="n">
        <v>0</v>
      </c>
      <c r="T105" s="20" t="n">
        <v>0</v>
      </c>
      <c r="U105" s="20" t="n">
        <v>26.403</v>
      </c>
      <c r="V105" s="20" t="n">
        <v>0</v>
      </c>
      <c r="W105" s="20" t="n">
        <v>0</v>
      </c>
    </row>
    <row r="106">
      <c r="A106" s="18" t="inlineStr">
        <is>
          <t>손상차손</t>
        </is>
      </c>
      <c r="H106" s="20" t="n">
        <v>0</v>
      </c>
      <c r="I106" s="20" t="n">
        <v>0</v>
      </c>
      <c r="L106" s="20" t="n">
        <v>0</v>
      </c>
      <c r="M106" s="20" t="n">
        <v>0</v>
      </c>
      <c r="W106" s="20" t="n">
        <v>0</v>
      </c>
      <c r="X106" s="20" t="n">
        <v>0</v>
      </c>
    </row>
    <row r="107">
      <c r="A107" s="18" t="inlineStr">
        <is>
          <t>특별손실 합계</t>
        </is>
      </c>
      <c r="H107" s="20" t="n">
        <v>0</v>
      </c>
      <c r="I107" s="20" t="n">
        <v>0</v>
      </c>
      <c r="L107" s="20" t="n">
        <v>0</v>
      </c>
      <c r="M107" s="20" t="n">
        <v>0</v>
      </c>
      <c r="W107" s="20" t="n">
        <v>0</v>
      </c>
      <c r="X107" s="20" t="n">
        <v>0</v>
      </c>
    </row>
    <row r="108">
      <c r="A108" s="9" t="inlineStr">
        <is>
          <t>법인세차감전 중간순이익(손실)</t>
        </is>
      </c>
      <c r="C108" s="12" t="n">
        <v>316.157</v>
      </c>
      <c r="D108" s="12" t="n">
        <v>340.356</v>
      </c>
      <c r="E108" s="12" t="n">
        <v>918.6180000000001</v>
      </c>
      <c r="F108" s="12" t="n">
        <v>-277.509</v>
      </c>
      <c r="G108" s="12" t="n">
        <v>254.214</v>
      </c>
      <c r="H108" s="12" t="n">
        <v>570.6319999999999</v>
      </c>
      <c r="I108" s="12" t="n">
        <v>882.226</v>
      </c>
      <c r="J108" s="12" t="n">
        <v>36.488</v>
      </c>
      <c r="K108" s="12" t="n">
        <v>158.658</v>
      </c>
      <c r="L108" s="12" t="n">
        <v>455.227</v>
      </c>
      <c r="M108" s="12" t="n">
        <v>969.144</v>
      </c>
      <c r="N108" s="12" t="n">
        <v>-218.665</v>
      </c>
      <c r="T108" s="12" t="n">
        <v>305.229</v>
      </c>
      <c r="U108" s="12" t="n">
        <v>732.381</v>
      </c>
      <c r="V108" s="12" t="n">
        <v>918.6180000000001</v>
      </c>
      <c r="W108" s="12" t="n">
        <v>882.226</v>
      </c>
      <c r="X108" s="12" t="n">
        <v>969.144</v>
      </c>
    </row>
    <row r="109">
      <c r="A109" s="18" t="inlineStr">
        <is>
          <t>법인세 등</t>
        </is>
      </c>
      <c r="C109" s="20" t="n">
        <v>10.777</v>
      </c>
      <c r="D109" s="20" t="n">
        <v>66.889</v>
      </c>
      <c r="E109" s="20" t="n">
        <v>-86.998</v>
      </c>
      <c r="F109" s="20" t="n">
        <v>-48.135</v>
      </c>
      <c r="G109" s="20" t="n">
        <v>57.469</v>
      </c>
      <c r="H109" s="20" t="n">
        <v>116.12</v>
      </c>
      <c r="I109" s="20" t="n">
        <v>54.431</v>
      </c>
      <c r="J109" s="20" t="n">
        <v>-19.729</v>
      </c>
      <c r="K109" s="20" t="n">
        <v>39.295</v>
      </c>
      <c r="L109" s="20" t="n">
        <v>38.486</v>
      </c>
      <c r="M109" s="20" t="n">
        <v>62.641</v>
      </c>
      <c r="N109" s="20" t="n">
        <v>1.911</v>
      </c>
      <c r="T109" s="20" t="n">
        <v>111.337</v>
      </c>
      <c r="U109" s="20" t="n">
        <v>106.158</v>
      </c>
      <c r="V109" s="20" t="n">
        <v>-86.998</v>
      </c>
      <c r="W109" s="20" t="n">
        <v>54.431</v>
      </c>
      <c r="X109" s="20" t="n">
        <v>62.641</v>
      </c>
    </row>
    <row r="110">
      <c r="A110" s="9" t="inlineStr">
        <is>
          <t>중간순이익(손실)</t>
        </is>
      </c>
      <c r="C110" s="12" t="n">
        <v>305.38</v>
      </c>
      <c r="D110" s="12" t="n">
        <v>273.466</v>
      </c>
      <c r="E110" s="12" t="n">
        <v>1005.617</v>
      </c>
      <c r="F110" s="12" t="n">
        <v>-229.374</v>
      </c>
      <c r="G110" s="12" t="n">
        <v>196.745</v>
      </c>
      <c r="H110" s="12" t="n">
        <v>454.511</v>
      </c>
      <c r="I110" s="12" t="n">
        <v>827.795</v>
      </c>
      <c r="J110" s="12" t="n">
        <v>56.217</v>
      </c>
      <c r="K110" s="12" t="n">
        <v>119.363</v>
      </c>
      <c r="L110" s="12" t="n">
        <v>416.74</v>
      </c>
      <c r="M110" s="12" t="n">
        <v>906.504</v>
      </c>
      <c r="N110" s="12" t="n">
        <v>-220.577</v>
      </c>
      <c r="T110" s="12" t="n">
        <v>193.891</v>
      </c>
      <c r="U110" s="12" t="n">
        <v>626.224</v>
      </c>
      <c r="V110" s="12" t="n">
        <v>1005.617</v>
      </c>
      <c r="W110" s="12" t="n">
        <v>827.795</v>
      </c>
      <c r="X110" s="12" t="n">
        <v>906.504</v>
      </c>
    </row>
    <row r="111">
      <c r="A111" s="43" t="inlineStr">
        <is>
          <t>YoY</t>
        </is>
      </c>
      <c r="B111" s="3" t="inlineStr">
        <is>
          <t>전년 같은 분기·전년 대비</t>
        </is>
      </c>
      <c r="G111" s="15">
        <f>IF(OR(G110="",C110=""),"",IF(C110&lt;=0,"",IFERROR(G110/C110-1,"")))</f>
        <v/>
      </c>
      <c r="H111" s="15">
        <f>IF(OR(H110="",D110=""),"",IF(D110&lt;=0,"",IFERROR(H110/D110-1,"")))</f>
        <v/>
      </c>
      <c r="I111" s="15">
        <f>IF(OR(I110="",E110=""),"",IF(E110&lt;=0,"",IFERROR(I110/E110-1,"")))</f>
        <v/>
      </c>
      <c r="J111" s="15">
        <f>IF(OR(J110="",F110=""),"",IF(F110&lt;=0,"",IFERROR(J110/F110-1,"")))</f>
        <v/>
      </c>
      <c r="K111" s="15">
        <f>IF(OR(K110="",G110=""),"",IF(G110&lt;=0,"",IFERROR(K110/G110-1,"")))</f>
        <v/>
      </c>
      <c r="L111" s="15">
        <f>IF(OR(L110="",H110=""),"",IF(H110&lt;=0,"",IFERROR(L110/H110-1,"")))</f>
        <v/>
      </c>
      <c r="M111" s="15">
        <f>IF(OR(M110="",I110=""),"",IF(I110&lt;=0,"",IFERROR(M110/I110-1,"")))</f>
        <v/>
      </c>
      <c r="N111" s="15">
        <f>IF(OR(N110="",J110=""),"",IF(J110&lt;=0,"",IFERROR(N110/J110-1,"")))</f>
        <v/>
      </c>
      <c r="T111" s="15">
        <f>IF(OR(T110="",S110=""),"",IF(S110&lt;=0,"",IFERROR(T110/S110-1,"")))</f>
        <v/>
      </c>
      <c r="U111" s="15">
        <f>IF(OR(U110="",T110=""),"",IF(T110&lt;=0,"",IFERROR(U110/T110-1,"")))</f>
        <v/>
      </c>
      <c r="V111" s="15">
        <f>IF(OR(V110="",U110=""),"",IF(U110&lt;=0,"",IFERROR(V110/U110-1,"")))</f>
        <v/>
      </c>
      <c r="W111" s="15">
        <f>IF(OR(W110="",V110=""),"",IF(V110&lt;=0,"",IFERROR(W110/V110-1,"")))</f>
        <v/>
      </c>
      <c r="X111" s="15">
        <f>IF(OR(X110="",W110=""),"",IF(W110&lt;=0,"",IFERROR(X110/W110-1,"")))</f>
        <v/>
      </c>
    </row>
    <row r="112">
      <c r="A112" s="9" t="inlineStr">
        <is>
          <t>비지배주주 순손익</t>
        </is>
      </c>
      <c r="C112" s="12" t="n">
        <v>7.194</v>
      </c>
      <c r="D112" s="12" t="n">
        <v>37.732</v>
      </c>
      <c r="E112" s="12" t="n">
        <v>127.01</v>
      </c>
      <c r="F112" s="12" t="n">
        <v>2.433</v>
      </c>
      <c r="G112" s="12" t="n">
        <v>24.896</v>
      </c>
      <c r="H112" s="12" t="n">
        <v>59.367</v>
      </c>
      <c r="I112" s="12" t="n">
        <v>113.05</v>
      </c>
      <c r="J112" s="12" t="n">
        <v>-10.209</v>
      </c>
      <c r="K112" s="12" t="n">
        <v>-22.013</v>
      </c>
      <c r="L112" s="12" t="n">
        <v>55.064</v>
      </c>
      <c r="M112" s="12" t="n">
        <v>103.417</v>
      </c>
      <c r="N112" s="12" t="n">
        <v>13.068</v>
      </c>
      <c r="T112" s="12" t="n">
        <v>123.581</v>
      </c>
      <c r="U112" s="12" t="n">
        <v>135.458</v>
      </c>
      <c r="V112" s="12" t="n">
        <v>127.01</v>
      </c>
      <c r="W112" s="12" t="n">
        <v>113.05</v>
      </c>
      <c r="X112" s="12" t="n">
        <v>103.417</v>
      </c>
    </row>
    <row r="113">
      <c r="A113" s="9" t="inlineStr">
        <is>
          <t>지배주주 귀속 중간순이익(손실)</t>
        </is>
      </c>
      <c r="C113" s="12" t="n">
        <v>298.186</v>
      </c>
      <c r="D113" s="12" t="n">
        <v>235.733</v>
      </c>
      <c r="E113" s="12" t="n">
        <v>878.607</v>
      </c>
      <c r="F113" s="12" t="n">
        <v>-231.808</v>
      </c>
      <c r="G113" s="12" t="n">
        <v>171.85</v>
      </c>
      <c r="H113" s="12" t="n">
        <v>395.144</v>
      </c>
      <c r="I113" s="12" t="n">
        <v>714.744</v>
      </c>
      <c r="J113" s="12" t="n">
        <v>66.42700000000001</v>
      </c>
      <c r="K113" s="12" t="n">
        <v>141.375</v>
      </c>
      <c r="L113" s="12" t="n">
        <v>361.676</v>
      </c>
      <c r="M113" s="12" t="n">
        <v>803.086</v>
      </c>
      <c r="N113" s="12" t="n">
        <v>-233.645</v>
      </c>
      <c r="T113" s="12" t="n">
        <v>70.309</v>
      </c>
      <c r="U113" s="12" t="n">
        <v>490.766</v>
      </c>
      <c r="V113" s="12" t="n">
        <v>878.607</v>
      </c>
      <c r="W113" s="12" t="n">
        <v>714.744</v>
      </c>
      <c r="X113" s="12" t="n">
        <v>803.086</v>
      </c>
    </row>
    <row r="114">
      <c r="A114" s="43" t="inlineStr">
        <is>
          <t>YoY</t>
        </is>
      </c>
      <c r="B114" s="3" t="inlineStr">
        <is>
          <t>전년 같은 분기·전년 대비</t>
        </is>
      </c>
      <c r="G114" s="15">
        <f>IF(OR(G113="",C113=""),"",IF(C113&lt;=0,"",IFERROR(G113/C113-1,"")))</f>
        <v/>
      </c>
      <c r="H114" s="15">
        <f>IF(OR(H113="",D113=""),"",IF(D113&lt;=0,"",IFERROR(H113/D113-1,"")))</f>
        <v/>
      </c>
      <c r="I114" s="15">
        <f>IF(OR(I113="",E113=""),"",IF(E113&lt;=0,"",IFERROR(I113/E113-1,"")))</f>
        <v/>
      </c>
      <c r="J114" s="15">
        <f>IF(OR(J113="",F113=""),"",IF(F113&lt;=0,"",IFERROR(J113/F113-1,"")))</f>
        <v/>
      </c>
      <c r="K114" s="15">
        <f>IF(OR(K113="",G113=""),"",IF(G113&lt;=0,"",IFERROR(K113/G113-1,"")))</f>
        <v/>
      </c>
      <c r="L114" s="15">
        <f>IF(OR(L113="",H113=""),"",IF(H113&lt;=0,"",IFERROR(L113/H113-1,"")))</f>
        <v/>
      </c>
      <c r="M114" s="15">
        <f>IF(OR(M113="",I113=""),"",IF(I113&lt;=0,"",IFERROR(M113/I113-1,"")))</f>
        <v/>
      </c>
      <c r="N114" s="15">
        <f>IF(OR(N113="",J113=""),"",IF(J113&lt;=0,"",IFERROR(N113/J113-1,"")))</f>
        <v/>
      </c>
      <c r="T114" s="15">
        <f>IF(OR(T113="",S113=""),"",IF(S113&lt;=0,"",IFERROR(T113/S113-1,"")))</f>
        <v/>
      </c>
      <c r="U114" s="15">
        <f>IF(OR(U113="",T113=""),"",IF(T113&lt;=0,"",IFERROR(U113/T113-1,"")))</f>
        <v/>
      </c>
      <c r="V114" s="15">
        <f>IF(OR(V113="",U113=""),"",IF(U113&lt;=0,"",IFERROR(V113/U113-1,"")))</f>
        <v/>
      </c>
      <c r="W114" s="15">
        <f>IF(OR(W113="",V113=""),"",IF(V113&lt;=0,"",IFERROR(W113/V113-1,"")))</f>
        <v/>
      </c>
      <c r="X114" s="15">
        <f>IF(OR(X113="",W113=""),"",IF(W113&lt;=0,"",IFERROR(X113/W113-1,"")))</f>
        <v/>
      </c>
    </row>
    <row r="116">
      <c r="A116" s="16" t="inlineStr">
        <is>
          <t>포괄손익 · 전 항목</t>
        </is>
      </c>
      <c r="B116" s="42" t="inlineStr">
        <is>
          <t>분기 = 3개월 단독</t>
        </is>
      </c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/>
      <c r="Z116" s="16" t="n"/>
      <c r="AA116" s="16" t="n"/>
      <c r="AB116" s="16" t="n"/>
      <c r="AC116" s="16" t="n"/>
    </row>
    <row r="117">
      <c r="A117" s="5" t="inlineStr">
        <is>
          <t>항목</t>
        </is>
      </c>
      <c r="B117" s="5" t="inlineStr">
        <is>
          <t>참고</t>
        </is>
      </c>
      <c r="C117" s="5" t="inlineStr">
        <is>
          <t>2024.2Q</t>
        </is>
      </c>
      <c r="D117" s="5" t="inlineStr">
        <is>
          <t>2024.3Q</t>
        </is>
      </c>
      <c r="E117" s="5" t="inlineStr">
        <is>
          <t>2024.4Q</t>
        </is>
      </c>
      <c r="F117" s="5" t="inlineStr">
        <is>
          <t>2025.1Q</t>
        </is>
      </c>
      <c r="G117" s="5" t="inlineStr">
        <is>
          <t>2025.2Q</t>
        </is>
      </c>
      <c r="H117" s="5" t="inlineStr">
        <is>
          <t>2025.3Q</t>
        </is>
      </c>
      <c r="I117" s="5" t="inlineStr">
        <is>
          <t>2025.4Q</t>
        </is>
      </c>
      <c r="J117" s="5" t="inlineStr">
        <is>
          <t>2026.1Q</t>
        </is>
      </c>
      <c r="K117" s="5" t="inlineStr">
        <is>
          <t>2026.2Q</t>
        </is>
      </c>
      <c r="L117" s="5" t="inlineStr">
        <is>
          <t>2026.3Q</t>
        </is>
      </c>
      <c r="M117" s="5" t="inlineStr">
        <is>
          <t>2026.4Q</t>
        </is>
      </c>
      <c r="N117" s="5" t="inlineStr">
        <is>
          <t>2027.1Q</t>
        </is>
      </c>
      <c r="O117" s="5" t="inlineStr">
        <is>
          <t>2017</t>
        </is>
      </c>
      <c r="P117" s="5" t="inlineStr">
        <is>
          <t>2018</t>
        </is>
      </c>
      <c r="Q117" s="5" t="inlineStr">
        <is>
          <t>2019</t>
        </is>
      </c>
      <c r="R117" s="5" t="inlineStr">
        <is>
          <t>2020</t>
        </is>
      </c>
      <c r="S117" s="5" t="inlineStr">
        <is>
          <t>2021</t>
        </is>
      </c>
      <c r="T117" s="5" t="inlineStr">
        <is>
          <t>2022</t>
        </is>
      </c>
      <c r="U117" s="5" t="inlineStr">
        <is>
          <t>2023</t>
        </is>
      </c>
      <c r="V117" s="5" t="inlineStr">
        <is>
          <t>2024</t>
        </is>
      </c>
      <c r="W117" s="5" t="inlineStr">
        <is>
          <t>2025</t>
        </is>
      </c>
      <c r="X117" s="5" t="inlineStr">
        <is>
          <t>2026</t>
        </is>
      </c>
      <c r="Y117" s="5" t="inlineStr">
        <is>
          <t>2027(MW)</t>
        </is>
      </c>
      <c r="Z117" s="5" t="inlineStr">
        <is>
          <t>2028(MW)</t>
        </is>
      </c>
      <c r="AA117" s="5" t="inlineStr">
        <is>
          <t>2029(MW)</t>
        </is>
      </c>
      <c r="AB117" s="5" t="inlineStr">
        <is>
          <t>2030(MW)</t>
        </is>
      </c>
      <c r="AC117" s="5" t="inlineStr">
        <is>
          <t>2031(MW)</t>
        </is>
      </c>
    </row>
    <row r="118">
      <c r="A118" s="9" t="inlineStr">
        <is>
          <t>중간순이익(손실)</t>
        </is>
      </c>
      <c r="C118" s="12" t="n">
        <v>305.38</v>
      </c>
      <c r="D118" s="12" t="n">
        <v>273.466</v>
      </c>
      <c r="E118" s="12" t="n">
        <v>1005.617</v>
      </c>
      <c r="F118" s="12" t="n">
        <v>-229.374</v>
      </c>
      <c r="G118" s="12" t="n">
        <v>196.745</v>
      </c>
      <c r="H118" s="12" t="n">
        <v>454.511</v>
      </c>
      <c r="I118" s="12" t="n">
        <v>827.795</v>
      </c>
      <c r="J118" s="12" t="n">
        <v>56.217</v>
      </c>
      <c r="K118" s="12" t="n">
        <v>119.363</v>
      </c>
      <c r="L118" s="12" t="n">
        <v>416.74</v>
      </c>
      <c r="M118" s="12" t="n">
        <v>906.504</v>
      </c>
      <c r="N118" s="12" t="n">
        <v>-220.577</v>
      </c>
      <c r="T118" s="12" t="n">
        <v>193.891</v>
      </c>
      <c r="U118" s="12" t="n">
        <v>626.224</v>
      </c>
      <c r="V118" s="12" t="n">
        <v>1005.617</v>
      </c>
      <c r="W118" s="12" t="n">
        <v>827.795</v>
      </c>
      <c r="X118" s="12" t="n">
        <v>906.504</v>
      </c>
    </row>
    <row r="119">
      <c r="A119" s="18" t="inlineStr">
        <is>
          <t>기타유가증권 평가차액</t>
        </is>
      </c>
      <c r="C119" s="20" t="n">
        <v>-18.599</v>
      </c>
      <c r="D119" s="20" t="n">
        <v>18.619</v>
      </c>
      <c r="E119" s="20" t="n">
        <v>59.352</v>
      </c>
      <c r="F119" s="20" t="n">
        <v>8.77</v>
      </c>
      <c r="G119" s="20" t="n">
        <v>-41.113</v>
      </c>
      <c r="H119" s="20" t="n">
        <v>39.717</v>
      </c>
      <c r="I119" s="20" t="n">
        <v>-4.85</v>
      </c>
      <c r="J119" s="20" t="n">
        <v>51.061</v>
      </c>
      <c r="K119" s="20" t="n">
        <v>77.40300000000001</v>
      </c>
      <c r="L119" s="20" t="n">
        <v>81.29900000000001</v>
      </c>
      <c r="M119" s="20" t="n">
        <v>36.536</v>
      </c>
      <c r="N119" s="20" t="n">
        <v>97.04000000000001</v>
      </c>
      <c r="T119" s="20" t="n">
        <v>9.119</v>
      </c>
      <c r="U119" s="20" t="n">
        <v>12.707</v>
      </c>
      <c r="V119" s="20" t="n">
        <v>59.352</v>
      </c>
      <c r="W119" s="20" t="n">
        <v>-4.85</v>
      </c>
      <c r="X119" s="20" t="n">
        <v>36.536</v>
      </c>
    </row>
    <row r="120">
      <c r="A120" s="18" t="inlineStr">
        <is>
          <t>퇴직급여 조정액</t>
        </is>
      </c>
      <c r="C120" s="20" t="n">
        <v>20.373</v>
      </c>
      <c r="D120" s="20" t="n">
        <v>20.372</v>
      </c>
      <c r="E120" s="20" t="n">
        <v>365.213</v>
      </c>
      <c r="F120" s="20" t="n">
        <v>-3.227</v>
      </c>
      <c r="G120" s="20" t="n">
        <v>-3.227</v>
      </c>
      <c r="H120" s="20" t="n">
        <v>-3.227</v>
      </c>
      <c r="I120" s="20" t="n">
        <v>-362.295</v>
      </c>
      <c r="J120" s="20" t="n">
        <v>3.411</v>
      </c>
      <c r="K120" s="20" t="n">
        <v>3.411</v>
      </c>
      <c r="L120" s="20" t="n">
        <v>3.412</v>
      </c>
      <c r="M120" s="20" t="n">
        <v>315.244</v>
      </c>
      <c r="N120" s="20" t="n">
        <v>-3.734</v>
      </c>
      <c r="T120" s="20" t="n">
        <v>-42.472</v>
      </c>
      <c r="U120" s="20" t="n">
        <v>-171.18</v>
      </c>
      <c r="V120" s="20" t="n">
        <v>365.213</v>
      </c>
      <c r="W120" s="20" t="n">
        <v>-362.295</v>
      </c>
      <c r="X120" s="20" t="n">
        <v>315.244</v>
      </c>
    </row>
    <row r="121">
      <c r="A121" s="18" t="inlineStr">
        <is>
          <t>기타포괄손익 합계</t>
        </is>
      </c>
      <c r="C121" s="20" t="n">
        <v>1.773</v>
      </c>
      <c r="D121" s="20" t="n">
        <v>38.992</v>
      </c>
      <c r="E121" s="20" t="n">
        <v>424.564</v>
      </c>
      <c r="F121" s="20" t="n">
        <v>5.543</v>
      </c>
      <c r="G121" s="20" t="n">
        <v>-44.34</v>
      </c>
      <c r="H121" s="20" t="n">
        <v>36.49</v>
      </c>
      <c r="I121" s="20" t="n">
        <v>-367.145</v>
      </c>
      <c r="J121" s="20" t="n">
        <v>54.472</v>
      </c>
      <c r="K121" s="20" t="n">
        <v>80.815</v>
      </c>
      <c r="L121" s="20" t="n">
        <v>84.711</v>
      </c>
      <c r="M121" s="20" t="n">
        <v>351.78</v>
      </c>
      <c r="N121" s="20" t="n">
        <v>93.306</v>
      </c>
      <c r="T121" s="20" t="n">
        <v>-33.355</v>
      </c>
      <c r="U121" s="20" t="n">
        <v>-158.472</v>
      </c>
      <c r="V121" s="20" t="n">
        <v>424.564</v>
      </c>
      <c r="W121" s="20" t="n">
        <v>-367.145</v>
      </c>
      <c r="X121" s="20" t="n">
        <v>351.78</v>
      </c>
    </row>
    <row r="122">
      <c r="A122" s="9" t="inlineStr">
        <is>
          <t>포괄이익</t>
        </is>
      </c>
      <c r="C122" s="12" t="n">
        <v>307.153</v>
      </c>
      <c r="D122" s="12" t="n">
        <v>312.459</v>
      </c>
      <c r="E122" s="12" t="n">
        <v>1430.18</v>
      </c>
      <c r="F122" s="12" t="n">
        <v>-223.83</v>
      </c>
      <c r="G122" s="12" t="n">
        <v>152.403</v>
      </c>
      <c r="H122" s="12" t="n">
        <v>491.002</v>
      </c>
      <c r="I122" s="12" t="n">
        <v>460.65</v>
      </c>
      <c r="J122" s="12" t="n">
        <v>110.69</v>
      </c>
      <c r="K122" s="12" t="n">
        <v>200.177</v>
      </c>
      <c r="L122" s="12" t="n">
        <v>501.451</v>
      </c>
      <c r="M122" s="12" t="n">
        <v>1258.284</v>
      </c>
      <c r="N122" s="12" t="n">
        <v>-127.271</v>
      </c>
      <c r="T122" s="12" t="n">
        <v>160.535</v>
      </c>
      <c r="U122" s="12" t="n">
        <v>467.75</v>
      </c>
      <c r="V122" s="12" t="n">
        <v>1430.18</v>
      </c>
      <c r="W122" s="12" t="n">
        <v>460.65</v>
      </c>
      <c r="X122" s="12" t="n">
        <v>1258.284</v>
      </c>
    </row>
    <row r="123">
      <c r="A123" s="9" t="inlineStr">
        <is>
          <t>지배주주 포괄이익</t>
        </is>
      </c>
      <c r="C123" s="12" t="n">
        <v>292.442</v>
      </c>
      <c r="D123" s="12" t="n">
        <v>271.019</v>
      </c>
      <c r="E123" s="12" t="n">
        <v>1265.716</v>
      </c>
      <c r="F123" s="12" t="n">
        <v>-227.451</v>
      </c>
      <c r="G123" s="12" t="n">
        <v>131.9</v>
      </c>
      <c r="H123" s="12" t="n">
        <v>430.434</v>
      </c>
      <c r="I123" s="12" t="n">
        <v>365.865</v>
      </c>
      <c r="J123" s="12" t="n">
        <v>119.189</v>
      </c>
      <c r="K123" s="12" t="n">
        <v>215.431</v>
      </c>
      <c r="L123" s="12" t="n">
        <v>443.042</v>
      </c>
      <c r="M123" s="12" t="n">
        <v>1141.238</v>
      </c>
      <c r="N123" s="12" t="n">
        <v>-143.595</v>
      </c>
      <c r="T123" s="12" t="n">
        <v>49.984</v>
      </c>
      <c r="U123" s="12" t="n">
        <v>359.404</v>
      </c>
      <c r="V123" s="12" t="n">
        <v>1265.716</v>
      </c>
      <c r="W123" s="12" t="n">
        <v>365.865</v>
      </c>
      <c r="X123" s="12" t="n">
        <v>1141.238</v>
      </c>
    </row>
    <row r="124">
      <c r="A124" s="9" t="inlineStr">
        <is>
          <t>비지배주주 포괄이익</t>
        </is>
      </c>
      <c r="C124" s="12" t="n">
        <v>14.71</v>
      </c>
      <c r="D124" s="12" t="n">
        <v>41.439</v>
      </c>
      <c r="E124" s="12" t="n">
        <v>164.465</v>
      </c>
      <c r="F124" s="12" t="n">
        <v>3.62</v>
      </c>
      <c r="G124" s="12" t="n">
        <v>20.504</v>
      </c>
      <c r="H124" s="12" t="n">
        <v>60.568</v>
      </c>
      <c r="I124" s="12" t="n">
        <v>94.785</v>
      </c>
      <c r="J124" s="12" t="n">
        <v>-8.497999999999999</v>
      </c>
      <c r="K124" s="12" t="n">
        <v>-15.254</v>
      </c>
      <c r="L124" s="12" t="n">
        <v>58.408</v>
      </c>
      <c r="M124" s="12" t="n">
        <v>117.045</v>
      </c>
      <c r="N124" s="12" t="n">
        <v>16.324</v>
      </c>
      <c r="T124" s="12" t="n">
        <v>110.55</v>
      </c>
      <c r="U124" s="12" t="n">
        <v>108.346</v>
      </c>
      <c r="V124" s="12" t="n">
        <v>164.465</v>
      </c>
      <c r="W124" s="12" t="n">
        <v>94.785</v>
      </c>
      <c r="X124" s="12" t="n">
        <v>117.045</v>
      </c>
    </row>
    <row r="126">
      <c r="A126" s="16" t="inlineStr">
        <is>
          <t>부문 · 전 항목</t>
        </is>
      </c>
      <c r="B126" s="42" t="inlineStr">
        <is>
          <t>부문 · 항목</t>
        </is>
      </c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  <c r="AA126" s="16" t="n"/>
      <c r="AB126" s="16" t="n"/>
      <c r="AC126" s="16" t="n"/>
    </row>
    <row r="127">
      <c r="A127" s="5" t="inlineStr">
        <is>
          <t>항목</t>
        </is>
      </c>
      <c r="B127" s="5" t="inlineStr">
        <is>
          <t>참고</t>
        </is>
      </c>
      <c r="C127" s="5" t="inlineStr">
        <is>
          <t>2024.2Q</t>
        </is>
      </c>
      <c r="D127" s="5" t="inlineStr">
        <is>
          <t>2024.3Q</t>
        </is>
      </c>
      <c r="E127" s="5" t="inlineStr">
        <is>
          <t>2024.4Q</t>
        </is>
      </c>
      <c r="F127" s="5" t="inlineStr">
        <is>
          <t>2025.1Q</t>
        </is>
      </c>
      <c r="G127" s="5" t="inlineStr">
        <is>
          <t>2025.2Q</t>
        </is>
      </c>
      <c r="H127" s="5" t="inlineStr">
        <is>
          <t>2025.3Q</t>
        </is>
      </c>
      <c r="I127" s="5" t="inlineStr">
        <is>
          <t>2025.4Q</t>
        </is>
      </c>
      <c r="J127" s="5" t="inlineStr">
        <is>
          <t>2026.1Q</t>
        </is>
      </c>
      <c r="K127" s="5" t="inlineStr">
        <is>
          <t>2026.2Q</t>
        </is>
      </c>
      <c r="L127" s="5" t="inlineStr">
        <is>
          <t>2026.3Q</t>
        </is>
      </c>
      <c r="M127" s="5" t="inlineStr">
        <is>
          <t>2026.4Q</t>
        </is>
      </c>
      <c r="N127" s="5" t="inlineStr">
        <is>
          <t>2027.1Q</t>
        </is>
      </c>
      <c r="O127" s="5" t="inlineStr">
        <is>
          <t>2017</t>
        </is>
      </c>
      <c r="P127" s="5" t="inlineStr">
        <is>
          <t>2018</t>
        </is>
      </c>
      <c r="Q127" s="5" t="inlineStr">
        <is>
          <t>2019</t>
        </is>
      </c>
      <c r="R127" s="5" t="inlineStr">
        <is>
          <t>2020</t>
        </is>
      </c>
      <c r="S127" s="5" t="inlineStr">
        <is>
          <t>2021</t>
        </is>
      </c>
      <c r="T127" s="5" t="inlineStr">
        <is>
          <t>2022</t>
        </is>
      </c>
      <c r="U127" s="5" t="inlineStr">
        <is>
          <t>2023</t>
        </is>
      </c>
      <c r="V127" s="5" t="inlineStr">
        <is>
          <t>2024</t>
        </is>
      </c>
      <c r="W127" s="5" t="inlineStr">
        <is>
          <t>2025</t>
        </is>
      </c>
      <c r="X127" s="5" t="inlineStr">
        <is>
          <t>2026</t>
        </is>
      </c>
      <c r="Y127" s="5" t="inlineStr">
        <is>
          <t>2027(MW)</t>
        </is>
      </c>
      <c r="Z127" s="5" t="inlineStr">
        <is>
          <t>2028(MW)</t>
        </is>
      </c>
      <c r="AA127" s="5" t="inlineStr">
        <is>
          <t>2029(MW)</t>
        </is>
      </c>
      <c r="AB127" s="5" t="inlineStr">
        <is>
          <t>2030(MW)</t>
        </is>
      </c>
      <c r="AC127" s="5" t="inlineStr">
        <is>
          <t>2031(MW)</t>
        </is>
      </c>
    </row>
    <row r="128">
      <c r="A128" s="18" t="inlineStr">
        <is>
          <t>부문 · 외부 고객 매출</t>
        </is>
      </c>
      <c r="C128" s="20" t="n">
        <v>3588.668</v>
      </c>
      <c r="D128" s="20" t="n">
        <v>3447.066</v>
      </c>
      <c r="E128" s="20" t="n">
        <v>6350.752</v>
      </c>
      <c r="F128" s="20" t="n">
        <v>2866.506</v>
      </c>
      <c r="G128" s="20" t="n">
        <v>3203.714</v>
      </c>
      <c r="H128" s="20" t="n">
        <v>5018.228</v>
      </c>
      <c r="I128" s="20" t="n">
        <v>5721.498</v>
      </c>
      <c r="J128" s="20" t="n">
        <v>3087.127</v>
      </c>
      <c r="K128" s="20" t="n">
        <v>4155.637</v>
      </c>
      <c r="L128" s="20" t="n">
        <v>5357.881</v>
      </c>
      <c r="M128" s="20" t="n">
        <v>8130.239</v>
      </c>
      <c r="N128" s="20" t="n">
        <v>4535.161</v>
      </c>
      <c r="V128" s="20" t="n">
        <v>6350.752</v>
      </c>
      <c r="W128" s="20" t="n">
        <v>5721.498</v>
      </c>
      <c r="X128" s="20" t="n">
        <v>8130.239</v>
      </c>
    </row>
    <row r="129">
      <c r="A129" s="43" t="inlineStr">
        <is>
          <t>YoY</t>
        </is>
      </c>
      <c r="B129" s="3" t="inlineStr">
        <is>
          <t>전년 같은 분기·전년 대비</t>
        </is>
      </c>
      <c r="G129" s="15">
        <f>IF(OR(G128="",C128=""),"",IF(C128&lt;=0,"",IFERROR(G128/C128-1,"")))</f>
        <v/>
      </c>
      <c r="H129" s="15">
        <f>IF(OR(H128="",D128=""),"",IF(D128&lt;=0,"",IFERROR(H128/D128-1,"")))</f>
        <v/>
      </c>
      <c r="I129" s="15">
        <f>IF(OR(I128="",E128=""),"",IF(E128&lt;=0,"",IFERROR(I128/E128-1,"")))</f>
        <v/>
      </c>
      <c r="J129" s="15">
        <f>IF(OR(J128="",F128=""),"",IF(F128&lt;=0,"",IFERROR(J128/F128-1,"")))</f>
        <v/>
      </c>
      <c r="K129" s="15">
        <f>IF(OR(K128="",G128=""),"",IF(G128&lt;=0,"",IFERROR(K128/G128-1,"")))</f>
        <v/>
      </c>
      <c r="L129" s="15">
        <f>IF(OR(L128="",H128=""),"",IF(H128&lt;=0,"",IFERROR(L128/H128-1,"")))</f>
        <v/>
      </c>
      <c r="M129" s="15">
        <f>IF(OR(M128="",I128=""),"",IF(I128&lt;=0,"",IFERROR(M128/I128-1,"")))</f>
        <v/>
      </c>
      <c r="N129" s="15">
        <f>IF(OR(N128="",J128=""),"",IF(J128&lt;=0,"",IFERROR(N128/J128-1,"")))</f>
        <v/>
      </c>
      <c r="V129" s="15">
        <f>IF(OR(V128="",U128=""),"",IF(U128&lt;=0,"",IFERROR(V128/U128-1,"")))</f>
        <v/>
      </c>
      <c r="W129" s="15">
        <f>IF(OR(W128="",V128=""),"",IF(V128&lt;=0,"",IFERROR(W128/V128-1,"")))</f>
        <v/>
      </c>
      <c r="X129" s="15">
        <f>IF(OR(X128="",W128=""),"",IF(W128&lt;=0,"",IFERROR(X128/W128-1,"")))</f>
        <v/>
      </c>
    </row>
    <row r="130">
      <c r="A130" s="18" t="inlineStr">
        <is>
          <t>부문 · 외부 고객 매출</t>
        </is>
      </c>
      <c r="C130" s="20" t="n">
        <v>2619.258</v>
      </c>
      <c r="D130" s="20" t="n">
        <v>3028.477</v>
      </c>
      <c r="E130" s="20" t="n">
        <v>5088.425</v>
      </c>
      <c r="F130" s="20" t="n">
        <v>2027.578</v>
      </c>
      <c r="G130" s="20" t="n">
        <v>2678.947</v>
      </c>
      <c r="H130" s="20" t="n">
        <v>2753.313</v>
      </c>
      <c r="I130" s="20" t="n">
        <v>4776.408</v>
      </c>
      <c r="J130" s="20" t="n">
        <v>2164.223</v>
      </c>
      <c r="K130" s="20" t="n">
        <v>2429.6</v>
      </c>
      <c r="L130" s="20" t="n">
        <v>2881.713</v>
      </c>
      <c r="M130" s="20" t="n">
        <v>4503.163</v>
      </c>
      <c r="N130" s="20" t="n">
        <v>2227.682</v>
      </c>
      <c r="V130" s="20" t="n">
        <v>5088.425</v>
      </c>
      <c r="W130" s="20" t="n">
        <v>4776.408</v>
      </c>
      <c r="X130" s="20" t="n">
        <v>4503.163</v>
      </c>
    </row>
    <row r="131">
      <c r="A131" s="43" t="inlineStr">
        <is>
          <t>YoY</t>
        </is>
      </c>
      <c r="B131" s="3" t="inlineStr">
        <is>
          <t>전년 같은 분기·전년 대비</t>
        </is>
      </c>
      <c r="G131" s="15">
        <f>IF(OR(G130="",C130=""),"",IF(C130&lt;=0,"",IFERROR(G130/C130-1,"")))</f>
        <v/>
      </c>
      <c r="H131" s="15">
        <f>IF(OR(H130="",D130=""),"",IF(D130&lt;=0,"",IFERROR(H130/D130-1,"")))</f>
        <v/>
      </c>
      <c r="I131" s="15">
        <f>IF(OR(I130="",E130=""),"",IF(E130&lt;=0,"",IFERROR(I130/E130-1,"")))</f>
        <v/>
      </c>
      <c r="J131" s="15">
        <f>IF(OR(J130="",F130=""),"",IF(F130&lt;=0,"",IFERROR(J130/F130-1,"")))</f>
        <v/>
      </c>
      <c r="K131" s="15">
        <f>IF(OR(K130="",G130=""),"",IF(G130&lt;=0,"",IFERROR(K130/G130-1,"")))</f>
        <v/>
      </c>
      <c r="L131" s="15">
        <f>IF(OR(L130="",H130=""),"",IF(H130&lt;=0,"",IFERROR(L130/H130-1,"")))</f>
        <v/>
      </c>
      <c r="M131" s="15">
        <f>IF(OR(M130="",I130=""),"",IF(I130&lt;=0,"",IFERROR(M130/I130-1,"")))</f>
        <v/>
      </c>
      <c r="N131" s="15">
        <f>IF(OR(N130="",J130=""),"",IF(J130&lt;=0,"",IFERROR(N130/J130-1,"")))</f>
        <v/>
      </c>
      <c r="V131" s="15">
        <f>IF(OR(V130="",U130=""),"",IF(U130&lt;=0,"",IFERROR(V130/U130-1,"")))</f>
        <v/>
      </c>
      <c r="W131" s="15">
        <f>IF(OR(W130="",V130=""),"",IF(V130&lt;=0,"",IFERROR(W130/V130-1,"")))</f>
        <v/>
      </c>
      <c r="X131" s="15">
        <f>IF(OR(X130="",W130=""),"",IF(W130&lt;=0,"",IFERROR(X130/W130-1,"")))</f>
        <v/>
      </c>
    </row>
    <row r="132">
      <c r="A132" s="18" t="inlineStr">
        <is>
          <t>합계 · 외부 고객 매출</t>
        </is>
      </c>
      <c r="C132" s="20" t="n">
        <v>6207.926</v>
      </c>
      <c r="D132" s="20" t="n">
        <v>6475.542</v>
      </c>
      <c r="E132" s="20" t="n">
        <v>11439.177</v>
      </c>
      <c r="F132" s="20" t="n">
        <v>4894.085</v>
      </c>
      <c r="G132" s="20" t="n">
        <v>5882.661</v>
      </c>
      <c r="H132" s="20" t="n">
        <v>7771.54</v>
      </c>
      <c r="I132" s="20" t="n">
        <v>10497.906</v>
      </c>
      <c r="J132" s="20" t="n">
        <v>5251.351</v>
      </c>
      <c r="K132" s="20" t="n">
        <v>6585.237</v>
      </c>
      <c r="L132" s="20" t="n">
        <v>8239.593000000001</v>
      </c>
      <c r="M132" s="20" t="n">
        <v>12633.402</v>
      </c>
      <c r="N132" s="20" t="n">
        <v>6762.843</v>
      </c>
      <c r="V132" s="20" t="n">
        <v>11439.177</v>
      </c>
      <c r="W132" s="20" t="n">
        <v>10497.906</v>
      </c>
      <c r="X132" s="20" t="n">
        <v>12633.402</v>
      </c>
    </row>
    <row r="133">
      <c r="A133" s="43" t="inlineStr">
        <is>
          <t>YoY</t>
        </is>
      </c>
      <c r="B133" s="3" t="inlineStr">
        <is>
          <t>전년 같은 분기·전년 대비</t>
        </is>
      </c>
      <c r="G133" s="15">
        <f>IF(OR(G132="",C132=""),"",IF(C132&lt;=0,"",IFERROR(G132/C132-1,"")))</f>
        <v/>
      </c>
      <c r="H133" s="15">
        <f>IF(OR(H132="",D132=""),"",IF(D132&lt;=0,"",IFERROR(H132/D132-1,"")))</f>
        <v/>
      </c>
      <c r="I133" s="15">
        <f>IF(OR(I132="",E132=""),"",IF(E132&lt;=0,"",IFERROR(I132/E132-1,"")))</f>
        <v/>
      </c>
      <c r="J133" s="15">
        <f>IF(OR(J132="",F132=""),"",IF(F132&lt;=0,"",IFERROR(J132/F132-1,"")))</f>
        <v/>
      </c>
      <c r="K133" s="15">
        <f>IF(OR(K132="",G132=""),"",IF(G132&lt;=0,"",IFERROR(K132/G132-1,"")))</f>
        <v/>
      </c>
      <c r="L133" s="15">
        <f>IF(OR(L132="",H132=""),"",IF(H132&lt;=0,"",IFERROR(L132/H132-1,"")))</f>
        <v/>
      </c>
      <c r="M133" s="15">
        <f>IF(OR(M132="",I132=""),"",IF(I132&lt;=0,"",IFERROR(M132/I132-1,"")))</f>
        <v/>
      </c>
      <c r="N133" s="15">
        <f>IF(OR(N132="",J132=""),"",IF(J132&lt;=0,"",IFERROR(N132/J132-1,"")))</f>
        <v/>
      </c>
      <c r="V133" s="15">
        <f>IF(OR(V132="",U132=""),"",IF(U132&lt;=0,"",IFERROR(V132/U132-1,"")))</f>
        <v/>
      </c>
      <c r="W133" s="15">
        <f>IF(OR(W132="",V132=""),"",IF(V132&lt;=0,"",IFERROR(W132/V132-1,"")))</f>
        <v/>
      </c>
      <c r="X133" s="15">
        <f>IF(OR(X132="",W132=""),"",IF(W132&lt;=0,"",IFERROR(X132/W132-1,"")))</f>
        <v/>
      </c>
    </row>
    <row r="134">
      <c r="A134" s="18" t="inlineStr">
        <is>
          <t>부문 · 부문 간 내부매출·대체</t>
        </is>
      </c>
      <c r="C134" s="20" t="n">
        <v>44.86</v>
      </c>
      <c r="D134" s="20" t="n">
        <v>42.426</v>
      </c>
      <c r="E134" s="20" t="n">
        <v>74.94</v>
      </c>
      <c r="F134" s="20" t="n">
        <v>29.954</v>
      </c>
      <c r="G134" s="20" t="n">
        <v>22.094</v>
      </c>
      <c r="H134" s="20" t="n">
        <v>35.544</v>
      </c>
      <c r="I134" s="20" t="n">
        <v>88.85599999999999</v>
      </c>
      <c r="J134" s="20" t="n">
        <v>29.292</v>
      </c>
      <c r="K134" s="20" t="n">
        <v>28.414</v>
      </c>
      <c r="L134" s="20" t="n">
        <v>44.696</v>
      </c>
      <c r="M134" s="20" t="n">
        <v>65.182</v>
      </c>
      <c r="N134" s="20" t="n">
        <v>35.479</v>
      </c>
      <c r="V134" s="20" t="n">
        <v>74.94</v>
      </c>
      <c r="W134" s="20" t="n">
        <v>88.85599999999999</v>
      </c>
      <c r="X134" s="20" t="n">
        <v>65.182</v>
      </c>
    </row>
    <row r="135">
      <c r="A135" s="18" t="inlineStr">
        <is>
          <t>부문 · 부문 간 내부매출·대체</t>
        </is>
      </c>
      <c r="C135" s="20" t="n">
        <v>91.669</v>
      </c>
      <c r="D135" s="20" t="n">
        <v>132.73</v>
      </c>
      <c r="E135" s="20" t="n">
        <v>108.26</v>
      </c>
      <c r="F135" s="20" t="n">
        <v>86.55</v>
      </c>
      <c r="G135" s="20" t="n">
        <v>74.663</v>
      </c>
      <c r="H135" s="20" t="n">
        <v>98.50700000000001</v>
      </c>
      <c r="I135" s="20" t="n">
        <v>95.044</v>
      </c>
      <c r="J135" s="20" t="n">
        <v>91.663</v>
      </c>
      <c r="K135" s="20" t="n">
        <v>96.66500000000001</v>
      </c>
      <c r="L135" s="20" t="n">
        <v>122.267</v>
      </c>
      <c r="M135" s="20" t="n">
        <v>166.675</v>
      </c>
      <c r="N135" s="20" t="n">
        <v>84.021</v>
      </c>
      <c r="V135" s="20" t="n">
        <v>108.26</v>
      </c>
      <c r="W135" s="20" t="n">
        <v>95.044</v>
      </c>
      <c r="X135" s="20" t="n">
        <v>166.675</v>
      </c>
    </row>
    <row r="136">
      <c r="A136" s="18" t="inlineStr">
        <is>
          <t>합계 · 부문 간 내부매출·대체</t>
        </is>
      </c>
      <c r="C136" s="20" t="n">
        <v>136.529</v>
      </c>
      <c r="D136" s="20" t="n">
        <v>175.157</v>
      </c>
      <c r="E136" s="20" t="n">
        <v>183.2</v>
      </c>
      <c r="F136" s="20" t="n">
        <v>116.504</v>
      </c>
      <c r="G136" s="20" t="n">
        <v>96.75700000000001</v>
      </c>
      <c r="H136" s="20" t="n">
        <v>134.052</v>
      </c>
      <c r="I136" s="20" t="n">
        <v>183.9</v>
      </c>
      <c r="J136" s="20" t="n">
        <v>120.955</v>
      </c>
      <c r="K136" s="20" t="n">
        <v>125.08</v>
      </c>
      <c r="L136" s="20" t="n">
        <v>166.962</v>
      </c>
      <c r="M136" s="20" t="n">
        <v>231.857</v>
      </c>
      <c r="N136" s="20" t="n">
        <v>119.5</v>
      </c>
      <c r="V136" s="20" t="n">
        <v>183.2</v>
      </c>
      <c r="W136" s="20" t="n">
        <v>183.9</v>
      </c>
      <c r="X136" s="20" t="n">
        <v>231.857</v>
      </c>
    </row>
    <row r="137">
      <c r="A137" s="18" t="inlineStr">
        <is>
          <t>부문 · 계</t>
        </is>
      </c>
      <c r="C137" s="20" t="n">
        <v>3633.527</v>
      </c>
      <c r="D137" s="20" t="n">
        <v>3489.493</v>
      </c>
      <c r="E137" s="20" t="n">
        <v>6425.692</v>
      </c>
      <c r="F137" s="20" t="n">
        <v>2896.461</v>
      </c>
      <c r="G137" s="20" t="n">
        <v>3225.807</v>
      </c>
      <c r="H137" s="20" t="n">
        <v>5053.772</v>
      </c>
      <c r="I137" s="20" t="n">
        <v>5810.354</v>
      </c>
      <c r="J137" s="20" t="n">
        <v>3116.419</v>
      </c>
      <c r="K137" s="20" t="n">
        <v>4184.052</v>
      </c>
      <c r="L137" s="20" t="n">
        <v>5402.576</v>
      </c>
      <c r="M137" s="20" t="n">
        <v>8195.421</v>
      </c>
      <c r="N137" s="20" t="n">
        <v>4570.641</v>
      </c>
      <c r="V137" s="20" t="n">
        <v>6425.692</v>
      </c>
      <c r="W137" s="20" t="n">
        <v>5810.354</v>
      </c>
      <c r="X137" s="20" t="n">
        <v>8195.421</v>
      </c>
    </row>
    <row r="138">
      <c r="A138" s="43" t="inlineStr">
        <is>
          <t>YoY</t>
        </is>
      </c>
      <c r="B138" s="3" t="inlineStr">
        <is>
          <t>전년 같은 분기·전년 대비</t>
        </is>
      </c>
      <c r="G138" s="15">
        <f>IF(OR(G137="",C137=""),"",IF(C137&lt;=0,"",IFERROR(G137/C137-1,"")))</f>
        <v/>
      </c>
      <c r="H138" s="15">
        <f>IF(OR(H137="",D137=""),"",IF(D137&lt;=0,"",IFERROR(H137/D137-1,"")))</f>
        <v/>
      </c>
      <c r="I138" s="15">
        <f>IF(OR(I137="",E137=""),"",IF(E137&lt;=0,"",IFERROR(I137/E137-1,"")))</f>
        <v/>
      </c>
      <c r="J138" s="15">
        <f>IF(OR(J137="",F137=""),"",IF(F137&lt;=0,"",IFERROR(J137/F137-1,"")))</f>
        <v/>
      </c>
      <c r="K138" s="15">
        <f>IF(OR(K137="",G137=""),"",IF(G137&lt;=0,"",IFERROR(K137/G137-1,"")))</f>
        <v/>
      </c>
      <c r="L138" s="15">
        <f>IF(OR(L137="",H137=""),"",IF(H137&lt;=0,"",IFERROR(L137/H137-1,"")))</f>
        <v/>
      </c>
      <c r="M138" s="15">
        <f>IF(OR(M137="",I137=""),"",IF(I137&lt;=0,"",IFERROR(M137/I137-1,"")))</f>
        <v/>
      </c>
      <c r="N138" s="15">
        <f>IF(OR(N137="",J137=""),"",IF(J137&lt;=0,"",IFERROR(N137/J137-1,"")))</f>
        <v/>
      </c>
      <c r="V138" s="15">
        <f>IF(OR(V137="",U137=""),"",IF(U137&lt;=0,"",IFERROR(V137/U137-1,"")))</f>
        <v/>
      </c>
      <c r="W138" s="15">
        <f>IF(OR(W137="",V137=""),"",IF(V137&lt;=0,"",IFERROR(W137/V137-1,"")))</f>
        <v/>
      </c>
      <c r="X138" s="15">
        <f>IF(OR(X137="",W137=""),"",IF(W137&lt;=0,"",IFERROR(X137/W137-1,"")))</f>
        <v/>
      </c>
    </row>
    <row r="139">
      <c r="A139" s="18" t="inlineStr">
        <is>
          <t>부문 · 계</t>
        </is>
      </c>
      <c r="C139" s="20" t="n">
        <v>2710.928</v>
      </c>
      <c r="D139" s="20" t="n">
        <v>3161.206</v>
      </c>
      <c r="E139" s="20" t="n">
        <v>5196.685</v>
      </c>
      <c r="F139" s="20" t="n">
        <v>2114.129</v>
      </c>
      <c r="G139" s="20" t="n">
        <v>2753.61</v>
      </c>
      <c r="H139" s="20" t="n">
        <v>2851.82</v>
      </c>
      <c r="I139" s="20" t="n">
        <v>4871.452</v>
      </c>
      <c r="J139" s="20" t="n">
        <v>2255.887</v>
      </c>
      <c r="K139" s="20" t="n">
        <v>2526.265</v>
      </c>
      <c r="L139" s="20" t="n">
        <v>3003.979</v>
      </c>
      <c r="M139" s="20" t="n">
        <v>4669.838</v>
      </c>
      <c r="N139" s="20" t="n">
        <v>2311.703</v>
      </c>
      <c r="V139" s="20" t="n">
        <v>5196.685</v>
      </c>
      <c r="W139" s="20" t="n">
        <v>4871.452</v>
      </c>
      <c r="X139" s="20" t="n">
        <v>4669.838</v>
      </c>
    </row>
    <row r="140">
      <c r="A140" s="43" t="inlineStr">
        <is>
          <t>YoY</t>
        </is>
      </c>
      <c r="B140" s="3" t="inlineStr">
        <is>
          <t>전년 같은 분기·전년 대비</t>
        </is>
      </c>
      <c r="G140" s="15">
        <f>IF(OR(G139="",C139=""),"",IF(C139&lt;=0,"",IFERROR(G139/C139-1,"")))</f>
        <v/>
      </c>
      <c r="H140" s="15">
        <f>IF(OR(H139="",D139=""),"",IF(D139&lt;=0,"",IFERROR(H139/D139-1,"")))</f>
        <v/>
      </c>
      <c r="I140" s="15">
        <f>IF(OR(I139="",E139=""),"",IF(E139&lt;=0,"",IFERROR(I139/E139-1,"")))</f>
        <v/>
      </c>
      <c r="J140" s="15">
        <f>IF(OR(J139="",F139=""),"",IF(F139&lt;=0,"",IFERROR(J139/F139-1,"")))</f>
        <v/>
      </c>
      <c r="K140" s="15">
        <f>IF(OR(K139="",G139=""),"",IF(G139&lt;=0,"",IFERROR(K139/G139-1,"")))</f>
        <v/>
      </c>
      <c r="L140" s="15">
        <f>IF(OR(L139="",H139=""),"",IF(H139&lt;=0,"",IFERROR(L139/H139-1,"")))</f>
        <v/>
      </c>
      <c r="M140" s="15">
        <f>IF(OR(M139="",I139=""),"",IF(I139&lt;=0,"",IFERROR(M139/I139-1,"")))</f>
        <v/>
      </c>
      <c r="N140" s="15">
        <f>IF(OR(N139="",J139=""),"",IF(J139&lt;=0,"",IFERROR(N139/J139-1,"")))</f>
        <v/>
      </c>
      <c r="V140" s="15">
        <f>IF(OR(V139="",U139=""),"",IF(U139&lt;=0,"",IFERROR(V139/U139-1,"")))</f>
        <v/>
      </c>
      <c r="W140" s="15">
        <f>IF(OR(W139="",V139=""),"",IF(V139&lt;=0,"",IFERROR(W139/V139-1,"")))</f>
        <v/>
      </c>
      <c r="X140" s="15">
        <f>IF(OR(X139="",W139=""),"",IF(W139&lt;=0,"",IFERROR(X139/W139-1,"")))</f>
        <v/>
      </c>
    </row>
    <row r="141">
      <c r="A141" s="18" t="inlineStr">
        <is>
          <t>합계 · 계</t>
        </is>
      </c>
      <c r="C141" s="20" t="n">
        <v>6344.455</v>
      </c>
      <c r="D141" s="20" t="n">
        <v>6650.699</v>
      </c>
      <c r="E141" s="20" t="n">
        <v>11622.377</v>
      </c>
      <c r="F141" s="20" t="n">
        <v>5010.59</v>
      </c>
      <c r="G141" s="20" t="n">
        <v>5979.417</v>
      </c>
      <c r="H141" s="20" t="n">
        <v>7905.592</v>
      </c>
      <c r="I141" s="20" t="n">
        <v>10681.807</v>
      </c>
      <c r="J141" s="20" t="n">
        <v>5372.306</v>
      </c>
      <c r="K141" s="20" t="n">
        <v>6710.318</v>
      </c>
      <c r="L141" s="20" t="n">
        <v>8406.555</v>
      </c>
      <c r="M141" s="20" t="n">
        <v>12865.259</v>
      </c>
      <c r="N141" s="20" t="n">
        <v>6882.344</v>
      </c>
      <c r="V141" s="20" t="n">
        <v>11622.377</v>
      </c>
      <c r="W141" s="20" t="n">
        <v>10681.807</v>
      </c>
      <c r="X141" s="20" t="n">
        <v>12865.259</v>
      </c>
    </row>
    <row r="142">
      <c r="A142" s="43" t="inlineStr">
        <is>
          <t>YoY</t>
        </is>
      </c>
      <c r="B142" s="3" t="inlineStr">
        <is>
          <t>전년 같은 분기·전년 대비</t>
        </is>
      </c>
      <c r="G142" s="15">
        <f>IF(OR(G141="",C141=""),"",IF(C141&lt;=0,"",IFERROR(G141/C141-1,"")))</f>
        <v/>
      </c>
      <c r="H142" s="15">
        <f>IF(OR(H141="",D141=""),"",IF(D141&lt;=0,"",IFERROR(H141/D141-1,"")))</f>
        <v/>
      </c>
      <c r="I142" s="15">
        <f>IF(OR(I141="",E141=""),"",IF(E141&lt;=0,"",IFERROR(I141/E141-1,"")))</f>
        <v/>
      </c>
      <c r="J142" s="15">
        <f>IF(OR(J141="",F141=""),"",IF(F141&lt;=0,"",IFERROR(J141/F141-1,"")))</f>
        <v/>
      </c>
      <c r="K142" s="15">
        <f>IF(OR(K141="",G141=""),"",IF(G141&lt;=0,"",IFERROR(K141/G141-1,"")))</f>
        <v/>
      </c>
      <c r="L142" s="15">
        <f>IF(OR(L141="",H141=""),"",IF(H141&lt;=0,"",IFERROR(L141/H141-1,"")))</f>
        <v/>
      </c>
      <c r="M142" s="15">
        <f>IF(OR(M141="",I141=""),"",IF(I141&lt;=0,"",IFERROR(M141/I141-1,"")))</f>
        <v/>
      </c>
      <c r="N142" s="15">
        <f>IF(OR(N141="",J141=""),"",IF(J141&lt;=0,"",IFERROR(N141/J141-1,"")))</f>
        <v/>
      </c>
      <c r="V142" s="15">
        <f>IF(OR(V141="",U141=""),"",IF(U141&lt;=0,"",IFERROR(V141/U141-1,"")))</f>
        <v/>
      </c>
      <c r="W142" s="15">
        <f>IF(OR(W141="",V141=""),"",IF(V141&lt;=0,"",IFERROR(W141/V141-1,"")))</f>
        <v/>
      </c>
      <c r="X142" s="15">
        <f>IF(OR(X141="",W141=""),"",IF(W141&lt;=0,"",IFERROR(X141/W141-1,"")))</f>
        <v/>
      </c>
    </row>
    <row r="143">
      <c r="A143" s="18" t="inlineStr">
        <is>
          <t>부문 · 부문 이익(손실)</t>
        </is>
      </c>
      <c r="C143" s="20" t="n">
        <v>325.178</v>
      </c>
      <c r="D143" s="20" t="n">
        <v>162.539</v>
      </c>
      <c r="E143" s="20" t="n">
        <v>517.241</v>
      </c>
      <c r="F143" s="20" t="n">
        <v>-169.685</v>
      </c>
      <c r="G143" s="20" t="n">
        <v>155.728</v>
      </c>
      <c r="H143" s="20" t="n">
        <v>449.899</v>
      </c>
      <c r="I143" s="20" t="n">
        <v>419.768</v>
      </c>
      <c r="J143" s="20" t="n">
        <v>122.561</v>
      </c>
      <c r="K143" s="20" t="n">
        <v>266.783</v>
      </c>
      <c r="L143" s="20" t="n">
        <v>379.914</v>
      </c>
      <c r="M143" s="20" t="n">
        <v>598.6180000000001</v>
      </c>
      <c r="N143" s="20" t="n">
        <v>-213.529</v>
      </c>
      <c r="V143" s="20" t="n">
        <v>517.241</v>
      </c>
      <c r="W143" s="20" t="n">
        <v>419.768</v>
      </c>
      <c r="X143" s="20" t="n">
        <v>598.6180000000001</v>
      </c>
    </row>
    <row r="144">
      <c r="A144" s="43" t="inlineStr">
        <is>
          <t>OPM</t>
        </is>
      </c>
      <c r="B144" s="3" t="inlineStr">
        <is>
          <t>영업이익 ÷ 매출</t>
        </is>
      </c>
      <c r="C144" s="15">
        <f>IF(OR(C143="",C137=""),"",IF(C137&lt;=0,"",IFERROR(C143/C137,"")))</f>
        <v/>
      </c>
      <c r="D144" s="15">
        <f>IF(OR(D143="",D137=""),"",IF(D137&lt;=0,"",IFERROR(D143/D137,"")))</f>
        <v/>
      </c>
      <c r="E144" s="15">
        <f>IF(OR(E143="",E137=""),"",IF(E137&lt;=0,"",IFERROR(E143/E137,"")))</f>
        <v/>
      </c>
      <c r="F144" s="15">
        <f>IF(OR(F143="",F137=""),"",IF(F137&lt;=0,"",IFERROR(F143/F137,"")))</f>
        <v/>
      </c>
      <c r="G144" s="15">
        <f>IF(OR(G143="",G137=""),"",IF(G137&lt;=0,"",IFERROR(G143/G137,"")))</f>
        <v/>
      </c>
      <c r="H144" s="15">
        <f>IF(OR(H143="",H137=""),"",IF(H137&lt;=0,"",IFERROR(H143/H137,"")))</f>
        <v/>
      </c>
      <c r="I144" s="15">
        <f>IF(OR(I143="",I137=""),"",IF(I137&lt;=0,"",IFERROR(I143/I137,"")))</f>
        <v/>
      </c>
      <c r="J144" s="15">
        <f>IF(OR(J143="",J137=""),"",IF(J137&lt;=0,"",IFERROR(J143/J137,"")))</f>
        <v/>
      </c>
      <c r="K144" s="15">
        <f>IF(OR(K143="",K137=""),"",IF(K137&lt;=0,"",IFERROR(K143/K137,"")))</f>
        <v/>
      </c>
      <c r="L144" s="15">
        <f>IF(OR(L143="",L137=""),"",IF(L137&lt;=0,"",IFERROR(L143/L137,"")))</f>
        <v/>
      </c>
      <c r="M144" s="15">
        <f>IF(OR(M143="",M137=""),"",IF(M137&lt;=0,"",IFERROR(M143/M137,"")))</f>
        <v/>
      </c>
      <c r="N144" s="15">
        <f>IF(OR(N143="",N137=""),"",IF(N137&lt;=0,"",IFERROR(N143/N137,"")))</f>
        <v/>
      </c>
      <c r="V144" s="15">
        <f>IF(OR(V143="",V137=""),"",IF(V137&lt;=0,"",IFERROR(V143/V137,"")))</f>
        <v/>
      </c>
      <c r="W144" s="15">
        <f>IF(OR(W143="",W137=""),"",IF(W137&lt;=0,"",IFERROR(W143/W137,"")))</f>
        <v/>
      </c>
      <c r="X144" s="15">
        <f>IF(OR(X143="",X137=""),"",IF(X137&lt;=0,"",IFERROR(X143/X137,"")))</f>
        <v/>
      </c>
    </row>
    <row r="145">
      <c r="A145" s="43" t="inlineStr">
        <is>
          <t>YoY</t>
        </is>
      </c>
      <c r="B145" s="3" t="inlineStr">
        <is>
          <t>전년 같은 분기·전년 대비</t>
        </is>
      </c>
      <c r="G145" s="15">
        <f>IF(OR(G143="",C143=""),"",IF(C143&lt;=0,"",IFERROR(G143/C143-1,"")))</f>
        <v/>
      </c>
      <c r="H145" s="15">
        <f>IF(OR(H143="",D143=""),"",IF(D143&lt;=0,"",IFERROR(H143/D143-1,"")))</f>
        <v/>
      </c>
      <c r="I145" s="15">
        <f>IF(OR(I143="",E143=""),"",IF(E143&lt;=0,"",IFERROR(I143/E143-1,"")))</f>
        <v/>
      </c>
      <c r="J145" s="15">
        <f>IF(OR(J143="",F143=""),"",IF(F143&lt;=0,"",IFERROR(J143/F143-1,"")))</f>
        <v/>
      </c>
      <c r="K145" s="15">
        <f>IF(OR(K143="",G143=""),"",IF(G143&lt;=0,"",IFERROR(K143/G143-1,"")))</f>
        <v/>
      </c>
      <c r="L145" s="15">
        <f>IF(OR(L143="",H143=""),"",IF(H143&lt;=0,"",IFERROR(L143/H143-1,"")))</f>
        <v/>
      </c>
      <c r="M145" s="15">
        <f>IF(OR(M143="",I143=""),"",IF(I143&lt;=0,"",IFERROR(M143/I143-1,"")))</f>
        <v/>
      </c>
      <c r="N145" s="15">
        <f>IF(OR(N143="",J143=""),"",IF(J143&lt;=0,"",IFERROR(N143/J143-1,"")))</f>
        <v/>
      </c>
      <c r="V145" s="15">
        <f>IF(OR(V143="",U143=""),"",IF(U143&lt;=0,"",IFERROR(V143/U143-1,"")))</f>
        <v/>
      </c>
      <c r="W145" s="15">
        <f>IF(OR(W143="",V143=""),"",IF(V143&lt;=0,"",IFERROR(W143/V143-1,"")))</f>
        <v/>
      </c>
      <c r="X145" s="15">
        <f>IF(OR(X143="",W143=""),"",IF(W143&lt;=0,"",IFERROR(X143/W143-1,"")))</f>
        <v/>
      </c>
    </row>
    <row r="146">
      <c r="A146" s="18" t="inlineStr">
        <is>
          <t>부문 · 부문 이익(손실)</t>
        </is>
      </c>
      <c r="C146" s="20" t="n">
        <v>16.815</v>
      </c>
      <c r="D146" s="20" t="n">
        <v>183.32</v>
      </c>
      <c r="E146" s="20" t="n">
        <v>488.302</v>
      </c>
      <c r="F146" s="20" t="n">
        <v>-97.197</v>
      </c>
      <c r="G146" s="20" t="n">
        <v>85.16200000000001</v>
      </c>
      <c r="H146" s="20" t="n">
        <v>172.607</v>
      </c>
      <c r="I146" s="20" t="n">
        <v>439.644</v>
      </c>
      <c r="J146" s="20" t="n">
        <v>-108.867</v>
      </c>
      <c r="K146" s="20" t="n">
        <v>-57.445</v>
      </c>
      <c r="L146" s="20" t="n">
        <v>147.648</v>
      </c>
      <c r="M146" s="20" t="n">
        <v>411.147</v>
      </c>
      <c r="N146" s="20" t="n">
        <v>-0.204</v>
      </c>
      <c r="V146" s="20" t="n">
        <v>488.302</v>
      </c>
      <c r="W146" s="20" t="n">
        <v>439.644</v>
      </c>
      <c r="X146" s="20" t="n">
        <v>411.147</v>
      </c>
    </row>
    <row r="147">
      <c r="A147" s="43" t="inlineStr">
        <is>
          <t>OPM</t>
        </is>
      </c>
      <c r="B147" s="3" t="inlineStr">
        <is>
          <t>영업이익 ÷ 매출</t>
        </is>
      </c>
      <c r="C147" s="15">
        <f>IF(OR(C146="",C139=""),"",IF(C139&lt;=0,"",IFERROR(C146/C139,"")))</f>
        <v/>
      </c>
      <c r="D147" s="15">
        <f>IF(OR(D146="",D139=""),"",IF(D139&lt;=0,"",IFERROR(D146/D139,"")))</f>
        <v/>
      </c>
      <c r="E147" s="15">
        <f>IF(OR(E146="",E139=""),"",IF(E139&lt;=0,"",IFERROR(E146/E139,"")))</f>
        <v/>
      </c>
      <c r="F147" s="15">
        <f>IF(OR(F146="",F139=""),"",IF(F139&lt;=0,"",IFERROR(F146/F139,"")))</f>
        <v/>
      </c>
      <c r="G147" s="15">
        <f>IF(OR(G146="",G139=""),"",IF(G139&lt;=0,"",IFERROR(G146/G139,"")))</f>
        <v/>
      </c>
      <c r="H147" s="15">
        <f>IF(OR(H146="",H139=""),"",IF(H139&lt;=0,"",IFERROR(H146/H139,"")))</f>
        <v/>
      </c>
      <c r="I147" s="15">
        <f>IF(OR(I146="",I139=""),"",IF(I139&lt;=0,"",IFERROR(I146/I139,"")))</f>
        <v/>
      </c>
      <c r="J147" s="15">
        <f>IF(OR(J146="",J139=""),"",IF(J139&lt;=0,"",IFERROR(J146/J139,"")))</f>
        <v/>
      </c>
      <c r="K147" s="15">
        <f>IF(OR(K146="",K139=""),"",IF(K139&lt;=0,"",IFERROR(K146/K139,"")))</f>
        <v/>
      </c>
      <c r="L147" s="15">
        <f>IF(OR(L146="",L139=""),"",IF(L139&lt;=0,"",IFERROR(L146/L139,"")))</f>
        <v/>
      </c>
      <c r="M147" s="15">
        <f>IF(OR(M146="",M139=""),"",IF(M139&lt;=0,"",IFERROR(M146/M139,"")))</f>
        <v/>
      </c>
      <c r="N147" s="15">
        <f>IF(OR(N146="",N139=""),"",IF(N139&lt;=0,"",IFERROR(N146/N139,"")))</f>
        <v/>
      </c>
      <c r="V147" s="15">
        <f>IF(OR(V146="",V139=""),"",IF(V139&lt;=0,"",IFERROR(V146/V139,"")))</f>
        <v/>
      </c>
      <c r="W147" s="15">
        <f>IF(OR(W146="",W139=""),"",IF(W139&lt;=0,"",IFERROR(W146/W139,"")))</f>
        <v/>
      </c>
      <c r="X147" s="15">
        <f>IF(OR(X146="",X139=""),"",IF(X139&lt;=0,"",IFERROR(X146/X139,"")))</f>
        <v/>
      </c>
    </row>
    <row r="148">
      <c r="A148" s="43" t="inlineStr">
        <is>
          <t>YoY</t>
        </is>
      </c>
      <c r="B148" s="3" t="inlineStr">
        <is>
          <t>전년 같은 분기·전년 대비</t>
        </is>
      </c>
      <c r="G148" s="15">
        <f>IF(OR(G146="",C146=""),"",IF(C146&lt;=0,"",IFERROR(G146/C146-1,"")))</f>
        <v/>
      </c>
      <c r="H148" s="15">
        <f>IF(OR(H146="",D146=""),"",IF(D146&lt;=0,"",IFERROR(H146/D146-1,"")))</f>
        <v/>
      </c>
      <c r="I148" s="15">
        <f>IF(OR(I146="",E146=""),"",IF(E146&lt;=0,"",IFERROR(I146/E146-1,"")))</f>
        <v/>
      </c>
      <c r="J148" s="15">
        <f>IF(OR(J146="",F146=""),"",IF(F146&lt;=0,"",IFERROR(J146/F146-1,"")))</f>
        <v/>
      </c>
      <c r="K148" s="15">
        <f>IF(OR(K146="",G146=""),"",IF(G146&lt;=0,"",IFERROR(K146/G146-1,"")))</f>
        <v/>
      </c>
      <c r="L148" s="15">
        <f>IF(OR(L146="",H146=""),"",IF(H146&lt;=0,"",IFERROR(L146/H146-1,"")))</f>
        <v/>
      </c>
      <c r="M148" s="15">
        <f>IF(OR(M146="",I146=""),"",IF(I146&lt;=0,"",IFERROR(M146/I146-1,"")))</f>
        <v/>
      </c>
      <c r="N148" s="15">
        <f>IF(OR(N146="",J146=""),"",IF(J146&lt;=0,"",IFERROR(N146/J146-1,"")))</f>
        <v/>
      </c>
      <c r="V148" s="15">
        <f>IF(OR(V146="",U146=""),"",IF(U146&lt;=0,"",IFERROR(V146/U146-1,"")))</f>
        <v/>
      </c>
      <c r="W148" s="15">
        <f>IF(OR(W146="",V146=""),"",IF(V146&lt;=0,"",IFERROR(W146/V146-1,"")))</f>
        <v/>
      </c>
      <c r="X148" s="15">
        <f>IF(OR(X146="",W146=""),"",IF(W146&lt;=0,"",IFERROR(X146/W146-1,"")))</f>
        <v/>
      </c>
    </row>
    <row r="149">
      <c r="A149" s="18" t="inlineStr">
        <is>
          <t>합계 · 부문 이익(손실)</t>
        </is>
      </c>
      <c r="C149" s="20" t="n">
        <v>341.992</v>
      </c>
      <c r="D149" s="20" t="n">
        <v>345.86</v>
      </c>
      <c r="E149" s="20" t="n">
        <v>1005.543</v>
      </c>
      <c r="F149" s="20" t="n">
        <v>-266.883</v>
      </c>
      <c r="G149" s="20" t="n">
        <v>240.89</v>
      </c>
      <c r="H149" s="20" t="n">
        <v>622.508</v>
      </c>
      <c r="I149" s="20" t="n">
        <v>859.4109999999999</v>
      </c>
      <c r="J149" s="20" t="n">
        <v>13.694</v>
      </c>
      <c r="K149" s="20" t="n">
        <v>209.337</v>
      </c>
      <c r="L149" s="20" t="n">
        <v>527.563</v>
      </c>
      <c r="M149" s="20" t="n">
        <v>1009.765</v>
      </c>
      <c r="N149" s="20" t="n">
        <v>-213.733</v>
      </c>
      <c r="V149" s="20" t="n">
        <v>1005.543</v>
      </c>
      <c r="W149" s="20" t="n">
        <v>859.4109999999999</v>
      </c>
      <c r="X149" s="20" t="n">
        <v>1009.765</v>
      </c>
    </row>
    <row r="150">
      <c r="A150" s="43" t="inlineStr">
        <is>
          <t>OPM</t>
        </is>
      </c>
      <c r="B150" s="3" t="inlineStr">
        <is>
          <t>영업이익 ÷ 매출</t>
        </is>
      </c>
      <c r="C150" s="15">
        <f>IF(OR(C149="",C141=""),"",IF(C141&lt;=0,"",IFERROR(C149/C141,"")))</f>
        <v/>
      </c>
      <c r="D150" s="15">
        <f>IF(OR(D149="",D141=""),"",IF(D141&lt;=0,"",IFERROR(D149/D141,"")))</f>
        <v/>
      </c>
      <c r="E150" s="15">
        <f>IF(OR(E149="",E141=""),"",IF(E141&lt;=0,"",IFERROR(E149/E141,"")))</f>
        <v/>
      </c>
      <c r="F150" s="15">
        <f>IF(OR(F149="",F141=""),"",IF(F141&lt;=0,"",IFERROR(F149/F141,"")))</f>
        <v/>
      </c>
      <c r="G150" s="15">
        <f>IF(OR(G149="",G141=""),"",IF(G141&lt;=0,"",IFERROR(G149/G141,"")))</f>
        <v/>
      </c>
      <c r="H150" s="15">
        <f>IF(OR(H149="",H141=""),"",IF(H141&lt;=0,"",IFERROR(H149/H141,"")))</f>
        <v/>
      </c>
      <c r="I150" s="15">
        <f>IF(OR(I149="",I141=""),"",IF(I141&lt;=0,"",IFERROR(I149/I141,"")))</f>
        <v/>
      </c>
      <c r="J150" s="15">
        <f>IF(OR(J149="",J141=""),"",IF(J141&lt;=0,"",IFERROR(J149/J141,"")))</f>
        <v/>
      </c>
      <c r="K150" s="15">
        <f>IF(OR(K149="",K141=""),"",IF(K141&lt;=0,"",IFERROR(K149/K141,"")))</f>
        <v/>
      </c>
      <c r="L150" s="15">
        <f>IF(OR(L149="",L141=""),"",IF(L141&lt;=0,"",IFERROR(L149/L141,"")))</f>
        <v/>
      </c>
      <c r="M150" s="15">
        <f>IF(OR(M149="",M141=""),"",IF(M141&lt;=0,"",IFERROR(M149/M141,"")))</f>
        <v/>
      </c>
      <c r="N150" s="15">
        <f>IF(OR(N149="",N141=""),"",IF(N141&lt;=0,"",IFERROR(N149/N141,"")))</f>
        <v/>
      </c>
      <c r="V150" s="15">
        <f>IF(OR(V149="",V141=""),"",IF(V141&lt;=0,"",IFERROR(V149/V141,"")))</f>
        <v/>
      </c>
      <c r="W150" s="15">
        <f>IF(OR(W149="",W141=""),"",IF(W141&lt;=0,"",IFERROR(W149/W141,"")))</f>
        <v/>
      </c>
      <c r="X150" s="15">
        <f>IF(OR(X149="",X141=""),"",IF(X141&lt;=0,"",IFERROR(X149/X141,"")))</f>
        <v/>
      </c>
    </row>
    <row r="151">
      <c r="A151" s="43" t="inlineStr">
        <is>
          <t>YoY</t>
        </is>
      </c>
      <c r="B151" s="3" t="inlineStr">
        <is>
          <t>전년 같은 분기·전년 대비</t>
        </is>
      </c>
      <c r="G151" s="15">
        <f>IF(OR(G149="",C149=""),"",IF(C149&lt;=0,"",IFERROR(G149/C149-1,"")))</f>
        <v/>
      </c>
      <c r="H151" s="15">
        <f>IF(OR(H149="",D149=""),"",IF(D149&lt;=0,"",IFERROR(H149/D149-1,"")))</f>
        <v/>
      </c>
      <c r="I151" s="15">
        <f>IF(OR(I149="",E149=""),"",IF(E149&lt;=0,"",IFERROR(I149/E149-1,"")))</f>
        <v/>
      </c>
      <c r="J151" s="15">
        <f>IF(OR(J149="",F149=""),"",IF(F149&lt;=0,"",IFERROR(J149/F149-1,"")))</f>
        <v/>
      </c>
      <c r="K151" s="15">
        <f>IF(OR(K149="",G149=""),"",IF(G149&lt;=0,"",IFERROR(K149/G149-1,"")))</f>
        <v/>
      </c>
      <c r="L151" s="15">
        <f>IF(OR(L149="",H149=""),"",IF(H149&lt;=0,"",IFERROR(L149/H149-1,"")))</f>
        <v/>
      </c>
      <c r="M151" s="15">
        <f>IF(OR(M149="",I149=""),"",IF(I149&lt;=0,"",IFERROR(M149/I149-1,"")))</f>
        <v/>
      </c>
      <c r="N151" s="15">
        <f>IF(OR(N149="",J149=""),"",IF(J149&lt;=0,"",IFERROR(N149/J149-1,"")))</f>
        <v/>
      </c>
      <c r="V151" s="15">
        <f>IF(OR(V149="",U149=""),"",IF(U149&lt;=0,"",IFERROR(V149/U149-1,"")))</f>
        <v/>
      </c>
      <c r="W151" s="15">
        <f>IF(OR(W149="",V149=""),"",IF(V149&lt;=0,"",IFERROR(W149/V149-1,"")))</f>
        <v/>
      </c>
      <c r="X151" s="15">
        <f>IF(OR(X149="",W149=""),"",IF(W149&lt;=0,"",IFERROR(X149/W149-1,"")))</f>
        <v/>
      </c>
    </row>
    <row r="153">
      <c r="A153" s="16" t="inlineStr">
        <is>
          <t>현금흐름표 · 전 항목</t>
        </is>
      </c>
      <c r="B153" s="42" t="inlineStr">
        <is>
          <t>분기 = 결산기 첫날부터 누계(공시 그대로)</t>
        </is>
      </c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  <c r="AA153" s="16" t="n"/>
      <c r="AB153" s="16" t="n"/>
      <c r="AC153" s="16" t="n"/>
    </row>
    <row r="154">
      <c r="A154" s="5" t="inlineStr">
        <is>
          <t>항목</t>
        </is>
      </c>
      <c r="B154" s="5" t="inlineStr">
        <is>
          <t>참고</t>
        </is>
      </c>
      <c r="C154" s="5" t="inlineStr">
        <is>
          <t>2024.2Q</t>
        </is>
      </c>
      <c r="D154" s="5" t="inlineStr">
        <is>
          <t>2024.3Q</t>
        </is>
      </c>
      <c r="E154" s="5" t="inlineStr">
        <is>
          <t>2024.4Q</t>
        </is>
      </c>
      <c r="F154" s="5" t="inlineStr">
        <is>
          <t>2025.1Q</t>
        </is>
      </c>
      <c r="G154" s="5" t="inlineStr">
        <is>
          <t>2025.2Q</t>
        </is>
      </c>
      <c r="H154" s="5" t="inlineStr">
        <is>
          <t>2025.3Q</t>
        </is>
      </c>
      <c r="I154" s="5" t="inlineStr">
        <is>
          <t>2025.4Q</t>
        </is>
      </c>
      <c r="J154" s="5" t="inlineStr">
        <is>
          <t>2026.1Q</t>
        </is>
      </c>
      <c r="K154" s="5" t="inlineStr">
        <is>
          <t>2026.2Q</t>
        </is>
      </c>
      <c r="L154" s="5" t="inlineStr">
        <is>
          <t>2026.3Q</t>
        </is>
      </c>
      <c r="M154" s="5" t="inlineStr">
        <is>
          <t>2026.4Q</t>
        </is>
      </c>
      <c r="N154" s="5" t="inlineStr">
        <is>
          <t>2027.1Q</t>
        </is>
      </c>
      <c r="O154" s="5" t="inlineStr">
        <is>
          <t>2017</t>
        </is>
      </c>
      <c r="P154" s="5" t="inlineStr">
        <is>
          <t>2018</t>
        </is>
      </c>
      <c r="Q154" s="5" t="inlineStr">
        <is>
          <t>2019</t>
        </is>
      </c>
      <c r="R154" s="5" t="inlineStr">
        <is>
          <t>2020</t>
        </is>
      </c>
      <c r="S154" s="5" t="inlineStr">
        <is>
          <t>2021</t>
        </is>
      </c>
      <c r="T154" s="5" t="inlineStr">
        <is>
          <t>2022</t>
        </is>
      </c>
      <c r="U154" s="5" t="inlineStr">
        <is>
          <t>2023</t>
        </is>
      </c>
      <c r="V154" s="5" t="inlineStr">
        <is>
          <t>2024</t>
        </is>
      </c>
      <c r="W154" s="5" t="inlineStr">
        <is>
          <t>2025</t>
        </is>
      </c>
      <c r="X154" s="5" t="inlineStr">
        <is>
          <t>2026</t>
        </is>
      </c>
      <c r="Y154" s="5" t="inlineStr">
        <is>
          <t>2027(MW)</t>
        </is>
      </c>
      <c r="Z154" s="5" t="inlineStr">
        <is>
          <t>2028(MW)</t>
        </is>
      </c>
      <c r="AA154" s="5" t="inlineStr">
        <is>
          <t>2029(MW)</t>
        </is>
      </c>
      <c r="AB154" s="5" t="inlineStr">
        <is>
          <t>2030(MW)</t>
        </is>
      </c>
      <c r="AC154" s="5" t="inlineStr">
        <is>
          <t>2031(MW)</t>
        </is>
      </c>
    </row>
    <row r="155">
      <c r="A155" s="9" t="inlineStr">
        <is>
          <t>법인세차감전 순이익</t>
        </is>
      </c>
      <c r="C155" s="12" t="n">
        <v>-458.391</v>
      </c>
      <c r="E155" s="12" t="n">
        <v>800.583</v>
      </c>
      <c r="G155" s="12" t="n">
        <v>-23.295</v>
      </c>
      <c r="I155" s="12" t="n">
        <v>1429.563</v>
      </c>
      <c r="K155" s="12" t="n">
        <v>195.146</v>
      </c>
      <c r="M155" s="12" t="n">
        <v>1619.517</v>
      </c>
      <c r="O155" s="12" t="n">
        <v>250.293</v>
      </c>
      <c r="P155" s="12" t="n">
        <v>12.887</v>
      </c>
      <c r="Q155" s="12" t="n">
        <v>-1538.626</v>
      </c>
      <c r="R155" s="12" t="n">
        <v>620.405</v>
      </c>
      <c r="S155" s="12" t="n">
        <v>375.869</v>
      </c>
      <c r="T155" s="12" t="n">
        <v>-828.76</v>
      </c>
      <c r="U155" s="12" t="n">
        <v>-412.836</v>
      </c>
      <c r="V155" s="12" t="n">
        <v>800.583</v>
      </c>
      <c r="W155" s="12" t="n">
        <v>1429.563</v>
      </c>
      <c r="X155" s="12" t="n">
        <v>1619.517</v>
      </c>
    </row>
    <row r="156">
      <c r="A156" s="18" t="inlineStr">
        <is>
          <t>감가상각비</t>
        </is>
      </c>
      <c r="C156" s="20" t="n">
        <v>178.737</v>
      </c>
      <c r="E156" s="20" t="n">
        <v>392.405</v>
      </c>
      <c r="G156" s="20" t="n">
        <v>224.573</v>
      </c>
      <c r="I156" s="20" t="n">
        <v>538.272</v>
      </c>
      <c r="K156" s="20" t="n">
        <v>335.523</v>
      </c>
      <c r="M156" s="20" t="n">
        <v>730.849</v>
      </c>
      <c r="O156" s="20" t="n">
        <v>477.183</v>
      </c>
      <c r="P156" s="20" t="n">
        <v>466.02</v>
      </c>
      <c r="Q156" s="20" t="n">
        <v>473.287</v>
      </c>
      <c r="R156" s="20" t="n">
        <v>434.37</v>
      </c>
      <c r="S156" s="20" t="n">
        <v>408.594</v>
      </c>
      <c r="T156" s="20" t="n">
        <v>394.638</v>
      </c>
      <c r="U156" s="20" t="n">
        <v>413.446</v>
      </c>
      <c r="V156" s="20" t="n">
        <v>392.405</v>
      </c>
      <c r="W156" s="20" t="n">
        <v>538.272</v>
      </c>
      <c r="X156" s="20" t="n">
        <v>730.849</v>
      </c>
    </row>
    <row r="157">
      <c r="A157" s="18" t="inlineStr">
        <is>
          <t>손상차손</t>
        </is>
      </c>
      <c r="G157" s="20" t="n">
        <v>0</v>
      </c>
      <c r="I157" s="20" t="n">
        <v>0</v>
      </c>
      <c r="K157" s="20" t="n">
        <v>8.304</v>
      </c>
      <c r="M157" s="20" t="n">
        <v>8.304</v>
      </c>
      <c r="O157" s="20" t="n">
        <v>18.938</v>
      </c>
      <c r="P157" s="20" t="n">
        <v>0</v>
      </c>
      <c r="S157" s="20" t="n">
        <v>0</v>
      </c>
      <c r="T157" s="20" t="n">
        <v>33.789</v>
      </c>
      <c r="U157" s="20" t="n">
        <v>0</v>
      </c>
      <c r="W157" s="20" t="n">
        <v>0</v>
      </c>
      <c r="X157" s="20" t="n">
        <v>8.304</v>
      </c>
    </row>
    <row r="158">
      <c r="A158" s="18" t="inlineStr">
        <is>
          <t>주식보상비용</t>
        </is>
      </c>
      <c r="C158" s="20" t="n">
        <v>1.348</v>
      </c>
      <c r="E158" s="20" t="n">
        <v>2.758</v>
      </c>
      <c r="G158" s="20" t="n">
        <v>6.203</v>
      </c>
      <c r="I158" s="20" t="n">
        <v>17.201</v>
      </c>
      <c r="K158" s="20" t="n">
        <v>11.227</v>
      </c>
      <c r="M158" s="20" t="n">
        <v>27.403</v>
      </c>
      <c r="P158" s="20" t="n">
        <v>0</v>
      </c>
      <c r="Q158" s="20" t="n">
        <v>11.529</v>
      </c>
      <c r="R158" s="20" t="n">
        <v>7.234</v>
      </c>
      <c r="S158" s="20" t="n">
        <v>12.282</v>
      </c>
      <c r="T158" s="20" t="n">
        <v>12.175</v>
      </c>
      <c r="U158" s="20" t="n">
        <v>5.071</v>
      </c>
      <c r="V158" s="20" t="n">
        <v>2.758</v>
      </c>
      <c r="W158" s="20" t="n">
        <v>17.201</v>
      </c>
      <c r="X158" s="20" t="n">
        <v>27.403</v>
      </c>
    </row>
    <row r="159">
      <c r="A159" s="18" t="inlineStr">
        <is>
          <t>대손충당금 증감</t>
        </is>
      </c>
      <c r="C159" s="20" t="n">
        <v>-1.379</v>
      </c>
      <c r="E159" s="20" t="n">
        <v>1.113</v>
      </c>
      <c r="G159" s="20" t="n">
        <v>-2.196</v>
      </c>
      <c r="I159" s="20" t="n">
        <v>0.153</v>
      </c>
      <c r="K159" s="20" t="n">
        <v>-2.941</v>
      </c>
      <c r="M159" s="20" t="n">
        <v>-0.6820000000000001</v>
      </c>
      <c r="O159" s="20" t="n">
        <v>-2.045</v>
      </c>
      <c r="P159" s="20" t="n">
        <v>-5.316</v>
      </c>
      <c r="Q159" s="20" t="n">
        <v>-1.397</v>
      </c>
      <c r="R159" s="20" t="n">
        <v>0.694</v>
      </c>
      <c r="S159" s="20" t="n">
        <v>-1.974</v>
      </c>
      <c r="T159" s="20" t="n">
        <v>-1.059</v>
      </c>
      <c r="U159" s="20" t="n">
        <v>-0.259</v>
      </c>
      <c r="V159" s="20" t="n">
        <v>1.113</v>
      </c>
      <c r="W159" s="20" t="n">
        <v>0.153</v>
      </c>
      <c r="X159" s="20" t="n">
        <v>-0.6820000000000001</v>
      </c>
    </row>
    <row r="160">
      <c r="A160" s="18" t="inlineStr">
        <is>
          <t>상여충당금 증감</t>
        </is>
      </c>
      <c r="C160" s="20" t="n">
        <v>-42.073</v>
      </c>
      <c r="E160" s="20" t="n">
        <v>207.738</v>
      </c>
      <c r="G160" s="20" t="n">
        <v>0.579</v>
      </c>
      <c r="I160" s="20" t="n">
        <v>427.867</v>
      </c>
      <c r="K160" s="20" t="n">
        <v>-404.723</v>
      </c>
      <c r="M160" s="20" t="n">
        <v>126.575</v>
      </c>
      <c r="O160" s="20" t="n">
        <v>-174.482</v>
      </c>
      <c r="P160" s="20" t="n">
        <v>19.191</v>
      </c>
      <c r="Q160" s="20" t="n">
        <v>3.151</v>
      </c>
      <c r="R160" s="20" t="n">
        <v>95.504</v>
      </c>
      <c r="S160" s="20" t="n">
        <v>-1.144</v>
      </c>
      <c r="T160" s="20" t="n">
        <v>-48.854</v>
      </c>
      <c r="U160" s="20" t="n">
        <v>-221.045</v>
      </c>
      <c r="V160" s="20" t="n">
        <v>207.738</v>
      </c>
      <c r="W160" s="20" t="n">
        <v>427.867</v>
      </c>
      <c r="X160" s="20" t="n">
        <v>126.575</v>
      </c>
    </row>
    <row r="161">
      <c r="A161" s="18" t="inlineStr">
        <is>
          <t>임원 상여충당금 증감</t>
        </is>
      </c>
      <c r="C161" s="20" t="n">
        <v>-10.38</v>
      </c>
      <c r="E161" s="20" t="n">
        <v>3.431</v>
      </c>
      <c r="G161" s="20" t="n">
        <v>-13.811</v>
      </c>
      <c r="I161" s="20" t="n">
        <v>6.637</v>
      </c>
      <c r="K161" s="20" t="n">
        <v>-13.658</v>
      </c>
      <c r="M161" s="20" t="n">
        <v>13.095</v>
      </c>
      <c r="O161" s="20" t="n">
        <v>6.771</v>
      </c>
      <c r="P161" s="20" t="n">
        <v>-14.375</v>
      </c>
      <c r="Q161" s="20" t="n">
        <v>-4</v>
      </c>
      <c r="R161" s="20" t="n">
        <v>12.14</v>
      </c>
      <c r="S161" s="20" t="n">
        <v>-9.779999999999999</v>
      </c>
      <c r="T161" s="20" t="n">
        <v>2.44</v>
      </c>
      <c r="U161" s="20" t="n">
        <v>2.58</v>
      </c>
      <c r="V161" s="20" t="n">
        <v>3.431</v>
      </c>
      <c r="W161" s="20" t="n">
        <v>6.637</v>
      </c>
      <c r="X161" s="20" t="n">
        <v>13.095</v>
      </c>
    </row>
    <row r="162">
      <c r="A162" s="18" t="inlineStr">
        <is>
          <t>임원 퇴직위로 충당금 증감</t>
        </is>
      </c>
      <c r="C162" s="20" t="n">
        <v>-0.991</v>
      </c>
      <c r="E162" s="20" t="n">
        <v>3.649</v>
      </c>
      <c r="G162" s="20" t="n">
        <v>5.181</v>
      </c>
      <c r="I162" s="20" t="n">
        <v>10.412</v>
      </c>
      <c r="K162" s="20" t="n">
        <v>-18.35</v>
      </c>
      <c r="M162" s="20" t="n">
        <v>-12.997</v>
      </c>
      <c r="O162" s="20" t="n">
        <v>16.32</v>
      </c>
      <c r="P162" s="20" t="n">
        <v>3.794</v>
      </c>
      <c r="Q162" s="20" t="n">
        <v>-12.721</v>
      </c>
      <c r="R162" s="20" t="n">
        <v>-1.931</v>
      </c>
      <c r="S162" s="20" t="n">
        <v>-13.937</v>
      </c>
      <c r="T162" s="20" t="n">
        <v>1.717</v>
      </c>
      <c r="U162" s="20" t="n">
        <v>10.83</v>
      </c>
      <c r="V162" s="20" t="n">
        <v>3.649</v>
      </c>
      <c r="W162" s="20" t="n">
        <v>10.412</v>
      </c>
      <c r="X162" s="20" t="n">
        <v>-12.997</v>
      </c>
    </row>
    <row r="163">
      <c r="A163" s="18" t="inlineStr">
        <is>
          <t>Increase Decrease In Provision For Loss On Construction Contracts Ope CF</t>
        </is>
      </c>
      <c r="C163" s="20" t="n">
        <v>12.107</v>
      </c>
      <c r="E163" s="20" t="n">
        <v>-59.565</v>
      </c>
      <c r="G163" s="20" t="n">
        <v>-21.241</v>
      </c>
      <c r="I163" s="20" t="n">
        <v>43.146</v>
      </c>
      <c r="K163" s="20" t="n">
        <v>-54.979</v>
      </c>
      <c r="M163" s="20" t="n">
        <v>148.443</v>
      </c>
      <c r="O163" s="20" t="n">
        <v>-104</v>
      </c>
      <c r="P163" s="20" t="n">
        <v>100</v>
      </c>
      <c r="Q163" s="20" t="n">
        <v>948</v>
      </c>
      <c r="R163" s="20" t="n">
        <v>149.88</v>
      </c>
      <c r="S163" s="20" t="n">
        <v>-1038.402</v>
      </c>
      <c r="T163" s="20" t="n">
        <v>-0.802</v>
      </c>
      <c r="U163" s="20" t="n">
        <v>195.452</v>
      </c>
      <c r="V163" s="20" t="n">
        <v>-59.565</v>
      </c>
      <c r="W163" s="20" t="n">
        <v>43.146</v>
      </c>
      <c r="X163" s="20" t="n">
        <v>148.443</v>
      </c>
    </row>
    <row r="164">
      <c r="A164" s="18" t="inlineStr">
        <is>
          <t>Increase Decrease In Reserve For Loss From Anti Monopoly Act Ope CF</t>
        </is>
      </c>
      <c r="O164" s="20" t="n">
        <v>-311.279</v>
      </c>
      <c r="P164" s="20" t="n">
        <v>201.211</v>
      </c>
      <c r="Q164" s="20" t="n">
        <v>0</v>
      </c>
    </row>
    <row r="165">
      <c r="A165" s="18" t="inlineStr">
        <is>
          <t>퇴직급여부채 증감</t>
        </is>
      </c>
      <c r="C165" s="20" t="n">
        <v>-2.981</v>
      </c>
      <c r="E165" s="20" t="n">
        <v>-48.93</v>
      </c>
      <c r="G165" s="20" t="n">
        <v>-48.265</v>
      </c>
      <c r="I165" s="20" t="n">
        <v>-188.475</v>
      </c>
      <c r="K165" s="20" t="n">
        <v>-0.681</v>
      </c>
      <c r="M165" s="20" t="n">
        <v>-36.58</v>
      </c>
      <c r="O165" s="20" t="n">
        <v>-129.089</v>
      </c>
      <c r="P165" s="20" t="n">
        <v>-85.325</v>
      </c>
      <c r="Q165" s="20" t="n">
        <v>-99.506</v>
      </c>
      <c r="R165" s="20" t="n">
        <v>-64.31999999999999</v>
      </c>
      <c r="S165" s="20" t="n">
        <v>-63.035</v>
      </c>
      <c r="T165" s="20" t="n">
        <v>-156.799</v>
      </c>
      <c r="U165" s="20" t="n">
        <v>-39.915</v>
      </c>
      <c r="V165" s="20" t="n">
        <v>-48.93</v>
      </c>
      <c r="W165" s="20" t="n">
        <v>-188.475</v>
      </c>
      <c r="X165" s="20" t="n">
        <v>-36.58</v>
      </c>
    </row>
    <row r="166">
      <c r="A166" s="18" t="inlineStr">
        <is>
          <t>이자·배당금 수익</t>
        </is>
      </c>
      <c r="C166" s="20" t="n">
        <v>-21.43</v>
      </c>
      <c r="E166" s="20" t="n">
        <v>-26.499</v>
      </c>
      <c r="G166" s="20" t="n">
        <v>-6.892</v>
      </c>
      <c r="I166" s="20" t="n">
        <v>-13.639</v>
      </c>
      <c r="K166" s="20" t="n">
        <v>-9.880000000000001</v>
      </c>
      <c r="M166" s="20" t="n">
        <v>-18.722</v>
      </c>
      <c r="O166" s="20" t="n">
        <v>-15.712</v>
      </c>
      <c r="P166" s="20" t="n">
        <v>-16.768</v>
      </c>
      <c r="Q166" s="20" t="n">
        <v>-18.457</v>
      </c>
      <c r="R166" s="20" t="n">
        <v>-19.568</v>
      </c>
      <c r="S166" s="20" t="n">
        <v>-54.042</v>
      </c>
      <c r="T166" s="20" t="n">
        <v>-18.156</v>
      </c>
      <c r="U166" s="20" t="n">
        <v>-22.816</v>
      </c>
      <c r="V166" s="20" t="n">
        <v>-26.499</v>
      </c>
      <c r="W166" s="20" t="n">
        <v>-13.639</v>
      </c>
      <c r="X166" s="20" t="n">
        <v>-18.722</v>
      </c>
    </row>
    <row r="167">
      <c r="A167" s="18" t="inlineStr">
        <is>
          <t>이자비용</t>
        </is>
      </c>
      <c r="C167" s="20" t="n">
        <v>61.038</v>
      </c>
      <c r="E167" s="20" t="n">
        <v>125.542</v>
      </c>
      <c r="G167" s="20" t="n">
        <v>52.025</v>
      </c>
      <c r="I167" s="20" t="n">
        <v>109.952</v>
      </c>
      <c r="K167" s="20" t="n">
        <v>44.218</v>
      </c>
      <c r="M167" s="20" t="n">
        <v>95.86799999999999</v>
      </c>
      <c r="O167" s="20" t="n">
        <v>2.783</v>
      </c>
      <c r="P167" s="20" t="n">
        <v>2.547</v>
      </c>
      <c r="Q167" s="20" t="n">
        <v>1.802</v>
      </c>
      <c r="R167" s="20" t="n">
        <v>2.669</v>
      </c>
      <c r="S167" s="20" t="n">
        <v>19.586</v>
      </c>
      <c r="T167" s="20" t="n">
        <v>28.557</v>
      </c>
      <c r="U167" s="20" t="n">
        <v>59.278</v>
      </c>
      <c r="V167" s="20" t="n">
        <v>125.542</v>
      </c>
      <c r="W167" s="20" t="n">
        <v>109.952</v>
      </c>
      <c r="X167" s="20" t="n">
        <v>95.86799999999999</v>
      </c>
    </row>
    <row r="168">
      <c r="A168" s="18" t="inlineStr">
        <is>
          <t>Loss On Valuation Of Membership Ope CF</t>
        </is>
      </c>
      <c r="R168" s="20" t="n">
        <v>0</v>
      </c>
      <c r="S168" s="20" t="n">
        <v>0.68</v>
      </c>
      <c r="T168" s="20" t="n">
        <v>0</v>
      </c>
    </row>
    <row r="169">
      <c r="A169" s="18" t="inlineStr">
        <is>
          <t>고정자산 매각손익</t>
        </is>
      </c>
      <c r="C169" s="20" t="n">
        <v>0</v>
      </c>
      <c r="E169" s="20" t="n">
        <v>0</v>
      </c>
      <c r="G169" s="20" t="n">
        <v>-0.513</v>
      </c>
      <c r="P169" s="20" t="n">
        <v>-0.265</v>
      </c>
      <c r="Q169" s="20" t="n">
        <v>-105.618</v>
      </c>
      <c r="R169" s="20" t="n">
        <v>-0.053</v>
      </c>
      <c r="S169" s="20" t="n">
        <v>-0.022</v>
      </c>
      <c r="T169" s="20" t="n">
        <v>0</v>
      </c>
      <c r="U169" s="20" t="n">
        <v>-6.265</v>
      </c>
      <c r="V169" s="20" t="n">
        <v>0</v>
      </c>
    </row>
    <row r="170">
      <c r="A170" s="18" t="inlineStr">
        <is>
          <t>투자유가증권 매각손익</t>
        </is>
      </c>
      <c r="C170" s="20" t="n">
        <v>-46.255</v>
      </c>
      <c r="E170" s="20" t="n">
        <v>-47.822</v>
      </c>
      <c r="G170" s="20" t="n">
        <v>0</v>
      </c>
      <c r="I170" s="20" t="n">
        <v>0</v>
      </c>
      <c r="P170" s="20" t="n">
        <v>0</v>
      </c>
      <c r="Q170" s="20" t="n">
        <v>-10.263</v>
      </c>
      <c r="R170" s="20" t="n">
        <v>0</v>
      </c>
      <c r="T170" s="20" t="n">
        <v>0</v>
      </c>
      <c r="U170" s="20" t="n">
        <v>-20.429</v>
      </c>
      <c r="V170" s="20" t="n">
        <v>-47.822</v>
      </c>
      <c r="W170" s="20" t="n">
        <v>0</v>
      </c>
    </row>
    <row r="171">
      <c r="A171" s="18" t="inlineStr">
        <is>
          <t>투자유가증권 평가손익</t>
        </is>
      </c>
      <c r="E171" s="20" t="n">
        <v>87.10299999999999</v>
      </c>
      <c r="I171" s="20" t="n">
        <v>0</v>
      </c>
      <c r="P171" s="20" t="n">
        <v>0</v>
      </c>
      <c r="Q171" s="20" t="n">
        <v>14.999</v>
      </c>
      <c r="R171" s="20" t="n">
        <v>0</v>
      </c>
      <c r="U171" s="20" t="n">
        <v>0</v>
      </c>
      <c r="V171" s="20" t="n">
        <v>87.10299999999999</v>
      </c>
      <c r="W171" s="20" t="n">
        <v>0</v>
      </c>
    </row>
    <row r="172">
      <c r="A172" s="18" t="inlineStr">
        <is>
          <t>고정자산 제각·매각손익</t>
        </is>
      </c>
      <c r="G172" s="20" t="n">
        <v>-0.512</v>
      </c>
      <c r="I172" s="20" t="n">
        <v>-0.901</v>
      </c>
      <c r="K172" s="20" t="n">
        <v>1.019</v>
      </c>
      <c r="M172" s="20" t="n">
        <v>0.886</v>
      </c>
      <c r="W172" s="20" t="n">
        <v>-0.901</v>
      </c>
      <c r="X172" s="20" t="n">
        <v>0.886</v>
      </c>
    </row>
    <row r="173">
      <c r="A173" s="18" t="inlineStr">
        <is>
          <t>매출채권 증감</t>
        </is>
      </c>
      <c r="C173" s="20" t="n">
        <v>2503.334</v>
      </c>
      <c r="E173" s="20" t="n">
        <v>-2676.837</v>
      </c>
      <c r="G173" s="20" t="n">
        <v>5581.833</v>
      </c>
      <c r="I173" s="20" t="n">
        <v>999.84</v>
      </c>
      <c r="K173" s="20" t="n">
        <v>4245.849</v>
      </c>
      <c r="M173" s="20" t="n">
        <v>-232.491</v>
      </c>
      <c r="O173" s="20" t="n">
        <v>2545.991</v>
      </c>
      <c r="P173" s="20" t="n">
        <v>-1040.639</v>
      </c>
      <c r="Q173" s="20" t="n">
        <v>801.932</v>
      </c>
      <c r="R173" s="20" t="n">
        <v>-2391.476</v>
      </c>
      <c r="S173" s="20" t="n">
        <v>-1083.606</v>
      </c>
      <c r="T173" s="20" t="n">
        <v>2826.372</v>
      </c>
      <c r="U173" s="20" t="n">
        <v>-110.345</v>
      </c>
      <c r="V173" s="20" t="n">
        <v>-2676.837</v>
      </c>
      <c r="W173" s="20" t="n">
        <v>999.84</v>
      </c>
      <c r="X173" s="20" t="n">
        <v>-232.491</v>
      </c>
    </row>
    <row r="174">
      <c r="A174" s="18" t="inlineStr">
        <is>
          <t>재고자산 증감</t>
        </is>
      </c>
      <c r="C174" s="20" t="n">
        <v>-1319.687</v>
      </c>
      <c r="E174" s="20" t="n">
        <v>1594.107</v>
      </c>
      <c r="G174" s="20" t="n">
        <v>-1872.856</v>
      </c>
      <c r="I174" s="20" t="n">
        <v>574.307</v>
      </c>
      <c r="K174" s="20" t="n">
        <v>-3011.496</v>
      </c>
      <c r="M174" s="20" t="n">
        <v>-1975.23</v>
      </c>
      <c r="O174" s="20" t="n">
        <v>582.995</v>
      </c>
      <c r="P174" s="20" t="n">
        <v>-335.563</v>
      </c>
      <c r="Q174" s="20" t="n">
        <v>-871.699</v>
      </c>
      <c r="R174" s="20" t="n">
        <v>-1895.117</v>
      </c>
      <c r="S174" s="20" t="n">
        <v>-84.492</v>
      </c>
      <c r="T174" s="20" t="n">
        <v>-1122.555</v>
      </c>
      <c r="U174" s="20" t="n">
        <v>-1419.127</v>
      </c>
      <c r="V174" s="20" t="n">
        <v>1594.107</v>
      </c>
      <c r="W174" s="20" t="n">
        <v>574.307</v>
      </c>
      <c r="X174" s="20" t="n">
        <v>-1975.23</v>
      </c>
    </row>
    <row r="175">
      <c r="A175" s="18" t="inlineStr">
        <is>
          <t>기타 자산 증감</t>
        </is>
      </c>
      <c r="C175" s="20" t="n">
        <v>-26.296</v>
      </c>
      <c r="E175" s="20" t="n">
        <v>12.008</v>
      </c>
      <c r="G175" s="20" t="n">
        <v>25.638</v>
      </c>
      <c r="I175" s="20" t="n">
        <v>-10.094</v>
      </c>
      <c r="K175" s="20" t="n">
        <v>42.525</v>
      </c>
      <c r="M175" s="20" t="n">
        <v>54.308</v>
      </c>
      <c r="O175" s="20" t="n">
        <v>-36.268</v>
      </c>
      <c r="P175" s="20" t="n">
        <v>23.842</v>
      </c>
      <c r="Q175" s="20" t="n">
        <v>36.698</v>
      </c>
      <c r="R175" s="20" t="n">
        <v>61.405</v>
      </c>
      <c r="S175" s="20" t="n">
        <v>55.731</v>
      </c>
      <c r="T175" s="20" t="n">
        <v>-23.49</v>
      </c>
      <c r="U175" s="20" t="n">
        <v>10.105</v>
      </c>
      <c r="V175" s="20" t="n">
        <v>12.008</v>
      </c>
      <c r="W175" s="20" t="n">
        <v>-10.094</v>
      </c>
      <c r="X175" s="20" t="n">
        <v>54.308</v>
      </c>
    </row>
    <row r="176">
      <c r="A176" s="18" t="inlineStr">
        <is>
          <t>매입채무 증감</t>
        </is>
      </c>
      <c r="C176" s="20" t="n">
        <v>-146.363</v>
      </c>
      <c r="E176" s="20" t="n">
        <v>345.175</v>
      </c>
      <c r="G176" s="20" t="n">
        <v>-276.259</v>
      </c>
      <c r="I176" s="20" t="n">
        <v>100.034</v>
      </c>
      <c r="K176" s="20" t="n">
        <v>652.254</v>
      </c>
      <c r="M176" s="20" t="n">
        <v>1678.711</v>
      </c>
      <c r="O176" s="20" t="n">
        <v>-2644.25</v>
      </c>
      <c r="P176" s="20" t="n">
        <v>-288.248</v>
      </c>
      <c r="Q176" s="20" t="n">
        <v>96.831</v>
      </c>
      <c r="R176" s="20" t="n">
        <v>1192.723</v>
      </c>
      <c r="S176" s="20" t="n">
        <v>444.083</v>
      </c>
      <c r="T176" s="20" t="n">
        <v>-1871.678</v>
      </c>
      <c r="U176" s="20" t="n">
        <v>155.144</v>
      </c>
      <c r="V176" s="20" t="n">
        <v>345.175</v>
      </c>
      <c r="W176" s="20" t="n">
        <v>100.034</v>
      </c>
      <c r="X176" s="20" t="n">
        <v>1678.711</v>
      </c>
    </row>
    <row r="177">
      <c r="A177" s="18" t="inlineStr">
        <is>
          <t>미지급·미수 소비세 등 증감액</t>
        </is>
      </c>
      <c r="G177" s="20" t="n">
        <v>-686.112</v>
      </c>
      <c r="K177" s="20" t="n">
        <v>-441.271</v>
      </c>
    </row>
    <row r="178">
      <c r="A178" s="18" t="inlineStr">
        <is>
          <t>미지급 소비세 증감</t>
        </is>
      </c>
      <c r="C178" s="20" t="n">
        <v>-129.052</v>
      </c>
      <c r="E178" s="20" t="n">
        <v>413.571</v>
      </c>
      <c r="G178" s="20" t="n">
        <v>-686.112</v>
      </c>
      <c r="I178" s="20" t="n">
        <v>-344.671</v>
      </c>
      <c r="M178" s="20" t="n">
        <v>-203.258</v>
      </c>
      <c r="O178" s="20" t="n">
        <v>-357.527</v>
      </c>
      <c r="P178" s="20" t="n">
        <v>87.892</v>
      </c>
      <c r="Q178" s="20" t="n">
        <v>-51.971</v>
      </c>
      <c r="R178" s="20" t="n">
        <v>199.214</v>
      </c>
      <c r="S178" s="20" t="n">
        <v>-63.288</v>
      </c>
      <c r="T178" s="20" t="n">
        <v>-166.061</v>
      </c>
      <c r="U178" s="20" t="n">
        <v>119.474</v>
      </c>
      <c r="V178" s="20" t="n">
        <v>413.571</v>
      </c>
      <c r="W178" s="20" t="n">
        <v>-344.671</v>
      </c>
      <c r="X178" s="20" t="n">
        <v>-203.258</v>
      </c>
    </row>
    <row r="179">
      <c r="A179" s="18" t="inlineStr">
        <is>
          <t>미지급금 증감</t>
        </is>
      </c>
      <c r="E179" s="20" t="n">
        <v>634.929</v>
      </c>
      <c r="G179" s="20" t="n">
        <v>-1026.915</v>
      </c>
      <c r="I179" s="20" t="n">
        <v>-495.882</v>
      </c>
      <c r="K179" s="20" t="n">
        <v>-543.968</v>
      </c>
      <c r="M179" s="20" t="n">
        <v>75.599</v>
      </c>
      <c r="O179" s="20" t="n">
        <v>62.589</v>
      </c>
      <c r="P179" s="20" t="n">
        <v>169.625</v>
      </c>
      <c r="Q179" s="20" t="n">
        <v>173.755</v>
      </c>
      <c r="R179" s="20" t="n">
        <v>-321.503</v>
      </c>
      <c r="S179" s="20" t="n">
        <v>-3.562</v>
      </c>
      <c r="T179" s="20" t="n">
        <v>-137.064</v>
      </c>
      <c r="U179" s="20" t="n">
        <v>-47.635</v>
      </c>
      <c r="V179" s="20" t="n">
        <v>634.929</v>
      </c>
      <c r="W179" s="20" t="n">
        <v>-495.882</v>
      </c>
      <c r="X179" s="20" t="n">
        <v>75.599</v>
      </c>
    </row>
    <row r="180">
      <c r="A180" s="18" t="inlineStr">
        <is>
          <t>기타 부채 증감</t>
        </is>
      </c>
      <c r="C180" s="20" t="n">
        <v>-241.608</v>
      </c>
      <c r="E180" s="20" t="n">
        <v>63.07</v>
      </c>
      <c r="G180" s="20" t="n">
        <v>-26.137</v>
      </c>
      <c r="I180" s="20" t="n">
        <v>4.473</v>
      </c>
      <c r="K180" s="20" t="n">
        <v>-23.489</v>
      </c>
      <c r="M180" s="20" t="n">
        <v>55.712</v>
      </c>
      <c r="O180" s="20" t="n">
        <v>-5.557</v>
      </c>
      <c r="P180" s="20" t="n">
        <v>65.994</v>
      </c>
      <c r="Q180" s="20" t="n">
        <v>-12.474</v>
      </c>
      <c r="R180" s="20" t="n">
        <v>-93.01900000000001</v>
      </c>
      <c r="S180" s="20" t="n">
        <v>88.61799999999999</v>
      </c>
      <c r="T180" s="20" t="n">
        <v>-61.388</v>
      </c>
      <c r="U180" s="20" t="n">
        <v>-45.713</v>
      </c>
      <c r="V180" s="20" t="n">
        <v>63.07</v>
      </c>
      <c r="W180" s="20" t="n">
        <v>4.473</v>
      </c>
      <c r="X180" s="20" t="n">
        <v>55.712</v>
      </c>
    </row>
    <row r="181">
      <c r="A181" s="18" t="inlineStr">
        <is>
          <t>기타</t>
        </is>
      </c>
      <c r="C181" s="20" t="n">
        <v>0.024</v>
      </c>
      <c r="E181" s="20" t="n">
        <v>0.025</v>
      </c>
      <c r="G181" s="20" t="n">
        <v>0.001</v>
      </c>
      <c r="I181" s="20" t="n">
        <v>-0.901</v>
      </c>
      <c r="O181" s="20" t="n">
        <v>-33.658</v>
      </c>
      <c r="P181" s="20" t="n">
        <v>6.423</v>
      </c>
      <c r="Q181" s="20" t="n">
        <v>2.344</v>
      </c>
      <c r="R181" s="20" t="n">
        <v>3.643</v>
      </c>
      <c r="S181" s="20" t="n">
        <v>7.508</v>
      </c>
      <c r="T181" s="20" t="n">
        <v>14.094</v>
      </c>
      <c r="U181" s="20" t="n">
        <v>0.672</v>
      </c>
      <c r="V181" s="20" t="n">
        <v>0.025</v>
      </c>
      <c r="W181" s="20" t="n">
        <v>-0.901</v>
      </c>
    </row>
    <row r="182">
      <c r="A182" s="18" t="inlineStr">
        <is>
          <t>소계</t>
        </is>
      </c>
      <c r="C182" s="20" t="n">
        <v>309.699</v>
      </c>
      <c r="E182" s="20" t="n">
        <v>1827.556</v>
      </c>
      <c r="G182" s="20" t="n">
        <v>1891.54</v>
      </c>
      <c r="I182" s="20" t="n">
        <v>3208.198</v>
      </c>
      <c r="K182" s="20" t="n">
        <v>1010.628</v>
      </c>
      <c r="M182" s="20" t="n">
        <v>2155.311</v>
      </c>
      <c r="O182" s="20" t="n">
        <v>149.994</v>
      </c>
      <c r="P182" s="20" t="n">
        <v>-627.0700000000001</v>
      </c>
      <c r="Q182" s="20" t="n">
        <v>-162.403</v>
      </c>
      <c r="R182" s="20" t="n">
        <v>-2007.103</v>
      </c>
      <c r="S182" s="20" t="n">
        <v>-1004.333</v>
      </c>
      <c r="T182" s="20" t="n">
        <v>-1122.887</v>
      </c>
      <c r="U182" s="20" t="n">
        <v>-1374.334</v>
      </c>
      <c r="V182" s="20" t="n">
        <v>1827.556</v>
      </c>
      <c r="W182" s="20" t="n">
        <v>3208.198</v>
      </c>
      <c r="X182" s="20" t="n">
        <v>2155.311</v>
      </c>
    </row>
    <row r="183">
      <c r="A183" s="18" t="inlineStr">
        <is>
          <t>이자·배당금 수취</t>
        </is>
      </c>
      <c r="C183" s="20" t="n">
        <v>19.859</v>
      </c>
      <c r="E183" s="20" t="n">
        <v>26.499</v>
      </c>
      <c r="G183" s="20" t="n">
        <v>5.854</v>
      </c>
      <c r="I183" s="20" t="n">
        <v>10.608</v>
      </c>
      <c r="K183" s="20" t="n">
        <v>11.498</v>
      </c>
      <c r="M183" s="20" t="n">
        <v>17.681</v>
      </c>
      <c r="O183" s="20" t="n">
        <v>15.714</v>
      </c>
      <c r="P183" s="20" t="n">
        <v>16.768</v>
      </c>
      <c r="Q183" s="20" t="n">
        <v>18.45</v>
      </c>
      <c r="R183" s="20" t="n">
        <v>19.551</v>
      </c>
      <c r="S183" s="20" t="n">
        <v>54.043</v>
      </c>
      <c r="T183" s="20" t="n">
        <v>18.152</v>
      </c>
      <c r="U183" s="20" t="n">
        <v>22.816</v>
      </c>
      <c r="V183" s="20" t="n">
        <v>26.499</v>
      </c>
      <c r="W183" s="20" t="n">
        <v>10.608</v>
      </c>
      <c r="X183" s="20" t="n">
        <v>17.681</v>
      </c>
    </row>
    <row r="184">
      <c r="A184" s="18" t="inlineStr">
        <is>
          <t>이자 지급</t>
        </is>
      </c>
      <c r="C184" s="20" t="n">
        <v>-60.729</v>
      </c>
      <c r="E184" s="20" t="n">
        <v>-122.47</v>
      </c>
      <c r="G184" s="20" t="n">
        <v>-54.548</v>
      </c>
      <c r="I184" s="20" t="n">
        <v>-110.246</v>
      </c>
      <c r="K184" s="20" t="n">
        <v>-43.858</v>
      </c>
      <c r="M184" s="20" t="n">
        <v>-95.343</v>
      </c>
      <c r="O184" s="20" t="n">
        <v>-2.84</v>
      </c>
      <c r="P184" s="20" t="n">
        <v>-2.523</v>
      </c>
      <c r="Q184" s="20" t="n">
        <v>-1.675</v>
      </c>
      <c r="R184" s="20" t="n">
        <v>-3.542</v>
      </c>
      <c r="S184" s="20" t="n">
        <v>-22.458</v>
      </c>
      <c r="T184" s="20" t="n">
        <v>-35.731</v>
      </c>
      <c r="U184" s="20" t="n">
        <v>-59.694</v>
      </c>
      <c r="V184" s="20" t="n">
        <v>-122.47</v>
      </c>
      <c r="W184" s="20" t="n">
        <v>-110.246</v>
      </c>
      <c r="X184" s="20" t="n">
        <v>-95.343</v>
      </c>
    </row>
    <row r="185">
      <c r="A185" s="18" t="inlineStr">
        <is>
          <t>법인세 납부</t>
        </is>
      </c>
      <c r="O185" s="20" t="n">
        <v>-859.431</v>
      </c>
      <c r="P185" s="20" t="n">
        <v>302.157</v>
      </c>
      <c r="R185" s="20" t="n">
        <v>-13.257</v>
      </c>
      <c r="S185" s="20" t="n">
        <v>-141.984</v>
      </c>
      <c r="T185" s="20" t="n">
        <v>38.007</v>
      </c>
    </row>
    <row r="186">
      <c r="A186" s="18" t="inlineStr">
        <is>
          <t>법인세 납부·환급</t>
        </is>
      </c>
      <c r="C186" s="20" t="n">
        <v>-23.707</v>
      </c>
      <c r="E186" s="20" t="n">
        <v>-90.157</v>
      </c>
      <c r="G186" s="20" t="n">
        <v>-212.305</v>
      </c>
      <c r="I186" s="20" t="n">
        <v>-330.348</v>
      </c>
      <c r="K186" s="20" t="n">
        <v>-227.842</v>
      </c>
      <c r="M186" s="20" t="n">
        <v>-400.715</v>
      </c>
      <c r="P186" s="20" t="n">
        <v>302.157</v>
      </c>
      <c r="Q186" s="20" t="n">
        <v>-87.751</v>
      </c>
      <c r="R186" s="20" t="n">
        <v>-13.257</v>
      </c>
      <c r="T186" s="20" t="n">
        <v>38.007</v>
      </c>
      <c r="U186" s="20" t="n">
        <v>-107.772</v>
      </c>
      <c r="V186" s="20" t="n">
        <v>-90.157</v>
      </c>
      <c r="W186" s="20" t="n">
        <v>-330.348</v>
      </c>
      <c r="X186" s="20" t="n">
        <v>-400.715</v>
      </c>
    </row>
    <row r="187">
      <c r="A187" s="9" t="inlineStr">
        <is>
          <t>영업활동 현금흐름</t>
        </is>
      </c>
      <c r="C187" s="12" t="n">
        <v>245.122</v>
      </c>
      <c r="E187" s="12" t="n">
        <v>1641.427</v>
      </c>
      <c r="G187" s="12" t="n">
        <v>1630.54</v>
      </c>
      <c r="I187" s="12" t="n">
        <v>2778.212</v>
      </c>
      <c r="K187" s="12" t="n">
        <v>750.426</v>
      </c>
      <c r="M187" s="12" t="n">
        <v>1676.933</v>
      </c>
      <c r="O187" s="12" t="n">
        <v>-696.563</v>
      </c>
      <c r="P187" s="12" t="n">
        <v>-310.668</v>
      </c>
      <c r="Q187" s="12" t="n">
        <v>-233.379</v>
      </c>
      <c r="R187" s="12" t="n">
        <v>-2004.352</v>
      </c>
      <c r="S187" s="12" t="n">
        <v>-1114.732</v>
      </c>
      <c r="T187" s="12" t="n">
        <v>-1102.458</v>
      </c>
      <c r="U187" s="12" t="n">
        <v>-1518.985</v>
      </c>
      <c r="V187" s="12" t="n">
        <v>1641.427</v>
      </c>
      <c r="W187" s="12" t="n">
        <v>2778.212</v>
      </c>
      <c r="X187" s="12" t="n">
        <v>1676.933</v>
      </c>
    </row>
    <row r="188">
      <c r="A188" s="18" t="inlineStr">
        <is>
          <t>정기예금 예입</t>
        </is>
      </c>
      <c r="O188" s="20" t="n">
        <v>-50</v>
      </c>
      <c r="P188" s="20" t="n">
        <v>0</v>
      </c>
      <c r="Q188" s="20" t="n">
        <v>0</v>
      </c>
      <c r="R188" s="20" t="n">
        <v>-50</v>
      </c>
      <c r="S188" s="20" t="n">
        <v>0</v>
      </c>
    </row>
    <row r="189">
      <c r="A189" s="18" t="inlineStr">
        <is>
          <t>유가증권 매각</t>
        </is>
      </c>
      <c r="O189" s="20" t="n">
        <v>300</v>
      </c>
      <c r="P189" s="20" t="n">
        <v>0</v>
      </c>
    </row>
    <row r="190">
      <c r="A190" s="18" t="inlineStr">
        <is>
          <t>정기예금 인출</t>
        </is>
      </c>
      <c r="P190" s="20" t="n">
        <v>0</v>
      </c>
      <c r="Q190" s="20" t="n">
        <v>50</v>
      </c>
      <c r="R190" s="20" t="n">
        <v>0</v>
      </c>
      <c r="S190" s="20" t="n">
        <v>50</v>
      </c>
      <c r="T190" s="20" t="n">
        <v>0</v>
      </c>
    </row>
    <row r="191">
      <c r="A191" s="18" t="inlineStr">
        <is>
          <t>유형자산 취득(설비투자)</t>
        </is>
      </c>
      <c r="C191" s="20" t="n">
        <v>-66.38200000000001</v>
      </c>
      <c r="E191" s="20" t="n">
        <v>-167.929</v>
      </c>
      <c r="G191" s="20" t="n">
        <v>-308.07</v>
      </c>
      <c r="I191" s="20" t="n">
        <v>-406.961</v>
      </c>
      <c r="K191" s="20" t="n">
        <v>-684.427</v>
      </c>
      <c r="M191" s="20" t="n">
        <v>-932.115</v>
      </c>
      <c r="O191" s="20" t="n">
        <v>-324.523</v>
      </c>
      <c r="P191" s="20" t="n">
        <v>-244.307</v>
      </c>
      <c r="Q191" s="20" t="n">
        <v>-368.044</v>
      </c>
      <c r="R191" s="20" t="n">
        <v>-173.532</v>
      </c>
      <c r="S191" s="20" t="n">
        <v>-558.292</v>
      </c>
      <c r="T191" s="20" t="n">
        <v>-588.61</v>
      </c>
      <c r="U191" s="20" t="n">
        <v>-227.981</v>
      </c>
      <c r="V191" s="20" t="n">
        <v>-167.929</v>
      </c>
      <c r="W191" s="20" t="n">
        <v>-406.961</v>
      </c>
      <c r="X191" s="20" t="n">
        <v>-932.115</v>
      </c>
    </row>
    <row r="192">
      <c r="A192" s="18" t="inlineStr">
        <is>
          <t>유형자산 매각</t>
        </is>
      </c>
      <c r="C192" s="20" t="n">
        <v>0</v>
      </c>
      <c r="E192" s="20" t="n">
        <v>0</v>
      </c>
      <c r="G192" s="20" t="n">
        <v>0.3</v>
      </c>
      <c r="I192" s="20" t="n">
        <v>0.8</v>
      </c>
      <c r="K192" s="20" t="n">
        <v>13.45</v>
      </c>
      <c r="M192" s="20" t="n">
        <v>22.425</v>
      </c>
      <c r="O192" s="20" t="n">
        <v>0.095</v>
      </c>
      <c r="P192" s="20" t="n">
        <v>0.265</v>
      </c>
      <c r="Q192" s="20" t="n">
        <v>551.371</v>
      </c>
      <c r="R192" s="20" t="n">
        <v>0.053</v>
      </c>
      <c r="S192" s="20" t="n">
        <v>0.022</v>
      </c>
      <c r="T192" s="20" t="n">
        <v>0.141</v>
      </c>
      <c r="U192" s="20" t="n">
        <v>92.571</v>
      </c>
      <c r="V192" s="20" t="n">
        <v>0</v>
      </c>
      <c r="W192" s="20" t="n">
        <v>0.8</v>
      </c>
      <c r="X192" s="20" t="n">
        <v>22.425</v>
      </c>
    </row>
    <row r="193">
      <c r="A193" s="18" t="inlineStr">
        <is>
          <t>유형자산 제각 지출</t>
        </is>
      </c>
      <c r="P193" s="20" t="n">
        <v>0</v>
      </c>
      <c r="Q193" s="20" t="n">
        <v>-0.832</v>
      </c>
      <c r="R193" s="20" t="n">
        <v>0</v>
      </c>
    </row>
    <row r="194">
      <c r="A194" s="18" t="inlineStr">
        <is>
          <t>무형자산 취득</t>
        </is>
      </c>
      <c r="C194" s="20" t="n">
        <v>-133.189</v>
      </c>
      <c r="E194" s="20" t="n">
        <v>-219.154</v>
      </c>
      <c r="G194" s="20" t="n">
        <v>-56.01</v>
      </c>
      <c r="I194" s="20" t="n">
        <v>-86.82599999999999</v>
      </c>
      <c r="K194" s="20" t="n">
        <v>-56.625</v>
      </c>
      <c r="M194" s="20" t="n">
        <v>-111.595</v>
      </c>
      <c r="O194" s="20" t="n">
        <v>-129.353</v>
      </c>
      <c r="P194" s="20" t="n">
        <v>-244.693</v>
      </c>
      <c r="Q194" s="20" t="n">
        <v>-74.267</v>
      </c>
      <c r="R194" s="20" t="n">
        <v>-95.372</v>
      </c>
      <c r="S194" s="20" t="n">
        <v>-85.001</v>
      </c>
      <c r="T194" s="20" t="n">
        <v>-369.095</v>
      </c>
      <c r="U194" s="20" t="n">
        <v>-183.435</v>
      </c>
      <c r="V194" s="20" t="n">
        <v>-219.154</v>
      </c>
      <c r="W194" s="20" t="n">
        <v>-86.82599999999999</v>
      </c>
      <c r="X194" s="20" t="n">
        <v>-111.595</v>
      </c>
    </row>
    <row r="195">
      <c r="A195" s="18" t="inlineStr">
        <is>
          <t>무형자산 매각 수입</t>
        </is>
      </c>
      <c r="C195" s="20" t="n">
        <v>0</v>
      </c>
      <c r="E195" s="20" t="n">
        <v>0</v>
      </c>
      <c r="G195" s="20" t="n">
        <v>0.214</v>
      </c>
      <c r="I195" s="20" t="n">
        <v>0.214</v>
      </c>
      <c r="K195" s="20" t="n">
        <v>0</v>
      </c>
      <c r="M195" s="20" t="n">
        <v>0</v>
      </c>
      <c r="V195" s="20" t="n">
        <v>0</v>
      </c>
      <c r="W195" s="20" t="n">
        <v>0.214</v>
      </c>
      <c r="X195" s="20" t="n">
        <v>0</v>
      </c>
    </row>
    <row r="196">
      <c r="A196" s="18" t="inlineStr">
        <is>
          <t>투자유가증권 취득</t>
        </is>
      </c>
      <c r="C196" s="20" t="n">
        <v>-1.921</v>
      </c>
      <c r="E196" s="20" t="n">
        <v>-3.814</v>
      </c>
      <c r="G196" s="20" t="n">
        <v>-2.152</v>
      </c>
      <c r="I196" s="20" t="n">
        <v>-4.216</v>
      </c>
      <c r="K196" s="20" t="n">
        <v>-2.396</v>
      </c>
      <c r="M196" s="20" t="n">
        <v>-4.685</v>
      </c>
      <c r="O196" s="20" t="n">
        <v>-6.006</v>
      </c>
      <c r="P196" s="20" t="n">
        <v>-6.38</v>
      </c>
      <c r="Q196" s="20" t="n">
        <v>-21.731</v>
      </c>
      <c r="R196" s="20" t="n">
        <v>-7.243</v>
      </c>
      <c r="S196" s="20" t="n">
        <v>-6.954</v>
      </c>
      <c r="T196" s="20" t="n">
        <v>-106.732</v>
      </c>
      <c r="U196" s="20" t="n">
        <v>-7.001</v>
      </c>
      <c r="V196" s="20" t="n">
        <v>-3.814</v>
      </c>
      <c r="W196" s="20" t="n">
        <v>-4.216</v>
      </c>
      <c r="X196" s="20" t="n">
        <v>-4.685</v>
      </c>
    </row>
    <row r="197">
      <c r="A197" s="18" t="inlineStr">
        <is>
          <t>투자유가증권 매각</t>
        </is>
      </c>
      <c r="C197" s="20" t="n">
        <v>128.658</v>
      </c>
      <c r="E197" s="20" t="n">
        <v>130.861</v>
      </c>
      <c r="G197" s="20" t="n">
        <v>0</v>
      </c>
      <c r="I197" s="20" t="n">
        <v>0</v>
      </c>
      <c r="P197" s="20" t="n">
        <v>0</v>
      </c>
      <c r="Q197" s="20" t="n">
        <v>19.8</v>
      </c>
      <c r="R197" s="20" t="n">
        <v>0</v>
      </c>
      <c r="T197" s="20" t="n">
        <v>0</v>
      </c>
      <c r="U197" s="20" t="n">
        <v>51.944</v>
      </c>
      <c r="V197" s="20" t="n">
        <v>130.861</v>
      </c>
      <c r="W197" s="20" t="n">
        <v>0</v>
      </c>
    </row>
    <row r="198">
      <c r="A198" s="18" t="inlineStr">
        <is>
          <t>대여</t>
        </is>
      </c>
      <c r="C198" s="20" t="n">
        <v>-2.038</v>
      </c>
      <c r="E198" s="20" t="n">
        <v>-2.084</v>
      </c>
      <c r="G198" s="20" t="n">
        <v>-0.537</v>
      </c>
      <c r="I198" s="20" t="n">
        <v>-3.689</v>
      </c>
      <c r="K198" s="20" t="n">
        <v>-0.027</v>
      </c>
      <c r="M198" s="20" t="n">
        <v>-0.249</v>
      </c>
      <c r="O198" s="20" t="n">
        <v>-1.659</v>
      </c>
      <c r="P198" s="20" t="n">
        <v>-1.422</v>
      </c>
      <c r="Q198" s="20" t="n">
        <v>-0.7</v>
      </c>
      <c r="R198" s="20" t="n">
        <v>-2.68</v>
      </c>
      <c r="S198" s="20" t="n">
        <v>-1.042</v>
      </c>
      <c r="T198" s="20" t="n">
        <v>-2.564</v>
      </c>
      <c r="U198" s="20" t="n">
        <v>-0.588</v>
      </c>
      <c r="V198" s="20" t="n">
        <v>-2.084</v>
      </c>
      <c r="W198" s="20" t="n">
        <v>-3.689</v>
      </c>
      <c r="X198" s="20" t="n">
        <v>-0.249</v>
      </c>
    </row>
    <row r="199">
      <c r="A199" s="18" t="inlineStr">
        <is>
          <t>대여금 회수</t>
        </is>
      </c>
      <c r="C199" s="20" t="n">
        <v>0.804</v>
      </c>
      <c r="E199" s="20" t="n">
        <v>1.704</v>
      </c>
      <c r="G199" s="20" t="n">
        <v>0.793</v>
      </c>
      <c r="I199" s="20" t="n">
        <v>4.581</v>
      </c>
      <c r="K199" s="20" t="n">
        <v>0.62</v>
      </c>
      <c r="M199" s="20" t="n">
        <v>1.24</v>
      </c>
      <c r="O199" s="20" t="n">
        <v>3.806</v>
      </c>
      <c r="P199" s="20" t="n">
        <v>2.99</v>
      </c>
      <c r="Q199" s="20" t="n">
        <v>1.328</v>
      </c>
      <c r="R199" s="20" t="n">
        <v>0.773</v>
      </c>
      <c r="S199" s="20" t="n">
        <v>0.9330000000000001</v>
      </c>
      <c r="T199" s="20" t="n">
        <v>1.233</v>
      </c>
      <c r="U199" s="20" t="n">
        <v>1.549</v>
      </c>
      <c r="V199" s="20" t="n">
        <v>1.704</v>
      </c>
      <c r="W199" s="20" t="n">
        <v>4.581</v>
      </c>
      <c r="X199" s="20" t="n">
        <v>1.24</v>
      </c>
    </row>
    <row r="200">
      <c r="A200" s="18" t="inlineStr">
        <is>
          <t>기타</t>
        </is>
      </c>
      <c r="C200" s="20" t="n">
        <v>-17.244</v>
      </c>
      <c r="E200" s="20" t="n">
        <v>-17.468</v>
      </c>
      <c r="G200" s="20" t="n">
        <v>-1.302</v>
      </c>
      <c r="I200" s="20" t="n">
        <v>2.842</v>
      </c>
      <c r="K200" s="20" t="n">
        <v>2.825</v>
      </c>
      <c r="M200" s="20" t="n">
        <v>-3.58</v>
      </c>
      <c r="O200" s="20" t="n">
        <v>-29.045</v>
      </c>
      <c r="P200" s="20" t="n">
        <v>-5.105</v>
      </c>
      <c r="Q200" s="20" t="n">
        <v>6.276</v>
      </c>
      <c r="R200" s="20" t="n">
        <v>-2.115</v>
      </c>
      <c r="S200" s="20" t="n">
        <v>-11.222</v>
      </c>
      <c r="T200" s="20" t="n">
        <v>0.47</v>
      </c>
      <c r="U200" s="20" t="n">
        <v>-3.254</v>
      </c>
      <c r="V200" s="20" t="n">
        <v>-17.468</v>
      </c>
      <c r="W200" s="20" t="n">
        <v>2.842</v>
      </c>
      <c r="X200" s="20" t="n">
        <v>-3.58</v>
      </c>
    </row>
    <row r="201">
      <c r="A201" s="9" t="inlineStr">
        <is>
          <t>투자활동 현금흐름</t>
        </is>
      </c>
      <c r="C201" s="12" t="n">
        <v>-91.31399999999999</v>
      </c>
      <c r="E201" s="12" t="n">
        <v>-277.885</v>
      </c>
      <c r="G201" s="12" t="n">
        <v>-366.765</v>
      </c>
      <c r="I201" s="12" t="n">
        <v>-493.256</v>
      </c>
      <c r="K201" s="12" t="n">
        <v>-726.58</v>
      </c>
      <c r="M201" s="12" t="n">
        <v>-1028.561</v>
      </c>
      <c r="O201" s="12" t="n">
        <v>-236.685</v>
      </c>
      <c r="P201" s="12" t="n">
        <v>-498.653</v>
      </c>
      <c r="Q201" s="12" t="n">
        <v>163.2</v>
      </c>
      <c r="R201" s="12" t="n">
        <v>-330.116</v>
      </c>
      <c r="S201" s="12" t="n">
        <v>-611.557</v>
      </c>
      <c r="T201" s="12" t="n">
        <v>-1065.157</v>
      </c>
      <c r="U201" s="12" t="n">
        <v>-276.196</v>
      </c>
      <c r="V201" s="12" t="n">
        <v>-277.885</v>
      </c>
      <c r="W201" s="12" t="n">
        <v>-493.256</v>
      </c>
      <c r="X201" s="12" t="n">
        <v>-1028.561</v>
      </c>
    </row>
    <row r="202">
      <c r="A202" s="18" t="inlineStr">
        <is>
          <t>단기차입금 순증감</t>
        </is>
      </c>
      <c r="C202" s="20" t="n">
        <v>0</v>
      </c>
      <c r="E202" s="20" t="n">
        <v>-500</v>
      </c>
      <c r="G202" s="20" t="n">
        <v>0</v>
      </c>
      <c r="I202" s="20" t="n">
        <v>-1200</v>
      </c>
      <c r="K202" s="20" t="n">
        <v>-450</v>
      </c>
      <c r="M202" s="20" t="n">
        <v>-300</v>
      </c>
      <c r="O202" s="20" t="n">
        <v>200</v>
      </c>
      <c r="P202" s="20" t="n">
        <v>-100</v>
      </c>
      <c r="Q202" s="20" t="n">
        <v>-300</v>
      </c>
      <c r="R202" s="20" t="n">
        <v>1300</v>
      </c>
      <c r="S202" s="20" t="n">
        <v>2050</v>
      </c>
      <c r="T202" s="20" t="n">
        <v>2530</v>
      </c>
      <c r="U202" s="20" t="n">
        <v>500</v>
      </c>
      <c r="V202" s="20" t="n">
        <v>-500</v>
      </c>
      <c r="W202" s="20" t="n">
        <v>-1200</v>
      </c>
      <c r="X202" s="20" t="n">
        <v>-300</v>
      </c>
    </row>
    <row r="203">
      <c r="A203" s="18" t="inlineStr">
        <is>
          <t>리스부채 상환</t>
        </is>
      </c>
      <c r="C203" s="20" t="n">
        <v>-8.1</v>
      </c>
      <c r="E203" s="20" t="n">
        <v>-16.874</v>
      </c>
      <c r="G203" s="20" t="n">
        <v>-8.972</v>
      </c>
      <c r="I203" s="20" t="n">
        <v>-21.985</v>
      </c>
      <c r="K203" s="20" t="n">
        <v>-23.126</v>
      </c>
      <c r="M203" s="20" t="n">
        <v>-41.044</v>
      </c>
      <c r="O203" s="20" t="n">
        <v>-5.377</v>
      </c>
      <c r="P203" s="20" t="n">
        <v>-0.5649999999999999</v>
      </c>
      <c r="Q203" s="20" t="n">
        <v>-0.588</v>
      </c>
      <c r="R203" s="20" t="n">
        <v>-1.412</v>
      </c>
      <c r="S203" s="20" t="n">
        <v>-6.747</v>
      </c>
      <c r="T203" s="20" t="n">
        <v>-15.431</v>
      </c>
      <c r="U203" s="20" t="n">
        <v>-15.431</v>
      </c>
      <c r="V203" s="20" t="n">
        <v>-16.874</v>
      </c>
      <c r="W203" s="20" t="n">
        <v>-21.985</v>
      </c>
      <c r="X203" s="20" t="n">
        <v>-41.044</v>
      </c>
    </row>
    <row r="204">
      <c r="A204" s="18" t="inlineStr">
        <is>
          <t>연결범위 변동 없는 자회사 주식 매각 수입</t>
        </is>
      </c>
      <c r="O204" s="20" t="n">
        <v>0</v>
      </c>
      <c r="P204" s="20" t="n">
        <v>123.045</v>
      </c>
      <c r="Q204" s="20" t="n">
        <v>0</v>
      </c>
    </row>
    <row r="205">
      <c r="A205" s="18" t="inlineStr">
        <is>
          <t>장기차입</t>
        </is>
      </c>
      <c r="G205" s="20" t="n">
        <v>0</v>
      </c>
      <c r="I205" s="20" t="n">
        <v>0</v>
      </c>
      <c r="K205" s="20" t="n">
        <v>300</v>
      </c>
      <c r="M205" s="20" t="n">
        <v>300</v>
      </c>
      <c r="R205" s="20" t="n">
        <v>0</v>
      </c>
      <c r="S205" s="20" t="n">
        <v>440</v>
      </c>
      <c r="T205" s="20" t="n">
        <v>340</v>
      </c>
      <c r="U205" s="20" t="n">
        <v>0</v>
      </c>
      <c r="W205" s="20" t="n">
        <v>0</v>
      </c>
      <c r="X205" s="20" t="n">
        <v>300</v>
      </c>
    </row>
    <row r="206">
      <c r="A206" s="18" t="inlineStr">
        <is>
          <t>장기차입금 상환</t>
        </is>
      </c>
      <c r="C206" s="20" t="n">
        <v>-52.702</v>
      </c>
      <c r="E206" s="20" t="n">
        <v>-80.08</v>
      </c>
      <c r="G206" s="20" t="n">
        <v>-27.378</v>
      </c>
      <c r="I206" s="20" t="n">
        <v>-54.756</v>
      </c>
      <c r="K206" s="20" t="n">
        <v>-33.628</v>
      </c>
      <c r="M206" s="20" t="n">
        <v>-79.756</v>
      </c>
      <c r="S206" s="20" t="n">
        <v>0</v>
      </c>
      <c r="T206" s="20" t="n">
        <v>-84.46599999999999</v>
      </c>
      <c r="U206" s="20" t="n">
        <v>-112.344</v>
      </c>
      <c r="V206" s="20" t="n">
        <v>-80.08</v>
      </c>
      <c r="W206" s="20" t="n">
        <v>-54.756</v>
      </c>
      <c r="X206" s="20" t="n">
        <v>-79.756</v>
      </c>
    </row>
    <row r="207">
      <c r="A207" s="18" t="inlineStr">
        <is>
          <t>자기주식 취득</t>
        </is>
      </c>
      <c r="E207" s="20" t="n">
        <v>-0.061</v>
      </c>
      <c r="I207" s="20" t="n">
        <v>-0.047</v>
      </c>
      <c r="M207" s="20" t="n">
        <v>-0.251</v>
      </c>
      <c r="O207" s="20" t="n">
        <v>-566.004</v>
      </c>
      <c r="P207" s="20" t="n">
        <v>-0.47</v>
      </c>
      <c r="Q207" s="20" t="n">
        <v>-0.102</v>
      </c>
      <c r="R207" s="20" t="n">
        <v>-0.362</v>
      </c>
      <c r="S207" s="20" t="n">
        <v>-0.4</v>
      </c>
      <c r="T207" s="20" t="n">
        <v>0</v>
      </c>
      <c r="U207" s="20" t="n">
        <v>-0.117</v>
      </c>
      <c r="V207" s="20" t="n">
        <v>-0.061</v>
      </c>
      <c r="W207" s="20" t="n">
        <v>-0.047</v>
      </c>
      <c r="X207" s="20" t="n">
        <v>-0.251</v>
      </c>
    </row>
    <row r="208">
      <c r="A208" s="18" t="inlineStr">
        <is>
          <t>배당금 지급</t>
        </is>
      </c>
      <c r="I208" s="20" t="n">
        <v>0</v>
      </c>
      <c r="M208" s="20" t="n">
        <v>-26.757</v>
      </c>
      <c r="O208" s="20" t="n">
        <v>-146.738</v>
      </c>
      <c r="P208" s="20" t="n">
        <v>-128.538</v>
      </c>
      <c r="Q208" s="20" t="n">
        <v>-64.26300000000001</v>
      </c>
      <c r="R208" s="20" t="n">
        <v>0</v>
      </c>
      <c r="S208" s="20" t="n">
        <v>-64.59</v>
      </c>
      <c r="T208" s="20" t="n">
        <v>-64.791</v>
      </c>
      <c r="U208" s="20" t="n">
        <v>0</v>
      </c>
      <c r="W208" s="20" t="n">
        <v>0</v>
      </c>
      <c r="X208" s="20" t="n">
        <v>-26.757</v>
      </c>
    </row>
    <row r="209">
      <c r="A209" s="18" t="inlineStr">
        <is>
          <t>비지배주주 배당금 지급</t>
        </is>
      </c>
      <c r="C209" s="20" t="n">
        <v>-7.02</v>
      </c>
      <c r="E209" s="20" t="n">
        <v>-7.02</v>
      </c>
      <c r="G209" s="20" t="n">
        <v>-7.02</v>
      </c>
      <c r="I209" s="20" t="n">
        <v>-7.02</v>
      </c>
      <c r="K209" s="20" t="n">
        <v>-7.02</v>
      </c>
      <c r="M209" s="20" t="n">
        <v>-7.02</v>
      </c>
      <c r="P209" s="20" t="n">
        <v>0</v>
      </c>
      <c r="Q209" s="20" t="n">
        <v>-4.212</v>
      </c>
      <c r="R209" s="20" t="n">
        <v>-4.212</v>
      </c>
      <c r="S209" s="20" t="n">
        <v>-4.212</v>
      </c>
      <c r="T209" s="20" t="n">
        <v>-4.212</v>
      </c>
      <c r="U209" s="20" t="n">
        <v>-4.212</v>
      </c>
      <c r="V209" s="20" t="n">
        <v>-7.02</v>
      </c>
      <c r="W209" s="20" t="n">
        <v>-7.02</v>
      </c>
      <c r="X209" s="20" t="n">
        <v>-7.02</v>
      </c>
    </row>
    <row r="210">
      <c r="A210" s="9" t="inlineStr">
        <is>
          <t>재무활동 현금흐름</t>
        </is>
      </c>
      <c r="C210" s="12" t="n">
        <v>-67.822</v>
      </c>
      <c r="E210" s="12" t="n">
        <v>-604.035</v>
      </c>
      <c r="G210" s="12" t="n">
        <v>-43.37</v>
      </c>
      <c r="I210" s="12" t="n">
        <v>-1283.808</v>
      </c>
      <c r="K210" s="12" t="n">
        <v>-213.774</v>
      </c>
      <c r="M210" s="12" t="n">
        <v>-154.83</v>
      </c>
      <c r="O210" s="12" t="n">
        <v>-518.12</v>
      </c>
      <c r="P210" s="12" t="n">
        <v>-106.529</v>
      </c>
      <c r="Q210" s="12" t="n">
        <v>-369.166</v>
      </c>
      <c r="R210" s="12" t="n">
        <v>1294.013</v>
      </c>
      <c r="S210" s="12" t="n">
        <v>2414.049</v>
      </c>
      <c r="T210" s="12" t="n">
        <v>2701.099</v>
      </c>
      <c r="U210" s="12" t="n">
        <v>367.895</v>
      </c>
      <c r="V210" s="12" t="n">
        <v>-604.035</v>
      </c>
      <c r="W210" s="12" t="n">
        <v>-1283.808</v>
      </c>
      <c r="X210" s="12" t="n">
        <v>-154.83</v>
      </c>
    </row>
    <row r="211">
      <c r="A211" s="18" t="inlineStr">
        <is>
          <t>현금성자산 환산차이</t>
        </is>
      </c>
      <c r="O211" s="20" t="n">
        <v>33.642</v>
      </c>
      <c r="P211" s="20" t="n">
        <v>-5.858</v>
      </c>
      <c r="Q211" s="20" t="n">
        <v>-2.063</v>
      </c>
      <c r="R211" s="20" t="n">
        <v>-2.903</v>
      </c>
      <c r="S211" s="20" t="n">
        <v>-7.181</v>
      </c>
      <c r="T211" s="20" t="n">
        <v>-0</v>
      </c>
      <c r="U211" s="20" t="n">
        <v>0</v>
      </c>
    </row>
    <row r="212">
      <c r="A212" s="18" t="inlineStr">
        <is>
          <t>현금성자산 증감</t>
        </is>
      </c>
      <c r="C212" s="20" t="n">
        <v>85.98399999999999</v>
      </c>
      <c r="E212" s="20" t="n">
        <v>759.506</v>
      </c>
      <c r="G212" s="20" t="n">
        <v>1220.404</v>
      </c>
      <c r="I212" s="20" t="n">
        <v>1001.148</v>
      </c>
      <c r="K212" s="20" t="n">
        <v>-189.928</v>
      </c>
      <c r="M212" s="20" t="n">
        <v>493.542</v>
      </c>
      <c r="O212" s="20" t="n">
        <v>-1417.726</v>
      </c>
      <c r="P212" s="20" t="n">
        <v>-921.7089999999999</v>
      </c>
      <c r="Q212" s="20" t="n">
        <v>-441.408</v>
      </c>
      <c r="R212" s="20" t="n">
        <v>-1043.359</v>
      </c>
      <c r="S212" s="20" t="n">
        <v>680.577</v>
      </c>
      <c r="T212" s="20" t="n">
        <v>533.482</v>
      </c>
      <c r="U212" s="20" t="n">
        <v>-1427.286</v>
      </c>
      <c r="V212" s="20" t="n">
        <v>759.506</v>
      </c>
      <c r="W212" s="20" t="n">
        <v>1001.148</v>
      </c>
      <c r="X212" s="20" t="n">
        <v>493.542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43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6822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16764.298</v>
      </c>
      <c r="D5" s="12" t="n">
        <v>18081.417</v>
      </c>
      <c r="E5" s="12" t="n">
        <v>20466.05</v>
      </c>
      <c r="F5" s="12" t="n">
        <v>21998.517</v>
      </c>
      <c r="G5" s="12" t="n">
        <v>21543.513</v>
      </c>
      <c r="H5" s="11" t="n">
        <v>16788.452</v>
      </c>
      <c r="I5" s="12" t="n">
        <v>16850.338</v>
      </c>
      <c r="J5" s="12" t="n">
        <v>18839.296</v>
      </c>
      <c r="K5" s="12" t="n">
        <v>18145.109</v>
      </c>
      <c r="L5" s="12" t="n">
        <v>21998.517</v>
      </c>
    </row>
    <row r="6">
      <c r="A6" s="18" t="inlineStr">
        <is>
          <t>현금및현금성자산</t>
        </is>
      </c>
      <c r="B6" s="10" t="n"/>
      <c r="C6" s="19" t="n">
        <v>3882.335</v>
      </c>
      <c r="D6" s="20" t="n">
        <v>3694.24</v>
      </c>
      <c r="E6" s="20" t="n">
        <v>3259.74</v>
      </c>
      <c r="F6" s="20" t="n">
        <v>4377.711</v>
      </c>
      <c r="G6" s="20" t="n">
        <v>4571.665</v>
      </c>
      <c r="H6" s="19" t="n">
        <v>3550.801</v>
      </c>
      <c r="I6" s="20" t="n">
        <v>2123.514</v>
      </c>
      <c r="J6" s="20" t="n">
        <v>2883.021</v>
      </c>
      <c r="K6" s="20" t="n">
        <v>3884.169</v>
      </c>
      <c r="L6" s="20" t="n">
        <v>4377.711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4334.153</v>
      </c>
      <c r="D8" s="20" t="n">
        <v>4986.244</v>
      </c>
      <c r="E8" s="20" t="n">
        <v>6154.806</v>
      </c>
      <c r="F8" s="20" t="n">
        <v>9072.254000000001</v>
      </c>
      <c r="G8" s="20" t="n">
        <v>5153.855</v>
      </c>
      <c r="H8" s="19" t="n">
        <v>6048.929</v>
      </c>
      <c r="I8" s="20" t="n">
        <v>6254.73</v>
      </c>
      <c r="J8" s="20" t="n">
        <v>8753.799000000001</v>
      </c>
      <c r="K8" s="20" t="n">
        <v>7982.246</v>
      </c>
      <c r="L8" s="20" t="n">
        <v>9072.254000000001</v>
      </c>
    </row>
    <row r="9">
      <c r="A9" s="18" t="inlineStr">
        <is>
          <t>재고자산</t>
        </is>
      </c>
      <c r="B9" s="10" t="n"/>
      <c r="C9" s="19" t="n">
        <v>7992.563</v>
      </c>
      <c r="D9" s="20" t="n">
        <v>8854.699000000001</v>
      </c>
      <c r="E9" s="20" t="n">
        <v>10100.871</v>
      </c>
      <c r="F9" s="20" t="n">
        <v>7818.433</v>
      </c>
      <c r="G9" s="20" t="n">
        <v>10887.393</v>
      </c>
      <c r="H9" s="19" t="n">
        <v>6592.489</v>
      </c>
      <c r="I9" s="20" t="n">
        <v>8011.617</v>
      </c>
      <c r="J9" s="20" t="n">
        <v>6417.509</v>
      </c>
      <c r="K9" s="20" t="n">
        <v>5843.202</v>
      </c>
      <c r="L9" s="20" t="n">
        <v>7818.433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5977.233</v>
      </c>
      <c r="D11" s="12" t="n">
        <v>5931.32</v>
      </c>
      <c r="E11" s="12" t="n">
        <v>5880.174</v>
      </c>
      <c r="F11" s="12" t="n">
        <v>6297.752</v>
      </c>
      <c r="G11" s="12" t="n">
        <v>6362.478</v>
      </c>
      <c r="H11" s="11" t="n">
        <v>5007.721</v>
      </c>
      <c r="I11" s="12" t="n">
        <v>4782.958</v>
      </c>
      <c r="J11" s="12" t="n">
        <v>5042.661</v>
      </c>
      <c r="K11" s="12" t="n">
        <v>5504.853</v>
      </c>
      <c r="L11" s="12" t="n">
        <v>6297.752</v>
      </c>
    </row>
    <row r="12">
      <c r="A12" s="18" t="inlineStr">
        <is>
          <t>유형자산</t>
        </is>
      </c>
      <c r="B12" s="10" t="n"/>
      <c r="C12" s="19" t="n">
        <v>3412.372</v>
      </c>
      <c r="D12" s="20" t="n">
        <v>3367.598</v>
      </c>
      <c r="E12" s="20" t="n">
        <v>3288.388</v>
      </c>
      <c r="F12" s="20" t="n">
        <v>3421.263</v>
      </c>
      <c r="G12" s="20" t="n">
        <v>3378.684</v>
      </c>
      <c r="H12" s="19" t="n">
        <v>2969.301</v>
      </c>
      <c r="I12" s="20" t="n">
        <v>2805.94</v>
      </c>
      <c r="J12" s="20" t="n">
        <v>2695.451</v>
      </c>
      <c r="K12" s="20" t="n">
        <v>3050.254</v>
      </c>
      <c r="L12" s="20" t="n">
        <v>3421.263</v>
      </c>
    </row>
    <row r="13">
      <c r="A13" s="18" t="inlineStr">
        <is>
          <t>무형자산</t>
        </is>
      </c>
      <c r="B13" s="10" t="n"/>
      <c r="C13" s="19" t="n">
        <v>641.102</v>
      </c>
      <c r="D13" s="20" t="n">
        <v>614.699</v>
      </c>
      <c r="E13" s="20" t="n">
        <v>585.806</v>
      </c>
      <c r="F13" s="20" t="n">
        <v>609.761</v>
      </c>
      <c r="G13" s="20" t="n">
        <v>575.126</v>
      </c>
      <c r="H13" s="19" t="n">
        <v>537.021</v>
      </c>
      <c r="I13" s="20" t="n">
        <v>640.621</v>
      </c>
      <c r="J13" s="20" t="n">
        <v>747.854</v>
      </c>
      <c r="K13" s="20" t="n">
        <v>675.597</v>
      </c>
      <c r="L13" s="20" t="n">
        <v>609.761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22741.531</v>
      </c>
      <c r="D16" s="12" t="n">
        <v>24012.737</v>
      </c>
      <c r="E16" s="12" t="n">
        <v>26346.225</v>
      </c>
      <c r="F16" s="12" t="n">
        <v>28296.269</v>
      </c>
      <c r="G16" s="12" t="n">
        <v>27905.991</v>
      </c>
      <c r="H16" s="11" t="n">
        <v>21796.174</v>
      </c>
      <c r="I16" s="12" t="n">
        <v>21633.296</v>
      </c>
      <c r="J16" s="12" t="n">
        <v>23881.958</v>
      </c>
      <c r="K16" s="12" t="n">
        <v>23649.963</v>
      </c>
      <c r="L16" s="12" t="n">
        <v>28296.269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10411.69</v>
      </c>
      <c r="D18" s="12" t="n">
        <v>11191.322</v>
      </c>
      <c r="E18" s="12" t="n">
        <v>13081.939</v>
      </c>
      <c r="F18" s="12" t="n">
        <v>14007.814</v>
      </c>
      <c r="G18" s="12" t="n">
        <v>13829.219</v>
      </c>
      <c r="H18" s="11" t="n">
        <v>10861.271</v>
      </c>
      <c r="I18" s="12" t="n">
        <v>11444.345</v>
      </c>
      <c r="J18" s="12" t="n">
        <v>12847.163</v>
      </c>
      <c r="K18" s="12" t="n">
        <v>11380.087</v>
      </c>
      <c r="L18" s="12" t="n">
        <v>14007.814</v>
      </c>
    </row>
    <row r="19">
      <c r="A19" s="18" t="inlineStr">
        <is>
          <t>매입채무</t>
        </is>
      </c>
      <c r="B19" s="10" t="n"/>
      <c r="C19" s="19" t="n">
        <v>2355.48</v>
      </c>
      <c r="D19" s="20" t="n">
        <v>2960.932</v>
      </c>
      <c r="E19" s="20" t="n">
        <v>3399.952</v>
      </c>
      <c r="F19" s="20" t="n">
        <v>3675.38</v>
      </c>
      <c r="G19" s="20" t="n">
        <v>2751.534</v>
      </c>
      <c r="H19" s="19" t="n">
        <v>1803.578</v>
      </c>
      <c r="I19" s="20" t="n">
        <v>2030.482</v>
      </c>
      <c r="J19" s="20" t="n">
        <v>2319.534</v>
      </c>
      <c r="K19" s="20" t="n">
        <v>2393.405</v>
      </c>
      <c r="L19" s="20" t="n">
        <v>3675.38</v>
      </c>
    </row>
    <row r="20">
      <c r="A20" s="18" t="inlineStr">
        <is>
          <t>단기차입금</t>
        </is>
      </c>
      <c r="B20" s="10" t="n"/>
      <c r="C20" s="19" t="n">
        <v>4530</v>
      </c>
      <c r="D20" s="20" t="n">
        <v>4380</v>
      </c>
      <c r="E20" s="20" t="n">
        <v>5530</v>
      </c>
      <c r="F20" s="20" t="n">
        <v>4530</v>
      </c>
      <c r="G20" s="20" t="n">
        <v>4730</v>
      </c>
      <c r="H20" s="19" t="n">
        <v>6030</v>
      </c>
      <c r="I20" s="20" t="n">
        <v>6530</v>
      </c>
      <c r="J20" s="20" t="n">
        <v>6030</v>
      </c>
      <c r="K20" s="20" t="n">
        <v>4830</v>
      </c>
      <c r="L20" s="20" t="n">
        <v>4530</v>
      </c>
    </row>
    <row r="21">
      <c r="A21" s="18" t="inlineStr">
        <is>
          <t>유동성장기부채</t>
        </is>
      </c>
      <c r="B21" s="10" t="n"/>
      <c r="C21" s="19" t="n">
        <v>54.756</v>
      </c>
      <c r="D21" s="20" t="n">
        <v>92.256</v>
      </c>
      <c r="E21" s="20" t="n">
        <v>92.256</v>
      </c>
      <c r="F21" s="20" t="n">
        <v>92.256</v>
      </c>
      <c r="G21" s="20" t="n">
        <v>92.256</v>
      </c>
      <c r="H21" s="19" t="n">
        <v>112.344</v>
      </c>
      <c r="I21" s="20" t="n">
        <v>80.08</v>
      </c>
      <c r="J21" s="20" t="n">
        <v>54.756</v>
      </c>
      <c r="K21" s="20" t="n">
        <v>54.756</v>
      </c>
      <c r="L21" s="20" t="n">
        <v>92.256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3337.534</v>
      </c>
      <c r="D23" s="12" t="n">
        <v>3565.97</v>
      </c>
      <c r="E23" s="12" t="n">
        <v>3534.239</v>
      </c>
      <c r="F23" s="12" t="n">
        <v>3300.285</v>
      </c>
      <c r="G23" s="12" t="n">
        <v>3289.938</v>
      </c>
      <c r="H23" s="11" t="n">
        <v>3529.703</v>
      </c>
      <c r="I23" s="12" t="n">
        <v>3604.299</v>
      </c>
      <c r="J23" s="12" t="n">
        <v>3041.315</v>
      </c>
      <c r="K23" s="12" t="n">
        <v>3381.24</v>
      </c>
      <c r="L23" s="12" t="n">
        <v>3300.285</v>
      </c>
    </row>
    <row r="24">
      <c r="A24" s="18" t="inlineStr">
        <is>
          <t>장기차입금</t>
        </is>
      </c>
      <c r="B24" s="10" t="n"/>
      <c r="C24" s="19" t="n">
        <v>379.909</v>
      </c>
      <c r="D24" s="20" t="n">
        <v>622.47</v>
      </c>
      <c r="E24" s="20" t="n">
        <v>602.5309999999999</v>
      </c>
      <c r="F24" s="20" t="n">
        <v>576.342</v>
      </c>
      <c r="G24" s="20" t="n">
        <v>553.278</v>
      </c>
      <c r="H24" s="19" t="n">
        <v>583.1900000000001</v>
      </c>
      <c r="I24" s="20" t="n">
        <v>503.11</v>
      </c>
      <c r="J24" s="20" t="n">
        <v>448.354</v>
      </c>
      <c r="K24" s="20" t="n">
        <v>393.598</v>
      </c>
      <c r="L24" s="20" t="n">
        <v>576.342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13749.225</v>
      </c>
      <c r="D27" s="12" t="n">
        <v>14757.292</v>
      </c>
      <c r="E27" s="12" t="n">
        <v>16616.178</v>
      </c>
      <c r="F27" s="12" t="n">
        <v>17308.099</v>
      </c>
      <c r="G27" s="12" t="n">
        <v>17119.157</v>
      </c>
      <c r="H27" s="11" t="n">
        <v>14390.975</v>
      </c>
      <c r="I27" s="12" t="n">
        <v>15048.645</v>
      </c>
      <c r="J27" s="12" t="n">
        <v>15888.478</v>
      </c>
      <c r="K27" s="12" t="n">
        <v>14761.327</v>
      </c>
      <c r="L27" s="12" t="n">
        <v>17308.099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7172.921</v>
      </c>
      <c r="D31" s="12" t="n">
        <v>7451.313</v>
      </c>
      <c r="E31" s="12" t="n">
        <v>7867.505</v>
      </c>
      <c r="F31" s="12" t="n">
        <v>9008.583000000001</v>
      </c>
      <c r="G31" s="12" t="n">
        <v>8797.944</v>
      </c>
      <c r="H31" s="11" t="n">
        <v>6031.414</v>
      </c>
      <c r="I31" s="12" t="n">
        <v>5097.163</v>
      </c>
      <c r="J31" s="12" t="n">
        <v>6331.032</v>
      </c>
      <c r="K31" s="12" t="n">
        <v>7053.731</v>
      </c>
      <c r="L31" s="12" t="n">
        <v>9008.583000000001</v>
      </c>
    </row>
    <row r="32">
      <c r="A32" s="18" t="inlineStr">
        <is>
          <t>자본금</t>
        </is>
      </c>
      <c r="B32" s="10" t="n"/>
      <c r="C32" s="19" t="n">
        <v>2708.389</v>
      </c>
      <c r="D32" s="20" t="n">
        <v>2708.389</v>
      </c>
      <c r="E32" s="20" t="n">
        <v>2708.389</v>
      </c>
      <c r="F32" s="20" t="n">
        <v>2708.389</v>
      </c>
      <c r="G32" s="20" t="n">
        <v>2708.389</v>
      </c>
      <c r="H32" s="19" t="n">
        <v>2708.389</v>
      </c>
      <c r="I32" s="20" t="n">
        <v>2708.389</v>
      </c>
      <c r="J32" s="20" t="n">
        <v>2708.389</v>
      </c>
      <c r="K32" s="20" t="n">
        <v>2708.389</v>
      </c>
      <c r="L32" s="20" t="n">
        <v>2708.389</v>
      </c>
    </row>
    <row r="33">
      <c r="A33" s="18" t="inlineStr">
        <is>
          <t>이익잉여금</t>
        </is>
      </c>
      <c r="B33" s="10" t="n"/>
      <c r="C33" s="19" t="n">
        <v>3340.247</v>
      </c>
      <c r="D33" s="20" t="n">
        <v>3473.714</v>
      </c>
      <c r="E33" s="20" t="n">
        <v>3808.632</v>
      </c>
      <c r="F33" s="20" t="n">
        <v>4611.719</v>
      </c>
      <c r="G33" s="20" t="n">
        <v>4311.19</v>
      </c>
      <c r="H33" s="19" t="n">
        <v>2294.557</v>
      </c>
      <c r="I33" s="20" t="n">
        <v>1482.05</v>
      </c>
      <c r="J33" s="20" t="n">
        <v>2240.116</v>
      </c>
      <c r="K33" s="20" t="n">
        <v>3273.82</v>
      </c>
      <c r="L33" s="20" t="n">
        <v>4611.719</v>
      </c>
    </row>
    <row r="34">
      <c r="A34" s="18" t="inlineStr">
        <is>
          <t>비지배지분</t>
        </is>
      </c>
      <c r="B34" s="10" t="n"/>
      <c r="C34" s="19" t="n">
        <v>1819.385</v>
      </c>
      <c r="D34" s="20" t="n">
        <v>1804.132</v>
      </c>
      <c r="E34" s="20" t="n">
        <v>1862.541</v>
      </c>
      <c r="F34" s="20" t="n">
        <v>1979.586</v>
      </c>
      <c r="G34" s="20" t="n">
        <v>1988.89</v>
      </c>
      <c r="H34" s="19" t="n">
        <v>1373.785</v>
      </c>
      <c r="I34" s="20" t="n">
        <v>1487.488</v>
      </c>
      <c r="J34" s="20" t="n">
        <v>1662.447</v>
      </c>
      <c r="K34" s="20" t="n">
        <v>1834.904</v>
      </c>
      <c r="L34" s="20" t="n">
        <v>1979.586</v>
      </c>
    </row>
    <row r="35">
      <c r="A35" s="9" t="inlineStr">
        <is>
          <t>자본총계</t>
        </is>
      </c>
      <c r="B35" s="10" t="n"/>
      <c r="C35" s="11" t="n">
        <v>8992.306</v>
      </c>
      <c r="D35" s="12" t="n">
        <v>9255.445</v>
      </c>
      <c r="E35" s="12" t="n">
        <v>9730.046</v>
      </c>
      <c r="F35" s="12" t="n">
        <v>10988.169</v>
      </c>
      <c r="G35" s="12" t="n">
        <v>10786.834</v>
      </c>
      <c r="H35" s="11" t="n">
        <v>7405.199</v>
      </c>
      <c r="I35" s="12" t="n">
        <v>6584.651</v>
      </c>
      <c r="J35" s="12" t="n">
        <v>7993.479</v>
      </c>
      <c r="K35" s="12" t="n">
        <v>8888.635</v>
      </c>
      <c r="L35" s="12" t="n">
        <v>10988.169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/>
      <c r="D37" s="12" t="n">
        <v>1898.098</v>
      </c>
      <c r="E37" s="12" t="n"/>
      <c r="F37" s="12" t="n">
        <v>1676.933</v>
      </c>
      <c r="G37" s="12" t="n"/>
      <c r="H37" s="11" t="n">
        <v>-1102.458</v>
      </c>
      <c r="I37" s="12" t="n">
        <v>-1518.985</v>
      </c>
      <c r="J37" s="12" t="n">
        <v>1641.427</v>
      </c>
      <c r="K37" s="12" t="n">
        <v>2778.212</v>
      </c>
      <c r="L37" s="12" t="n">
        <v>1676.933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>
        <v>870.759</v>
      </c>
      <c r="E38" s="20" t="n"/>
      <c r="F38" s="20" t="n">
        <v>1043.71</v>
      </c>
      <c r="G38" s="20" t="n"/>
      <c r="H38" s="19" t="n">
        <v>957.705</v>
      </c>
      <c r="I38" s="20" t="n">
        <v>411.416</v>
      </c>
      <c r="J38" s="20" t="n">
        <v>387.083</v>
      </c>
      <c r="K38" s="20" t="n">
        <v>493.787</v>
      </c>
      <c r="L38" s="20" t="n">
        <v>1043.71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/>
      <c r="E40" s="20" t="n"/>
      <c r="F40" s="20" t="n">
        <v>26.757</v>
      </c>
      <c r="G40" s="20" t="n"/>
      <c r="H40" s="19" t="n">
        <v>64.791</v>
      </c>
      <c r="I40" s="20" t="n">
        <v>0</v>
      </c>
      <c r="J40" s="20" t="n"/>
      <c r="K40" s="20" t="n">
        <v>0</v>
      </c>
      <c r="L40" s="20" t="n">
        <v>26.757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IFERROR((IF(COUNT('연간'!G19:J19)&lt;4,"",SUM('연간'!G19:J19)))/(IF(COUNT('연간'!G41:J41)&lt;4,"",SUM('연간'!G41:J41))),"")</f>
        <v/>
      </c>
      <c r="D48" s="31">
        <f>IFERROR((IF(COUNT('연간'!H19:K19)&lt;4,"",SUM('연간'!H19:K19)))/(IF(COUNT('연간'!H41:K41)&lt;4,"",SUM('연간'!H41:K41))),"")</f>
        <v/>
      </c>
      <c r="E48" s="31">
        <f>IFERROR((IF(COUNT('연간'!I19:L19)&lt;4,"",SUM('연간'!I19:L19)))/(IF(COUNT('연간'!I41:L41)&lt;4,"",SUM('연간'!I41:L41))),"")</f>
        <v/>
      </c>
      <c r="F48" s="31">
        <f>IFERROR((IF(COUNT('연간'!J19:M19)&lt;4,"",SUM('연간'!J19:M19)))/(IF(COUNT('연간'!J41:M41)&lt;4,"",SUM('연간'!J41:M41))),"")</f>
        <v/>
      </c>
      <c r="G48" s="31">
        <f>IFERROR((IF(COUNT('연간'!K19:N19)&lt;4,"",SUM('연간'!K19:N19)))/(IF(COUNT('연간'!K41:N41)&lt;4,"",SUM('연간'!K41:N41))),"")</f>
        <v/>
      </c>
      <c r="H48" s="30">
        <f>IFERROR(('연간'!T19)/('연간'!T41),"")</f>
        <v/>
      </c>
      <c r="I48" s="31">
        <f>IFERROR(('연간'!U19)/('연간'!U41),"")</f>
        <v/>
      </c>
      <c r="J48" s="31">
        <f>IFERROR(('연간'!V19)/('연간'!V41),"")</f>
        <v/>
      </c>
      <c r="K48" s="31">
        <f>IFERROR(('연간'!W19)/('연간'!W41),"")</f>
        <v/>
      </c>
      <c r="L48" s="31">
        <f>IFERROR(('연간'!X19)/('연간'!X41),"")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IFERROR(IF((IF(COUNT('연간'!G47:J47)&lt;4,"",SUM('연간'!G47:J47)))&lt;=0,"적자",C28/(IF(COUNT('연간'!G47:J47)&lt;4,"",SUM('연간'!G47:J47)))),"")</f>
        <v/>
      </c>
      <c r="D49" s="47">
        <f>IFERROR(IF((IF(COUNT('연간'!H47:K47)&lt;4,"",SUM('연간'!H47:K47)))&lt;=0,"적자",D28/(IF(COUNT('연간'!H47:K47)&lt;4,"",SUM('연간'!H47:K47)))),"")</f>
        <v/>
      </c>
      <c r="E49" s="47">
        <f>IFERROR(IF((IF(COUNT('연간'!I47:L47)&lt;4,"",SUM('연간'!I47:L47)))&lt;=0,"적자",E28/(IF(COUNT('연간'!I47:L47)&lt;4,"",SUM('연간'!I47:L47)))),"")</f>
        <v/>
      </c>
      <c r="F49" s="47">
        <f>IFERROR(IF((IF(COUNT('연간'!J47:M47)&lt;4,"",SUM('연간'!J47:M47)))&lt;=0,"적자",F28/(IF(COUNT('연간'!J47:M47)&lt;4,"",SUM('연간'!J47:M47)))),"")</f>
        <v/>
      </c>
      <c r="G49" s="47">
        <f>IFERROR(IF((IF(COUNT('연간'!K47:N47)&lt;4,"",SUM('연간'!K47:N47)))&lt;=0,"적자",G28/(IF(COUNT('연간'!K47:N47)&lt;4,"",SUM('연간'!K47:N47)))),"")</f>
        <v/>
      </c>
      <c r="H49" s="46">
        <f>IFERROR(IF(('연간'!T47)&lt;=0,"적자",H28/('연간'!T47)),"")</f>
        <v/>
      </c>
      <c r="I49" s="47">
        <f>IFERROR(IF(('연간'!U47)&lt;=0,"적자",I28/('연간'!U47)),"")</f>
        <v/>
      </c>
      <c r="J49" s="47">
        <f>IFERROR(IF(('연간'!V47)&lt;=0,"적자",J28/('연간'!V47)),"")</f>
        <v/>
      </c>
      <c r="K49" s="47">
        <f>IFERROR(IF(('연간'!W47)&lt;=0,"적자",K28/('연간'!W47)),"")</f>
        <v/>
      </c>
      <c r="L49" s="47">
        <f>IFERROR(IF(('연간'!X47)&lt;=0,"적자",L28/('연간'!X47)),"")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IFERROR((IF(COUNT('연간'!G47:J47)&lt;4,"",SUM('연간'!G47:J47)))/C31,"")</f>
        <v/>
      </c>
      <c r="D51" s="36">
        <f>IFERROR((IF(COUNT('연간'!H47:K47)&lt;4,"",SUM('연간'!H47:K47)))/D31,"")</f>
        <v/>
      </c>
      <c r="E51" s="36">
        <f>IFERROR((IF(COUNT('연간'!I47:L47)&lt;4,"",SUM('연간'!I47:L47)))/E31,"")</f>
        <v/>
      </c>
      <c r="F51" s="36">
        <f>IFERROR((IF(COUNT('연간'!J47:M47)&lt;4,"",SUM('연간'!J47:M47)))/F31,"")</f>
        <v/>
      </c>
      <c r="G51" s="36">
        <f>IFERROR((IF(COUNT('연간'!K47:N47)&lt;4,"",SUM('연간'!K47:N47)))/G31,"")</f>
        <v/>
      </c>
      <c r="H51" s="35">
        <f>IFERROR(('연간'!T47)/H31,"")</f>
        <v/>
      </c>
      <c r="I51" s="36">
        <f>IFERROR(('연간'!U47)/I31,"")</f>
        <v/>
      </c>
      <c r="J51" s="36">
        <f>IFERROR(('연간'!V47)/J31,"")</f>
        <v/>
      </c>
      <c r="K51" s="36">
        <f>IFERROR(('연간'!W47)/K31,"")</f>
        <v/>
      </c>
      <c r="L51" s="36">
        <f>IFERROR(('연간'!X47)/L31,"")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IFERROR((IF(COUNT('연간'!G46:J46)&lt;4,"",SUM('연간'!G46:J46)))/C16,"")</f>
        <v/>
      </c>
      <c r="D52" s="36">
        <f>IFERROR((IF(COUNT('연간'!H46:K46)&lt;4,"",SUM('연간'!H46:K46)))/D16,"")</f>
        <v/>
      </c>
      <c r="E52" s="36">
        <f>IFERROR((IF(COUNT('연간'!I46:L46)&lt;4,"",SUM('연간'!I46:L46)))/E16,"")</f>
        <v/>
      </c>
      <c r="F52" s="36">
        <f>IFERROR((IF(COUNT('연간'!J46:M46)&lt;4,"",SUM('연간'!J46:M46)))/F16,"")</f>
        <v/>
      </c>
      <c r="G52" s="36">
        <f>IFERROR((IF(COUNT('연간'!K46:N46)&lt;4,"",SUM('연간'!K46:N46)))/G16,"")</f>
        <v/>
      </c>
      <c r="H52" s="35">
        <f>IFERROR(('연간'!T46)/H16,"")</f>
        <v/>
      </c>
      <c r="I52" s="36">
        <f>IFERROR(('연간'!U46)/I16,"")</f>
        <v/>
      </c>
      <c r="J52" s="36">
        <f>IFERROR(('연간'!V46)/J16,"")</f>
        <v/>
      </c>
      <c r="K52" s="36">
        <f>IFERROR(('연간'!W46)/K16,"")</f>
        <v/>
      </c>
      <c r="L52" s="36">
        <f>IFERROR(('연간'!X46)/L16,"")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IFERROR((IF(COUNT('연간'!G19:J19)&lt;4,"",SUM('연간'!G19:J19)))*(1-0.3)/(C35+C29),"")</f>
        <v/>
      </c>
      <c r="D53" s="36">
        <f>IFERROR((IF(COUNT('연간'!H19:K19)&lt;4,"",SUM('연간'!H19:K19)))*(1-0.3)/(D35+D29),"")</f>
        <v/>
      </c>
      <c r="E53" s="36">
        <f>IFERROR((IF(COUNT('연간'!I19:L19)&lt;4,"",SUM('연간'!I19:L19)))*(1-0.3)/(E35+E29),"")</f>
        <v/>
      </c>
      <c r="F53" s="36">
        <f>IFERROR((IF(COUNT('연간'!J19:M19)&lt;4,"",SUM('연간'!J19:M19)))*(1-0.3)/(F35+F29),"")</f>
        <v/>
      </c>
      <c r="G53" s="36">
        <f>IFERROR((IF(COUNT('연간'!K19:N19)&lt;4,"",SUM('연간'!K19:N19)))*(1-0.3)/(G35+G29),"")</f>
        <v/>
      </c>
      <c r="H53" s="35">
        <f>IFERROR(('연간'!T19)*(1-0.3)/(H35+H29),"")</f>
        <v/>
      </c>
      <c r="I53" s="36">
        <f>IFERROR(('연간'!U19)*(1-0.3)/(I35+I29),"")</f>
        <v/>
      </c>
      <c r="J53" s="36">
        <f>IFERROR(('연간'!V19)*(1-0.3)/(J35+J29),"")</f>
        <v/>
      </c>
      <c r="K53" s="36">
        <f>IFERROR(('연간'!W19)*(1-0.3)/(K35+K29),"")</f>
        <v/>
      </c>
      <c r="L53" s="36">
        <f>IFERROR(('연간'!X19)*(1-0.3)/(L35+L29),"")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IFERROR((IF(COUNT('연간'!G15:J15)&lt;4,"",SUM('연간'!G15:J15)))/(IF(COUNT('연간'!G4:J4)&lt;4,"",SUM('연간'!G4:J4))),"")</f>
        <v/>
      </c>
      <c r="D54" s="36">
        <f>IFERROR((IF(COUNT('연간'!H15:K15)&lt;4,"",SUM('연간'!H15:K15)))/(IF(COUNT('연간'!H4:K4)&lt;4,"",SUM('연간'!H4:K4))),"")</f>
        <v/>
      </c>
      <c r="E54" s="36">
        <f>IFERROR((IF(COUNT('연간'!I15:L15)&lt;4,"",SUM('연간'!I15:L15)))/(IF(COUNT('연간'!I4:L4)&lt;4,"",SUM('연간'!I4:L4))),"")</f>
        <v/>
      </c>
      <c r="F54" s="36">
        <f>IFERROR((IF(COUNT('연간'!J15:M15)&lt;4,"",SUM('연간'!J15:M15)))/(IF(COUNT('연간'!J4:M4)&lt;4,"",SUM('연간'!J4:M4))),"")</f>
        <v/>
      </c>
      <c r="G54" s="36">
        <f>IFERROR((IF(COUNT('연간'!K15:N15)&lt;4,"",SUM('연간'!K15:N15)))/(IF(COUNT('연간'!K4:N4)&lt;4,"",SUM('연간'!K4:N4))),"")</f>
        <v/>
      </c>
      <c r="H54" s="35">
        <f>IFERROR(('연간'!T15)/('연간'!T4),"")</f>
        <v/>
      </c>
      <c r="I54" s="36">
        <f>IFERROR(('연간'!U15)/('연간'!U4),"")</f>
        <v/>
      </c>
      <c r="J54" s="36">
        <f>IFERROR(('연간'!V15)/('연간'!V4),"")</f>
        <v/>
      </c>
      <c r="K54" s="36">
        <f>IFERROR(('연간'!W15)/('연간'!W4),"")</f>
        <v/>
      </c>
      <c r="L54" s="36">
        <f>IFERROR(('연간'!X15)/('연간'!X4),"")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IFERROR((IF(COUNT('연간'!G19:J19)&lt;4,"",SUM('연간'!G19:J19)))/(IF(COUNT('연간'!G4:J4)&lt;4,"",SUM('연간'!G4:J4))),"")</f>
        <v/>
      </c>
      <c r="D55" s="36">
        <f>IFERROR((IF(COUNT('연간'!H19:K19)&lt;4,"",SUM('연간'!H19:K19)))/(IF(COUNT('연간'!H4:K4)&lt;4,"",SUM('연간'!H4:K4))),"")</f>
        <v/>
      </c>
      <c r="E55" s="36">
        <f>IFERROR((IF(COUNT('연간'!I19:L19)&lt;4,"",SUM('연간'!I19:L19)))/(IF(COUNT('연간'!I4:L4)&lt;4,"",SUM('연간'!I4:L4))),"")</f>
        <v/>
      </c>
      <c r="F55" s="36">
        <f>IFERROR((IF(COUNT('연간'!J19:M19)&lt;4,"",SUM('연간'!J19:M19)))/(IF(COUNT('연간'!J4:M4)&lt;4,"",SUM('연간'!J4:M4))),"")</f>
        <v/>
      </c>
      <c r="G55" s="36">
        <f>IFERROR((IF(COUNT('연간'!K19:N19)&lt;4,"",SUM('연간'!K19:N19)))/(IF(COUNT('연간'!K4:N4)&lt;4,"",SUM('연간'!K4:N4))),"")</f>
        <v/>
      </c>
      <c r="H55" s="35">
        <f>IFERROR(('연간'!T19)/('연간'!T4),"")</f>
        <v/>
      </c>
      <c r="I55" s="36">
        <f>IFERROR(('연간'!U19)/('연간'!U4),"")</f>
        <v/>
      </c>
      <c r="J55" s="36">
        <f>IFERROR(('연간'!V19)/('연간'!V4),"")</f>
        <v/>
      </c>
      <c r="K55" s="36">
        <f>IFERROR(('연간'!W19)/('연간'!W4),"")</f>
        <v/>
      </c>
      <c r="L55" s="36">
        <f>IFERROR(('연간'!X19)/('연간'!X4),"")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IFERROR((IF(COUNT('연간'!G46:J46)&lt;4,"",SUM('연간'!G46:J46)))/(IF(COUNT('연간'!G4:J4)&lt;4,"",SUM('연간'!G4:J4))),"")</f>
        <v/>
      </c>
      <c r="D56" s="36">
        <f>IFERROR((IF(COUNT('연간'!H46:K46)&lt;4,"",SUM('연간'!H46:K46)))/(IF(COUNT('연간'!H4:K4)&lt;4,"",SUM('연간'!H4:K4))),"")</f>
        <v/>
      </c>
      <c r="E56" s="36">
        <f>IFERROR((IF(COUNT('연간'!I46:L46)&lt;4,"",SUM('연간'!I46:L46)))/(IF(COUNT('연간'!I4:L4)&lt;4,"",SUM('연간'!I4:L4))),"")</f>
        <v/>
      </c>
      <c r="F56" s="36">
        <f>IFERROR((IF(COUNT('연간'!J46:M46)&lt;4,"",SUM('연간'!J46:M46)))/(IF(COUNT('연간'!J4:M4)&lt;4,"",SUM('연간'!J4:M4))),"")</f>
        <v/>
      </c>
      <c r="G56" s="36">
        <f>IFERROR((IF(COUNT('연간'!K46:N46)&lt;4,"",SUM('연간'!K46:N46)))/(IF(COUNT('연간'!K4:N4)&lt;4,"",SUM('연간'!K4:N4))),"")</f>
        <v/>
      </c>
      <c r="H56" s="35">
        <f>IFERROR(('연간'!T46)/('연간'!T4),"")</f>
        <v/>
      </c>
      <c r="I56" s="36">
        <f>IFERROR(('연간'!U46)/('연간'!U4),"")</f>
        <v/>
      </c>
      <c r="J56" s="36">
        <f>IFERROR(('연간'!V46)/('연간'!V4),"")</f>
        <v/>
      </c>
      <c r="K56" s="36">
        <f>IFERROR(('연간'!W46)/('연간'!W4),"")</f>
        <v/>
      </c>
      <c r="L56" s="36">
        <f>IFERROR(('연간'!X46)/('연간'!X4),"")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IFERROR(C9/(IF(COUNT('연간'!G14:J14)&lt;4,"",SUM('연간'!G14:J14)))*365,"")</f>
        <v/>
      </c>
      <c r="D60" s="49">
        <f>IFERROR(D9/(IF(COUNT('연간'!H14:K14)&lt;4,"",SUM('연간'!H14:K14)))*365,"")</f>
        <v/>
      </c>
      <c r="E60" s="49">
        <f>IFERROR(E9/(IF(COUNT('연간'!I14:L14)&lt;4,"",SUM('연간'!I14:L14)))*365,"")</f>
        <v/>
      </c>
      <c r="F60" s="49">
        <f>IFERROR(F9/(IF(COUNT('연간'!J14:M14)&lt;4,"",SUM('연간'!J14:M14)))*365,"")</f>
        <v/>
      </c>
      <c r="G60" s="49">
        <f>IFERROR(G9/(IF(COUNT('연간'!K14:N14)&lt;4,"",SUM('연간'!K14:N14)))*365,"")</f>
        <v/>
      </c>
      <c r="H60" s="48">
        <f>IFERROR(H9/('연간'!T14)*365,"")</f>
        <v/>
      </c>
      <c r="I60" s="49">
        <f>IFERROR(I9/('연간'!U14)*365,"")</f>
        <v/>
      </c>
      <c r="J60" s="49">
        <f>IFERROR(J9/('연간'!V14)*365,"")</f>
        <v/>
      </c>
      <c r="K60" s="49">
        <f>IFERROR(K9/('연간'!W14)*365,"")</f>
        <v/>
      </c>
      <c r="L60" s="49">
        <f>IFERROR(L9/('연간'!X14)*365,"")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IFERROR(C19/(IF(COUNT('연간'!G14:J14)&lt;4,"",SUM('연간'!G14:J14)))*365,"")</f>
        <v/>
      </c>
      <c r="D61" s="49">
        <f>IFERROR(D19/(IF(COUNT('연간'!H14:K14)&lt;4,"",SUM('연간'!H14:K14)))*365,"")</f>
        <v/>
      </c>
      <c r="E61" s="49">
        <f>IFERROR(E19/(IF(COUNT('연간'!I14:L14)&lt;4,"",SUM('연간'!I14:L14)))*365,"")</f>
        <v/>
      </c>
      <c r="F61" s="49">
        <f>IFERROR(F19/(IF(COUNT('연간'!J14:M14)&lt;4,"",SUM('연간'!J14:M14)))*365,"")</f>
        <v/>
      </c>
      <c r="G61" s="49">
        <f>IFERROR(G19/(IF(COUNT('연간'!K14:N14)&lt;4,"",SUM('연간'!K14:N14)))*365,"")</f>
        <v/>
      </c>
      <c r="H61" s="48">
        <f>IFERROR(H19/('연간'!T14)*365,"")</f>
        <v/>
      </c>
      <c r="I61" s="49">
        <f>IFERROR(I19/('연간'!U14)*365,"")</f>
        <v/>
      </c>
      <c r="J61" s="49">
        <f>IFERROR(J19/('연간'!V14)*365,"")</f>
        <v/>
      </c>
      <c r="K61" s="49">
        <f>IFERROR(K19/('연간'!W14)*365,"")</f>
        <v/>
      </c>
      <c r="L61" s="49">
        <f>IFERROR(L19/('연간'!X14)*365,"")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IF(C37="","",IFERROR(C37/(IF(COUNT('연간'!G46:J46)&lt;4,"",SUM('연간'!G46:J46))),""))</f>
        <v/>
      </c>
      <c r="D64" s="31">
        <f>IF(D37="","",IFERROR(D37/(IF(COUNT('연간'!H46:K46)&lt;4,"",SUM('연간'!H46:K46))),""))</f>
        <v/>
      </c>
      <c r="E64" s="31">
        <f>IF(E37="","",IFERROR(E37/(IF(COUNT('연간'!I46:L46)&lt;4,"",SUM('연간'!I46:L46))),""))</f>
        <v/>
      </c>
      <c r="F64" s="31">
        <f>IF(F37="","",IFERROR(F37/(IF(COUNT('연간'!J46:M46)&lt;4,"",SUM('연간'!J46:M46))),""))</f>
        <v/>
      </c>
      <c r="G64" s="31">
        <f>IF(G37="","",IFERROR(G37/(IF(COUNT('연간'!K46:N46)&lt;4,"",SUM('연간'!K46:N46))),""))</f>
        <v/>
      </c>
      <c r="H64" s="30">
        <f>IF(H37="","",IFERROR(H37/('연간'!T46),""))</f>
        <v/>
      </c>
      <c r="I64" s="31">
        <f>IF(I37="","",IFERROR(I37/('연간'!U46),""))</f>
        <v/>
      </c>
      <c r="J64" s="31">
        <f>IF(J37="","",IFERROR(J37/('연간'!V46),""))</f>
        <v/>
      </c>
      <c r="K64" s="31">
        <f>IF(K37="","",IFERROR(K37/('연간'!W46),""))</f>
        <v/>
      </c>
      <c r="L64" s="31">
        <f>IF(L37="","",IFERROR(L37/('연간'!X46),""))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IF(C40="","",IFERROR(C40/(IF(COUNT('연간'!G47:J47)&lt;4,"",SUM('연간'!G47:J47))),""))</f>
        <v/>
      </c>
      <c r="D67" s="36">
        <f>IF(D40="","",IFERROR(D40/(IF(COUNT('연간'!H47:K47)&lt;4,"",SUM('연간'!H47:K47))),""))</f>
        <v/>
      </c>
      <c r="E67" s="36">
        <f>IF(E40="","",IFERROR(E40/(IF(COUNT('연간'!I47:L47)&lt;4,"",SUM('연간'!I47:L47))),""))</f>
        <v/>
      </c>
      <c r="F67" s="36">
        <f>IF(F40="","",IFERROR(F40/(IF(COUNT('연간'!J47:M47)&lt;4,"",SUM('연간'!J47:M47))),""))</f>
        <v/>
      </c>
      <c r="G67" s="36">
        <f>IF(G40="","",IFERROR(G40/(IF(COUNT('연간'!K47:N47)&lt;4,"",SUM('연간'!K47:N47))),""))</f>
        <v/>
      </c>
      <c r="H67" s="35">
        <f>IF(H40="","",IFERROR(H40/('연간'!T47),""))</f>
        <v/>
      </c>
      <c r="I67" s="36">
        <f>IF(I40="","",IFERROR(I40/('연간'!U47),""))</f>
        <v/>
      </c>
      <c r="J67" s="36">
        <f>IF(J40="","",IFERROR(J40/('연간'!V47),""))</f>
        <v/>
      </c>
      <c r="K67" s="36">
        <f>IF(K40="","",IFERROR(K40/('연간'!W47),""))</f>
        <v/>
      </c>
      <c r="L67" s="36">
        <f>IF(L40="","",IFERROR(L40/('연간'!X47),""))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3882.335</v>
      </c>
      <c r="D71" s="20" t="n">
        <v>3694.24</v>
      </c>
      <c r="E71" s="20" t="n">
        <v>3259.74</v>
      </c>
      <c r="F71" s="20" t="n">
        <v>4377.711</v>
      </c>
      <c r="G71" s="20" t="n">
        <v>4571.665</v>
      </c>
      <c r="H71" s="20" t="n">
        <v>3550.801</v>
      </c>
      <c r="I71" s="20" t="n">
        <v>2123.514</v>
      </c>
      <c r="J71" s="20" t="n">
        <v>2883.021</v>
      </c>
      <c r="K71" s="20" t="n">
        <v>3884.169</v>
      </c>
      <c r="L71" s="20" t="n">
        <v>4377.711</v>
      </c>
    </row>
    <row r="72">
      <c r="A72" s="18" t="inlineStr">
        <is>
          <t>받을어음·매출채권</t>
        </is>
      </c>
      <c r="H72" s="20" t="n">
        <v>0</v>
      </c>
    </row>
    <row r="73">
      <c r="A73" s="18" t="inlineStr">
        <is>
          <t>받을어음</t>
        </is>
      </c>
      <c r="F73" s="20" t="n">
        <v>0.29</v>
      </c>
      <c r="H73" s="20" t="n">
        <v>50.104</v>
      </c>
      <c r="I73" s="20" t="n">
        <v>44.052</v>
      </c>
      <c r="J73" s="20" t="n">
        <v>27.6</v>
      </c>
      <c r="K73" s="20" t="n">
        <v>14.914</v>
      </c>
      <c r="L73" s="20" t="n">
        <v>0.29</v>
      </c>
    </row>
    <row r="74">
      <c r="A74" s="18" t="inlineStr">
        <is>
          <t>매출채권</t>
        </is>
      </c>
      <c r="F74" s="20" t="n">
        <v>8916.192999999999</v>
      </c>
      <c r="H74" s="20" t="n">
        <v>5869.758</v>
      </c>
      <c r="I74" s="20" t="n">
        <v>5980.94</v>
      </c>
      <c r="J74" s="20" t="n">
        <v>8411.591</v>
      </c>
      <c r="K74" s="20" t="n">
        <v>7658.924</v>
      </c>
      <c r="L74" s="20" t="n">
        <v>8916.192999999999</v>
      </c>
    </row>
    <row r="75">
      <c r="A75" s="18" t="inlineStr">
        <is>
          <t>계약자산</t>
        </is>
      </c>
      <c r="F75" s="20" t="n">
        <v>155.77</v>
      </c>
      <c r="H75" s="20" t="n">
        <v>129.066</v>
      </c>
      <c r="I75" s="20" t="n">
        <v>229.737</v>
      </c>
      <c r="J75" s="20" t="n">
        <v>314.607</v>
      </c>
      <c r="K75" s="20" t="n">
        <v>308.407</v>
      </c>
      <c r="L75" s="20" t="n">
        <v>155.77</v>
      </c>
    </row>
    <row r="76">
      <c r="A76" s="18" t="inlineStr">
        <is>
          <t>받을어음·매출채권·계약자산</t>
        </is>
      </c>
      <c r="C76" s="20" t="n">
        <v>4334.153</v>
      </c>
      <c r="D76" s="20" t="n">
        <v>4986.244</v>
      </c>
      <c r="E76" s="20" t="n">
        <v>6154.806</v>
      </c>
      <c r="F76" s="20" t="n">
        <v>9072.254000000001</v>
      </c>
      <c r="G76" s="20" t="n">
        <v>5153.855</v>
      </c>
      <c r="H76" s="20" t="n">
        <v>6048.929</v>
      </c>
      <c r="I76" s="20" t="n">
        <v>6254.73</v>
      </c>
      <c r="J76" s="20" t="n">
        <v>8753.799000000001</v>
      </c>
      <c r="K76" s="20" t="n">
        <v>7982.246</v>
      </c>
      <c r="L76" s="20" t="n">
        <v>9072.254000000001</v>
      </c>
    </row>
    <row r="77">
      <c r="A77" s="18" t="inlineStr">
        <is>
          <t>전자기록채권</t>
        </is>
      </c>
      <c r="C77" s="20" t="n">
        <v>321.137</v>
      </c>
      <c r="D77" s="20" t="n">
        <v>196.037</v>
      </c>
      <c r="E77" s="20" t="n">
        <v>378.162</v>
      </c>
      <c r="F77" s="20" t="n">
        <v>445.707</v>
      </c>
      <c r="G77" s="20" t="n">
        <v>568.761</v>
      </c>
      <c r="H77" s="20" t="n">
        <v>382.713</v>
      </c>
      <c r="I77" s="20" t="n">
        <v>325.708</v>
      </c>
      <c r="J77" s="20" t="n">
        <v>623.255</v>
      </c>
      <c r="K77" s="20" t="n">
        <v>299.258</v>
      </c>
      <c r="L77" s="20" t="n">
        <v>445.707</v>
      </c>
    </row>
    <row r="78">
      <c r="A78" s="18" t="inlineStr">
        <is>
          <t>상품·제품</t>
        </is>
      </c>
      <c r="C78" s="20" t="n">
        <v>604.742</v>
      </c>
      <c r="D78" s="20" t="n">
        <v>525.772</v>
      </c>
      <c r="E78" s="20" t="n">
        <v>588.164</v>
      </c>
      <c r="F78" s="20" t="n">
        <v>378.943</v>
      </c>
      <c r="G78" s="20" t="n">
        <v>469.107</v>
      </c>
      <c r="H78" s="20" t="n">
        <v>955.908</v>
      </c>
      <c r="I78" s="20" t="n">
        <v>1261.879</v>
      </c>
      <c r="J78" s="20" t="n">
        <v>710.568</v>
      </c>
      <c r="K78" s="20" t="n">
        <v>631.4450000000001</v>
      </c>
      <c r="L78" s="20" t="n">
        <v>378.943</v>
      </c>
    </row>
    <row r="79">
      <c r="A79" s="18" t="inlineStr">
        <is>
          <t>재공품</t>
        </is>
      </c>
      <c r="C79" s="20" t="n">
        <v>6362.474</v>
      </c>
      <c r="D79" s="20" t="n">
        <v>6857.882</v>
      </c>
      <c r="E79" s="20" t="n">
        <v>7617.833</v>
      </c>
      <c r="F79" s="20" t="n">
        <v>5735.931</v>
      </c>
      <c r="G79" s="20" t="n">
        <v>8480.411</v>
      </c>
      <c r="H79" s="20" t="n">
        <v>4310.956</v>
      </c>
      <c r="I79" s="20" t="n">
        <v>4778</v>
      </c>
      <c r="J79" s="20" t="n">
        <v>4095.354</v>
      </c>
      <c r="K79" s="20" t="n">
        <v>4092.246</v>
      </c>
      <c r="L79" s="20" t="n">
        <v>5735.931</v>
      </c>
    </row>
    <row r="80">
      <c r="A80" s="18" t="inlineStr">
        <is>
          <t>원재료·저장품</t>
        </is>
      </c>
      <c r="C80" s="20" t="n">
        <v>1025.347</v>
      </c>
      <c r="D80" s="20" t="n">
        <v>1471.045</v>
      </c>
      <c r="E80" s="20" t="n">
        <v>1894.874</v>
      </c>
      <c r="F80" s="20" t="n">
        <v>1703.559</v>
      </c>
      <c r="G80" s="20" t="n">
        <v>1937.875</v>
      </c>
      <c r="H80" s="20" t="n">
        <v>1325.625</v>
      </c>
      <c r="I80" s="20" t="n">
        <v>1971.738</v>
      </c>
      <c r="J80" s="20" t="n">
        <v>1611.587</v>
      </c>
      <c r="K80" s="20" t="n">
        <v>1119.511</v>
      </c>
      <c r="L80" s="20" t="n">
        <v>1703.559</v>
      </c>
    </row>
    <row r="81">
      <c r="A81" s="18" t="inlineStr">
        <is>
          <t>미수 소비세</t>
        </is>
      </c>
      <c r="H81" s="20" t="n">
        <v>111.876</v>
      </c>
      <c r="I81" s="20" t="n">
        <v>0</v>
      </c>
    </row>
    <row r="82">
      <c r="A82" s="18" t="inlineStr">
        <is>
          <t>기타</t>
        </is>
      </c>
      <c r="C82" s="20" t="n">
        <v>235.802</v>
      </c>
      <c r="D82" s="20" t="n">
        <v>351.935</v>
      </c>
      <c r="E82" s="20" t="n">
        <v>574.701</v>
      </c>
      <c r="F82" s="20" t="n">
        <v>288.409</v>
      </c>
      <c r="G82" s="20" t="n">
        <v>363.909</v>
      </c>
      <c r="H82" s="20" t="n">
        <v>104.611</v>
      </c>
      <c r="I82" s="20" t="n">
        <v>137.476</v>
      </c>
      <c r="J82" s="20" t="n">
        <v>165.533</v>
      </c>
      <c r="K82" s="20" t="n">
        <v>140.21</v>
      </c>
      <c r="L82" s="20" t="n">
        <v>288.409</v>
      </c>
    </row>
    <row r="83">
      <c r="A83" s="18" t="inlineStr">
        <is>
          <t>대손충당금</t>
        </is>
      </c>
      <c r="C83" s="20" t="n">
        <v>-1.696</v>
      </c>
      <c r="D83" s="20" t="n">
        <v>-1.741</v>
      </c>
      <c r="E83" s="20" t="n">
        <v>-2.231</v>
      </c>
      <c r="F83" s="20" t="n">
        <v>-4</v>
      </c>
      <c r="G83" s="20" t="n">
        <v>-2.073</v>
      </c>
      <c r="H83" s="20" t="n">
        <v>-2.97</v>
      </c>
      <c r="I83" s="20" t="n">
        <v>-2.71</v>
      </c>
      <c r="J83" s="20" t="n">
        <v>-3.824</v>
      </c>
      <c r="K83" s="20" t="n">
        <v>-3.977</v>
      </c>
      <c r="L83" s="20" t="n">
        <v>-4</v>
      </c>
    </row>
    <row r="84">
      <c r="A84" s="9" t="inlineStr">
        <is>
          <t>유동자산 합계</t>
        </is>
      </c>
      <c r="C84" s="12" t="n">
        <v>16764.298</v>
      </c>
      <c r="D84" s="12" t="n">
        <v>18081.417</v>
      </c>
      <c r="E84" s="12" t="n">
        <v>20466.05</v>
      </c>
      <c r="F84" s="12" t="n">
        <v>21998.517</v>
      </c>
      <c r="G84" s="12" t="n">
        <v>21543.513</v>
      </c>
      <c r="H84" s="12" t="n">
        <v>16788.452</v>
      </c>
      <c r="I84" s="12" t="n">
        <v>16850.338</v>
      </c>
      <c r="J84" s="12" t="n">
        <v>18839.296</v>
      </c>
      <c r="K84" s="12" t="n">
        <v>18145.109</v>
      </c>
      <c r="L84" s="12" t="n">
        <v>21998.517</v>
      </c>
    </row>
    <row r="85">
      <c r="A85" s="18" t="inlineStr">
        <is>
          <t>건물·구축물</t>
        </is>
      </c>
      <c r="F85" s="20" t="n">
        <v>4241.514</v>
      </c>
      <c r="H85" s="20" t="n">
        <v>4343.312</v>
      </c>
      <c r="I85" s="20" t="n">
        <v>4186.958</v>
      </c>
      <c r="J85" s="20" t="n">
        <v>4196.615</v>
      </c>
      <c r="K85" s="20" t="n">
        <v>4210.727</v>
      </c>
      <c r="L85" s="20" t="n">
        <v>4241.514</v>
      </c>
    </row>
    <row r="86">
      <c r="A86" s="18" t="inlineStr">
        <is>
          <t>감가상각누계액</t>
        </is>
      </c>
      <c r="F86" s="20" t="n">
        <v>-3362.392</v>
      </c>
      <c r="H86" s="20" t="n">
        <v>-3259.974</v>
      </c>
      <c r="I86" s="20" t="n">
        <v>-3178.113</v>
      </c>
      <c r="J86" s="20" t="n">
        <v>-3249.147</v>
      </c>
      <c r="K86" s="20" t="n">
        <v>-3326.099</v>
      </c>
      <c r="L86" s="20" t="n">
        <v>-3362.392</v>
      </c>
    </row>
    <row r="87">
      <c r="A87" s="18" t="inlineStr">
        <is>
          <t>건물·구축물(순액)</t>
        </is>
      </c>
      <c r="F87" s="20" t="n">
        <v>879.122</v>
      </c>
      <c r="H87" s="20" t="n">
        <v>1083.338</v>
      </c>
      <c r="I87" s="20" t="n">
        <v>1008.845</v>
      </c>
      <c r="J87" s="20" t="n">
        <v>947.467</v>
      </c>
      <c r="K87" s="20" t="n">
        <v>884.627</v>
      </c>
      <c r="L87" s="20" t="n">
        <v>879.122</v>
      </c>
    </row>
    <row r="88">
      <c r="A88" s="18" t="inlineStr">
        <is>
          <t>기계장치·운반구</t>
        </is>
      </c>
      <c r="F88" s="20" t="n">
        <v>1066.775</v>
      </c>
      <c r="H88" s="20" t="n">
        <v>794.333</v>
      </c>
      <c r="I88" s="20" t="n">
        <v>797.279</v>
      </c>
      <c r="J88" s="20" t="n">
        <v>808.486</v>
      </c>
      <c r="K88" s="20" t="n">
        <v>647.683</v>
      </c>
      <c r="L88" s="20" t="n">
        <v>1066.775</v>
      </c>
    </row>
    <row r="89">
      <c r="A89" s="18" t="inlineStr">
        <is>
          <t>감가상각누계액</t>
        </is>
      </c>
      <c r="F89" s="20" t="n">
        <v>-551.6950000000001</v>
      </c>
      <c r="H89" s="20" t="n">
        <v>-729.901</v>
      </c>
      <c r="I89" s="20" t="n">
        <v>-753.764</v>
      </c>
      <c r="J89" s="20" t="n">
        <v>-767.17</v>
      </c>
      <c r="K89" s="20" t="n">
        <v>-613.6849999999999</v>
      </c>
      <c r="L89" s="20" t="n">
        <v>-551.6950000000001</v>
      </c>
    </row>
    <row r="90">
      <c r="A90" s="18" t="inlineStr">
        <is>
          <t>기계장치·운반구(순액)</t>
        </is>
      </c>
      <c r="F90" s="20" t="n">
        <v>515.08</v>
      </c>
      <c r="H90" s="20" t="n">
        <v>64.432</v>
      </c>
      <c r="I90" s="20" t="n">
        <v>43.515</v>
      </c>
      <c r="J90" s="20" t="n">
        <v>41.316</v>
      </c>
      <c r="K90" s="20" t="n">
        <v>33.997</v>
      </c>
      <c r="L90" s="20" t="n">
        <v>515.08</v>
      </c>
    </row>
    <row r="91">
      <c r="A91" s="18" t="inlineStr">
        <is>
          <t>공구·기구·비품</t>
        </is>
      </c>
      <c r="F91" s="20" t="n">
        <v>3777.098</v>
      </c>
      <c r="H91" s="20" t="n">
        <v>3189.991</v>
      </c>
      <c r="I91" s="20" t="n">
        <v>3330.1</v>
      </c>
      <c r="J91" s="20" t="n">
        <v>3352.552</v>
      </c>
      <c r="K91" s="20" t="n">
        <v>3651.272</v>
      </c>
      <c r="L91" s="20" t="n">
        <v>3777.098</v>
      </c>
    </row>
    <row r="92">
      <c r="A92" s="18" t="inlineStr">
        <is>
          <t>감가상각누계액</t>
        </is>
      </c>
      <c r="F92" s="20" t="n">
        <v>-3274.411</v>
      </c>
      <c r="H92" s="20" t="n">
        <v>-2918.399</v>
      </c>
      <c r="I92" s="20" t="n">
        <v>-2977.194</v>
      </c>
      <c r="J92" s="20" t="n">
        <v>-3000.598</v>
      </c>
      <c r="K92" s="20" t="n">
        <v>-3063.687</v>
      </c>
      <c r="L92" s="20" t="n">
        <v>-3274.411</v>
      </c>
    </row>
    <row r="93">
      <c r="A93" s="18" t="inlineStr">
        <is>
          <t>공구·기구·비품(순액)</t>
        </is>
      </c>
      <c r="F93" s="20" t="n">
        <v>502.686</v>
      </c>
      <c r="H93" s="20" t="n">
        <v>271.592</v>
      </c>
      <c r="I93" s="20" t="n">
        <v>352.906</v>
      </c>
      <c r="J93" s="20" t="n">
        <v>351.953</v>
      </c>
      <c r="K93" s="20" t="n">
        <v>587.5839999999999</v>
      </c>
      <c r="L93" s="20" t="n">
        <v>502.686</v>
      </c>
    </row>
    <row r="94">
      <c r="A94" s="18" t="inlineStr">
        <is>
          <t>토지</t>
        </is>
      </c>
      <c r="F94" s="20" t="n">
        <v>1281.708</v>
      </c>
      <c r="H94" s="20" t="n">
        <v>1387.217</v>
      </c>
      <c r="I94" s="20" t="n">
        <v>1312.178</v>
      </c>
      <c r="J94" s="20" t="n">
        <v>1312.178</v>
      </c>
      <c r="K94" s="20" t="n">
        <v>1312.178</v>
      </c>
      <c r="L94" s="20" t="n">
        <v>1281.708</v>
      </c>
    </row>
    <row r="95">
      <c r="A95" s="18" t="inlineStr">
        <is>
          <t>리스자산</t>
        </is>
      </c>
      <c r="F95" s="20" t="n">
        <v>233.692</v>
      </c>
      <c r="H95" s="20" t="n">
        <v>70.151</v>
      </c>
      <c r="I95" s="20" t="n">
        <v>70.151</v>
      </c>
      <c r="J95" s="20" t="n">
        <v>88.078</v>
      </c>
      <c r="K95" s="20" t="n">
        <v>293.95</v>
      </c>
      <c r="L95" s="20" t="n">
        <v>233.692</v>
      </c>
    </row>
    <row r="96">
      <c r="A96" s="18" t="inlineStr">
        <is>
          <t>감가상각누계액</t>
        </is>
      </c>
      <c r="F96" s="20" t="n">
        <v>-38.616</v>
      </c>
      <c r="H96" s="20" t="n">
        <v>-22.57</v>
      </c>
      <c r="I96" s="20" t="n">
        <v>-36.622</v>
      </c>
      <c r="J96" s="20" t="n">
        <v>-45.543</v>
      </c>
      <c r="K96" s="20" t="n">
        <v>-65.53</v>
      </c>
      <c r="L96" s="20" t="n">
        <v>-38.616</v>
      </c>
    </row>
    <row r="97">
      <c r="A97" s="18" t="inlineStr">
        <is>
          <t>리스자산(순액)</t>
        </is>
      </c>
      <c r="F97" s="20" t="n">
        <v>195.076</v>
      </c>
      <c r="H97" s="20" t="n">
        <v>47.58</v>
      </c>
      <c r="I97" s="20" t="n">
        <v>33.528</v>
      </c>
      <c r="J97" s="20" t="n">
        <v>42.535</v>
      </c>
      <c r="K97" s="20" t="n">
        <v>228.42</v>
      </c>
      <c r="L97" s="20" t="n">
        <v>195.076</v>
      </c>
    </row>
    <row r="98">
      <c r="A98" s="18" t="inlineStr">
        <is>
          <t>건설중인자산</t>
        </is>
      </c>
      <c r="F98" s="20" t="n">
        <v>47.589</v>
      </c>
      <c r="H98" s="20" t="n">
        <v>115.139</v>
      </c>
      <c r="I98" s="20" t="n">
        <v>54.966</v>
      </c>
      <c r="J98" s="20" t="n">
        <v>0</v>
      </c>
      <c r="K98" s="20" t="n">
        <v>3.445</v>
      </c>
      <c r="L98" s="20" t="n">
        <v>47.589</v>
      </c>
    </row>
    <row r="99">
      <c r="A99" s="18" t="inlineStr">
        <is>
          <t>유형자산</t>
        </is>
      </c>
      <c r="C99" s="20" t="n">
        <v>3412.372</v>
      </c>
      <c r="D99" s="20" t="n">
        <v>3367.598</v>
      </c>
      <c r="E99" s="20" t="n">
        <v>3288.388</v>
      </c>
      <c r="F99" s="20" t="n">
        <v>3421.263</v>
      </c>
      <c r="G99" s="20" t="n">
        <v>3378.684</v>
      </c>
      <c r="H99" s="20" t="n">
        <v>2969.301</v>
      </c>
      <c r="I99" s="20" t="n">
        <v>2805.94</v>
      </c>
      <c r="J99" s="20" t="n">
        <v>2695.451</v>
      </c>
      <c r="K99" s="20" t="n">
        <v>3050.254</v>
      </c>
      <c r="L99" s="20" t="n">
        <v>3421.263</v>
      </c>
    </row>
    <row r="100">
      <c r="A100" s="18" t="inlineStr">
        <is>
          <t>무형자산</t>
        </is>
      </c>
      <c r="C100" s="20" t="n">
        <v>641.102</v>
      </c>
      <c r="D100" s="20" t="n">
        <v>614.699</v>
      </c>
      <c r="E100" s="20" t="n">
        <v>585.806</v>
      </c>
      <c r="F100" s="20" t="n">
        <v>609.761</v>
      </c>
      <c r="G100" s="20" t="n">
        <v>575.126</v>
      </c>
      <c r="H100" s="20" t="n">
        <v>537.021</v>
      </c>
      <c r="I100" s="20" t="n">
        <v>640.621</v>
      </c>
      <c r="J100" s="20" t="n">
        <v>747.854</v>
      </c>
      <c r="K100" s="20" t="n">
        <v>675.597</v>
      </c>
      <c r="L100" s="20" t="n">
        <v>609.761</v>
      </c>
    </row>
    <row r="101">
      <c r="A101" s="18" t="inlineStr">
        <is>
          <t>투자유가증권</t>
        </is>
      </c>
      <c r="F101" s="20" t="n">
        <v>1040.601</v>
      </c>
      <c r="H101" s="20" t="n">
        <v>663.02</v>
      </c>
      <c r="I101" s="20" t="n">
        <v>664.255</v>
      </c>
      <c r="J101" s="20" t="n">
        <v>648.207</v>
      </c>
      <c r="K101" s="20" t="n">
        <v>664.452</v>
      </c>
      <c r="L101" s="20" t="n">
        <v>1040.601</v>
      </c>
    </row>
    <row r="102">
      <c r="A102" s="18" t="inlineStr">
        <is>
          <t>장기대여금</t>
        </is>
      </c>
      <c r="F102" s="20" t="n">
        <v>1.666</v>
      </c>
      <c r="H102" s="20" t="n">
        <v>4.128</v>
      </c>
      <c r="I102" s="20" t="n">
        <v>3.168</v>
      </c>
      <c r="J102" s="20" t="n">
        <v>3.549</v>
      </c>
      <c r="K102" s="20" t="n">
        <v>2.657</v>
      </c>
      <c r="L102" s="20" t="n">
        <v>1.666</v>
      </c>
    </row>
    <row r="103">
      <c r="A103" s="18" t="inlineStr">
        <is>
          <t>퇴직급여자산</t>
        </is>
      </c>
      <c r="F103" s="20" t="n">
        <v>158.95</v>
      </c>
      <c r="K103" s="20" t="n">
        <v>0</v>
      </c>
      <c r="L103" s="20" t="n">
        <v>158.95</v>
      </c>
    </row>
    <row r="104">
      <c r="A104" s="18" t="inlineStr">
        <is>
          <t>이연법인세자산</t>
        </is>
      </c>
      <c r="F104" s="20" t="n">
        <v>768.061</v>
      </c>
      <c r="H104" s="20" t="n">
        <v>541.6180000000001</v>
      </c>
      <c r="I104" s="20" t="n">
        <v>387.425</v>
      </c>
      <c r="J104" s="20" t="n">
        <v>656.051</v>
      </c>
      <c r="K104" s="20" t="n">
        <v>832.476</v>
      </c>
      <c r="L104" s="20" t="n">
        <v>768.061</v>
      </c>
    </row>
    <row r="105">
      <c r="A105" s="18" t="inlineStr">
        <is>
          <t>기타</t>
        </is>
      </c>
      <c r="C105" s="20" t="n">
        <v>1923.759</v>
      </c>
      <c r="D105" s="20" t="n">
        <v>1949.022</v>
      </c>
      <c r="E105" s="20" t="n">
        <v>2005.979</v>
      </c>
      <c r="F105" s="20" t="n">
        <v>297.447</v>
      </c>
      <c r="H105" s="20" t="n">
        <v>293.336</v>
      </c>
      <c r="I105" s="20" t="n">
        <v>282.25</v>
      </c>
      <c r="J105" s="20" t="n">
        <v>292.251</v>
      </c>
      <c r="K105" s="20" t="n">
        <v>280.119</v>
      </c>
      <c r="L105" s="20" t="n">
        <v>297.447</v>
      </c>
    </row>
    <row r="106">
      <c r="A106" s="18" t="inlineStr">
        <is>
          <t>대손충당금</t>
        </is>
      </c>
      <c r="C106" s="20" t="n">
        <v>0</v>
      </c>
      <c r="D106" s="20" t="n">
        <v>0</v>
      </c>
      <c r="E106" s="20" t="n">
        <v>0</v>
      </c>
      <c r="F106" s="20" t="n">
        <v>0</v>
      </c>
      <c r="H106" s="20" t="n">
        <v>-0.704</v>
      </c>
      <c r="I106" s="20" t="n">
        <v>-0.704</v>
      </c>
      <c r="J106" s="20" t="n">
        <v>-0.704</v>
      </c>
      <c r="K106" s="20" t="n">
        <v>-0.704</v>
      </c>
      <c r="L106" s="20" t="n">
        <v>0</v>
      </c>
    </row>
    <row r="107">
      <c r="A107" s="18" t="inlineStr">
        <is>
          <t>투자 및 기타자산</t>
        </is>
      </c>
      <c r="C107" s="20" t="n">
        <v>1923.759</v>
      </c>
      <c r="D107" s="20" t="n">
        <v>1949.022</v>
      </c>
      <c r="E107" s="20" t="n">
        <v>2005.979</v>
      </c>
      <c r="F107" s="20" t="n">
        <v>2266.727</v>
      </c>
      <c r="G107" s="20" t="n">
        <v>2408.667</v>
      </c>
      <c r="H107" s="20" t="n">
        <v>1501.398</v>
      </c>
      <c r="I107" s="20" t="n">
        <v>1336.395</v>
      </c>
      <c r="J107" s="20" t="n">
        <v>1599.356</v>
      </c>
      <c r="K107" s="20" t="n">
        <v>1779</v>
      </c>
      <c r="L107" s="20" t="n">
        <v>2266.727</v>
      </c>
    </row>
    <row r="108">
      <c r="A108" s="9" t="inlineStr">
        <is>
          <t>비유동자산 합계</t>
        </is>
      </c>
      <c r="C108" s="12" t="n">
        <v>5977.233</v>
      </c>
      <c r="D108" s="12" t="n">
        <v>5931.32</v>
      </c>
      <c r="E108" s="12" t="n">
        <v>5880.174</v>
      </c>
      <c r="F108" s="12" t="n">
        <v>6297.752</v>
      </c>
      <c r="G108" s="12" t="n">
        <v>6362.478</v>
      </c>
      <c r="H108" s="12" t="n">
        <v>5007.721</v>
      </c>
      <c r="I108" s="12" t="n">
        <v>4782.958</v>
      </c>
      <c r="J108" s="12" t="n">
        <v>5042.661</v>
      </c>
      <c r="K108" s="12" t="n">
        <v>5504.853</v>
      </c>
      <c r="L108" s="12" t="n">
        <v>6297.752</v>
      </c>
    </row>
    <row r="109">
      <c r="A109" s="9" t="inlineStr">
        <is>
          <t>자산 합계</t>
        </is>
      </c>
      <c r="C109" s="12" t="n">
        <v>22741.531</v>
      </c>
      <c r="D109" s="12" t="n">
        <v>24012.737</v>
      </c>
      <c r="E109" s="12" t="n">
        <v>26346.225</v>
      </c>
      <c r="F109" s="12" t="n">
        <v>28296.269</v>
      </c>
      <c r="G109" s="12" t="n">
        <v>27905.991</v>
      </c>
      <c r="H109" s="12" t="n">
        <v>21796.174</v>
      </c>
      <c r="I109" s="12" t="n">
        <v>21633.296</v>
      </c>
      <c r="J109" s="12" t="n">
        <v>23881.958</v>
      </c>
      <c r="K109" s="12" t="n">
        <v>23649.963</v>
      </c>
      <c r="L109" s="12" t="n">
        <v>28296.269</v>
      </c>
    </row>
    <row r="110">
      <c r="A110" s="18" t="inlineStr">
        <is>
          <t>지급어음·매입채무</t>
        </is>
      </c>
      <c r="C110" s="20" t="n">
        <v>2355.48</v>
      </c>
      <c r="D110" s="20" t="n">
        <v>2960.932</v>
      </c>
      <c r="E110" s="20" t="n">
        <v>3399.952</v>
      </c>
      <c r="F110" s="20" t="n">
        <v>3675.38</v>
      </c>
      <c r="G110" s="20" t="n">
        <v>2751.534</v>
      </c>
      <c r="H110" s="20" t="n">
        <v>1803.578</v>
      </c>
      <c r="I110" s="20" t="n">
        <v>2030.482</v>
      </c>
      <c r="J110" s="20" t="n">
        <v>2319.534</v>
      </c>
      <c r="K110" s="20" t="n">
        <v>2393.405</v>
      </c>
      <c r="L110" s="20" t="n">
        <v>3675.38</v>
      </c>
    </row>
    <row r="111">
      <c r="A111" s="18" t="inlineStr">
        <is>
          <t>전자기록채무</t>
        </is>
      </c>
      <c r="C111" s="20" t="n">
        <v>214.705</v>
      </c>
      <c r="D111" s="20" t="n">
        <v>215.134</v>
      </c>
      <c r="E111" s="20" t="n">
        <v>232.997</v>
      </c>
      <c r="F111" s="20" t="n">
        <v>531.259</v>
      </c>
      <c r="G111" s="20" t="n">
        <v>1624.721</v>
      </c>
      <c r="H111" s="20" t="n">
        <v>118.389</v>
      </c>
      <c r="I111" s="20" t="n">
        <v>44.523</v>
      </c>
      <c r="J111" s="20" t="n">
        <v>110.541</v>
      </c>
      <c r="K111" s="20" t="n">
        <v>130.875</v>
      </c>
      <c r="L111" s="20" t="n">
        <v>531.259</v>
      </c>
    </row>
    <row r="112">
      <c r="A112" s="18" t="inlineStr">
        <is>
          <t>단기차입금</t>
        </is>
      </c>
      <c r="C112" s="20" t="n">
        <v>4530</v>
      </c>
      <c r="D112" s="20" t="n">
        <v>4380</v>
      </c>
      <c r="E112" s="20" t="n">
        <v>5530</v>
      </c>
      <c r="F112" s="20" t="n">
        <v>4530</v>
      </c>
      <c r="G112" s="20" t="n">
        <v>4730</v>
      </c>
      <c r="H112" s="20" t="n">
        <v>6030</v>
      </c>
      <c r="I112" s="20" t="n">
        <v>6530</v>
      </c>
      <c r="J112" s="20" t="n">
        <v>6030</v>
      </c>
      <c r="K112" s="20" t="n">
        <v>4830</v>
      </c>
      <c r="L112" s="20" t="n">
        <v>4530</v>
      </c>
    </row>
    <row r="113">
      <c r="A113" s="18" t="inlineStr">
        <is>
          <t>1년 내 상환 장기차입금</t>
        </is>
      </c>
      <c r="C113" s="20" t="n">
        <v>54.756</v>
      </c>
      <c r="D113" s="20" t="n">
        <v>92.256</v>
      </c>
      <c r="E113" s="20" t="n">
        <v>92.256</v>
      </c>
      <c r="F113" s="20" t="n">
        <v>92.256</v>
      </c>
      <c r="G113" s="20" t="n">
        <v>92.256</v>
      </c>
      <c r="H113" s="20" t="n">
        <v>112.344</v>
      </c>
      <c r="I113" s="20" t="n">
        <v>80.08</v>
      </c>
      <c r="J113" s="20" t="n">
        <v>54.756</v>
      </c>
      <c r="K113" s="20" t="n">
        <v>54.756</v>
      </c>
      <c r="L113" s="20" t="n">
        <v>92.256</v>
      </c>
    </row>
    <row r="114">
      <c r="A114" s="18" t="inlineStr">
        <is>
          <t>리스부채</t>
        </is>
      </c>
      <c r="F114" s="20" t="n">
        <v>32.996</v>
      </c>
      <c r="H114" s="20" t="n">
        <v>15.431</v>
      </c>
      <c r="I114" s="20" t="n">
        <v>14.724</v>
      </c>
      <c r="J114" s="20" t="n">
        <v>17.945</v>
      </c>
      <c r="K114" s="20" t="n">
        <v>40.918</v>
      </c>
      <c r="L114" s="20" t="n">
        <v>32.996</v>
      </c>
    </row>
    <row r="115">
      <c r="A115" s="18" t="inlineStr">
        <is>
          <t>미지급금</t>
        </is>
      </c>
      <c r="C115" s="20" t="n">
        <v>905.436</v>
      </c>
      <c r="D115" s="20" t="n">
        <v>621.386</v>
      </c>
      <c r="E115" s="20" t="n">
        <v>883.777</v>
      </c>
      <c r="F115" s="20" t="n">
        <v>1268.546</v>
      </c>
      <c r="G115" s="20" t="n">
        <v>819.831</v>
      </c>
      <c r="H115" s="20" t="n">
        <v>1059.855</v>
      </c>
      <c r="I115" s="20" t="n">
        <v>1054.208</v>
      </c>
      <c r="J115" s="20" t="n">
        <v>1691.448</v>
      </c>
      <c r="K115" s="20" t="n">
        <v>1296.155</v>
      </c>
      <c r="L115" s="20" t="n">
        <v>1268.546</v>
      </c>
    </row>
    <row r="116">
      <c r="A116" s="18" t="inlineStr">
        <is>
          <t>미지급법인세</t>
        </is>
      </c>
      <c r="C116" s="20" t="n">
        <v>25.915</v>
      </c>
      <c r="D116" s="20" t="n">
        <v>65.5</v>
      </c>
      <c r="E116" s="20" t="n">
        <v>28.787</v>
      </c>
      <c r="F116" s="20" t="n">
        <v>130.741</v>
      </c>
      <c r="G116" s="20" t="n">
        <v>33.629</v>
      </c>
      <c r="H116" s="20" t="n">
        <v>85.06699999999999</v>
      </c>
      <c r="I116" s="20" t="n">
        <v>82.84699999999999</v>
      </c>
      <c r="J116" s="20" t="n">
        <v>244.72</v>
      </c>
      <c r="K116" s="20" t="n">
        <v>260.737</v>
      </c>
      <c r="L116" s="20" t="n">
        <v>130.741</v>
      </c>
    </row>
    <row r="117">
      <c r="A117" s="18" t="inlineStr">
        <is>
          <t>미지급 소비세</t>
        </is>
      </c>
      <c r="C117" s="20" t="n">
        <v>81.72</v>
      </c>
      <c r="D117" s="20" t="n">
        <v>29.112</v>
      </c>
      <c r="E117" s="20" t="n">
        <v>38.026</v>
      </c>
      <c r="F117" s="20" t="n">
        <v>136.887</v>
      </c>
      <c r="G117" s="20" t="n">
        <v>82.566</v>
      </c>
      <c r="H117" s="20" t="n">
        <v>140.889</v>
      </c>
      <c r="I117" s="20" t="n">
        <v>148.488</v>
      </c>
      <c r="J117" s="20" t="n">
        <v>562.059</v>
      </c>
      <c r="K117" s="20" t="n">
        <v>217.387</v>
      </c>
      <c r="L117" s="20" t="n">
        <v>136.887</v>
      </c>
    </row>
    <row r="118">
      <c r="A118" s="18" t="inlineStr">
        <is>
          <t>상여충당금</t>
        </is>
      </c>
      <c r="C118" s="20" t="n">
        <v>395.796</v>
      </c>
      <c r="D118" s="20" t="n">
        <v>800.83</v>
      </c>
      <c r="E118" s="20" t="n">
        <v>634.145</v>
      </c>
      <c r="F118" s="20" t="n">
        <v>1332.129</v>
      </c>
      <c r="G118" s="20" t="n">
        <v>401.26</v>
      </c>
      <c r="H118" s="20" t="n">
        <v>790.9930000000001</v>
      </c>
      <c r="I118" s="20" t="n">
        <v>569.948</v>
      </c>
      <c r="J118" s="20" t="n">
        <v>777.687</v>
      </c>
      <c r="K118" s="20" t="n">
        <v>1205.554</v>
      </c>
      <c r="L118" s="20" t="n">
        <v>1332.129</v>
      </c>
    </row>
    <row r="119">
      <c r="A119" s="18" t="inlineStr">
        <is>
          <t>임원 상여충당금</t>
        </is>
      </c>
      <c r="C119" s="20" t="n">
        <v>0</v>
      </c>
      <c r="D119" s="20" t="n">
        <v>6.79</v>
      </c>
      <c r="E119" s="20" t="n">
        <v>10.175</v>
      </c>
      <c r="F119" s="20" t="n">
        <v>33.543</v>
      </c>
      <c r="G119" s="20" t="n">
        <v>7.153</v>
      </c>
      <c r="H119" s="20" t="n">
        <v>7.8</v>
      </c>
      <c r="I119" s="20" t="n">
        <v>10.38</v>
      </c>
      <c r="J119" s="20" t="n">
        <v>13.811</v>
      </c>
      <c r="K119" s="20" t="n">
        <v>20.448</v>
      </c>
      <c r="L119" s="20" t="n">
        <v>33.543</v>
      </c>
    </row>
    <row r="120">
      <c r="A120" s="18" t="inlineStr">
        <is>
          <t>Provision For Loss On Construction Contracts</t>
        </is>
      </c>
      <c r="C120" s="20" t="n">
        <v>444.853</v>
      </c>
      <c r="D120" s="20" t="n">
        <v>303.729</v>
      </c>
      <c r="E120" s="20" t="n">
        <v>390.351</v>
      </c>
      <c r="F120" s="20" t="n">
        <v>507.151</v>
      </c>
      <c r="G120" s="20" t="n">
        <v>605.432</v>
      </c>
      <c r="H120" s="20" t="n">
        <v>179.675</v>
      </c>
      <c r="I120" s="20" t="n">
        <v>375.128</v>
      </c>
      <c r="J120" s="20" t="n">
        <v>315.562</v>
      </c>
      <c r="K120" s="20" t="n">
        <v>358.708</v>
      </c>
      <c r="L120" s="20" t="n">
        <v>507.151</v>
      </c>
    </row>
    <row r="121">
      <c r="A121" s="18" t="inlineStr">
        <is>
          <t>자산복구부채</t>
        </is>
      </c>
      <c r="C121" s="20" t="n">
        <v>1.761</v>
      </c>
      <c r="D121" s="20" t="n">
        <v>1.761</v>
      </c>
      <c r="E121" s="20" t="n">
        <v>0.681</v>
      </c>
      <c r="F121" s="20" t="n">
        <v>0.681</v>
      </c>
      <c r="G121" s="20" t="n">
        <v>0.681</v>
      </c>
      <c r="H121" s="20" t="n">
        <v>0.681</v>
      </c>
      <c r="I121" s="20" t="n">
        <v>0.681</v>
      </c>
      <c r="J121" s="20" t="n">
        <v>0.681</v>
      </c>
      <c r="K121" s="20" t="n">
        <v>1.761</v>
      </c>
      <c r="L121" s="20" t="n">
        <v>0.681</v>
      </c>
    </row>
    <row r="122">
      <c r="A122" s="18" t="inlineStr">
        <is>
          <t>기타</t>
        </is>
      </c>
      <c r="C122" s="20" t="n">
        <v>1401.264</v>
      </c>
      <c r="D122" s="20" t="n">
        <v>1713.886</v>
      </c>
      <c r="E122" s="20" t="n">
        <v>1840.788</v>
      </c>
      <c r="F122" s="20" t="n">
        <v>1769.236</v>
      </c>
      <c r="G122" s="20" t="n">
        <v>2680.151</v>
      </c>
      <c r="H122" s="20" t="n">
        <v>516.564</v>
      </c>
      <c r="I122" s="20" t="n">
        <v>502.852</v>
      </c>
      <c r="J122" s="20" t="n">
        <v>708.415</v>
      </c>
      <c r="K122" s="20" t="n">
        <v>569.38</v>
      </c>
      <c r="L122" s="20" t="n">
        <v>1769.236</v>
      </c>
    </row>
    <row r="123">
      <c r="A123" s="9" t="inlineStr">
        <is>
          <t>유동부채 합계</t>
        </is>
      </c>
      <c r="C123" s="12" t="n">
        <v>10411.69</v>
      </c>
      <c r="D123" s="12" t="n">
        <v>11191.322</v>
      </c>
      <c r="E123" s="12" t="n">
        <v>13081.939</v>
      </c>
      <c r="F123" s="12" t="n">
        <v>14007.814</v>
      </c>
      <c r="G123" s="12" t="n">
        <v>13829.219</v>
      </c>
      <c r="H123" s="12" t="n">
        <v>10861.271</v>
      </c>
      <c r="I123" s="12" t="n">
        <v>11444.345</v>
      </c>
      <c r="J123" s="12" t="n">
        <v>12847.163</v>
      </c>
      <c r="K123" s="12" t="n">
        <v>11380.087</v>
      </c>
      <c r="L123" s="12" t="n">
        <v>14007.814</v>
      </c>
    </row>
    <row r="124">
      <c r="A124" s="18" t="inlineStr">
        <is>
          <t>장기차입금</t>
        </is>
      </c>
      <c r="C124" s="20" t="n">
        <v>379.909</v>
      </c>
      <c r="D124" s="20" t="n">
        <v>622.47</v>
      </c>
      <c r="E124" s="20" t="n">
        <v>602.5309999999999</v>
      </c>
      <c r="F124" s="20" t="n">
        <v>576.342</v>
      </c>
      <c r="G124" s="20" t="n">
        <v>553.278</v>
      </c>
      <c r="H124" s="20" t="n">
        <v>583.1900000000001</v>
      </c>
      <c r="I124" s="20" t="n">
        <v>503.11</v>
      </c>
      <c r="J124" s="20" t="n">
        <v>448.354</v>
      </c>
      <c r="K124" s="20" t="n">
        <v>393.598</v>
      </c>
      <c r="L124" s="20" t="n">
        <v>576.342</v>
      </c>
    </row>
    <row r="125">
      <c r="A125" s="18" t="inlineStr">
        <is>
          <t>리스부채</t>
        </is>
      </c>
      <c r="F125" s="20" t="n">
        <v>181.588</v>
      </c>
      <c r="H125" s="20" t="n">
        <v>37.426</v>
      </c>
      <c r="I125" s="20" t="n">
        <v>22.702</v>
      </c>
      <c r="J125" s="20" t="n">
        <v>29.401</v>
      </c>
      <c r="K125" s="20" t="n">
        <v>210.903</v>
      </c>
      <c r="L125" s="20" t="n">
        <v>181.588</v>
      </c>
    </row>
    <row r="126">
      <c r="A126" s="18" t="inlineStr">
        <is>
          <t>임원 퇴직위로 충당금</t>
        </is>
      </c>
      <c r="C126" s="20" t="n">
        <v>20.832</v>
      </c>
      <c r="D126" s="20" t="n">
        <v>22.885</v>
      </c>
      <c r="E126" s="20" t="n">
        <v>25.545</v>
      </c>
      <c r="F126" s="20" t="n">
        <v>28.238</v>
      </c>
      <c r="G126" s="20" t="n">
        <v>30.706</v>
      </c>
      <c r="H126" s="20" t="n">
        <v>16.343</v>
      </c>
      <c r="I126" s="20" t="n">
        <v>27.173</v>
      </c>
      <c r="J126" s="20" t="n">
        <v>30.822</v>
      </c>
      <c r="K126" s="20" t="n">
        <v>41.235</v>
      </c>
      <c r="L126" s="20" t="n">
        <v>28.238</v>
      </c>
    </row>
    <row r="127">
      <c r="A127" s="18" t="inlineStr">
        <is>
          <t>이연법인세부채</t>
        </is>
      </c>
      <c r="H127" s="20" t="n">
        <v>0</v>
      </c>
      <c r="I127" s="20" t="n">
        <v>43.277</v>
      </c>
      <c r="J127" s="20" t="n">
        <v>0</v>
      </c>
    </row>
    <row r="128">
      <c r="A128" s="18" t="inlineStr">
        <is>
          <t>퇴직급여부채</t>
        </is>
      </c>
      <c r="C128" s="20" t="n">
        <v>2609.787</v>
      </c>
      <c r="D128" s="20" t="n">
        <v>2601.667</v>
      </c>
      <c r="E128" s="20" t="n">
        <v>2595.273</v>
      </c>
      <c r="F128" s="20" t="n">
        <v>2389.955</v>
      </c>
      <c r="G128" s="20" t="n">
        <v>2408.414</v>
      </c>
      <c r="H128" s="20" t="n">
        <v>2762.284</v>
      </c>
      <c r="I128" s="20" t="n">
        <v>2883.498</v>
      </c>
      <c r="J128" s="20" t="n">
        <v>2408.237</v>
      </c>
      <c r="K128" s="20" t="n">
        <v>2611.302</v>
      </c>
      <c r="L128" s="20" t="n">
        <v>2389.955</v>
      </c>
    </row>
    <row r="129">
      <c r="A129" s="18" t="inlineStr">
        <is>
          <t>자산복구부채</t>
        </is>
      </c>
      <c r="C129" s="20" t="n">
        <v>84.78100000000001</v>
      </c>
      <c r="D129" s="20" t="n">
        <v>84.78100000000001</v>
      </c>
      <c r="E129" s="20" t="n">
        <v>84.78100000000001</v>
      </c>
      <c r="F129" s="20" t="n">
        <v>84.78100000000001</v>
      </c>
      <c r="G129" s="20" t="n">
        <v>84.78100000000001</v>
      </c>
      <c r="H129" s="20" t="n">
        <v>84.78100000000001</v>
      </c>
      <c r="I129" s="20" t="n">
        <v>84.78100000000001</v>
      </c>
      <c r="J129" s="20" t="n">
        <v>84.78100000000001</v>
      </c>
      <c r="K129" s="20" t="n">
        <v>84.78100000000001</v>
      </c>
      <c r="L129" s="20" t="n">
        <v>84.78100000000001</v>
      </c>
    </row>
    <row r="130">
      <c r="A130" s="18" t="inlineStr">
        <is>
          <t>기타</t>
        </is>
      </c>
      <c r="C130" s="20" t="n">
        <v>242.224</v>
      </c>
      <c r="D130" s="20" t="n">
        <v>234.166</v>
      </c>
      <c r="E130" s="20" t="n">
        <v>226.107</v>
      </c>
      <c r="F130" s="20" t="n">
        <v>220.968</v>
      </c>
      <c r="G130" s="20" t="n">
        <v>212.757</v>
      </c>
      <c r="H130" s="20" t="n">
        <v>45.676</v>
      </c>
      <c r="I130" s="20" t="n">
        <v>39.756</v>
      </c>
      <c r="J130" s="20" t="n">
        <v>39.718</v>
      </c>
      <c r="K130" s="20" t="n">
        <v>39.419</v>
      </c>
      <c r="L130" s="20" t="n">
        <v>220.968</v>
      </c>
    </row>
    <row r="131">
      <c r="A131" s="9" t="inlineStr">
        <is>
          <t>비유동부채 합계</t>
        </is>
      </c>
      <c r="C131" s="12" t="n">
        <v>3337.534</v>
      </c>
      <c r="D131" s="12" t="n">
        <v>3565.97</v>
      </c>
      <c r="E131" s="12" t="n">
        <v>3534.239</v>
      </c>
      <c r="F131" s="12" t="n">
        <v>3300.285</v>
      </c>
      <c r="G131" s="12" t="n">
        <v>3289.938</v>
      </c>
      <c r="H131" s="12" t="n">
        <v>3529.703</v>
      </c>
      <c r="I131" s="12" t="n">
        <v>3604.299</v>
      </c>
      <c r="J131" s="12" t="n">
        <v>3041.315</v>
      </c>
      <c r="K131" s="12" t="n">
        <v>3381.24</v>
      </c>
      <c r="L131" s="12" t="n">
        <v>3300.285</v>
      </c>
    </row>
    <row r="132">
      <c r="A132" s="9" t="inlineStr">
        <is>
          <t>부채 합계</t>
        </is>
      </c>
      <c r="C132" s="12" t="n">
        <v>13749.225</v>
      </c>
      <c r="D132" s="12" t="n">
        <v>14757.292</v>
      </c>
      <c r="E132" s="12" t="n">
        <v>16616.178</v>
      </c>
      <c r="F132" s="12" t="n">
        <v>17308.099</v>
      </c>
      <c r="G132" s="12" t="n">
        <v>17119.157</v>
      </c>
      <c r="H132" s="12" t="n">
        <v>14390.975</v>
      </c>
      <c r="I132" s="12" t="n">
        <v>15048.645</v>
      </c>
      <c r="J132" s="12" t="n">
        <v>15888.478</v>
      </c>
      <c r="K132" s="12" t="n">
        <v>14761.327</v>
      </c>
      <c r="L132" s="12" t="n">
        <v>17308.099</v>
      </c>
    </row>
    <row r="133">
      <c r="A133" s="18" t="inlineStr">
        <is>
          <t>자본금</t>
        </is>
      </c>
      <c r="C133" s="20" t="n">
        <v>2708.389</v>
      </c>
      <c r="D133" s="20" t="n">
        <v>2708.389</v>
      </c>
      <c r="E133" s="20" t="n">
        <v>2708.389</v>
      </c>
      <c r="F133" s="20" t="n">
        <v>2708.389</v>
      </c>
      <c r="G133" s="20" t="n">
        <v>2708.389</v>
      </c>
      <c r="H133" s="20" t="n">
        <v>2708.389</v>
      </c>
      <c r="I133" s="20" t="n">
        <v>2708.389</v>
      </c>
      <c r="J133" s="20" t="n">
        <v>2708.389</v>
      </c>
      <c r="K133" s="20" t="n">
        <v>2708.389</v>
      </c>
      <c r="L133" s="20" t="n">
        <v>2708.389</v>
      </c>
    </row>
    <row r="134">
      <c r="A134" s="18" t="inlineStr">
        <is>
          <t>자본잉여금</t>
        </is>
      </c>
      <c r="C134" s="20" t="n">
        <v>1401.317</v>
      </c>
      <c r="D134" s="20" t="n">
        <v>1401.317</v>
      </c>
      <c r="E134" s="20" t="n">
        <v>1401.317</v>
      </c>
      <c r="F134" s="20" t="n">
        <v>1401.317</v>
      </c>
      <c r="G134" s="20" t="n">
        <v>1401.317</v>
      </c>
      <c r="H134" s="20" t="n">
        <v>1401.317</v>
      </c>
      <c r="I134" s="20" t="n">
        <v>1401.317</v>
      </c>
      <c r="J134" s="20" t="n">
        <v>1401.317</v>
      </c>
      <c r="K134" s="20" t="n">
        <v>1401.317</v>
      </c>
      <c r="L134" s="20" t="n">
        <v>1401.317</v>
      </c>
    </row>
    <row r="135">
      <c r="A135" s="18" t="inlineStr">
        <is>
          <t>이익잉여금</t>
        </is>
      </c>
      <c r="C135" s="20" t="n">
        <v>3340.247</v>
      </c>
      <c r="D135" s="20" t="n">
        <v>3473.714</v>
      </c>
      <c r="E135" s="20" t="n">
        <v>3808.632</v>
      </c>
      <c r="F135" s="20" t="n">
        <v>4611.719</v>
      </c>
      <c r="G135" s="20" t="n">
        <v>4311.19</v>
      </c>
      <c r="H135" s="20" t="n">
        <v>2294.557</v>
      </c>
      <c r="I135" s="20" t="n">
        <v>1482.05</v>
      </c>
      <c r="J135" s="20" t="n">
        <v>2240.116</v>
      </c>
      <c r="K135" s="20" t="n">
        <v>3273.82</v>
      </c>
      <c r="L135" s="20" t="n">
        <v>4611.719</v>
      </c>
    </row>
    <row r="136">
      <c r="A136" s="18" t="inlineStr">
        <is>
          <t>자기주식</t>
        </is>
      </c>
      <c r="C136" s="20" t="n">
        <v>-479.526</v>
      </c>
      <c r="D136" s="20" t="n">
        <v>-408.657</v>
      </c>
      <c r="E136" s="20" t="n">
        <v>-408.748</v>
      </c>
      <c r="F136" s="20" t="n">
        <v>-408.909</v>
      </c>
      <c r="G136" s="20" t="n">
        <v>-409.07</v>
      </c>
      <c r="H136" s="20" t="n">
        <v>-525.563</v>
      </c>
      <c r="I136" s="20" t="n">
        <v>-521.905</v>
      </c>
      <c r="J136" s="20" t="n">
        <v>-517.704</v>
      </c>
      <c r="K136" s="20" t="n">
        <v>-479.526</v>
      </c>
      <c r="L136" s="20" t="n">
        <v>-408.909</v>
      </c>
    </row>
    <row r="137">
      <c r="A137" s="9" t="inlineStr">
        <is>
          <t>주주자본 합계</t>
        </is>
      </c>
      <c r="C137" s="12" t="n">
        <v>6970.427</v>
      </c>
      <c r="D137" s="12" t="n">
        <v>7174.764</v>
      </c>
      <c r="E137" s="12" t="n">
        <v>7509.59</v>
      </c>
      <c r="F137" s="12" t="n">
        <v>8312.517</v>
      </c>
      <c r="G137" s="12" t="n">
        <v>8011.827</v>
      </c>
      <c r="H137" s="12" t="n">
        <v>5878.699</v>
      </c>
      <c r="I137" s="12" t="n">
        <v>5069.851</v>
      </c>
      <c r="J137" s="12" t="n">
        <v>5832.118</v>
      </c>
      <c r="K137" s="12" t="n">
        <v>6904</v>
      </c>
      <c r="L137" s="12" t="n">
        <v>8312.517</v>
      </c>
    </row>
    <row r="138">
      <c r="A138" s="18" t="inlineStr">
        <is>
          <t>기타유가증권 평가차액</t>
        </is>
      </c>
      <c r="C138" s="20" t="n">
        <v>310.04</v>
      </c>
      <c r="D138" s="20" t="n">
        <v>381.594</v>
      </c>
      <c r="E138" s="20" t="n">
        <v>460.457</v>
      </c>
      <c r="F138" s="20" t="n">
        <v>496.194</v>
      </c>
      <c r="G138" s="20" t="n">
        <v>590.8819999999999</v>
      </c>
      <c r="H138" s="20" t="n">
        <v>150.02</v>
      </c>
      <c r="I138" s="20" t="n">
        <v>165.245</v>
      </c>
      <c r="J138" s="20" t="n">
        <v>252.365</v>
      </c>
      <c r="K138" s="20" t="n">
        <v>259.78</v>
      </c>
      <c r="L138" s="20" t="n">
        <v>496.194</v>
      </c>
    </row>
    <row r="139">
      <c r="A139" s="18" t="inlineStr">
        <is>
          <t>퇴직급여 조정누계액</t>
        </is>
      </c>
      <c r="C139" s="20" t="n">
        <v>-107.547</v>
      </c>
      <c r="D139" s="20" t="n">
        <v>-105.045</v>
      </c>
      <c r="E139" s="20" t="n">
        <v>-102.543</v>
      </c>
      <c r="F139" s="20" t="n">
        <v>199.872</v>
      </c>
      <c r="G139" s="20" t="n">
        <v>195.233</v>
      </c>
      <c r="H139" s="20" t="n">
        <v>2.694</v>
      </c>
      <c r="I139" s="20" t="n">
        <v>-137.933</v>
      </c>
      <c r="J139" s="20" t="n">
        <v>246.547</v>
      </c>
      <c r="K139" s="20" t="n">
        <v>-110.05</v>
      </c>
      <c r="L139" s="20" t="n">
        <v>199.872</v>
      </c>
    </row>
    <row r="140">
      <c r="A140" s="18" t="inlineStr">
        <is>
          <t>기타포괄손익누계액 합계</t>
        </is>
      </c>
      <c r="C140" s="20" t="n">
        <v>202.493</v>
      </c>
      <c r="D140" s="20" t="n">
        <v>276.548</v>
      </c>
      <c r="E140" s="20" t="n">
        <v>357.914</v>
      </c>
      <c r="F140" s="20" t="n">
        <v>696.066</v>
      </c>
      <c r="G140" s="20" t="n">
        <v>786.116</v>
      </c>
      <c r="H140" s="20" t="n">
        <v>152.714</v>
      </c>
      <c r="I140" s="20" t="n">
        <v>27.311</v>
      </c>
      <c r="J140" s="20" t="n">
        <v>498.912</v>
      </c>
      <c r="K140" s="20" t="n">
        <v>149.73</v>
      </c>
      <c r="L140" s="20" t="n">
        <v>696.066</v>
      </c>
    </row>
    <row r="141">
      <c r="A141" s="18" t="inlineStr">
        <is>
          <t>비지배지분</t>
        </is>
      </c>
      <c r="C141" s="20" t="n">
        <v>1819.385</v>
      </c>
      <c r="D141" s="20" t="n">
        <v>1804.132</v>
      </c>
      <c r="E141" s="20" t="n">
        <v>1862.541</v>
      </c>
      <c r="F141" s="20" t="n">
        <v>1979.586</v>
      </c>
      <c r="G141" s="20" t="n">
        <v>1988.89</v>
      </c>
      <c r="H141" s="20" t="n">
        <v>1373.785</v>
      </c>
      <c r="I141" s="20" t="n">
        <v>1487.488</v>
      </c>
      <c r="J141" s="20" t="n">
        <v>1662.447</v>
      </c>
      <c r="K141" s="20" t="n">
        <v>1834.904</v>
      </c>
      <c r="L141" s="20" t="n">
        <v>1979.586</v>
      </c>
    </row>
    <row r="142">
      <c r="A142" s="9" t="inlineStr">
        <is>
          <t>순자산 합계</t>
        </is>
      </c>
      <c r="C142" s="12" t="n">
        <v>8992.306</v>
      </c>
      <c r="D142" s="12" t="n">
        <v>9255.445</v>
      </c>
      <c r="E142" s="12" t="n">
        <v>9730.046</v>
      </c>
      <c r="F142" s="12" t="n">
        <v>10988.169</v>
      </c>
      <c r="G142" s="12" t="n">
        <v>10786.834</v>
      </c>
      <c r="H142" s="12" t="n">
        <v>7405.199</v>
      </c>
      <c r="I142" s="12" t="n">
        <v>6584.651</v>
      </c>
      <c r="J142" s="12" t="n">
        <v>7993.479</v>
      </c>
      <c r="K142" s="12" t="n">
        <v>8888.635</v>
      </c>
      <c r="L142" s="12" t="n">
        <v>10988.169</v>
      </c>
    </row>
    <row r="143">
      <c r="A143" s="9" t="inlineStr">
        <is>
          <t>부채·순자산 합계</t>
        </is>
      </c>
      <c r="C143" s="12" t="n">
        <v>22741.531</v>
      </c>
      <c r="D143" s="12" t="n">
        <v>24012.737</v>
      </c>
      <c r="E143" s="12" t="n">
        <v>26346.225</v>
      </c>
      <c r="F143" s="12" t="n">
        <v>28296.269</v>
      </c>
      <c r="G143" s="12" t="n">
        <v>27905.991</v>
      </c>
      <c r="H143" s="12" t="n">
        <v>21796.174</v>
      </c>
      <c r="I143" s="12" t="n">
        <v>21633.296</v>
      </c>
      <c r="J143" s="12" t="n">
        <v>23881.958</v>
      </c>
      <c r="K143" s="12" t="n">
        <v>23649.963</v>
      </c>
      <c r="L143" s="12" t="n">
        <v>28296.269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1" t="inlineStr">
        <is>
          <t>공시일</t>
        </is>
      </c>
      <c r="B3" s="51" t="inlineStr">
        <is>
          <t>문서</t>
        </is>
      </c>
      <c r="C3" s="51" t="inlineStr">
        <is>
          <t>PDF</t>
        </is>
      </c>
    </row>
    <row r="4">
      <c r="A4" t="inlineStr">
        <is>
          <t>2026-07-29</t>
        </is>
      </c>
      <c r="B4" t="inlineStr">
        <is>
          <t>2027년 3월 결산기 １분기 결산단신</t>
        </is>
      </c>
      <c r="C4" t="inlineStr">
        <is>
          <t>https://www2.jpx.co.jp/disc/68220/140120260729502051.pdf</t>
        </is>
      </c>
    </row>
    <row r="5">
      <c r="A5" t="inlineStr">
        <is>
          <t>2026-05-15</t>
        </is>
      </c>
      <c r="B5" t="inlineStr">
        <is>
          <t>2026년 3월 결산기 연간 결산단신</t>
        </is>
      </c>
      <c r="C5" t="inlineStr">
        <is>
          <t>https://www2.jpx.co.jp/disc/68220/140120260515538434.pdf</t>
        </is>
      </c>
    </row>
    <row r="6">
      <c r="A6" t="inlineStr">
        <is>
          <t>2026-02-13</t>
        </is>
      </c>
      <c r="B6" t="inlineStr">
        <is>
          <t>2026년 3월 결산기 ３분기 결산단신</t>
        </is>
      </c>
      <c r="C6" t="inlineStr">
        <is>
          <t>https://www2.jpx.co.jp/disc/68220/140120260213561081.pdf</t>
        </is>
      </c>
    </row>
    <row r="7">
      <c r="A7" t="inlineStr">
        <is>
          <t>2025-10-30</t>
        </is>
      </c>
      <c r="B7" t="inlineStr">
        <is>
          <t>2026년 3월 결산기 ２분기 결산단신</t>
        </is>
      </c>
      <c r="C7" t="inlineStr">
        <is>
          <t>https://www2.jpx.co.jp/disc/68220/140120251030582982.pdf</t>
        </is>
      </c>
    </row>
    <row r="8">
      <c r="A8" t="inlineStr">
        <is>
          <t>2025-07-29</t>
        </is>
      </c>
      <c r="B8" t="inlineStr">
        <is>
          <t>2026년 3월 결산기 １분기 결산단신</t>
        </is>
      </c>
      <c r="C8" t="inlineStr">
        <is>
          <t>https://www2.jpx.co.jp/disc/68220/140120250729522586.pdf</t>
        </is>
      </c>
    </row>
    <row r="9">
      <c r="A9" t="inlineStr">
        <is>
          <t>2025-05-13</t>
        </is>
      </c>
      <c r="B9" t="inlineStr">
        <is>
          <t>2025년 3월 결산기 연간 결산단신</t>
        </is>
      </c>
      <c r="C9" t="inlineStr">
        <is>
          <t>https://www2.jpx.co.jp/disc/68220/140120250513545818.pdf</t>
        </is>
      </c>
    </row>
    <row r="10">
      <c r="A10" t="inlineStr">
        <is>
          <t>2025-02-12</t>
        </is>
      </c>
      <c r="B10" t="inlineStr">
        <is>
          <t>2025년 3월 결산기 ３분기 결산단신</t>
        </is>
      </c>
      <c r="C10" t="inlineStr">
        <is>
          <t>https://www2.jpx.co.jp/disc/68220/140120250212569370.pdf</t>
        </is>
      </c>
    </row>
    <row r="11">
      <c r="A11" t="inlineStr">
        <is>
          <t>2024-10-30</t>
        </is>
      </c>
      <c r="B11" t="inlineStr">
        <is>
          <t>2025년 3월 결산기 ２분기 결산단신</t>
        </is>
      </c>
      <c r="C11" t="inlineStr">
        <is>
          <t>https://www2.jpx.co.jp/disc/68220/140120241030505619.pdf</t>
        </is>
      </c>
    </row>
    <row r="12">
      <c r="A12" t="inlineStr">
        <is>
          <t>2024-07-30</t>
        </is>
      </c>
      <c r="B12" t="inlineStr">
        <is>
          <t>2025년 3월 결산기 １분기 결산단신</t>
        </is>
      </c>
      <c r="C12" t="inlineStr">
        <is>
          <t>https://www2.jpx.co.jp/disc/68220/140120240729557004.pdf</t>
        </is>
      </c>
    </row>
    <row r="13">
      <c r="A13" t="inlineStr">
        <is>
          <t>2024-05-14</t>
        </is>
      </c>
      <c r="B13" t="inlineStr">
        <is>
          <t>2024년 3월 결산기 연간 결산단신</t>
        </is>
      </c>
      <c r="C13" t="inlineStr">
        <is>
          <t>https://www2.jpx.co.jp/disc/68220/140120240514595865.pdf</t>
        </is>
      </c>
    </row>
    <row r="14">
      <c r="A14" t="inlineStr">
        <is>
          <t>2024-02-09</t>
        </is>
      </c>
      <c r="B14" t="inlineStr">
        <is>
          <t>2024년 3월 결산기 ３분기 결산단신</t>
        </is>
      </c>
      <c r="C14" t="inlineStr">
        <is>
          <t>https://www2.jpx.co.jp/disc/68220/140120240209531595.pdf</t>
        </is>
      </c>
    </row>
    <row r="15">
      <c r="A15" t="inlineStr">
        <is>
          <t>2023-10-30</t>
        </is>
      </c>
      <c r="B15" t="inlineStr">
        <is>
          <t>2024년 3월 결산기 ２분기 결산단신</t>
        </is>
      </c>
      <c r="C15" t="inlineStr">
        <is>
          <t>https://www2.jpx.co.jp/disc/68220/140120231027573644.pdf</t>
        </is>
      </c>
    </row>
    <row r="16">
      <c r="A16" t="inlineStr">
        <is>
          <t>2023-07-28</t>
        </is>
      </c>
      <c r="B16" t="inlineStr">
        <is>
          <t>2024년 3월 결산기 １분기 결산단신</t>
        </is>
      </c>
      <c r="C16" t="inlineStr">
        <is>
          <t>https://www2.jpx.co.jp/disc/68220/140120230727528603.pdf</t>
        </is>
      </c>
    </row>
    <row r="17">
      <c r="A17" t="inlineStr">
        <is>
          <t>2023-05-12</t>
        </is>
      </c>
      <c r="B17" t="inlineStr">
        <is>
          <t>2023년 3월 결산기 연간 결산단신</t>
        </is>
      </c>
      <c r="C17" t="inlineStr">
        <is>
          <t>https://www2.jpx.co.jp/disc/68220/140120230512570701.pdf</t>
        </is>
      </c>
    </row>
    <row r="18">
      <c r="A18" t="inlineStr">
        <is>
          <t>2023-02-08</t>
        </is>
      </c>
      <c r="B18" t="inlineStr">
        <is>
          <t>2023년 3월 결산기 ３분기 결산단신</t>
        </is>
      </c>
      <c r="C18" t="inlineStr">
        <is>
          <t>https://www2.jpx.co.jp/disc/68220/140120230206501335.pdf</t>
        </is>
      </c>
    </row>
    <row r="19">
      <c r="A19" t="inlineStr">
        <is>
          <t>2022-10-28</t>
        </is>
      </c>
      <c r="B19" t="inlineStr">
        <is>
          <t>2023년 3월 결산기 ２분기 결산단신</t>
        </is>
      </c>
      <c r="C19" t="inlineStr">
        <is>
          <t>https://www2.jpx.co.jp/disc/68220/140120221021547722.pdf</t>
        </is>
      </c>
    </row>
    <row r="20">
      <c r="A20" t="inlineStr">
        <is>
          <t>2022-05-12</t>
        </is>
      </c>
      <c r="B20" t="inlineStr">
        <is>
          <t>2022년 3월 결산기 연간 결산단신</t>
        </is>
      </c>
      <c r="C20" t="inlineStr">
        <is>
          <t>https://www2.jpx.co.jp/disc/68220/140120220503533157.pdf</t>
        </is>
      </c>
    </row>
    <row r="21">
      <c r="A21" t="inlineStr">
        <is>
          <t>2021-05-12</t>
        </is>
      </c>
      <c r="B21" t="inlineStr">
        <is>
          <t>2021년 3월 결산기 연간 결산단신</t>
        </is>
      </c>
      <c r="C21" t="inlineStr">
        <is>
          <t>https://www2.jpx.co.jp/disc/68220/140120210427400817.pdf</t>
        </is>
      </c>
    </row>
    <row r="22">
      <c r="A22" t="inlineStr">
        <is>
          <t>2020-05-13</t>
        </is>
      </c>
      <c r="B22" t="inlineStr">
        <is>
          <t>2020년 3월 결산기 연간 결산단신</t>
        </is>
      </c>
      <c r="C22" t="inlineStr">
        <is>
          <t>https://www2.jpx.co.jp/disc/68220/140120200507405355.pdf</t>
        </is>
      </c>
    </row>
    <row r="23">
      <c r="A23" t="inlineStr">
        <is>
          <t>2019-05-15</t>
        </is>
      </c>
      <c r="B23" t="inlineStr">
        <is>
          <t>2019년 3월 결산기 연간 결산단신</t>
        </is>
      </c>
      <c r="C23" t="inlineStr">
        <is>
          <t>https://www2.jpx.co.jp/disc/68220/140120190508416995.pdf</t>
        </is>
      </c>
    </row>
    <row r="24">
      <c r="A24" t="inlineStr">
        <is>
          <t>2018-05-11</t>
        </is>
      </c>
      <c r="B24" t="inlineStr">
        <is>
          <t>연간 결산단신</t>
        </is>
      </c>
      <c r="C24" t="inlineStr">
        <is>
          <t>https://www2.jpx.co.jp/disc/68220/140120180502426563.pdf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2026-10-26T10:58:05Z</dcterms:created>
  <dcterms:modified xmlns:dcterms="http://purl.org/dc/terms/" xmlns:xsi="http://www.w3.org/2001/XMLSchema-instance" xsi:type="dcterms:W3CDTF">2026-10-26T10:58:05Z</dcterms:modified>
</cp:coreProperties>
</file>