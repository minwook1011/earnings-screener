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연간" sheetId="1" state="visible" r:id="rId1"/>
    <sheet xmlns:r="http://schemas.openxmlformats.org/officeDocument/2006/relationships" name="재무상태표" sheetId="2" state="visible" r:id="rId2"/>
    <sheet xmlns:r="http://schemas.openxmlformats.org/officeDocument/2006/relationships" name="출처" sheetId="3" state="visible" r:id="rId3"/>
  </sheets>
  <definedNames>
    <definedName name="_xlnm.Print_Titles" localSheetId="0">'연간'!$3:$3</definedName>
    <definedName name="_xlnm.Print_Titles" localSheetId="1">'재무상태표'!$3:$3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%;-0.0%;&quot;-&quot;"/>
    <numFmt numFmtId="165" formatCode="#,##0;(#,##0);&quot;-&quot;"/>
    <numFmt numFmtId="166" formatCode="0.0&quot;x&quot;;-0.0&quot;x&quot;;&quot;-&quot;"/>
    <numFmt numFmtId="167" formatCode="0.0&quot;년&quot;;-0.0&quot;년&quot;;&quot;-&quot;"/>
    <numFmt numFmtId="168" formatCode="0&quot;일&quot;;-0&quot;일&quot;;&quot;-&quot;"/>
  </numFmts>
  <fonts count="17">
    <font>
      <name val="Calibri"/>
      <family val="2"/>
      <color theme="1"/>
      <sz val="11"/>
      <scheme val="minor"/>
    </font>
    <font>
      <name val="맑은 고딕"/>
      <b val="1"/>
      <color rgb="00000000"/>
      <sz val="20"/>
    </font>
    <font>
      <name val="맑은 고딕"/>
      <color rgb="00FF0000"/>
      <sz val="11"/>
    </font>
    <font>
      <name val="맑은 고딕"/>
      <color rgb="00808080"/>
      <sz val="9"/>
    </font>
    <font>
      <name val="맑은 고딕"/>
      <color rgb="000000FF"/>
      <sz val="9"/>
    </font>
    <font>
      <name val="맑은 고딕"/>
      <b val="1"/>
      <color rgb="00000000"/>
      <sz val="10"/>
    </font>
    <font>
      <name val="맑은 고딕"/>
      <color rgb="00808080"/>
      <sz val="11"/>
    </font>
    <font>
      <name val="맑은 고딕"/>
      <b val="1"/>
      <color rgb="00FFFFFF"/>
      <sz val="11"/>
    </font>
    <font>
      <name val="맑은 고딕"/>
      <color rgb="00000000"/>
      <sz val="11"/>
    </font>
    <font>
      <name val="맑은 고딕"/>
      <color rgb="000000FF"/>
      <sz val="11"/>
    </font>
    <font>
      <name val="맑은 고딕"/>
      <b val="1"/>
      <color rgb="00000000"/>
      <sz val="11"/>
    </font>
    <font>
      <name val="맑은 고딕"/>
      <b val="1"/>
      <color rgb="00FF0000"/>
      <sz val="11"/>
    </font>
    <font>
      <name val="맑은 고딕"/>
      <b val="1"/>
      <color rgb="00808080"/>
      <sz val="9"/>
    </font>
    <font>
      <name val="맑은 고딕"/>
      <color rgb="00FF0000"/>
      <sz val="9"/>
    </font>
    <font>
      <name val="맑은 고딕"/>
      <b val="1"/>
      <color rgb="00FFFFFF"/>
      <sz val="9"/>
    </font>
    <font>
      <name val="맑은 고딕"/>
      <b val="1"/>
      <sz val="20"/>
    </font>
    <font>
      <name val="맑은 고딕"/>
      <b val="1"/>
      <sz val="10"/>
    </font>
  </fonts>
  <fills count="7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808080"/>
      </patternFill>
    </fill>
    <fill>
      <patternFill patternType="solid">
        <fgColor rgb="00A6A6A6"/>
      </patternFill>
    </fill>
    <fill>
      <patternFill patternType="solid">
        <fgColor rgb="00DDEBF7"/>
      </patternFill>
    </fill>
    <fill>
      <patternFill patternType="solid">
        <fgColor rgb="FFD9D9D9"/>
      </patternFill>
    </fill>
  </fills>
  <borders count="4">
    <border>
      <left/>
      <right/>
      <top/>
      <bottom/>
      <diagonal/>
    </border>
    <border>
      <top style="thin">
        <color rgb="007F7F7F"/>
      </top>
      <bottom style="thin">
        <color rgb="007F7F7F"/>
      </bottom>
    </border>
    <border>
      <left style="thin">
        <color rgb="007F7F7F"/>
      </left>
      <top style="thin">
        <color rgb="007F7F7F"/>
      </top>
      <bottom style="thin">
        <color rgb="007F7F7F"/>
      </bottom>
    </border>
    <border>
      <left style="thin">
        <color rgb="007F7F7F"/>
      </left>
      <top/>
      <bottom/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5" fontId="10" fillId="0" borderId="3" applyAlignment="1" pivotButton="0" quotePrefix="0" xfId="0">
      <alignment horizontal="center" vertical="center"/>
    </xf>
    <xf numFmtId="165" fontId="10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3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165" fontId="8" fillId="0" borderId="3" applyAlignment="1" pivotButton="0" quotePrefix="0" xfId="0">
      <alignment horizontal="center" vertical="center"/>
    </xf>
    <xf numFmtId="165" fontId="8" fillId="0" borderId="0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5" fontId="9" fillId="0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164" fontId="9" fillId="0" borderId="3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3" fontId="10" fillId="0" borderId="0" applyAlignment="1" pivotButton="0" quotePrefix="0" xfId="0">
      <alignment horizontal="center" vertical="center"/>
    </xf>
    <xf numFmtId="3" fontId="8" fillId="0" borderId="3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166" fontId="8" fillId="0" borderId="3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6" fontId="9" fillId="0" borderId="0" applyAlignment="1" pivotButton="0" quotePrefix="0" xfId="0">
      <alignment horizontal="center" vertical="center"/>
    </xf>
    <xf numFmtId="3" fontId="10" fillId="0" borderId="3" applyAlignment="1" pivotButton="0" quotePrefix="0" xfId="0">
      <alignment horizontal="center" vertical="center"/>
    </xf>
    <xf numFmtId="164" fontId="8" fillId="0" borderId="3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164" fontId="11" fillId="0" borderId="3" applyAlignment="1" pivotButton="0" quotePrefix="0" xfId="0">
      <alignment horizontal="center" vertical="center"/>
    </xf>
    <xf numFmtId="164" fontId="11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1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14" fillId="3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13" fillId="0" borderId="0" pivotButton="0" quotePrefix="0" xfId="0"/>
    <xf numFmtId="0" fontId="8" fillId="0" borderId="0" applyAlignment="1" pivotButton="0" quotePrefix="0" xfId="0">
      <alignment horizontal="left" vertical="center" indent="1"/>
    </xf>
    <xf numFmtId="167" fontId="8" fillId="0" borderId="3" applyAlignment="1" pivotButton="0" quotePrefix="0" xfId="0">
      <alignment horizontal="center" vertical="center"/>
    </xf>
    <xf numFmtId="167" fontId="8" fillId="0" borderId="0" applyAlignment="1" pivotButton="0" quotePrefix="0" xfId="0">
      <alignment horizontal="center" vertical="center"/>
    </xf>
    <xf numFmtId="168" fontId="8" fillId="0" borderId="3" applyAlignment="1" pivotButton="0" quotePrefix="0" xfId="0">
      <alignment horizontal="center" vertical="center"/>
    </xf>
    <xf numFmtId="168" fontId="8" fillId="0" borderId="0" applyAlignment="1" pivotButton="0" quotePrefix="0" xfId="0">
      <alignment horizontal="center" vertical="center"/>
    </xf>
    <xf numFmtId="0" fontId="15" fillId="0" borderId="0" pivotButton="0" quotePrefix="0" xfId="0"/>
    <xf numFmtId="0" fontId="16" fillId="6" borderId="0" pivotButton="0" quotePrefix="0" xfId="0"/>
  </cellXfs>
  <cellStyles count="1">
    <cellStyle name="Normal" xfId="0" builtinId="0" hidden="0"/>
  </cellStyles>
  <dxfs count="1">
    <dxf>
      <font>
        <name val="맑은 고딕"/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226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outlineLevel="1" width="11" customWidth="1" min="8" max="8"/>
    <col outlineLevel="1" width="11" customWidth="1" min="9" max="9"/>
    <col outlineLevel="1" width="11" customWidth="1" min="10" max="10"/>
    <col outlineLevel="1" width="11" customWidth="1" min="11" max="11"/>
    <col outlineLevel="1" width="11" customWidth="1" min="12" max="12"/>
    <col outlineLevel="1" width="11" customWidth="1" min="13" max="13"/>
    <col outlineLevel="1"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 ht="30" customHeight="1">
      <c r="A1" s="1" t="inlineStr">
        <is>
          <t>6822 Model</t>
        </is>
      </c>
    </row>
    <row r="2">
      <c r="A2" s="2" t="inlineStr">
        <is>
          <t>모를 땐 보수적으로</t>
        </is>
      </c>
      <c r="B2" s="3" t="inlineStr">
        <is>
          <t>(단위: 백만엔)</t>
        </is>
      </c>
      <c r="C2" s="3" t="inlineStr">
        <is>
          <t>3월 결산 · 일본 기준 · 2027.1Q = 2027년 3월 결산기 1분기</t>
        </is>
      </c>
      <c r="Y2" s="4" t="inlineStr">
        <is>
          <t>(추정: 파란 글씨 = 직접 입력)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2024.2Q</t>
        </is>
      </c>
      <c r="D3" s="5" t="inlineStr">
        <is>
          <t>2024.3Q</t>
        </is>
      </c>
      <c r="E3" s="5" t="inlineStr">
        <is>
          <t>2024.4Q</t>
        </is>
      </c>
      <c r="F3" s="5" t="inlineStr">
        <is>
          <t>2025.1Q</t>
        </is>
      </c>
      <c r="G3" s="5" t="inlineStr">
        <is>
          <t>2025.2Q</t>
        </is>
      </c>
      <c r="H3" s="5" t="inlineStr">
        <is>
          <t>2025.3Q</t>
        </is>
      </c>
      <c r="I3" s="5" t="inlineStr">
        <is>
          <t>2025.4Q</t>
        </is>
      </c>
      <c r="J3" s="5" t="inlineStr">
        <is>
          <t>2026.1Q</t>
        </is>
      </c>
      <c r="K3" s="5" t="inlineStr">
        <is>
          <t>2026.2Q</t>
        </is>
      </c>
      <c r="L3" s="5" t="inlineStr">
        <is>
          <t>2026.3Q</t>
        </is>
      </c>
      <c r="M3" s="5" t="inlineStr">
        <is>
          <t>2026.4Q</t>
        </is>
      </c>
      <c r="N3" s="5" t="inlineStr">
        <is>
          <t>2027.1Q</t>
        </is>
      </c>
      <c r="O3" s="6" t="inlineStr">
        <is>
          <t>2017</t>
        </is>
      </c>
      <c r="P3" s="5" t="inlineStr">
        <is>
          <t>2018</t>
        </is>
      </c>
      <c r="Q3" s="5" t="inlineStr">
        <is>
          <t>2019</t>
        </is>
      </c>
      <c r="R3" s="5" t="inlineStr">
        <is>
          <t>2020</t>
        </is>
      </c>
      <c r="S3" s="5" t="inlineStr">
        <is>
          <t>2021</t>
        </is>
      </c>
      <c r="T3" s="5" t="inlineStr">
        <is>
          <t>2022</t>
        </is>
      </c>
      <c r="U3" s="5" t="inlineStr">
        <is>
          <t>2023</t>
        </is>
      </c>
      <c r="V3" s="5" t="inlineStr">
        <is>
          <t>2024</t>
        </is>
      </c>
      <c r="W3" s="5" t="inlineStr">
        <is>
          <t>2025</t>
        </is>
      </c>
      <c r="X3" s="5" t="inlineStr">
        <is>
          <t>2026</t>
        </is>
      </c>
      <c r="Y3" s="7" t="inlineStr">
        <is>
          <t>2027(MW)</t>
        </is>
      </c>
      <c r="Z3" s="8" t="inlineStr">
        <is>
          <t>2028(MW)</t>
        </is>
      </c>
      <c r="AA3" s="8" t="inlineStr">
        <is>
          <t>2029(MW)</t>
        </is>
      </c>
      <c r="AB3" s="8" t="inlineStr">
        <is>
          <t>2030(MW)</t>
        </is>
      </c>
      <c r="AC3" s="8" t="inlineStr">
        <is>
          <t>2031(MW)</t>
        </is>
      </c>
    </row>
    <row r="4">
      <c r="A4" s="9" t="inlineStr">
        <is>
          <t>매출액</t>
        </is>
      </c>
      <c r="B4" s="10" t="inlineStr">
        <is>
          <t>MW = 제품 합계</t>
        </is>
      </c>
      <c r="C4" s="11" t="n">
        <v>6207.926</v>
      </c>
      <c r="D4" s="12" t="n">
        <v>6475.542</v>
      </c>
      <c r="E4" s="12" t="n">
        <v>11439.177</v>
      </c>
      <c r="F4" s="12" t="n">
        <v>4894.085</v>
      </c>
      <c r="G4" s="12" t="n">
        <v>5882.661</v>
      </c>
      <c r="H4" s="12" t="n">
        <v>7771.54</v>
      </c>
      <c r="I4" s="12" t="n">
        <v>10497.906</v>
      </c>
      <c r="J4" s="12" t="n">
        <v>5251.351</v>
      </c>
      <c r="K4" s="12" t="n">
        <v>6585.237</v>
      </c>
      <c r="L4" s="12" t="n">
        <v>8239.593000000001</v>
      </c>
      <c r="M4" s="12" t="n">
        <v>12633.402</v>
      </c>
      <c r="N4" s="12" t="n">
        <v>6762.843</v>
      </c>
      <c r="O4" s="11" t="n">
        <v>26077.696</v>
      </c>
      <c r="P4" s="12" t="n">
        <v>23830.534</v>
      </c>
      <c r="Q4" s="12" t="n">
        <v>22561.995</v>
      </c>
      <c r="R4" s="12" t="n">
        <v>25314.544</v>
      </c>
      <c r="S4" s="12" t="n">
        <v>29410.371</v>
      </c>
      <c r="T4" s="12" t="n">
        <v>24735.568</v>
      </c>
      <c r="U4" s="12" t="n">
        <v>22926.723</v>
      </c>
      <c r="V4" s="12" t="n">
        <v>28117.68</v>
      </c>
      <c r="W4" s="12" t="n">
        <v>29046.192</v>
      </c>
      <c r="X4" s="12" t="n">
        <v>32709.583</v>
      </c>
      <c r="Y4" s="11">
        <f>IF(COUNT(Y7,Y10)=0,"",SUM(Y7,Y10))</f>
        <v/>
      </c>
      <c r="Z4" s="12">
        <f>IF(COUNT(Z7,Z10)=0,"",SUM(Z7,Z10))</f>
        <v/>
      </c>
      <c r="AA4" s="12">
        <f>IF(COUNT(AA7,AA10)=0,"",SUM(AA7,AA10))</f>
        <v/>
      </c>
      <c r="AB4" s="12">
        <f>IF(COUNT(AB7,AB10)=0,"",SUM(AB7,AB10))</f>
        <v/>
      </c>
      <c r="AC4" s="12">
        <f>IF(COUNT(AC7,AC10)=0,"",SUM(AC7,AC10))</f>
        <v/>
      </c>
    </row>
    <row r="5">
      <c r="A5" s="13" t="inlineStr">
        <is>
          <t>YoY</t>
        </is>
      </c>
      <c r="B5" s="10" t="n"/>
      <c r="C5" s="14" t="n"/>
      <c r="D5" s="15" t="n"/>
      <c r="E5" s="15" t="n"/>
      <c r="F5" s="15" t="n"/>
      <c r="G5" s="15">
        <f>IF(OR(G4="",C4=""),"",IFERROR(G4/C4-1,""))</f>
        <v/>
      </c>
      <c r="H5" s="15">
        <f>IF(OR(H4="",D4=""),"",IFERROR(H4/D4-1,""))</f>
        <v/>
      </c>
      <c r="I5" s="15">
        <f>IF(OR(I4="",E4=""),"",IFERROR(I4/E4-1,""))</f>
        <v/>
      </c>
      <c r="J5" s="15">
        <f>IF(OR(J4="",F4=""),"",IFERROR(J4/F4-1,""))</f>
        <v/>
      </c>
      <c r="K5" s="15">
        <f>IF(OR(K4="",G4=""),"",IFERROR(K4/G4-1,""))</f>
        <v/>
      </c>
      <c r="L5" s="15">
        <f>IF(OR(L4="",H4=""),"",IFERROR(L4/H4-1,""))</f>
        <v/>
      </c>
      <c r="M5" s="15">
        <f>IF(OR(M4="",I4=""),"",IFERROR(M4/I4-1,""))</f>
        <v/>
      </c>
      <c r="N5" s="15">
        <f>IF(OR(N4="",J4=""),"",IFERROR(N4/J4-1,""))</f>
        <v/>
      </c>
      <c r="O5" s="14" t="n"/>
      <c r="P5" s="15">
        <f>IF(OR(P4="",O4=""),"",IFERROR(P4/O4-1,""))</f>
        <v/>
      </c>
      <c r="Q5" s="15">
        <f>IF(OR(Q4="",P4=""),"",IFERROR(Q4/P4-1,""))</f>
        <v/>
      </c>
      <c r="R5" s="15">
        <f>IF(OR(R4="",Q4=""),"",IFERROR(R4/Q4-1,""))</f>
        <v/>
      </c>
      <c r="S5" s="15">
        <f>IF(OR(S4="",R4=""),"",IFERROR(S4/R4-1,""))</f>
        <v/>
      </c>
      <c r="T5" s="15">
        <f>IF(OR(T4="",S4=""),"",IFERROR(T4/S4-1,""))</f>
        <v/>
      </c>
      <c r="U5" s="15">
        <f>IF(OR(U4="",T4=""),"",IFERROR(U4/T4-1,""))</f>
        <v/>
      </c>
      <c r="V5" s="15">
        <f>IF(OR(V4="",U4=""),"",IFERROR(V4/U4-1,""))</f>
        <v/>
      </c>
      <c r="W5" s="15">
        <f>IF(OR(W4="",V4=""),"",IFERROR(W4/V4-1,""))</f>
        <v/>
      </c>
      <c r="X5" s="15">
        <f>IF(OR(X4="",W4=""),"",IFERROR(X4/W4-1,""))</f>
        <v/>
      </c>
      <c r="Y5" s="14">
        <f>IF(OR(Y4="",X4=""),"",IFERROR(Y4/X4-1,""))</f>
        <v/>
      </c>
      <c r="Z5" s="15">
        <f>IF(OR(Z4="",Y4=""),"",IFERROR(Z4/Y4-1,""))</f>
        <v/>
      </c>
      <c r="AA5" s="15">
        <f>IF(OR(AA4="",Z4=""),"",IFERROR(AA4/Z4-1,""))</f>
        <v/>
      </c>
      <c r="AB5" s="15">
        <f>IF(OR(AB4="",AA4=""),"",IFERROR(AB4/AA4-1,""))</f>
        <v/>
      </c>
      <c r="AC5" s="15">
        <f>IF(OR(AC4="",AB4=""),"",IFERROR(AC4/AB4-1,""))</f>
        <v/>
      </c>
    </row>
    <row r="6">
      <c r="A6" s="16" t="inlineStr">
        <is>
          <t>제품별 매출 분류</t>
        </is>
      </c>
      <c r="B6" s="16" t="inlineStr">
        <is>
          <t>사업보고서 매출실적</t>
        </is>
      </c>
      <c r="C6" s="17" t="n"/>
      <c r="D6" s="16" t="n"/>
      <c r="E6" s="16" t="n"/>
      <c r="F6" s="16" t="n"/>
      <c r="G6" s="16" t="n"/>
      <c r="H6" s="16" t="n"/>
      <c r="I6" s="16" t="n"/>
      <c r="J6" s="16" t="n"/>
      <c r="K6" s="16" t="n"/>
      <c r="L6" s="16" t="n"/>
      <c r="M6" s="16" t="n"/>
      <c r="N6" s="16" t="n"/>
      <c r="O6" s="17" t="n"/>
      <c r="P6" s="16" t="n"/>
      <c r="Q6" s="16" t="n"/>
      <c r="R6" s="16" t="n"/>
      <c r="S6" s="16" t="n"/>
      <c r="T6" s="16" t="n"/>
      <c r="U6" s="16" t="n"/>
      <c r="V6" s="16" t="n"/>
      <c r="W6" s="16" t="n"/>
      <c r="X6" s="16" t="n"/>
      <c r="Y6" s="17" t="n"/>
      <c r="Z6" s="16" t="n"/>
      <c r="AA6" s="16" t="n"/>
      <c r="AB6" s="16" t="n"/>
      <c r="AC6" s="16" t="n"/>
    </row>
    <row r="7">
      <c r="A7" s="18" t="inlineStr">
        <is>
          <t>Information And Communication Apparatus Production Sale Business Reportable Segments</t>
        </is>
      </c>
      <c r="B7" s="10" t="n"/>
      <c r="C7" s="19" t="n">
        <v>3588.668</v>
      </c>
      <c r="D7" s="20" t="n">
        <v>3447.066</v>
      </c>
      <c r="E7" s="20" t="n">
        <v>6350.752</v>
      </c>
      <c r="F7" s="20" t="n">
        <v>2866.506</v>
      </c>
      <c r="G7" s="20" t="n">
        <v>3203.714</v>
      </c>
      <c r="H7" s="20" t="n">
        <v>5018.228</v>
      </c>
      <c r="I7" s="20" t="n">
        <v>5721.498</v>
      </c>
      <c r="J7" s="20" t="n">
        <v>3087.127</v>
      </c>
      <c r="K7" s="20" t="n">
        <v>4155.637</v>
      </c>
      <c r="L7" s="20" t="n">
        <v>5357.881</v>
      </c>
      <c r="M7" s="20" t="n">
        <v>8130.239</v>
      </c>
      <c r="N7" s="20" t="n">
        <v>4535.161</v>
      </c>
      <c r="O7" s="19" t="n"/>
      <c r="P7" s="20" t="n"/>
      <c r="Q7" s="20" t="n"/>
      <c r="R7" s="20" t="n"/>
      <c r="S7" s="20" t="n"/>
      <c r="T7" s="20" t="n"/>
      <c r="U7" s="20" t="n"/>
      <c r="V7" s="20" t="n">
        <v>15483.833</v>
      </c>
      <c r="W7" s="20" t="n">
        <v>16809.946</v>
      </c>
      <c r="X7" s="20" t="n">
        <v>20730.884</v>
      </c>
      <c r="Y7" s="21" t="n"/>
      <c r="Z7" s="22" t="n"/>
      <c r="AA7" s="22" t="n"/>
      <c r="AB7" s="22" t="n"/>
      <c r="AC7" s="22" t="n"/>
    </row>
    <row r="8">
      <c r="A8" s="13" t="inlineStr">
        <is>
          <t>비중</t>
        </is>
      </c>
      <c r="B8" s="10" t="n"/>
      <c r="C8" s="14">
        <f>IF(OR(C7="",C4=""),"",IFERROR(C7/C4,""))</f>
        <v/>
      </c>
      <c r="D8" s="15">
        <f>IF(OR(D7="",D4=""),"",IFERROR(D7/D4,""))</f>
        <v/>
      </c>
      <c r="E8" s="15">
        <f>IF(OR(E7="",E4=""),"",IFERROR(E7/E4,""))</f>
        <v/>
      </c>
      <c r="F8" s="15">
        <f>IF(OR(F7="",F4=""),"",IFERROR(F7/F4,""))</f>
        <v/>
      </c>
      <c r="G8" s="15">
        <f>IF(OR(G7="",G4=""),"",IFERROR(G7/G4,""))</f>
        <v/>
      </c>
      <c r="H8" s="15">
        <f>IF(OR(H7="",H4=""),"",IFERROR(H7/H4,""))</f>
        <v/>
      </c>
      <c r="I8" s="15">
        <f>IF(OR(I7="",I4=""),"",IFERROR(I7/I4,""))</f>
        <v/>
      </c>
      <c r="J8" s="15">
        <f>IF(OR(J7="",J4=""),"",IFERROR(J7/J4,""))</f>
        <v/>
      </c>
      <c r="K8" s="15">
        <f>IF(OR(K7="",K4=""),"",IFERROR(K7/K4,""))</f>
        <v/>
      </c>
      <c r="L8" s="15">
        <f>IF(OR(L7="",L4=""),"",IFERROR(L7/L4,""))</f>
        <v/>
      </c>
      <c r="M8" s="15">
        <f>IF(OR(M7="",M4=""),"",IFERROR(M7/M4,""))</f>
        <v/>
      </c>
      <c r="N8" s="15">
        <f>IF(OR(N7="",N4=""),"",IFERROR(N7/N4,""))</f>
        <v/>
      </c>
      <c r="O8" s="14">
        <f>IF(OR(O7="",O4=""),"",IFERROR(O7/O4,""))</f>
        <v/>
      </c>
      <c r="P8" s="15">
        <f>IF(OR(P7="",P4=""),"",IFERROR(P7/P4,""))</f>
        <v/>
      </c>
      <c r="Q8" s="15">
        <f>IF(OR(Q7="",Q4=""),"",IFERROR(Q7/Q4,""))</f>
        <v/>
      </c>
      <c r="R8" s="15">
        <f>IF(OR(R7="",R4=""),"",IFERROR(R7/R4,""))</f>
        <v/>
      </c>
      <c r="S8" s="15">
        <f>IF(OR(S7="",S4=""),"",IFERROR(S7/S4,""))</f>
        <v/>
      </c>
      <c r="T8" s="15">
        <f>IF(OR(T7="",T4=""),"",IFERROR(T7/T4,""))</f>
        <v/>
      </c>
      <c r="U8" s="15">
        <f>IF(OR(U7="",U4=""),"",IFERROR(U7/U4,""))</f>
        <v/>
      </c>
      <c r="V8" s="15">
        <f>IF(OR(V7="",V4=""),"",IFERROR(V7/V4,""))</f>
        <v/>
      </c>
      <c r="W8" s="15">
        <f>IF(OR(W7="",W4=""),"",IFERROR(W7/W4,""))</f>
        <v/>
      </c>
      <c r="X8" s="15">
        <f>IF(OR(X7="",X4=""),"",IFERROR(X7/X4,""))</f>
        <v/>
      </c>
      <c r="Y8" s="14">
        <f>IF(OR(Y7="",Y4=""),"",IFERROR(Y7/Y4,""))</f>
        <v/>
      </c>
      <c r="Z8" s="15">
        <f>IF(OR(Z7="",Z4=""),"",IFERROR(Z7/Z4,""))</f>
        <v/>
      </c>
      <c r="AA8" s="15">
        <f>IF(OR(AA7="",AA4=""),"",IFERROR(AA7/AA4,""))</f>
        <v/>
      </c>
      <c r="AB8" s="15">
        <f>IF(OR(AB7="",AB4=""),"",IFERROR(AB7/AB4,""))</f>
        <v/>
      </c>
      <c r="AC8" s="15">
        <f>IF(OR(AC7="",AC4=""),"",IFERROR(AC7/AC4,""))</f>
        <v/>
      </c>
    </row>
    <row r="9">
      <c r="A9" s="13" t="inlineStr">
        <is>
          <t>YoY</t>
        </is>
      </c>
      <c r="B9" s="10" t="n"/>
      <c r="C9" s="14" t="n"/>
      <c r="D9" s="15" t="n"/>
      <c r="E9" s="15" t="n"/>
      <c r="F9" s="15" t="n"/>
      <c r="G9" s="15">
        <f>IF(OR(G7="",C7=""),"",IFERROR(G7/C7-1,""))</f>
        <v/>
      </c>
      <c r="H9" s="15">
        <f>IF(OR(H7="",D7=""),"",IFERROR(H7/D7-1,""))</f>
        <v/>
      </c>
      <c r="I9" s="15">
        <f>IF(OR(I7="",E7=""),"",IFERROR(I7/E7-1,""))</f>
        <v/>
      </c>
      <c r="J9" s="15">
        <f>IF(OR(J7="",F7=""),"",IFERROR(J7/F7-1,""))</f>
        <v/>
      </c>
      <c r="K9" s="15">
        <f>IF(OR(K7="",G7=""),"",IFERROR(K7/G7-1,""))</f>
        <v/>
      </c>
      <c r="L9" s="15">
        <f>IF(OR(L7="",H7=""),"",IFERROR(L7/H7-1,""))</f>
        <v/>
      </c>
      <c r="M9" s="15">
        <f>IF(OR(M7="",I7=""),"",IFERROR(M7/I7-1,""))</f>
        <v/>
      </c>
      <c r="N9" s="15">
        <f>IF(OR(N7="",J7=""),"",IFERROR(N7/J7-1,""))</f>
        <v/>
      </c>
      <c r="O9" s="14" t="n"/>
      <c r="P9" s="15">
        <f>IF(OR(P7="",O7=""),"",IFERROR(P7/O7-1,""))</f>
        <v/>
      </c>
      <c r="Q9" s="15">
        <f>IF(OR(Q7="",P7=""),"",IFERROR(Q7/P7-1,""))</f>
        <v/>
      </c>
      <c r="R9" s="15">
        <f>IF(OR(R7="",Q7=""),"",IFERROR(R7/Q7-1,""))</f>
        <v/>
      </c>
      <c r="S9" s="15">
        <f>IF(OR(S7="",R7=""),"",IFERROR(S7/R7-1,""))</f>
        <v/>
      </c>
      <c r="T9" s="15">
        <f>IF(OR(T7="",S7=""),"",IFERROR(T7/S7-1,""))</f>
        <v/>
      </c>
      <c r="U9" s="15">
        <f>IF(OR(U7="",T7=""),"",IFERROR(U7/T7-1,""))</f>
        <v/>
      </c>
      <c r="V9" s="15">
        <f>IF(OR(V7="",U7=""),"",IFERROR(V7/U7-1,""))</f>
        <v/>
      </c>
      <c r="W9" s="15">
        <f>IF(OR(W7="",V7=""),"",IFERROR(W7/V7-1,""))</f>
        <v/>
      </c>
      <c r="X9" s="15">
        <f>IF(OR(X7="",W7=""),"",IFERROR(X7/W7-1,""))</f>
        <v/>
      </c>
      <c r="Y9" s="14">
        <f>IF(OR(Y7="",X7=""),"",IFERROR(Y7/X7-1,""))</f>
        <v/>
      </c>
      <c r="Z9" s="15">
        <f>IF(OR(Z7="",Y7=""),"",IFERROR(Z7/Y7-1,""))</f>
        <v/>
      </c>
      <c r="AA9" s="15">
        <f>IF(OR(AA7="",Z7=""),"",IFERROR(AA7/Z7-1,""))</f>
        <v/>
      </c>
      <c r="AB9" s="15">
        <f>IF(OR(AB7="",AA7=""),"",IFERROR(AB7/AA7-1,""))</f>
        <v/>
      </c>
      <c r="AC9" s="15">
        <f>IF(OR(AC7="",AB7=""),"",IFERROR(AC7/AB7-1,""))</f>
        <v/>
      </c>
    </row>
    <row r="10">
      <c r="A10" s="18" t="inlineStr">
        <is>
          <t>Network Construction Maintenance Business Reportable Segments</t>
        </is>
      </c>
      <c r="B10" s="10" t="n"/>
      <c r="C10" s="19" t="n">
        <v>2619.258</v>
      </c>
      <c r="D10" s="20" t="n">
        <v>3028.477</v>
      </c>
      <c r="E10" s="20" t="n">
        <v>5088.425</v>
      </c>
      <c r="F10" s="20" t="n">
        <v>2027.578</v>
      </c>
      <c r="G10" s="20" t="n">
        <v>2678.947</v>
      </c>
      <c r="H10" s="20" t="n">
        <v>2753.313</v>
      </c>
      <c r="I10" s="20" t="n">
        <v>4776.408</v>
      </c>
      <c r="J10" s="20" t="n">
        <v>2164.223</v>
      </c>
      <c r="K10" s="20" t="n">
        <v>2429.6</v>
      </c>
      <c r="L10" s="20" t="n">
        <v>2881.713</v>
      </c>
      <c r="M10" s="20" t="n">
        <v>4503.163</v>
      </c>
      <c r="N10" s="20" t="n">
        <v>2227.682</v>
      </c>
      <c r="O10" s="19" t="n"/>
      <c r="P10" s="20" t="n"/>
      <c r="Q10" s="20" t="n"/>
      <c r="R10" s="20" t="n"/>
      <c r="S10" s="20" t="n"/>
      <c r="T10" s="20" t="n"/>
      <c r="U10" s="20" t="n"/>
      <c r="V10" s="20" t="n">
        <v>12633.847</v>
      </c>
      <c r="W10" s="20" t="n">
        <v>12236.246</v>
      </c>
      <c r="X10" s="20" t="n">
        <v>11978.699</v>
      </c>
      <c r="Y10" s="21" t="n"/>
      <c r="Z10" s="22" t="n"/>
      <c r="AA10" s="22" t="n"/>
      <c r="AB10" s="22" t="n"/>
      <c r="AC10" s="22" t="n"/>
    </row>
    <row r="11">
      <c r="A11" s="13" t="inlineStr">
        <is>
          <t>비중</t>
        </is>
      </c>
      <c r="B11" s="10" t="n"/>
      <c r="C11" s="14">
        <f>IF(OR(C10="",C4=""),"",IFERROR(C10/C4,""))</f>
        <v/>
      </c>
      <c r="D11" s="15">
        <f>IF(OR(D10="",D4=""),"",IFERROR(D10/D4,""))</f>
        <v/>
      </c>
      <c r="E11" s="15">
        <f>IF(OR(E10="",E4=""),"",IFERROR(E10/E4,""))</f>
        <v/>
      </c>
      <c r="F11" s="15">
        <f>IF(OR(F10="",F4=""),"",IFERROR(F10/F4,""))</f>
        <v/>
      </c>
      <c r="G11" s="15">
        <f>IF(OR(G10="",G4=""),"",IFERROR(G10/G4,""))</f>
        <v/>
      </c>
      <c r="H11" s="15">
        <f>IF(OR(H10="",H4=""),"",IFERROR(H10/H4,""))</f>
        <v/>
      </c>
      <c r="I11" s="15">
        <f>IF(OR(I10="",I4=""),"",IFERROR(I10/I4,""))</f>
        <v/>
      </c>
      <c r="J11" s="15">
        <f>IF(OR(J10="",J4=""),"",IFERROR(J10/J4,""))</f>
        <v/>
      </c>
      <c r="K11" s="15">
        <f>IF(OR(K10="",K4=""),"",IFERROR(K10/K4,""))</f>
        <v/>
      </c>
      <c r="L11" s="15">
        <f>IF(OR(L10="",L4=""),"",IFERROR(L10/L4,""))</f>
        <v/>
      </c>
      <c r="M11" s="15">
        <f>IF(OR(M10="",M4=""),"",IFERROR(M10/M4,""))</f>
        <v/>
      </c>
      <c r="N11" s="15">
        <f>IF(OR(N10="",N4=""),"",IFERROR(N10/N4,""))</f>
        <v/>
      </c>
      <c r="O11" s="14">
        <f>IF(OR(O10="",O4=""),"",IFERROR(O10/O4,""))</f>
        <v/>
      </c>
      <c r="P11" s="15">
        <f>IF(OR(P10="",P4=""),"",IFERROR(P10/P4,""))</f>
        <v/>
      </c>
      <c r="Q11" s="15">
        <f>IF(OR(Q10="",Q4=""),"",IFERROR(Q10/Q4,""))</f>
        <v/>
      </c>
      <c r="R11" s="15">
        <f>IF(OR(R10="",R4=""),"",IFERROR(R10/R4,""))</f>
        <v/>
      </c>
      <c r="S11" s="15">
        <f>IF(OR(S10="",S4=""),"",IFERROR(S10/S4,""))</f>
        <v/>
      </c>
      <c r="T11" s="15">
        <f>IF(OR(T10="",T4=""),"",IFERROR(T10/T4,""))</f>
        <v/>
      </c>
      <c r="U11" s="15">
        <f>IF(OR(U10="",U4=""),"",IFERROR(U10/U4,""))</f>
        <v/>
      </c>
      <c r="V11" s="15">
        <f>IF(OR(V10="",V4=""),"",IFERROR(V10/V4,""))</f>
        <v/>
      </c>
      <c r="W11" s="15">
        <f>IF(OR(W10="",W4=""),"",IFERROR(W10/W4,""))</f>
        <v/>
      </c>
      <c r="X11" s="15">
        <f>IF(OR(X10="",X4=""),"",IFERROR(X10/X4,""))</f>
        <v/>
      </c>
      <c r="Y11" s="14">
        <f>IF(OR(Y10="",Y4=""),"",IFERROR(Y10/Y4,""))</f>
        <v/>
      </c>
      <c r="Z11" s="15">
        <f>IF(OR(Z10="",Z4=""),"",IFERROR(Z10/Z4,""))</f>
        <v/>
      </c>
      <c r="AA11" s="15">
        <f>IF(OR(AA10="",AA4=""),"",IFERROR(AA10/AA4,""))</f>
        <v/>
      </c>
      <c r="AB11" s="15">
        <f>IF(OR(AB10="",AB4=""),"",IFERROR(AB10/AB4,""))</f>
        <v/>
      </c>
      <c r="AC11" s="15">
        <f>IF(OR(AC10="",AC4=""),"",IFERROR(AC10/AC4,""))</f>
        <v/>
      </c>
    </row>
    <row r="12">
      <c r="A12" s="13" t="inlineStr">
        <is>
          <t>YoY</t>
        </is>
      </c>
      <c r="B12" s="10" t="n"/>
      <c r="C12" s="14" t="n"/>
      <c r="D12" s="15" t="n"/>
      <c r="E12" s="15" t="n"/>
      <c r="F12" s="15" t="n"/>
      <c r="G12" s="15">
        <f>IF(OR(G10="",C10=""),"",IFERROR(G10/C10-1,""))</f>
        <v/>
      </c>
      <c r="H12" s="15">
        <f>IF(OR(H10="",D10=""),"",IFERROR(H10/D10-1,""))</f>
        <v/>
      </c>
      <c r="I12" s="15">
        <f>IF(OR(I10="",E10=""),"",IFERROR(I10/E10-1,""))</f>
        <v/>
      </c>
      <c r="J12" s="15">
        <f>IF(OR(J10="",F10=""),"",IFERROR(J10/F10-1,""))</f>
        <v/>
      </c>
      <c r="K12" s="15">
        <f>IF(OR(K10="",G10=""),"",IFERROR(K10/G10-1,""))</f>
        <v/>
      </c>
      <c r="L12" s="15">
        <f>IF(OR(L10="",H10=""),"",IFERROR(L10/H10-1,""))</f>
        <v/>
      </c>
      <c r="M12" s="15">
        <f>IF(OR(M10="",I10=""),"",IFERROR(M10/I10-1,""))</f>
        <v/>
      </c>
      <c r="N12" s="15">
        <f>IF(OR(N10="",J10=""),"",IFERROR(N10/J10-1,""))</f>
        <v/>
      </c>
      <c r="O12" s="14" t="n"/>
      <c r="P12" s="15">
        <f>IF(OR(P10="",O10=""),"",IFERROR(P10/O10-1,""))</f>
        <v/>
      </c>
      <c r="Q12" s="15">
        <f>IF(OR(Q10="",P10=""),"",IFERROR(Q10/P10-1,""))</f>
        <v/>
      </c>
      <c r="R12" s="15">
        <f>IF(OR(R10="",Q10=""),"",IFERROR(R10/Q10-1,""))</f>
        <v/>
      </c>
      <c r="S12" s="15">
        <f>IF(OR(S10="",R10=""),"",IFERROR(S10/R10-1,""))</f>
        <v/>
      </c>
      <c r="T12" s="15">
        <f>IF(OR(T10="",S10=""),"",IFERROR(T10/S10-1,""))</f>
        <v/>
      </c>
      <c r="U12" s="15">
        <f>IF(OR(U10="",T10=""),"",IFERROR(U10/T10-1,""))</f>
        <v/>
      </c>
      <c r="V12" s="15">
        <f>IF(OR(V10="",U10=""),"",IFERROR(V10/U10-1,""))</f>
        <v/>
      </c>
      <c r="W12" s="15">
        <f>IF(OR(W10="",V10=""),"",IFERROR(W10/V10-1,""))</f>
        <v/>
      </c>
      <c r="X12" s="15">
        <f>IF(OR(X10="",W10=""),"",IFERROR(X10/W10-1,""))</f>
        <v/>
      </c>
      <c r="Y12" s="14">
        <f>IF(OR(Y10="",X10=""),"",IFERROR(Y10/X10-1,""))</f>
        <v/>
      </c>
      <c r="Z12" s="15">
        <f>IF(OR(Z10="",Y10=""),"",IFERROR(Z10/Y10-1,""))</f>
        <v/>
      </c>
      <c r="AA12" s="15">
        <f>IF(OR(AA10="",Z10=""),"",IFERROR(AA10/Z10-1,""))</f>
        <v/>
      </c>
      <c r="AB12" s="15">
        <f>IF(OR(AB10="",AA10=""),"",IFERROR(AB10/AA10-1,""))</f>
        <v/>
      </c>
      <c r="AC12" s="15">
        <f>IF(OR(AC10="",AB10=""),"",IFERROR(AC10/AB10-1,""))</f>
        <v/>
      </c>
    </row>
    <row r="13">
      <c r="A13" s="16" t="inlineStr">
        <is>
          <t>매출원가</t>
        </is>
      </c>
      <c r="B13" s="16" t="n"/>
      <c r="C13" s="17" t="n"/>
      <c r="D13" s="16" t="n"/>
      <c r="E13" s="16" t="n"/>
      <c r="F13" s="16" t="n"/>
      <c r="G13" s="16" t="n"/>
      <c r="H13" s="16" t="n"/>
      <c r="I13" s="16" t="n"/>
      <c r="J13" s="16" t="n"/>
      <c r="K13" s="16" t="n"/>
      <c r="L13" s="16" t="n"/>
      <c r="M13" s="16" t="n"/>
      <c r="N13" s="16" t="n"/>
      <c r="O13" s="17" t="n"/>
      <c r="P13" s="16" t="n"/>
      <c r="Q13" s="16" t="n"/>
      <c r="R13" s="16" t="n"/>
      <c r="S13" s="16" t="n"/>
      <c r="T13" s="16" t="n"/>
      <c r="U13" s="16" t="n"/>
      <c r="V13" s="16" t="n"/>
      <c r="W13" s="16" t="n"/>
      <c r="X13" s="16" t="n"/>
      <c r="Y13" s="17" t="n"/>
      <c r="Z13" s="16" t="n"/>
      <c r="AA13" s="16" t="n"/>
      <c r="AB13" s="16" t="n"/>
      <c r="AC13" s="16" t="n"/>
    </row>
    <row r="14">
      <c r="A14" s="18" t="inlineStr">
        <is>
          <t>전체 매출원가</t>
        </is>
      </c>
      <c r="B14" s="10" t="n"/>
      <c r="C14" s="19" t="n">
        <v>4738.797</v>
      </c>
      <c r="D14" s="20" t="n">
        <v>5107.666</v>
      </c>
      <c r="E14" s="20" t="n">
        <v>9378.085999999999</v>
      </c>
      <c r="F14" s="20" t="n">
        <v>4048.662</v>
      </c>
      <c r="G14" s="20" t="n">
        <v>4594.635</v>
      </c>
      <c r="H14" s="20" t="n">
        <v>6067.057</v>
      </c>
      <c r="I14" s="20" t="n">
        <v>8567.427</v>
      </c>
      <c r="J14" s="20" t="n">
        <v>4062.569</v>
      </c>
      <c r="K14" s="20" t="n">
        <v>5282.795</v>
      </c>
      <c r="L14" s="20" t="n">
        <v>6443.349</v>
      </c>
      <c r="M14" s="20" t="n">
        <v>10445</v>
      </c>
      <c r="N14" s="20" t="n">
        <v>5728.341</v>
      </c>
      <c r="O14" s="19" t="n">
        <v>20962.447</v>
      </c>
      <c r="P14" s="20" t="n">
        <v>19276.838</v>
      </c>
      <c r="Q14" s="20" t="n">
        <v>19743.629</v>
      </c>
      <c r="R14" s="20" t="n">
        <v>20542.308</v>
      </c>
      <c r="S14" s="20" t="n">
        <v>24479.615</v>
      </c>
      <c r="T14" s="20" t="n">
        <v>21283.809</v>
      </c>
      <c r="U14" s="20" t="n">
        <v>18889.659</v>
      </c>
      <c r="V14" s="20" t="n">
        <v>22742.344</v>
      </c>
      <c r="W14" s="20" t="n">
        <v>23277.781</v>
      </c>
      <c r="X14" s="20" t="n">
        <v>26233.713</v>
      </c>
      <c r="Y14" s="19" t="n"/>
      <c r="Z14" s="20" t="n"/>
      <c r="AA14" s="20" t="n"/>
      <c r="AB14" s="20" t="n"/>
      <c r="AC14" s="20" t="n"/>
    </row>
    <row r="15">
      <c r="A15" s="13" t="inlineStr">
        <is>
          <t>YoY</t>
        </is>
      </c>
      <c r="B15" s="10" t="n"/>
      <c r="C15" s="14" t="n"/>
      <c r="D15" s="15" t="n"/>
      <c r="E15" s="15" t="n"/>
      <c r="F15" s="15" t="n"/>
      <c r="G15" s="15">
        <f>IF(OR(G14="",C14=""),"",IF(C14&lt;=0,"",IFERROR(G14/C14-1,"")))</f>
        <v/>
      </c>
      <c r="H15" s="15">
        <f>IF(OR(H14="",D14=""),"",IF(D14&lt;=0,"",IFERROR(H14/D14-1,"")))</f>
        <v/>
      </c>
      <c r="I15" s="15">
        <f>IF(OR(I14="",E14=""),"",IF(E14&lt;=0,"",IFERROR(I14/E14-1,"")))</f>
        <v/>
      </c>
      <c r="J15" s="15">
        <f>IF(OR(J14="",F14=""),"",IF(F14&lt;=0,"",IFERROR(J14/F14-1,"")))</f>
        <v/>
      </c>
      <c r="K15" s="15">
        <f>IF(OR(K14="",G14=""),"",IF(G14&lt;=0,"",IFERROR(K14/G14-1,"")))</f>
        <v/>
      </c>
      <c r="L15" s="15">
        <f>IF(OR(L14="",H14=""),"",IF(H14&lt;=0,"",IFERROR(L14/H14-1,"")))</f>
        <v/>
      </c>
      <c r="M15" s="15">
        <f>IF(OR(M14="",I14=""),"",IF(I14&lt;=0,"",IFERROR(M14/I14-1,"")))</f>
        <v/>
      </c>
      <c r="N15" s="15">
        <f>IF(OR(N14="",J14=""),"",IF(J14&lt;=0,"",IFERROR(N14/J14-1,"")))</f>
        <v/>
      </c>
      <c r="O15" s="14" t="n"/>
      <c r="P15" s="15">
        <f>IF(OR(P14="",O14=""),"",IF(O14&lt;=0,"",IFERROR(P14/O14-1,"")))</f>
        <v/>
      </c>
      <c r="Q15" s="15">
        <f>IF(OR(Q14="",P14=""),"",IF(P14&lt;=0,"",IFERROR(Q14/P14-1,"")))</f>
        <v/>
      </c>
      <c r="R15" s="15">
        <f>IF(OR(R14="",Q14=""),"",IF(Q14&lt;=0,"",IFERROR(R14/Q14-1,"")))</f>
        <v/>
      </c>
      <c r="S15" s="15">
        <f>IF(OR(S14="",R14=""),"",IF(R14&lt;=0,"",IFERROR(S14/R14-1,"")))</f>
        <v/>
      </c>
      <c r="T15" s="15">
        <f>IF(OR(T14="",S14=""),"",IF(S14&lt;=0,"",IFERROR(T14/S14-1,"")))</f>
        <v/>
      </c>
      <c r="U15" s="15">
        <f>IF(OR(U14="",T14=""),"",IF(T14&lt;=0,"",IFERROR(U14/T14-1,"")))</f>
        <v/>
      </c>
      <c r="V15" s="15">
        <f>IF(OR(V14="",U14=""),"",IF(U14&lt;=0,"",IFERROR(V14/U14-1,"")))</f>
        <v/>
      </c>
      <c r="W15" s="15">
        <f>IF(OR(W14="",V14=""),"",IF(V14&lt;=0,"",IFERROR(W14/V14-1,"")))</f>
        <v/>
      </c>
      <c r="X15" s="15">
        <f>IF(OR(X14="",W14=""),"",IF(W14&lt;=0,"",IFERROR(X14/W14-1,"")))</f>
        <v/>
      </c>
      <c r="Y15" s="14">
        <f>IF(OR(Y14="",X14=""),"",IF(X14&lt;=0,"",IFERROR(Y14/X14-1,"")))</f>
        <v/>
      </c>
      <c r="Z15" s="15">
        <f>IF(OR(Z14="",Y14=""),"",IF(Y14&lt;=0,"",IFERROR(Z14/Y14-1,"")))</f>
        <v/>
      </c>
      <c r="AA15" s="15">
        <f>IF(OR(AA14="",Z14=""),"",IF(Z14&lt;=0,"",IFERROR(AA14/Z14-1,"")))</f>
        <v/>
      </c>
      <c r="AB15" s="15">
        <f>IF(OR(AB14="",AA14=""),"",IF(AA14&lt;=0,"",IFERROR(AB14/AA14-1,"")))</f>
        <v/>
      </c>
      <c r="AC15" s="15">
        <f>IF(OR(AC14="",AB14=""),"",IF(AB14&lt;=0,"",IFERROR(AC14/AB14-1,"")))</f>
        <v/>
      </c>
    </row>
    <row r="16">
      <c r="A16" s="18" t="inlineStr">
        <is>
          <t>매출총이익</t>
        </is>
      </c>
      <c r="B16" s="10" t="n"/>
      <c r="C16" s="19">
        <f>IF(OR(C4="",C14=""),"",IFERROR(C4-C14,""))</f>
        <v/>
      </c>
      <c r="D16" s="20">
        <f>IF(OR(D4="",D14=""),"",IFERROR(D4-D14,""))</f>
        <v/>
      </c>
      <c r="E16" s="20">
        <f>IF(OR(E4="",E14=""),"",IFERROR(E4-E14,""))</f>
        <v/>
      </c>
      <c r="F16" s="20">
        <f>IF(OR(F4="",F14=""),"",IFERROR(F4-F14,""))</f>
        <v/>
      </c>
      <c r="G16" s="20">
        <f>IF(OR(G4="",G14=""),"",IFERROR(G4-G14,""))</f>
        <v/>
      </c>
      <c r="H16" s="20">
        <f>IF(OR(H4="",H14=""),"",IFERROR(H4-H14,""))</f>
        <v/>
      </c>
      <c r="I16" s="20">
        <f>IF(OR(I4="",I14=""),"",IFERROR(I4-I14,""))</f>
        <v/>
      </c>
      <c r="J16" s="20">
        <f>IF(OR(J4="",J14=""),"",IFERROR(J4-J14,""))</f>
        <v/>
      </c>
      <c r="K16" s="20">
        <f>IF(OR(K4="",K14=""),"",IFERROR(K4-K14,""))</f>
        <v/>
      </c>
      <c r="L16" s="20">
        <f>IF(OR(L4="",L14=""),"",IFERROR(L4-L14,""))</f>
        <v/>
      </c>
      <c r="M16" s="20">
        <f>IF(OR(M4="",M14=""),"",IFERROR(M4-M14,""))</f>
        <v/>
      </c>
      <c r="N16" s="20">
        <f>IF(OR(N4="",N14=""),"",IFERROR(N4-N14,""))</f>
        <v/>
      </c>
      <c r="O16" s="19">
        <f>IF(OR(O4="",O14=""),"",IFERROR(O4-O14,""))</f>
        <v/>
      </c>
      <c r="P16" s="20">
        <f>IF(OR(P4="",P14=""),"",IFERROR(P4-P14,""))</f>
        <v/>
      </c>
      <c r="Q16" s="20">
        <f>IF(OR(Q4="",Q14=""),"",IFERROR(Q4-Q14,""))</f>
        <v/>
      </c>
      <c r="R16" s="20">
        <f>IF(OR(R4="",R14=""),"",IFERROR(R4-R14,""))</f>
        <v/>
      </c>
      <c r="S16" s="20">
        <f>IF(OR(S4="",S14=""),"",IFERROR(S4-S14,""))</f>
        <v/>
      </c>
      <c r="T16" s="20">
        <f>IF(OR(T4="",T14=""),"",IFERROR(T4-T14,""))</f>
        <v/>
      </c>
      <c r="U16" s="20">
        <f>IF(OR(U4="",U14=""),"",IFERROR(U4-U14,""))</f>
        <v/>
      </c>
      <c r="V16" s="20">
        <f>IF(OR(V4="",V14=""),"",IFERROR(V4-V14,""))</f>
        <v/>
      </c>
      <c r="W16" s="20">
        <f>IF(OR(W4="",W14=""),"",IFERROR(W4-W14,""))</f>
        <v/>
      </c>
      <c r="X16" s="20">
        <f>IF(OR(X4="",X14=""),"",IFERROR(X4-X14,""))</f>
        <v/>
      </c>
      <c r="Y16" s="19" t="n"/>
      <c r="Z16" s="20" t="n"/>
      <c r="AA16" s="20" t="n"/>
      <c r="AB16" s="20" t="n"/>
      <c r="AC16" s="20" t="n"/>
    </row>
    <row r="17">
      <c r="A17" s="13" t="inlineStr">
        <is>
          <t>GPM</t>
        </is>
      </c>
      <c r="B17" s="10" t="n"/>
      <c r="C17" s="14">
        <f>IF(OR(C16="",C4=""),"",IFERROR(C16/C4,""))</f>
        <v/>
      </c>
      <c r="D17" s="15">
        <f>IF(OR(D16="",D4=""),"",IFERROR(D16/D4,""))</f>
        <v/>
      </c>
      <c r="E17" s="15">
        <f>IF(OR(E16="",E4=""),"",IFERROR(E16/E4,""))</f>
        <v/>
      </c>
      <c r="F17" s="15">
        <f>IF(OR(F16="",F4=""),"",IFERROR(F16/F4,""))</f>
        <v/>
      </c>
      <c r="G17" s="15">
        <f>IF(OR(G16="",G4=""),"",IFERROR(G16/G4,""))</f>
        <v/>
      </c>
      <c r="H17" s="15">
        <f>IF(OR(H16="",H4=""),"",IFERROR(H16/H4,""))</f>
        <v/>
      </c>
      <c r="I17" s="15">
        <f>IF(OR(I16="",I4=""),"",IFERROR(I16/I4,""))</f>
        <v/>
      </c>
      <c r="J17" s="15">
        <f>IF(OR(J16="",J4=""),"",IFERROR(J16/J4,""))</f>
        <v/>
      </c>
      <c r="K17" s="15">
        <f>IF(OR(K16="",K4=""),"",IFERROR(K16/K4,""))</f>
        <v/>
      </c>
      <c r="L17" s="15">
        <f>IF(OR(L16="",L4=""),"",IFERROR(L16/L4,""))</f>
        <v/>
      </c>
      <c r="M17" s="15">
        <f>IF(OR(M16="",M4=""),"",IFERROR(M16/M4,""))</f>
        <v/>
      </c>
      <c r="N17" s="15">
        <f>IF(OR(N16="",N4=""),"",IFERROR(N16/N4,""))</f>
        <v/>
      </c>
      <c r="O17" s="14">
        <f>IF(OR(O16="",O4=""),"",IFERROR(O16/O4,""))</f>
        <v/>
      </c>
      <c r="P17" s="15">
        <f>IF(OR(P16="",P4=""),"",IFERROR(P16/P4,""))</f>
        <v/>
      </c>
      <c r="Q17" s="15">
        <f>IF(OR(Q16="",Q4=""),"",IFERROR(Q16/Q4,""))</f>
        <v/>
      </c>
      <c r="R17" s="15">
        <f>IF(OR(R16="",R4=""),"",IFERROR(R16/R4,""))</f>
        <v/>
      </c>
      <c r="S17" s="15">
        <f>IF(OR(S16="",S4=""),"",IFERROR(S16/S4,""))</f>
        <v/>
      </c>
      <c r="T17" s="15">
        <f>IF(OR(T16="",T4=""),"",IFERROR(T16/T4,""))</f>
        <v/>
      </c>
      <c r="U17" s="15">
        <f>IF(OR(U16="",U4=""),"",IFERROR(U16/U4,""))</f>
        <v/>
      </c>
      <c r="V17" s="15">
        <f>IF(OR(V16="",V4=""),"",IFERROR(V16/V4,""))</f>
        <v/>
      </c>
      <c r="W17" s="15">
        <f>IF(OR(W16="",W4=""),"",IFERROR(W16/W4,""))</f>
        <v/>
      </c>
      <c r="X17" s="15">
        <f>IF(OR(X16="",X4=""),"",IFERROR(X16/X4,""))</f>
        <v/>
      </c>
      <c r="Y17" s="14">
        <f>IF(OR(Y16="",Y4=""),"",IFERROR(Y16/Y4,""))</f>
        <v/>
      </c>
      <c r="Z17" s="15">
        <f>IF(OR(Z16="",Z4=""),"",IFERROR(Z16/Z4,""))</f>
        <v/>
      </c>
      <c r="AA17" s="15">
        <f>IF(OR(AA16="",AA4=""),"",IFERROR(AA16/AA4,""))</f>
        <v/>
      </c>
      <c r="AB17" s="15">
        <f>IF(OR(AB16="",AB4=""),"",IFERROR(AB16/AB4,""))</f>
        <v/>
      </c>
      <c r="AC17" s="15">
        <f>IF(OR(AC16="",AC4=""),"",IFERROR(AC16/AC4,""))</f>
        <v/>
      </c>
    </row>
    <row r="18">
      <c r="A18" s="13" t="inlineStr">
        <is>
          <t>YoY</t>
        </is>
      </c>
      <c r="B18" s="10" t="n"/>
      <c r="C18" s="14" t="n"/>
      <c r="D18" s="15" t="n"/>
      <c r="E18" s="15" t="n"/>
      <c r="F18" s="15" t="n"/>
      <c r="G18" s="15">
        <f>IF(OR(G16="",C16=""),"",IF(C16&lt;=0,"",IFERROR(G16/C16-1,"")))</f>
        <v/>
      </c>
      <c r="H18" s="15">
        <f>IF(OR(H16="",D16=""),"",IF(D16&lt;=0,"",IFERROR(H16/D16-1,"")))</f>
        <v/>
      </c>
      <c r="I18" s="15">
        <f>IF(OR(I16="",E16=""),"",IF(E16&lt;=0,"",IFERROR(I16/E16-1,"")))</f>
        <v/>
      </c>
      <c r="J18" s="15">
        <f>IF(OR(J16="",F16=""),"",IF(F16&lt;=0,"",IFERROR(J16/F16-1,"")))</f>
        <v/>
      </c>
      <c r="K18" s="15">
        <f>IF(OR(K16="",G16=""),"",IF(G16&lt;=0,"",IFERROR(K16/G16-1,"")))</f>
        <v/>
      </c>
      <c r="L18" s="15">
        <f>IF(OR(L16="",H16=""),"",IF(H16&lt;=0,"",IFERROR(L16/H16-1,"")))</f>
        <v/>
      </c>
      <c r="M18" s="15">
        <f>IF(OR(M16="",I16=""),"",IF(I16&lt;=0,"",IFERROR(M16/I16-1,"")))</f>
        <v/>
      </c>
      <c r="N18" s="15">
        <f>IF(OR(N16="",J16=""),"",IF(J16&lt;=0,"",IFERROR(N16/J16-1,"")))</f>
        <v/>
      </c>
      <c r="O18" s="14" t="n"/>
      <c r="P18" s="15">
        <f>IF(OR(P16="",O16=""),"",IF(O16&lt;=0,"",IFERROR(P16/O16-1,"")))</f>
        <v/>
      </c>
      <c r="Q18" s="15">
        <f>IF(OR(Q16="",P16=""),"",IF(P16&lt;=0,"",IFERROR(Q16/P16-1,"")))</f>
        <v/>
      </c>
      <c r="R18" s="15">
        <f>IF(OR(R16="",Q16=""),"",IF(Q16&lt;=0,"",IFERROR(R16/Q16-1,"")))</f>
        <v/>
      </c>
      <c r="S18" s="15">
        <f>IF(OR(S16="",R16=""),"",IF(R16&lt;=0,"",IFERROR(S16/R16-1,"")))</f>
        <v/>
      </c>
      <c r="T18" s="15">
        <f>IF(OR(T16="",S16=""),"",IF(S16&lt;=0,"",IFERROR(T16/S16-1,"")))</f>
        <v/>
      </c>
      <c r="U18" s="15">
        <f>IF(OR(U16="",T16=""),"",IF(T16&lt;=0,"",IFERROR(U16/T16-1,"")))</f>
        <v/>
      </c>
      <c r="V18" s="15">
        <f>IF(OR(V16="",U16=""),"",IF(U16&lt;=0,"",IFERROR(V16/U16-1,"")))</f>
        <v/>
      </c>
      <c r="W18" s="15">
        <f>IF(OR(W16="",V16=""),"",IF(V16&lt;=0,"",IFERROR(W16/V16-1,"")))</f>
        <v/>
      </c>
      <c r="X18" s="15">
        <f>IF(OR(X16="",W16=""),"",IF(W16&lt;=0,"",IFERROR(X16/W16-1,"")))</f>
        <v/>
      </c>
      <c r="Y18" s="14">
        <f>IF(OR(Y16="",X16=""),"",IF(X16&lt;=0,"",IFERROR(Y16/X16-1,"")))</f>
        <v/>
      </c>
      <c r="Z18" s="15">
        <f>IF(OR(Z16="",Y16=""),"",IF(Y16&lt;=0,"",IFERROR(Z16/Y16-1,"")))</f>
        <v/>
      </c>
      <c r="AA18" s="15">
        <f>IF(OR(AA16="",Z16=""),"",IF(Z16&lt;=0,"",IFERROR(AA16/Z16-1,"")))</f>
        <v/>
      </c>
      <c r="AB18" s="15">
        <f>IF(OR(AB16="",AA16=""),"",IF(AA16&lt;=0,"",IFERROR(AB16/AA16-1,"")))</f>
        <v/>
      </c>
      <c r="AC18" s="15">
        <f>IF(OR(AC16="",AB16=""),"",IF(AB16&lt;=0,"",IFERROR(AC16/AB16-1,"")))</f>
        <v/>
      </c>
    </row>
    <row r="19">
      <c r="A19" s="23" t="inlineStr">
        <is>
          <t>판매관리비</t>
        </is>
      </c>
      <c r="B19" s="23" t="n"/>
      <c r="C19" s="24" t="n"/>
      <c r="D19" s="23" t="n"/>
      <c r="E19" s="23" t="n"/>
      <c r="F19" s="23" t="n"/>
      <c r="G19" s="23" t="n"/>
      <c r="H19" s="23" t="n"/>
      <c r="I19" s="23" t="n"/>
      <c r="J19" s="23" t="n"/>
      <c r="K19" s="23" t="n"/>
      <c r="L19" s="23" t="n"/>
      <c r="M19" s="23" t="n"/>
      <c r="N19" s="23" t="n"/>
      <c r="O19" s="24" t="n"/>
      <c r="P19" s="23" t="n"/>
      <c r="Q19" s="23" t="n"/>
      <c r="R19" s="23" t="n"/>
      <c r="S19" s="23" t="n"/>
      <c r="T19" s="23" t="n"/>
      <c r="U19" s="23" t="n"/>
      <c r="V19" s="23" t="n"/>
      <c r="W19" s="23" t="n"/>
      <c r="X19" s="23" t="n"/>
      <c r="Y19" s="24" t="n"/>
      <c r="Z19" s="23" t="n"/>
      <c r="AA19" s="23" t="n"/>
      <c r="AB19" s="23" t="n"/>
      <c r="AC19" s="23" t="n"/>
    </row>
    <row r="20">
      <c r="A20" s="18" t="inlineStr">
        <is>
          <t>전체 판관비</t>
        </is>
      </c>
      <c r="B20" s="10" t="n"/>
      <c r="C20" s="19" t="n">
        <v>1136.054</v>
      </c>
      <c r="D20" s="20" t="n">
        <v>1033.634</v>
      </c>
      <c r="E20" s="20" t="n">
        <v>1033.561</v>
      </c>
      <c r="F20" s="20" t="n">
        <v>1092.672</v>
      </c>
      <c r="G20" s="20" t="n">
        <v>1057.287</v>
      </c>
      <c r="H20" s="20" t="n">
        <v>1075.819</v>
      </c>
      <c r="I20" s="20" t="n">
        <v>1058.179</v>
      </c>
      <c r="J20" s="20" t="n">
        <v>1164.189</v>
      </c>
      <c r="K20" s="20" t="n">
        <v>1100.389</v>
      </c>
      <c r="L20" s="20" t="n">
        <v>1270.538</v>
      </c>
      <c r="M20" s="20" t="n">
        <v>1168.993</v>
      </c>
      <c r="N20" s="20" t="n">
        <v>1231.62</v>
      </c>
      <c r="O20" s="19" t="n">
        <v>4844.947</v>
      </c>
      <c r="P20" s="20" t="n">
        <v>4493.469</v>
      </c>
      <c r="Q20" s="20" t="n">
        <v>4394.511</v>
      </c>
      <c r="R20" s="20" t="n">
        <v>4203.075</v>
      </c>
      <c r="S20" s="20" t="n">
        <v>4627.363</v>
      </c>
      <c r="T20" s="20" t="n">
        <v>4270.777</v>
      </c>
      <c r="U20" s="20" t="n">
        <v>4503.714</v>
      </c>
      <c r="V20" s="20" t="n">
        <v>4456.33</v>
      </c>
      <c r="W20" s="20" t="n">
        <v>4283.957</v>
      </c>
      <c r="X20" s="20" t="n">
        <v>4704.109</v>
      </c>
      <c r="Y20" s="19" t="n"/>
      <c r="Z20" s="20" t="n"/>
      <c r="AA20" s="20" t="n"/>
      <c r="AB20" s="20" t="n"/>
      <c r="AC20" s="20" t="n"/>
    </row>
    <row r="21">
      <c r="A21" s="13" t="inlineStr">
        <is>
          <t>YoY</t>
        </is>
      </c>
      <c r="B21" s="10" t="n"/>
      <c r="C21" s="14" t="n"/>
      <c r="D21" s="15" t="n"/>
      <c r="E21" s="15" t="n"/>
      <c r="F21" s="15" t="n"/>
      <c r="G21" s="15">
        <f>IF(OR(G20="",C20=""),"",IF(C20&lt;=0,"",IFERROR(G20/C20-1,"")))</f>
        <v/>
      </c>
      <c r="H21" s="15">
        <f>IF(OR(H20="",D20=""),"",IF(D20&lt;=0,"",IFERROR(H20/D20-1,"")))</f>
        <v/>
      </c>
      <c r="I21" s="15">
        <f>IF(OR(I20="",E20=""),"",IF(E20&lt;=0,"",IFERROR(I20/E20-1,"")))</f>
        <v/>
      </c>
      <c r="J21" s="15">
        <f>IF(OR(J20="",F20=""),"",IF(F20&lt;=0,"",IFERROR(J20/F20-1,"")))</f>
        <v/>
      </c>
      <c r="K21" s="15">
        <f>IF(OR(K20="",G20=""),"",IF(G20&lt;=0,"",IFERROR(K20/G20-1,"")))</f>
        <v/>
      </c>
      <c r="L21" s="15">
        <f>IF(OR(L20="",H20=""),"",IF(H20&lt;=0,"",IFERROR(L20/H20-1,"")))</f>
        <v/>
      </c>
      <c r="M21" s="15">
        <f>IF(OR(M20="",I20=""),"",IF(I20&lt;=0,"",IFERROR(M20/I20-1,"")))</f>
        <v/>
      </c>
      <c r="N21" s="15">
        <f>IF(OR(N20="",J20=""),"",IF(J20&lt;=0,"",IFERROR(N20/J20-1,"")))</f>
        <v/>
      </c>
      <c r="O21" s="14" t="n"/>
      <c r="P21" s="15">
        <f>IF(OR(P20="",O20=""),"",IF(O20&lt;=0,"",IFERROR(P20/O20-1,"")))</f>
        <v/>
      </c>
      <c r="Q21" s="15">
        <f>IF(OR(Q20="",P20=""),"",IF(P20&lt;=0,"",IFERROR(Q20/P20-1,"")))</f>
        <v/>
      </c>
      <c r="R21" s="15">
        <f>IF(OR(R20="",Q20=""),"",IF(Q20&lt;=0,"",IFERROR(R20/Q20-1,"")))</f>
        <v/>
      </c>
      <c r="S21" s="15">
        <f>IF(OR(S20="",R20=""),"",IF(R20&lt;=0,"",IFERROR(S20/R20-1,"")))</f>
        <v/>
      </c>
      <c r="T21" s="15">
        <f>IF(OR(T20="",S20=""),"",IF(S20&lt;=0,"",IFERROR(T20/S20-1,"")))</f>
        <v/>
      </c>
      <c r="U21" s="15">
        <f>IF(OR(U20="",T20=""),"",IF(T20&lt;=0,"",IFERROR(U20/T20-1,"")))</f>
        <v/>
      </c>
      <c r="V21" s="15">
        <f>IF(OR(V20="",U20=""),"",IF(U20&lt;=0,"",IFERROR(V20/U20-1,"")))</f>
        <v/>
      </c>
      <c r="W21" s="15">
        <f>IF(OR(W20="",V20=""),"",IF(V20&lt;=0,"",IFERROR(W20/V20-1,"")))</f>
        <v/>
      </c>
      <c r="X21" s="15">
        <f>IF(OR(X20="",W20=""),"",IF(W20&lt;=0,"",IFERROR(X20/W20-1,"")))</f>
        <v/>
      </c>
      <c r="Y21" s="14">
        <f>IF(OR(Y20="",X20=""),"",IF(X20&lt;=0,"",IFERROR(Y20/X20-1,"")))</f>
        <v/>
      </c>
      <c r="Z21" s="15">
        <f>IF(OR(Z20="",Y20=""),"",IF(Y20&lt;=0,"",IFERROR(Z20/Y20-1,"")))</f>
        <v/>
      </c>
      <c r="AA21" s="15">
        <f>IF(OR(AA20="",Z20=""),"",IF(Z20&lt;=0,"",IFERROR(AA20/Z20-1,"")))</f>
        <v/>
      </c>
      <c r="AB21" s="15">
        <f>IF(OR(AB20="",AA20=""),"",IF(AA20&lt;=0,"",IFERROR(AB20/AA20-1,"")))</f>
        <v/>
      </c>
      <c r="AC21" s="15">
        <f>IF(OR(AC20="",AB20=""),"",IF(AB20&lt;=0,"",IFERROR(AC20/AB20-1,"")))</f>
        <v/>
      </c>
    </row>
    <row r="22">
      <c r="A22" s="9" t="inlineStr">
        <is>
          <t>영업이익</t>
        </is>
      </c>
      <c r="B22" s="10" t="inlineStr">
        <is>
          <t>MW = 매출 × OPM</t>
        </is>
      </c>
      <c r="C22" s="11" t="n">
        <v>333.075</v>
      </c>
      <c r="D22" s="12" t="n">
        <v>334.242</v>
      </c>
      <c r="E22" s="12" t="n">
        <v>1027.53</v>
      </c>
      <c r="F22" s="12" t="n">
        <v>-247.249</v>
      </c>
      <c r="G22" s="12" t="n">
        <v>230.738</v>
      </c>
      <c r="H22" s="12" t="n">
        <v>628.664</v>
      </c>
      <c r="I22" s="12" t="n">
        <v>872.301</v>
      </c>
      <c r="J22" s="12" t="n">
        <v>24.592</v>
      </c>
      <c r="K22" s="12" t="n">
        <v>202.053</v>
      </c>
      <c r="L22" s="12" t="n">
        <v>525.706</v>
      </c>
      <c r="M22" s="12" t="n">
        <v>1019.409</v>
      </c>
      <c r="N22" s="12" t="n">
        <v>-197.118</v>
      </c>
      <c r="O22" s="11" t="n">
        <v>270.301</v>
      </c>
      <c r="P22" s="12" t="n">
        <v>60.227</v>
      </c>
      <c r="Q22" s="12" t="n">
        <v>-1576.145</v>
      </c>
      <c r="R22" s="12" t="n">
        <v>569.159</v>
      </c>
      <c r="S22" s="12" t="n">
        <v>303.392</v>
      </c>
      <c r="T22" s="12" t="n">
        <v>-819.018</v>
      </c>
      <c r="U22" s="12" t="n">
        <v>-466.65</v>
      </c>
      <c r="V22" s="12" t="n">
        <v>919.006</v>
      </c>
      <c r="W22" s="12" t="n">
        <v>1484.454</v>
      </c>
      <c r="X22" s="12" t="n">
        <v>1771.76</v>
      </c>
      <c r="Y22" s="11">
        <f>IF(OR(Y4="",Y23=""),"",IFERROR(Y4*Y23,""))</f>
        <v/>
      </c>
      <c r="Z22" s="12">
        <f>IF(OR(Z4="",Z23=""),"",IFERROR(Z4*Z23,""))</f>
        <v/>
      </c>
      <c r="AA22" s="12">
        <f>IF(OR(AA4="",AA23=""),"",IFERROR(AA4*AA23,""))</f>
        <v/>
      </c>
      <c r="AB22" s="12">
        <f>IF(OR(AB4="",AB23=""),"",IFERROR(AB4*AB23,""))</f>
        <v/>
      </c>
      <c r="AC22" s="12">
        <f>IF(OR(AC4="",AC23=""),"",IFERROR(AC4*AC23,""))</f>
        <v/>
      </c>
    </row>
    <row r="23">
      <c r="A23" s="13" t="inlineStr">
        <is>
          <t>OPM</t>
        </is>
      </c>
      <c r="B23" s="10" t="inlineStr">
        <is>
          <t>MW 입력</t>
        </is>
      </c>
      <c r="C23" s="14">
        <f>IF(OR(C22="",C4=""),"",IFERROR(C22/C4,""))</f>
        <v/>
      </c>
      <c r="D23" s="15">
        <f>IF(OR(D22="",D4=""),"",IFERROR(D22/D4,""))</f>
        <v/>
      </c>
      <c r="E23" s="15">
        <f>IF(OR(E22="",E4=""),"",IFERROR(E22/E4,""))</f>
        <v/>
      </c>
      <c r="F23" s="15">
        <f>IF(OR(F22="",F4=""),"",IFERROR(F22/F4,""))</f>
        <v/>
      </c>
      <c r="G23" s="15">
        <f>IF(OR(G22="",G4=""),"",IFERROR(G22/G4,""))</f>
        <v/>
      </c>
      <c r="H23" s="15">
        <f>IF(OR(H22="",H4=""),"",IFERROR(H22/H4,""))</f>
        <v/>
      </c>
      <c r="I23" s="15">
        <f>IF(OR(I22="",I4=""),"",IFERROR(I22/I4,""))</f>
        <v/>
      </c>
      <c r="J23" s="15">
        <f>IF(OR(J22="",J4=""),"",IFERROR(J22/J4,""))</f>
        <v/>
      </c>
      <c r="K23" s="15">
        <f>IF(OR(K22="",K4=""),"",IFERROR(K22/K4,""))</f>
        <v/>
      </c>
      <c r="L23" s="15">
        <f>IF(OR(L22="",L4=""),"",IFERROR(L22/L4,""))</f>
        <v/>
      </c>
      <c r="M23" s="15">
        <f>IF(OR(M22="",M4=""),"",IFERROR(M22/M4,""))</f>
        <v/>
      </c>
      <c r="N23" s="15">
        <f>IF(OR(N22="",N4=""),"",IFERROR(N22/N4,""))</f>
        <v/>
      </c>
      <c r="O23" s="14">
        <f>IF(OR(O22="",O4=""),"",IFERROR(O22/O4,""))</f>
        <v/>
      </c>
      <c r="P23" s="15">
        <f>IF(OR(P22="",P4=""),"",IFERROR(P22/P4,""))</f>
        <v/>
      </c>
      <c r="Q23" s="15">
        <f>IF(OR(Q22="",Q4=""),"",IFERROR(Q22/Q4,""))</f>
        <v/>
      </c>
      <c r="R23" s="15">
        <f>IF(OR(R22="",R4=""),"",IFERROR(R22/R4,""))</f>
        <v/>
      </c>
      <c r="S23" s="15">
        <f>IF(OR(S22="",S4=""),"",IFERROR(S22/S4,""))</f>
        <v/>
      </c>
      <c r="T23" s="15">
        <f>IF(OR(T22="",T4=""),"",IFERROR(T22/T4,""))</f>
        <v/>
      </c>
      <c r="U23" s="15">
        <f>IF(OR(U22="",U4=""),"",IFERROR(U22/U4,""))</f>
        <v/>
      </c>
      <c r="V23" s="15">
        <f>IF(OR(V22="",V4=""),"",IFERROR(V22/V4,""))</f>
        <v/>
      </c>
      <c r="W23" s="15">
        <f>IF(OR(W22="",W4=""),"",IFERROR(W22/W4,""))</f>
        <v/>
      </c>
      <c r="X23" s="15">
        <f>IF(OR(X22="",X4=""),"",IFERROR(X22/X4,""))</f>
        <v/>
      </c>
      <c r="Y23" s="25" t="n"/>
      <c r="Z23" s="26" t="n"/>
      <c r="AA23" s="26" t="n"/>
      <c r="AB23" s="26" t="n"/>
      <c r="AC23" s="26" t="n"/>
    </row>
    <row r="24">
      <c r="A24" s="13" t="inlineStr">
        <is>
          <t>증가율</t>
        </is>
      </c>
      <c r="B24" s="10" t="n"/>
      <c r="C24" s="14" t="n"/>
      <c r="D24" s="15" t="n"/>
      <c r="E24" s="15" t="n"/>
      <c r="F24" s="15" t="n"/>
      <c r="G24" s="15">
        <f>IF(OR(G22="",C22=""),"",IFERROR(G22/C22-1,""))</f>
        <v/>
      </c>
      <c r="H24" s="15">
        <f>IF(OR(H22="",D22=""),"",IFERROR(H22/D22-1,""))</f>
        <v/>
      </c>
      <c r="I24" s="15">
        <f>IF(OR(I22="",E22=""),"",IFERROR(I22/E22-1,""))</f>
        <v/>
      </c>
      <c r="J24" s="15">
        <f>IF(OR(J22="",F22=""),"",IFERROR(J22/F22-1,""))</f>
        <v/>
      </c>
      <c r="K24" s="15">
        <f>IF(OR(K22="",G22=""),"",IFERROR(K22/G22-1,""))</f>
        <v/>
      </c>
      <c r="L24" s="15">
        <f>IF(OR(L22="",H22=""),"",IFERROR(L22/H22-1,""))</f>
        <v/>
      </c>
      <c r="M24" s="15">
        <f>IF(OR(M22="",I22=""),"",IFERROR(M22/I22-1,""))</f>
        <v/>
      </c>
      <c r="N24" s="15">
        <f>IF(OR(N22="",J22=""),"",IFERROR(N22/J22-1,""))</f>
        <v/>
      </c>
      <c r="O24" s="14" t="n"/>
      <c r="P24" s="15">
        <f>IF(OR(P22="",O22=""),"",IFERROR(P22/O22-1,""))</f>
        <v/>
      </c>
      <c r="Q24" s="15">
        <f>IF(OR(Q22="",P22=""),"",IFERROR(Q22/P22-1,""))</f>
        <v/>
      </c>
      <c r="R24" s="15">
        <f>IF(OR(R22="",Q22=""),"",IFERROR(R22/Q22-1,""))</f>
        <v/>
      </c>
      <c r="S24" s="15">
        <f>IF(OR(S22="",R22=""),"",IFERROR(S22/R22-1,""))</f>
        <v/>
      </c>
      <c r="T24" s="15">
        <f>IF(OR(T22="",S22=""),"",IFERROR(T22/S22-1,""))</f>
        <v/>
      </c>
      <c r="U24" s="15">
        <f>IF(OR(U22="",T22=""),"",IFERROR(U22/T22-1,""))</f>
        <v/>
      </c>
      <c r="V24" s="15">
        <f>IF(OR(V22="",U22=""),"",IFERROR(V22/U22-1,""))</f>
        <v/>
      </c>
      <c r="W24" s="15">
        <f>IF(OR(W22="",V22=""),"",IFERROR(W22/V22-1,""))</f>
        <v/>
      </c>
      <c r="X24" s="15">
        <f>IF(OR(X22="",W22=""),"",IFERROR(X22/W22-1,""))</f>
        <v/>
      </c>
      <c r="Y24" s="14">
        <f>IF(OR(Y22="",X22=""),"",IFERROR(Y22/X22-1,""))</f>
        <v/>
      </c>
      <c r="Z24" s="15">
        <f>IF(OR(Z22="",Y22=""),"",IFERROR(Z22/Y22-1,""))</f>
        <v/>
      </c>
      <c r="AA24" s="15">
        <f>IF(OR(AA22="",Z22=""),"",IFERROR(AA22/Z22-1,""))</f>
        <v/>
      </c>
      <c r="AB24" s="15">
        <f>IF(OR(AB22="",AA22=""),"",IFERROR(AB22/AA22-1,""))</f>
        <v/>
      </c>
      <c r="AC24" s="15">
        <f>IF(OR(AC22="",AB22=""),"",IFERROR(AC22/AB22-1,""))</f>
        <v/>
      </c>
    </row>
    <row r="25">
      <c r="A25" s="16" t="inlineStr">
        <is>
          <t>비용의 성격별 분류</t>
        </is>
      </c>
      <c r="B25" s="16" t="inlineStr">
        <is>
          <t>참고 데이터</t>
        </is>
      </c>
      <c r="C25" s="17" t="n"/>
      <c r="D25" s="16" t="n"/>
      <c r="E25" s="16" t="n"/>
      <c r="F25" s="16" t="n"/>
      <c r="G25" s="16" t="n"/>
      <c r="H25" s="16" t="n"/>
      <c r="I25" s="16" t="n"/>
      <c r="J25" s="16" t="n"/>
      <c r="K25" s="16" t="n"/>
      <c r="L25" s="16" t="n"/>
      <c r="M25" s="16" t="n"/>
      <c r="N25" s="16" t="n"/>
      <c r="O25" s="17" t="n"/>
      <c r="P25" s="16" t="n"/>
      <c r="Q25" s="16" t="n"/>
      <c r="R25" s="16" t="n"/>
      <c r="S25" s="16" t="n"/>
      <c r="T25" s="16" t="n"/>
      <c r="U25" s="16" t="n"/>
      <c r="V25" s="16" t="n"/>
      <c r="W25" s="16" t="n"/>
      <c r="X25" s="16" t="n"/>
      <c r="Y25" s="17" t="n"/>
      <c r="Z25" s="16" t="n"/>
      <c r="AA25" s="16" t="n"/>
      <c r="AB25" s="16" t="n"/>
      <c r="AC25" s="16" t="n"/>
    </row>
    <row r="26">
      <c r="A26" s="9" t="inlineStr">
        <is>
          <t>총 판관비</t>
        </is>
      </c>
      <c r="B26" s="10" t="n"/>
      <c r="C26" s="11" t="n"/>
      <c r="D26" s="12" t="n"/>
      <c r="E26" s="12" t="n"/>
      <c r="F26" s="12" t="n"/>
      <c r="G26" s="12" t="n"/>
      <c r="H26" s="12" t="n"/>
      <c r="I26" s="12" t="n"/>
      <c r="J26" s="12" t="n"/>
      <c r="K26" s="12" t="n"/>
      <c r="L26" s="12" t="n"/>
      <c r="M26" s="12" t="n"/>
      <c r="N26" s="12" t="n"/>
      <c r="O26" s="11">
        <f>IF(O20="","",O20)</f>
        <v/>
      </c>
      <c r="P26" s="12">
        <f>IF(P20="","",P20)</f>
        <v/>
      </c>
      <c r="Q26" s="12">
        <f>IF(Q20="","",Q20)</f>
        <v/>
      </c>
      <c r="R26" s="12">
        <f>IF(R20="","",R20)</f>
        <v/>
      </c>
      <c r="S26" s="12">
        <f>IF(S20="","",S20)</f>
        <v/>
      </c>
      <c r="T26" s="12">
        <f>IF(T20="","",T20)</f>
        <v/>
      </c>
      <c r="U26" s="12">
        <f>IF(U20="","",U20)</f>
        <v/>
      </c>
      <c r="V26" s="12">
        <f>IF(V20="","",V20)</f>
        <v/>
      </c>
      <c r="W26" s="12">
        <f>IF(W20="","",W20)</f>
        <v/>
      </c>
      <c r="X26" s="12">
        <f>IF(X20="","",X20)</f>
        <v/>
      </c>
      <c r="Y26" s="11" t="n"/>
      <c r="Z26" s="12" t="n"/>
      <c r="AA26" s="12" t="n"/>
      <c r="AB26" s="12" t="n"/>
      <c r="AC26" s="12" t="n"/>
    </row>
    <row r="27">
      <c r="A27" s="18" t="inlineStr">
        <is>
          <t>급여</t>
        </is>
      </c>
      <c r="B27" s="10" t="inlineStr">
        <is>
          <t>고정비</t>
        </is>
      </c>
      <c r="C27" s="19" t="n"/>
      <c r="D27" s="20" t="n"/>
      <c r="E27" s="20" t="n"/>
      <c r="F27" s="20" t="n"/>
      <c r="G27" s="20" t="n"/>
      <c r="H27" s="20" t="n"/>
      <c r="I27" s="20" t="n"/>
      <c r="J27" s="20" t="n"/>
      <c r="K27" s="20" t="n"/>
      <c r="L27" s="20" t="n"/>
      <c r="M27" s="20" t="n"/>
      <c r="N27" s="20" t="n"/>
      <c r="O27" s="19" t="n"/>
      <c r="P27" s="20" t="n"/>
      <c r="Q27" s="20" t="n"/>
      <c r="R27" s="20" t="n"/>
      <c r="S27" s="20" t="n"/>
      <c r="T27" s="20" t="n"/>
      <c r="U27" s="20" t="n"/>
      <c r="V27" s="20" t="n"/>
      <c r="W27" s="20" t="n"/>
      <c r="X27" s="20" t="n"/>
      <c r="Y27" s="19" t="n"/>
      <c r="Z27" s="20" t="n"/>
      <c r="AA27" s="20" t="n"/>
      <c r="AB27" s="20" t="n"/>
      <c r="AC27" s="20" t="n"/>
    </row>
    <row r="28">
      <c r="A28" s="13" t="inlineStr">
        <is>
          <t>% of Sales</t>
        </is>
      </c>
      <c r="B28" s="10" t="n"/>
      <c r="C28" s="14" t="n"/>
      <c r="D28" s="15" t="n"/>
      <c r="E28" s="15" t="n"/>
      <c r="F28" s="15" t="n"/>
      <c r="G28" s="15" t="n"/>
      <c r="H28" s="15" t="n"/>
      <c r="I28" s="15" t="n"/>
      <c r="J28" s="15" t="n"/>
      <c r="K28" s="15" t="n"/>
      <c r="L28" s="15" t="n"/>
      <c r="M28" s="15" t="n"/>
      <c r="N28" s="15" t="n"/>
      <c r="O28" s="14">
        <f>IF(OR(O27="",O4=""),"",IFERROR(O27/O4,""))</f>
        <v/>
      </c>
      <c r="P28" s="15">
        <f>IF(OR(P27="",P4=""),"",IFERROR(P27/P4,""))</f>
        <v/>
      </c>
      <c r="Q28" s="15">
        <f>IF(OR(Q27="",Q4=""),"",IFERROR(Q27/Q4,""))</f>
        <v/>
      </c>
      <c r="R28" s="15">
        <f>IF(OR(R27="",R4=""),"",IFERROR(R27/R4,""))</f>
        <v/>
      </c>
      <c r="S28" s="15">
        <f>IF(OR(S27="",S4=""),"",IFERROR(S27/S4,""))</f>
        <v/>
      </c>
      <c r="T28" s="15">
        <f>IF(OR(T27="",T4=""),"",IFERROR(T27/T4,""))</f>
        <v/>
      </c>
      <c r="U28" s="15">
        <f>IF(OR(U27="",U4=""),"",IFERROR(U27/U4,""))</f>
        <v/>
      </c>
      <c r="V28" s="15">
        <f>IF(OR(V27="",V4=""),"",IFERROR(V27/V4,""))</f>
        <v/>
      </c>
      <c r="W28" s="15">
        <f>IF(OR(W27="",W4=""),"",IFERROR(W27/W4,""))</f>
        <v/>
      </c>
      <c r="X28" s="15">
        <f>IF(OR(X27="",X4=""),"",IFERROR(X27/X4,""))</f>
        <v/>
      </c>
      <c r="Y28" s="14" t="n"/>
      <c r="Z28" s="15" t="n"/>
      <c r="AA28" s="15" t="n"/>
      <c r="AB28" s="15" t="n"/>
      <c r="AC28" s="15" t="n"/>
    </row>
    <row r="29">
      <c r="A29" s="18" t="inlineStr">
        <is>
          <t>감가상각비</t>
        </is>
      </c>
      <c r="B29" s="10" t="inlineStr">
        <is>
          <t>고정비</t>
        </is>
      </c>
      <c r="C29" s="19" t="n"/>
      <c r="D29" s="20" t="n"/>
      <c r="E29" s="20" t="n"/>
      <c r="F29" s="20" t="n"/>
      <c r="G29" s="20" t="n"/>
      <c r="H29" s="20" t="n"/>
      <c r="I29" s="20" t="n"/>
      <c r="J29" s="20" t="n"/>
      <c r="K29" s="20" t="n"/>
      <c r="L29" s="20" t="n"/>
      <c r="M29" s="20" t="n"/>
      <c r="N29" s="20" t="n"/>
      <c r="O29" s="19" t="n"/>
      <c r="P29" s="20" t="n"/>
      <c r="Q29" s="20" t="n"/>
      <c r="R29" s="20" t="n"/>
      <c r="S29" s="20" t="n"/>
      <c r="T29" s="20" t="n"/>
      <c r="U29" s="20" t="n"/>
      <c r="V29" s="20" t="n"/>
      <c r="W29" s="20" t="n"/>
      <c r="X29" s="20" t="n"/>
      <c r="Y29" s="19" t="n"/>
      <c r="Z29" s="20" t="n"/>
      <c r="AA29" s="20" t="n"/>
      <c r="AB29" s="20" t="n"/>
      <c r="AC29" s="20" t="n"/>
    </row>
    <row r="30">
      <c r="A30" s="13" t="inlineStr">
        <is>
          <t>% of Sales</t>
        </is>
      </c>
      <c r="B30" s="10" t="n"/>
      <c r="C30" s="14" t="n"/>
      <c r="D30" s="15" t="n"/>
      <c r="E30" s="15" t="n"/>
      <c r="F30" s="15" t="n"/>
      <c r="G30" s="15" t="n"/>
      <c r="H30" s="15" t="n"/>
      <c r="I30" s="15" t="n"/>
      <c r="J30" s="15" t="n"/>
      <c r="K30" s="15" t="n"/>
      <c r="L30" s="15" t="n"/>
      <c r="M30" s="15" t="n"/>
      <c r="N30" s="15" t="n"/>
      <c r="O30" s="14">
        <f>IF(OR(O29="",O4=""),"",IFERROR(O29/O4,""))</f>
        <v/>
      </c>
      <c r="P30" s="15">
        <f>IF(OR(P29="",P4=""),"",IFERROR(P29/P4,""))</f>
        <v/>
      </c>
      <c r="Q30" s="15">
        <f>IF(OR(Q29="",Q4=""),"",IFERROR(Q29/Q4,""))</f>
        <v/>
      </c>
      <c r="R30" s="15">
        <f>IF(OR(R29="",R4=""),"",IFERROR(R29/R4,""))</f>
        <v/>
      </c>
      <c r="S30" s="15">
        <f>IF(OR(S29="",S4=""),"",IFERROR(S29/S4,""))</f>
        <v/>
      </c>
      <c r="T30" s="15">
        <f>IF(OR(T29="",T4=""),"",IFERROR(T29/T4,""))</f>
        <v/>
      </c>
      <c r="U30" s="15">
        <f>IF(OR(U29="",U4=""),"",IFERROR(U29/U4,""))</f>
        <v/>
      </c>
      <c r="V30" s="15">
        <f>IF(OR(V29="",V4=""),"",IFERROR(V29/V4,""))</f>
        <v/>
      </c>
      <c r="W30" s="15">
        <f>IF(OR(W29="",W4=""),"",IFERROR(W29/W4,""))</f>
        <v/>
      </c>
      <c r="X30" s="15">
        <f>IF(OR(X29="",X4=""),"",IFERROR(X29/X4,""))</f>
        <v/>
      </c>
      <c r="Y30" s="14" t="n"/>
      <c r="Z30" s="15" t="n"/>
      <c r="AA30" s="15" t="n"/>
      <c r="AB30" s="15" t="n"/>
      <c r="AC30" s="15" t="n"/>
    </row>
    <row r="31">
      <c r="A31" s="18" t="inlineStr">
        <is>
          <t>지급수수료</t>
        </is>
      </c>
      <c r="B31" s="10" t="inlineStr">
        <is>
          <t>고정비</t>
        </is>
      </c>
      <c r="C31" s="19" t="n"/>
      <c r="D31" s="20" t="n"/>
      <c r="E31" s="20" t="n"/>
      <c r="F31" s="20" t="n"/>
      <c r="G31" s="20" t="n"/>
      <c r="H31" s="20" t="n"/>
      <c r="I31" s="20" t="n"/>
      <c r="J31" s="20" t="n"/>
      <c r="K31" s="20" t="n"/>
      <c r="L31" s="20" t="n"/>
      <c r="M31" s="20" t="n"/>
      <c r="N31" s="20" t="n"/>
      <c r="O31" s="19" t="n"/>
      <c r="P31" s="20" t="n"/>
      <c r="Q31" s="20" t="n"/>
      <c r="R31" s="20" t="n"/>
      <c r="S31" s="20" t="n"/>
      <c r="T31" s="20" t="n"/>
      <c r="U31" s="20" t="n"/>
      <c r="V31" s="20" t="n"/>
      <c r="W31" s="20" t="n"/>
      <c r="X31" s="20" t="n"/>
      <c r="Y31" s="19" t="n"/>
      <c r="Z31" s="20" t="n"/>
      <c r="AA31" s="20" t="n"/>
      <c r="AB31" s="20" t="n"/>
      <c r="AC31" s="20" t="n"/>
    </row>
    <row r="32">
      <c r="A32" s="13" t="inlineStr">
        <is>
          <t>% of Sales</t>
        </is>
      </c>
      <c r="B32" s="10" t="n"/>
      <c r="C32" s="14" t="n"/>
      <c r="D32" s="15" t="n"/>
      <c r="E32" s="15" t="n"/>
      <c r="F32" s="15" t="n"/>
      <c r="G32" s="15" t="n"/>
      <c r="H32" s="15" t="n"/>
      <c r="I32" s="15" t="n"/>
      <c r="J32" s="15" t="n"/>
      <c r="K32" s="15" t="n"/>
      <c r="L32" s="15" t="n"/>
      <c r="M32" s="15" t="n"/>
      <c r="N32" s="15" t="n"/>
      <c r="O32" s="14">
        <f>IF(OR(O31="",O4=""),"",IFERROR(O31/O4,""))</f>
        <v/>
      </c>
      <c r="P32" s="15">
        <f>IF(OR(P31="",P4=""),"",IFERROR(P31/P4,""))</f>
        <v/>
      </c>
      <c r="Q32" s="15">
        <f>IF(OR(Q31="",Q4=""),"",IFERROR(Q31/Q4,""))</f>
        <v/>
      </c>
      <c r="R32" s="15">
        <f>IF(OR(R31="",R4=""),"",IFERROR(R31/R4,""))</f>
        <v/>
      </c>
      <c r="S32" s="15">
        <f>IF(OR(S31="",S4=""),"",IFERROR(S31/S4,""))</f>
        <v/>
      </c>
      <c r="T32" s="15">
        <f>IF(OR(T31="",T4=""),"",IFERROR(T31/T4,""))</f>
        <v/>
      </c>
      <c r="U32" s="15">
        <f>IF(OR(U31="",U4=""),"",IFERROR(U31/U4,""))</f>
        <v/>
      </c>
      <c r="V32" s="15">
        <f>IF(OR(V31="",V4=""),"",IFERROR(V31/V4,""))</f>
        <v/>
      </c>
      <c r="W32" s="15">
        <f>IF(OR(W31="",W4=""),"",IFERROR(W31/W4,""))</f>
        <v/>
      </c>
      <c r="X32" s="15">
        <f>IF(OR(X31="",X4=""),"",IFERROR(X31/X4,""))</f>
        <v/>
      </c>
      <c r="Y32" s="14" t="n"/>
      <c r="Z32" s="15" t="n"/>
      <c r="AA32" s="15" t="n"/>
      <c r="AB32" s="15" t="n"/>
      <c r="AC32" s="15" t="n"/>
    </row>
    <row r="33">
      <c r="A33" s="18" t="inlineStr">
        <is>
          <t>연구개발비</t>
        </is>
      </c>
      <c r="B33" s="10" t="inlineStr">
        <is>
          <t>변동비</t>
        </is>
      </c>
      <c r="C33" s="19" t="n"/>
      <c r="D33" s="20" t="n"/>
      <c r="E33" s="20" t="n"/>
      <c r="F33" s="20" t="n"/>
      <c r="G33" s="20" t="n"/>
      <c r="H33" s="20" t="n"/>
      <c r="I33" s="20" t="n"/>
      <c r="J33" s="20" t="n"/>
      <c r="K33" s="20" t="n"/>
      <c r="L33" s="20" t="n"/>
      <c r="M33" s="20" t="n"/>
      <c r="N33" s="20" t="n"/>
      <c r="O33" s="19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19" t="n"/>
      <c r="Z33" s="20" t="n"/>
      <c r="AA33" s="20" t="n"/>
      <c r="AB33" s="20" t="n"/>
      <c r="AC33" s="20" t="n"/>
    </row>
    <row r="34">
      <c r="A34" s="13" t="inlineStr">
        <is>
          <t>% of Sales</t>
        </is>
      </c>
      <c r="B34" s="10" t="n"/>
      <c r="C34" s="14" t="n"/>
      <c r="D34" s="15" t="n"/>
      <c r="E34" s="15" t="n"/>
      <c r="F34" s="15" t="n"/>
      <c r="G34" s="15" t="n"/>
      <c r="H34" s="15" t="n"/>
      <c r="I34" s="15" t="n"/>
      <c r="J34" s="15" t="n"/>
      <c r="K34" s="15" t="n"/>
      <c r="L34" s="15" t="n"/>
      <c r="M34" s="15" t="n"/>
      <c r="N34" s="15" t="n"/>
      <c r="O34" s="14">
        <f>IF(OR(O33="",O4=""),"",IFERROR(O33/O4,""))</f>
        <v/>
      </c>
      <c r="P34" s="15">
        <f>IF(OR(P33="",P4=""),"",IFERROR(P33/P4,""))</f>
        <v/>
      </c>
      <c r="Q34" s="15">
        <f>IF(OR(Q33="",Q4=""),"",IFERROR(Q33/Q4,""))</f>
        <v/>
      </c>
      <c r="R34" s="15">
        <f>IF(OR(R33="",R4=""),"",IFERROR(R33/R4,""))</f>
        <v/>
      </c>
      <c r="S34" s="15">
        <f>IF(OR(S33="",S4=""),"",IFERROR(S33/S4,""))</f>
        <v/>
      </c>
      <c r="T34" s="15">
        <f>IF(OR(T33="",T4=""),"",IFERROR(T33/T4,""))</f>
        <v/>
      </c>
      <c r="U34" s="15">
        <f>IF(OR(U33="",U4=""),"",IFERROR(U33/U4,""))</f>
        <v/>
      </c>
      <c r="V34" s="15">
        <f>IF(OR(V33="",V4=""),"",IFERROR(V33/V4,""))</f>
        <v/>
      </c>
      <c r="W34" s="15">
        <f>IF(OR(W33="",W4=""),"",IFERROR(W33/W4,""))</f>
        <v/>
      </c>
      <c r="X34" s="15">
        <f>IF(OR(X33="",X4=""),"",IFERROR(X33/X4,""))</f>
        <v/>
      </c>
      <c r="Y34" s="14" t="n"/>
      <c r="Z34" s="15" t="n"/>
      <c r="AA34" s="15" t="n"/>
      <c r="AB34" s="15" t="n"/>
      <c r="AC34" s="15" t="n"/>
    </row>
    <row r="35">
      <c r="A35" s="18" t="inlineStr">
        <is>
          <t>기타비용</t>
        </is>
      </c>
      <c r="B35" s="10" t="inlineStr">
        <is>
          <t>변동비</t>
        </is>
      </c>
      <c r="C35" s="19" t="n"/>
      <c r="D35" s="20" t="n"/>
      <c r="E35" s="20" t="n"/>
      <c r="F35" s="20" t="n"/>
      <c r="G35" s="20" t="n"/>
      <c r="H35" s="20" t="n"/>
      <c r="I35" s="20" t="n"/>
      <c r="J35" s="20" t="n"/>
      <c r="K35" s="20" t="n"/>
      <c r="L35" s="20" t="n"/>
      <c r="M35" s="20" t="n"/>
      <c r="N35" s="20" t="n"/>
      <c r="O35" s="19">
        <f>IF(OR(O26="",O27="",O29="",O31="",O33=""),"",IFERROR(O26-O27-O29-O31-O33,""))</f>
        <v/>
      </c>
      <c r="P35" s="20">
        <f>IF(OR(P26="",P27="",P29="",P31="",P33=""),"",IFERROR(P26-P27-P29-P31-P33,""))</f>
        <v/>
      </c>
      <c r="Q35" s="20">
        <f>IF(OR(Q26="",Q27="",Q29="",Q31="",Q33=""),"",IFERROR(Q26-Q27-Q29-Q31-Q33,""))</f>
        <v/>
      </c>
      <c r="R35" s="20">
        <f>IF(OR(R26="",R27="",R29="",R31="",R33=""),"",IFERROR(R26-R27-R29-R31-R33,""))</f>
        <v/>
      </c>
      <c r="S35" s="20">
        <f>IF(OR(S26="",S27="",S29="",S31="",S33=""),"",IFERROR(S26-S27-S29-S31-S33,""))</f>
        <v/>
      </c>
      <c r="T35" s="20">
        <f>IF(OR(T26="",T27="",T29="",T31="",T33=""),"",IFERROR(T26-T27-T29-T31-T33,""))</f>
        <v/>
      </c>
      <c r="U35" s="20">
        <f>IF(OR(U26="",U27="",U29="",U31="",U33=""),"",IFERROR(U26-U27-U29-U31-U33,""))</f>
        <v/>
      </c>
      <c r="V35" s="20">
        <f>IF(OR(V26="",V27="",V29="",V31="",V33=""),"",IFERROR(V26-V27-V29-V31-V33,""))</f>
        <v/>
      </c>
      <c r="W35" s="20">
        <f>IF(OR(W26="",W27="",W29="",W31="",W33=""),"",IFERROR(W26-W27-W29-W31-W33,""))</f>
        <v/>
      </c>
      <c r="X35" s="20">
        <f>IF(OR(X26="",X27="",X29="",X31="",X33=""),"",IFERROR(X26-X27-X29-X31-X33,""))</f>
        <v/>
      </c>
      <c r="Y35" s="19" t="n"/>
      <c r="Z35" s="20" t="n"/>
      <c r="AA35" s="20" t="n"/>
      <c r="AB35" s="20" t="n"/>
      <c r="AC35" s="20" t="n"/>
    </row>
    <row r="36">
      <c r="A36" s="13" t="inlineStr">
        <is>
          <t>% of Sales</t>
        </is>
      </c>
      <c r="B36" s="10" t="n"/>
      <c r="C36" s="14" t="n"/>
      <c r="D36" s="15" t="n"/>
      <c r="E36" s="15" t="n"/>
      <c r="F36" s="15" t="n"/>
      <c r="G36" s="15" t="n"/>
      <c r="H36" s="15" t="n"/>
      <c r="I36" s="15" t="n"/>
      <c r="J36" s="15" t="n"/>
      <c r="K36" s="15" t="n"/>
      <c r="L36" s="15" t="n"/>
      <c r="M36" s="15" t="n"/>
      <c r="N36" s="15" t="n"/>
      <c r="O36" s="14">
        <f>IF(OR(O35="",O4=""),"",IFERROR(O35/O4,""))</f>
        <v/>
      </c>
      <c r="P36" s="15">
        <f>IF(OR(P35="",P4=""),"",IFERROR(P35/P4,""))</f>
        <v/>
      </c>
      <c r="Q36" s="15">
        <f>IF(OR(Q35="",Q4=""),"",IFERROR(Q35/Q4,""))</f>
        <v/>
      </c>
      <c r="R36" s="15">
        <f>IF(OR(R35="",R4=""),"",IFERROR(R35/R4,""))</f>
        <v/>
      </c>
      <c r="S36" s="15">
        <f>IF(OR(S35="",S4=""),"",IFERROR(S35/S4,""))</f>
        <v/>
      </c>
      <c r="T36" s="15">
        <f>IF(OR(T35="",T4=""),"",IFERROR(T35/T4,""))</f>
        <v/>
      </c>
      <c r="U36" s="15">
        <f>IF(OR(U35="",U4=""),"",IFERROR(U35/U4,""))</f>
        <v/>
      </c>
      <c r="V36" s="15">
        <f>IF(OR(V35="",V4=""),"",IFERROR(V35/V4,""))</f>
        <v/>
      </c>
      <c r="W36" s="15">
        <f>IF(OR(W35="",W4=""),"",IFERROR(W35/W4,""))</f>
        <v/>
      </c>
      <c r="X36" s="15">
        <f>IF(OR(X35="",X4=""),"",IFERROR(X35/X4,""))</f>
        <v/>
      </c>
      <c r="Y36" s="14" t="n"/>
      <c r="Z36" s="15" t="n"/>
      <c r="AA36" s="15" t="n"/>
      <c r="AB36" s="15" t="n"/>
      <c r="AC36" s="15" t="n"/>
    </row>
    <row r="37">
      <c r="A37" s="16" t="inlineStr">
        <is>
          <t>당기순이익 추정</t>
        </is>
      </c>
      <c r="B37" s="16" t="n"/>
      <c r="C37" s="17" t="n"/>
      <c r="D37" s="16" t="n"/>
      <c r="E37" s="16" t="n"/>
      <c r="F37" s="16" t="n"/>
      <c r="G37" s="16" t="n"/>
      <c r="H37" s="16" t="n"/>
      <c r="I37" s="16" t="n"/>
      <c r="J37" s="16" t="n"/>
      <c r="K37" s="16" t="n"/>
      <c r="L37" s="16" t="n"/>
      <c r="M37" s="16" t="n"/>
      <c r="N37" s="16" t="n"/>
      <c r="O37" s="17" t="n"/>
      <c r="P37" s="16" t="n"/>
      <c r="Q37" s="16" t="n"/>
      <c r="R37" s="16" t="n"/>
      <c r="S37" s="16" t="n"/>
      <c r="T37" s="16" t="n"/>
      <c r="U37" s="16" t="n"/>
      <c r="V37" s="16" t="n"/>
      <c r="W37" s="16" t="n"/>
      <c r="X37" s="16" t="n"/>
      <c r="Y37" s="17" t="n"/>
      <c r="Z37" s="16" t="n"/>
      <c r="AA37" s="16" t="n"/>
      <c r="AB37" s="16" t="n"/>
      <c r="AC37" s="16" t="n"/>
    </row>
    <row r="38">
      <c r="A38" s="18" t="inlineStr">
        <is>
          <t>특별이익</t>
        </is>
      </c>
      <c r="B38" s="10" t="n"/>
      <c r="C38" s="19" t="n">
        <v>14.571</v>
      </c>
      <c r="D38" s="20" t="n">
        <v>1.567</v>
      </c>
      <c r="E38" s="20" t="n">
        <v>0</v>
      </c>
      <c r="F38" s="20" t="n">
        <v>0</v>
      </c>
      <c r="G38" s="20" t="n">
        <v>0</v>
      </c>
      <c r="H38" s="20" t="n">
        <v>0</v>
      </c>
      <c r="I38" s="20" t="n">
        <v>0</v>
      </c>
      <c r="J38" s="20" t="n"/>
      <c r="K38" s="20" t="n"/>
      <c r="L38" s="20" t="n"/>
      <c r="M38" s="20" t="n"/>
      <c r="N38" s="20" t="n"/>
      <c r="O38" s="19" t="n">
        <v>0</v>
      </c>
      <c r="P38" s="20" t="n">
        <v>13.662</v>
      </c>
      <c r="Q38" s="20" t="n">
        <v>115.785</v>
      </c>
      <c r="R38" s="20" t="n">
        <v>0</v>
      </c>
      <c r="S38" s="20" t="n"/>
      <c r="T38" s="20" t="n">
        <v>0</v>
      </c>
      <c r="U38" s="20" t="n">
        <v>49.837</v>
      </c>
      <c r="V38" s="20" t="n">
        <v>47.822</v>
      </c>
      <c r="W38" s="20" t="n">
        <v>0</v>
      </c>
      <c r="X38" s="20" t="n"/>
      <c r="Y38" s="19">
        <f>IF(OR(Y4="",Y39=""),"",IFERROR(Y4*Y39,""))</f>
        <v/>
      </c>
      <c r="Z38" s="20">
        <f>IF(OR(Z4="",Z39=""),"",IFERROR(Z4*Z39,""))</f>
        <v/>
      </c>
      <c r="AA38" s="20">
        <f>IF(OR(AA4="",AA39=""),"",IFERROR(AA4*AA39,""))</f>
        <v/>
      </c>
      <c r="AB38" s="20">
        <f>IF(OR(AB4="",AB39=""),"",IFERROR(AB4*AB39,""))</f>
        <v/>
      </c>
      <c r="AC38" s="20">
        <f>IF(OR(AC4="",AC39=""),"",IFERROR(AC4*AC39,""))</f>
        <v/>
      </c>
    </row>
    <row r="39">
      <c r="A39" s="13" t="inlineStr">
        <is>
          <t>% of Sales</t>
        </is>
      </c>
      <c r="B39" s="10" t="inlineStr">
        <is>
          <t>MW = 최근 3년 평균</t>
        </is>
      </c>
      <c r="C39" s="14">
        <f>IF(OR(C38="",C4=""),"",IFERROR(C38/C4,""))</f>
        <v/>
      </c>
      <c r="D39" s="15">
        <f>IF(OR(D38="",D4=""),"",IFERROR(D38/D4,""))</f>
        <v/>
      </c>
      <c r="E39" s="15">
        <f>IF(OR(E38="",E4=""),"",IFERROR(E38/E4,""))</f>
        <v/>
      </c>
      <c r="F39" s="15">
        <f>IF(OR(F38="",F4=""),"",IFERROR(F38/F4,""))</f>
        <v/>
      </c>
      <c r="G39" s="15">
        <f>IF(OR(G38="",G4=""),"",IFERROR(G38/G4,""))</f>
        <v/>
      </c>
      <c r="H39" s="15">
        <f>IF(OR(H38="",H4=""),"",IFERROR(H38/H4,""))</f>
        <v/>
      </c>
      <c r="I39" s="15">
        <f>IF(OR(I38="",I4=""),"",IFERROR(I38/I4,""))</f>
        <v/>
      </c>
      <c r="J39" s="15">
        <f>IF(OR(J38="",J4=""),"",IFERROR(J38/J4,""))</f>
        <v/>
      </c>
      <c r="K39" s="15">
        <f>IF(OR(K38="",K4=""),"",IFERROR(K38/K4,""))</f>
        <v/>
      </c>
      <c r="L39" s="15">
        <f>IF(OR(L38="",L4=""),"",IFERROR(L38/L4,""))</f>
        <v/>
      </c>
      <c r="M39" s="15">
        <f>IF(OR(M38="",M4=""),"",IFERROR(M38/M4,""))</f>
        <v/>
      </c>
      <c r="N39" s="15">
        <f>IF(OR(N38="",N4=""),"",IFERROR(N38/N4,""))</f>
        <v/>
      </c>
      <c r="O39" s="14">
        <f>IF(OR(O38="",O4=""),"",IFERROR(O38/O4,""))</f>
        <v/>
      </c>
      <c r="P39" s="15">
        <f>IF(OR(P38="",P4=""),"",IFERROR(P38/P4,""))</f>
        <v/>
      </c>
      <c r="Q39" s="15">
        <f>IF(OR(Q38="",Q4=""),"",IFERROR(Q38/Q4,""))</f>
        <v/>
      </c>
      <c r="R39" s="15">
        <f>IF(OR(R38="",R4=""),"",IFERROR(R38/R4,""))</f>
        <v/>
      </c>
      <c r="S39" s="15">
        <f>IF(OR(S38="",S4=""),"",IFERROR(S38/S4,""))</f>
        <v/>
      </c>
      <c r="T39" s="15">
        <f>IF(OR(T38="",T4=""),"",IFERROR(T38/T4,""))</f>
        <v/>
      </c>
      <c r="U39" s="15">
        <f>IF(OR(U38="",U4=""),"",IFERROR(U38/U4,""))</f>
        <v/>
      </c>
      <c r="V39" s="15">
        <f>IF(OR(V38="",V4=""),"",IFERROR(V38/V4,""))</f>
        <v/>
      </c>
      <c r="W39" s="15">
        <f>IF(OR(W38="",W4=""),"",IFERROR(W38/W4,""))</f>
        <v/>
      </c>
      <c r="X39" s="15">
        <f>IF(OR(X38="",X4=""),"",IFERROR(X38/X4,""))</f>
        <v/>
      </c>
      <c r="Y39" s="25">
        <f>IFERROR(AVERAGE(V39,W39,X39),"")</f>
        <v/>
      </c>
      <c r="Z39" s="26">
        <f>Y39</f>
        <v/>
      </c>
      <c r="AA39" s="26">
        <f>Z39</f>
        <v/>
      </c>
      <c r="AB39" s="26">
        <f>AA39</f>
        <v/>
      </c>
      <c r="AC39" s="26">
        <f>AB39</f>
        <v/>
      </c>
    </row>
    <row r="40">
      <c r="A40" s="18" t="inlineStr">
        <is>
          <t>특별손실</t>
        </is>
      </c>
      <c r="B40" s="10" t="n"/>
      <c r="C40" s="19" t="n"/>
      <c r="D40" s="20" t="n"/>
      <c r="E40" s="20" t="n"/>
      <c r="F40" s="20" t="n"/>
      <c r="G40" s="20" t="n"/>
      <c r="H40" s="20" t="n">
        <v>0</v>
      </c>
      <c r="I40" s="20" t="n">
        <v>0</v>
      </c>
      <c r="J40" s="20" t="n"/>
      <c r="K40" s="20" t="n"/>
      <c r="L40" s="20" t="n">
        <v>0</v>
      </c>
      <c r="M40" s="20" t="n">
        <v>0</v>
      </c>
      <c r="N40" s="20" t="n"/>
      <c r="O40" s="19" t="n">
        <v>158.376</v>
      </c>
      <c r="P40" s="20" t="n">
        <v>162.867</v>
      </c>
      <c r="Q40" s="20" t="n">
        <v>173.788</v>
      </c>
      <c r="R40" s="20" t="n">
        <v>0</v>
      </c>
      <c r="S40" s="20" t="n">
        <v>0</v>
      </c>
      <c r="T40" s="20" t="n">
        <v>33.789</v>
      </c>
      <c r="U40" s="20" t="n">
        <v>23.142</v>
      </c>
      <c r="V40" s="20" t="n">
        <v>87.10299999999999</v>
      </c>
      <c r="W40" s="20" t="n">
        <v>0</v>
      </c>
      <c r="X40" s="20" t="n">
        <v>8.304</v>
      </c>
      <c r="Y40" s="19">
        <f>IF(OR(Y4="",Y41=""),"",IFERROR(Y4*Y41,""))</f>
        <v/>
      </c>
      <c r="Z40" s="20">
        <f>IF(OR(Z4="",Z41=""),"",IFERROR(Z4*Z41,""))</f>
        <v/>
      </c>
      <c r="AA40" s="20">
        <f>IF(OR(AA4="",AA41=""),"",IFERROR(AA4*AA41,""))</f>
        <v/>
      </c>
      <c r="AB40" s="20">
        <f>IF(OR(AB4="",AB41=""),"",IFERROR(AB4*AB41,""))</f>
        <v/>
      </c>
      <c r="AC40" s="20">
        <f>IF(OR(AC4="",AC41=""),"",IFERROR(AC4*AC41,""))</f>
        <v/>
      </c>
    </row>
    <row r="41">
      <c r="A41" s="13" t="inlineStr">
        <is>
          <t>% of Sales</t>
        </is>
      </c>
      <c r="B41" s="10" t="n"/>
      <c r="C41" s="14">
        <f>IF(OR(C40="",C4=""),"",IFERROR(C40/C4,""))</f>
        <v/>
      </c>
      <c r="D41" s="15">
        <f>IF(OR(D40="",D4=""),"",IFERROR(D40/D4,""))</f>
        <v/>
      </c>
      <c r="E41" s="15">
        <f>IF(OR(E40="",E4=""),"",IFERROR(E40/E4,""))</f>
        <v/>
      </c>
      <c r="F41" s="15">
        <f>IF(OR(F40="",F4=""),"",IFERROR(F40/F4,""))</f>
        <v/>
      </c>
      <c r="G41" s="15">
        <f>IF(OR(G40="",G4=""),"",IFERROR(G40/G4,""))</f>
        <v/>
      </c>
      <c r="H41" s="15">
        <f>IF(OR(H40="",H4=""),"",IFERROR(H40/H4,""))</f>
        <v/>
      </c>
      <c r="I41" s="15">
        <f>IF(OR(I40="",I4=""),"",IFERROR(I40/I4,""))</f>
        <v/>
      </c>
      <c r="J41" s="15">
        <f>IF(OR(J40="",J4=""),"",IFERROR(J40/J4,""))</f>
        <v/>
      </c>
      <c r="K41" s="15">
        <f>IF(OR(K40="",K4=""),"",IFERROR(K40/K4,""))</f>
        <v/>
      </c>
      <c r="L41" s="15">
        <f>IF(OR(L40="",L4=""),"",IFERROR(L40/L4,""))</f>
        <v/>
      </c>
      <c r="M41" s="15">
        <f>IF(OR(M40="",M4=""),"",IFERROR(M40/M4,""))</f>
        <v/>
      </c>
      <c r="N41" s="15">
        <f>IF(OR(N40="",N4=""),"",IFERROR(N40/N4,""))</f>
        <v/>
      </c>
      <c r="O41" s="14">
        <f>IF(OR(O40="",O4=""),"",IFERROR(O40/O4,""))</f>
        <v/>
      </c>
      <c r="P41" s="15">
        <f>IF(OR(P40="",P4=""),"",IFERROR(P40/P4,""))</f>
        <v/>
      </c>
      <c r="Q41" s="15">
        <f>IF(OR(Q40="",Q4=""),"",IFERROR(Q40/Q4,""))</f>
        <v/>
      </c>
      <c r="R41" s="15">
        <f>IF(OR(R40="",R4=""),"",IFERROR(R40/R4,""))</f>
        <v/>
      </c>
      <c r="S41" s="15">
        <f>IF(OR(S40="",S4=""),"",IFERROR(S40/S4,""))</f>
        <v/>
      </c>
      <c r="T41" s="15">
        <f>IF(OR(T40="",T4=""),"",IFERROR(T40/T4,""))</f>
        <v/>
      </c>
      <c r="U41" s="15">
        <f>IF(OR(U40="",U4=""),"",IFERROR(U40/U4,""))</f>
        <v/>
      </c>
      <c r="V41" s="15">
        <f>IF(OR(V40="",V4=""),"",IFERROR(V40/V4,""))</f>
        <v/>
      </c>
      <c r="W41" s="15">
        <f>IF(OR(W40="",W4=""),"",IFERROR(W40/W4,""))</f>
        <v/>
      </c>
      <c r="X41" s="15">
        <f>IF(OR(X40="",X4=""),"",IFERROR(X40/X4,""))</f>
        <v/>
      </c>
      <c r="Y41" s="25">
        <f>IFERROR(AVERAGE(V41,W41,X41),"")</f>
        <v/>
      </c>
      <c r="Z41" s="26">
        <f>Y41</f>
        <v/>
      </c>
      <c r="AA41" s="26">
        <f>Z41</f>
        <v/>
      </c>
      <c r="AB41" s="26">
        <f>AA41</f>
        <v/>
      </c>
      <c r="AC41" s="26">
        <f>AB41</f>
        <v/>
      </c>
    </row>
    <row r="42">
      <c r="A42" s="18" t="inlineStr">
        <is>
          <t>영업외수익</t>
        </is>
      </c>
      <c r="B42" s="10" t="n"/>
      <c r="C42" s="19" t="n">
        <v>13.564</v>
      </c>
      <c r="D42" s="20" t="n">
        <v>21.046</v>
      </c>
      <c r="E42" s="20" t="n">
        <v>28.857</v>
      </c>
      <c r="F42" s="20" t="n">
        <v>25.352</v>
      </c>
      <c r="G42" s="20" t="n">
        <v>30.522</v>
      </c>
      <c r="H42" s="20" t="n">
        <v>4.924</v>
      </c>
      <c r="I42" s="20" t="n">
        <v>17.926</v>
      </c>
      <c r="J42" s="20" t="n">
        <v>35.109</v>
      </c>
      <c r="K42" s="20" t="n">
        <v>1.5</v>
      </c>
      <c r="L42" s="20" t="n">
        <v>20.5</v>
      </c>
      <c r="M42" s="20" t="n">
        <v>15.234</v>
      </c>
      <c r="N42" s="20" t="n">
        <v>25.311</v>
      </c>
      <c r="O42" s="19" t="n">
        <v>144.598</v>
      </c>
      <c r="P42" s="20" t="n">
        <v>124.252</v>
      </c>
      <c r="Q42" s="20" t="n">
        <v>104.242</v>
      </c>
      <c r="R42" s="20" t="n">
        <v>68.56399999999999</v>
      </c>
      <c r="S42" s="20" t="n">
        <v>109.673</v>
      </c>
      <c r="T42" s="20" t="n">
        <v>80.517</v>
      </c>
      <c r="U42" s="20" t="n">
        <v>105.1</v>
      </c>
      <c r="V42" s="20" t="n">
        <v>99.387</v>
      </c>
      <c r="W42" s="20" t="n">
        <v>78.724</v>
      </c>
      <c r="X42" s="20" t="n">
        <v>72.343</v>
      </c>
      <c r="Y42" s="19">
        <f>IF(OR(Y4="",Y43=""),"",IFERROR(Y4*Y43,""))</f>
        <v/>
      </c>
      <c r="Z42" s="20">
        <f>IF(OR(Z4="",Z43=""),"",IFERROR(Z4*Z43,""))</f>
        <v/>
      </c>
      <c r="AA42" s="20">
        <f>IF(OR(AA4="",AA43=""),"",IFERROR(AA4*AA43,""))</f>
        <v/>
      </c>
      <c r="AB42" s="20">
        <f>IF(OR(AB4="",AB43=""),"",IFERROR(AB4*AB43,""))</f>
        <v/>
      </c>
      <c r="AC42" s="20">
        <f>IF(OR(AC4="",AC43=""),"",IFERROR(AC4*AC43,""))</f>
        <v/>
      </c>
    </row>
    <row r="43">
      <c r="A43" s="13" t="inlineStr">
        <is>
          <t>% of Sales</t>
        </is>
      </c>
      <c r="B43" s="10" t="n"/>
      <c r="C43" s="14">
        <f>IF(OR(C42="",C4=""),"",IFERROR(C42/C4,""))</f>
        <v/>
      </c>
      <c r="D43" s="15">
        <f>IF(OR(D42="",D4=""),"",IFERROR(D42/D4,""))</f>
        <v/>
      </c>
      <c r="E43" s="15">
        <f>IF(OR(E42="",E4=""),"",IFERROR(E42/E4,""))</f>
        <v/>
      </c>
      <c r="F43" s="15">
        <f>IF(OR(F42="",F4=""),"",IFERROR(F42/F4,""))</f>
        <v/>
      </c>
      <c r="G43" s="15">
        <f>IF(OR(G42="",G4=""),"",IFERROR(G42/G4,""))</f>
        <v/>
      </c>
      <c r="H43" s="15">
        <f>IF(OR(H42="",H4=""),"",IFERROR(H42/H4,""))</f>
        <v/>
      </c>
      <c r="I43" s="15">
        <f>IF(OR(I42="",I4=""),"",IFERROR(I42/I4,""))</f>
        <v/>
      </c>
      <c r="J43" s="15">
        <f>IF(OR(J42="",J4=""),"",IFERROR(J42/J4,""))</f>
        <v/>
      </c>
      <c r="K43" s="15">
        <f>IF(OR(K42="",K4=""),"",IFERROR(K42/K4,""))</f>
        <v/>
      </c>
      <c r="L43" s="15">
        <f>IF(OR(L42="",L4=""),"",IFERROR(L42/L4,""))</f>
        <v/>
      </c>
      <c r="M43" s="15">
        <f>IF(OR(M42="",M4=""),"",IFERROR(M42/M4,""))</f>
        <v/>
      </c>
      <c r="N43" s="15">
        <f>IF(OR(N42="",N4=""),"",IFERROR(N42/N4,""))</f>
        <v/>
      </c>
      <c r="O43" s="14">
        <f>IF(OR(O42="",O4=""),"",IFERROR(O42/O4,""))</f>
        <v/>
      </c>
      <c r="P43" s="15">
        <f>IF(OR(P42="",P4=""),"",IFERROR(P42/P4,""))</f>
        <v/>
      </c>
      <c r="Q43" s="15">
        <f>IF(OR(Q42="",Q4=""),"",IFERROR(Q42/Q4,""))</f>
        <v/>
      </c>
      <c r="R43" s="15">
        <f>IF(OR(R42="",R4=""),"",IFERROR(R42/R4,""))</f>
        <v/>
      </c>
      <c r="S43" s="15">
        <f>IF(OR(S42="",S4=""),"",IFERROR(S42/S4,""))</f>
        <v/>
      </c>
      <c r="T43" s="15">
        <f>IF(OR(T42="",T4=""),"",IFERROR(T42/T4,""))</f>
        <v/>
      </c>
      <c r="U43" s="15">
        <f>IF(OR(U42="",U4=""),"",IFERROR(U42/U4,""))</f>
        <v/>
      </c>
      <c r="V43" s="15">
        <f>IF(OR(V42="",V4=""),"",IFERROR(V42/V4,""))</f>
        <v/>
      </c>
      <c r="W43" s="15">
        <f>IF(OR(W42="",W4=""),"",IFERROR(W42/W4,""))</f>
        <v/>
      </c>
      <c r="X43" s="15">
        <f>IF(OR(X42="",X4=""),"",IFERROR(X42/X4,""))</f>
        <v/>
      </c>
      <c r="Y43" s="25">
        <f>IFERROR(AVERAGE(V43,W43,X43),"")</f>
        <v/>
      </c>
      <c r="Z43" s="26">
        <f>Y43</f>
        <v/>
      </c>
      <c r="AA43" s="26">
        <f>Z43</f>
        <v/>
      </c>
      <c r="AB43" s="26">
        <f>AA43</f>
        <v/>
      </c>
      <c r="AC43" s="26">
        <f>AB43</f>
        <v/>
      </c>
    </row>
    <row r="44">
      <c r="A44" s="18" t="inlineStr">
        <is>
          <t>영업외비용</t>
        </is>
      </c>
      <c r="B44" s="10" t="n"/>
      <c r="C44" s="19" t="n">
        <v>45.053</v>
      </c>
      <c r="D44" s="20" t="n">
        <v>16.5</v>
      </c>
      <c r="E44" s="20" t="n">
        <v>50.665</v>
      </c>
      <c r="F44" s="20" t="n">
        <v>55.612</v>
      </c>
      <c r="G44" s="20" t="n">
        <v>7.047</v>
      </c>
      <c r="H44" s="20" t="n">
        <v>62.955</v>
      </c>
      <c r="I44" s="20" t="n">
        <v>8</v>
      </c>
      <c r="J44" s="20" t="n">
        <v>23.212</v>
      </c>
      <c r="K44" s="20" t="n">
        <v>36.592</v>
      </c>
      <c r="L44" s="20" t="n">
        <v>90.979</v>
      </c>
      <c r="M44" s="20" t="n">
        <v>65.498</v>
      </c>
      <c r="N44" s="20" t="n">
        <v>46.858</v>
      </c>
      <c r="O44" s="19" t="n">
        <v>6.229</v>
      </c>
      <c r="P44" s="20" t="n">
        <v>22.386</v>
      </c>
      <c r="Q44" s="20" t="n">
        <v>8.718999999999999</v>
      </c>
      <c r="R44" s="20" t="n">
        <v>17.318</v>
      </c>
      <c r="S44" s="20" t="n">
        <v>37.195</v>
      </c>
      <c r="T44" s="20" t="n">
        <v>56.47</v>
      </c>
      <c r="U44" s="20" t="n">
        <v>77.98099999999999</v>
      </c>
      <c r="V44" s="20" t="n">
        <v>178.529</v>
      </c>
      <c r="W44" s="20" t="n">
        <v>133.614</v>
      </c>
      <c r="X44" s="20" t="n">
        <v>216.281</v>
      </c>
      <c r="Y44" s="19">
        <f>IF(OR(Y4="",Y45=""),"",IFERROR(Y4*Y45,""))</f>
        <v/>
      </c>
      <c r="Z44" s="20">
        <f>IF(OR(Z4="",Z45=""),"",IFERROR(Z4*Z45,""))</f>
        <v/>
      </c>
      <c r="AA44" s="20">
        <f>IF(OR(AA4="",AA45=""),"",IFERROR(AA4*AA45,""))</f>
        <v/>
      </c>
      <c r="AB44" s="20">
        <f>IF(OR(AB4="",AB45=""),"",IFERROR(AB4*AB45,""))</f>
        <v/>
      </c>
      <c r="AC44" s="20">
        <f>IF(OR(AC4="",AC45=""),"",IFERROR(AC4*AC45,""))</f>
        <v/>
      </c>
    </row>
    <row r="45">
      <c r="A45" s="13" t="inlineStr">
        <is>
          <t>% of Sales</t>
        </is>
      </c>
      <c r="B45" s="10" t="n"/>
      <c r="C45" s="14">
        <f>IF(OR(C44="",C4=""),"",IFERROR(C44/C4,""))</f>
        <v/>
      </c>
      <c r="D45" s="15">
        <f>IF(OR(D44="",D4=""),"",IFERROR(D44/D4,""))</f>
        <v/>
      </c>
      <c r="E45" s="15">
        <f>IF(OR(E44="",E4=""),"",IFERROR(E44/E4,""))</f>
        <v/>
      </c>
      <c r="F45" s="15">
        <f>IF(OR(F44="",F4=""),"",IFERROR(F44/F4,""))</f>
        <v/>
      </c>
      <c r="G45" s="15">
        <f>IF(OR(G44="",G4=""),"",IFERROR(G44/G4,""))</f>
        <v/>
      </c>
      <c r="H45" s="15">
        <f>IF(OR(H44="",H4=""),"",IFERROR(H44/H4,""))</f>
        <v/>
      </c>
      <c r="I45" s="15">
        <f>IF(OR(I44="",I4=""),"",IFERROR(I44/I4,""))</f>
        <v/>
      </c>
      <c r="J45" s="15">
        <f>IF(OR(J44="",J4=""),"",IFERROR(J44/J4,""))</f>
        <v/>
      </c>
      <c r="K45" s="15">
        <f>IF(OR(K44="",K4=""),"",IFERROR(K44/K4,""))</f>
        <v/>
      </c>
      <c r="L45" s="15">
        <f>IF(OR(L44="",L4=""),"",IFERROR(L44/L4,""))</f>
        <v/>
      </c>
      <c r="M45" s="15">
        <f>IF(OR(M44="",M4=""),"",IFERROR(M44/M4,""))</f>
        <v/>
      </c>
      <c r="N45" s="15">
        <f>IF(OR(N44="",N4=""),"",IFERROR(N44/N4,""))</f>
        <v/>
      </c>
      <c r="O45" s="14">
        <f>IF(OR(O44="",O4=""),"",IFERROR(O44/O4,""))</f>
        <v/>
      </c>
      <c r="P45" s="15">
        <f>IF(OR(P44="",P4=""),"",IFERROR(P44/P4,""))</f>
        <v/>
      </c>
      <c r="Q45" s="15">
        <f>IF(OR(Q44="",Q4=""),"",IFERROR(Q44/Q4,""))</f>
        <v/>
      </c>
      <c r="R45" s="15">
        <f>IF(OR(R44="",R4=""),"",IFERROR(R44/R4,""))</f>
        <v/>
      </c>
      <c r="S45" s="15">
        <f>IF(OR(S44="",S4=""),"",IFERROR(S44/S4,""))</f>
        <v/>
      </c>
      <c r="T45" s="15">
        <f>IF(OR(T44="",T4=""),"",IFERROR(T44/T4,""))</f>
        <v/>
      </c>
      <c r="U45" s="15">
        <f>IF(OR(U44="",U4=""),"",IFERROR(U44/U4,""))</f>
        <v/>
      </c>
      <c r="V45" s="15">
        <f>IF(OR(V44="",V4=""),"",IFERROR(V44/V4,""))</f>
        <v/>
      </c>
      <c r="W45" s="15">
        <f>IF(OR(W44="",W4=""),"",IFERROR(W44/W4,""))</f>
        <v/>
      </c>
      <c r="X45" s="15">
        <f>IF(OR(X44="",X4=""),"",IFERROR(X44/X4,""))</f>
        <v/>
      </c>
      <c r="Y45" s="25">
        <f>IFERROR(AVERAGE(V45,W45,X45),"")</f>
        <v/>
      </c>
      <c r="Z45" s="26">
        <f>Y45</f>
        <v/>
      </c>
      <c r="AA45" s="26">
        <f>Z45</f>
        <v/>
      </c>
      <c r="AB45" s="26">
        <f>AA45</f>
        <v/>
      </c>
      <c r="AC45" s="26">
        <f>AB45</f>
        <v/>
      </c>
    </row>
    <row r="46">
      <c r="A46" s="9" t="inlineStr">
        <is>
          <t>법인세비용차감전순이익(손실)</t>
        </is>
      </c>
      <c r="B46" s="10" t="n"/>
      <c r="C46" s="11" t="n">
        <v>316.157</v>
      </c>
      <c r="D46" s="12" t="n">
        <v>340.356</v>
      </c>
      <c r="E46" s="12" t="n">
        <v>918.6180000000001</v>
      </c>
      <c r="F46" s="12" t="n">
        <v>-277.509</v>
      </c>
      <c r="G46" s="12" t="n">
        <v>254.214</v>
      </c>
      <c r="H46" s="12" t="n">
        <v>570.6319999999999</v>
      </c>
      <c r="I46" s="12" t="n">
        <v>882.226</v>
      </c>
      <c r="J46" s="12" t="n">
        <v>36.488</v>
      </c>
      <c r="K46" s="12" t="n">
        <v>158.658</v>
      </c>
      <c r="L46" s="12" t="n">
        <v>455.227</v>
      </c>
      <c r="M46" s="12" t="n">
        <v>969.144</v>
      </c>
      <c r="N46" s="12" t="n">
        <v>-218.665</v>
      </c>
      <c r="O46" s="11" t="n">
        <v>250.293</v>
      </c>
      <c r="P46" s="12" t="n">
        <v>12.887</v>
      </c>
      <c r="Q46" s="12" t="n">
        <v>-1538.626</v>
      </c>
      <c r="R46" s="12" t="n">
        <v>620.405</v>
      </c>
      <c r="S46" s="12" t="n">
        <v>375.869</v>
      </c>
      <c r="T46" s="12" t="n">
        <v>-828.76</v>
      </c>
      <c r="U46" s="12" t="n">
        <v>-412.836</v>
      </c>
      <c r="V46" s="12" t="n">
        <v>800.583</v>
      </c>
      <c r="W46" s="12" t="n">
        <v>1429.563</v>
      </c>
      <c r="X46" s="12" t="n">
        <v>1619.517</v>
      </c>
      <c r="Y46" s="11">
        <f>IF(OR(Y22=""),"",IFERROR(Y22+N(Y38)-N(Y40)+N(Y42)-N(Y44),""))</f>
        <v/>
      </c>
      <c r="Z46" s="12">
        <f>IF(OR(Z22=""),"",IFERROR(Z22+N(Z38)-N(Z40)+N(Z42)-N(Z44),""))</f>
        <v/>
      </c>
      <c r="AA46" s="12">
        <f>IF(OR(AA22=""),"",IFERROR(AA22+N(AA38)-N(AA40)+N(AA42)-N(AA44),""))</f>
        <v/>
      </c>
      <c r="AB46" s="12">
        <f>IF(OR(AB22=""),"",IFERROR(AB22+N(AB38)-N(AB40)+N(AB42)-N(AB44),""))</f>
        <v/>
      </c>
      <c r="AC46" s="12">
        <f>IF(OR(AC22=""),"",IFERROR(AC22+N(AC38)-N(AC40)+N(AC42)-N(AC44),""))</f>
        <v/>
      </c>
    </row>
    <row r="47">
      <c r="A47" s="13" t="inlineStr">
        <is>
          <t>YoY</t>
        </is>
      </c>
      <c r="B47" s="10" t="n"/>
      <c r="C47" s="14" t="n"/>
      <c r="D47" s="15" t="n"/>
      <c r="E47" s="15" t="n"/>
      <c r="F47" s="15" t="n"/>
      <c r="G47" s="15">
        <f>IF(OR(G46="",C46=""),"",IF(C46&lt;=0,"",IFERROR(G46/C46-1,"")))</f>
        <v/>
      </c>
      <c r="H47" s="15">
        <f>IF(OR(H46="",D46=""),"",IF(D46&lt;=0,"",IFERROR(H46/D46-1,"")))</f>
        <v/>
      </c>
      <c r="I47" s="15">
        <f>IF(OR(I46="",E46=""),"",IF(E46&lt;=0,"",IFERROR(I46/E46-1,"")))</f>
        <v/>
      </c>
      <c r="J47" s="15">
        <f>IF(OR(J46="",F46=""),"",IF(F46&lt;=0,"",IFERROR(J46/F46-1,"")))</f>
        <v/>
      </c>
      <c r="K47" s="15">
        <f>IF(OR(K46="",G46=""),"",IF(G46&lt;=0,"",IFERROR(K46/G46-1,"")))</f>
        <v/>
      </c>
      <c r="L47" s="15">
        <f>IF(OR(L46="",H46=""),"",IF(H46&lt;=0,"",IFERROR(L46/H46-1,"")))</f>
        <v/>
      </c>
      <c r="M47" s="15">
        <f>IF(OR(M46="",I46=""),"",IF(I46&lt;=0,"",IFERROR(M46/I46-1,"")))</f>
        <v/>
      </c>
      <c r="N47" s="15">
        <f>IF(OR(N46="",J46=""),"",IF(J46&lt;=0,"",IFERROR(N46/J46-1,"")))</f>
        <v/>
      </c>
      <c r="O47" s="14" t="n"/>
      <c r="P47" s="15">
        <f>IF(OR(P46="",O46=""),"",IF(O46&lt;=0,"",IFERROR(P46/O46-1,"")))</f>
        <v/>
      </c>
      <c r="Q47" s="15">
        <f>IF(OR(Q46="",P46=""),"",IF(P46&lt;=0,"",IFERROR(Q46/P46-1,"")))</f>
        <v/>
      </c>
      <c r="R47" s="15">
        <f>IF(OR(R46="",Q46=""),"",IF(Q46&lt;=0,"",IFERROR(R46/Q46-1,"")))</f>
        <v/>
      </c>
      <c r="S47" s="15">
        <f>IF(OR(S46="",R46=""),"",IF(R46&lt;=0,"",IFERROR(S46/R46-1,"")))</f>
        <v/>
      </c>
      <c r="T47" s="15">
        <f>IF(OR(T46="",S46=""),"",IF(S46&lt;=0,"",IFERROR(T46/S46-1,"")))</f>
        <v/>
      </c>
      <c r="U47" s="15">
        <f>IF(OR(U46="",T46=""),"",IF(T46&lt;=0,"",IFERROR(U46/T46-1,"")))</f>
        <v/>
      </c>
      <c r="V47" s="15">
        <f>IF(OR(V46="",U46=""),"",IF(U46&lt;=0,"",IFERROR(V46/U46-1,"")))</f>
        <v/>
      </c>
      <c r="W47" s="15">
        <f>IF(OR(W46="",V46=""),"",IF(V46&lt;=0,"",IFERROR(W46/V46-1,"")))</f>
        <v/>
      </c>
      <c r="X47" s="15">
        <f>IF(OR(X46="",W46=""),"",IF(W46&lt;=0,"",IFERROR(X46/W46-1,"")))</f>
        <v/>
      </c>
      <c r="Y47" s="14">
        <f>IF(OR(Y46="",X46=""),"",IF(X46&lt;=0,"",IFERROR(Y46/X46-1,"")))</f>
        <v/>
      </c>
      <c r="Z47" s="15">
        <f>IF(OR(Z46="",Y46=""),"",IF(Y46&lt;=0,"",IFERROR(Z46/Y46-1,"")))</f>
        <v/>
      </c>
      <c r="AA47" s="15">
        <f>IF(OR(AA46="",Z46=""),"",IF(Z46&lt;=0,"",IFERROR(AA46/Z46-1,"")))</f>
        <v/>
      </c>
      <c r="AB47" s="15">
        <f>IF(OR(AB46="",AA46=""),"",IF(AA46&lt;=0,"",IFERROR(AB46/AA46-1,"")))</f>
        <v/>
      </c>
      <c r="AC47" s="15">
        <f>IF(OR(AC46="",AB46=""),"",IF(AB46&lt;=0,"",IFERROR(AC46/AB46-1,"")))</f>
        <v/>
      </c>
    </row>
    <row r="48">
      <c r="A48" s="18" t="inlineStr">
        <is>
          <t>법인세비용(수익)</t>
        </is>
      </c>
      <c r="B48" s="10" t="n"/>
      <c r="C48" s="19" t="n">
        <v>10.777</v>
      </c>
      <c r="D48" s="20" t="n">
        <v>66.889</v>
      </c>
      <c r="E48" s="20" t="n">
        <v>-86.998</v>
      </c>
      <c r="F48" s="20" t="n">
        <v>-48.135</v>
      </c>
      <c r="G48" s="20" t="n">
        <v>57.469</v>
      </c>
      <c r="H48" s="20" t="n">
        <v>116.12</v>
      </c>
      <c r="I48" s="20" t="n">
        <v>54.431</v>
      </c>
      <c r="J48" s="20" t="n">
        <v>-19.729</v>
      </c>
      <c r="K48" s="20" t="n">
        <v>39.295</v>
      </c>
      <c r="L48" s="20" t="n">
        <v>38.486</v>
      </c>
      <c r="M48" s="20" t="n">
        <v>62.641</v>
      </c>
      <c r="N48" s="20" t="n">
        <v>1.911</v>
      </c>
      <c r="O48" s="19" t="n">
        <v>143.314</v>
      </c>
      <c r="P48" s="20" t="n">
        <v>-67.75700000000001</v>
      </c>
      <c r="Q48" s="20" t="n">
        <v>1078.896</v>
      </c>
      <c r="R48" s="20" t="n">
        <v>10.591</v>
      </c>
      <c r="S48" s="20" t="n">
        <v>60.236</v>
      </c>
      <c r="T48" s="20" t="n">
        <v>103.309</v>
      </c>
      <c r="U48" s="20" t="n">
        <v>262.458</v>
      </c>
      <c r="V48" s="20" t="n">
        <v>-85.949</v>
      </c>
      <c r="W48" s="20" t="n">
        <v>179.885</v>
      </c>
      <c r="X48" s="20" t="n">
        <v>120.693</v>
      </c>
      <c r="Y48" s="19">
        <f>IF(OR(Y46="",Y49=""),"",IFERROR(MAX(Y46,0)*Y49,""))</f>
        <v/>
      </c>
      <c r="Z48" s="20">
        <f>IF(OR(Z46="",Z49=""),"",IFERROR(MAX(Z46,0)*Z49,""))</f>
        <v/>
      </c>
      <c r="AA48" s="20">
        <f>IF(OR(AA46="",AA49=""),"",IFERROR(MAX(AA46,0)*AA49,""))</f>
        <v/>
      </c>
      <c r="AB48" s="20">
        <f>IF(OR(AB46="",AB49=""),"",IFERROR(MAX(AB46,0)*AB49,""))</f>
        <v/>
      </c>
      <c r="AC48" s="20">
        <f>IF(OR(AC46="",AC49=""),"",IFERROR(MAX(AC46,0)*AC49,""))</f>
        <v/>
      </c>
    </row>
    <row r="49">
      <c r="A49" s="13" t="inlineStr">
        <is>
          <t>법인세율</t>
        </is>
      </c>
      <c r="B49" s="10" t="inlineStr">
        <is>
          <t>MW 기본 30%</t>
        </is>
      </c>
      <c r="C49" s="14">
        <f>IF(OR(C48="",C46=""),"",IFERROR(C48/C46,""))</f>
        <v/>
      </c>
      <c r="D49" s="15">
        <f>IF(OR(D48="",D46=""),"",IFERROR(D48/D46,""))</f>
        <v/>
      </c>
      <c r="E49" s="15">
        <f>IF(OR(E48="",E46=""),"",IFERROR(E48/E46,""))</f>
        <v/>
      </c>
      <c r="F49" s="15">
        <f>IF(OR(F48="",F46=""),"",IFERROR(F48/F46,""))</f>
        <v/>
      </c>
      <c r="G49" s="15">
        <f>IF(OR(G48="",G46=""),"",IFERROR(G48/G46,""))</f>
        <v/>
      </c>
      <c r="H49" s="15">
        <f>IF(OR(H48="",H46=""),"",IFERROR(H48/H46,""))</f>
        <v/>
      </c>
      <c r="I49" s="15">
        <f>IF(OR(I48="",I46=""),"",IFERROR(I48/I46,""))</f>
        <v/>
      </c>
      <c r="J49" s="15">
        <f>IF(OR(J48="",J46=""),"",IFERROR(J48/J46,""))</f>
        <v/>
      </c>
      <c r="K49" s="15">
        <f>IF(OR(K48="",K46=""),"",IFERROR(K48/K46,""))</f>
        <v/>
      </c>
      <c r="L49" s="15">
        <f>IF(OR(L48="",L46=""),"",IFERROR(L48/L46,""))</f>
        <v/>
      </c>
      <c r="M49" s="15">
        <f>IF(OR(M48="",M46=""),"",IFERROR(M48/M46,""))</f>
        <v/>
      </c>
      <c r="N49" s="15">
        <f>IF(OR(N48="",N46=""),"",IFERROR(N48/N46,""))</f>
        <v/>
      </c>
      <c r="O49" s="14">
        <f>IF(OR(O48="",O46=""),"",IFERROR(O48/O46,""))</f>
        <v/>
      </c>
      <c r="P49" s="15">
        <f>IF(OR(P48="",P46=""),"",IFERROR(P48/P46,""))</f>
        <v/>
      </c>
      <c r="Q49" s="15">
        <f>IF(OR(Q48="",Q46=""),"",IFERROR(Q48/Q46,""))</f>
        <v/>
      </c>
      <c r="R49" s="15">
        <f>IF(OR(R48="",R46=""),"",IFERROR(R48/R46,""))</f>
        <v/>
      </c>
      <c r="S49" s="15">
        <f>IF(OR(S48="",S46=""),"",IFERROR(S48/S46,""))</f>
        <v/>
      </c>
      <c r="T49" s="15">
        <f>IF(OR(T48="",T46=""),"",IFERROR(T48/T46,""))</f>
        <v/>
      </c>
      <c r="U49" s="15">
        <f>IF(OR(U48="",U46=""),"",IFERROR(U48/U46,""))</f>
        <v/>
      </c>
      <c r="V49" s="15">
        <f>IF(OR(V48="",V46=""),"",IFERROR(V48/V46,""))</f>
        <v/>
      </c>
      <c r="W49" s="15">
        <f>IF(OR(W48="",W46=""),"",IFERROR(W48/W46,""))</f>
        <v/>
      </c>
      <c r="X49" s="15">
        <f>IF(OR(X48="",X46=""),"",IFERROR(X48/X46,""))</f>
        <v/>
      </c>
      <c r="Y49" s="25" t="n">
        <v>0.3</v>
      </c>
      <c r="Z49" s="26" t="n">
        <v>0.3</v>
      </c>
      <c r="AA49" s="26" t="n">
        <v>0.3</v>
      </c>
      <c r="AB49" s="26" t="n">
        <v>0.3</v>
      </c>
      <c r="AC49" s="26" t="n">
        <v>0.3</v>
      </c>
    </row>
    <row r="50">
      <c r="A50" s="9" t="inlineStr">
        <is>
          <t>당기순이익(손실)</t>
        </is>
      </c>
      <c r="B50" s="10" t="n"/>
      <c r="C50" s="11" t="n">
        <v>305.38</v>
      </c>
      <c r="D50" s="12" t="n">
        <v>273.466</v>
      </c>
      <c r="E50" s="12" t="n">
        <v>1005.617</v>
      </c>
      <c r="F50" s="12" t="n">
        <v>-229.374</v>
      </c>
      <c r="G50" s="12" t="n">
        <v>196.745</v>
      </c>
      <c r="H50" s="12" t="n">
        <v>454.511</v>
      </c>
      <c r="I50" s="12" t="n">
        <v>827.795</v>
      </c>
      <c r="J50" s="12" t="n">
        <v>56.217</v>
      </c>
      <c r="K50" s="12" t="n">
        <v>119.363</v>
      </c>
      <c r="L50" s="12" t="n">
        <v>416.74</v>
      </c>
      <c r="M50" s="12" t="n">
        <v>906.504</v>
      </c>
      <c r="N50" s="12" t="n">
        <v>-220.577</v>
      </c>
      <c r="O50" s="11" t="n">
        <v>106.979</v>
      </c>
      <c r="P50" s="12" t="n">
        <v>80.645</v>
      </c>
      <c r="Q50" s="12" t="n">
        <v>-2617.523</v>
      </c>
      <c r="R50" s="12" t="n">
        <v>609.813</v>
      </c>
      <c r="S50" s="12" t="n">
        <v>315.633</v>
      </c>
      <c r="T50" s="12" t="n">
        <v>-932.069</v>
      </c>
      <c r="U50" s="12" t="n">
        <v>-675.294</v>
      </c>
      <c r="V50" s="12" t="n">
        <v>886.533</v>
      </c>
      <c r="W50" s="12" t="n">
        <v>1249.677</v>
      </c>
      <c r="X50" s="12" t="n">
        <v>1498.824</v>
      </c>
      <c r="Y50" s="11">
        <f>IF(OR(Y46=""),"",IFERROR(Y46-Y48,""))</f>
        <v/>
      </c>
      <c r="Z50" s="12">
        <f>IF(OR(Z46=""),"",IFERROR(Z46-Z48,""))</f>
        <v/>
      </c>
      <c r="AA50" s="12">
        <f>IF(OR(AA46=""),"",IFERROR(AA46-AA48,""))</f>
        <v/>
      </c>
      <c r="AB50" s="12">
        <f>IF(OR(AB46=""),"",IFERROR(AB46-AB48,""))</f>
        <v/>
      </c>
      <c r="AC50" s="12">
        <f>IF(OR(AC46=""),"",IFERROR(AC46-AC48,""))</f>
        <v/>
      </c>
    </row>
    <row r="51">
      <c r="A51" s="13" t="inlineStr">
        <is>
          <t>YoY</t>
        </is>
      </c>
      <c r="B51" s="10" t="n"/>
      <c r="C51" s="14" t="n"/>
      <c r="D51" s="15" t="n"/>
      <c r="E51" s="15" t="n"/>
      <c r="F51" s="15" t="n"/>
      <c r="G51" s="15">
        <f>IF(OR(G50="",C50=""),"",IF(C50&lt;=0,"",IFERROR(G50/C50-1,"")))</f>
        <v/>
      </c>
      <c r="H51" s="15">
        <f>IF(OR(H50="",D50=""),"",IF(D50&lt;=0,"",IFERROR(H50/D50-1,"")))</f>
        <v/>
      </c>
      <c r="I51" s="15">
        <f>IF(OR(I50="",E50=""),"",IF(E50&lt;=0,"",IFERROR(I50/E50-1,"")))</f>
        <v/>
      </c>
      <c r="J51" s="15">
        <f>IF(OR(J50="",F50=""),"",IF(F50&lt;=0,"",IFERROR(J50/F50-1,"")))</f>
        <v/>
      </c>
      <c r="K51" s="15">
        <f>IF(OR(K50="",G50=""),"",IF(G50&lt;=0,"",IFERROR(K50/G50-1,"")))</f>
        <v/>
      </c>
      <c r="L51" s="15">
        <f>IF(OR(L50="",H50=""),"",IF(H50&lt;=0,"",IFERROR(L50/H50-1,"")))</f>
        <v/>
      </c>
      <c r="M51" s="15">
        <f>IF(OR(M50="",I50=""),"",IF(I50&lt;=0,"",IFERROR(M50/I50-1,"")))</f>
        <v/>
      </c>
      <c r="N51" s="15">
        <f>IF(OR(N50="",J50=""),"",IF(J50&lt;=0,"",IFERROR(N50/J50-1,"")))</f>
        <v/>
      </c>
      <c r="O51" s="14" t="n"/>
      <c r="P51" s="15">
        <f>IF(OR(P50="",O50=""),"",IF(O50&lt;=0,"",IFERROR(P50/O50-1,"")))</f>
        <v/>
      </c>
      <c r="Q51" s="15">
        <f>IF(OR(Q50="",P50=""),"",IF(P50&lt;=0,"",IFERROR(Q50/P50-1,"")))</f>
        <v/>
      </c>
      <c r="R51" s="15">
        <f>IF(OR(R50="",Q50=""),"",IF(Q50&lt;=0,"",IFERROR(R50/Q50-1,"")))</f>
        <v/>
      </c>
      <c r="S51" s="15">
        <f>IF(OR(S50="",R50=""),"",IF(R50&lt;=0,"",IFERROR(S50/R50-1,"")))</f>
        <v/>
      </c>
      <c r="T51" s="15">
        <f>IF(OR(T50="",S50=""),"",IF(S50&lt;=0,"",IFERROR(T50/S50-1,"")))</f>
        <v/>
      </c>
      <c r="U51" s="15">
        <f>IF(OR(U50="",T50=""),"",IF(T50&lt;=0,"",IFERROR(U50/T50-1,"")))</f>
        <v/>
      </c>
      <c r="V51" s="15">
        <f>IF(OR(V50="",U50=""),"",IF(U50&lt;=0,"",IFERROR(V50/U50-1,"")))</f>
        <v/>
      </c>
      <c r="W51" s="15">
        <f>IF(OR(W50="",V50=""),"",IF(V50&lt;=0,"",IFERROR(W50/V50-1,"")))</f>
        <v/>
      </c>
      <c r="X51" s="15">
        <f>IF(OR(X50="",W50=""),"",IF(W50&lt;=0,"",IFERROR(X50/W50-1,"")))</f>
        <v/>
      </c>
      <c r="Y51" s="14">
        <f>IF(OR(Y50="",X50=""),"",IF(X50&lt;=0,"",IFERROR(Y50/X50-1,"")))</f>
        <v/>
      </c>
      <c r="Z51" s="15">
        <f>IF(OR(Z50="",Y50=""),"",IF(Y50&lt;=0,"",IFERROR(Z50/Y50-1,"")))</f>
        <v/>
      </c>
      <c r="AA51" s="15">
        <f>IF(OR(AA50="",Z50=""),"",IF(Z50&lt;=0,"",IFERROR(AA50/Z50-1,"")))</f>
        <v/>
      </c>
      <c r="AB51" s="15">
        <f>IF(OR(AB50="",AA50=""),"",IF(AA50&lt;=0,"",IFERROR(AB50/AA50-1,"")))</f>
        <v/>
      </c>
      <c r="AC51" s="15">
        <f>IF(OR(AC50="",AB50=""),"",IF(AB50&lt;=0,"",IFERROR(AC50/AB50-1,"")))</f>
        <v/>
      </c>
    </row>
    <row r="52">
      <c r="A52" s="9" t="inlineStr">
        <is>
          <t>지배주주 순이익</t>
        </is>
      </c>
      <c r="B52" s="10" t="n"/>
      <c r="C52" s="11" t="n">
        <v>298.186</v>
      </c>
      <c r="D52" s="12" t="n">
        <v>235.733</v>
      </c>
      <c r="E52" s="12" t="n">
        <v>878.607</v>
      </c>
      <c r="F52" s="12" t="n">
        <v>-231.808</v>
      </c>
      <c r="G52" s="12" t="n">
        <v>171.85</v>
      </c>
      <c r="H52" s="12" t="n">
        <v>395.144</v>
      </c>
      <c r="I52" s="12" t="n">
        <v>714.744</v>
      </c>
      <c r="J52" s="12" t="n">
        <v>66.42700000000001</v>
      </c>
      <c r="K52" s="12" t="n">
        <v>141.375</v>
      </c>
      <c r="L52" s="12" t="n">
        <v>361.676</v>
      </c>
      <c r="M52" s="12" t="n">
        <v>803.086</v>
      </c>
      <c r="N52" s="12" t="n">
        <v>-233.645</v>
      </c>
      <c r="O52" s="11" t="n">
        <v>141.933</v>
      </c>
      <c r="P52" s="12" t="n">
        <v>-116.062</v>
      </c>
      <c r="Q52" s="12" t="n">
        <v>-2779.482</v>
      </c>
      <c r="R52" s="12" t="n">
        <v>523.843</v>
      </c>
      <c r="S52" s="12" t="n">
        <v>139.653</v>
      </c>
      <c r="T52" s="12" t="n">
        <v>-1023.544</v>
      </c>
      <c r="U52" s="12" t="n">
        <v>-811.8630000000001</v>
      </c>
      <c r="V52" s="12" t="n">
        <v>759.509</v>
      </c>
      <c r="W52" s="12" t="n">
        <v>1049.93</v>
      </c>
      <c r="X52" s="12" t="n">
        <v>1372.564</v>
      </c>
      <c r="Y52" s="11">
        <f>IF(OR(Y50="",Y53=""),"",IFERROR(Y50*Y53,""))</f>
        <v/>
      </c>
      <c r="Z52" s="12">
        <f>IF(OR(Z50="",Z53=""),"",IFERROR(Z50*Z53,""))</f>
        <v/>
      </c>
      <c r="AA52" s="12">
        <f>IF(OR(AA50="",AA53=""),"",IFERROR(AA50*AA53,""))</f>
        <v/>
      </c>
      <c r="AB52" s="12">
        <f>IF(OR(AB50="",AB53=""),"",IFERROR(AB50*AB53,""))</f>
        <v/>
      </c>
      <c r="AC52" s="12">
        <f>IF(OR(AC50="",AC53=""),"",IFERROR(AC50*AC53,""))</f>
        <v/>
      </c>
    </row>
    <row r="53">
      <c r="A53" s="13" t="inlineStr">
        <is>
          <t>지배주주 순이익률</t>
        </is>
      </c>
      <c r="B53" s="10" t="inlineStr">
        <is>
          <t>MW 기본 100%</t>
        </is>
      </c>
      <c r="C53" s="14">
        <f>IF(OR(C52="",C50=""),"",IFERROR(C52/C50,""))</f>
        <v/>
      </c>
      <c r="D53" s="15">
        <f>IF(OR(D52="",D50=""),"",IFERROR(D52/D50,""))</f>
        <v/>
      </c>
      <c r="E53" s="15">
        <f>IF(OR(E52="",E50=""),"",IFERROR(E52/E50,""))</f>
        <v/>
      </c>
      <c r="F53" s="15">
        <f>IF(OR(F52="",F50=""),"",IFERROR(F52/F50,""))</f>
        <v/>
      </c>
      <c r="G53" s="15">
        <f>IF(OR(G52="",G50=""),"",IFERROR(G52/G50,""))</f>
        <v/>
      </c>
      <c r="H53" s="15">
        <f>IF(OR(H52="",H50=""),"",IFERROR(H52/H50,""))</f>
        <v/>
      </c>
      <c r="I53" s="15">
        <f>IF(OR(I52="",I50=""),"",IFERROR(I52/I50,""))</f>
        <v/>
      </c>
      <c r="J53" s="15">
        <f>IF(OR(J52="",J50=""),"",IFERROR(J52/J50,""))</f>
        <v/>
      </c>
      <c r="K53" s="15">
        <f>IF(OR(K52="",K50=""),"",IFERROR(K52/K50,""))</f>
        <v/>
      </c>
      <c r="L53" s="15">
        <f>IF(OR(L52="",L50=""),"",IFERROR(L52/L50,""))</f>
        <v/>
      </c>
      <c r="M53" s="15">
        <f>IF(OR(M52="",M50=""),"",IFERROR(M52/M50,""))</f>
        <v/>
      </c>
      <c r="N53" s="15">
        <f>IF(OR(N52="",N50=""),"",IFERROR(N52/N50,""))</f>
        <v/>
      </c>
      <c r="O53" s="14">
        <f>IF(OR(O52="",O50=""),"",IFERROR(O52/O50,""))</f>
        <v/>
      </c>
      <c r="P53" s="15">
        <f>IF(OR(P52="",P50=""),"",IFERROR(P52/P50,""))</f>
        <v/>
      </c>
      <c r="Q53" s="15">
        <f>IF(OR(Q52="",Q50=""),"",IFERROR(Q52/Q50,""))</f>
        <v/>
      </c>
      <c r="R53" s="15">
        <f>IF(OR(R52="",R50=""),"",IFERROR(R52/R50,""))</f>
        <v/>
      </c>
      <c r="S53" s="15">
        <f>IF(OR(S52="",S50=""),"",IFERROR(S52/S50,""))</f>
        <v/>
      </c>
      <c r="T53" s="15">
        <f>IF(OR(T52="",T50=""),"",IFERROR(T52/T50,""))</f>
        <v/>
      </c>
      <c r="U53" s="15">
        <f>IF(OR(U52="",U50=""),"",IFERROR(U52/U50,""))</f>
        <v/>
      </c>
      <c r="V53" s="15">
        <f>IF(OR(V52="",V50=""),"",IFERROR(V52/V50,""))</f>
        <v/>
      </c>
      <c r="W53" s="15">
        <f>IF(OR(W52="",W50=""),"",IFERROR(W52/W50,""))</f>
        <v/>
      </c>
      <c r="X53" s="15">
        <f>IF(OR(X52="",X50=""),"",IFERROR(X52/X50,""))</f>
        <v/>
      </c>
      <c r="Y53" s="25" t="n">
        <v>1</v>
      </c>
      <c r="Z53" s="26" t="n">
        <v>1</v>
      </c>
      <c r="AA53" s="26" t="n">
        <v>1</v>
      </c>
      <c r="AB53" s="26" t="n">
        <v>1</v>
      </c>
      <c r="AC53" s="26" t="n">
        <v>1</v>
      </c>
    </row>
    <row r="54">
      <c r="A54" s="13" t="inlineStr">
        <is>
          <t>지배주주 순이익 YoY</t>
        </is>
      </c>
      <c r="B54" s="10" t="n"/>
      <c r="C54" s="14" t="n"/>
      <c r="D54" s="15" t="n"/>
      <c r="E54" s="15" t="n"/>
      <c r="F54" s="15" t="n"/>
      <c r="G54" s="15">
        <f>IF(OR(G52="",C52=""),"",IF(C52&lt;=0,"",IFERROR(G52/C52-1,"")))</f>
        <v/>
      </c>
      <c r="H54" s="15">
        <f>IF(OR(H52="",D52=""),"",IF(D52&lt;=0,"",IFERROR(H52/D52-1,"")))</f>
        <v/>
      </c>
      <c r="I54" s="15">
        <f>IF(OR(I52="",E52=""),"",IF(E52&lt;=0,"",IFERROR(I52/E52-1,"")))</f>
        <v/>
      </c>
      <c r="J54" s="15">
        <f>IF(OR(J52="",F52=""),"",IF(F52&lt;=0,"",IFERROR(J52/F52-1,"")))</f>
        <v/>
      </c>
      <c r="K54" s="15">
        <f>IF(OR(K52="",G52=""),"",IF(G52&lt;=0,"",IFERROR(K52/G52-1,"")))</f>
        <v/>
      </c>
      <c r="L54" s="15">
        <f>IF(OR(L52="",H52=""),"",IF(H52&lt;=0,"",IFERROR(L52/H52-1,"")))</f>
        <v/>
      </c>
      <c r="M54" s="15">
        <f>IF(OR(M52="",I52=""),"",IF(I52&lt;=0,"",IFERROR(M52/I52-1,"")))</f>
        <v/>
      </c>
      <c r="N54" s="15">
        <f>IF(OR(N52="",J52=""),"",IF(J52&lt;=0,"",IFERROR(N52/J52-1,"")))</f>
        <v/>
      </c>
      <c r="O54" s="14" t="n"/>
      <c r="P54" s="15">
        <f>IF(OR(P52="",O52=""),"",IF(O52&lt;=0,"",IFERROR(P52/O52-1,"")))</f>
        <v/>
      </c>
      <c r="Q54" s="15">
        <f>IF(OR(Q52="",P52=""),"",IF(P52&lt;=0,"",IFERROR(Q52/P52-1,"")))</f>
        <v/>
      </c>
      <c r="R54" s="15">
        <f>IF(OR(R52="",Q52=""),"",IF(Q52&lt;=0,"",IFERROR(R52/Q52-1,"")))</f>
        <v/>
      </c>
      <c r="S54" s="15">
        <f>IF(OR(S52="",R52=""),"",IF(R52&lt;=0,"",IFERROR(S52/R52-1,"")))</f>
        <v/>
      </c>
      <c r="T54" s="15">
        <f>IF(OR(T52="",S52=""),"",IF(S52&lt;=0,"",IFERROR(T52/S52-1,"")))</f>
        <v/>
      </c>
      <c r="U54" s="15">
        <f>IF(OR(U52="",T52=""),"",IF(T52&lt;=0,"",IFERROR(U52/T52-1,"")))</f>
        <v/>
      </c>
      <c r="V54" s="15">
        <f>IF(OR(V52="",U52=""),"",IF(U52&lt;=0,"",IFERROR(V52/U52-1,"")))</f>
        <v/>
      </c>
      <c r="W54" s="15">
        <f>IF(OR(W52="",V52=""),"",IF(V52&lt;=0,"",IFERROR(W52/V52-1,"")))</f>
        <v/>
      </c>
      <c r="X54" s="15">
        <f>IF(OR(X52="",W52=""),"",IF(W52&lt;=0,"",IFERROR(X52/W52-1,"")))</f>
        <v/>
      </c>
      <c r="Y54" s="14">
        <f>IF(OR(Y52="",X52=""),"",IF(X52&lt;=0,"",IFERROR(Y52/X52-1,"")))</f>
        <v/>
      </c>
      <c r="Z54" s="15">
        <f>IF(OR(Z52="",Y52=""),"",IF(Y52&lt;=0,"",IFERROR(Z52/Y52-1,"")))</f>
        <v/>
      </c>
      <c r="AA54" s="15">
        <f>IF(OR(AA52="",Z52=""),"",IF(Z52&lt;=0,"",IFERROR(AA52/Z52-1,"")))</f>
        <v/>
      </c>
      <c r="AB54" s="15">
        <f>IF(OR(AB52="",AA52=""),"",IF(AA52&lt;=0,"",IFERROR(AB52/AA52-1,"")))</f>
        <v/>
      </c>
      <c r="AC54" s="15">
        <f>IF(OR(AC52="",AB52=""),"",IF(AB52&lt;=0,"",IFERROR(AC52/AB52-1,"")))</f>
        <v/>
      </c>
    </row>
    <row r="55">
      <c r="A55" s="16" t="inlineStr">
        <is>
          <t>목표주가 산출</t>
        </is>
      </c>
      <c r="B55" s="16" t="n"/>
      <c r="C55" s="17" t="n"/>
      <c r="D55" s="16" t="n"/>
      <c r="E55" s="16" t="n"/>
      <c r="F55" s="16" t="n"/>
      <c r="G55" s="16" t="n"/>
      <c r="H55" s="16" t="n"/>
      <c r="I55" s="16" t="n"/>
      <c r="J55" s="16" t="n"/>
      <c r="K55" s="16" t="n"/>
      <c r="L55" s="16" t="n"/>
      <c r="M55" s="16" t="n"/>
      <c r="N55" s="16" t="n"/>
      <c r="O55" s="17" t="n"/>
      <c r="P55" s="16" t="n"/>
      <c r="Q55" s="16" t="n"/>
      <c r="R55" s="16" t="n"/>
      <c r="S55" s="16" t="n"/>
      <c r="T55" s="16" t="n"/>
      <c r="U55" s="16" t="n"/>
      <c r="V55" s="16" t="n"/>
      <c r="W55" s="16" t="n"/>
      <c r="X55" s="16" t="n"/>
      <c r="Y55" s="17" t="n"/>
      <c r="Z55" s="16" t="n"/>
      <c r="AA55" s="16" t="n"/>
      <c r="AB55" s="16" t="n"/>
      <c r="AC55" s="16" t="n"/>
    </row>
    <row r="56">
      <c r="A56" s="18" t="inlineStr">
        <is>
          <t>현재 주가 (2026.10.28)</t>
        </is>
      </c>
      <c r="B56" s="27" t="n">
        <v>5140</v>
      </c>
      <c r="C56" s="28" t="n"/>
      <c r="D56" s="29" t="n"/>
      <c r="E56" s="29" t="n"/>
      <c r="F56" s="29" t="n"/>
      <c r="G56" s="29" t="n"/>
      <c r="H56" s="29" t="n"/>
      <c r="I56" s="29" t="n"/>
      <c r="J56" s="29" t="n"/>
      <c r="K56" s="29" t="n"/>
      <c r="L56" s="29" t="n"/>
      <c r="M56" s="29" t="n"/>
      <c r="N56" s="29" t="n"/>
      <c r="O56" s="28" t="n"/>
      <c r="P56" s="29" t="n"/>
      <c r="Q56" s="29" t="n"/>
      <c r="R56" s="29" t="n"/>
      <c r="S56" s="29" t="n"/>
      <c r="T56" s="29" t="n"/>
      <c r="U56" s="29" t="n"/>
      <c r="V56" s="29" t="n"/>
      <c r="W56" s="29" t="n"/>
      <c r="X56" s="29" t="n"/>
      <c r="Y56" s="28" t="n"/>
      <c r="Z56" s="29" t="n"/>
      <c r="AA56" s="29" t="n"/>
      <c r="AB56" s="29" t="n"/>
      <c r="AC56" s="29" t="n"/>
    </row>
    <row r="57">
      <c r="A57" s="18" t="inlineStr">
        <is>
          <t>발행주식수 (보통주)</t>
        </is>
      </c>
      <c r="B57" s="27" t="n">
        <v>1470000</v>
      </c>
      <c r="C57" s="28" t="n"/>
      <c r="D57" s="29" t="n"/>
      <c r="E57" s="29" t="n"/>
      <c r="F57" s="29" t="n"/>
      <c r="G57" s="29" t="n"/>
      <c r="H57" s="29" t="n"/>
      <c r="I57" s="29" t="n"/>
      <c r="J57" s="29" t="n"/>
      <c r="K57" s="29" t="n"/>
      <c r="L57" s="29" t="n"/>
      <c r="M57" s="29" t="n"/>
      <c r="N57" s="29" t="n"/>
      <c r="O57" s="28" t="n"/>
      <c r="P57" s="29" t="n"/>
      <c r="Q57" s="29" t="n"/>
      <c r="R57" s="29" t="n"/>
      <c r="S57" s="29" t="n"/>
      <c r="T57" s="29" t="n"/>
      <c r="U57" s="29" t="n"/>
      <c r="V57" s="29" t="n"/>
      <c r="W57" s="29" t="n"/>
      <c r="X57" s="29" t="n"/>
      <c r="Y57" s="28" t="n"/>
      <c r="Z57" s="29" t="n"/>
      <c r="AA57" s="29" t="n"/>
      <c r="AB57" s="29" t="n"/>
      <c r="AC57" s="29" t="n"/>
    </row>
    <row r="58">
      <c r="A58" s="18" t="inlineStr">
        <is>
          <t>시가총액 (백만엔)</t>
        </is>
      </c>
      <c r="B58" s="12">
        <f>IF(OR(B56="",B57=""),"",B56*B57/1000000.0)</f>
        <v/>
      </c>
      <c r="C58" s="19" t="n"/>
      <c r="D58" s="20" t="n"/>
      <c r="E58" s="20" t="n"/>
      <c r="F58" s="20" t="n"/>
      <c r="G58" s="20" t="n"/>
      <c r="H58" s="20" t="n"/>
      <c r="I58" s="20" t="n"/>
      <c r="J58" s="20" t="n"/>
      <c r="K58" s="20" t="n"/>
      <c r="L58" s="20" t="n"/>
      <c r="M58" s="20" t="n"/>
      <c r="N58" s="20" t="n"/>
      <c r="O58" s="19" t="n"/>
      <c r="P58" s="20" t="n"/>
      <c r="Q58" s="20" t="n"/>
      <c r="R58" s="20" t="n"/>
      <c r="S58" s="20" t="n"/>
      <c r="T58" s="20" t="n"/>
      <c r="U58" s="20" t="n"/>
      <c r="V58" s="20" t="n"/>
      <c r="W58" s="20" t="n"/>
      <c r="X58" s="20" t="n"/>
      <c r="Y58" s="19" t="n"/>
      <c r="Z58" s="20" t="n"/>
      <c r="AA58" s="20" t="n"/>
      <c r="AB58" s="20" t="n"/>
      <c r="AC58" s="20" t="n"/>
    </row>
    <row r="59">
      <c r="A59" s="13" t="inlineStr">
        <is>
          <t>OPM</t>
        </is>
      </c>
      <c r="B59" s="10" t="n"/>
      <c r="C59" s="14" t="n"/>
      <c r="D59" s="15" t="n"/>
      <c r="E59" s="15" t="n"/>
      <c r="F59" s="15" t="n"/>
      <c r="G59" s="15" t="n"/>
      <c r="H59" s="15" t="n"/>
      <c r="I59" s="15" t="n"/>
      <c r="J59" s="15" t="n"/>
      <c r="K59" s="15" t="n"/>
      <c r="L59" s="15" t="n"/>
      <c r="M59" s="15" t="n"/>
      <c r="N59" s="15" t="n"/>
      <c r="O59" s="14">
        <f>IF(O23="","",O23)</f>
        <v/>
      </c>
      <c r="P59" s="15">
        <f>IF(P23="","",P23)</f>
        <v/>
      </c>
      <c r="Q59" s="15">
        <f>IF(Q23="","",Q23)</f>
        <v/>
      </c>
      <c r="R59" s="15">
        <f>IF(R23="","",R23)</f>
        <v/>
      </c>
      <c r="S59" s="15">
        <f>IF(S23="","",S23)</f>
        <v/>
      </c>
      <c r="T59" s="15">
        <f>IF(T23="","",T23)</f>
        <v/>
      </c>
      <c r="U59" s="15">
        <f>IF(U23="","",U23)</f>
        <v/>
      </c>
      <c r="V59" s="15">
        <f>IF(V23="","",V23)</f>
        <v/>
      </c>
      <c r="W59" s="15">
        <f>IF(W23="","",W23)</f>
        <v/>
      </c>
      <c r="X59" s="15">
        <f>IF(X23="","",X23)</f>
        <v/>
      </c>
      <c r="Y59" s="14">
        <f>IF(Y23="","",Y23)</f>
        <v/>
      </c>
      <c r="Z59" s="15">
        <f>IF(Z23="","",Z23)</f>
        <v/>
      </c>
      <c r="AA59" s="15">
        <f>IF(AA23="","",AA23)</f>
        <v/>
      </c>
      <c r="AB59" s="15">
        <f>IF(AB23="","",AB23)</f>
        <v/>
      </c>
      <c r="AC59" s="15">
        <f>IF(AC23="","",AC23)</f>
        <v/>
      </c>
    </row>
    <row r="60">
      <c r="A60" s="13" t="inlineStr">
        <is>
          <t>지배주주 순이익 증가율</t>
        </is>
      </c>
      <c r="B60" s="10" t="n"/>
      <c r="C60" s="14" t="n"/>
      <c r="D60" s="15" t="n"/>
      <c r="E60" s="15" t="n"/>
      <c r="F60" s="15" t="n"/>
      <c r="G60" s="15" t="n"/>
      <c r="H60" s="15" t="n"/>
      <c r="I60" s="15" t="n"/>
      <c r="J60" s="15" t="n"/>
      <c r="K60" s="15" t="n"/>
      <c r="L60" s="15" t="n"/>
      <c r="M60" s="15" t="n"/>
      <c r="N60" s="15" t="n"/>
      <c r="O60" s="14" t="n"/>
      <c r="P60" s="15">
        <f>IF(OR(P52="",O52=""),"",IFERROR(P52/O52-1,""))</f>
        <v/>
      </c>
      <c r="Q60" s="15">
        <f>IF(OR(Q52="",P52=""),"",IFERROR(Q52/P52-1,""))</f>
        <v/>
      </c>
      <c r="R60" s="15">
        <f>IF(OR(R52="",Q52=""),"",IFERROR(R52/Q52-1,""))</f>
        <v/>
      </c>
      <c r="S60" s="15">
        <f>IF(OR(S52="",R52=""),"",IFERROR(S52/R52-1,""))</f>
        <v/>
      </c>
      <c r="T60" s="15">
        <f>IF(OR(T52="",S52=""),"",IFERROR(T52/S52-1,""))</f>
        <v/>
      </c>
      <c r="U60" s="15">
        <f>IF(OR(U52="",T52=""),"",IFERROR(U52/T52-1,""))</f>
        <v/>
      </c>
      <c r="V60" s="15">
        <f>IF(OR(V52="",U52=""),"",IFERROR(V52/U52-1,""))</f>
        <v/>
      </c>
      <c r="W60" s="15">
        <f>IF(OR(W52="",V52=""),"",IFERROR(W52/V52-1,""))</f>
        <v/>
      </c>
      <c r="X60" s="15">
        <f>IF(OR(X52="",W52=""),"",IFERROR(X52/W52-1,""))</f>
        <v/>
      </c>
      <c r="Y60" s="14">
        <f>IF(OR(Y52="",X52=""),"",IFERROR(Y52/X52-1,""))</f>
        <v/>
      </c>
      <c r="Z60" s="15">
        <f>IF(OR(Z52="",Y52=""),"",IFERROR(Z52/Y52-1,""))</f>
        <v/>
      </c>
      <c r="AA60" s="15">
        <f>IF(OR(AA52="",Z52=""),"",IFERROR(AA52/Z52-1,""))</f>
        <v/>
      </c>
      <c r="AB60" s="15">
        <f>IF(OR(AB52="",AA52=""),"",IFERROR(AB52/AA52-1,""))</f>
        <v/>
      </c>
      <c r="AC60" s="15">
        <f>IF(OR(AC52="",AB52=""),"",IFERROR(AC52/AB52-1,""))</f>
        <v/>
      </c>
    </row>
    <row r="61">
      <c r="A61" s="18" t="inlineStr">
        <is>
          <t>P/E (현재 주가)</t>
        </is>
      </c>
      <c r="B61" s="10" t="inlineStr">
        <is>
          <t>시총 ÷ 지배순이익</t>
        </is>
      </c>
      <c r="C61" s="30" t="n"/>
      <c r="D61" s="31" t="n"/>
      <c r="E61" s="31" t="n"/>
      <c r="F61" s="31" t="n"/>
      <c r="G61" s="31" t="n"/>
      <c r="H61" s="31" t="n"/>
      <c r="I61" s="31" t="n"/>
      <c r="J61" s="31" t="n"/>
      <c r="K61" s="31" t="n"/>
      <c r="L61" s="31" t="n"/>
      <c r="M61" s="31" t="n"/>
      <c r="N61" s="31" t="n"/>
      <c r="O61" s="30" t="n"/>
      <c r="P61" s="31" t="n"/>
      <c r="Q61" s="31" t="n"/>
      <c r="R61" s="31" t="n"/>
      <c r="S61" s="31" t="n"/>
      <c r="T61" s="31" t="n"/>
      <c r="U61" s="31" t="n"/>
      <c r="V61" s="31" t="n"/>
      <c r="W61" s="31" t="n"/>
      <c r="X61" s="31">
        <f>IF(OR($B$58="",X52=""),"",IFERROR($B$58/X52,""))</f>
        <v/>
      </c>
      <c r="Y61" s="30">
        <f>IF(OR($B$58="",Y52=""),"",IFERROR($B$58/Y52,""))</f>
        <v/>
      </c>
      <c r="Z61" s="31">
        <f>IF(OR($B$58="",Z52=""),"",IFERROR($B$58/Z52,""))</f>
        <v/>
      </c>
      <c r="AA61" s="31">
        <f>IF(OR($B$58="",AA52=""),"",IFERROR($B$58/AA52,""))</f>
        <v/>
      </c>
      <c r="AB61" s="31">
        <f>IF(OR($B$58="",AB52=""),"",IFERROR($B$58/AB52,""))</f>
        <v/>
      </c>
      <c r="AC61" s="31">
        <f>IF(OR($B$58="",AC52=""),"",IFERROR($B$58/AC52,""))</f>
        <v/>
      </c>
    </row>
    <row r="62">
      <c r="A62" s="18" t="inlineStr">
        <is>
          <t>Target P/E</t>
        </is>
      </c>
      <c r="B62" s="10" t="inlineStr">
        <is>
          <t>직접 입력</t>
        </is>
      </c>
      <c r="C62" s="30" t="n"/>
      <c r="D62" s="31" t="n"/>
      <c r="E62" s="31" t="n"/>
      <c r="F62" s="31" t="n"/>
      <c r="G62" s="31" t="n"/>
      <c r="H62" s="31" t="n"/>
      <c r="I62" s="31" t="n"/>
      <c r="J62" s="31" t="n"/>
      <c r="K62" s="31" t="n"/>
      <c r="L62" s="31" t="n"/>
      <c r="M62" s="31" t="n"/>
      <c r="N62" s="31" t="n"/>
      <c r="O62" s="30" t="n"/>
      <c r="P62" s="31" t="n"/>
      <c r="Q62" s="31" t="n"/>
      <c r="R62" s="31" t="n"/>
      <c r="S62" s="31" t="n"/>
      <c r="T62" s="31" t="n"/>
      <c r="U62" s="31" t="n"/>
      <c r="V62" s="31" t="n"/>
      <c r="W62" s="31" t="n"/>
      <c r="X62" s="31" t="n"/>
      <c r="Y62" s="32" t="n"/>
      <c r="Z62" s="33" t="n"/>
      <c r="AA62" s="33" t="n"/>
      <c r="AB62" s="33" t="n"/>
      <c r="AC62" s="33" t="n"/>
    </row>
    <row r="63">
      <c r="A63" s="18" t="inlineStr">
        <is>
          <t>EPS</t>
        </is>
      </c>
      <c r="B63" s="10" t="inlineStr">
        <is>
          <t>지배순이익 ÷ 주식수</t>
        </is>
      </c>
      <c r="C63" s="28" t="n"/>
      <c r="D63" s="29" t="n"/>
      <c r="E63" s="29" t="n"/>
      <c r="F63" s="29" t="n"/>
      <c r="G63" s="29" t="n"/>
      <c r="H63" s="29" t="n"/>
      <c r="I63" s="29" t="n"/>
      <c r="J63" s="29" t="n"/>
      <c r="K63" s="29" t="n"/>
      <c r="L63" s="29" t="n"/>
      <c r="M63" s="29" t="n"/>
      <c r="N63" s="29" t="n"/>
      <c r="O63" s="28">
        <f>IF(OR(O52="",$B$57=""),"",IFERROR(O52*1000000.0/$B$57,""))</f>
        <v/>
      </c>
      <c r="P63" s="29">
        <f>IF(OR(P52="",$B$57=""),"",IFERROR(P52*1000000.0/$B$57,""))</f>
        <v/>
      </c>
      <c r="Q63" s="29">
        <f>IF(OR(Q52="",$B$57=""),"",IFERROR(Q52*1000000.0/$B$57,""))</f>
        <v/>
      </c>
      <c r="R63" s="29">
        <f>IF(OR(R52="",$B$57=""),"",IFERROR(R52*1000000.0/$B$57,""))</f>
        <v/>
      </c>
      <c r="S63" s="29">
        <f>IF(OR(S52="",$B$57=""),"",IFERROR(S52*1000000.0/$B$57,""))</f>
        <v/>
      </c>
      <c r="T63" s="29">
        <f>IF(OR(T52="",$B$57=""),"",IFERROR(T52*1000000.0/$B$57,""))</f>
        <v/>
      </c>
      <c r="U63" s="29">
        <f>IF(OR(U52="",$B$57=""),"",IFERROR(U52*1000000.0/$B$57,""))</f>
        <v/>
      </c>
      <c r="V63" s="29">
        <f>IF(OR(V52="",$B$57=""),"",IFERROR(V52*1000000.0/$B$57,""))</f>
        <v/>
      </c>
      <c r="W63" s="29">
        <f>IF(OR(W52="",$B$57=""),"",IFERROR(W52*1000000.0/$B$57,""))</f>
        <v/>
      </c>
      <c r="X63" s="29">
        <f>IF(OR(X52="",$B$57=""),"",IFERROR(X52*1000000.0/$B$57,""))</f>
        <v/>
      </c>
      <c r="Y63" s="28">
        <f>IF(OR(Y52="",$B$57=""),"",IFERROR(Y52*1000000.0/$B$57,""))</f>
        <v/>
      </c>
      <c r="Z63" s="29">
        <f>IF(OR(Z52="",$B$57=""),"",IFERROR(Z52*1000000.0/$B$57,""))</f>
        <v/>
      </c>
      <c r="AA63" s="29">
        <f>IF(OR(AA52="",$B$57=""),"",IFERROR(AA52*1000000.0/$B$57,""))</f>
        <v/>
      </c>
      <c r="AB63" s="29">
        <f>IF(OR(AB52="",$B$57=""),"",IFERROR(AB52*1000000.0/$B$57,""))</f>
        <v/>
      </c>
      <c r="AC63" s="29">
        <f>IF(OR(AC52="",$B$57=""),"",IFERROR(AC52*1000000.0/$B$57,""))</f>
        <v/>
      </c>
    </row>
    <row r="64">
      <c r="A64" s="9" t="inlineStr">
        <is>
          <t>목표주가</t>
        </is>
      </c>
      <c r="B64" s="10" t="n"/>
      <c r="C64" s="34" t="n"/>
      <c r="D64" s="27" t="n"/>
      <c r="E64" s="27" t="n"/>
      <c r="F64" s="27" t="n"/>
      <c r="G64" s="27" t="n"/>
      <c r="H64" s="27" t="n"/>
      <c r="I64" s="27" t="n"/>
      <c r="J64" s="27" t="n"/>
      <c r="K64" s="27" t="n"/>
      <c r="L64" s="27" t="n"/>
      <c r="M64" s="27" t="n"/>
      <c r="N64" s="27" t="n"/>
      <c r="O64" s="34" t="n"/>
      <c r="P64" s="27" t="n"/>
      <c r="Q64" s="27" t="n"/>
      <c r="R64" s="27" t="n"/>
      <c r="S64" s="27" t="n"/>
      <c r="T64" s="27" t="n"/>
      <c r="U64" s="27" t="n"/>
      <c r="V64" s="27" t="n"/>
      <c r="W64" s="27" t="n"/>
      <c r="X64" s="27" t="n"/>
      <c r="Y64" s="34">
        <f>IF(OR(Y63="",Y62=""),"",IFERROR(Y63*Y62,""))</f>
        <v/>
      </c>
      <c r="Z64" s="27">
        <f>IF(OR(Z63="",Z62=""),"",IFERROR(Z63*Z62,""))</f>
        <v/>
      </c>
      <c r="AA64" s="27">
        <f>IF(OR(AA63="",AA62=""),"",IFERROR(AA63*AA62,""))</f>
        <v/>
      </c>
      <c r="AB64" s="27">
        <f>IF(OR(AB63="",AB62=""),"",IFERROR(AB63*AB62,""))</f>
        <v/>
      </c>
      <c r="AC64" s="27">
        <f>IF(OR(AC63="",AC62=""),"",IFERROR(AC63*AC62,""))</f>
        <v/>
      </c>
    </row>
    <row r="65">
      <c r="A65" s="18" t="inlineStr">
        <is>
          <t>상승여력</t>
        </is>
      </c>
      <c r="B65" s="10" t="n"/>
      <c r="C65" s="35" t="n"/>
      <c r="D65" s="36" t="n"/>
      <c r="E65" s="36" t="n"/>
      <c r="F65" s="36" t="n"/>
      <c r="G65" s="36" t="n"/>
      <c r="H65" s="36" t="n"/>
      <c r="I65" s="36" t="n"/>
      <c r="J65" s="36" t="n"/>
      <c r="K65" s="36" t="n"/>
      <c r="L65" s="36" t="n"/>
      <c r="M65" s="36" t="n"/>
      <c r="N65" s="36" t="n"/>
      <c r="O65" s="35" t="n"/>
      <c r="P65" s="36" t="n"/>
      <c r="Q65" s="36" t="n"/>
      <c r="R65" s="36" t="n"/>
      <c r="S65" s="36" t="n"/>
      <c r="T65" s="36" t="n"/>
      <c r="U65" s="36" t="n"/>
      <c r="V65" s="36" t="n"/>
      <c r="W65" s="36" t="n"/>
      <c r="X65" s="36" t="n"/>
      <c r="Y65" s="37">
        <f>IF(OR(Y64="",$B$56=""),"",IFERROR(Y64/$B$56-1,""))</f>
        <v/>
      </c>
      <c r="Z65" s="38">
        <f>IF(OR(Z64="",$B$56=""),"",IFERROR(Z64/$B$56-1,""))</f>
        <v/>
      </c>
      <c r="AA65" s="38">
        <f>IF(OR(AA64="",$B$56=""),"",IFERROR(AA64/$B$56-1,""))</f>
        <v/>
      </c>
      <c r="AB65" s="38">
        <f>IF(OR(AB64="",$B$56=""),"",IFERROR(AB64/$B$56-1,""))</f>
        <v/>
      </c>
      <c r="AC65" s="38">
        <f>IF(OR(AC64="",$B$56=""),"",IFERROR(AC64/$B$56-1,""))</f>
        <v/>
      </c>
    </row>
    <row r="66">
      <c r="A66" s="16" t="inlineStr">
        <is>
          <t>자산가치 산출</t>
        </is>
      </c>
      <c r="B66" s="16" t="inlineStr">
        <is>
          <t>최신 분기 BS</t>
        </is>
      </c>
      <c r="C66" s="17" t="n"/>
      <c r="D66" s="16" t="n"/>
      <c r="E66" s="16" t="n"/>
      <c r="F66" s="16" t="n"/>
      <c r="G66" s="16" t="n"/>
      <c r="H66" s="16" t="n"/>
      <c r="I66" s="16" t="n"/>
      <c r="J66" s="16" t="n"/>
      <c r="K66" s="16" t="n"/>
      <c r="L66" s="16" t="n"/>
      <c r="M66" s="16" t="n"/>
      <c r="N66" s="16" t="n"/>
      <c r="O66" s="17" t="n"/>
      <c r="P66" s="16" t="n"/>
      <c r="Q66" s="16" t="n"/>
      <c r="R66" s="16" t="n"/>
      <c r="S66" s="16" t="n"/>
      <c r="T66" s="16" t="n"/>
      <c r="U66" s="16" t="n"/>
      <c r="V66" s="16" t="n"/>
      <c r="W66" s="16" t="n"/>
      <c r="X66" s="16" t="n"/>
      <c r="Y66" s="17" t="n"/>
      <c r="Z66" s="16" t="n"/>
      <c r="AA66" s="16" t="n"/>
      <c r="AB66" s="16" t="n"/>
      <c r="AC66" s="16" t="n"/>
    </row>
    <row r="67">
      <c r="A67" s="18" t="inlineStr">
        <is>
          <t>현금및현금성자산</t>
        </is>
      </c>
      <c r="B67" s="10" t="n"/>
      <c r="C67" s="19" t="n"/>
      <c r="D67" s="20" t="n"/>
      <c r="E67" s="20" t="n"/>
      <c r="F67" s="20" t="n"/>
      <c r="G67" s="20" t="n"/>
      <c r="H67" s="20" t="n"/>
      <c r="I67" s="20" t="n"/>
      <c r="J67" s="20" t="n"/>
      <c r="K67" s="20" t="n"/>
      <c r="L67" s="20" t="n"/>
      <c r="M67" s="20" t="n"/>
      <c r="N67" s="20" t="n"/>
      <c r="O67" s="19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>
        <f>'재무상태표'!G6</f>
        <v/>
      </c>
      <c r="Y67" s="19">
        <f>'재무상태표'!G6</f>
        <v/>
      </c>
      <c r="Z67" s="20">
        <f>'재무상태표'!G6</f>
        <v/>
      </c>
      <c r="AA67" s="20">
        <f>'재무상태표'!G6</f>
        <v/>
      </c>
      <c r="AB67" s="20">
        <f>'재무상태표'!G6</f>
        <v/>
      </c>
      <c r="AC67" s="20">
        <f>'재무상태표'!G6</f>
        <v/>
      </c>
    </row>
    <row r="68">
      <c r="A68" s="18" t="inlineStr">
        <is>
          <t>단기금융상품</t>
        </is>
      </c>
      <c r="B68" s="10" t="n"/>
      <c r="C68" s="19" t="n"/>
      <c r="D68" s="20" t="n"/>
      <c r="E68" s="20" t="n"/>
      <c r="F68" s="20" t="n"/>
      <c r="G68" s="20" t="n"/>
      <c r="H68" s="20" t="n"/>
      <c r="I68" s="20" t="n"/>
      <c r="J68" s="20" t="n"/>
      <c r="K68" s="20" t="n"/>
      <c r="L68" s="20" t="n"/>
      <c r="M68" s="20" t="n"/>
      <c r="N68" s="20" t="n"/>
      <c r="O68" s="19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>
        <f>'재무상태표'!G7</f>
        <v/>
      </c>
      <c r="Y68" s="19">
        <f>'재무상태표'!G7</f>
        <v/>
      </c>
      <c r="Z68" s="20">
        <f>'재무상태표'!G7</f>
        <v/>
      </c>
      <c r="AA68" s="20">
        <f>'재무상태표'!G7</f>
        <v/>
      </c>
      <c r="AB68" s="20">
        <f>'재무상태표'!G7</f>
        <v/>
      </c>
      <c r="AC68" s="20">
        <f>'재무상태표'!G7</f>
        <v/>
      </c>
    </row>
    <row r="69">
      <c r="A69" s="18" t="inlineStr">
        <is>
          <t>투자부동산</t>
        </is>
      </c>
      <c r="B69" s="10" t="n"/>
      <c r="C69" s="19" t="n"/>
      <c r="D69" s="20" t="n"/>
      <c r="E69" s="20" t="n"/>
      <c r="F69" s="20" t="n"/>
      <c r="G69" s="20" t="n"/>
      <c r="H69" s="20" t="n"/>
      <c r="I69" s="20" t="n"/>
      <c r="J69" s="20" t="n"/>
      <c r="K69" s="20" t="n"/>
      <c r="L69" s="20" t="n"/>
      <c r="M69" s="20" t="n"/>
      <c r="N69" s="20" t="n"/>
      <c r="O69" s="19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>
        <f>'재무상태표'!G14</f>
        <v/>
      </c>
      <c r="Y69" s="19">
        <f>'재무상태표'!G14</f>
        <v/>
      </c>
      <c r="Z69" s="20">
        <f>'재무상태표'!G14</f>
        <v/>
      </c>
      <c r="AA69" s="20">
        <f>'재무상태표'!G14</f>
        <v/>
      </c>
      <c r="AB69" s="20">
        <f>'재무상태표'!G14</f>
        <v/>
      </c>
      <c r="AC69" s="20">
        <f>'재무상태표'!G14</f>
        <v/>
      </c>
    </row>
    <row r="70">
      <c r="A70" s="18" t="inlineStr">
        <is>
          <t>지배자본</t>
        </is>
      </c>
      <c r="B70" s="10" t="n"/>
      <c r="C70" s="19" t="n"/>
      <c r="D70" s="20" t="n"/>
      <c r="E70" s="20" t="n"/>
      <c r="F70" s="20" t="n"/>
      <c r="G70" s="20" t="n"/>
      <c r="H70" s="20" t="n"/>
      <c r="I70" s="20" t="n"/>
      <c r="J70" s="20" t="n"/>
      <c r="K70" s="20" t="n"/>
      <c r="L70" s="20" t="n"/>
      <c r="M70" s="20" t="n"/>
      <c r="N70" s="20" t="n"/>
      <c r="O70" s="19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>
        <f>'재무상태표'!G31</f>
        <v/>
      </c>
      <c r="Y70" s="19">
        <f>'재무상태표'!G31</f>
        <v/>
      </c>
      <c r="Z70" s="20">
        <f>'재무상태표'!G31</f>
        <v/>
      </c>
      <c r="AA70" s="20">
        <f>'재무상태표'!G31</f>
        <v/>
      </c>
      <c r="AB70" s="20">
        <f>'재무상태표'!G31</f>
        <v/>
      </c>
      <c r="AC70" s="20">
        <f>'재무상태표'!G31</f>
        <v/>
      </c>
    </row>
    <row r="71">
      <c r="A71" s="18" t="inlineStr">
        <is>
          <t>부채</t>
        </is>
      </c>
      <c r="B71" s="10" t="n"/>
      <c r="C71" s="19" t="n"/>
      <c r="D71" s="20" t="n"/>
      <c r="E71" s="20" t="n"/>
      <c r="F71" s="20" t="n"/>
      <c r="G71" s="20" t="n"/>
      <c r="H71" s="20" t="n"/>
      <c r="I71" s="20" t="n"/>
      <c r="J71" s="20" t="n"/>
      <c r="K71" s="20" t="n"/>
      <c r="L71" s="20" t="n"/>
      <c r="M71" s="20" t="n"/>
      <c r="N71" s="20" t="n"/>
      <c r="O71" s="19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>
        <f>'재무상태표'!G27</f>
        <v/>
      </c>
      <c r="Y71" s="19">
        <f>'재무상태표'!G27</f>
        <v/>
      </c>
      <c r="Z71" s="20">
        <f>'재무상태표'!G27</f>
        <v/>
      </c>
      <c r="AA71" s="20">
        <f>'재무상태표'!G27</f>
        <v/>
      </c>
      <c r="AB71" s="20">
        <f>'재무상태표'!G27</f>
        <v/>
      </c>
      <c r="AC71" s="20">
        <f>'재무상태표'!G27</f>
        <v/>
      </c>
    </row>
    <row r="72">
      <c r="A72" s="13" t="inlineStr">
        <is>
          <t>부채비율</t>
        </is>
      </c>
      <c r="B72" s="10" t="n"/>
      <c r="C72" s="14" t="n"/>
      <c r="D72" s="15" t="n"/>
      <c r="E72" s="15" t="n"/>
      <c r="F72" s="15" t="n"/>
      <c r="G72" s="15" t="n"/>
      <c r="H72" s="15" t="n"/>
      <c r="I72" s="15" t="n"/>
      <c r="J72" s="15" t="n"/>
      <c r="K72" s="15" t="n"/>
      <c r="L72" s="15" t="n"/>
      <c r="M72" s="15" t="n"/>
      <c r="N72" s="15" t="n"/>
      <c r="O72" s="14" t="n"/>
      <c r="P72" s="15" t="n"/>
      <c r="Q72" s="15" t="n"/>
      <c r="R72" s="15" t="n"/>
      <c r="S72" s="15" t="n"/>
      <c r="T72" s="15" t="n"/>
      <c r="U72" s="15" t="n"/>
      <c r="V72" s="15" t="n"/>
      <c r="W72" s="15" t="n"/>
      <c r="X72" s="15">
        <f>IF(OR(X71="",X70=""),"",IFERROR(X71/X70,""))</f>
        <v/>
      </c>
      <c r="Y72" s="14">
        <f>IF(OR(Y71="",Y70=""),"",IFERROR(Y71/Y70,""))</f>
        <v/>
      </c>
      <c r="Z72" s="15">
        <f>IF(OR(Z71="",Z70=""),"",IFERROR(Z71/Z70,""))</f>
        <v/>
      </c>
      <c r="AA72" s="15">
        <f>IF(OR(AA71="",AA70=""),"",IFERROR(AA71/AA70,""))</f>
        <v/>
      </c>
      <c r="AB72" s="15">
        <f>IF(OR(AB71="",AB70=""),"",IFERROR(AB71/AB70,""))</f>
        <v/>
      </c>
      <c r="AC72" s="15">
        <f>IF(OR(AC71="",AC70=""),"",IFERROR(AC71/AC70,""))</f>
        <v/>
      </c>
    </row>
    <row r="73">
      <c r="A73" s="9" t="inlineStr">
        <is>
          <t>자산가치</t>
        </is>
      </c>
      <c r="B73" s="10" t="inlineStr">
        <is>
          <t>현금+단기금융+투자부동산</t>
        </is>
      </c>
      <c r="C73" s="11" t="n"/>
      <c r="D73" s="12" t="n"/>
      <c r="E73" s="12" t="n"/>
      <c r="F73" s="12" t="n"/>
      <c r="G73" s="12" t="n"/>
      <c r="H73" s="12" t="n"/>
      <c r="I73" s="12" t="n"/>
      <c r="J73" s="12" t="n"/>
      <c r="K73" s="12" t="n"/>
      <c r="L73" s="12" t="n"/>
      <c r="M73" s="12" t="n"/>
      <c r="N73" s="12" t="n"/>
      <c r="O73" s="11" t="n"/>
      <c r="P73" s="12" t="n"/>
      <c r="Q73" s="12" t="n"/>
      <c r="R73" s="12" t="n"/>
      <c r="S73" s="12" t="n"/>
      <c r="T73" s="12" t="n"/>
      <c r="U73" s="12" t="n"/>
      <c r="V73" s="12" t="n"/>
      <c r="W73" s="12" t="n"/>
      <c r="X73" s="12">
        <f>SUM(X67,X68,X69)</f>
        <v/>
      </c>
      <c r="Y73" s="11">
        <f>SUM(Y67,Y68,Y69)</f>
        <v/>
      </c>
      <c r="Z73" s="12">
        <f>SUM(Z67,Z68,Z69)</f>
        <v/>
      </c>
      <c r="AA73" s="12">
        <f>SUM(AA67,AA68,AA69)</f>
        <v/>
      </c>
      <c r="AB73" s="12">
        <f>SUM(AB67,AB68,AB69)</f>
        <v/>
      </c>
      <c r="AC73" s="12">
        <f>SUM(AC67,AC68,AC69)</f>
        <v/>
      </c>
    </row>
    <row r="74">
      <c r="A74" s="16" t="inlineStr">
        <is>
          <t>기업가치 산출</t>
        </is>
      </c>
      <c r="B74" s="16" t="n"/>
      <c r="C74" s="17" t="n"/>
      <c r="D74" s="16" t="n"/>
      <c r="E74" s="16" t="n"/>
      <c r="F74" s="16" t="n"/>
      <c r="G74" s="16" t="n"/>
      <c r="H74" s="16" t="n"/>
      <c r="I74" s="16" t="n"/>
      <c r="J74" s="16" t="n"/>
      <c r="K74" s="16" t="n"/>
      <c r="L74" s="16" t="n"/>
      <c r="M74" s="16" t="n"/>
      <c r="N74" s="16" t="n"/>
      <c r="O74" s="17" t="n"/>
      <c r="P74" s="16" t="n"/>
      <c r="Q74" s="16" t="n"/>
      <c r="R74" s="16" t="n"/>
      <c r="S74" s="16" t="n"/>
      <c r="T74" s="16" t="n"/>
      <c r="U74" s="16" t="n"/>
      <c r="V74" s="16" t="n"/>
      <c r="W74" s="16" t="n"/>
      <c r="X74" s="16" t="n"/>
      <c r="Y74" s="17" t="n"/>
      <c r="Z74" s="16" t="n"/>
      <c r="AA74" s="16" t="n"/>
      <c r="AB74" s="16" t="n"/>
      <c r="AC74" s="16" t="n"/>
    </row>
    <row r="75">
      <c r="A75" s="18" t="inlineStr">
        <is>
          <t>목표 시가총액 (P/E)</t>
        </is>
      </c>
      <c r="B75" s="10" t="inlineStr">
        <is>
          <t>지배순이익 × Target P/E</t>
        </is>
      </c>
      <c r="C75" s="19" t="n"/>
      <c r="D75" s="20" t="n"/>
      <c r="E75" s="20" t="n"/>
      <c r="F75" s="20" t="n"/>
      <c r="G75" s="20" t="n"/>
      <c r="H75" s="20" t="n"/>
      <c r="I75" s="20" t="n"/>
      <c r="J75" s="20" t="n"/>
      <c r="K75" s="20" t="n"/>
      <c r="L75" s="20" t="n"/>
      <c r="M75" s="20" t="n"/>
      <c r="N75" s="20" t="n"/>
      <c r="O75" s="19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19">
        <f>IF(OR(Y52="",Y62=""),"",IFERROR(Y52*Y62,""))</f>
        <v/>
      </c>
      <c r="Z75" s="20">
        <f>IF(OR(Z52="",Z62=""),"",IFERROR(Z52*Z62,""))</f>
        <v/>
      </c>
      <c r="AA75" s="20">
        <f>IF(OR(AA52="",AA62=""),"",IFERROR(AA52*AA62,""))</f>
        <v/>
      </c>
      <c r="AB75" s="20">
        <f>IF(OR(AB52="",AB62=""),"",IFERROR(AB52*AB62,""))</f>
        <v/>
      </c>
      <c r="AC75" s="20">
        <f>IF(OR(AC52="",AC62=""),"",IFERROR(AC52*AC62,""))</f>
        <v/>
      </c>
    </row>
    <row r="76">
      <c r="A76" s="9" t="inlineStr">
        <is>
          <t>기업가치</t>
        </is>
      </c>
      <c r="B76" s="10" t="inlineStr">
        <is>
          <t>목표시총 + 자산가치</t>
        </is>
      </c>
      <c r="C76" s="11" t="n"/>
      <c r="D76" s="12" t="n"/>
      <c r="E76" s="12" t="n"/>
      <c r="F76" s="12" t="n"/>
      <c r="G76" s="12" t="n"/>
      <c r="H76" s="12" t="n"/>
      <c r="I76" s="12" t="n"/>
      <c r="J76" s="12" t="n"/>
      <c r="K76" s="12" t="n"/>
      <c r="L76" s="12" t="n"/>
      <c r="M76" s="12" t="n"/>
      <c r="N76" s="12" t="n"/>
      <c r="O76" s="11" t="n"/>
      <c r="P76" s="12" t="n"/>
      <c r="Q76" s="12" t="n"/>
      <c r="R76" s="12" t="n"/>
      <c r="S76" s="12" t="n"/>
      <c r="T76" s="12" t="n"/>
      <c r="U76" s="12" t="n"/>
      <c r="V76" s="12" t="n"/>
      <c r="W76" s="12" t="n"/>
      <c r="X76" s="12" t="n"/>
      <c r="Y76" s="11">
        <f>IF(OR(Y75=""),"",IFERROR(Y75+Y73,""))</f>
        <v/>
      </c>
      <c r="Z76" s="12">
        <f>IF(OR(Z75=""),"",IFERROR(Z75+Z73,""))</f>
        <v/>
      </c>
      <c r="AA76" s="12">
        <f>IF(OR(AA75=""),"",IFERROR(AA75+AA73,""))</f>
        <v/>
      </c>
      <c r="AB76" s="12">
        <f>IF(OR(AB75=""),"",IFERROR(AB75+AB73,""))</f>
        <v/>
      </c>
      <c r="AC76" s="12">
        <f>IF(OR(AC75=""),"",IFERROR(AC75+AC73,""))</f>
        <v/>
      </c>
    </row>
    <row r="77">
      <c r="A77" s="18" t="inlineStr">
        <is>
          <t>현재 시가총액</t>
        </is>
      </c>
      <c r="B77" s="10" t="n"/>
      <c r="C77" s="19" t="n"/>
      <c r="D77" s="20" t="n"/>
      <c r="E77" s="20" t="n"/>
      <c r="F77" s="20" t="n"/>
      <c r="G77" s="20" t="n"/>
      <c r="H77" s="20" t="n"/>
      <c r="I77" s="20" t="n"/>
      <c r="J77" s="20" t="n"/>
      <c r="K77" s="20" t="n"/>
      <c r="L77" s="20" t="n"/>
      <c r="M77" s="20" t="n"/>
      <c r="N77" s="20" t="n"/>
      <c r="O77" s="19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19">
        <f>$B$58</f>
        <v/>
      </c>
      <c r="Z77" s="20">
        <f>$B$58</f>
        <v/>
      </c>
      <c r="AA77" s="20">
        <f>$B$58</f>
        <v/>
      </c>
      <c r="AB77" s="20">
        <f>$B$58</f>
        <v/>
      </c>
      <c r="AC77" s="20">
        <f>$B$58</f>
        <v/>
      </c>
    </row>
    <row r="78">
      <c r="A78" s="18" t="inlineStr">
        <is>
          <t>상승여력</t>
        </is>
      </c>
      <c r="B78" s="10" t="n"/>
      <c r="C78" s="35" t="n"/>
      <c r="D78" s="36" t="n"/>
      <c r="E78" s="36" t="n"/>
      <c r="F78" s="36" t="n"/>
      <c r="G78" s="36" t="n"/>
      <c r="H78" s="36" t="n"/>
      <c r="I78" s="36" t="n"/>
      <c r="J78" s="36" t="n"/>
      <c r="K78" s="36" t="n"/>
      <c r="L78" s="36" t="n"/>
      <c r="M78" s="36" t="n"/>
      <c r="N78" s="36" t="n"/>
      <c r="O78" s="35" t="n"/>
      <c r="P78" s="36" t="n"/>
      <c r="Q78" s="36" t="n"/>
      <c r="R78" s="36" t="n"/>
      <c r="S78" s="36" t="n"/>
      <c r="T78" s="36" t="n"/>
      <c r="U78" s="36" t="n"/>
      <c r="V78" s="36" t="n"/>
      <c r="W78" s="36" t="n"/>
      <c r="X78" s="36" t="n"/>
      <c r="Y78" s="37">
        <f>IF(OR(Y76="",Y77=""),"",IFERROR(Y76/Y77-1,""))</f>
        <v/>
      </c>
      <c r="Z78" s="38">
        <f>IF(OR(Z76="",Z77=""),"",IFERROR(Z76/Z77-1,""))</f>
        <v/>
      </c>
      <c r="AA78" s="38">
        <f>IF(OR(AA76="",AA77=""),"",IFERROR(AA76/AA77-1,""))</f>
        <v/>
      </c>
      <c r="AB78" s="38">
        <f>IF(OR(AB76="",AB77=""),"",IFERROR(AB76/AB77-1,""))</f>
        <v/>
      </c>
      <c r="AC78" s="38">
        <f>IF(OR(AC76="",AC77=""),"",IFERROR(AC76/AC77-1,""))</f>
        <v/>
      </c>
    </row>
    <row r="79">
      <c r="C79" s="39" t="n"/>
      <c r="O79" s="39" t="n"/>
      <c r="Y79" s="39" t="n"/>
    </row>
    <row r="80">
      <c r="A80" s="40" t="inlineStr">
        <is>
          <t>출처</t>
        </is>
      </c>
      <c r="C80" s="39" t="n"/>
      <c r="O80" s="39" t="n"/>
      <c r="Y80" s="39" t="n"/>
    </row>
    <row r="81">
      <c r="A81" s="41" t="inlineStr">
        <is>
          <t>결산단신 XBRL(TDnet·JPX 보관소) — 쓴 문서는 '출처' 시트</t>
        </is>
      </c>
      <c r="C81" s="39" t="n"/>
      <c r="O81" s="39" t="n"/>
      <c r="Y81" s="39" t="n"/>
    </row>
    <row r="82">
      <c r="A82" s="41" t="inlineStr">
        <is>
          <t>분기 = 누계에서 앞 분기를 뺀 3개월 값</t>
        </is>
      </c>
      <c r="C82" s="39" t="n"/>
      <c r="O82" s="39" t="n"/>
      <c r="Y82" s="39" t="n"/>
    </row>
    <row r="83">
      <c r="A83" s="41" t="inlineStr">
        <is>
          <t>주가: 야후 파이낸스 일봉 2026.10.28</t>
        </is>
      </c>
      <c r="C83" s="39" t="n"/>
      <c r="O83" s="39" t="n"/>
      <c r="Y83" s="39" t="n"/>
    </row>
    <row r="85">
      <c r="A85" s="16" t="inlineStr">
        <is>
          <t>손익계산서 · 전 항목</t>
        </is>
      </c>
      <c r="B85" s="42" t="inlineStr">
        <is>
          <t>분기 = 3개월 단독</t>
        </is>
      </c>
      <c r="C85" s="16" t="n"/>
      <c r="D85" s="16" t="n"/>
      <c r="E85" s="16" t="n"/>
      <c r="F85" s="16" t="n"/>
      <c r="G85" s="16" t="n"/>
      <c r="H85" s="16" t="n"/>
      <c r="I85" s="16" t="n"/>
      <c r="J85" s="16" t="n"/>
      <c r="K85" s="16" t="n"/>
      <c r="L85" s="16" t="n"/>
      <c r="M85" s="16" t="n"/>
      <c r="N85" s="16" t="n"/>
      <c r="O85" s="16" t="n"/>
      <c r="P85" s="16" t="n"/>
      <c r="Q85" s="16" t="n"/>
      <c r="R85" s="16" t="n"/>
      <c r="S85" s="16" t="n"/>
      <c r="T85" s="16" t="n"/>
      <c r="U85" s="16" t="n"/>
      <c r="V85" s="16" t="n"/>
      <c r="W85" s="16" t="n"/>
      <c r="X85" s="16" t="n"/>
      <c r="Y85" s="16" t="n"/>
      <c r="Z85" s="16" t="n"/>
      <c r="AA85" s="16" t="n"/>
      <c r="AB85" s="16" t="n"/>
      <c r="AC85" s="16" t="n"/>
    </row>
    <row r="86">
      <c r="A86" s="5" t="inlineStr">
        <is>
          <t>항목</t>
        </is>
      </c>
      <c r="B86" s="5" t="inlineStr">
        <is>
          <t>참고</t>
        </is>
      </c>
      <c r="C86" s="5" t="inlineStr">
        <is>
          <t>2024.2Q</t>
        </is>
      </c>
      <c r="D86" s="5" t="inlineStr">
        <is>
          <t>2024.3Q</t>
        </is>
      </c>
      <c r="E86" s="5" t="inlineStr">
        <is>
          <t>2024.4Q</t>
        </is>
      </c>
      <c r="F86" s="5" t="inlineStr">
        <is>
          <t>2025.1Q</t>
        </is>
      </c>
      <c r="G86" s="5" t="inlineStr">
        <is>
          <t>2025.2Q</t>
        </is>
      </c>
      <c r="H86" s="5" t="inlineStr">
        <is>
          <t>2025.3Q</t>
        </is>
      </c>
      <c r="I86" s="5" t="inlineStr">
        <is>
          <t>2025.4Q</t>
        </is>
      </c>
      <c r="J86" s="5" t="inlineStr">
        <is>
          <t>2026.1Q</t>
        </is>
      </c>
      <c r="K86" s="5" t="inlineStr">
        <is>
          <t>2026.2Q</t>
        </is>
      </c>
      <c r="L86" s="5" t="inlineStr">
        <is>
          <t>2026.3Q</t>
        </is>
      </c>
      <c r="M86" s="5" t="inlineStr">
        <is>
          <t>2026.4Q</t>
        </is>
      </c>
      <c r="N86" s="5" t="inlineStr">
        <is>
          <t>2027.1Q</t>
        </is>
      </c>
      <c r="O86" s="5" t="inlineStr">
        <is>
          <t>2017</t>
        </is>
      </c>
      <c r="P86" s="5" t="inlineStr">
        <is>
          <t>2018</t>
        </is>
      </c>
      <c r="Q86" s="5" t="inlineStr">
        <is>
          <t>2019</t>
        </is>
      </c>
      <c r="R86" s="5" t="inlineStr">
        <is>
          <t>2020</t>
        </is>
      </c>
      <c r="S86" s="5" t="inlineStr">
        <is>
          <t>2021</t>
        </is>
      </c>
      <c r="T86" s="5" t="inlineStr">
        <is>
          <t>2022</t>
        </is>
      </c>
      <c r="U86" s="5" t="inlineStr">
        <is>
          <t>2023</t>
        </is>
      </c>
      <c r="V86" s="5" t="inlineStr">
        <is>
          <t>2024</t>
        </is>
      </c>
      <c r="W86" s="5" t="inlineStr">
        <is>
          <t>2025</t>
        </is>
      </c>
      <c r="X86" s="5" t="inlineStr">
        <is>
          <t>2026</t>
        </is>
      </c>
      <c r="Y86" s="5" t="inlineStr">
        <is>
          <t>2027(MW)</t>
        </is>
      </c>
      <c r="Z86" s="5" t="inlineStr">
        <is>
          <t>2028(MW)</t>
        </is>
      </c>
      <c r="AA86" s="5" t="inlineStr">
        <is>
          <t>2029(MW)</t>
        </is>
      </c>
      <c r="AB86" s="5" t="inlineStr">
        <is>
          <t>2030(MW)</t>
        </is>
      </c>
      <c r="AC86" s="5" t="inlineStr">
        <is>
          <t>2031(MW)</t>
        </is>
      </c>
    </row>
    <row r="87">
      <c r="A87" s="9" t="inlineStr">
        <is>
          <t>매출액</t>
        </is>
      </c>
      <c r="C87" s="12" t="n">
        <v>6207.926</v>
      </c>
      <c r="D87" s="12" t="n">
        <v>6475.542</v>
      </c>
      <c r="E87" s="12" t="n">
        <v>11439.177</v>
      </c>
      <c r="F87" s="12" t="n">
        <v>4894.085</v>
      </c>
      <c r="G87" s="12" t="n">
        <v>5882.661</v>
      </c>
      <c r="H87" s="12" t="n">
        <v>7771.54</v>
      </c>
      <c r="I87" s="12" t="n">
        <v>10497.906</v>
      </c>
      <c r="J87" s="12" t="n">
        <v>5251.351</v>
      </c>
      <c r="K87" s="12" t="n">
        <v>6585.237</v>
      </c>
      <c r="L87" s="12" t="n">
        <v>8239.593000000001</v>
      </c>
      <c r="M87" s="12" t="n">
        <v>12633.402</v>
      </c>
      <c r="N87" s="12" t="n">
        <v>6762.843</v>
      </c>
      <c r="T87" s="12" t="n">
        <v>8482.671</v>
      </c>
      <c r="U87" s="12" t="n">
        <v>8805.705</v>
      </c>
      <c r="V87" s="12" t="n">
        <v>11439.177</v>
      </c>
      <c r="W87" s="12" t="n">
        <v>10497.906</v>
      </c>
      <c r="X87" s="12" t="n">
        <v>12633.402</v>
      </c>
    </row>
    <row r="88">
      <c r="A88" s="43" t="inlineStr">
        <is>
          <t>YoY</t>
        </is>
      </c>
      <c r="B88" s="3" t="inlineStr">
        <is>
          <t>전년 같은 분기·전년 대비</t>
        </is>
      </c>
      <c r="G88" s="15">
        <f>IF(OR(G87="",C87=""),"",IF(C87&lt;=0,"",IFERROR(G87/C87-1,"")))</f>
        <v/>
      </c>
      <c r="H88" s="15">
        <f>IF(OR(H87="",D87=""),"",IF(D87&lt;=0,"",IFERROR(H87/D87-1,"")))</f>
        <v/>
      </c>
      <c r="I88" s="15">
        <f>IF(OR(I87="",E87=""),"",IF(E87&lt;=0,"",IFERROR(I87/E87-1,"")))</f>
        <v/>
      </c>
      <c r="J88" s="15">
        <f>IF(OR(J87="",F87=""),"",IF(F87&lt;=0,"",IFERROR(J87/F87-1,"")))</f>
        <v/>
      </c>
      <c r="K88" s="15">
        <f>IF(OR(K87="",G87=""),"",IF(G87&lt;=0,"",IFERROR(K87/G87-1,"")))</f>
        <v/>
      </c>
      <c r="L88" s="15">
        <f>IF(OR(L87="",H87=""),"",IF(H87&lt;=0,"",IFERROR(L87/H87-1,"")))</f>
        <v/>
      </c>
      <c r="M88" s="15">
        <f>IF(OR(M87="",I87=""),"",IF(I87&lt;=0,"",IFERROR(M87/I87-1,"")))</f>
        <v/>
      </c>
      <c r="N88" s="15">
        <f>IF(OR(N87="",J87=""),"",IF(J87&lt;=0,"",IFERROR(N87/J87-1,"")))</f>
        <v/>
      </c>
      <c r="T88" s="15">
        <f>IF(OR(T87="",S87=""),"",IF(S87&lt;=0,"",IFERROR(T87/S87-1,"")))</f>
        <v/>
      </c>
      <c r="U88" s="15">
        <f>IF(OR(U87="",T87=""),"",IF(T87&lt;=0,"",IFERROR(U87/T87-1,"")))</f>
        <v/>
      </c>
      <c r="V88" s="15">
        <f>IF(OR(V87="",U87=""),"",IF(U87&lt;=0,"",IFERROR(V87/U87-1,"")))</f>
        <v/>
      </c>
      <c r="W88" s="15">
        <f>IF(OR(W87="",V87=""),"",IF(V87&lt;=0,"",IFERROR(W87/V87-1,"")))</f>
        <v/>
      </c>
      <c r="X88" s="15">
        <f>IF(OR(X87="",W87=""),"",IF(W87&lt;=0,"",IFERROR(X87/W87-1,"")))</f>
        <v/>
      </c>
    </row>
    <row r="89">
      <c r="A89" s="18" t="inlineStr">
        <is>
          <t>매출원가</t>
        </is>
      </c>
      <c r="C89" s="20" t="n">
        <v>4738.797</v>
      </c>
      <c r="D89" s="20" t="n">
        <v>5107.666</v>
      </c>
      <c r="E89" s="20" t="n">
        <v>9378.085999999999</v>
      </c>
      <c r="F89" s="20" t="n">
        <v>4048.662</v>
      </c>
      <c r="G89" s="20" t="n">
        <v>4594.635</v>
      </c>
      <c r="H89" s="20" t="n">
        <v>6067.057</v>
      </c>
      <c r="I89" s="20" t="n">
        <v>8567.427</v>
      </c>
      <c r="J89" s="20" t="n">
        <v>4062.569</v>
      </c>
      <c r="K89" s="20" t="n">
        <v>5282.795</v>
      </c>
      <c r="L89" s="20" t="n">
        <v>6443.349</v>
      </c>
      <c r="M89" s="20" t="n">
        <v>10445</v>
      </c>
      <c r="N89" s="20" t="n">
        <v>5728.341</v>
      </c>
      <c r="T89" s="20" t="n">
        <v>7109.352</v>
      </c>
      <c r="U89" s="20" t="n">
        <v>6944.035</v>
      </c>
      <c r="V89" s="20" t="n">
        <v>9378.085999999999</v>
      </c>
      <c r="W89" s="20" t="n">
        <v>8567.427</v>
      </c>
      <c r="X89" s="20" t="n">
        <v>10445</v>
      </c>
    </row>
    <row r="90">
      <c r="A90" s="43" t="inlineStr">
        <is>
          <t>YoY</t>
        </is>
      </c>
      <c r="B90" s="3" t="inlineStr">
        <is>
          <t>전년 같은 분기·전년 대비</t>
        </is>
      </c>
      <c r="G90" s="15">
        <f>IF(OR(G89="",C89=""),"",IF(G89*C89&lt;=0,"",IFERROR(G89/C89-1,"")))</f>
        <v/>
      </c>
      <c r="H90" s="15">
        <f>IF(OR(H89="",D89=""),"",IF(H89*D89&lt;=0,"",IFERROR(H89/D89-1,"")))</f>
        <v/>
      </c>
      <c r="I90" s="15">
        <f>IF(OR(I89="",E89=""),"",IF(I89*E89&lt;=0,"",IFERROR(I89/E89-1,"")))</f>
        <v/>
      </c>
      <c r="J90" s="15">
        <f>IF(OR(J89="",F89=""),"",IF(J89*F89&lt;=0,"",IFERROR(J89/F89-1,"")))</f>
        <v/>
      </c>
      <c r="K90" s="15">
        <f>IF(OR(K89="",G89=""),"",IF(K89*G89&lt;=0,"",IFERROR(K89/G89-1,"")))</f>
        <v/>
      </c>
      <c r="L90" s="15">
        <f>IF(OR(L89="",H89=""),"",IF(L89*H89&lt;=0,"",IFERROR(L89/H89-1,"")))</f>
        <v/>
      </c>
      <c r="M90" s="15">
        <f>IF(OR(M89="",I89=""),"",IF(M89*I89&lt;=0,"",IFERROR(M89/I89-1,"")))</f>
        <v/>
      </c>
      <c r="N90" s="15">
        <f>IF(OR(N89="",J89=""),"",IF(N89*J89&lt;=0,"",IFERROR(N89/J89-1,"")))</f>
        <v/>
      </c>
      <c r="T90" s="15">
        <f>IF(OR(T89="",S89=""),"",IF(T89*S89&lt;=0,"",IFERROR(T89/S89-1,"")))</f>
        <v/>
      </c>
      <c r="U90" s="15">
        <f>IF(OR(U89="",T89=""),"",IF(U89*T89&lt;=0,"",IFERROR(U89/T89-1,"")))</f>
        <v/>
      </c>
      <c r="V90" s="15">
        <f>IF(OR(V89="",U89=""),"",IF(V89*U89&lt;=0,"",IFERROR(V89/U89-1,"")))</f>
        <v/>
      </c>
      <c r="W90" s="15">
        <f>IF(OR(W89="",V89=""),"",IF(W89*V89&lt;=0,"",IFERROR(W89/V89-1,"")))</f>
        <v/>
      </c>
      <c r="X90" s="15">
        <f>IF(OR(X89="",W89=""),"",IF(X89*W89&lt;=0,"",IFERROR(X89/W89-1,"")))</f>
        <v/>
      </c>
    </row>
    <row r="91">
      <c r="A91" s="9" t="inlineStr">
        <is>
          <t>매출총이익</t>
        </is>
      </c>
      <c r="C91" s="12" t="n">
        <v>1469.128</v>
      </c>
      <c r="D91" s="12" t="n">
        <v>1367.877</v>
      </c>
      <c r="E91" s="12" t="n">
        <v>2061.091</v>
      </c>
      <c r="F91" s="12" t="n">
        <v>845.422</v>
      </c>
      <c r="G91" s="12" t="n">
        <v>1288.026</v>
      </c>
      <c r="H91" s="12" t="n">
        <v>1704.483</v>
      </c>
      <c r="I91" s="12" t="n">
        <v>1930.48</v>
      </c>
      <c r="J91" s="12" t="n">
        <v>1188.781</v>
      </c>
      <c r="K91" s="12" t="n">
        <v>1302.443</v>
      </c>
      <c r="L91" s="12" t="n">
        <v>1796.244</v>
      </c>
      <c r="M91" s="12" t="n">
        <v>2188.402</v>
      </c>
      <c r="N91" s="12" t="n">
        <v>1034.501</v>
      </c>
      <c r="T91" s="12" t="n">
        <v>1373.319</v>
      </c>
      <c r="U91" s="12" t="n">
        <v>1861.669</v>
      </c>
      <c r="V91" s="12" t="n">
        <v>2061.091</v>
      </c>
      <c r="W91" s="12" t="n">
        <v>1930.48</v>
      </c>
      <c r="X91" s="12" t="n">
        <v>2188.402</v>
      </c>
    </row>
    <row r="92">
      <c r="A92" s="43" t="inlineStr">
        <is>
          <t>YoY</t>
        </is>
      </c>
      <c r="B92" s="3" t="inlineStr">
        <is>
          <t>전년 같은 분기·전년 대비</t>
        </is>
      </c>
      <c r="G92" s="15">
        <f>IF(OR(G91="",C91=""),"",IF(C91&lt;=0,"",IFERROR(G91/C91-1,"")))</f>
        <v/>
      </c>
      <c r="H92" s="15">
        <f>IF(OR(H91="",D91=""),"",IF(D91&lt;=0,"",IFERROR(H91/D91-1,"")))</f>
        <v/>
      </c>
      <c r="I92" s="15">
        <f>IF(OR(I91="",E91=""),"",IF(E91&lt;=0,"",IFERROR(I91/E91-1,"")))</f>
        <v/>
      </c>
      <c r="J92" s="15">
        <f>IF(OR(J91="",F91=""),"",IF(F91&lt;=0,"",IFERROR(J91/F91-1,"")))</f>
        <v/>
      </c>
      <c r="K92" s="15">
        <f>IF(OR(K91="",G91=""),"",IF(G91&lt;=0,"",IFERROR(K91/G91-1,"")))</f>
        <v/>
      </c>
      <c r="L92" s="15">
        <f>IF(OR(L91="",H91=""),"",IF(H91&lt;=0,"",IFERROR(L91/H91-1,"")))</f>
        <v/>
      </c>
      <c r="M92" s="15">
        <f>IF(OR(M91="",I91=""),"",IF(I91&lt;=0,"",IFERROR(M91/I91-1,"")))</f>
        <v/>
      </c>
      <c r="N92" s="15">
        <f>IF(OR(N91="",J91=""),"",IF(J91&lt;=0,"",IFERROR(N91/J91-1,"")))</f>
        <v/>
      </c>
      <c r="T92" s="15">
        <f>IF(OR(T91="",S91=""),"",IF(S91&lt;=0,"",IFERROR(T91/S91-1,"")))</f>
        <v/>
      </c>
      <c r="U92" s="15">
        <f>IF(OR(U91="",T91=""),"",IF(T91&lt;=0,"",IFERROR(U91/T91-1,"")))</f>
        <v/>
      </c>
      <c r="V92" s="15">
        <f>IF(OR(V91="",U91=""),"",IF(U91&lt;=0,"",IFERROR(V91/U91-1,"")))</f>
        <v/>
      </c>
      <c r="W92" s="15">
        <f>IF(OR(W91="",V91=""),"",IF(V91&lt;=0,"",IFERROR(W91/V91-1,"")))</f>
        <v/>
      </c>
      <c r="X92" s="15">
        <f>IF(OR(X91="",W91=""),"",IF(W91&lt;=0,"",IFERROR(X91/W91-1,"")))</f>
        <v/>
      </c>
    </row>
    <row r="93">
      <c r="A93" s="18" t="inlineStr">
        <is>
          <t>판매비와 관리비</t>
        </is>
      </c>
      <c r="C93" s="20" t="n">
        <v>1136.054</v>
      </c>
      <c r="D93" s="20" t="n">
        <v>1033.634</v>
      </c>
      <c r="E93" s="20" t="n">
        <v>1033.561</v>
      </c>
      <c r="F93" s="20" t="n">
        <v>1092.672</v>
      </c>
      <c r="G93" s="20" t="n">
        <v>1057.287</v>
      </c>
      <c r="H93" s="20" t="n">
        <v>1075.819</v>
      </c>
      <c r="I93" s="20" t="n">
        <v>1058.179</v>
      </c>
      <c r="J93" s="20" t="n">
        <v>1164.189</v>
      </c>
      <c r="K93" s="20" t="n">
        <v>1100.389</v>
      </c>
      <c r="L93" s="20" t="n">
        <v>1270.538</v>
      </c>
      <c r="M93" s="20" t="n">
        <v>1168.993</v>
      </c>
      <c r="N93" s="20" t="n">
        <v>1231.62</v>
      </c>
      <c r="T93" s="20" t="n">
        <v>1024.175</v>
      </c>
      <c r="U93" s="20" t="n">
        <v>1117.684</v>
      </c>
      <c r="V93" s="20" t="n">
        <v>1033.561</v>
      </c>
      <c r="W93" s="20" t="n">
        <v>1058.179</v>
      </c>
      <c r="X93" s="20" t="n">
        <v>1168.993</v>
      </c>
    </row>
    <row r="94">
      <c r="A94" s="43" t="inlineStr">
        <is>
          <t>YoY</t>
        </is>
      </c>
      <c r="B94" s="3" t="inlineStr">
        <is>
          <t>전년 같은 분기·전년 대비</t>
        </is>
      </c>
      <c r="G94" s="15">
        <f>IF(OR(G93="",C93=""),"",IF(G93*C93&lt;=0,"",IFERROR(G93/C93-1,"")))</f>
        <v/>
      </c>
      <c r="H94" s="15">
        <f>IF(OR(H93="",D93=""),"",IF(H93*D93&lt;=0,"",IFERROR(H93/D93-1,"")))</f>
        <v/>
      </c>
      <c r="I94" s="15">
        <f>IF(OR(I93="",E93=""),"",IF(I93*E93&lt;=0,"",IFERROR(I93/E93-1,"")))</f>
        <v/>
      </c>
      <c r="J94" s="15">
        <f>IF(OR(J93="",F93=""),"",IF(J93*F93&lt;=0,"",IFERROR(J93/F93-1,"")))</f>
        <v/>
      </c>
      <c r="K94" s="15">
        <f>IF(OR(K93="",G93=""),"",IF(K93*G93&lt;=0,"",IFERROR(K93/G93-1,"")))</f>
        <v/>
      </c>
      <c r="L94" s="15">
        <f>IF(OR(L93="",H93=""),"",IF(L93*H93&lt;=0,"",IFERROR(L93/H93-1,"")))</f>
        <v/>
      </c>
      <c r="M94" s="15">
        <f>IF(OR(M93="",I93=""),"",IF(M93*I93&lt;=0,"",IFERROR(M93/I93-1,"")))</f>
        <v/>
      </c>
      <c r="N94" s="15">
        <f>IF(OR(N93="",J93=""),"",IF(N93*J93&lt;=0,"",IFERROR(N93/J93-1,"")))</f>
        <v/>
      </c>
      <c r="T94" s="15">
        <f>IF(OR(T93="",S93=""),"",IF(T93*S93&lt;=0,"",IFERROR(T93/S93-1,"")))</f>
        <v/>
      </c>
      <c r="U94" s="15">
        <f>IF(OR(U93="",T93=""),"",IF(U93*T93&lt;=0,"",IFERROR(U93/T93-1,"")))</f>
        <v/>
      </c>
      <c r="V94" s="15">
        <f>IF(OR(V93="",U93=""),"",IF(V93*U93&lt;=0,"",IFERROR(V93/U93-1,"")))</f>
        <v/>
      </c>
      <c r="W94" s="15">
        <f>IF(OR(W93="",V93=""),"",IF(W93*V93&lt;=0,"",IFERROR(W93/V93-1,"")))</f>
        <v/>
      </c>
      <c r="X94" s="15">
        <f>IF(OR(X93="",W93=""),"",IF(X93*W93&lt;=0,"",IFERROR(X93/W93-1,"")))</f>
        <v/>
      </c>
    </row>
    <row r="95">
      <c r="A95" s="9" t="inlineStr">
        <is>
          <t>영업이익(손실)</t>
        </is>
      </c>
      <c r="C95" s="12" t="n">
        <v>333.075</v>
      </c>
      <c r="D95" s="12" t="n">
        <v>334.242</v>
      </c>
      <c r="E95" s="12" t="n">
        <v>1027.53</v>
      </c>
      <c r="F95" s="12" t="n">
        <v>-247.249</v>
      </c>
      <c r="G95" s="12" t="n">
        <v>230.738</v>
      </c>
      <c r="H95" s="12" t="n">
        <v>628.664</v>
      </c>
      <c r="I95" s="12" t="n">
        <v>872.301</v>
      </c>
      <c r="J95" s="12" t="n">
        <v>24.592</v>
      </c>
      <c r="K95" s="12" t="n">
        <v>202.053</v>
      </c>
      <c r="L95" s="12" t="n">
        <v>525.706</v>
      </c>
      <c r="M95" s="12" t="n">
        <v>1019.409</v>
      </c>
      <c r="N95" s="12" t="n">
        <v>-197.118</v>
      </c>
      <c r="T95" s="12" t="n">
        <v>349.144</v>
      </c>
      <c r="U95" s="12" t="n">
        <v>743.985</v>
      </c>
      <c r="V95" s="12" t="n">
        <v>1027.53</v>
      </c>
      <c r="W95" s="12" t="n">
        <v>872.301</v>
      </c>
      <c r="X95" s="12" t="n">
        <v>1019.409</v>
      </c>
    </row>
    <row r="96">
      <c r="A96" s="43" t="inlineStr">
        <is>
          <t>OPM</t>
        </is>
      </c>
      <c r="B96" s="3" t="inlineStr">
        <is>
          <t>영업이익 ÷ 매출</t>
        </is>
      </c>
      <c r="C96" s="15">
        <f>IF(OR(C95="",C87=""),"",IF(C87&lt;=0,"",IFERROR(C95/C87,"")))</f>
        <v/>
      </c>
      <c r="D96" s="15">
        <f>IF(OR(D95="",D87=""),"",IF(D87&lt;=0,"",IFERROR(D95/D87,"")))</f>
        <v/>
      </c>
      <c r="E96" s="15">
        <f>IF(OR(E95="",E87=""),"",IF(E87&lt;=0,"",IFERROR(E95/E87,"")))</f>
        <v/>
      </c>
      <c r="F96" s="15">
        <f>IF(OR(F95="",F87=""),"",IF(F87&lt;=0,"",IFERROR(F95/F87,"")))</f>
        <v/>
      </c>
      <c r="G96" s="15">
        <f>IF(OR(G95="",G87=""),"",IF(G87&lt;=0,"",IFERROR(G95/G87,"")))</f>
        <v/>
      </c>
      <c r="H96" s="15">
        <f>IF(OR(H95="",H87=""),"",IF(H87&lt;=0,"",IFERROR(H95/H87,"")))</f>
        <v/>
      </c>
      <c r="I96" s="15">
        <f>IF(OR(I95="",I87=""),"",IF(I87&lt;=0,"",IFERROR(I95/I87,"")))</f>
        <v/>
      </c>
      <c r="J96" s="15">
        <f>IF(OR(J95="",J87=""),"",IF(J87&lt;=0,"",IFERROR(J95/J87,"")))</f>
        <v/>
      </c>
      <c r="K96" s="15">
        <f>IF(OR(K95="",K87=""),"",IF(K87&lt;=0,"",IFERROR(K95/K87,"")))</f>
        <v/>
      </c>
      <c r="L96" s="15">
        <f>IF(OR(L95="",L87=""),"",IF(L87&lt;=0,"",IFERROR(L95/L87,"")))</f>
        <v/>
      </c>
      <c r="M96" s="15">
        <f>IF(OR(M95="",M87=""),"",IF(M87&lt;=0,"",IFERROR(M95/M87,"")))</f>
        <v/>
      </c>
      <c r="N96" s="15">
        <f>IF(OR(N95="",N87=""),"",IF(N87&lt;=0,"",IFERROR(N95/N87,"")))</f>
        <v/>
      </c>
      <c r="T96" s="15">
        <f>IF(OR(T95="",T87=""),"",IF(T87&lt;=0,"",IFERROR(T95/T87,"")))</f>
        <v/>
      </c>
      <c r="U96" s="15">
        <f>IF(OR(U95="",U87=""),"",IF(U87&lt;=0,"",IFERROR(U95/U87,"")))</f>
        <v/>
      </c>
      <c r="V96" s="15">
        <f>IF(OR(V95="",V87=""),"",IF(V87&lt;=0,"",IFERROR(V95/V87,"")))</f>
        <v/>
      </c>
      <c r="W96" s="15">
        <f>IF(OR(W95="",W87=""),"",IF(W87&lt;=0,"",IFERROR(W95/W87,"")))</f>
        <v/>
      </c>
      <c r="X96" s="15">
        <f>IF(OR(X95="",X87=""),"",IF(X87&lt;=0,"",IFERROR(X95/X87,"")))</f>
        <v/>
      </c>
    </row>
    <row r="97">
      <c r="A97" s="43" t="inlineStr">
        <is>
          <t>YoY</t>
        </is>
      </c>
      <c r="B97" s="3" t="inlineStr">
        <is>
          <t>전년 같은 분기·전년 대비</t>
        </is>
      </c>
      <c r="G97" s="15">
        <f>IF(OR(G95="",C95=""),"",IF(C95&lt;=0,"",IFERROR(G95/C95-1,"")))</f>
        <v/>
      </c>
      <c r="H97" s="15">
        <f>IF(OR(H95="",D95=""),"",IF(D95&lt;=0,"",IFERROR(H95/D95-1,"")))</f>
        <v/>
      </c>
      <c r="I97" s="15">
        <f>IF(OR(I95="",E95=""),"",IF(E95&lt;=0,"",IFERROR(I95/E95-1,"")))</f>
        <v/>
      </c>
      <c r="J97" s="15">
        <f>IF(OR(J95="",F95=""),"",IF(F95&lt;=0,"",IFERROR(J95/F95-1,"")))</f>
        <v/>
      </c>
      <c r="K97" s="15">
        <f>IF(OR(K95="",G95=""),"",IF(G95&lt;=0,"",IFERROR(K95/G95-1,"")))</f>
        <v/>
      </c>
      <c r="L97" s="15">
        <f>IF(OR(L95="",H95=""),"",IF(H95&lt;=0,"",IFERROR(L95/H95-1,"")))</f>
        <v/>
      </c>
      <c r="M97" s="15">
        <f>IF(OR(M95="",I95=""),"",IF(I95&lt;=0,"",IFERROR(M95/I95-1,"")))</f>
        <v/>
      </c>
      <c r="N97" s="15">
        <f>IF(OR(N95="",J95=""),"",IF(J95&lt;=0,"",IFERROR(N95/J95-1,"")))</f>
        <v/>
      </c>
      <c r="T97" s="15">
        <f>IF(OR(T95="",S95=""),"",IF(S95&lt;=0,"",IFERROR(T95/S95-1,"")))</f>
        <v/>
      </c>
      <c r="U97" s="15">
        <f>IF(OR(U95="",T95=""),"",IF(T95&lt;=0,"",IFERROR(U95/T95-1,"")))</f>
        <v/>
      </c>
      <c r="V97" s="15">
        <f>IF(OR(V95="",U95=""),"",IF(U95&lt;=0,"",IFERROR(V95/U95-1,"")))</f>
        <v/>
      </c>
      <c r="W97" s="15">
        <f>IF(OR(W95="",V95=""),"",IF(V95&lt;=0,"",IFERROR(W95/V95-1,"")))</f>
        <v/>
      </c>
      <c r="X97" s="15">
        <f>IF(OR(X95="",W95=""),"",IF(W95&lt;=0,"",IFERROR(X95/W95-1,"")))</f>
        <v/>
      </c>
    </row>
    <row r="98">
      <c r="A98" s="18" t="inlineStr">
        <is>
          <t>이자수익</t>
        </is>
      </c>
      <c r="C98" s="20" t="n">
        <v>0.025</v>
      </c>
      <c r="D98" s="20" t="n">
        <v>0.025</v>
      </c>
      <c r="E98" s="20" t="n">
        <v>0.025</v>
      </c>
      <c r="F98" s="20" t="n">
        <v>0.042</v>
      </c>
      <c r="G98" s="20" t="n">
        <v>0.204</v>
      </c>
      <c r="H98" s="20" t="n">
        <v>0.019</v>
      </c>
      <c r="I98" s="20" t="n">
        <v>1.353</v>
      </c>
      <c r="J98" s="20" t="n">
        <v>0.047</v>
      </c>
      <c r="K98" s="20" t="n">
        <v>2.37</v>
      </c>
      <c r="L98" s="20" t="n">
        <v>0.091</v>
      </c>
      <c r="M98" s="20" t="n">
        <v>2.088</v>
      </c>
      <c r="N98" s="20" t="n">
        <v>0.101</v>
      </c>
      <c r="T98" s="20" t="n">
        <v>0.034</v>
      </c>
      <c r="U98" s="20" t="n">
        <v>0.025</v>
      </c>
      <c r="V98" s="20" t="n">
        <v>0.025</v>
      </c>
      <c r="W98" s="20" t="n">
        <v>1.353</v>
      </c>
      <c r="X98" s="20" t="n">
        <v>2.088</v>
      </c>
    </row>
    <row r="99">
      <c r="A99" s="18" t="inlineStr">
        <is>
          <t>배당금수익</t>
        </is>
      </c>
      <c r="C99" s="20" t="n">
        <v>1.448</v>
      </c>
      <c r="D99" s="20" t="n">
        <v>5.018</v>
      </c>
      <c r="E99" s="20" t="n">
        <v>0</v>
      </c>
      <c r="F99" s="20" t="n">
        <v>6.034</v>
      </c>
      <c r="G99" s="20" t="n">
        <v>0.611</v>
      </c>
      <c r="H99" s="20" t="n">
        <v>5.375</v>
      </c>
      <c r="I99" s="20" t="n">
        <v>0</v>
      </c>
      <c r="J99" s="20" t="n">
        <v>6.584</v>
      </c>
      <c r="K99" s="20" t="n">
        <v>0.879</v>
      </c>
      <c r="L99" s="20" t="n">
        <v>6.662</v>
      </c>
      <c r="M99" s="20" t="n">
        <v>0</v>
      </c>
      <c r="N99" s="20" t="n">
        <v>8.964</v>
      </c>
      <c r="T99" s="20" t="n">
        <v>0</v>
      </c>
      <c r="U99" s="20" t="n">
        <v>0</v>
      </c>
      <c r="V99" s="20" t="n">
        <v>0</v>
      </c>
      <c r="W99" s="20" t="n">
        <v>0</v>
      </c>
      <c r="X99" s="20" t="n">
        <v>0</v>
      </c>
    </row>
    <row r="100">
      <c r="A100" s="18" t="inlineStr">
        <is>
          <t>외환차익</t>
        </is>
      </c>
      <c r="F100" s="20" t="n">
        <v>0</v>
      </c>
      <c r="G100" s="20" t="n">
        <v>18.047</v>
      </c>
      <c r="J100" s="20" t="n">
        <v>14.932</v>
      </c>
      <c r="K100" s="20" t="n">
        <v>-14.213</v>
      </c>
      <c r="N100" s="20" t="n">
        <v>0</v>
      </c>
    </row>
    <row r="101">
      <c r="A101" s="18" t="inlineStr">
        <is>
          <t>임대료 수익</t>
        </is>
      </c>
      <c r="C101" s="20" t="n">
        <v>6.761</v>
      </c>
      <c r="D101" s="20" t="n">
        <v>7.79</v>
      </c>
      <c r="E101" s="20" t="n">
        <v>6.545</v>
      </c>
      <c r="F101" s="20" t="n">
        <v>7.041</v>
      </c>
      <c r="G101" s="20" t="n">
        <v>6.424</v>
      </c>
      <c r="H101" s="20" t="n">
        <v>6.486</v>
      </c>
      <c r="I101" s="20" t="n">
        <v>6.584</v>
      </c>
      <c r="J101" s="20" t="n">
        <v>6.261</v>
      </c>
      <c r="K101" s="20" t="n">
        <v>6.437</v>
      </c>
      <c r="L101" s="20" t="n">
        <v>6.594</v>
      </c>
      <c r="M101" s="20" t="n">
        <v>5.951</v>
      </c>
      <c r="N101" s="20" t="n">
        <v>6.457</v>
      </c>
      <c r="T101" s="20" t="n">
        <v>6.953</v>
      </c>
      <c r="U101" s="20" t="n">
        <v>6.358</v>
      </c>
      <c r="V101" s="20" t="n">
        <v>6.545</v>
      </c>
      <c r="W101" s="20" t="n">
        <v>6.584</v>
      </c>
      <c r="X101" s="20" t="n">
        <v>5.951</v>
      </c>
    </row>
    <row r="102">
      <c r="A102" s="18" t="inlineStr">
        <is>
          <t>대손충당금 환입</t>
        </is>
      </c>
      <c r="C102" s="20" t="n">
        <v>-0.205</v>
      </c>
      <c r="D102" s="20" t="n">
        <v>-0.221</v>
      </c>
      <c r="F102" s="20" t="n">
        <v>3.394</v>
      </c>
      <c r="G102" s="20" t="n">
        <v>-1.198</v>
      </c>
      <c r="H102" s="20" t="n">
        <v>-0.202</v>
      </c>
      <c r="J102" s="20" t="n">
        <v>2.281</v>
      </c>
      <c r="K102" s="20" t="n">
        <v>-0.045</v>
      </c>
      <c r="L102" s="20" t="n">
        <v>-0.49</v>
      </c>
      <c r="N102" s="20" t="n">
        <v>1.926</v>
      </c>
    </row>
    <row r="103">
      <c r="A103" s="18" t="inlineStr">
        <is>
          <t>기타</t>
        </is>
      </c>
      <c r="C103" s="20" t="n">
        <v>5.535</v>
      </c>
      <c r="D103" s="20" t="n">
        <v>8.435</v>
      </c>
      <c r="E103" s="20" t="n">
        <v>20.035</v>
      </c>
      <c r="F103" s="20" t="n">
        <v>8.839</v>
      </c>
      <c r="G103" s="20" t="n">
        <v>6.434</v>
      </c>
      <c r="H103" s="20" t="n">
        <v>11.292</v>
      </c>
      <c r="I103" s="20" t="n">
        <v>3.316</v>
      </c>
      <c r="J103" s="20" t="n">
        <v>5.001</v>
      </c>
      <c r="K103" s="20" t="n">
        <v>6.072</v>
      </c>
      <c r="L103" s="20" t="n">
        <v>8.363</v>
      </c>
      <c r="M103" s="20" t="n">
        <v>1.413</v>
      </c>
      <c r="N103" s="20" t="n">
        <v>7.861</v>
      </c>
      <c r="T103" s="20" t="n">
        <v>10.864</v>
      </c>
      <c r="U103" s="20" t="n">
        <v>-11.907</v>
      </c>
      <c r="V103" s="20" t="n">
        <v>20.035</v>
      </c>
      <c r="W103" s="20" t="n">
        <v>3.316</v>
      </c>
      <c r="X103" s="20" t="n">
        <v>1.413</v>
      </c>
    </row>
    <row r="104">
      <c r="A104" s="18" t="inlineStr">
        <is>
          <t>영업외수익 합계</t>
        </is>
      </c>
      <c r="C104" s="20" t="n">
        <v>13.564</v>
      </c>
      <c r="D104" s="20" t="n">
        <v>21.046</v>
      </c>
      <c r="E104" s="20" t="n">
        <v>28.857</v>
      </c>
      <c r="F104" s="20" t="n">
        <v>25.352</v>
      </c>
      <c r="G104" s="20" t="n">
        <v>30.522</v>
      </c>
      <c r="H104" s="20" t="n">
        <v>4.924</v>
      </c>
      <c r="I104" s="20" t="n">
        <v>17.926</v>
      </c>
      <c r="J104" s="20" t="n">
        <v>35.109</v>
      </c>
      <c r="K104" s="20" t="n">
        <v>1.5</v>
      </c>
      <c r="L104" s="20" t="n">
        <v>20.5</v>
      </c>
      <c r="M104" s="20" t="n">
        <v>15.234</v>
      </c>
      <c r="N104" s="20" t="n">
        <v>25.311</v>
      </c>
      <c r="T104" s="20" t="n">
        <v>15.305</v>
      </c>
      <c r="U104" s="20" t="n">
        <v>11.364</v>
      </c>
      <c r="V104" s="20" t="n">
        <v>28.857</v>
      </c>
      <c r="W104" s="20" t="n">
        <v>17.926</v>
      </c>
      <c r="X104" s="20" t="n">
        <v>15.234</v>
      </c>
    </row>
    <row r="105">
      <c r="A105" s="43" t="inlineStr">
        <is>
          <t>YoY</t>
        </is>
      </c>
      <c r="B105" s="3" t="inlineStr">
        <is>
          <t>전년 같은 분기·전년 대비</t>
        </is>
      </c>
      <c r="G105" s="15">
        <f>IF(OR(G104="",C104=""),"",IF(G104*C104&lt;=0,"",IFERROR(G104/C104-1,"")))</f>
        <v/>
      </c>
      <c r="H105" s="15">
        <f>IF(OR(H104="",D104=""),"",IF(H104*D104&lt;=0,"",IFERROR(H104/D104-1,"")))</f>
        <v/>
      </c>
      <c r="I105" s="15">
        <f>IF(OR(I104="",E104=""),"",IF(I104*E104&lt;=0,"",IFERROR(I104/E104-1,"")))</f>
        <v/>
      </c>
      <c r="J105" s="15">
        <f>IF(OR(J104="",F104=""),"",IF(J104*F104&lt;=0,"",IFERROR(J104/F104-1,"")))</f>
        <v/>
      </c>
      <c r="K105" s="15">
        <f>IF(OR(K104="",G104=""),"",IF(K104*G104&lt;=0,"",IFERROR(K104/G104-1,"")))</f>
        <v/>
      </c>
      <c r="L105" s="15">
        <f>IF(OR(L104="",H104=""),"",IF(L104*H104&lt;=0,"",IFERROR(L104/H104-1,"")))</f>
        <v/>
      </c>
      <c r="M105" s="15">
        <f>IF(OR(M104="",I104=""),"",IF(M104*I104&lt;=0,"",IFERROR(M104/I104-1,"")))</f>
        <v/>
      </c>
      <c r="N105" s="15">
        <f>IF(OR(N104="",J104=""),"",IF(N104*J104&lt;=0,"",IFERROR(N104/J104-1,"")))</f>
        <v/>
      </c>
      <c r="T105" s="15">
        <f>IF(OR(T104="",S104=""),"",IF(T104*S104&lt;=0,"",IFERROR(T104/S104-1,"")))</f>
        <v/>
      </c>
      <c r="U105" s="15">
        <f>IF(OR(U104="",T104=""),"",IF(U104*T104&lt;=0,"",IFERROR(U104/T104-1,"")))</f>
        <v/>
      </c>
      <c r="V105" s="15">
        <f>IF(OR(V104="",U104=""),"",IF(V104*U104&lt;=0,"",IFERROR(V104/U104-1,"")))</f>
        <v/>
      </c>
      <c r="W105" s="15">
        <f>IF(OR(W104="",V104=""),"",IF(W104*V104&lt;=0,"",IFERROR(W104/V104-1,"")))</f>
        <v/>
      </c>
      <c r="X105" s="15">
        <f>IF(OR(X104="",W104=""),"",IF(X104*W104&lt;=0,"",IFERROR(X104/W104-1,"")))</f>
        <v/>
      </c>
    </row>
    <row r="106">
      <c r="A106" s="18" t="inlineStr">
        <is>
          <t>이자비용</t>
        </is>
      </c>
      <c r="C106" s="20" t="n">
        <v>32.005</v>
      </c>
      <c r="D106" s="20" t="n">
        <v>32.281</v>
      </c>
      <c r="E106" s="20" t="n">
        <v>32.223</v>
      </c>
      <c r="F106" s="20" t="n">
        <v>24.87</v>
      </c>
      <c r="G106" s="20" t="n">
        <v>27.155</v>
      </c>
      <c r="H106" s="20" t="n">
        <v>30.866</v>
      </c>
      <c r="I106" s="20" t="n">
        <v>27.061</v>
      </c>
      <c r="J106" s="20" t="n">
        <v>21.153</v>
      </c>
      <c r="K106" s="20" t="n">
        <v>23.065</v>
      </c>
      <c r="L106" s="20" t="n">
        <v>24.382</v>
      </c>
      <c r="M106" s="20" t="n">
        <v>27.268</v>
      </c>
      <c r="N106" s="20" t="n">
        <v>23.349</v>
      </c>
      <c r="T106" s="20" t="n">
        <v>10.089</v>
      </c>
      <c r="U106" s="20" t="n">
        <v>22.656</v>
      </c>
      <c r="V106" s="20" t="n">
        <v>32.223</v>
      </c>
      <c r="W106" s="20" t="n">
        <v>27.061</v>
      </c>
      <c r="X106" s="20" t="n">
        <v>27.268</v>
      </c>
    </row>
    <row r="107">
      <c r="A107" s="18" t="inlineStr">
        <is>
          <t>외환차손</t>
        </is>
      </c>
      <c r="C107" s="20" t="n">
        <v>11.937</v>
      </c>
      <c r="D107" s="20" t="n">
        <v>-15.513</v>
      </c>
      <c r="E107" s="20" t="n">
        <v>18.418</v>
      </c>
      <c r="F107" s="20" t="n">
        <v>23.751</v>
      </c>
      <c r="G107" s="20" t="n">
        <v>-23.751</v>
      </c>
      <c r="H107" s="20" t="n">
        <v>31.688</v>
      </c>
      <c r="I107" s="20" t="n">
        <v>-22.695</v>
      </c>
      <c r="J107" s="20" t="n">
        <v>0</v>
      </c>
      <c r="M107" s="20" t="n">
        <v>21.542</v>
      </c>
      <c r="N107" s="20" t="n">
        <v>21.044</v>
      </c>
      <c r="T107" s="20" t="n">
        <v>2.297</v>
      </c>
      <c r="U107" s="20" t="n">
        <v>-4.658</v>
      </c>
      <c r="V107" s="20" t="n">
        <v>18.418</v>
      </c>
      <c r="W107" s="20" t="n">
        <v>-22.695</v>
      </c>
      <c r="X107" s="20" t="n">
        <v>21.542</v>
      </c>
    </row>
    <row r="108">
      <c r="A108" s="18" t="inlineStr">
        <is>
          <t>기타</t>
        </is>
      </c>
      <c r="C108" s="20" t="n">
        <v>1.111</v>
      </c>
      <c r="D108" s="20" t="n">
        <v>-0.267</v>
      </c>
      <c r="E108" s="20" t="n">
        <v>0.023</v>
      </c>
      <c r="F108" s="20" t="n">
        <v>6.989</v>
      </c>
      <c r="G108" s="20" t="n">
        <v>3.644</v>
      </c>
      <c r="H108" s="20" t="n">
        <v>0.401</v>
      </c>
      <c r="I108" s="20" t="n">
        <v>3.633</v>
      </c>
      <c r="J108" s="20" t="n">
        <v>2.059</v>
      </c>
      <c r="K108" s="20" t="n">
        <v>13.526</v>
      </c>
      <c r="L108" s="20" t="n">
        <v>0.912</v>
      </c>
      <c r="M108" s="20" t="n">
        <v>16.688</v>
      </c>
      <c r="N108" s="20" t="n">
        <v>2.464</v>
      </c>
      <c r="T108" s="20" t="n">
        <v>24.961</v>
      </c>
      <c r="U108" s="20" t="n">
        <v>8.228999999999999</v>
      </c>
      <c r="V108" s="20" t="n">
        <v>0.023</v>
      </c>
      <c r="W108" s="20" t="n">
        <v>3.633</v>
      </c>
      <c r="X108" s="20" t="n">
        <v>16.688</v>
      </c>
    </row>
    <row r="109">
      <c r="A109" s="18" t="inlineStr">
        <is>
          <t>영업외비용 합계</t>
        </is>
      </c>
      <c r="C109" s="20" t="n">
        <v>45.053</v>
      </c>
      <c r="D109" s="20" t="n">
        <v>16.5</v>
      </c>
      <c r="E109" s="20" t="n">
        <v>50.665</v>
      </c>
      <c r="F109" s="20" t="n">
        <v>55.612</v>
      </c>
      <c r="G109" s="20" t="n">
        <v>7.047</v>
      </c>
      <c r="H109" s="20" t="n">
        <v>62.955</v>
      </c>
      <c r="I109" s="20" t="n">
        <v>8</v>
      </c>
      <c r="J109" s="20" t="n">
        <v>23.212</v>
      </c>
      <c r="K109" s="20" t="n">
        <v>36.592</v>
      </c>
      <c r="L109" s="20" t="n">
        <v>90.979</v>
      </c>
      <c r="M109" s="20" t="n">
        <v>65.498</v>
      </c>
      <c r="N109" s="20" t="n">
        <v>46.858</v>
      </c>
      <c r="T109" s="20" t="n">
        <v>25.431</v>
      </c>
      <c r="U109" s="20" t="n">
        <v>26.228</v>
      </c>
      <c r="V109" s="20" t="n">
        <v>50.665</v>
      </c>
      <c r="W109" s="20" t="n">
        <v>8</v>
      </c>
      <c r="X109" s="20" t="n">
        <v>65.498</v>
      </c>
    </row>
    <row r="110">
      <c r="A110" s="43" t="inlineStr">
        <is>
          <t>YoY</t>
        </is>
      </c>
      <c r="B110" s="3" t="inlineStr">
        <is>
          <t>전년 같은 분기·전년 대비</t>
        </is>
      </c>
      <c r="G110" s="15">
        <f>IF(OR(G109="",C109=""),"",IF(G109*C109&lt;=0,"",IFERROR(G109/C109-1,"")))</f>
        <v/>
      </c>
      <c r="H110" s="15">
        <f>IF(OR(H109="",D109=""),"",IF(H109*D109&lt;=0,"",IFERROR(H109/D109-1,"")))</f>
        <v/>
      </c>
      <c r="I110" s="15">
        <f>IF(OR(I109="",E109=""),"",IF(I109*E109&lt;=0,"",IFERROR(I109/E109-1,"")))</f>
        <v/>
      </c>
      <c r="J110" s="15">
        <f>IF(OR(J109="",F109=""),"",IF(J109*F109&lt;=0,"",IFERROR(J109/F109-1,"")))</f>
        <v/>
      </c>
      <c r="K110" s="15">
        <f>IF(OR(K109="",G109=""),"",IF(K109*G109&lt;=0,"",IFERROR(K109/G109-1,"")))</f>
        <v/>
      </c>
      <c r="L110" s="15">
        <f>IF(OR(L109="",H109=""),"",IF(L109*H109&lt;=0,"",IFERROR(L109/H109-1,"")))</f>
        <v/>
      </c>
      <c r="M110" s="15">
        <f>IF(OR(M109="",I109=""),"",IF(M109*I109&lt;=0,"",IFERROR(M109/I109-1,"")))</f>
        <v/>
      </c>
      <c r="N110" s="15">
        <f>IF(OR(N109="",J109=""),"",IF(N109*J109&lt;=0,"",IFERROR(N109/J109-1,"")))</f>
        <v/>
      </c>
      <c r="T110" s="15">
        <f>IF(OR(T109="",S109=""),"",IF(T109*S109&lt;=0,"",IFERROR(T109/S109-1,"")))</f>
        <v/>
      </c>
      <c r="U110" s="15">
        <f>IF(OR(U109="",T109=""),"",IF(U109*T109&lt;=0,"",IFERROR(U109/T109-1,"")))</f>
        <v/>
      </c>
      <c r="V110" s="15">
        <f>IF(OR(V109="",U109=""),"",IF(V109*U109&lt;=0,"",IFERROR(V109/U109-1,"")))</f>
        <v/>
      </c>
      <c r="W110" s="15">
        <f>IF(OR(W109="",V109=""),"",IF(W109*V109&lt;=0,"",IFERROR(W109/V109-1,"")))</f>
        <v/>
      </c>
      <c r="X110" s="15">
        <f>IF(OR(X109="",W109=""),"",IF(X109*W109&lt;=0,"",IFERROR(X109/W109-1,"")))</f>
        <v/>
      </c>
    </row>
    <row r="111">
      <c r="A111" s="9" t="inlineStr">
        <is>
          <t>경상이익(손실)</t>
        </is>
      </c>
      <c r="C111" s="12" t="n">
        <v>301.586</v>
      </c>
      <c r="D111" s="12" t="n">
        <v>338.789</v>
      </c>
      <c r="E111" s="12" t="n">
        <v>1005.722</v>
      </c>
      <c r="F111" s="12" t="n">
        <v>-277.509</v>
      </c>
      <c r="G111" s="12" t="n">
        <v>254.214</v>
      </c>
      <c r="H111" s="12" t="n">
        <v>570.6319999999999</v>
      </c>
      <c r="I111" s="12" t="n">
        <v>882.226</v>
      </c>
      <c r="J111" s="12" t="n">
        <v>36.488</v>
      </c>
      <c r="K111" s="12" t="n">
        <v>166.962</v>
      </c>
      <c r="L111" s="12" t="n">
        <v>455.227</v>
      </c>
      <c r="M111" s="12" t="n">
        <v>969.145</v>
      </c>
      <c r="N111" s="12" t="n">
        <v>-218.665</v>
      </c>
      <c r="T111" s="12" t="n">
        <v>339.018</v>
      </c>
      <c r="U111" s="12" t="n">
        <v>729.121</v>
      </c>
      <c r="V111" s="12" t="n">
        <v>1005.722</v>
      </c>
      <c r="W111" s="12" t="n">
        <v>882.226</v>
      </c>
      <c r="X111" s="12" t="n">
        <v>969.145</v>
      </c>
    </row>
    <row r="112">
      <c r="A112" s="43" t="inlineStr">
        <is>
          <t>YoY</t>
        </is>
      </c>
      <c r="B112" s="3" t="inlineStr">
        <is>
          <t>전년 같은 분기·전년 대비</t>
        </is>
      </c>
      <c r="G112" s="15">
        <f>IF(OR(G111="",C111=""),"",IF(C111&lt;=0,"",IFERROR(G111/C111-1,"")))</f>
        <v/>
      </c>
      <c r="H112" s="15">
        <f>IF(OR(H111="",D111=""),"",IF(D111&lt;=0,"",IFERROR(H111/D111-1,"")))</f>
        <v/>
      </c>
      <c r="I112" s="15">
        <f>IF(OR(I111="",E111=""),"",IF(E111&lt;=0,"",IFERROR(I111/E111-1,"")))</f>
        <v/>
      </c>
      <c r="J112" s="15">
        <f>IF(OR(J111="",F111=""),"",IF(F111&lt;=0,"",IFERROR(J111/F111-1,"")))</f>
        <v/>
      </c>
      <c r="K112" s="15">
        <f>IF(OR(K111="",G111=""),"",IF(G111&lt;=0,"",IFERROR(K111/G111-1,"")))</f>
        <v/>
      </c>
      <c r="L112" s="15">
        <f>IF(OR(L111="",H111=""),"",IF(H111&lt;=0,"",IFERROR(L111/H111-1,"")))</f>
        <v/>
      </c>
      <c r="M112" s="15">
        <f>IF(OR(M111="",I111=""),"",IF(I111&lt;=0,"",IFERROR(M111/I111-1,"")))</f>
        <v/>
      </c>
      <c r="N112" s="15">
        <f>IF(OR(N111="",J111=""),"",IF(J111&lt;=0,"",IFERROR(N111/J111-1,"")))</f>
        <v/>
      </c>
      <c r="T112" s="15">
        <f>IF(OR(T111="",S111=""),"",IF(S111&lt;=0,"",IFERROR(T111/S111-1,"")))</f>
        <v/>
      </c>
      <c r="U112" s="15">
        <f>IF(OR(U111="",T111=""),"",IF(T111&lt;=0,"",IFERROR(U111/T111-1,"")))</f>
        <v/>
      </c>
      <c r="V112" s="15">
        <f>IF(OR(V111="",U111=""),"",IF(U111&lt;=0,"",IFERROR(V111/U111-1,"")))</f>
        <v/>
      </c>
      <c r="W112" s="15">
        <f>IF(OR(W111="",V111=""),"",IF(V111&lt;=0,"",IFERROR(W111/V111-1,"")))</f>
        <v/>
      </c>
      <c r="X112" s="15">
        <f>IF(OR(X111="",W111=""),"",IF(W111&lt;=0,"",IFERROR(X111/W111-1,"")))</f>
        <v/>
      </c>
    </row>
    <row r="113">
      <c r="A113" s="18" t="inlineStr">
        <is>
          <t>고정자산 매각이익</t>
        </is>
      </c>
      <c r="E113" s="20" t="n">
        <v>0</v>
      </c>
      <c r="T113" s="20" t="n">
        <v>0</v>
      </c>
      <c r="U113" s="20" t="n">
        <v>7.872</v>
      </c>
      <c r="V113" s="20" t="n">
        <v>0</v>
      </c>
    </row>
    <row r="114">
      <c r="A114" s="18" t="inlineStr">
        <is>
          <t>투자유가증권 매각이익</t>
        </is>
      </c>
      <c r="C114" s="20" t="n">
        <v>14.571</v>
      </c>
      <c r="D114" s="20" t="n">
        <v>1.567</v>
      </c>
      <c r="E114" s="20" t="n">
        <v>0</v>
      </c>
      <c r="F114" s="20" t="n">
        <v>0</v>
      </c>
      <c r="G114" s="20" t="n">
        <v>0</v>
      </c>
      <c r="H114" s="20" t="n">
        <v>0</v>
      </c>
      <c r="I114" s="20" t="n">
        <v>0</v>
      </c>
      <c r="T114" s="20" t="n">
        <v>0</v>
      </c>
      <c r="U114" s="20" t="n">
        <v>18.53</v>
      </c>
      <c r="V114" s="20" t="n">
        <v>0</v>
      </c>
      <c r="W114" s="20" t="n">
        <v>0</v>
      </c>
    </row>
    <row r="115">
      <c r="A115" s="18" t="inlineStr">
        <is>
          <t>특별이익 합계</t>
        </is>
      </c>
      <c r="C115" s="20" t="n">
        <v>14.571</v>
      </c>
      <c r="D115" s="20" t="n">
        <v>1.567</v>
      </c>
      <c r="E115" s="20" t="n">
        <v>0</v>
      </c>
      <c r="F115" s="20" t="n">
        <v>0</v>
      </c>
      <c r="G115" s="20" t="n">
        <v>0</v>
      </c>
      <c r="H115" s="20" t="n">
        <v>0</v>
      </c>
      <c r="I115" s="20" t="n">
        <v>0</v>
      </c>
      <c r="T115" s="20" t="n">
        <v>0</v>
      </c>
      <c r="U115" s="20" t="n">
        <v>26.403</v>
      </c>
      <c r="V115" s="20" t="n">
        <v>0</v>
      </c>
      <c r="W115" s="20" t="n">
        <v>0</v>
      </c>
    </row>
    <row r="116">
      <c r="A116" s="43" t="inlineStr">
        <is>
          <t>YoY</t>
        </is>
      </c>
      <c r="B116" s="3" t="inlineStr">
        <is>
          <t>전년 같은 분기·전년 대비</t>
        </is>
      </c>
      <c r="G116" s="15">
        <f>IF(OR(G115="",C115=""),"",IF(G115*C115&lt;=0,"",IFERROR(G115/C115-1,"")))</f>
        <v/>
      </c>
      <c r="H116" s="15">
        <f>IF(OR(H115="",D115=""),"",IF(H115*D115&lt;=0,"",IFERROR(H115/D115-1,"")))</f>
        <v/>
      </c>
      <c r="I116" s="15">
        <f>IF(OR(I115="",E115=""),"",IF(I115*E115&lt;=0,"",IFERROR(I115/E115-1,"")))</f>
        <v/>
      </c>
      <c r="T116" s="15">
        <f>IF(OR(T115="",S115=""),"",IF(T115*S115&lt;=0,"",IFERROR(T115/S115-1,"")))</f>
        <v/>
      </c>
      <c r="U116" s="15">
        <f>IF(OR(U115="",T115=""),"",IF(U115*T115&lt;=0,"",IFERROR(U115/T115-1,"")))</f>
        <v/>
      </c>
      <c r="V116" s="15">
        <f>IF(OR(V115="",U115=""),"",IF(V115*U115&lt;=0,"",IFERROR(V115/U115-1,"")))</f>
        <v/>
      </c>
      <c r="W116" s="15">
        <f>IF(OR(W115="",V115=""),"",IF(W115*V115&lt;=0,"",IFERROR(W115/V115-1,"")))</f>
        <v/>
      </c>
    </row>
    <row r="117">
      <c r="A117" s="18" t="inlineStr">
        <is>
          <t>손상차손</t>
        </is>
      </c>
      <c r="H117" s="20" t="n">
        <v>0</v>
      </c>
      <c r="I117" s="20" t="n">
        <v>0</v>
      </c>
      <c r="L117" s="20" t="n">
        <v>0</v>
      </c>
      <c r="M117" s="20" t="n">
        <v>0</v>
      </c>
      <c r="W117" s="20" t="n">
        <v>0</v>
      </c>
      <c r="X117" s="20" t="n">
        <v>0</v>
      </c>
    </row>
    <row r="118">
      <c r="A118" s="18" t="inlineStr">
        <is>
          <t>특별손실 합계</t>
        </is>
      </c>
      <c r="H118" s="20" t="n">
        <v>0</v>
      </c>
      <c r="I118" s="20" t="n">
        <v>0</v>
      </c>
      <c r="L118" s="20" t="n">
        <v>0</v>
      </c>
      <c r="M118" s="20" t="n">
        <v>0</v>
      </c>
      <c r="W118" s="20" t="n">
        <v>0</v>
      </c>
      <c r="X118" s="20" t="n">
        <v>0</v>
      </c>
    </row>
    <row r="119">
      <c r="A119" s="43" t="inlineStr">
        <is>
          <t>YoY</t>
        </is>
      </c>
      <c r="B119" s="3" t="inlineStr">
        <is>
          <t>전년 같은 분기·전년 대비</t>
        </is>
      </c>
      <c r="H119" s="15">
        <f>IF(OR(H118="",D118=""),"",IF(H118*D118&lt;=0,"",IFERROR(H118/D118-1,"")))</f>
        <v/>
      </c>
      <c r="I119" s="15">
        <f>IF(OR(I118="",E118=""),"",IF(I118*E118&lt;=0,"",IFERROR(I118/E118-1,"")))</f>
        <v/>
      </c>
      <c r="L119" s="15">
        <f>IF(OR(L118="",H118=""),"",IF(L118*H118&lt;=0,"",IFERROR(L118/H118-1,"")))</f>
        <v/>
      </c>
      <c r="M119" s="15">
        <f>IF(OR(M118="",I118=""),"",IF(M118*I118&lt;=0,"",IFERROR(M118/I118-1,"")))</f>
        <v/>
      </c>
      <c r="W119" s="15">
        <f>IF(OR(W118="",V118=""),"",IF(W118*V118&lt;=0,"",IFERROR(W118/V118-1,"")))</f>
        <v/>
      </c>
      <c r="X119" s="15">
        <f>IF(OR(X118="",W118=""),"",IF(X118*W118&lt;=0,"",IFERROR(X118/W118-1,"")))</f>
        <v/>
      </c>
    </row>
    <row r="120">
      <c r="A120" s="9" t="inlineStr">
        <is>
          <t>법인세차감전 중간순이익(손실)</t>
        </is>
      </c>
      <c r="C120" s="12" t="n">
        <v>316.157</v>
      </c>
      <c r="D120" s="12" t="n">
        <v>340.356</v>
      </c>
      <c r="E120" s="12" t="n">
        <v>918.6180000000001</v>
      </c>
      <c r="F120" s="12" t="n">
        <v>-277.509</v>
      </c>
      <c r="G120" s="12" t="n">
        <v>254.214</v>
      </c>
      <c r="H120" s="12" t="n">
        <v>570.6319999999999</v>
      </c>
      <c r="I120" s="12" t="n">
        <v>882.226</v>
      </c>
      <c r="J120" s="12" t="n">
        <v>36.488</v>
      </c>
      <c r="K120" s="12" t="n">
        <v>158.658</v>
      </c>
      <c r="L120" s="12" t="n">
        <v>455.227</v>
      </c>
      <c r="M120" s="12" t="n">
        <v>969.144</v>
      </c>
      <c r="N120" s="12" t="n">
        <v>-218.665</v>
      </c>
      <c r="T120" s="12" t="n">
        <v>305.229</v>
      </c>
      <c r="U120" s="12" t="n">
        <v>732.381</v>
      </c>
      <c r="V120" s="12" t="n">
        <v>918.6180000000001</v>
      </c>
      <c r="W120" s="12" t="n">
        <v>882.226</v>
      </c>
      <c r="X120" s="12" t="n">
        <v>969.144</v>
      </c>
    </row>
    <row r="121">
      <c r="A121" s="43" t="inlineStr">
        <is>
          <t>YoY</t>
        </is>
      </c>
      <c r="B121" s="3" t="inlineStr">
        <is>
          <t>전년 같은 분기·전년 대비</t>
        </is>
      </c>
      <c r="G121" s="15">
        <f>IF(OR(G120="",C120=""),"",IF(C120&lt;=0,"",IFERROR(G120/C120-1,"")))</f>
        <v/>
      </c>
      <c r="H121" s="15">
        <f>IF(OR(H120="",D120=""),"",IF(D120&lt;=0,"",IFERROR(H120/D120-1,"")))</f>
        <v/>
      </c>
      <c r="I121" s="15">
        <f>IF(OR(I120="",E120=""),"",IF(E120&lt;=0,"",IFERROR(I120/E120-1,"")))</f>
        <v/>
      </c>
      <c r="J121" s="15">
        <f>IF(OR(J120="",F120=""),"",IF(F120&lt;=0,"",IFERROR(J120/F120-1,"")))</f>
        <v/>
      </c>
      <c r="K121" s="15">
        <f>IF(OR(K120="",G120=""),"",IF(G120&lt;=0,"",IFERROR(K120/G120-1,"")))</f>
        <v/>
      </c>
      <c r="L121" s="15">
        <f>IF(OR(L120="",H120=""),"",IF(H120&lt;=0,"",IFERROR(L120/H120-1,"")))</f>
        <v/>
      </c>
      <c r="M121" s="15">
        <f>IF(OR(M120="",I120=""),"",IF(I120&lt;=0,"",IFERROR(M120/I120-1,"")))</f>
        <v/>
      </c>
      <c r="N121" s="15">
        <f>IF(OR(N120="",J120=""),"",IF(J120&lt;=0,"",IFERROR(N120/J120-1,"")))</f>
        <v/>
      </c>
      <c r="T121" s="15">
        <f>IF(OR(T120="",S120=""),"",IF(S120&lt;=0,"",IFERROR(T120/S120-1,"")))</f>
        <v/>
      </c>
      <c r="U121" s="15">
        <f>IF(OR(U120="",T120=""),"",IF(T120&lt;=0,"",IFERROR(U120/T120-1,"")))</f>
        <v/>
      </c>
      <c r="V121" s="15">
        <f>IF(OR(V120="",U120=""),"",IF(U120&lt;=0,"",IFERROR(V120/U120-1,"")))</f>
        <v/>
      </c>
      <c r="W121" s="15">
        <f>IF(OR(W120="",V120=""),"",IF(V120&lt;=0,"",IFERROR(W120/V120-1,"")))</f>
        <v/>
      </c>
      <c r="X121" s="15">
        <f>IF(OR(X120="",W120=""),"",IF(W120&lt;=0,"",IFERROR(X120/W120-1,"")))</f>
        <v/>
      </c>
    </row>
    <row r="122">
      <c r="A122" s="18" t="inlineStr">
        <is>
          <t>법인세 등</t>
        </is>
      </c>
      <c r="C122" s="20" t="n">
        <v>10.777</v>
      </c>
      <c r="D122" s="20" t="n">
        <v>66.889</v>
      </c>
      <c r="E122" s="20" t="n">
        <v>-86.998</v>
      </c>
      <c r="F122" s="20" t="n">
        <v>-48.135</v>
      </c>
      <c r="G122" s="20" t="n">
        <v>57.469</v>
      </c>
      <c r="H122" s="20" t="n">
        <v>116.12</v>
      </c>
      <c r="I122" s="20" t="n">
        <v>54.431</v>
      </c>
      <c r="J122" s="20" t="n">
        <v>-19.729</v>
      </c>
      <c r="K122" s="20" t="n">
        <v>39.295</v>
      </c>
      <c r="L122" s="20" t="n">
        <v>38.486</v>
      </c>
      <c r="M122" s="20" t="n">
        <v>62.641</v>
      </c>
      <c r="N122" s="20" t="n">
        <v>1.911</v>
      </c>
      <c r="T122" s="20" t="n">
        <v>111.337</v>
      </c>
      <c r="U122" s="20" t="n">
        <v>106.158</v>
      </c>
      <c r="V122" s="20" t="n">
        <v>-86.998</v>
      </c>
      <c r="W122" s="20" t="n">
        <v>54.431</v>
      </c>
      <c r="X122" s="20" t="n">
        <v>62.641</v>
      </c>
    </row>
    <row r="123">
      <c r="A123" s="43" t="inlineStr">
        <is>
          <t>YoY</t>
        </is>
      </c>
      <c r="B123" s="3" t="inlineStr">
        <is>
          <t>전년 같은 분기·전년 대비</t>
        </is>
      </c>
      <c r="G123" s="15">
        <f>IF(OR(G122="",C122=""),"",IF(G122*C122&lt;=0,"",IFERROR(G122/C122-1,"")))</f>
        <v/>
      </c>
      <c r="H123" s="15">
        <f>IF(OR(H122="",D122=""),"",IF(H122*D122&lt;=0,"",IFERROR(H122/D122-1,"")))</f>
        <v/>
      </c>
      <c r="I123" s="15">
        <f>IF(OR(I122="",E122=""),"",IF(I122*E122&lt;=0,"",IFERROR(I122/E122-1,"")))</f>
        <v/>
      </c>
      <c r="J123" s="15">
        <f>IF(OR(J122="",F122=""),"",IF(J122*F122&lt;=0,"",IFERROR(J122/F122-1,"")))</f>
        <v/>
      </c>
      <c r="K123" s="15">
        <f>IF(OR(K122="",G122=""),"",IF(K122*G122&lt;=0,"",IFERROR(K122/G122-1,"")))</f>
        <v/>
      </c>
      <c r="L123" s="15">
        <f>IF(OR(L122="",H122=""),"",IF(L122*H122&lt;=0,"",IFERROR(L122/H122-1,"")))</f>
        <v/>
      </c>
      <c r="M123" s="15">
        <f>IF(OR(M122="",I122=""),"",IF(M122*I122&lt;=0,"",IFERROR(M122/I122-1,"")))</f>
        <v/>
      </c>
      <c r="N123" s="15">
        <f>IF(OR(N122="",J122=""),"",IF(N122*J122&lt;=0,"",IFERROR(N122/J122-1,"")))</f>
        <v/>
      </c>
      <c r="T123" s="15">
        <f>IF(OR(T122="",S122=""),"",IF(T122*S122&lt;=0,"",IFERROR(T122/S122-1,"")))</f>
        <v/>
      </c>
      <c r="U123" s="15">
        <f>IF(OR(U122="",T122=""),"",IF(U122*T122&lt;=0,"",IFERROR(U122/T122-1,"")))</f>
        <v/>
      </c>
      <c r="V123" s="15">
        <f>IF(OR(V122="",U122=""),"",IF(V122*U122&lt;=0,"",IFERROR(V122/U122-1,"")))</f>
        <v/>
      </c>
      <c r="W123" s="15">
        <f>IF(OR(W122="",V122=""),"",IF(W122*V122&lt;=0,"",IFERROR(W122/V122-1,"")))</f>
        <v/>
      </c>
      <c r="X123" s="15">
        <f>IF(OR(X122="",W122=""),"",IF(X122*W122&lt;=0,"",IFERROR(X122/W122-1,"")))</f>
        <v/>
      </c>
    </row>
    <row r="124">
      <c r="A124" s="9" t="inlineStr">
        <is>
          <t>중간순이익(손실)</t>
        </is>
      </c>
      <c r="C124" s="12" t="n">
        <v>305.38</v>
      </c>
      <c r="D124" s="12" t="n">
        <v>273.466</v>
      </c>
      <c r="E124" s="12" t="n">
        <v>1005.617</v>
      </c>
      <c r="F124" s="12" t="n">
        <v>-229.374</v>
      </c>
      <c r="G124" s="12" t="n">
        <v>196.745</v>
      </c>
      <c r="H124" s="12" t="n">
        <v>454.511</v>
      </c>
      <c r="I124" s="12" t="n">
        <v>827.795</v>
      </c>
      <c r="J124" s="12" t="n">
        <v>56.217</v>
      </c>
      <c r="K124" s="12" t="n">
        <v>119.363</v>
      </c>
      <c r="L124" s="12" t="n">
        <v>416.74</v>
      </c>
      <c r="M124" s="12" t="n">
        <v>906.504</v>
      </c>
      <c r="N124" s="12" t="n">
        <v>-220.577</v>
      </c>
      <c r="T124" s="12" t="n">
        <v>193.891</v>
      </c>
      <c r="U124" s="12" t="n">
        <v>626.224</v>
      </c>
      <c r="V124" s="12" t="n">
        <v>1005.617</v>
      </c>
      <c r="W124" s="12" t="n">
        <v>827.795</v>
      </c>
      <c r="X124" s="12" t="n">
        <v>906.504</v>
      </c>
    </row>
    <row r="125">
      <c r="A125" s="43" t="inlineStr">
        <is>
          <t>YoY</t>
        </is>
      </c>
      <c r="B125" s="3" t="inlineStr">
        <is>
          <t>전년 같은 분기·전년 대비</t>
        </is>
      </c>
      <c r="G125" s="15">
        <f>IF(OR(G124="",C124=""),"",IF(C124&lt;=0,"",IFERROR(G124/C124-1,"")))</f>
        <v/>
      </c>
      <c r="H125" s="15">
        <f>IF(OR(H124="",D124=""),"",IF(D124&lt;=0,"",IFERROR(H124/D124-1,"")))</f>
        <v/>
      </c>
      <c r="I125" s="15">
        <f>IF(OR(I124="",E124=""),"",IF(E124&lt;=0,"",IFERROR(I124/E124-1,"")))</f>
        <v/>
      </c>
      <c r="J125" s="15">
        <f>IF(OR(J124="",F124=""),"",IF(F124&lt;=0,"",IFERROR(J124/F124-1,"")))</f>
        <v/>
      </c>
      <c r="K125" s="15">
        <f>IF(OR(K124="",G124=""),"",IF(G124&lt;=0,"",IFERROR(K124/G124-1,"")))</f>
        <v/>
      </c>
      <c r="L125" s="15">
        <f>IF(OR(L124="",H124=""),"",IF(H124&lt;=0,"",IFERROR(L124/H124-1,"")))</f>
        <v/>
      </c>
      <c r="M125" s="15">
        <f>IF(OR(M124="",I124=""),"",IF(I124&lt;=0,"",IFERROR(M124/I124-1,"")))</f>
        <v/>
      </c>
      <c r="N125" s="15">
        <f>IF(OR(N124="",J124=""),"",IF(J124&lt;=0,"",IFERROR(N124/J124-1,"")))</f>
        <v/>
      </c>
      <c r="T125" s="15">
        <f>IF(OR(T124="",S124=""),"",IF(S124&lt;=0,"",IFERROR(T124/S124-1,"")))</f>
        <v/>
      </c>
      <c r="U125" s="15">
        <f>IF(OR(U124="",T124=""),"",IF(T124&lt;=0,"",IFERROR(U124/T124-1,"")))</f>
        <v/>
      </c>
      <c r="V125" s="15">
        <f>IF(OR(V124="",U124=""),"",IF(U124&lt;=0,"",IFERROR(V124/U124-1,"")))</f>
        <v/>
      </c>
      <c r="W125" s="15">
        <f>IF(OR(W124="",V124=""),"",IF(V124&lt;=0,"",IFERROR(W124/V124-1,"")))</f>
        <v/>
      </c>
      <c r="X125" s="15">
        <f>IF(OR(X124="",W124=""),"",IF(W124&lt;=0,"",IFERROR(X124/W124-1,"")))</f>
        <v/>
      </c>
    </row>
    <row r="126">
      <c r="A126" s="9" t="inlineStr">
        <is>
          <t>비지배주주 순손익</t>
        </is>
      </c>
      <c r="C126" s="12" t="n">
        <v>7.194</v>
      </c>
      <c r="D126" s="12" t="n">
        <v>37.732</v>
      </c>
      <c r="E126" s="12" t="n">
        <v>127.01</v>
      </c>
      <c r="F126" s="12" t="n">
        <v>2.433</v>
      </c>
      <c r="G126" s="12" t="n">
        <v>24.896</v>
      </c>
      <c r="H126" s="12" t="n">
        <v>59.367</v>
      </c>
      <c r="I126" s="12" t="n">
        <v>113.05</v>
      </c>
      <c r="J126" s="12" t="n">
        <v>-10.209</v>
      </c>
      <c r="K126" s="12" t="n">
        <v>-22.013</v>
      </c>
      <c r="L126" s="12" t="n">
        <v>55.064</v>
      </c>
      <c r="M126" s="12" t="n">
        <v>103.417</v>
      </c>
      <c r="N126" s="12" t="n">
        <v>13.068</v>
      </c>
      <c r="T126" s="12" t="n">
        <v>123.581</v>
      </c>
      <c r="U126" s="12" t="n">
        <v>135.458</v>
      </c>
      <c r="V126" s="12" t="n">
        <v>127.01</v>
      </c>
      <c r="W126" s="12" t="n">
        <v>113.05</v>
      </c>
      <c r="X126" s="12" t="n">
        <v>103.417</v>
      </c>
    </row>
    <row r="127">
      <c r="A127" s="9" t="inlineStr">
        <is>
          <t>지배주주 귀속 중간순이익(손실)</t>
        </is>
      </c>
      <c r="C127" s="12" t="n">
        <v>298.186</v>
      </c>
      <c r="D127" s="12" t="n">
        <v>235.733</v>
      </c>
      <c r="E127" s="12" t="n">
        <v>878.607</v>
      </c>
      <c r="F127" s="12" t="n">
        <v>-231.808</v>
      </c>
      <c r="G127" s="12" t="n">
        <v>171.85</v>
      </c>
      <c r="H127" s="12" t="n">
        <v>395.144</v>
      </c>
      <c r="I127" s="12" t="n">
        <v>714.744</v>
      </c>
      <c r="J127" s="12" t="n">
        <v>66.42700000000001</v>
      </c>
      <c r="K127" s="12" t="n">
        <v>141.375</v>
      </c>
      <c r="L127" s="12" t="n">
        <v>361.676</v>
      </c>
      <c r="M127" s="12" t="n">
        <v>803.086</v>
      </c>
      <c r="N127" s="12" t="n">
        <v>-233.645</v>
      </c>
      <c r="T127" s="12" t="n">
        <v>70.309</v>
      </c>
      <c r="U127" s="12" t="n">
        <v>490.766</v>
      </c>
      <c r="V127" s="12" t="n">
        <v>878.607</v>
      </c>
      <c r="W127" s="12" t="n">
        <v>714.744</v>
      </c>
      <c r="X127" s="12" t="n">
        <v>803.086</v>
      </c>
    </row>
    <row r="128">
      <c r="A128" s="43" t="inlineStr">
        <is>
          <t>YoY</t>
        </is>
      </c>
      <c r="B128" s="3" t="inlineStr">
        <is>
          <t>전년 같은 분기·전년 대비</t>
        </is>
      </c>
      <c r="G128" s="15">
        <f>IF(OR(G127="",C127=""),"",IF(C127&lt;=0,"",IFERROR(G127/C127-1,"")))</f>
        <v/>
      </c>
      <c r="H128" s="15">
        <f>IF(OR(H127="",D127=""),"",IF(D127&lt;=0,"",IFERROR(H127/D127-1,"")))</f>
        <v/>
      </c>
      <c r="I128" s="15">
        <f>IF(OR(I127="",E127=""),"",IF(E127&lt;=0,"",IFERROR(I127/E127-1,"")))</f>
        <v/>
      </c>
      <c r="J128" s="15">
        <f>IF(OR(J127="",F127=""),"",IF(F127&lt;=0,"",IFERROR(J127/F127-1,"")))</f>
        <v/>
      </c>
      <c r="K128" s="15">
        <f>IF(OR(K127="",G127=""),"",IF(G127&lt;=0,"",IFERROR(K127/G127-1,"")))</f>
        <v/>
      </c>
      <c r="L128" s="15">
        <f>IF(OR(L127="",H127=""),"",IF(H127&lt;=0,"",IFERROR(L127/H127-1,"")))</f>
        <v/>
      </c>
      <c r="M128" s="15">
        <f>IF(OR(M127="",I127=""),"",IF(I127&lt;=0,"",IFERROR(M127/I127-1,"")))</f>
        <v/>
      </c>
      <c r="N128" s="15">
        <f>IF(OR(N127="",J127=""),"",IF(J127&lt;=0,"",IFERROR(N127/J127-1,"")))</f>
        <v/>
      </c>
      <c r="T128" s="15">
        <f>IF(OR(T127="",S127=""),"",IF(S127&lt;=0,"",IFERROR(T127/S127-1,"")))</f>
        <v/>
      </c>
      <c r="U128" s="15">
        <f>IF(OR(U127="",T127=""),"",IF(T127&lt;=0,"",IFERROR(U127/T127-1,"")))</f>
        <v/>
      </c>
      <c r="V128" s="15">
        <f>IF(OR(V127="",U127=""),"",IF(U127&lt;=0,"",IFERROR(V127/U127-1,"")))</f>
        <v/>
      </c>
      <c r="W128" s="15">
        <f>IF(OR(W127="",V127=""),"",IF(V127&lt;=0,"",IFERROR(W127/V127-1,"")))</f>
        <v/>
      </c>
      <c r="X128" s="15">
        <f>IF(OR(X127="",W127=""),"",IF(W127&lt;=0,"",IFERROR(X127/W127-1,"")))</f>
        <v/>
      </c>
    </row>
    <row r="130">
      <c r="A130" s="16" t="inlineStr">
        <is>
          <t>포괄손익 · 전 항목</t>
        </is>
      </c>
      <c r="B130" s="42" t="inlineStr">
        <is>
          <t>분기 = 3개월 단독</t>
        </is>
      </c>
      <c r="C130" s="16" t="n"/>
      <c r="D130" s="16" t="n"/>
      <c r="E130" s="16" t="n"/>
      <c r="F130" s="16" t="n"/>
      <c r="G130" s="16" t="n"/>
      <c r="H130" s="16" t="n"/>
      <c r="I130" s="16" t="n"/>
      <c r="J130" s="16" t="n"/>
      <c r="K130" s="16" t="n"/>
      <c r="L130" s="16" t="n"/>
      <c r="M130" s="16" t="n"/>
      <c r="N130" s="16" t="n"/>
      <c r="O130" s="16" t="n"/>
      <c r="P130" s="16" t="n"/>
      <c r="Q130" s="16" t="n"/>
      <c r="R130" s="16" t="n"/>
      <c r="S130" s="16" t="n"/>
      <c r="T130" s="16" t="n"/>
      <c r="U130" s="16" t="n"/>
      <c r="V130" s="16" t="n"/>
      <c r="W130" s="16" t="n"/>
      <c r="X130" s="16" t="n"/>
      <c r="Y130" s="16" t="n"/>
      <c r="Z130" s="16" t="n"/>
      <c r="AA130" s="16" t="n"/>
      <c r="AB130" s="16" t="n"/>
      <c r="AC130" s="16" t="n"/>
    </row>
    <row r="131">
      <c r="A131" s="5" t="inlineStr">
        <is>
          <t>항목</t>
        </is>
      </c>
      <c r="B131" s="5" t="inlineStr">
        <is>
          <t>참고</t>
        </is>
      </c>
      <c r="C131" s="5" t="inlineStr">
        <is>
          <t>2024.2Q</t>
        </is>
      </c>
      <c r="D131" s="5" t="inlineStr">
        <is>
          <t>2024.3Q</t>
        </is>
      </c>
      <c r="E131" s="5" t="inlineStr">
        <is>
          <t>2024.4Q</t>
        </is>
      </c>
      <c r="F131" s="5" t="inlineStr">
        <is>
          <t>2025.1Q</t>
        </is>
      </c>
      <c r="G131" s="5" t="inlineStr">
        <is>
          <t>2025.2Q</t>
        </is>
      </c>
      <c r="H131" s="5" t="inlineStr">
        <is>
          <t>2025.3Q</t>
        </is>
      </c>
      <c r="I131" s="5" t="inlineStr">
        <is>
          <t>2025.4Q</t>
        </is>
      </c>
      <c r="J131" s="5" t="inlineStr">
        <is>
          <t>2026.1Q</t>
        </is>
      </c>
      <c r="K131" s="5" t="inlineStr">
        <is>
          <t>2026.2Q</t>
        </is>
      </c>
      <c r="L131" s="5" t="inlineStr">
        <is>
          <t>2026.3Q</t>
        </is>
      </c>
      <c r="M131" s="5" t="inlineStr">
        <is>
          <t>2026.4Q</t>
        </is>
      </c>
      <c r="N131" s="5" t="inlineStr">
        <is>
          <t>2027.1Q</t>
        </is>
      </c>
      <c r="O131" s="5" t="inlineStr">
        <is>
          <t>2017</t>
        </is>
      </c>
      <c r="P131" s="5" t="inlineStr">
        <is>
          <t>2018</t>
        </is>
      </c>
      <c r="Q131" s="5" t="inlineStr">
        <is>
          <t>2019</t>
        </is>
      </c>
      <c r="R131" s="5" t="inlineStr">
        <is>
          <t>2020</t>
        </is>
      </c>
      <c r="S131" s="5" t="inlineStr">
        <is>
          <t>2021</t>
        </is>
      </c>
      <c r="T131" s="5" t="inlineStr">
        <is>
          <t>2022</t>
        </is>
      </c>
      <c r="U131" s="5" t="inlineStr">
        <is>
          <t>2023</t>
        </is>
      </c>
      <c r="V131" s="5" t="inlineStr">
        <is>
          <t>2024</t>
        </is>
      </c>
      <c r="W131" s="5" t="inlineStr">
        <is>
          <t>2025</t>
        </is>
      </c>
      <c r="X131" s="5" t="inlineStr">
        <is>
          <t>2026</t>
        </is>
      </c>
      <c r="Y131" s="5" t="inlineStr">
        <is>
          <t>2027(MW)</t>
        </is>
      </c>
      <c r="Z131" s="5" t="inlineStr">
        <is>
          <t>2028(MW)</t>
        </is>
      </c>
      <c r="AA131" s="5" t="inlineStr">
        <is>
          <t>2029(MW)</t>
        </is>
      </c>
      <c r="AB131" s="5" t="inlineStr">
        <is>
          <t>2030(MW)</t>
        </is>
      </c>
      <c r="AC131" s="5" t="inlineStr">
        <is>
          <t>2031(MW)</t>
        </is>
      </c>
    </row>
    <row r="132">
      <c r="A132" s="9" t="inlineStr">
        <is>
          <t>중간순이익(손실)</t>
        </is>
      </c>
      <c r="C132" s="12" t="n">
        <v>305.38</v>
      </c>
      <c r="D132" s="12" t="n">
        <v>273.466</v>
      </c>
      <c r="E132" s="12" t="n">
        <v>1005.617</v>
      </c>
      <c r="F132" s="12" t="n">
        <v>-229.374</v>
      </c>
      <c r="G132" s="12" t="n">
        <v>196.745</v>
      </c>
      <c r="H132" s="12" t="n">
        <v>454.511</v>
      </c>
      <c r="I132" s="12" t="n">
        <v>827.795</v>
      </c>
      <c r="J132" s="12" t="n">
        <v>56.217</v>
      </c>
      <c r="K132" s="12" t="n">
        <v>119.363</v>
      </c>
      <c r="L132" s="12" t="n">
        <v>416.74</v>
      </c>
      <c r="M132" s="12" t="n">
        <v>906.504</v>
      </c>
      <c r="N132" s="12" t="n">
        <v>-220.577</v>
      </c>
      <c r="T132" s="12" t="n">
        <v>193.891</v>
      </c>
      <c r="U132" s="12" t="n">
        <v>626.224</v>
      </c>
      <c r="V132" s="12" t="n">
        <v>1005.617</v>
      </c>
      <c r="W132" s="12" t="n">
        <v>827.795</v>
      </c>
      <c r="X132" s="12" t="n">
        <v>906.504</v>
      </c>
    </row>
    <row r="133">
      <c r="A133" s="18" t="inlineStr">
        <is>
          <t>기타유가증권 평가차액</t>
        </is>
      </c>
      <c r="C133" s="20" t="n">
        <v>-18.599</v>
      </c>
      <c r="D133" s="20" t="n">
        <v>18.619</v>
      </c>
      <c r="E133" s="20" t="n">
        <v>59.352</v>
      </c>
      <c r="F133" s="20" t="n">
        <v>8.77</v>
      </c>
      <c r="G133" s="20" t="n">
        <v>-41.113</v>
      </c>
      <c r="H133" s="20" t="n">
        <v>39.717</v>
      </c>
      <c r="I133" s="20" t="n">
        <v>-4.85</v>
      </c>
      <c r="J133" s="20" t="n">
        <v>51.061</v>
      </c>
      <c r="K133" s="20" t="n">
        <v>77.40300000000001</v>
      </c>
      <c r="L133" s="20" t="n">
        <v>81.29900000000001</v>
      </c>
      <c r="M133" s="20" t="n">
        <v>36.536</v>
      </c>
      <c r="N133" s="20" t="n">
        <v>97.04000000000001</v>
      </c>
      <c r="T133" s="20" t="n">
        <v>9.119</v>
      </c>
      <c r="U133" s="20" t="n">
        <v>12.707</v>
      </c>
      <c r="V133" s="20" t="n">
        <v>59.352</v>
      </c>
      <c r="W133" s="20" t="n">
        <v>-4.85</v>
      </c>
      <c r="X133" s="20" t="n">
        <v>36.536</v>
      </c>
    </row>
    <row r="134">
      <c r="A134" s="18" t="inlineStr">
        <is>
          <t>퇴직급여 조정액</t>
        </is>
      </c>
      <c r="C134" s="20" t="n">
        <v>20.373</v>
      </c>
      <c r="D134" s="20" t="n">
        <v>20.372</v>
      </c>
      <c r="E134" s="20" t="n">
        <v>365.213</v>
      </c>
      <c r="F134" s="20" t="n">
        <v>-3.227</v>
      </c>
      <c r="G134" s="20" t="n">
        <v>-3.227</v>
      </c>
      <c r="H134" s="20" t="n">
        <v>-3.227</v>
      </c>
      <c r="I134" s="20" t="n">
        <v>-362.295</v>
      </c>
      <c r="J134" s="20" t="n">
        <v>3.411</v>
      </c>
      <c r="K134" s="20" t="n">
        <v>3.411</v>
      </c>
      <c r="L134" s="20" t="n">
        <v>3.412</v>
      </c>
      <c r="M134" s="20" t="n">
        <v>315.244</v>
      </c>
      <c r="N134" s="20" t="n">
        <v>-3.734</v>
      </c>
      <c r="T134" s="20" t="n">
        <v>-42.472</v>
      </c>
      <c r="U134" s="20" t="n">
        <v>-171.18</v>
      </c>
      <c r="V134" s="20" t="n">
        <v>365.213</v>
      </c>
      <c r="W134" s="20" t="n">
        <v>-362.295</v>
      </c>
      <c r="X134" s="20" t="n">
        <v>315.244</v>
      </c>
    </row>
    <row r="135">
      <c r="A135" s="18" t="inlineStr">
        <is>
          <t>기타포괄손익 합계</t>
        </is>
      </c>
      <c r="C135" s="20" t="n">
        <v>1.773</v>
      </c>
      <c r="D135" s="20" t="n">
        <v>38.992</v>
      </c>
      <c r="E135" s="20" t="n">
        <v>424.564</v>
      </c>
      <c r="F135" s="20" t="n">
        <v>5.543</v>
      </c>
      <c r="G135" s="20" t="n">
        <v>-44.34</v>
      </c>
      <c r="H135" s="20" t="n">
        <v>36.49</v>
      </c>
      <c r="I135" s="20" t="n">
        <v>-367.145</v>
      </c>
      <c r="J135" s="20" t="n">
        <v>54.472</v>
      </c>
      <c r="K135" s="20" t="n">
        <v>80.815</v>
      </c>
      <c r="L135" s="20" t="n">
        <v>84.711</v>
      </c>
      <c r="M135" s="20" t="n">
        <v>351.78</v>
      </c>
      <c r="N135" s="20" t="n">
        <v>93.306</v>
      </c>
      <c r="T135" s="20" t="n">
        <v>-33.355</v>
      </c>
      <c r="U135" s="20" t="n">
        <v>-158.472</v>
      </c>
      <c r="V135" s="20" t="n">
        <v>424.564</v>
      </c>
      <c r="W135" s="20" t="n">
        <v>-367.145</v>
      </c>
      <c r="X135" s="20" t="n">
        <v>351.78</v>
      </c>
    </row>
    <row r="136">
      <c r="A136" s="9" t="inlineStr">
        <is>
          <t>포괄이익</t>
        </is>
      </c>
      <c r="C136" s="12" t="n">
        <v>307.153</v>
      </c>
      <c r="D136" s="12" t="n">
        <v>312.459</v>
      </c>
      <c r="E136" s="12" t="n">
        <v>1430.18</v>
      </c>
      <c r="F136" s="12" t="n">
        <v>-223.83</v>
      </c>
      <c r="G136" s="12" t="n">
        <v>152.403</v>
      </c>
      <c r="H136" s="12" t="n">
        <v>491.002</v>
      </c>
      <c r="I136" s="12" t="n">
        <v>460.65</v>
      </c>
      <c r="J136" s="12" t="n">
        <v>110.69</v>
      </c>
      <c r="K136" s="12" t="n">
        <v>200.177</v>
      </c>
      <c r="L136" s="12" t="n">
        <v>501.451</v>
      </c>
      <c r="M136" s="12" t="n">
        <v>1258.284</v>
      </c>
      <c r="N136" s="12" t="n">
        <v>-127.271</v>
      </c>
      <c r="T136" s="12" t="n">
        <v>160.535</v>
      </c>
      <c r="U136" s="12" t="n">
        <v>467.75</v>
      </c>
      <c r="V136" s="12" t="n">
        <v>1430.18</v>
      </c>
      <c r="W136" s="12" t="n">
        <v>460.65</v>
      </c>
      <c r="X136" s="12" t="n">
        <v>1258.284</v>
      </c>
    </row>
    <row r="137">
      <c r="A137" s="9" t="inlineStr">
        <is>
          <t>지배주주 포괄이익</t>
        </is>
      </c>
      <c r="C137" s="12" t="n">
        <v>292.442</v>
      </c>
      <c r="D137" s="12" t="n">
        <v>271.019</v>
      </c>
      <c r="E137" s="12" t="n">
        <v>1265.716</v>
      </c>
      <c r="F137" s="12" t="n">
        <v>-227.451</v>
      </c>
      <c r="G137" s="12" t="n">
        <v>131.9</v>
      </c>
      <c r="H137" s="12" t="n">
        <v>430.434</v>
      </c>
      <c r="I137" s="12" t="n">
        <v>365.865</v>
      </c>
      <c r="J137" s="12" t="n">
        <v>119.189</v>
      </c>
      <c r="K137" s="12" t="n">
        <v>215.431</v>
      </c>
      <c r="L137" s="12" t="n">
        <v>443.042</v>
      </c>
      <c r="M137" s="12" t="n">
        <v>1141.238</v>
      </c>
      <c r="N137" s="12" t="n">
        <v>-143.595</v>
      </c>
      <c r="T137" s="12" t="n">
        <v>49.984</v>
      </c>
      <c r="U137" s="12" t="n">
        <v>359.404</v>
      </c>
      <c r="V137" s="12" t="n">
        <v>1265.716</v>
      </c>
      <c r="W137" s="12" t="n">
        <v>365.865</v>
      </c>
      <c r="X137" s="12" t="n">
        <v>1141.238</v>
      </c>
    </row>
    <row r="138">
      <c r="A138" s="9" t="inlineStr">
        <is>
          <t>비지배주주 포괄이익</t>
        </is>
      </c>
      <c r="C138" s="12" t="n">
        <v>14.71</v>
      </c>
      <c r="D138" s="12" t="n">
        <v>41.439</v>
      </c>
      <c r="E138" s="12" t="n">
        <v>164.465</v>
      </c>
      <c r="F138" s="12" t="n">
        <v>3.62</v>
      </c>
      <c r="G138" s="12" t="n">
        <v>20.504</v>
      </c>
      <c r="H138" s="12" t="n">
        <v>60.568</v>
      </c>
      <c r="I138" s="12" t="n">
        <v>94.785</v>
      </c>
      <c r="J138" s="12" t="n">
        <v>-8.497999999999999</v>
      </c>
      <c r="K138" s="12" t="n">
        <v>-15.254</v>
      </c>
      <c r="L138" s="12" t="n">
        <v>58.408</v>
      </c>
      <c r="M138" s="12" t="n">
        <v>117.045</v>
      </c>
      <c r="N138" s="12" t="n">
        <v>16.324</v>
      </c>
      <c r="T138" s="12" t="n">
        <v>110.55</v>
      </c>
      <c r="U138" s="12" t="n">
        <v>108.346</v>
      </c>
      <c r="V138" s="12" t="n">
        <v>164.465</v>
      </c>
      <c r="W138" s="12" t="n">
        <v>94.785</v>
      </c>
      <c r="X138" s="12" t="n">
        <v>117.045</v>
      </c>
    </row>
    <row r="140">
      <c r="A140" s="16" t="inlineStr">
        <is>
          <t>부문 · 전 항목</t>
        </is>
      </c>
      <c r="B140" s="42" t="inlineStr">
        <is>
          <t>부문 · 항목</t>
        </is>
      </c>
      <c r="C140" s="16" t="n"/>
      <c r="D140" s="16" t="n"/>
      <c r="E140" s="16" t="n"/>
      <c r="F140" s="16" t="n"/>
      <c r="G140" s="16" t="n"/>
      <c r="H140" s="16" t="n"/>
      <c r="I140" s="16" t="n"/>
      <c r="J140" s="16" t="n"/>
      <c r="K140" s="16" t="n"/>
      <c r="L140" s="16" t="n"/>
      <c r="M140" s="16" t="n"/>
      <c r="N140" s="16" t="n"/>
      <c r="O140" s="16" t="n"/>
      <c r="P140" s="16" t="n"/>
      <c r="Q140" s="16" t="n"/>
      <c r="R140" s="16" t="n"/>
      <c r="S140" s="16" t="n"/>
      <c r="T140" s="16" t="n"/>
      <c r="U140" s="16" t="n"/>
      <c r="V140" s="16" t="n"/>
      <c r="W140" s="16" t="n"/>
      <c r="X140" s="16" t="n"/>
      <c r="Y140" s="16" t="n"/>
      <c r="Z140" s="16" t="n"/>
      <c r="AA140" s="16" t="n"/>
      <c r="AB140" s="16" t="n"/>
      <c r="AC140" s="16" t="n"/>
    </row>
    <row r="141">
      <c r="A141" s="5" t="inlineStr">
        <is>
          <t>항목</t>
        </is>
      </c>
      <c r="B141" s="5" t="inlineStr">
        <is>
          <t>참고</t>
        </is>
      </c>
      <c r="C141" s="5" t="inlineStr">
        <is>
          <t>2024.2Q</t>
        </is>
      </c>
      <c r="D141" s="5" t="inlineStr">
        <is>
          <t>2024.3Q</t>
        </is>
      </c>
      <c r="E141" s="5" t="inlineStr">
        <is>
          <t>2024.4Q</t>
        </is>
      </c>
      <c r="F141" s="5" t="inlineStr">
        <is>
          <t>2025.1Q</t>
        </is>
      </c>
      <c r="G141" s="5" t="inlineStr">
        <is>
          <t>2025.2Q</t>
        </is>
      </c>
      <c r="H141" s="5" t="inlineStr">
        <is>
          <t>2025.3Q</t>
        </is>
      </c>
      <c r="I141" s="5" t="inlineStr">
        <is>
          <t>2025.4Q</t>
        </is>
      </c>
      <c r="J141" s="5" t="inlineStr">
        <is>
          <t>2026.1Q</t>
        </is>
      </c>
      <c r="K141" s="5" t="inlineStr">
        <is>
          <t>2026.2Q</t>
        </is>
      </c>
      <c r="L141" s="5" t="inlineStr">
        <is>
          <t>2026.3Q</t>
        </is>
      </c>
      <c r="M141" s="5" t="inlineStr">
        <is>
          <t>2026.4Q</t>
        </is>
      </c>
      <c r="N141" s="5" t="inlineStr">
        <is>
          <t>2027.1Q</t>
        </is>
      </c>
      <c r="O141" s="5" t="inlineStr">
        <is>
          <t>2017</t>
        </is>
      </c>
      <c r="P141" s="5" t="inlineStr">
        <is>
          <t>2018</t>
        </is>
      </c>
      <c r="Q141" s="5" t="inlineStr">
        <is>
          <t>2019</t>
        </is>
      </c>
      <c r="R141" s="5" t="inlineStr">
        <is>
          <t>2020</t>
        </is>
      </c>
      <c r="S141" s="5" t="inlineStr">
        <is>
          <t>2021</t>
        </is>
      </c>
      <c r="T141" s="5" t="inlineStr">
        <is>
          <t>2022</t>
        </is>
      </c>
      <c r="U141" s="5" t="inlineStr">
        <is>
          <t>2023</t>
        </is>
      </c>
      <c r="V141" s="5" t="inlineStr">
        <is>
          <t>2024</t>
        </is>
      </c>
      <c r="W141" s="5" t="inlineStr">
        <is>
          <t>2025</t>
        </is>
      </c>
      <c r="X141" s="5" t="inlineStr">
        <is>
          <t>2026</t>
        </is>
      </c>
      <c r="Y141" s="5" t="inlineStr">
        <is>
          <t>2027(MW)</t>
        </is>
      </c>
      <c r="Z141" s="5" t="inlineStr">
        <is>
          <t>2028(MW)</t>
        </is>
      </c>
      <c r="AA141" s="5" t="inlineStr">
        <is>
          <t>2029(MW)</t>
        </is>
      </c>
      <c r="AB141" s="5" t="inlineStr">
        <is>
          <t>2030(MW)</t>
        </is>
      </c>
      <c r="AC141" s="5" t="inlineStr">
        <is>
          <t>2031(MW)</t>
        </is>
      </c>
    </row>
    <row r="142">
      <c r="A142" s="18" t="inlineStr">
        <is>
          <t>부문 · 외부 고객 매출</t>
        </is>
      </c>
      <c r="C142" s="20" t="n">
        <v>3588.668</v>
      </c>
      <c r="D142" s="20" t="n">
        <v>3447.066</v>
      </c>
      <c r="E142" s="20" t="n">
        <v>6350.752</v>
      </c>
      <c r="F142" s="20" t="n">
        <v>2866.506</v>
      </c>
      <c r="G142" s="20" t="n">
        <v>3203.714</v>
      </c>
      <c r="H142" s="20" t="n">
        <v>5018.228</v>
      </c>
      <c r="I142" s="20" t="n">
        <v>5721.498</v>
      </c>
      <c r="J142" s="20" t="n">
        <v>3087.127</v>
      </c>
      <c r="K142" s="20" t="n">
        <v>4155.637</v>
      </c>
      <c r="L142" s="20" t="n">
        <v>5357.881</v>
      </c>
      <c r="M142" s="20" t="n">
        <v>8130.239</v>
      </c>
      <c r="N142" s="20" t="n">
        <v>4535.161</v>
      </c>
      <c r="V142" s="20" t="n">
        <v>6350.752</v>
      </c>
      <c r="W142" s="20" t="n">
        <v>5721.498</v>
      </c>
      <c r="X142" s="20" t="n">
        <v>8130.239</v>
      </c>
    </row>
    <row r="143">
      <c r="A143" s="43" t="inlineStr">
        <is>
          <t>YoY</t>
        </is>
      </c>
      <c r="B143" s="3" t="inlineStr">
        <is>
          <t>전년 같은 분기·전년 대비</t>
        </is>
      </c>
      <c r="G143" s="15">
        <f>IF(OR(G142="",C142=""),"",IF(C142&lt;=0,"",IFERROR(G142/C142-1,"")))</f>
        <v/>
      </c>
      <c r="H143" s="15">
        <f>IF(OR(H142="",D142=""),"",IF(D142&lt;=0,"",IFERROR(H142/D142-1,"")))</f>
        <v/>
      </c>
      <c r="I143" s="15">
        <f>IF(OR(I142="",E142=""),"",IF(E142&lt;=0,"",IFERROR(I142/E142-1,"")))</f>
        <v/>
      </c>
      <c r="J143" s="15">
        <f>IF(OR(J142="",F142=""),"",IF(F142&lt;=0,"",IFERROR(J142/F142-1,"")))</f>
        <v/>
      </c>
      <c r="K143" s="15">
        <f>IF(OR(K142="",G142=""),"",IF(G142&lt;=0,"",IFERROR(K142/G142-1,"")))</f>
        <v/>
      </c>
      <c r="L143" s="15">
        <f>IF(OR(L142="",H142=""),"",IF(H142&lt;=0,"",IFERROR(L142/H142-1,"")))</f>
        <v/>
      </c>
      <c r="M143" s="15">
        <f>IF(OR(M142="",I142=""),"",IF(I142&lt;=0,"",IFERROR(M142/I142-1,"")))</f>
        <v/>
      </c>
      <c r="N143" s="15">
        <f>IF(OR(N142="",J142=""),"",IF(J142&lt;=0,"",IFERROR(N142/J142-1,"")))</f>
        <v/>
      </c>
      <c r="V143" s="15">
        <f>IF(OR(V142="",U142=""),"",IF(U142&lt;=0,"",IFERROR(V142/U142-1,"")))</f>
        <v/>
      </c>
      <c r="W143" s="15">
        <f>IF(OR(W142="",V142=""),"",IF(V142&lt;=0,"",IFERROR(W142/V142-1,"")))</f>
        <v/>
      </c>
      <c r="X143" s="15">
        <f>IF(OR(X142="",W142=""),"",IF(W142&lt;=0,"",IFERROR(X142/W142-1,"")))</f>
        <v/>
      </c>
    </row>
    <row r="144">
      <c r="A144" s="18" t="inlineStr">
        <is>
          <t>부문 · 외부 고객 매출</t>
        </is>
      </c>
      <c r="C144" s="20" t="n">
        <v>2619.258</v>
      </c>
      <c r="D144" s="20" t="n">
        <v>3028.477</v>
      </c>
      <c r="E144" s="20" t="n">
        <v>5088.425</v>
      </c>
      <c r="F144" s="20" t="n">
        <v>2027.578</v>
      </c>
      <c r="G144" s="20" t="n">
        <v>2678.947</v>
      </c>
      <c r="H144" s="20" t="n">
        <v>2753.313</v>
      </c>
      <c r="I144" s="20" t="n">
        <v>4776.408</v>
      </c>
      <c r="J144" s="20" t="n">
        <v>2164.223</v>
      </c>
      <c r="K144" s="20" t="n">
        <v>2429.6</v>
      </c>
      <c r="L144" s="20" t="n">
        <v>2881.713</v>
      </c>
      <c r="M144" s="20" t="n">
        <v>4503.163</v>
      </c>
      <c r="N144" s="20" t="n">
        <v>2227.682</v>
      </c>
      <c r="V144" s="20" t="n">
        <v>5088.425</v>
      </c>
      <c r="W144" s="20" t="n">
        <v>4776.408</v>
      </c>
      <c r="X144" s="20" t="n">
        <v>4503.163</v>
      </c>
    </row>
    <row r="145">
      <c r="A145" s="43" t="inlineStr">
        <is>
          <t>YoY</t>
        </is>
      </c>
      <c r="B145" s="3" t="inlineStr">
        <is>
          <t>전년 같은 분기·전년 대비</t>
        </is>
      </c>
      <c r="G145" s="15">
        <f>IF(OR(G144="",C144=""),"",IF(C144&lt;=0,"",IFERROR(G144/C144-1,"")))</f>
        <v/>
      </c>
      <c r="H145" s="15">
        <f>IF(OR(H144="",D144=""),"",IF(D144&lt;=0,"",IFERROR(H144/D144-1,"")))</f>
        <v/>
      </c>
      <c r="I145" s="15">
        <f>IF(OR(I144="",E144=""),"",IF(E144&lt;=0,"",IFERROR(I144/E144-1,"")))</f>
        <v/>
      </c>
      <c r="J145" s="15">
        <f>IF(OR(J144="",F144=""),"",IF(F144&lt;=0,"",IFERROR(J144/F144-1,"")))</f>
        <v/>
      </c>
      <c r="K145" s="15">
        <f>IF(OR(K144="",G144=""),"",IF(G144&lt;=0,"",IFERROR(K144/G144-1,"")))</f>
        <v/>
      </c>
      <c r="L145" s="15">
        <f>IF(OR(L144="",H144=""),"",IF(H144&lt;=0,"",IFERROR(L144/H144-1,"")))</f>
        <v/>
      </c>
      <c r="M145" s="15">
        <f>IF(OR(M144="",I144=""),"",IF(I144&lt;=0,"",IFERROR(M144/I144-1,"")))</f>
        <v/>
      </c>
      <c r="N145" s="15">
        <f>IF(OR(N144="",J144=""),"",IF(J144&lt;=0,"",IFERROR(N144/J144-1,"")))</f>
        <v/>
      </c>
      <c r="V145" s="15">
        <f>IF(OR(V144="",U144=""),"",IF(U144&lt;=0,"",IFERROR(V144/U144-1,"")))</f>
        <v/>
      </c>
      <c r="W145" s="15">
        <f>IF(OR(W144="",V144=""),"",IF(V144&lt;=0,"",IFERROR(W144/V144-1,"")))</f>
        <v/>
      </c>
      <c r="X145" s="15">
        <f>IF(OR(X144="",W144=""),"",IF(W144&lt;=0,"",IFERROR(X144/W144-1,"")))</f>
        <v/>
      </c>
    </row>
    <row r="146">
      <c r="A146" s="18" t="inlineStr">
        <is>
          <t>합계 · 외부 고객 매출</t>
        </is>
      </c>
      <c r="C146" s="20" t="n">
        <v>6207.926</v>
      </c>
      <c r="D146" s="20" t="n">
        <v>6475.542</v>
      </c>
      <c r="E146" s="20" t="n">
        <v>11439.177</v>
      </c>
      <c r="F146" s="20" t="n">
        <v>4894.085</v>
      </c>
      <c r="G146" s="20" t="n">
        <v>5882.661</v>
      </c>
      <c r="H146" s="20" t="n">
        <v>7771.54</v>
      </c>
      <c r="I146" s="20" t="n">
        <v>10497.906</v>
      </c>
      <c r="J146" s="20" t="n">
        <v>5251.351</v>
      </c>
      <c r="K146" s="20" t="n">
        <v>6585.237</v>
      </c>
      <c r="L146" s="20" t="n">
        <v>8239.593000000001</v>
      </c>
      <c r="M146" s="20" t="n">
        <v>12633.402</v>
      </c>
      <c r="N146" s="20" t="n">
        <v>6762.843</v>
      </c>
      <c r="V146" s="20" t="n">
        <v>11439.177</v>
      </c>
      <c r="W146" s="20" t="n">
        <v>10497.906</v>
      </c>
      <c r="X146" s="20" t="n">
        <v>12633.402</v>
      </c>
    </row>
    <row r="147">
      <c r="A147" s="43" t="inlineStr">
        <is>
          <t>YoY</t>
        </is>
      </c>
      <c r="B147" s="3" t="inlineStr">
        <is>
          <t>전년 같은 분기·전년 대비</t>
        </is>
      </c>
      <c r="G147" s="15">
        <f>IF(OR(G146="",C146=""),"",IF(C146&lt;=0,"",IFERROR(G146/C146-1,"")))</f>
        <v/>
      </c>
      <c r="H147" s="15">
        <f>IF(OR(H146="",D146=""),"",IF(D146&lt;=0,"",IFERROR(H146/D146-1,"")))</f>
        <v/>
      </c>
      <c r="I147" s="15">
        <f>IF(OR(I146="",E146=""),"",IF(E146&lt;=0,"",IFERROR(I146/E146-1,"")))</f>
        <v/>
      </c>
      <c r="J147" s="15">
        <f>IF(OR(J146="",F146=""),"",IF(F146&lt;=0,"",IFERROR(J146/F146-1,"")))</f>
        <v/>
      </c>
      <c r="K147" s="15">
        <f>IF(OR(K146="",G146=""),"",IF(G146&lt;=0,"",IFERROR(K146/G146-1,"")))</f>
        <v/>
      </c>
      <c r="L147" s="15">
        <f>IF(OR(L146="",H146=""),"",IF(H146&lt;=0,"",IFERROR(L146/H146-1,"")))</f>
        <v/>
      </c>
      <c r="M147" s="15">
        <f>IF(OR(M146="",I146=""),"",IF(I146&lt;=0,"",IFERROR(M146/I146-1,"")))</f>
        <v/>
      </c>
      <c r="N147" s="15">
        <f>IF(OR(N146="",J146=""),"",IF(J146&lt;=0,"",IFERROR(N146/J146-1,"")))</f>
        <v/>
      </c>
      <c r="V147" s="15">
        <f>IF(OR(V146="",U146=""),"",IF(U146&lt;=0,"",IFERROR(V146/U146-1,"")))</f>
        <v/>
      </c>
      <c r="W147" s="15">
        <f>IF(OR(W146="",V146=""),"",IF(V146&lt;=0,"",IFERROR(W146/V146-1,"")))</f>
        <v/>
      </c>
      <c r="X147" s="15">
        <f>IF(OR(X146="",W146=""),"",IF(W146&lt;=0,"",IFERROR(X146/W146-1,"")))</f>
        <v/>
      </c>
    </row>
    <row r="148">
      <c r="A148" s="18" t="inlineStr">
        <is>
          <t>부문 · 부문 간 내부매출·대체</t>
        </is>
      </c>
      <c r="C148" s="20" t="n">
        <v>44.86</v>
      </c>
      <c r="D148" s="20" t="n">
        <v>42.426</v>
      </c>
      <c r="E148" s="20" t="n">
        <v>74.94</v>
      </c>
      <c r="F148" s="20" t="n">
        <v>29.954</v>
      </c>
      <c r="G148" s="20" t="n">
        <v>22.094</v>
      </c>
      <c r="H148" s="20" t="n">
        <v>35.544</v>
      </c>
      <c r="I148" s="20" t="n">
        <v>88.85599999999999</v>
      </c>
      <c r="J148" s="20" t="n">
        <v>29.292</v>
      </c>
      <c r="K148" s="20" t="n">
        <v>28.414</v>
      </c>
      <c r="L148" s="20" t="n">
        <v>44.696</v>
      </c>
      <c r="M148" s="20" t="n">
        <v>65.182</v>
      </c>
      <c r="N148" s="20" t="n">
        <v>35.479</v>
      </c>
      <c r="V148" s="20" t="n">
        <v>74.94</v>
      </c>
      <c r="W148" s="20" t="n">
        <v>88.85599999999999</v>
      </c>
      <c r="X148" s="20" t="n">
        <v>65.182</v>
      </c>
    </row>
    <row r="149">
      <c r="A149" s="18" t="inlineStr">
        <is>
          <t>부문 · 부문 간 내부매출·대체</t>
        </is>
      </c>
      <c r="C149" s="20" t="n">
        <v>91.669</v>
      </c>
      <c r="D149" s="20" t="n">
        <v>132.73</v>
      </c>
      <c r="E149" s="20" t="n">
        <v>108.26</v>
      </c>
      <c r="F149" s="20" t="n">
        <v>86.55</v>
      </c>
      <c r="G149" s="20" t="n">
        <v>74.663</v>
      </c>
      <c r="H149" s="20" t="n">
        <v>98.50700000000001</v>
      </c>
      <c r="I149" s="20" t="n">
        <v>95.044</v>
      </c>
      <c r="J149" s="20" t="n">
        <v>91.663</v>
      </c>
      <c r="K149" s="20" t="n">
        <v>96.66500000000001</v>
      </c>
      <c r="L149" s="20" t="n">
        <v>122.267</v>
      </c>
      <c r="M149" s="20" t="n">
        <v>166.675</v>
      </c>
      <c r="N149" s="20" t="n">
        <v>84.021</v>
      </c>
      <c r="V149" s="20" t="n">
        <v>108.26</v>
      </c>
      <c r="W149" s="20" t="n">
        <v>95.044</v>
      </c>
      <c r="X149" s="20" t="n">
        <v>166.675</v>
      </c>
    </row>
    <row r="150">
      <c r="A150" s="18" t="inlineStr">
        <is>
          <t>합계 · 부문 간 내부매출·대체</t>
        </is>
      </c>
      <c r="C150" s="20" t="n">
        <v>136.529</v>
      </c>
      <c r="D150" s="20" t="n">
        <v>175.157</v>
      </c>
      <c r="E150" s="20" t="n">
        <v>183.2</v>
      </c>
      <c r="F150" s="20" t="n">
        <v>116.504</v>
      </c>
      <c r="G150" s="20" t="n">
        <v>96.75700000000001</v>
      </c>
      <c r="H150" s="20" t="n">
        <v>134.052</v>
      </c>
      <c r="I150" s="20" t="n">
        <v>183.9</v>
      </c>
      <c r="J150" s="20" t="n">
        <v>120.955</v>
      </c>
      <c r="K150" s="20" t="n">
        <v>125.08</v>
      </c>
      <c r="L150" s="20" t="n">
        <v>166.962</v>
      </c>
      <c r="M150" s="20" t="n">
        <v>231.857</v>
      </c>
      <c r="N150" s="20" t="n">
        <v>119.5</v>
      </c>
      <c r="V150" s="20" t="n">
        <v>183.2</v>
      </c>
      <c r="W150" s="20" t="n">
        <v>183.9</v>
      </c>
      <c r="X150" s="20" t="n">
        <v>231.857</v>
      </c>
    </row>
    <row r="151">
      <c r="A151" s="18" t="inlineStr">
        <is>
          <t>부문 · 계</t>
        </is>
      </c>
      <c r="C151" s="20" t="n">
        <v>3633.527</v>
      </c>
      <c r="D151" s="20" t="n">
        <v>3489.493</v>
      </c>
      <c r="E151" s="20" t="n">
        <v>6425.692</v>
      </c>
      <c r="F151" s="20" t="n">
        <v>2896.461</v>
      </c>
      <c r="G151" s="20" t="n">
        <v>3225.807</v>
      </c>
      <c r="H151" s="20" t="n">
        <v>5053.772</v>
      </c>
      <c r="I151" s="20" t="n">
        <v>5810.354</v>
      </c>
      <c r="J151" s="20" t="n">
        <v>3116.419</v>
      </c>
      <c r="K151" s="20" t="n">
        <v>4184.052</v>
      </c>
      <c r="L151" s="20" t="n">
        <v>5402.576</v>
      </c>
      <c r="M151" s="20" t="n">
        <v>8195.421</v>
      </c>
      <c r="N151" s="20" t="n">
        <v>4570.641</v>
      </c>
      <c r="V151" s="20" t="n">
        <v>6425.692</v>
      </c>
      <c r="W151" s="20" t="n">
        <v>5810.354</v>
      </c>
      <c r="X151" s="20" t="n">
        <v>8195.421</v>
      </c>
    </row>
    <row r="152">
      <c r="A152" s="43" t="inlineStr">
        <is>
          <t>YoY</t>
        </is>
      </c>
      <c r="B152" s="3" t="inlineStr">
        <is>
          <t>전년 같은 분기·전년 대비</t>
        </is>
      </c>
      <c r="G152" s="15">
        <f>IF(OR(G151="",C151=""),"",IF(C151&lt;=0,"",IFERROR(G151/C151-1,"")))</f>
        <v/>
      </c>
      <c r="H152" s="15">
        <f>IF(OR(H151="",D151=""),"",IF(D151&lt;=0,"",IFERROR(H151/D151-1,"")))</f>
        <v/>
      </c>
      <c r="I152" s="15">
        <f>IF(OR(I151="",E151=""),"",IF(E151&lt;=0,"",IFERROR(I151/E151-1,"")))</f>
        <v/>
      </c>
      <c r="J152" s="15">
        <f>IF(OR(J151="",F151=""),"",IF(F151&lt;=0,"",IFERROR(J151/F151-1,"")))</f>
        <v/>
      </c>
      <c r="K152" s="15">
        <f>IF(OR(K151="",G151=""),"",IF(G151&lt;=0,"",IFERROR(K151/G151-1,"")))</f>
        <v/>
      </c>
      <c r="L152" s="15">
        <f>IF(OR(L151="",H151=""),"",IF(H151&lt;=0,"",IFERROR(L151/H151-1,"")))</f>
        <v/>
      </c>
      <c r="M152" s="15">
        <f>IF(OR(M151="",I151=""),"",IF(I151&lt;=0,"",IFERROR(M151/I151-1,"")))</f>
        <v/>
      </c>
      <c r="N152" s="15">
        <f>IF(OR(N151="",J151=""),"",IF(J151&lt;=0,"",IFERROR(N151/J151-1,"")))</f>
        <v/>
      </c>
      <c r="V152" s="15">
        <f>IF(OR(V151="",U151=""),"",IF(U151&lt;=0,"",IFERROR(V151/U151-1,"")))</f>
        <v/>
      </c>
      <c r="W152" s="15">
        <f>IF(OR(W151="",V151=""),"",IF(V151&lt;=0,"",IFERROR(W151/V151-1,"")))</f>
        <v/>
      </c>
      <c r="X152" s="15">
        <f>IF(OR(X151="",W151=""),"",IF(W151&lt;=0,"",IFERROR(X151/W151-1,"")))</f>
        <v/>
      </c>
    </row>
    <row r="153">
      <c r="A153" s="18" t="inlineStr">
        <is>
          <t>부문 · 계</t>
        </is>
      </c>
      <c r="C153" s="20" t="n">
        <v>2710.928</v>
      </c>
      <c r="D153" s="20" t="n">
        <v>3161.206</v>
      </c>
      <c r="E153" s="20" t="n">
        <v>5196.685</v>
      </c>
      <c r="F153" s="20" t="n">
        <v>2114.129</v>
      </c>
      <c r="G153" s="20" t="n">
        <v>2753.61</v>
      </c>
      <c r="H153" s="20" t="n">
        <v>2851.82</v>
      </c>
      <c r="I153" s="20" t="n">
        <v>4871.452</v>
      </c>
      <c r="J153" s="20" t="n">
        <v>2255.887</v>
      </c>
      <c r="K153" s="20" t="n">
        <v>2526.265</v>
      </c>
      <c r="L153" s="20" t="n">
        <v>3003.979</v>
      </c>
      <c r="M153" s="20" t="n">
        <v>4669.838</v>
      </c>
      <c r="N153" s="20" t="n">
        <v>2311.703</v>
      </c>
      <c r="V153" s="20" t="n">
        <v>5196.685</v>
      </c>
      <c r="W153" s="20" t="n">
        <v>4871.452</v>
      </c>
      <c r="X153" s="20" t="n">
        <v>4669.838</v>
      </c>
    </row>
    <row r="154">
      <c r="A154" s="43" t="inlineStr">
        <is>
          <t>YoY</t>
        </is>
      </c>
      <c r="B154" s="3" t="inlineStr">
        <is>
          <t>전년 같은 분기·전년 대비</t>
        </is>
      </c>
      <c r="G154" s="15">
        <f>IF(OR(G153="",C153=""),"",IF(C153&lt;=0,"",IFERROR(G153/C153-1,"")))</f>
        <v/>
      </c>
      <c r="H154" s="15">
        <f>IF(OR(H153="",D153=""),"",IF(D153&lt;=0,"",IFERROR(H153/D153-1,"")))</f>
        <v/>
      </c>
      <c r="I154" s="15">
        <f>IF(OR(I153="",E153=""),"",IF(E153&lt;=0,"",IFERROR(I153/E153-1,"")))</f>
        <v/>
      </c>
      <c r="J154" s="15">
        <f>IF(OR(J153="",F153=""),"",IF(F153&lt;=0,"",IFERROR(J153/F153-1,"")))</f>
        <v/>
      </c>
      <c r="K154" s="15">
        <f>IF(OR(K153="",G153=""),"",IF(G153&lt;=0,"",IFERROR(K153/G153-1,"")))</f>
        <v/>
      </c>
      <c r="L154" s="15">
        <f>IF(OR(L153="",H153=""),"",IF(H153&lt;=0,"",IFERROR(L153/H153-1,"")))</f>
        <v/>
      </c>
      <c r="M154" s="15">
        <f>IF(OR(M153="",I153=""),"",IF(I153&lt;=0,"",IFERROR(M153/I153-1,"")))</f>
        <v/>
      </c>
      <c r="N154" s="15">
        <f>IF(OR(N153="",J153=""),"",IF(J153&lt;=0,"",IFERROR(N153/J153-1,"")))</f>
        <v/>
      </c>
      <c r="V154" s="15">
        <f>IF(OR(V153="",U153=""),"",IF(U153&lt;=0,"",IFERROR(V153/U153-1,"")))</f>
        <v/>
      </c>
      <c r="W154" s="15">
        <f>IF(OR(W153="",V153=""),"",IF(V153&lt;=0,"",IFERROR(W153/V153-1,"")))</f>
        <v/>
      </c>
      <c r="X154" s="15">
        <f>IF(OR(X153="",W153=""),"",IF(W153&lt;=0,"",IFERROR(X153/W153-1,"")))</f>
        <v/>
      </c>
    </row>
    <row r="155">
      <c r="A155" s="18" t="inlineStr">
        <is>
          <t>합계 · 계</t>
        </is>
      </c>
      <c r="C155" s="20" t="n">
        <v>6344.455</v>
      </c>
      <c r="D155" s="20" t="n">
        <v>6650.699</v>
      </c>
      <c r="E155" s="20" t="n">
        <v>11622.377</v>
      </c>
      <c r="F155" s="20" t="n">
        <v>5010.59</v>
      </c>
      <c r="G155" s="20" t="n">
        <v>5979.417</v>
      </c>
      <c r="H155" s="20" t="n">
        <v>7905.592</v>
      </c>
      <c r="I155" s="20" t="n">
        <v>10681.807</v>
      </c>
      <c r="J155" s="20" t="n">
        <v>5372.306</v>
      </c>
      <c r="K155" s="20" t="n">
        <v>6710.318</v>
      </c>
      <c r="L155" s="20" t="n">
        <v>8406.555</v>
      </c>
      <c r="M155" s="20" t="n">
        <v>12865.259</v>
      </c>
      <c r="N155" s="20" t="n">
        <v>6882.344</v>
      </c>
      <c r="V155" s="20" t="n">
        <v>11622.377</v>
      </c>
      <c r="W155" s="20" t="n">
        <v>10681.807</v>
      </c>
      <c r="X155" s="20" t="n">
        <v>12865.259</v>
      </c>
    </row>
    <row r="156">
      <c r="A156" s="43" t="inlineStr">
        <is>
          <t>YoY</t>
        </is>
      </c>
      <c r="B156" s="3" t="inlineStr">
        <is>
          <t>전년 같은 분기·전년 대비</t>
        </is>
      </c>
      <c r="G156" s="15">
        <f>IF(OR(G155="",C155=""),"",IF(C155&lt;=0,"",IFERROR(G155/C155-1,"")))</f>
        <v/>
      </c>
      <c r="H156" s="15">
        <f>IF(OR(H155="",D155=""),"",IF(D155&lt;=0,"",IFERROR(H155/D155-1,"")))</f>
        <v/>
      </c>
      <c r="I156" s="15">
        <f>IF(OR(I155="",E155=""),"",IF(E155&lt;=0,"",IFERROR(I155/E155-1,"")))</f>
        <v/>
      </c>
      <c r="J156" s="15">
        <f>IF(OR(J155="",F155=""),"",IF(F155&lt;=0,"",IFERROR(J155/F155-1,"")))</f>
        <v/>
      </c>
      <c r="K156" s="15">
        <f>IF(OR(K155="",G155=""),"",IF(G155&lt;=0,"",IFERROR(K155/G155-1,"")))</f>
        <v/>
      </c>
      <c r="L156" s="15">
        <f>IF(OR(L155="",H155=""),"",IF(H155&lt;=0,"",IFERROR(L155/H155-1,"")))</f>
        <v/>
      </c>
      <c r="M156" s="15">
        <f>IF(OR(M155="",I155=""),"",IF(I155&lt;=0,"",IFERROR(M155/I155-1,"")))</f>
        <v/>
      </c>
      <c r="N156" s="15">
        <f>IF(OR(N155="",J155=""),"",IF(J155&lt;=0,"",IFERROR(N155/J155-1,"")))</f>
        <v/>
      </c>
      <c r="V156" s="15">
        <f>IF(OR(V155="",U155=""),"",IF(U155&lt;=0,"",IFERROR(V155/U155-1,"")))</f>
        <v/>
      </c>
      <c r="W156" s="15">
        <f>IF(OR(W155="",V155=""),"",IF(V155&lt;=0,"",IFERROR(W155/V155-1,"")))</f>
        <v/>
      </c>
      <c r="X156" s="15">
        <f>IF(OR(X155="",W155=""),"",IF(W155&lt;=0,"",IFERROR(X155/W155-1,"")))</f>
        <v/>
      </c>
    </row>
    <row r="157">
      <c r="A157" s="18" t="inlineStr">
        <is>
          <t>부문 · 부문 이익(손실)</t>
        </is>
      </c>
      <c r="C157" s="20" t="n">
        <v>325.178</v>
      </c>
      <c r="D157" s="20" t="n">
        <v>162.539</v>
      </c>
      <c r="E157" s="20" t="n">
        <v>517.241</v>
      </c>
      <c r="F157" s="20" t="n">
        <v>-169.685</v>
      </c>
      <c r="G157" s="20" t="n">
        <v>155.728</v>
      </c>
      <c r="H157" s="20" t="n">
        <v>449.899</v>
      </c>
      <c r="I157" s="20" t="n">
        <v>419.768</v>
      </c>
      <c r="J157" s="20" t="n">
        <v>122.561</v>
      </c>
      <c r="K157" s="20" t="n">
        <v>266.783</v>
      </c>
      <c r="L157" s="20" t="n">
        <v>379.914</v>
      </c>
      <c r="M157" s="20" t="n">
        <v>598.6180000000001</v>
      </c>
      <c r="N157" s="20" t="n">
        <v>-213.529</v>
      </c>
      <c r="V157" s="20" t="n">
        <v>517.241</v>
      </c>
      <c r="W157" s="20" t="n">
        <v>419.768</v>
      </c>
      <c r="X157" s="20" t="n">
        <v>598.6180000000001</v>
      </c>
    </row>
    <row r="158">
      <c r="A158" s="43" t="inlineStr">
        <is>
          <t>OPM</t>
        </is>
      </c>
      <c r="B158" s="3" t="inlineStr">
        <is>
          <t>영업이익 ÷ 매출</t>
        </is>
      </c>
      <c r="C158" s="15">
        <f>IF(OR(C157="",C151=""),"",IF(C151&lt;=0,"",IFERROR(C157/C151,"")))</f>
        <v/>
      </c>
      <c r="D158" s="15">
        <f>IF(OR(D157="",D151=""),"",IF(D151&lt;=0,"",IFERROR(D157/D151,"")))</f>
        <v/>
      </c>
      <c r="E158" s="15">
        <f>IF(OR(E157="",E151=""),"",IF(E151&lt;=0,"",IFERROR(E157/E151,"")))</f>
        <v/>
      </c>
      <c r="F158" s="15">
        <f>IF(OR(F157="",F151=""),"",IF(F151&lt;=0,"",IFERROR(F157/F151,"")))</f>
        <v/>
      </c>
      <c r="G158" s="15">
        <f>IF(OR(G157="",G151=""),"",IF(G151&lt;=0,"",IFERROR(G157/G151,"")))</f>
        <v/>
      </c>
      <c r="H158" s="15">
        <f>IF(OR(H157="",H151=""),"",IF(H151&lt;=0,"",IFERROR(H157/H151,"")))</f>
        <v/>
      </c>
      <c r="I158" s="15">
        <f>IF(OR(I157="",I151=""),"",IF(I151&lt;=0,"",IFERROR(I157/I151,"")))</f>
        <v/>
      </c>
      <c r="J158" s="15">
        <f>IF(OR(J157="",J151=""),"",IF(J151&lt;=0,"",IFERROR(J157/J151,"")))</f>
        <v/>
      </c>
      <c r="K158" s="15">
        <f>IF(OR(K157="",K151=""),"",IF(K151&lt;=0,"",IFERROR(K157/K151,"")))</f>
        <v/>
      </c>
      <c r="L158" s="15">
        <f>IF(OR(L157="",L151=""),"",IF(L151&lt;=0,"",IFERROR(L157/L151,"")))</f>
        <v/>
      </c>
      <c r="M158" s="15">
        <f>IF(OR(M157="",M151=""),"",IF(M151&lt;=0,"",IFERROR(M157/M151,"")))</f>
        <v/>
      </c>
      <c r="N158" s="15">
        <f>IF(OR(N157="",N151=""),"",IF(N151&lt;=0,"",IFERROR(N157/N151,"")))</f>
        <v/>
      </c>
      <c r="V158" s="15">
        <f>IF(OR(V157="",V151=""),"",IF(V151&lt;=0,"",IFERROR(V157/V151,"")))</f>
        <v/>
      </c>
      <c r="W158" s="15">
        <f>IF(OR(W157="",W151=""),"",IF(W151&lt;=0,"",IFERROR(W157/W151,"")))</f>
        <v/>
      </c>
      <c r="X158" s="15">
        <f>IF(OR(X157="",X151=""),"",IF(X151&lt;=0,"",IFERROR(X157/X151,"")))</f>
        <v/>
      </c>
    </row>
    <row r="159">
      <c r="A159" s="43" t="inlineStr">
        <is>
          <t>YoY</t>
        </is>
      </c>
      <c r="B159" s="3" t="inlineStr">
        <is>
          <t>전년 같은 분기·전년 대비</t>
        </is>
      </c>
      <c r="G159" s="15">
        <f>IF(OR(G157="",C157=""),"",IF(C157&lt;=0,"",IFERROR(G157/C157-1,"")))</f>
        <v/>
      </c>
      <c r="H159" s="15">
        <f>IF(OR(H157="",D157=""),"",IF(D157&lt;=0,"",IFERROR(H157/D157-1,"")))</f>
        <v/>
      </c>
      <c r="I159" s="15">
        <f>IF(OR(I157="",E157=""),"",IF(E157&lt;=0,"",IFERROR(I157/E157-1,"")))</f>
        <v/>
      </c>
      <c r="J159" s="15">
        <f>IF(OR(J157="",F157=""),"",IF(F157&lt;=0,"",IFERROR(J157/F157-1,"")))</f>
        <v/>
      </c>
      <c r="K159" s="15">
        <f>IF(OR(K157="",G157=""),"",IF(G157&lt;=0,"",IFERROR(K157/G157-1,"")))</f>
        <v/>
      </c>
      <c r="L159" s="15">
        <f>IF(OR(L157="",H157=""),"",IF(H157&lt;=0,"",IFERROR(L157/H157-1,"")))</f>
        <v/>
      </c>
      <c r="M159" s="15">
        <f>IF(OR(M157="",I157=""),"",IF(I157&lt;=0,"",IFERROR(M157/I157-1,"")))</f>
        <v/>
      </c>
      <c r="N159" s="15">
        <f>IF(OR(N157="",J157=""),"",IF(J157&lt;=0,"",IFERROR(N157/J157-1,"")))</f>
        <v/>
      </c>
      <c r="V159" s="15">
        <f>IF(OR(V157="",U157=""),"",IF(U157&lt;=0,"",IFERROR(V157/U157-1,"")))</f>
        <v/>
      </c>
      <c r="W159" s="15">
        <f>IF(OR(W157="",V157=""),"",IF(V157&lt;=0,"",IFERROR(W157/V157-1,"")))</f>
        <v/>
      </c>
      <c r="X159" s="15">
        <f>IF(OR(X157="",W157=""),"",IF(W157&lt;=0,"",IFERROR(X157/W157-1,"")))</f>
        <v/>
      </c>
    </row>
    <row r="160">
      <c r="A160" s="18" t="inlineStr">
        <is>
          <t>부문 · 부문 이익(손실)</t>
        </is>
      </c>
      <c r="C160" s="20" t="n">
        <v>16.815</v>
      </c>
      <c r="D160" s="20" t="n">
        <v>183.32</v>
      </c>
      <c r="E160" s="20" t="n">
        <v>488.302</v>
      </c>
      <c r="F160" s="20" t="n">
        <v>-97.197</v>
      </c>
      <c r="G160" s="20" t="n">
        <v>85.16200000000001</v>
      </c>
      <c r="H160" s="20" t="n">
        <v>172.607</v>
      </c>
      <c r="I160" s="20" t="n">
        <v>439.644</v>
      </c>
      <c r="J160" s="20" t="n">
        <v>-108.867</v>
      </c>
      <c r="K160" s="20" t="n">
        <v>-57.445</v>
      </c>
      <c r="L160" s="20" t="n">
        <v>147.648</v>
      </c>
      <c r="M160" s="20" t="n">
        <v>411.147</v>
      </c>
      <c r="N160" s="20" t="n">
        <v>-0.204</v>
      </c>
      <c r="V160" s="20" t="n">
        <v>488.302</v>
      </c>
      <c r="W160" s="20" t="n">
        <v>439.644</v>
      </c>
      <c r="X160" s="20" t="n">
        <v>411.147</v>
      </c>
    </row>
    <row r="161">
      <c r="A161" s="43" t="inlineStr">
        <is>
          <t>OPM</t>
        </is>
      </c>
      <c r="B161" s="3" t="inlineStr">
        <is>
          <t>영업이익 ÷ 매출</t>
        </is>
      </c>
      <c r="C161" s="15">
        <f>IF(OR(C160="",C153=""),"",IF(C153&lt;=0,"",IFERROR(C160/C153,"")))</f>
        <v/>
      </c>
      <c r="D161" s="15">
        <f>IF(OR(D160="",D153=""),"",IF(D153&lt;=0,"",IFERROR(D160/D153,"")))</f>
        <v/>
      </c>
      <c r="E161" s="15">
        <f>IF(OR(E160="",E153=""),"",IF(E153&lt;=0,"",IFERROR(E160/E153,"")))</f>
        <v/>
      </c>
      <c r="F161" s="15">
        <f>IF(OR(F160="",F153=""),"",IF(F153&lt;=0,"",IFERROR(F160/F153,"")))</f>
        <v/>
      </c>
      <c r="G161" s="15">
        <f>IF(OR(G160="",G153=""),"",IF(G153&lt;=0,"",IFERROR(G160/G153,"")))</f>
        <v/>
      </c>
      <c r="H161" s="15">
        <f>IF(OR(H160="",H153=""),"",IF(H153&lt;=0,"",IFERROR(H160/H153,"")))</f>
        <v/>
      </c>
      <c r="I161" s="15">
        <f>IF(OR(I160="",I153=""),"",IF(I153&lt;=0,"",IFERROR(I160/I153,"")))</f>
        <v/>
      </c>
      <c r="J161" s="15">
        <f>IF(OR(J160="",J153=""),"",IF(J153&lt;=0,"",IFERROR(J160/J153,"")))</f>
        <v/>
      </c>
      <c r="K161" s="15">
        <f>IF(OR(K160="",K153=""),"",IF(K153&lt;=0,"",IFERROR(K160/K153,"")))</f>
        <v/>
      </c>
      <c r="L161" s="15">
        <f>IF(OR(L160="",L153=""),"",IF(L153&lt;=0,"",IFERROR(L160/L153,"")))</f>
        <v/>
      </c>
      <c r="M161" s="15">
        <f>IF(OR(M160="",M153=""),"",IF(M153&lt;=0,"",IFERROR(M160/M153,"")))</f>
        <v/>
      </c>
      <c r="N161" s="15">
        <f>IF(OR(N160="",N153=""),"",IF(N153&lt;=0,"",IFERROR(N160/N153,"")))</f>
        <v/>
      </c>
      <c r="V161" s="15">
        <f>IF(OR(V160="",V153=""),"",IF(V153&lt;=0,"",IFERROR(V160/V153,"")))</f>
        <v/>
      </c>
      <c r="W161" s="15">
        <f>IF(OR(W160="",W153=""),"",IF(W153&lt;=0,"",IFERROR(W160/W153,"")))</f>
        <v/>
      </c>
      <c r="X161" s="15">
        <f>IF(OR(X160="",X153=""),"",IF(X153&lt;=0,"",IFERROR(X160/X153,"")))</f>
        <v/>
      </c>
    </row>
    <row r="162">
      <c r="A162" s="43" t="inlineStr">
        <is>
          <t>YoY</t>
        </is>
      </c>
      <c r="B162" s="3" t="inlineStr">
        <is>
          <t>전년 같은 분기·전년 대비</t>
        </is>
      </c>
      <c r="G162" s="15">
        <f>IF(OR(G160="",C160=""),"",IF(C160&lt;=0,"",IFERROR(G160/C160-1,"")))</f>
        <v/>
      </c>
      <c r="H162" s="15">
        <f>IF(OR(H160="",D160=""),"",IF(D160&lt;=0,"",IFERROR(H160/D160-1,"")))</f>
        <v/>
      </c>
      <c r="I162" s="15">
        <f>IF(OR(I160="",E160=""),"",IF(E160&lt;=0,"",IFERROR(I160/E160-1,"")))</f>
        <v/>
      </c>
      <c r="J162" s="15">
        <f>IF(OR(J160="",F160=""),"",IF(F160&lt;=0,"",IFERROR(J160/F160-1,"")))</f>
        <v/>
      </c>
      <c r="K162" s="15">
        <f>IF(OR(K160="",G160=""),"",IF(G160&lt;=0,"",IFERROR(K160/G160-1,"")))</f>
        <v/>
      </c>
      <c r="L162" s="15">
        <f>IF(OR(L160="",H160=""),"",IF(H160&lt;=0,"",IFERROR(L160/H160-1,"")))</f>
        <v/>
      </c>
      <c r="M162" s="15">
        <f>IF(OR(M160="",I160=""),"",IF(I160&lt;=0,"",IFERROR(M160/I160-1,"")))</f>
        <v/>
      </c>
      <c r="N162" s="15">
        <f>IF(OR(N160="",J160=""),"",IF(J160&lt;=0,"",IFERROR(N160/J160-1,"")))</f>
        <v/>
      </c>
      <c r="V162" s="15">
        <f>IF(OR(V160="",U160=""),"",IF(U160&lt;=0,"",IFERROR(V160/U160-1,"")))</f>
        <v/>
      </c>
      <c r="W162" s="15">
        <f>IF(OR(W160="",V160=""),"",IF(V160&lt;=0,"",IFERROR(W160/V160-1,"")))</f>
        <v/>
      </c>
      <c r="X162" s="15">
        <f>IF(OR(X160="",W160=""),"",IF(W160&lt;=0,"",IFERROR(X160/W160-1,"")))</f>
        <v/>
      </c>
    </row>
    <row r="163">
      <c r="A163" s="18" t="inlineStr">
        <is>
          <t>합계 · 부문 이익(손실)</t>
        </is>
      </c>
      <c r="C163" s="20" t="n">
        <v>341.992</v>
      </c>
      <c r="D163" s="20" t="n">
        <v>345.86</v>
      </c>
      <c r="E163" s="20" t="n">
        <v>1005.543</v>
      </c>
      <c r="F163" s="20" t="n">
        <v>-266.883</v>
      </c>
      <c r="G163" s="20" t="n">
        <v>240.89</v>
      </c>
      <c r="H163" s="20" t="n">
        <v>622.508</v>
      </c>
      <c r="I163" s="20" t="n">
        <v>859.4109999999999</v>
      </c>
      <c r="J163" s="20" t="n">
        <v>13.694</v>
      </c>
      <c r="K163" s="20" t="n">
        <v>209.337</v>
      </c>
      <c r="L163" s="20" t="n">
        <v>527.563</v>
      </c>
      <c r="M163" s="20" t="n">
        <v>1009.765</v>
      </c>
      <c r="N163" s="20" t="n">
        <v>-213.733</v>
      </c>
      <c r="V163" s="20" t="n">
        <v>1005.543</v>
      </c>
      <c r="W163" s="20" t="n">
        <v>859.4109999999999</v>
      </c>
      <c r="X163" s="20" t="n">
        <v>1009.765</v>
      </c>
    </row>
    <row r="164">
      <c r="A164" s="43" t="inlineStr">
        <is>
          <t>OPM</t>
        </is>
      </c>
      <c r="B164" s="3" t="inlineStr">
        <is>
          <t>영업이익 ÷ 매출</t>
        </is>
      </c>
      <c r="C164" s="15">
        <f>IF(OR(C163="",C155=""),"",IF(C155&lt;=0,"",IFERROR(C163/C155,"")))</f>
        <v/>
      </c>
      <c r="D164" s="15">
        <f>IF(OR(D163="",D155=""),"",IF(D155&lt;=0,"",IFERROR(D163/D155,"")))</f>
        <v/>
      </c>
      <c r="E164" s="15">
        <f>IF(OR(E163="",E155=""),"",IF(E155&lt;=0,"",IFERROR(E163/E155,"")))</f>
        <v/>
      </c>
      <c r="F164" s="15">
        <f>IF(OR(F163="",F155=""),"",IF(F155&lt;=0,"",IFERROR(F163/F155,"")))</f>
        <v/>
      </c>
      <c r="G164" s="15">
        <f>IF(OR(G163="",G155=""),"",IF(G155&lt;=0,"",IFERROR(G163/G155,"")))</f>
        <v/>
      </c>
      <c r="H164" s="15">
        <f>IF(OR(H163="",H155=""),"",IF(H155&lt;=0,"",IFERROR(H163/H155,"")))</f>
        <v/>
      </c>
      <c r="I164" s="15">
        <f>IF(OR(I163="",I155=""),"",IF(I155&lt;=0,"",IFERROR(I163/I155,"")))</f>
        <v/>
      </c>
      <c r="J164" s="15">
        <f>IF(OR(J163="",J155=""),"",IF(J155&lt;=0,"",IFERROR(J163/J155,"")))</f>
        <v/>
      </c>
      <c r="K164" s="15">
        <f>IF(OR(K163="",K155=""),"",IF(K155&lt;=0,"",IFERROR(K163/K155,"")))</f>
        <v/>
      </c>
      <c r="L164" s="15">
        <f>IF(OR(L163="",L155=""),"",IF(L155&lt;=0,"",IFERROR(L163/L155,"")))</f>
        <v/>
      </c>
      <c r="M164" s="15">
        <f>IF(OR(M163="",M155=""),"",IF(M155&lt;=0,"",IFERROR(M163/M155,"")))</f>
        <v/>
      </c>
      <c r="N164" s="15">
        <f>IF(OR(N163="",N155=""),"",IF(N155&lt;=0,"",IFERROR(N163/N155,"")))</f>
        <v/>
      </c>
      <c r="V164" s="15">
        <f>IF(OR(V163="",V155=""),"",IF(V155&lt;=0,"",IFERROR(V163/V155,"")))</f>
        <v/>
      </c>
      <c r="W164" s="15">
        <f>IF(OR(W163="",W155=""),"",IF(W155&lt;=0,"",IFERROR(W163/W155,"")))</f>
        <v/>
      </c>
      <c r="X164" s="15">
        <f>IF(OR(X163="",X155=""),"",IF(X155&lt;=0,"",IFERROR(X163/X155,"")))</f>
        <v/>
      </c>
    </row>
    <row r="165">
      <c r="A165" s="43" t="inlineStr">
        <is>
          <t>YoY</t>
        </is>
      </c>
      <c r="B165" s="3" t="inlineStr">
        <is>
          <t>전년 같은 분기·전년 대비</t>
        </is>
      </c>
      <c r="G165" s="15">
        <f>IF(OR(G163="",C163=""),"",IF(C163&lt;=0,"",IFERROR(G163/C163-1,"")))</f>
        <v/>
      </c>
      <c r="H165" s="15">
        <f>IF(OR(H163="",D163=""),"",IF(D163&lt;=0,"",IFERROR(H163/D163-1,"")))</f>
        <v/>
      </c>
      <c r="I165" s="15">
        <f>IF(OR(I163="",E163=""),"",IF(E163&lt;=0,"",IFERROR(I163/E163-1,"")))</f>
        <v/>
      </c>
      <c r="J165" s="15">
        <f>IF(OR(J163="",F163=""),"",IF(F163&lt;=0,"",IFERROR(J163/F163-1,"")))</f>
        <v/>
      </c>
      <c r="K165" s="15">
        <f>IF(OR(K163="",G163=""),"",IF(G163&lt;=0,"",IFERROR(K163/G163-1,"")))</f>
        <v/>
      </c>
      <c r="L165" s="15">
        <f>IF(OR(L163="",H163=""),"",IF(H163&lt;=0,"",IFERROR(L163/H163-1,"")))</f>
        <v/>
      </c>
      <c r="M165" s="15">
        <f>IF(OR(M163="",I163=""),"",IF(I163&lt;=0,"",IFERROR(M163/I163-1,"")))</f>
        <v/>
      </c>
      <c r="N165" s="15">
        <f>IF(OR(N163="",J163=""),"",IF(J163&lt;=0,"",IFERROR(N163/J163-1,"")))</f>
        <v/>
      </c>
      <c r="V165" s="15">
        <f>IF(OR(V163="",U163=""),"",IF(U163&lt;=0,"",IFERROR(V163/U163-1,"")))</f>
        <v/>
      </c>
      <c r="W165" s="15">
        <f>IF(OR(W163="",V163=""),"",IF(V163&lt;=0,"",IFERROR(W163/V163-1,"")))</f>
        <v/>
      </c>
      <c r="X165" s="15">
        <f>IF(OR(X163="",W163=""),"",IF(W163&lt;=0,"",IFERROR(X163/W163-1,"")))</f>
        <v/>
      </c>
    </row>
    <row r="167">
      <c r="A167" s="16" t="inlineStr">
        <is>
          <t>현금흐름표 · 전 항목</t>
        </is>
      </c>
      <c r="B167" s="42" t="inlineStr">
        <is>
          <t>분기 = 결산기 첫날부터 누계(공시 그대로)</t>
        </is>
      </c>
      <c r="C167" s="16" t="n"/>
      <c r="D167" s="16" t="n"/>
      <c r="E167" s="16" t="n"/>
      <c r="F167" s="16" t="n"/>
      <c r="G167" s="16" t="n"/>
      <c r="H167" s="16" t="n"/>
      <c r="I167" s="16" t="n"/>
      <c r="J167" s="16" t="n"/>
      <c r="K167" s="16" t="n"/>
      <c r="L167" s="16" t="n"/>
      <c r="M167" s="16" t="n"/>
      <c r="N167" s="16" t="n"/>
      <c r="O167" s="16" t="n"/>
      <c r="P167" s="16" t="n"/>
      <c r="Q167" s="16" t="n"/>
      <c r="R167" s="16" t="n"/>
      <c r="S167" s="16" t="n"/>
      <c r="T167" s="16" t="n"/>
      <c r="U167" s="16" t="n"/>
      <c r="V167" s="16" t="n"/>
      <c r="W167" s="16" t="n"/>
      <c r="X167" s="16" t="n"/>
      <c r="Y167" s="16" t="n"/>
      <c r="Z167" s="16" t="n"/>
      <c r="AA167" s="16" t="n"/>
      <c r="AB167" s="16" t="n"/>
      <c r="AC167" s="16" t="n"/>
    </row>
    <row r="168">
      <c r="A168" s="5" t="inlineStr">
        <is>
          <t>항목</t>
        </is>
      </c>
      <c r="B168" s="5" t="inlineStr">
        <is>
          <t>참고</t>
        </is>
      </c>
      <c r="C168" s="5" t="inlineStr">
        <is>
          <t>2024.2Q</t>
        </is>
      </c>
      <c r="D168" s="5" t="inlineStr">
        <is>
          <t>2024.3Q</t>
        </is>
      </c>
      <c r="E168" s="5" t="inlineStr">
        <is>
          <t>2024.4Q</t>
        </is>
      </c>
      <c r="F168" s="5" t="inlineStr">
        <is>
          <t>2025.1Q</t>
        </is>
      </c>
      <c r="G168" s="5" t="inlineStr">
        <is>
          <t>2025.2Q</t>
        </is>
      </c>
      <c r="H168" s="5" t="inlineStr">
        <is>
          <t>2025.3Q</t>
        </is>
      </c>
      <c r="I168" s="5" t="inlineStr">
        <is>
          <t>2025.4Q</t>
        </is>
      </c>
      <c r="J168" s="5" t="inlineStr">
        <is>
          <t>2026.1Q</t>
        </is>
      </c>
      <c r="K168" s="5" t="inlineStr">
        <is>
          <t>2026.2Q</t>
        </is>
      </c>
      <c r="L168" s="5" t="inlineStr">
        <is>
          <t>2026.3Q</t>
        </is>
      </c>
      <c r="M168" s="5" t="inlineStr">
        <is>
          <t>2026.4Q</t>
        </is>
      </c>
      <c r="N168" s="5" t="inlineStr">
        <is>
          <t>2027.1Q</t>
        </is>
      </c>
      <c r="O168" s="5" t="inlineStr">
        <is>
          <t>2017</t>
        </is>
      </c>
      <c r="P168" s="5" t="inlineStr">
        <is>
          <t>2018</t>
        </is>
      </c>
      <c r="Q168" s="5" t="inlineStr">
        <is>
          <t>2019</t>
        </is>
      </c>
      <c r="R168" s="5" t="inlineStr">
        <is>
          <t>2020</t>
        </is>
      </c>
      <c r="S168" s="5" t="inlineStr">
        <is>
          <t>2021</t>
        </is>
      </c>
      <c r="T168" s="5" t="inlineStr">
        <is>
          <t>2022</t>
        </is>
      </c>
      <c r="U168" s="5" t="inlineStr">
        <is>
          <t>2023</t>
        </is>
      </c>
      <c r="V168" s="5" t="inlineStr">
        <is>
          <t>2024</t>
        </is>
      </c>
      <c r="W168" s="5" t="inlineStr">
        <is>
          <t>2025</t>
        </is>
      </c>
      <c r="X168" s="5" t="inlineStr">
        <is>
          <t>2026</t>
        </is>
      </c>
      <c r="Y168" s="5" t="inlineStr">
        <is>
          <t>2027(MW)</t>
        </is>
      </c>
      <c r="Z168" s="5" t="inlineStr">
        <is>
          <t>2028(MW)</t>
        </is>
      </c>
      <c r="AA168" s="5" t="inlineStr">
        <is>
          <t>2029(MW)</t>
        </is>
      </c>
      <c r="AB168" s="5" t="inlineStr">
        <is>
          <t>2030(MW)</t>
        </is>
      </c>
      <c r="AC168" s="5" t="inlineStr">
        <is>
          <t>2031(MW)</t>
        </is>
      </c>
    </row>
    <row r="169">
      <c r="A169" s="9" t="inlineStr">
        <is>
          <t>법인세차감전 순이익</t>
        </is>
      </c>
      <c r="C169" s="12" t="n">
        <v>-458.391</v>
      </c>
      <c r="E169" s="12" t="n">
        <v>800.583</v>
      </c>
      <c r="G169" s="12" t="n">
        <v>-23.295</v>
      </c>
      <c r="I169" s="12" t="n">
        <v>1429.563</v>
      </c>
      <c r="K169" s="12" t="n">
        <v>195.146</v>
      </c>
      <c r="M169" s="12" t="n">
        <v>1619.517</v>
      </c>
      <c r="O169" s="12" t="n">
        <v>250.293</v>
      </c>
      <c r="P169" s="12" t="n">
        <v>12.887</v>
      </c>
      <c r="Q169" s="12" t="n">
        <v>-1538.626</v>
      </c>
      <c r="R169" s="12" t="n">
        <v>620.405</v>
      </c>
      <c r="S169" s="12" t="n">
        <v>375.869</v>
      </c>
      <c r="T169" s="12" t="n">
        <v>-828.76</v>
      </c>
      <c r="U169" s="12" t="n">
        <v>-412.836</v>
      </c>
      <c r="V169" s="12" t="n">
        <v>800.583</v>
      </c>
      <c r="W169" s="12" t="n">
        <v>1429.563</v>
      </c>
      <c r="X169" s="12" t="n">
        <v>1619.517</v>
      </c>
    </row>
    <row r="170">
      <c r="A170" s="18" t="inlineStr">
        <is>
          <t>감가상각비</t>
        </is>
      </c>
      <c r="C170" s="20" t="n">
        <v>178.737</v>
      </c>
      <c r="E170" s="20" t="n">
        <v>392.405</v>
      </c>
      <c r="G170" s="20" t="n">
        <v>224.573</v>
      </c>
      <c r="I170" s="20" t="n">
        <v>538.272</v>
      </c>
      <c r="K170" s="20" t="n">
        <v>335.523</v>
      </c>
      <c r="M170" s="20" t="n">
        <v>730.849</v>
      </c>
      <c r="O170" s="20" t="n">
        <v>477.183</v>
      </c>
      <c r="P170" s="20" t="n">
        <v>466.02</v>
      </c>
      <c r="Q170" s="20" t="n">
        <v>473.287</v>
      </c>
      <c r="R170" s="20" t="n">
        <v>434.37</v>
      </c>
      <c r="S170" s="20" t="n">
        <v>408.594</v>
      </c>
      <c r="T170" s="20" t="n">
        <v>394.638</v>
      </c>
      <c r="U170" s="20" t="n">
        <v>413.446</v>
      </c>
      <c r="V170" s="20" t="n">
        <v>392.405</v>
      </c>
      <c r="W170" s="20" t="n">
        <v>538.272</v>
      </c>
      <c r="X170" s="20" t="n">
        <v>730.849</v>
      </c>
    </row>
    <row r="171">
      <c r="A171" s="18" t="inlineStr">
        <is>
          <t>손상차손</t>
        </is>
      </c>
      <c r="G171" s="20" t="n">
        <v>0</v>
      </c>
      <c r="I171" s="20" t="n">
        <v>0</v>
      </c>
      <c r="K171" s="20" t="n">
        <v>8.304</v>
      </c>
      <c r="M171" s="20" t="n">
        <v>8.304</v>
      </c>
      <c r="O171" s="20" t="n">
        <v>18.938</v>
      </c>
      <c r="P171" s="20" t="n">
        <v>0</v>
      </c>
      <c r="S171" s="20" t="n">
        <v>0</v>
      </c>
      <c r="T171" s="20" t="n">
        <v>33.789</v>
      </c>
      <c r="U171" s="20" t="n">
        <v>0</v>
      </c>
      <c r="W171" s="20" t="n">
        <v>0</v>
      </c>
      <c r="X171" s="20" t="n">
        <v>8.304</v>
      </c>
    </row>
    <row r="172">
      <c r="A172" s="18" t="inlineStr">
        <is>
          <t>주식보상비용</t>
        </is>
      </c>
      <c r="C172" s="20" t="n">
        <v>1.348</v>
      </c>
      <c r="E172" s="20" t="n">
        <v>2.758</v>
      </c>
      <c r="G172" s="20" t="n">
        <v>6.203</v>
      </c>
      <c r="I172" s="20" t="n">
        <v>17.201</v>
      </c>
      <c r="K172" s="20" t="n">
        <v>11.227</v>
      </c>
      <c r="M172" s="20" t="n">
        <v>27.403</v>
      </c>
      <c r="P172" s="20" t="n">
        <v>0</v>
      </c>
      <c r="Q172" s="20" t="n">
        <v>11.529</v>
      </c>
      <c r="R172" s="20" t="n">
        <v>7.234</v>
      </c>
      <c r="S172" s="20" t="n">
        <v>12.282</v>
      </c>
      <c r="T172" s="20" t="n">
        <v>12.175</v>
      </c>
      <c r="U172" s="20" t="n">
        <v>5.071</v>
      </c>
      <c r="V172" s="20" t="n">
        <v>2.758</v>
      </c>
      <c r="W172" s="20" t="n">
        <v>17.201</v>
      </c>
      <c r="X172" s="20" t="n">
        <v>27.403</v>
      </c>
    </row>
    <row r="173">
      <c r="A173" s="18" t="inlineStr">
        <is>
          <t>대손충당금 증감</t>
        </is>
      </c>
      <c r="C173" s="20" t="n">
        <v>-1.379</v>
      </c>
      <c r="E173" s="20" t="n">
        <v>1.113</v>
      </c>
      <c r="G173" s="20" t="n">
        <v>-2.196</v>
      </c>
      <c r="I173" s="20" t="n">
        <v>0.153</v>
      </c>
      <c r="K173" s="20" t="n">
        <v>-2.941</v>
      </c>
      <c r="M173" s="20" t="n">
        <v>-0.6820000000000001</v>
      </c>
      <c r="O173" s="20" t="n">
        <v>-2.045</v>
      </c>
      <c r="P173" s="20" t="n">
        <v>-5.316</v>
      </c>
      <c r="Q173" s="20" t="n">
        <v>-1.397</v>
      </c>
      <c r="R173" s="20" t="n">
        <v>0.694</v>
      </c>
      <c r="S173" s="20" t="n">
        <v>-1.974</v>
      </c>
      <c r="T173" s="20" t="n">
        <v>-1.059</v>
      </c>
      <c r="U173" s="20" t="n">
        <v>-0.259</v>
      </c>
      <c r="V173" s="20" t="n">
        <v>1.113</v>
      </c>
      <c r="W173" s="20" t="n">
        <v>0.153</v>
      </c>
      <c r="X173" s="20" t="n">
        <v>-0.6820000000000001</v>
      </c>
    </row>
    <row r="174">
      <c r="A174" s="18" t="inlineStr">
        <is>
          <t>상여충당금 증감</t>
        </is>
      </c>
      <c r="C174" s="20" t="n">
        <v>-42.073</v>
      </c>
      <c r="E174" s="20" t="n">
        <v>207.738</v>
      </c>
      <c r="G174" s="20" t="n">
        <v>0.579</v>
      </c>
      <c r="I174" s="20" t="n">
        <v>427.867</v>
      </c>
      <c r="K174" s="20" t="n">
        <v>-404.723</v>
      </c>
      <c r="M174" s="20" t="n">
        <v>126.575</v>
      </c>
      <c r="O174" s="20" t="n">
        <v>-174.482</v>
      </c>
      <c r="P174" s="20" t="n">
        <v>19.191</v>
      </c>
      <c r="Q174" s="20" t="n">
        <v>3.151</v>
      </c>
      <c r="R174" s="20" t="n">
        <v>95.504</v>
      </c>
      <c r="S174" s="20" t="n">
        <v>-1.144</v>
      </c>
      <c r="T174" s="20" t="n">
        <v>-48.854</v>
      </c>
      <c r="U174" s="20" t="n">
        <v>-221.045</v>
      </c>
      <c r="V174" s="20" t="n">
        <v>207.738</v>
      </c>
      <c r="W174" s="20" t="n">
        <v>427.867</v>
      </c>
      <c r="X174" s="20" t="n">
        <v>126.575</v>
      </c>
    </row>
    <row r="175">
      <c r="A175" s="18" t="inlineStr">
        <is>
          <t>임원 상여충당금 증감</t>
        </is>
      </c>
      <c r="C175" s="20" t="n">
        <v>-10.38</v>
      </c>
      <c r="E175" s="20" t="n">
        <v>3.431</v>
      </c>
      <c r="G175" s="20" t="n">
        <v>-13.811</v>
      </c>
      <c r="I175" s="20" t="n">
        <v>6.637</v>
      </c>
      <c r="K175" s="20" t="n">
        <v>-13.658</v>
      </c>
      <c r="M175" s="20" t="n">
        <v>13.095</v>
      </c>
      <c r="O175" s="20" t="n">
        <v>6.771</v>
      </c>
      <c r="P175" s="20" t="n">
        <v>-14.375</v>
      </c>
      <c r="Q175" s="20" t="n">
        <v>-4</v>
      </c>
      <c r="R175" s="20" t="n">
        <v>12.14</v>
      </c>
      <c r="S175" s="20" t="n">
        <v>-9.779999999999999</v>
      </c>
      <c r="T175" s="20" t="n">
        <v>2.44</v>
      </c>
      <c r="U175" s="20" t="n">
        <v>2.58</v>
      </c>
      <c r="V175" s="20" t="n">
        <v>3.431</v>
      </c>
      <c r="W175" s="20" t="n">
        <v>6.637</v>
      </c>
      <c r="X175" s="20" t="n">
        <v>13.095</v>
      </c>
    </row>
    <row r="176">
      <c r="A176" s="18" t="inlineStr">
        <is>
          <t>임원 퇴직위로 충당금 증감</t>
        </is>
      </c>
      <c r="C176" s="20" t="n">
        <v>-0.991</v>
      </c>
      <c r="E176" s="20" t="n">
        <v>3.649</v>
      </c>
      <c r="G176" s="20" t="n">
        <v>5.181</v>
      </c>
      <c r="I176" s="20" t="n">
        <v>10.412</v>
      </c>
      <c r="K176" s="20" t="n">
        <v>-18.35</v>
      </c>
      <c r="M176" s="20" t="n">
        <v>-12.997</v>
      </c>
      <c r="O176" s="20" t="n">
        <v>16.32</v>
      </c>
      <c r="P176" s="20" t="n">
        <v>3.794</v>
      </c>
      <c r="Q176" s="20" t="n">
        <v>-12.721</v>
      </c>
      <c r="R176" s="20" t="n">
        <v>-1.931</v>
      </c>
      <c r="S176" s="20" t="n">
        <v>-13.937</v>
      </c>
      <c r="T176" s="20" t="n">
        <v>1.717</v>
      </c>
      <c r="U176" s="20" t="n">
        <v>10.83</v>
      </c>
      <c r="V176" s="20" t="n">
        <v>3.649</v>
      </c>
      <c r="W176" s="20" t="n">
        <v>10.412</v>
      </c>
      <c r="X176" s="20" t="n">
        <v>-12.997</v>
      </c>
    </row>
    <row r="177">
      <c r="A177" s="18" t="inlineStr">
        <is>
          <t>Increase Decrease In Provision For Loss On Construction Contracts Ope CF</t>
        </is>
      </c>
      <c r="C177" s="20" t="n">
        <v>12.107</v>
      </c>
      <c r="E177" s="20" t="n">
        <v>-59.565</v>
      </c>
      <c r="G177" s="20" t="n">
        <v>-21.241</v>
      </c>
      <c r="I177" s="20" t="n">
        <v>43.146</v>
      </c>
      <c r="K177" s="20" t="n">
        <v>-54.979</v>
      </c>
      <c r="M177" s="20" t="n">
        <v>148.443</v>
      </c>
      <c r="O177" s="20" t="n">
        <v>-104</v>
      </c>
      <c r="P177" s="20" t="n">
        <v>100</v>
      </c>
      <c r="Q177" s="20" t="n">
        <v>948</v>
      </c>
      <c r="R177" s="20" t="n">
        <v>149.88</v>
      </c>
      <c r="S177" s="20" t="n">
        <v>-1038.402</v>
      </c>
      <c r="T177" s="20" t="n">
        <v>-0.802</v>
      </c>
      <c r="U177" s="20" t="n">
        <v>195.452</v>
      </c>
      <c r="V177" s="20" t="n">
        <v>-59.565</v>
      </c>
      <c r="W177" s="20" t="n">
        <v>43.146</v>
      </c>
      <c r="X177" s="20" t="n">
        <v>148.443</v>
      </c>
    </row>
    <row r="178">
      <c r="A178" s="18" t="inlineStr">
        <is>
          <t>Increase Decrease In Reserve For Loss From Anti Monopoly Act Ope CF</t>
        </is>
      </c>
      <c r="O178" s="20" t="n">
        <v>-311.279</v>
      </c>
      <c r="P178" s="20" t="n">
        <v>201.211</v>
      </c>
      <c r="Q178" s="20" t="n">
        <v>0</v>
      </c>
    </row>
    <row r="179">
      <c r="A179" s="18" t="inlineStr">
        <is>
          <t>퇴직급여부채 증감</t>
        </is>
      </c>
      <c r="C179" s="20" t="n">
        <v>-2.981</v>
      </c>
      <c r="E179" s="20" t="n">
        <v>-48.93</v>
      </c>
      <c r="G179" s="20" t="n">
        <v>-48.265</v>
      </c>
      <c r="I179" s="20" t="n">
        <v>-188.475</v>
      </c>
      <c r="K179" s="20" t="n">
        <v>-0.681</v>
      </c>
      <c r="M179" s="20" t="n">
        <v>-36.58</v>
      </c>
      <c r="O179" s="20" t="n">
        <v>-129.089</v>
      </c>
      <c r="P179" s="20" t="n">
        <v>-85.325</v>
      </c>
      <c r="Q179" s="20" t="n">
        <v>-99.506</v>
      </c>
      <c r="R179" s="20" t="n">
        <v>-64.31999999999999</v>
      </c>
      <c r="S179" s="20" t="n">
        <v>-63.035</v>
      </c>
      <c r="T179" s="20" t="n">
        <v>-156.799</v>
      </c>
      <c r="U179" s="20" t="n">
        <v>-39.915</v>
      </c>
      <c r="V179" s="20" t="n">
        <v>-48.93</v>
      </c>
      <c r="W179" s="20" t="n">
        <v>-188.475</v>
      </c>
      <c r="X179" s="20" t="n">
        <v>-36.58</v>
      </c>
    </row>
    <row r="180">
      <c r="A180" s="18" t="inlineStr">
        <is>
          <t>이자·배당금 수익</t>
        </is>
      </c>
      <c r="C180" s="20" t="n">
        <v>-21.43</v>
      </c>
      <c r="E180" s="20" t="n">
        <v>-26.499</v>
      </c>
      <c r="G180" s="20" t="n">
        <v>-6.892</v>
      </c>
      <c r="I180" s="20" t="n">
        <v>-13.639</v>
      </c>
      <c r="K180" s="20" t="n">
        <v>-9.880000000000001</v>
      </c>
      <c r="M180" s="20" t="n">
        <v>-18.722</v>
      </c>
      <c r="O180" s="20" t="n">
        <v>-15.712</v>
      </c>
      <c r="P180" s="20" t="n">
        <v>-16.768</v>
      </c>
      <c r="Q180" s="20" t="n">
        <v>-18.457</v>
      </c>
      <c r="R180" s="20" t="n">
        <v>-19.568</v>
      </c>
      <c r="S180" s="20" t="n">
        <v>-54.042</v>
      </c>
      <c r="T180" s="20" t="n">
        <v>-18.156</v>
      </c>
      <c r="U180" s="20" t="n">
        <v>-22.816</v>
      </c>
      <c r="V180" s="20" t="n">
        <v>-26.499</v>
      </c>
      <c r="W180" s="20" t="n">
        <v>-13.639</v>
      </c>
      <c r="X180" s="20" t="n">
        <v>-18.722</v>
      </c>
    </row>
    <row r="181">
      <c r="A181" s="18" t="inlineStr">
        <is>
          <t>이자비용</t>
        </is>
      </c>
      <c r="C181" s="20" t="n">
        <v>61.038</v>
      </c>
      <c r="E181" s="20" t="n">
        <v>125.542</v>
      </c>
      <c r="G181" s="20" t="n">
        <v>52.025</v>
      </c>
      <c r="I181" s="20" t="n">
        <v>109.952</v>
      </c>
      <c r="K181" s="20" t="n">
        <v>44.218</v>
      </c>
      <c r="M181" s="20" t="n">
        <v>95.86799999999999</v>
      </c>
      <c r="O181" s="20" t="n">
        <v>2.783</v>
      </c>
      <c r="P181" s="20" t="n">
        <v>2.547</v>
      </c>
      <c r="Q181" s="20" t="n">
        <v>1.802</v>
      </c>
      <c r="R181" s="20" t="n">
        <v>2.669</v>
      </c>
      <c r="S181" s="20" t="n">
        <v>19.586</v>
      </c>
      <c r="T181" s="20" t="n">
        <v>28.557</v>
      </c>
      <c r="U181" s="20" t="n">
        <v>59.278</v>
      </c>
      <c r="V181" s="20" t="n">
        <v>125.542</v>
      </c>
      <c r="W181" s="20" t="n">
        <v>109.952</v>
      </c>
      <c r="X181" s="20" t="n">
        <v>95.86799999999999</v>
      </c>
    </row>
    <row r="182">
      <c r="A182" s="18" t="inlineStr">
        <is>
          <t>회원권 평가손실</t>
        </is>
      </c>
      <c r="R182" s="20" t="n">
        <v>0</v>
      </c>
      <c r="S182" s="20" t="n">
        <v>0.68</v>
      </c>
      <c r="T182" s="20" t="n">
        <v>0</v>
      </c>
    </row>
    <row r="183">
      <c r="A183" s="18" t="inlineStr">
        <is>
          <t>고정자산 매각손익</t>
        </is>
      </c>
      <c r="C183" s="20" t="n">
        <v>0</v>
      </c>
      <c r="E183" s="20" t="n">
        <v>0</v>
      </c>
      <c r="G183" s="20" t="n">
        <v>-0.513</v>
      </c>
      <c r="P183" s="20" t="n">
        <v>-0.265</v>
      </c>
      <c r="Q183" s="20" t="n">
        <v>-105.618</v>
      </c>
      <c r="R183" s="20" t="n">
        <v>-0.053</v>
      </c>
      <c r="S183" s="20" t="n">
        <v>-0.022</v>
      </c>
      <c r="T183" s="20" t="n">
        <v>0</v>
      </c>
      <c r="U183" s="20" t="n">
        <v>-6.265</v>
      </c>
      <c r="V183" s="20" t="n">
        <v>0</v>
      </c>
    </row>
    <row r="184">
      <c r="A184" s="18" t="inlineStr">
        <is>
          <t>투자유가증권 매각손익</t>
        </is>
      </c>
      <c r="C184" s="20" t="n">
        <v>-46.255</v>
      </c>
      <c r="E184" s="20" t="n">
        <v>-47.822</v>
      </c>
      <c r="G184" s="20" t="n">
        <v>0</v>
      </c>
      <c r="I184" s="20" t="n">
        <v>0</v>
      </c>
      <c r="P184" s="20" t="n">
        <v>0</v>
      </c>
      <c r="Q184" s="20" t="n">
        <v>-10.263</v>
      </c>
      <c r="R184" s="20" t="n">
        <v>0</v>
      </c>
      <c r="T184" s="20" t="n">
        <v>0</v>
      </c>
      <c r="U184" s="20" t="n">
        <v>-20.429</v>
      </c>
      <c r="V184" s="20" t="n">
        <v>-47.822</v>
      </c>
      <c r="W184" s="20" t="n">
        <v>0</v>
      </c>
    </row>
    <row r="185">
      <c r="A185" s="18" t="inlineStr">
        <is>
          <t>투자유가증권 평가손익</t>
        </is>
      </c>
      <c r="E185" s="20" t="n">
        <v>87.10299999999999</v>
      </c>
      <c r="I185" s="20" t="n">
        <v>0</v>
      </c>
      <c r="P185" s="20" t="n">
        <v>0</v>
      </c>
      <c r="Q185" s="20" t="n">
        <v>14.999</v>
      </c>
      <c r="R185" s="20" t="n">
        <v>0</v>
      </c>
      <c r="U185" s="20" t="n">
        <v>0</v>
      </c>
      <c r="V185" s="20" t="n">
        <v>87.10299999999999</v>
      </c>
      <c r="W185" s="20" t="n">
        <v>0</v>
      </c>
    </row>
    <row r="186">
      <c r="A186" s="18" t="inlineStr">
        <is>
          <t>고정자산 제각·매각손익</t>
        </is>
      </c>
      <c r="G186" s="20" t="n">
        <v>-0.512</v>
      </c>
      <c r="I186" s="20" t="n">
        <v>-0.901</v>
      </c>
      <c r="K186" s="20" t="n">
        <v>1.019</v>
      </c>
      <c r="M186" s="20" t="n">
        <v>0.886</v>
      </c>
      <c r="W186" s="20" t="n">
        <v>-0.901</v>
      </c>
      <c r="X186" s="20" t="n">
        <v>0.886</v>
      </c>
    </row>
    <row r="187">
      <c r="A187" s="18" t="inlineStr">
        <is>
          <t>매출채권 증감</t>
        </is>
      </c>
      <c r="C187" s="20" t="n">
        <v>2503.334</v>
      </c>
      <c r="E187" s="20" t="n">
        <v>-2676.837</v>
      </c>
      <c r="G187" s="20" t="n">
        <v>5581.833</v>
      </c>
      <c r="I187" s="20" t="n">
        <v>999.84</v>
      </c>
      <c r="K187" s="20" t="n">
        <v>4245.849</v>
      </c>
      <c r="M187" s="20" t="n">
        <v>-232.491</v>
      </c>
      <c r="O187" s="20" t="n">
        <v>2545.991</v>
      </c>
      <c r="P187" s="20" t="n">
        <v>-1040.639</v>
      </c>
      <c r="Q187" s="20" t="n">
        <v>801.932</v>
      </c>
      <c r="R187" s="20" t="n">
        <v>-2391.476</v>
      </c>
      <c r="S187" s="20" t="n">
        <v>-1083.606</v>
      </c>
      <c r="T187" s="20" t="n">
        <v>2826.372</v>
      </c>
      <c r="U187" s="20" t="n">
        <v>-110.345</v>
      </c>
      <c r="V187" s="20" t="n">
        <v>-2676.837</v>
      </c>
      <c r="W187" s="20" t="n">
        <v>999.84</v>
      </c>
      <c r="X187" s="20" t="n">
        <v>-232.491</v>
      </c>
    </row>
    <row r="188">
      <c r="A188" s="18" t="inlineStr">
        <is>
          <t>재고자산 증감</t>
        </is>
      </c>
      <c r="C188" s="20" t="n">
        <v>-1319.687</v>
      </c>
      <c r="E188" s="20" t="n">
        <v>1594.107</v>
      </c>
      <c r="G188" s="20" t="n">
        <v>-1872.856</v>
      </c>
      <c r="I188" s="20" t="n">
        <v>574.307</v>
      </c>
      <c r="K188" s="20" t="n">
        <v>-3011.496</v>
      </c>
      <c r="M188" s="20" t="n">
        <v>-1975.23</v>
      </c>
      <c r="O188" s="20" t="n">
        <v>582.995</v>
      </c>
      <c r="P188" s="20" t="n">
        <v>-335.563</v>
      </c>
      <c r="Q188" s="20" t="n">
        <v>-871.699</v>
      </c>
      <c r="R188" s="20" t="n">
        <v>-1895.117</v>
      </c>
      <c r="S188" s="20" t="n">
        <v>-84.492</v>
      </c>
      <c r="T188" s="20" t="n">
        <v>-1122.555</v>
      </c>
      <c r="U188" s="20" t="n">
        <v>-1419.127</v>
      </c>
      <c r="V188" s="20" t="n">
        <v>1594.107</v>
      </c>
      <c r="W188" s="20" t="n">
        <v>574.307</v>
      </c>
      <c r="X188" s="20" t="n">
        <v>-1975.23</v>
      </c>
    </row>
    <row r="189">
      <c r="A189" s="18" t="inlineStr">
        <is>
          <t>기타 자산 증감</t>
        </is>
      </c>
      <c r="C189" s="20" t="n">
        <v>-26.296</v>
      </c>
      <c r="E189" s="20" t="n">
        <v>12.008</v>
      </c>
      <c r="G189" s="20" t="n">
        <v>25.638</v>
      </c>
      <c r="I189" s="20" t="n">
        <v>-10.094</v>
      </c>
      <c r="K189" s="20" t="n">
        <v>42.525</v>
      </c>
      <c r="M189" s="20" t="n">
        <v>54.308</v>
      </c>
      <c r="O189" s="20" t="n">
        <v>-36.268</v>
      </c>
      <c r="P189" s="20" t="n">
        <v>23.842</v>
      </c>
      <c r="Q189" s="20" t="n">
        <v>36.698</v>
      </c>
      <c r="R189" s="20" t="n">
        <v>61.405</v>
      </c>
      <c r="S189" s="20" t="n">
        <v>55.731</v>
      </c>
      <c r="T189" s="20" t="n">
        <v>-23.49</v>
      </c>
      <c r="U189" s="20" t="n">
        <v>10.105</v>
      </c>
      <c r="V189" s="20" t="n">
        <v>12.008</v>
      </c>
      <c r="W189" s="20" t="n">
        <v>-10.094</v>
      </c>
      <c r="X189" s="20" t="n">
        <v>54.308</v>
      </c>
    </row>
    <row r="190">
      <c r="A190" s="18" t="inlineStr">
        <is>
          <t>매입채무 증감</t>
        </is>
      </c>
      <c r="C190" s="20" t="n">
        <v>-146.363</v>
      </c>
      <c r="E190" s="20" t="n">
        <v>345.175</v>
      </c>
      <c r="G190" s="20" t="n">
        <v>-276.259</v>
      </c>
      <c r="I190" s="20" t="n">
        <v>100.034</v>
      </c>
      <c r="K190" s="20" t="n">
        <v>652.254</v>
      </c>
      <c r="M190" s="20" t="n">
        <v>1678.711</v>
      </c>
      <c r="O190" s="20" t="n">
        <v>-2644.25</v>
      </c>
      <c r="P190" s="20" t="n">
        <v>-288.248</v>
      </c>
      <c r="Q190" s="20" t="n">
        <v>96.831</v>
      </c>
      <c r="R190" s="20" t="n">
        <v>1192.723</v>
      </c>
      <c r="S190" s="20" t="n">
        <v>444.083</v>
      </c>
      <c r="T190" s="20" t="n">
        <v>-1871.678</v>
      </c>
      <c r="U190" s="20" t="n">
        <v>155.144</v>
      </c>
      <c r="V190" s="20" t="n">
        <v>345.175</v>
      </c>
      <c r="W190" s="20" t="n">
        <v>100.034</v>
      </c>
      <c r="X190" s="20" t="n">
        <v>1678.711</v>
      </c>
    </row>
    <row r="191">
      <c r="A191" s="18" t="inlineStr">
        <is>
          <t>미지급·미수 소비세 등 증감액</t>
        </is>
      </c>
      <c r="G191" s="20" t="n">
        <v>-686.112</v>
      </c>
      <c r="K191" s="20" t="n">
        <v>-441.271</v>
      </c>
    </row>
    <row r="192">
      <c r="A192" s="18" t="inlineStr">
        <is>
          <t>미지급 소비세 증감</t>
        </is>
      </c>
      <c r="C192" s="20" t="n">
        <v>-129.052</v>
      </c>
      <c r="E192" s="20" t="n">
        <v>413.571</v>
      </c>
      <c r="G192" s="20" t="n">
        <v>-686.112</v>
      </c>
      <c r="I192" s="20" t="n">
        <v>-344.671</v>
      </c>
      <c r="M192" s="20" t="n">
        <v>-203.258</v>
      </c>
      <c r="O192" s="20" t="n">
        <v>-357.527</v>
      </c>
      <c r="P192" s="20" t="n">
        <v>87.892</v>
      </c>
      <c r="Q192" s="20" t="n">
        <v>-51.971</v>
      </c>
      <c r="R192" s="20" t="n">
        <v>199.214</v>
      </c>
      <c r="S192" s="20" t="n">
        <v>-63.288</v>
      </c>
      <c r="T192" s="20" t="n">
        <v>-166.061</v>
      </c>
      <c r="U192" s="20" t="n">
        <v>119.474</v>
      </c>
      <c r="V192" s="20" t="n">
        <v>413.571</v>
      </c>
      <c r="W192" s="20" t="n">
        <v>-344.671</v>
      </c>
      <c r="X192" s="20" t="n">
        <v>-203.258</v>
      </c>
    </row>
    <row r="193">
      <c r="A193" s="18" t="inlineStr">
        <is>
          <t>미지급금 증감</t>
        </is>
      </c>
      <c r="E193" s="20" t="n">
        <v>634.929</v>
      </c>
      <c r="G193" s="20" t="n">
        <v>-1026.915</v>
      </c>
      <c r="I193" s="20" t="n">
        <v>-495.882</v>
      </c>
      <c r="K193" s="20" t="n">
        <v>-543.968</v>
      </c>
      <c r="M193" s="20" t="n">
        <v>75.599</v>
      </c>
      <c r="O193" s="20" t="n">
        <v>62.589</v>
      </c>
      <c r="P193" s="20" t="n">
        <v>169.625</v>
      </c>
      <c r="Q193" s="20" t="n">
        <v>173.755</v>
      </c>
      <c r="R193" s="20" t="n">
        <v>-321.503</v>
      </c>
      <c r="S193" s="20" t="n">
        <v>-3.562</v>
      </c>
      <c r="T193" s="20" t="n">
        <v>-137.064</v>
      </c>
      <c r="U193" s="20" t="n">
        <v>-47.635</v>
      </c>
      <c r="V193" s="20" t="n">
        <v>634.929</v>
      </c>
      <c r="W193" s="20" t="n">
        <v>-495.882</v>
      </c>
      <c r="X193" s="20" t="n">
        <v>75.599</v>
      </c>
    </row>
    <row r="194">
      <c r="A194" s="18" t="inlineStr">
        <is>
          <t>기타 부채 증감</t>
        </is>
      </c>
      <c r="C194" s="20" t="n">
        <v>-241.608</v>
      </c>
      <c r="E194" s="20" t="n">
        <v>63.07</v>
      </c>
      <c r="G194" s="20" t="n">
        <v>-26.137</v>
      </c>
      <c r="I194" s="20" t="n">
        <v>4.473</v>
      </c>
      <c r="K194" s="20" t="n">
        <v>-23.489</v>
      </c>
      <c r="M194" s="20" t="n">
        <v>55.712</v>
      </c>
      <c r="O194" s="20" t="n">
        <v>-5.557</v>
      </c>
      <c r="P194" s="20" t="n">
        <v>65.994</v>
      </c>
      <c r="Q194" s="20" t="n">
        <v>-12.474</v>
      </c>
      <c r="R194" s="20" t="n">
        <v>-93.01900000000001</v>
      </c>
      <c r="S194" s="20" t="n">
        <v>88.61799999999999</v>
      </c>
      <c r="T194" s="20" t="n">
        <v>-61.388</v>
      </c>
      <c r="U194" s="20" t="n">
        <v>-45.713</v>
      </c>
      <c r="V194" s="20" t="n">
        <v>63.07</v>
      </c>
      <c r="W194" s="20" t="n">
        <v>4.473</v>
      </c>
      <c r="X194" s="20" t="n">
        <v>55.712</v>
      </c>
    </row>
    <row r="195">
      <c r="A195" s="18" t="inlineStr">
        <is>
          <t>기타</t>
        </is>
      </c>
      <c r="C195" s="20" t="n">
        <v>0.024</v>
      </c>
      <c r="E195" s="20" t="n">
        <v>0.025</v>
      </c>
      <c r="G195" s="20" t="n">
        <v>0.001</v>
      </c>
      <c r="I195" s="20" t="n">
        <v>-0.901</v>
      </c>
      <c r="O195" s="20" t="n">
        <v>-33.658</v>
      </c>
      <c r="P195" s="20" t="n">
        <v>6.423</v>
      </c>
      <c r="Q195" s="20" t="n">
        <v>2.344</v>
      </c>
      <c r="R195" s="20" t="n">
        <v>3.643</v>
      </c>
      <c r="S195" s="20" t="n">
        <v>7.508</v>
      </c>
      <c r="T195" s="20" t="n">
        <v>14.094</v>
      </c>
      <c r="U195" s="20" t="n">
        <v>0.672</v>
      </c>
      <c r="V195" s="20" t="n">
        <v>0.025</v>
      </c>
      <c r="W195" s="20" t="n">
        <v>-0.901</v>
      </c>
    </row>
    <row r="196">
      <c r="A196" s="18" t="inlineStr">
        <is>
          <t>소계</t>
        </is>
      </c>
      <c r="C196" s="20" t="n">
        <v>309.699</v>
      </c>
      <c r="E196" s="20" t="n">
        <v>1827.556</v>
      </c>
      <c r="G196" s="20" t="n">
        <v>1891.54</v>
      </c>
      <c r="I196" s="20" t="n">
        <v>3208.198</v>
      </c>
      <c r="K196" s="20" t="n">
        <v>1010.628</v>
      </c>
      <c r="M196" s="20" t="n">
        <v>2155.311</v>
      </c>
      <c r="O196" s="20" t="n">
        <v>149.994</v>
      </c>
      <c r="P196" s="20" t="n">
        <v>-627.0700000000001</v>
      </c>
      <c r="Q196" s="20" t="n">
        <v>-162.403</v>
      </c>
      <c r="R196" s="20" t="n">
        <v>-2007.103</v>
      </c>
      <c r="S196" s="20" t="n">
        <v>-1004.333</v>
      </c>
      <c r="T196" s="20" t="n">
        <v>-1122.887</v>
      </c>
      <c r="U196" s="20" t="n">
        <v>-1374.334</v>
      </c>
      <c r="V196" s="20" t="n">
        <v>1827.556</v>
      </c>
      <c r="W196" s="20" t="n">
        <v>3208.198</v>
      </c>
      <c r="X196" s="20" t="n">
        <v>2155.311</v>
      </c>
    </row>
    <row r="197">
      <c r="A197" s="18" t="inlineStr">
        <is>
          <t>이자·배당금 수취</t>
        </is>
      </c>
      <c r="C197" s="20" t="n">
        <v>19.859</v>
      </c>
      <c r="E197" s="20" t="n">
        <v>26.499</v>
      </c>
      <c r="G197" s="20" t="n">
        <v>5.854</v>
      </c>
      <c r="I197" s="20" t="n">
        <v>10.608</v>
      </c>
      <c r="K197" s="20" t="n">
        <v>11.498</v>
      </c>
      <c r="M197" s="20" t="n">
        <v>17.681</v>
      </c>
      <c r="O197" s="20" t="n">
        <v>15.714</v>
      </c>
      <c r="P197" s="20" t="n">
        <v>16.768</v>
      </c>
      <c r="Q197" s="20" t="n">
        <v>18.45</v>
      </c>
      <c r="R197" s="20" t="n">
        <v>19.551</v>
      </c>
      <c r="S197" s="20" t="n">
        <v>54.043</v>
      </c>
      <c r="T197" s="20" t="n">
        <v>18.152</v>
      </c>
      <c r="U197" s="20" t="n">
        <v>22.816</v>
      </c>
      <c r="V197" s="20" t="n">
        <v>26.499</v>
      </c>
      <c r="W197" s="20" t="n">
        <v>10.608</v>
      </c>
      <c r="X197" s="20" t="n">
        <v>17.681</v>
      </c>
    </row>
    <row r="198">
      <c r="A198" s="18" t="inlineStr">
        <is>
          <t>이자 지급</t>
        </is>
      </c>
      <c r="C198" s="20" t="n">
        <v>-60.729</v>
      </c>
      <c r="E198" s="20" t="n">
        <v>-122.47</v>
      </c>
      <c r="G198" s="20" t="n">
        <v>-54.548</v>
      </c>
      <c r="I198" s="20" t="n">
        <v>-110.246</v>
      </c>
      <c r="K198" s="20" t="n">
        <v>-43.858</v>
      </c>
      <c r="M198" s="20" t="n">
        <v>-95.343</v>
      </c>
      <c r="O198" s="20" t="n">
        <v>-2.84</v>
      </c>
      <c r="P198" s="20" t="n">
        <v>-2.523</v>
      </c>
      <c r="Q198" s="20" t="n">
        <v>-1.675</v>
      </c>
      <c r="R198" s="20" t="n">
        <v>-3.542</v>
      </c>
      <c r="S198" s="20" t="n">
        <v>-22.458</v>
      </c>
      <c r="T198" s="20" t="n">
        <v>-35.731</v>
      </c>
      <c r="U198" s="20" t="n">
        <v>-59.694</v>
      </c>
      <c r="V198" s="20" t="n">
        <v>-122.47</v>
      </c>
      <c r="W198" s="20" t="n">
        <v>-110.246</v>
      </c>
      <c r="X198" s="20" t="n">
        <v>-95.343</v>
      </c>
    </row>
    <row r="199">
      <c r="A199" s="18" t="inlineStr">
        <is>
          <t>법인세 납부</t>
        </is>
      </c>
      <c r="O199" s="20" t="n">
        <v>-859.431</v>
      </c>
      <c r="P199" s="20" t="n">
        <v>302.157</v>
      </c>
      <c r="R199" s="20" t="n">
        <v>-13.257</v>
      </c>
      <c r="S199" s="20" t="n">
        <v>-141.984</v>
      </c>
      <c r="T199" s="20" t="n">
        <v>38.007</v>
      </c>
    </row>
    <row r="200">
      <c r="A200" s="18" t="inlineStr">
        <is>
          <t>법인세 납부·환급</t>
        </is>
      </c>
      <c r="C200" s="20" t="n">
        <v>-23.707</v>
      </c>
      <c r="E200" s="20" t="n">
        <v>-90.157</v>
      </c>
      <c r="G200" s="20" t="n">
        <v>-212.305</v>
      </c>
      <c r="I200" s="20" t="n">
        <v>-330.348</v>
      </c>
      <c r="K200" s="20" t="n">
        <v>-227.842</v>
      </c>
      <c r="M200" s="20" t="n">
        <v>-400.715</v>
      </c>
      <c r="P200" s="20" t="n">
        <v>302.157</v>
      </c>
      <c r="Q200" s="20" t="n">
        <v>-87.751</v>
      </c>
      <c r="R200" s="20" t="n">
        <v>-13.257</v>
      </c>
      <c r="T200" s="20" t="n">
        <v>38.007</v>
      </c>
      <c r="U200" s="20" t="n">
        <v>-107.772</v>
      </c>
      <c r="V200" s="20" t="n">
        <v>-90.157</v>
      </c>
      <c r="W200" s="20" t="n">
        <v>-330.348</v>
      </c>
      <c r="X200" s="20" t="n">
        <v>-400.715</v>
      </c>
    </row>
    <row r="201">
      <c r="A201" s="9" t="inlineStr">
        <is>
          <t>영업활동 현금흐름</t>
        </is>
      </c>
      <c r="C201" s="12" t="n">
        <v>245.122</v>
      </c>
      <c r="E201" s="12" t="n">
        <v>1641.427</v>
      </c>
      <c r="G201" s="12" t="n">
        <v>1630.54</v>
      </c>
      <c r="I201" s="12" t="n">
        <v>2778.212</v>
      </c>
      <c r="K201" s="12" t="n">
        <v>750.426</v>
      </c>
      <c r="M201" s="12" t="n">
        <v>1676.933</v>
      </c>
      <c r="O201" s="12" t="n">
        <v>-696.563</v>
      </c>
      <c r="P201" s="12" t="n">
        <v>-310.668</v>
      </c>
      <c r="Q201" s="12" t="n">
        <v>-233.379</v>
      </c>
      <c r="R201" s="12" t="n">
        <v>-2004.352</v>
      </c>
      <c r="S201" s="12" t="n">
        <v>-1114.732</v>
      </c>
      <c r="T201" s="12" t="n">
        <v>-1102.458</v>
      </c>
      <c r="U201" s="12" t="n">
        <v>-1518.985</v>
      </c>
      <c r="V201" s="12" t="n">
        <v>1641.427</v>
      </c>
      <c r="W201" s="12" t="n">
        <v>2778.212</v>
      </c>
      <c r="X201" s="12" t="n">
        <v>1676.933</v>
      </c>
    </row>
    <row r="202">
      <c r="A202" s="18" t="inlineStr">
        <is>
          <t>정기예금 예입</t>
        </is>
      </c>
      <c r="O202" s="20" t="n">
        <v>-50</v>
      </c>
      <c r="P202" s="20" t="n">
        <v>0</v>
      </c>
      <c r="Q202" s="20" t="n">
        <v>0</v>
      </c>
      <c r="R202" s="20" t="n">
        <v>-50</v>
      </c>
      <c r="S202" s="20" t="n">
        <v>0</v>
      </c>
    </row>
    <row r="203">
      <c r="A203" s="18" t="inlineStr">
        <is>
          <t>유가증권 매각</t>
        </is>
      </c>
      <c r="O203" s="20" t="n">
        <v>300</v>
      </c>
      <c r="P203" s="20" t="n">
        <v>0</v>
      </c>
    </row>
    <row r="204">
      <c r="A204" s="18" t="inlineStr">
        <is>
          <t>정기예금 인출</t>
        </is>
      </c>
      <c r="P204" s="20" t="n">
        <v>0</v>
      </c>
      <c r="Q204" s="20" t="n">
        <v>50</v>
      </c>
      <c r="R204" s="20" t="n">
        <v>0</v>
      </c>
      <c r="S204" s="20" t="n">
        <v>50</v>
      </c>
      <c r="T204" s="20" t="n">
        <v>0</v>
      </c>
    </row>
    <row r="205">
      <c r="A205" s="18" t="inlineStr">
        <is>
          <t>유형자산 취득(설비투자)</t>
        </is>
      </c>
      <c r="C205" s="20" t="n">
        <v>-66.38200000000001</v>
      </c>
      <c r="E205" s="20" t="n">
        <v>-167.929</v>
      </c>
      <c r="G205" s="20" t="n">
        <v>-308.07</v>
      </c>
      <c r="I205" s="20" t="n">
        <v>-406.961</v>
      </c>
      <c r="K205" s="20" t="n">
        <v>-684.427</v>
      </c>
      <c r="M205" s="20" t="n">
        <v>-932.115</v>
      </c>
      <c r="O205" s="20" t="n">
        <v>-324.523</v>
      </c>
      <c r="P205" s="20" t="n">
        <v>-244.307</v>
      </c>
      <c r="Q205" s="20" t="n">
        <v>-368.044</v>
      </c>
      <c r="R205" s="20" t="n">
        <v>-173.532</v>
      </c>
      <c r="S205" s="20" t="n">
        <v>-558.292</v>
      </c>
      <c r="T205" s="20" t="n">
        <v>-588.61</v>
      </c>
      <c r="U205" s="20" t="n">
        <v>-227.981</v>
      </c>
      <c r="V205" s="20" t="n">
        <v>-167.929</v>
      </c>
      <c r="W205" s="20" t="n">
        <v>-406.961</v>
      </c>
      <c r="X205" s="20" t="n">
        <v>-932.115</v>
      </c>
    </row>
    <row r="206">
      <c r="A206" s="18" t="inlineStr">
        <is>
          <t>유형자산 매각</t>
        </is>
      </c>
      <c r="C206" s="20" t="n">
        <v>0</v>
      </c>
      <c r="E206" s="20" t="n">
        <v>0</v>
      </c>
      <c r="G206" s="20" t="n">
        <v>0.3</v>
      </c>
      <c r="I206" s="20" t="n">
        <v>0.8</v>
      </c>
      <c r="K206" s="20" t="n">
        <v>13.45</v>
      </c>
      <c r="M206" s="20" t="n">
        <v>22.425</v>
      </c>
      <c r="O206" s="20" t="n">
        <v>0.095</v>
      </c>
      <c r="P206" s="20" t="n">
        <v>0.265</v>
      </c>
      <c r="Q206" s="20" t="n">
        <v>551.371</v>
      </c>
      <c r="R206" s="20" t="n">
        <v>0.053</v>
      </c>
      <c r="S206" s="20" t="n">
        <v>0.022</v>
      </c>
      <c r="T206" s="20" t="n">
        <v>0.141</v>
      </c>
      <c r="U206" s="20" t="n">
        <v>92.571</v>
      </c>
      <c r="V206" s="20" t="n">
        <v>0</v>
      </c>
      <c r="W206" s="20" t="n">
        <v>0.8</v>
      </c>
      <c r="X206" s="20" t="n">
        <v>22.425</v>
      </c>
    </row>
    <row r="207">
      <c r="A207" s="18" t="inlineStr">
        <is>
          <t>유형자산 제각 지출</t>
        </is>
      </c>
      <c r="P207" s="20" t="n">
        <v>0</v>
      </c>
      <c r="Q207" s="20" t="n">
        <v>-0.832</v>
      </c>
      <c r="R207" s="20" t="n">
        <v>0</v>
      </c>
    </row>
    <row r="208">
      <c r="A208" s="18" t="inlineStr">
        <is>
          <t>무형자산 취득</t>
        </is>
      </c>
      <c r="C208" s="20" t="n">
        <v>-133.189</v>
      </c>
      <c r="E208" s="20" t="n">
        <v>-219.154</v>
      </c>
      <c r="G208" s="20" t="n">
        <v>-56.01</v>
      </c>
      <c r="I208" s="20" t="n">
        <v>-86.82599999999999</v>
      </c>
      <c r="K208" s="20" t="n">
        <v>-56.625</v>
      </c>
      <c r="M208" s="20" t="n">
        <v>-111.595</v>
      </c>
      <c r="O208" s="20" t="n">
        <v>-129.353</v>
      </c>
      <c r="P208" s="20" t="n">
        <v>-244.693</v>
      </c>
      <c r="Q208" s="20" t="n">
        <v>-74.267</v>
      </c>
      <c r="R208" s="20" t="n">
        <v>-95.372</v>
      </c>
      <c r="S208" s="20" t="n">
        <v>-85.001</v>
      </c>
      <c r="T208" s="20" t="n">
        <v>-369.095</v>
      </c>
      <c r="U208" s="20" t="n">
        <v>-183.435</v>
      </c>
      <c r="V208" s="20" t="n">
        <v>-219.154</v>
      </c>
      <c r="W208" s="20" t="n">
        <v>-86.82599999999999</v>
      </c>
      <c r="X208" s="20" t="n">
        <v>-111.595</v>
      </c>
    </row>
    <row r="209">
      <c r="A209" s="18" t="inlineStr">
        <is>
          <t>무형자산 매각 수입</t>
        </is>
      </c>
      <c r="C209" s="20" t="n">
        <v>0</v>
      </c>
      <c r="E209" s="20" t="n">
        <v>0</v>
      </c>
      <c r="G209" s="20" t="n">
        <v>0.214</v>
      </c>
      <c r="I209" s="20" t="n">
        <v>0.214</v>
      </c>
      <c r="K209" s="20" t="n">
        <v>0</v>
      </c>
      <c r="M209" s="20" t="n">
        <v>0</v>
      </c>
      <c r="V209" s="20" t="n">
        <v>0</v>
      </c>
      <c r="W209" s="20" t="n">
        <v>0.214</v>
      </c>
      <c r="X209" s="20" t="n">
        <v>0</v>
      </c>
    </row>
    <row r="210">
      <c r="A210" s="18" t="inlineStr">
        <is>
          <t>투자유가증권 취득</t>
        </is>
      </c>
      <c r="C210" s="20" t="n">
        <v>-1.921</v>
      </c>
      <c r="E210" s="20" t="n">
        <v>-3.814</v>
      </c>
      <c r="G210" s="20" t="n">
        <v>-2.152</v>
      </c>
      <c r="I210" s="20" t="n">
        <v>-4.216</v>
      </c>
      <c r="K210" s="20" t="n">
        <v>-2.396</v>
      </c>
      <c r="M210" s="20" t="n">
        <v>-4.685</v>
      </c>
      <c r="O210" s="20" t="n">
        <v>-6.006</v>
      </c>
      <c r="P210" s="20" t="n">
        <v>-6.38</v>
      </c>
      <c r="Q210" s="20" t="n">
        <v>-21.731</v>
      </c>
      <c r="R210" s="20" t="n">
        <v>-7.243</v>
      </c>
      <c r="S210" s="20" t="n">
        <v>-6.954</v>
      </c>
      <c r="T210" s="20" t="n">
        <v>-106.732</v>
      </c>
      <c r="U210" s="20" t="n">
        <v>-7.001</v>
      </c>
      <c r="V210" s="20" t="n">
        <v>-3.814</v>
      </c>
      <c r="W210" s="20" t="n">
        <v>-4.216</v>
      </c>
      <c r="X210" s="20" t="n">
        <v>-4.685</v>
      </c>
    </row>
    <row r="211">
      <c r="A211" s="18" t="inlineStr">
        <is>
          <t>투자유가증권 매각</t>
        </is>
      </c>
      <c r="C211" s="20" t="n">
        <v>128.658</v>
      </c>
      <c r="E211" s="20" t="n">
        <v>130.861</v>
      </c>
      <c r="G211" s="20" t="n">
        <v>0</v>
      </c>
      <c r="I211" s="20" t="n">
        <v>0</v>
      </c>
      <c r="P211" s="20" t="n">
        <v>0</v>
      </c>
      <c r="Q211" s="20" t="n">
        <v>19.8</v>
      </c>
      <c r="R211" s="20" t="n">
        <v>0</v>
      </c>
      <c r="T211" s="20" t="n">
        <v>0</v>
      </c>
      <c r="U211" s="20" t="n">
        <v>51.944</v>
      </c>
      <c r="V211" s="20" t="n">
        <v>130.861</v>
      </c>
      <c r="W211" s="20" t="n">
        <v>0</v>
      </c>
    </row>
    <row r="212">
      <c r="A212" s="18" t="inlineStr">
        <is>
          <t>대여</t>
        </is>
      </c>
      <c r="C212" s="20" t="n">
        <v>-2.038</v>
      </c>
      <c r="E212" s="20" t="n">
        <v>-2.084</v>
      </c>
      <c r="G212" s="20" t="n">
        <v>-0.537</v>
      </c>
      <c r="I212" s="20" t="n">
        <v>-3.689</v>
      </c>
      <c r="K212" s="20" t="n">
        <v>-0.027</v>
      </c>
      <c r="M212" s="20" t="n">
        <v>-0.249</v>
      </c>
      <c r="O212" s="20" t="n">
        <v>-1.659</v>
      </c>
      <c r="P212" s="20" t="n">
        <v>-1.422</v>
      </c>
      <c r="Q212" s="20" t="n">
        <v>-0.7</v>
      </c>
      <c r="R212" s="20" t="n">
        <v>-2.68</v>
      </c>
      <c r="S212" s="20" t="n">
        <v>-1.042</v>
      </c>
      <c r="T212" s="20" t="n">
        <v>-2.564</v>
      </c>
      <c r="U212" s="20" t="n">
        <v>-0.588</v>
      </c>
      <c r="V212" s="20" t="n">
        <v>-2.084</v>
      </c>
      <c r="W212" s="20" t="n">
        <v>-3.689</v>
      </c>
      <c r="X212" s="20" t="n">
        <v>-0.249</v>
      </c>
    </row>
    <row r="213">
      <c r="A213" s="18" t="inlineStr">
        <is>
          <t>대여금 회수</t>
        </is>
      </c>
      <c r="C213" s="20" t="n">
        <v>0.804</v>
      </c>
      <c r="E213" s="20" t="n">
        <v>1.704</v>
      </c>
      <c r="G213" s="20" t="n">
        <v>0.793</v>
      </c>
      <c r="I213" s="20" t="n">
        <v>4.581</v>
      </c>
      <c r="K213" s="20" t="n">
        <v>0.62</v>
      </c>
      <c r="M213" s="20" t="n">
        <v>1.24</v>
      </c>
      <c r="O213" s="20" t="n">
        <v>3.806</v>
      </c>
      <c r="P213" s="20" t="n">
        <v>2.99</v>
      </c>
      <c r="Q213" s="20" t="n">
        <v>1.328</v>
      </c>
      <c r="R213" s="20" t="n">
        <v>0.773</v>
      </c>
      <c r="S213" s="20" t="n">
        <v>0.9330000000000001</v>
      </c>
      <c r="T213" s="20" t="n">
        <v>1.233</v>
      </c>
      <c r="U213" s="20" t="n">
        <v>1.549</v>
      </c>
      <c r="V213" s="20" t="n">
        <v>1.704</v>
      </c>
      <c r="W213" s="20" t="n">
        <v>4.581</v>
      </c>
      <c r="X213" s="20" t="n">
        <v>1.24</v>
      </c>
    </row>
    <row r="214">
      <c r="A214" s="18" t="inlineStr">
        <is>
          <t>기타</t>
        </is>
      </c>
      <c r="C214" s="20" t="n">
        <v>-17.244</v>
      </c>
      <c r="E214" s="20" t="n">
        <v>-17.468</v>
      </c>
      <c r="G214" s="20" t="n">
        <v>-1.302</v>
      </c>
      <c r="I214" s="20" t="n">
        <v>2.842</v>
      </c>
      <c r="K214" s="20" t="n">
        <v>2.825</v>
      </c>
      <c r="M214" s="20" t="n">
        <v>-3.58</v>
      </c>
      <c r="O214" s="20" t="n">
        <v>-29.045</v>
      </c>
      <c r="P214" s="20" t="n">
        <v>-5.105</v>
      </c>
      <c r="Q214" s="20" t="n">
        <v>6.276</v>
      </c>
      <c r="R214" s="20" t="n">
        <v>-2.115</v>
      </c>
      <c r="S214" s="20" t="n">
        <v>-11.222</v>
      </c>
      <c r="T214" s="20" t="n">
        <v>0.47</v>
      </c>
      <c r="U214" s="20" t="n">
        <v>-3.254</v>
      </c>
      <c r="V214" s="20" t="n">
        <v>-17.468</v>
      </c>
      <c r="W214" s="20" t="n">
        <v>2.842</v>
      </c>
      <c r="X214" s="20" t="n">
        <v>-3.58</v>
      </c>
    </row>
    <row r="215">
      <c r="A215" s="9" t="inlineStr">
        <is>
          <t>투자활동 현금흐름</t>
        </is>
      </c>
      <c r="C215" s="12" t="n">
        <v>-91.31399999999999</v>
      </c>
      <c r="E215" s="12" t="n">
        <v>-277.885</v>
      </c>
      <c r="G215" s="12" t="n">
        <v>-366.765</v>
      </c>
      <c r="I215" s="12" t="n">
        <v>-493.256</v>
      </c>
      <c r="K215" s="12" t="n">
        <v>-726.58</v>
      </c>
      <c r="M215" s="12" t="n">
        <v>-1028.561</v>
      </c>
      <c r="O215" s="12" t="n">
        <v>-236.685</v>
      </c>
      <c r="P215" s="12" t="n">
        <v>-498.653</v>
      </c>
      <c r="Q215" s="12" t="n">
        <v>163.2</v>
      </c>
      <c r="R215" s="12" t="n">
        <v>-330.116</v>
      </c>
      <c r="S215" s="12" t="n">
        <v>-611.557</v>
      </c>
      <c r="T215" s="12" t="n">
        <v>-1065.157</v>
      </c>
      <c r="U215" s="12" t="n">
        <v>-276.196</v>
      </c>
      <c r="V215" s="12" t="n">
        <v>-277.885</v>
      </c>
      <c r="W215" s="12" t="n">
        <v>-493.256</v>
      </c>
      <c r="X215" s="12" t="n">
        <v>-1028.561</v>
      </c>
    </row>
    <row r="216">
      <c r="A216" s="18" t="inlineStr">
        <is>
          <t>단기차입금 순증감</t>
        </is>
      </c>
      <c r="C216" s="20" t="n">
        <v>0</v>
      </c>
      <c r="E216" s="20" t="n">
        <v>-500</v>
      </c>
      <c r="G216" s="20" t="n">
        <v>0</v>
      </c>
      <c r="I216" s="20" t="n">
        <v>-1200</v>
      </c>
      <c r="K216" s="20" t="n">
        <v>-450</v>
      </c>
      <c r="M216" s="20" t="n">
        <v>-300</v>
      </c>
      <c r="O216" s="20" t="n">
        <v>200</v>
      </c>
      <c r="P216" s="20" t="n">
        <v>-100</v>
      </c>
      <c r="Q216" s="20" t="n">
        <v>-300</v>
      </c>
      <c r="R216" s="20" t="n">
        <v>1300</v>
      </c>
      <c r="S216" s="20" t="n">
        <v>2050</v>
      </c>
      <c r="T216" s="20" t="n">
        <v>2530</v>
      </c>
      <c r="U216" s="20" t="n">
        <v>500</v>
      </c>
      <c r="V216" s="20" t="n">
        <v>-500</v>
      </c>
      <c r="W216" s="20" t="n">
        <v>-1200</v>
      </c>
      <c r="X216" s="20" t="n">
        <v>-300</v>
      </c>
    </row>
    <row r="217">
      <c r="A217" s="18" t="inlineStr">
        <is>
          <t>리스부채 상환</t>
        </is>
      </c>
      <c r="C217" s="20" t="n">
        <v>-8.1</v>
      </c>
      <c r="E217" s="20" t="n">
        <v>-16.874</v>
      </c>
      <c r="G217" s="20" t="n">
        <v>-8.972</v>
      </c>
      <c r="I217" s="20" t="n">
        <v>-21.985</v>
      </c>
      <c r="K217" s="20" t="n">
        <v>-23.126</v>
      </c>
      <c r="M217" s="20" t="n">
        <v>-41.044</v>
      </c>
      <c r="O217" s="20" t="n">
        <v>-5.377</v>
      </c>
      <c r="P217" s="20" t="n">
        <v>-0.5649999999999999</v>
      </c>
      <c r="Q217" s="20" t="n">
        <v>-0.588</v>
      </c>
      <c r="R217" s="20" t="n">
        <v>-1.412</v>
      </c>
      <c r="S217" s="20" t="n">
        <v>-6.747</v>
      </c>
      <c r="T217" s="20" t="n">
        <v>-15.431</v>
      </c>
      <c r="U217" s="20" t="n">
        <v>-15.431</v>
      </c>
      <c r="V217" s="20" t="n">
        <v>-16.874</v>
      </c>
      <c r="W217" s="20" t="n">
        <v>-21.985</v>
      </c>
      <c r="X217" s="20" t="n">
        <v>-41.044</v>
      </c>
    </row>
    <row r="218">
      <c r="A218" s="18" t="inlineStr">
        <is>
          <t>연결범위 변동 없는 자회사 주식 매각 수입</t>
        </is>
      </c>
      <c r="O218" s="20" t="n">
        <v>0</v>
      </c>
      <c r="P218" s="20" t="n">
        <v>123.045</v>
      </c>
      <c r="Q218" s="20" t="n">
        <v>0</v>
      </c>
    </row>
    <row r="219">
      <c r="A219" s="18" t="inlineStr">
        <is>
          <t>장기차입</t>
        </is>
      </c>
      <c r="G219" s="20" t="n">
        <v>0</v>
      </c>
      <c r="I219" s="20" t="n">
        <v>0</v>
      </c>
      <c r="K219" s="20" t="n">
        <v>300</v>
      </c>
      <c r="M219" s="20" t="n">
        <v>300</v>
      </c>
      <c r="R219" s="20" t="n">
        <v>0</v>
      </c>
      <c r="S219" s="20" t="n">
        <v>440</v>
      </c>
      <c r="T219" s="20" t="n">
        <v>340</v>
      </c>
      <c r="U219" s="20" t="n">
        <v>0</v>
      </c>
      <c r="W219" s="20" t="n">
        <v>0</v>
      </c>
      <c r="X219" s="20" t="n">
        <v>300</v>
      </c>
    </row>
    <row r="220">
      <c r="A220" s="18" t="inlineStr">
        <is>
          <t>장기차입금 상환</t>
        </is>
      </c>
      <c r="C220" s="20" t="n">
        <v>-52.702</v>
      </c>
      <c r="E220" s="20" t="n">
        <v>-80.08</v>
      </c>
      <c r="G220" s="20" t="n">
        <v>-27.378</v>
      </c>
      <c r="I220" s="20" t="n">
        <v>-54.756</v>
      </c>
      <c r="K220" s="20" t="n">
        <v>-33.628</v>
      </c>
      <c r="M220" s="20" t="n">
        <v>-79.756</v>
      </c>
      <c r="S220" s="20" t="n">
        <v>0</v>
      </c>
      <c r="T220" s="20" t="n">
        <v>-84.46599999999999</v>
      </c>
      <c r="U220" s="20" t="n">
        <v>-112.344</v>
      </c>
      <c r="V220" s="20" t="n">
        <v>-80.08</v>
      </c>
      <c r="W220" s="20" t="n">
        <v>-54.756</v>
      </c>
      <c r="X220" s="20" t="n">
        <v>-79.756</v>
      </c>
    </row>
    <row r="221">
      <c r="A221" s="18" t="inlineStr">
        <is>
          <t>자기주식 취득</t>
        </is>
      </c>
      <c r="E221" s="20" t="n">
        <v>-0.061</v>
      </c>
      <c r="I221" s="20" t="n">
        <v>-0.047</v>
      </c>
      <c r="M221" s="20" t="n">
        <v>-0.251</v>
      </c>
      <c r="O221" s="20" t="n">
        <v>-566.004</v>
      </c>
      <c r="P221" s="20" t="n">
        <v>-0.47</v>
      </c>
      <c r="Q221" s="20" t="n">
        <v>-0.102</v>
      </c>
      <c r="R221" s="20" t="n">
        <v>-0.362</v>
      </c>
      <c r="S221" s="20" t="n">
        <v>-0.4</v>
      </c>
      <c r="T221" s="20" t="n">
        <v>0</v>
      </c>
      <c r="U221" s="20" t="n">
        <v>-0.117</v>
      </c>
      <c r="V221" s="20" t="n">
        <v>-0.061</v>
      </c>
      <c r="W221" s="20" t="n">
        <v>-0.047</v>
      </c>
      <c r="X221" s="20" t="n">
        <v>-0.251</v>
      </c>
    </row>
    <row r="222">
      <c r="A222" s="18" t="inlineStr">
        <is>
          <t>배당금 지급</t>
        </is>
      </c>
      <c r="I222" s="20" t="n">
        <v>0</v>
      </c>
      <c r="M222" s="20" t="n">
        <v>-26.757</v>
      </c>
      <c r="O222" s="20" t="n">
        <v>-146.738</v>
      </c>
      <c r="P222" s="20" t="n">
        <v>-128.538</v>
      </c>
      <c r="Q222" s="20" t="n">
        <v>-64.26300000000001</v>
      </c>
      <c r="R222" s="20" t="n">
        <v>0</v>
      </c>
      <c r="S222" s="20" t="n">
        <v>-64.59</v>
      </c>
      <c r="T222" s="20" t="n">
        <v>-64.791</v>
      </c>
      <c r="U222" s="20" t="n">
        <v>0</v>
      </c>
      <c r="W222" s="20" t="n">
        <v>0</v>
      </c>
      <c r="X222" s="20" t="n">
        <v>-26.757</v>
      </c>
    </row>
    <row r="223">
      <c r="A223" s="18" t="inlineStr">
        <is>
          <t>비지배주주 배당금 지급</t>
        </is>
      </c>
      <c r="C223" s="20" t="n">
        <v>-7.02</v>
      </c>
      <c r="E223" s="20" t="n">
        <v>-7.02</v>
      </c>
      <c r="G223" s="20" t="n">
        <v>-7.02</v>
      </c>
      <c r="I223" s="20" t="n">
        <v>-7.02</v>
      </c>
      <c r="K223" s="20" t="n">
        <v>-7.02</v>
      </c>
      <c r="M223" s="20" t="n">
        <v>-7.02</v>
      </c>
      <c r="P223" s="20" t="n">
        <v>0</v>
      </c>
      <c r="Q223" s="20" t="n">
        <v>-4.212</v>
      </c>
      <c r="R223" s="20" t="n">
        <v>-4.212</v>
      </c>
      <c r="S223" s="20" t="n">
        <v>-4.212</v>
      </c>
      <c r="T223" s="20" t="n">
        <v>-4.212</v>
      </c>
      <c r="U223" s="20" t="n">
        <v>-4.212</v>
      </c>
      <c r="V223" s="20" t="n">
        <v>-7.02</v>
      </c>
      <c r="W223" s="20" t="n">
        <v>-7.02</v>
      </c>
      <c r="X223" s="20" t="n">
        <v>-7.02</v>
      </c>
    </row>
    <row r="224">
      <c r="A224" s="9" t="inlineStr">
        <is>
          <t>재무활동 현금흐름</t>
        </is>
      </c>
      <c r="C224" s="12" t="n">
        <v>-67.822</v>
      </c>
      <c r="E224" s="12" t="n">
        <v>-604.035</v>
      </c>
      <c r="G224" s="12" t="n">
        <v>-43.37</v>
      </c>
      <c r="I224" s="12" t="n">
        <v>-1283.808</v>
      </c>
      <c r="K224" s="12" t="n">
        <v>-213.774</v>
      </c>
      <c r="M224" s="12" t="n">
        <v>-154.83</v>
      </c>
      <c r="O224" s="12" t="n">
        <v>-518.12</v>
      </c>
      <c r="P224" s="12" t="n">
        <v>-106.529</v>
      </c>
      <c r="Q224" s="12" t="n">
        <v>-369.166</v>
      </c>
      <c r="R224" s="12" t="n">
        <v>1294.013</v>
      </c>
      <c r="S224" s="12" t="n">
        <v>2414.049</v>
      </c>
      <c r="T224" s="12" t="n">
        <v>2701.099</v>
      </c>
      <c r="U224" s="12" t="n">
        <v>367.895</v>
      </c>
      <c r="V224" s="12" t="n">
        <v>-604.035</v>
      </c>
      <c r="W224" s="12" t="n">
        <v>-1283.808</v>
      </c>
      <c r="X224" s="12" t="n">
        <v>-154.83</v>
      </c>
    </row>
    <row r="225">
      <c r="A225" s="18" t="inlineStr">
        <is>
          <t>현금성자산 환산차이</t>
        </is>
      </c>
      <c r="O225" s="20" t="n">
        <v>33.642</v>
      </c>
      <c r="P225" s="20" t="n">
        <v>-5.858</v>
      </c>
      <c r="Q225" s="20" t="n">
        <v>-2.063</v>
      </c>
      <c r="R225" s="20" t="n">
        <v>-2.903</v>
      </c>
      <c r="S225" s="20" t="n">
        <v>-7.181</v>
      </c>
      <c r="T225" s="20" t="n">
        <v>-0</v>
      </c>
      <c r="U225" s="20" t="n">
        <v>0</v>
      </c>
    </row>
    <row r="226">
      <c r="A226" s="18" t="inlineStr">
        <is>
          <t>현금성자산 증감</t>
        </is>
      </c>
      <c r="C226" s="20" t="n">
        <v>85.98399999999999</v>
      </c>
      <c r="E226" s="20" t="n">
        <v>759.506</v>
      </c>
      <c r="G226" s="20" t="n">
        <v>1220.404</v>
      </c>
      <c r="I226" s="20" t="n">
        <v>1001.148</v>
      </c>
      <c r="K226" s="20" t="n">
        <v>-189.928</v>
      </c>
      <c r="M226" s="20" t="n">
        <v>493.542</v>
      </c>
      <c r="O226" s="20" t="n">
        <v>-1417.726</v>
      </c>
      <c r="P226" s="20" t="n">
        <v>-921.7089999999999</v>
      </c>
      <c r="Q226" s="20" t="n">
        <v>-441.408</v>
      </c>
      <c r="R226" s="20" t="n">
        <v>-1043.359</v>
      </c>
      <c r="S226" s="20" t="n">
        <v>680.577</v>
      </c>
      <c r="T226" s="20" t="n">
        <v>533.482</v>
      </c>
      <c r="U226" s="20" t="n">
        <v>-1427.286</v>
      </c>
      <c r="V226" s="20" t="n">
        <v>759.506</v>
      </c>
      <c r="W226" s="20" t="n">
        <v>1001.148</v>
      </c>
      <c r="X226" s="20" t="n">
        <v>493.542</v>
      </c>
    </row>
  </sheetData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143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30" customHeight="1">
      <c r="A1" s="1" t="inlineStr">
        <is>
          <t>6822 재무상태표</t>
        </is>
      </c>
    </row>
    <row r="2">
      <c r="A2" s="44" t="inlineStr">
        <is>
          <t>재무비율은 기말 잔액 기준 · 분기 손익은 최근 4분기 합산(TTM)</t>
        </is>
      </c>
      <c r="B2" s="3" t="inlineStr">
        <is>
          <t>(단위: 백만엔)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2026.1Q</t>
        </is>
      </c>
      <c r="D3" s="5" t="inlineStr">
        <is>
          <t>2026.2Q</t>
        </is>
      </c>
      <c r="E3" s="5" t="inlineStr">
        <is>
          <t>2026.3Q</t>
        </is>
      </c>
      <c r="F3" s="5" t="inlineStr">
        <is>
          <t>2026.4Q</t>
        </is>
      </c>
      <c r="G3" s="5" t="inlineStr">
        <is>
          <t>2027.1Q</t>
        </is>
      </c>
      <c r="H3" s="6" t="inlineStr">
        <is>
          <t>2022</t>
        </is>
      </c>
      <c r="I3" s="5" t="inlineStr">
        <is>
          <t>2023</t>
        </is>
      </c>
      <c r="J3" s="5" t="inlineStr">
        <is>
          <t>2024</t>
        </is>
      </c>
      <c r="K3" s="5" t="inlineStr">
        <is>
          <t>2025</t>
        </is>
      </c>
      <c r="L3" s="5" t="inlineStr">
        <is>
          <t>2026</t>
        </is>
      </c>
    </row>
    <row r="4">
      <c r="A4" s="16" t="inlineStr">
        <is>
          <t>자산</t>
        </is>
      </c>
      <c r="B4" s="16" t="n"/>
      <c r="C4" s="17" t="n"/>
      <c r="D4" s="16" t="n"/>
      <c r="E4" s="16" t="n"/>
      <c r="F4" s="16" t="n"/>
      <c r="G4" s="16" t="n"/>
      <c r="H4" s="17" t="n"/>
      <c r="I4" s="16" t="n"/>
      <c r="J4" s="16" t="n"/>
      <c r="K4" s="16" t="n"/>
      <c r="L4" s="16" t="n"/>
    </row>
    <row r="5">
      <c r="A5" s="9" t="inlineStr">
        <is>
          <t>유동자산</t>
        </is>
      </c>
      <c r="B5" s="10" t="n"/>
      <c r="C5" s="11" t="n">
        <v>16764.298</v>
      </c>
      <c r="D5" s="12" t="n">
        <v>18081.417</v>
      </c>
      <c r="E5" s="12" t="n">
        <v>20466.05</v>
      </c>
      <c r="F5" s="12" t="n">
        <v>21998.517</v>
      </c>
      <c r="G5" s="12" t="n">
        <v>21543.513</v>
      </c>
      <c r="H5" s="11" t="n">
        <v>16788.452</v>
      </c>
      <c r="I5" s="12" t="n">
        <v>16850.338</v>
      </c>
      <c r="J5" s="12" t="n">
        <v>18839.296</v>
      </c>
      <c r="K5" s="12" t="n">
        <v>18145.109</v>
      </c>
      <c r="L5" s="12" t="n">
        <v>21998.517</v>
      </c>
    </row>
    <row r="6">
      <c r="A6" s="18" t="inlineStr">
        <is>
          <t>현금및현금성자산</t>
        </is>
      </c>
      <c r="B6" s="10" t="n"/>
      <c r="C6" s="19" t="n">
        <v>3882.335</v>
      </c>
      <c r="D6" s="20" t="n">
        <v>3694.24</v>
      </c>
      <c r="E6" s="20" t="n">
        <v>3259.74</v>
      </c>
      <c r="F6" s="20" t="n">
        <v>4377.711</v>
      </c>
      <c r="G6" s="20" t="n">
        <v>4571.665</v>
      </c>
      <c r="H6" s="19" t="n">
        <v>3550.801</v>
      </c>
      <c r="I6" s="20" t="n">
        <v>2123.514</v>
      </c>
      <c r="J6" s="20" t="n">
        <v>2883.021</v>
      </c>
      <c r="K6" s="20" t="n">
        <v>3884.169</v>
      </c>
      <c r="L6" s="20" t="n">
        <v>4377.711</v>
      </c>
    </row>
    <row r="7">
      <c r="A7" s="18" t="inlineStr">
        <is>
          <t>단기금융상품</t>
        </is>
      </c>
      <c r="B7" s="10" t="n"/>
      <c r="C7" s="19" t="n"/>
      <c r="D7" s="20" t="n"/>
      <c r="E7" s="20" t="n"/>
      <c r="F7" s="20" t="n"/>
      <c r="G7" s="20" t="n"/>
      <c r="H7" s="19" t="n"/>
      <c r="I7" s="20" t="n"/>
      <c r="J7" s="20" t="n"/>
      <c r="K7" s="20" t="n"/>
      <c r="L7" s="20" t="n"/>
    </row>
    <row r="8">
      <c r="A8" s="18" t="inlineStr">
        <is>
          <t>매출채권</t>
        </is>
      </c>
      <c r="B8" s="10" t="n"/>
      <c r="C8" s="19" t="n">
        <v>4334.153</v>
      </c>
      <c r="D8" s="20" t="n">
        <v>4986.244</v>
      </c>
      <c r="E8" s="20" t="n">
        <v>6154.806</v>
      </c>
      <c r="F8" s="20" t="n">
        <v>9072.254000000001</v>
      </c>
      <c r="G8" s="20" t="n">
        <v>5153.855</v>
      </c>
      <c r="H8" s="19" t="n">
        <v>6048.929</v>
      </c>
      <c r="I8" s="20" t="n">
        <v>6254.73</v>
      </c>
      <c r="J8" s="20" t="n">
        <v>8753.799000000001</v>
      </c>
      <c r="K8" s="20" t="n">
        <v>7982.246</v>
      </c>
      <c r="L8" s="20" t="n">
        <v>9072.254000000001</v>
      </c>
    </row>
    <row r="9">
      <c r="A9" s="18" t="inlineStr">
        <is>
          <t>재고자산</t>
        </is>
      </c>
      <c r="B9" s="10" t="n"/>
      <c r="C9" s="19" t="n">
        <v>7992.563</v>
      </c>
      <c r="D9" s="20" t="n">
        <v>8854.699000000001</v>
      </c>
      <c r="E9" s="20" t="n">
        <v>10100.871</v>
      </c>
      <c r="F9" s="20" t="n">
        <v>7818.433</v>
      </c>
      <c r="G9" s="20" t="n">
        <v>10887.393</v>
      </c>
      <c r="H9" s="19" t="n">
        <v>6592.489</v>
      </c>
      <c r="I9" s="20" t="n">
        <v>8011.617</v>
      </c>
      <c r="J9" s="20" t="n">
        <v>6417.509</v>
      </c>
      <c r="K9" s="20" t="n">
        <v>5843.202</v>
      </c>
      <c r="L9" s="20" t="n">
        <v>7818.433</v>
      </c>
    </row>
    <row r="10">
      <c r="A10" s="18" t="inlineStr">
        <is>
          <t>기타유동자산</t>
        </is>
      </c>
      <c r="B10" s="10" t="inlineStr">
        <is>
          <t>총계 − 위 항목</t>
        </is>
      </c>
      <c r="C10" s="19">
        <f>IF(OR(C5=""),"",IFERROR(C5-SUM(C6,C7,C8,C9),""))</f>
        <v/>
      </c>
      <c r="D10" s="20">
        <f>IF(OR(D5=""),"",IFERROR(D5-SUM(D6,D7,D8,D9),""))</f>
        <v/>
      </c>
      <c r="E10" s="20">
        <f>IF(OR(E5=""),"",IFERROR(E5-SUM(E6,E7,E8,E9),""))</f>
        <v/>
      </c>
      <c r="F10" s="20">
        <f>IF(OR(F5=""),"",IFERROR(F5-SUM(F6,F7,F8,F9),""))</f>
        <v/>
      </c>
      <c r="G10" s="20">
        <f>IF(OR(G5=""),"",IFERROR(G5-SUM(G6,G7,G8,G9),""))</f>
        <v/>
      </c>
      <c r="H10" s="19">
        <f>IF(OR(H5=""),"",IFERROR(H5-SUM(H6,H7,H8,H9),""))</f>
        <v/>
      </c>
      <c r="I10" s="20">
        <f>IF(OR(I5=""),"",IFERROR(I5-SUM(I6,I7,I8,I9),""))</f>
        <v/>
      </c>
      <c r="J10" s="20">
        <f>IF(OR(J5=""),"",IFERROR(J5-SUM(J6,J7,J8,J9),""))</f>
        <v/>
      </c>
      <c r="K10" s="20">
        <f>IF(OR(K5=""),"",IFERROR(K5-SUM(K6,K7,K8,K9),""))</f>
        <v/>
      </c>
      <c r="L10" s="20">
        <f>IF(OR(L5=""),"",IFERROR(L5-SUM(L6,L7,L8,L9),""))</f>
        <v/>
      </c>
    </row>
    <row r="11">
      <c r="A11" s="9" t="inlineStr">
        <is>
          <t>비유동자산</t>
        </is>
      </c>
      <c r="B11" s="10" t="n"/>
      <c r="C11" s="11" t="n">
        <v>5977.233</v>
      </c>
      <c r="D11" s="12" t="n">
        <v>5931.32</v>
      </c>
      <c r="E11" s="12" t="n">
        <v>5880.174</v>
      </c>
      <c r="F11" s="12" t="n">
        <v>6297.752</v>
      </c>
      <c r="G11" s="12" t="n">
        <v>6362.478</v>
      </c>
      <c r="H11" s="11" t="n">
        <v>5007.721</v>
      </c>
      <c r="I11" s="12" t="n">
        <v>4782.958</v>
      </c>
      <c r="J11" s="12" t="n">
        <v>5042.661</v>
      </c>
      <c r="K11" s="12" t="n">
        <v>5504.853</v>
      </c>
      <c r="L11" s="12" t="n">
        <v>6297.752</v>
      </c>
    </row>
    <row r="12">
      <c r="A12" s="18" t="inlineStr">
        <is>
          <t>유형자산</t>
        </is>
      </c>
      <c r="B12" s="10" t="n"/>
      <c r="C12" s="19" t="n">
        <v>3412.372</v>
      </c>
      <c r="D12" s="20" t="n">
        <v>3367.598</v>
      </c>
      <c r="E12" s="20" t="n">
        <v>3288.388</v>
      </c>
      <c r="F12" s="20" t="n">
        <v>3421.263</v>
      </c>
      <c r="G12" s="20" t="n">
        <v>3378.684</v>
      </c>
      <c r="H12" s="19" t="n">
        <v>2969.301</v>
      </c>
      <c r="I12" s="20" t="n">
        <v>2805.94</v>
      </c>
      <c r="J12" s="20" t="n">
        <v>2695.451</v>
      </c>
      <c r="K12" s="20" t="n">
        <v>3050.254</v>
      </c>
      <c r="L12" s="20" t="n">
        <v>3421.263</v>
      </c>
    </row>
    <row r="13">
      <c r="A13" s="18" t="inlineStr">
        <is>
          <t>무형자산</t>
        </is>
      </c>
      <c r="B13" s="10" t="n"/>
      <c r="C13" s="19" t="n">
        <v>641.102</v>
      </c>
      <c r="D13" s="20" t="n">
        <v>614.699</v>
      </c>
      <c r="E13" s="20" t="n">
        <v>585.806</v>
      </c>
      <c r="F13" s="20" t="n">
        <v>609.761</v>
      </c>
      <c r="G13" s="20" t="n">
        <v>575.126</v>
      </c>
      <c r="H13" s="19" t="n">
        <v>537.021</v>
      </c>
      <c r="I13" s="20" t="n">
        <v>640.621</v>
      </c>
      <c r="J13" s="20" t="n">
        <v>747.854</v>
      </c>
      <c r="K13" s="20" t="n">
        <v>675.597</v>
      </c>
      <c r="L13" s="20" t="n">
        <v>609.761</v>
      </c>
    </row>
    <row r="14">
      <c r="A14" s="18" t="inlineStr">
        <is>
          <t>투자부동산</t>
        </is>
      </c>
      <c r="B14" s="10" t="n"/>
      <c r="C14" s="19" t="n"/>
      <c r="D14" s="20" t="n"/>
      <c r="E14" s="20" t="n"/>
      <c r="F14" s="20" t="n"/>
      <c r="G14" s="20" t="n"/>
      <c r="H14" s="19" t="n"/>
      <c r="I14" s="20" t="n"/>
      <c r="J14" s="20" t="n"/>
      <c r="K14" s="20" t="n"/>
      <c r="L14" s="20" t="n"/>
    </row>
    <row r="15">
      <c r="A15" s="18" t="inlineStr">
        <is>
          <t>기타비유동자산</t>
        </is>
      </c>
      <c r="B15" s="10" t="inlineStr">
        <is>
          <t>총계 − 위 항목</t>
        </is>
      </c>
      <c r="C15" s="19">
        <f>IF(OR(C11=""),"",IFERROR(C11-SUM(C12,C13,C14),""))</f>
        <v/>
      </c>
      <c r="D15" s="20">
        <f>IF(OR(D11=""),"",IFERROR(D11-SUM(D12,D13,D14),""))</f>
        <v/>
      </c>
      <c r="E15" s="20">
        <f>IF(OR(E11=""),"",IFERROR(E11-SUM(E12,E13,E14),""))</f>
        <v/>
      </c>
      <c r="F15" s="20">
        <f>IF(OR(F11=""),"",IFERROR(F11-SUM(F12,F13,F14),""))</f>
        <v/>
      </c>
      <c r="G15" s="20">
        <f>IF(OR(G11=""),"",IFERROR(G11-SUM(G12,G13,G14),""))</f>
        <v/>
      </c>
      <c r="H15" s="19">
        <f>IF(OR(H11=""),"",IFERROR(H11-SUM(H12,H13,H14),""))</f>
        <v/>
      </c>
      <c r="I15" s="20">
        <f>IF(OR(I11=""),"",IFERROR(I11-SUM(I12,I13,I14),""))</f>
        <v/>
      </c>
      <c r="J15" s="20">
        <f>IF(OR(J11=""),"",IFERROR(J11-SUM(J12,J13,J14),""))</f>
        <v/>
      </c>
      <c r="K15" s="20">
        <f>IF(OR(K11=""),"",IFERROR(K11-SUM(K12,K13,K14),""))</f>
        <v/>
      </c>
      <c r="L15" s="20">
        <f>IF(OR(L11=""),"",IFERROR(L11-SUM(L12,L13,L14),""))</f>
        <v/>
      </c>
    </row>
    <row r="16">
      <c r="A16" s="9" t="inlineStr">
        <is>
          <t>자산총계</t>
        </is>
      </c>
      <c r="B16" s="10" t="n"/>
      <c r="C16" s="11" t="n">
        <v>22741.531</v>
      </c>
      <c r="D16" s="12" t="n">
        <v>24012.737</v>
      </c>
      <c r="E16" s="12" t="n">
        <v>26346.225</v>
      </c>
      <c r="F16" s="12" t="n">
        <v>28296.269</v>
      </c>
      <c r="G16" s="12" t="n">
        <v>27905.991</v>
      </c>
      <c r="H16" s="11" t="n">
        <v>21796.174</v>
      </c>
      <c r="I16" s="12" t="n">
        <v>21633.296</v>
      </c>
      <c r="J16" s="12" t="n">
        <v>23881.958</v>
      </c>
      <c r="K16" s="12" t="n">
        <v>23649.963</v>
      </c>
      <c r="L16" s="12" t="n">
        <v>28296.269</v>
      </c>
    </row>
    <row r="17">
      <c r="A17" s="16" t="inlineStr">
        <is>
          <t>부채</t>
        </is>
      </c>
      <c r="B17" s="16" t="n"/>
      <c r="C17" s="17" t="n"/>
      <c r="D17" s="16" t="n"/>
      <c r="E17" s="16" t="n"/>
      <c r="F17" s="16" t="n"/>
      <c r="G17" s="16" t="n"/>
      <c r="H17" s="17" t="n"/>
      <c r="I17" s="16" t="n"/>
      <c r="J17" s="16" t="n"/>
      <c r="K17" s="16" t="n"/>
      <c r="L17" s="16" t="n"/>
    </row>
    <row r="18">
      <c r="A18" s="9" t="inlineStr">
        <is>
          <t>유동부채</t>
        </is>
      </c>
      <c r="B18" s="10" t="n"/>
      <c r="C18" s="11" t="n">
        <v>10411.69</v>
      </c>
      <c r="D18" s="12" t="n">
        <v>11191.322</v>
      </c>
      <c r="E18" s="12" t="n">
        <v>13081.939</v>
      </c>
      <c r="F18" s="12" t="n">
        <v>14007.814</v>
      </c>
      <c r="G18" s="12" t="n">
        <v>13829.219</v>
      </c>
      <c r="H18" s="11" t="n">
        <v>10861.271</v>
      </c>
      <c r="I18" s="12" t="n">
        <v>11444.345</v>
      </c>
      <c r="J18" s="12" t="n">
        <v>12847.163</v>
      </c>
      <c r="K18" s="12" t="n">
        <v>11380.087</v>
      </c>
      <c r="L18" s="12" t="n">
        <v>14007.814</v>
      </c>
    </row>
    <row r="19">
      <c r="A19" s="18" t="inlineStr">
        <is>
          <t>매입채무</t>
        </is>
      </c>
      <c r="B19" s="10" t="n"/>
      <c r="C19" s="19" t="n">
        <v>2355.48</v>
      </c>
      <c r="D19" s="20" t="n">
        <v>2960.932</v>
      </c>
      <c r="E19" s="20" t="n">
        <v>3399.952</v>
      </c>
      <c r="F19" s="20" t="n">
        <v>3675.38</v>
      </c>
      <c r="G19" s="20" t="n">
        <v>2751.534</v>
      </c>
      <c r="H19" s="19" t="n">
        <v>1803.578</v>
      </c>
      <c r="I19" s="20" t="n">
        <v>2030.482</v>
      </c>
      <c r="J19" s="20" t="n">
        <v>2319.534</v>
      </c>
      <c r="K19" s="20" t="n">
        <v>2393.405</v>
      </c>
      <c r="L19" s="20" t="n">
        <v>3675.38</v>
      </c>
    </row>
    <row r="20">
      <c r="A20" s="18" t="inlineStr">
        <is>
          <t>단기차입금</t>
        </is>
      </c>
      <c r="B20" s="10" t="n"/>
      <c r="C20" s="19" t="n">
        <v>4530</v>
      </c>
      <c r="D20" s="20" t="n">
        <v>4380</v>
      </c>
      <c r="E20" s="20" t="n">
        <v>5530</v>
      </c>
      <c r="F20" s="20" t="n">
        <v>4530</v>
      </c>
      <c r="G20" s="20" t="n">
        <v>4730</v>
      </c>
      <c r="H20" s="19" t="n">
        <v>6030</v>
      </c>
      <c r="I20" s="20" t="n">
        <v>6530</v>
      </c>
      <c r="J20" s="20" t="n">
        <v>6030</v>
      </c>
      <c r="K20" s="20" t="n">
        <v>4830</v>
      </c>
      <c r="L20" s="20" t="n">
        <v>4530</v>
      </c>
    </row>
    <row r="21">
      <c r="A21" s="18" t="inlineStr">
        <is>
          <t>유동성장기부채</t>
        </is>
      </c>
      <c r="B21" s="10" t="n"/>
      <c r="C21" s="19" t="n">
        <v>54.756</v>
      </c>
      <c r="D21" s="20" t="n">
        <v>92.256</v>
      </c>
      <c r="E21" s="20" t="n">
        <v>92.256</v>
      </c>
      <c r="F21" s="20" t="n">
        <v>92.256</v>
      </c>
      <c r="G21" s="20" t="n">
        <v>92.256</v>
      </c>
      <c r="H21" s="19" t="n">
        <v>112.344</v>
      </c>
      <c r="I21" s="20" t="n">
        <v>80.08</v>
      </c>
      <c r="J21" s="20" t="n">
        <v>54.756</v>
      </c>
      <c r="K21" s="20" t="n">
        <v>54.756</v>
      </c>
      <c r="L21" s="20" t="n">
        <v>92.256</v>
      </c>
    </row>
    <row r="22">
      <c r="A22" s="18" t="inlineStr">
        <is>
          <t>기타유동부채</t>
        </is>
      </c>
      <c r="B22" s="10" t="inlineStr">
        <is>
          <t>총계 − 위 항목</t>
        </is>
      </c>
      <c r="C22" s="19">
        <f>IF(OR(C18=""),"",IFERROR(C18-SUM(C19,C20,C21),""))</f>
        <v/>
      </c>
      <c r="D22" s="20">
        <f>IF(OR(D18=""),"",IFERROR(D18-SUM(D19,D20,D21),""))</f>
        <v/>
      </c>
      <c r="E22" s="20">
        <f>IF(OR(E18=""),"",IFERROR(E18-SUM(E19,E20,E21),""))</f>
        <v/>
      </c>
      <c r="F22" s="20">
        <f>IF(OR(F18=""),"",IFERROR(F18-SUM(F19,F20,F21),""))</f>
        <v/>
      </c>
      <c r="G22" s="20">
        <f>IF(OR(G18=""),"",IFERROR(G18-SUM(G19,G20,G21),""))</f>
        <v/>
      </c>
      <c r="H22" s="19">
        <f>IF(OR(H18=""),"",IFERROR(H18-SUM(H19,H20,H21),""))</f>
        <v/>
      </c>
      <c r="I22" s="20">
        <f>IF(OR(I18=""),"",IFERROR(I18-SUM(I19,I20,I21),""))</f>
        <v/>
      </c>
      <c r="J22" s="20">
        <f>IF(OR(J18=""),"",IFERROR(J18-SUM(J19,J20,J21),""))</f>
        <v/>
      </c>
      <c r="K22" s="20">
        <f>IF(OR(K18=""),"",IFERROR(K18-SUM(K19,K20,K21),""))</f>
        <v/>
      </c>
      <c r="L22" s="20">
        <f>IF(OR(L18=""),"",IFERROR(L18-SUM(L19,L20,L21),""))</f>
        <v/>
      </c>
    </row>
    <row r="23">
      <c r="A23" s="9" t="inlineStr">
        <is>
          <t>비유동부채</t>
        </is>
      </c>
      <c r="B23" s="10" t="n"/>
      <c r="C23" s="11" t="n">
        <v>3337.534</v>
      </c>
      <c r="D23" s="12" t="n">
        <v>3565.97</v>
      </c>
      <c r="E23" s="12" t="n">
        <v>3534.239</v>
      </c>
      <c r="F23" s="12" t="n">
        <v>3300.285</v>
      </c>
      <c r="G23" s="12" t="n">
        <v>3289.938</v>
      </c>
      <c r="H23" s="11" t="n">
        <v>3529.703</v>
      </c>
      <c r="I23" s="12" t="n">
        <v>3604.299</v>
      </c>
      <c r="J23" s="12" t="n">
        <v>3041.315</v>
      </c>
      <c r="K23" s="12" t="n">
        <v>3381.24</v>
      </c>
      <c r="L23" s="12" t="n">
        <v>3300.285</v>
      </c>
    </row>
    <row r="24">
      <c r="A24" s="18" t="inlineStr">
        <is>
          <t>장기차입금</t>
        </is>
      </c>
      <c r="B24" s="10" t="n"/>
      <c r="C24" s="19" t="n">
        <v>379.909</v>
      </c>
      <c r="D24" s="20" t="n">
        <v>622.47</v>
      </c>
      <c r="E24" s="20" t="n">
        <v>602.5309999999999</v>
      </c>
      <c r="F24" s="20" t="n">
        <v>576.342</v>
      </c>
      <c r="G24" s="20" t="n">
        <v>553.278</v>
      </c>
      <c r="H24" s="19" t="n">
        <v>583.1900000000001</v>
      </c>
      <c r="I24" s="20" t="n">
        <v>503.11</v>
      </c>
      <c r="J24" s="20" t="n">
        <v>448.354</v>
      </c>
      <c r="K24" s="20" t="n">
        <v>393.598</v>
      </c>
      <c r="L24" s="20" t="n">
        <v>576.342</v>
      </c>
    </row>
    <row r="25">
      <c r="A25" s="18" t="inlineStr">
        <is>
          <t>사채</t>
        </is>
      </c>
      <c r="B25" s="10" t="n"/>
      <c r="C25" s="19" t="n"/>
      <c r="D25" s="20" t="n"/>
      <c r="E25" s="20" t="n"/>
      <c r="F25" s="20" t="n"/>
      <c r="G25" s="20" t="n"/>
      <c r="H25" s="19" t="n"/>
      <c r="I25" s="20" t="n"/>
      <c r="J25" s="20" t="n"/>
      <c r="K25" s="20" t="n"/>
      <c r="L25" s="20" t="n"/>
    </row>
    <row r="26">
      <c r="A26" s="18" t="inlineStr">
        <is>
          <t>기타비유동부채</t>
        </is>
      </c>
      <c r="B26" s="10" t="inlineStr">
        <is>
          <t>총계 − 위 항목</t>
        </is>
      </c>
      <c r="C26" s="19">
        <f>IF(OR(C23=""),"",IFERROR(C23-SUM(C24,C25),""))</f>
        <v/>
      </c>
      <c r="D26" s="20">
        <f>IF(OR(D23=""),"",IFERROR(D23-SUM(D24,D25),""))</f>
        <v/>
      </c>
      <c r="E26" s="20">
        <f>IF(OR(E23=""),"",IFERROR(E23-SUM(E24,E25),""))</f>
        <v/>
      </c>
      <c r="F26" s="20">
        <f>IF(OR(F23=""),"",IFERROR(F23-SUM(F24,F25),""))</f>
        <v/>
      </c>
      <c r="G26" s="20">
        <f>IF(OR(G23=""),"",IFERROR(G23-SUM(G24,G25),""))</f>
        <v/>
      </c>
      <c r="H26" s="19">
        <f>IF(OR(H23=""),"",IFERROR(H23-SUM(H24,H25),""))</f>
        <v/>
      </c>
      <c r="I26" s="20">
        <f>IF(OR(I23=""),"",IFERROR(I23-SUM(I24,I25),""))</f>
        <v/>
      </c>
      <c r="J26" s="20">
        <f>IF(OR(J23=""),"",IFERROR(J23-SUM(J24,J25),""))</f>
        <v/>
      </c>
      <c r="K26" s="20">
        <f>IF(OR(K23=""),"",IFERROR(K23-SUM(K24,K25),""))</f>
        <v/>
      </c>
      <c r="L26" s="20">
        <f>IF(OR(L23=""),"",IFERROR(L23-SUM(L24,L25),""))</f>
        <v/>
      </c>
    </row>
    <row r="27">
      <c r="A27" s="9" t="inlineStr">
        <is>
          <t>부채총계</t>
        </is>
      </c>
      <c r="B27" s="10" t="n"/>
      <c r="C27" s="11" t="n">
        <v>13749.225</v>
      </c>
      <c r="D27" s="12" t="n">
        <v>14757.292</v>
      </c>
      <c r="E27" s="12" t="n">
        <v>16616.178</v>
      </c>
      <c r="F27" s="12" t="n">
        <v>17308.099</v>
      </c>
      <c r="G27" s="12" t="n">
        <v>17119.157</v>
      </c>
      <c r="H27" s="11" t="n">
        <v>14390.975</v>
      </c>
      <c r="I27" s="12" t="n">
        <v>15048.645</v>
      </c>
      <c r="J27" s="12" t="n">
        <v>15888.478</v>
      </c>
      <c r="K27" s="12" t="n">
        <v>14761.327</v>
      </c>
      <c r="L27" s="12" t="n">
        <v>17308.099</v>
      </c>
    </row>
    <row r="28">
      <c r="A28" s="18" t="inlineStr">
        <is>
          <t>총차입금</t>
        </is>
      </c>
      <c r="B28" s="10" t="inlineStr">
        <is>
          <t>단기+유동성장기+장기+사채</t>
        </is>
      </c>
      <c r="C28" s="19">
        <f>SUM(C20,C21,C24,C25)</f>
        <v/>
      </c>
      <c r="D28" s="20">
        <f>SUM(D20,D21,D24,D25)</f>
        <v/>
      </c>
      <c r="E28" s="20">
        <f>SUM(E20,E21,E24,E25)</f>
        <v/>
      </c>
      <c r="F28" s="20">
        <f>SUM(F20,F21,F24,F25)</f>
        <v/>
      </c>
      <c r="G28" s="20">
        <f>SUM(G20,G21,G24,G25)</f>
        <v/>
      </c>
      <c r="H28" s="19">
        <f>SUM(H20,H21,H24,H25)</f>
        <v/>
      </c>
      <c r="I28" s="20">
        <f>SUM(I20,I21,I24,I25)</f>
        <v/>
      </c>
      <c r="J28" s="20">
        <f>SUM(J20,J21,J24,J25)</f>
        <v/>
      </c>
      <c r="K28" s="20">
        <f>SUM(K20,K21,K24,K25)</f>
        <v/>
      </c>
      <c r="L28" s="20">
        <f>SUM(L20,L21,L24,L25)</f>
        <v/>
      </c>
    </row>
    <row r="29">
      <c r="A29" s="18" t="inlineStr">
        <is>
          <t>순차입금</t>
        </is>
      </c>
      <c r="B29" s="10" t="inlineStr">
        <is>
          <t>음수 = 순현금</t>
        </is>
      </c>
      <c r="C29" s="19">
        <f>C28-C6-N(C7)</f>
        <v/>
      </c>
      <c r="D29" s="20">
        <f>D28-D6-N(D7)</f>
        <v/>
      </c>
      <c r="E29" s="20">
        <f>E28-E6-N(E7)</f>
        <v/>
      </c>
      <c r="F29" s="20">
        <f>F28-F6-N(F7)</f>
        <v/>
      </c>
      <c r="G29" s="20">
        <f>G28-G6-N(G7)</f>
        <v/>
      </c>
      <c r="H29" s="19">
        <f>H28-H6-N(H7)</f>
        <v/>
      </c>
      <c r="I29" s="20">
        <f>I28-I6-N(I7)</f>
        <v/>
      </c>
      <c r="J29" s="20">
        <f>J28-J6-N(J7)</f>
        <v/>
      </c>
      <c r="K29" s="20">
        <f>K28-K6-N(K7)</f>
        <v/>
      </c>
      <c r="L29" s="20">
        <f>L28-L6-N(L7)</f>
        <v/>
      </c>
    </row>
    <row r="30">
      <c r="A30" s="16" t="inlineStr">
        <is>
          <t>자본</t>
        </is>
      </c>
      <c r="B30" s="16" t="n"/>
      <c r="C30" s="17" t="n"/>
      <c r="D30" s="16" t="n"/>
      <c r="E30" s="16" t="n"/>
      <c r="F30" s="16" t="n"/>
      <c r="G30" s="16" t="n"/>
      <c r="H30" s="17" t="n"/>
      <c r="I30" s="16" t="n"/>
      <c r="J30" s="16" t="n"/>
      <c r="K30" s="16" t="n"/>
      <c r="L30" s="16" t="n"/>
    </row>
    <row r="31">
      <c r="A31" s="9" t="inlineStr">
        <is>
          <t>지배주주지분</t>
        </is>
      </c>
      <c r="B31" s="10" t="n"/>
      <c r="C31" s="11" t="n">
        <v>7172.921</v>
      </c>
      <c r="D31" s="12" t="n">
        <v>7451.313</v>
      </c>
      <c r="E31" s="12" t="n">
        <v>7867.505</v>
      </c>
      <c r="F31" s="12" t="n">
        <v>9008.583000000001</v>
      </c>
      <c r="G31" s="12" t="n">
        <v>8797.944</v>
      </c>
      <c r="H31" s="11" t="n">
        <v>6031.414</v>
      </c>
      <c r="I31" s="12" t="n">
        <v>5097.163</v>
      </c>
      <c r="J31" s="12" t="n">
        <v>6331.032</v>
      </c>
      <c r="K31" s="12" t="n">
        <v>7053.731</v>
      </c>
      <c r="L31" s="12" t="n">
        <v>9008.583000000001</v>
      </c>
    </row>
    <row r="32">
      <c r="A32" s="18" t="inlineStr">
        <is>
          <t>자본금</t>
        </is>
      </c>
      <c r="B32" s="10" t="n"/>
      <c r="C32" s="19" t="n">
        <v>2708.389</v>
      </c>
      <c r="D32" s="20" t="n">
        <v>2708.389</v>
      </c>
      <c r="E32" s="20" t="n">
        <v>2708.389</v>
      </c>
      <c r="F32" s="20" t="n">
        <v>2708.389</v>
      </c>
      <c r="G32" s="20" t="n">
        <v>2708.389</v>
      </c>
      <c r="H32" s="19" t="n">
        <v>2708.389</v>
      </c>
      <c r="I32" s="20" t="n">
        <v>2708.389</v>
      </c>
      <c r="J32" s="20" t="n">
        <v>2708.389</v>
      </c>
      <c r="K32" s="20" t="n">
        <v>2708.389</v>
      </c>
      <c r="L32" s="20" t="n">
        <v>2708.389</v>
      </c>
    </row>
    <row r="33">
      <c r="A33" s="18" t="inlineStr">
        <is>
          <t>이익잉여금</t>
        </is>
      </c>
      <c r="B33" s="10" t="n"/>
      <c r="C33" s="19" t="n">
        <v>3340.247</v>
      </c>
      <c r="D33" s="20" t="n">
        <v>3473.714</v>
      </c>
      <c r="E33" s="20" t="n">
        <v>3808.632</v>
      </c>
      <c r="F33" s="20" t="n">
        <v>4611.719</v>
      </c>
      <c r="G33" s="20" t="n">
        <v>4311.19</v>
      </c>
      <c r="H33" s="19" t="n">
        <v>2294.557</v>
      </c>
      <c r="I33" s="20" t="n">
        <v>1482.05</v>
      </c>
      <c r="J33" s="20" t="n">
        <v>2240.116</v>
      </c>
      <c r="K33" s="20" t="n">
        <v>3273.82</v>
      </c>
      <c r="L33" s="20" t="n">
        <v>4611.719</v>
      </c>
    </row>
    <row r="34">
      <c r="A34" s="18" t="inlineStr">
        <is>
          <t>비지배지분</t>
        </is>
      </c>
      <c r="B34" s="10" t="n"/>
      <c r="C34" s="19" t="n">
        <v>1819.385</v>
      </c>
      <c r="D34" s="20" t="n">
        <v>1804.132</v>
      </c>
      <c r="E34" s="20" t="n">
        <v>1862.541</v>
      </c>
      <c r="F34" s="20" t="n">
        <v>1979.586</v>
      </c>
      <c r="G34" s="20" t="n">
        <v>1988.89</v>
      </c>
      <c r="H34" s="19" t="n">
        <v>1373.785</v>
      </c>
      <c r="I34" s="20" t="n">
        <v>1487.488</v>
      </c>
      <c r="J34" s="20" t="n">
        <v>1662.447</v>
      </c>
      <c r="K34" s="20" t="n">
        <v>1834.904</v>
      </c>
      <c r="L34" s="20" t="n">
        <v>1979.586</v>
      </c>
    </row>
    <row r="35">
      <c r="A35" s="9" t="inlineStr">
        <is>
          <t>자본총계</t>
        </is>
      </c>
      <c r="B35" s="10" t="n"/>
      <c r="C35" s="11" t="n">
        <v>8992.306</v>
      </c>
      <c r="D35" s="12" t="n">
        <v>9255.445</v>
      </c>
      <c r="E35" s="12" t="n">
        <v>9730.046</v>
      </c>
      <c r="F35" s="12" t="n">
        <v>10988.169</v>
      </c>
      <c r="G35" s="12" t="n">
        <v>10786.834</v>
      </c>
      <c r="H35" s="11" t="n">
        <v>7405.199</v>
      </c>
      <c r="I35" s="12" t="n">
        <v>6584.651</v>
      </c>
      <c r="J35" s="12" t="n">
        <v>7993.479</v>
      </c>
      <c r="K35" s="12" t="n">
        <v>8888.635</v>
      </c>
      <c r="L35" s="12" t="n">
        <v>10988.169</v>
      </c>
    </row>
    <row r="36">
      <c r="A36" s="16" t="inlineStr">
        <is>
          <t>현금흐름 요약</t>
        </is>
      </c>
      <c r="B36" s="16" t="inlineStr">
        <is>
          <t>분기 = TTM (있을 때만)</t>
        </is>
      </c>
      <c r="C36" s="17" t="n"/>
      <c r="D36" s="16" t="n"/>
      <c r="E36" s="16" t="n"/>
      <c r="F36" s="16" t="n"/>
      <c r="G36" s="16" t="n"/>
      <c r="H36" s="17" t="n"/>
      <c r="I36" s="16" t="n"/>
      <c r="J36" s="16" t="n"/>
      <c r="K36" s="16" t="n"/>
      <c r="L36" s="16" t="n"/>
    </row>
    <row r="37">
      <c r="A37" s="9" t="inlineStr">
        <is>
          <t>영업활동현금흐름</t>
        </is>
      </c>
      <c r="B37" s="10" t="n"/>
      <c r="C37" s="11" t="n"/>
      <c r="D37" s="12" t="n">
        <v>1898.098</v>
      </c>
      <c r="E37" s="12" t="n"/>
      <c r="F37" s="12" t="n">
        <v>1676.933</v>
      </c>
      <c r="G37" s="12" t="n"/>
      <c r="H37" s="11" t="n">
        <v>-1102.458</v>
      </c>
      <c r="I37" s="12" t="n">
        <v>-1518.985</v>
      </c>
      <c r="J37" s="12" t="n">
        <v>1641.427</v>
      </c>
      <c r="K37" s="12" t="n">
        <v>2778.212</v>
      </c>
      <c r="L37" s="12" t="n">
        <v>1676.933</v>
      </c>
    </row>
    <row r="38">
      <c r="A38" s="18" t="inlineStr">
        <is>
          <t>CAPEX (유·무형 취득)</t>
        </is>
      </c>
      <c r="B38" s="10" t="inlineStr">
        <is>
          <t>양수로 입력</t>
        </is>
      </c>
      <c r="C38" s="19" t="n"/>
      <c r="D38" s="20" t="n">
        <v>870.759</v>
      </c>
      <c r="E38" s="20" t="n"/>
      <c r="F38" s="20" t="n">
        <v>1043.71</v>
      </c>
      <c r="G38" s="20" t="n"/>
      <c r="H38" s="19" t="n">
        <v>957.705</v>
      </c>
      <c r="I38" s="20" t="n">
        <v>411.416</v>
      </c>
      <c r="J38" s="20" t="n">
        <v>387.083</v>
      </c>
      <c r="K38" s="20" t="n">
        <v>493.787</v>
      </c>
      <c r="L38" s="20" t="n">
        <v>1043.71</v>
      </c>
    </row>
    <row r="39">
      <c r="A39" s="9" t="inlineStr">
        <is>
          <t>FCF</t>
        </is>
      </c>
      <c r="B39" s="10" t="n"/>
      <c r="C39" s="11">
        <f>IF(OR(C37="",C38=""),"",IFERROR(C37-C38,""))</f>
        <v/>
      </c>
      <c r="D39" s="12">
        <f>IF(OR(D37="",D38=""),"",IFERROR(D37-D38,""))</f>
        <v/>
      </c>
      <c r="E39" s="12">
        <f>IF(OR(E37="",E38=""),"",IFERROR(E37-E38,""))</f>
        <v/>
      </c>
      <c r="F39" s="12">
        <f>IF(OR(F37="",F38=""),"",IFERROR(F37-F38,""))</f>
        <v/>
      </c>
      <c r="G39" s="12">
        <f>IF(OR(G37="",G38=""),"",IFERROR(G37-G38,""))</f>
        <v/>
      </c>
      <c r="H39" s="11">
        <f>IF(OR(H37="",H38=""),"",IFERROR(H37-H38,""))</f>
        <v/>
      </c>
      <c r="I39" s="12">
        <f>IF(OR(I37="",I38=""),"",IFERROR(I37-I38,""))</f>
        <v/>
      </c>
      <c r="J39" s="12">
        <f>IF(OR(J37="",J38=""),"",IFERROR(J37-J38,""))</f>
        <v/>
      </c>
      <c r="K39" s="12">
        <f>IF(OR(K37="",K38=""),"",IFERROR(K37-K38,""))</f>
        <v/>
      </c>
      <c r="L39" s="12">
        <f>IF(OR(L37="",L38=""),"",IFERROR(L37-L38,""))</f>
        <v/>
      </c>
    </row>
    <row r="40">
      <c r="A40" s="18" t="inlineStr">
        <is>
          <t>배당금 지급</t>
        </is>
      </c>
      <c r="B40" s="10" t="inlineStr">
        <is>
          <t>양수로 입력</t>
        </is>
      </c>
      <c r="C40" s="19" t="n"/>
      <c r="D40" s="20" t="n"/>
      <c r="E40" s="20" t="n"/>
      <c r="F40" s="20" t="n">
        <v>26.757</v>
      </c>
      <c r="G40" s="20" t="n"/>
      <c r="H40" s="19" t="n">
        <v>64.791</v>
      </c>
      <c r="I40" s="20" t="n">
        <v>0</v>
      </c>
      <c r="J40" s="20" t="n"/>
      <c r="K40" s="20" t="n">
        <v>0</v>
      </c>
      <c r="L40" s="20" t="n">
        <v>26.757</v>
      </c>
    </row>
    <row r="41">
      <c r="A41" s="16" t="inlineStr">
        <is>
          <t>주요 재무 비율</t>
        </is>
      </c>
      <c r="B41" s="16" t="inlineStr">
        <is>
          <t>기준 (빨간 글씨 = 미달)</t>
        </is>
      </c>
      <c r="C41" s="17" t="n"/>
      <c r="D41" s="16" t="n"/>
      <c r="E41" s="16" t="n"/>
      <c r="F41" s="16" t="n"/>
      <c r="G41" s="16" t="n"/>
      <c r="H41" s="17" t="n"/>
      <c r="I41" s="16" t="n"/>
      <c r="J41" s="16" t="n"/>
      <c r="K41" s="16" t="n"/>
      <c r="L41" s="16" t="n"/>
    </row>
    <row r="42">
      <c r="A42" s="23" t="inlineStr">
        <is>
          <t>안정성</t>
        </is>
      </c>
      <c r="B42" s="23" t="n"/>
      <c r="C42" s="24" t="n"/>
      <c r="D42" s="23" t="n"/>
      <c r="E42" s="23" t="n"/>
      <c r="F42" s="23" t="n"/>
      <c r="G42" s="23" t="n"/>
      <c r="H42" s="24" t="n"/>
      <c r="I42" s="23" t="n"/>
      <c r="J42" s="23" t="n"/>
      <c r="K42" s="23" t="n"/>
      <c r="L42" s="23" t="n"/>
    </row>
    <row r="43">
      <c r="A43" s="45" t="inlineStr">
        <is>
          <t>부채비율</t>
        </is>
      </c>
      <c r="B43" s="10" t="inlineStr">
        <is>
          <t>100%↓</t>
        </is>
      </c>
      <c r="C43" s="35">
        <f>IF(OR(C27="",C35=""),"",IFERROR(C27/C35,""))</f>
        <v/>
      </c>
      <c r="D43" s="36">
        <f>IF(OR(D27="",D35=""),"",IFERROR(D27/D35,""))</f>
        <v/>
      </c>
      <c r="E43" s="36">
        <f>IF(OR(E27="",E35=""),"",IFERROR(E27/E35,""))</f>
        <v/>
      </c>
      <c r="F43" s="36">
        <f>IF(OR(F27="",F35=""),"",IFERROR(F27/F35,""))</f>
        <v/>
      </c>
      <c r="G43" s="36">
        <f>IF(OR(G27="",G35=""),"",IFERROR(G27/G35,""))</f>
        <v/>
      </c>
      <c r="H43" s="35">
        <f>IF(OR(H27="",H35=""),"",IFERROR(H27/H35,""))</f>
        <v/>
      </c>
      <c r="I43" s="36">
        <f>IF(OR(I27="",I35=""),"",IFERROR(I27/I35,""))</f>
        <v/>
      </c>
      <c r="J43" s="36">
        <f>IF(OR(J27="",J35=""),"",IFERROR(J27/J35,""))</f>
        <v/>
      </c>
      <c r="K43" s="36">
        <f>IF(OR(K27="",K35=""),"",IFERROR(K27/K35,""))</f>
        <v/>
      </c>
      <c r="L43" s="36">
        <f>IF(OR(L27="",L35=""),"",IFERROR(L27/L35,""))</f>
        <v/>
      </c>
    </row>
    <row r="44">
      <c r="A44" s="45" t="inlineStr">
        <is>
          <t>순차입금비율</t>
        </is>
      </c>
      <c r="B44" s="10" t="inlineStr">
        <is>
          <t>0%↓ 순현금</t>
        </is>
      </c>
      <c r="C44" s="35">
        <f>IF(OR(C29="",C35=""),"",IFERROR(C29/C35,""))</f>
        <v/>
      </c>
      <c r="D44" s="36">
        <f>IF(OR(D29="",D35=""),"",IFERROR(D29/D35,""))</f>
        <v/>
      </c>
      <c r="E44" s="36">
        <f>IF(OR(E29="",E35=""),"",IFERROR(E29/E35,""))</f>
        <v/>
      </c>
      <c r="F44" s="36">
        <f>IF(OR(F29="",F35=""),"",IFERROR(F29/F35,""))</f>
        <v/>
      </c>
      <c r="G44" s="36">
        <f>IF(OR(G29="",G35=""),"",IFERROR(G29/G35,""))</f>
        <v/>
      </c>
      <c r="H44" s="35">
        <f>IF(OR(H29="",H35=""),"",IFERROR(H29/H35,""))</f>
        <v/>
      </c>
      <c r="I44" s="36">
        <f>IF(OR(I29="",I35=""),"",IFERROR(I29/I35,""))</f>
        <v/>
      </c>
      <c r="J44" s="36">
        <f>IF(OR(J29="",J35=""),"",IFERROR(J29/J35,""))</f>
        <v/>
      </c>
      <c r="K44" s="36">
        <f>IF(OR(K29="",K35=""),"",IFERROR(K29/K35,""))</f>
        <v/>
      </c>
      <c r="L44" s="36">
        <f>IF(OR(L29="",L35=""),"",IFERROR(L29/L35,""))</f>
        <v/>
      </c>
    </row>
    <row r="45">
      <c r="A45" s="45" t="inlineStr">
        <is>
          <t>자기자본비율</t>
        </is>
      </c>
      <c r="B45" s="10" t="inlineStr">
        <is>
          <t>50%↑</t>
        </is>
      </c>
      <c r="C45" s="35">
        <f>IF(OR(C35="",C16=""),"",IFERROR(C35/C16,""))</f>
        <v/>
      </c>
      <c r="D45" s="36">
        <f>IF(OR(D35="",D16=""),"",IFERROR(D35/D16,""))</f>
        <v/>
      </c>
      <c r="E45" s="36">
        <f>IF(OR(E35="",E16=""),"",IFERROR(E35/E16,""))</f>
        <v/>
      </c>
      <c r="F45" s="36">
        <f>IF(OR(F35="",F16=""),"",IFERROR(F35/F16,""))</f>
        <v/>
      </c>
      <c r="G45" s="36">
        <f>IF(OR(G35="",G16=""),"",IFERROR(G35/G16,""))</f>
        <v/>
      </c>
      <c r="H45" s="35">
        <f>IF(OR(H35="",H16=""),"",IFERROR(H35/H16,""))</f>
        <v/>
      </c>
      <c r="I45" s="36">
        <f>IF(OR(I35="",I16=""),"",IFERROR(I35/I16,""))</f>
        <v/>
      </c>
      <c r="J45" s="36">
        <f>IF(OR(J35="",J16=""),"",IFERROR(J35/J16,""))</f>
        <v/>
      </c>
      <c r="K45" s="36">
        <f>IF(OR(K35="",K16=""),"",IFERROR(K35/K16,""))</f>
        <v/>
      </c>
      <c r="L45" s="36">
        <f>IF(OR(L35="",L16=""),"",IFERROR(L35/L16,""))</f>
        <v/>
      </c>
    </row>
    <row r="46">
      <c r="A46" s="45" t="inlineStr">
        <is>
          <t>유동비율</t>
        </is>
      </c>
      <c r="B46" s="10" t="inlineStr">
        <is>
          <t>150%↑</t>
        </is>
      </c>
      <c r="C46" s="35">
        <f>IF(OR(C5="",C18=""),"",IFERROR(C5/C18,""))</f>
        <v/>
      </c>
      <c r="D46" s="36">
        <f>IF(OR(D5="",D18=""),"",IFERROR(D5/D18,""))</f>
        <v/>
      </c>
      <c r="E46" s="36">
        <f>IF(OR(E5="",E18=""),"",IFERROR(E5/E18,""))</f>
        <v/>
      </c>
      <c r="F46" s="36">
        <f>IF(OR(F5="",F18=""),"",IFERROR(F5/F18,""))</f>
        <v/>
      </c>
      <c r="G46" s="36">
        <f>IF(OR(G5="",G18=""),"",IFERROR(G5/G18,""))</f>
        <v/>
      </c>
      <c r="H46" s="35">
        <f>IF(OR(H5="",H18=""),"",IFERROR(H5/H18,""))</f>
        <v/>
      </c>
      <c r="I46" s="36">
        <f>IF(OR(I5="",I18=""),"",IFERROR(I5/I18,""))</f>
        <v/>
      </c>
      <c r="J46" s="36">
        <f>IF(OR(J5="",J18=""),"",IFERROR(J5/J18,""))</f>
        <v/>
      </c>
      <c r="K46" s="36">
        <f>IF(OR(K5="",K18=""),"",IFERROR(K5/K18,""))</f>
        <v/>
      </c>
      <c r="L46" s="36">
        <f>IF(OR(L5="",L18=""),"",IFERROR(L5/L18,""))</f>
        <v/>
      </c>
    </row>
    <row r="47">
      <c r="A47" s="45" t="inlineStr">
        <is>
          <t>당좌비율</t>
        </is>
      </c>
      <c r="B47" s="10" t="inlineStr">
        <is>
          <t>100%↑</t>
        </is>
      </c>
      <c r="C47" s="35">
        <f>IF(OR(C5="",C18=""),"",IFERROR((C5-N(C9))/C18,""))</f>
        <v/>
      </c>
      <c r="D47" s="36">
        <f>IF(OR(D5="",D18=""),"",IFERROR((D5-N(D9))/D18,""))</f>
        <v/>
      </c>
      <c r="E47" s="36">
        <f>IF(OR(E5="",E18=""),"",IFERROR((E5-N(E9))/E18,""))</f>
        <v/>
      </c>
      <c r="F47" s="36">
        <f>IF(OR(F5="",F18=""),"",IFERROR((F5-N(F9))/F18,""))</f>
        <v/>
      </c>
      <c r="G47" s="36">
        <f>IF(OR(G5="",G18=""),"",IFERROR((G5-N(G9))/G18,""))</f>
        <v/>
      </c>
      <c r="H47" s="35">
        <f>IF(OR(H5="",H18=""),"",IFERROR((H5-N(H9))/H18,""))</f>
        <v/>
      </c>
      <c r="I47" s="36">
        <f>IF(OR(I5="",I18=""),"",IFERROR((I5-N(I9))/I18,""))</f>
        <v/>
      </c>
      <c r="J47" s="36">
        <f>IF(OR(J5="",J18=""),"",IFERROR((J5-N(J9))/J18,""))</f>
        <v/>
      </c>
      <c r="K47" s="36">
        <f>IF(OR(K5="",K18=""),"",IFERROR((K5-N(K9))/K18,""))</f>
        <v/>
      </c>
      <c r="L47" s="36">
        <f>IF(OR(L5="",L18=""),"",IFERROR((L5-N(L9))/L18,""))</f>
        <v/>
      </c>
    </row>
    <row r="48">
      <c r="A48" s="45" t="inlineStr">
        <is>
          <t>이자보상배율</t>
        </is>
      </c>
      <c r="B48" s="10" t="inlineStr">
        <is>
          <t>5x↑ (금융원가 기준)</t>
        </is>
      </c>
      <c r="C48" s="30">
        <f>IFERROR((IF(COUNT('연간'!G22:J22)&lt;4,"",SUM('연간'!G22:J22)))/(IF(COUNT('연간'!G44:J44)&lt;4,"",SUM('연간'!G44:J44))),"")</f>
        <v/>
      </c>
      <c r="D48" s="31">
        <f>IFERROR((IF(COUNT('연간'!H22:K22)&lt;4,"",SUM('연간'!H22:K22)))/(IF(COUNT('연간'!H44:K44)&lt;4,"",SUM('연간'!H44:K44))),"")</f>
        <v/>
      </c>
      <c r="E48" s="31">
        <f>IFERROR((IF(COUNT('연간'!I22:L22)&lt;4,"",SUM('연간'!I22:L22)))/(IF(COUNT('연간'!I44:L44)&lt;4,"",SUM('연간'!I44:L44))),"")</f>
        <v/>
      </c>
      <c r="F48" s="31">
        <f>IFERROR((IF(COUNT('연간'!J22:M22)&lt;4,"",SUM('연간'!J22:M22)))/(IF(COUNT('연간'!J44:M44)&lt;4,"",SUM('연간'!J44:M44))),"")</f>
        <v/>
      </c>
      <c r="G48" s="31">
        <f>IFERROR((IF(COUNT('연간'!K22:N22)&lt;4,"",SUM('연간'!K22:N22)))/(IF(COUNT('연간'!K44:N44)&lt;4,"",SUM('연간'!K44:N44))),"")</f>
        <v/>
      </c>
      <c r="H48" s="30">
        <f>IFERROR(('연간'!T22)/('연간'!T44),"")</f>
        <v/>
      </c>
      <c r="I48" s="31">
        <f>IFERROR(('연간'!U22)/('연간'!U44),"")</f>
        <v/>
      </c>
      <c r="J48" s="31">
        <f>IFERROR(('연간'!V22)/('연간'!V44),"")</f>
        <v/>
      </c>
      <c r="K48" s="31">
        <f>IFERROR(('연간'!W22)/('연간'!W44),"")</f>
        <v/>
      </c>
      <c r="L48" s="31">
        <f>IFERROR(('연간'!X22)/('연간'!X44),"")</f>
        <v/>
      </c>
    </row>
    <row r="49">
      <c r="A49" s="45" t="inlineStr">
        <is>
          <t>차입금 상환연수</t>
        </is>
      </c>
      <c r="B49" s="10" t="inlineStr">
        <is>
          <t>4년↓ (버핏)</t>
        </is>
      </c>
      <c r="C49" s="46">
        <f>IFERROR(IF((IF(COUNT('연간'!G52:J52)&lt;4,"",SUM('연간'!G52:J52)))&lt;=0,"적자",C28/(IF(COUNT('연간'!G52:J52)&lt;4,"",SUM('연간'!G52:J52)))),"")</f>
        <v/>
      </c>
      <c r="D49" s="47">
        <f>IFERROR(IF((IF(COUNT('연간'!H52:K52)&lt;4,"",SUM('연간'!H52:K52)))&lt;=0,"적자",D28/(IF(COUNT('연간'!H52:K52)&lt;4,"",SUM('연간'!H52:K52)))),"")</f>
        <v/>
      </c>
      <c r="E49" s="47">
        <f>IFERROR(IF((IF(COUNT('연간'!I52:L52)&lt;4,"",SUM('연간'!I52:L52)))&lt;=0,"적자",E28/(IF(COUNT('연간'!I52:L52)&lt;4,"",SUM('연간'!I52:L52)))),"")</f>
        <v/>
      </c>
      <c r="F49" s="47">
        <f>IFERROR(IF((IF(COUNT('연간'!J52:M52)&lt;4,"",SUM('연간'!J52:M52)))&lt;=0,"적자",F28/(IF(COUNT('연간'!J52:M52)&lt;4,"",SUM('연간'!J52:M52)))),"")</f>
        <v/>
      </c>
      <c r="G49" s="47">
        <f>IFERROR(IF((IF(COUNT('연간'!K52:N52)&lt;4,"",SUM('연간'!K52:N52)))&lt;=0,"적자",G28/(IF(COUNT('연간'!K52:N52)&lt;4,"",SUM('연간'!K52:N52)))),"")</f>
        <v/>
      </c>
      <c r="H49" s="46">
        <f>IFERROR(IF(('연간'!T52)&lt;=0,"적자",H28/('연간'!T52)),"")</f>
        <v/>
      </c>
      <c r="I49" s="47">
        <f>IFERROR(IF(('연간'!U52)&lt;=0,"적자",I28/('연간'!U52)),"")</f>
        <v/>
      </c>
      <c r="J49" s="47">
        <f>IFERROR(IF(('연간'!V52)&lt;=0,"적자",J28/('연간'!V52)),"")</f>
        <v/>
      </c>
      <c r="K49" s="47">
        <f>IFERROR(IF(('연간'!W52)&lt;=0,"적자",K28/('연간'!W52)),"")</f>
        <v/>
      </c>
      <c r="L49" s="47">
        <f>IFERROR(IF(('연간'!X52)&lt;=0,"적자",L28/('연간'!X52)),"")</f>
        <v/>
      </c>
    </row>
    <row r="50">
      <c r="A50" s="23" t="inlineStr">
        <is>
          <t>수익성</t>
        </is>
      </c>
      <c r="B50" s="23" t="n"/>
      <c r="C50" s="24" t="n"/>
      <c r="D50" s="23" t="n"/>
      <c r="E50" s="23" t="n"/>
      <c r="F50" s="23" t="n"/>
      <c r="G50" s="23" t="n"/>
      <c r="H50" s="24" t="n"/>
      <c r="I50" s="23" t="n"/>
      <c r="J50" s="23" t="n"/>
      <c r="K50" s="23" t="n"/>
      <c r="L50" s="23" t="n"/>
    </row>
    <row r="51">
      <c r="A51" s="45" t="inlineStr">
        <is>
          <t>ROE</t>
        </is>
      </c>
      <c r="B51" s="10" t="inlineStr">
        <is>
          <t>15%↑ (버핏)</t>
        </is>
      </c>
      <c r="C51" s="35">
        <f>IFERROR((IF(COUNT('연간'!G52:J52)&lt;4,"",SUM('연간'!G52:J52)))/C31,"")</f>
        <v/>
      </c>
      <c r="D51" s="36">
        <f>IFERROR((IF(COUNT('연간'!H52:K52)&lt;4,"",SUM('연간'!H52:K52)))/D31,"")</f>
        <v/>
      </c>
      <c r="E51" s="36">
        <f>IFERROR((IF(COUNT('연간'!I52:L52)&lt;4,"",SUM('연간'!I52:L52)))/E31,"")</f>
        <v/>
      </c>
      <c r="F51" s="36">
        <f>IFERROR((IF(COUNT('연간'!J52:M52)&lt;4,"",SUM('연간'!J52:M52)))/F31,"")</f>
        <v/>
      </c>
      <c r="G51" s="36">
        <f>IFERROR((IF(COUNT('연간'!K52:N52)&lt;4,"",SUM('연간'!K52:N52)))/G31,"")</f>
        <v/>
      </c>
      <c r="H51" s="35">
        <f>IFERROR(('연간'!T52)/H31,"")</f>
        <v/>
      </c>
      <c r="I51" s="36">
        <f>IFERROR(('연간'!U52)/I31,"")</f>
        <v/>
      </c>
      <c r="J51" s="36">
        <f>IFERROR(('연간'!V52)/J31,"")</f>
        <v/>
      </c>
      <c r="K51" s="36">
        <f>IFERROR(('연간'!W52)/K31,"")</f>
        <v/>
      </c>
      <c r="L51" s="36">
        <f>IFERROR(('연간'!X52)/L31,"")</f>
        <v/>
      </c>
    </row>
    <row r="52">
      <c r="A52" s="45" t="inlineStr">
        <is>
          <t>ROA</t>
        </is>
      </c>
      <c r="B52" s="10" t="inlineStr">
        <is>
          <t>5%↑</t>
        </is>
      </c>
      <c r="C52" s="35">
        <f>IFERROR((IF(COUNT('연간'!G50:J50)&lt;4,"",SUM('연간'!G50:J50)))/C16,"")</f>
        <v/>
      </c>
      <c r="D52" s="36">
        <f>IFERROR((IF(COUNT('연간'!H50:K50)&lt;4,"",SUM('연간'!H50:K50)))/D16,"")</f>
        <v/>
      </c>
      <c r="E52" s="36">
        <f>IFERROR((IF(COUNT('연간'!I50:L50)&lt;4,"",SUM('연간'!I50:L50)))/E16,"")</f>
        <v/>
      </c>
      <c r="F52" s="36">
        <f>IFERROR((IF(COUNT('연간'!J50:M50)&lt;4,"",SUM('연간'!J50:M50)))/F16,"")</f>
        <v/>
      </c>
      <c r="G52" s="36">
        <f>IFERROR((IF(COUNT('연간'!K50:N50)&lt;4,"",SUM('연간'!K50:N50)))/G16,"")</f>
        <v/>
      </c>
      <c r="H52" s="35">
        <f>IFERROR(('연간'!T50)/H16,"")</f>
        <v/>
      </c>
      <c r="I52" s="36">
        <f>IFERROR(('연간'!U50)/I16,"")</f>
        <v/>
      </c>
      <c r="J52" s="36">
        <f>IFERROR(('연간'!V50)/J16,"")</f>
        <v/>
      </c>
      <c r="K52" s="36">
        <f>IFERROR(('연간'!W50)/K16,"")</f>
        <v/>
      </c>
      <c r="L52" s="36">
        <f>IFERROR(('연간'!X50)/L16,"")</f>
        <v/>
      </c>
    </row>
    <row r="53">
      <c r="A53" s="45" t="inlineStr">
        <is>
          <t>ROIC</t>
        </is>
      </c>
      <c r="B53" s="10" t="inlineStr">
        <is>
          <t>10%↑ (세후영업이익 기준)</t>
        </is>
      </c>
      <c r="C53" s="35">
        <f>IFERROR((IF(COUNT('연간'!G22:J22)&lt;4,"",SUM('연간'!G22:J22)))*(1-0.3)/(C35+C29),"")</f>
        <v/>
      </c>
      <c r="D53" s="36">
        <f>IFERROR((IF(COUNT('연간'!H22:K22)&lt;4,"",SUM('연간'!H22:K22)))*(1-0.3)/(D35+D29),"")</f>
        <v/>
      </c>
      <c r="E53" s="36">
        <f>IFERROR((IF(COUNT('연간'!I22:L22)&lt;4,"",SUM('연간'!I22:L22)))*(1-0.3)/(E35+E29),"")</f>
        <v/>
      </c>
      <c r="F53" s="36">
        <f>IFERROR((IF(COUNT('연간'!J22:M22)&lt;4,"",SUM('연간'!J22:M22)))*(1-0.3)/(F35+F29),"")</f>
        <v/>
      </c>
      <c r="G53" s="36">
        <f>IFERROR((IF(COUNT('연간'!K22:N22)&lt;4,"",SUM('연간'!K22:N22)))*(1-0.3)/(G35+G29),"")</f>
        <v/>
      </c>
      <c r="H53" s="35">
        <f>IFERROR(('연간'!T22)*(1-0.3)/(H35+H29),"")</f>
        <v/>
      </c>
      <c r="I53" s="36">
        <f>IFERROR(('연간'!U22)*(1-0.3)/(I35+I29),"")</f>
        <v/>
      </c>
      <c r="J53" s="36">
        <f>IFERROR(('연간'!V22)*(1-0.3)/(J35+J29),"")</f>
        <v/>
      </c>
      <c r="K53" s="36">
        <f>IFERROR(('연간'!W22)*(1-0.3)/(K35+K29),"")</f>
        <v/>
      </c>
      <c r="L53" s="36">
        <f>IFERROR(('연간'!X22)*(1-0.3)/(L35+L29),"")</f>
        <v/>
      </c>
    </row>
    <row r="54">
      <c r="A54" s="45" t="inlineStr">
        <is>
          <t>매출총이익률 (GPM)</t>
        </is>
      </c>
      <c r="B54" s="10" t="inlineStr">
        <is>
          <t>40%↑ (해자 신호)</t>
        </is>
      </c>
      <c r="C54" s="35">
        <f>IFERROR((IF(COUNT('연간'!G16:J16)&lt;4,"",SUM('연간'!G16:J16)))/(IF(COUNT('연간'!G4:J4)&lt;4,"",SUM('연간'!G4:J4))),"")</f>
        <v/>
      </c>
      <c r="D54" s="36">
        <f>IFERROR((IF(COUNT('연간'!H16:K16)&lt;4,"",SUM('연간'!H16:K16)))/(IF(COUNT('연간'!H4:K4)&lt;4,"",SUM('연간'!H4:K4))),"")</f>
        <v/>
      </c>
      <c r="E54" s="36">
        <f>IFERROR((IF(COUNT('연간'!I16:L16)&lt;4,"",SUM('연간'!I16:L16)))/(IF(COUNT('연간'!I4:L4)&lt;4,"",SUM('연간'!I4:L4))),"")</f>
        <v/>
      </c>
      <c r="F54" s="36">
        <f>IFERROR((IF(COUNT('연간'!J16:M16)&lt;4,"",SUM('연간'!J16:M16)))/(IF(COUNT('연간'!J4:M4)&lt;4,"",SUM('연간'!J4:M4))),"")</f>
        <v/>
      </c>
      <c r="G54" s="36">
        <f>IFERROR((IF(COUNT('연간'!K16:N16)&lt;4,"",SUM('연간'!K16:N16)))/(IF(COUNT('연간'!K4:N4)&lt;4,"",SUM('연간'!K4:N4))),"")</f>
        <v/>
      </c>
      <c r="H54" s="35">
        <f>IFERROR(('연간'!T16)/('연간'!T4),"")</f>
        <v/>
      </c>
      <c r="I54" s="36">
        <f>IFERROR(('연간'!U16)/('연간'!U4),"")</f>
        <v/>
      </c>
      <c r="J54" s="36">
        <f>IFERROR(('연간'!V16)/('연간'!V4),"")</f>
        <v/>
      </c>
      <c r="K54" s="36">
        <f>IFERROR(('연간'!W16)/('연간'!W4),"")</f>
        <v/>
      </c>
      <c r="L54" s="36">
        <f>IFERROR(('연간'!X16)/('연간'!X4),"")</f>
        <v/>
      </c>
    </row>
    <row r="55">
      <c r="A55" s="45" t="inlineStr">
        <is>
          <t>영업이익률 (OPM)</t>
        </is>
      </c>
      <c r="B55" s="10" t="inlineStr">
        <is>
          <t>15%↑</t>
        </is>
      </c>
      <c r="C55" s="35">
        <f>IFERROR((IF(COUNT('연간'!G22:J22)&lt;4,"",SUM('연간'!G22:J22)))/(IF(COUNT('연간'!G4:J4)&lt;4,"",SUM('연간'!G4:J4))),"")</f>
        <v/>
      </c>
      <c r="D55" s="36">
        <f>IFERROR((IF(COUNT('연간'!H22:K22)&lt;4,"",SUM('연간'!H22:K22)))/(IF(COUNT('연간'!H4:K4)&lt;4,"",SUM('연간'!H4:K4))),"")</f>
        <v/>
      </c>
      <c r="E55" s="36">
        <f>IFERROR((IF(COUNT('연간'!I22:L22)&lt;4,"",SUM('연간'!I22:L22)))/(IF(COUNT('연간'!I4:L4)&lt;4,"",SUM('연간'!I4:L4))),"")</f>
        <v/>
      </c>
      <c r="F55" s="36">
        <f>IFERROR((IF(COUNT('연간'!J22:M22)&lt;4,"",SUM('연간'!J22:M22)))/(IF(COUNT('연간'!J4:M4)&lt;4,"",SUM('연간'!J4:M4))),"")</f>
        <v/>
      </c>
      <c r="G55" s="36">
        <f>IFERROR((IF(COUNT('연간'!K22:N22)&lt;4,"",SUM('연간'!K22:N22)))/(IF(COUNT('연간'!K4:N4)&lt;4,"",SUM('연간'!K4:N4))),"")</f>
        <v/>
      </c>
      <c r="H55" s="35">
        <f>IFERROR(('연간'!T22)/('연간'!T4),"")</f>
        <v/>
      </c>
      <c r="I55" s="36">
        <f>IFERROR(('연간'!U22)/('연간'!U4),"")</f>
        <v/>
      </c>
      <c r="J55" s="36">
        <f>IFERROR(('연간'!V22)/('연간'!V4),"")</f>
        <v/>
      </c>
      <c r="K55" s="36">
        <f>IFERROR(('연간'!W22)/('연간'!W4),"")</f>
        <v/>
      </c>
      <c r="L55" s="36">
        <f>IFERROR(('연간'!X22)/('연간'!X4),"")</f>
        <v/>
      </c>
    </row>
    <row r="56">
      <c r="A56" s="45" t="inlineStr">
        <is>
          <t>순이익률</t>
        </is>
      </c>
      <c r="B56" s="10" t="inlineStr">
        <is>
          <t>10%↑</t>
        </is>
      </c>
      <c r="C56" s="35">
        <f>IFERROR((IF(COUNT('연간'!G50:J50)&lt;4,"",SUM('연간'!G50:J50)))/(IF(COUNT('연간'!G4:J4)&lt;4,"",SUM('연간'!G4:J4))),"")</f>
        <v/>
      </c>
      <c r="D56" s="36">
        <f>IFERROR((IF(COUNT('연간'!H50:K50)&lt;4,"",SUM('연간'!H50:K50)))/(IF(COUNT('연간'!H4:K4)&lt;4,"",SUM('연간'!H4:K4))),"")</f>
        <v/>
      </c>
      <c r="E56" s="36">
        <f>IFERROR((IF(COUNT('연간'!I50:L50)&lt;4,"",SUM('연간'!I50:L50)))/(IF(COUNT('연간'!I4:L4)&lt;4,"",SUM('연간'!I4:L4))),"")</f>
        <v/>
      </c>
      <c r="F56" s="36">
        <f>IFERROR((IF(COUNT('연간'!J50:M50)&lt;4,"",SUM('연간'!J50:M50)))/(IF(COUNT('연간'!J4:M4)&lt;4,"",SUM('연간'!J4:M4))),"")</f>
        <v/>
      </c>
      <c r="G56" s="36">
        <f>IFERROR((IF(COUNT('연간'!K50:N50)&lt;4,"",SUM('연간'!K50:N50)))/(IF(COUNT('연간'!K4:N4)&lt;4,"",SUM('연간'!K4:N4))),"")</f>
        <v/>
      </c>
      <c r="H56" s="35">
        <f>IFERROR(('연간'!T50)/('연간'!T4),"")</f>
        <v/>
      </c>
      <c r="I56" s="36">
        <f>IFERROR(('연간'!U50)/('연간'!U4),"")</f>
        <v/>
      </c>
      <c r="J56" s="36">
        <f>IFERROR(('연간'!V50)/('연간'!V4),"")</f>
        <v/>
      </c>
      <c r="K56" s="36">
        <f>IFERROR(('연간'!W50)/('연간'!W4),"")</f>
        <v/>
      </c>
      <c r="L56" s="36">
        <f>IFERROR(('연간'!X50)/('연간'!X4),"")</f>
        <v/>
      </c>
    </row>
    <row r="57">
      <c r="A57" s="23" t="inlineStr">
        <is>
          <t>효율성 (회전율)</t>
        </is>
      </c>
      <c r="B57" s="23" t="n"/>
      <c r="C57" s="24" t="n"/>
      <c r="D57" s="23" t="n"/>
      <c r="E57" s="23" t="n"/>
      <c r="F57" s="23" t="n"/>
      <c r="G57" s="23" t="n"/>
      <c r="H57" s="24" t="n"/>
      <c r="I57" s="23" t="n"/>
      <c r="J57" s="23" t="n"/>
      <c r="K57" s="23" t="n"/>
      <c r="L57" s="23" t="n"/>
    </row>
    <row r="58">
      <c r="A58" s="45" t="inlineStr">
        <is>
          <t>총자산회전율</t>
        </is>
      </c>
      <c r="B58" s="10" t="inlineStr">
        <is>
          <t>높을수록↑</t>
        </is>
      </c>
      <c r="C58" s="30">
        <f>IFERROR((IF(COUNT('연간'!G4:J4)&lt;4,"",SUM('연간'!G4:J4)))/C16,"")</f>
        <v/>
      </c>
      <c r="D58" s="31">
        <f>IFERROR((IF(COUNT('연간'!H4:K4)&lt;4,"",SUM('연간'!H4:K4)))/D16,"")</f>
        <v/>
      </c>
      <c r="E58" s="31">
        <f>IFERROR((IF(COUNT('연간'!I4:L4)&lt;4,"",SUM('연간'!I4:L4)))/E16,"")</f>
        <v/>
      </c>
      <c r="F58" s="31">
        <f>IFERROR((IF(COUNT('연간'!J4:M4)&lt;4,"",SUM('연간'!J4:M4)))/F16,"")</f>
        <v/>
      </c>
      <c r="G58" s="31">
        <f>IFERROR((IF(COUNT('연간'!K4:N4)&lt;4,"",SUM('연간'!K4:N4)))/G16,"")</f>
        <v/>
      </c>
      <c r="H58" s="30">
        <f>IFERROR(('연간'!T4)/H16,"")</f>
        <v/>
      </c>
      <c r="I58" s="31">
        <f>IFERROR(('연간'!U4)/I16,"")</f>
        <v/>
      </c>
      <c r="J58" s="31">
        <f>IFERROR(('연간'!V4)/J16,"")</f>
        <v/>
      </c>
      <c r="K58" s="31">
        <f>IFERROR(('연간'!W4)/K16,"")</f>
        <v/>
      </c>
      <c r="L58" s="31">
        <f>IFERROR(('연간'!X4)/L16,"")</f>
        <v/>
      </c>
    </row>
    <row r="59">
      <c r="A59" s="45" t="inlineStr">
        <is>
          <t>매출채권회전일수</t>
        </is>
      </c>
      <c r="B59" s="10" t="inlineStr">
        <is>
          <t>짧을수록↑</t>
        </is>
      </c>
      <c r="C59" s="48">
        <f>IFERROR(C8/(IF(COUNT('연간'!G4:J4)&lt;4,"",SUM('연간'!G4:J4)))*365,"")</f>
        <v/>
      </c>
      <c r="D59" s="49">
        <f>IFERROR(D8/(IF(COUNT('연간'!H4:K4)&lt;4,"",SUM('연간'!H4:K4)))*365,"")</f>
        <v/>
      </c>
      <c r="E59" s="49">
        <f>IFERROR(E8/(IF(COUNT('연간'!I4:L4)&lt;4,"",SUM('연간'!I4:L4)))*365,"")</f>
        <v/>
      </c>
      <c r="F59" s="49">
        <f>IFERROR(F8/(IF(COUNT('연간'!J4:M4)&lt;4,"",SUM('연간'!J4:M4)))*365,"")</f>
        <v/>
      </c>
      <c r="G59" s="49">
        <f>IFERROR(G8/(IF(COUNT('연간'!K4:N4)&lt;4,"",SUM('연간'!K4:N4)))*365,"")</f>
        <v/>
      </c>
      <c r="H59" s="48">
        <f>IFERROR(H8/('연간'!T4)*365,"")</f>
        <v/>
      </c>
      <c r="I59" s="49">
        <f>IFERROR(I8/('연간'!U4)*365,"")</f>
        <v/>
      </c>
      <c r="J59" s="49">
        <f>IFERROR(J8/('연간'!V4)*365,"")</f>
        <v/>
      </c>
      <c r="K59" s="49">
        <f>IFERROR(K8/('연간'!W4)*365,"")</f>
        <v/>
      </c>
      <c r="L59" s="49">
        <f>IFERROR(L8/('연간'!X4)*365,"")</f>
        <v/>
      </c>
    </row>
    <row r="60">
      <c r="A60" s="45" t="inlineStr">
        <is>
          <t>재고자산회전일수</t>
        </is>
      </c>
      <c r="B60" s="10" t="inlineStr">
        <is>
          <t>짧을수록↑</t>
        </is>
      </c>
      <c r="C60" s="48">
        <f>IFERROR(C9/(IF(COUNT('연간'!G14:J14)&lt;4,"",SUM('연간'!G14:J14)))*365,"")</f>
        <v/>
      </c>
      <c r="D60" s="49">
        <f>IFERROR(D9/(IF(COUNT('연간'!H14:K14)&lt;4,"",SUM('연간'!H14:K14)))*365,"")</f>
        <v/>
      </c>
      <c r="E60" s="49">
        <f>IFERROR(E9/(IF(COUNT('연간'!I14:L14)&lt;4,"",SUM('연간'!I14:L14)))*365,"")</f>
        <v/>
      </c>
      <c r="F60" s="49">
        <f>IFERROR(F9/(IF(COUNT('연간'!J14:M14)&lt;4,"",SUM('연간'!J14:M14)))*365,"")</f>
        <v/>
      </c>
      <c r="G60" s="49">
        <f>IFERROR(G9/(IF(COUNT('연간'!K14:N14)&lt;4,"",SUM('연간'!K14:N14)))*365,"")</f>
        <v/>
      </c>
      <c r="H60" s="48">
        <f>IFERROR(H9/('연간'!T14)*365,"")</f>
        <v/>
      </c>
      <c r="I60" s="49">
        <f>IFERROR(I9/('연간'!U14)*365,"")</f>
        <v/>
      </c>
      <c r="J60" s="49">
        <f>IFERROR(J9/('연간'!V14)*365,"")</f>
        <v/>
      </c>
      <c r="K60" s="49">
        <f>IFERROR(K9/('연간'!W14)*365,"")</f>
        <v/>
      </c>
      <c r="L60" s="49">
        <f>IFERROR(L9/('연간'!X14)*365,"")</f>
        <v/>
      </c>
    </row>
    <row r="61">
      <c r="A61" s="45" t="inlineStr">
        <is>
          <t>매입채무회전일수</t>
        </is>
      </c>
      <c r="B61" s="10" t="inlineStr">
        <is>
          <t>길수록 유리</t>
        </is>
      </c>
      <c r="C61" s="48">
        <f>IFERROR(C19/(IF(COUNT('연간'!G14:J14)&lt;4,"",SUM('연간'!G14:J14)))*365,"")</f>
        <v/>
      </c>
      <c r="D61" s="49">
        <f>IFERROR(D19/(IF(COUNT('연간'!H14:K14)&lt;4,"",SUM('연간'!H14:K14)))*365,"")</f>
        <v/>
      </c>
      <c r="E61" s="49">
        <f>IFERROR(E19/(IF(COUNT('연간'!I14:L14)&lt;4,"",SUM('연간'!I14:L14)))*365,"")</f>
        <v/>
      </c>
      <c r="F61" s="49">
        <f>IFERROR(F19/(IF(COUNT('연간'!J14:M14)&lt;4,"",SUM('연간'!J14:M14)))*365,"")</f>
        <v/>
      </c>
      <c r="G61" s="49">
        <f>IFERROR(G19/(IF(COUNT('연간'!K14:N14)&lt;4,"",SUM('연간'!K14:N14)))*365,"")</f>
        <v/>
      </c>
      <c r="H61" s="48">
        <f>IFERROR(H19/('연간'!T14)*365,"")</f>
        <v/>
      </c>
      <c r="I61" s="49">
        <f>IFERROR(I19/('연간'!U14)*365,"")</f>
        <v/>
      </c>
      <c r="J61" s="49">
        <f>IFERROR(J19/('연간'!V14)*365,"")</f>
        <v/>
      </c>
      <c r="K61" s="49">
        <f>IFERROR(K19/('연간'!W14)*365,"")</f>
        <v/>
      </c>
      <c r="L61" s="49">
        <f>IFERROR(L19/('연간'!X14)*365,"")</f>
        <v/>
      </c>
    </row>
    <row r="62">
      <c r="A62" s="45" t="inlineStr">
        <is>
          <t>현금전환주기 (CCC)</t>
        </is>
      </c>
      <c r="B62" s="10" t="inlineStr">
        <is>
          <t>짧을수록↑</t>
        </is>
      </c>
      <c r="C62" s="48">
        <f>IF(OR(C59="",C60="",C61=""),"",IFERROR(C59+C60-C61,""))</f>
        <v/>
      </c>
      <c r="D62" s="49">
        <f>IF(OR(D59="",D60="",D61=""),"",IFERROR(D59+D60-D61,""))</f>
        <v/>
      </c>
      <c r="E62" s="49">
        <f>IF(OR(E59="",E60="",E61=""),"",IFERROR(E59+E60-E61,""))</f>
        <v/>
      </c>
      <c r="F62" s="49">
        <f>IF(OR(F59="",F60="",F61=""),"",IFERROR(F59+F60-F61,""))</f>
        <v/>
      </c>
      <c r="G62" s="49">
        <f>IF(OR(G59="",G60="",G61=""),"",IFERROR(G59+G60-G61,""))</f>
        <v/>
      </c>
      <c r="H62" s="48">
        <f>IF(OR(H59="",H60="",H61=""),"",IFERROR(H59+H60-H61,""))</f>
        <v/>
      </c>
      <c r="I62" s="49">
        <f>IF(OR(I59="",I60="",I61=""),"",IFERROR(I59+I60-I61,""))</f>
        <v/>
      </c>
      <c r="J62" s="49">
        <f>IF(OR(J59="",J60="",J61=""),"",IFERROR(J59+J60-J61,""))</f>
        <v/>
      </c>
      <c r="K62" s="49">
        <f>IF(OR(K59="",K60="",K61=""),"",IFERROR(K59+K60-K61,""))</f>
        <v/>
      </c>
      <c r="L62" s="49">
        <f>IF(OR(L59="",L60="",L61=""),"",IFERROR(L59+L60-L61,""))</f>
        <v/>
      </c>
    </row>
    <row r="63">
      <c r="A63" s="23" t="inlineStr">
        <is>
          <t>현금흐름</t>
        </is>
      </c>
      <c r="B63" s="23" t="n"/>
      <c r="C63" s="24" t="n"/>
      <c r="D63" s="23" t="n"/>
      <c r="E63" s="23" t="n"/>
      <c r="F63" s="23" t="n"/>
      <c r="G63" s="23" t="n"/>
      <c r="H63" s="24" t="n"/>
      <c r="I63" s="23" t="n"/>
      <c r="J63" s="23" t="n"/>
      <c r="K63" s="23" t="n"/>
      <c r="L63" s="23" t="n"/>
    </row>
    <row r="64">
      <c r="A64" s="45" t="inlineStr">
        <is>
          <t>영업현금흐름 / 순이익</t>
        </is>
      </c>
      <c r="B64" s="10" t="inlineStr">
        <is>
          <t>1x↑ (이익의 질)</t>
        </is>
      </c>
      <c r="C64" s="30">
        <f>IF(C37="","",IFERROR(C37/(IF(COUNT('연간'!G50:J50)&lt;4,"",SUM('연간'!G50:J50))),""))</f>
        <v/>
      </c>
      <c r="D64" s="31">
        <f>IF(D37="","",IFERROR(D37/(IF(COUNT('연간'!H50:K50)&lt;4,"",SUM('연간'!H50:K50))),""))</f>
        <v/>
      </c>
      <c r="E64" s="31">
        <f>IF(E37="","",IFERROR(E37/(IF(COUNT('연간'!I50:L50)&lt;4,"",SUM('연간'!I50:L50))),""))</f>
        <v/>
      </c>
      <c r="F64" s="31">
        <f>IF(F37="","",IFERROR(F37/(IF(COUNT('연간'!J50:M50)&lt;4,"",SUM('연간'!J50:M50))),""))</f>
        <v/>
      </c>
      <c r="G64" s="31">
        <f>IF(G37="","",IFERROR(G37/(IF(COUNT('연간'!K50:N50)&lt;4,"",SUM('연간'!K50:N50))),""))</f>
        <v/>
      </c>
      <c r="H64" s="30">
        <f>IF(H37="","",IFERROR(H37/('연간'!T50),""))</f>
        <v/>
      </c>
      <c r="I64" s="31">
        <f>IF(I37="","",IFERROR(I37/('연간'!U50),""))</f>
        <v/>
      </c>
      <c r="J64" s="31">
        <f>IF(J37="","",IFERROR(J37/('연간'!V50),""))</f>
        <v/>
      </c>
      <c r="K64" s="31">
        <f>IF(K37="","",IFERROR(K37/('연간'!W50),""))</f>
        <v/>
      </c>
      <c r="L64" s="31">
        <f>IF(L37="","",IFERROR(L37/('연간'!X50),""))</f>
        <v/>
      </c>
    </row>
    <row r="65">
      <c r="A65" s="45" t="inlineStr">
        <is>
          <t>FCF 마진</t>
        </is>
      </c>
      <c r="B65" s="10" t="inlineStr">
        <is>
          <t>5%↑</t>
        </is>
      </c>
      <c r="C65" s="35">
        <f>IF(C39="","",IFERROR(C39/(IF(COUNT('연간'!G4:J4)&lt;4,"",SUM('연간'!G4:J4))),""))</f>
        <v/>
      </c>
      <c r="D65" s="36">
        <f>IF(D39="","",IFERROR(D39/(IF(COUNT('연간'!H4:K4)&lt;4,"",SUM('연간'!H4:K4))),""))</f>
        <v/>
      </c>
      <c r="E65" s="36">
        <f>IF(E39="","",IFERROR(E39/(IF(COUNT('연간'!I4:L4)&lt;4,"",SUM('연간'!I4:L4))),""))</f>
        <v/>
      </c>
      <c r="F65" s="36">
        <f>IF(F39="","",IFERROR(F39/(IF(COUNT('연간'!J4:M4)&lt;4,"",SUM('연간'!J4:M4))),""))</f>
        <v/>
      </c>
      <c r="G65" s="36">
        <f>IF(G39="","",IFERROR(G39/(IF(COUNT('연간'!K4:N4)&lt;4,"",SUM('연간'!K4:N4))),""))</f>
        <v/>
      </c>
      <c r="H65" s="35">
        <f>IF(H39="","",IFERROR(H39/('연간'!T4),""))</f>
        <v/>
      </c>
      <c r="I65" s="36">
        <f>IF(I39="","",IFERROR(I39/('연간'!U4),""))</f>
        <v/>
      </c>
      <c r="J65" s="36">
        <f>IF(J39="","",IFERROR(J39/('연간'!V4),""))</f>
        <v/>
      </c>
      <c r="K65" s="36">
        <f>IF(K39="","",IFERROR(K39/('연간'!W4),""))</f>
        <v/>
      </c>
      <c r="L65" s="36">
        <f>IF(L39="","",IFERROR(L39/('연간'!X4),""))</f>
        <v/>
      </c>
    </row>
    <row r="66">
      <c r="A66" s="45" t="inlineStr">
        <is>
          <t>CAPEX / 매출</t>
        </is>
      </c>
      <c r="B66" s="10" t="inlineStr">
        <is>
          <t>낮을수록↑ (자본 가벼움)</t>
        </is>
      </c>
      <c r="C66" s="35">
        <f>IF(C38="","",IFERROR(C38/(IF(COUNT('연간'!G4:J4)&lt;4,"",SUM('연간'!G4:J4))),""))</f>
        <v/>
      </c>
      <c r="D66" s="36">
        <f>IF(D38="","",IFERROR(D38/(IF(COUNT('연간'!H4:K4)&lt;4,"",SUM('연간'!H4:K4))),""))</f>
        <v/>
      </c>
      <c r="E66" s="36">
        <f>IF(E38="","",IFERROR(E38/(IF(COUNT('연간'!I4:L4)&lt;4,"",SUM('연간'!I4:L4))),""))</f>
        <v/>
      </c>
      <c r="F66" s="36">
        <f>IF(F38="","",IFERROR(F38/(IF(COUNT('연간'!J4:M4)&lt;4,"",SUM('연간'!J4:M4))),""))</f>
        <v/>
      </c>
      <c r="G66" s="36">
        <f>IF(G38="","",IFERROR(G38/(IF(COUNT('연간'!K4:N4)&lt;4,"",SUM('연간'!K4:N4))),""))</f>
        <v/>
      </c>
      <c r="H66" s="35">
        <f>IF(H38="","",IFERROR(H38/('연간'!T4),""))</f>
        <v/>
      </c>
      <c r="I66" s="36">
        <f>IF(I38="","",IFERROR(I38/('연간'!U4),""))</f>
        <v/>
      </c>
      <c r="J66" s="36">
        <f>IF(J38="","",IFERROR(J38/('연간'!V4),""))</f>
        <v/>
      </c>
      <c r="K66" s="36">
        <f>IF(K38="","",IFERROR(K38/('연간'!W4),""))</f>
        <v/>
      </c>
      <c r="L66" s="36">
        <f>IF(L38="","",IFERROR(L38/('연간'!X4),""))</f>
        <v/>
      </c>
    </row>
    <row r="67">
      <c r="A67" s="45" t="inlineStr">
        <is>
          <t>배당성향</t>
        </is>
      </c>
      <c r="B67" s="10" t="inlineStr">
        <is>
          <t>참고</t>
        </is>
      </c>
      <c r="C67" s="35">
        <f>IF(C40="","",IFERROR(C40/(IF(COUNT('연간'!G52:J52)&lt;4,"",SUM('연간'!G52:J52))),""))</f>
        <v/>
      </c>
      <c r="D67" s="36">
        <f>IF(D40="","",IFERROR(D40/(IF(COUNT('연간'!H52:K52)&lt;4,"",SUM('연간'!H52:K52))),""))</f>
        <v/>
      </c>
      <c r="E67" s="36">
        <f>IF(E40="","",IFERROR(E40/(IF(COUNT('연간'!I52:L52)&lt;4,"",SUM('연간'!I52:L52))),""))</f>
        <v/>
      </c>
      <c r="F67" s="36">
        <f>IF(F40="","",IFERROR(F40/(IF(COUNT('연간'!J52:M52)&lt;4,"",SUM('연간'!J52:M52))),""))</f>
        <v/>
      </c>
      <c r="G67" s="36">
        <f>IF(G40="","",IFERROR(G40/(IF(COUNT('연간'!K52:N52)&lt;4,"",SUM('연간'!K52:N52))),""))</f>
        <v/>
      </c>
      <c r="H67" s="35">
        <f>IF(H40="","",IFERROR(H40/('연간'!T52),""))</f>
        <v/>
      </c>
      <c r="I67" s="36">
        <f>IF(I40="","",IFERROR(I40/('연간'!U52),""))</f>
        <v/>
      </c>
      <c r="J67" s="36">
        <f>IF(J40="","",IFERROR(J40/('연간'!V52),""))</f>
        <v/>
      </c>
      <c r="K67" s="36">
        <f>IF(K40="","",IFERROR(K40/('연간'!W52),""))</f>
        <v/>
      </c>
      <c r="L67" s="36">
        <f>IF(L40="","",IFERROR(L40/('연간'!X52),""))</f>
        <v/>
      </c>
    </row>
    <row r="69">
      <c r="A69" s="16" t="inlineStr">
        <is>
          <t>재무상태표 · 전 항목</t>
        </is>
      </c>
      <c r="B69" s="42" t="inlineStr">
        <is>
          <t>분기 말 잔액</t>
        </is>
      </c>
      <c r="C69" s="16" t="n"/>
      <c r="D69" s="16" t="n"/>
      <c r="E69" s="16" t="n"/>
      <c r="F69" s="16" t="n"/>
      <c r="G69" s="16" t="n"/>
      <c r="H69" s="16" t="n"/>
      <c r="I69" s="16" t="n"/>
      <c r="J69" s="16" t="n"/>
      <c r="K69" s="16" t="n"/>
      <c r="L69" s="16" t="n"/>
    </row>
    <row r="70">
      <c r="A70" s="5" t="inlineStr">
        <is>
          <t>항목</t>
        </is>
      </c>
      <c r="B70" s="5" t="inlineStr">
        <is>
          <t>참고</t>
        </is>
      </c>
      <c r="C70" s="5" t="inlineStr">
        <is>
          <t>2026.1Q</t>
        </is>
      </c>
      <c r="D70" s="5" t="inlineStr">
        <is>
          <t>2026.2Q</t>
        </is>
      </c>
      <c r="E70" s="5" t="inlineStr">
        <is>
          <t>2026.3Q</t>
        </is>
      </c>
      <c r="F70" s="5" t="inlineStr">
        <is>
          <t>2026.4Q</t>
        </is>
      </c>
      <c r="G70" s="5" t="inlineStr">
        <is>
          <t>2027.1Q</t>
        </is>
      </c>
      <c r="H70" s="5" t="inlineStr">
        <is>
          <t>2022</t>
        </is>
      </c>
      <c r="I70" s="5" t="inlineStr">
        <is>
          <t>2023</t>
        </is>
      </c>
      <c r="J70" s="5" t="inlineStr">
        <is>
          <t>2024</t>
        </is>
      </c>
      <c r="K70" s="5" t="inlineStr">
        <is>
          <t>2025</t>
        </is>
      </c>
      <c r="L70" s="5" t="inlineStr">
        <is>
          <t>2026</t>
        </is>
      </c>
    </row>
    <row r="71">
      <c r="A71" s="18" t="inlineStr">
        <is>
          <t>현금 및 예금</t>
        </is>
      </c>
      <c r="C71" s="20" t="n">
        <v>3882.335</v>
      </c>
      <c r="D71" s="20" t="n">
        <v>3694.24</v>
      </c>
      <c r="E71" s="20" t="n">
        <v>3259.74</v>
      </c>
      <c r="F71" s="20" t="n">
        <v>4377.711</v>
      </c>
      <c r="G71" s="20" t="n">
        <v>4571.665</v>
      </c>
      <c r="H71" s="20" t="n">
        <v>3550.801</v>
      </c>
      <c r="I71" s="20" t="n">
        <v>2123.514</v>
      </c>
      <c r="J71" s="20" t="n">
        <v>2883.021</v>
      </c>
      <c r="K71" s="20" t="n">
        <v>3884.169</v>
      </c>
      <c r="L71" s="20" t="n">
        <v>4377.711</v>
      </c>
    </row>
    <row r="72">
      <c r="A72" s="18" t="inlineStr">
        <is>
          <t>받을어음·매출채권</t>
        </is>
      </c>
      <c r="H72" s="20" t="n">
        <v>0</v>
      </c>
    </row>
    <row r="73">
      <c r="A73" s="18" t="inlineStr">
        <is>
          <t>받을어음</t>
        </is>
      </c>
      <c r="F73" s="20" t="n">
        <v>0.29</v>
      </c>
      <c r="H73" s="20" t="n">
        <v>50.104</v>
      </c>
      <c r="I73" s="20" t="n">
        <v>44.052</v>
      </c>
      <c r="J73" s="20" t="n">
        <v>27.6</v>
      </c>
      <c r="K73" s="20" t="n">
        <v>14.914</v>
      </c>
      <c r="L73" s="20" t="n">
        <v>0.29</v>
      </c>
    </row>
    <row r="74">
      <c r="A74" s="18" t="inlineStr">
        <is>
          <t>매출채권</t>
        </is>
      </c>
      <c r="F74" s="20" t="n">
        <v>8916.192999999999</v>
      </c>
      <c r="H74" s="20" t="n">
        <v>5869.758</v>
      </c>
      <c r="I74" s="20" t="n">
        <v>5980.94</v>
      </c>
      <c r="J74" s="20" t="n">
        <v>8411.591</v>
      </c>
      <c r="K74" s="20" t="n">
        <v>7658.924</v>
      </c>
      <c r="L74" s="20" t="n">
        <v>8916.192999999999</v>
      </c>
    </row>
    <row r="75">
      <c r="A75" s="18" t="inlineStr">
        <is>
          <t>계약자산</t>
        </is>
      </c>
      <c r="F75" s="20" t="n">
        <v>155.77</v>
      </c>
      <c r="H75" s="20" t="n">
        <v>129.066</v>
      </c>
      <c r="I75" s="20" t="n">
        <v>229.737</v>
      </c>
      <c r="J75" s="20" t="n">
        <v>314.607</v>
      </c>
      <c r="K75" s="20" t="n">
        <v>308.407</v>
      </c>
      <c r="L75" s="20" t="n">
        <v>155.77</v>
      </c>
    </row>
    <row r="76">
      <c r="A76" s="18" t="inlineStr">
        <is>
          <t>받을어음·매출채권·계약자산</t>
        </is>
      </c>
      <c r="C76" s="20" t="n">
        <v>4334.153</v>
      </c>
      <c r="D76" s="20" t="n">
        <v>4986.244</v>
      </c>
      <c r="E76" s="20" t="n">
        <v>6154.806</v>
      </c>
      <c r="F76" s="20" t="n">
        <v>9072.254000000001</v>
      </c>
      <c r="G76" s="20" t="n">
        <v>5153.855</v>
      </c>
      <c r="H76" s="20" t="n">
        <v>6048.929</v>
      </c>
      <c r="I76" s="20" t="n">
        <v>6254.73</v>
      </c>
      <c r="J76" s="20" t="n">
        <v>8753.799000000001</v>
      </c>
      <c r="K76" s="20" t="n">
        <v>7982.246</v>
      </c>
      <c r="L76" s="20" t="n">
        <v>9072.254000000001</v>
      </c>
    </row>
    <row r="77">
      <c r="A77" s="18" t="inlineStr">
        <is>
          <t>전자기록채권</t>
        </is>
      </c>
      <c r="C77" s="20" t="n">
        <v>321.137</v>
      </c>
      <c r="D77" s="20" t="n">
        <v>196.037</v>
      </c>
      <c r="E77" s="20" t="n">
        <v>378.162</v>
      </c>
      <c r="F77" s="20" t="n">
        <v>445.707</v>
      </c>
      <c r="G77" s="20" t="n">
        <v>568.761</v>
      </c>
      <c r="H77" s="20" t="n">
        <v>382.713</v>
      </c>
      <c r="I77" s="20" t="n">
        <v>325.708</v>
      </c>
      <c r="J77" s="20" t="n">
        <v>623.255</v>
      </c>
      <c r="K77" s="20" t="n">
        <v>299.258</v>
      </c>
      <c r="L77" s="20" t="n">
        <v>445.707</v>
      </c>
    </row>
    <row r="78">
      <c r="A78" s="18" t="inlineStr">
        <is>
          <t>상품·제품</t>
        </is>
      </c>
      <c r="C78" s="20" t="n">
        <v>604.742</v>
      </c>
      <c r="D78" s="20" t="n">
        <v>525.772</v>
      </c>
      <c r="E78" s="20" t="n">
        <v>588.164</v>
      </c>
      <c r="F78" s="20" t="n">
        <v>378.943</v>
      </c>
      <c r="G78" s="20" t="n">
        <v>469.107</v>
      </c>
      <c r="H78" s="20" t="n">
        <v>955.908</v>
      </c>
      <c r="I78" s="20" t="n">
        <v>1261.879</v>
      </c>
      <c r="J78" s="20" t="n">
        <v>710.568</v>
      </c>
      <c r="K78" s="20" t="n">
        <v>631.4450000000001</v>
      </c>
      <c r="L78" s="20" t="n">
        <v>378.943</v>
      </c>
    </row>
    <row r="79">
      <c r="A79" s="18" t="inlineStr">
        <is>
          <t>재공품</t>
        </is>
      </c>
      <c r="C79" s="20" t="n">
        <v>6362.474</v>
      </c>
      <c r="D79" s="20" t="n">
        <v>6857.882</v>
      </c>
      <c r="E79" s="20" t="n">
        <v>7617.833</v>
      </c>
      <c r="F79" s="20" t="n">
        <v>5735.931</v>
      </c>
      <c r="G79" s="20" t="n">
        <v>8480.411</v>
      </c>
      <c r="H79" s="20" t="n">
        <v>4310.956</v>
      </c>
      <c r="I79" s="20" t="n">
        <v>4778</v>
      </c>
      <c r="J79" s="20" t="n">
        <v>4095.354</v>
      </c>
      <c r="K79" s="20" t="n">
        <v>4092.246</v>
      </c>
      <c r="L79" s="20" t="n">
        <v>5735.931</v>
      </c>
    </row>
    <row r="80">
      <c r="A80" s="18" t="inlineStr">
        <is>
          <t>원재료·저장품</t>
        </is>
      </c>
      <c r="C80" s="20" t="n">
        <v>1025.347</v>
      </c>
      <c r="D80" s="20" t="n">
        <v>1471.045</v>
      </c>
      <c r="E80" s="20" t="n">
        <v>1894.874</v>
      </c>
      <c r="F80" s="20" t="n">
        <v>1703.559</v>
      </c>
      <c r="G80" s="20" t="n">
        <v>1937.875</v>
      </c>
      <c r="H80" s="20" t="n">
        <v>1325.625</v>
      </c>
      <c r="I80" s="20" t="n">
        <v>1971.738</v>
      </c>
      <c r="J80" s="20" t="n">
        <v>1611.587</v>
      </c>
      <c r="K80" s="20" t="n">
        <v>1119.511</v>
      </c>
      <c r="L80" s="20" t="n">
        <v>1703.559</v>
      </c>
    </row>
    <row r="81">
      <c r="A81" s="18" t="inlineStr">
        <is>
          <t>미수 소비세</t>
        </is>
      </c>
      <c r="H81" s="20" t="n">
        <v>111.876</v>
      </c>
      <c r="I81" s="20" t="n">
        <v>0</v>
      </c>
    </row>
    <row r="82">
      <c r="A82" s="18" t="inlineStr">
        <is>
          <t>기타</t>
        </is>
      </c>
      <c r="C82" s="20" t="n">
        <v>235.802</v>
      </c>
      <c r="D82" s="20" t="n">
        <v>351.935</v>
      </c>
      <c r="E82" s="20" t="n">
        <v>574.701</v>
      </c>
      <c r="F82" s="20" t="n">
        <v>288.409</v>
      </c>
      <c r="G82" s="20" t="n">
        <v>363.909</v>
      </c>
      <c r="H82" s="20" t="n">
        <v>104.611</v>
      </c>
      <c r="I82" s="20" t="n">
        <v>137.476</v>
      </c>
      <c r="J82" s="20" t="n">
        <v>165.533</v>
      </c>
      <c r="K82" s="20" t="n">
        <v>140.21</v>
      </c>
      <c r="L82" s="20" t="n">
        <v>288.409</v>
      </c>
    </row>
    <row r="83">
      <c r="A83" s="18" t="inlineStr">
        <is>
          <t>대손충당금</t>
        </is>
      </c>
      <c r="C83" s="20" t="n">
        <v>-1.696</v>
      </c>
      <c r="D83" s="20" t="n">
        <v>-1.741</v>
      </c>
      <c r="E83" s="20" t="n">
        <v>-2.231</v>
      </c>
      <c r="F83" s="20" t="n">
        <v>-4</v>
      </c>
      <c r="G83" s="20" t="n">
        <v>-2.073</v>
      </c>
      <c r="H83" s="20" t="n">
        <v>-2.97</v>
      </c>
      <c r="I83" s="20" t="n">
        <v>-2.71</v>
      </c>
      <c r="J83" s="20" t="n">
        <v>-3.824</v>
      </c>
      <c r="K83" s="20" t="n">
        <v>-3.977</v>
      </c>
      <c r="L83" s="20" t="n">
        <v>-4</v>
      </c>
    </row>
    <row r="84">
      <c r="A84" s="9" t="inlineStr">
        <is>
          <t>유동자산 합계</t>
        </is>
      </c>
      <c r="C84" s="12" t="n">
        <v>16764.298</v>
      </c>
      <c r="D84" s="12" t="n">
        <v>18081.417</v>
      </c>
      <c r="E84" s="12" t="n">
        <v>20466.05</v>
      </c>
      <c r="F84" s="12" t="n">
        <v>21998.517</v>
      </c>
      <c r="G84" s="12" t="n">
        <v>21543.513</v>
      </c>
      <c r="H84" s="12" t="n">
        <v>16788.452</v>
      </c>
      <c r="I84" s="12" t="n">
        <v>16850.338</v>
      </c>
      <c r="J84" s="12" t="n">
        <v>18839.296</v>
      </c>
      <c r="K84" s="12" t="n">
        <v>18145.109</v>
      </c>
      <c r="L84" s="12" t="n">
        <v>21998.517</v>
      </c>
    </row>
    <row r="85">
      <c r="A85" s="18" t="inlineStr">
        <is>
          <t>건물·구축물</t>
        </is>
      </c>
      <c r="F85" s="20" t="n">
        <v>4241.514</v>
      </c>
      <c r="H85" s="20" t="n">
        <v>4343.312</v>
      </c>
      <c r="I85" s="20" t="n">
        <v>4186.958</v>
      </c>
      <c r="J85" s="20" t="n">
        <v>4196.615</v>
      </c>
      <c r="K85" s="20" t="n">
        <v>4210.727</v>
      </c>
      <c r="L85" s="20" t="n">
        <v>4241.514</v>
      </c>
    </row>
    <row r="86">
      <c r="A86" s="18" t="inlineStr">
        <is>
          <t>감가상각누계액</t>
        </is>
      </c>
      <c r="F86" s="20" t="n">
        <v>-3362.392</v>
      </c>
      <c r="H86" s="20" t="n">
        <v>-3259.974</v>
      </c>
      <c r="I86" s="20" t="n">
        <v>-3178.113</v>
      </c>
      <c r="J86" s="20" t="n">
        <v>-3249.147</v>
      </c>
      <c r="K86" s="20" t="n">
        <v>-3326.099</v>
      </c>
      <c r="L86" s="20" t="n">
        <v>-3362.392</v>
      </c>
    </row>
    <row r="87">
      <c r="A87" s="18" t="inlineStr">
        <is>
          <t>건물·구축물(순액)</t>
        </is>
      </c>
      <c r="F87" s="20" t="n">
        <v>879.122</v>
      </c>
      <c r="H87" s="20" t="n">
        <v>1083.338</v>
      </c>
      <c r="I87" s="20" t="n">
        <v>1008.845</v>
      </c>
      <c r="J87" s="20" t="n">
        <v>947.467</v>
      </c>
      <c r="K87" s="20" t="n">
        <v>884.627</v>
      </c>
      <c r="L87" s="20" t="n">
        <v>879.122</v>
      </c>
    </row>
    <row r="88">
      <c r="A88" s="18" t="inlineStr">
        <is>
          <t>기계장치·운반구</t>
        </is>
      </c>
      <c r="F88" s="20" t="n">
        <v>1066.775</v>
      </c>
      <c r="H88" s="20" t="n">
        <v>794.333</v>
      </c>
      <c r="I88" s="20" t="n">
        <v>797.279</v>
      </c>
      <c r="J88" s="20" t="n">
        <v>808.486</v>
      </c>
      <c r="K88" s="20" t="n">
        <v>647.683</v>
      </c>
      <c r="L88" s="20" t="n">
        <v>1066.775</v>
      </c>
    </row>
    <row r="89">
      <c r="A89" s="18" t="inlineStr">
        <is>
          <t>감가상각누계액</t>
        </is>
      </c>
      <c r="F89" s="20" t="n">
        <v>-551.6950000000001</v>
      </c>
      <c r="H89" s="20" t="n">
        <v>-729.901</v>
      </c>
      <c r="I89" s="20" t="n">
        <v>-753.764</v>
      </c>
      <c r="J89" s="20" t="n">
        <v>-767.17</v>
      </c>
      <c r="K89" s="20" t="n">
        <v>-613.6849999999999</v>
      </c>
      <c r="L89" s="20" t="n">
        <v>-551.6950000000001</v>
      </c>
    </row>
    <row r="90">
      <c r="A90" s="18" t="inlineStr">
        <is>
          <t>기계장치·운반구(순액)</t>
        </is>
      </c>
      <c r="F90" s="20" t="n">
        <v>515.08</v>
      </c>
      <c r="H90" s="20" t="n">
        <v>64.432</v>
      </c>
      <c r="I90" s="20" t="n">
        <v>43.515</v>
      </c>
      <c r="J90" s="20" t="n">
        <v>41.316</v>
      </c>
      <c r="K90" s="20" t="n">
        <v>33.997</v>
      </c>
      <c r="L90" s="20" t="n">
        <v>515.08</v>
      </c>
    </row>
    <row r="91">
      <c r="A91" s="18" t="inlineStr">
        <is>
          <t>공구·기구·비품</t>
        </is>
      </c>
      <c r="F91" s="20" t="n">
        <v>3777.098</v>
      </c>
      <c r="H91" s="20" t="n">
        <v>3189.991</v>
      </c>
      <c r="I91" s="20" t="n">
        <v>3330.1</v>
      </c>
      <c r="J91" s="20" t="n">
        <v>3352.552</v>
      </c>
      <c r="K91" s="20" t="n">
        <v>3651.272</v>
      </c>
      <c r="L91" s="20" t="n">
        <v>3777.098</v>
      </c>
    </row>
    <row r="92">
      <c r="A92" s="18" t="inlineStr">
        <is>
          <t>감가상각누계액</t>
        </is>
      </c>
      <c r="F92" s="20" t="n">
        <v>-3274.411</v>
      </c>
      <c r="H92" s="20" t="n">
        <v>-2918.399</v>
      </c>
      <c r="I92" s="20" t="n">
        <v>-2977.194</v>
      </c>
      <c r="J92" s="20" t="n">
        <v>-3000.598</v>
      </c>
      <c r="K92" s="20" t="n">
        <v>-3063.687</v>
      </c>
      <c r="L92" s="20" t="n">
        <v>-3274.411</v>
      </c>
    </row>
    <row r="93">
      <c r="A93" s="18" t="inlineStr">
        <is>
          <t>공구·기구·비품(순액)</t>
        </is>
      </c>
      <c r="F93" s="20" t="n">
        <v>502.686</v>
      </c>
      <c r="H93" s="20" t="n">
        <v>271.592</v>
      </c>
      <c r="I93" s="20" t="n">
        <v>352.906</v>
      </c>
      <c r="J93" s="20" t="n">
        <v>351.953</v>
      </c>
      <c r="K93" s="20" t="n">
        <v>587.5839999999999</v>
      </c>
      <c r="L93" s="20" t="n">
        <v>502.686</v>
      </c>
    </row>
    <row r="94">
      <c r="A94" s="18" t="inlineStr">
        <is>
          <t>토지</t>
        </is>
      </c>
      <c r="F94" s="20" t="n">
        <v>1281.708</v>
      </c>
      <c r="H94" s="20" t="n">
        <v>1387.217</v>
      </c>
      <c r="I94" s="20" t="n">
        <v>1312.178</v>
      </c>
      <c r="J94" s="20" t="n">
        <v>1312.178</v>
      </c>
      <c r="K94" s="20" t="n">
        <v>1312.178</v>
      </c>
      <c r="L94" s="20" t="n">
        <v>1281.708</v>
      </c>
    </row>
    <row r="95">
      <c r="A95" s="18" t="inlineStr">
        <is>
          <t>리스자산</t>
        </is>
      </c>
      <c r="F95" s="20" t="n">
        <v>233.692</v>
      </c>
      <c r="H95" s="20" t="n">
        <v>70.151</v>
      </c>
      <c r="I95" s="20" t="n">
        <v>70.151</v>
      </c>
      <c r="J95" s="20" t="n">
        <v>88.078</v>
      </c>
      <c r="K95" s="20" t="n">
        <v>293.95</v>
      </c>
      <c r="L95" s="20" t="n">
        <v>233.692</v>
      </c>
    </row>
    <row r="96">
      <c r="A96" s="18" t="inlineStr">
        <is>
          <t>감가상각누계액</t>
        </is>
      </c>
      <c r="F96" s="20" t="n">
        <v>-38.616</v>
      </c>
      <c r="H96" s="20" t="n">
        <v>-22.57</v>
      </c>
      <c r="I96" s="20" t="n">
        <v>-36.622</v>
      </c>
      <c r="J96" s="20" t="n">
        <v>-45.543</v>
      </c>
      <c r="K96" s="20" t="n">
        <v>-65.53</v>
      </c>
      <c r="L96" s="20" t="n">
        <v>-38.616</v>
      </c>
    </row>
    <row r="97">
      <c r="A97" s="18" t="inlineStr">
        <is>
          <t>리스자산(순액)</t>
        </is>
      </c>
      <c r="F97" s="20" t="n">
        <v>195.076</v>
      </c>
      <c r="H97" s="20" t="n">
        <v>47.58</v>
      </c>
      <c r="I97" s="20" t="n">
        <v>33.528</v>
      </c>
      <c r="J97" s="20" t="n">
        <v>42.535</v>
      </c>
      <c r="K97" s="20" t="n">
        <v>228.42</v>
      </c>
      <c r="L97" s="20" t="n">
        <v>195.076</v>
      </c>
    </row>
    <row r="98">
      <c r="A98" s="18" t="inlineStr">
        <is>
          <t>건설중인자산</t>
        </is>
      </c>
      <c r="F98" s="20" t="n">
        <v>47.589</v>
      </c>
      <c r="H98" s="20" t="n">
        <v>115.139</v>
      </c>
      <c r="I98" s="20" t="n">
        <v>54.966</v>
      </c>
      <c r="J98" s="20" t="n">
        <v>0</v>
      </c>
      <c r="K98" s="20" t="n">
        <v>3.445</v>
      </c>
      <c r="L98" s="20" t="n">
        <v>47.589</v>
      </c>
    </row>
    <row r="99">
      <c r="A99" s="18" t="inlineStr">
        <is>
          <t>유형자산</t>
        </is>
      </c>
      <c r="C99" s="20" t="n">
        <v>3412.372</v>
      </c>
      <c r="D99" s="20" t="n">
        <v>3367.598</v>
      </c>
      <c r="E99" s="20" t="n">
        <v>3288.388</v>
      </c>
      <c r="F99" s="20" t="n">
        <v>3421.263</v>
      </c>
      <c r="G99" s="20" t="n">
        <v>3378.684</v>
      </c>
      <c r="H99" s="20" t="n">
        <v>2969.301</v>
      </c>
      <c r="I99" s="20" t="n">
        <v>2805.94</v>
      </c>
      <c r="J99" s="20" t="n">
        <v>2695.451</v>
      </c>
      <c r="K99" s="20" t="n">
        <v>3050.254</v>
      </c>
      <c r="L99" s="20" t="n">
        <v>3421.263</v>
      </c>
    </row>
    <row r="100">
      <c r="A100" s="18" t="inlineStr">
        <is>
          <t>무형자산</t>
        </is>
      </c>
      <c r="C100" s="20" t="n">
        <v>641.102</v>
      </c>
      <c r="D100" s="20" t="n">
        <v>614.699</v>
      </c>
      <c r="E100" s="20" t="n">
        <v>585.806</v>
      </c>
      <c r="F100" s="20" t="n">
        <v>609.761</v>
      </c>
      <c r="G100" s="20" t="n">
        <v>575.126</v>
      </c>
      <c r="H100" s="20" t="n">
        <v>537.021</v>
      </c>
      <c r="I100" s="20" t="n">
        <v>640.621</v>
      </c>
      <c r="J100" s="20" t="n">
        <v>747.854</v>
      </c>
      <c r="K100" s="20" t="n">
        <v>675.597</v>
      </c>
      <c r="L100" s="20" t="n">
        <v>609.761</v>
      </c>
    </row>
    <row r="101">
      <c r="A101" s="18" t="inlineStr">
        <is>
          <t>투자유가증권</t>
        </is>
      </c>
      <c r="F101" s="20" t="n">
        <v>1040.601</v>
      </c>
      <c r="H101" s="20" t="n">
        <v>663.02</v>
      </c>
      <c r="I101" s="20" t="n">
        <v>664.255</v>
      </c>
      <c r="J101" s="20" t="n">
        <v>648.207</v>
      </c>
      <c r="K101" s="20" t="n">
        <v>664.452</v>
      </c>
      <c r="L101" s="20" t="n">
        <v>1040.601</v>
      </c>
    </row>
    <row r="102">
      <c r="A102" s="18" t="inlineStr">
        <is>
          <t>장기대여금</t>
        </is>
      </c>
      <c r="F102" s="20" t="n">
        <v>1.666</v>
      </c>
      <c r="H102" s="20" t="n">
        <v>4.128</v>
      </c>
      <c r="I102" s="20" t="n">
        <v>3.168</v>
      </c>
      <c r="J102" s="20" t="n">
        <v>3.549</v>
      </c>
      <c r="K102" s="20" t="n">
        <v>2.657</v>
      </c>
      <c r="L102" s="20" t="n">
        <v>1.666</v>
      </c>
    </row>
    <row r="103">
      <c r="A103" s="18" t="inlineStr">
        <is>
          <t>퇴직급여자산</t>
        </is>
      </c>
      <c r="F103" s="20" t="n">
        <v>158.95</v>
      </c>
      <c r="K103" s="20" t="n">
        <v>0</v>
      </c>
      <c r="L103" s="20" t="n">
        <v>158.95</v>
      </c>
    </row>
    <row r="104">
      <c r="A104" s="18" t="inlineStr">
        <is>
          <t>이연법인세자산</t>
        </is>
      </c>
      <c r="F104" s="20" t="n">
        <v>768.061</v>
      </c>
      <c r="H104" s="20" t="n">
        <v>541.6180000000001</v>
      </c>
      <c r="I104" s="20" t="n">
        <v>387.425</v>
      </c>
      <c r="J104" s="20" t="n">
        <v>656.051</v>
      </c>
      <c r="K104" s="20" t="n">
        <v>832.476</v>
      </c>
      <c r="L104" s="20" t="n">
        <v>768.061</v>
      </c>
    </row>
    <row r="105">
      <c r="A105" s="18" t="inlineStr">
        <is>
          <t>기타</t>
        </is>
      </c>
      <c r="C105" s="20" t="n">
        <v>1923.759</v>
      </c>
      <c r="D105" s="20" t="n">
        <v>1949.022</v>
      </c>
      <c r="E105" s="20" t="n">
        <v>2005.979</v>
      </c>
      <c r="F105" s="20" t="n">
        <v>297.447</v>
      </c>
      <c r="H105" s="20" t="n">
        <v>293.336</v>
      </c>
      <c r="I105" s="20" t="n">
        <v>282.25</v>
      </c>
      <c r="J105" s="20" t="n">
        <v>292.251</v>
      </c>
      <c r="K105" s="20" t="n">
        <v>280.119</v>
      </c>
      <c r="L105" s="20" t="n">
        <v>297.447</v>
      </c>
    </row>
    <row r="106">
      <c r="A106" s="18" t="inlineStr">
        <is>
          <t>대손충당금</t>
        </is>
      </c>
      <c r="C106" s="20" t="n">
        <v>0</v>
      </c>
      <c r="D106" s="20" t="n">
        <v>0</v>
      </c>
      <c r="E106" s="20" t="n">
        <v>0</v>
      </c>
      <c r="F106" s="20" t="n">
        <v>0</v>
      </c>
      <c r="H106" s="20" t="n">
        <v>-0.704</v>
      </c>
      <c r="I106" s="20" t="n">
        <v>-0.704</v>
      </c>
      <c r="J106" s="20" t="n">
        <v>-0.704</v>
      </c>
      <c r="K106" s="20" t="n">
        <v>-0.704</v>
      </c>
      <c r="L106" s="20" t="n">
        <v>0</v>
      </c>
    </row>
    <row r="107">
      <c r="A107" s="18" t="inlineStr">
        <is>
          <t>투자 및 기타자산</t>
        </is>
      </c>
      <c r="C107" s="20" t="n">
        <v>1923.759</v>
      </c>
      <c r="D107" s="20" t="n">
        <v>1949.022</v>
      </c>
      <c r="E107" s="20" t="n">
        <v>2005.979</v>
      </c>
      <c r="F107" s="20" t="n">
        <v>2266.727</v>
      </c>
      <c r="G107" s="20" t="n">
        <v>2408.667</v>
      </c>
      <c r="H107" s="20" t="n">
        <v>1501.398</v>
      </c>
      <c r="I107" s="20" t="n">
        <v>1336.395</v>
      </c>
      <c r="J107" s="20" t="n">
        <v>1599.356</v>
      </c>
      <c r="K107" s="20" t="n">
        <v>1779</v>
      </c>
      <c r="L107" s="20" t="n">
        <v>2266.727</v>
      </c>
    </row>
    <row r="108">
      <c r="A108" s="9" t="inlineStr">
        <is>
          <t>비유동자산 합계</t>
        </is>
      </c>
      <c r="C108" s="12" t="n">
        <v>5977.233</v>
      </c>
      <c r="D108" s="12" t="n">
        <v>5931.32</v>
      </c>
      <c r="E108" s="12" t="n">
        <v>5880.174</v>
      </c>
      <c r="F108" s="12" t="n">
        <v>6297.752</v>
      </c>
      <c r="G108" s="12" t="n">
        <v>6362.478</v>
      </c>
      <c r="H108" s="12" t="n">
        <v>5007.721</v>
      </c>
      <c r="I108" s="12" t="n">
        <v>4782.958</v>
      </c>
      <c r="J108" s="12" t="n">
        <v>5042.661</v>
      </c>
      <c r="K108" s="12" t="n">
        <v>5504.853</v>
      </c>
      <c r="L108" s="12" t="n">
        <v>6297.752</v>
      </c>
    </row>
    <row r="109">
      <c r="A109" s="9" t="inlineStr">
        <is>
          <t>자산 합계</t>
        </is>
      </c>
      <c r="C109" s="12" t="n">
        <v>22741.531</v>
      </c>
      <c r="D109" s="12" t="n">
        <v>24012.737</v>
      </c>
      <c r="E109" s="12" t="n">
        <v>26346.225</v>
      </c>
      <c r="F109" s="12" t="n">
        <v>28296.269</v>
      </c>
      <c r="G109" s="12" t="n">
        <v>27905.991</v>
      </c>
      <c r="H109" s="12" t="n">
        <v>21796.174</v>
      </c>
      <c r="I109" s="12" t="n">
        <v>21633.296</v>
      </c>
      <c r="J109" s="12" t="n">
        <v>23881.958</v>
      </c>
      <c r="K109" s="12" t="n">
        <v>23649.963</v>
      </c>
      <c r="L109" s="12" t="n">
        <v>28296.269</v>
      </c>
    </row>
    <row r="110">
      <c r="A110" s="18" t="inlineStr">
        <is>
          <t>지급어음·매입채무</t>
        </is>
      </c>
      <c r="C110" s="20" t="n">
        <v>2355.48</v>
      </c>
      <c r="D110" s="20" t="n">
        <v>2960.932</v>
      </c>
      <c r="E110" s="20" t="n">
        <v>3399.952</v>
      </c>
      <c r="F110" s="20" t="n">
        <v>3675.38</v>
      </c>
      <c r="G110" s="20" t="n">
        <v>2751.534</v>
      </c>
      <c r="H110" s="20" t="n">
        <v>1803.578</v>
      </c>
      <c r="I110" s="20" t="n">
        <v>2030.482</v>
      </c>
      <c r="J110" s="20" t="n">
        <v>2319.534</v>
      </c>
      <c r="K110" s="20" t="n">
        <v>2393.405</v>
      </c>
      <c r="L110" s="20" t="n">
        <v>3675.38</v>
      </c>
    </row>
    <row r="111">
      <c r="A111" s="18" t="inlineStr">
        <is>
          <t>전자기록채무</t>
        </is>
      </c>
      <c r="C111" s="20" t="n">
        <v>214.705</v>
      </c>
      <c r="D111" s="20" t="n">
        <v>215.134</v>
      </c>
      <c r="E111" s="20" t="n">
        <v>232.997</v>
      </c>
      <c r="F111" s="20" t="n">
        <v>531.259</v>
      </c>
      <c r="G111" s="20" t="n">
        <v>1624.721</v>
      </c>
      <c r="H111" s="20" t="n">
        <v>118.389</v>
      </c>
      <c r="I111" s="20" t="n">
        <v>44.523</v>
      </c>
      <c r="J111" s="20" t="n">
        <v>110.541</v>
      </c>
      <c r="K111" s="20" t="n">
        <v>130.875</v>
      </c>
      <c r="L111" s="20" t="n">
        <v>531.259</v>
      </c>
    </row>
    <row r="112">
      <c r="A112" s="18" t="inlineStr">
        <is>
          <t>단기차입금</t>
        </is>
      </c>
      <c r="C112" s="20" t="n">
        <v>4530</v>
      </c>
      <c r="D112" s="20" t="n">
        <v>4380</v>
      </c>
      <c r="E112" s="20" t="n">
        <v>5530</v>
      </c>
      <c r="F112" s="20" t="n">
        <v>4530</v>
      </c>
      <c r="G112" s="20" t="n">
        <v>4730</v>
      </c>
      <c r="H112" s="20" t="n">
        <v>6030</v>
      </c>
      <c r="I112" s="20" t="n">
        <v>6530</v>
      </c>
      <c r="J112" s="20" t="n">
        <v>6030</v>
      </c>
      <c r="K112" s="20" t="n">
        <v>4830</v>
      </c>
      <c r="L112" s="20" t="n">
        <v>4530</v>
      </c>
    </row>
    <row r="113">
      <c r="A113" s="18" t="inlineStr">
        <is>
          <t>1년 내 상환 장기차입금</t>
        </is>
      </c>
      <c r="C113" s="20" t="n">
        <v>54.756</v>
      </c>
      <c r="D113" s="20" t="n">
        <v>92.256</v>
      </c>
      <c r="E113" s="20" t="n">
        <v>92.256</v>
      </c>
      <c r="F113" s="20" t="n">
        <v>92.256</v>
      </c>
      <c r="G113" s="20" t="n">
        <v>92.256</v>
      </c>
      <c r="H113" s="20" t="n">
        <v>112.344</v>
      </c>
      <c r="I113" s="20" t="n">
        <v>80.08</v>
      </c>
      <c r="J113" s="20" t="n">
        <v>54.756</v>
      </c>
      <c r="K113" s="20" t="n">
        <v>54.756</v>
      </c>
      <c r="L113" s="20" t="n">
        <v>92.256</v>
      </c>
    </row>
    <row r="114">
      <c r="A114" s="18" t="inlineStr">
        <is>
          <t>리스부채</t>
        </is>
      </c>
      <c r="F114" s="20" t="n">
        <v>32.996</v>
      </c>
      <c r="H114" s="20" t="n">
        <v>15.431</v>
      </c>
      <c r="I114" s="20" t="n">
        <v>14.724</v>
      </c>
      <c r="J114" s="20" t="n">
        <v>17.945</v>
      </c>
      <c r="K114" s="20" t="n">
        <v>40.918</v>
      </c>
      <c r="L114" s="20" t="n">
        <v>32.996</v>
      </c>
    </row>
    <row r="115">
      <c r="A115" s="18" t="inlineStr">
        <is>
          <t>미지급금</t>
        </is>
      </c>
      <c r="C115" s="20" t="n">
        <v>905.436</v>
      </c>
      <c r="D115" s="20" t="n">
        <v>621.386</v>
      </c>
      <c r="E115" s="20" t="n">
        <v>883.777</v>
      </c>
      <c r="F115" s="20" t="n">
        <v>1268.546</v>
      </c>
      <c r="G115" s="20" t="n">
        <v>819.831</v>
      </c>
      <c r="H115" s="20" t="n">
        <v>1059.855</v>
      </c>
      <c r="I115" s="20" t="n">
        <v>1054.208</v>
      </c>
      <c r="J115" s="20" t="n">
        <v>1691.448</v>
      </c>
      <c r="K115" s="20" t="n">
        <v>1296.155</v>
      </c>
      <c r="L115" s="20" t="n">
        <v>1268.546</v>
      </c>
    </row>
    <row r="116">
      <c r="A116" s="18" t="inlineStr">
        <is>
          <t>미지급법인세</t>
        </is>
      </c>
      <c r="C116" s="20" t="n">
        <v>25.915</v>
      </c>
      <c r="D116" s="20" t="n">
        <v>65.5</v>
      </c>
      <c r="E116" s="20" t="n">
        <v>28.787</v>
      </c>
      <c r="F116" s="20" t="n">
        <v>130.741</v>
      </c>
      <c r="G116" s="20" t="n">
        <v>33.629</v>
      </c>
      <c r="H116" s="20" t="n">
        <v>85.06699999999999</v>
      </c>
      <c r="I116" s="20" t="n">
        <v>82.84699999999999</v>
      </c>
      <c r="J116" s="20" t="n">
        <v>244.72</v>
      </c>
      <c r="K116" s="20" t="n">
        <v>260.737</v>
      </c>
      <c r="L116" s="20" t="n">
        <v>130.741</v>
      </c>
    </row>
    <row r="117">
      <c r="A117" s="18" t="inlineStr">
        <is>
          <t>미지급 소비세</t>
        </is>
      </c>
      <c r="C117" s="20" t="n">
        <v>81.72</v>
      </c>
      <c r="D117" s="20" t="n">
        <v>29.112</v>
      </c>
      <c r="E117" s="20" t="n">
        <v>38.026</v>
      </c>
      <c r="F117" s="20" t="n">
        <v>136.887</v>
      </c>
      <c r="G117" s="20" t="n">
        <v>82.566</v>
      </c>
      <c r="H117" s="20" t="n">
        <v>140.889</v>
      </c>
      <c r="I117" s="20" t="n">
        <v>148.488</v>
      </c>
      <c r="J117" s="20" t="n">
        <v>562.059</v>
      </c>
      <c r="K117" s="20" t="n">
        <v>217.387</v>
      </c>
      <c r="L117" s="20" t="n">
        <v>136.887</v>
      </c>
    </row>
    <row r="118">
      <c r="A118" s="18" t="inlineStr">
        <is>
          <t>상여충당금</t>
        </is>
      </c>
      <c r="C118" s="20" t="n">
        <v>395.796</v>
      </c>
      <c r="D118" s="20" t="n">
        <v>800.83</v>
      </c>
      <c r="E118" s="20" t="n">
        <v>634.145</v>
      </c>
      <c r="F118" s="20" t="n">
        <v>1332.129</v>
      </c>
      <c r="G118" s="20" t="n">
        <v>401.26</v>
      </c>
      <c r="H118" s="20" t="n">
        <v>790.9930000000001</v>
      </c>
      <c r="I118" s="20" t="n">
        <v>569.948</v>
      </c>
      <c r="J118" s="20" t="n">
        <v>777.687</v>
      </c>
      <c r="K118" s="20" t="n">
        <v>1205.554</v>
      </c>
      <c r="L118" s="20" t="n">
        <v>1332.129</v>
      </c>
    </row>
    <row r="119">
      <c r="A119" s="18" t="inlineStr">
        <is>
          <t>임원 상여충당금</t>
        </is>
      </c>
      <c r="C119" s="20" t="n">
        <v>0</v>
      </c>
      <c r="D119" s="20" t="n">
        <v>6.79</v>
      </c>
      <c r="E119" s="20" t="n">
        <v>10.175</v>
      </c>
      <c r="F119" s="20" t="n">
        <v>33.543</v>
      </c>
      <c r="G119" s="20" t="n">
        <v>7.153</v>
      </c>
      <c r="H119" s="20" t="n">
        <v>7.8</v>
      </c>
      <c r="I119" s="20" t="n">
        <v>10.38</v>
      </c>
      <c r="J119" s="20" t="n">
        <v>13.811</v>
      </c>
      <c r="K119" s="20" t="n">
        <v>20.448</v>
      </c>
      <c r="L119" s="20" t="n">
        <v>33.543</v>
      </c>
    </row>
    <row r="120">
      <c r="A120" s="18" t="inlineStr">
        <is>
          <t>Provision For Loss On Construction Contracts</t>
        </is>
      </c>
      <c r="C120" s="20" t="n">
        <v>444.853</v>
      </c>
      <c r="D120" s="20" t="n">
        <v>303.729</v>
      </c>
      <c r="E120" s="20" t="n">
        <v>390.351</v>
      </c>
      <c r="F120" s="20" t="n">
        <v>507.151</v>
      </c>
      <c r="G120" s="20" t="n">
        <v>605.432</v>
      </c>
      <c r="H120" s="20" t="n">
        <v>179.675</v>
      </c>
      <c r="I120" s="20" t="n">
        <v>375.128</v>
      </c>
      <c r="J120" s="20" t="n">
        <v>315.562</v>
      </c>
      <c r="K120" s="20" t="n">
        <v>358.708</v>
      </c>
      <c r="L120" s="20" t="n">
        <v>507.151</v>
      </c>
    </row>
    <row r="121">
      <c r="A121" s="18" t="inlineStr">
        <is>
          <t>자산복구부채</t>
        </is>
      </c>
      <c r="C121" s="20" t="n">
        <v>1.761</v>
      </c>
      <c r="D121" s="20" t="n">
        <v>1.761</v>
      </c>
      <c r="E121" s="20" t="n">
        <v>0.681</v>
      </c>
      <c r="F121" s="20" t="n">
        <v>0.681</v>
      </c>
      <c r="G121" s="20" t="n">
        <v>0.681</v>
      </c>
      <c r="H121" s="20" t="n">
        <v>0.681</v>
      </c>
      <c r="I121" s="20" t="n">
        <v>0.681</v>
      </c>
      <c r="J121" s="20" t="n">
        <v>0.681</v>
      </c>
      <c r="K121" s="20" t="n">
        <v>1.761</v>
      </c>
      <c r="L121" s="20" t="n">
        <v>0.681</v>
      </c>
    </row>
    <row r="122">
      <c r="A122" s="18" t="inlineStr">
        <is>
          <t>기타</t>
        </is>
      </c>
      <c r="C122" s="20" t="n">
        <v>1401.264</v>
      </c>
      <c r="D122" s="20" t="n">
        <v>1713.886</v>
      </c>
      <c r="E122" s="20" t="n">
        <v>1840.788</v>
      </c>
      <c r="F122" s="20" t="n">
        <v>1769.236</v>
      </c>
      <c r="G122" s="20" t="n">
        <v>2680.151</v>
      </c>
      <c r="H122" s="20" t="n">
        <v>516.564</v>
      </c>
      <c r="I122" s="20" t="n">
        <v>502.852</v>
      </c>
      <c r="J122" s="20" t="n">
        <v>708.415</v>
      </c>
      <c r="K122" s="20" t="n">
        <v>569.38</v>
      </c>
      <c r="L122" s="20" t="n">
        <v>1769.236</v>
      </c>
    </row>
    <row r="123">
      <c r="A123" s="9" t="inlineStr">
        <is>
          <t>유동부채 합계</t>
        </is>
      </c>
      <c r="C123" s="12" t="n">
        <v>10411.69</v>
      </c>
      <c r="D123" s="12" t="n">
        <v>11191.322</v>
      </c>
      <c r="E123" s="12" t="n">
        <v>13081.939</v>
      </c>
      <c r="F123" s="12" t="n">
        <v>14007.814</v>
      </c>
      <c r="G123" s="12" t="n">
        <v>13829.219</v>
      </c>
      <c r="H123" s="12" t="n">
        <v>10861.271</v>
      </c>
      <c r="I123" s="12" t="n">
        <v>11444.345</v>
      </c>
      <c r="J123" s="12" t="n">
        <v>12847.163</v>
      </c>
      <c r="K123" s="12" t="n">
        <v>11380.087</v>
      </c>
      <c r="L123" s="12" t="n">
        <v>14007.814</v>
      </c>
    </row>
    <row r="124">
      <c r="A124" s="18" t="inlineStr">
        <is>
          <t>장기차입금</t>
        </is>
      </c>
      <c r="C124" s="20" t="n">
        <v>379.909</v>
      </c>
      <c r="D124" s="20" t="n">
        <v>622.47</v>
      </c>
      <c r="E124" s="20" t="n">
        <v>602.5309999999999</v>
      </c>
      <c r="F124" s="20" t="n">
        <v>576.342</v>
      </c>
      <c r="G124" s="20" t="n">
        <v>553.278</v>
      </c>
      <c r="H124" s="20" t="n">
        <v>583.1900000000001</v>
      </c>
      <c r="I124" s="20" t="n">
        <v>503.11</v>
      </c>
      <c r="J124" s="20" t="n">
        <v>448.354</v>
      </c>
      <c r="K124" s="20" t="n">
        <v>393.598</v>
      </c>
      <c r="L124" s="20" t="n">
        <v>576.342</v>
      </c>
    </row>
    <row r="125">
      <c r="A125" s="18" t="inlineStr">
        <is>
          <t>리스부채</t>
        </is>
      </c>
      <c r="F125" s="20" t="n">
        <v>181.588</v>
      </c>
      <c r="H125" s="20" t="n">
        <v>37.426</v>
      </c>
      <c r="I125" s="20" t="n">
        <v>22.702</v>
      </c>
      <c r="J125" s="20" t="n">
        <v>29.401</v>
      </c>
      <c r="K125" s="20" t="n">
        <v>210.903</v>
      </c>
      <c r="L125" s="20" t="n">
        <v>181.588</v>
      </c>
    </row>
    <row r="126">
      <c r="A126" s="18" t="inlineStr">
        <is>
          <t>임원 퇴직위로 충당금</t>
        </is>
      </c>
      <c r="C126" s="20" t="n">
        <v>20.832</v>
      </c>
      <c r="D126" s="20" t="n">
        <v>22.885</v>
      </c>
      <c r="E126" s="20" t="n">
        <v>25.545</v>
      </c>
      <c r="F126" s="20" t="n">
        <v>28.238</v>
      </c>
      <c r="G126" s="20" t="n">
        <v>30.706</v>
      </c>
      <c r="H126" s="20" t="n">
        <v>16.343</v>
      </c>
      <c r="I126" s="20" t="n">
        <v>27.173</v>
      </c>
      <c r="J126" s="20" t="n">
        <v>30.822</v>
      </c>
      <c r="K126" s="20" t="n">
        <v>41.235</v>
      </c>
      <c r="L126" s="20" t="n">
        <v>28.238</v>
      </c>
    </row>
    <row r="127">
      <c r="A127" s="18" t="inlineStr">
        <is>
          <t>이연법인세부채</t>
        </is>
      </c>
      <c r="H127" s="20" t="n">
        <v>0</v>
      </c>
      <c r="I127" s="20" t="n">
        <v>43.277</v>
      </c>
      <c r="J127" s="20" t="n">
        <v>0</v>
      </c>
    </row>
    <row r="128">
      <c r="A128" s="18" t="inlineStr">
        <is>
          <t>퇴직급여부채</t>
        </is>
      </c>
      <c r="C128" s="20" t="n">
        <v>2609.787</v>
      </c>
      <c r="D128" s="20" t="n">
        <v>2601.667</v>
      </c>
      <c r="E128" s="20" t="n">
        <v>2595.273</v>
      </c>
      <c r="F128" s="20" t="n">
        <v>2389.955</v>
      </c>
      <c r="G128" s="20" t="n">
        <v>2408.414</v>
      </c>
      <c r="H128" s="20" t="n">
        <v>2762.284</v>
      </c>
      <c r="I128" s="20" t="n">
        <v>2883.498</v>
      </c>
      <c r="J128" s="20" t="n">
        <v>2408.237</v>
      </c>
      <c r="K128" s="20" t="n">
        <v>2611.302</v>
      </c>
      <c r="L128" s="20" t="n">
        <v>2389.955</v>
      </c>
    </row>
    <row r="129">
      <c r="A129" s="18" t="inlineStr">
        <is>
          <t>자산복구부채</t>
        </is>
      </c>
      <c r="C129" s="20" t="n">
        <v>84.78100000000001</v>
      </c>
      <c r="D129" s="20" t="n">
        <v>84.78100000000001</v>
      </c>
      <c r="E129" s="20" t="n">
        <v>84.78100000000001</v>
      </c>
      <c r="F129" s="20" t="n">
        <v>84.78100000000001</v>
      </c>
      <c r="G129" s="20" t="n">
        <v>84.78100000000001</v>
      </c>
      <c r="H129" s="20" t="n">
        <v>84.78100000000001</v>
      </c>
      <c r="I129" s="20" t="n">
        <v>84.78100000000001</v>
      </c>
      <c r="J129" s="20" t="n">
        <v>84.78100000000001</v>
      </c>
      <c r="K129" s="20" t="n">
        <v>84.78100000000001</v>
      </c>
      <c r="L129" s="20" t="n">
        <v>84.78100000000001</v>
      </c>
    </row>
    <row r="130">
      <c r="A130" s="18" t="inlineStr">
        <is>
          <t>기타</t>
        </is>
      </c>
      <c r="C130" s="20" t="n">
        <v>242.224</v>
      </c>
      <c r="D130" s="20" t="n">
        <v>234.166</v>
      </c>
      <c r="E130" s="20" t="n">
        <v>226.107</v>
      </c>
      <c r="F130" s="20" t="n">
        <v>220.968</v>
      </c>
      <c r="G130" s="20" t="n">
        <v>212.757</v>
      </c>
      <c r="H130" s="20" t="n">
        <v>45.676</v>
      </c>
      <c r="I130" s="20" t="n">
        <v>39.756</v>
      </c>
      <c r="J130" s="20" t="n">
        <v>39.718</v>
      </c>
      <c r="K130" s="20" t="n">
        <v>39.419</v>
      </c>
      <c r="L130" s="20" t="n">
        <v>220.968</v>
      </c>
    </row>
    <row r="131">
      <c r="A131" s="9" t="inlineStr">
        <is>
          <t>비유동부채 합계</t>
        </is>
      </c>
      <c r="C131" s="12" t="n">
        <v>3337.534</v>
      </c>
      <c r="D131" s="12" t="n">
        <v>3565.97</v>
      </c>
      <c r="E131" s="12" t="n">
        <v>3534.239</v>
      </c>
      <c r="F131" s="12" t="n">
        <v>3300.285</v>
      </c>
      <c r="G131" s="12" t="n">
        <v>3289.938</v>
      </c>
      <c r="H131" s="12" t="n">
        <v>3529.703</v>
      </c>
      <c r="I131" s="12" t="n">
        <v>3604.299</v>
      </c>
      <c r="J131" s="12" t="n">
        <v>3041.315</v>
      </c>
      <c r="K131" s="12" t="n">
        <v>3381.24</v>
      </c>
      <c r="L131" s="12" t="n">
        <v>3300.285</v>
      </c>
    </row>
    <row r="132">
      <c r="A132" s="9" t="inlineStr">
        <is>
          <t>부채 합계</t>
        </is>
      </c>
      <c r="C132" s="12" t="n">
        <v>13749.225</v>
      </c>
      <c r="D132" s="12" t="n">
        <v>14757.292</v>
      </c>
      <c r="E132" s="12" t="n">
        <v>16616.178</v>
      </c>
      <c r="F132" s="12" t="n">
        <v>17308.099</v>
      </c>
      <c r="G132" s="12" t="n">
        <v>17119.157</v>
      </c>
      <c r="H132" s="12" t="n">
        <v>14390.975</v>
      </c>
      <c r="I132" s="12" t="n">
        <v>15048.645</v>
      </c>
      <c r="J132" s="12" t="n">
        <v>15888.478</v>
      </c>
      <c r="K132" s="12" t="n">
        <v>14761.327</v>
      </c>
      <c r="L132" s="12" t="n">
        <v>17308.099</v>
      </c>
    </row>
    <row r="133">
      <c r="A133" s="18" t="inlineStr">
        <is>
          <t>자본금</t>
        </is>
      </c>
      <c r="C133" s="20" t="n">
        <v>2708.389</v>
      </c>
      <c r="D133" s="20" t="n">
        <v>2708.389</v>
      </c>
      <c r="E133" s="20" t="n">
        <v>2708.389</v>
      </c>
      <c r="F133" s="20" t="n">
        <v>2708.389</v>
      </c>
      <c r="G133" s="20" t="n">
        <v>2708.389</v>
      </c>
      <c r="H133" s="20" t="n">
        <v>2708.389</v>
      </c>
      <c r="I133" s="20" t="n">
        <v>2708.389</v>
      </c>
      <c r="J133" s="20" t="n">
        <v>2708.389</v>
      </c>
      <c r="K133" s="20" t="n">
        <v>2708.389</v>
      </c>
      <c r="L133" s="20" t="n">
        <v>2708.389</v>
      </c>
    </row>
    <row r="134">
      <c r="A134" s="18" t="inlineStr">
        <is>
          <t>자본잉여금</t>
        </is>
      </c>
      <c r="C134" s="20" t="n">
        <v>1401.317</v>
      </c>
      <c r="D134" s="20" t="n">
        <v>1401.317</v>
      </c>
      <c r="E134" s="20" t="n">
        <v>1401.317</v>
      </c>
      <c r="F134" s="20" t="n">
        <v>1401.317</v>
      </c>
      <c r="G134" s="20" t="n">
        <v>1401.317</v>
      </c>
      <c r="H134" s="20" t="n">
        <v>1401.317</v>
      </c>
      <c r="I134" s="20" t="n">
        <v>1401.317</v>
      </c>
      <c r="J134" s="20" t="n">
        <v>1401.317</v>
      </c>
      <c r="K134" s="20" t="n">
        <v>1401.317</v>
      </c>
      <c r="L134" s="20" t="n">
        <v>1401.317</v>
      </c>
    </row>
    <row r="135">
      <c r="A135" s="18" t="inlineStr">
        <is>
          <t>이익잉여금</t>
        </is>
      </c>
      <c r="C135" s="20" t="n">
        <v>3340.247</v>
      </c>
      <c r="D135" s="20" t="n">
        <v>3473.714</v>
      </c>
      <c r="E135" s="20" t="n">
        <v>3808.632</v>
      </c>
      <c r="F135" s="20" t="n">
        <v>4611.719</v>
      </c>
      <c r="G135" s="20" t="n">
        <v>4311.19</v>
      </c>
      <c r="H135" s="20" t="n">
        <v>2294.557</v>
      </c>
      <c r="I135" s="20" t="n">
        <v>1482.05</v>
      </c>
      <c r="J135" s="20" t="n">
        <v>2240.116</v>
      </c>
      <c r="K135" s="20" t="n">
        <v>3273.82</v>
      </c>
      <c r="L135" s="20" t="n">
        <v>4611.719</v>
      </c>
    </row>
    <row r="136">
      <c r="A136" s="18" t="inlineStr">
        <is>
          <t>자기주식</t>
        </is>
      </c>
      <c r="C136" s="20" t="n">
        <v>-479.526</v>
      </c>
      <c r="D136" s="20" t="n">
        <v>-408.657</v>
      </c>
      <c r="E136" s="20" t="n">
        <v>-408.748</v>
      </c>
      <c r="F136" s="20" t="n">
        <v>-408.909</v>
      </c>
      <c r="G136" s="20" t="n">
        <v>-409.07</v>
      </c>
      <c r="H136" s="20" t="n">
        <v>-525.563</v>
      </c>
      <c r="I136" s="20" t="n">
        <v>-521.905</v>
      </c>
      <c r="J136" s="20" t="n">
        <v>-517.704</v>
      </c>
      <c r="K136" s="20" t="n">
        <v>-479.526</v>
      </c>
      <c r="L136" s="20" t="n">
        <v>-408.909</v>
      </c>
    </row>
    <row r="137">
      <c r="A137" s="9" t="inlineStr">
        <is>
          <t>주주자본 합계</t>
        </is>
      </c>
      <c r="C137" s="12" t="n">
        <v>6970.427</v>
      </c>
      <c r="D137" s="12" t="n">
        <v>7174.764</v>
      </c>
      <c r="E137" s="12" t="n">
        <v>7509.59</v>
      </c>
      <c r="F137" s="12" t="n">
        <v>8312.517</v>
      </c>
      <c r="G137" s="12" t="n">
        <v>8011.827</v>
      </c>
      <c r="H137" s="12" t="n">
        <v>5878.699</v>
      </c>
      <c r="I137" s="12" t="n">
        <v>5069.851</v>
      </c>
      <c r="J137" s="12" t="n">
        <v>5832.118</v>
      </c>
      <c r="K137" s="12" t="n">
        <v>6904</v>
      </c>
      <c r="L137" s="12" t="n">
        <v>8312.517</v>
      </c>
    </row>
    <row r="138">
      <c r="A138" s="18" t="inlineStr">
        <is>
          <t>기타유가증권 평가차액</t>
        </is>
      </c>
      <c r="C138" s="20" t="n">
        <v>310.04</v>
      </c>
      <c r="D138" s="20" t="n">
        <v>381.594</v>
      </c>
      <c r="E138" s="20" t="n">
        <v>460.457</v>
      </c>
      <c r="F138" s="20" t="n">
        <v>496.194</v>
      </c>
      <c r="G138" s="20" t="n">
        <v>590.8819999999999</v>
      </c>
      <c r="H138" s="20" t="n">
        <v>150.02</v>
      </c>
      <c r="I138" s="20" t="n">
        <v>165.245</v>
      </c>
      <c r="J138" s="20" t="n">
        <v>252.365</v>
      </c>
      <c r="K138" s="20" t="n">
        <v>259.78</v>
      </c>
      <c r="L138" s="20" t="n">
        <v>496.194</v>
      </c>
    </row>
    <row r="139">
      <c r="A139" s="18" t="inlineStr">
        <is>
          <t>퇴직급여 조정누계액</t>
        </is>
      </c>
      <c r="C139" s="20" t="n">
        <v>-107.547</v>
      </c>
      <c r="D139" s="20" t="n">
        <v>-105.045</v>
      </c>
      <c r="E139" s="20" t="n">
        <v>-102.543</v>
      </c>
      <c r="F139" s="20" t="n">
        <v>199.872</v>
      </c>
      <c r="G139" s="20" t="n">
        <v>195.233</v>
      </c>
      <c r="H139" s="20" t="n">
        <v>2.694</v>
      </c>
      <c r="I139" s="20" t="n">
        <v>-137.933</v>
      </c>
      <c r="J139" s="20" t="n">
        <v>246.547</v>
      </c>
      <c r="K139" s="20" t="n">
        <v>-110.05</v>
      </c>
      <c r="L139" s="20" t="n">
        <v>199.872</v>
      </c>
    </row>
    <row r="140">
      <c r="A140" s="18" t="inlineStr">
        <is>
          <t>기타포괄손익누계액 합계</t>
        </is>
      </c>
      <c r="C140" s="20" t="n">
        <v>202.493</v>
      </c>
      <c r="D140" s="20" t="n">
        <v>276.548</v>
      </c>
      <c r="E140" s="20" t="n">
        <v>357.914</v>
      </c>
      <c r="F140" s="20" t="n">
        <v>696.066</v>
      </c>
      <c r="G140" s="20" t="n">
        <v>786.116</v>
      </c>
      <c r="H140" s="20" t="n">
        <v>152.714</v>
      </c>
      <c r="I140" s="20" t="n">
        <v>27.311</v>
      </c>
      <c r="J140" s="20" t="n">
        <v>498.912</v>
      </c>
      <c r="K140" s="20" t="n">
        <v>149.73</v>
      </c>
      <c r="L140" s="20" t="n">
        <v>696.066</v>
      </c>
    </row>
    <row r="141">
      <c r="A141" s="18" t="inlineStr">
        <is>
          <t>비지배지분</t>
        </is>
      </c>
      <c r="C141" s="20" t="n">
        <v>1819.385</v>
      </c>
      <c r="D141" s="20" t="n">
        <v>1804.132</v>
      </c>
      <c r="E141" s="20" t="n">
        <v>1862.541</v>
      </c>
      <c r="F141" s="20" t="n">
        <v>1979.586</v>
      </c>
      <c r="G141" s="20" t="n">
        <v>1988.89</v>
      </c>
      <c r="H141" s="20" t="n">
        <v>1373.785</v>
      </c>
      <c r="I141" s="20" t="n">
        <v>1487.488</v>
      </c>
      <c r="J141" s="20" t="n">
        <v>1662.447</v>
      </c>
      <c r="K141" s="20" t="n">
        <v>1834.904</v>
      </c>
      <c r="L141" s="20" t="n">
        <v>1979.586</v>
      </c>
    </row>
    <row r="142">
      <c r="A142" s="9" t="inlineStr">
        <is>
          <t>순자산 합계</t>
        </is>
      </c>
      <c r="C142" s="12" t="n">
        <v>8992.306</v>
      </c>
      <c r="D142" s="12" t="n">
        <v>9255.445</v>
      </c>
      <c r="E142" s="12" t="n">
        <v>9730.046</v>
      </c>
      <c r="F142" s="12" t="n">
        <v>10988.169</v>
      </c>
      <c r="G142" s="12" t="n">
        <v>10786.834</v>
      </c>
      <c r="H142" s="12" t="n">
        <v>7405.199</v>
      </c>
      <c r="I142" s="12" t="n">
        <v>6584.651</v>
      </c>
      <c r="J142" s="12" t="n">
        <v>7993.479</v>
      </c>
      <c r="K142" s="12" t="n">
        <v>8888.635</v>
      </c>
      <c r="L142" s="12" t="n">
        <v>10988.169</v>
      </c>
    </row>
    <row r="143">
      <c r="A143" s="9" t="inlineStr">
        <is>
          <t>부채·순자산 합계</t>
        </is>
      </c>
      <c r="C143" s="12" t="n">
        <v>22741.531</v>
      </c>
      <c r="D143" s="12" t="n">
        <v>24012.737</v>
      </c>
      <c r="E143" s="12" t="n">
        <v>26346.225</v>
      </c>
      <c r="F143" s="12" t="n">
        <v>28296.269</v>
      </c>
      <c r="G143" s="12" t="n">
        <v>27905.991</v>
      </c>
      <c r="H143" s="12" t="n">
        <v>21796.174</v>
      </c>
      <c r="I143" s="12" t="n">
        <v>21633.296</v>
      </c>
      <c r="J143" s="12" t="n">
        <v>23881.958</v>
      </c>
      <c r="K143" s="12" t="n">
        <v>23649.963</v>
      </c>
      <c r="L143" s="12" t="n">
        <v>28296.269</v>
      </c>
    </row>
  </sheetData>
  <conditionalFormatting sqref="C43:L43">
    <cfRule type="expression" priority="1" dxfId="0">
      <formula>AND(ISNUMBER(C43),C43&gt;1.0)</formula>
    </cfRule>
  </conditionalFormatting>
  <conditionalFormatting sqref="C44:L44">
    <cfRule type="expression" priority="2" dxfId="0">
      <formula>AND(ISNUMBER(C44),C44&gt;0.5)</formula>
    </cfRule>
  </conditionalFormatting>
  <conditionalFormatting sqref="C45:L45">
    <cfRule type="expression" priority="3" dxfId="0">
      <formula>AND(ISNUMBER(C45),C45&lt;0.5)</formula>
    </cfRule>
  </conditionalFormatting>
  <conditionalFormatting sqref="C46:L46">
    <cfRule type="expression" priority="4" dxfId="0">
      <formula>AND(ISNUMBER(C46),C46&lt;1.5)</formula>
    </cfRule>
  </conditionalFormatting>
  <conditionalFormatting sqref="C47:L47">
    <cfRule type="expression" priority="5" dxfId="0">
      <formula>AND(ISNUMBER(C47),C47&lt;1.0)</formula>
    </cfRule>
  </conditionalFormatting>
  <conditionalFormatting sqref="C48:L48">
    <cfRule type="expression" priority="6" dxfId="0">
      <formula>AND(ISNUMBER(C48),C48&lt;5)</formula>
    </cfRule>
  </conditionalFormatting>
  <conditionalFormatting sqref="C49:L49">
    <cfRule type="expression" priority="7" dxfId="0">
      <formula>AND(ISNUMBER(C49),C49&gt;4)</formula>
    </cfRule>
  </conditionalFormatting>
  <conditionalFormatting sqref="C51:L51">
    <cfRule type="expression" priority="8" dxfId="0">
      <formula>AND(ISNUMBER(C51),C51&lt;0.15)</formula>
    </cfRule>
  </conditionalFormatting>
  <conditionalFormatting sqref="C52:L52">
    <cfRule type="expression" priority="9" dxfId="0">
      <formula>AND(ISNUMBER(C52),C52&lt;0.05)</formula>
    </cfRule>
  </conditionalFormatting>
  <conditionalFormatting sqref="C53:L53">
    <cfRule type="expression" priority="10" dxfId="0">
      <formula>AND(ISNUMBER(C53),C53&lt;0.1)</formula>
    </cfRule>
  </conditionalFormatting>
  <conditionalFormatting sqref="C54:L54">
    <cfRule type="expression" priority="11" dxfId="0">
      <formula>AND(ISNUMBER(C54),C54&lt;0.4)</formula>
    </cfRule>
  </conditionalFormatting>
  <conditionalFormatting sqref="C55:L55">
    <cfRule type="expression" priority="12" dxfId="0">
      <formula>AND(ISNUMBER(C55),C55&lt;0.15)</formula>
    </cfRule>
  </conditionalFormatting>
  <conditionalFormatting sqref="C56:L56">
    <cfRule type="expression" priority="13" dxfId="0">
      <formula>AND(ISNUMBER(C56),C56&lt;0.1)</formula>
    </cfRule>
  </conditionalFormatting>
  <conditionalFormatting sqref="C64:L64">
    <cfRule type="expression" priority="14" dxfId="0">
      <formula>AND(ISNUMBER(C64),C64&lt;1.0)</formula>
    </cfRule>
  </conditionalFormatting>
  <conditionalFormatting sqref="C65:L65">
    <cfRule type="expression" priority="15" dxfId="0">
      <formula>AND(ISNUMBER(C65),C65&lt;0.05)</formula>
    </cfRule>
  </conditionalFormatting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0" customWidth="1" min="3" max="3"/>
  </cols>
  <sheetData>
    <row r="1">
      <c r="A1" s="50" t="inlineStr">
        <is>
          <t>출처 · 쓴 결산단신</t>
        </is>
      </c>
    </row>
    <row r="3">
      <c r="A3" s="51" t="inlineStr">
        <is>
          <t>공시일</t>
        </is>
      </c>
      <c r="B3" s="51" t="inlineStr">
        <is>
          <t>문서</t>
        </is>
      </c>
      <c r="C3" s="51" t="inlineStr">
        <is>
          <t>PDF</t>
        </is>
      </c>
    </row>
    <row r="4">
      <c r="A4" t="inlineStr">
        <is>
          <t>2026-07-29</t>
        </is>
      </c>
      <c r="B4" t="inlineStr">
        <is>
          <t>2027년 3월 결산기 １분기 결산단신</t>
        </is>
      </c>
      <c r="C4" t="inlineStr">
        <is>
          <t>https://www2.jpx.co.jp/disc/68220/140120260729502051.pdf</t>
        </is>
      </c>
    </row>
    <row r="5">
      <c r="A5" t="inlineStr">
        <is>
          <t>2026-05-15</t>
        </is>
      </c>
      <c r="B5" t="inlineStr">
        <is>
          <t>2026년 3월 결산기 연간 결산단신</t>
        </is>
      </c>
      <c r="C5" t="inlineStr">
        <is>
          <t>https://www2.jpx.co.jp/disc/68220/140120260515538434.pdf</t>
        </is>
      </c>
    </row>
    <row r="6">
      <c r="A6" t="inlineStr">
        <is>
          <t>2026-02-13</t>
        </is>
      </c>
      <c r="B6" t="inlineStr">
        <is>
          <t>2026년 3월 결산기 ３분기 결산단신</t>
        </is>
      </c>
      <c r="C6" t="inlineStr">
        <is>
          <t>https://www2.jpx.co.jp/disc/68220/140120260213561081.pdf</t>
        </is>
      </c>
    </row>
    <row r="7">
      <c r="A7" t="inlineStr">
        <is>
          <t>2025-10-30</t>
        </is>
      </c>
      <c r="B7" t="inlineStr">
        <is>
          <t>2026년 3월 결산기 ２분기 결산단신</t>
        </is>
      </c>
      <c r="C7" t="inlineStr">
        <is>
          <t>https://www2.jpx.co.jp/disc/68220/140120251030582982.pdf</t>
        </is>
      </c>
    </row>
    <row r="8">
      <c r="A8" t="inlineStr">
        <is>
          <t>2025-07-29</t>
        </is>
      </c>
      <c r="B8" t="inlineStr">
        <is>
          <t>2026년 3월 결산기 １분기 결산단신</t>
        </is>
      </c>
      <c r="C8" t="inlineStr">
        <is>
          <t>https://www2.jpx.co.jp/disc/68220/140120250729522586.pdf</t>
        </is>
      </c>
    </row>
    <row r="9">
      <c r="A9" t="inlineStr">
        <is>
          <t>2025-05-13</t>
        </is>
      </c>
      <c r="B9" t="inlineStr">
        <is>
          <t>2025년 3월 결산기 연간 결산단신</t>
        </is>
      </c>
      <c r="C9" t="inlineStr">
        <is>
          <t>https://www2.jpx.co.jp/disc/68220/140120250513545818.pdf</t>
        </is>
      </c>
    </row>
    <row r="10">
      <c r="A10" t="inlineStr">
        <is>
          <t>2025-02-12</t>
        </is>
      </c>
      <c r="B10" t="inlineStr">
        <is>
          <t>2025년 3월 결산기 ３분기 결산단신</t>
        </is>
      </c>
      <c r="C10" t="inlineStr">
        <is>
          <t>https://www2.jpx.co.jp/disc/68220/140120250212569370.pdf</t>
        </is>
      </c>
    </row>
    <row r="11">
      <c r="A11" t="inlineStr">
        <is>
          <t>2024-10-30</t>
        </is>
      </c>
      <c r="B11" t="inlineStr">
        <is>
          <t>2025년 3월 결산기 ２분기 결산단신</t>
        </is>
      </c>
      <c r="C11" t="inlineStr">
        <is>
          <t>https://www2.jpx.co.jp/disc/68220/140120241030505619.pdf</t>
        </is>
      </c>
    </row>
    <row r="12">
      <c r="A12" t="inlineStr">
        <is>
          <t>2024-07-30</t>
        </is>
      </c>
      <c r="B12" t="inlineStr">
        <is>
          <t>2025년 3월 결산기 １분기 결산단신</t>
        </is>
      </c>
      <c r="C12" t="inlineStr">
        <is>
          <t>https://www2.jpx.co.jp/disc/68220/140120240729557004.pdf</t>
        </is>
      </c>
    </row>
    <row r="13">
      <c r="A13" t="inlineStr">
        <is>
          <t>2024-05-14</t>
        </is>
      </c>
      <c r="B13" t="inlineStr">
        <is>
          <t>2024년 3월 결산기 연간 결산단신</t>
        </is>
      </c>
      <c r="C13" t="inlineStr">
        <is>
          <t>https://www2.jpx.co.jp/disc/68220/140120240514595865.pdf</t>
        </is>
      </c>
    </row>
    <row r="14">
      <c r="A14" t="inlineStr">
        <is>
          <t>2024-02-09</t>
        </is>
      </c>
      <c r="B14" t="inlineStr">
        <is>
          <t>2024년 3월 결산기 ３분기 결산단신</t>
        </is>
      </c>
      <c r="C14" t="inlineStr">
        <is>
          <t>https://www2.jpx.co.jp/disc/68220/140120240209531595.pdf</t>
        </is>
      </c>
    </row>
    <row r="15">
      <c r="A15" t="inlineStr">
        <is>
          <t>2023-10-30</t>
        </is>
      </c>
      <c r="B15" t="inlineStr">
        <is>
          <t>2024년 3월 결산기 ２분기 결산단신</t>
        </is>
      </c>
      <c r="C15" t="inlineStr">
        <is>
          <t>https://www2.jpx.co.jp/disc/68220/140120231027573644.pdf</t>
        </is>
      </c>
    </row>
    <row r="16">
      <c r="A16" t="inlineStr">
        <is>
          <t>2023-07-28</t>
        </is>
      </c>
      <c r="B16" t="inlineStr">
        <is>
          <t>2024년 3월 결산기 １분기 결산단신</t>
        </is>
      </c>
      <c r="C16" t="inlineStr">
        <is>
          <t>https://www2.jpx.co.jp/disc/68220/140120230727528603.pdf</t>
        </is>
      </c>
    </row>
    <row r="17">
      <c r="A17" t="inlineStr">
        <is>
          <t>2023-05-12</t>
        </is>
      </c>
      <c r="B17" t="inlineStr">
        <is>
          <t>2023년 3월 결산기 연간 결산단신</t>
        </is>
      </c>
      <c r="C17" t="inlineStr">
        <is>
          <t>https://www2.jpx.co.jp/disc/68220/140120230512570701.pdf</t>
        </is>
      </c>
    </row>
    <row r="18">
      <c r="A18" t="inlineStr">
        <is>
          <t>2023-02-08</t>
        </is>
      </c>
      <c r="B18" t="inlineStr">
        <is>
          <t>2023년 3월 결산기 ３분기 결산단신</t>
        </is>
      </c>
      <c r="C18" t="inlineStr">
        <is>
          <t>https://www2.jpx.co.jp/disc/68220/140120230206501335.pdf</t>
        </is>
      </c>
    </row>
    <row r="19">
      <c r="A19" t="inlineStr">
        <is>
          <t>2022-10-28</t>
        </is>
      </c>
      <c r="B19" t="inlineStr">
        <is>
          <t>2023년 3월 결산기 ２분기 결산단신</t>
        </is>
      </c>
      <c r="C19" t="inlineStr">
        <is>
          <t>https://www2.jpx.co.jp/disc/68220/140120221021547722.pdf</t>
        </is>
      </c>
    </row>
    <row r="20">
      <c r="A20" t="inlineStr">
        <is>
          <t>2022-05-12</t>
        </is>
      </c>
      <c r="B20" t="inlineStr">
        <is>
          <t>2022년 3월 결산기 연간 결산단신</t>
        </is>
      </c>
      <c r="C20" t="inlineStr">
        <is>
          <t>https://www2.jpx.co.jp/disc/68220/140120220503533157.pdf</t>
        </is>
      </c>
    </row>
    <row r="21">
      <c r="A21" t="inlineStr">
        <is>
          <t>2021-05-12</t>
        </is>
      </c>
      <c r="B21" t="inlineStr">
        <is>
          <t>2021년 3월 결산기 연간 결산단신</t>
        </is>
      </c>
      <c r="C21" t="inlineStr">
        <is>
          <t>https://www2.jpx.co.jp/disc/68220/140120210427400817.pdf</t>
        </is>
      </c>
    </row>
    <row r="22">
      <c r="A22" t="inlineStr">
        <is>
          <t>2020-05-13</t>
        </is>
      </c>
      <c r="B22" t="inlineStr">
        <is>
          <t>2020년 3월 결산기 연간 결산단신</t>
        </is>
      </c>
      <c r="C22" t="inlineStr">
        <is>
          <t>https://www2.jpx.co.jp/disc/68220/140120200507405355.pdf</t>
        </is>
      </c>
    </row>
    <row r="23">
      <c r="A23" t="inlineStr">
        <is>
          <t>2019-05-15</t>
        </is>
      </c>
      <c r="B23" t="inlineStr">
        <is>
          <t>2019년 3월 결산기 연간 결산단신</t>
        </is>
      </c>
      <c r="C23" t="inlineStr">
        <is>
          <t>https://www2.jpx.co.jp/disc/68220/140120190508416995.pdf</t>
        </is>
      </c>
    </row>
    <row r="24">
      <c r="A24" t="inlineStr">
        <is>
          <t>2018-05-11</t>
        </is>
      </c>
      <c r="B24" t="inlineStr">
        <is>
          <t>연간 결산단신</t>
        </is>
      </c>
      <c r="C24" t="inlineStr">
        <is>
          <t>https://www2.jpx.co.jp/disc/68220/140120180502426563.pdf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2026-10-28T06:58:55Z</dcterms:created>
  <dcterms:modified xmlns:dcterms="http://purl.org/dc/terms/" xmlns:xsi="http://www.w3.org/2001/XMLSchema-instance" xsi:type="dcterms:W3CDTF">2026-10-28T06:58:55Z</dcterms:modified>
</cp:coreProperties>
</file>