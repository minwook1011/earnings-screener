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8">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0000FF"/>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165" fontId="11" fillId="0" borderId="3" applyAlignment="1" pivotButton="0" quotePrefix="0" xfId="0">
      <alignment horizontal="center" vertical="center"/>
    </xf>
    <xf numFmtId="165" fontId="11"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2" fillId="0" borderId="3" applyAlignment="1" pivotButton="0" quotePrefix="0" xfId="0">
      <alignment horizontal="center" vertical="center"/>
    </xf>
    <xf numFmtId="164" fontId="12" fillId="0" borderId="0" applyAlignment="1" pivotButton="0" quotePrefix="0" xfId="0">
      <alignment horizontal="center" vertical="center"/>
    </xf>
    <xf numFmtId="0" fontId="0" fillId="0" borderId="3" pivotButton="0" quotePrefix="0" xfId="0"/>
    <xf numFmtId="0" fontId="13" fillId="0" borderId="0" applyAlignment="1" pivotButton="0" quotePrefix="0" xfId="0">
      <alignment horizontal="left"/>
    </xf>
    <xf numFmtId="0" fontId="3" fillId="0" borderId="0" applyAlignment="1" pivotButton="0" quotePrefix="0" xfId="0">
      <alignment horizontal="left"/>
    </xf>
    <xf numFmtId="0" fontId="15" fillId="3" borderId="0" applyAlignment="1" pivotButton="0" quotePrefix="0" xfId="0">
      <alignment horizontal="center" vertical="center"/>
    </xf>
    <xf numFmtId="0" fontId="14"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6" fillId="0" borderId="0" pivotButton="0" quotePrefix="0" xfId="0"/>
    <xf numFmtId="0" fontId="17"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166"/>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4507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직접 입력</t>
        </is>
      </c>
      <c r="C4" s="11" t="n">
        <v>121230</v>
      </c>
      <c r="D4" s="12" t="n">
        <v>106279</v>
      </c>
      <c r="E4" s="12" t="n">
        <v>98261</v>
      </c>
      <c r="F4" s="12" t="n">
        <v>97586</v>
      </c>
      <c r="G4" s="12" t="n">
        <v>116384</v>
      </c>
      <c r="H4" s="12" t="n">
        <v>119630</v>
      </c>
      <c r="I4" s="12" t="n">
        <v>104668</v>
      </c>
      <c r="J4" s="12" t="n">
        <v>99781</v>
      </c>
      <c r="K4" s="12" t="n">
        <v>113184</v>
      </c>
      <c r="L4" s="12" t="n">
        <v>147719</v>
      </c>
      <c r="M4" s="12" t="n">
        <v>138993</v>
      </c>
      <c r="N4" s="12" t="n">
        <v>163310</v>
      </c>
      <c r="O4" s="11" t="n"/>
      <c r="P4" s="12" t="n"/>
      <c r="Q4" s="12" t="n">
        <v>367960</v>
      </c>
      <c r="R4" s="12" t="n">
        <v>333371</v>
      </c>
      <c r="S4" s="12" t="n">
        <v>297177</v>
      </c>
      <c r="T4" s="12" t="n">
        <v>335138</v>
      </c>
      <c r="U4" s="12" t="n">
        <v>426684</v>
      </c>
      <c r="V4" s="12" t="n">
        <v>410073</v>
      </c>
      <c r="W4" s="12" t="n">
        <v>438268</v>
      </c>
      <c r="X4" s="12" t="n">
        <v>499677</v>
      </c>
      <c r="Y4" s="13">
        <f>IF(COUNT(Y7)=0,"",SUM(Y7))</f>
        <v/>
      </c>
      <c r="Z4" s="14">
        <f>IF(COUNT(Z7)=0,"",SUM(Z7))</f>
        <v/>
      </c>
      <c r="AA4" s="14">
        <f>IF(COUNT(AA7)=0,"",SUM(AA7))</f>
        <v/>
      </c>
      <c r="AB4" s="14">
        <f>IF(COUNT(AB7)=0,"",SUM(AB7))</f>
        <v/>
      </c>
      <c r="AC4" s="14">
        <f>IF(COUNT(AC7)=0,"",SUM(AC7))</f>
        <v/>
      </c>
    </row>
    <row r="5">
      <c r="A5" s="15" t="inlineStr">
        <is>
          <t>YoY</t>
        </is>
      </c>
      <c r="B5" s="10" t="n"/>
      <c r="C5" s="16" t="n"/>
      <c r="D5" s="17" t="n"/>
      <c r="E5" s="17" t="n"/>
      <c r="F5" s="17" t="n"/>
      <c r="G5" s="17">
        <f>IF(OR(G4="",C4=""),"",IFERROR(G4/C4-1,""))</f>
        <v/>
      </c>
      <c r="H5" s="17">
        <f>IF(OR(H4="",D4=""),"",IFERROR(H4/D4-1,""))</f>
        <v/>
      </c>
      <c r="I5" s="17">
        <f>IF(OR(I4="",E4=""),"",IFERROR(I4/E4-1,""))</f>
        <v/>
      </c>
      <c r="J5" s="17">
        <f>IF(OR(J4="",F4=""),"",IFERROR(J4/F4-1,""))</f>
        <v/>
      </c>
      <c r="K5" s="17">
        <f>IF(OR(K4="",G4=""),"",IFERROR(K4/G4-1,""))</f>
        <v/>
      </c>
      <c r="L5" s="17">
        <f>IF(OR(L4="",H4=""),"",IFERROR(L4/H4-1,""))</f>
        <v/>
      </c>
      <c r="M5" s="17">
        <f>IF(OR(M4="",I4=""),"",IFERROR(M4/I4-1,""))</f>
        <v/>
      </c>
      <c r="N5" s="17">
        <f>IF(OR(N4="",J4=""),"",IFERROR(N4/J4-1,""))</f>
        <v/>
      </c>
      <c r="O5" s="16" t="n"/>
      <c r="P5" s="17">
        <f>IF(OR(P4="",O4=""),"",IFERROR(P4/O4-1,""))</f>
        <v/>
      </c>
      <c r="Q5" s="17">
        <f>IF(OR(Q4="",P4=""),"",IFERROR(Q4/P4-1,""))</f>
        <v/>
      </c>
      <c r="R5" s="17">
        <f>IF(OR(R4="",Q4=""),"",IFERROR(R4/Q4-1,""))</f>
        <v/>
      </c>
      <c r="S5" s="17">
        <f>IF(OR(S4="",R4=""),"",IFERROR(S4/R4-1,""))</f>
        <v/>
      </c>
      <c r="T5" s="17">
        <f>IF(OR(T4="",S4=""),"",IFERROR(T4/S4-1,""))</f>
        <v/>
      </c>
      <c r="U5" s="17">
        <f>IF(OR(U4="",T4=""),"",IFERROR(U4/T4-1,""))</f>
        <v/>
      </c>
      <c r="V5" s="17">
        <f>IF(OR(V4="",U4=""),"",IFERROR(V4/U4-1,""))</f>
        <v/>
      </c>
      <c r="W5" s="17">
        <f>IF(OR(W4="",V4=""),"",IFERROR(W4/V4-1,""))</f>
        <v/>
      </c>
      <c r="X5" s="17">
        <f>IF(OR(X4="",W4=""),"",IFERROR(X4/W4-1,""))</f>
        <v/>
      </c>
      <c r="Y5" s="16">
        <f>IF(OR(Y4="",X4=""),"",IFERROR(Y4/X4-1,""))</f>
        <v/>
      </c>
      <c r="Z5" s="17">
        <f>IF(OR(Z4="",Y4=""),"",IFERROR(Z4/Y4-1,""))</f>
        <v/>
      </c>
      <c r="AA5" s="17">
        <f>IF(OR(AA4="",Z4=""),"",IFERROR(AA4/Z4-1,""))</f>
        <v/>
      </c>
      <c r="AB5" s="17">
        <f>IF(OR(AB4="",AA4=""),"",IFERROR(AB4/AA4-1,""))</f>
        <v/>
      </c>
      <c r="AC5" s="17">
        <f>IF(OR(AC4="",AB4=""),"",IFERROR(AC4/AB4-1,""))</f>
        <v/>
      </c>
    </row>
    <row r="6">
      <c r="A6" s="18" t="inlineStr">
        <is>
          <t>제품별 매출 분류</t>
        </is>
      </c>
      <c r="B6" s="18" t="inlineStr">
        <is>
          <t>사업보고서 매출실적</t>
        </is>
      </c>
      <c r="C6" s="19" t="n"/>
      <c r="D6" s="18" t="n"/>
      <c r="E6" s="18" t="n"/>
      <c r="F6" s="18" t="n"/>
      <c r="G6" s="18" t="n"/>
      <c r="H6" s="18" t="n"/>
      <c r="I6" s="18" t="n"/>
      <c r="J6" s="18" t="n"/>
      <c r="K6" s="18" t="n"/>
      <c r="L6" s="18" t="n"/>
      <c r="M6" s="18" t="n"/>
      <c r="N6" s="18" t="n"/>
      <c r="O6" s="19" t="n"/>
      <c r="P6" s="18" t="n"/>
      <c r="Q6" s="18" t="n"/>
      <c r="R6" s="18" t="n"/>
      <c r="S6" s="18" t="n"/>
      <c r="T6" s="18" t="n"/>
      <c r="U6" s="18" t="n"/>
      <c r="V6" s="18" t="n"/>
      <c r="W6" s="18" t="n"/>
      <c r="X6" s="18" t="n"/>
      <c r="Y6" s="19" t="n"/>
      <c r="Z6" s="18" t="n"/>
      <c r="AA6" s="18" t="n"/>
      <c r="AB6" s="18" t="n"/>
      <c r="AC6" s="18" t="n"/>
    </row>
    <row r="7">
      <c r="A7" s="20" t="inlineStr">
        <is>
          <t>(제품별 매출 미공시 — 직접 입력)</t>
        </is>
      </c>
      <c r="B7" s="10" t="n"/>
      <c r="C7" s="21" t="n"/>
      <c r="D7" s="22" t="n"/>
      <c r="E7" s="22" t="n"/>
      <c r="F7" s="22" t="n"/>
      <c r="G7" s="22" t="n"/>
      <c r="H7" s="22" t="n"/>
      <c r="I7" s="22" t="n"/>
      <c r="J7" s="22" t="n"/>
      <c r="K7" s="22" t="n"/>
      <c r="L7" s="22" t="n"/>
      <c r="M7" s="22" t="n"/>
      <c r="N7" s="22" t="n"/>
      <c r="O7" s="21" t="n"/>
      <c r="P7" s="22" t="n"/>
      <c r="Q7" s="22" t="n"/>
      <c r="R7" s="22" t="n"/>
      <c r="S7" s="22" t="n"/>
      <c r="T7" s="22" t="n"/>
      <c r="U7" s="22" t="n"/>
      <c r="V7" s="22" t="n"/>
      <c r="W7" s="22" t="n"/>
      <c r="X7" s="22" t="n"/>
      <c r="Y7" s="23" t="n"/>
      <c r="Z7" s="24" t="n"/>
      <c r="AA7" s="24" t="n"/>
      <c r="AB7" s="24" t="n"/>
      <c r="AC7" s="24" t="n"/>
    </row>
    <row r="8">
      <c r="A8" s="15" t="inlineStr">
        <is>
          <t>비중</t>
        </is>
      </c>
      <c r="B8" s="10" t="n"/>
      <c r="C8" s="16">
        <f>IF(OR(C7="",C4=""),"",IFERROR(C7/C4,""))</f>
        <v/>
      </c>
      <c r="D8" s="17">
        <f>IF(OR(D7="",D4=""),"",IFERROR(D7/D4,""))</f>
        <v/>
      </c>
      <c r="E8" s="17">
        <f>IF(OR(E7="",E4=""),"",IFERROR(E7/E4,""))</f>
        <v/>
      </c>
      <c r="F8" s="17">
        <f>IF(OR(F7="",F4=""),"",IFERROR(F7/F4,""))</f>
        <v/>
      </c>
      <c r="G8" s="17">
        <f>IF(OR(G7="",G4=""),"",IFERROR(G7/G4,""))</f>
        <v/>
      </c>
      <c r="H8" s="17">
        <f>IF(OR(H7="",H4=""),"",IFERROR(H7/H4,""))</f>
        <v/>
      </c>
      <c r="I8" s="17">
        <f>IF(OR(I7="",I4=""),"",IFERROR(I7/I4,""))</f>
        <v/>
      </c>
      <c r="J8" s="17">
        <f>IF(OR(J7="",J4=""),"",IFERROR(J7/J4,""))</f>
        <v/>
      </c>
      <c r="K8" s="17">
        <f>IF(OR(K7="",K4=""),"",IFERROR(K7/K4,""))</f>
        <v/>
      </c>
      <c r="L8" s="17">
        <f>IF(OR(L7="",L4=""),"",IFERROR(L7/L4,""))</f>
        <v/>
      </c>
      <c r="M8" s="17">
        <f>IF(OR(M7="",M4=""),"",IFERROR(M7/M4,""))</f>
        <v/>
      </c>
      <c r="N8" s="17">
        <f>IF(OR(N7="",N4=""),"",IFERROR(N7/N4,""))</f>
        <v/>
      </c>
      <c r="O8" s="16">
        <f>IF(OR(O7="",O4=""),"",IFERROR(O7/O4,""))</f>
        <v/>
      </c>
      <c r="P8" s="17">
        <f>IF(OR(P7="",P4=""),"",IFERROR(P7/P4,""))</f>
        <v/>
      </c>
      <c r="Q8" s="17">
        <f>IF(OR(Q7="",Q4=""),"",IFERROR(Q7/Q4,""))</f>
        <v/>
      </c>
      <c r="R8" s="17">
        <f>IF(OR(R7="",R4=""),"",IFERROR(R7/R4,""))</f>
        <v/>
      </c>
      <c r="S8" s="17">
        <f>IF(OR(S7="",S4=""),"",IFERROR(S7/S4,""))</f>
        <v/>
      </c>
      <c r="T8" s="17">
        <f>IF(OR(T7="",T4=""),"",IFERROR(T7/T4,""))</f>
        <v/>
      </c>
      <c r="U8" s="17">
        <f>IF(OR(U7="",U4=""),"",IFERROR(U7/U4,""))</f>
        <v/>
      </c>
      <c r="V8" s="17">
        <f>IF(OR(V7="",V4=""),"",IFERROR(V7/V4,""))</f>
        <v/>
      </c>
      <c r="W8" s="17">
        <f>IF(OR(W7="",W4=""),"",IFERROR(W7/W4,""))</f>
        <v/>
      </c>
      <c r="X8" s="17">
        <f>IF(OR(X7="",X4=""),"",IFERROR(X7/X4,""))</f>
        <v/>
      </c>
      <c r="Y8" s="16">
        <f>IF(OR(Y7="",Y4=""),"",IFERROR(Y7/Y4,""))</f>
        <v/>
      </c>
      <c r="Z8" s="17">
        <f>IF(OR(Z7="",Z4=""),"",IFERROR(Z7/Z4,""))</f>
        <v/>
      </c>
      <c r="AA8" s="17">
        <f>IF(OR(AA7="",AA4=""),"",IFERROR(AA7/AA4,""))</f>
        <v/>
      </c>
      <c r="AB8" s="17">
        <f>IF(OR(AB7="",AB4=""),"",IFERROR(AB7/AB4,""))</f>
        <v/>
      </c>
      <c r="AC8" s="17">
        <f>IF(OR(AC7="",AC4=""),"",IFERROR(AC7/AC4,""))</f>
        <v/>
      </c>
    </row>
    <row r="9">
      <c r="A9" s="15" t="inlineStr">
        <is>
          <t>YoY</t>
        </is>
      </c>
      <c r="B9" s="10" t="n"/>
      <c r="C9" s="16" t="n"/>
      <c r="D9" s="17" t="n"/>
      <c r="E9" s="17" t="n"/>
      <c r="F9" s="17" t="n"/>
      <c r="G9" s="17">
        <f>IF(OR(G7="",C7=""),"",IFERROR(G7/C7-1,""))</f>
        <v/>
      </c>
      <c r="H9" s="17">
        <f>IF(OR(H7="",D7=""),"",IFERROR(H7/D7-1,""))</f>
        <v/>
      </c>
      <c r="I9" s="17">
        <f>IF(OR(I7="",E7=""),"",IFERROR(I7/E7-1,""))</f>
        <v/>
      </c>
      <c r="J9" s="17">
        <f>IF(OR(J7="",F7=""),"",IFERROR(J7/F7-1,""))</f>
        <v/>
      </c>
      <c r="K9" s="17">
        <f>IF(OR(K7="",G7=""),"",IFERROR(K7/G7-1,""))</f>
        <v/>
      </c>
      <c r="L9" s="17">
        <f>IF(OR(L7="",H7=""),"",IFERROR(L7/H7-1,""))</f>
        <v/>
      </c>
      <c r="M9" s="17">
        <f>IF(OR(M7="",I7=""),"",IFERROR(M7/I7-1,""))</f>
        <v/>
      </c>
      <c r="N9" s="17">
        <f>IF(OR(N7="",J7=""),"",IFERROR(N7/J7-1,""))</f>
        <v/>
      </c>
      <c r="O9" s="16" t="n"/>
      <c r="P9" s="17">
        <f>IF(OR(P7="",O7=""),"",IFERROR(P7/O7-1,""))</f>
        <v/>
      </c>
      <c r="Q9" s="17">
        <f>IF(OR(Q7="",P7=""),"",IFERROR(Q7/P7-1,""))</f>
        <v/>
      </c>
      <c r="R9" s="17">
        <f>IF(OR(R7="",Q7=""),"",IFERROR(R7/Q7-1,""))</f>
        <v/>
      </c>
      <c r="S9" s="17">
        <f>IF(OR(S7="",R7=""),"",IFERROR(S7/R7-1,""))</f>
        <v/>
      </c>
      <c r="T9" s="17">
        <f>IF(OR(T7="",S7=""),"",IFERROR(T7/S7-1,""))</f>
        <v/>
      </c>
      <c r="U9" s="17">
        <f>IF(OR(U7="",T7=""),"",IFERROR(U7/T7-1,""))</f>
        <v/>
      </c>
      <c r="V9" s="17">
        <f>IF(OR(V7="",U7=""),"",IFERROR(V7/U7-1,""))</f>
        <v/>
      </c>
      <c r="W9" s="17">
        <f>IF(OR(W7="",V7=""),"",IFERROR(W7/V7-1,""))</f>
        <v/>
      </c>
      <c r="X9" s="17">
        <f>IF(OR(X7="",W7=""),"",IFERROR(X7/W7-1,""))</f>
        <v/>
      </c>
      <c r="Y9" s="16">
        <f>IF(OR(Y7="",X7=""),"",IFERROR(Y7/X7-1,""))</f>
        <v/>
      </c>
      <c r="Z9" s="17">
        <f>IF(OR(Z7="",Y7=""),"",IFERROR(Z7/Y7-1,""))</f>
        <v/>
      </c>
      <c r="AA9" s="17">
        <f>IF(OR(AA7="",Z7=""),"",IFERROR(AA7/Z7-1,""))</f>
        <v/>
      </c>
      <c r="AB9" s="17">
        <f>IF(OR(AB7="",AA7=""),"",IFERROR(AB7/AA7-1,""))</f>
        <v/>
      </c>
      <c r="AC9" s="17">
        <f>IF(OR(AC7="",AB7=""),"",IFERROR(AC7/AB7-1,""))</f>
        <v/>
      </c>
    </row>
    <row r="10">
      <c r="A10" s="18" t="inlineStr">
        <is>
          <t>매출원가</t>
        </is>
      </c>
      <c r="B10" s="18" t="n"/>
      <c r="C10" s="19" t="n"/>
      <c r="D10" s="18" t="n"/>
      <c r="E10" s="18" t="n"/>
      <c r="F10" s="18" t="n"/>
      <c r="G10" s="18" t="n"/>
      <c r="H10" s="18" t="n"/>
      <c r="I10" s="18" t="n"/>
      <c r="J10" s="18" t="n"/>
      <c r="K10" s="18" t="n"/>
      <c r="L10" s="18" t="n"/>
      <c r="M10" s="18" t="n"/>
      <c r="N10" s="18" t="n"/>
      <c r="O10" s="19" t="n"/>
      <c r="P10" s="18" t="n"/>
      <c r="Q10" s="18" t="n"/>
      <c r="R10" s="18" t="n"/>
      <c r="S10" s="18" t="n"/>
      <c r="T10" s="18" t="n"/>
      <c r="U10" s="18" t="n"/>
      <c r="V10" s="18" t="n"/>
      <c r="W10" s="18" t="n"/>
      <c r="X10" s="18" t="n"/>
      <c r="Y10" s="19" t="n"/>
      <c r="Z10" s="18" t="n"/>
      <c r="AA10" s="18" t="n"/>
      <c r="AB10" s="18" t="n"/>
      <c r="AC10" s="18" t="n"/>
    </row>
    <row r="11">
      <c r="A11" s="20" t="inlineStr">
        <is>
          <t>전체 매출원가</t>
        </is>
      </c>
      <c r="B11" s="10" t="n"/>
      <c r="C11" s="21" t="n">
        <v>14766</v>
      </c>
      <c r="D11" s="22" t="n">
        <v>14517</v>
      </c>
      <c r="E11" s="22" t="n">
        <v>15200</v>
      </c>
      <c r="F11" s="22" t="n">
        <v>14442</v>
      </c>
      <c r="G11" s="22" t="n">
        <v>15695</v>
      </c>
      <c r="H11" s="22" t="n">
        <v>15898</v>
      </c>
      <c r="I11" s="22" t="n">
        <v>17791</v>
      </c>
      <c r="J11" s="22" t="n">
        <v>12317</v>
      </c>
      <c r="K11" s="22" t="n">
        <v>16940</v>
      </c>
      <c r="L11" s="22" t="n">
        <v>25090</v>
      </c>
      <c r="M11" s="22" t="n">
        <v>28103</v>
      </c>
      <c r="N11" s="22" t="n">
        <v>30795</v>
      </c>
      <c r="O11" s="21" t="n"/>
      <c r="P11" s="22" t="n"/>
      <c r="Q11" s="22" t="n">
        <v>55591</v>
      </c>
      <c r="R11" s="22" t="n">
        <v>56782</v>
      </c>
      <c r="S11" s="22" t="n">
        <v>52523</v>
      </c>
      <c r="T11" s="22" t="n">
        <v>55415</v>
      </c>
      <c r="U11" s="22" t="n">
        <v>62246</v>
      </c>
      <c r="V11" s="22" t="n">
        <v>57602</v>
      </c>
      <c r="W11" s="22" t="n">
        <v>63826</v>
      </c>
      <c r="X11" s="22" t="n">
        <v>82450</v>
      </c>
      <c r="Y11" s="21" t="n"/>
      <c r="Z11" s="22" t="n"/>
      <c r="AA11" s="22" t="n"/>
      <c r="AB11" s="22" t="n"/>
      <c r="AC11" s="22" t="n"/>
    </row>
    <row r="12">
      <c r="A12" s="20" t="inlineStr">
        <is>
          <t>매출총이익</t>
        </is>
      </c>
      <c r="B12" s="10" t="n"/>
      <c r="C12" s="21">
        <f>IF(OR(C4="",C11=""),"",IFERROR(C4-C11,""))</f>
        <v/>
      </c>
      <c r="D12" s="22">
        <f>IF(OR(D4="",D11=""),"",IFERROR(D4-D11,""))</f>
        <v/>
      </c>
      <c r="E12" s="22">
        <f>IF(OR(E4="",E11=""),"",IFERROR(E4-E11,""))</f>
        <v/>
      </c>
      <c r="F12" s="22">
        <f>IF(OR(F4="",F11=""),"",IFERROR(F4-F11,""))</f>
        <v/>
      </c>
      <c r="G12" s="22">
        <f>IF(OR(G4="",G11=""),"",IFERROR(G4-G11,""))</f>
        <v/>
      </c>
      <c r="H12" s="22">
        <f>IF(OR(H4="",H11=""),"",IFERROR(H4-H11,""))</f>
        <v/>
      </c>
      <c r="I12" s="22">
        <f>IF(OR(I4="",I11=""),"",IFERROR(I4-I11,""))</f>
        <v/>
      </c>
      <c r="J12" s="22">
        <f>IF(OR(J4="",J11=""),"",IFERROR(J4-J11,""))</f>
        <v/>
      </c>
      <c r="K12" s="22">
        <f>IF(OR(K4="",K11=""),"",IFERROR(K4-K11,""))</f>
        <v/>
      </c>
      <c r="L12" s="22">
        <f>IF(OR(L4="",L11=""),"",IFERROR(L4-L11,""))</f>
        <v/>
      </c>
      <c r="M12" s="22">
        <f>IF(OR(M4="",M11=""),"",IFERROR(M4-M11,""))</f>
        <v/>
      </c>
      <c r="N12" s="22">
        <f>IF(OR(N4="",N11=""),"",IFERROR(N4-N11,""))</f>
        <v/>
      </c>
      <c r="O12" s="21">
        <f>IF(OR(O4="",O11=""),"",IFERROR(O4-O11,""))</f>
        <v/>
      </c>
      <c r="P12" s="22">
        <f>IF(OR(P4="",P11=""),"",IFERROR(P4-P11,""))</f>
        <v/>
      </c>
      <c r="Q12" s="22">
        <f>IF(OR(Q4="",Q11=""),"",IFERROR(Q4-Q11,""))</f>
        <v/>
      </c>
      <c r="R12" s="22">
        <f>IF(OR(R4="",R11=""),"",IFERROR(R4-R11,""))</f>
        <v/>
      </c>
      <c r="S12" s="22">
        <f>IF(OR(S4="",S11=""),"",IFERROR(S4-S11,""))</f>
        <v/>
      </c>
      <c r="T12" s="22">
        <f>IF(OR(T4="",T11=""),"",IFERROR(T4-T11,""))</f>
        <v/>
      </c>
      <c r="U12" s="22">
        <f>IF(OR(U4="",U11=""),"",IFERROR(U4-U11,""))</f>
        <v/>
      </c>
      <c r="V12" s="22">
        <f>IF(OR(V4="",V11=""),"",IFERROR(V4-V11,""))</f>
        <v/>
      </c>
      <c r="W12" s="22">
        <f>IF(OR(W4="",W11=""),"",IFERROR(W4-W11,""))</f>
        <v/>
      </c>
      <c r="X12" s="22">
        <f>IF(OR(X4="",X11=""),"",IFERROR(X4-X11,""))</f>
        <v/>
      </c>
      <c r="Y12" s="21" t="n"/>
      <c r="Z12" s="22" t="n"/>
      <c r="AA12" s="22" t="n"/>
      <c r="AB12" s="22" t="n"/>
      <c r="AC12" s="22" t="n"/>
    </row>
    <row r="13">
      <c r="A13" s="15" t="inlineStr">
        <is>
          <t>GPM</t>
        </is>
      </c>
      <c r="B13" s="10" t="n"/>
      <c r="C13" s="16">
        <f>IF(OR(C12="",C4=""),"",IFERROR(C12/C4,""))</f>
        <v/>
      </c>
      <c r="D13" s="17">
        <f>IF(OR(D12="",D4=""),"",IFERROR(D12/D4,""))</f>
        <v/>
      </c>
      <c r="E13" s="17">
        <f>IF(OR(E12="",E4=""),"",IFERROR(E12/E4,""))</f>
        <v/>
      </c>
      <c r="F13" s="17">
        <f>IF(OR(F12="",F4=""),"",IFERROR(F12/F4,""))</f>
        <v/>
      </c>
      <c r="G13" s="17">
        <f>IF(OR(G12="",G4=""),"",IFERROR(G12/G4,""))</f>
        <v/>
      </c>
      <c r="H13" s="17">
        <f>IF(OR(H12="",H4=""),"",IFERROR(H12/H4,""))</f>
        <v/>
      </c>
      <c r="I13" s="17">
        <f>IF(OR(I12="",I4=""),"",IFERROR(I12/I4,""))</f>
        <v/>
      </c>
      <c r="J13" s="17">
        <f>IF(OR(J12="",J4=""),"",IFERROR(J12/J4,""))</f>
        <v/>
      </c>
      <c r="K13" s="17">
        <f>IF(OR(K12="",K4=""),"",IFERROR(K12/K4,""))</f>
        <v/>
      </c>
      <c r="L13" s="17">
        <f>IF(OR(L12="",L4=""),"",IFERROR(L12/L4,""))</f>
        <v/>
      </c>
      <c r="M13" s="17">
        <f>IF(OR(M12="",M4=""),"",IFERROR(M12/M4,""))</f>
        <v/>
      </c>
      <c r="N13" s="17">
        <f>IF(OR(N12="",N4=""),"",IFERROR(N12/N4,""))</f>
        <v/>
      </c>
      <c r="O13" s="16">
        <f>IF(OR(O12="",O4=""),"",IFERROR(O12/O4,""))</f>
        <v/>
      </c>
      <c r="P13" s="17">
        <f>IF(OR(P12="",P4=""),"",IFERROR(P12/P4,""))</f>
        <v/>
      </c>
      <c r="Q13" s="17">
        <f>IF(OR(Q12="",Q4=""),"",IFERROR(Q12/Q4,""))</f>
        <v/>
      </c>
      <c r="R13" s="17">
        <f>IF(OR(R12="",R4=""),"",IFERROR(R12/R4,""))</f>
        <v/>
      </c>
      <c r="S13" s="17">
        <f>IF(OR(S12="",S4=""),"",IFERROR(S12/S4,""))</f>
        <v/>
      </c>
      <c r="T13" s="17">
        <f>IF(OR(T12="",T4=""),"",IFERROR(T12/T4,""))</f>
        <v/>
      </c>
      <c r="U13" s="17">
        <f>IF(OR(U12="",U4=""),"",IFERROR(U12/U4,""))</f>
        <v/>
      </c>
      <c r="V13" s="17">
        <f>IF(OR(V12="",V4=""),"",IFERROR(V12/V4,""))</f>
        <v/>
      </c>
      <c r="W13" s="17">
        <f>IF(OR(W12="",W4=""),"",IFERROR(W12/W4,""))</f>
        <v/>
      </c>
      <c r="X13" s="17">
        <f>IF(OR(X12="",X4=""),"",IFERROR(X12/X4,""))</f>
        <v/>
      </c>
      <c r="Y13" s="16">
        <f>IF(OR(Y12="",Y4=""),"",IFERROR(Y12/Y4,""))</f>
        <v/>
      </c>
      <c r="Z13" s="17">
        <f>IF(OR(Z12="",Z4=""),"",IFERROR(Z12/Z4,""))</f>
        <v/>
      </c>
      <c r="AA13" s="17">
        <f>IF(OR(AA12="",AA4=""),"",IFERROR(AA12/AA4,""))</f>
        <v/>
      </c>
      <c r="AB13" s="17">
        <f>IF(OR(AB12="",AB4=""),"",IFERROR(AB12/AB4,""))</f>
        <v/>
      </c>
      <c r="AC13" s="17">
        <f>IF(OR(AC12="",AC4=""),"",IFERROR(AC12/AC4,""))</f>
        <v/>
      </c>
    </row>
    <row r="14">
      <c r="A14" s="25" t="inlineStr">
        <is>
          <t>판매관리비</t>
        </is>
      </c>
      <c r="B14" s="25" t="n"/>
      <c r="C14" s="26" t="n"/>
      <c r="D14" s="25" t="n"/>
      <c r="E14" s="25" t="n"/>
      <c r="F14" s="25" t="n"/>
      <c r="G14" s="25" t="n"/>
      <c r="H14" s="25" t="n"/>
      <c r="I14" s="25" t="n"/>
      <c r="J14" s="25" t="n"/>
      <c r="K14" s="25" t="n"/>
      <c r="L14" s="25" t="n"/>
      <c r="M14" s="25" t="n"/>
      <c r="N14" s="25" t="n"/>
      <c r="O14" s="26" t="n"/>
      <c r="P14" s="25" t="n"/>
      <c r="Q14" s="25" t="n"/>
      <c r="R14" s="25" t="n"/>
      <c r="S14" s="25" t="n"/>
      <c r="T14" s="25" t="n"/>
      <c r="U14" s="25" t="n"/>
      <c r="V14" s="25" t="n"/>
      <c r="W14" s="25" t="n"/>
      <c r="X14" s="25" t="n"/>
      <c r="Y14" s="26" t="n"/>
      <c r="Z14" s="25" t="n"/>
      <c r="AA14" s="25" t="n"/>
      <c r="AB14" s="25" t="n"/>
      <c r="AC14" s="25" t="n"/>
    </row>
    <row r="15">
      <c r="A15" s="20" t="inlineStr">
        <is>
          <t>전체 판관비</t>
        </is>
      </c>
      <c r="B15" s="10" t="n"/>
      <c r="C15" s="21" t="n">
        <v>24326</v>
      </c>
      <c r="D15" s="22" t="n">
        <v>24143</v>
      </c>
      <c r="E15" s="22" t="n">
        <v>27991</v>
      </c>
      <c r="F15" s="22" t="n">
        <v>24042</v>
      </c>
      <c r="G15" s="22" t="n">
        <v>23692</v>
      </c>
      <c r="H15" s="22" t="n">
        <v>25451</v>
      </c>
      <c r="I15" s="22" t="n">
        <v>28688</v>
      </c>
      <c r="J15" s="22" t="n">
        <v>25820</v>
      </c>
      <c r="K15" s="22" t="n">
        <v>27558</v>
      </c>
      <c r="L15" s="22" t="n">
        <v>35484</v>
      </c>
      <c r="M15" s="22" t="n">
        <v>38043</v>
      </c>
      <c r="N15" s="22" t="n">
        <v>45150</v>
      </c>
      <c r="O15" s="21" t="n"/>
      <c r="P15" s="22" t="n"/>
      <c r="Q15" s="22" t="n">
        <v>87668</v>
      </c>
      <c r="R15" s="22" t="n">
        <v>95094</v>
      </c>
      <c r="S15" s="22" t="n">
        <v>91902</v>
      </c>
      <c r="T15" s="22" t="n">
        <v>91771</v>
      </c>
      <c r="U15" s="22" t="n">
        <v>97775</v>
      </c>
      <c r="V15" s="22" t="n">
        <v>99651</v>
      </c>
      <c r="W15" s="22" t="n">
        <v>101873</v>
      </c>
      <c r="X15" s="22" t="n">
        <v>126905</v>
      </c>
      <c r="Y15" s="21" t="n"/>
      <c r="Z15" s="22" t="n"/>
      <c r="AA15" s="22" t="n"/>
      <c r="AB15" s="22" t="n"/>
      <c r="AC15" s="22" t="n"/>
    </row>
    <row r="16">
      <c r="A16" s="9" t="inlineStr">
        <is>
          <t>영업이익</t>
        </is>
      </c>
      <c r="B16" s="10" t="inlineStr">
        <is>
          <t>MW = 매출 × OPM</t>
        </is>
      </c>
      <c r="C16" s="11" t="n">
        <v>51521</v>
      </c>
      <c r="D16" s="12" t="n">
        <v>40631</v>
      </c>
      <c r="E16" s="12" t="n">
        <v>14573</v>
      </c>
      <c r="F16" s="12" t="n">
        <v>28110</v>
      </c>
      <c r="G16" s="12" t="n">
        <v>47759</v>
      </c>
      <c r="H16" s="12" t="n">
        <v>53355</v>
      </c>
      <c r="I16" s="12" t="n">
        <v>27379</v>
      </c>
      <c r="J16" s="12" t="n">
        <v>35097</v>
      </c>
      <c r="K16" s="12" t="n">
        <v>39674</v>
      </c>
      <c r="L16" s="12" t="n">
        <v>73968</v>
      </c>
      <c r="M16" s="12" t="n">
        <v>17986</v>
      </c>
      <c r="N16" s="12" t="n">
        <v>66911</v>
      </c>
      <c r="O16" s="11" t="n"/>
      <c r="P16" s="12" t="n"/>
      <c r="Q16" s="12" t="n">
        <v>145081</v>
      </c>
      <c r="R16" s="12" t="n">
        <v>130628</v>
      </c>
      <c r="S16" s="12" t="n">
        <v>117438</v>
      </c>
      <c r="T16" s="12" t="n">
        <v>110312</v>
      </c>
      <c r="U16" s="12" t="n">
        <v>149003</v>
      </c>
      <c r="V16" s="12" t="n">
        <v>153310</v>
      </c>
      <c r="W16" s="12" t="n">
        <v>156603</v>
      </c>
      <c r="X16" s="12" t="n">
        <v>166725</v>
      </c>
      <c r="Y16" s="11">
        <f>IF(OR(Y4="",Y17=""),"",IFERROR(Y4*Y17,""))</f>
        <v/>
      </c>
      <c r="Z16" s="12">
        <f>IF(OR(Z4="",Z17=""),"",IFERROR(Z4*Z17,""))</f>
        <v/>
      </c>
      <c r="AA16" s="12">
        <f>IF(OR(AA4="",AA17=""),"",IFERROR(AA4*AA17,""))</f>
        <v/>
      </c>
      <c r="AB16" s="12">
        <f>IF(OR(AB4="",AB17=""),"",IFERROR(AB4*AB17,""))</f>
        <v/>
      </c>
      <c r="AC16" s="12">
        <f>IF(OR(AC4="",AC17=""),"",IFERROR(AC4*AC17,""))</f>
        <v/>
      </c>
    </row>
    <row r="17">
      <c r="A17" s="15" t="inlineStr">
        <is>
          <t>OPM</t>
        </is>
      </c>
      <c r="B17" s="10" t="inlineStr">
        <is>
          <t>MW 입력</t>
        </is>
      </c>
      <c r="C17" s="16">
        <f>IF(OR(C16="",C4=""),"",IFERROR(C16/C4,""))</f>
        <v/>
      </c>
      <c r="D17" s="17">
        <f>IF(OR(D16="",D4=""),"",IFERROR(D16/D4,""))</f>
        <v/>
      </c>
      <c r="E17" s="17">
        <f>IF(OR(E16="",E4=""),"",IFERROR(E16/E4,""))</f>
        <v/>
      </c>
      <c r="F17" s="17">
        <f>IF(OR(F16="",F4=""),"",IFERROR(F16/F4,""))</f>
        <v/>
      </c>
      <c r="G17" s="17">
        <f>IF(OR(G16="",G4=""),"",IFERROR(G16/G4,""))</f>
        <v/>
      </c>
      <c r="H17" s="17">
        <f>IF(OR(H16="",H4=""),"",IFERROR(H16/H4,""))</f>
        <v/>
      </c>
      <c r="I17" s="17">
        <f>IF(OR(I16="",I4=""),"",IFERROR(I16/I4,""))</f>
        <v/>
      </c>
      <c r="J17" s="17">
        <f>IF(OR(J16="",J4=""),"",IFERROR(J16/J4,""))</f>
        <v/>
      </c>
      <c r="K17" s="17">
        <f>IF(OR(K16="",K4=""),"",IFERROR(K16/K4,""))</f>
        <v/>
      </c>
      <c r="L17" s="17">
        <f>IF(OR(L16="",L4=""),"",IFERROR(L16/L4,""))</f>
        <v/>
      </c>
      <c r="M17" s="17">
        <f>IF(OR(M16="",M4=""),"",IFERROR(M16/M4,""))</f>
        <v/>
      </c>
      <c r="N17" s="17">
        <f>IF(OR(N16="",N4=""),"",IFERROR(N16/N4,""))</f>
        <v/>
      </c>
      <c r="O17" s="16">
        <f>IF(OR(O16="",O4=""),"",IFERROR(O16/O4,""))</f>
        <v/>
      </c>
      <c r="P17" s="17">
        <f>IF(OR(P16="",P4=""),"",IFERROR(P16/P4,""))</f>
        <v/>
      </c>
      <c r="Q17" s="17">
        <f>IF(OR(Q16="",Q4=""),"",IFERROR(Q16/Q4,""))</f>
        <v/>
      </c>
      <c r="R17" s="17">
        <f>IF(OR(R16="",R4=""),"",IFERROR(R16/R4,""))</f>
        <v/>
      </c>
      <c r="S17" s="17">
        <f>IF(OR(S16="",S4=""),"",IFERROR(S16/S4,""))</f>
        <v/>
      </c>
      <c r="T17" s="17">
        <f>IF(OR(T16="",T4=""),"",IFERROR(T16/T4,""))</f>
        <v/>
      </c>
      <c r="U17" s="17">
        <f>IF(OR(U16="",U4=""),"",IFERROR(U16/U4,""))</f>
        <v/>
      </c>
      <c r="V17" s="17">
        <f>IF(OR(V16="",V4=""),"",IFERROR(V16/V4,""))</f>
        <v/>
      </c>
      <c r="W17" s="17">
        <f>IF(OR(W16="",W4=""),"",IFERROR(W16/W4,""))</f>
        <v/>
      </c>
      <c r="X17" s="17">
        <f>IF(OR(X16="",X4=""),"",IFERROR(X16/X4,""))</f>
        <v/>
      </c>
      <c r="Y17" s="27" t="n"/>
      <c r="Z17" s="28" t="n"/>
      <c r="AA17" s="28" t="n"/>
      <c r="AB17" s="28" t="n"/>
      <c r="AC17" s="28" t="n"/>
    </row>
    <row r="18">
      <c r="A18" s="15" t="inlineStr">
        <is>
          <t>증가율</t>
        </is>
      </c>
      <c r="B18" s="10" t="n"/>
      <c r="C18" s="16" t="n"/>
      <c r="D18" s="17" t="n"/>
      <c r="E18" s="17" t="n"/>
      <c r="F18" s="17" t="n"/>
      <c r="G18" s="17">
        <f>IF(OR(G16="",C16=""),"",IFERROR(G16/C16-1,""))</f>
        <v/>
      </c>
      <c r="H18" s="17">
        <f>IF(OR(H16="",D16=""),"",IFERROR(H16/D16-1,""))</f>
        <v/>
      </c>
      <c r="I18" s="17">
        <f>IF(OR(I16="",E16=""),"",IFERROR(I16/E16-1,""))</f>
        <v/>
      </c>
      <c r="J18" s="17">
        <f>IF(OR(J16="",F16=""),"",IFERROR(J16/F16-1,""))</f>
        <v/>
      </c>
      <c r="K18" s="17">
        <f>IF(OR(K16="",G16=""),"",IFERROR(K16/G16-1,""))</f>
        <v/>
      </c>
      <c r="L18" s="17">
        <f>IF(OR(L16="",H16=""),"",IFERROR(L16/H16-1,""))</f>
        <v/>
      </c>
      <c r="M18" s="17">
        <f>IF(OR(M16="",I16=""),"",IFERROR(M16/I16-1,""))</f>
        <v/>
      </c>
      <c r="N18" s="17">
        <f>IF(OR(N16="",J16=""),"",IFERROR(N16/J16-1,""))</f>
        <v/>
      </c>
      <c r="O18" s="16" t="n"/>
      <c r="P18" s="17">
        <f>IF(OR(P16="",O16=""),"",IFERROR(P16/O16-1,""))</f>
        <v/>
      </c>
      <c r="Q18" s="17">
        <f>IF(OR(Q16="",P16=""),"",IFERROR(Q16/P16-1,""))</f>
        <v/>
      </c>
      <c r="R18" s="17">
        <f>IF(OR(R16="",Q16=""),"",IFERROR(R16/Q16-1,""))</f>
        <v/>
      </c>
      <c r="S18" s="17">
        <f>IF(OR(S16="",R16=""),"",IFERROR(S16/R16-1,""))</f>
        <v/>
      </c>
      <c r="T18" s="17">
        <f>IF(OR(T16="",S16=""),"",IFERROR(T16/S16-1,""))</f>
        <v/>
      </c>
      <c r="U18" s="17">
        <f>IF(OR(U16="",T16=""),"",IFERROR(U16/T16-1,""))</f>
        <v/>
      </c>
      <c r="V18" s="17">
        <f>IF(OR(V16="",U16=""),"",IFERROR(V16/U16-1,""))</f>
        <v/>
      </c>
      <c r="W18" s="17">
        <f>IF(OR(W16="",V16=""),"",IFERROR(W16/V16-1,""))</f>
        <v/>
      </c>
      <c r="X18" s="17">
        <f>IF(OR(X16="",W16=""),"",IFERROR(X16/W16-1,""))</f>
        <v/>
      </c>
      <c r="Y18" s="16">
        <f>IF(OR(Y16="",X16=""),"",IFERROR(Y16/X16-1,""))</f>
        <v/>
      </c>
      <c r="Z18" s="17">
        <f>IF(OR(Z16="",Y16=""),"",IFERROR(Z16/Y16-1,""))</f>
        <v/>
      </c>
      <c r="AA18" s="17">
        <f>IF(OR(AA16="",Z16=""),"",IFERROR(AA16/Z16-1,""))</f>
        <v/>
      </c>
      <c r="AB18" s="17">
        <f>IF(OR(AB16="",AA16=""),"",IFERROR(AB16/AA16-1,""))</f>
        <v/>
      </c>
      <c r="AC18" s="17">
        <f>IF(OR(AC16="",AB16=""),"",IFERROR(AC16/AB16-1,""))</f>
        <v/>
      </c>
    </row>
    <row r="19">
      <c r="A19" s="18" t="inlineStr">
        <is>
          <t>비용의 성격별 분류</t>
        </is>
      </c>
      <c r="B19" s="18" t="inlineStr">
        <is>
          <t>참고 데이터</t>
        </is>
      </c>
      <c r="C19" s="19" t="n"/>
      <c r="D19" s="18" t="n"/>
      <c r="E19" s="18" t="n"/>
      <c r="F19" s="18" t="n"/>
      <c r="G19" s="18" t="n"/>
      <c r="H19" s="18" t="n"/>
      <c r="I19" s="18" t="n"/>
      <c r="J19" s="18" t="n"/>
      <c r="K19" s="18" t="n"/>
      <c r="L19" s="18" t="n"/>
      <c r="M19" s="18" t="n"/>
      <c r="N19" s="18" t="n"/>
      <c r="O19" s="19" t="n"/>
      <c r="P19" s="18" t="n"/>
      <c r="Q19" s="18" t="n"/>
      <c r="R19" s="18" t="n"/>
      <c r="S19" s="18" t="n"/>
      <c r="T19" s="18" t="n"/>
      <c r="U19" s="18" t="n"/>
      <c r="V19" s="18" t="n"/>
      <c r="W19" s="18" t="n"/>
      <c r="X19" s="18" t="n"/>
      <c r="Y19" s="19" t="n"/>
      <c r="Z19" s="18" t="n"/>
      <c r="AA19" s="18" t="n"/>
      <c r="AB19" s="18" t="n"/>
      <c r="AC19" s="18" t="n"/>
    </row>
    <row r="20">
      <c r="A20" s="9" t="inlineStr">
        <is>
          <t>총 판관비</t>
        </is>
      </c>
      <c r="B20" s="10" t="n"/>
      <c r="C20" s="11" t="n"/>
      <c r="D20" s="12" t="n"/>
      <c r="E20" s="12" t="n"/>
      <c r="F20" s="12" t="n"/>
      <c r="G20" s="12" t="n"/>
      <c r="H20" s="12" t="n"/>
      <c r="I20" s="12" t="n"/>
      <c r="J20" s="12" t="n"/>
      <c r="K20" s="12" t="n"/>
      <c r="L20" s="12" t="n"/>
      <c r="M20" s="12" t="n"/>
      <c r="N20" s="12" t="n"/>
      <c r="O20" s="11">
        <f>IF(O15="","",O15)</f>
        <v/>
      </c>
      <c r="P20" s="12">
        <f>IF(P15="","",P15)</f>
        <v/>
      </c>
      <c r="Q20" s="12">
        <f>IF(Q15="","",Q15)</f>
        <v/>
      </c>
      <c r="R20" s="12">
        <f>IF(R15="","",R15)</f>
        <v/>
      </c>
      <c r="S20" s="12">
        <f>IF(S15="","",S15)</f>
        <v/>
      </c>
      <c r="T20" s="12">
        <f>IF(T15="","",T15)</f>
        <v/>
      </c>
      <c r="U20" s="12">
        <f>IF(U15="","",U15)</f>
        <v/>
      </c>
      <c r="V20" s="12">
        <f>IF(V15="","",V15)</f>
        <v/>
      </c>
      <c r="W20" s="12">
        <f>IF(W15="","",W15)</f>
        <v/>
      </c>
      <c r="X20" s="12">
        <f>IF(X15="","",X15)</f>
        <v/>
      </c>
      <c r="Y20" s="11" t="n"/>
      <c r="Z20" s="12" t="n"/>
      <c r="AA20" s="12" t="n"/>
      <c r="AB20" s="12" t="n"/>
      <c r="AC20" s="12" t="n"/>
    </row>
    <row r="21">
      <c r="A21" s="20" t="inlineStr">
        <is>
          <t>급여</t>
        </is>
      </c>
      <c r="B21" s="10" t="inlineStr">
        <is>
          <t>고정비</t>
        </is>
      </c>
      <c r="C21" s="21" t="n"/>
      <c r="D21" s="22" t="n"/>
      <c r="E21" s="22" t="n"/>
      <c r="F21" s="22" t="n"/>
      <c r="G21" s="22" t="n"/>
      <c r="H21" s="22" t="n"/>
      <c r="I21" s="22" t="n"/>
      <c r="J21" s="22" t="n"/>
      <c r="K21" s="22" t="n"/>
      <c r="L21" s="22" t="n"/>
      <c r="M21" s="22" t="n"/>
      <c r="N21" s="22" t="n"/>
      <c r="O21" s="21" t="n"/>
      <c r="P21" s="22" t="n"/>
      <c r="Q21" s="22" t="n"/>
      <c r="R21" s="22" t="n"/>
      <c r="S21" s="22" t="n"/>
      <c r="T21" s="22" t="n"/>
      <c r="U21" s="22" t="n"/>
      <c r="V21" s="22" t="n"/>
      <c r="W21" s="22" t="n"/>
      <c r="X21" s="22" t="n"/>
      <c r="Y21" s="21" t="n"/>
      <c r="Z21" s="22" t="n"/>
      <c r="AA21" s="22" t="n"/>
      <c r="AB21" s="22" t="n"/>
      <c r="AC21" s="22" t="n"/>
    </row>
    <row r="22">
      <c r="A22" s="15" t="inlineStr">
        <is>
          <t>% of Sales</t>
        </is>
      </c>
      <c r="B22" s="10" t="n"/>
      <c r="C22" s="16" t="n"/>
      <c r="D22" s="17" t="n"/>
      <c r="E22" s="17" t="n"/>
      <c r="F22" s="17" t="n"/>
      <c r="G22" s="17" t="n"/>
      <c r="H22" s="17" t="n"/>
      <c r="I22" s="17" t="n"/>
      <c r="J22" s="17" t="n"/>
      <c r="K22" s="17" t="n"/>
      <c r="L22" s="17" t="n"/>
      <c r="M22" s="17" t="n"/>
      <c r="N22" s="17" t="n"/>
      <c r="O22" s="16">
        <f>IF(OR(O21="",O4=""),"",IFERROR(O21/O4,""))</f>
        <v/>
      </c>
      <c r="P22" s="17">
        <f>IF(OR(P21="",P4=""),"",IFERROR(P21/P4,""))</f>
        <v/>
      </c>
      <c r="Q22" s="17">
        <f>IF(OR(Q21="",Q4=""),"",IFERROR(Q21/Q4,""))</f>
        <v/>
      </c>
      <c r="R22" s="17">
        <f>IF(OR(R21="",R4=""),"",IFERROR(R21/R4,""))</f>
        <v/>
      </c>
      <c r="S22" s="17">
        <f>IF(OR(S21="",S4=""),"",IFERROR(S21/S4,""))</f>
        <v/>
      </c>
      <c r="T22" s="17">
        <f>IF(OR(T21="",T4=""),"",IFERROR(T21/T4,""))</f>
        <v/>
      </c>
      <c r="U22" s="17">
        <f>IF(OR(U21="",U4=""),"",IFERROR(U21/U4,""))</f>
        <v/>
      </c>
      <c r="V22" s="17">
        <f>IF(OR(V21="",V4=""),"",IFERROR(V21/V4,""))</f>
        <v/>
      </c>
      <c r="W22" s="17">
        <f>IF(OR(W21="",W4=""),"",IFERROR(W21/W4,""))</f>
        <v/>
      </c>
      <c r="X22" s="17">
        <f>IF(OR(X21="",X4=""),"",IFERROR(X21/X4,""))</f>
        <v/>
      </c>
      <c r="Y22" s="16" t="n"/>
      <c r="Z22" s="17" t="n"/>
      <c r="AA22" s="17" t="n"/>
      <c r="AB22" s="17" t="n"/>
      <c r="AC22" s="17" t="n"/>
    </row>
    <row r="23">
      <c r="A23" s="20" t="inlineStr">
        <is>
          <t>감가상각비</t>
        </is>
      </c>
      <c r="B23" s="10" t="inlineStr">
        <is>
          <t>고정비</t>
        </is>
      </c>
      <c r="C23" s="21" t="n"/>
      <c r="D23" s="22" t="n"/>
      <c r="E23" s="22" t="n"/>
      <c r="F23" s="22" t="n"/>
      <c r="G23" s="22" t="n"/>
      <c r="H23" s="22" t="n"/>
      <c r="I23" s="22" t="n"/>
      <c r="J23" s="22" t="n"/>
      <c r="K23" s="22" t="n"/>
      <c r="L23" s="22" t="n"/>
      <c r="M23" s="22" t="n"/>
      <c r="N23" s="22" t="n"/>
      <c r="O23" s="21" t="n"/>
      <c r="P23" s="22" t="n"/>
      <c r="Q23" s="22" t="n"/>
      <c r="R23" s="22" t="n"/>
      <c r="S23" s="22" t="n"/>
      <c r="T23" s="22" t="n"/>
      <c r="U23" s="22" t="n"/>
      <c r="V23" s="22" t="n"/>
      <c r="W23" s="22" t="n"/>
      <c r="X23" s="22" t="n"/>
      <c r="Y23" s="21" t="n"/>
      <c r="Z23" s="22" t="n"/>
      <c r="AA23" s="22" t="n"/>
      <c r="AB23" s="22" t="n"/>
      <c r="AC23" s="22" t="n"/>
    </row>
    <row r="24">
      <c r="A24" s="15" t="inlineStr">
        <is>
          <t>% of Sales</t>
        </is>
      </c>
      <c r="B24" s="10" t="n"/>
      <c r="C24" s="16" t="n"/>
      <c r="D24" s="17" t="n"/>
      <c r="E24" s="17" t="n"/>
      <c r="F24" s="17" t="n"/>
      <c r="G24" s="17" t="n"/>
      <c r="H24" s="17" t="n"/>
      <c r="I24" s="17" t="n"/>
      <c r="J24" s="17" t="n"/>
      <c r="K24" s="17" t="n"/>
      <c r="L24" s="17" t="n"/>
      <c r="M24" s="17" t="n"/>
      <c r="N24" s="17" t="n"/>
      <c r="O24" s="16">
        <f>IF(OR(O23="",O4=""),"",IFERROR(O23/O4,""))</f>
        <v/>
      </c>
      <c r="P24" s="17">
        <f>IF(OR(P23="",P4=""),"",IFERROR(P23/P4,""))</f>
        <v/>
      </c>
      <c r="Q24" s="17">
        <f>IF(OR(Q23="",Q4=""),"",IFERROR(Q23/Q4,""))</f>
        <v/>
      </c>
      <c r="R24" s="17">
        <f>IF(OR(R23="",R4=""),"",IFERROR(R23/R4,""))</f>
        <v/>
      </c>
      <c r="S24" s="17">
        <f>IF(OR(S23="",S4=""),"",IFERROR(S23/S4,""))</f>
        <v/>
      </c>
      <c r="T24" s="17">
        <f>IF(OR(T23="",T4=""),"",IFERROR(T23/T4,""))</f>
        <v/>
      </c>
      <c r="U24" s="17">
        <f>IF(OR(U23="",U4=""),"",IFERROR(U23/U4,""))</f>
        <v/>
      </c>
      <c r="V24" s="17">
        <f>IF(OR(V23="",V4=""),"",IFERROR(V23/V4,""))</f>
        <v/>
      </c>
      <c r="W24" s="17">
        <f>IF(OR(W23="",W4=""),"",IFERROR(W23/W4,""))</f>
        <v/>
      </c>
      <c r="X24" s="17">
        <f>IF(OR(X23="",X4=""),"",IFERROR(X23/X4,""))</f>
        <v/>
      </c>
      <c r="Y24" s="16" t="n"/>
      <c r="Z24" s="17" t="n"/>
      <c r="AA24" s="17" t="n"/>
      <c r="AB24" s="17" t="n"/>
      <c r="AC24" s="17" t="n"/>
    </row>
    <row r="25">
      <c r="A25" s="20" t="inlineStr">
        <is>
          <t>지급수수료</t>
        </is>
      </c>
      <c r="B25" s="10" t="inlineStr">
        <is>
          <t>고정비</t>
        </is>
      </c>
      <c r="C25" s="21" t="n"/>
      <c r="D25" s="22" t="n"/>
      <c r="E25" s="22" t="n"/>
      <c r="F25" s="22" t="n"/>
      <c r="G25" s="22" t="n"/>
      <c r="H25" s="22" t="n"/>
      <c r="I25" s="22" t="n"/>
      <c r="J25" s="22" t="n"/>
      <c r="K25" s="22" t="n"/>
      <c r="L25" s="22" t="n"/>
      <c r="M25" s="22" t="n"/>
      <c r="N25" s="22" t="n"/>
      <c r="O25" s="21" t="n"/>
      <c r="P25" s="22" t="n"/>
      <c r="Q25" s="22" t="n"/>
      <c r="R25" s="22" t="n"/>
      <c r="S25" s="22" t="n"/>
      <c r="T25" s="22" t="n"/>
      <c r="U25" s="22" t="n"/>
      <c r="V25" s="22" t="n"/>
      <c r="W25" s="22" t="n"/>
      <c r="X25" s="22" t="n"/>
      <c r="Y25" s="21" t="n"/>
      <c r="Z25" s="22" t="n"/>
      <c r="AA25" s="22" t="n"/>
      <c r="AB25" s="22" t="n"/>
      <c r="AC25" s="22" t="n"/>
    </row>
    <row r="26">
      <c r="A26" s="15" t="inlineStr">
        <is>
          <t>% of Sales</t>
        </is>
      </c>
      <c r="B26" s="10" t="n"/>
      <c r="C26" s="16" t="n"/>
      <c r="D26" s="17" t="n"/>
      <c r="E26" s="17" t="n"/>
      <c r="F26" s="17" t="n"/>
      <c r="G26" s="17" t="n"/>
      <c r="H26" s="17" t="n"/>
      <c r="I26" s="17" t="n"/>
      <c r="J26" s="17" t="n"/>
      <c r="K26" s="17" t="n"/>
      <c r="L26" s="17" t="n"/>
      <c r="M26" s="17" t="n"/>
      <c r="N26" s="17" t="n"/>
      <c r="O26" s="16">
        <f>IF(OR(O25="",O4=""),"",IFERROR(O25/O4,""))</f>
        <v/>
      </c>
      <c r="P26" s="17">
        <f>IF(OR(P25="",P4=""),"",IFERROR(P25/P4,""))</f>
        <v/>
      </c>
      <c r="Q26" s="17">
        <f>IF(OR(Q25="",Q4=""),"",IFERROR(Q25/Q4,""))</f>
        <v/>
      </c>
      <c r="R26" s="17">
        <f>IF(OR(R25="",R4=""),"",IFERROR(R25/R4,""))</f>
        <v/>
      </c>
      <c r="S26" s="17">
        <f>IF(OR(S25="",S4=""),"",IFERROR(S25/S4,""))</f>
        <v/>
      </c>
      <c r="T26" s="17">
        <f>IF(OR(T25="",T4=""),"",IFERROR(T25/T4,""))</f>
        <v/>
      </c>
      <c r="U26" s="17">
        <f>IF(OR(U25="",U4=""),"",IFERROR(U25/U4,""))</f>
        <v/>
      </c>
      <c r="V26" s="17">
        <f>IF(OR(V25="",V4=""),"",IFERROR(V25/V4,""))</f>
        <v/>
      </c>
      <c r="W26" s="17">
        <f>IF(OR(W25="",W4=""),"",IFERROR(W25/W4,""))</f>
        <v/>
      </c>
      <c r="X26" s="17">
        <f>IF(OR(X25="",X4=""),"",IFERROR(X25/X4,""))</f>
        <v/>
      </c>
      <c r="Y26" s="16" t="n"/>
      <c r="Z26" s="17" t="n"/>
      <c r="AA26" s="17" t="n"/>
      <c r="AB26" s="17" t="n"/>
      <c r="AC26" s="17" t="n"/>
    </row>
    <row r="27">
      <c r="A27" s="20" t="inlineStr">
        <is>
          <t>연구개발비</t>
        </is>
      </c>
      <c r="B27" s="10" t="inlineStr">
        <is>
          <t>변동비</t>
        </is>
      </c>
      <c r="C27" s="21" t="n"/>
      <c r="D27" s="22" t="n"/>
      <c r="E27" s="22" t="n"/>
      <c r="F27" s="22" t="n"/>
      <c r="G27" s="22" t="n"/>
      <c r="H27" s="22" t="n"/>
      <c r="I27" s="22" t="n"/>
      <c r="J27" s="22" t="n"/>
      <c r="K27" s="22" t="n"/>
      <c r="L27" s="22" t="n"/>
      <c r="M27" s="22" t="n"/>
      <c r="N27" s="22" t="n"/>
      <c r="O27" s="21" t="n"/>
      <c r="P27" s="22" t="n"/>
      <c r="Q27" s="22" t="n"/>
      <c r="R27" s="22" t="n"/>
      <c r="S27" s="22" t="n"/>
      <c r="T27" s="22" t="n"/>
      <c r="U27" s="22" t="n"/>
      <c r="V27" s="22" t="n"/>
      <c r="W27" s="22" t="n"/>
      <c r="X27" s="22" t="n"/>
      <c r="Y27" s="21" t="n"/>
      <c r="Z27" s="22" t="n"/>
      <c r="AA27" s="22" t="n"/>
      <c r="AB27" s="22" t="n"/>
      <c r="AC27" s="22" t="n"/>
    </row>
    <row r="28">
      <c r="A28" s="15" t="inlineStr">
        <is>
          <t>% of Sales</t>
        </is>
      </c>
      <c r="B28" s="10" t="n"/>
      <c r="C28" s="16" t="n"/>
      <c r="D28" s="17" t="n"/>
      <c r="E28" s="17" t="n"/>
      <c r="F28" s="17" t="n"/>
      <c r="G28" s="17" t="n"/>
      <c r="H28" s="17" t="n"/>
      <c r="I28" s="17" t="n"/>
      <c r="J28" s="17" t="n"/>
      <c r="K28" s="17" t="n"/>
      <c r="L28" s="17" t="n"/>
      <c r="M28" s="17" t="n"/>
      <c r="N28" s="17" t="n"/>
      <c r="O28" s="16">
        <f>IF(OR(O27="",O4=""),"",IFERROR(O27/O4,""))</f>
        <v/>
      </c>
      <c r="P28" s="17">
        <f>IF(OR(P27="",P4=""),"",IFERROR(P27/P4,""))</f>
        <v/>
      </c>
      <c r="Q28" s="17">
        <f>IF(OR(Q27="",Q4=""),"",IFERROR(Q27/Q4,""))</f>
        <v/>
      </c>
      <c r="R28" s="17">
        <f>IF(OR(R27="",R4=""),"",IFERROR(R27/R4,""))</f>
        <v/>
      </c>
      <c r="S28" s="17">
        <f>IF(OR(S27="",S4=""),"",IFERROR(S27/S4,""))</f>
        <v/>
      </c>
      <c r="T28" s="17">
        <f>IF(OR(T27="",T4=""),"",IFERROR(T27/T4,""))</f>
        <v/>
      </c>
      <c r="U28" s="17">
        <f>IF(OR(U27="",U4=""),"",IFERROR(U27/U4,""))</f>
        <v/>
      </c>
      <c r="V28" s="17">
        <f>IF(OR(V27="",V4=""),"",IFERROR(V27/V4,""))</f>
        <v/>
      </c>
      <c r="W28" s="17">
        <f>IF(OR(W27="",W4=""),"",IFERROR(W27/W4,""))</f>
        <v/>
      </c>
      <c r="X28" s="17">
        <f>IF(OR(X27="",X4=""),"",IFERROR(X27/X4,""))</f>
        <v/>
      </c>
      <c r="Y28" s="16" t="n"/>
      <c r="Z28" s="17" t="n"/>
      <c r="AA28" s="17" t="n"/>
      <c r="AB28" s="17" t="n"/>
      <c r="AC28" s="17" t="n"/>
    </row>
    <row r="29">
      <c r="A29" s="20" t="inlineStr">
        <is>
          <t>기타비용</t>
        </is>
      </c>
      <c r="B29" s="10" t="inlineStr">
        <is>
          <t>변동비</t>
        </is>
      </c>
      <c r="C29" s="21" t="n"/>
      <c r="D29" s="22" t="n"/>
      <c r="E29" s="22" t="n"/>
      <c r="F29" s="22" t="n"/>
      <c r="G29" s="22" t="n"/>
      <c r="H29" s="22" t="n"/>
      <c r="I29" s="22" t="n"/>
      <c r="J29" s="22" t="n"/>
      <c r="K29" s="22" t="n"/>
      <c r="L29" s="22" t="n"/>
      <c r="M29" s="22" t="n"/>
      <c r="N29" s="22" t="n"/>
      <c r="O29" s="21">
        <f>IF(OR(O20="",O21="",O23="",O25="",O27=""),"",IFERROR(O20-O21-O23-O25-O27,""))</f>
        <v/>
      </c>
      <c r="P29" s="22">
        <f>IF(OR(P20="",P21="",P23="",P25="",P27=""),"",IFERROR(P20-P21-P23-P25-P27,""))</f>
        <v/>
      </c>
      <c r="Q29" s="22">
        <f>IF(OR(Q20="",Q21="",Q23="",Q25="",Q27=""),"",IFERROR(Q20-Q21-Q23-Q25-Q27,""))</f>
        <v/>
      </c>
      <c r="R29" s="22">
        <f>IF(OR(R20="",R21="",R23="",R25="",R27=""),"",IFERROR(R20-R21-R23-R25-R27,""))</f>
        <v/>
      </c>
      <c r="S29" s="22">
        <f>IF(OR(S20="",S21="",S23="",S25="",S27=""),"",IFERROR(S20-S21-S23-S25-S27,""))</f>
        <v/>
      </c>
      <c r="T29" s="22">
        <f>IF(OR(T20="",T21="",T23="",T25="",T27=""),"",IFERROR(T20-T21-T23-T25-T27,""))</f>
        <v/>
      </c>
      <c r="U29" s="22">
        <f>IF(OR(U20="",U21="",U23="",U25="",U27=""),"",IFERROR(U20-U21-U23-U25-U27,""))</f>
        <v/>
      </c>
      <c r="V29" s="22">
        <f>IF(OR(V20="",V21="",V23="",V25="",V27=""),"",IFERROR(V20-V21-V23-V25-V27,""))</f>
        <v/>
      </c>
      <c r="W29" s="22">
        <f>IF(OR(W20="",W21="",W23="",W25="",W27=""),"",IFERROR(W20-W21-W23-W25-W27,""))</f>
        <v/>
      </c>
      <c r="X29" s="22">
        <f>IF(OR(X20="",X21="",X23="",X25="",X27=""),"",IFERROR(X20-X21-X23-X25-X27,""))</f>
        <v/>
      </c>
      <c r="Y29" s="21" t="n"/>
      <c r="Z29" s="22" t="n"/>
      <c r="AA29" s="22" t="n"/>
      <c r="AB29" s="22" t="n"/>
      <c r="AC29" s="22" t="n"/>
    </row>
    <row r="30">
      <c r="A30" s="15" t="inlineStr">
        <is>
          <t>% of Sales</t>
        </is>
      </c>
      <c r="B30" s="10" t="n"/>
      <c r="C30" s="16" t="n"/>
      <c r="D30" s="17" t="n"/>
      <c r="E30" s="17" t="n"/>
      <c r="F30" s="17" t="n"/>
      <c r="G30" s="17" t="n"/>
      <c r="H30" s="17" t="n"/>
      <c r="I30" s="17" t="n"/>
      <c r="J30" s="17" t="n"/>
      <c r="K30" s="17" t="n"/>
      <c r="L30" s="17" t="n"/>
      <c r="M30" s="17" t="n"/>
      <c r="N30" s="17" t="n"/>
      <c r="O30" s="16">
        <f>IF(OR(O29="",O4=""),"",IFERROR(O29/O4,""))</f>
        <v/>
      </c>
      <c r="P30" s="17">
        <f>IF(OR(P29="",P4=""),"",IFERROR(P29/P4,""))</f>
        <v/>
      </c>
      <c r="Q30" s="17">
        <f>IF(OR(Q29="",Q4=""),"",IFERROR(Q29/Q4,""))</f>
        <v/>
      </c>
      <c r="R30" s="17">
        <f>IF(OR(R29="",R4=""),"",IFERROR(R29/R4,""))</f>
        <v/>
      </c>
      <c r="S30" s="17">
        <f>IF(OR(S29="",S4=""),"",IFERROR(S29/S4,""))</f>
        <v/>
      </c>
      <c r="T30" s="17">
        <f>IF(OR(T29="",T4=""),"",IFERROR(T29/T4,""))</f>
        <v/>
      </c>
      <c r="U30" s="17">
        <f>IF(OR(U29="",U4=""),"",IFERROR(U29/U4,""))</f>
        <v/>
      </c>
      <c r="V30" s="17">
        <f>IF(OR(V29="",V4=""),"",IFERROR(V29/V4,""))</f>
        <v/>
      </c>
      <c r="W30" s="17">
        <f>IF(OR(W29="",W4=""),"",IFERROR(W29/W4,""))</f>
        <v/>
      </c>
      <c r="X30" s="17">
        <f>IF(OR(X29="",X4=""),"",IFERROR(X29/X4,""))</f>
        <v/>
      </c>
      <c r="Y30" s="16" t="n"/>
      <c r="Z30" s="17" t="n"/>
      <c r="AA30" s="17" t="n"/>
      <c r="AB30" s="17" t="n"/>
      <c r="AC30" s="17" t="n"/>
    </row>
    <row r="31">
      <c r="A31" s="18" t="inlineStr">
        <is>
          <t>당기순이익 추정</t>
        </is>
      </c>
      <c r="B31" s="18" t="n"/>
      <c r="C31" s="19" t="n"/>
      <c r="D31" s="18" t="n"/>
      <c r="E31" s="18" t="n"/>
      <c r="F31" s="18" t="n"/>
      <c r="G31" s="18" t="n"/>
      <c r="H31" s="18" t="n"/>
      <c r="I31" s="18" t="n"/>
      <c r="J31" s="18" t="n"/>
      <c r="K31" s="18" t="n"/>
      <c r="L31" s="18" t="n"/>
      <c r="M31" s="18" t="n"/>
      <c r="N31" s="18" t="n"/>
      <c r="O31" s="19" t="n"/>
      <c r="P31" s="18" t="n"/>
      <c r="Q31" s="18" t="n"/>
      <c r="R31" s="18" t="n"/>
      <c r="S31" s="18" t="n"/>
      <c r="T31" s="18" t="n"/>
      <c r="U31" s="18" t="n"/>
      <c r="V31" s="18" t="n"/>
      <c r="W31" s="18" t="n"/>
      <c r="X31" s="18" t="n"/>
      <c r="Y31" s="19" t="n"/>
      <c r="Z31" s="18" t="n"/>
      <c r="AA31" s="18" t="n"/>
      <c r="AB31" s="18" t="n"/>
      <c r="AC31" s="18" t="n"/>
    </row>
    <row r="32">
      <c r="A32" s="20" t="inlineStr">
        <is>
          <t>기타이익</t>
        </is>
      </c>
      <c r="B32" s="10" t="n"/>
      <c r="C32" s="21" t="n">
        <v>95</v>
      </c>
      <c r="D32" s="22" t="n">
        <v>171</v>
      </c>
      <c r="E32" s="22" t="n">
        <v>5836</v>
      </c>
      <c r="F32" s="22" t="n">
        <v>77</v>
      </c>
      <c r="G32" s="22" t="n">
        <v>408</v>
      </c>
      <c r="H32" s="22" t="n">
        <v>16</v>
      </c>
      <c r="I32" s="22" t="n">
        <v>27</v>
      </c>
      <c r="J32" s="22" t="n">
        <v>85</v>
      </c>
      <c r="K32" s="22" t="n">
        <v>366</v>
      </c>
      <c r="L32" s="22" t="n">
        <v>20442</v>
      </c>
      <c r="M32" s="22" t="n">
        <v>26258</v>
      </c>
      <c r="N32" s="22" t="n">
        <v>27772</v>
      </c>
      <c r="O32" s="21" t="n"/>
      <c r="P32" s="22" t="n"/>
      <c r="Q32" s="22" t="n">
        <v>1394</v>
      </c>
      <c r="R32" s="22" t="n">
        <v>4291</v>
      </c>
      <c r="S32" s="22" t="n">
        <v>26403</v>
      </c>
      <c r="T32" s="22" t="n">
        <v>3384</v>
      </c>
      <c r="U32" s="22" t="n">
        <v>3899</v>
      </c>
      <c r="V32" s="22" t="n">
        <v>6194</v>
      </c>
      <c r="W32" s="22" t="n">
        <v>528</v>
      </c>
      <c r="X32" s="22" t="n">
        <v>47151</v>
      </c>
      <c r="Y32" s="21">
        <f>IF(OR(Y4="",Y33=""),"",IFERROR(Y4*Y33,""))</f>
        <v/>
      </c>
      <c r="Z32" s="22">
        <f>IF(OR(Z4="",Z33=""),"",IFERROR(Z4*Z33,""))</f>
        <v/>
      </c>
      <c r="AA32" s="22">
        <f>IF(OR(AA4="",AA33=""),"",IFERROR(AA4*AA33,""))</f>
        <v/>
      </c>
      <c r="AB32" s="22">
        <f>IF(OR(AB4="",AB33=""),"",IFERROR(AB4*AB33,""))</f>
        <v/>
      </c>
      <c r="AC32" s="22">
        <f>IF(OR(AC4="",AC33=""),"",IFERROR(AC4*AC33,""))</f>
        <v/>
      </c>
    </row>
    <row r="33">
      <c r="A33" s="15" t="inlineStr">
        <is>
          <t>% of Sales</t>
        </is>
      </c>
      <c r="B33" s="10" t="inlineStr">
        <is>
          <t>MW = 최근 3년 평균</t>
        </is>
      </c>
      <c r="C33" s="16">
        <f>IF(OR(C32="",C4=""),"",IFERROR(C32/C4,""))</f>
        <v/>
      </c>
      <c r="D33" s="17">
        <f>IF(OR(D32="",D4=""),"",IFERROR(D32/D4,""))</f>
        <v/>
      </c>
      <c r="E33" s="17">
        <f>IF(OR(E32="",E4=""),"",IFERROR(E32/E4,""))</f>
        <v/>
      </c>
      <c r="F33" s="17">
        <f>IF(OR(F32="",F4=""),"",IFERROR(F32/F4,""))</f>
        <v/>
      </c>
      <c r="G33" s="17">
        <f>IF(OR(G32="",G4=""),"",IFERROR(G32/G4,""))</f>
        <v/>
      </c>
      <c r="H33" s="17">
        <f>IF(OR(H32="",H4=""),"",IFERROR(H32/H4,""))</f>
        <v/>
      </c>
      <c r="I33" s="17">
        <f>IF(OR(I32="",I4=""),"",IFERROR(I32/I4,""))</f>
        <v/>
      </c>
      <c r="J33" s="17">
        <f>IF(OR(J32="",J4=""),"",IFERROR(J32/J4,""))</f>
        <v/>
      </c>
      <c r="K33" s="17">
        <f>IF(OR(K32="",K4=""),"",IFERROR(K32/K4,""))</f>
        <v/>
      </c>
      <c r="L33" s="17">
        <f>IF(OR(L32="",L4=""),"",IFERROR(L32/L4,""))</f>
        <v/>
      </c>
      <c r="M33" s="17">
        <f>IF(OR(M32="",M4=""),"",IFERROR(M32/M4,""))</f>
        <v/>
      </c>
      <c r="N33" s="17">
        <f>IF(OR(N32="",N4=""),"",IFERROR(N32/N4,""))</f>
        <v/>
      </c>
      <c r="O33" s="16">
        <f>IF(OR(O32="",O4=""),"",IFERROR(O32/O4,""))</f>
        <v/>
      </c>
      <c r="P33" s="17">
        <f>IF(OR(P32="",P4=""),"",IFERROR(P32/P4,""))</f>
        <v/>
      </c>
      <c r="Q33" s="17">
        <f>IF(OR(Q32="",Q4=""),"",IFERROR(Q32/Q4,""))</f>
        <v/>
      </c>
      <c r="R33" s="17">
        <f>IF(OR(R32="",R4=""),"",IFERROR(R32/R4,""))</f>
        <v/>
      </c>
      <c r="S33" s="17">
        <f>IF(OR(S32="",S4=""),"",IFERROR(S32/S4,""))</f>
        <v/>
      </c>
      <c r="T33" s="17">
        <f>IF(OR(T32="",T4=""),"",IFERROR(T32/T4,""))</f>
        <v/>
      </c>
      <c r="U33" s="17">
        <f>IF(OR(U32="",U4=""),"",IFERROR(U32/U4,""))</f>
        <v/>
      </c>
      <c r="V33" s="17">
        <f>IF(OR(V32="",V4=""),"",IFERROR(V32/V4,""))</f>
        <v/>
      </c>
      <c r="W33" s="17">
        <f>IF(OR(W32="",W4=""),"",IFERROR(W32/W4,""))</f>
        <v/>
      </c>
      <c r="X33" s="17">
        <f>IF(OR(X32="",X4=""),"",IFERROR(X32/X4,""))</f>
        <v/>
      </c>
      <c r="Y33" s="27">
        <f>IFERROR(AVERAGE(V33,W33,X33),"")</f>
        <v/>
      </c>
      <c r="Z33" s="28">
        <f>Y33</f>
        <v/>
      </c>
      <c r="AA33" s="28">
        <f>Z33</f>
        <v/>
      </c>
      <c r="AB33" s="28">
        <f>AA33</f>
        <v/>
      </c>
      <c r="AC33" s="28">
        <f>AB33</f>
        <v/>
      </c>
    </row>
    <row r="34">
      <c r="A34" s="20" t="inlineStr">
        <is>
          <t>기타손실</t>
        </is>
      </c>
      <c r="B34" s="10" t="n"/>
      <c r="C34" s="21" t="n">
        <v>7623</v>
      </c>
      <c r="D34" s="22" t="n">
        <v>839</v>
      </c>
      <c r="E34" s="22" t="n">
        <v>15220</v>
      </c>
      <c r="F34" s="22" t="n">
        <v>540</v>
      </c>
      <c r="G34" s="22" t="n">
        <v>1181</v>
      </c>
      <c r="H34" s="22" t="n">
        <v>1231</v>
      </c>
      <c r="I34" s="22" t="n">
        <v>750</v>
      </c>
      <c r="J34" s="22" t="n">
        <v>1258</v>
      </c>
      <c r="K34" s="22" t="n">
        <v>1345</v>
      </c>
      <c r="L34" s="22" t="n">
        <v>3189</v>
      </c>
      <c r="M34" s="22" t="n">
        <v>36013</v>
      </c>
      <c r="N34" s="22" t="n">
        <v>611</v>
      </c>
      <c r="O34" s="21" t="n"/>
      <c r="P34" s="22" t="n"/>
      <c r="Q34" s="22" t="n">
        <v>24680</v>
      </c>
      <c r="R34" s="22" t="n">
        <v>3951</v>
      </c>
      <c r="S34" s="22" t="n">
        <v>4257</v>
      </c>
      <c r="T34" s="22" t="n">
        <v>4551</v>
      </c>
      <c r="U34" s="22" t="n">
        <v>15445</v>
      </c>
      <c r="V34" s="22" t="n">
        <v>24342</v>
      </c>
      <c r="W34" s="22" t="n">
        <v>3702</v>
      </c>
      <c r="X34" s="22" t="n">
        <v>41805</v>
      </c>
      <c r="Y34" s="21">
        <f>IF(OR(Y4="",Y35=""),"",IFERROR(Y4*Y35,""))</f>
        <v/>
      </c>
      <c r="Z34" s="22">
        <f>IF(OR(Z4="",Z35=""),"",IFERROR(Z4*Z35,""))</f>
        <v/>
      </c>
      <c r="AA34" s="22">
        <f>IF(OR(AA4="",AA35=""),"",IFERROR(AA4*AA35,""))</f>
        <v/>
      </c>
      <c r="AB34" s="22">
        <f>IF(OR(AB4="",AB35=""),"",IFERROR(AB4*AB35,""))</f>
        <v/>
      </c>
      <c r="AC34" s="22">
        <f>IF(OR(AC4="",AC35=""),"",IFERROR(AC4*AC35,""))</f>
        <v/>
      </c>
    </row>
    <row r="35">
      <c r="A35" s="15" t="inlineStr">
        <is>
          <t>% of Sales</t>
        </is>
      </c>
      <c r="B35" s="10" t="n"/>
      <c r="C35" s="16">
        <f>IF(OR(C34="",C4=""),"",IFERROR(C34/C4,""))</f>
        <v/>
      </c>
      <c r="D35" s="17">
        <f>IF(OR(D34="",D4=""),"",IFERROR(D34/D4,""))</f>
        <v/>
      </c>
      <c r="E35" s="17">
        <f>IF(OR(E34="",E4=""),"",IFERROR(E34/E4,""))</f>
        <v/>
      </c>
      <c r="F35" s="17">
        <f>IF(OR(F34="",F4=""),"",IFERROR(F34/F4,""))</f>
        <v/>
      </c>
      <c r="G35" s="17">
        <f>IF(OR(G34="",G4=""),"",IFERROR(G34/G4,""))</f>
        <v/>
      </c>
      <c r="H35" s="17">
        <f>IF(OR(H34="",H4=""),"",IFERROR(H34/H4,""))</f>
        <v/>
      </c>
      <c r="I35" s="17">
        <f>IF(OR(I34="",I4=""),"",IFERROR(I34/I4,""))</f>
        <v/>
      </c>
      <c r="J35" s="17">
        <f>IF(OR(J34="",J4=""),"",IFERROR(J34/J4,""))</f>
        <v/>
      </c>
      <c r="K35" s="17">
        <f>IF(OR(K34="",K4=""),"",IFERROR(K34/K4,""))</f>
        <v/>
      </c>
      <c r="L35" s="17">
        <f>IF(OR(L34="",L4=""),"",IFERROR(L34/L4,""))</f>
        <v/>
      </c>
      <c r="M35" s="17">
        <f>IF(OR(M34="",M4=""),"",IFERROR(M34/M4,""))</f>
        <v/>
      </c>
      <c r="N35" s="17">
        <f>IF(OR(N34="",N4=""),"",IFERROR(N34/N4,""))</f>
        <v/>
      </c>
      <c r="O35" s="16">
        <f>IF(OR(O34="",O4=""),"",IFERROR(O34/O4,""))</f>
        <v/>
      </c>
      <c r="P35" s="17">
        <f>IF(OR(P34="",P4=""),"",IFERROR(P34/P4,""))</f>
        <v/>
      </c>
      <c r="Q35" s="17">
        <f>IF(OR(Q34="",Q4=""),"",IFERROR(Q34/Q4,""))</f>
        <v/>
      </c>
      <c r="R35" s="17">
        <f>IF(OR(R34="",R4=""),"",IFERROR(R34/R4,""))</f>
        <v/>
      </c>
      <c r="S35" s="17">
        <f>IF(OR(S34="",S4=""),"",IFERROR(S34/S4,""))</f>
        <v/>
      </c>
      <c r="T35" s="17">
        <f>IF(OR(T34="",T4=""),"",IFERROR(T34/T4,""))</f>
        <v/>
      </c>
      <c r="U35" s="17">
        <f>IF(OR(U34="",U4=""),"",IFERROR(U34/U4,""))</f>
        <v/>
      </c>
      <c r="V35" s="17">
        <f>IF(OR(V34="",V4=""),"",IFERROR(V34/V4,""))</f>
        <v/>
      </c>
      <c r="W35" s="17">
        <f>IF(OR(W34="",W4=""),"",IFERROR(W34/W4,""))</f>
        <v/>
      </c>
      <c r="X35" s="17">
        <f>IF(OR(X34="",X4=""),"",IFERROR(X34/X4,""))</f>
        <v/>
      </c>
      <c r="Y35" s="27">
        <f>IFERROR(AVERAGE(V35,W35,X35),"")</f>
        <v/>
      </c>
      <c r="Z35" s="28">
        <f>Y35</f>
        <v/>
      </c>
      <c r="AA35" s="28">
        <f>Z35</f>
        <v/>
      </c>
      <c r="AB35" s="28">
        <f>AA35</f>
        <v/>
      </c>
      <c r="AC35" s="28">
        <f>AB35</f>
        <v/>
      </c>
    </row>
    <row r="36">
      <c r="A36" s="20" t="inlineStr">
        <is>
          <t>금융수익</t>
        </is>
      </c>
      <c r="B36" s="10" t="n"/>
      <c r="C36" s="21" t="n">
        <v>10038</v>
      </c>
      <c r="D36" s="22" t="n">
        <v>9639</v>
      </c>
      <c r="E36" s="22" t="n">
        <v>21924</v>
      </c>
      <c r="F36" s="22" t="n">
        <v>11254</v>
      </c>
      <c r="G36" s="22" t="n">
        <v>12317</v>
      </c>
      <c r="H36" s="22" t="n">
        <v>9440</v>
      </c>
      <c r="I36" s="22" t="n">
        <v>20163</v>
      </c>
      <c r="J36" s="22" t="n">
        <v>13562</v>
      </c>
      <c r="K36" s="22" t="n">
        <v>14208</v>
      </c>
      <c r="L36" s="22" t="n">
        <v>20529</v>
      </c>
      <c r="M36" s="22" t="n">
        <v>32497</v>
      </c>
      <c r="N36" s="22" t="n">
        <v>12147</v>
      </c>
      <c r="O36" s="21" t="n"/>
      <c r="P36" s="22" t="n"/>
      <c r="Q36" s="22" t="n">
        <v>32371</v>
      </c>
      <c r="R36" s="22" t="n">
        <v>30504</v>
      </c>
      <c r="S36" s="22" t="n">
        <v>26522</v>
      </c>
      <c r="T36" s="22" t="n">
        <v>16797</v>
      </c>
      <c r="U36" s="22" t="n">
        <v>75829</v>
      </c>
      <c r="V36" s="22" t="n">
        <v>51674</v>
      </c>
      <c r="W36" s="22" t="n">
        <v>53174</v>
      </c>
      <c r="X36" s="22" t="n">
        <v>80796</v>
      </c>
      <c r="Y36" s="21">
        <f>IF(OR(Y4="",Y37=""),"",IFERROR(Y4*Y37,""))</f>
        <v/>
      </c>
      <c r="Z36" s="22">
        <f>IF(OR(Z4="",Z37=""),"",IFERROR(Z4*Z37,""))</f>
        <v/>
      </c>
      <c r="AA36" s="22">
        <f>IF(OR(AA4="",AA37=""),"",IFERROR(AA4*AA37,""))</f>
        <v/>
      </c>
      <c r="AB36" s="22">
        <f>IF(OR(AB4="",AB37=""),"",IFERROR(AB4*AB37,""))</f>
        <v/>
      </c>
      <c r="AC36" s="22">
        <f>IF(OR(AC4="",AC37=""),"",IFERROR(AC4*AC37,""))</f>
        <v/>
      </c>
    </row>
    <row r="37">
      <c r="A37" s="15" t="inlineStr">
        <is>
          <t>% of Sales</t>
        </is>
      </c>
      <c r="B37" s="10" t="n"/>
      <c r="C37" s="16">
        <f>IF(OR(C36="",C4=""),"",IFERROR(C36/C4,""))</f>
        <v/>
      </c>
      <c r="D37" s="17">
        <f>IF(OR(D36="",D4=""),"",IFERROR(D36/D4,""))</f>
        <v/>
      </c>
      <c r="E37" s="17">
        <f>IF(OR(E36="",E4=""),"",IFERROR(E36/E4,""))</f>
        <v/>
      </c>
      <c r="F37" s="17">
        <f>IF(OR(F36="",F4=""),"",IFERROR(F36/F4,""))</f>
        <v/>
      </c>
      <c r="G37" s="17">
        <f>IF(OR(G36="",G4=""),"",IFERROR(G36/G4,""))</f>
        <v/>
      </c>
      <c r="H37" s="17">
        <f>IF(OR(H36="",H4=""),"",IFERROR(H36/H4,""))</f>
        <v/>
      </c>
      <c r="I37" s="17">
        <f>IF(OR(I36="",I4=""),"",IFERROR(I36/I4,""))</f>
        <v/>
      </c>
      <c r="J37" s="17">
        <f>IF(OR(J36="",J4=""),"",IFERROR(J36/J4,""))</f>
        <v/>
      </c>
      <c r="K37" s="17">
        <f>IF(OR(K36="",K4=""),"",IFERROR(K36/K4,""))</f>
        <v/>
      </c>
      <c r="L37" s="17">
        <f>IF(OR(L36="",L4=""),"",IFERROR(L36/L4,""))</f>
        <v/>
      </c>
      <c r="M37" s="17">
        <f>IF(OR(M36="",M4=""),"",IFERROR(M36/M4,""))</f>
        <v/>
      </c>
      <c r="N37" s="17">
        <f>IF(OR(N36="",N4=""),"",IFERROR(N36/N4,""))</f>
        <v/>
      </c>
      <c r="O37" s="16">
        <f>IF(OR(O36="",O4=""),"",IFERROR(O36/O4,""))</f>
        <v/>
      </c>
      <c r="P37" s="17">
        <f>IF(OR(P36="",P4=""),"",IFERROR(P36/P4,""))</f>
        <v/>
      </c>
      <c r="Q37" s="17">
        <f>IF(OR(Q36="",Q4=""),"",IFERROR(Q36/Q4,""))</f>
        <v/>
      </c>
      <c r="R37" s="17">
        <f>IF(OR(R36="",R4=""),"",IFERROR(R36/R4,""))</f>
        <v/>
      </c>
      <c r="S37" s="17">
        <f>IF(OR(S36="",S4=""),"",IFERROR(S36/S4,""))</f>
        <v/>
      </c>
      <c r="T37" s="17">
        <f>IF(OR(T36="",T4=""),"",IFERROR(T36/T4,""))</f>
        <v/>
      </c>
      <c r="U37" s="17">
        <f>IF(OR(U36="",U4=""),"",IFERROR(U36/U4,""))</f>
        <v/>
      </c>
      <c r="V37" s="17">
        <f>IF(OR(V36="",V4=""),"",IFERROR(V36/V4,""))</f>
        <v/>
      </c>
      <c r="W37" s="17">
        <f>IF(OR(W36="",W4=""),"",IFERROR(W36/W4,""))</f>
        <v/>
      </c>
      <c r="X37" s="17">
        <f>IF(OR(X36="",X4=""),"",IFERROR(X36/X4,""))</f>
        <v/>
      </c>
      <c r="Y37" s="27">
        <f>IFERROR(AVERAGE(V37,W37,X37),"")</f>
        <v/>
      </c>
      <c r="Z37" s="28">
        <f>Y37</f>
        <v/>
      </c>
      <c r="AA37" s="28">
        <f>Z37</f>
        <v/>
      </c>
      <c r="AB37" s="28">
        <f>AA37</f>
        <v/>
      </c>
      <c r="AC37" s="28">
        <f>AB37</f>
        <v/>
      </c>
    </row>
    <row r="38">
      <c r="A38" s="20" t="inlineStr">
        <is>
          <t>금융원가</t>
        </is>
      </c>
      <c r="B38" s="10" t="n"/>
      <c r="C38" s="21" t="n">
        <v>1660</v>
      </c>
      <c r="D38" s="22" t="n">
        <v>1386</v>
      </c>
      <c r="E38" s="22" t="n">
        <v>2701</v>
      </c>
      <c r="F38" s="22" t="n">
        <v>2839</v>
      </c>
      <c r="G38" s="22" t="n">
        <v>2768</v>
      </c>
      <c r="H38" s="22" t="n">
        <v>751</v>
      </c>
      <c r="I38" s="22" t="n">
        <v>2669</v>
      </c>
      <c r="J38" s="22" t="n">
        <v>2331</v>
      </c>
      <c r="K38" s="22" t="n">
        <v>1825</v>
      </c>
      <c r="L38" s="22" t="n">
        <v>1611</v>
      </c>
      <c r="M38" s="22" t="n">
        <v>2838</v>
      </c>
      <c r="N38" s="22" t="n">
        <v>5322</v>
      </c>
      <c r="O38" s="21" t="n"/>
      <c r="P38" s="22" t="n"/>
      <c r="Q38" s="22" t="n">
        <v>3409</v>
      </c>
      <c r="R38" s="22" t="n">
        <v>2616</v>
      </c>
      <c r="S38" s="22" t="n">
        <v>941</v>
      </c>
      <c r="T38" s="22" t="n">
        <v>841</v>
      </c>
      <c r="U38" s="22" t="n">
        <v>4500</v>
      </c>
      <c r="V38" s="22" t="n">
        <v>6701</v>
      </c>
      <c r="W38" s="22" t="n">
        <v>9027</v>
      </c>
      <c r="X38" s="22" t="n">
        <v>8605</v>
      </c>
      <c r="Y38" s="21">
        <f>IF(OR(Y4="",Y39=""),"",IFERROR(Y4*Y39,""))</f>
        <v/>
      </c>
      <c r="Z38" s="22">
        <f>IF(OR(Z4="",Z39=""),"",IFERROR(Z4*Z39,""))</f>
        <v/>
      </c>
      <c r="AA38" s="22">
        <f>IF(OR(AA4="",AA39=""),"",IFERROR(AA4*AA39,""))</f>
        <v/>
      </c>
      <c r="AB38" s="22">
        <f>IF(OR(AB4="",AB39=""),"",IFERROR(AB4*AB39,""))</f>
        <v/>
      </c>
      <c r="AC38" s="22">
        <f>IF(OR(AC4="",AC39=""),"",IFERROR(AC4*AC39,""))</f>
        <v/>
      </c>
    </row>
    <row r="39">
      <c r="A39" s="15" t="inlineStr">
        <is>
          <t>% of Sales</t>
        </is>
      </c>
      <c r="B39" s="10" t="n"/>
      <c r="C39" s="16">
        <f>IF(OR(C38="",C4=""),"",IFERROR(C38/C4,""))</f>
        <v/>
      </c>
      <c r="D39" s="17">
        <f>IF(OR(D38="",D4=""),"",IFERROR(D38/D4,""))</f>
        <v/>
      </c>
      <c r="E39" s="17">
        <f>IF(OR(E38="",E4=""),"",IFERROR(E38/E4,""))</f>
        <v/>
      </c>
      <c r="F39" s="17">
        <f>IF(OR(F38="",F4=""),"",IFERROR(F38/F4,""))</f>
        <v/>
      </c>
      <c r="G39" s="17">
        <f>IF(OR(G38="",G4=""),"",IFERROR(G38/G4,""))</f>
        <v/>
      </c>
      <c r="H39" s="17">
        <f>IF(OR(H38="",H4=""),"",IFERROR(H38/H4,""))</f>
        <v/>
      </c>
      <c r="I39" s="17">
        <f>IF(OR(I38="",I4=""),"",IFERROR(I38/I4,""))</f>
        <v/>
      </c>
      <c r="J39" s="17">
        <f>IF(OR(J38="",J4=""),"",IFERROR(J38/J4,""))</f>
        <v/>
      </c>
      <c r="K39" s="17">
        <f>IF(OR(K38="",K4=""),"",IFERROR(K38/K4,""))</f>
        <v/>
      </c>
      <c r="L39" s="17">
        <f>IF(OR(L38="",L4=""),"",IFERROR(L38/L4,""))</f>
        <v/>
      </c>
      <c r="M39" s="17">
        <f>IF(OR(M38="",M4=""),"",IFERROR(M38/M4,""))</f>
        <v/>
      </c>
      <c r="N39" s="17">
        <f>IF(OR(N38="",N4=""),"",IFERROR(N38/N4,""))</f>
        <v/>
      </c>
      <c r="O39" s="16">
        <f>IF(OR(O38="",O4=""),"",IFERROR(O38/O4,""))</f>
        <v/>
      </c>
      <c r="P39" s="17">
        <f>IF(OR(P38="",P4=""),"",IFERROR(P38/P4,""))</f>
        <v/>
      </c>
      <c r="Q39" s="17">
        <f>IF(OR(Q38="",Q4=""),"",IFERROR(Q38/Q4,""))</f>
        <v/>
      </c>
      <c r="R39" s="17">
        <f>IF(OR(R38="",R4=""),"",IFERROR(R38/R4,""))</f>
        <v/>
      </c>
      <c r="S39" s="17">
        <f>IF(OR(S38="",S4=""),"",IFERROR(S38/S4,""))</f>
        <v/>
      </c>
      <c r="T39" s="17">
        <f>IF(OR(T38="",T4=""),"",IFERROR(T38/T4,""))</f>
        <v/>
      </c>
      <c r="U39" s="17">
        <f>IF(OR(U38="",U4=""),"",IFERROR(U38/U4,""))</f>
        <v/>
      </c>
      <c r="V39" s="17">
        <f>IF(OR(V38="",V4=""),"",IFERROR(V38/V4,""))</f>
        <v/>
      </c>
      <c r="W39" s="17">
        <f>IF(OR(W38="",W4=""),"",IFERROR(W38/W4,""))</f>
        <v/>
      </c>
      <c r="X39" s="17">
        <f>IF(OR(X38="",X4=""),"",IFERROR(X38/X4,""))</f>
        <v/>
      </c>
      <c r="Y39" s="27">
        <f>IFERROR(AVERAGE(V39,W39,X39),"")</f>
        <v/>
      </c>
      <c r="Z39" s="28">
        <f>Y39</f>
        <v/>
      </c>
      <c r="AA39" s="28">
        <f>Z39</f>
        <v/>
      </c>
      <c r="AB39" s="28">
        <f>AA39</f>
        <v/>
      </c>
      <c r="AC39" s="28">
        <f>AB39</f>
        <v/>
      </c>
    </row>
    <row r="40">
      <c r="A40" s="9" t="inlineStr">
        <is>
          <t>법인세비용차감전순이익(손실)</t>
        </is>
      </c>
      <c r="B40" s="10" t="n"/>
      <c r="C40" s="11" t="n">
        <v>59899</v>
      </c>
      <c r="D40" s="12" t="n">
        <v>48884</v>
      </c>
      <c r="E40" s="12" t="n">
        <v>33796</v>
      </c>
      <c r="F40" s="12" t="n">
        <v>36525</v>
      </c>
      <c r="G40" s="12" t="n">
        <v>57308</v>
      </c>
      <c r="H40" s="12" t="n">
        <v>62044</v>
      </c>
      <c r="I40" s="12" t="n">
        <v>44873</v>
      </c>
      <c r="J40" s="12" t="n">
        <v>46328</v>
      </c>
      <c r="K40" s="12" t="n">
        <v>52056</v>
      </c>
      <c r="L40" s="12" t="n">
        <v>92886</v>
      </c>
      <c r="M40" s="12" t="n">
        <v>47646</v>
      </c>
      <c r="N40" s="12" t="n">
        <v>73736</v>
      </c>
      <c r="O40" s="11" t="n"/>
      <c r="P40" s="12" t="n"/>
      <c r="Q40" s="12" t="n">
        <v>174043</v>
      </c>
      <c r="R40" s="12" t="n">
        <v>158516</v>
      </c>
      <c r="S40" s="12" t="n">
        <v>143018</v>
      </c>
      <c r="T40" s="12" t="n">
        <v>126268</v>
      </c>
      <c r="U40" s="12" t="n">
        <v>220332</v>
      </c>
      <c r="V40" s="12" t="n">
        <v>198283</v>
      </c>
      <c r="W40" s="12" t="n">
        <v>200750</v>
      </c>
      <c r="X40" s="12" t="n">
        <v>238916</v>
      </c>
      <c r="Y40" s="11">
        <f>IF(OR(Y16=""),"",IFERROR(Y16+N(Y32)-N(Y34)+N(Y36)-N(Y38),""))</f>
        <v/>
      </c>
      <c r="Z40" s="12">
        <f>IF(OR(Z16=""),"",IFERROR(Z16+N(Z32)-N(Z34)+N(Z36)-N(Z38),""))</f>
        <v/>
      </c>
      <c r="AA40" s="12">
        <f>IF(OR(AA16=""),"",IFERROR(AA16+N(AA32)-N(AA34)+N(AA36)-N(AA38),""))</f>
        <v/>
      </c>
      <c r="AB40" s="12">
        <f>IF(OR(AB16=""),"",IFERROR(AB16+N(AB32)-N(AB34)+N(AB36)-N(AB38),""))</f>
        <v/>
      </c>
      <c r="AC40" s="12">
        <f>IF(OR(AC16=""),"",IFERROR(AC16+N(AC32)-N(AC34)+N(AC36)-N(AC38),""))</f>
        <v/>
      </c>
    </row>
    <row r="41">
      <c r="A41" s="20" t="inlineStr">
        <is>
          <t>법인세비용(수익)</t>
        </is>
      </c>
      <c r="B41" s="10" t="n"/>
      <c r="C41" s="21" t="n">
        <v>11915</v>
      </c>
      <c r="D41" s="22" t="n">
        <v>12643</v>
      </c>
      <c r="E41" s="22" t="n">
        <v>-340</v>
      </c>
      <c r="F41" s="22" t="n">
        <v>6218</v>
      </c>
      <c r="G41" s="22" t="n">
        <v>4743</v>
      </c>
      <c r="H41" s="22" t="n">
        <v>11579</v>
      </c>
      <c r="I41" s="22" t="n">
        <v>8675</v>
      </c>
      <c r="J41" s="22" t="n">
        <v>6980</v>
      </c>
      <c r="K41" s="22" t="n">
        <v>7872</v>
      </c>
      <c r="L41" s="22" t="n">
        <v>18206</v>
      </c>
      <c r="M41" s="22" t="n">
        <v>-56</v>
      </c>
      <c r="N41" s="22" t="n">
        <v>-23982</v>
      </c>
      <c r="O41" s="21" t="n"/>
      <c r="P41" s="22" t="n"/>
      <c r="Q41" s="22" t="n">
        <v>37124</v>
      </c>
      <c r="R41" s="22" t="n">
        <v>36322</v>
      </c>
      <c r="S41" s="22" t="n">
        <v>30956</v>
      </c>
      <c r="T41" s="22" t="n">
        <v>12829</v>
      </c>
      <c r="U41" s="22" t="n">
        <v>35836</v>
      </c>
      <c r="V41" s="22" t="n">
        <v>37708</v>
      </c>
      <c r="W41" s="22" t="n">
        <v>31215</v>
      </c>
      <c r="X41" s="22" t="n">
        <v>33002</v>
      </c>
      <c r="Y41" s="21">
        <f>IF(OR(Y40="",Y42=""),"",IFERROR(MAX(Y40,0)*Y42,""))</f>
        <v/>
      </c>
      <c r="Z41" s="22">
        <f>IF(OR(Z40="",Z42=""),"",IFERROR(MAX(Z40,0)*Z42,""))</f>
        <v/>
      </c>
      <c r="AA41" s="22">
        <f>IF(OR(AA40="",AA42=""),"",IFERROR(MAX(AA40,0)*AA42,""))</f>
        <v/>
      </c>
      <c r="AB41" s="22">
        <f>IF(OR(AB40="",AB42=""),"",IFERROR(MAX(AB40,0)*AB42,""))</f>
        <v/>
      </c>
      <c r="AC41" s="22">
        <f>IF(OR(AC40="",AC42=""),"",IFERROR(MAX(AC40,0)*AC42,""))</f>
        <v/>
      </c>
    </row>
    <row r="42">
      <c r="A42" s="15" t="inlineStr">
        <is>
          <t>법인세율</t>
        </is>
      </c>
      <c r="B42" s="10" t="inlineStr">
        <is>
          <t>MW 기본 30%</t>
        </is>
      </c>
      <c r="C42" s="16">
        <f>IF(OR(C41="",C40=""),"",IFERROR(C41/C40,""))</f>
        <v/>
      </c>
      <c r="D42" s="17">
        <f>IF(OR(D41="",D40=""),"",IFERROR(D41/D40,""))</f>
        <v/>
      </c>
      <c r="E42" s="17">
        <f>IF(OR(E41="",E40=""),"",IFERROR(E41/E40,""))</f>
        <v/>
      </c>
      <c r="F42" s="17">
        <f>IF(OR(F41="",F40=""),"",IFERROR(F41/F40,""))</f>
        <v/>
      </c>
      <c r="G42" s="17">
        <f>IF(OR(G41="",G40=""),"",IFERROR(G41/G40,""))</f>
        <v/>
      </c>
      <c r="H42" s="17">
        <f>IF(OR(H41="",H40=""),"",IFERROR(H41/H40,""))</f>
        <v/>
      </c>
      <c r="I42" s="17">
        <f>IF(OR(I41="",I40=""),"",IFERROR(I41/I40,""))</f>
        <v/>
      </c>
      <c r="J42" s="17">
        <f>IF(OR(J41="",J40=""),"",IFERROR(J41/J40,""))</f>
        <v/>
      </c>
      <c r="K42" s="17">
        <f>IF(OR(K41="",K40=""),"",IFERROR(K41/K40,""))</f>
        <v/>
      </c>
      <c r="L42" s="17">
        <f>IF(OR(L41="",L40=""),"",IFERROR(L41/L40,""))</f>
        <v/>
      </c>
      <c r="M42" s="17">
        <f>IF(OR(M41="",M40=""),"",IFERROR(M41/M40,""))</f>
        <v/>
      </c>
      <c r="N42" s="17">
        <f>IF(OR(N41="",N40=""),"",IFERROR(N41/N40,""))</f>
        <v/>
      </c>
      <c r="O42" s="16">
        <f>IF(OR(O41="",O40=""),"",IFERROR(O41/O40,""))</f>
        <v/>
      </c>
      <c r="P42" s="17">
        <f>IF(OR(P41="",P40=""),"",IFERROR(P41/P40,""))</f>
        <v/>
      </c>
      <c r="Q42" s="17">
        <f>IF(OR(Q41="",Q40=""),"",IFERROR(Q41/Q40,""))</f>
        <v/>
      </c>
      <c r="R42" s="17">
        <f>IF(OR(R41="",R40=""),"",IFERROR(R41/R40,""))</f>
        <v/>
      </c>
      <c r="S42" s="17">
        <f>IF(OR(S41="",S40=""),"",IFERROR(S41/S40,""))</f>
        <v/>
      </c>
      <c r="T42" s="17">
        <f>IF(OR(T41="",T40=""),"",IFERROR(T41/T40,""))</f>
        <v/>
      </c>
      <c r="U42" s="17">
        <f>IF(OR(U41="",U40=""),"",IFERROR(U41/U40,""))</f>
        <v/>
      </c>
      <c r="V42" s="17">
        <f>IF(OR(V41="",V40=""),"",IFERROR(V41/V40,""))</f>
        <v/>
      </c>
      <c r="W42" s="17">
        <f>IF(OR(W41="",W40=""),"",IFERROR(W41/W40,""))</f>
        <v/>
      </c>
      <c r="X42" s="17">
        <f>IF(OR(X41="",X40=""),"",IFERROR(X41/X40,""))</f>
        <v/>
      </c>
      <c r="Y42" s="27" t="n">
        <v>0.3</v>
      </c>
      <c r="Z42" s="28" t="n">
        <v>0.3</v>
      </c>
      <c r="AA42" s="28" t="n">
        <v>0.3</v>
      </c>
      <c r="AB42" s="28" t="n">
        <v>0.3</v>
      </c>
      <c r="AC42" s="28" t="n">
        <v>0.3</v>
      </c>
    </row>
    <row r="43">
      <c r="A43" s="9" t="inlineStr">
        <is>
          <t>당기순이익(손실)</t>
        </is>
      </c>
      <c r="B43" s="10" t="n"/>
      <c r="C43" s="11" t="n">
        <v>47984</v>
      </c>
      <c r="D43" s="12" t="n">
        <v>36241</v>
      </c>
      <c r="E43" s="12" t="n">
        <v>34136</v>
      </c>
      <c r="F43" s="12" t="n">
        <v>30307</v>
      </c>
      <c r="G43" s="12" t="n">
        <v>52565</v>
      </c>
      <c r="H43" s="12" t="n">
        <v>50464</v>
      </c>
      <c r="I43" s="12" t="n">
        <v>36198</v>
      </c>
      <c r="J43" s="12" t="n">
        <v>39348</v>
      </c>
      <c r="K43" s="12" t="n">
        <v>44184</v>
      </c>
      <c r="L43" s="12" t="n">
        <v>74680</v>
      </c>
      <c r="M43" s="12" t="n">
        <v>47702</v>
      </c>
      <c r="N43" s="12" t="n">
        <v>97718</v>
      </c>
      <c r="O43" s="11" t="n"/>
      <c r="P43" s="12" t="n"/>
      <c r="Q43" s="12" t="n">
        <v>136918</v>
      </c>
      <c r="R43" s="12" t="n">
        <v>122194</v>
      </c>
      <c r="S43" s="12" t="n">
        <v>112061</v>
      </c>
      <c r="T43" s="12" t="n">
        <v>113439</v>
      </c>
      <c r="U43" s="12" t="n">
        <v>184496</v>
      </c>
      <c r="V43" s="12" t="n">
        <v>160575</v>
      </c>
      <c r="W43" s="12" t="n">
        <v>169534</v>
      </c>
      <c r="X43" s="12" t="n">
        <v>205914</v>
      </c>
      <c r="Y43" s="11">
        <f>IF(OR(Y40=""),"",IFERROR(Y40-Y41,""))</f>
        <v/>
      </c>
      <c r="Z43" s="12">
        <f>IF(OR(Z40=""),"",IFERROR(Z40-Z41,""))</f>
        <v/>
      </c>
      <c r="AA43" s="12">
        <f>IF(OR(AA40=""),"",IFERROR(AA40-AA41,""))</f>
        <v/>
      </c>
      <c r="AB43" s="12">
        <f>IF(OR(AB40=""),"",IFERROR(AB40-AB41,""))</f>
        <v/>
      </c>
      <c r="AC43" s="12">
        <f>IF(OR(AC40=""),"",IFERROR(AC40-AC41,""))</f>
        <v/>
      </c>
    </row>
    <row r="44">
      <c r="A44" s="9" t="inlineStr">
        <is>
          <t>지배주주 순이익</t>
        </is>
      </c>
      <c r="B44" s="10" t="n"/>
      <c r="C44" s="11" t="n">
        <v>48031</v>
      </c>
      <c r="D44" s="12" t="n">
        <v>36629</v>
      </c>
      <c r="E44" s="12" t="n">
        <v>34808</v>
      </c>
      <c r="F44" s="12" t="n">
        <v>30637</v>
      </c>
      <c r="G44" s="12" t="n">
        <v>52496</v>
      </c>
      <c r="H44" s="12" t="n">
        <v>50670</v>
      </c>
      <c r="I44" s="12" t="n">
        <v>36632</v>
      </c>
      <c r="J44" s="12" t="n">
        <v>39355</v>
      </c>
      <c r="K44" s="12" t="n">
        <v>44187</v>
      </c>
      <c r="L44" s="12" t="n">
        <v>74683</v>
      </c>
      <c r="M44" s="12" t="n">
        <v>46934</v>
      </c>
      <c r="N44" s="12" t="n">
        <v>97696</v>
      </c>
      <c r="O44" s="11" t="n"/>
      <c r="P44" s="12" t="n"/>
      <c r="Q44" s="12" t="n">
        <v>137191</v>
      </c>
      <c r="R44" s="12" t="n">
        <v>122193</v>
      </c>
      <c r="S44" s="12" t="n">
        <v>111858</v>
      </c>
      <c r="T44" s="12" t="n">
        <v>114185</v>
      </c>
      <c r="U44" s="12" t="n">
        <v>184965</v>
      </c>
      <c r="V44" s="12" t="n">
        <v>162030</v>
      </c>
      <c r="W44" s="12" t="n">
        <v>170435</v>
      </c>
      <c r="X44" s="12" t="n">
        <v>205159</v>
      </c>
      <c r="Y44" s="11">
        <f>IF(OR(Y43="",Y45=""),"",IFERROR(Y43*Y45,""))</f>
        <v/>
      </c>
      <c r="Z44" s="12">
        <f>IF(OR(Z43="",Z45=""),"",IFERROR(Z43*Z45,""))</f>
        <v/>
      </c>
      <c r="AA44" s="12">
        <f>IF(OR(AA43="",AA45=""),"",IFERROR(AA43*AA45,""))</f>
        <v/>
      </c>
      <c r="AB44" s="12">
        <f>IF(OR(AB43="",AB45=""),"",IFERROR(AB43*AB45,""))</f>
        <v/>
      </c>
      <c r="AC44" s="12">
        <f>IF(OR(AC43="",AC45=""),"",IFERROR(AC43*AC45,""))</f>
        <v/>
      </c>
    </row>
    <row r="45">
      <c r="A45" s="15" t="inlineStr">
        <is>
          <t>지배주주 순이익률</t>
        </is>
      </c>
      <c r="B45" s="10" t="inlineStr">
        <is>
          <t>MW 기본 100%</t>
        </is>
      </c>
      <c r="C45" s="16">
        <f>IF(OR(C44="",C43=""),"",IFERROR(C44/C43,""))</f>
        <v/>
      </c>
      <c r="D45" s="17">
        <f>IF(OR(D44="",D43=""),"",IFERROR(D44/D43,""))</f>
        <v/>
      </c>
      <c r="E45" s="17">
        <f>IF(OR(E44="",E43=""),"",IFERROR(E44/E43,""))</f>
        <v/>
      </c>
      <c r="F45" s="17">
        <f>IF(OR(F44="",F43=""),"",IFERROR(F44/F43,""))</f>
        <v/>
      </c>
      <c r="G45" s="17">
        <f>IF(OR(G44="",G43=""),"",IFERROR(G44/G43,""))</f>
        <v/>
      </c>
      <c r="H45" s="17">
        <f>IF(OR(H44="",H43=""),"",IFERROR(H44/H43,""))</f>
        <v/>
      </c>
      <c r="I45" s="17">
        <f>IF(OR(I44="",I43=""),"",IFERROR(I44/I43,""))</f>
        <v/>
      </c>
      <c r="J45" s="17">
        <f>IF(OR(J44="",J43=""),"",IFERROR(J44/J43,""))</f>
        <v/>
      </c>
      <c r="K45" s="17">
        <f>IF(OR(K44="",K43=""),"",IFERROR(K44/K43,""))</f>
        <v/>
      </c>
      <c r="L45" s="17">
        <f>IF(OR(L44="",L43=""),"",IFERROR(L44/L43,""))</f>
        <v/>
      </c>
      <c r="M45" s="17">
        <f>IF(OR(M44="",M43=""),"",IFERROR(M44/M43,""))</f>
        <v/>
      </c>
      <c r="N45" s="17">
        <f>IF(OR(N44="",N43=""),"",IFERROR(N44/N43,""))</f>
        <v/>
      </c>
      <c r="O45" s="16">
        <f>IF(OR(O44="",O43=""),"",IFERROR(O44/O43,""))</f>
        <v/>
      </c>
      <c r="P45" s="17">
        <f>IF(OR(P44="",P43=""),"",IFERROR(P44/P43,""))</f>
        <v/>
      </c>
      <c r="Q45" s="17">
        <f>IF(OR(Q44="",Q43=""),"",IFERROR(Q44/Q43,""))</f>
        <v/>
      </c>
      <c r="R45" s="17">
        <f>IF(OR(R44="",R43=""),"",IFERROR(R44/R43,""))</f>
        <v/>
      </c>
      <c r="S45" s="17">
        <f>IF(OR(S44="",S43=""),"",IFERROR(S44/S43,""))</f>
        <v/>
      </c>
      <c r="T45" s="17">
        <f>IF(OR(T44="",T43=""),"",IFERROR(T44/T43,""))</f>
        <v/>
      </c>
      <c r="U45" s="17">
        <f>IF(OR(U44="",U43=""),"",IFERROR(U44/U43,""))</f>
        <v/>
      </c>
      <c r="V45" s="17">
        <f>IF(OR(V44="",V43=""),"",IFERROR(V44/V43,""))</f>
        <v/>
      </c>
      <c r="W45" s="17">
        <f>IF(OR(W44="",W43=""),"",IFERROR(W44/W43,""))</f>
        <v/>
      </c>
      <c r="X45" s="17">
        <f>IF(OR(X44="",X43=""),"",IFERROR(X44/X43,""))</f>
        <v/>
      </c>
      <c r="Y45" s="27" t="n">
        <v>1</v>
      </c>
      <c r="Z45" s="28" t="n">
        <v>1</v>
      </c>
      <c r="AA45" s="28" t="n">
        <v>1</v>
      </c>
      <c r="AB45" s="28" t="n">
        <v>1</v>
      </c>
      <c r="AC45" s="28" t="n">
        <v>1</v>
      </c>
    </row>
    <row r="46">
      <c r="A46" s="18" t="inlineStr">
        <is>
          <t>목표주가 산출</t>
        </is>
      </c>
      <c r="B46" s="18" t="n"/>
      <c r="C46" s="19" t="n"/>
      <c r="D46" s="18" t="n"/>
      <c r="E46" s="18" t="n"/>
      <c r="F46" s="18" t="n"/>
      <c r="G46" s="18" t="n"/>
      <c r="H46" s="18" t="n"/>
      <c r="I46" s="18" t="n"/>
      <c r="J46" s="18" t="n"/>
      <c r="K46" s="18" t="n"/>
      <c r="L46" s="18" t="n"/>
      <c r="M46" s="18" t="n"/>
      <c r="N46" s="18" t="n"/>
      <c r="O46" s="19" t="n"/>
      <c r="P46" s="18" t="n"/>
      <c r="Q46" s="18" t="n"/>
      <c r="R46" s="18" t="n"/>
      <c r="S46" s="18" t="n"/>
      <c r="T46" s="18" t="n"/>
      <c r="U46" s="18" t="n"/>
      <c r="V46" s="18" t="n"/>
      <c r="W46" s="18" t="n"/>
      <c r="X46" s="18" t="n"/>
      <c r="Y46" s="19" t="n"/>
      <c r="Z46" s="18" t="n"/>
      <c r="AA46" s="18" t="n"/>
      <c r="AB46" s="18" t="n"/>
      <c r="AC46" s="18" t="n"/>
    </row>
    <row r="47">
      <c r="A47" s="20" t="inlineStr">
        <is>
          <t>현재 주가 ()</t>
        </is>
      </c>
      <c r="B47" s="29" t="n"/>
      <c r="C47" s="30" t="n"/>
      <c r="D47" s="31" t="n"/>
      <c r="E47" s="31" t="n"/>
      <c r="F47" s="31" t="n"/>
      <c r="G47" s="31" t="n"/>
      <c r="H47" s="31" t="n"/>
      <c r="I47" s="31" t="n"/>
      <c r="J47" s="31" t="n"/>
      <c r="K47" s="31" t="n"/>
      <c r="L47" s="31" t="n"/>
      <c r="M47" s="31" t="n"/>
      <c r="N47" s="31" t="n"/>
      <c r="O47" s="30" t="n"/>
      <c r="P47" s="31" t="n"/>
      <c r="Q47" s="31" t="n"/>
      <c r="R47" s="31" t="n"/>
      <c r="S47" s="31" t="n"/>
      <c r="T47" s="31" t="n"/>
      <c r="U47" s="31" t="n"/>
      <c r="V47" s="31" t="n"/>
      <c r="W47" s="31" t="n"/>
      <c r="X47" s="31" t="n"/>
      <c r="Y47" s="30" t="n"/>
      <c r="Z47" s="31" t="n"/>
      <c r="AA47" s="31" t="n"/>
      <c r="AB47" s="31" t="n"/>
      <c r="AC47" s="31" t="n"/>
    </row>
    <row r="48">
      <c r="A48" s="20" t="inlineStr">
        <is>
          <t>발행주식수 (보통주)</t>
        </is>
      </c>
      <c r="B48" s="29" t="n"/>
      <c r="C48" s="30" t="n"/>
      <c r="D48" s="31" t="n"/>
      <c r="E48" s="31" t="n"/>
      <c r="F48" s="31" t="n"/>
      <c r="G48" s="31" t="n"/>
      <c r="H48" s="31" t="n"/>
      <c r="I48" s="31" t="n"/>
      <c r="J48" s="31" t="n"/>
      <c r="K48" s="31" t="n"/>
      <c r="L48" s="31" t="n"/>
      <c r="M48" s="31" t="n"/>
      <c r="N48" s="31" t="n"/>
      <c r="O48" s="30" t="n"/>
      <c r="P48" s="31" t="n"/>
      <c r="Q48" s="31" t="n"/>
      <c r="R48" s="31" t="n"/>
      <c r="S48" s="31" t="n"/>
      <c r="T48" s="31" t="n"/>
      <c r="U48" s="31" t="n"/>
      <c r="V48" s="31" t="n"/>
      <c r="W48" s="31" t="n"/>
      <c r="X48" s="31" t="n"/>
      <c r="Y48" s="30" t="n"/>
      <c r="Z48" s="31" t="n"/>
      <c r="AA48" s="31" t="n"/>
      <c r="AB48" s="31" t="n"/>
      <c r="AC48" s="31" t="n"/>
    </row>
    <row r="49">
      <c r="A49" s="20" t="inlineStr">
        <is>
          <t>시가총액 (백만엔)</t>
        </is>
      </c>
      <c r="B49" s="12">
        <f>IF(OR(B47="",B48=""),"",B47*B48/1000000.0)</f>
        <v/>
      </c>
      <c r="C49" s="21" t="n"/>
      <c r="D49" s="22" t="n"/>
      <c r="E49" s="22" t="n"/>
      <c r="F49" s="22" t="n"/>
      <c r="G49" s="22" t="n"/>
      <c r="H49" s="22" t="n"/>
      <c r="I49" s="22" t="n"/>
      <c r="J49" s="22" t="n"/>
      <c r="K49" s="22" t="n"/>
      <c r="L49" s="22" t="n"/>
      <c r="M49" s="22" t="n"/>
      <c r="N49" s="22" t="n"/>
      <c r="O49" s="21" t="n"/>
      <c r="P49" s="22" t="n"/>
      <c r="Q49" s="22" t="n"/>
      <c r="R49" s="22" t="n"/>
      <c r="S49" s="22" t="n"/>
      <c r="T49" s="22" t="n"/>
      <c r="U49" s="22" t="n"/>
      <c r="V49" s="22" t="n"/>
      <c r="W49" s="22" t="n"/>
      <c r="X49" s="22" t="n"/>
      <c r="Y49" s="21" t="n"/>
      <c r="Z49" s="22" t="n"/>
      <c r="AA49" s="22" t="n"/>
      <c r="AB49" s="22" t="n"/>
      <c r="AC49" s="22" t="n"/>
    </row>
    <row r="50">
      <c r="A50" s="15" t="inlineStr">
        <is>
          <t>OPM</t>
        </is>
      </c>
      <c r="B50" s="10" t="n"/>
      <c r="C50" s="16" t="n"/>
      <c r="D50" s="17" t="n"/>
      <c r="E50" s="17" t="n"/>
      <c r="F50" s="17" t="n"/>
      <c r="G50" s="17" t="n"/>
      <c r="H50" s="17" t="n"/>
      <c r="I50" s="17" t="n"/>
      <c r="J50" s="17" t="n"/>
      <c r="K50" s="17" t="n"/>
      <c r="L50" s="17" t="n"/>
      <c r="M50" s="17" t="n"/>
      <c r="N50" s="17" t="n"/>
      <c r="O50" s="16">
        <f>IF(O17="","",O17)</f>
        <v/>
      </c>
      <c r="P50" s="17">
        <f>IF(P17="","",P17)</f>
        <v/>
      </c>
      <c r="Q50" s="17">
        <f>IF(Q17="","",Q17)</f>
        <v/>
      </c>
      <c r="R50" s="17">
        <f>IF(R17="","",R17)</f>
        <v/>
      </c>
      <c r="S50" s="17">
        <f>IF(S17="","",S17)</f>
        <v/>
      </c>
      <c r="T50" s="17">
        <f>IF(T17="","",T17)</f>
        <v/>
      </c>
      <c r="U50" s="17">
        <f>IF(U17="","",U17)</f>
        <v/>
      </c>
      <c r="V50" s="17">
        <f>IF(V17="","",V17)</f>
        <v/>
      </c>
      <c r="W50" s="17">
        <f>IF(W17="","",W17)</f>
        <v/>
      </c>
      <c r="X50" s="17">
        <f>IF(X17="","",X17)</f>
        <v/>
      </c>
      <c r="Y50" s="16">
        <f>IF(Y17="","",Y17)</f>
        <v/>
      </c>
      <c r="Z50" s="17">
        <f>IF(Z17="","",Z17)</f>
        <v/>
      </c>
      <c r="AA50" s="17">
        <f>IF(AA17="","",AA17)</f>
        <v/>
      </c>
      <c r="AB50" s="17">
        <f>IF(AB17="","",AB17)</f>
        <v/>
      </c>
      <c r="AC50" s="17">
        <f>IF(AC17="","",AC17)</f>
        <v/>
      </c>
    </row>
    <row r="51">
      <c r="A51" s="15" t="inlineStr">
        <is>
          <t>지배주주 순이익 증가율</t>
        </is>
      </c>
      <c r="B51" s="10" t="n"/>
      <c r="C51" s="16" t="n"/>
      <c r="D51" s="17" t="n"/>
      <c r="E51" s="17" t="n"/>
      <c r="F51" s="17" t="n"/>
      <c r="G51" s="17" t="n"/>
      <c r="H51" s="17" t="n"/>
      <c r="I51" s="17" t="n"/>
      <c r="J51" s="17" t="n"/>
      <c r="K51" s="17" t="n"/>
      <c r="L51" s="17" t="n"/>
      <c r="M51" s="17" t="n"/>
      <c r="N51" s="17" t="n"/>
      <c r="O51" s="16" t="n"/>
      <c r="P51" s="17">
        <f>IF(OR(P44="",O44=""),"",IFERROR(P44/O44-1,""))</f>
        <v/>
      </c>
      <c r="Q51" s="17">
        <f>IF(OR(Q44="",P44=""),"",IFERROR(Q44/P44-1,""))</f>
        <v/>
      </c>
      <c r="R51" s="17">
        <f>IF(OR(R44="",Q44=""),"",IFERROR(R44/Q44-1,""))</f>
        <v/>
      </c>
      <c r="S51" s="17">
        <f>IF(OR(S44="",R44=""),"",IFERROR(S44/R44-1,""))</f>
        <v/>
      </c>
      <c r="T51" s="17">
        <f>IF(OR(T44="",S44=""),"",IFERROR(T44/S44-1,""))</f>
        <v/>
      </c>
      <c r="U51" s="17">
        <f>IF(OR(U44="",T44=""),"",IFERROR(U44/T44-1,""))</f>
        <v/>
      </c>
      <c r="V51" s="17">
        <f>IF(OR(V44="",U44=""),"",IFERROR(V44/U44-1,""))</f>
        <v/>
      </c>
      <c r="W51" s="17">
        <f>IF(OR(W44="",V44=""),"",IFERROR(W44/V44-1,""))</f>
        <v/>
      </c>
      <c r="X51" s="17">
        <f>IF(OR(X44="",W44=""),"",IFERROR(X44/W44-1,""))</f>
        <v/>
      </c>
      <c r="Y51" s="16">
        <f>IF(OR(Y44="",X44=""),"",IFERROR(Y44/X44-1,""))</f>
        <v/>
      </c>
      <c r="Z51" s="17">
        <f>IF(OR(Z44="",Y44=""),"",IFERROR(Z44/Y44-1,""))</f>
        <v/>
      </c>
      <c r="AA51" s="17">
        <f>IF(OR(AA44="",Z44=""),"",IFERROR(AA44/Z44-1,""))</f>
        <v/>
      </c>
      <c r="AB51" s="17">
        <f>IF(OR(AB44="",AA44=""),"",IFERROR(AB44/AA44-1,""))</f>
        <v/>
      </c>
      <c r="AC51" s="17">
        <f>IF(OR(AC44="",AB44=""),"",IFERROR(AC44/AB44-1,""))</f>
        <v/>
      </c>
    </row>
    <row r="52">
      <c r="A52" s="20" t="inlineStr">
        <is>
          <t>P/E (현재 주가)</t>
        </is>
      </c>
      <c r="B52" s="10" t="inlineStr">
        <is>
          <t>시총 ÷ 지배순이익</t>
        </is>
      </c>
      <c r="C52" s="32" t="n"/>
      <c r="D52" s="33" t="n"/>
      <c r="E52" s="33" t="n"/>
      <c r="F52" s="33" t="n"/>
      <c r="G52" s="33" t="n"/>
      <c r="H52" s="33" t="n"/>
      <c r="I52" s="33" t="n"/>
      <c r="J52" s="33" t="n"/>
      <c r="K52" s="33" t="n"/>
      <c r="L52" s="33" t="n"/>
      <c r="M52" s="33" t="n"/>
      <c r="N52" s="33" t="n"/>
      <c r="O52" s="32" t="n"/>
      <c r="P52" s="33" t="n"/>
      <c r="Q52" s="33" t="n"/>
      <c r="R52" s="33" t="n"/>
      <c r="S52" s="33" t="n"/>
      <c r="T52" s="33" t="n"/>
      <c r="U52" s="33" t="n"/>
      <c r="V52" s="33" t="n"/>
      <c r="W52" s="33" t="n"/>
      <c r="X52" s="33">
        <f>IF(OR($B$49="",X44=""),"",IFERROR($B$49/X44,""))</f>
        <v/>
      </c>
      <c r="Y52" s="32">
        <f>IF(OR($B$49="",Y44=""),"",IFERROR($B$49/Y44,""))</f>
        <v/>
      </c>
      <c r="Z52" s="33">
        <f>IF(OR($B$49="",Z44=""),"",IFERROR($B$49/Z44,""))</f>
        <v/>
      </c>
      <c r="AA52" s="33">
        <f>IF(OR($B$49="",AA44=""),"",IFERROR($B$49/AA44,""))</f>
        <v/>
      </c>
      <c r="AB52" s="33">
        <f>IF(OR($B$49="",AB44=""),"",IFERROR($B$49/AB44,""))</f>
        <v/>
      </c>
      <c r="AC52" s="33">
        <f>IF(OR($B$49="",AC44=""),"",IFERROR($B$49/AC44,""))</f>
        <v/>
      </c>
    </row>
    <row r="53">
      <c r="A53" s="20" t="inlineStr">
        <is>
          <t>Target P/E</t>
        </is>
      </c>
      <c r="B53" s="10" t="inlineStr">
        <is>
          <t>직접 입력</t>
        </is>
      </c>
      <c r="C53" s="32" t="n"/>
      <c r="D53" s="33" t="n"/>
      <c r="E53" s="33" t="n"/>
      <c r="F53" s="33" t="n"/>
      <c r="G53" s="33" t="n"/>
      <c r="H53" s="33" t="n"/>
      <c r="I53" s="33" t="n"/>
      <c r="J53" s="33" t="n"/>
      <c r="K53" s="33" t="n"/>
      <c r="L53" s="33" t="n"/>
      <c r="M53" s="33" t="n"/>
      <c r="N53" s="33" t="n"/>
      <c r="O53" s="32" t="n"/>
      <c r="P53" s="33" t="n"/>
      <c r="Q53" s="33" t="n"/>
      <c r="R53" s="33" t="n"/>
      <c r="S53" s="33" t="n"/>
      <c r="T53" s="33" t="n"/>
      <c r="U53" s="33" t="n"/>
      <c r="V53" s="33" t="n"/>
      <c r="W53" s="33" t="n"/>
      <c r="X53" s="33" t="n"/>
      <c r="Y53" s="34" t="n"/>
      <c r="Z53" s="35" t="n"/>
      <c r="AA53" s="35" t="n"/>
      <c r="AB53" s="35" t="n"/>
      <c r="AC53" s="35" t="n"/>
    </row>
    <row r="54">
      <c r="A54" s="20" t="inlineStr">
        <is>
          <t>EPS</t>
        </is>
      </c>
      <c r="B54" s="10" t="inlineStr">
        <is>
          <t>지배순이익 ÷ 주식수</t>
        </is>
      </c>
      <c r="C54" s="30" t="n"/>
      <c r="D54" s="31" t="n"/>
      <c r="E54" s="31" t="n"/>
      <c r="F54" s="31" t="n"/>
      <c r="G54" s="31" t="n"/>
      <c r="H54" s="31" t="n"/>
      <c r="I54" s="31" t="n"/>
      <c r="J54" s="31" t="n"/>
      <c r="K54" s="31" t="n"/>
      <c r="L54" s="31" t="n"/>
      <c r="M54" s="31" t="n"/>
      <c r="N54" s="31" t="n"/>
      <c r="O54" s="30">
        <f>IF(OR(O44="",$B$48=""),"",IFERROR(O44*1000000.0/$B$48,""))</f>
        <v/>
      </c>
      <c r="P54" s="31">
        <f>IF(OR(P44="",$B$48=""),"",IFERROR(P44*1000000.0/$B$48,""))</f>
        <v/>
      </c>
      <c r="Q54" s="31">
        <f>IF(OR(Q44="",$B$48=""),"",IFERROR(Q44*1000000.0/$B$48,""))</f>
        <v/>
      </c>
      <c r="R54" s="31">
        <f>IF(OR(R44="",$B$48=""),"",IFERROR(R44*1000000.0/$B$48,""))</f>
        <v/>
      </c>
      <c r="S54" s="31">
        <f>IF(OR(S44="",$B$48=""),"",IFERROR(S44*1000000.0/$B$48,""))</f>
        <v/>
      </c>
      <c r="T54" s="31">
        <f>IF(OR(T44="",$B$48=""),"",IFERROR(T44*1000000.0/$B$48,""))</f>
        <v/>
      </c>
      <c r="U54" s="31">
        <f>IF(OR(U44="",$B$48=""),"",IFERROR(U44*1000000.0/$B$48,""))</f>
        <v/>
      </c>
      <c r="V54" s="31">
        <f>IF(OR(V44="",$B$48=""),"",IFERROR(V44*1000000.0/$B$48,""))</f>
        <v/>
      </c>
      <c r="W54" s="31">
        <f>IF(OR(W44="",$B$48=""),"",IFERROR(W44*1000000.0/$B$48,""))</f>
        <v/>
      </c>
      <c r="X54" s="31">
        <f>IF(OR(X44="",$B$48=""),"",IFERROR(X44*1000000.0/$B$48,""))</f>
        <v/>
      </c>
      <c r="Y54" s="30">
        <f>IF(OR(Y44="",$B$48=""),"",IFERROR(Y44*1000000.0/$B$48,""))</f>
        <v/>
      </c>
      <c r="Z54" s="31">
        <f>IF(OR(Z44="",$B$48=""),"",IFERROR(Z44*1000000.0/$B$48,""))</f>
        <v/>
      </c>
      <c r="AA54" s="31">
        <f>IF(OR(AA44="",$B$48=""),"",IFERROR(AA44*1000000.0/$B$48,""))</f>
        <v/>
      </c>
      <c r="AB54" s="31">
        <f>IF(OR(AB44="",$B$48=""),"",IFERROR(AB44*1000000.0/$B$48,""))</f>
        <v/>
      </c>
      <c r="AC54" s="31">
        <f>IF(OR(AC44="",$B$48=""),"",IFERROR(AC44*1000000.0/$B$48,""))</f>
        <v/>
      </c>
    </row>
    <row r="55">
      <c r="A55" s="9" t="inlineStr">
        <is>
          <t>목표주가</t>
        </is>
      </c>
      <c r="B55" s="10" t="n"/>
      <c r="C55" s="36" t="n"/>
      <c r="D55" s="29" t="n"/>
      <c r="E55" s="29" t="n"/>
      <c r="F55" s="29" t="n"/>
      <c r="G55" s="29" t="n"/>
      <c r="H55" s="29" t="n"/>
      <c r="I55" s="29" t="n"/>
      <c r="J55" s="29" t="n"/>
      <c r="K55" s="29" t="n"/>
      <c r="L55" s="29" t="n"/>
      <c r="M55" s="29" t="n"/>
      <c r="N55" s="29" t="n"/>
      <c r="O55" s="36" t="n"/>
      <c r="P55" s="29" t="n"/>
      <c r="Q55" s="29" t="n"/>
      <c r="R55" s="29" t="n"/>
      <c r="S55" s="29" t="n"/>
      <c r="T55" s="29" t="n"/>
      <c r="U55" s="29" t="n"/>
      <c r="V55" s="29" t="n"/>
      <c r="W55" s="29" t="n"/>
      <c r="X55" s="29" t="n"/>
      <c r="Y55" s="36">
        <f>IF(OR(Y54="",Y53=""),"",IFERROR(Y54*Y53,""))</f>
        <v/>
      </c>
      <c r="Z55" s="29">
        <f>IF(OR(Z54="",Z53=""),"",IFERROR(Z54*Z53,""))</f>
        <v/>
      </c>
      <c r="AA55" s="29">
        <f>IF(OR(AA54="",AA53=""),"",IFERROR(AA54*AA53,""))</f>
        <v/>
      </c>
      <c r="AB55" s="29">
        <f>IF(OR(AB54="",AB53=""),"",IFERROR(AB54*AB53,""))</f>
        <v/>
      </c>
      <c r="AC55" s="29">
        <f>IF(OR(AC54="",AC53=""),"",IFERROR(AC54*AC53,""))</f>
        <v/>
      </c>
    </row>
    <row r="56">
      <c r="A56" s="20" t="inlineStr">
        <is>
          <t>상승여력</t>
        </is>
      </c>
      <c r="B56" s="10" t="n"/>
      <c r="C56" s="37" t="n"/>
      <c r="D56" s="38" t="n"/>
      <c r="E56" s="38" t="n"/>
      <c r="F56" s="38" t="n"/>
      <c r="G56" s="38" t="n"/>
      <c r="H56" s="38" t="n"/>
      <c r="I56" s="38" t="n"/>
      <c r="J56" s="38" t="n"/>
      <c r="K56" s="38" t="n"/>
      <c r="L56" s="38" t="n"/>
      <c r="M56" s="38" t="n"/>
      <c r="N56" s="38" t="n"/>
      <c r="O56" s="37" t="n"/>
      <c r="P56" s="38" t="n"/>
      <c r="Q56" s="38" t="n"/>
      <c r="R56" s="38" t="n"/>
      <c r="S56" s="38" t="n"/>
      <c r="T56" s="38" t="n"/>
      <c r="U56" s="38" t="n"/>
      <c r="V56" s="38" t="n"/>
      <c r="W56" s="38" t="n"/>
      <c r="X56" s="38" t="n"/>
      <c r="Y56" s="39">
        <f>IF(OR(Y55="",$B$47=""),"",IFERROR(Y55/$B$47-1,""))</f>
        <v/>
      </c>
      <c r="Z56" s="40">
        <f>IF(OR(Z55="",$B$47=""),"",IFERROR(Z55/$B$47-1,""))</f>
        <v/>
      </c>
      <c r="AA56" s="40">
        <f>IF(OR(AA55="",$B$47=""),"",IFERROR(AA55/$B$47-1,""))</f>
        <v/>
      </c>
      <c r="AB56" s="40">
        <f>IF(OR(AB55="",$B$47=""),"",IFERROR(AB55/$B$47-1,""))</f>
        <v/>
      </c>
      <c r="AC56" s="40">
        <f>IF(OR(AC55="",$B$47=""),"",IFERROR(AC55/$B$47-1,""))</f>
        <v/>
      </c>
    </row>
    <row r="57">
      <c r="A57" s="18" t="inlineStr">
        <is>
          <t>자산가치 산출</t>
        </is>
      </c>
      <c r="B57" s="18" t="inlineStr">
        <is>
          <t>최신 분기 BS</t>
        </is>
      </c>
      <c r="C57" s="19" t="n"/>
      <c r="D57" s="18" t="n"/>
      <c r="E57" s="18" t="n"/>
      <c r="F57" s="18" t="n"/>
      <c r="G57" s="18" t="n"/>
      <c r="H57" s="18" t="n"/>
      <c r="I57" s="18" t="n"/>
      <c r="J57" s="18" t="n"/>
      <c r="K57" s="18" t="n"/>
      <c r="L57" s="18" t="n"/>
      <c r="M57" s="18" t="n"/>
      <c r="N57" s="18" t="n"/>
      <c r="O57" s="19" t="n"/>
      <c r="P57" s="18" t="n"/>
      <c r="Q57" s="18" t="n"/>
      <c r="R57" s="18" t="n"/>
      <c r="S57" s="18" t="n"/>
      <c r="T57" s="18" t="n"/>
      <c r="U57" s="18" t="n"/>
      <c r="V57" s="18" t="n"/>
      <c r="W57" s="18" t="n"/>
      <c r="X57" s="18" t="n"/>
      <c r="Y57" s="19" t="n"/>
      <c r="Z57" s="18" t="n"/>
      <c r="AA57" s="18" t="n"/>
      <c r="AB57" s="18" t="n"/>
      <c r="AC57" s="18" t="n"/>
    </row>
    <row r="58">
      <c r="A58" s="20" t="inlineStr">
        <is>
          <t>현금및현금성자산</t>
        </is>
      </c>
      <c r="B58" s="10" t="n"/>
      <c r="C58" s="21" t="n"/>
      <c r="D58" s="22" t="n"/>
      <c r="E58" s="22" t="n"/>
      <c r="F58" s="22" t="n"/>
      <c r="G58" s="22" t="n"/>
      <c r="H58" s="22" t="n"/>
      <c r="I58" s="22" t="n"/>
      <c r="J58" s="22" t="n"/>
      <c r="K58" s="22" t="n"/>
      <c r="L58" s="22" t="n"/>
      <c r="M58" s="22" t="n"/>
      <c r="N58" s="22" t="n"/>
      <c r="O58" s="21" t="n"/>
      <c r="P58" s="22" t="n"/>
      <c r="Q58" s="22" t="n"/>
      <c r="R58" s="22" t="n"/>
      <c r="S58" s="22" t="n"/>
      <c r="T58" s="22" t="n"/>
      <c r="U58" s="22" t="n"/>
      <c r="V58" s="22" t="n"/>
      <c r="W58" s="22" t="n"/>
      <c r="X58" s="22">
        <f>'재무상태표'!G6</f>
        <v/>
      </c>
      <c r="Y58" s="21">
        <f>'재무상태표'!G6</f>
        <v/>
      </c>
      <c r="Z58" s="22">
        <f>'재무상태표'!G6</f>
        <v/>
      </c>
      <c r="AA58" s="22">
        <f>'재무상태표'!G6</f>
        <v/>
      </c>
      <c r="AB58" s="22">
        <f>'재무상태표'!G6</f>
        <v/>
      </c>
      <c r="AC58" s="22">
        <f>'재무상태표'!G6</f>
        <v/>
      </c>
    </row>
    <row r="59">
      <c r="A59" s="20" t="inlineStr">
        <is>
          <t>단기금융상품</t>
        </is>
      </c>
      <c r="B59" s="10" t="n"/>
      <c r="C59" s="21" t="n"/>
      <c r="D59" s="22" t="n"/>
      <c r="E59" s="22" t="n"/>
      <c r="F59" s="22" t="n"/>
      <c r="G59" s="22" t="n"/>
      <c r="H59" s="22" t="n"/>
      <c r="I59" s="22" t="n"/>
      <c r="J59" s="22" t="n"/>
      <c r="K59" s="22" t="n"/>
      <c r="L59" s="22" t="n"/>
      <c r="M59" s="22" t="n"/>
      <c r="N59" s="22" t="n"/>
      <c r="O59" s="21" t="n"/>
      <c r="P59" s="22" t="n"/>
      <c r="Q59" s="22" t="n"/>
      <c r="R59" s="22" t="n"/>
      <c r="S59" s="22" t="n"/>
      <c r="T59" s="22" t="n"/>
      <c r="U59" s="22" t="n"/>
      <c r="V59" s="22" t="n"/>
      <c r="W59" s="22" t="n"/>
      <c r="X59" s="22">
        <f>'재무상태표'!G7</f>
        <v/>
      </c>
      <c r="Y59" s="21">
        <f>'재무상태표'!G7</f>
        <v/>
      </c>
      <c r="Z59" s="22">
        <f>'재무상태표'!G7</f>
        <v/>
      </c>
      <c r="AA59" s="22">
        <f>'재무상태표'!G7</f>
        <v/>
      </c>
      <c r="AB59" s="22">
        <f>'재무상태표'!G7</f>
        <v/>
      </c>
      <c r="AC59" s="22">
        <f>'재무상태표'!G7</f>
        <v/>
      </c>
    </row>
    <row r="60">
      <c r="A60" s="20" t="inlineStr">
        <is>
          <t>투자부동산</t>
        </is>
      </c>
      <c r="B60" s="10" t="n"/>
      <c r="C60" s="21" t="n"/>
      <c r="D60" s="22" t="n"/>
      <c r="E60" s="22" t="n"/>
      <c r="F60" s="22" t="n"/>
      <c r="G60" s="22" t="n"/>
      <c r="H60" s="22" t="n"/>
      <c r="I60" s="22" t="n"/>
      <c r="J60" s="22" t="n"/>
      <c r="K60" s="22" t="n"/>
      <c r="L60" s="22" t="n"/>
      <c r="M60" s="22" t="n"/>
      <c r="N60" s="22" t="n"/>
      <c r="O60" s="21" t="n"/>
      <c r="P60" s="22" t="n"/>
      <c r="Q60" s="22" t="n"/>
      <c r="R60" s="22" t="n"/>
      <c r="S60" s="22" t="n"/>
      <c r="T60" s="22" t="n"/>
      <c r="U60" s="22" t="n"/>
      <c r="V60" s="22" t="n"/>
      <c r="W60" s="22" t="n"/>
      <c r="X60" s="22">
        <f>'재무상태표'!G14</f>
        <v/>
      </c>
      <c r="Y60" s="21">
        <f>'재무상태표'!G14</f>
        <v/>
      </c>
      <c r="Z60" s="22">
        <f>'재무상태표'!G14</f>
        <v/>
      </c>
      <c r="AA60" s="22">
        <f>'재무상태표'!G14</f>
        <v/>
      </c>
      <c r="AB60" s="22">
        <f>'재무상태표'!G14</f>
        <v/>
      </c>
      <c r="AC60" s="22">
        <f>'재무상태표'!G14</f>
        <v/>
      </c>
    </row>
    <row r="61">
      <c r="A61" s="20" t="inlineStr">
        <is>
          <t>지배자본</t>
        </is>
      </c>
      <c r="B61" s="10" t="n"/>
      <c r="C61" s="21" t="n"/>
      <c r="D61" s="22" t="n"/>
      <c r="E61" s="22" t="n"/>
      <c r="F61" s="22" t="n"/>
      <c r="G61" s="22" t="n"/>
      <c r="H61" s="22" t="n"/>
      <c r="I61" s="22" t="n"/>
      <c r="J61" s="22" t="n"/>
      <c r="K61" s="22" t="n"/>
      <c r="L61" s="22" t="n"/>
      <c r="M61" s="22" t="n"/>
      <c r="N61" s="22" t="n"/>
      <c r="O61" s="21" t="n"/>
      <c r="P61" s="22" t="n"/>
      <c r="Q61" s="22" t="n"/>
      <c r="R61" s="22" t="n"/>
      <c r="S61" s="22" t="n"/>
      <c r="T61" s="22" t="n"/>
      <c r="U61" s="22" t="n"/>
      <c r="V61" s="22" t="n"/>
      <c r="W61" s="22" t="n"/>
      <c r="X61" s="22">
        <f>'재무상태표'!G31</f>
        <v/>
      </c>
      <c r="Y61" s="21">
        <f>'재무상태표'!G31</f>
        <v/>
      </c>
      <c r="Z61" s="22">
        <f>'재무상태표'!G31</f>
        <v/>
      </c>
      <c r="AA61" s="22">
        <f>'재무상태표'!G31</f>
        <v/>
      </c>
      <c r="AB61" s="22">
        <f>'재무상태표'!G31</f>
        <v/>
      </c>
      <c r="AC61" s="22">
        <f>'재무상태표'!G31</f>
        <v/>
      </c>
    </row>
    <row r="62">
      <c r="A62" s="20" t="inlineStr">
        <is>
          <t>부채</t>
        </is>
      </c>
      <c r="B62" s="10" t="n"/>
      <c r="C62" s="21" t="n"/>
      <c r="D62" s="22" t="n"/>
      <c r="E62" s="22" t="n"/>
      <c r="F62" s="22" t="n"/>
      <c r="G62" s="22" t="n"/>
      <c r="H62" s="22" t="n"/>
      <c r="I62" s="22" t="n"/>
      <c r="J62" s="22" t="n"/>
      <c r="K62" s="22" t="n"/>
      <c r="L62" s="22" t="n"/>
      <c r="M62" s="22" t="n"/>
      <c r="N62" s="22" t="n"/>
      <c r="O62" s="21" t="n"/>
      <c r="P62" s="22" t="n"/>
      <c r="Q62" s="22" t="n"/>
      <c r="R62" s="22" t="n"/>
      <c r="S62" s="22" t="n"/>
      <c r="T62" s="22" t="n"/>
      <c r="U62" s="22" t="n"/>
      <c r="V62" s="22" t="n"/>
      <c r="W62" s="22" t="n"/>
      <c r="X62" s="22">
        <f>'재무상태표'!G27</f>
        <v/>
      </c>
      <c r="Y62" s="21">
        <f>'재무상태표'!G27</f>
        <v/>
      </c>
      <c r="Z62" s="22">
        <f>'재무상태표'!G27</f>
        <v/>
      </c>
      <c r="AA62" s="22">
        <f>'재무상태표'!G27</f>
        <v/>
      </c>
      <c r="AB62" s="22">
        <f>'재무상태표'!G27</f>
        <v/>
      </c>
      <c r="AC62" s="22">
        <f>'재무상태표'!G27</f>
        <v/>
      </c>
    </row>
    <row r="63">
      <c r="A63" s="15" t="inlineStr">
        <is>
          <t>부채비율</t>
        </is>
      </c>
      <c r="B63" s="10" t="n"/>
      <c r="C63" s="16" t="n"/>
      <c r="D63" s="17" t="n"/>
      <c r="E63" s="17" t="n"/>
      <c r="F63" s="17" t="n"/>
      <c r="G63" s="17" t="n"/>
      <c r="H63" s="17" t="n"/>
      <c r="I63" s="17" t="n"/>
      <c r="J63" s="17" t="n"/>
      <c r="K63" s="17" t="n"/>
      <c r="L63" s="17" t="n"/>
      <c r="M63" s="17" t="n"/>
      <c r="N63" s="17" t="n"/>
      <c r="O63" s="16" t="n"/>
      <c r="P63" s="17" t="n"/>
      <c r="Q63" s="17" t="n"/>
      <c r="R63" s="17" t="n"/>
      <c r="S63" s="17" t="n"/>
      <c r="T63" s="17" t="n"/>
      <c r="U63" s="17" t="n"/>
      <c r="V63" s="17" t="n"/>
      <c r="W63" s="17" t="n"/>
      <c r="X63" s="17">
        <f>IF(OR(X62="",X61=""),"",IFERROR(X62/X61,""))</f>
        <v/>
      </c>
      <c r="Y63" s="16">
        <f>IF(OR(Y62="",Y61=""),"",IFERROR(Y62/Y61,""))</f>
        <v/>
      </c>
      <c r="Z63" s="17">
        <f>IF(OR(Z62="",Z61=""),"",IFERROR(Z62/Z61,""))</f>
        <v/>
      </c>
      <c r="AA63" s="17">
        <f>IF(OR(AA62="",AA61=""),"",IFERROR(AA62/AA61,""))</f>
        <v/>
      </c>
      <c r="AB63" s="17">
        <f>IF(OR(AB62="",AB61=""),"",IFERROR(AB62/AB61,""))</f>
        <v/>
      </c>
      <c r="AC63" s="17">
        <f>IF(OR(AC62="",AC61=""),"",IFERROR(AC62/AC61,""))</f>
        <v/>
      </c>
    </row>
    <row r="64">
      <c r="A64" s="9" t="inlineStr">
        <is>
          <t>자산가치</t>
        </is>
      </c>
      <c r="B64" s="10" t="inlineStr">
        <is>
          <t>현금+단기금융+투자부동산</t>
        </is>
      </c>
      <c r="C64" s="11" t="n"/>
      <c r="D64" s="12" t="n"/>
      <c r="E64" s="12" t="n"/>
      <c r="F64" s="12" t="n"/>
      <c r="G64" s="12" t="n"/>
      <c r="H64" s="12" t="n"/>
      <c r="I64" s="12" t="n"/>
      <c r="J64" s="12" t="n"/>
      <c r="K64" s="12" t="n"/>
      <c r="L64" s="12" t="n"/>
      <c r="M64" s="12" t="n"/>
      <c r="N64" s="12" t="n"/>
      <c r="O64" s="11" t="n"/>
      <c r="P64" s="12" t="n"/>
      <c r="Q64" s="12" t="n"/>
      <c r="R64" s="12" t="n"/>
      <c r="S64" s="12" t="n"/>
      <c r="T64" s="12" t="n"/>
      <c r="U64" s="12" t="n"/>
      <c r="V64" s="12" t="n"/>
      <c r="W64" s="12" t="n"/>
      <c r="X64" s="12">
        <f>SUM(X58,X59,X60)</f>
        <v/>
      </c>
      <c r="Y64" s="11">
        <f>SUM(Y58,Y59,Y60)</f>
        <v/>
      </c>
      <c r="Z64" s="12">
        <f>SUM(Z58,Z59,Z60)</f>
        <v/>
      </c>
      <c r="AA64" s="12">
        <f>SUM(AA58,AA59,AA60)</f>
        <v/>
      </c>
      <c r="AB64" s="12">
        <f>SUM(AB58,AB59,AB60)</f>
        <v/>
      </c>
      <c r="AC64" s="12">
        <f>SUM(AC58,AC59,AC60)</f>
        <v/>
      </c>
    </row>
    <row r="65">
      <c r="A65" s="18" t="inlineStr">
        <is>
          <t>기업가치 산출</t>
        </is>
      </c>
      <c r="B65" s="18" t="n"/>
      <c r="C65" s="19" t="n"/>
      <c r="D65" s="18" t="n"/>
      <c r="E65" s="18" t="n"/>
      <c r="F65" s="18" t="n"/>
      <c r="G65" s="18" t="n"/>
      <c r="H65" s="18" t="n"/>
      <c r="I65" s="18" t="n"/>
      <c r="J65" s="18" t="n"/>
      <c r="K65" s="18" t="n"/>
      <c r="L65" s="18" t="n"/>
      <c r="M65" s="18" t="n"/>
      <c r="N65" s="18" t="n"/>
      <c r="O65" s="19" t="n"/>
      <c r="P65" s="18" t="n"/>
      <c r="Q65" s="18" t="n"/>
      <c r="R65" s="18" t="n"/>
      <c r="S65" s="18" t="n"/>
      <c r="T65" s="18" t="n"/>
      <c r="U65" s="18" t="n"/>
      <c r="V65" s="18" t="n"/>
      <c r="W65" s="18" t="n"/>
      <c r="X65" s="18" t="n"/>
      <c r="Y65" s="19" t="n"/>
      <c r="Z65" s="18" t="n"/>
      <c r="AA65" s="18" t="n"/>
      <c r="AB65" s="18" t="n"/>
      <c r="AC65" s="18" t="n"/>
    </row>
    <row r="66">
      <c r="A66" s="20" t="inlineStr">
        <is>
          <t>목표 시가총액 (P/E)</t>
        </is>
      </c>
      <c r="B66" s="10" t="inlineStr">
        <is>
          <t>지배순이익 × Target P/E</t>
        </is>
      </c>
      <c r="C66" s="21" t="n"/>
      <c r="D66" s="22" t="n"/>
      <c r="E66" s="22" t="n"/>
      <c r="F66" s="22" t="n"/>
      <c r="G66" s="22" t="n"/>
      <c r="H66" s="22" t="n"/>
      <c r="I66" s="22" t="n"/>
      <c r="J66" s="22" t="n"/>
      <c r="K66" s="22" t="n"/>
      <c r="L66" s="22" t="n"/>
      <c r="M66" s="22" t="n"/>
      <c r="N66" s="22" t="n"/>
      <c r="O66" s="21" t="n"/>
      <c r="P66" s="22" t="n"/>
      <c r="Q66" s="22" t="n"/>
      <c r="R66" s="22" t="n"/>
      <c r="S66" s="22" t="n"/>
      <c r="T66" s="22" t="n"/>
      <c r="U66" s="22" t="n"/>
      <c r="V66" s="22" t="n"/>
      <c r="W66" s="22" t="n"/>
      <c r="X66" s="22" t="n"/>
      <c r="Y66" s="21">
        <f>IF(OR(Y44="",Y53=""),"",IFERROR(Y44*Y53,""))</f>
        <v/>
      </c>
      <c r="Z66" s="22">
        <f>IF(OR(Z44="",Z53=""),"",IFERROR(Z44*Z53,""))</f>
        <v/>
      </c>
      <c r="AA66" s="22">
        <f>IF(OR(AA44="",AA53=""),"",IFERROR(AA44*AA53,""))</f>
        <v/>
      </c>
      <c r="AB66" s="22">
        <f>IF(OR(AB44="",AB53=""),"",IFERROR(AB44*AB53,""))</f>
        <v/>
      </c>
      <c r="AC66" s="22">
        <f>IF(OR(AC44="",AC53=""),"",IFERROR(AC44*AC53,""))</f>
        <v/>
      </c>
    </row>
    <row r="67">
      <c r="A67" s="9" t="inlineStr">
        <is>
          <t>기업가치</t>
        </is>
      </c>
      <c r="B67" s="10" t="inlineStr">
        <is>
          <t>목표시총 + 자산가치</t>
        </is>
      </c>
      <c r="C67" s="11" t="n"/>
      <c r="D67" s="12" t="n"/>
      <c r="E67" s="12" t="n"/>
      <c r="F67" s="12" t="n"/>
      <c r="G67" s="12" t="n"/>
      <c r="H67" s="12" t="n"/>
      <c r="I67" s="12" t="n"/>
      <c r="J67" s="12" t="n"/>
      <c r="K67" s="12" t="n"/>
      <c r="L67" s="12" t="n"/>
      <c r="M67" s="12" t="n"/>
      <c r="N67" s="12" t="n"/>
      <c r="O67" s="11" t="n"/>
      <c r="P67" s="12" t="n"/>
      <c r="Q67" s="12" t="n"/>
      <c r="R67" s="12" t="n"/>
      <c r="S67" s="12" t="n"/>
      <c r="T67" s="12" t="n"/>
      <c r="U67" s="12" t="n"/>
      <c r="V67" s="12" t="n"/>
      <c r="W67" s="12" t="n"/>
      <c r="X67" s="12" t="n"/>
      <c r="Y67" s="11">
        <f>IF(OR(Y66=""),"",IFERROR(Y66+Y64,""))</f>
        <v/>
      </c>
      <c r="Z67" s="12">
        <f>IF(OR(Z66=""),"",IFERROR(Z66+Z64,""))</f>
        <v/>
      </c>
      <c r="AA67" s="12">
        <f>IF(OR(AA66=""),"",IFERROR(AA66+AA64,""))</f>
        <v/>
      </c>
      <c r="AB67" s="12">
        <f>IF(OR(AB66=""),"",IFERROR(AB66+AB64,""))</f>
        <v/>
      </c>
      <c r="AC67" s="12">
        <f>IF(OR(AC66=""),"",IFERROR(AC66+AC64,""))</f>
        <v/>
      </c>
    </row>
    <row r="68">
      <c r="A68" s="20" t="inlineStr">
        <is>
          <t>현재 시가총액</t>
        </is>
      </c>
      <c r="B68" s="10" t="n"/>
      <c r="C68" s="21" t="n"/>
      <c r="D68" s="22" t="n"/>
      <c r="E68" s="22" t="n"/>
      <c r="F68" s="22" t="n"/>
      <c r="G68" s="22" t="n"/>
      <c r="H68" s="22" t="n"/>
      <c r="I68" s="22" t="n"/>
      <c r="J68" s="22" t="n"/>
      <c r="K68" s="22" t="n"/>
      <c r="L68" s="22" t="n"/>
      <c r="M68" s="22" t="n"/>
      <c r="N68" s="22" t="n"/>
      <c r="O68" s="21" t="n"/>
      <c r="P68" s="22" t="n"/>
      <c r="Q68" s="22" t="n"/>
      <c r="R68" s="22" t="n"/>
      <c r="S68" s="22" t="n"/>
      <c r="T68" s="22" t="n"/>
      <c r="U68" s="22" t="n"/>
      <c r="V68" s="22" t="n"/>
      <c r="W68" s="22" t="n"/>
      <c r="X68" s="22" t="n"/>
      <c r="Y68" s="21">
        <f>$B$49</f>
        <v/>
      </c>
      <c r="Z68" s="22">
        <f>$B$49</f>
        <v/>
      </c>
      <c r="AA68" s="22">
        <f>$B$49</f>
        <v/>
      </c>
      <c r="AB68" s="22">
        <f>$B$49</f>
        <v/>
      </c>
      <c r="AC68" s="22">
        <f>$B$49</f>
        <v/>
      </c>
    </row>
    <row r="69">
      <c r="A69" s="20" t="inlineStr">
        <is>
          <t>상승여력</t>
        </is>
      </c>
      <c r="B69" s="10" t="n"/>
      <c r="C69" s="37" t="n"/>
      <c r="D69" s="38" t="n"/>
      <c r="E69" s="38" t="n"/>
      <c r="F69" s="38" t="n"/>
      <c r="G69" s="38" t="n"/>
      <c r="H69" s="38" t="n"/>
      <c r="I69" s="38" t="n"/>
      <c r="J69" s="38" t="n"/>
      <c r="K69" s="38" t="n"/>
      <c r="L69" s="38" t="n"/>
      <c r="M69" s="38" t="n"/>
      <c r="N69" s="38" t="n"/>
      <c r="O69" s="37" t="n"/>
      <c r="P69" s="38" t="n"/>
      <c r="Q69" s="38" t="n"/>
      <c r="R69" s="38" t="n"/>
      <c r="S69" s="38" t="n"/>
      <c r="T69" s="38" t="n"/>
      <c r="U69" s="38" t="n"/>
      <c r="V69" s="38" t="n"/>
      <c r="W69" s="38" t="n"/>
      <c r="X69" s="38" t="n"/>
      <c r="Y69" s="39">
        <f>IF(OR(Y67="",Y68=""),"",IFERROR(Y67/Y68-1,""))</f>
        <v/>
      </c>
      <c r="Z69" s="40">
        <f>IF(OR(Z67="",Z68=""),"",IFERROR(Z67/Z68-1,""))</f>
        <v/>
      </c>
      <c r="AA69" s="40">
        <f>IF(OR(AA67="",AA68=""),"",IFERROR(AA67/AA68-1,""))</f>
        <v/>
      </c>
      <c r="AB69" s="40">
        <f>IF(OR(AB67="",AB68=""),"",IFERROR(AB67/AB68-1,""))</f>
        <v/>
      </c>
      <c r="AC69" s="40">
        <f>IF(OR(AC67="",AC68=""),"",IFERROR(AC67/AC68-1,""))</f>
        <v/>
      </c>
    </row>
    <row r="70">
      <c r="C70" s="41" t="n"/>
      <c r="O70" s="41" t="n"/>
      <c r="Y70" s="41" t="n"/>
    </row>
    <row r="71">
      <c r="A71" s="42" t="inlineStr">
        <is>
          <t>출처</t>
        </is>
      </c>
      <c r="C71" s="41" t="n"/>
      <c r="O71" s="41" t="n"/>
      <c r="Y71" s="41" t="n"/>
    </row>
    <row r="72">
      <c r="A72" s="43" t="inlineStr">
        <is>
          <t>결산단신 XBRL(TDnet·JPX 보관소) — 쓴 문서는 '출처' 시트</t>
        </is>
      </c>
      <c r="C72" s="41" t="n"/>
      <c r="O72" s="41" t="n"/>
      <c r="Y72" s="41" t="n"/>
    </row>
    <row r="73">
      <c r="A73" s="43" t="inlineStr">
        <is>
          <t>분기 = 누계에서 앞 분기를 뺀 3개월 값</t>
        </is>
      </c>
      <c r="C73" s="41" t="n"/>
      <c r="O73" s="41" t="n"/>
      <c r="Y73" s="41" t="n"/>
    </row>
    <row r="74">
      <c r="A74" s="43" t="inlineStr">
        <is>
          <t>주가: 야후 파이낸스 일봉</t>
        </is>
      </c>
      <c r="C74" s="41" t="n"/>
      <c r="O74" s="41" t="n"/>
      <c r="Y74" s="41" t="n"/>
    </row>
    <row r="76">
      <c r="A76" s="18" t="inlineStr">
        <is>
          <t>손익계산서 · 전 항목</t>
        </is>
      </c>
      <c r="B76" s="44" t="inlineStr">
        <is>
          <t>분기 = 3개월 단독</t>
        </is>
      </c>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row>
    <row r="77">
      <c r="A77" s="5" t="inlineStr">
        <is>
          <t>항목</t>
        </is>
      </c>
      <c r="B77" s="5" t="inlineStr">
        <is>
          <t>참고</t>
        </is>
      </c>
      <c r="C77" s="5" t="inlineStr">
        <is>
          <t>2024.2Q</t>
        </is>
      </c>
      <c r="D77" s="5" t="inlineStr">
        <is>
          <t>2024.3Q</t>
        </is>
      </c>
      <c r="E77" s="5" t="inlineStr">
        <is>
          <t>2024.4Q</t>
        </is>
      </c>
      <c r="F77" s="5" t="inlineStr">
        <is>
          <t>2025.1Q</t>
        </is>
      </c>
      <c r="G77" s="5" t="inlineStr">
        <is>
          <t>2025.2Q</t>
        </is>
      </c>
      <c r="H77" s="5" t="inlineStr">
        <is>
          <t>2025.3Q</t>
        </is>
      </c>
      <c r="I77" s="5" t="inlineStr">
        <is>
          <t>2025.4Q</t>
        </is>
      </c>
      <c r="J77" s="5" t="inlineStr">
        <is>
          <t>2026.1Q</t>
        </is>
      </c>
      <c r="K77" s="5" t="inlineStr">
        <is>
          <t>2026.2Q</t>
        </is>
      </c>
      <c r="L77" s="5" t="inlineStr">
        <is>
          <t>2026.3Q</t>
        </is>
      </c>
      <c r="M77" s="5" t="inlineStr">
        <is>
          <t>2026.4Q</t>
        </is>
      </c>
      <c r="N77" s="5" t="inlineStr">
        <is>
          <t>2027.1Q</t>
        </is>
      </c>
      <c r="O77" s="5" t="inlineStr">
        <is>
          <t>2017</t>
        </is>
      </c>
      <c r="P77" s="5" t="inlineStr">
        <is>
          <t>2018</t>
        </is>
      </c>
      <c r="Q77" s="5" t="inlineStr">
        <is>
          <t>2019</t>
        </is>
      </c>
      <c r="R77" s="5" t="inlineStr">
        <is>
          <t>2020</t>
        </is>
      </c>
      <c r="S77" s="5" t="inlineStr">
        <is>
          <t>2021</t>
        </is>
      </c>
      <c r="T77" s="5" t="inlineStr">
        <is>
          <t>2022</t>
        </is>
      </c>
      <c r="U77" s="5" t="inlineStr">
        <is>
          <t>2023</t>
        </is>
      </c>
      <c r="V77" s="5" t="inlineStr">
        <is>
          <t>2024</t>
        </is>
      </c>
      <c r="W77" s="5" t="inlineStr">
        <is>
          <t>2025</t>
        </is>
      </c>
      <c r="X77" s="5" t="inlineStr">
        <is>
          <t>2026</t>
        </is>
      </c>
      <c r="Y77" s="5" t="inlineStr">
        <is>
          <t>2027(MW)</t>
        </is>
      </c>
      <c r="Z77" s="5" t="inlineStr">
        <is>
          <t>2028(MW)</t>
        </is>
      </c>
      <c r="AA77" s="5" t="inlineStr">
        <is>
          <t>2029(MW)</t>
        </is>
      </c>
      <c r="AB77" s="5" t="inlineStr">
        <is>
          <t>2030(MW)</t>
        </is>
      </c>
      <c r="AC77" s="5" t="inlineStr">
        <is>
          <t>2031(MW)</t>
        </is>
      </c>
    </row>
    <row r="78">
      <c r="A78" s="9" t="inlineStr">
        <is>
          <t>매출수익</t>
        </is>
      </c>
      <c r="C78" s="12" t="n">
        <v>121230</v>
      </c>
      <c r="D78" s="12" t="n">
        <v>106279</v>
      </c>
      <c r="E78" s="12" t="n">
        <v>98261</v>
      </c>
      <c r="F78" s="12" t="n">
        <v>97586</v>
      </c>
      <c r="G78" s="12" t="n">
        <v>116384</v>
      </c>
      <c r="H78" s="12" t="n">
        <v>119630</v>
      </c>
      <c r="I78" s="12" t="n">
        <v>104668</v>
      </c>
      <c r="J78" s="12" t="n">
        <v>99781</v>
      </c>
      <c r="K78" s="12" t="n">
        <v>113184</v>
      </c>
      <c r="L78" s="12" t="n">
        <v>147719</v>
      </c>
      <c r="M78" s="12" t="n">
        <v>138993</v>
      </c>
      <c r="N78" s="12" t="n">
        <v>163310</v>
      </c>
      <c r="T78" s="12" t="n">
        <v>115512</v>
      </c>
      <c r="U78" s="12" t="n">
        <v>88337</v>
      </c>
      <c r="V78" s="12" t="n">
        <v>98261</v>
      </c>
      <c r="W78" s="12" t="n">
        <v>104668</v>
      </c>
      <c r="X78" s="12" t="n">
        <v>138993</v>
      </c>
    </row>
    <row r="79">
      <c r="A79" s="20" t="inlineStr">
        <is>
          <t>License Transfer Profit Profit</t>
        </is>
      </c>
      <c r="F79" s="22" t="n">
        <v>0</v>
      </c>
    </row>
    <row r="80">
      <c r="A80" s="20" t="inlineStr">
        <is>
          <t>License Transfer Profit Revenue</t>
        </is>
      </c>
      <c r="D80" s="22" t="n">
        <v>0</v>
      </c>
      <c r="E80" s="22" t="n">
        <v>0</v>
      </c>
      <c r="H80" s="22" t="n">
        <v>0</v>
      </c>
      <c r="I80" s="22" t="n">
        <v>0</v>
      </c>
      <c r="U80" s="22" t="n">
        <v>0</v>
      </c>
      <c r="V80" s="22" t="n">
        <v>0</v>
      </c>
      <c r="W80" s="22" t="n">
        <v>0</v>
      </c>
    </row>
    <row r="81">
      <c r="A81" s="20" t="inlineStr">
        <is>
          <t>매출원가</t>
        </is>
      </c>
      <c r="C81" s="22" t="n">
        <v>14766</v>
      </c>
      <c r="D81" s="22" t="n">
        <v>14517</v>
      </c>
      <c r="E81" s="22" t="n">
        <v>15200</v>
      </c>
      <c r="F81" s="22" t="n">
        <v>14442</v>
      </c>
      <c r="G81" s="22" t="n">
        <v>15695</v>
      </c>
      <c r="H81" s="22" t="n">
        <v>15898</v>
      </c>
      <c r="I81" s="22" t="n">
        <v>17791</v>
      </c>
      <c r="J81" s="22" t="n">
        <v>12317</v>
      </c>
      <c r="K81" s="22" t="n">
        <v>16940</v>
      </c>
      <c r="L81" s="22" t="n">
        <v>25090</v>
      </c>
      <c r="M81" s="22" t="n">
        <v>28103</v>
      </c>
      <c r="N81" s="22" t="n">
        <v>30795</v>
      </c>
      <c r="T81" s="22" t="n">
        <v>15562</v>
      </c>
      <c r="U81" s="22" t="n">
        <v>17680</v>
      </c>
      <c r="V81" s="22" t="n">
        <v>15200</v>
      </c>
      <c r="W81" s="22" t="n">
        <v>17791</v>
      </c>
      <c r="X81" s="22" t="n">
        <v>28103</v>
      </c>
    </row>
    <row r="82">
      <c r="A82" s="9" t="inlineStr">
        <is>
          <t>매출총이익</t>
        </is>
      </c>
      <c r="C82" s="12" t="n">
        <v>106464</v>
      </c>
      <c r="D82" s="12" t="n">
        <v>91762</v>
      </c>
      <c r="E82" s="12" t="n">
        <v>83061</v>
      </c>
      <c r="F82" s="12" t="n">
        <v>83144</v>
      </c>
      <c r="G82" s="12" t="n">
        <v>100688</v>
      </c>
      <c r="H82" s="12" t="n">
        <v>103732</v>
      </c>
      <c r="I82" s="12" t="n">
        <v>86877</v>
      </c>
      <c r="J82" s="12" t="n">
        <v>87464</v>
      </c>
      <c r="K82" s="12" t="n">
        <v>96244</v>
      </c>
      <c r="L82" s="12" t="n">
        <v>122628</v>
      </c>
      <c r="M82" s="12" t="n">
        <v>110890</v>
      </c>
      <c r="N82" s="12" t="n">
        <v>132515</v>
      </c>
      <c r="T82" s="12" t="n">
        <v>99950</v>
      </c>
      <c r="U82" s="12" t="n">
        <v>70656</v>
      </c>
      <c r="V82" s="12" t="n">
        <v>83061</v>
      </c>
      <c r="W82" s="12" t="n">
        <v>86877</v>
      </c>
      <c r="X82" s="12" t="n">
        <v>110890</v>
      </c>
    </row>
    <row r="83">
      <c r="A83" s="20" t="inlineStr">
        <is>
          <t>판매비와 관리비</t>
        </is>
      </c>
      <c r="C83" s="22" t="n">
        <v>24326</v>
      </c>
      <c r="D83" s="22" t="n">
        <v>24143</v>
      </c>
      <c r="E83" s="22" t="n">
        <v>27991</v>
      </c>
      <c r="F83" s="22" t="n">
        <v>24042</v>
      </c>
      <c r="G83" s="22" t="n">
        <v>23692</v>
      </c>
      <c r="H83" s="22" t="n">
        <v>25451</v>
      </c>
      <c r="I83" s="22" t="n">
        <v>28688</v>
      </c>
      <c r="J83" s="22" t="n">
        <v>25820</v>
      </c>
      <c r="K83" s="22" t="n">
        <v>27558</v>
      </c>
      <c r="L83" s="22" t="n">
        <v>35484</v>
      </c>
      <c r="M83" s="22" t="n">
        <v>38043</v>
      </c>
      <c r="N83" s="22" t="n">
        <v>45150</v>
      </c>
      <c r="T83" s="22" t="n">
        <v>25229</v>
      </c>
      <c r="U83" s="22" t="n">
        <v>27089</v>
      </c>
      <c r="V83" s="22" t="n">
        <v>27991</v>
      </c>
      <c r="W83" s="22" t="n">
        <v>28688</v>
      </c>
      <c r="X83" s="22" t="n">
        <v>38043</v>
      </c>
    </row>
    <row r="84">
      <c r="A84" s="20" t="inlineStr">
        <is>
          <t>연구개발비</t>
        </is>
      </c>
      <c r="C84" s="22" t="n">
        <v>22208</v>
      </c>
      <c r="D84" s="22" t="n">
        <v>25428</v>
      </c>
      <c r="E84" s="22" t="n">
        <v>30007</v>
      </c>
      <c r="F84" s="22" t="n">
        <v>29432</v>
      </c>
      <c r="G84" s="22" t="n">
        <v>27394</v>
      </c>
      <c r="H84" s="22" t="n">
        <v>22621</v>
      </c>
      <c r="I84" s="22" t="n">
        <v>29165</v>
      </c>
      <c r="J84" s="22" t="n">
        <v>24888</v>
      </c>
      <c r="K84" s="22" t="n">
        <v>27549</v>
      </c>
      <c r="L84" s="22" t="n">
        <v>29867</v>
      </c>
      <c r="M84" s="22" t="n">
        <v>40539</v>
      </c>
      <c r="N84" s="22" t="n">
        <v>31789</v>
      </c>
      <c r="T84" s="22" t="n">
        <v>24777</v>
      </c>
      <c r="U84" s="22" t="n">
        <v>27584</v>
      </c>
      <c r="V84" s="22" t="n">
        <v>30007</v>
      </c>
      <c r="W84" s="22" t="n">
        <v>29165</v>
      </c>
      <c r="X84" s="22" t="n">
        <v>40539</v>
      </c>
    </row>
    <row r="85">
      <c r="A85" s="20" t="inlineStr">
        <is>
          <t>Amortization On Intangible Assets Associated With Products</t>
        </is>
      </c>
      <c r="C85" s="22" t="n">
        <v>881</v>
      </c>
      <c r="D85" s="22" t="n">
        <v>893</v>
      </c>
      <c r="E85" s="22" t="n">
        <v>1105</v>
      </c>
      <c r="F85" s="22" t="n">
        <v>1095</v>
      </c>
      <c r="G85" s="22" t="n">
        <v>1070</v>
      </c>
      <c r="H85" s="22" t="n">
        <v>1091</v>
      </c>
      <c r="I85" s="22" t="n">
        <v>922</v>
      </c>
      <c r="J85" s="22" t="n">
        <v>485</v>
      </c>
      <c r="K85" s="22" t="n">
        <v>485</v>
      </c>
      <c r="L85" s="22" t="n">
        <v>562</v>
      </c>
      <c r="M85" s="22" t="n">
        <v>4567</v>
      </c>
      <c r="N85" s="22" t="n">
        <v>15824</v>
      </c>
      <c r="T85" s="22" t="n">
        <v>997</v>
      </c>
      <c r="U85" s="22" t="n">
        <v>846</v>
      </c>
      <c r="V85" s="22" t="n">
        <v>1105</v>
      </c>
      <c r="W85" s="22" t="n">
        <v>922</v>
      </c>
      <c r="X85" s="22" t="n">
        <v>4567</v>
      </c>
    </row>
    <row r="86">
      <c r="A86" s="20" t="inlineStr">
        <is>
          <t>Other Income</t>
        </is>
      </c>
      <c r="C86" s="22" t="n">
        <v>95</v>
      </c>
      <c r="D86" s="22" t="n">
        <v>171</v>
      </c>
      <c r="E86" s="22" t="n">
        <v>5836</v>
      </c>
      <c r="F86" s="22" t="n">
        <v>77</v>
      </c>
      <c r="G86" s="22" t="n">
        <v>408</v>
      </c>
      <c r="H86" s="22" t="n">
        <v>16</v>
      </c>
      <c r="I86" s="22" t="n">
        <v>27</v>
      </c>
      <c r="J86" s="22" t="n">
        <v>85</v>
      </c>
      <c r="K86" s="22" t="n">
        <v>366</v>
      </c>
      <c r="L86" s="22" t="n">
        <v>20442</v>
      </c>
      <c r="M86" s="22" t="n">
        <v>26258</v>
      </c>
      <c r="N86" s="22" t="n">
        <v>27772</v>
      </c>
      <c r="T86" s="22" t="n">
        <v>1643</v>
      </c>
      <c r="U86" s="22" t="n">
        <v>267</v>
      </c>
      <c r="V86" s="22" t="n">
        <v>5836</v>
      </c>
      <c r="W86" s="22" t="n">
        <v>27</v>
      </c>
      <c r="X86" s="22" t="n">
        <v>26258</v>
      </c>
    </row>
    <row r="87">
      <c r="A87" s="20" t="inlineStr">
        <is>
          <t>기타비용</t>
        </is>
      </c>
      <c r="C87" s="22" t="n">
        <v>7623</v>
      </c>
      <c r="D87" s="22" t="n">
        <v>839</v>
      </c>
      <c r="E87" s="22" t="n">
        <v>15220</v>
      </c>
      <c r="F87" s="22" t="n">
        <v>540</v>
      </c>
      <c r="G87" s="22" t="n">
        <v>1181</v>
      </c>
      <c r="H87" s="22" t="n">
        <v>1231</v>
      </c>
      <c r="I87" s="22" t="n">
        <v>750</v>
      </c>
      <c r="J87" s="22" t="n">
        <v>1258</v>
      </c>
      <c r="K87" s="22" t="n">
        <v>1345</v>
      </c>
      <c r="L87" s="22" t="n">
        <v>3189</v>
      </c>
      <c r="M87" s="22" t="n">
        <v>36013</v>
      </c>
      <c r="N87" s="22" t="n">
        <v>611</v>
      </c>
      <c r="T87" s="22" t="n">
        <v>701</v>
      </c>
      <c r="U87" s="22" t="n">
        <v>12875</v>
      </c>
      <c r="V87" s="22" t="n">
        <v>15220</v>
      </c>
      <c r="W87" s="22" t="n">
        <v>750</v>
      </c>
      <c r="X87" s="22" t="n">
        <v>36013</v>
      </c>
    </row>
    <row r="88">
      <c r="A88" s="20" t="inlineStr">
        <is>
          <t>영업이익</t>
        </is>
      </c>
      <c r="C88" s="22" t="n">
        <v>51521</v>
      </c>
      <c r="D88" s="22" t="n">
        <v>40631</v>
      </c>
      <c r="E88" s="22" t="n">
        <v>14573</v>
      </c>
      <c r="F88" s="22" t="n">
        <v>28110</v>
      </c>
      <c r="G88" s="22" t="n">
        <v>47759</v>
      </c>
      <c r="H88" s="22" t="n">
        <v>53355</v>
      </c>
      <c r="I88" s="22" t="n">
        <v>27379</v>
      </c>
      <c r="J88" s="22" t="n">
        <v>35097</v>
      </c>
      <c r="K88" s="22" t="n">
        <v>39674</v>
      </c>
      <c r="L88" s="22" t="n">
        <v>73968</v>
      </c>
      <c r="M88" s="22" t="n">
        <v>17986</v>
      </c>
      <c r="N88" s="22" t="n">
        <v>66911</v>
      </c>
      <c r="T88" s="22" t="n">
        <v>49890</v>
      </c>
      <c r="U88" s="22" t="n">
        <v>2530</v>
      </c>
      <c r="V88" s="22" t="n">
        <v>14573</v>
      </c>
      <c r="W88" s="22" t="n">
        <v>27379</v>
      </c>
      <c r="X88" s="22" t="n">
        <v>17986</v>
      </c>
    </row>
    <row r="89">
      <c r="A89" s="20" t="inlineStr">
        <is>
          <t>금융수익</t>
        </is>
      </c>
      <c r="C89" s="22" t="n">
        <v>10038</v>
      </c>
      <c r="D89" s="22" t="n">
        <v>9639</v>
      </c>
      <c r="E89" s="22" t="n">
        <v>21924</v>
      </c>
      <c r="F89" s="22" t="n">
        <v>11254</v>
      </c>
      <c r="G89" s="22" t="n">
        <v>12317</v>
      </c>
      <c r="H89" s="22" t="n">
        <v>9440</v>
      </c>
      <c r="I89" s="22" t="n">
        <v>20163</v>
      </c>
      <c r="J89" s="22" t="n">
        <v>13562</v>
      </c>
      <c r="K89" s="22" t="n">
        <v>14208</v>
      </c>
      <c r="L89" s="22" t="n">
        <v>20529</v>
      </c>
      <c r="M89" s="22" t="n">
        <v>32497</v>
      </c>
      <c r="N89" s="22" t="n">
        <v>12147</v>
      </c>
      <c r="T89" s="22" t="n">
        <v>1780</v>
      </c>
      <c r="U89" s="22" t="n">
        <v>22689</v>
      </c>
      <c r="V89" s="22" t="n">
        <v>21924</v>
      </c>
      <c r="W89" s="22" t="n">
        <v>20163</v>
      </c>
      <c r="X89" s="22" t="n">
        <v>32497</v>
      </c>
    </row>
    <row r="90">
      <c r="A90" s="20" t="inlineStr">
        <is>
          <t>금융비용</t>
        </is>
      </c>
      <c r="C90" s="22" t="n">
        <v>1660</v>
      </c>
      <c r="D90" s="22" t="n">
        <v>1386</v>
      </c>
      <c r="E90" s="22" t="n">
        <v>2701</v>
      </c>
      <c r="F90" s="22" t="n">
        <v>2839</v>
      </c>
      <c r="G90" s="22" t="n">
        <v>2768</v>
      </c>
      <c r="H90" s="22" t="n">
        <v>751</v>
      </c>
      <c r="I90" s="22" t="n">
        <v>2669</v>
      </c>
      <c r="J90" s="22" t="n">
        <v>2331</v>
      </c>
      <c r="K90" s="22" t="n">
        <v>1825</v>
      </c>
      <c r="L90" s="22" t="n">
        <v>1611</v>
      </c>
      <c r="M90" s="22" t="n">
        <v>2838</v>
      </c>
      <c r="N90" s="22" t="n">
        <v>5322</v>
      </c>
      <c r="T90" s="22" t="n">
        <v>186</v>
      </c>
      <c r="U90" s="22" t="n">
        <v>3673</v>
      </c>
      <c r="V90" s="22" t="n">
        <v>2701</v>
      </c>
      <c r="W90" s="22" t="n">
        <v>2669</v>
      </c>
      <c r="X90" s="22" t="n">
        <v>2838</v>
      </c>
    </row>
    <row r="91">
      <c r="A91" s="9" t="inlineStr">
        <is>
          <t>법인세비용차감전 중간이익</t>
        </is>
      </c>
      <c r="C91" s="12" t="n">
        <v>59899</v>
      </c>
      <c r="D91" s="12" t="n">
        <v>48884</v>
      </c>
      <c r="E91" s="12" t="n">
        <v>33796</v>
      </c>
      <c r="F91" s="12" t="n">
        <v>36525</v>
      </c>
      <c r="G91" s="12" t="n">
        <v>57308</v>
      </c>
      <c r="H91" s="12" t="n">
        <v>62044</v>
      </c>
      <c r="I91" s="12" t="n">
        <v>44873</v>
      </c>
      <c r="J91" s="12" t="n">
        <v>46328</v>
      </c>
      <c r="K91" s="12" t="n">
        <v>52056</v>
      </c>
      <c r="L91" s="12" t="n">
        <v>92886</v>
      </c>
      <c r="M91" s="12" t="n">
        <v>47646</v>
      </c>
      <c r="N91" s="12" t="n">
        <v>73736</v>
      </c>
      <c r="T91" s="12" t="n">
        <v>51484</v>
      </c>
      <c r="U91" s="12" t="n">
        <v>21546</v>
      </c>
      <c r="V91" s="12" t="n">
        <v>33796</v>
      </c>
      <c r="W91" s="12" t="n">
        <v>44873</v>
      </c>
      <c r="X91" s="12" t="n">
        <v>47646</v>
      </c>
    </row>
    <row r="92">
      <c r="A92" s="20" t="inlineStr">
        <is>
          <t>Income Tax Expense</t>
        </is>
      </c>
      <c r="C92" s="22" t="n">
        <v>11915</v>
      </c>
      <c r="D92" s="22" t="n">
        <v>12643</v>
      </c>
      <c r="E92" s="22" t="n">
        <v>-340</v>
      </c>
      <c r="F92" s="22" t="n">
        <v>6218</v>
      </c>
      <c r="G92" s="22" t="n">
        <v>4743</v>
      </c>
      <c r="H92" s="22" t="n">
        <v>11579</v>
      </c>
      <c r="I92" s="22" t="n">
        <v>8675</v>
      </c>
      <c r="J92" s="22" t="n">
        <v>6980</v>
      </c>
      <c r="K92" s="22" t="n">
        <v>7872</v>
      </c>
      <c r="L92" s="22" t="n">
        <v>18206</v>
      </c>
      <c r="M92" s="22" t="n">
        <v>-56</v>
      </c>
      <c r="N92" s="22" t="n">
        <v>-23982</v>
      </c>
      <c r="T92" s="22" t="n">
        <v>8777</v>
      </c>
      <c r="U92" s="22" t="n">
        <v>-5177</v>
      </c>
      <c r="V92" s="22" t="n">
        <v>-340</v>
      </c>
      <c r="W92" s="22" t="n">
        <v>8675</v>
      </c>
      <c r="X92" s="22" t="n">
        <v>-56</v>
      </c>
    </row>
    <row r="93">
      <c r="A93" s="9" t="inlineStr">
        <is>
          <t>중간이익</t>
        </is>
      </c>
      <c r="C93" s="12" t="n">
        <v>47984</v>
      </c>
      <c r="D93" s="12" t="n">
        <v>36241</v>
      </c>
      <c r="E93" s="12" t="n">
        <v>34136</v>
      </c>
      <c r="F93" s="12" t="n">
        <v>30307</v>
      </c>
      <c r="G93" s="12" t="n">
        <v>52565</v>
      </c>
      <c r="H93" s="12" t="n">
        <v>50464</v>
      </c>
      <c r="I93" s="12" t="n">
        <v>36198</v>
      </c>
      <c r="J93" s="12" t="n">
        <v>39348</v>
      </c>
      <c r="K93" s="12" t="n">
        <v>44184</v>
      </c>
      <c r="L93" s="12" t="n">
        <v>74680</v>
      </c>
      <c r="M93" s="12" t="n">
        <v>47702</v>
      </c>
      <c r="N93" s="12" t="n">
        <v>97718</v>
      </c>
      <c r="T93" s="12" t="n">
        <v>42708</v>
      </c>
      <c r="U93" s="12" t="n">
        <v>26723</v>
      </c>
      <c r="V93" s="12" t="n">
        <v>34136</v>
      </c>
      <c r="W93" s="12" t="n">
        <v>36198</v>
      </c>
      <c r="X93" s="12" t="n">
        <v>47702</v>
      </c>
    </row>
    <row r="94">
      <c r="A94" s="20" t="inlineStr">
        <is>
          <t>기본 주당 중간이익(엔)</t>
        </is>
      </c>
      <c r="C94" s="22" t="n">
        <v>-4.174000000000001e-05</v>
      </c>
      <c r="D94" s="22" t="n">
        <v>4.242000000000002e-05</v>
      </c>
      <c r="E94" s="22" t="n">
        <v>4.086999999999997e-05</v>
      </c>
      <c r="F94" s="22" t="n">
        <v>3.602e-05</v>
      </c>
      <c r="G94" s="22" t="n">
        <v>6.171999999999999e-05</v>
      </c>
      <c r="H94" s="22" t="n">
        <v>5.956000000000002e-05</v>
      </c>
      <c r="I94" s="22" t="n">
        <v>4.306e-05</v>
      </c>
      <c r="J94" s="22" t="n">
        <v>4.626e-05</v>
      </c>
      <c r="K94" s="22" t="n">
        <v>5.193e-05</v>
      </c>
      <c r="L94" s="22" t="n">
        <v>8.775999999999999e-05</v>
      </c>
      <c r="M94" s="22" t="n">
        <v>5.516000000000003e-05</v>
      </c>
      <c r="N94" s="22" t="n">
        <v>0.00011481</v>
      </c>
      <c r="T94" s="22" t="n">
        <v>0.00014324</v>
      </c>
      <c r="U94" s="22" t="n">
        <v>9.35e-05</v>
      </c>
      <c r="V94" s="22" t="n">
        <v>4.086999999999997e-05</v>
      </c>
      <c r="W94" s="22" t="n">
        <v>4.306e-05</v>
      </c>
      <c r="X94" s="22" t="n">
        <v>5.516000000000003e-05</v>
      </c>
    </row>
    <row r="95">
      <c r="A95" s="20" t="inlineStr">
        <is>
          <t>희석 주당 중간이익(엔)</t>
        </is>
      </c>
      <c r="C95" s="22" t="n">
        <v>-4.172e-05</v>
      </c>
      <c r="D95" s="22" t="n">
        <v>4.240000000000001e-05</v>
      </c>
      <c r="E95" s="22" t="n">
        <v>4.086000000000001e-05</v>
      </c>
      <c r="F95" s="22" t="n">
        <v>3.601e-05</v>
      </c>
      <c r="G95" s="22" t="n">
        <v>6.169e-05</v>
      </c>
      <c r="H95" s="22" t="n">
        <v>5.955e-05</v>
      </c>
      <c r="I95" s="22" t="n">
        <v>4.303999999999999e-05</v>
      </c>
      <c r="J95" s="22" t="n">
        <v>4.625e-05</v>
      </c>
      <c r="K95" s="22" t="n">
        <v>5.191e-05</v>
      </c>
      <c r="L95" s="22" t="n">
        <v>8.775000000000001e-05</v>
      </c>
      <c r="M95" s="22" t="n">
        <v>5.513e-05</v>
      </c>
      <c r="N95" s="22" t="n">
        <v>0.00011478</v>
      </c>
      <c r="T95" s="22" t="n">
        <v>0.0001432</v>
      </c>
      <c r="U95" s="22" t="n">
        <v>9.347000000000002e-05</v>
      </c>
      <c r="V95" s="22" t="n">
        <v>4.086000000000001e-05</v>
      </c>
      <c r="W95" s="22" t="n">
        <v>4.303999999999999e-05</v>
      </c>
      <c r="X95" s="22" t="n">
        <v>5.513e-05</v>
      </c>
    </row>
    <row r="96">
      <c r="A96" s="9" t="inlineStr">
        <is>
          <t>Profit Loss Attributable To Owners Of Parent</t>
        </is>
      </c>
      <c r="C96" s="12" t="n">
        <v>48031</v>
      </c>
      <c r="D96" s="12" t="n">
        <v>36629</v>
      </c>
      <c r="E96" s="12" t="n">
        <v>34808</v>
      </c>
      <c r="F96" s="12" t="n">
        <v>30637</v>
      </c>
      <c r="G96" s="12" t="n">
        <v>52496</v>
      </c>
      <c r="H96" s="12" t="n">
        <v>50670</v>
      </c>
      <c r="I96" s="12" t="n">
        <v>36632</v>
      </c>
      <c r="J96" s="12" t="n">
        <v>39355</v>
      </c>
      <c r="K96" s="12" t="n">
        <v>44187</v>
      </c>
      <c r="L96" s="12" t="n">
        <v>74683</v>
      </c>
      <c r="M96" s="12" t="n">
        <v>46934</v>
      </c>
      <c r="N96" s="12" t="n">
        <v>97696</v>
      </c>
      <c r="T96" s="12" t="n">
        <v>43185</v>
      </c>
      <c r="U96" s="12" t="n">
        <v>27236</v>
      </c>
      <c r="V96" s="12" t="n">
        <v>34808</v>
      </c>
      <c r="W96" s="12" t="n">
        <v>36632</v>
      </c>
      <c r="X96" s="12" t="n">
        <v>46934</v>
      </c>
    </row>
    <row r="97">
      <c r="A97" s="9" t="inlineStr">
        <is>
          <t>비지배지분</t>
        </is>
      </c>
      <c r="C97" s="12" t="n">
        <v>-48</v>
      </c>
      <c r="D97" s="12" t="n">
        <v>-388</v>
      </c>
      <c r="E97" s="12" t="n">
        <v>-672</v>
      </c>
      <c r="F97" s="12" t="n">
        <v>-330</v>
      </c>
      <c r="G97" s="12" t="n">
        <v>69</v>
      </c>
      <c r="H97" s="12" t="n">
        <v>-205</v>
      </c>
      <c r="I97" s="12" t="n">
        <v>-434</v>
      </c>
      <c r="J97" s="12" t="n">
        <v>-7</v>
      </c>
      <c r="K97" s="12" t="n">
        <v>-3</v>
      </c>
      <c r="L97" s="12" t="n">
        <v>-3</v>
      </c>
      <c r="M97" s="12" t="n">
        <v>767</v>
      </c>
      <c r="N97" s="12" t="n">
        <v>22</v>
      </c>
      <c r="T97" s="12" t="n">
        <v>-477</v>
      </c>
      <c r="U97" s="12" t="n">
        <v>-512</v>
      </c>
      <c r="V97" s="12" t="n">
        <v>-672</v>
      </c>
      <c r="W97" s="12" t="n">
        <v>-434</v>
      </c>
      <c r="X97" s="12" t="n">
        <v>767</v>
      </c>
    </row>
    <row r="99">
      <c r="A99" s="18" t="inlineStr">
        <is>
          <t>포괄손익 · 전 항목</t>
        </is>
      </c>
      <c r="B99" s="44" t="inlineStr">
        <is>
          <t>분기 = 3개월 단독</t>
        </is>
      </c>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c r="AB99" s="18" t="n"/>
      <c r="AC99" s="18" t="n"/>
    </row>
    <row r="100">
      <c r="A100" s="5" t="inlineStr">
        <is>
          <t>항목</t>
        </is>
      </c>
      <c r="B100" s="5" t="inlineStr">
        <is>
          <t>참고</t>
        </is>
      </c>
      <c r="C100" s="5" t="inlineStr">
        <is>
          <t>2024.2Q</t>
        </is>
      </c>
      <c r="D100" s="5" t="inlineStr">
        <is>
          <t>2024.3Q</t>
        </is>
      </c>
      <c r="E100" s="5" t="inlineStr">
        <is>
          <t>2024.4Q</t>
        </is>
      </c>
      <c r="F100" s="5" t="inlineStr">
        <is>
          <t>2025.1Q</t>
        </is>
      </c>
      <c r="G100" s="5" t="inlineStr">
        <is>
          <t>2025.2Q</t>
        </is>
      </c>
      <c r="H100" s="5" t="inlineStr">
        <is>
          <t>2025.3Q</t>
        </is>
      </c>
      <c r="I100" s="5" t="inlineStr">
        <is>
          <t>2025.4Q</t>
        </is>
      </c>
      <c r="J100" s="5" t="inlineStr">
        <is>
          <t>2026.1Q</t>
        </is>
      </c>
      <c r="K100" s="5" t="inlineStr">
        <is>
          <t>2026.2Q</t>
        </is>
      </c>
      <c r="L100" s="5" t="inlineStr">
        <is>
          <t>2026.3Q</t>
        </is>
      </c>
      <c r="M100" s="5" t="inlineStr">
        <is>
          <t>2026.4Q</t>
        </is>
      </c>
      <c r="N100" s="5" t="inlineStr">
        <is>
          <t>2027.1Q</t>
        </is>
      </c>
      <c r="O100" s="5" t="inlineStr">
        <is>
          <t>2017</t>
        </is>
      </c>
      <c r="P100" s="5" t="inlineStr">
        <is>
          <t>2018</t>
        </is>
      </c>
      <c r="Q100" s="5" t="inlineStr">
        <is>
          <t>2019</t>
        </is>
      </c>
      <c r="R100" s="5" t="inlineStr">
        <is>
          <t>2020</t>
        </is>
      </c>
      <c r="S100" s="5" t="inlineStr">
        <is>
          <t>2021</t>
        </is>
      </c>
      <c r="T100" s="5" t="inlineStr">
        <is>
          <t>2022</t>
        </is>
      </c>
      <c r="U100" s="5" t="inlineStr">
        <is>
          <t>2023</t>
        </is>
      </c>
      <c r="V100" s="5" t="inlineStr">
        <is>
          <t>2024</t>
        </is>
      </c>
      <c r="W100" s="5" t="inlineStr">
        <is>
          <t>2025</t>
        </is>
      </c>
      <c r="X100" s="5" t="inlineStr">
        <is>
          <t>2026</t>
        </is>
      </c>
      <c r="Y100" s="5" t="inlineStr">
        <is>
          <t>2027(MW)</t>
        </is>
      </c>
      <c r="Z100" s="5" t="inlineStr">
        <is>
          <t>2028(MW)</t>
        </is>
      </c>
      <c r="AA100" s="5" t="inlineStr">
        <is>
          <t>2029(MW)</t>
        </is>
      </c>
      <c r="AB100" s="5" t="inlineStr">
        <is>
          <t>2030(MW)</t>
        </is>
      </c>
      <c r="AC100" s="5" t="inlineStr">
        <is>
          <t>2031(MW)</t>
        </is>
      </c>
    </row>
    <row r="101">
      <c r="A101" s="9" t="inlineStr">
        <is>
          <t>중간이익</t>
        </is>
      </c>
      <c r="C101" s="12" t="n">
        <v>47984</v>
      </c>
      <c r="D101" s="12" t="n">
        <v>36241</v>
      </c>
      <c r="E101" s="12" t="n">
        <v>34136</v>
      </c>
      <c r="F101" s="12" t="n">
        <v>30307</v>
      </c>
      <c r="G101" s="12" t="n">
        <v>52565</v>
      </c>
      <c r="H101" s="12" t="n">
        <v>50464</v>
      </c>
      <c r="I101" s="12" t="n">
        <v>36198</v>
      </c>
      <c r="J101" s="12" t="n">
        <v>39348</v>
      </c>
      <c r="K101" s="12" t="n">
        <v>44184</v>
      </c>
      <c r="L101" s="12" t="n">
        <v>74680</v>
      </c>
      <c r="M101" s="12" t="n">
        <v>47702</v>
      </c>
      <c r="N101" s="12" t="n">
        <v>97718</v>
      </c>
      <c r="T101" s="12" t="n">
        <v>42708</v>
      </c>
      <c r="U101" s="12" t="n">
        <v>26723</v>
      </c>
      <c r="V101" s="12" t="n">
        <v>34136</v>
      </c>
      <c r="W101" s="12" t="n">
        <v>36198</v>
      </c>
      <c r="X101" s="12" t="n">
        <v>47702</v>
      </c>
    </row>
    <row r="102">
      <c r="A102" s="20" t="inlineStr">
        <is>
          <t>Net Change In Fair Value Of Equity Instruments Designated As Measured At Fair Value Through Other Comprehensive Income Net Of Tax Items That Will Not Be Reclassified To Profit Or Loss OCI</t>
        </is>
      </c>
      <c r="C102" s="22" t="n">
        <v>3776</v>
      </c>
      <c r="D102" s="22" t="n">
        <v>-1807</v>
      </c>
      <c r="E102" s="22" t="n">
        <v>9715</v>
      </c>
      <c r="F102" s="22" t="n">
        <v>2391</v>
      </c>
      <c r="G102" s="22" t="n">
        <v>-1065</v>
      </c>
      <c r="H102" s="22" t="n">
        <v>1397</v>
      </c>
      <c r="I102" s="22" t="n">
        <v>-7313</v>
      </c>
      <c r="J102" s="22" t="n">
        <v>44</v>
      </c>
      <c r="K102" s="22" t="n">
        <v>3767</v>
      </c>
      <c r="L102" s="22" t="n">
        <v>965</v>
      </c>
      <c r="M102" s="22" t="n">
        <v>102300</v>
      </c>
      <c r="N102" s="22" t="n">
        <v>1344</v>
      </c>
      <c r="T102" s="22" t="n">
        <v>23952</v>
      </c>
      <c r="U102" s="22" t="n">
        <v>3591</v>
      </c>
      <c r="V102" s="22" t="n">
        <v>9715</v>
      </c>
      <c r="W102" s="22" t="n">
        <v>-7313</v>
      </c>
      <c r="X102" s="22" t="n">
        <v>102300</v>
      </c>
    </row>
    <row r="103">
      <c r="A103" s="20" t="inlineStr">
        <is>
          <t>확정급여제도 재측정</t>
        </is>
      </c>
      <c r="C103" s="22" t="n">
        <v>486</v>
      </c>
      <c r="D103" s="22" t="n">
        <v>-637</v>
      </c>
      <c r="E103" s="22" t="n">
        <v>1167</v>
      </c>
      <c r="F103" s="22" t="n">
        <v>-301</v>
      </c>
      <c r="G103" s="22" t="n">
        <v>-312</v>
      </c>
      <c r="H103" s="22" t="n">
        <v>-79</v>
      </c>
      <c r="I103" s="22" t="n">
        <v>371</v>
      </c>
      <c r="J103" s="22" t="n">
        <v>-138</v>
      </c>
      <c r="K103" s="22" t="n">
        <v>60</v>
      </c>
      <c r="L103" s="22" t="n">
        <v>12</v>
      </c>
      <c r="M103" s="22" t="n">
        <v>403</v>
      </c>
      <c r="N103" s="22" t="n">
        <v>313</v>
      </c>
      <c r="T103" s="22" t="n">
        <v>-1161</v>
      </c>
      <c r="U103" s="22" t="n">
        <v>2251</v>
      </c>
      <c r="V103" s="22" t="n">
        <v>1167</v>
      </c>
      <c r="W103" s="22" t="n">
        <v>371</v>
      </c>
      <c r="X103" s="22" t="n">
        <v>403</v>
      </c>
    </row>
    <row r="104">
      <c r="A104" s="20" t="inlineStr">
        <is>
          <t>Total Of Items That Will Not Be Reclassified To Profit Or Loss OCI</t>
        </is>
      </c>
      <c r="C104" s="22" t="n">
        <v>4261</v>
      </c>
      <c r="D104" s="22" t="n">
        <v>-2444</v>
      </c>
      <c r="E104" s="22" t="n">
        <v>10882</v>
      </c>
      <c r="F104" s="22" t="n">
        <v>2089</v>
      </c>
      <c r="G104" s="22" t="n">
        <v>-1377</v>
      </c>
      <c r="H104" s="22" t="n">
        <v>1319</v>
      </c>
      <c r="I104" s="22" t="n">
        <v>-6942</v>
      </c>
      <c r="J104" s="22" t="n">
        <v>-93</v>
      </c>
      <c r="K104" s="22" t="n">
        <v>3826</v>
      </c>
      <c r="L104" s="22" t="n">
        <v>977</v>
      </c>
      <c r="M104" s="22" t="n">
        <v>102704</v>
      </c>
      <c r="N104" s="22" t="n">
        <v>1657</v>
      </c>
      <c r="T104" s="22" t="n">
        <v>22791</v>
      </c>
      <c r="U104" s="22" t="n">
        <v>5843</v>
      </c>
      <c r="V104" s="22" t="n">
        <v>10882</v>
      </c>
      <c r="W104" s="22" t="n">
        <v>-6942</v>
      </c>
      <c r="X104" s="22" t="n">
        <v>102704</v>
      </c>
    </row>
    <row r="105">
      <c r="A105" s="20" t="inlineStr">
        <is>
          <t>Exchange Differences On Translation Of Foreign Operations Net Of Tax Items That May Be Reclassified To Profit Or Loss OCI</t>
        </is>
      </c>
      <c r="C105" s="22" t="n">
        <v>3275</v>
      </c>
      <c r="D105" s="22" t="n">
        <v>-4140</v>
      </c>
      <c r="E105" s="22" t="n">
        <v>25387</v>
      </c>
      <c r="F105" s="22" t="n">
        <v>32962</v>
      </c>
      <c r="G105" s="22" t="n">
        <v>-36065</v>
      </c>
      <c r="H105" s="22" t="n">
        <v>24933</v>
      </c>
      <c r="I105" s="22" t="n">
        <v>-15902</v>
      </c>
      <c r="J105" s="22" t="n">
        <v>7571</v>
      </c>
      <c r="K105" s="22" t="n">
        <v>5196</v>
      </c>
      <c r="L105" s="22" t="n">
        <v>33752</v>
      </c>
      <c r="M105" s="22" t="n">
        <v>19844</v>
      </c>
      <c r="N105" s="22" t="n">
        <v>17892</v>
      </c>
      <c r="T105" s="22" t="n">
        <v>17293</v>
      </c>
      <c r="U105" s="22" t="n">
        <v>11923</v>
      </c>
      <c r="V105" s="22" t="n">
        <v>25387</v>
      </c>
      <c r="W105" s="22" t="n">
        <v>-15902</v>
      </c>
      <c r="X105" s="22" t="n">
        <v>19844</v>
      </c>
    </row>
    <row r="106">
      <c r="A106" s="20" t="inlineStr">
        <is>
          <t>Effective Portion Of Cash Flow Hedges Net Of Tax Items That May Be Reclassified To Profit Or Loss OCI</t>
        </is>
      </c>
      <c r="C106" s="22" t="n">
        <v>2976</v>
      </c>
      <c r="D106" s="22" t="n">
        <v>2685</v>
      </c>
      <c r="E106" s="22" t="n">
        <v>179</v>
      </c>
      <c r="F106" s="22" t="n">
        <v>-2893</v>
      </c>
      <c r="G106" s="22" t="n">
        <v>4960</v>
      </c>
      <c r="H106" s="22" t="n">
        <v>-1350</v>
      </c>
      <c r="I106" s="22" t="n">
        <v>77</v>
      </c>
      <c r="J106" s="22" t="n">
        <v>-2241</v>
      </c>
      <c r="K106" s="22" t="n">
        <v>657</v>
      </c>
      <c r="L106" s="22" t="n">
        <v>-519</v>
      </c>
      <c r="M106" s="22" t="n">
        <v>2158</v>
      </c>
      <c r="N106" s="22" t="n">
        <v>-1688</v>
      </c>
      <c r="T106" s="22" t="n">
        <v>-1813</v>
      </c>
      <c r="U106" s="22" t="n">
        <v>-1071</v>
      </c>
      <c r="V106" s="22" t="n">
        <v>179</v>
      </c>
      <c r="W106" s="22" t="n">
        <v>77</v>
      </c>
      <c r="X106" s="22" t="n">
        <v>2158</v>
      </c>
    </row>
    <row r="107">
      <c r="A107" s="20" t="inlineStr">
        <is>
          <t>Share Of Other Comprehensive Income Of Investments Accounted For Using Equity Method Net Of Tax Items That May Be Reclassified To Profit Or Loss OCI</t>
        </is>
      </c>
      <c r="C107" s="22" t="n">
        <v>0</v>
      </c>
      <c r="D107" s="22" t="n">
        <v>0</v>
      </c>
      <c r="E107" s="22" t="n">
        <v>112</v>
      </c>
      <c r="F107" s="22" t="n">
        <v>357</v>
      </c>
      <c r="G107" s="22" t="n">
        <v>-661</v>
      </c>
      <c r="H107" s="22" t="n">
        <v>545</v>
      </c>
      <c r="I107" s="22" t="n">
        <v>-294</v>
      </c>
      <c r="J107" s="22" t="n">
        <v>-145</v>
      </c>
      <c r="K107" s="22" t="n">
        <v>253</v>
      </c>
      <c r="L107" s="22" t="n">
        <v>478</v>
      </c>
      <c r="M107" s="22" t="n">
        <v>-586</v>
      </c>
      <c r="N107" s="22" t="n">
        <v>-139</v>
      </c>
      <c r="V107" s="22" t="n">
        <v>112</v>
      </c>
      <c r="W107" s="22" t="n">
        <v>-294</v>
      </c>
      <c r="X107" s="22" t="n">
        <v>-586</v>
      </c>
    </row>
    <row r="108">
      <c r="A108" s="20" t="inlineStr">
        <is>
          <t>Total Of Items That May Be Reclassified To Profit Or Loss OCI</t>
        </is>
      </c>
      <c r="C108" s="22" t="n">
        <v>6250</v>
      </c>
      <c r="D108" s="22" t="n">
        <v>-1453</v>
      </c>
      <c r="E108" s="22" t="n">
        <v>25678</v>
      </c>
      <c r="F108" s="22" t="n">
        <v>30426</v>
      </c>
      <c r="G108" s="22" t="n">
        <v>-31766</v>
      </c>
      <c r="H108" s="22" t="n">
        <v>24129</v>
      </c>
      <c r="I108" s="22" t="n">
        <v>-16120</v>
      </c>
      <c r="J108" s="22" t="n">
        <v>5185</v>
      </c>
      <c r="K108" s="22" t="n">
        <v>6107</v>
      </c>
      <c r="L108" s="22" t="n">
        <v>33710</v>
      </c>
      <c r="M108" s="22" t="n">
        <v>21417</v>
      </c>
      <c r="N108" s="22" t="n">
        <v>16063</v>
      </c>
      <c r="T108" s="22" t="n">
        <v>15480</v>
      </c>
      <c r="U108" s="22" t="n">
        <v>10852</v>
      </c>
      <c r="V108" s="22" t="n">
        <v>25678</v>
      </c>
      <c r="W108" s="22" t="n">
        <v>-16120</v>
      </c>
      <c r="X108" s="22" t="n">
        <v>21417</v>
      </c>
    </row>
    <row r="109">
      <c r="A109" s="20" t="inlineStr">
        <is>
          <t>Other Comprehensive Income</t>
        </is>
      </c>
      <c r="C109" s="22" t="n">
        <v>10512</v>
      </c>
      <c r="D109" s="22" t="n">
        <v>-3898</v>
      </c>
      <c r="E109" s="22" t="n">
        <v>36560</v>
      </c>
      <c r="F109" s="22" t="n">
        <v>32516</v>
      </c>
      <c r="G109" s="22" t="n">
        <v>-33143</v>
      </c>
      <c r="H109" s="22" t="n">
        <v>25447</v>
      </c>
      <c r="I109" s="22" t="n">
        <v>-23063</v>
      </c>
      <c r="J109" s="22" t="n">
        <v>5092</v>
      </c>
      <c r="K109" s="22" t="n">
        <v>9933</v>
      </c>
      <c r="L109" s="22" t="n">
        <v>34687</v>
      </c>
      <c r="M109" s="22" t="n">
        <v>124121</v>
      </c>
      <c r="N109" s="22" t="n">
        <v>17721</v>
      </c>
      <c r="T109" s="22" t="n">
        <v>38272</v>
      </c>
      <c r="U109" s="22" t="n">
        <v>16697</v>
      </c>
      <c r="V109" s="22" t="n">
        <v>36560</v>
      </c>
      <c r="W109" s="22" t="n">
        <v>-23063</v>
      </c>
      <c r="X109" s="22" t="n">
        <v>124121</v>
      </c>
    </row>
    <row r="110">
      <c r="A110" s="9" t="inlineStr">
        <is>
          <t>포괄이익</t>
        </is>
      </c>
      <c r="C110" s="12" t="n">
        <v>58496</v>
      </c>
      <c r="D110" s="12" t="n">
        <v>32343</v>
      </c>
      <c r="E110" s="12" t="n">
        <v>70696</v>
      </c>
      <c r="F110" s="12" t="n">
        <v>62823</v>
      </c>
      <c r="G110" s="12" t="n">
        <v>19421</v>
      </c>
      <c r="H110" s="12" t="n">
        <v>75912</v>
      </c>
      <c r="I110" s="12" t="n">
        <v>13136</v>
      </c>
      <c r="J110" s="12" t="n">
        <v>44440</v>
      </c>
      <c r="K110" s="12" t="n">
        <v>54117</v>
      </c>
      <c r="L110" s="12" t="n">
        <v>109367</v>
      </c>
      <c r="M110" s="12" t="n">
        <v>171824</v>
      </c>
      <c r="N110" s="12" t="n">
        <v>115440</v>
      </c>
      <c r="T110" s="12" t="n">
        <v>80979</v>
      </c>
      <c r="U110" s="12" t="n">
        <v>43419</v>
      </c>
      <c r="V110" s="12" t="n">
        <v>70696</v>
      </c>
      <c r="W110" s="12" t="n">
        <v>13136</v>
      </c>
      <c r="X110" s="12" t="n">
        <v>171824</v>
      </c>
    </row>
    <row r="111">
      <c r="A111" s="9" t="inlineStr">
        <is>
          <t>Comprehensive Income Attributable To Owners Of Parent</t>
        </is>
      </c>
      <c r="C111" s="12" t="n">
        <v>58198</v>
      </c>
      <c r="D111" s="12" t="n">
        <v>32390</v>
      </c>
      <c r="E111" s="12" t="n">
        <v>71715</v>
      </c>
      <c r="F111" s="12" t="n">
        <v>62635</v>
      </c>
      <c r="G111" s="12" t="n">
        <v>18739</v>
      </c>
      <c r="H111" s="12" t="n">
        <v>76905</v>
      </c>
      <c r="I111" s="12" t="n">
        <v>12983</v>
      </c>
      <c r="J111" s="12" t="n">
        <v>44448</v>
      </c>
      <c r="K111" s="12" t="n">
        <v>54120</v>
      </c>
      <c r="L111" s="12" t="n">
        <v>109370</v>
      </c>
      <c r="M111" s="12" t="n">
        <v>171055</v>
      </c>
      <c r="N111" s="12" t="n">
        <v>115418</v>
      </c>
      <c r="T111" s="12" t="n">
        <v>81223</v>
      </c>
      <c r="U111" s="12" t="n">
        <v>44874</v>
      </c>
      <c r="V111" s="12" t="n">
        <v>71715</v>
      </c>
      <c r="W111" s="12" t="n">
        <v>12983</v>
      </c>
      <c r="X111" s="12" t="n">
        <v>171055</v>
      </c>
    </row>
    <row r="112">
      <c r="A112" s="9" t="inlineStr">
        <is>
          <t>비지배지분</t>
        </is>
      </c>
      <c r="C112" s="12" t="n">
        <v>296</v>
      </c>
      <c r="D112" s="12" t="n">
        <v>-46</v>
      </c>
      <c r="E112" s="12" t="n">
        <v>-1018</v>
      </c>
      <c r="F112" s="12" t="n">
        <v>188</v>
      </c>
      <c r="G112" s="12" t="n">
        <v>681</v>
      </c>
      <c r="H112" s="12" t="n">
        <v>-991</v>
      </c>
      <c r="I112" s="12" t="n">
        <v>152</v>
      </c>
      <c r="J112" s="12" t="n">
        <v>-7</v>
      </c>
      <c r="K112" s="12" t="n">
        <v>-3</v>
      </c>
      <c r="L112" s="12" t="n">
        <v>-3</v>
      </c>
      <c r="M112" s="12" t="n">
        <v>767</v>
      </c>
      <c r="N112" s="12" t="n">
        <v>22</v>
      </c>
      <c r="T112" s="12" t="n">
        <v>-242</v>
      </c>
      <c r="U112" s="12" t="n">
        <v>-1454</v>
      </c>
      <c r="V112" s="12" t="n">
        <v>-1018</v>
      </c>
      <c r="W112" s="12" t="n">
        <v>152</v>
      </c>
      <c r="X112" s="12" t="n">
        <v>767</v>
      </c>
    </row>
    <row r="114">
      <c r="A114" s="18" t="inlineStr">
        <is>
          <t>현금흐름표 · 전 항목</t>
        </is>
      </c>
      <c r="B114" s="44" t="inlineStr">
        <is>
          <t>분기 = 결산기 첫날부터 누계(공시 그대로)</t>
        </is>
      </c>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c r="AB114" s="18" t="n"/>
      <c r="AC114" s="18" t="n"/>
    </row>
    <row r="115">
      <c r="A115" s="5" t="inlineStr">
        <is>
          <t>항목</t>
        </is>
      </c>
      <c r="B115" s="5" t="inlineStr">
        <is>
          <t>참고</t>
        </is>
      </c>
      <c r="C115" s="5" t="inlineStr">
        <is>
          <t>2024.2Q</t>
        </is>
      </c>
      <c r="D115" s="5" t="inlineStr">
        <is>
          <t>2024.3Q</t>
        </is>
      </c>
      <c r="E115" s="5" t="inlineStr">
        <is>
          <t>2024.4Q</t>
        </is>
      </c>
      <c r="F115" s="5" t="inlineStr">
        <is>
          <t>2025.1Q</t>
        </is>
      </c>
      <c r="G115" s="5" t="inlineStr">
        <is>
          <t>2025.2Q</t>
        </is>
      </c>
      <c r="H115" s="5" t="inlineStr">
        <is>
          <t>2025.3Q</t>
        </is>
      </c>
      <c r="I115" s="5" t="inlineStr">
        <is>
          <t>2025.4Q</t>
        </is>
      </c>
      <c r="J115" s="5" t="inlineStr">
        <is>
          <t>2026.1Q</t>
        </is>
      </c>
      <c r="K115" s="5" t="inlineStr">
        <is>
          <t>2026.2Q</t>
        </is>
      </c>
      <c r="L115" s="5" t="inlineStr">
        <is>
          <t>2026.3Q</t>
        </is>
      </c>
      <c r="M115" s="5" t="inlineStr">
        <is>
          <t>2026.4Q</t>
        </is>
      </c>
      <c r="N115" s="5" t="inlineStr">
        <is>
          <t>2027.1Q</t>
        </is>
      </c>
      <c r="O115" s="5" t="inlineStr">
        <is>
          <t>2017</t>
        </is>
      </c>
      <c r="P115" s="5" t="inlineStr">
        <is>
          <t>2018</t>
        </is>
      </c>
      <c r="Q115" s="5" t="inlineStr">
        <is>
          <t>2019</t>
        </is>
      </c>
      <c r="R115" s="5" t="inlineStr">
        <is>
          <t>2020</t>
        </is>
      </c>
      <c r="S115" s="5" t="inlineStr">
        <is>
          <t>2021</t>
        </is>
      </c>
      <c r="T115" s="5" t="inlineStr">
        <is>
          <t>2022</t>
        </is>
      </c>
      <c r="U115" s="5" t="inlineStr">
        <is>
          <t>2023</t>
        </is>
      </c>
      <c r="V115" s="5" t="inlineStr">
        <is>
          <t>2024</t>
        </is>
      </c>
      <c r="W115" s="5" t="inlineStr">
        <is>
          <t>2025</t>
        </is>
      </c>
      <c r="X115" s="5" t="inlineStr">
        <is>
          <t>2026</t>
        </is>
      </c>
      <c r="Y115" s="5" t="inlineStr">
        <is>
          <t>2027(MW)</t>
        </is>
      </c>
      <c r="Z115" s="5" t="inlineStr">
        <is>
          <t>2028(MW)</t>
        </is>
      </c>
      <c r="AA115" s="5" t="inlineStr">
        <is>
          <t>2029(MW)</t>
        </is>
      </c>
      <c r="AB115" s="5" t="inlineStr">
        <is>
          <t>2030(MW)</t>
        </is>
      </c>
      <c r="AC115" s="5" t="inlineStr">
        <is>
          <t>2031(MW)</t>
        </is>
      </c>
    </row>
    <row r="116">
      <c r="A116" s="9" t="inlineStr">
        <is>
          <t>법인세비용차감전 중간이익</t>
        </is>
      </c>
      <c r="C116" s="12" t="n">
        <v>115603</v>
      </c>
      <c r="D116" s="12" t="n">
        <v>164487</v>
      </c>
      <c r="E116" s="12" t="n">
        <v>198283</v>
      </c>
      <c r="F116" s="12" t="n">
        <v>36525</v>
      </c>
      <c r="G116" s="12" t="n">
        <v>93833</v>
      </c>
      <c r="H116" s="12" t="n">
        <v>155877</v>
      </c>
      <c r="I116" s="12" t="n">
        <v>200750</v>
      </c>
      <c r="J116" s="12" t="n">
        <v>46328</v>
      </c>
      <c r="K116" s="12" t="n">
        <v>98384</v>
      </c>
      <c r="L116" s="12" t="n">
        <v>191270</v>
      </c>
      <c r="M116" s="12" t="n">
        <v>238916</v>
      </c>
      <c r="N116" s="12" t="n">
        <v>73736</v>
      </c>
      <c r="Q116" s="12" t="n">
        <v>174043</v>
      </c>
      <c r="R116" s="12" t="n">
        <v>158516</v>
      </c>
      <c r="S116" s="12" t="n">
        <v>143018</v>
      </c>
      <c r="T116" s="12" t="n">
        <v>126268</v>
      </c>
      <c r="U116" s="12" t="n">
        <v>220332</v>
      </c>
      <c r="V116" s="12" t="n">
        <v>198283</v>
      </c>
      <c r="W116" s="12" t="n">
        <v>200750</v>
      </c>
      <c r="X116" s="12" t="n">
        <v>238916</v>
      </c>
    </row>
    <row r="117">
      <c r="A117" s="20" t="inlineStr">
        <is>
          <t>감가상각비 및 상각비</t>
        </is>
      </c>
      <c r="C117" s="22" t="n">
        <v>8873</v>
      </c>
      <c r="D117" s="22" t="n">
        <v>13440</v>
      </c>
      <c r="E117" s="22" t="n">
        <v>18323</v>
      </c>
      <c r="F117" s="22" t="n">
        <v>4917</v>
      </c>
      <c r="G117" s="22" t="n">
        <v>10291</v>
      </c>
      <c r="H117" s="22" t="n">
        <v>15728</v>
      </c>
      <c r="I117" s="22" t="n">
        <v>20933</v>
      </c>
      <c r="J117" s="22" t="n">
        <v>5013</v>
      </c>
      <c r="K117" s="22" t="n">
        <v>10170</v>
      </c>
      <c r="L117" s="22" t="n">
        <v>16205</v>
      </c>
      <c r="M117" s="22" t="n">
        <v>26968</v>
      </c>
      <c r="N117" s="22" t="n">
        <v>20880</v>
      </c>
      <c r="Q117" s="22" t="n">
        <v>14431</v>
      </c>
      <c r="R117" s="22" t="n">
        <v>14115</v>
      </c>
      <c r="S117" s="22" t="n">
        <v>14779</v>
      </c>
      <c r="T117" s="22" t="n">
        <v>16351</v>
      </c>
      <c r="U117" s="22" t="n">
        <v>17165</v>
      </c>
      <c r="V117" s="22" t="n">
        <v>18323</v>
      </c>
      <c r="W117" s="22" t="n">
        <v>20933</v>
      </c>
      <c r="X117" s="22" t="n">
        <v>26968</v>
      </c>
    </row>
    <row r="118">
      <c r="A118" s="20" t="inlineStr">
        <is>
          <t>Impairment Losses Reversal Of Impairment Losses Ope CF</t>
        </is>
      </c>
      <c r="C118" s="22" t="n">
        <v>100</v>
      </c>
      <c r="D118" s="22" t="n">
        <v>-17</v>
      </c>
      <c r="Q118" s="22" t="n">
        <v>17168</v>
      </c>
      <c r="R118" s="22" t="n">
        <v>100</v>
      </c>
      <c r="S118" s="22" t="n">
        <v>825</v>
      </c>
      <c r="T118" s="22" t="n">
        <v>141</v>
      </c>
      <c r="U118" s="22" t="n">
        <v>11758</v>
      </c>
    </row>
    <row r="119">
      <c r="A119" s="20" t="inlineStr">
        <is>
          <t>Impairment Losses And Reversals Of Impairment Losses Ope CF</t>
        </is>
      </c>
      <c r="C119" s="22" t="n">
        <v>100</v>
      </c>
      <c r="D119" s="22" t="n">
        <v>-17</v>
      </c>
      <c r="E119" s="22" t="n">
        <v>8262</v>
      </c>
      <c r="F119" s="22" t="n">
        <v>21</v>
      </c>
      <c r="G119" s="22" t="n">
        <v>254</v>
      </c>
      <c r="H119" s="22" t="n">
        <v>254</v>
      </c>
      <c r="I119" s="22" t="n">
        <v>254</v>
      </c>
      <c r="J119" s="22" t="n">
        <v>0</v>
      </c>
      <c r="K119" s="22" t="n">
        <v>0</v>
      </c>
      <c r="L119" s="22" t="n">
        <v>2000</v>
      </c>
      <c r="M119" s="22" t="n">
        <v>35040</v>
      </c>
      <c r="U119" s="22" t="n">
        <v>11758</v>
      </c>
      <c r="V119" s="22" t="n">
        <v>8262</v>
      </c>
      <c r="W119" s="22" t="n">
        <v>254</v>
      </c>
      <c r="X119" s="22" t="n">
        <v>35040</v>
      </c>
    </row>
    <row r="120">
      <c r="A120" s="20" t="inlineStr">
        <is>
          <t>부의 영업권 발생이익</t>
        </is>
      </c>
      <c r="I120" s="22" t="n">
        <v>0</v>
      </c>
      <c r="M120" s="22" t="n">
        <v>-43868</v>
      </c>
      <c r="W120" s="22" t="n">
        <v>0</v>
      </c>
      <c r="X120" s="22" t="n">
        <v>-43868</v>
      </c>
    </row>
    <row r="121">
      <c r="A121" s="20" t="inlineStr">
        <is>
          <t>지분법손익</t>
        </is>
      </c>
      <c r="J121" s="22" t="n">
        <v>287</v>
      </c>
      <c r="N121" s="22" t="n">
        <v>-26756</v>
      </c>
    </row>
    <row r="122">
      <c r="A122" s="20" t="inlineStr">
        <is>
          <t>Finance Income And Finance Costs Ope CF</t>
        </is>
      </c>
      <c r="C122" s="22" t="n">
        <v>-14815</v>
      </c>
      <c r="D122" s="22" t="n">
        <v>-24956</v>
      </c>
      <c r="E122" s="22" t="n">
        <v>-44866</v>
      </c>
      <c r="F122" s="22" t="n">
        <v>-9843</v>
      </c>
      <c r="G122" s="22" t="n">
        <v>-22352</v>
      </c>
      <c r="H122" s="22" t="n">
        <v>-32497</v>
      </c>
      <c r="I122" s="22" t="n">
        <v>-52288</v>
      </c>
      <c r="J122" s="22" t="n">
        <v>-12661</v>
      </c>
      <c r="K122" s="22" t="n">
        <v>-27048</v>
      </c>
      <c r="L122" s="22" t="n">
        <v>-44626</v>
      </c>
      <c r="M122" s="22" t="n">
        <v>-71063</v>
      </c>
      <c r="N122" s="22" t="n">
        <v>-9848</v>
      </c>
      <c r="Q122" s="22" t="n">
        <v>-32963</v>
      </c>
      <c r="R122" s="22" t="n">
        <v>-29233</v>
      </c>
      <c r="S122" s="22" t="n">
        <v>-25836</v>
      </c>
      <c r="T122" s="22" t="n">
        <v>-15597</v>
      </c>
      <c r="U122" s="22" t="n">
        <v>-71461</v>
      </c>
      <c r="V122" s="22" t="n">
        <v>-44866</v>
      </c>
      <c r="W122" s="22" t="n">
        <v>-52288</v>
      </c>
      <c r="X122" s="22" t="n">
        <v>-71063</v>
      </c>
    </row>
    <row r="123">
      <c r="A123" s="20" t="inlineStr">
        <is>
          <t>매출채권 및 기타채권 증감액</t>
        </is>
      </c>
      <c r="C123" s="22" t="n">
        <v>-43016</v>
      </c>
      <c r="D123" s="22" t="n">
        <v>-44312</v>
      </c>
      <c r="E123" s="22" t="n">
        <v>-12372</v>
      </c>
      <c r="F123" s="22" t="n">
        <v>633</v>
      </c>
      <c r="G123" s="22" t="n">
        <v>-8418</v>
      </c>
      <c r="H123" s="22" t="n">
        <v>-20717</v>
      </c>
      <c r="I123" s="22" t="n">
        <v>1910</v>
      </c>
      <c r="J123" s="22" t="n">
        <v>5874</v>
      </c>
      <c r="K123" s="22" t="n">
        <v>6051</v>
      </c>
      <c r="L123" s="22" t="n">
        <v>-35904</v>
      </c>
      <c r="M123" s="22" t="n">
        <v>-2582</v>
      </c>
      <c r="N123" s="22" t="n">
        <v>-2285</v>
      </c>
      <c r="Q123" s="22" t="n">
        <v>-18570</v>
      </c>
      <c r="R123" s="22" t="n">
        <v>21371</v>
      </c>
      <c r="S123" s="22" t="n">
        <v>2993</v>
      </c>
      <c r="T123" s="22" t="n">
        <v>-43417</v>
      </c>
      <c r="U123" s="22" t="n">
        <v>13941</v>
      </c>
      <c r="V123" s="22" t="n">
        <v>-12372</v>
      </c>
      <c r="W123" s="22" t="n">
        <v>1910</v>
      </c>
      <c r="X123" s="22" t="n">
        <v>-2582</v>
      </c>
    </row>
    <row r="124">
      <c r="A124" s="20" t="inlineStr">
        <is>
          <t>재고자산 증감</t>
        </is>
      </c>
      <c r="C124" s="22" t="n">
        <v>-5774</v>
      </c>
      <c r="D124" s="22" t="n">
        <v>-5749</v>
      </c>
      <c r="E124" s="22" t="n">
        <v>-6337</v>
      </c>
      <c r="F124" s="22" t="n">
        <v>-144</v>
      </c>
      <c r="G124" s="22" t="n">
        <v>-1091</v>
      </c>
      <c r="H124" s="22" t="n">
        <v>-2772</v>
      </c>
      <c r="I124" s="22" t="n">
        <v>-388</v>
      </c>
      <c r="J124" s="22" t="n">
        <v>-5458</v>
      </c>
      <c r="K124" s="22" t="n">
        <v>-10200</v>
      </c>
      <c r="L124" s="22" t="n">
        <v>-12499</v>
      </c>
      <c r="M124" s="22" t="n">
        <v>-12728</v>
      </c>
      <c r="N124" s="22" t="n">
        <v>-3063</v>
      </c>
      <c r="Q124" s="22" t="n">
        <v>-3637</v>
      </c>
      <c r="R124" s="22" t="n">
        <v>1158</v>
      </c>
      <c r="S124" s="22" t="n">
        <v>-3435</v>
      </c>
      <c r="T124" s="22" t="n">
        <v>-7133</v>
      </c>
      <c r="U124" s="22" t="n">
        <v>-11699</v>
      </c>
      <c r="V124" s="22" t="n">
        <v>-6337</v>
      </c>
      <c r="W124" s="22" t="n">
        <v>-388</v>
      </c>
      <c r="X124" s="22" t="n">
        <v>-12728</v>
      </c>
    </row>
    <row r="125">
      <c r="A125" s="20" t="inlineStr">
        <is>
          <t>매입채무 및 기타채무 증감액</t>
        </is>
      </c>
      <c r="C125" s="22" t="n">
        <v>1263</v>
      </c>
      <c r="D125" s="22" t="n">
        <v>-9002</v>
      </c>
      <c r="E125" s="22" t="n">
        <v>-5817</v>
      </c>
      <c r="F125" s="22" t="n">
        <v>-8582</v>
      </c>
      <c r="G125" s="22" t="n">
        <v>-6390</v>
      </c>
      <c r="H125" s="22" t="n">
        <v>-6407</v>
      </c>
      <c r="I125" s="22" t="n">
        <v>-1703</v>
      </c>
      <c r="J125" s="22" t="n">
        <v>-6643</v>
      </c>
      <c r="K125" s="22" t="n">
        <v>-8395</v>
      </c>
      <c r="L125" s="22" t="n">
        <v>-4124</v>
      </c>
      <c r="M125" s="22" t="n">
        <v>7027</v>
      </c>
      <c r="N125" s="22" t="n">
        <v>-22875</v>
      </c>
      <c r="Q125" s="22" t="n">
        <v>4922</v>
      </c>
      <c r="R125" s="22" t="n">
        <v>-5747</v>
      </c>
      <c r="S125" s="22" t="n">
        <v>-2380</v>
      </c>
      <c r="T125" s="22" t="n">
        <v>11686</v>
      </c>
      <c r="U125" s="22" t="n">
        <v>7738</v>
      </c>
      <c r="V125" s="22" t="n">
        <v>-5817</v>
      </c>
      <c r="W125" s="22" t="n">
        <v>-1703</v>
      </c>
      <c r="X125" s="22" t="n">
        <v>7027</v>
      </c>
    </row>
    <row r="126">
      <c r="A126" s="20" t="inlineStr">
        <is>
          <t>기타</t>
        </is>
      </c>
      <c r="G126" s="22" t="n">
        <v>-4194</v>
      </c>
      <c r="K126" s="22" t="n">
        <v>3449</v>
      </c>
    </row>
    <row r="127">
      <c r="A127" s="20" t="inlineStr">
        <is>
          <t>기타</t>
        </is>
      </c>
      <c r="C127" s="22" t="n">
        <v>-5695</v>
      </c>
      <c r="D127" s="22" t="n">
        <v>-3207</v>
      </c>
      <c r="E127" s="22" t="n">
        <v>13286</v>
      </c>
      <c r="F127" s="22" t="n">
        <v>1329</v>
      </c>
      <c r="G127" s="22" t="n">
        <v>-4194</v>
      </c>
      <c r="H127" s="22" t="n">
        <v>-3146</v>
      </c>
      <c r="I127" s="22" t="n">
        <v>5925</v>
      </c>
      <c r="J127" s="22" t="n">
        <v>400</v>
      </c>
      <c r="L127" s="22" t="n">
        <v>-5877</v>
      </c>
      <c r="M127" s="22" t="n">
        <v>13952</v>
      </c>
      <c r="N127" s="22" t="n">
        <v>3740</v>
      </c>
      <c r="Q127" s="22" t="n">
        <v>3711</v>
      </c>
      <c r="R127" s="22" t="n">
        <v>-9202</v>
      </c>
      <c r="S127" s="22" t="n">
        <v>-16524</v>
      </c>
      <c r="T127" s="22" t="n">
        <v>15087</v>
      </c>
      <c r="U127" s="22" t="n">
        <v>-32245</v>
      </c>
      <c r="V127" s="22" t="n">
        <v>13286</v>
      </c>
      <c r="W127" s="22" t="n">
        <v>5925</v>
      </c>
      <c r="X127" s="22" t="n">
        <v>13952</v>
      </c>
    </row>
    <row r="128">
      <c r="A128" s="20" t="inlineStr">
        <is>
          <t>소계</t>
        </is>
      </c>
      <c r="C128" s="22" t="n">
        <v>56538</v>
      </c>
      <c r="D128" s="22" t="n">
        <v>90682</v>
      </c>
      <c r="E128" s="22" t="n">
        <v>168762</v>
      </c>
      <c r="F128" s="22" t="n">
        <v>24855</v>
      </c>
      <c r="G128" s="22" t="n">
        <v>61931</v>
      </c>
      <c r="H128" s="22" t="n">
        <v>106320</v>
      </c>
      <c r="I128" s="22" t="n">
        <v>175393</v>
      </c>
      <c r="J128" s="22" t="n">
        <v>33141</v>
      </c>
      <c r="K128" s="22" t="n">
        <v>72412</v>
      </c>
      <c r="L128" s="22" t="n">
        <v>106443</v>
      </c>
      <c r="M128" s="22" t="n">
        <v>191662</v>
      </c>
      <c r="N128" s="22" t="n">
        <v>33528</v>
      </c>
      <c r="Q128" s="22" t="n">
        <v>159106</v>
      </c>
      <c r="R128" s="22" t="n">
        <v>151078</v>
      </c>
      <c r="S128" s="22" t="n">
        <v>113438</v>
      </c>
      <c r="T128" s="22" t="n">
        <v>103387</v>
      </c>
      <c r="U128" s="22" t="n">
        <v>155530</v>
      </c>
      <c r="V128" s="22" t="n">
        <v>168762</v>
      </c>
      <c r="W128" s="22" t="n">
        <v>175393</v>
      </c>
      <c r="X128" s="22" t="n">
        <v>191662</v>
      </c>
    </row>
    <row r="129">
      <c r="A129" s="20" t="inlineStr">
        <is>
          <t>이자·배당금 수취</t>
        </is>
      </c>
      <c r="C129" s="22" t="n">
        <v>26375</v>
      </c>
      <c r="D129" s="22" t="n">
        <v>39649</v>
      </c>
      <c r="E129" s="22" t="n">
        <v>49324</v>
      </c>
      <c r="F129" s="22" t="n">
        <v>22116</v>
      </c>
      <c r="G129" s="22" t="n">
        <v>29454</v>
      </c>
      <c r="H129" s="22" t="n">
        <v>44942</v>
      </c>
      <c r="I129" s="22" t="n">
        <v>52190</v>
      </c>
      <c r="J129" s="22" t="n">
        <v>22778</v>
      </c>
      <c r="K129" s="22" t="n">
        <v>34483</v>
      </c>
      <c r="L129" s="22" t="n">
        <v>48783</v>
      </c>
      <c r="M129" s="22" t="n">
        <v>63236</v>
      </c>
      <c r="N129" s="22" t="n">
        <v>2257</v>
      </c>
      <c r="Q129" s="22" t="n">
        <v>30086</v>
      </c>
      <c r="R129" s="22" t="n">
        <v>29565</v>
      </c>
      <c r="S129" s="22" t="n">
        <v>28111</v>
      </c>
      <c r="T129" s="22" t="n">
        <v>24807</v>
      </c>
      <c r="U129" s="22" t="n">
        <v>49716</v>
      </c>
      <c r="V129" s="22" t="n">
        <v>49324</v>
      </c>
      <c r="W129" s="22" t="n">
        <v>52190</v>
      </c>
      <c r="X129" s="22" t="n">
        <v>63236</v>
      </c>
    </row>
    <row r="130">
      <c r="A130" s="20" t="inlineStr">
        <is>
          <t>Dividends Received From Entities Accounted For Using Equity Method Ope CF</t>
        </is>
      </c>
      <c r="J130" s="22" t="n">
        <v>0</v>
      </c>
      <c r="N130" s="22" t="n">
        <v>28920</v>
      </c>
    </row>
    <row r="131">
      <c r="A131" s="20" t="inlineStr">
        <is>
          <t>이자 지급</t>
        </is>
      </c>
      <c r="C131" s="22" t="n">
        <v>-41</v>
      </c>
      <c r="D131" s="22" t="n">
        <v>-114</v>
      </c>
      <c r="E131" s="22" t="n">
        <v>-164</v>
      </c>
      <c r="F131" s="22" t="n">
        <v>-64</v>
      </c>
      <c r="G131" s="22" t="n">
        <v>-145</v>
      </c>
      <c r="H131" s="22" t="n">
        <v>-218</v>
      </c>
      <c r="I131" s="22" t="n">
        <v>-305</v>
      </c>
      <c r="J131" s="22" t="n">
        <v>-80</v>
      </c>
      <c r="K131" s="22" t="n">
        <v>-148</v>
      </c>
      <c r="L131" s="22" t="n">
        <v>-222</v>
      </c>
      <c r="M131" s="22" t="n">
        <v>-344</v>
      </c>
      <c r="N131" s="22" t="n">
        <v>-1828</v>
      </c>
      <c r="Q131" s="22" t="n">
        <v>-693</v>
      </c>
      <c r="R131" s="22" t="n">
        <v>-348</v>
      </c>
      <c r="S131" s="22" t="n">
        <v>-256</v>
      </c>
      <c r="T131" s="22" t="n">
        <v>-87</v>
      </c>
      <c r="U131" s="22" t="n">
        <v>-94</v>
      </c>
      <c r="V131" s="22" t="n">
        <v>-164</v>
      </c>
      <c r="W131" s="22" t="n">
        <v>-305</v>
      </c>
      <c r="X131" s="22" t="n">
        <v>-344</v>
      </c>
    </row>
    <row r="132">
      <c r="A132" s="20" t="inlineStr">
        <is>
          <t>법인소득세 지급액</t>
        </is>
      </c>
      <c r="T132" s="22" t="n">
        <v>-39324</v>
      </c>
      <c r="U132" s="22" t="n">
        <v>-27284</v>
      </c>
    </row>
    <row r="133">
      <c r="A133" s="20" t="inlineStr">
        <is>
          <t>Income Taxes Refund Ope CF</t>
        </is>
      </c>
      <c r="S133" s="22" t="n">
        <v>0</v>
      </c>
      <c r="T133" s="22" t="n">
        <v>13286</v>
      </c>
      <c r="U133" s="22" t="n">
        <v>0</v>
      </c>
    </row>
    <row r="134">
      <c r="A134" s="20" t="inlineStr">
        <is>
          <t>Income Taxes Refund Paid Ope CF</t>
        </is>
      </c>
      <c r="C134" s="22" t="n">
        <v>-37339</v>
      </c>
      <c r="D134" s="22" t="n">
        <v>-63159</v>
      </c>
      <c r="E134" s="22" t="n">
        <v>-63637</v>
      </c>
      <c r="F134" s="22" t="n">
        <v>-13406</v>
      </c>
      <c r="G134" s="22" t="n">
        <v>-12441</v>
      </c>
      <c r="H134" s="22" t="n">
        <v>-31449</v>
      </c>
      <c r="I134" s="22" t="n">
        <v>-31817</v>
      </c>
      <c r="J134" s="22" t="n">
        <v>-14794</v>
      </c>
      <c r="K134" s="22" t="n">
        <v>-15255</v>
      </c>
      <c r="L134" s="22" t="n">
        <v>-31479</v>
      </c>
      <c r="M134" s="22" t="n">
        <v>-40982</v>
      </c>
      <c r="N134" s="22" t="n">
        <v>-19768</v>
      </c>
      <c r="Q134" s="22" t="n">
        <v>-23499</v>
      </c>
      <c r="R134" s="22" t="n">
        <v>-48354</v>
      </c>
      <c r="S134" s="22" t="n">
        <v>-32254</v>
      </c>
      <c r="T134" s="22" t="n">
        <v>-39324</v>
      </c>
      <c r="U134" s="22" t="n">
        <v>-27284</v>
      </c>
      <c r="V134" s="22" t="n">
        <v>-63637</v>
      </c>
      <c r="W134" s="22" t="n">
        <v>-31817</v>
      </c>
      <c r="X134" s="22" t="n">
        <v>-40982</v>
      </c>
    </row>
    <row r="135">
      <c r="A135" s="9" t="inlineStr">
        <is>
          <t>영업활동 현금흐름</t>
        </is>
      </c>
      <c r="C135" s="12" t="n">
        <v>45533</v>
      </c>
      <c r="D135" s="12" t="n">
        <v>67056</v>
      </c>
      <c r="E135" s="12" t="n">
        <v>154284</v>
      </c>
      <c r="F135" s="12" t="n">
        <v>33500</v>
      </c>
      <c r="G135" s="12" t="n">
        <v>78797</v>
      </c>
      <c r="H135" s="12" t="n">
        <v>119594</v>
      </c>
      <c r="I135" s="12" t="n">
        <v>195460</v>
      </c>
      <c r="J135" s="12" t="n">
        <v>41043</v>
      </c>
      <c r="K135" s="12" t="n">
        <v>91491</v>
      </c>
      <c r="L135" s="12" t="n">
        <v>123524</v>
      </c>
      <c r="M135" s="12" t="n">
        <v>213572</v>
      </c>
      <c r="N135" s="12" t="n">
        <v>43109</v>
      </c>
      <c r="Q135" s="12" t="n">
        <v>165000</v>
      </c>
      <c r="R135" s="12" t="n">
        <v>131940</v>
      </c>
      <c r="S135" s="12" t="n">
        <v>109039</v>
      </c>
      <c r="T135" s="12" t="n">
        <v>102068</v>
      </c>
      <c r="U135" s="12" t="n">
        <v>177867</v>
      </c>
      <c r="V135" s="12" t="n">
        <v>154284</v>
      </c>
      <c r="W135" s="12" t="n">
        <v>195460</v>
      </c>
      <c r="X135" s="12" t="n">
        <v>213572</v>
      </c>
    </row>
    <row r="136">
      <c r="A136" s="20" t="inlineStr">
        <is>
          <t>정기예금 예입</t>
        </is>
      </c>
      <c r="C136" s="22" t="n">
        <v>-192714</v>
      </c>
      <c r="D136" s="22" t="n">
        <v>-270533</v>
      </c>
      <c r="E136" s="22" t="n">
        <v>-187354</v>
      </c>
      <c r="F136" s="22" t="n">
        <v>-145820</v>
      </c>
      <c r="G136" s="22" t="n">
        <v>-214131</v>
      </c>
      <c r="H136" s="22" t="n">
        <v>-289299</v>
      </c>
      <c r="I136" s="22" t="n">
        <v>-382979</v>
      </c>
      <c r="J136" s="22" t="n">
        <v>-67273</v>
      </c>
      <c r="K136" s="22" t="n">
        <v>-103772</v>
      </c>
      <c r="L136" s="22" t="n">
        <v>-148806</v>
      </c>
      <c r="M136" s="22" t="n">
        <v>-116984</v>
      </c>
      <c r="N136" s="22" t="n">
        <v>-39244</v>
      </c>
      <c r="Q136" s="22" t="n">
        <v>-123651</v>
      </c>
      <c r="R136" s="22" t="n">
        <v>-200827</v>
      </c>
      <c r="S136" s="22" t="n">
        <v>-230468</v>
      </c>
      <c r="T136" s="22" t="n">
        <v>-260380</v>
      </c>
      <c r="U136" s="22" t="n">
        <v>-398933</v>
      </c>
      <c r="V136" s="22" t="n">
        <v>-187354</v>
      </c>
      <c r="W136" s="22" t="n">
        <v>-382979</v>
      </c>
      <c r="X136" s="22" t="n">
        <v>-116984</v>
      </c>
    </row>
    <row r="137">
      <c r="A137" s="20" t="inlineStr">
        <is>
          <t>정기예금 인출</t>
        </is>
      </c>
      <c r="C137" s="22" t="n">
        <v>154377</v>
      </c>
      <c r="D137" s="22" t="n">
        <v>317504</v>
      </c>
      <c r="E137" s="22" t="n">
        <v>264792</v>
      </c>
      <c r="F137" s="22" t="n">
        <v>80716</v>
      </c>
      <c r="G137" s="22" t="n">
        <v>144939</v>
      </c>
      <c r="H137" s="22" t="n">
        <v>202473</v>
      </c>
      <c r="I137" s="22" t="n">
        <v>308606</v>
      </c>
      <c r="J137" s="22" t="n">
        <v>30018</v>
      </c>
      <c r="K137" s="22" t="n">
        <v>71919</v>
      </c>
      <c r="L137" s="22" t="n">
        <v>97342</v>
      </c>
      <c r="M137" s="22" t="n">
        <v>119453</v>
      </c>
      <c r="N137" s="22" t="n">
        <v>1464</v>
      </c>
      <c r="Q137" s="22" t="n">
        <v>91064</v>
      </c>
      <c r="R137" s="22" t="n">
        <v>174672</v>
      </c>
      <c r="S137" s="22" t="n">
        <v>269696</v>
      </c>
      <c r="T137" s="22" t="n">
        <v>234685</v>
      </c>
      <c r="U137" s="22" t="n">
        <v>341883</v>
      </c>
      <c r="V137" s="22" t="n">
        <v>264792</v>
      </c>
      <c r="W137" s="22" t="n">
        <v>308606</v>
      </c>
      <c r="X137" s="22" t="n">
        <v>119453</v>
      </c>
    </row>
    <row r="138">
      <c r="A138" s="20" t="inlineStr">
        <is>
          <t>유형자산 취득(설비투자)</t>
        </is>
      </c>
      <c r="C138" s="22" t="n">
        <v>-8187</v>
      </c>
      <c r="D138" s="22" t="n">
        <v>-10486</v>
      </c>
      <c r="E138" s="22" t="n">
        <v>-12693</v>
      </c>
      <c r="F138" s="22" t="n">
        <v>-2948</v>
      </c>
      <c r="G138" s="22" t="n">
        <v>-8066</v>
      </c>
      <c r="H138" s="22" t="n">
        <v>-9927</v>
      </c>
      <c r="I138" s="22" t="n">
        <v>-17126</v>
      </c>
      <c r="J138" s="22" t="n">
        <v>-4505</v>
      </c>
      <c r="K138" s="22" t="n">
        <v>-7282</v>
      </c>
      <c r="L138" s="22" t="n">
        <v>-8871</v>
      </c>
      <c r="M138" s="22" t="n">
        <v>-14464</v>
      </c>
      <c r="N138" s="22" t="n">
        <v>-4602</v>
      </c>
      <c r="Q138" s="22" t="n">
        <v>-6547</v>
      </c>
      <c r="R138" s="22" t="n">
        <v>-8945</v>
      </c>
      <c r="S138" s="22" t="n">
        <v>-28182</v>
      </c>
      <c r="T138" s="22" t="n">
        <v>-26185</v>
      </c>
      <c r="U138" s="22" t="n">
        <v>-11858</v>
      </c>
      <c r="V138" s="22" t="n">
        <v>-12693</v>
      </c>
      <c r="W138" s="22" t="n">
        <v>-17126</v>
      </c>
      <c r="X138" s="22" t="n">
        <v>-14464</v>
      </c>
    </row>
    <row r="139">
      <c r="A139" s="20" t="inlineStr">
        <is>
          <t>유형자산 매각</t>
        </is>
      </c>
      <c r="Q139" s="22" t="n">
        <v>751</v>
      </c>
      <c r="R139" s="22" t="n">
        <v>3427</v>
      </c>
      <c r="S139" s="22" t="n">
        <v>45</v>
      </c>
    </row>
    <row r="140">
      <c r="A140" s="20" t="inlineStr">
        <is>
          <t>무형자산 취득 지출</t>
        </is>
      </c>
      <c r="C140" s="22" t="n">
        <v>-3814</v>
      </c>
      <c r="D140" s="22" t="n">
        <v>-10790</v>
      </c>
      <c r="E140" s="22" t="n">
        <v>-15574</v>
      </c>
      <c r="F140" s="22" t="n">
        <v>-29070</v>
      </c>
      <c r="G140" s="22" t="n">
        <v>-30115</v>
      </c>
      <c r="H140" s="22" t="n">
        <v>-33279</v>
      </c>
      <c r="I140" s="22" t="n">
        <v>-34977</v>
      </c>
      <c r="J140" s="22" t="n">
        <v>-2466</v>
      </c>
      <c r="K140" s="22" t="n">
        <v>-5709</v>
      </c>
      <c r="L140" s="22" t="n">
        <v>-7215</v>
      </c>
      <c r="M140" s="22" t="n">
        <v>-16840</v>
      </c>
      <c r="N140" s="22" t="n">
        <v>-8124</v>
      </c>
      <c r="Q140" s="22" t="n">
        <v>-18848</v>
      </c>
      <c r="R140" s="22" t="n">
        <v>-2823</v>
      </c>
      <c r="S140" s="22" t="n">
        <v>-4762</v>
      </c>
      <c r="T140" s="22" t="n">
        <v>-5379</v>
      </c>
      <c r="U140" s="22" t="n">
        <v>-25329</v>
      </c>
      <c r="V140" s="22" t="n">
        <v>-15574</v>
      </c>
      <c r="W140" s="22" t="n">
        <v>-34977</v>
      </c>
      <c r="X140" s="22" t="n">
        <v>-16840</v>
      </c>
    </row>
    <row r="141">
      <c r="A141" s="20" t="inlineStr">
        <is>
          <t>Purchase Of Investments Inv CF</t>
        </is>
      </c>
      <c r="C141" s="22" t="n">
        <v>-44229</v>
      </c>
      <c r="D141" s="22" t="n">
        <v>-66114</v>
      </c>
      <c r="E141" s="22" t="n">
        <v>-97490</v>
      </c>
      <c r="F141" s="22" t="n">
        <v>-14627</v>
      </c>
      <c r="G141" s="22" t="n">
        <v>-33288</v>
      </c>
      <c r="H141" s="22" t="n">
        <v>-37098</v>
      </c>
      <c r="I141" s="22" t="n">
        <v>-55521</v>
      </c>
      <c r="J141" s="22" t="n">
        <v>-22272</v>
      </c>
      <c r="K141" s="22" t="n">
        <v>-70370</v>
      </c>
      <c r="L141" s="22" t="n">
        <v>-71783</v>
      </c>
      <c r="M141" s="22" t="n">
        <v>-72379</v>
      </c>
      <c r="N141" s="22" t="n">
        <v>-2306</v>
      </c>
      <c r="Q141" s="22" t="n">
        <v>-11964</v>
      </c>
      <c r="R141" s="22" t="n">
        <v>-99630</v>
      </c>
      <c r="S141" s="22" t="n">
        <v>-120478</v>
      </c>
      <c r="T141" s="22" t="n">
        <v>-139396</v>
      </c>
      <c r="U141" s="22" t="n">
        <v>-83335</v>
      </c>
      <c r="V141" s="22" t="n">
        <v>-97490</v>
      </c>
      <c r="W141" s="22" t="n">
        <v>-55521</v>
      </c>
      <c r="X141" s="22" t="n">
        <v>-72379</v>
      </c>
    </row>
    <row r="142">
      <c r="A142" s="20" t="inlineStr">
        <is>
          <t>Proceeds From Sale Of Investments</t>
        </is>
      </c>
      <c r="Q142" s="22" t="n">
        <v>20725</v>
      </c>
      <c r="R142" s="22" t="n">
        <v>119485</v>
      </c>
      <c r="S142" s="22" t="n">
        <v>116265</v>
      </c>
      <c r="T142" s="22" t="n">
        <v>99511</v>
      </c>
    </row>
    <row r="143">
      <c r="A143" s="20" t="inlineStr">
        <is>
          <t>Proceeds From Sale Of Investments Inv CF</t>
        </is>
      </c>
      <c r="C143" s="22" t="n">
        <v>43130</v>
      </c>
      <c r="D143" s="22" t="n">
        <v>58136</v>
      </c>
      <c r="E143" s="22" t="n">
        <v>84599</v>
      </c>
      <c r="F143" s="22" t="n">
        <v>22000</v>
      </c>
      <c r="G143" s="22" t="n">
        <v>33211</v>
      </c>
      <c r="H143" s="22" t="n">
        <v>43593</v>
      </c>
      <c r="I143" s="22" t="n">
        <v>69095</v>
      </c>
      <c r="J143" s="22" t="n">
        <v>13000</v>
      </c>
      <c r="K143" s="22" t="n">
        <v>31005</v>
      </c>
      <c r="L143" s="22" t="n">
        <v>46117</v>
      </c>
      <c r="M143" s="22" t="n">
        <v>66619</v>
      </c>
      <c r="N143" s="22" t="n">
        <v>21014</v>
      </c>
      <c r="T143" s="22" t="n">
        <v>99511</v>
      </c>
      <c r="U143" s="22" t="n">
        <v>125974</v>
      </c>
      <c r="V143" s="22" t="n">
        <v>84599</v>
      </c>
      <c r="W143" s="22" t="n">
        <v>69095</v>
      </c>
      <c r="X143" s="22" t="n">
        <v>66619</v>
      </c>
    </row>
    <row r="144">
      <c r="A144" s="20" t="inlineStr">
        <is>
          <t>사업양수 지출</t>
        </is>
      </c>
      <c r="H144" s="22" t="n">
        <v>0</v>
      </c>
      <c r="I144" s="22" t="n">
        <v>0</v>
      </c>
      <c r="J144" s="22" t="n">
        <v>0</v>
      </c>
      <c r="L144" s="22" t="n">
        <v>-5396</v>
      </c>
      <c r="M144" s="22" t="n">
        <v>-4271</v>
      </c>
      <c r="N144" s="22" t="n">
        <v>-391877</v>
      </c>
      <c r="Q144" s="22" t="n">
        <v>-937</v>
      </c>
      <c r="R144" s="22" t="n">
        <v>0</v>
      </c>
      <c r="W144" s="22" t="n">
        <v>0</v>
      </c>
      <c r="X144" s="22" t="n">
        <v>-4271</v>
      </c>
    </row>
    <row r="145">
      <c r="A145" s="20" t="inlineStr">
        <is>
          <t>자회사 취득 지출</t>
        </is>
      </c>
      <c r="C145" s="22" t="n">
        <v>-15672</v>
      </c>
      <c r="D145" s="22" t="n">
        <v>-15942</v>
      </c>
      <c r="E145" s="22" t="n">
        <v>-16079</v>
      </c>
      <c r="G145" s="22" t="n">
        <v>-200</v>
      </c>
      <c r="H145" s="22" t="n">
        <v>-200</v>
      </c>
      <c r="I145" s="22" t="n">
        <v>-200</v>
      </c>
      <c r="K145" s="22" t="n">
        <v>4414</v>
      </c>
      <c r="L145" s="22" t="n">
        <v>-7734</v>
      </c>
      <c r="M145" s="22" t="n">
        <v>-8267</v>
      </c>
      <c r="Q145" s="22" t="n">
        <v>0</v>
      </c>
      <c r="R145" s="22" t="n">
        <v>-4525</v>
      </c>
      <c r="S145" s="22" t="n">
        <v>-3636</v>
      </c>
      <c r="T145" s="22" t="n">
        <v>0</v>
      </c>
      <c r="U145" s="22" t="n">
        <v>0</v>
      </c>
      <c r="V145" s="22" t="n">
        <v>-16079</v>
      </c>
      <c r="W145" s="22" t="n">
        <v>-200</v>
      </c>
      <c r="X145" s="22" t="n">
        <v>-8267</v>
      </c>
    </row>
    <row r="146">
      <c r="A146" s="20" t="inlineStr">
        <is>
          <t>Purchase Of Investments In Associates Inv CF</t>
        </is>
      </c>
      <c r="Q146" s="22" t="n">
        <v>-5742</v>
      </c>
      <c r="R146" s="22" t="n">
        <v>-4252</v>
      </c>
      <c r="S146" s="22" t="n">
        <v>0</v>
      </c>
    </row>
    <row r="147">
      <c r="A147" s="20" t="inlineStr">
        <is>
          <t>자회사 매각 지출</t>
        </is>
      </c>
      <c r="C147" s="22" t="n">
        <v>-647</v>
      </c>
      <c r="D147" s="22" t="n">
        <v>-306</v>
      </c>
      <c r="E147" s="22" t="n">
        <v>-296</v>
      </c>
      <c r="G147" s="22" t="n">
        <v>0</v>
      </c>
      <c r="H147" s="22" t="n">
        <v>0</v>
      </c>
      <c r="I147" s="22" t="n">
        <v>0</v>
      </c>
      <c r="U147" s="22" t="n">
        <v>0</v>
      </c>
      <c r="V147" s="22" t="n">
        <v>-296</v>
      </c>
      <c r="W147" s="22" t="n">
        <v>0</v>
      </c>
    </row>
    <row r="148">
      <c r="A148" s="20" t="inlineStr">
        <is>
          <t>Payments For Acquisition Of Shares Of Equity Method Affiliates Inv CF</t>
        </is>
      </c>
      <c r="C148" s="22" t="n">
        <v>0</v>
      </c>
      <c r="D148" s="22" t="n">
        <v>-11121</v>
      </c>
      <c r="E148" s="22" t="n">
        <v>-11121</v>
      </c>
      <c r="F148" s="22" t="n">
        <v>-125</v>
      </c>
      <c r="G148" s="22" t="n">
        <v>-125</v>
      </c>
      <c r="H148" s="22" t="n">
        <v>-125</v>
      </c>
      <c r="I148" s="22" t="n">
        <v>-1125</v>
      </c>
      <c r="J148" s="22" t="n">
        <v>-76625</v>
      </c>
      <c r="K148" s="22" t="n">
        <v>-76656</v>
      </c>
      <c r="L148" s="22" t="n">
        <v>-76656</v>
      </c>
      <c r="M148" s="22" t="n">
        <v>-416446</v>
      </c>
      <c r="N148" s="22" t="n">
        <v>0</v>
      </c>
      <c r="U148" s="22" t="n">
        <v>0</v>
      </c>
      <c r="V148" s="22" t="n">
        <v>-11121</v>
      </c>
      <c r="W148" s="22" t="n">
        <v>-1125</v>
      </c>
      <c r="X148" s="22" t="n">
        <v>-416446</v>
      </c>
    </row>
    <row r="149">
      <c r="A149" s="20" t="inlineStr">
        <is>
          <t>대여</t>
        </is>
      </c>
      <c r="G149" s="22" t="n">
        <v>0</v>
      </c>
      <c r="H149" s="22" t="n">
        <v>0</v>
      </c>
      <c r="I149" s="22" t="n">
        <v>0</v>
      </c>
      <c r="K149" s="22" t="n">
        <v>-45000</v>
      </c>
      <c r="L149" s="22" t="n">
        <v>-45000</v>
      </c>
      <c r="M149" s="22" t="n">
        <v>-45000</v>
      </c>
      <c r="W149" s="22" t="n">
        <v>0</v>
      </c>
      <c r="X149" s="22" t="n">
        <v>-45000</v>
      </c>
    </row>
    <row r="150">
      <c r="A150" s="20" t="inlineStr">
        <is>
          <t>기타</t>
        </is>
      </c>
      <c r="C150" s="22" t="n">
        <v>-452</v>
      </c>
      <c r="D150" s="22" t="n">
        <v>-501</v>
      </c>
      <c r="E150" s="22" t="n">
        <v>-2856</v>
      </c>
      <c r="F150" s="22" t="n">
        <v>-972</v>
      </c>
      <c r="G150" s="22" t="n">
        <v>-703</v>
      </c>
      <c r="H150" s="22" t="n">
        <v>-1845</v>
      </c>
      <c r="I150" s="22" t="n">
        <v>-1852</v>
      </c>
      <c r="J150" s="22" t="n">
        <v>-548</v>
      </c>
      <c r="K150" s="22" t="n">
        <v>-1535</v>
      </c>
      <c r="L150" s="22" t="n">
        <v>-1556</v>
      </c>
      <c r="M150" s="22" t="n">
        <v>2444</v>
      </c>
      <c r="N150" s="22" t="n">
        <v>-56</v>
      </c>
      <c r="Q150" s="22" t="n">
        <v>-1104</v>
      </c>
      <c r="R150" s="22" t="n">
        <v>-5725</v>
      </c>
      <c r="S150" s="22" t="n">
        <v>-3694</v>
      </c>
      <c r="T150" s="22" t="n">
        <v>940</v>
      </c>
      <c r="U150" s="22" t="n">
        <v>3305</v>
      </c>
      <c r="V150" s="22" t="n">
        <v>-2856</v>
      </c>
      <c r="W150" s="22" t="n">
        <v>-1852</v>
      </c>
      <c r="X150" s="22" t="n">
        <v>2444</v>
      </c>
    </row>
    <row r="151">
      <c r="A151" s="9" t="inlineStr">
        <is>
          <t>투자활동 현금흐름</t>
        </is>
      </c>
      <c r="C151" s="12" t="n">
        <v>-68211</v>
      </c>
      <c r="D151" s="12" t="n">
        <v>-10155</v>
      </c>
      <c r="E151" s="12" t="n">
        <v>5922</v>
      </c>
      <c r="F151" s="12" t="n">
        <v>-90849</v>
      </c>
      <c r="G151" s="12" t="n">
        <v>-108479</v>
      </c>
      <c r="H151" s="12" t="n">
        <v>-125708</v>
      </c>
      <c r="I151" s="12" t="n">
        <v>-116080</v>
      </c>
      <c r="J151" s="12" t="n">
        <v>-130672</v>
      </c>
      <c r="K151" s="12" t="n">
        <v>-202988</v>
      </c>
      <c r="L151" s="12" t="n">
        <v>-229560</v>
      </c>
      <c r="M151" s="12" t="n">
        <v>-506137</v>
      </c>
      <c r="N151" s="12" t="n">
        <v>-423731</v>
      </c>
      <c r="Q151" s="12" t="n">
        <v>-56256</v>
      </c>
      <c r="R151" s="12" t="n">
        <v>-29144</v>
      </c>
      <c r="S151" s="12" t="n">
        <v>-5261</v>
      </c>
      <c r="T151" s="12" t="n">
        <v>-96204</v>
      </c>
      <c r="U151" s="12" t="n">
        <v>-48292</v>
      </c>
      <c r="V151" s="12" t="n">
        <v>5922</v>
      </c>
      <c r="W151" s="12" t="n">
        <v>-116080</v>
      </c>
      <c r="X151" s="12" t="n">
        <v>-506137</v>
      </c>
    </row>
    <row r="152">
      <c r="A152" s="20" t="inlineStr">
        <is>
          <t>장기차입금 상환</t>
        </is>
      </c>
      <c r="Q152" s="22" t="n">
        <v>-10000</v>
      </c>
      <c r="R152" s="22" t="n">
        <v>0</v>
      </c>
    </row>
    <row r="153">
      <c r="A153" s="20" t="inlineStr">
        <is>
          <t>단기차입</t>
        </is>
      </c>
      <c r="I153" s="22" t="n">
        <v>0</v>
      </c>
      <c r="M153" s="22" t="n">
        <v>660000</v>
      </c>
      <c r="W153" s="22" t="n">
        <v>0</v>
      </c>
      <c r="X153" s="22" t="n">
        <v>660000</v>
      </c>
    </row>
    <row r="154">
      <c r="A154" s="20" t="inlineStr">
        <is>
          <t>리스부채 상환 지출</t>
        </is>
      </c>
      <c r="C154" s="22" t="n">
        <v>-1556</v>
      </c>
      <c r="D154" s="22" t="n">
        <v>-2379</v>
      </c>
      <c r="E154" s="22" t="n">
        <v>-3080</v>
      </c>
      <c r="F154" s="22" t="n">
        <v>-765</v>
      </c>
      <c r="G154" s="22" t="n">
        <v>-1495</v>
      </c>
      <c r="H154" s="22" t="n">
        <v>-2294</v>
      </c>
      <c r="I154" s="22" t="n">
        <v>-3112</v>
      </c>
      <c r="J154" s="22" t="n">
        <v>-927</v>
      </c>
      <c r="K154" s="22" t="n">
        <v>-1915</v>
      </c>
      <c r="L154" s="22" t="n">
        <v>-3013</v>
      </c>
      <c r="M154" s="22" t="n">
        <v>-4160</v>
      </c>
      <c r="N154" s="22" t="n">
        <v>-1183</v>
      </c>
      <c r="Q154" s="22" t="n">
        <v>-3022</v>
      </c>
      <c r="R154" s="22" t="n">
        <v>-3544</v>
      </c>
      <c r="S154" s="22" t="n">
        <v>-3648</v>
      </c>
      <c r="T154" s="22" t="n">
        <v>-3453</v>
      </c>
      <c r="U154" s="22" t="n">
        <v>-3158</v>
      </c>
      <c r="V154" s="22" t="n">
        <v>-3080</v>
      </c>
      <c r="W154" s="22" t="n">
        <v>-3112</v>
      </c>
      <c r="X154" s="22" t="n">
        <v>-4160</v>
      </c>
    </row>
    <row r="155">
      <c r="A155" s="20" t="inlineStr">
        <is>
          <t>자기주식 취득</t>
        </is>
      </c>
      <c r="C155" s="22" t="n">
        <v>-19459</v>
      </c>
      <c r="D155" s="22" t="n">
        <v>-46892</v>
      </c>
      <c r="E155" s="22" t="n">
        <v>-75182</v>
      </c>
      <c r="F155" s="22" t="n">
        <v>-3</v>
      </c>
      <c r="G155" s="22" t="n">
        <v>-6</v>
      </c>
      <c r="H155" s="22" t="n">
        <v>-9</v>
      </c>
      <c r="I155" s="22" t="n">
        <v>-10</v>
      </c>
      <c r="J155" s="22" t="n">
        <v>-0</v>
      </c>
      <c r="K155" s="22" t="n">
        <v>-3</v>
      </c>
      <c r="L155" s="22" t="n">
        <v>-4</v>
      </c>
      <c r="M155" s="22" t="n">
        <v>-5</v>
      </c>
      <c r="N155" s="22" t="n">
        <v>-0</v>
      </c>
      <c r="Q155" s="22" t="n">
        <v>-50270</v>
      </c>
      <c r="R155" s="22" t="n">
        <v>-50159</v>
      </c>
      <c r="S155" s="22" t="n">
        <v>-50134</v>
      </c>
      <c r="T155" s="22" t="n">
        <v>-14</v>
      </c>
      <c r="U155" s="22" t="n">
        <v>-49539</v>
      </c>
      <c r="V155" s="22" t="n">
        <v>-75182</v>
      </c>
      <c r="W155" s="22" t="n">
        <v>-10</v>
      </c>
      <c r="X155" s="22" t="n">
        <v>-5</v>
      </c>
    </row>
    <row r="156">
      <c r="A156" s="20" t="inlineStr">
        <is>
          <t>자기주식 매각</t>
        </is>
      </c>
      <c r="R156" s="22" t="n">
        <v>0</v>
      </c>
      <c r="S156" s="22" t="n">
        <v>33534</v>
      </c>
      <c r="T156" s="22" t="n">
        <v>0</v>
      </c>
    </row>
    <row r="157">
      <c r="A157" s="20" t="inlineStr">
        <is>
          <t>배당금 지급</t>
        </is>
      </c>
      <c r="C157" s="22" t="n">
        <v>-22280</v>
      </c>
      <c r="D157" s="22" t="n">
        <v>-44365</v>
      </c>
      <c r="E157" s="22" t="n">
        <v>-43876</v>
      </c>
      <c r="F157" s="22" t="n">
        <v>-23967</v>
      </c>
      <c r="G157" s="22" t="n">
        <v>-24346</v>
      </c>
      <c r="H157" s="22" t="n">
        <v>-48468</v>
      </c>
      <c r="I157" s="22" t="n">
        <v>-48698</v>
      </c>
      <c r="J157" s="22" t="n">
        <v>-28114</v>
      </c>
      <c r="K157" s="22" t="n">
        <v>-28104</v>
      </c>
      <c r="L157" s="22" t="n">
        <v>-56200</v>
      </c>
      <c r="M157" s="22" t="n">
        <v>-56175</v>
      </c>
      <c r="N157" s="22" t="n">
        <v>-32464</v>
      </c>
      <c r="Q157" s="22" t="n">
        <v>-27639</v>
      </c>
      <c r="R157" s="22" t="n">
        <v>-31122</v>
      </c>
      <c r="S157" s="22" t="n">
        <v>-32529</v>
      </c>
      <c r="T157" s="22" t="n">
        <v>-33146</v>
      </c>
      <c r="U157" s="22" t="n">
        <v>-36142</v>
      </c>
      <c r="V157" s="22" t="n">
        <v>-43876</v>
      </c>
      <c r="W157" s="22" t="n">
        <v>-48698</v>
      </c>
      <c r="X157" s="22" t="n">
        <v>-56175</v>
      </c>
    </row>
    <row r="158">
      <c r="A158" s="20" t="inlineStr">
        <is>
          <t>비지배지분 배당금 지급액</t>
        </is>
      </c>
      <c r="C158" s="22" t="n">
        <v>0</v>
      </c>
      <c r="D158" s="22" t="n">
        <v>0</v>
      </c>
      <c r="E158" s="22" t="n">
        <v>0</v>
      </c>
      <c r="F158" s="22" t="n">
        <v>-98</v>
      </c>
      <c r="G158" s="22" t="n">
        <v>-98</v>
      </c>
      <c r="H158" s="22" t="n">
        <v>-98</v>
      </c>
      <c r="I158" s="22" t="n">
        <v>-98</v>
      </c>
      <c r="J158" s="22" t="n">
        <v>-337</v>
      </c>
      <c r="K158" s="22" t="n">
        <v>-337</v>
      </c>
      <c r="L158" s="22" t="n">
        <v>-337</v>
      </c>
      <c r="M158" s="22" t="n">
        <v>-337</v>
      </c>
      <c r="N158" s="22" t="n">
        <v>-490</v>
      </c>
      <c r="V158" s="22" t="n">
        <v>0</v>
      </c>
      <c r="W158" s="22" t="n">
        <v>-98</v>
      </c>
      <c r="X158" s="22" t="n">
        <v>-337</v>
      </c>
    </row>
    <row r="159">
      <c r="A159" s="20" t="inlineStr">
        <is>
          <t>비지배지분으로부터 자회사 지분 취득 지출</t>
        </is>
      </c>
      <c r="E159" s="22" t="n">
        <v>-4714</v>
      </c>
      <c r="I159" s="22" t="n">
        <v>-12989</v>
      </c>
      <c r="M159" s="22" t="n">
        <v>0</v>
      </c>
      <c r="Q159" s="22" t="n">
        <v>0</v>
      </c>
      <c r="R159" s="22" t="n">
        <v>-3367</v>
      </c>
      <c r="S159" s="22" t="n">
        <v>-1575</v>
      </c>
      <c r="T159" s="22" t="n">
        <v>0</v>
      </c>
      <c r="U159" s="22" t="n">
        <v>0</v>
      </c>
      <c r="V159" s="22" t="n">
        <v>-4714</v>
      </c>
      <c r="W159" s="22" t="n">
        <v>-12989</v>
      </c>
      <c r="X159" s="22" t="n">
        <v>0</v>
      </c>
    </row>
    <row r="160">
      <c r="A160" s="20" t="inlineStr">
        <is>
          <t>비지배지분에 자회사 지분 매각 수입</t>
        </is>
      </c>
      <c r="Q160" s="22" t="n">
        <v>1020</v>
      </c>
      <c r="R160" s="22" t="n">
        <v>0</v>
      </c>
    </row>
    <row r="161">
      <c r="A161" s="20" t="inlineStr">
        <is>
          <t>Capital Contribution From Non Controlling Interests Fin CF</t>
        </is>
      </c>
      <c r="C161" s="22" t="n">
        <v>0</v>
      </c>
      <c r="D161" s="22" t="n">
        <v>0</v>
      </c>
      <c r="E161" s="22" t="n">
        <v>0</v>
      </c>
      <c r="R161" s="22" t="n">
        <v>49</v>
      </c>
      <c r="S161" s="22" t="n">
        <v>10464</v>
      </c>
      <c r="T161" s="22" t="n">
        <v>0</v>
      </c>
      <c r="U161" s="22" t="n">
        <v>4714</v>
      </c>
      <c r="V161" s="22" t="n">
        <v>0</v>
      </c>
    </row>
    <row r="162">
      <c r="A162" s="20" t="inlineStr">
        <is>
          <t>기타</t>
        </is>
      </c>
      <c r="C162" s="22" t="n">
        <v>0</v>
      </c>
      <c r="D162" s="22" t="n">
        <v>0</v>
      </c>
      <c r="E162" s="22" t="n">
        <v>0</v>
      </c>
      <c r="Q162" s="22" t="n">
        <v>0</v>
      </c>
      <c r="R162" s="22" t="n">
        <v>-30</v>
      </c>
      <c r="S162" s="22" t="n">
        <v>-0</v>
      </c>
      <c r="T162" s="22" t="n">
        <v>0</v>
      </c>
      <c r="U162" s="22" t="n">
        <v>3</v>
      </c>
      <c r="V162" s="22" t="n">
        <v>0</v>
      </c>
    </row>
    <row r="163">
      <c r="A163" s="9" t="inlineStr">
        <is>
          <t>재무활동 현금흐름</t>
        </is>
      </c>
      <c r="C163" s="12" t="n">
        <v>-43297</v>
      </c>
      <c r="D163" s="12" t="n">
        <v>-93637</v>
      </c>
      <c r="E163" s="12" t="n">
        <v>-126853</v>
      </c>
      <c r="F163" s="12" t="n">
        <v>-24834</v>
      </c>
      <c r="G163" s="12" t="n">
        <v>-25947</v>
      </c>
      <c r="H163" s="12" t="n">
        <v>-50870</v>
      </c>
      <c r="I163" s="12" t="n">
        <v>-64908</v>
      </c>
      <c r="J163" s="12" t="n">
        <v>-29380</v>
      </c>
      <c r="K163" s="12" t="n">
        <v>-30360</v>
      </c>
      <c r="L163" s="12" t="n">
        <v>-59555</v>
      </c>
      <c r="M163" s="12" t="n">
        <v>599321</v>
      </c>
      <c r="N163" s="12" t="n">
        <v>-34138</v>
      </c>
      <c r="Q163" s="12" t="n">
        <v>-89912</v>
      </c>
      <c r="R163" s="12" t="n">
        <v>-88174</v>
      </c>
      <c r="S163" s="12" t="n">
        <v>-43891</v>
      </c>
      <c r="T163" s="12" t="n">
        <v>-36615</v>
      </c>
      <c r="U163" s="12" t="n">
        <v>-84123</v>
      </c>
      <c r="V163" s="12" t="n">
        <v>-126853</v>
      </c>
      <c r="W163" s="12" t="n">
        <v>-64908</v>
      </c>
      <c r="X163" s="12" t="n">
        <v>599321</v>
      </c>
    </row>
    <row r="164">
      <c r="A164" s="20" t="inlineStr">
        <is>
          <t>Effect Of Exchange Rate Changes On Cash And Cash Equivalents</t>
        </is>
      </c>
      <c r="C164" s="22" t="n">
        <v>9122</v>
      </c>
      <c r="D164" s="22" t="n">
        <v>12299</v>
      </c>
      <c r="E164" s="22" t="n">
        <v>15512</v>
      </c>
      <c r="F164" s="22" t="n">
        <v>6050</v>
      </c>
      <c r="G164" s="22" t="n">
        <v>944</v>
      </c>
      <c r="H164" s="22" t="n">
        <v>4473</v>
      </c>
      <c r="I164" s="22" t="n">
        <v>2233</v>
      </c>
      <c r="J164" s="22" t="n">
        <v>-958</v>
      </c>
      <c r="K164" s="22" t="n">
        <v>926</v>
      </c>
      <c r="L164" s="22" t="n">
        <v>6392</v>
      </c>
      <c r="M164" s="22" t="n">
        <v>29845</v>
      </c>
      <c r="N164" s="22" t="n">
        <v>2300</v>
      </c>
      <c r="Q164" s="22" t="n">
        <v>832</v>
      </c>
      <c r="R164" s="22" t="n">
        <v>-1560</v>
      </c>
      <c r="S164" s="22" t="n">
        <v>7425</v>
      </c>
      <c r="T164" s="22" t="n">
        <v>8998</v>
      </c>
      <c r="U164" s="22" t="n">
        <v>9352</v>
      </c>
      <c r="V164" s="22" t="n">
        <v>15512</v>
      </c>
      <c r="W164" s="22" t="n">
        <v>2233</v>
      </c>
      <c r="X164" s="22" t="n">
        <v>29845</v>
      </c>
    </row>
    <row r="165">
      <c r="A165" s="20" t="inlineStr">
        <is>
          <t>현금성자산 증감</t>
        </is>
      </c>
      <c r="Q165" s="22" t="n">
        <v>19664</v>
      </c>
      <c r="R165" s="22" t="n">
        <v>13060</v>
      </c>
      <c r="S165" s="22" t="n">
        <v>67312</v>
      </c>
      <c r="T165" s="22" t="n">
        <v>-21752</v>
      </c>
    </row>
    <row r="166">
      <c r="A166" s="20" t="inlineStr">
        <is>
          <t>현금성자산 증감</t>
        </is>
      </c>
      <c r="C166" s="22" t="n">
        <v>-56852</v>
      </c>
      <c r="D166" s="22" t="n">
        <v>-24436</v>
      </c>
      <c r="E166" s="22" t="n">
        <v>48866</v>
      </c>
      <c r="F166" s="22" t="n">
        <v>-76132</v>
      </c>
      <c r="G166" s="22" t="n">
        <v>-54684</v>
      </c>
      <c r="H166" s="22" t="n">
        <v>-52511</v>
      </c>
      <c r="I166" s="22" t="n">
        <v>16704</v>
      </c>
      <c r="J166" s="22" t="n">
        <v>-119968</v>
      </c>
      <c r="K166" s="22" t="n">
        <v>-140930</v>
      </c>
      <c r="L166" s="22" t="n">
        <v>-159199</v>
      </c>
      <c r="M166" s="22" t="n">
        <v>336602</v>
      </c>
      <c r="N166" s="22" t="n">
        <v>-412459</v>
      </c>
      <c r="T166" s="22" t="n">
        <v>-21752</v>
      </c>
      <c r="U166" s="22" t="n">
        <v>54803</v>
      </c>
      <c r="V166" s="22" t="n">
        <v>48866</v>
      </c>
      <c r="W166" s="22" t="n">
        <v>16704</v>
      </c>
      <c r="X166" s="22" t="n">
        <v>336602</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2"/>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4507 재무상태표</t>
        </is>
      </c>
    </row>
    <row r="2">
      <c r="A2" s="45" t="inlineStr">
        <is>
          <t>재무비율은 기말 잔액 기준 · 분기 손익은 최근 4분기 합산(TTM)</t>
        </is>
      </c>
      <c r="B2" s="3" t="inlineStr">
        <is>
          <t>(단위: 백만엔)</t>
        </is>
      </c>
    </row>
    <row r="3">
      <c r="A3" s="5" t="inlineStr">
        <is>
          <t>항목</t>
        </is>
      </c>
      <c r="B3" s="5" t="inlineStr">
        <is>
          <t>참고</t>
        </is>
      </c>
      <c r="C3" s="6" t="inlineStr">
        <is>
          <t>2025.4Q</t>
        </is>
      </c>
      <c r="D3" s="5" t="inlineStr">
        <is>
          <t>2026.1Q</t>
        </is>
      </c>
      <c r="E3" s="5" t="inlineStr">
        <is>
          <t>2026.2Q</t>
        </is>
      </c>
      <c r="F3" s="5" t="inlineStr">
        <is>
          <t>2026.3Q</t>
        </is>
      </c>
      <c r="G3" s="5" t="inlineStr">
        <is>
          <t>2026.4Q</t>
        </is>
      </c>
      <c r="H3" s="6" t="inlineStr">
        <is>
          <t>2022</t>
        </is>
      </c>
      <c r="I3" s="5" t="inlineStr">
        <is>
          <t>2023</t>
        </is>
      </c>
      <c r="J3" s="5" t="inlineStr">
        <is>
          <t>2024</t>
        </is>
      </c>
      <c r="K3" s="5" t="inlineStr">
        <is>
          <t>2025</t>
        </is>
      </c>
      <c r="L3" s="5" t="inlineStr">
        <is>
          <t>2026</t>
        </is>
      </c>
    </row>
    <row r="4">
      <c r="A4" s="18" t="inlineStr">
        <is>
          <t>자산</t>
        </is>
      </c>
      <c r="B4" s="18" t="n"/>
      <c r="C4" s="19" t="n"/>
      <c r="D4" s="18" t="n"/>
      <c r="E4" s="18" t="n"/>
      <c r="F4" s="18" t="n"/>
      <c r="G4" s="18" t="n"/>
      <c r="H4" s="19" t="n"/>
      <c r="I4" s="18" t="n"/>
      <c r="J4" s="18" t="n"/>
      <c r="K4" s="18" t="n"/>
      <c r="L4" s="18" t="n"/>
    </row>
    <row r="5">
      <c r="A5" s="9" t="inlineStr">
        <is>
          <t>유동자산</t>
        </is>
      </c>
      <c r="B5" s="10" t="n"/>
      <c r="C5" s="11" t="n">
        <v>858504</v>
      </c>
      <c r="D5" s="12" t="n"/>
      <c r="E5" s="12" t="n"/>
      <c r="F5" s="12" t="n"/>
      <c r="G5" s="12" t="n">
        <v>1310335</v>
      </c>
      <c r="H5" s="11" t="n">
        <v>659205</v>
      </c>
      <c r="I5" s="12" t="n">
        <v>784192</v>
      </c>
      <c r="J5" s="12" t="n">
        <v>784205</v>
      </c>
      <c r="K5" s="12" t="n">
        <v>858504</v>
      </c>
      <c r="L5" s="12" t="n">
        <v>1310335</v>
      </c>
    </row>
    <row r="6">
      <c r="A6" s="20" t="inlineStr">
        <is>
          <t>현금및현금성자산</t>
        </is>
      </c>
      <c r="B6" s="10" t="n"/>
      <c r="C6" s="21" t="n">
        <v>374795</v>
      </c>
      <c r="D6" s="22" t="n"/>
      <c r="E6" s="22" t="n"/>
      <c r="F6" s="22" t="n"/>
      <c r="G6" s="22" t="n">
        <v>711397</v>
      </c>
      <c r="H6" s="21" t="n">
        <v>254420</v>
      </c>
      <c r="I6" s="22" t="n">
        <v>309224</v>
      </c>
      <c r="J6" s="22" t="n">
        <v>358090</v>
      </c>
      <c r="K6" s="22" t="n">
        <v>374795</v>
      </c>
      <c r="L6" s="22" t="n">
        <v>711397</v>
      </c>
    </row>
    <row r="7">
      <c r="A7" s="20" t="inlineStr">
        <is>
          <t>단기금융상품</t>
        </is>
      </c>
      <c r="B7" s="10" t="n"/>
      <c r="C7" s="21" t="n">
        <v>270024</v>
      </c>
      <c r="D7" s="22" t="n"/>
      <c r="E7" s="22" t="n"/>
      <c r="F7" s="22" t="n"/>
      <c r="G7" s="22" t="n">
        <v>310748</v>
      </c>
      <c r="H7" s="21" t="n">
        <v>210757</v>
      </c>
      <c r="I7" s="22" t="n">
        <v>254131</v>
      </c>
      <c r="J7" s="22" t="n">
        <v>215761</v>
      </c>
      <c r="K7" s="22" t="n">
        <v>270024</v>
      </c>
      <c r="L7" s="22" t="n">
        <v>310748</v>
      </c>
    </row>
    <row r="8">
      <c r="A8" s="20" t="inlineStr">
        <is>
          <t>매출채권</t>
        </is>
      </c>
      <c r="B8" s="10" t="n"/>
      <c r="C8" s="21" t="n"/>
      <c r="D8" s="22" t="n"/>
      <c r="E8" s="22" t="n"/>
      <c r="F8" s="22" t="n"/>
      <c r="G8" s="22" t="n"/>
      <c r="H8" s="21" t="n"/>
      <c r="I8" s="22" t="n"/>
      <c r="J8" s="22" t="n"/>
      <c r="K8" s="22" t="n"/>
      <c r="L8" s="22" t="n"/>
    </row>
    <row r="9">
      <c r="A9" s="20" t="inlineStr">
        <is>
          <t>재고자산</t>
        </is>
      </c>
      <c r="B9" s="10" t="n"/>
      <c r="C9" s="21" t="n">
        <v>65477</v>
      </c>
      <c r="D9" s="22" t="n"/>
      <c r="E9" s="22" t="n"/>
      <c r="F9" s="22" t="n"/>
      <c r="G9" s="22" t="n">
        <v>99396</v>
      </c>
      <c r="H9" s="21" t="n">
        <v>45892</v>
      </c>
      <c r="I9" s="22" t="n">
        <v>57919</v>
      </c>
      <c r="J9" s="22" t="n">
        <v>64916</v>
      </c>
      <c r="K9" s="22" t="n">
        <v>65477</v>
      </c>
      <c r="L9" s="22" t="n">
        <v>99396</v>
      </c>
    </row>
    <row r="10">
      <c r="A10" s="20" t="inlineStr">
        <is>
          <t>기타유동자산</t>
        </is>
      </c>
      <c r="B10" s="10" t="inlineStr">
        <is>
          <t>총계 − 위 항목</t>
        </is>
      </c>
      <c r="C10" s="21">
        <f>IF(OR(C5=""),"",IFERROR(C5-SUM(C6,C7,C8,C9),""))</f>
        <v/>
      </c>
      <c r="D10" s="22">
        <f>IF(OR(D5=""),"",IFERROR(D5-SUM(D6,D7,D8,D9),""))</f>
        <v/>
      </c>
      <c r="E10" s="22">
        <f>IF(OR(E5=""),"",IFERROR(E5-SUM(E6,E7,E8,E9),""))</f>
        <v/>
      </c>
      <c r="F10" s="22">
        <f>IF(OR(F5=""),"",IFERROR(F5-SUM(F6,F7,F8,F9),""))</f>
        <v/>
      </c>
      <c r="G10" s="22">
        <f>IF(OR(G5=""),"",IFERROR(G5-SUM(G6,G7,G8,G9),""))</f>
        <v/>
      </c>
      <c r="H10" s="21">
        <f>IF(OR(H5=""),"",IFERROR(H5-SUM(H6,H7,H8,H9),""))</f>
        <v/>
      </c>
      <c r="I10" s="22">
        <f>IF(OR(I5=""),"",IFERROR(I5-SUM(I6,I7,I8,I9),""))</f>
        <v/>
      </c>
      <c r="J10" s="22">
        <f>IF(OR(J5=""),"",IFERROR(J5-SUM(J6,J7,J8,J9),""))</f>
        <v/>
      </c>
      <c r="K10" s="22">
        <f>IF(OR(K5=""),"",IFERROR(K5-SUM(K6,K7,K8,K9),""))</f>
        <v/>
      </c>
      <c r="L10" s="22">
        <f>IF(OR(L5=""),"",IFERROR(L5-SUM(L6,L7,L8,L9),""))</f>
        <v/>
      </c>
    </row>
    <row r="11">
      <c r="A11" s="9" t="inlineStr">
        <is>
          <t>비유동자산</t>
        </is>
      </c>
      <c r="B11" s="10" t="n"/>
      <c r="C11" s="11" t="n">
        <v>676844</v>
      </c>
      <c r="D11" s="12" t="n"/>
      <c r="E11" s="12" t="n"/>
      <c r="F11" s="12" t="n"/>
      <c r="G11" s="12" t="n">
        <v>1266535</v>
      </c>
      <c r="H11" s="11" t="n">
        <v>491396</v>
      </c>
      <c r="I11" s="12" t="n">
        <v>527607</v>
      </c>
      <c r="J11" s="12" t="n">
        <v>632712</v>
      </c>
      <c r="K11" s="12" t="n">
        <v>676844</v>
      </c>
      <c r="L11" s="12" t="n">
        <v>1266535</v>
      </c>
    </row>
    <row r="12">
      <c r="A12" s="20" t="inlineStr">
        <is>
          <t>유형자산</t>
        </is>
      </c>
      <c r="B12" s="10" t="n"/>
      <c r="C12" s="21" t="n">
        <v>115412</v>
      </c>
      <c r="D12" s="22" t="n"/>
      <c r="E12" s="22" t="n"/>
      <c r="F12" s="22" t="n"/>
      <c r="G12" s="22" t="n">
        <v>156519</v>
      </c>
      <c r="H12" s="21" t="n">
        <v>108893</v>
      </c>
      <c r="I12" s="22" t="n">
        <v>112085</v>
      </c>
      <c r="J12" s="22" t="n">
        <v>114586</v>
      </c>
      <c r="K12" s="22" t="n">
        <v>115412</v>
      </c>
      <c r="L12" s="22" t="n">
        <v>156519</v>
      </c>
    </row>
    <row r="13">
      <c r="A13" s="20" t="inlineStr">
        <is>
          <t>무형자산</t>
        </is>
      </c>
      <c r="B13" s="10" t="n"/>
      <c r="C13" s="21" t="n">
        <v>143652</v>
      </c>
      <c r="D13" s="22" t="n"/>
      <c r="E13" s="22" t="n"/>
      <c r="F13" s="22" t="n"/>
      <c r="G13" s="22" t="n">
        <v>173553</v>
      </c>
      <c r="H13" s="21" t="n">
        <v>81223</v>
      </c>
      <c r="I13" s="22" t="n">
        <v>96309</v>
      </c>
      <c r="J13" s="22" t="n">
        <v>117621</v>
      </c>
      <c r="K13" s="22" t="n">
        <v>143652</v>
      </c>
      <c r="L13" s="22" t="n">
        <v>173553</v>
      </c>
    </row>
    <row r="14">
      <c r="A14" s="20" t="inlineStr">
        <is>
          <t>투자부동산</t>
        </is>
      </c>
      <c r="B14" s="10" t="n"/>
      <c r="C14" s="21" t="n">
        <v>27722</v>
      </c>
      <c r="D14" s="22" t="n"/>
      <c r="E14" s="22" t="n"/>
      <c r="F14" s="22" t="n"/>
      <c r="G14" s="22" t="n">
        <v>27337</v>
      </c>
      <c r="H14" s="21" t="n">
        <v>26672</v>
      </c>
      <c r="I14" s="22" t="n">
        <v>26382</v>
      </c>
      <c r="J14" s="22" t="n">
        <v>27768</v>
      </c>
      <c r="K14" s="22" t="n">
        <v>27722</v>
      </c>
      <c r="L14" s="22" t="n">
        <v>27337</v>
      </c>
    </row>
    <row r="15">
      <c r="A15" s="20" t="inlineStr">
        <is>
          <t>기타비유동자산</t>
        </is>
      </c>
      <c r="B15" s="10" t="inlineStr">
        <is>
          <t>총계 − 위 항목</t>
        </is>
      </c>
      <c r="C15" s="21">
        <f>IF(OR(C11=""),"",IFERROR(C11-SUM(C12,C13,C14),""))</f>
        <v/>
      </c>
      <c r="D15" s="22">
        <f>IF(OR(D11=""),"",IFERROR(D11-SUM(D12,D13,D14),""))</f>
        <v/>
      </c>
      <c r="E15" s="22">
        <f>IF(OR(E11=""),"",IFERROR(E11-SUM(E12,E13,E14),""))</f>
        <v/>
      </c>
      <c r="F15" s="22">
        <f>IF(OR(F11=""),"",IFERROR(F11-SUM(F12,F13,F14),""))</f>
        <v/>
      </c>
      <c r="G15" s="22">
        <f>IF(OR(G11=""),"",IFERROR(G11-SUM(G12,G13,G14),""))</f>
        <v/>
      </c>
      <c r="H15" s="21">
        <f>IF(OR(H11=""),"",IFERROR(H11-SUM(H12,H13,H14),""))</f>
        <v/>
      </c>
      <c r="I15" s="22">
        <f>IF(OR(I11=""),"",IFERROR(I11-SUM(I12,I13,I14),""))</f>
        <v/>
      </c>
      <c r="J15" s="22">
        <f>IF(OR(J11=""),"",IFERROR(J11-SUM(J12,J13,J14),""))</f>
        <v/>
      </c>
      <c r="K15" s="22">
        <f>IF(OR(K11=""),"",IFERROR(K11-SUM(K12,K13,K14),""))</f>
        <v/>
      </c>
      <c r="L15" s="22">
        <f>IF(OR(L11=""),"",IFERROR(L11-SUM(L12,L13,L14),""))</f>
        <v/>
      </c>
    </row>
    <row r="16">
      <c r="A16" s="9" t="inlineStr">
        <is>
          <t>자산총계</t>
        </is>
      </c>
      <c r="B16" s="10" t="n"/>
      <c r="C16" s="11" t="n">
        <v>1535349</v>
      </c>
      <c r="D16" s="12" t="n"/>
      <c r="E16" s="12" t="n"/>
      <c r="F16" s="12" t="n"/>
      <c r="G16" s="12" t="n">
        <v>2576870</v>
      </c>
      <c r="H16" s="11" t="n">
        <v>1150601</v>
      </c>
      <c r="I16" s="12" t="n">
        <v>1311800</v>
      </c>
      <c r="J16" s="12" t="n">
        <v>1416918</v>
      </c>
      <c r="K16" s="12" t="n">
        <v>1535349</v>
      </c>
      <c r="L16" s="12" t="n">
        <v>2576870</v>
      </c>
    </row>
    <row r="17">
      <c r="A17" s="18" t="inlineStr">
        <is>
          <t>부채</t>
        </is>
      </c>
      <c r="B17" s="18" t="n"/>
      <c r="C17" s="19" t="n"/>
      <c r="D17" s="18" t="n"/>
      <c r="E17" s="18" t="n"/>
      <c r="F17" s="18" t="n"/>
      <c r="G17" s="18" t="n"/>
      <c r="H17" s="19" t="n"/>
      <c r="I17" s="18" t="n"/>
      <c r="J17" s="18" t="n"/>
      <c r="K17" s="18" t="n"/>
      <c r="L17" s="18" t="n"/>
    </row>
    <row r="18">
      <c r="A18" s="9" t="inlineStr">
        <is>
          <t>유동부채</t>
        </is>
      </c>
      <c r="B18" s="10" t="n"/>
      <c r="C18" s="11" t="n">
        <v>129392</v>
      </c>
      <c r="D18" s="12" t="n"/>
      <c r="E18" s="12" t="n"/>
      <c r="F18" s="12" t="n"/>
      <c r="G18" s="12" t="n">
        <v>827430</v>
      </c>
      <c r="H18" s="11" t="n">
        <v>124396</v>
      </c>
      <c r="I18" s="12" t="n">
        <v>158552</v>
      </c>
      <c r="J18" s="12" t="n">
        <v>133907</v>
      </c>
      <c r="K18" s="12" t="n">
        <v>129392</v>
      </c>
      <c r="L18" s="12" t="n">
        <v>827430</v>
      </c>
    </row>
    <row r="19">
      <c r="A19" s="20" t="inlineStr">
        <is>
          <t>매입채무</t>
        </is>
      </c>
      <c r="B19" s="10" t="n"/>
      <c r="C19" s="21" t="n"/>
      <c r="D19" s="22" t="n"/>
      <c r="E19" s="22" t="n"/>
      <c r="F19" s="22" t="n"/>
      <c r="G19" s="22" t="n"/>
      <c r="H19" s="21" t="n"/>
      <c r="I19" s="22" t="n"/>
      <c r="J19" s="22" t="n"/>
      <c r="K19" s="22" t="n"/>
      <c r="L19" s="22" t="n"/>
    </row>
    <row r="20">
      <c r="A20" s="20" t="inlineStr">
        <is>
          <t>단기차입금</t>
        </is>
      </c>
      <c r="B20" s="10" t="n"/>
      <c r="C20" s="21" t="n"/>
      <c r="D20" s="22" t="n"/>
      <c r="E20" s="22" t="n"/>
      <c r="F20" s="22" t="n"/>
      <c r="G20" s="22" t="n"/>
      <c r="H20" s="21" t="n"/>
      <c r="I20" s="22" t="n"/>
      <c r="J20" s="22" t="n"/>
      <c r="K20" s="22" t="n"/>
      <c r="L20" s="22" t="n"/>
    </row>
    <row r="21">
      <c r="A21" s="20" t="inlineStr">
        <is>
          <t>유동성장기부채</t>
        </is>
      </c>
      <c r="B21" s="10" t="n"/>
      <c r="C21" s="21" t="n"/>
      <c r="D21" s="22" t="n"/>
      <c r="E21" s="22" t="n"/>
      <c r="F21" s="22" t="n"/>
      <c r="G21" s="22" t="n"/>
      <c r="H21" s="21" t="n"/>
      <c r="I21" s="22" t="n"/>
      <c r="J21" s="22" t="n"/>
      <c r="K21" s="22" t="n"/>
      <c r="L21" s="22" t="n"/>
    </row>
    <row r="22">
      <c r="A22" s="20" t="inlineStr">
        <is>
          <t>기타유동부채</t>
        </is>
      </c>
      <c r="B22" s="10" t="inlineStr">
        <is>
          <t>총계 − 위 항목</t>
        </is>
      </c>
      <c r="C22" s="21">
        <f>IF(OR(C18=""),"",IFERROR(C18-SUM(C19,C20,C21),""))</f>
        <v/>
      </c>
      <c r="D22" s="22">
        <f>IF(OR(D18=""),"",IFERROR(D18-SUM(D19,D20,D21),""))</f>
        <v/>
      </c>
      <c r="E22" s="22">
        <f>IF(OR(E18=""),"",IFERROR(E18-SUM(E19,E20,E21),""))</f>
        <v/>
      </c>
      <c r="F22" s="22">
        <f>IF(OR(F18=""),"",IFERROR(F18-SUM(F19,F20,F21),""))</f>
        <v/>
      </c>
      <c r="G22" s="22">
        <f>IF(OR(G18=""),"",IFERROR(G18-SUM(G19,G20,G21),""))</f>
        <v/>
      </c>
      <c r="H22" s="21">
        <f>IF(OR(H18=""),"",IFERROR(H18-SUM(H19,H20,H21),""))</f>
        <v/>
      </c>
      <c r="I22" s="22">
        <f>IF(OR(I18=""),"",IFERROR(I18-SUM(I19,I20,I21),""))</f>
        <v/>
      </c>
      <c r="J22" s="22">
        <f>IF(OR(J18=""),"",IFERROR(J18-SUM(J19,J20,J21),""))</f>
        <v/>
      </c>
      <c r="K22" s="22">
        <f>IF(OR(K18=""),"",IFERROR(K18-SUM(K19,K20,K21),""))</f>
        <v/>
      </c>
      <c r="L22" s="22">
        <f>IF(OR(L18=""),"",IFERROR(L18-SUM(L19,L20,L21),""))</f>
        <v/>
      </c>
    </row>
    <row r="23">
      <c r="A23" s="9" t="inlineStr">
        <is>
          <t>비유동부채</t>
        </is>
      </c>
      <c r="B23" s="10" t="n"/>
      <c r="C23" s="11" t="n">
        <v>43459</v>
      </c>
      <c r="D23" s="12" t="n"/>
      <c r="E23" s="12" t="n"/>
      <c r="F23" s="12" t="n"/>
      <c r="G23" s="12" t="n">
        <v>63235</v>
      </c>
      <c r="H23" s="11" t="n">
        <v>32920</v>
      </c>
      <c r="I23" s="12" t="n">
        <v>31369</v>
      </c>
      <c r="J23" s="12" t="n">
        <v>30448</v>
      </c>
      <c r="K23" s="12" t="n">
        <v>43459</v>
      </c>
      <c r="L23" s="12" t="n">
        <v>63235</v>
      </c>
    </row>
    <row r="24">
      <c r="A24" s="20" t="inlineStr">
        <is>
          <t>장기차입금</t>
        </is>
      </c>
      <c r="B24" s="10" t="n"/>
      <c r="C24" s="21" t="n"/>
      <c r="D24" s="22" t="n"/>
      <c r="E24" s="22" t="n"/>
      <c r="F24" s="22" t="n"/>
      <c r="G24" s="22" t="n"/>
      <c r="H24" s="21" t="n"/>
      <c r="I24" s="22" t="n"/>
      <c r="J24" s="22" t="n"/>
      <c r="K24" s="22" t="n"/>
      <c r="L24" s="22" t="n"/>
    </row>
    <row r="25">
      <c r="A25" s="20" t="inlineStr">
        <is>
          <t>사채</t>
        </is>
      </c>
      <c r="B25" s="10" t="n"/>
      <c r="C25" s="21" t="n"/>
      <c r="D25" s="22" t="n"/>
      <c r="E25" s="22" t="n"/>
      <c r="F25" s="22" t="n"/>
      <c r="G25" s="22" t="n"/>
      <c r="H25" s="21" t="n"/>
      <c r="I25" s="22" t="n"/>
      <c r="J25" s="22" t="n"/>
      <c r="K25" s="22" t="n"/>
      <c r="L25" s="22" t="n"/>
    </row>
    <row r="26">
      <c r="A26" s="20" t="inlineStr">
        <is>
          <t>기타비유동부채</t>
        </is>
      </c>
      <c r="B26" s="10" t="inlineStr">
        <is>
          <t>총계 − 위 항목</t>
        </is>
      </c>
      <c r="C26" s="21">
        <f>IF(OR(C23=""),"",IFERROR(C23-SUM(C24,C25),""))</f>
        <v/>
      </c>
      <c r="D26" s="22">
        <f>IF(OR(D23=""),"",IFERROR(D23-SUM(D24,D25),""))</f>
        <v/>
      </c>
      <c r="E26" s="22">
        <f>IF(OR(E23=""),"",IFERROR(E23-SUM(E24,E25),""))</f>
        <v/>
      </c>
      <c r="F26" s="22">
        <f>IF(OR(F23=""),"",IFERROR(F23-SUM(F24,F25),""))</f>
        <v/>
      </c>
      <c r="G26" s="22">
        <f>IF(OR(G23=""),"",IFERROR(G23-SUM(G24,G25),""))</f>
        <v/>
      </c>
      <c r="H26" s="21">
        <f>IF(OR(H23=""),"",IFERROR(H23-SUM(H24,H25),""))</f>
        <v/>
      </c>
      <c r="I26" s="22">
        <f>IF(OR(I23=""),"",IFERROR(I23-SUM(I24,I25),""))</f>
        <v/>
      </c>
      <c r="J26" s="22">
        <f>IF(OR(J23=""),"",IFERROR(J23-SUM(J24,J25),""))</f>
        <v/>
      </c>
      <c r="K26" s="22">
        <f>IF(OR(K23=""),"",IFERROR(K23-SUM(K24,K25),""))</f>
        <v/>
      </c>
      <c r="L26" s="22">
        <f>IF(OR(L23=""),"",IFERROR(L23-SUM(L24,L25),""))</f>
        <v/>
      </c>
    </row>
    <row r="27">
      <c r="A27" s="9" t="inlineStr">
        <is>
          <t>부채총계</t>
        </is>
      </c>
      <c r="B27" s="10" t="n"/>
      <c r="C27" s="11" t="n">
        <v>172852</v>
      </c>
      <c r="D27" s="12" t="n"/>
      <c r="E27" s="12" t="n"/>
      <c r="F27" s="12" t="n"/>
      <c r="G27" s="12" t="n">
        <v>890665</v>
      </c>
      <c r="H27" s="11" t="n">
        <v>157316</v>
      </c>
      <c r="I27" s="12" t="n">
        <v>189921</v>
      </c>
      <c r="J27" s="12" t="n">
        <v>164355</v>
      </c>
      <c r="K27" s="12" t="n">
        <v>172852</v>
      </c>
      <c r="L27" s="12" t="n">
        <v>890665</v>
      </c>
    </row>
    <row r="28">
      <c r="A28" s="20" t="inlineStr">
        <is>
          <t>총차입금</t>
        </is>
      </c>
      <c r="B28" s="10" t="inlineStr">
        <is>
          <t>단기+유동성장기+장기+사채</t>
        </is>
      </c>
      <c r="C28" s="21">
        <f>SUM(C20,C21,C24,C25)</f>
        <v/>
      </c>
      <c r="D28" s="22">
        <f>SUM(D20,D21,D24,D25)</f>
        <v/>
      </c>
      <c r="E28" s="22">
        <f>SUM(E20,E21,E24,E25)</f>
        <v/>
      </c>
      <c r="F28" s="22">
        <f>SUM(F20,F21,F24,F25)</f>
        <v/>
      </c>
      <c r="G28" s="22">
        <f>SUM(G20,G21,G24,G25)</f>
        <v/>
      </c>
      <c r="H28" s="21">
        <f>SUM(H20,H21,H24,H25)</f>
        <v/>
      </c>
      <c r="I28" s="22">
        <f>SUM(I20,I21,I24,I25)</f>
        <v/>
      </c>
      <c r="J28" s="22">
        <f>SUM(J20,J21,J24,J25)</f>
        <v/>
      </c>
      <c r="K28" s="22">
        <f>SUM(K20,K21,K24,K25)</f>
        <v/>
      </c>
      <c r="L28" s="22">
        <f>SUM(L20,L21,L24,L25)</f>
        <v/>
      </c>
    </row>
    <row r="29">
      <c r="A29" s="20" t="inlineStr">
        <is>
          <t>순차입금</t>
        </is>
      </c>
      <c r="B29" s="10" t="inlineStr">
        <is>
          <t>음수 = 순현금</t>
        </is>
      </c>
      <c r="C29" s="21">
        <f>C28-C6-N(C7)</f>
        <v/>
      </c>
      <c r="D29" s="22">
        <f>D28-D6-N(D7)</f>
        <v/>
      </c>
      <c r="E29" s="22">
        <f>E28-E6-N(E7)</f>
        <v/>
      </c>
      <c r="F29" s="22">
        <f>F28-F6-N(F7)</f>
        <v/>
      </c>
      <c r="G29" s="22">
        <f>G28-G6-N(G7)</f>
        <v/>
      </c>
      <c r="H29" s="21">
        <f>H28-H6-N(H7)</f>
        <v/>
      </c>
      <c r="I29" s="22">
        <f>I28-I6-N(I7)</f>
        <v/>
      </c>
      <c r="J29" s="22">
        <f>J28-J6-N(J7)</f>
        <v/>
      </c>
      <c r="K29" s="22">
        <f>K28-K6-N(K7)</f>
        <v/>
      </c>
      <c r="L29" s="22">
        <f>L28-L6-N(L7)</f>
        <v/>
      </c>
    </row>
    <row r="30">
      <c r="A30" s="18" t="inlineStr">
        <is>
          <t>자본</t>
        </is>
      </c>
      <c r="B30" s="18" t="n"/>
      <c r="C30" s="19" t="n"/>
      <c r="D30" s="18" t="n"/>
      <c r="E30" s="18" t="n"/>
      <c r="F30" s="18" t="n"/>
      <c r="G30" s="18" t="n"/>
      <c r="H30" s="19" t="n"/>
      <c r="I30" s="18" t="n"/>
      <c r="J30" s="18" t="n"/>
      <c r="K30" s="18" t="n"/>
      <c r="L30" s="18" t="n"/>
    </row>
    <row r="31">
      <c r="A31" s="9" t="inlineStr">
        <is>
          <t>지배주주지분</t>
        </is>
      </c>
      <c r="B31" s="10" t="n"/>
      <c r="C31" s="11" t="n">
        <v>1361924</v>
      </c>
      <c r="D31" s="12" t="n"/>
      <c r="E31" s="12" t="n"/>
      <c r="F31" s="12" t="n"/>
      <c r="G31" s="12" t="n">
        <v>1685215</v>
      </c>
      <c r="H31" s="11" t="n">
        <v>975661</v>
      </c>
      <c r="I31" s="12" t="n">
        <v>1100046</v>
      </c>
      <c r="J31" s="12" t="n">
        <v>1235325</v>
      </c>
      <c r="K31" s="12" t="n">
        <v>1361924</v>
      </c>
      <c r="L31" s="12" t="n">
        <v>1685215</v>
      </c>
    </row>
    <row r="32">
      <c r="A32" s="20" t="inlineStr">
        <is>
          <t>자본금</t>
        </is>
      </c>
      <c r="B32" s="10" t="n"/>
      <c r="C32" s="21" t="n">
        <v>21279</v>
      </c>
      <c r="D32" s="22" t="n"/>
      <c r="E32" s="22" t="n"/>
      <c r="F32" s="22" t="n"/>
      <c r="G32" s="22" t="n">
        <v>21279</v>
      </c>
      <c r="H32" s="21" t="n">
        <v>21279</v>
      </c>
      <c r="I32" s="22" t="n">
        <v>21279</v>
      </c>
      <c r="J32" s="22" t="n">
        <v>21279</v>
      </c>
      <c r="K32" s="22" t="n">
        <v>21279</v>
      </c>
      <c r="L32" s="22" t="n">
        <v>21279</v>
      </c>
    </row>
    <row r="33">
      <c r="A33" s="20" t="inlineStr">
        <is>
          <t>이익잉여금</t>
        </is>
      </c>
      <c r="B33" s="10" t="n"/>
      <c r="C33" s="21" t="n">
        <v>1115729</v>
      </c>
      <c r="D33" s="22" t="n"/>
      <c r="E33" s="22" t="n"/>
      <c r="F33" s="22" t="n"/>
      <c r="G33" s="22" t="n">
        <v>1492697</v>
      </c>
      <c r="H33" s="21" t="n">
        <v>832958</v>
      </c>
      <c r="I33" s="22" t="n">
        <v>940606</v>
      </c>
      <c r="J33" s="22" t="n">
        <v>1065913</v>
      </c>
      <c r="K33" s="22" t="n">
        <v>1115729</v>
      </c>
      <c r="L33" s="22" t="n">
        <v>1492697</v>
      </c>
    </row>
    <row r="34">
      <c r="A34" s="20" t="inlineStr">
        <is>
          <t>비지배지분</t>
        </is>
      </c>
      <c r="B34" s="10" t="n"/>
      <c r="C34" s="21" t="n">
        <v>572</v>
      </c>
      <c r="D34" s="22" t="n"/>
      <c r="E34" s="22" t="n"/>
      <c r="F34" s="22" t="n"/>
      <c r="G34" s="22" t="n">
        <v>989</v>
      </c>
      <c r="H34" s="21" t="n">
        <v>17624</v>
      </c>
      <c r="I34" s="22" t="n">
        <v>21832</v>
      </c>
      <c r="J34" s="22" t="n">
        <v>17236</v>
      </c>
      <c r="K34" s="22" t="n">
        <v>572</v>
      </c>
      <c r="L34" s="22" t="n">
        <v>989</v>
      </c>
    </row>
    <row r="35">
      <c r="A35" s="9" t="inlineStr">
        <is>
          <t>자본총계</t>
        </is>
      </c>
      <c r="B35" s="10" t="n"/>
      <c r="C35" s="11" t="n">
        <v>1362497</v>
      </c>
      <c r="D35" s="12" t="n"/>
      <c r="E35" s="12" t="n"/>
      <c r="F35" s="12" t="n"/>
      <c r="G35" s="12" t="n">
        <v>1686205</v>
      </c>
      <c r="H35" s="11" t="n">
        <v>993285</v>
      </c>
      <c r="I35" s="12" t="n">
        <v>1121878</v>
      </c>
      <c r="J35" s="12" t="n">
        <v>1252562</v>
      </c>
      <c r="K35" s="12" t="n">
        <v>1362497</v>
      </c>
      <c r="L35" s="12" t="n">
        <v>1686205</v>
      </c>
    </row>
    <row r="36">
      <c r="A36" s="18" t="inlineStr">
        <is>
          <t>현금흐름 요약</t>
        </is>
      </c>
      <c r="B36" s="18" t="inlineStr">
        <is>
          <t>분기 = TTM (있을 때만)</t>
        </is>
      </c>
      <c r="C36" s="19" t="n"/>
      <c r="D36" s="18" t="n"/>
      <c r="E36" s="18" t="n"/>
      <c r="F36" s="18" t="n"/>
      <c r="G36" s="18" t="n"/>
      <c r="H36" s="19" t="n"/>
      <c r="I36" s="18" t="n"/>
      <c r="J36" s="18" t="n"/>
      <c r="K36" s="18" t="n"/>
      <c r="L36" s="18" t="n"/>
    </row>
    <row r="37">
      <c r="A37" s="9" t="inlineStr">
        <is>
          <t>영업활동현금흐름</t>
        </is>
      </c>
      <c r="B37" s="10" t="n"/>
      <c r="C37" s="11" t="n">
        <v>195460</v>
      </c>
      <c r="D37" s="12" t="n">
        <v>203003</v>
      </c>
      <c r="E37" s="12" t="n">
        <v>208154</v>
      </c>
      <c r="F37" s="12" t="n">
        <v>199390</v>
      </c>
      <c r="G37" s="12" t="n">
        <v>213572</v>
      </c>
      <c r="H37" s="11" t="n">
        <v>102068</v>
      </c>
      <c r="I37" s="12" t="n">
        <v>177867</v>
      </c>
      <c r="J37" s="12" t="n">
        <v>154284</v>
      </c>
      <c r="K37" s="12" t="n">
        <v>195460</v>
      </c>
      <c r="L37" s="12" t="n">
        <v>213572</v>
      </c>
    </row>
    <row r="38">
      <c r="A38" s="20" t="inlineStr">
        <is>
          <t>CAPEX (유·무형 취득)</t>
        </is>
      </c>
      <c r="B38" s="10" t="inlineStr">
        <is>
          <t>양수로 입력</t>
        </is>
      </c>
      <c r="C38" s="21" t="n">
        <v>52103</v>
      </c>
      <c r="D38" s="22" t="n">
        <v>27056</v>
      </c>
      <c r="E38" s="22" t="n">
        <v>26913</v>
      </c>
      <c r="F38" s="22" t="n">
        <v>24983</v>
      </c>
      <c r="G38" s="22" t="n">
        <v>31304</v>
      </c>
      <c r="H38" s="21" t="n">
        <v>31564</v>
      </c>
      <c r="I38" s="22" t="n">
        <v>37187</v>
      </c>
      <c r="J38" s="22" t="n">
        <v>28267</v>
      </c>
      <c r="K38" s="22" t="n">
        <v>52103</v>
      </c>
      <c r="L38" s="22" t="n">
        <v>31304</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20" t="inlineStr">
        <is>
          <t>배당금 지급</t>
        </is>
      </c>
      <c r="B40" s="10" t="inlineStr">
        <is>
          <t>양수로 입력</t>
        </is>
      </c>
      <c r="C40" s="21" t="n">
        <v>48698</v>
      </c>
      <c r="D40" s="22" t="n">
        <v>52845</v>
      </c>
      <c r="E40" s="22" t="n">
        <v>52456</v>
      </c>
      <c r="F40" s="22" t="n">
        <v>56430</v>
      </c>
      <c r="G40" s="22" t="n">
        <v>56175</v>
      </c>
      <c r="H40" s="21" t="n">
        <v>33146</v>
      </c>
      <c r="I40" s="22" t="n">
        <v>36142</v>
      </c>
      <c r="J40" s="22" t="n">
        <v>43876</v>
      </c>
      <c r="K40" s="22" t="n">
        <v>48698</v>
      </c>
      <c r="L40" s="22" t="n">
        <v>56175</v>
      </c>
    </row>
    <row r="41">
      <c r="A41" s="18" t="inlineStr">
        <is>
          <t>주요 재무 비율</t>
        </is>
      </c>
      <c r="B41" s="18" t="inlineStr">
        <is>
          <t>기준 (빨간 글씨 = 미달)</t>
        </is>
      </c>
      <c r="C41" s="19" t="n"/>
      <c r="D41" s="18" t="n"/>
      <c r="E41" s="18" t="n"/>
      <c r="F41" s="18" t="n"/>
      <c r="G41" s="18" t="n"/>
      <c r="H41" s="19" t="n"/>
      <c r="I41" s="18" t="n"/>
      <c r="J41" s="18" t="n"/>
      <c r="K41" s="18" t="n"/>
      <c r="L41" s="18" t="n"/>
    </row>
    <row r="42">
      <c r="A42" s="25" t="inlineStr">
        <is>
          <t>안정성</t>
        </is>
      </c>
      <c r="B42" s="25" t="n"/>
      <c r="C42" s="26" t="n"/>
      <c r="D42" s="25" t="n"/>
      <c r="E42" s="25" t="n"/>
      <c r="F42" s="25" t="n"/>
      <c r="G42" s="25" t="n"/>
      <c r="H42" s="26" t="n"/>
      <c r="I42" s="25" t="n"/>
      <c r="J42" s="25" t="n"/>
      <c r="K42" s="25" t="n"/>
      <c r="L42" s="25" t="n"/>
    </row>
    <row r="43">
      <c r="A43" s="46" t="inlineStr">
        <is>
          <t>부채비율</t>
        </is>
      </c>
      <c r="B43" s="10" t="inlineStr">
        <is>
          <t>100%↓</t>
        </is>
      </c>
      <c r="C43" s="37">
        <f>IF(OR(C27="",C35=""),"",IFERROR(C27/C35,""))</f>
        <v/>
      </c>
      <c r="D43" s="38">
        <f>IF(OR(D27="",D35=""),"",IFERROR(D27/D35,""))</f>
        <v/>
      </c>
      <c r="E43" s="38">
        <f>IF(OR(E27="",E35=""),"",IFERROR(E27/E35,""))</f>
        <v/>
      </c>
      <c r="F43" s="38">
        <f>IF(OR(F27="",F35=""),"",IFERROR(F27/F35,""))</f>
        <v/>
      </c>
      <c r="G43" s="38">
        <f>IF(OR(G27="",G35=""),"",IFERROR(G27/G35,""))</f>
        <v/>
      </c>
      <c r="H43" s="37">
        <f>IF(OR(H27="",H35=""),"",IFERROR(H27/H35,""))</f>
        <v/>
      </c>
      <c r="I43" s="38">
        <f>IF(OR(I27="",I35=""),"",IFERROR(I27/I35,""))</f>
        <v/>
      </c>
      <c r="J43" s="38">
        <f>IF(OR(J27="",J35=""),"",IFERROR(J27/J35,""))</f>
        <v/>
      </c>
      <c r="K43" s="38">
        <f>IF(OR(K27="",K35=""),"",IFERROR(K27/K35,""))</f>
        <v/>
      </c>
      <c r="L43" s="38">
        <f>IF(OR(L27="",L35=""),"",IFERROR(L27/L35,""))</f>
        <v/>
      </c>
    </row>
    <row r="44">
      <c r="A44" s="46" t="inlineStr">
        <is>
          <t>순차입금비율</t>
        </is>
      </c>
      <c r="B44" s="10" t="inlineStr">
        <is>
          <t>0%↓ 순현금</t>
        </is>
      </c>
      <c r="C44" s="37">
        <f>IF(OR(C29="",C35=""),"",IFERROR(C29/C35,""))</f>
        <v/>
      </c>
      <c r="D44" s="38">
        <f>IF(OR(D29="",D35=""),"",IFERROR(D29/D35,""))</f>
        <v/>
      </c>
      <c r="E44" s="38">
        <f>IF(OR(E29="",E35=""),"",IFERROR(E29/E35,""))</f>
        <v/>
      </c>
      <c r="F44" s="38">
        <f>IF(OR(F29="",F35=""),"",IFERROR(F29/F35,""))</f>
        <v/>
      </c>
      <c r="G44" s="38">
        <f>IF(OR(G29="",G35=""),"",IFERROR(G29/G35,""))</f>
        <v/>
      </c>
      <c r="H44" s="37">
        <f>IF(OR(H29="",H35=""),"",IFERROR(H29/H35,""))</f>
        <v/>
      </c>
      <c r="I44" s="38">
        <f>IF(OR(I29="",I35=""),"",IFERROR(I29/I35,""))</f>
        <v/>
      </c>
      <c r="J44" s="38">
        <f>IF(OR(J29="",J35=""),"",IFERROR(J29/J35,""))</f>
        <v/>
      </c>
      <c r="K44" s="38">
        <f>IF(OR(K29="",K35=""),"",IFERROR(K29/K35,""))</f>
        <v/>
      </c>
      <c r="L44" s="38">
        <f>IF(OR(L29="",L35=""),"",IFERROR(L29/L35,""))</f>
        <v/>
      </c>
    </row>
    <row r="45">
      <c r="A45" s="46" t="inlineStr">
        <is>
          <t>자기자본비율</t>
        </is>
      </c>
      <c r="B45" s="10" t="inlineStr">
        <is>
          <t>50%↑</t>
        </is>
      </c>
      <c r="C45" s="37">
        <f>IF(OR(C35="",C16=""),"",IFERROR(C35/C16,""))</f>
        <v/>
      </c>
      <c r="D45" s="38">
        <f>IF(OR(D35="",D16=""),"",IFERROR(D35/D16,""))</f>
        <v/>
      </c>
      <c r="E45" s="38">
        <f>IF(OR(E35="",E16=""),"",IFERROR(E35/E16,""))</f>
        <v/>
      </c>
      <c r="F45" s="38">
        <f>IF(OR(F35="",F16=""),"",IFERROR(F35/F16,""))</f>
        <v/>
      </c>
      <c r="G45" s="38">
        <f>IF(OR(G35="",G16=""),"",IFERROR(G35/G16,""))</f>
        <v/>
      </c>
      <c r="H45" s="37">
        <f>IF(OR(H35="",H16=""),"",IFERROR(H35/H16,""))</f>
        <v/>
      </c>
      <c r="I45" s="38">
        <f>IF(OR(I35="",I16=""),"",IFERROR(I35/I16,""))</f>
        <v/>
      </c>
      <c r="J45" s="38">
        <f>IF(OR(J35="",J16=""),"",IFERROR(J35/J16,""))</f>
        <v/>
      </c>
      <c r="K45" s="38">
        <f>IF(OR(K35="",K16=""),"",IFERROR(K35/K16,""))</f>
        <v/>
      </c>
      <c r="L45" s="38">
        <f>IF(OR(L35="",L16=""),"",IFERROR(L35/L16,""))</f>
        <v/>
      </c>
    </row>
    <row r="46">
      <c r="A46" s="46" t="inlineStr">
        <is>
          <t>유동비율</t>
        </is>
      </c>
      <c r="B46" s="10" t="inlineStr">
        <is>
          <t>150%↑</t>
        </is>
      </c>
      <c r="C46" s="37">
        <f>IF(OR(C5="",C18=""),"",IFERROR(C5/C18,""))</f>
        <v/>
      </c>
      <c r="D46" s="38">
        <f>IF(OR(D5="",D18=""),"",IFERROR(D5/D18,""))</f>
        <v/>
      </c>
      <c r="E46" s="38">
        <f>IF(OR(E5="",E18=""),"",IFERROR(E5/E18,""))</f>
        <v/>
      </c>
      <c r="F46" s="38">
        <f>IF(OR(F5="",F18=""),"",IFERROR(F5/F18,""))</f>
        <v/>
      </c>
      <c r="G46" s="38">
        <f>IF(OR(G5="",G18=""),"",IFERROR(G5/G18,""))</f>
        <v/>
      </c>
      <c r="H46" s="37">
        <f>IF(OR(H5="",H18=""),"",IFERROR(H5/H18,""))</f>
        <v/>
      </c>
      <c r="I46" s="38">
        <f>IF(OR(I5="",I18=""),"",IFERROR(I5/I18,""))</f>
        <v/>
      </c>
      <c r="J46" s="38">
        <f>IF(OR(J5="",J18=""),"",IFERROR(J5/J18,""))</f>
        <v/>
      </c>
      <c r="K46" s="38">
        <f>IF(OR(K5="",K18=""),"",IFERROR(K5/K18,""))</f>
        <v/>
      </c>
      <c r="L46" s="38">
        <f>IF(OR(L5="",L18=""),"",IFERROR(L5/L18,""))</f>
        <v/>
      </c>
    </row>
    <row r="47">
      <c r="A47" s="46" t="inlineStr">
        <is>
          <t>당좌비율</t>
        </is>
      </c>
      <c r="B47" s="10" t="inlineStr">
        <is>
          <t>100%↑</t>
        </is>
      </c>
      <c r="C47" s="37">
        <f>IF(OR(C5="",C18=""),"",IFERROR((C5-N(C9))/C18,""))</f>
        <v/>
      </c>
      <c r="D47" s="38">
        <f>IF(OR(D5="",D18=""),"",IFERROR((D5-N(D9))/D18,""))</f>
        <v/>
      </c>
      <c r="E47" s="38">
        <f>IF(OR(E5="",E18=""),"",IFERROR((E5-N(E9))/E18,""))</f>
        <v/>
      </c>
      <c r="F47" s="38">
        <f>IF(OR(F5="",F18=""),"",IFERROR((F5-N(F9))/F18,""))</f>
        <v/>
      </c>
      <c r="G47" s="38">
        <f>IF(OR(G5="",G18=""),"",IFERROR((G5-N(G9))/G18,""))</f>
        <v/>
      </c>
      <c r="H47" s="37">
        <f>IF(OR(H5="",H18=""),"",IFERROR((H5-N(H9))/H18,""))</f>
        <v/>
      </c>
      <c r="I47" s="38">
        <f>IF(OR(I5="",I18=""),"",IFERROR((I5-N(I9))/I18,""))</f>
        <v/>
      </c>
      <c r="J47" s="38">
        <f>IF(OR(J5="",J18=""),"",IFERROR((J5-N(J9))/J18,""))</f>
        <v/>
      </c>
      <c r="K47" s="38">
        <f>IF(OR(K5="",K18=""),"",IFERROR((K5-N(K9))/K18,""))</f>
        <v/>
      </c>
      <c r="L47" s="38">
        <f>IF(OR(L5="",L18=""),"",IFERROR((L5-N(L9))/L18,""))</f>
        <v/>
      </c>
    </row>
    <row r="48">
      <c r="A48" s="46" t="inlineStr">
        <is>
          <t>이자보상배율</t>
        </is>
      </c>
      <c r="B48" s="10" t="inlineStr">
        <is>
          <t>5x↑ (금융원가 기준)</t>
        </is>
      </c>
      <c r="C48" s="32">
        <f>IFERROR((IF(COUNT('연간'!F16:I16)&lt;4,"",SUM('연간'!F16:I16)))/(IF(COUNT('연간'!F38:I38)&lt;4,"",SUM('연간'!F38:I38))),"")</f>
        <v/>
      </c>
      <c r="D48" s="33">
        <f>IFERROR((IF(COUNT('연간'!G16:J16)&lt;4,"",SUM('연간'!G16:J16)))/(IF(COUNT('연간'!G38:J38)&lt;4,"",SUM('연간'!G38:J38))),"")</f>
        <v/>
      </c>
      <c r="E48" s="33">
        <f>IFERROR((IF(COUNT('연간'!H16:K16)&lt;4,"",SUM('연간'!H16:K16)))/(IF(COUNT('연간'!H38:K38)&lt;4,"",SUM('연간'!H38:K38))),"")</f>
        <v/>
      </c>
      <c r="F48" s="33">
        <f>IFERROR((IF(COUNT('연간'!I16:L16)&lt;4,"",SUM('연간'!I16:L16)))/(IF(COUNT('연간'!I38:L38)&lt;4,"",SUM('연간'!I38:L38))),"")</f>
        <v/>
      </c>
      <c r="G48" s="33">
        <f>IFERROR((IF(COUNT('연간'!J16:M16)&lt;4,"",SUM('연간'!J16:M16)))/(IF(COUNT('연간'!J38:M38)&lt;4,"",SUM('연간'!J38:M38))),"")</f>
        <v/>
      </c>
      <c r="H48" s="32">
        <f>IFERROR(('연간'!T16)/('연간'!T38),"")</f>
        <v/>
      </c>
      <c r="I48" s="33">
        <f>IFERROR(('연간'!U16)/('연간'!U38),"")</f>
        <v/>
      </c>
      <c r="J48" s="33">
        <f>IFERROR(('연간'!V16)/('연간'!V38),"")</f>
        <v/>
      </c>
      <c r="K48" s="33">
        <f>IFERROR(('연간'!W16)/('연간'!W38),"")</f>
        <v/>
      </c>
      <c r="L48" s="33">
        <f>IFERROR(('연간'!X16)/('연간'!X38),"")</f>
        <v/>
      </c>
    </row>
    <row r="49">
      <c r="A49" s="46" t="inlineStr">
        <is>
          <t>차입금 상환연수</t>
        </is>
      </c>
      <c r="B49" s="10" t="inlineStr">
        <is>
          <t>4년↓ (버핏)</t>
        </is>
      </c>
      <c r="C49" s="47">
        <f>IFERROR(IF((IF(COUNT('연간'!F44:I44)&lt;4,"",SUM('연간'!F44:I44)))&lt;=0,"적자",C28/(IF(COUNT('연간'!F44:I44)&lt;4,"",SUM('연간'!F44:I44)))),"")</f>
        <v/>
      </c>
      <c r="D49" s="48">
        <f>IFERROR(IF((IF(COUNT('연간'!G44:J44)&lt;4,"",SUM('연간'!G44:J44)))&lt;=0,"적자",D28/(IF(COUNT('연간'!G44:J44)&lt;4,"",SUM('연간'!G44:J44)))),"")</f>
        <v/>
      </c>
      <c r="E49" s="48">
        <f>IFERROR(IF((IF(COUNT('연간'!H44:K44)&lt;4,"",SUM('연간'!H44:K44)))&lt;=0,"적자",E28/(IF(COUNT('연간'!H44:K44)&lt;4,"",SUM('연간'!H44:K44)))),"")</f>
        <v/>
      </c>
      <c r="F49" s="48">
        <f>IFERROR(IF((IF(COUNT('연간'!I44:L44)&lt;4,"",SUM('연간'!I44:L44)))&lt;=0,"적자",F28/(IF(COUNT('연간'!I44:L44)&lt;4,"",SUM('연간'!I44:L44)))),"")</f>
        <v/>
      </c>
      <c r="G49" s="48">
        <f>IFERROR(IF((IF(COUNT('연간'!J44:M44)&lt;4,"",SUM('연간'!J44:M44)))&lt;=0,"적자",G28/(IF(COUNT('연간'!J44:M44)&lt;4,"",SUM('연간'!J44:M44)))),"")</f>
        <v/>
      </c>
      <c r="H49" s="47">
        <f>IFERROR(IF(('연간'!T44)&lt;=0,"적자",H28/('연간'!T44)),"")</f>
        <v/>
      </c>
      <c r="I49" s="48">
        <f>IFERROR(IF(('연간'!U44)&lt;=0,"적자",I28/('연간'!U44)),"")</f>
        <v/>
      </c>
      <c r="J49" s="48">
        <f>IFERROR(IF(('연간'!V44)&lt;=0,"적자",J28/('연간'!V44)),"")</f>
        <v/>
      </c>
      <c r="K49" s="48">
        <f>IFERROR(IF(('연간'!W44)&lt;=0,"적자",K28/('연간'!W44)),"")</f>
        <v/>
      </c>
      <c r="L49" s="48">
        <f>IFERROR(IF(('연간'!X44)&lt;=0,"적자",L28/('연간'!X44)),"")</f>
        <v/>
      </c>
    </row>
    <row r="50">
      <c r="A50" s="25" t="inlineStr">
        <is>
          <t>수익성</t>
        </is>
      </c>
      <c r="B50" s="25" t="n"/>
      <c r="C50" s="26" t="n"/>
      <c r="D50" s="25" t="n"/>
      <c r="E50" s="25" t="n"/>
      <c r="F50" s="25" t="n"/>
      <c r="G50" s="25" t="n"/>
      <c r="H50" s="26" t="n"/>
      <c r="I50" s="25" t="n"/>
      <c r="J50" s="25" t="n"/>
      <c r="K50" s="25" t="n"/>
      <c r="L50" s="25" t="n"/>
    </row>
    <row r="51">
      <c r="A51" s="46" t="inlineStr">
        <is>
          <t>ROE</t>
        </is>
      </c>
      <c r="B51" s="10" t="inlineStr">
        <is>
          <t>15%↑ (버핏)</t>
        </is>
      </c>
      <c r="C51" s="37">
        <f>IFERROR((IF(COUNT('연간'!F44:I44)&lt;4,"",SUM('연간'!F44:I44)))/C31,"")</f>
        <v/>
      </c>
      <c r="D51" s="38">
        <f>IFERROR((IF(COUNT('연간'!G44:J44)&lt;4,"",SUM('연간'!G44:J44)))/D31,"")</f>
        <v/>
      </c>
      <c r="E51" s="38">
        <f>IFERROR((IF(COUNT('연간'!H44:K44)&lt;4,"",SUM('연간'!H44:K44)))/E31,"")</f>
        <v/>
      </c>
      <c r="F51" s="38">
        <f>IFERROR((IF(COUNT('연간'!I44:L44)&lt;4,"",SUM('연간'!I44:L44)))/F31,"")</f>
        <v/>
      </c>
      <c r="G51" s="38">
        <f>IFERROR((IF(COUNT('연간'!J44:M44)&lt;4,"",SUM('연간'!J44:M44)))/G31,"")</f>
        <v/>
      </c>
      <c r="H51" s="37">
        <f>IFERROR(('연간'!T44)/H31,"")</f>
        <v/>
      </c>
      <c r="I51" s="38">
        <f>IFERROR(('연간'!U44)/I31,"")</f>
        <v/>
      </c>
      <c r="J51" s="38">
        <f>IFERROR(('연간'!V44)/J31,"")</f>
        <v/>
      </c>
      <c r="K51" s="38">
        <f>IFERROR(('연간'!W44)/K31,"")</f>
        <v/>
      </c>
      <c r="L51" s="38">
        <f>IFERROR(('연간'!X44)/L31,"")</f>
        <v/>
      </c>
    </row>
    <row r="52">
      <c r="A52" s="46" t="inlineStr">
        <is>
          <t>ROA</t>
        </is>
      </c>
      <c r="B52" s="10" t="inlineStr">
        <is>
          <t>5%↑</t>
        </is>
      </c>
      <c r="C52" s="37">
        <f>IFERROR((IF(COUNT('연간'!F43:I43)&lt;4,"",SUM('연간'!F43:I43)))/C16,"")</f>
        <v/>
      </c>
      <c r="D52" s="38">
        <f>IFERROR((IF(COUNT('연간'!G43:J43)&lt;4,"",SUM('연간'!G43:J43)))/D16,"")</f>
        <v/>
      </c>
      <c r="E52" s="38">
        <f>IFERROR((IF(COUNT('연간'!H43:K43)&lt;4,"",SUM('연간'!H43:K43)))/E16,"")</f>
        <v/>
      </c>
      <c r="F52" s="38">
        <f>IFERROR((IF(COUNT('연간'!I43:L43)&lt;4,"",SUM('연간'!I43:L43)))/F16,"")</f>
        <v/>
      </c>
      <c r="G52" s="38">
        <f>IFERROR((IF(COUNT('연간'!J43:M43)&lt;4,"",SUM('연간'!J43:M43)))/G16,"")</f>
        <v/>
      </c>
      <c r="H52" s="37">
        <f>IFERROR(('연간'!T43)/H16,"")</f>
        <v/>
      </c>
      <c r="I52" s="38">
        <f>IFERROR(('연간'!U43)/I16,"")</f>
        <v/>
      </c>
      <c r="J52" s="38">
        <f>IFERROR(('연간'!V43)/J16,"")</f>
        <v/>
      </c>
      <c r="K52" s="38">
        <f>IFERROR(('연간'!W43)/K16,"")</f>
        <v/>
      </c>
      <c r="L52" s="38">
        <f>IFERROR(('연간'!X43)/L16,"")</f>
        <v/>
      </c>
    </row>
    <row r="53">
      <c r="A53" s="46" t="inlineStr">
        <is>
          <t>ROIC</t>
        </is>
      </c>
      <c r="B53" s="10" t="inlineStr">
        <is>
          <t>10%↑ (세후영업이익 기준)</t>
        </is>
      </c>
      <c r="C53" s="37">
        <f>IFERROR((IF(COUNT('연간'!F16:I16)&lt;4,"",SUM('연간'!F16:I16)))*(1-0.3)/(C35+C29),"")</f>
        <v/>
      </c>
      <c r="D53" s="38">
        <f>IFERROR((IF(COUNT('연간'!G16:J16)&lt;4,"",SUM('연간'!G16:J16)))*(1-0.3)/(D35+D29),"")</f>
        <v/>
      </c>
      <c r="E53" s="38">
        <f>IFERROR((IF(COUNT('연간'!H16:K16)&lt;4,"",SUM('연간'!H16:K16)))*(1-0.3)/(E35+E29),"")</f>
        <v/>
      </c>
      <c r="F53" s="38">
        <f>IFERROR((IF(COUNT('연간'!I16:L16)&lt;4,"",SUM('연간'!I16:L16)))*(1-0.3)/(F35+F29),"")</f>
        <v/>
      </c>
      <c r="G53" s="38">
        <f>IFERROR((IF(COUNT('연간'!J16:M16)&lt;4,"",SUM('연간'!J16:M16)))*(1-0.3)/(G35+G29),"")</f>
        <v/>
      </c>
      <c r="H53" s="37">
        <f>IFERROR(('연간'!T16)*(1-0.3)/(H35+H29),"")</f>
        <v/>
      </c>
      <c r="I53" s="38">
        <f>IFERROR(('연간'!U16)*(1-0.3)/(I35+I29),"")</f>
        <v/>
      </c>
      <c r="J53" s="38">
        <f>IFERROR(('연간'!V16)*(1-0.3)/(J35+J29),"")</f>
        <v/>
      </c>
      <c r="K53" s="38">
        <f>IFERROR(('연간'!W16)*(1-0.3)/(K35+K29),"")</f>
        <v/>
      </c>
      <c r="L53" s="38">
        <f>IFERROR(('연간'!X16)*(1-0.3)/(L35+L29),"")</f>
        <v/>
      </c>
    </row>
    <row r="54">
      <c r="A54" s="46" t="inlineStr">
        <is>
          <t>매출총이익률 (GPM)</t>
        </is>
      </c>
      <c r="B54" s="10" t="inlineStr">
        <is>
          <t>40%↑ (해자 신호)</t>
        </is>
      </c>
      <c r="C54" s="37">
        <f>IFERROR((IF(COUNT('연간'!F12:I12)&lt;4,"",SUM('연간'!F12:I12)))/(IF(COUNT('연간'!F4:I4)&lt;4,"",SUM('연간'!F4:I4))),"")</f>
        <v/>
      </c>
      <c r="D54" s="38">
        <f>IFERROR((IF(COUNT('연간'!G12:J12)&lt;4,"",SUM('연간'!G12:J12)))/(IF(COUNT('연간'!G4:J4)&lt;4,"",SUM('연간'!G4:J4))),"")</f>
        <v/>
      </c>
      <c r="E54" s="38">
        <f>IFERROR((IF(COUNT('연간'!H12:K12)&lt;4,"",SUM('연간'!H12:K12)))/(IF(COUNT('연간'!H4:K4)&lt;4,"",SUM('연간'!H4:K4))),"")</f>
        <v/>
      </c>
      <c r="F54" s="38">
        <f>IFERROR((IF(COUNT('연간'!I12:L12)&lt;4,"",SUM('연간'!I12:L12)))/(IF(COUNT('연간'!I4:L4)&lt;4,"",SUM('연간'!I4:L4))),"")</f>
        <v/>
      </c>
      <c r="G54" s="38">
        <f>IFERROR((IF(COUNT('연간'!J12:M12)&lt;4,"",SUM('연간'!J12:M12)))/(IF(COUNT('연간'!J4:M4)&lt;4,"",SUM('연간'!J4:M4))),"")</f>
        <v/>
      </c>
      <c r="H54" s="37">
        <f>IFERROR(('연간'!T12)/('연간'!T4),"")</f>
        <v/>
      </c>
      <c r="I54" s="38">
        <f>IFERROR(('연간'!U12)/('연간'!U4),"")</f>
        <v/>
      </c>
      <c r="J54" s="38">
        <f>IFERROR(('연간'!V12)/('연간'!V4),"")</f>
        <v/>
      </c>
      <c r="K54" s="38">
        <f>IFERROR(('연간'!W12)/('연간'!W4),"")</f>
        <v/>
      </c>
      <c r="L54" s="38">
        <f>IFERROR(('연간'!X12)/('연간'!X4),"")</f>
        <v/>
      </c>
    </row>
    <row r="55">
      <c r="A55" s="46" t="inlineStr">
        <is>
          <t>영업이익률 (OPM)</t>
        </is>
      </c>
      <c r="B55" s="10" t="inlineStr">
        <is>
          <t>15%↑</t>
        </is>
      </c>
      <c r="C55" s="37">
        <f>IFERROR((IF(COUNT('연간'!F16:I16)&lt;4,"",SUM('연간'!F16:I16)))/(IF(COUNT('연간'!F4:I4)&lt;4,"",SUM('연간'!F4:I4))),"")</f>
        <v/>
      </c>
      <c r="D55" s="38">
        <f>IFERROR((IF(COUNT('연간'!G16:J16)&lt;4,"",SUM('연간'!G16:J16)))/(IF(COUNT('연간'!G4:J4)&lt;4,"",SUM('연간'!G4:J4))),"")</f>
        <v/>
      </c>
      <c r="E55" s="38">
        <f>IFERROR((IF(COUNT('연간'!H16:K16)&lt;4,"",SUM('연간'!H16:K16)))/(IF(COUNT('연간'!H4:K4)&lt;4,"",SUM('연간'!H4:K4))),"")</f>
        <v/>
      </c>
      <c r="F55" s="38">
        <f>IFERROR((IF(COUNT('연간'!I16:L16)&lt;4,"",SUM('연간'!I16:L16)))/(IF(COUNT('연간'!I4:L4)&lt;4,"",SUM('연간'!I4:L4))),"")</f>
        <v/>
      </c>
      <c r="G55" s="38">
        <f>IFERROR((IF(COUNT('연간'!J16:M16)&lt;4,"",SUM('연간'!J16:M16)))/(IF(COUNT('연간'!J4:M4)&lt;4,"",SUM('연간'!J4:M4))),"")</f>
        <v/>
      </c>
      <c r="H55" s="37">
        <f>IFERROR(('연간'!T16)/('연간'!T4),"")</f>
        <v/>
      </c>
      <c r="I55" s="38">
        <f>IFERROR(('연간'!U16)/('연간'!U4),"")</f>
        <v/>
      </c>
      <c r="J55" s="38">
        <f>IFERROR(('연간'!V16)/('연간'!V4),"")</f>
        <v/>
      </c>
      <c r="K55" s="38">
        <f>IFERROR(('연간'!W16)/('연간'!W4),"")</f>
        <v/>
      </c>
      <c r="L55" s="38">
        <f>IFERROR(('연간'!X16)/('연간'!X4),"")</f>
        <v/>
      </c>
    </row>
    <row r="56">
      <c r="A56" s="46" t="inlineStr">
        <is>
          <t>순이익률</t>
        </is>
      </c>
      <c r="B56" s="10" t="inlineStr">
        <is>
          <t>10%↑</t>
        </is>
      </c>
      <c r="C56" s="37">
        <f>IFERROR((IF(COUNT('연간'!F43:I43)&lt;4,"",SUM('연간'!F43:I43)))/(IF(COUNT('연간'!F4:I4)&lt;4,"",SUM('연간'!F4:I4))),"")</f>
        <v/>
      </c>
      <c r="D56" s="38">
        <f>IFERROR((IF(COUNT('연간'!G43:J43)&lt;4,"",SUM('연간'!G43:J43)))/(IF(COUNT('연간'!G4:J4)&lt;4,"",SUM('연간'!G4:J4))),"")</f>
        <v/>
      </c>
      <c r="E56" s="38">
        <f>IFERROR((IF(COUNT('연간'!H43:K43)&lt;4,"",SUM('연간'!H43:K43)))/(IF(COUNT('연간'!H4:K4)&lt;4,"",SUM('연간'!H4:K4))),"")</f>
        <v/>
      </c>
      <c r="F56" s="38">
        <f>IFERROR((IF(COUNT('연간'!I43:L43)&lt;4,"",SUM('연간'!I43:L43)))/(IF(COUNT('연간'!I4:L4)&lt;4,"",SUM('연간'!I4:L4))),"")</f>
        <v/>
      </c>
      <c r="G56" s="38">
        <f>IFERROR((IF(COUNT('연간'!J43:M43)&lt;4,"",SUM('연간'!J43:M43)))/(IF(COUNT('연간'!J4:M4)&lt;4,"",SUM('연간'!J4:M4))),"")</f>
        <v/>
      </c>
      <c r="H56" s="37">
        <f>IFERROR(('연간'!T43)/('연간'!T4),"")</f>
        <v/>
      </c>
      <c r="I56" s="38">
        <f>IFERROR(('연간'!U43)/('연간'!U4),"")</f>
        <v/>
      </c>
      <c r="J56" s="38">
        <f>IFERROR(('연간'!V43)/('연간'!V4),"")</f>
        <v/>
      </c>
      <c r="K56" s="38">
        <f>IFERROR(('연간'!W43)/('연간'!W4),"")</f>
        <v/>
      </c>
      <c r="L56" s="38">
        <f>IFERROR(('연간'!X43)/('연간'!X4),"")</f>
        <v/>
      </c>
    </row>
    <row r="57">
      <c r="A57" s="25" t="inlineStr">
        <is>
          <t>효율성 (회전율)</t>
        </is>
      </c>
      <c r="B57" s="25" t="n"/>
      <c r="C57" s="26" t="n"/>
      <c r="D57" s="25" t="n"/>
      <c r="E57" s="25" t="n"/>
      <c r="F57" s="25" t="n"/>
      <c r="G57" s="25" t="n"/>
      <c r="H57" s="26" t="n"/>
      <c r="I57" s="25" t="n"/>
      <c r="J57" s="25" t="n"/>
      <c r="K57" s="25" t="n"/>
      <c r="L57" s="25" t="n"/>
    </row>
    <row r="58">
      <c r="A58" s="46" t="inlineStr">
        <is>
          <t>총자산회전율</t>
        </is>
      </c>
      <c r="B58" s="10" t="inlineStr">
        <is>
          <t>높을수록↑</t>
        </is>
      </c>
      <c r="C58" s="32">
        <f>IFERROR((IF(COUNT('연간'!F4:I4)&lt;4,"",SUM('연간'!F4:I4)))/C16,"")</f>
        <v/>
      </c>
      <c r="D58" s="33">
        <f>IFERROR((IF(COUNT('연간'!G4:J4)&lt;4,"",SUM('연간'!G4:J4)))/D16,"")</f>
        <v/>
      </c>
      <c r="E58" s="33">
        <f>IFERROR((IF(COUNT('연간'!H4:K4)&lt;4,"",SUM('연간'!H4:K4)))/E16,"")</f>
        <v/>
      </c>
      <c r="F58" s="33">
        <f>IFERROR((IF(COUNT('연간'!I4:L4)&lt;4,"",SUM('연간'!I4:L4)))/F16,"")</f>
        <v/>
      </c>
      <c r="G58" s="33">
        <f>IFERROR((IF(COUNT('연간'!J4:M4)&lt;4,"",SUM('연간'!J4:M4)))/G16,"")</f>
        <v/>
      </c>
      <c r="H58" s="32">
        <f>IFERROR(('연간'!T4)/H16,"")</f>
        <v/>
      </c>
      <c r="I58" s="33">
        <f>IFERROR(('연간'!U4)/I16,"")</f>
        <v/>
      </c>
      <c r="J58" s="33">
        <f>IFERROR(('연간'!V4)/J16,"")</f>
        <v/>
      </c>
      <c r="K58" s="33">
        <f>IFERROR(('연간'!W4)/K16,"")</f>
        <v/>
      </c>
      <c r="L58" s="33">
        <f>IFERROR(('연간'!X4)/L16,"")</f>
        <v/>
      </c>
    </row>
    <row r="59">
      <c r="A59" s="46" t="inlineStr">
        <is>
          <t>매출채권회전일수</t>
        </is>
      </c>
      <c r="B59" s="10" t="inlineStr">
        <is>
          <t>짧을수록↑</t>
        </is>
      </c>
      <c r="C59" s="49">
        <f>IFERROR(C8/(IF(COUNT('연간'!F4:I4)&lt;4,"",SUM('연간'!F4:I4)))*365,"")</f>
        <v/>
      </c>
      <c r="D59" s="50">
        <f>IFERROR(D8/(IF(COUNT('연간'!G4:J4)&lt;4,"",SUM('연간'!G4:J4)))*365,"")</f>
        <v/>
      </c>
      <c r="E59" s="50">
        <f>IFERROR(E8/(IF(COUNT('연간'!H4:K4)&lt;4,"",SUM('연간'!H4:K4)))*365,"")</f>
        <v/>
      </c>
      <c r="F59" s="50">
        <f>IFERROR(F8/(IF(COUNT('연간'!I4:L4)&lt;4,"",SUM('연간'!I4:L4)))*365,"")</f>
        <v/>
      </c>
      <c r="G59" s="50">
        <f>IFERROR(G8/(IF(COUNT('연간'!J4:M4)&lt;4,"",SUM('연간'!J4:M4)))*365,"")</f>
        <v/>
      </c>
      <c r="H59" s="49">
        <f>IFERROR(H8/('연간'!T4)*365,"")</f>
        <v/>
      </c>
      <c r="I59" s="50">
        <f>IFERROR(I8/('연간'!U4)*365,"")</f>
        <v/>
      </c>
      <c r="J59" s="50">
        <f>IFERROR(J8/('연간'!V4)*365,"")</f>
        <v/>
      </c>
      <c r="K59" s="50">
        <f>IFERROR(K8/('연간'!W4)*365,"")</f>
        <v/>
      </c>
      <c r="L59" s="50">
        <f>IFERROR(L8/('연간'!X4)*365,"")</f>
        <v/>
      </c>
    </row>
    <row r="60">
      <c r="A60" s="46" t="inlineStr">
        <is>
          <t>재고자산회전일수</t>
        </is>
      </c>
      <c r="B60" s="10" t="inlineStr">
        <is>
          <t>짧을수록↑</t>
        </is>
      </c>
      <c r="C60" s="49">
        <f>IFERROR(C9/(IF(COUNT('연간'!F11:I11)&lt;4,"",SUM('연간'!F11:I11)))*365,"")</f>
        <v/>
      </c>
      <c r="D60" s="50">
        <f>IFERROR(D9/(IF(COUNT('연간'!G11:J11)&lt;4,"",SUM('연간'!G11:J11)))*365,"")</f>
        <v/>
      </c>
      <c r="E60" s="50">
        <f>IFERROR(E9/(IF(COUNT('연간'!H11:K11)&lt;4,"",SUM('연간'!H11:K11)))*365,"")</f>
        <v/>
      </c>
      <c r="F60" s="50">
        <f>IFERROR(F9/(IF(COUNT('연간'!I11:L11)&lt;4,"",SUM('연간'!I11:L11)))*365,"")</f>
        <v/>
      </c>
      <c r="G60" s="50">
        <f>IFERROR(G9/(IF(COUNT('연간'!J11:M11)&lt;4,"",SUM('연간'!J11:M11)))*365,"")</f>
        <v/>
      </c>
      <c r="H60" s="49">
        <f>IFERROR(H9/('연간'!T11)*365,"")</f>
        <v/>
      </c>
      <c r="I60" s="50">
        <f>IFERROR(I9/('연간'!U11)*365,"")</f>
        <v/>
      </c>
      <c r="J60" s="50">
        <f>IFERROR(J9/('연간'!V11)*365,"")</f>
        <v/>
      </c>
      <c r="K60" s="50">
        <f>IFERROR(K9/('연간'!W11)*365,"")</f>
        <v/>
      </c>
      <c r="L60" s="50">
        <f>IFERROR(L9/('연간'!X11)*365,"")</f>
        <v/>
      </c>
    </row>
    <row r="61">
      <c r="A61" s="46" t="inlineStr">
        <is>
          <t>매입채무회전일수</t>
        </is>
      </c>
      <c r="B61" s="10" t="inlineStr">
        <is>
          <t>길수록 유리</t>
        </is>
      </c>
      <c r="C61" s="49">
        <f>IFERROR(C19/(IF(COUNT('연간'!F11:I11)&lt;4,"",SUM('연간'!F11:I11)))*365,"")</f>
        <v/>
      </c>
      <c r="D61" s="50">
        <f>IFERROR(D19/(IF(COUNT('연간'!G11:J11)&lt;4,"",SUM('연간'!G11:J11)))*365,"")</f>
        <v/>
      </c>
      <c r="E61" s="50">
        <f>IFERROR(E19/(IF(COUNT('연간'!H11:K11)&lt;4,"",SUM('연간'!H11:K11)))*365,"")</f>
        <v/>
      </c>
      <c r="F61" s="50">
        <f>IFERROR(F19/(IF(COUNT('연간'!I11:L11)&lt;4,"",SUM('연간'!I11:L11)))*365,"")</f>
        <v/>
      </c>
      <c r="G61" s="50">
        <f>IFERROR(G19/(IF(COUNT('연간'!J11:M11)&lt;4,"",SUM('연간'!J11:M11)))*365,"")</f>
        <v/>
      </c>
      <c r="H61" s="49">
        <f>IFERROR(H19/('연간'!T11)*365,"")</f>
        <v/>
      </c>
      <c r="I61" s="50">
        <f>IFERROR(I19/('연간'!U11)*365,"")</f>
        <v/>
      </c>
      <c r="J61" s="50">
        <f>IFERROR(J19/('연간'!V11)*365,"")</f>
        <v/>
      </c>
      <c r="K61" s="50">
        <f>IFERROR(K19/('연간'!W11)*365,"")</f>
        <v/>
      </c>
      <c r="L61" s="50">
        <f>IFERROR(L19/('연간'!X11)*365,"")</f>
        <v/>
      </c>
    </row>
    <row r="62">
      <c r="A62" s="46" t="inlineStr">
        <is>
          <t>현금전환주기 (CCC)</t>
        </is>
      </c>
      <c r="B62" s="10" t="inlineStr">
        <is>
          <t>짧을수록↑</t>
        </is>
      </c>
      <c r="C62" s="49">
        <f>IF(OR(C59="",C60="",C61=""),"",IFERROR(C59+C60-C61,""))</f>
        <v/>
      </c>
      <c r="D62" s="50">
        <f>IF(OR(D59="",D60="",D61=""),"",IFERROR(D59+D60-D61,""))</f>
        <v/>
      </c>
      <c r="E62" s="50">
        <f>IF(OR(E59="",E60="",E61=""),"",IFERROR(E59+E60-E61,""))</f>
        <v/>
      </c>
      <c r="F62" s="50">
        <f>IF(OR(F59="",F60="",F61=""),"",IFERROR(F59+F60-F61,""))</f>
        <v/>
      </c>
      <c r="G62" s="50">
        <f>IF(OR(G59="",G60="",G61=""),"",IFERROR(G59+G60-G61,""))</f>
        <v/>
      </c>
      <c r="H62" s="49">
        <f>IF(OR(H59="",H60="",H61=""),"",IFERROR(H59+H60-H61,""))</f>
        <v/>
      </c>
      <c r="I62" s="50">
        <f>IF(OR(I59="",I60="",I61=""),"",IFERROR(I59+I60-I61,""))</f>
        <v/>
      </c>
      <c r="J62" s="50">
        <f>IF(OR(J59="",J60="",J61=""),"",IFERROR(J59+J60-J61,""))</f>
        <v/>
      </c>
      <c r="K62" s="50">
        <f>IF(OR(K59="",K60="",K61=""),"",IFERROR(K59+K60-K61,""))</f>
        <v/>
      </c>
      <c r="L62" s="50">
        <f>IF(OR(L59="",L60="",L61=""),"",IFERROR(L59+L60-L61,""))</f>
        <v/>
      </c>
    </row>
    <row r="63">
      <c r="A63" s="25" t="inlineStr">
        <is>
          <t>현금흐름</t>
        </is>
      </c>
      <c r="B63" s="25" t="n"/>
      <c r="C63" s="26" t="n"/>
      <c r="D63" s="25" t="n"/>
      <c r="E63" s="25" t="n"/>
      <c r="F63" s="25" t="n"/>
      <c r="G63" s="25" t="n"/>
      <c r="H63" s="26" t="n"/>
      <c r="I63" s="25" t="n"/>
      <c r="J63" s="25" t="n"/>
      <c r="K63" s="25" t="n"/>
      <c r="L63" s="25" t="n"/>
    </row>
    <row r="64">
      <c r="A64" s="46" t="inlineStr">
        <is>
          <t>영업현금흐름 / 순이익</t>
        </is>
      </c>
      <c r="B64" s="10" t="inlineStr">
        <is>
          <t>1x↑ (이익의 질)</t>
        </is>
      </c>
      <c r="C64" s="32">
        <f>IF(C37="","",IFERROR(C37/(IF(COUNT('연간'!F43:I43)&lt;4,"",SUM('연간'!F43:I43))),""))</f>
        <v/>
      </c>
      <c r="D64" s="33">
        <f>IF(D37="","",IFERROR(D37/(IF(COUNT('연간'!G43:J43)&lt;4,"",SUM('연간'!G43:J43))),""))</f>
        <v/>
      </c>
      <c r="E64" s="33">
        <f>IF(E37="","",IFERROR(E37/(IF(COUNT('연간'!H43:K43)&lt;4,"",SUM('연간'!H43:K43))),""))</f>
        <v/>
      </c>
      <c r="F64" s="33">
        <f>IF(F37="","",IFERROR(F37/(IF(COUNT('연간'!I43:L43)&lt;4,"",SUM('연간'!I43:L43))),""))</f>
        <v/>
      </c>
      <c r="G64" s="33">
        <f>IF(G37="","",IFERROR(G37/(IF(COUNT('연간'!J43:M43)&lt;4,"",SUM('연간'!J43:M43))),""))</f>
        <v/>
      </c>
      <c r="H64" s="32">
        <f>IF(H37="","",IFERROR(H37/('연간'!T43),""))</f>
        <v/>
      </c>
      <c r="I64" s="33">
        <f>IF(I37="","",IFERROR(I37/('연간'!U43),""))</f>
        <v/>
      </c>
      <c r="J64" s="33">
        <f>IF(J37="","",IFERROR(J37/('연간'!V43),""))</f>
        <v/>
      </c>
      <c r="K64" s="33">
        <f>IF(K37="","",IFERROR(K37/('연간'!W43),""))</f>
        <v/>
      </c>
      <c r="L64" s="33">
        <f>IF(L37="","",IFERROR(L37/('연간'!X43),""))</f>
        <v/>
      </c>
    </row>
    <row r="65">
      <c r="A65" s="46" t="inlineStr">
        <is>
          <t>FCF 마진</t>
        </is>
      </c>
      <c r="B65" s="10" t="inlineStr">
        <is>
          <t>5%↑</t>
        </is>
      </c>
      <c r="C65" s="37">
        <f>IF(C39="","",IFERROR(C39/(IF(COUNT('연간'!F4:I4)&lt;4,"",SUM('연간'!F4:I4))),""))</f>
        <v/>
      </c>
      <c r="D65" s="38">
        <f>IF(D39="","",IFERROR(D39/(IF(COUNT('연간'!G4:J4)&lt;4,"",SUM('연간'!G4:J4))),""))</f>
        <v/>
      </c>
      <c r="E65" s="38">
        <f>IF(E39="","",IFERROR(E39/(IF(COUNT('연간'!H4:K4)&lt;4,"",SUM('연간'!H4:K4))),""))</f>
        <v/>
      </c>
      <c r="F65" s="38">
        <f>IF(F39="","",IFERROR(F39/(IF(COUNT('연간'!I4:L4)&lt;4,"",SUM('연간'!I4:L4))),""))</f>
        <v/>
      </c>
      <c r="G65" s="38">
        <f>IF(G39="","",IFERROR(G39/(IF(COUNT('연간'!J4:M4)&lt;4,"",SUM('연간'!J4:M4))),""))</f>
        <v/>
      </c>
      <c r="H65" s="37">
        <f>IF(H39="","",IFERROR(H39/('연간'!T4),""))</f>
        <v/>
      </c>
      <c r="I65" s="38">
        <f>IF(I39="","",IFERROR(I39/('연간'!U4),""))</f>
        <v/>
      </c>
      <c r="J65" s="38">
        <f>IF(J39="","",IFERROR(J39/('연간'!V4),""))</f>
        <v/>
      </c>
      <c r="K65" s="38">
        <f>IF(K39="","",IFERROR(K39/('연간'!W4),""))</f>
        <v/>
      </c>
      <c r="L65" s="38">
        <f>IF(L39="","",IFERROR(L39/('연간'!X4),""))</f>
        <v/>
      </c>
    </row>
    <row r="66">
      <c r="A66" s="46" t="inlineStr">
        <is>
          <t>CAPEX / 매출</t>
        </is>
      </c>
      <c r="B66" s="10" t="inlineStr">
        <is>
          <t>낮을수록↑ (자본 가벼움)</t>
        </is>
      </c>
      <c r="C66" s="37">
        <f>IF(C38="","",IFERROR(C38/(IF(COUNT('연간'!F4:I4)&lt;4,"",SUM('연간'!F4:I4))),""))</f>
        <v/>
      </c>
      <c r="D66" s="38">
        <f>IF(D38="","",IFERROR(D38/(IF(COUNT('연간'!G4:J4)&lt;4,"",SUM('연간'!G4:J4))),""))</f>
        <v/>
      </c>
      <c r="E66" s="38">
        <f>IF(E38="","",IFERROR(E38/(IF(COUNT('연간'!H4:K4)&lt;4,"",SUM('연간'!H4:K4))),""))</f>
        <v/>
      </c>
      <c r="F66" s="38">
        <f>IF(F38="","",IFERROR(F38/(IF(COUNT('연간'!I4:L4)&lt;4,"",SUM('연간'!I4:L4))),""))</f>
        <v/>
      </c>
      <c r="G66" s="38">
        <f>IF(G38="","",IFERROR(G38/(IF(COUNT('연간'!J4:M4)&lt;4,"",SUM('연간'!J4:M4))),""))</f>
        <v/>
      </c>
      <c r="H66" s="37">
        <f>IF(H38="","",IFERROR(H38/('연간'!T4),""))</f>
        <v/>
      </c>
      <c r="I66" s="38">
        <f>IF(I38="","",IFERROR(I38/('연간'!U4),""))</f>
        <v/>
      </c>
      <c r="J66" s="38">
        <f>IF(J38="","",IFERROR(J38/('연간'!V4),""))</f>
        <v/>
      </c>
      <c r="K66" s="38">
        <f>IF(K38="","",IFERROR(K38/('연간'!W4),""))</f>
        <v/>
      </c>
      <c r="L66" s="38">
        <f>IF(L38="","",IFERROR(L38/('연간'!X4),""))</f>
        <v/>
      </c>
    </row>
    <row r="67">
      <c r="A67" s="46" t="inlineStr">
        <is>
          <t>배당성향</t>
        </is>
      </c>
      <c r="B67" s="10" t="inlineStr">
        <is>
          <t>참고</t>
        </is>
      </c>
      <c r="C67" s="37">
        <f>IF(C40="","",IFERROR(C40/(IF(COUNT('연간'!F44:I44)&lt;4,"",SUM('연간'!F44:I44))),""))</f>
        <v/>
      </c>
      <c r="D67" s="38">
        <f>IF(D40="","",IFERROR(D40/(IF(COUNT('연간'!G44:J44)&lt;4,"",SUM('연간'!G44:J44))),""))</f>
        <v/>
      </c>
      <c r="E67" s="38">
        <f>IF(E40="","",IFERROR(E40/(IF(COUNT('연간'!H44:K44)&lt;4,"",SUM('연간'!H44:K44))),""))</f>
        <v/>
      </c>
      <c r="F67" s="38">
        <f>IF(F40="","",IFERROR(F40/(IF(COUNT('연간'!I44:L44)&lt;4,"",SUM('연간'!I44:L44))),""))</f>
        <v/>
      </c>
      <c r="G67" s="38">
        <f>IF(G40="","",IFERROR(G40/(IF(COUNT('연간'!J44:M44)&lt;4,"",SUM('연간'!J44:M44))),""))</f>
        <v/>
      </c>
      <c r="H67" s="37">
        <f>IF(H40="","",IFERROR(H40/('연간'!T44),""))</f>
        <v/>
      </c>
      <c r="I67" s="38">
        <f>IF(I40="","",IFERROR(I40/('연간'!U44),""))</f>
        <v/>
      </c>
      <c r="J67" s="38">
        <f>IF(J40="","",IFERROR(J40/('연간'!V44),""))</f>
        <v/>
      </c>
      <c r="K67" s="38">
        <f>IF(K40="","",IFERROR(K40/('연간'!W44),""))</f>
        <v/>
      </c>
      <c r="L67" s="38">
        <f>IF(L40="","",IFERROR(L40/('연간'!X44),""))</f>
        <v/>
      </c>
    </row>
    <row r="69">
      <c r="A69" s="18" t="inlineStr">
        <is>
          <t>재무상태표 · 전 항목</t>
        </is>
      </c>
      <c r="B69" s="44" t="inlineStr">
        <is>
          <t>분기 말 잔액</t>
        </is>
      </c>
      <c r="C69" s="18" t="n"/>
      <c r="D69" s="18" t="n"/>
      <c r="E69" s="18" t="n"/>
      <c r="F69" s="18" t="n"/>
      <c r="G69" s="18" t="n"/>
      <c r="H69" s="18" t="n"/>
      <c r="I69" s="18" t="n"/>
      <c r="J69" s="18" t="n"/>
      <c r="K69" s="18" t="n"/>
      <c r="L69" s="18" t="n"/>
    </row>
    <row r="70">
      <c r="A70" s="5" t="inlineStr">
        <is>
          <t>항목</t>
        </is>
      </c>
      <c r="B70" s="5" t="inlineStr">
        <is>
          <t>참고</t>
        </is>
      </c>
      <c r="C70" s="5" t="inlineStr">
        <is>
          <t>2025.4Q</t>
        </is>
      </c>
      <c r="D70" s="5" t="inlineStr">
        <is>
          <t>2026.1Q</t>
        </is>
      </c>
      <c r="E70" s="5" t="inlineStr">
        <is>
          <t>2026.2Q</t>
        </is>
      </c>
      <c r="F70" s="5" t="inlineStr">
        <is>
          <t>2026.3Q</t>
        </is>
      </c>
      <c r="G70" s="5" t="inlineStr">
        <is>
          <t>2026.4Q</t>
        </is>
      </c>
      <c r="H70" s="5" t="inlineStr">
        <is>
          <t>2022</t>
        </is>
      </c>
      <c r="I70" s="5" t="inlineStr">
        <is>
          <t>2023</t>
        </is>
      </c>
      <c r="J70" s="5" t="inlineStr">
        <is>
          <t>2024</t>
        </is>
      </c>
      <c r="K70" s="5" t="inlineStr">
        <is>
          <t>2025</t>
        </is>
      </c>
      <c r="L70" s="5" t="inlineStr">
        <is>
          <t>2026</t>
        </is>
      </c>
    </row>
    <row r="71">
      <c r="A71" s="20" t="inlineStr">
        <is>
          <t>유형자산</t>
        </is>
      </c>
      <c r="C71" s="22" t="n">
        <v>115412</v>
      </c>
      <c r="G71" s="22" t="n">
        <v>156519</v>
      </c>
      <c r="H71" s="22" t="n">
        <v>108893</v>
      </c>
      <c r="I71" s="22" t="n">
        <v>112085</v>
      </c>
      <c r="J71" s="22" t="n">
        <v>114586</v>
      </c>
      <c r="K71" s="22" t="n">
        <v>115412</v>
      </c>
      <c r="L71" s="22" t="n">
        <v>156519</v>
      </c>
    </row>
    <row r="72">
      <c r="A72" s="20" t="inlineStr">
        <is>
          <t>영업권</t>
        </is>
      </c>
      <c r="C72" s="22" t="n">
        <v>15748</v>
      </c>
      <c r="G72" s="22" t="n">
        <v>35061</v>
      </c>
      <c r="H72" s="22" t="n">
        <v>9638</v>
      </c>
      <c r="I72" s="22" t="n">
        <v>9819</v>
      </c>
      <c r="J72" s="22" t="n">
        <v>15287</v>
      </c>
      <c r="K72" s="22" t="n">
        <v>15748</v>
      </c>
      <c r="L72" s="22" t="n">
        <v>35061</v>
      </c>
    </row>
    <row r="73">
      <c r="A73" s="20" t="inlineStr">
        <is>
          <t>무형자산</t>
        </is>
      </c>
      <c r="C73" s="22" t="n">
        <v>143652</v>
      </c>
      <c r="G73" s="22" t="n">
        <v>173553</v>
      </c>
      <c r="H73" s="22" t="n">
        <v>81223</v>
      </c>
      <c r="I73" s="22" t="n">
        <v>96309</v>
      </c>
      <c r="J73" s="22" t="n">
        <v>117621</v>
      </c>
      <c r="K73" s="22" t="n">
        <v>143652</v>
      </c>
      <c r="L73" s="22" t="n">
        <v>173553</v>
      </c>
    </row>
    <row r="74">
      <c r="A74" s="20" t="inlineStr">
        <is>
          <t>사용권자산</t>
        </is>
      </c>
      <c r="C74" s="22" t="n">
        <v>19395</v>
      </c>
      <c r="G74" s="22" t="n">
        <v>22789</v>
      </c>
      <c r="H74" s="22" t="n">
        <v>3524</v>
      </c>
      <c r="I74" s="22" t="n">
        <v>6482</v>
      </c>
      <c r="J74" s="22" t="n">
        <v>9440</v>
      </c>
      <c r="K74" s="22" t="n">
        <v>19395</v>
      </c>
      <c r="L74" s="22" t="n">
        <v>22789</v>
      </c>
    </row>
    <row r="75">
      <c r="A75" s="20" t="inlineStr">
        <is>
          <t>Investment Property</t>
        </is>
      </c>
      <c r="C75" s="22" t="n">
        <v>27722</v>
      </c>
      <c r="G75" s="22" t="n">
        <v>27337</v>
      </c>
      <c r="H75" s="22" t="n">
        <v>26672</v>
      </c>
      <c r="I75" s="22" t="n">
        <v>26382</v>
      </c>
      <c r="J75" s="22" t="n">
        <v>27768</v>
      </c>
      <c r="K75" s="22" t="n">
        <v>27722</v>
      </c>
      <c r="L75" s="22" t="n">
        <v>27337</v>
      </c>
    </row>
    <row r="76">
      <c r="A76" s="20" t="inlineStr">
        <is>
          <t>지분법 투자</t>
        </is>
      </c>
      <c r="C76" s="22" t="n">
        <v>10429</v>
      </c>
      <c r="G76" s="22" t="n">
        <v>710751</v>
      </c>
      <c r="K76" s="22" t="n">
        <v>10429</v>
      </c>
      <c r="L76" s="22" t="n">
        <v>710751</v>
      </c>
    </row>
    <row r="77">
      <c r="A77" s="20" t="inlineStr">
        <is>
          <t>기타금융자산</t>
        </is>
      </c>
      <c r="C77" s="22" t="n">
        <v>299799</v>
      </c>
      <c r="G77" s="22" t="n">
        <v>107518</v>
      </c>
      <c r="H77" s="22" t="n">
        <v>242479</v>
      </c>
      <c r="I77" s="22" t="n">
        <v>247711</v>
      </c>
      <c r="J77" s="22" t="n">
        <v>292321</v>
      </c>
      <c r="K77" s="22" t="n">
        <v>299799</v>
      </c>
      <c r="L77" s="22" t="n">
        <v>107518</v>
      </c>
    </row>
    <row r="78">
      <c r="A78" s="20" t="inlineStr">
        <is>
          <t>이연법인세자산</t>
        </is>
      </c>
      <c r="C78" s="22" t="n">
        <v>13244</v>
      </c>
      <c r="G78" s="22" t="n">
        <v>4344</v>
      </c>
      <c r="H78" s="22" t="n">
        <v>12907</v>
      </c>
      <c r="I78" s="22" t="n">
        <v>22100</v>
      </c>
      <c r="J78" s="22" t="n">
        <v>13526</v>
      </c>
      <c r="K78" s="22" t="n">
        <v>13244</v>
      </c>
      <c r="L78" s="22" t="n">
        <v>4344</v>
      </c>
    </row>
    <row r="79">
      <c r="A79" s="20" t="inlineStr">
        <is>
          <t>기타비유동자산</t>
        </is>
      </c>
      <c r="C79" s="22" t="n">
        <v>31440</v>
      </c>
      <c r="G79" s="22" t="n">
        <v>28660</v>
      </c>
      <c r="H79" s="22" t="n">
        <v>6055</v>
      </c>
      <c r="I79" s="22" t="n">
        <v>6716</v>
      </c>
      <c r="J79" s="22" t="n">
        <v>42158</v>
      </c>
      <c r="K79" s="22" t="n">
        <v>31440</v>
      </c>
      <c r="L79" s="22" t="n">
        <v>28660</v>
      </c>
    </row>
    <row r="80">
      <c r="A80" s="20" t="inlineStr">
        <is>
          <t>비유동자산 합계</t>
        </is>
      </c>
      <c r="C80" s="22" t="n">
        <v>676844</v>
      </c>
      <c r="G80" s="22" t="n">
        <v>1266535</v>
      </c>
      <c r="H80" s="22" t="n">
        <v>491396</v>
      </c>
      <c r="I80" s="22" t="n">
        <v>527607</v>
      </c>
      <c r="J80" s="22" t="n">
        <v>632712</v>
      </c>
      <c r="K80" s="22" t="n">
        <v>676844</v>
      </c>
      <c r="L80" s="22" t="n">
        <v>1266535</v>
      </c>
    </row>
    <row r="81">
      <c r="A81" s="20" t="inlineStr">
        <is>
          <t>재고자산</t>
        </is>
      </c>
      <c r="C81" s="22" t="n">
        <v>65477</v>
      </c>
      <c r="G81" s="22" t="n">
        <v>99396</v>
      </c>
      <c r="H81" s="22" t="n">
        <v>45892</v>
      </c>
      <c r="I81" s="22" t="n">
        <v>57919</v>
      </c>
      <c r="J81" s="22" t="n">
        <v>64916</v>
      </c>
      <c r="K81" s="22" t="n">
        <v>65477</v>
      </c>
      <c r="L81" s="22" t="n">
        <v>99396</v>
      </c>
    </row>
    <row r="82">
      <c r="A82" s="20" t="inlineStr">
        <is>
          <t>Trade Receivables CA</t>
        </is>
      </c>
      <c r="C82" s="22" t="n">
        <v>120553</v>
      </c>
      <c r="G82" s="22" t="n">
        <v>159773</v>
      </c>
      <c r="H82" s="22" t="n">
        <v>122965</v>
      </c>
      <c r="I82" s="22" t="n">
        <v>109774</v>
      </c>
      <c r="J82" s="22" t="n">
        <v>122830</v>
      </c>
      <c r="K82" s="22" t="n">
        <v>120553</v>
      </c>
      <c r="L82" s="22" t="n">
        <v>159773</v>
      </c>
    </row>
    <row r="83">
      <c r="A83" s="20" t="inlineStr">
        <is>
          <t>기타금융자산</t>
        </is>
      </c>
      <c r="C83" s="22" t="n">
        <v>270024</v>
      </c>
      <c r="G83" s="22" t="n">
        <v>310748</v>
      </c>
      <c r="H83" s="22" t="n">
        <v>210757</v>
      </c>
      <c r="I83" s="22" t="n">
        <v>254131</v>
      </c>
      <c r="J83" s="22" t="n">
        <v>215761</v>
      </c>
      <c r="K83" s="22" t="n">
        <v>270024</v>
      </c>
      <c r="L83" s="22" t="n">
        <v>310748</v>
      </c>
    </row>
    <row r="84">
      <c r="A84" s="20" t="inlineStr">
        <is>
          <t>미수법인세</t>
        </is>
      </c>
      <c r="H84" s="22" t="n">
        <v>51</v>
      </c>
      <c r="I84" s="22" t="n">
        <v>68</v>
      </c>
    </row>
    <row r="85">
      <c r="A85" s="20" t="inlineStr">
        <is>
          <t>기타유동자산</t>
        </is>
      </c>
      <c r="C85" s="22" t="n">
        <v>27653</v>
      </c>
      <c r="G85" s="22" t="n">
        <v>29020</v>
      </c>
      <c r="H85" s="22" t="n">
        <v>25117</v>
      </c>
      <c r="I85" s="22" t="n">
        <v>53142</v>
      </c>
      <c r="J85" s="22" t="n">
        <v>22607</v>
      </c>
      <c r="K85" s="22" t="n">
        <v>27653</v>
      </c>
      <c r="L85" s="22" t="n">
        <v>29020</v>
      </c>
    </row>
    <row r="86">
      <c r="A86" s="20" t="inlineStr">
        <is>
          <t>현금및현금성자산</t>
        </is>
      </c>
      <c r="C86" s="22" t="n">
        <v>374795</v>
      </c>
      <c r="G86" s="22" t="n">
        <v>711397</v>
      </c>
      <c r="H86" s="22" t="n">
        <v>254420</v>
      </c>
      <c r="I86" s="22" t="n">
        <v>309224</v>
      </c>
      <c r="J86" s="22" t="n">
        <v>358090</v>
      </c>
      <c r="K86" s="22" t="n">
        <v>374795</v>
      </c>
      <c r="L86" s="22" t="n">
        <v>711397</v>
      </c>
    </row>
    <row r="87">
      <c r="A87" s="9" t="inlineStr">
        <is>
          <t>유동자산 합계</t>
        </is>
      </c>
      <c r="C87" s="12" t="n">
        <v>858504</v>
      </c>
      <c r="G87" s="12" t="n">
        <v>1310335</v>
      </c>
      <c r="H87" s="12" t="n">
        <v>659205</v>
      </c>
      <c r="I87" s="12" t="n">
        <v>784192</v>
      </c>
      <c r="J87" s="12" t="n">
        <v>784205</v>
      </c>
      <c r="K87" s="12" t="n">
        <v>858504</v>
      </c>
      <c r="L87" s="12" t="n">
        <v>1310335</v>
      </c>
    </row>
    <row r="88">
      <c r="A88" s="20" t="inlineStr">
        <is>
          <t>자산 합계</t>
        </is>
      </c>
      <c r="C88" s="22" t="n">
        <v>1535349</v>
      </c>
      <c r="G88" s="22" t="n">
        <v>2576870</v>
      </c>
      <c r="H88" s="22" t="n">
        <v>1150601</v>
      </c>
      <c r="I88" s="22" t="n">
        <v>1311800</v>
      </c>
      <c r="J88" s="22" t="n">
        <v>1416918</v>
      </c>
      <c r="K88" s="22" t="n">
        <v>1535349</v>
      </c>
      <c r="L88" s="22" t="n">
        <v>2576870</v>
      </c>
    </row>
    <row r="89">
      <c r="A89" s="20" t="inlineStr">
        <is>
          <t>자본금</t>
        </is>
      </c>
      <c r="C89" s="22" t="n">
        <v>21279</v>
      </c>
      <c r="G89" s="22" t="n">
        <v>21279</v>
      </c>
      <c r="H89" s="22" t="n">
        <v>21279</v>
      </c>
      <c r="I89" s="22" t="n">
        <v>21279</v>
      </c>
      <c r="J89" s="22" t="n">
        <v>21279</v>
      </c>
      <c r="K89" s="22" t="n">
        <v>21279</v>
      </c>
      <c r="L89" s="22" t="n">
        <v>21279</v>
      </c>
    </row>
    <row r="90">
      <c r="A90" s="20" t="inlineStr">
        <is>
          <t>자본잉여금</t>
        </is>
      </c>
      <c r="C90" s="22" t="n">
        <v>17845</v>
      </c>
      <c r="G90" s="22" t="n">
        <v>17824</v>
      </c>
      <c r="H90" s="22" t="n">
        <v>14455</v>
      </c>
      <c r="I90" s="22" t="n">
        <v>15204</v>
      </c>
      <c r="J90" s="22" t="n">
        <v>14242</v>
      </c>
      <c r="K90" s="22" t="n">
        <v>17845</v>
      </c>
      <c r="L90" s="22" t="n">
        <v>17824</v>
      </c>
    </row>
    <row r="91">
      <c r="A91" s="20" t="inlineStr">
        <is>
          <t>자기주식</t>
        </is>
      </c>
      <c r="C91" s="22" t="n">
        <v>-65855</v>
      </c>
      <c r="G91" s="22" t="n">
        <v>-65189</v>
      </c>
      <c r="H91" s="22" t="n">
        <v>-57857</v>
      </c>
      <c r="I91" s="22" t="n">
        <v>-63074</v>
      </c>
      <c r="J91" s="22" t="n">
        <v>-137889</v>
      </c>
      <c r="K91" s="22" t="n">
        <v>-65855</v>
      </c>
      <c r="L91" s="22" t="n">
        <v>-65189</v>
      </c>
    </row>
    <row r="92">
      <c r="A92" s="20" t="inlineStr">
        <is>
          <t>이익잉여금</t>
        </is>
      </c>
      <c r="C92" s="22" t="n">
        <v>1115729</v>
      </c>
      <c r="G92" s="22" t="n">
        <v>1492697</v>
      </c>
      <c r="H92" s="22" t="n">
        <v>832958</v>
      </c>
      <c r="I92" s="22" t="n">
        <v>940606</v>
      </c>
      <c r="J92" s="22" t="n">
        <v>1065913</v>
      </c>
      <c r="K92" s="22" t="n">
        <v>1115729</v>
      </c>
      <c r="L92" s="22" t="n">
        <v>1492697</v>
      </c>
    </row>
    <row r="93">
      <c r="A93" s="20" t="inlineStr">
        <is>
          <t>기타자본구성요소</t>
        </is>
      </c>
      <c r="C93" s="22" t="n">
        <v>272924</v>
      </c>
      <c r="G93" s="22" t="n">
        <v>218603</v>
      </c>
      <c r="H93" s="22" t="n">
        <v>164824</v>
      </c>
      <c r="I93" s="22" t="n">
        <v>186030</v>
      </c>
      <c r="J93" s="22" t="n">
        <v>271778</v>
      </c>
      <c r="K93" s="22" t="n">
        <v>272924</v>
      </c>
      <c r="L93" s="22" t="n">
        <v>218603</v>
      </c>
    </row>
    <row r="94">
      <c r="A94" s="20" t="inlineStr">
        <is>
          <t>Equity Attributable To Owners Of Parent</t>
        </is>
      </c>
      <c r="C94" s="22" t="n">
        <v>1361924</v>
      </c>
      <c r="G94" s="22" t="n">
        <v>1685215</v>
      </c>
      <c r="H94" s="22" t="n">
        <v>975661</v>
      </c>
      <c r="I94" s="22" t="n">
        <v>1100046</v>
      </c>
      <c r="J94" s="22" t="n">
        <v>1235325</v>
      </c>
      <c r="K94" s="22" t="n">
        <v>1361924</v>
      </c>
      <c r="L94" s="22" t="n">
        <v>1685215</v>
      </c>
    </row>
    <row r="95">
      <c r="A95" s="20" t="inlineStr">
        <is>
          <t>비지배지분</t>
        </is>
      </c>
      <c r="C95" s="22" t="n">
        <v>572</v>
      </c>
      <c r="G95" s="22" t="n">
        <v>989</v>
      </c>
      <c r="H95" s="22" t="n">
        <v>17624</v>
      </c>
      <c r="I95" s="22" t="n">
        <v>21832</v>
      </c>
      <c r="J95" s="22" t="n">
        <v>17236</v>
      </c>
      <c r="K95" s="22" t="n">
        <v>572</v>
      </c>
      <c r="L95" s="22" t="n">
        <v>989</v>
      </c>
    </row>
    <row r="96">
      <c r="A96" s="20" t="inlineStr">
        <is>
          <t>자본 합계</t>
        </is>
      </c>
      <c r="C96" s="22" t="n">
        <v>1362497</v>
      </c>
      <c r="G96" s="22" t="n">
        <v>1686205</v>
      </c>
      <c r="H96" s="22" t="n">
        <v>993285</v>
      </c>
      <c r="I96" s="22" t="n">
        <v>1121878</v>
      </c>
      <c r="J96" s="22" t="n">
        <v>1252562</v>
      </c>
      <c r="K96" s="22" t="n">
        <v>1362497</v>
      </c>
      <c r="L96" s="22" t="n">
        <v>1686205</v>
      </c>
    </row>
    <row r="97">
      <c r="A97" s="20" t="inlineStr">
        <is>
          <t>리스부채</t>
        </is>
      </c>
      <c r="C97" s="22" t="n">
        <v>18418</v>
      </c>
      <c r="G97" s="22" t="n">
        <v>18895</v>
      </c>
      <c r="H97" s="22" t="n">
        <v>3729</v>
      </c>
      <c r="I97" s="22" t="n">
        <v>6397</v>
      </c>
      <c r="J97" s="22" t="n">
        <v>8753</v>
      </c>
      <c r="K97" s="22" t="n">
        <v>18418</v>
      </c>
      <c r="L97" s="22" t="n">
        <v>18895</v>
      </c>
    </row>
    <row r="98">
      <c r="A98" s="20" t="inlineStr">
        <is>
          <t>기타금융부채</t>
        </is>
      </c>
      <c r="C98" s="22" t="n">
        <v>8258</v>
      </c>
      <c r="G98" s="22" t="n">
        <v>3974</v>
      </c>
      <c r="H98" s="22" t="n">
        <v>5616</v>
      </c>
      <c r="I98" s="22" t="n">
        <v>4844</v>
      </c>
      <c r="J98" s="22" t="n">
        <v>7649</v>
      </c>
      <c r="K98" s="22" t="n">
        <v>8258</v>
      </c>
      <c r="L98" s="22" t="n">
        <v>3974</v>
      </c>
    </row>
    <row r="99">
      <c r="A99" s="20" t="inlineStr">
        <is>
          <t>퇴직급여부채</t>
        </is>
      </c>
      <c r="C99" s="22" t="n">
        <v>8018</v>
      </c>
      <c r="G99" s="22" t="n">
        <v>16735</v>
      </c>
      <c r="H99" s="22" t="n">
        <v>15412</v>
      </c>
      <c r="I99" s="22" t="n">
        <v>12867</v>
      </c>
      <c r="J99" s="22" t="n">
        <v>7994</v>
      </c>
      <c r="K99" s="22" t="n">
        <v>8018</v>
      </c>
      <c r="L99" s="22" t="n">
        <v>16735</v>
      </c>
    </row>
    <row r="100">
      <c r="A100" s="20" t="inlineStr">
        <is>
          <t>이연법인세부채</t>
        </is>
      </c>
      <c r="C100" s="22" t="n">
        <v>4401</v>
      </c>
      <c r="G100" s="22" t="n">
        <v>17476</v>
      </c>
      <c r="H100" s="22" t="n">
        <v>7807</v>
      </c>
      <c r="I100" s="22" t="n">
        <v>5916</v>
      </c>
      <c r="J100" s="22" t="n">
        <v>4360</v>
      </c>
      <c r="K100" s="22" t="n">
        <v>4401</v>
      </c>
      <c r="L100" s="22" t="n">
        <v>17476</v>
      </c>
    </row>
    <row r="101">
      <c r="A101" s="20" t="inlineStr">
        <is>
          <t>충당금</t>
        </is>
      </c>
      <c r="C101" s="22" t="n">
        <v>0</v>
      </c>
      <c r="G101" s="22" t="n">
        <v>2526</v>
      </c>
      <c r="K101" s="22" t="n">
        <v>0</v>
      </c>
      <c r="L101" s="22" t="n">
        <v>2526</v>
      </c>
    </row>
    <row r="102">
      <c r="A102" s="20" t="inlineStr">
        <is>
          <t>기타비유동부채</t>
        </is>
      </c>
      <c r="C102" s="22" t="n">
        <v>4363</v>
      </c>
      <c r="G102" s="22" t="n">
        <v>3626</v>
      </c>
      <c r="H102" s="22" t="n">
        <v>354</v>
      </c>
      <c r="I102" s="22" t="n">
        <v>1343</v>
      </c>
      <c r="J102" s="22" t="n">
        <v>1691</v>
      </c>
      <c r="K102" s="22" t="n">
        <v>4363</v>
      </c>
      <c r="L102" s="22" t="n">
        <v>3626</v>
      </c>
    </row>
    <row r="103">
      <c r="A103" s="20" t="inlineStr">
        <is>
          <t>비유동부채 합계</t>
        </is>
      </c>
      <c r="C103" s="22" t="n">
        <v>43459</v>
      </c>
      <c r="G103" s="22" t="n">
        <v>63235</v>
      </c>
      <c r="H103" s="22" t="n">
        <v>32920</v>
      </c>
      <c r="I103" s="22" t="n">
        <v>31369</v>
      </c>
      <c r="J103" s="22" t="n">
        <v>30448</v>
      </c>
      <c r="K103" s="22" t="n">
        <v>43459</v>
      </c>
      <c r="L103" s="22" t="n">
        <v>63235</v>
      </c>
    </row>
    <row r="104">
      <c r="A104" s="20" t="inlineStr">
        <is>
          <t>사채 및 차입금</t>
        </is>
      </c>
      <c r="C104" s="22" t="n">
        <v>0</v>
      </c>
      <c r="G104" s="22" t="n">
        <v>660000</v>
      </c>
      <c r="K104" s="22" t="n">
        <v>0</v>
      </c>
      <c r="L104" s="22" t="n">
        <v>660000</v>
      </c>
    </row>
    <row r="105">
      <c r="A105" s="20" t="inlineStr">
        <is>
          <t>리스부채</t>
        </is>
      </c>
      <c r="C105" s="22" t="n">
        <v>3464</v>
      </c>
      <c r="G105" s="22" t="n">
        <v>5499</v>
      </c>
      <c r="H105" s="22" t="n">
        <v>2945</v>
      </c>
      <c r="I105" s="22" t="n">
        <v>3014</v>
      </c>
      <c r="J105" s="22" t="n">
        <v>2867</v>
      </c>
      <c r="K105" s="22" t="n">
        <v>3464</v>
      </c>
      <c r="L105" s="22" t="n">
        <v>5499</v>
      </c>
    </row>
    <row r="106">
      <c r="A106" s="20" t="inlineStr">
        <is>
          <t>Trade Payables CL</t>
        </is>
      </c>
      <c r="C106" s="22" t="n">
        <v>13579</v>
      </c>
      <c r="G106" s="22" t="n">
        <v>22149</v>
      </c>
      <c r="H106" s="22" t="n">
        <v>16372</v>
      </c>
      <c r="I106" s="22" t="n">
        <v>14005</v>
      </c>
      <c r="J106" s="22" t="n">
        <v>14808</v>
      </c>
      <c r="K106" s="22" t="n">
        <v>13579</v>
      </c>
      <c r="L106" s="22" t="n">
        <v>22149</v>
      </c>
    </row>
    <row r="107">
      <c r="A107" s="20" t="inlineStr">
        <is>
          <t>기타금융부채</t>
        </is>
      </c>
      <c r="C107" s="22" t="n">
        <v>18091</v>
      </c>
      <c r="G107" s="22" t="n">
        <v>40716</v>
      </c>
      <c r="H107" s="22" t="n">
        <v>22027</v>
      </c>
      <c r="I107" s="22" t="n">
        <v>29720</v>
      </c>
      <c r="J107" s="22" t="n">
        <v>31118</v>
      </c>
      <c r="K107" s="22" t="n">
        <v>18091</v>
      </c>
      <c r="L107" s="22" t="n">
        <v>40716</v>
      </c>
    </row>
    <row r="108">
      <c r="A108" s="20" t="inlineStr">
        <is>
          <t>미지급법인세</t>
        </is>
      </c>
      <c r="C108" s="22" t="n">
        <v>22399</v>
      </c>
      <c r="G108" s="22" t="n">
        <v>18881</v>
      </c>
      <c r="H108" s="22" t="n">
        <v>17973</v>
      </c>
      <c r="I108" s="22" t="n">
        <v>42217</v>
      </c>
      <c r="J108" s="22" t="n">
        <v>20844</v>
      </c>
      <c r="K108" s="22" t="n">
        <v>22399</v>
      </c>
      <c r="L108" s="22" t="n">
        <v>18881</v>
      </c>
    </row>
    <row r="109">
      <c r="A109" s="20" t="inlineStr">
        <is>
          <t>기타유동부채</t>
        </is>
      </c>
      <c r="C109" s="22" t="n">
        <v>71857</v>
      </c>
      <c r="G109" s="22" t="n">
        <v>80183</v>
      </c>
      <c r="H109" s="22" t="n">
        <v>65078</v>
      </c>
      <c r="I109" s="22" t="n">
        <v>69595</v>
      </c>
      <c r="J109" s="22" t="n">
        <v>64267</v>
      </c>
      <c r="K109" s="22" t="n">
        <v>71857</v>
      </c>
      <c r="L109" s="22" t="n">
        <v>80183</v>
      </c>
    </row>
    <row r="110">
      <c r="A110" s="20" t="inlineStr">
        <is>
          <t>유동부채 합계</t>
        </is>
      </c>
      <c r="C110" s="22" t="n">
        <v>129392</v>
      </c>
      <c r="G110" s="22" t="n">
        <v>827430</v>
      </c>
      <c r="H110" s="22" t="n">
        <v>124396</v>
      </c>
      <c r="I110" s="22" t="n">
        <v>158552</v>
      </c>
      <c r="J110" s="22" t="n">
        <v>133907</v>
      </c>
      <c r="K110" s="22" t="n">
        <v>129392</v>
      </c>
      <c r="L110" s="22" t="n">
        <v>827430</v>
      </c>
    </row>
    <row r="111">
      <c r="A111" s="20" t="inlineStr">
        <is>
          <t>부채 합계</t>
        </is>
      </c>
      <c r="C111" s="22" t="n">
        <v>172852</v>
      </c>
      <c r="G111" s="22" t="n">
        <v>890665</v>
      </c>
      <c r="H111" s="22" t="n">
        <v>157316</v>
      </c>
      <c r="I111" s="22" t="n">
        <v>189921</v>
      </c>
      <c r="J111" s="22" t="n">
        <v>164355</v>
      </c>
      <c r="K111" s="22" t="n">
        <v>172852</v>
      </c>
      <c r="L111" s="22" t="n">
        <v>890665</v>
      </c>
    </row>
    <row r="112">
      <c r="A112" s="20" t="inlineStr">
        <is>
          <t>Liabilities And Equity</t>
        </is>
      </c>
      <c r="C112" s="22" t="n">
        <v>1535349</v>
      </c>
      <c r="G112" s="22" t="n">
        <v>2576870</v>
      </c>
      <c r="H112" s="22" t="n">
        <v>1150601</v>
      </c>
      <c r="I112" s="22" t="n">
        <v>1311800</v>
      </c>
      <c r="J112" s="22" t="n">
        <v>1416918</v>
      </c>
      <c r="K112" s="22" t="n">
        <v>1535349</v>
      </c>
      <c r="L112" s="22" t="n">
        <v>2576870</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1" t="inlineStr">
        <is>
          <t>출처 · 쓴 결산단신</t>
        </is>
      </c>
    </row>
    <row r="3">
      <c r="A3" s="52" t="inlineStr">
        <is>
          <t>공시일</t>
        </is>
      </c>
      <c r="B3" s="52" t="inlineStr">
        <is>
          <t>문서</t>
        </is>
      </c>
      <c r="C3" s="52" t="inlineStr">
        <is>
          <t>PDF</t>
        </is>
      </c>
    </row>
    <row r="4">
      <c r="A4" t="inlineStr">
        <is>
          <t>2026-08-03</t>
        </is>
      </c>
      <c r="B4" t="inlineStr">
        <is>
          <t>2027년 3월 결산기 １분기 결산단신</t>
        </is>
      </c>
      <c r="C4" t="inlineStr">
        <is>
          <t>https://www2.jpx.co.jp/disc/45070/140120260803506986.pdf</t>
        </is>
      </c>
    </row>
    <row r="5">
      <c r="A5" t="inlineStr">
        <is>
          <t>2026-05-12</t>
        </is>
      </c>
      <c r="B5" t="inlineStr">
        <is>
          <t>2026년 3월 결산기 연간 결산단신</t>
        </is>
      </c>
      <c r="C5" t="inlineStr">
        <is>
          <t>https://www2.jpx.co.jp/disc/45070/140120260512525603.pdf</t>
        </is>
      </c>
    </row>
    <row r="6">
      <c r="A6" t="inlineStr">
        <is>
          <t>2026-01-30</t>
        </is>
      </c>
      <c r="B6" t="inlineStr">
        <is>
          <t>2026년 3월 결산기 3분기 결산단신</t>
        </is>
      </c>
      <c r="C6" t="inlineStr">
        <is>
          <t>https://www2.jpx.co.jp/disc/45070/140120260130542826.pdf</t>
        </is>
      </c>
    </row>
    <row r="7">
      <c r="A7" t="inlineStr">
        <is>
          <t>2025-10-27</t>
        </is>
      </c>
      <c r="B7" t="inlineStr">
        <is>
          <t>2026년 3월 결산기 2분기 결산단신</t>
        </is>
      </c>
      <c r="C7" t="inlineStr">
        <is>
          <t>https://www2.jpx.co.jp/disc/45070/140120251027579144.pdf</t>
        </is>
      </c>
    </row>
    <row r="8">
      <c r="A8" t="inlineStr">
        <is>
          <t>2025-07-28</t>
        </is>
      </c>
      <c r="B8" t="inlineStr">
        <is>
          <t>2026년 3월 결산기 1분기 결산단신</t>
        </is>
      </c>
      <c r="C8" t="inlineStr">
        <is>
          <t>https://www2.jpx.co.jp/disc/45070/140120250728521233.pdf</t>
        </is>
      </c>
    </row>
    <row r="9">
      <c r="A9" t="inlineStr">
        <is>
          <t>2025-05-12</t>
        </is>
      </c>
      <c r="B9" t="inlineStr">
        <is>
          <t>2025년 3월 결산기 연간 결산단신</t>
        </is>
      </c>
      <c r="C9" t="inlineStr">
        <is>
          <t>https://www2.jpx.co.jp/disc/45070/140120250509538686.pdf</t>
        </is>
      </c>
    </row>
    <row r="10">
      <c r="A10" t="inlineStr">
        <is>
          <t>2025-01-31</t>
        </is>
      </c>
      <c r="B10" t="inlineStr">
        <is>
          <t>2025년 3월 결산기 3분기 결산단신</t>
        </is>
      </c>
      <c r="C10" t="inlineStr">
        <is>
          <t>https://www2.jpx.co.jp/disc/45070/140120250130558067.pdf</t>
        </is>
      </c>
    </row>
    <row r="11">
      <c r="A11" t="inlineStr">
        <is>
          <t>2024-10-28</t>
        </is>
      </c>
      <c r="B11" t="inlineStr">
        <is>
          <t>2025년 3월 결산기 2분기 결산단신</t>
        </is>
      </c>
      <c r="C11" t="inlineStr">
        <is>
          <t>https://www2.jpx.co.jp/disc/45070/140120241025503103.pdf</t>
        </is>
      </c>
    </row>
    <row r="12">
      <c r="A12" t="inlineStr">
        <is>
          <t>2024-07-29</t>
        </is>
      </c>
      <c r="B12" t="inlineStr">
        <is>
          <t>2025년 3월 결산기 1분기 결산단신</t>
        </is>
      </c>
      <c r="C12" t="inlineStr">
        <is>
          <t>https://www2.jpx.co.jp/disc/45070/140120240726555510.pdf</t>
        </is>
      </c>
    </row>
    <row r="13">
      <c r="A13" t="inlineStr">
        <is>
          <t>2024-05-13</t>
        </is>
      </c>
      <c r="B13" t="inlineStr">
        <is>
          <t>2024년 3월 결산기 연간 결산단신</t>
        </is>
      </c>
      <c r="C13" t="inlineStr">
        <is>
          <t>https://www2.jpx.co.jp/disc/45070/140120240513591454.pdf</t>
        </is>
      </c>
    </row>
    <row r="14">
      <c r="A14" t="inlineStr">
        <is>
          <t>2024-01-31</t>
        </is>
      </c>
      <c r="B14" t="inlineStr">
        <is>
          <t>2024년 3월 결산기 3분기 결산단신</t>
        </is>
      </c>
      <c r="C14" t="inlineStr">
        <is>
          <t>https://www2.jpx.co.jp/disc/45070/140120240130522211.pdf</t>
        </is>
      </c>
    </row>
    <row r="15">
      <c r="A15" t="inlineStr">
        <is>
          <t>2023-10-31</t>
        </is>
      </c>
      <c r="B15" t="inlineStr">
        <is>
          <t>2024년 3월 결산기 2분기 결산단신</t>
        </is>
      </c>
      <c r="C15" t="inlineStr">
        <is>
          <t>https://www2.jpx.co.jp/disc/45070/140120231031575404.pdf</t>
        </is>
      </c>
    </row>
    <row r="16">
      <c r="A16" t="inlineStr">
        <is>
          <t>2023-07-31</t>
        </is>
      </c>
      <c r="B16" t="inlineStr">
        <is>
          <t>2024년 3월 결산기 １분기 결산단신</t>
        </is>
      </c>
      <c r="C16" t="inlineStr">
        <is>
          <t>https://www2.jpx.co.jp/disc/45070/140120230731530015.pdf</t>
        </is>
      </c>
    </row>
    <row r="17">
      <c r="A17" t="inlineStr">
        <is>
          <t>2023-05-10</t>
        </is>
      </c>
      <c r="B17" t="inlineStr">
        <is>
          <t>2023년 3월 결산기 연간 결산단신</t>
        </is>
      </c>
      <c r="C17" t="inlineStr">
        <is>
          <t>https://www2.jpx.co.jp/disc/45070/140120230509561642.pdf</t>
        </is>
      </c>
    </row>
    <row r="18">
      <c r="A18" t="inlineStr">
        <is>
          <t>2023-01-30</t>
        </is>
      </c>
      <c r="B18" t="inlineStr">
        <is>
          <t>2023년 3월 결산기 ３분기 결산단신</t>
        </is>
      </c>
      <c r="C18" t="inlineStr">
        <is>
          <t>https://www2.jpx.co.jp/disc/45070/140120230130595675.pdf</t>
        </is>
      </c>
    </row>
    <row r="19">
      <c r="A19" t="inlineStr">
        <is>
          <t>2022-10-31</t>
        </is>
      </c>
      <c r="B19" t="inlineStr">
        <is>
          <t>2023년 3월 결산기 ２분기 결산단신</t>
        </is>
      </c>
      <c r="C19" t="inlineStr">
        <is>
          <t>https://www2.jpx.co.jp/disc/45070/140120221028552730.pdf</t>
        </is>
      </c>
    </row>
    <row r="20">
      <c r="A20" t="inlineStr">
        <is>
          <t>2022-05-11</t>
        </is>
      </c>
      <c r="B20" t="inlineStr">
        <is>
          <t>2022년 3월 결산기 연간 결산단신</t>
        </is>
      </c>
      <c r="C20" t="inlineStr">
        <is>
          <t>https://www2.jpx.co.jp/disc/45070/140120220511538572.pdf</t>
        </is>
      </c>
    </row>
    <row r="21">
      <c r="A21" t="inlineStr">
        <is>
          <t>2021-05-10</t>
        </is>
      </c>
      <c r="B21" t="inlineStr">
        <is>
          <t>2021년 3월 결산기 연간 결산단신</t>
        </is>
      </c>
      <c r="C21" t="inlineStr">
        <is>
          <t>https://www2.jpx.co.jp/disc/45070/140120210510408578.pdf</t>
        </is>
      </c>
    </row>
    <row r="22">
      <c r="A22" t="inlineStr">
        <is>
          <t>2020-06-24</t>
        </is>
      </c>
      <c r="B22" t="inlineStr">
        <is>
          <t>2020년 3월 결산기 연간 결산단신</t>
        </is>
      </c>
      <c r="C22" t="inlineStr">
        <is>
          <t>https://www2.jpx.co.jp/disc/45070/140120200624451077.pdf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2026-10-25T14:04:07Z</dcterms:created>
  <dcterms:modified xmlns:dcterms="http://purl.org/dc/terms/" xmlns:xsi="http://www.w3.org/2001/XMLSchema-instance" xsi:type="dcterms:W3CDTF">2026-10-25T14:04:07Z</dcterms:modified>
</cp:coreProperties>
</file>