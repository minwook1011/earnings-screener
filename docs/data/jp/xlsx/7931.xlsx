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미라이공업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11142</v>
      </c>
      <c r="D4" s="12" t="n">
        <v>11221</v>
      </c>
      <c r="E4" s="12" t="n">
        <v>12606</v>
      </c>
      <c r="F4" s="12" t="n">
        <v>9122</v>
      </c>
      <c r="G4" s="12" t="n">
        <v>11677</v>
      </c>
      <c r="H4" s="12" t="n">
        <v>11269</v>
      </c>
      <c r="I4" s="12" t="n">
        <v>12432</v>
      </c>
      <c r="J4" s="12" t="n">
        <v>9735</v>
      </c>
      <c r="K4" s="12" t="n">
        <v>12764</v>
      </c>
      <c r="L4" s="12" t="n">
        <v>12097</v>
      </c>
      <c r="M4" s="12" t="n"/>
      <c r="N4" s="12" t="n"/>
      <c r="O4" s="11" t="n"/>
      <c r="P4" s="12" t="n">
        <v>35175</v>
      </c>
      <c r="Q4" s="12" t="n">
        <v>36035</v>
      </c>
      <c r="R4" s="12" t="n">
        <v>37573</v>
      </c>
      <c r="S4" s="12" t="n">
        <v>36069</v>
      </c>
      <c r="T4" s="12" t="n">
        <v>36905</v>
      </c>
      <c r="U4" s="12" t="n">
        <v>39568</v>
      </c>
      <c r="V4" s="12" t="n">
        <v>44091</v>
      </c>
      <c r="W4" s="12" t="n">
        <v>45113</v>
      </c>
      <c r="X4" s="12" t="n">
        <v>45673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전기자재 및 관재</t>
        </is>
      </c>
      <c r="B7" s="10" t="n"/>
      <c r="C7" s="19" t="n">
        <v>8649</v>
      </c>
      <c r="D7" s="20" t="n">
        <v>8708</v>
      </c>
      <c r="E7" s="20" t="n">
        <v>9766</v>
      </c>
      <c r="F7" s="20" t="n">
        <v>6997</v>
      </c>
      <c r="G7" s="20" t="n">
        <v>9019</v>
      </c>
      <c r="H7" s="20" t="n">
        <v>8540</v>
      </c>
      <c r="I7" s="20" t="n">
        <v>9492</v>
      </c>
      <c r="J7" s="20" t="n">
        <v>7733</v>
      </c>
      <c r="K7" s="20" t="n">
        <v>9883</v>
      </c>
      <c r="L7" s="20" t="n">
        <v>9150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34120</v>
      </c>
      <c r="W7" s="20" t="n">
        <v>34784</v>
      </c>
      <c r="X7" s="20" t="n">
        <v>34733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배선 기구</t>
        </is>
      </c>
      <c r="B10" s="10" t="n"/>
      <c r="C10" s="19" t="n">
        <v>1710</v>
      </c>
      <c r="D10" s="20" t="n">
        <v>1804</v>
      </c>
      <c r="E10" s="20" t="n">
        <v>2089</v>
      </c>
      <c r="F10" s="20" t="n">
        <v>1224</v>
      </c>
      <c r="G10" s="20" t="n">
        <v>1903</v>
      </c>
      <c r="H10" s="20" t="n">
        <v>1972</v>
      </c>
      <c r="I10" s="20" t="n">
        <v>2221</v>
      </c>
      <c r="J10" s="20" t="n">
        <v>1233</v>
      </c>
      <c r="K10" s="20" t="n">
        <v>2148</v>
      </c>
      <c r="L10" s="20" t="n">
        <v>2177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6827</v>
      </c>
      <c r="W10" s="20" t="n">
        <v>7329</v>
      </c>
      <c r="X10" s="20" t="n">
        <v>8037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782</v>
      </c>
      <c r="D13" s="20" t="n">
        <v>709</v>
      </c>
      <c r="E13" s="20" t="n">
        <v>751</v>
      </c>
      <c r="F13" s="20" t="n">
        <v>901</v>
      </c>
      <c r="G13" s="20" t="n">
        <v>754</v>
      </c>
      <c r="H13" s="20" t="n">
        <v>757</v>
      </c>
      <c r="I13" s="20" t="n">
        <v>720</v>
      </c>
      <c r="J13" s="20" t="n">
        <v>768</v>
      </c>
      <c r="K13" s="20" t="n">
        <v>732</v>
      </c>
      <c r="L13" s="20" t="n">
        <v>769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3143</v>
      </c>
      <c r="W13" s="20" t="n">
        <v>2999</v>
      </c>
      <c r="X13" s="20" t="n">
        <v>2902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6663</v>
      </c>
      <c r="D17" s="20" t="n">
        <v>6803</v>
      </c>
      <c r="E17" s="20" t="n">
        <v>7481</v>
      </c>
      <c r="F17" s="20" t="n">
        <v>5369</v>
      </c>
      <c r="G17" s="20" t="n">
        <v>7250</v>
      </c>
      <c r="H17" s="20" t="n">
        <v>6961</v>
      </c>
      <c r="I17" s="20" t="n">
        <v>7391</v>
      </c>
      <c r="J17" s="20" t="n">
        <v>5756</v>
      </c>
      <c r="K17" s="20" t="n">
        <v>7689</v>
      </c>
      <c r="L17" s="20" t="n">
        <v>7471</v>
      </c>
      <c r="M17" s="20" t="n"/>
      <c r="N17" s="20" t="n"/>
      <c r="O17" s="19" t="n"/>
      <c r="P17" s="20" t="n">
        <v>21374</v>
      </c>
      <c r="Q17" s="20" t="n">
        <v>22417</v>
      </c>
      <c r="R17" s="20" t="n">
        <v>23238</v>
      </c>
      <c r="S17" s="20" t="n">
        <v>22118</v>
      </c>
      <c r="T17" s="20" t="n">
        <v>23111</v>
      </c>
      <c r="U17" s="20" t="n">
        <v>25606</v>
      </c>
      <c r="V17" s="20" t="n">
        <v>26316</v>
      </c>
      <c r="W17" s="20" t="n">
        <v>27358</v>
      </c>
      <c r="X17" s="20" t="n">
        <v>28012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2847</v>
      </c>
      <c r="D21" s="20" t="n">
        <v>2580</v>
      </c>
      <c r="E21" s="20" t="n">
        <v>2900</v>
      </c>
      <c r="F21" s="20" t="n">
        <v>2114</v>
      </c>
      <c r="G21" s="20" t="n">
        <v>2947</v>
      </c>
      <c r="H21" s="20" t="n">
        <v>2628</v>
      </c>
      <c r="I21" s="20" t="n">
        <v>2733</v>
      </c>
      <c r="J21" s="20" t="n">
        <v>2549</v>
      </c>
      <c r="K21" s="20" t="n">
        <v>3128</v>
      </c>
      <c r="L21" s="20" t="n">
        <v>2780</v>
      </c>
      <c r="M21" s="20" t="n"/>
      <c r="N21" s="20" t="n"/>
      <c r="O21" s="19" t="n"/>
      <c r="P21" s="20" t="n">
        <v>9601</v>
      </c>
      <c r="Q21" s="20" t="n">
        <v>9712</v>
      </c>
      <c r="R21" s="20" t="n">
        <v>10123</v>
      </c>
      <c r="S21" s="20" t="n">
        <v>9767</v>
      </c>
      <c r="T21" s="20" t="n">
        <v>9749</v>
      </c>
      <c r="U21" s="20" t="n">
        <v>9917</v>
      </c>
      <c r="V21" s="20" t="n">
        <v>10441</v>
      </c>
      <c r="W21" s="20" t="n">
        <v>10857</v>
      </c>
      <c r="X21" s="20" t="n">
        <v>10937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1631</v>
      </c>
      <c r="D22" s="12" t="n">
        <v>1837</v>
      </c>
      <c r="E22" s="12" t="n">
        <v>2225</v>
      </c>
      <c r="F22" s="12" t="n">
        <v>1639</v>
      </c>
      <c r="G22" s="12" t="n">
        <v>1479</v>
      </c>
      <c r="H22" s="12" t="n">
        <v>1680</v>
      </c>
      <c r="I22" s="12" t="n">
        <v>2309</v>
      </c>
      <c r="J22" s="12" t="n">
        <v>1429</v>
      </c>
      <c r="K22" s="12" t="n">
        <v>1945</v>
      </c>
      <c r="L22" s="12" t="n">
        <v>1847</v>
      </c>
      <c r="M22" s="12" t="n"/>
      <c r="N22" s="12" t="n"/>
      <c r="O22" s="11" t="n"/>
      <c r="P22" s="12" t="n">
        <v>4198</v>
      </c>
      <c r="Q22" s="12" t="n">
        <v>3904</v>
      </c>
      <c r="R22" s="12" t="n">
        <v>4211</v>
      </c>
      <c r="S22" s="12" t="n">
        <v>4184</v>
      </c>
      <c r="T22" s="12" t="n">
        <v>4044</v>
      </c>
      <c r="U22" s="12" t="n">
        <v>4044</v>
      </c>
      <c r="V22" s="12" t="n">
        <v>7332</v>
      </c>
      <c r="W22" s="12" t="n">
        <v>6897</v>
      </c>
      <c r="X22" s="12" t="n">
        <v>6723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>
        <v>3379</v>
      </c>
      <c r="Q27" s="20" t="n">
        <v>3503</v>
      </c>
      <c r="R27" s="20" t="n">
        <v>3556</v>
      </c>
      <c r="S27" s="20" t="n">
        <v>3517</v>
      </c>
      <c r="T27" s="20" t="n">
        <v>3542</v>
      </c>
      <c r="U27" s="20" t="n">
        <v>3611</v>
      </c>
      <c r="V27" s="20" t="n">
        <v>3653</v>
      </c>
      <c r="W27" s="20" t="n">
        <v>3751</v>
      </c>
      <c r="X27" s="20" t="n">
        <v>3859</v>
      </c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>
        <v>0</v>
      </c>
      <c r="F38" s="20" t="n">
        <v>191</v>
      </c>
      <c r="G38" s="20" t="n">
        <v>53</v>
      </c>
      <c r="H38" s="20" t="n">
        <v>0</v>
      </c>
      <c r="I38" s="20" t="n">
        <v>0</v>
      </c>
      <c r="J38" s="20" t="n">
        <v>-44</v>
      </c>
      <c r="K38" s="20" t="n">
        <v>0</v>
      </c>
      <c r="L38" s="20" t="n">
        <v>0</v>
      </c>
      <c r="M38" s="20" t="n"/>
      <c r="N38" s="20" t="n"/>
      <c r="O38" s="19" t="n"/>
      <c r="P38" s="20" t="n">
        <v>45</v>
      </c>
      <c r="Q38" s="20" t="n">
        <v>2292</v>
      </c>
      <c r="R38" s="20" t="n">
        <v>0</v>
      </c>
      <c r="S38" s="20" t="n">
        <v>386</v>
      </c>
      <c r="T38" s="20" t="n">
        <v>30</v>
      </c>
      <c r="U38" s="20" t="n">
        <v>0</v>
      </c>
      <c r="V38" s="20" t="n">
        <v>191</v>
      </c>
      <c r="W38" s="20" t="n">
        <v>9</v>
      </c>
      <c r="X38" s="20" t="n">
        <v>53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0</v>
      </c>
      <c r="D40" s="20" t="n">
        <v>0</v>
      </c>
      <c r="E40" s="20" t="n">
        <v>0</v>
      </c>
      <c r="F40" s="20" t="n">
        <v>191</v>
      </c>
      <c r="G40" s="20" t="n">
        <v>53</v>
      </c>
      <c r="H40" s="20" t="n">
        <v>0</v>
      </c>
      <c r="I40" s="20" t="n">
        <v>0</v>
      </c>
      <c r="J40" s="20" t="n">
        <v>-44</v>
      </c>
      <c r="K40" s="20" t="n">
        <v>0</v>
      </c>
      <c r="L40" s="20" t="n">
        <v>31</v>
      </c>
      <c r="M40" s="20" t="n"/>
      <c r="N40" s="20" t="n"/>
      <c r="O40" s="19" t="n"/>
      <c r="P40" s="20" t="n">
        <v>121</v>
      </c>
      <c r="Q40" s="20" t="n">
        <v>545</v>
      </c>
      <c r="R40" s="20" t="n">
        <v>53</v>
      </c>
      <c r="S40" s="20" t="n">
        <v>243</v>
      </c>
      <c r="T40" s="20" t="n">
        <v>166</v>
      </c>
      <c r="U40" s="20" t="n">
        <v>25</v>
      </c>
      <c r="V40" s="20" t="n">
        <v>191</v>
      </c>
      <c r="W40" s="20" t="n">
        <v>9</v>
      </c>
      <c r="X40" s="20" t="n">
        <v>53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42</v>
      </c>
      <c r="D42" s="20" t="n">
        <v>60</v>
      </c>
      <c r="E42" s="20" t="n">
        <v>68</v>
      </c>
      <c r="F42" s="20" t="n">
        <v>6</v>
      </c>
      <c r="G42" s="20" t="n">
        <v>43</v>
      </c>
      <c r="H42" s="20" t="n">
        <v>64</v>
      </c>
      <c r="I42" s="20" t="n">
        <v>63</v>
      </c>
      <c r="J42" s="20" t="n">
        <v>45</v>
      </c>
      <c r="K42" s="20" t="n">
        <v>65</v>
      </c>
      <c r="L42" s="20" t="n">
        <v>86</v>
      </c>
      <c r="M42" s="20" t="n"/>
      <c r="N42" s="20" t="n"/>
      <c r="O42" s="19" t="n"/>
      <c r="P42" s="20" t="n">
        <v>285</v>
      </c>
      <c r="Q42" s="20" t="n">
        <v>250</v>
      </c>
      <c r="R42" s="20" t="n">
        <v>319</v>
      </c>
      <c r="S42" s="20" t="n">
        <v>159</v>
      </c>
      <c r="T42" s="20" t="n">
        <v>121</v>
      </c>
      <c r="U42" s="20" t="n">
        <v>135</v>
      </c>
      <c r="V42" s="20" t="n">
        <v>176</v>
      </c>
      <c r="W42" s="20" t="n">
        <v>215</v>
      </c>
      <c r="X42" s="20" t="n">
        <v>218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8</v>
      </c>
      <c r="D44" s="20" t="n">
        <v>19</v>
      </c>
      <c r="E44" s="20" t="n">
        <v>13</v>
      </c>
      <c r="F44" s="20" t="n">
        <v>-9</v>
      </c>
      <c r="G44" s="20" t="n">
        <v>10</v>
      </c>
      <c r="H44" s="20" t="n">
        <v>4</v>
      </c>
      <c r="I44" s="20" t="n">
        <v>8</v>
      </c>
      <c r="J44" s="20" t="n">
        <v>23</v>
      </c>
      <c r="K44" s="20" t="n">
        <v>4</v>
      </c>
      <c r="L44" s="20" t="n">
        <v>14</v>
      </c>
      <c r="M44" s="20" t="n"/>
      <c r="N44" s="20" t="n"/>
      <c r="O44" s="19" t="n"/>
      <c r="P44" s="20" t="n">
        <v>230</v>
      </c>
      <c r="Q44" s="20" t="n">
        <v>238</v>
      </c>
      <c r="R44" s="20" t="n">
        <v>248</v>
      </c>
      <c r="S44" s="20" t="n">
        <v>222</v>
      </c>
      <c r="T44" s="20" t="n">
        <v>210</v>
      </c>
      <c r="U44" s="20" t="n">
        <v>26</v>
      </c>
      <c r="V44" s="20" t="n">
        <v>31</v>
      </c>
      <c r="W44" s="20" t="n">
        <v>45</v>
      </c>
      <c r="X44" s="20" t="n">
        <v>42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1665</v>
      </c>
      <c r="D46" s="12" t="n">
        <v>1879</v>
      </c>
      <c r="E46" s="12" t="n">
        <v>2279</v>
      </c>
      <c r="F46" s="12" t="n">
        <v>1654</v>
      </c>
      <c r="G46" s="12" t="n">
        <v>1513</v>
      </c>
      <c r="H46" s="12" t="n">
        <v>1739</v>
      </c>
      <c r="I46" s="12" t="n">
        <v>2364</v>
      </c>
      <c r="J46" s="12" t="n">
        <v>1451</v>
      </c>
      <c r="K46" s="12" t="n">
        <v>2006</v>
      </c>
      <c r="L46" s="12" t="n">
        <v>1887</v>
      </c>
      <c r="M46" s="12" t="n"/>
      <c r="N46" s="12" t="n"/>
      <c r="O46" s="11" t="n"/>
      <c r="P46" s="12" t="n">
        <v>4177</v>
      </c>
      <c r="Q46" s="12" t="n">
        <v>5663</v>
      </c>
      <c r="R46" s="12" t="n">
        <v>4228</v>
      </c>
      <c r="S46" s="12" t="n">
        <v>4264</v>
      </c>
      <c r="T46" s="12" t="n">
        <v>3818</v>
      </c>
      <c r="U46" s="12" t="n">
        <v>4126</v>
      </c>
      <c r="V46" s="12" t="n">
        <v>7477</v>
      </c>
      <c r="W46" s="12" t="n">
        <v>7067</v>
      </c>
      <c r="X46" s="12" t="n">
        <v>6899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519</v>
      </c>
      <c r="D47" s="20" t="n">
        <v>595</v>
      </c>
      <c r="E47" s="20" t="n">
        <v>715</v>
      </c>
      <c r="F47" s="20" t="n">
        <v>453</v>
      </c>
      <c r="G47" s="20" t="n">
        <v>458</v>
      </c>
      <c r="H47" s="20" t="n">
        <v>554</v>
      </c>
      <c r="I47" s="20" t="n">
        <v>727</v>
      </c>
      <c r="J47" s="20" t="n">
        <v>426</v>
      </c>
      <c r="K47" s="20" t="n">
        <v>606</v>
      </c>
      <c r="L47" s="20" t="n">
        <v>601</v>
      </c>
      <c r="M47" s="20" t="n"/>
      <c r="N47" s="20" t="n"/>
      <c r="O47" s="19" t="n"/>
      <c r="P47" s="20" t="n">
        <v>1222</v>
      </c>
      <c r="Q47" s="20" t="n">
        <v>1504</v>
      </c>
      <c r="R47" s="20" t="n">
        <v>1351</v>
      </c>
      <c r="S47" s="20" t="n">
        <v>1362</v>
      </c>
      <c r="T47" s="20" t="n">
        <v>1203</v>
      </c>
      <c r="U47" s="20" t="n">
        <v>1307</v>
      </c>
      <c r="V47" s="20" t="n">
        <v>2282</v>
      </c>
      <c r="W47" s="20" t="n">
        <v>2165</v>
      </c>
      <c r="X47" s="20" t="n">
        <v>2119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1145</v>
      </c>
      <c r="D49" s="12" t="n">
        <v>1285</v>
      </c>
      <c r="E49" s="12" t="n">
        <v>1564</v>
      </c>
      <c r="F49" s="12" t="n">
        <v>1201</v>
      </c>
      <c r="G49" s="12" t="n">
        <v>1055</v>
      </c>
      <c r="H49" s="12" t="n">
        <v>1184</v>
      </c>
      <c r="I49" s="12" t="n">
        <v>1637</v>
      </c>
      <c r="J49" s="12" t="n">
        <v>1026</v>
      </c>
      <c r="K49" s="12" t="n">
        <v>1400</v>
      </c>
      <c r="L49" s="12" t="n">
        <v>1286</v>
      </c>
      <c r="M49" s="12" t="n"/>
      <c r="N49" s="12" t="n"/>
      <c r="O49" s="11" t="n"/>
      <c r="P49" s="12" t="n">
        <v>2955</v>
      </c>
      <c r="Q49" s="12" t="n">
        <v>4159</v>
      </c>
      <c r="R49" s="12" t="n">
        <v>2877</v>
      </c>
      <c r="S49" s="12" t="n">
        <v>2901</v>
      </c>
      <c r="T49" s="12" t="n">
        <v>2615</v>
      </c>
      <c r="U49" s="12" t="n">
        <v>2818</v>
      </c>
      <c r="V49" s="12" t="n">
        <v>5195</v>
      </c>
      <c r="W49" s="12" t="n">
        <v>4902</v>
      </c>
      <c r="X49" s="12" t="n">
        <v>4780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1127</v>
      </c>
      <c r="D50" s="12" t="n">
        <v>1271</v>
      </c>
      <c r="E50" s="12" t="n">
        <v>1548</v>
      </c>
      <c r="F50" s="12" t="n">
        <v>1170</v>
      </c>
      <c r="G50" s="12" t="n">
        <v>1032</v>
      </c>
      <c r="H50" s="12" t="n">
        <v>1163</v>
      </c>
      <c r="I50" s="12" t="n">
        <v>1617</v>
      </c>
      <c r="J50" s="12" t="n">
        <v>1021</v>
      </c>
      <c r="K50" s="12" t="n">
        <v>1379</v>
      </c>
      <c r="L50" s="12" t="n">
        <v>1267</v>
      </c>
      <c r="M50" s="12" t="n"/>
      <c r="N50" s="12" t="n"/>
      <c r="O50" s="11" t="n"/>
      <c r="P50" s="12" t="n">
        <v>2929</v>
      </c>
      <c r="Q50" s="12" t="n">
        <v>4114</v>
      </c>
      <c r="R50" s="12" t="n">
        <v>2824</v>
      </c>
      <c r="S50" s="12" t="n">
        <v>2826</v>
      </c>
      <c r="T50" s="12" t="n">
        <v>2531</v>
      </c>
      <c r="U50" s="12" t="n">
        <v>2742</v>
      </c>
      <c r="V50" s="12" t="n">
        <v>5116</v>
      </c>
      <c r="W50" s="12" t="n">
        <v>4833</v>
      </c>
      <c r="X50" s="12" t="n">
        <v>4696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2025.1Q</t>
        </is>
      </c>
      <c r="D83" s="5" t="inlineStr">
        <is>
          <t>2025.2Q</t>
        </is>
      </c>
      <c r="E83" s="5" t="inlineStr">
        <is>
          <t>2025.3Q</t>
        </is>
      </c>
      <c r="F83" s="5" t="inlineStr">
        <is>
          <t>2025.4Q</t>
        </is>
      </c>
      <c r="G83" s="5" t="inlineStr">
        <is>
          <t>2026.1Q</t>
        </is>
      </c>
      <c r="H83" s="5" t="inlineStr">
        <is>
          <t>2026.2Q</t>
        </is>
      </c>
      <c r="I83" s="5" t="inlineStr">
        <is>
          <t>2026.3Q</t>
        </is>
      </c>
      <c r="J83" s="5" t="inlineStr">
        <is>
          <t>2026.4Q</t>
        </is>
      </c>
      <c r="K83" s="5" t="inlineStr">
        <is>
          <t>2027.1Q</t>
        </is>
      </c>
      <c r="L83" s="5" t="inlineStr">
        <is>
          <t>2027.2Q</t>
        </is>
      </c>
      <c r="M83" s="5" t="inlineStr">
        <is>
          <t>2027.3Q</t>
        </is>
      </c>
      <c r="N83" s="5" t="inlineStr">
        <is>
          <t>2027.4Q</t>
        </is>
      </c>
      <c r="O83" s="5" t="inlineStr">
        <is>
          <t>2018</t>
        </is>
      </c>
      <c r="P83" s="5" t="inlineStr">
        <is>
          <t>2019</t>
        </is>
      </c>
      <c r="Q83" s="5" t="inlineStr">
        <is>
          <t>2020</t>
        </is>
      </c>
      <c r="R83" s="5" t="inlineStr">
        <is>
          <t>2021</t>
        </is>
      </c>
      <c r="S83" s="5" t="inlineStr">
        <is>
          <t>2022</t>
        </is>
      </c>
      <c r="T83" s="5" t="inlineStr">
        <is>
          <t>2023</t>
        </is>
      </c>
      <c r="U83" s="5" t="inlineStr">
        <is>
          <t>2024</t>
        </is>
      </c>
      <c r="V83" s="5" t="inlineStr">
        <is>
          <t>2025</t>
        </is>
      </c>
      <c r="W83" s="5" t="inlineStr">
        <is>
          <t>2026</t>
        </is>
      </c>
      <c r="X83" s="5" t="inlineStr">
        <is>
          <t>2027</t>
        </is>
      </c>
      <c r="Y83" s="5" t="inlineStr">
        <is>
          <t>2028(MW)</t>
        </is>
      </c>
      <c r="Z83" s="5" t="inlineStr">
        <is>
          <t>2029(MW)</t>
        </is>
      </c>
      <c r="AA83" s="5" t="inlineStr">
        <is>
          <t>2030(MW)</t>
        </is>
      </c>
      <c r="AB83" s="5" t="inlineStr">
        <is>
          <t>2031(MW)</t>
        </is>
      </c>
      <c r="AC83" s="5" t="inlineStr">
        <is>
          <t>2032(MW)</t>
        </is>
      </c>
    </row>
    <row r="84">
      <c r="A84" s="9" t="inlineStr">
        <is>
          <t>매출액</t>
        </is>
      </c>
      <c r="C84" s="12" t="n">
        <v>11142</v>
      </c>
      <c r="D84" s="12" t="n">
        <v>11221</v>
      </c>
      <c r="E84" s="12" t="n">
        <v>12606</v>
      </c>
      <c r="F84" s="12" t="n">
        <v>9122</v>
      </c>
      <c r="G84" s="12" t="n">
        <v>11677</v>
      </c>
      <c r="H84" s="12" t="n">
        <v>11269</v>
      </c>
      <c r="I84" s="12" t="n">
        <v>12432</v>
      </c>
      <c r="J84" s="12" t="n">
        <v>9735</v>
      </c>
      <c r="K84" s="12" t="n">
        <v>12764</v>
      </c>
      <c r="L84" s="12" t="n">
        <v>12097</v>
      </c>
      <c r="S84" s="12" t="n">
        <v>7656</v>
      </c>
      <c r="T84" s="12" t="n">
        <v>6851</v>
      </c>
      <c r="U84" s="12" t="n">
        <v>5497</v>
      </c>
      <c r="V84" s="12" t="n">
        <v>9122</v>
      </c>
      <c r="W84" s="12" t="n">
        <v>9735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S85" s="15">
        <f>IF(OR(S84="",R84=""),"",IF(R84&lt;=0,"",IFERROR(S84/R84-1,"")))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</row>
    <row r="86">
      <c r="A86" s="18" t="inlineStr">
        <is>
          <t>매출원가</t>
        </is>
      </c>
      <c r="C86" s="20" t="n">
        <v>6663</v>
      </c>
      <c r="D86" s="20" t="n">
        <v>6803</v>
      </c>
      <c r="E86" s="20" t="n">
        <v>7481</v>
      </c>
      <c r="F86" s="20" t="n">
        <v>5369</v>
      </c>
      <c r="G86" s="20" t="n">
        <v>7250</v>
      </c>
      <c r="H86" s="20" t="n">
        <v>6961</v>
      </c>
      <c r="I86" s="20" t="n">
        <v>7391</v>
      </c>
      <c r="J86" s="20" t="n">
        <v>5756</v>
      </c>
      <c r="K86" s="20" t="n">
        <v>7689</v>
      </c>
      <c r="L86" s="20" t="n">
        <v>7471</v>
      </c>
      <c r="S86" s="20" t="n">
        <v>4570</v>
      </c>
      <c r="T86" s="20" t="n">
        <v>3869</v>
      </c>
      <c r="U86" s="20" t="n">
        <v>5319</v>
      </c>
      <c r="V86" s="20" t="n">
        <v>5369</v>
      </c>
      <c r="W86" s="20" t="n">
        <v>5756</v>
      </c>
    </row>
    <row r="87">
      <c r="A87" s="9" t="inlineStr">
        <is>
          <t>매출총이익</t>
        </is>
      </c>
      <c r="C87" s="12" t="n">
        <v>4478</v>
      </c>
      <c r="D87" s="12" t="n">
        <v>4418</v>
      </c>
      <c r="E87" s="12" t="n">
        <v>5125</v>
      </c>
      <c r="F87" s="12" t="n">
        <v>3753</v>
      </c>
      <c r="G87" s="12" t="n">
        <v>4426</v>
      </c>
      <c r="H87" s="12" t="n">
        <v>4308</v>
      </c>
      <c r="I87" s="12" t="n">
        <v>5042</v>
      </c>
      <c r="J87" s="12" t="n">
        <v>3979</v>
      </c>
      <c r="K87" s="12" t="n">
        <v>5074</v>
      </c>
      <c r="L87" s="12" t="n">
        <v>4626</v>
      </c>
      <c r="S87" s="12" t="n">
        <v>3087</v>
      </c>
      <c r="T87" s="12" t="n">
        <v>2983</v>
      </c>
      <c r="U87" s="12" t="n">
        <v>178</v>
      </c>
      <c r="V87" s="12" t="n">
        <v>3753</v>
      </c>
      <c r="W87" s="12" t="n">
        <v>3979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S88" s="15">
        <f>IF(OR(S87="",R87=""),"",IF(R87&lt;=0,"",IFERROR(S87/R87-1,"")))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</row>
    <row r="89">
      <c r="A89" s="18" t="inlineStr">
        <is>
          <t>운임</t>
        </is>
      </c>
      <c r="C89" s="20" t="n">
        <v>582</v>
      </c>
      <c r="D89" s="20" t="n">
        <v>561</v>
      </c>
      <c r="E89" s="20" t="n">
        <v>634</v>
      </c>
      <c r="F89" s="20" t="n">
        <v>488</v>
      </c>
      <c r="G89" s="20" t="n">
        <v>627</v>
      </c>
      <c r="H89" s="20" t="n">
        <v>573</v>
      </c>
      <c r="I89" s="20" t="n">
        <v>634</v>
      </c>
      <c r="J89" s="20" t="n">
        <v>447</v>
      </c>
      <c r="K89" s="20" t="n">
        <v>680</v>
      </c>
      <c r="L89" s="20" t="n">
        <v>603</v>
      </c>
      <c r="S89" s="20" t="n">
        <v>504</v>
      </c>
      <c r="T89" s="20" t="n">
        <v>560</v>
      </c>
      <c r="U89" s="20" t="n">
        <v>477</v>
      </c>
      <c r="V89" s="20" t="n">
        <v>488</v>
      </c>
      <c r="W89" s="20" t="n">
        <v>447</v>
      </c>
    </row>
    <row r="90">
      <c r="A90" s="18" t="inlineStr">
        <is>
          <t>대손충당금 전입</t>
        </is>
      </c>
      <c r="C90" s="20" t="n">
        <v>-0</v>
      </c>
      <c r="D90" s="20" t="n">
        <v>0</v>
      </c>
      <c r="E90" s="20" t="n">
        <v>0</v>
      </c>
      <c r="F90" s="20" t="n">
        <v>-0</v>
      </c>
      <c r="G90" s="20" t="n">
        <v>-0</v>
      </c>
      <c r="H90" s="20" t="n">
        <v>0</v>
      </c>
      <c r="I90" s="20" t="n">
        <v>-0</v>
      </c>
      <c r="J90" s="20" t="n">
        <v>3</v>
      </c>
      <c r="K90" s="20" t="n">
        <v>0</v>
      </c>
      <c r="L90" s="20" t="n">
        <v>0</v>
      </c>
      <c r="S90" s="20" t="n">
        <v>0</v>
      </c>
      <c r="T90" s="20" t="n">
        <v>-9</v>
      </c>
      <c r="U90" s="20" t="n">
        <v>1</v>
      </c>
      <c r="V90" s="20" t="n">
        <v>-0</v>
      </c>
      <c r="W90" s="20" t="n">
        <v>3</v>
      </c>
    </row>
    <row r="91">
      <c r="A91" s="18" t="inlineStr">
        <is>
          <t>임원 보수</t>
        </is>
      </c>
      <c r="C91" s="20" t="n">
        <v>67</v>
      </c>
      <c r="D91" s="20" t="n">
        <v>72</v>
      </c>
      <c r="E91" s="20" t="n">
        <v>72</v>
      </c>
      <c r="F91" s="20" t="n">
        <v>41</v>
      </c>
      <c r="G91" s="20" t="n">
        <v>73</v>
      </c>
      <c r="H91" s="20" t="n">
        <v>83</v>
      </c>
      <c r="I91" s="20" t="n">
        <v>82</v>
      </c>
      <c r="J91" s="20" t="n">
        <v>45</v>
      </c>
      <c r="K91" s="20" t="n">
        <v>83</v>
      </c>
      <c r="L91" s="20" t="n">
        <v>83</v>
      </c>
      <c r="S91" s="20" t="n">
        <v>76</v>
      </c>
      <c r="T91" s="20" t="n">
        <v>90</v>
      </c>
      <c r="U91" s="20" t="n">
        <v>63</v>
      </c>
      <c r="V91" s="20" t="n">
        <v>41</v>
      </c>
      <c r="W91" s="20" t="n">
        <v>45</v>
      </c>
    </row>
    <row r="92">
      <c r="A92" s="18" t="inlineStr">
        <is>
          <t>급여·수당</t>
        </is>
      </c>
      <c r="C92" s="20" t="n">
        <v>710</v>
      </c>
      <c r="D92" s="20" t="n">
        <v>1180</v>
      </c>
      <c r="E92" s="20" t="n">
        <v>787</v>
      </c>
      <c r="F92" s="20" t="n">
        <v>976</v>
      </c>
      <c r="G92" s="20" t="n">
        <v>739</v>
      </c>
      <c r="H92" s="20" t="n">
        <v>1198</v>
      </c>
      <c r="I92" s="20" t="n">
        <v>750</v>
      </c>
      <c r="J92" s="20" t="n">
        <v>1064</v>
      </c>
      <c r="K92" s="20" t="n">
        <v>759</v>
      </c>
      <c r="L92" s="20" t="n">
        <v>1199</v>
      </c>
      <c r="S92" s="20" t="n">
        <v>990</v>
      </c>
      <c r="T92" s="20" t="n">
        <v>994</v>
      </c>
      <c r="U92" s="20" t="n">
        <v>997</v>
      </c>
      <c r="V92" s="20" t="n">
        <v>976</v>
      </c>
      <c r="W92" s="20" t="n">
        <v>1064</v>
      </c>
    </row>
    <row r="93">
      <c r="A93" s="18" t="inlineStr">
        <is>
          <t>상여충당금 전입</t>
        </is>
      </c>
      <c r="C93" s="20" t="n">
        <v>233</v>
      </c>
      <c r="G93" s="20" t="n">
        <v>226</v>
      </c>
      <c r="K93" s="20" t="n">
        <v>223</v>
      </c>
    </row>
    <row r="94">
      <c r="A94" s="18" t="inlineStr">
        <is>
          <t>퇴직급여비용</t>
        </is>
      </c>
      <c r="C94" s="20" t="n">
        <v>26</v>
      </c>
      <c r="D94" s="20" t="n">
        <v>28</v>
      </c>
      <c r="E94" s="20" t="n">
        <v>27</v>
      </c>
      <c r="F94" s="20" t="n">
        <v>36</v>
      </c>
      <c r="G94" s="20" t="n">
        <v>25</v>
      </c>
      <c r="H94" s="20" t="n">
        <v>26</v>
      </c>
      <c r="I94" s="20" t="n">
        <v>26</v>
      </c>
      <c r="J94" s="20" t="n">
        <v>31</v>
      </c>
      <c r="K94" s="20" t="n">
        <v>20</v>
      </c>
      <c r="L94" s="20" t="n">
        <v>18</v>
      </c>
      <c r="S94" s="20" t="n">
        <v>62</v>
      </c>
      <c r="T94" s="20" t="n">
        <v>15</v>
      </c>
      <c r="U94" s="20" t="n">
        <v>40</v>
      </c>
      <c r="V94" s="20" t="n">
        <v>36</v>
      </c>
      <c r="W94" s="20" t="n">
        <v>31</v>
      </c>
    </row>
    <row r="95">
      <c r="A95" s="18" t="inlineStr">
        <is>
          <t>주식 지급 충당금 전입액</t>
        </is>
      </c>
      <c r="C95" s="20" t="n">
        <v>6</v>
      </c>
      <c r="D95" s="20" t="n">
        <v>7</v>
      </c>
      <c r="E95" s="20" t="n">
        <v>6</v>
      </c>
      <c r="F95" s="20" t="n">
        <v>4</v>
      </c>
      <c r="G95" s="20" t="n">
        <v>6</v>
      </c>
      <c r="H95" s="20" t="n">
        <v>6</v>
      </c>
      <c r="I95" s="20" t="n">
        <v>6</v>
      </c>
      <c r="J95" s="20" t="n">
        <v>5</v>
      </c>
      <c r="K95" s="20" t="n">
        <v>5</v>
      </c>
      <c r="L95" s="20" t="n">
        <v>6</v>
      </c>
      <c r="S95" s="20" t="n">
        <v>16</v>
      </c>
      <c r="T95" s="20" t="n">
        <v>14</v>
      </c>
      <c r="U95" s="20" t="n">
        <v>38</v>
      </c>
      <c r="V95" s="20" t="n">
        <v>4</v>
      </c>
      <c r="W95" s="20" t="n">
        <v>5</v>
      </c>
    </row>
    <row r="96">
      <c r="A96" s="18" t="inlineStr">
        <is>
          <t>임원 주식 지급 충당금 전입액</t>
        </is>
      </c>
      <c r="C96" s="20" t="n">
        <v>7</v>
      </c>
      <c r="D96" s="20" t="n">
        <v>9</v>
      </c>
      <c r="E96" s="20" t="n">
        <v>9</v>
      </c>
      <c r="F96" s="20" t="n">
        <v>-3</v>
      </c>
      <c r="G96" s="20" t="n">
        <v>9</v>
      </c>
      <c r="H96" s="20" t="n">
        <v>9</v>
      </c>
      <c r="I96" s="20" t="n">
        <v>9</v>
      </c>
      <c r="J96" s="20" t="n">
        <v>7</v>
      </c>
      <c r="K96" s="20" t="n">
        <v>9</v>
      </c>
      <c r="L96" s="20" t="n">
        <v>9</v>
      </c>
      <c r="U96" s="20" t="n">
        <v>-15</v>
      </c>
      <c r="V96" s="20" t="n">
        <v>-3</v>
      </c>
      <c r="W96" s="20" t="n">
        <v>7</v>
      </c>
    </row>
    <row r="97">
      <c r="A97" s="18" t="inlineStr">
        <is>
          <t>임원 퇴직위로 충당금 전입</t>
        </is>
      </c>
      <c r="C97" s="20" t="n">
        <v>3</v>
      </c>
      <c r="D97" s="20" t="n">
        <v>3</v>
      </c>
      <c r="E97" s="20" t="n">
        <v>4</v>
      </c>
      <c r="F97" s="20" t="n">
        <v>2</v>
      </c>
      <c r="G97" s="20" t="n">
        <v>3</v>
      </c>
      <c r="H97" s="20" t="n">
        <v>3</v>
      </c>
      <c r="I97" s="20" t="n">
        <v>4</v>
      </c>
      <c r="J97" s="20" t="n">
        <v>3</v>
      </c>
      <c r="K97" s="20" t="n">
        <v>3</v>
      </c>
      <c r="L97" s="20" t="n">
        <v>3</v>
      </c>
      <c r="S97" s="20" t="n">
        <v>5</v>
      </c>
      <c r="T97" s="20" t="n">
        <v>5</v>
      </c>
      <c r="U97" s="20" t="n">
        <v>4</v>
      </c>
      <c r="V97" s="20" t="n">
        <v>2</v>
      </c>
      <c r="W97" s="20" t="n">
        <v>3</v>
      </c>
    </row>
    <row r="98">
      <c r="A98" s="18" t="inlineStr">
        <is>
          <t>기타</t>
        </is>
      </c>
      <c r="C98" s="20" t="n">
        <v>1210</v>
      </c>
      <c r="D98" s="20" t="n">
        <v>953</v>
      </c>
      <c r="E98" s="20" t="n">
        <v>1219</v>
      </c>
      <c r="F98" s="20" t="n">
        <v>711</v>
      </c>
      <c r="G98" s="20" t="n">
        <v>1236</v>
      </c>
      <c r="H98" s="20" t="n">
        <v>956</v>
      </c>
      <c r="I98" s="20" t="n">
        <v>1014</v>
      </c>
      <c r="J98" s="20" t="n">
        <v>1152</v>
      </c>
      <c r="K98" s="20" t="n">
        <v>1342</v>
      </c>
      <c r="L98" s="20" t="n">
        <v>1081</v>
      </c>
      <c r="S98" s="20" t="n">
        <v>765</v>
      </c>
      <c r="T98" s="20" t="n">
        <v>689</v>
      </c>
      <c r="U98" s="20" t="n">
        <v>374</v>
      </c>
      <c r="V98" s="20" t="n">
        <v>711</v>
      </c>
      <c r="W98" s="20" t="n">
        <v>1152</v>
      </c>
    </row>
    <row r="99">
      <c r="A99" s="18" t="inlineStr">
        <is>
          <t>판매비와 관리비 합계</t>
        </is>
      </c>
      <c r="C99" s="20" t="n">
        <v>2847</v>
      </c>
      <c r="D99" s="20" t="n">
        <v>2580</v>
      </c>
      <c r="E99" s="20" t="n">
        <v>2900</v>
      </c>
      <c r="F99" s="20" t="n">
        <v>2114</v>
      </c>
      <c r="G99" s="20" t="n">
        <v>2947</v>
      </c>
      <c r="H99" s="20" t="n">
        <v>2628</v>
      </c>
      <c r="I99" s="20" t="n">
        <v>2733</v>
      </c>
      <c r="J99" s="20" t="n">
        <v>2549</v>
      </c>
      <c r="K99" s="20" t="n">
        <v>3128</v>
      </c>
      <c r="L99" s="20" t="n">
        <v>2780</v>
      </c>
      <c r="S99" s="20" t="n">
        <v>2274</v>
      </c>
      <c r="T99" s="20" t="n">
        <v>2216</v>
      </c>
      <c r="U99" s="20" t="n">
        <v>1843</v>
      </c>
      <c r="V99" s="20" t="n">
        <v>2114</v>
      </c>
      <c r="W99" s="20" t="n">
        <v>2549</v>
      </c>
    </row>
    <row r="100">
      <c r="A100" s="9" t="inlineStr">
        <is>
          <t>영업이익</t>
        </is>
      </c>
      <c r="C100" s="12" t="n">
        <v>1631</v>
      </c>
      <c r="D100" s="12" t="n">
        <v>1837</v>
      </c>
      <c r="E100" s="12" t="n">
        <v>2225</v>
      </c>
      <c r="F100" s="12" t="n">
        <v>1639</v>
      </c>
      <c r="G100" s="12" t="n">
        <v>1479</v>
      </c>
      <c r="H100" s="12" t="n">
        <v>1680</v>
      </c>
      <c r="I100" s="12" t="n">
        <v>2309</v>
      </c>
      <c r="J100" s="12" t="n">
        <v>1429</v>
      </c>
      <c r="K100" s="12" t="n">
        <v>1945</v>
      </c>
      <c r="L100" s="12" t="n">
        <v>1847</v>
      </c>
      <c r="S100" s="12" t="n">
        <v>814</v>
      </c>
      <c r="T100" s="12" t="n">
        <v>766</v>
      </c>
      <c r="U100" s="12" t="n">
        <v>-1665</v>
      </c>
      <c r="V100" s="12" t="n">
        <v>1639</v>
      </c>
      <c r="W100" s="12" t="n">
        <v>1429</v>
      </c>
    </row>
    <row r="101">
      <c r="A101" s="43" t="inlineStr">
        <is>
          <t>OPM</t>
        </is>
      </c>
      <c r="B101" s="3" t="inlineStr">
        <is>
          <t>영업이익 ÷ 매출</t>
        </is>
      </c>
      <c r="C101" s="15">
        <f>IF(OR(C100="",C84=""),"",IF(C84&lt;=0,"",IFERROR(C100/C84,"")))</f>
        <v/>
      </c>
      <c r="D101" s="15">
        <f>IF(OR(D100="",D84=""),"",IF(D84&lt;=0,"",IFERROR(D100/D84,"")))</f>
        <v/>
      </c>
      <c r="E101" s="15">
        <f>IF(OR(E100="",E84=""),"",IF(E84&lt;=0,"",IFERROR(E100/E84,"")))</f>
        <v/>
      </c>
      <c r="F101" s="15">
        <f>IF(OR(F100="",F84=""),"",IF(F84&lt;=0,"",IFERROR(F100/F84,"")))</f>
        <v/>
      </c>
      <c r="G101" s="15">
        <f>IF(OR(G100="",G84=""),"",IF(G84&lt;=0,"",IFERROR(G100/G84,"")))</f>
        <v/>
      </c>
      <c r="H101" s="15">
        <f>IF(OR(H100="",H84=""),"",IF(H84&lt;=0,"",IFERROR(H100/H84,"")))</f>
        <v/>
      </c>
      <c r="I101" s="15">
        <f>IF(OR(I100="",I84=""),"",IF(I84&lt;=0,"",IFERROR(I100/I84,"")))</f>
        <v/>
      </c>
      <c r="J101" s="15">
        <f>IF(OR(J100="",J84=""),"",IF(J84&lt;=0,"",IFERROR(J100/J84,"")))</f>
        <v/>
      </c>
      <c r="K101" s="15">
        <f>IF(OR(K100="",K84=""),"",IF(K84&lt;=0,"",IFERROR(K100/K84,"")))</f>
        <v/>
      </c>
      <c r="L101" s="15">
        <f>IF(OR(L100="",L84=""),"",IF(L84&lt;=0,"",IFERROR(L100/L84,"")))</f>
        <v/>
      </c>
      <c r="S101" s="15">
        <f>IF(OR(S100="",S84=""),"",IF(S84&lt;=0,"",IFERROR(S100/S84,"")))</f>
        <v/>
      </c>
      <c r="T101" s="15">
        <f>IF(OR(T100="",T84=""),"",IF(T84&lt;=0,"",IFERROR(T100/T84,"")))</f>
        <v/>
      </c>
      <c r="U101" s="15">
        <f>IF(OR(U100="",U84=""),"",IF(U84&lt;=0,"",IFERROR(U100/U84,"")))</f>
        <v/>
      </c>
      <c r="V101" s="15">
        <f>IF(OR(V100="",V84=""),"",IF(V84&lt;=0,"",IFERROR(V100/V84,"")))</f>
        <v/>
      </c>
      <c r="W101" s="15">
        <f>IF(OR(W100="",W84=""),"",IF(W84&lt;=0,"",IFERROR(W100/W84,"")))</f>
        <v/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IF(OR(G100="",C100=""),"",IF(C100&lt;=0,"",IFERROR(G100/C100-1,"")))</f>
        <v/>
      </c>
      <c r="H102" s="15">
        <f>IF(OR(H100="",D100=""),"",IF(D100&lt;=0,"",IFERROR(H100/D100-1,"")))</f>
        <v/>
      </c>
      <c r="I102" s="15">
        <f>IF(OR(I100="",E100=""),"",IF(E100&lt;=0,"",IFERROR(I100/E100-1,"")))</f>
        <v/>
      </c>
      <c r="J102" s="15">
        <f>IF(OR(J100="",F100=""),"",IF(F100&lt;=0,"",IFERROR(J100/F100-1,"")))</f>
        <v/>
      </c>
      <c r="K102" s="15">
        <f>IF(OR(K100="",G100=""),"",IF(G100&lt;=0,"",IFERROR(K100/G100-1,"")))</f>
        <v/>
      </c>
      <c r="L102" s="15">
        <f>IF(OR(L100="",H100=""),"",IF(H100&lt;=0,"",IFERROR(L100/H100-1,"")))</f>
        <v/>
      </c>
      <c r="S102" s="15">
        <f>IF(OR(S100="",R100=""),"",IF(R100&lt;=0,"",IFERROR(S100/R100-1,"")))</f>
        <v/>
      </c>
      <c r="T102" s="15">
        <f>IF(OR(T100="",S100=""),"",IF(S100&lt;=0,"",IFERROR(T100/S100-1,"")))</f>
        <v/>
      </c>
      <c r="U102" s="15">
        <f>IF(OR(U100="",T100=""),"",IF(T100&lt;=0,"",IFERROR(U100/T100-1,"")))</f>
        <v/>
      </c>
      <c r="V102" s="15">
        <f>IF(OR(V100="",U100=""),"",IF(U100&lt;=0,"",IFERROR(V100/U100-1,"")))</f>
        <v/>
      </c>
      <c r="W102" s="15">
        <f>IF(OR(W100="",V100=""),"",IF(V100&lt;=0,"",IFERROR(W100/V100-1,"")))</f>
        <v/>
      </c>
    </row>
    <row r="103">
      <c r="A103" s="18" t="inlineStr">
        <is>
          <t>이자수익</t>
        </is>
      </c>
      <c r="C103" s="20" t="n">
        <v>3</v>
      </c>
      <c r="D103" s="20" t="n">
        <v>4</v>
      </c>
      <c r="E103" s="20" t="n">
        <v>5</v>
      </c>
      <c r="F103" s="20" t="n">
        <v>2</v>
      </c>
      <c r="G103" s="20" t="n">
        <v>5</v>
      </c>
      <c r="H103" s="20" t="n">
        <v>7</v>
      </c>
      <c r="I103" s="20" t="n">
        <v>6</v>
      </c>
      <c r="J103" s="20" t="n">
        <v>-1</v>
      </c>
      <c r="K103" s="20" t="n">
        <v>9</v>
      </c>
      <c r="L103" s="20" t="n">
        <v>18</v>
      </c>
      <c r="S103" s="20" t="n">
        <v>2</v>
      </c>
      <c r="T103" s="20" t="n">
        <v>3</v>
      </c>
      <c r="U103" s="20" t="n">
        <v>3</v>
      </c>
      <c r="V103" s="20" t="n">
        <v>2</v>
      </c>
      <c r="W103" s="20" t="n">
        <v>-1</v>
      </c>
    </row>
    <row r="104">
      <c r="A104" s="18" t="inlineStr">
        <is>
          <t>배당금수익</t>
        </is>
      </c>
      <c r="C104" s="20" t="n">
        <v>8</v>
      </c>
      <c r="D104" s="20" t="n">
        <v>28</v>
      </c>
      <c r="E104" s="20" t="n">
        <v>26</v>
      </c>
      <c r="F104" s="20" t="n">
        <v>-8</v>
      </c>
      <c r="G104" s="20" t="n">
        <v>6</v>
      </c>
      <c r="H104" s="20" t="n">
        <v>32</v>
      </c>
      <c r="I104" s="20" t="n">
        <v>31</v>
      </c>
      <c r="J104" s="20" t="n">
        <v>-7</v>
      </c>
      <c r="K104" s="20" t="n">
        <v>10</v>
      </c>
      <c r="L104" s="20" t="n">
        <v>37</v>
      </c>
      <c r="S104" s="20" t="n">
        <v>3</v>
      </c>
      <c r="T104" s="20" t="n">
        <v>-1</v>
      </c>
      <c r="U104" s="20" t="n">
        <v>-24</v>
      </c>
      <c r="V104" s="20" t="n">
        <v>-8</v>
      </c>
      <c r="W104" s="20" t="n">
        <v>-7</v>
      </c>
    </row>
    <row r="105">
      <c r="A105" s="18" t="inlineStr">
        <is>
          <t>보험 사무 수수료</t>
        </is>
      </c>
      <c r="C105" s="20" t="n">
        <v>1</v>
      </c>
      <c r="D105" s="20" t="n">
        <v>1</v>
      </c>
      <c r="E105" s="20" t="n">
        <v>2</v>
      </c>
      <c r="F105" s="20" t="n">
        <v>1</v>
      </c>
      <c r="G105" s="20" t="n">
        <v>1</v>
      </c>
      <c r="H105" s="20" t="n">
        <v>1</v>
      </c>
      <c r="I105" s="20" t="n">
        <v>1</v>
      </c>
      <c r="J105" s="20" t="n">
        <v>2</v>
      </c>
      <c r="K105" s="20" t="n">
        <v>1</v>
      </c>
      <c r="L105" s="20" t="n">
        <v>1</v>
      </c>
      <c r="S105" s="20" t="n">
        <v>2</v>
      </c>
      <c r="T105" s="20" t="n">
        <v>2</v>
      </c>
      <c r="U105" s="20" t="n">
        <v>2</v>
      </c>
      <c r="V105" s="20" t="n">
        <v>1</v>
      </c>
      <c r="W105" s="20" t="n">
        <v>2</v>
      </c>
    </row>
    <row r="106">
      <c r="A106" s="18" t="inlineStr">
        <is>
          <t>작업부산물 매각이익</t>
        </is>
      </c>
      <c r="C106" s="20" t="n">
        <v>5</v>
      </c>
      <c r="D106" s="20" t="n">
        <v>6</v>
      </c>
      <c r="E106" s="20" t="n">
        <v>4</v>
      </c>
      <c r="F106" s="20" t="n">
        <v>8</v>
      </c>
      <c r="G106" s="20" t="n">
        <v>3</v>
      </c>
      <c r="H106" s="20" t="n">
        <v>3</v>
      </c>
      <c r="I106" s="20" t="n">
        <v>9</v>
      </c>
      <c r="J106" s="20" t="n">
        <v>11</v>
      </c>
      <c r="K106" s="20" t="n">
        <v>17</v>
      </c>
      <c r="L106" s="20" t="n">
        <v>8</v>
      </c>
      <c r="S106" s="20" t="n">
        <v>-4</v>
      </c>
      <c r="T106" s="20" t="n">
        <v>10</v>
      </c>
      <c r="U106" s="20" t="n">
        <v>6</v>
      </c>
      <c r="V106" s="20" t="n">
        <v>8</v>
      </c>
      <c r="W106" s="20" t="n">
        <v>11</v>
      </c>
    </row>
    <row r="107">
      <c r="A107" s="18" t="inlineStr">
        <is>
          <t>수수료 수익</t>
        </is>
      </c>
      <c r="C107" s="20" t="n">
        <v>7</v>
      </c>
      <c r="D107" s="20" t="n">
        <v>7</v>
      </c>
      <c r="E107" s="20" t="n">
        <v>8</v>
      </c>
      <c r="F107" s="20" t="n">
        <v>6</v>
      </c>
      <c r="G107" s="20" t="n">
        <v>7</v>
      </c>
      <c r="H107" s="20" t="n">
        <v>5</v>
      </c>
      <c r="I107" s="20" t="n">
        <v>6</v>
      </c>
      <c r="J107" s="20" t="n">
        <v>10</v>
      </c>
      <c r="K107" s="20" t="n">
        <v>6</v>
      </c>
      <c r="L107" s="20" t="n">
        <v>5</v>
      </c>
      <c r="V107" s="20" t="n">
        <v>6</v>
      </c>
      <c r="W107" s="20" t="n">
        <v>10</v>
      </c>
    </row>
    <row r="108">
      <c r="A108" s="18" t="inlineStr">
        <is>
          <t>기타</t>
        </is>
      </c>
      <c r="C108" s="20" t="n">
        <v>15</v>
      </c>
      <c r="D108" s="20" t="n">
        <v>14</v>
      </c>
      <c r="E108" s="20" t="n">
        <v>24</v>
      </c>
      <c r="F108" s="20" t="n">
        <v>-3</v>
      </c>
      <c r="G108" s="20" t="n">
        <v>19</v>
      </c>
      <c r="H108" s="20" t="n">
        <v>16</v>
      </c>
      <c r="I108" s="20" t="n">
        <v>10</v>
      </c>
      <c r="J108" s="20" t="n">
        <v>30</v>
      </c>
      <c r="K108" s="20" t="n">
        <v>21</v>
      </c>
      <c r="L108" s="20" t="n">
        <v>16</v>
      </c>
      <c r="S108" s="20" t="n">
        <v>60</v>
      </c>
      <c r="T108" s="20" t="n">
        <v>-2</v>
      </c>
      <c r="U108" s="20" t="n">
        <v>-14</v>
      </c>
      <c r="V108" s="20" t="n">
        <v>-3</v>
      </c>
      <c r="W108" s="20" t="n">
        <v>30</v>
      </c>
    </row>
    <row r="109">
      <c r="A109" s="18" t="inlineStr">
        <is>
          <t>영업외수익 합계</t>
        </is>
      </c>
      <c r="C109" s="20" t="n">
        <v>42</v>
      </c>
      <c r="D109" s="20" t="n">
        <v>60</v>
      </c>
      <c r="E109" s="20" t="n">
        <v>68</v>
      </c>
      <c r="F109" s="20" t="n">
        <v>6</v>
      </c>
      <c r="G109" s="20" t="n">
        <v>43</v>
      </c>
      <c r="H109" s="20" t="n">
        <v>64</v>
      </c>
      <c r="I109" s="20" t="n">
        <v>63</v>
      </c>
      <c r="J109" s="20" t="n">
        <v>45</v>
      </c>
      <c r="K109" s="20" t="n">
        <v>65</v>
      </c>
      <c r="L109" s="20" t="n">
        <v>86</v>
      </c>
      <c r="S109" s="20" t="n">
        <v>63</v>
      </c>
      <c r="T109" s="20" t="n">
        <v>20</v>
      </c>
      <c r="U109" s="20" t="n">
        <v>-5</v>
      </c>
      <c r="V109" s="20" t="n">
        <v>6</v>
      </c>
      <c r="W109" s="20" t="n">
        <v>45</v>
      </c>
    </row>
    <row r="110">
      <c r="A110" s="18" t="inlineStr">
        <is>
          <t>이자비용</t>
        </is>
      </c>
      <c r="C110" s="20" t="n">
        <v>1</v>
      </c>
      <c r="D110" s="20" t="n">
        <v>1</v>
      </c>
      <c r="E110" s="20" t="n">
        <v>2</v>
      </c>
      <c r="F110" s="20" t="n">
        <v>-1</v>
      </c>
      <c r="G110" s="20" t="n">
        <v>1</v>
      </c>
      <c r="H110" s="20" t="n">
        <v>3</v>
      </c>
      <c r="I110" s="20" t="n">
        <v>2</v>
      </c>
      <c r="J110" s="20" t="n">
        <v>-1</v>
      </c>
      <c r="K110" s="20" t="n">
        <v>2</v>
      </c>
      <c r="L110" s="20" t="n">
        <v>3</v>
      </c>
      <c r="S110" s="20" t="n">
        <v>2</v>
      </c>
      <c r="T110" s="20" t="n">
        <v>2</v>
      </c>
      <c r="U110" s="20" t="n">
        <v>2</v>
      </c>
      <c r="V110" s="20" t="n">
        <v>-1</v>
      </c>
      <c r="W110" s="20" t="n">
        <v>-1</v>
      </c>
    </row>
    <row r="111">
      <c r="A111" s="18" t="inlineStr">
        <is>
          <t>매출할인</t>
        </is>
      </c>
      <c r="S111" s="20" t="n">
        <v>43</v>
      </c>
      <c r="T111" s="20" t="n">
        <v>180</v>
      </c>
    </row>
    <row r="112">
      <c r="A112" s="18" t="inlineStr">
        <is>
          <t>사채발행비</t>
        </is>
      </c>
      <c r="C112" s="20" t="n">
        <v>5</v>
      </c>
      <c r="D112" s="20" t="n">
        <v>0</v>
      </c>
      <c r="E112" s="20" t="n">
        <v>0</v>
      </c>
      <c r="F112" s="20" t="n">
        <v>1</v>
      </c>
      <c r="G112" s="20" t="n">
        <v>5</v>
      </c>
      <c r="H112" s="20" t="n">
        <v>0</v>
      </c>
      <c r="I112" s="20" t="n">
        <v>0</v>
      </c>
      <c r="J112" s="20" t="n">
        <v>0</v>
      </c>
      <c r="K112" s="20" t="n">
        <v>0</v>
      </c>
      <c r="L112" s="20" t="n">
        <v>0</v>
      </c>
      <c r="T112" s="20" t="n">
        <v>-2</v>
      </c>
      <c r="U112" s="20" t="n">
        <v>-1</v>
      </c>
      <c r="V112" s="20" t="n">
        <v>1</v>
      </c>
      <c r="W112" s="20" t="n">
        <v>0</v>
      </c>
    </row>
    <row r="113">
      <c r="A113" s="18" t="inlineStr">
        <is>
          <t>고정자산 제각손실</t>
        </is>
      </c>
      <c r="C113" s="20" t="n">
        <v>0</v>
      </c>
      <c r="F113" s="20" t="n">
        <v>5</v>
      </c>
      <c r="G113" s="20" t="n">
        <v>0</v>
      </c>
      <c r="H113" s="20" t="n">
        <v>1</v>
      </c>
      <c r="I113" s="20" t="n">
        <v>6</v>
      </c>
      <c r="J113" s="20" t="n">
        <v>5</v>
      </c>
      <c r="K113" s="20" t="n">
        <v>1</v>
      </c>
      <c r="L113" s="20" t="n">
        <v>9</v>
      </c>
      <c r="S113" s="20" t="n">
        <v>13</v>
      </c>
      <c r="T113" s="20" t="n">
        <v>14</v>
      </c>
      <c r="U113" s="20" t="n">
        <v>6</v>
      </c>
      <c r="V113" s="20" t="n">
        <v>5</v>
      </c>
      <c r="W113" s="20" t="n">
        <v>5</v>
      </c>
    </row>
    <row r="114">
      <c r="A114" s="18" t="inlineStr">
        <is>
          <t>보상비 지급</t>
        </is>
      </c>
      <c r="E114" s="20" t="n">
        <v>10</v>
      </c>
      <c r="F114" s="20" t="n">
        <v>-16</v>
      </c>
      <c r="V114" s="20" t="n">
        <v>-16</v>
      </c>
    </row>
    <row r="115">
      <c r="A115" s="18" t="inlineStr">
        <is>
          <t>기타</t>
        </is>
      </c>
      <c r="C115" s="20" t="n">
        <v>1</v>
      </c>
      <c r="D115" s="20" t="n">
        <v>18</v>
      </c>
      <c r="E115" s="20" t="n">
        <v>3</v>
      </c>
      <c r="F115" s="20" t="n">
        <v>-18</v>
      </c>
      <c r="G115" s="20" t="n">
        <v>2</v>
      </c>
      <c r="H115" s="20" t="n">
        <v>1</v>
      </c>
      <c r="I115" s="20" t="n">
        <v>0</v>
      </c>
      <c r="J115" s="20" t="n">
        <v>0</v>
      </c>
      <c r="K115" s="20" t="n">
        <v>0</v>
      </c>
      <c r="L115" s="20" t="n">
        <v>3</v>
      </c>
      <c r="S115" s="20" t="n">
        <v>5</v>
      </c>
      <c r="T115" s="20" t="n">
        <v>-2</v>
      </c>
      <c r="U115" s="20" t="n">
        <v>4</v>
      </c>
      <c r="V115" s="20" t="n">
        <v>-18</v>
      </c>
      <c r="W115" s="20" t="n">
        <v>0</v>
      </c>
    </row>
    <row r="116">
      <c r="A116" s="18" t="inlineStr">
        <is>
          <t>영업외비용 합계</t>
        </is>
      </c>
      <c r="C116" s="20" t="n">
        <v>8</v>
      </c>
      <c r="D116" s="20" t="n">
        <v>19</v>
      </c>
      <c r="E116" s="20" t="n">
        <v>13</v>
      </c>
      <c r="F116" s="20" t="n">
        <v>-9</v>
      </c>
      <c r="G116" s="20" t="n">
        <v>10</v>
      </c>
      <c r="H116" s="20" t="n">
        <v>4</v>
      </c>
      <c r="I116" s="20" t="n">
        <v>8</v>
      </c>
      <c r="J116" s="20" t="n">
        <v>23</v>
      </c>
      <c r="K116" s="20" t="n">
        <v>4</v>
      </c>
      <c r="L116" s="20" t="n">
        <v>14</v>
      </c>
      <c r="S116" s="20" t="n">
        <v>60</v>
      </c>
      <c r="T116" s="20" t="n">
        <v>193</v>
      </c>
      <c r="U116" s="20" t="n">
        <v>6</v>
      </c>
      <c r="V116" s="20" t="n">
        <v>-9</v>
      </c>
      <c r="W116" s="20" t="n">
        <v>23</v>
      </c>
    </row>
    <row r="117">
      <c r="A117" s="9" t="inlineStr">
        <is>
          <t>경상이익</t>
        </is>
      </c>
      <c r="C117" s="12" t="n">
        <v>1665</v>
      </c>
      <c r="D117" s="12" t="n">
        <v>1879</v>
      </c>
      <c r="E117" s="12" t="n">
        <v>2279</v>
      </c>
      <c r="F117" s="12" t="n">
        <v>1654</v>
      </c>
      <c r="G117" s="12" t="n">
        <v>1513</v>
      </c>
      <c r="H117" s="12" t="n">
        <v>1739</v>
      </c>
      <c r="I117" s="12" t="n">
        <v>2364</v>
      </c>
      <c r="J117" s="12" t="n">
        <v>1451</v>
      </c>
      <c r="K117" s="12" t="n">
        <v>2006</v>
      </c>
      <c r="L117" s="12" t="n">
        <v>1919</v>
      </c>
      <c r="S117" s="12" t="n">
        <v>818</v>
      </c>
      <c r="T117" s="12" t="n">
        <v>592</v>
      </c>
      <c r="U117" s="12" t="n">
        <v>-1677</v>
      </c>
      <c r="V117" s="12" t="n">
        <v>1654</v>
      </c>
      <c r="W117" s="12" t="n">
        <v>1451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IF(OR(G117="",C117=""),"",IF(C117&lt;=0,"",IFERROR(G117/C117-1,"")))</f>
        <v/>
      </c>
      <c r="H118" s="15">
        <f>IF(OR(H117="",D117=""),"",IF(D117&lt;=0,"",IFERROR(H117/D117-1,"")))</f>
        <v/>
      </c>
      <c r="I118" s="15">
        <f>IF(OR(I117="",E117=""),"",IF(E117&lt;=0,"",IFERROR(I117/E117-1,"")))</f>
        <v/>
      </c>
      <c r="J118" s="15">
        <f>IF(OR(J117="",F117=""),"",IF(F117&lt;=0,"",IFERROR(J117/F117-1,"")))</f>
        <v/>
      </c>
      <c r="K118" s="15">
        <f>IF(OR(K117="",G117=""),"",IF(G117&lt;=0,"",IFERROR(K117/G117-1,"")))</f>
        <v/>
      </c>
      <c r="L118" s="15">
        <f>IF(OR(L117="",H117=""),"",IF(H117&lt;=0,"",IFERROR(L117/H117-1,"")))</f>
        <v/>
      </c>
      <c r="S118" s="15">
        <f>IF(OR(S117="",R117=""),"",IF(R117&lt;=0,"",IFERROR(S117/R117-1,"")))</f>
        <v/>
      </c>
      <c r="T118" s="15">
        <f>IF(OR(T117="",S117=""),"",IF(S117&lt;=0,"",IFERROR(T117/S117-1,"")))</f>
        <v/>
      </c>
      <c r="U118" s="15">
        <f>IF(OR(U117="",T117=""),"",IF(T117&lt;=0,"",IFERROR(U117/T117-1,"")))</f>
        <v/>
      </c>
      <c r="V118" s="15">
        <f>IF(OR(V117="",U117=""),"",IF(U117&lt;=0,"",IFERROR(V117/U117-1,"")))</f>
        <v/>
      </c>
      <c r="W118" s="15">
        <f>IF(OR(W117="",V117=""),"",IF(V117&lt;=0,"",IFERROR(W117/V117-1,"")))</f>
        <v/>
      </c>
    </row>
    <row r="119">
      <c r="A119" s="18" t="inlineStr">
        <is>
          <t>보조금 수입</t>
        </is>
      </c>
      <c r="C119" s="20" t="n">
        <v>0</v>
      </c>
      <c r="D119" s="20" t="n">
        <v>0</v>
      </c>
      <c r="E119" s="20" t="n">
        <v>0</v>
      </c>
      <c r="F119" s="20" t="n">
        <v>191</v>
      </c>
      <c r="G119" s="20" t="n">
        <v>53</v>
      </c>
      <c r="H119" s="20" t="n">
        <v>0</v>
      </c>
      <c r="I119" s="20" t="n">
        <v>0</v>
      </c>
      <c r="J119" s="20" t="n">
        <v>-44</v>
      </c>
      <c r="K119" s="20" t="n">
        <v>0</v>
      </c>
      <c r="L119" s="20" t="n">
        <v>0</v>
      </c>
      <c r="T119" s="20" t="n">
        <v>30</v>
      </c>
      <c r="U119" s="20" t="n">
        <v>-50</v>
      </c>
      <c r="V119" s="20" t="n">
        <v>191</v>
      </c>
      <c r="W119" s="20" t="n">
        <v>-44</v>
      </c>
    </row>
    <row r="120">
      <c r="A120" s="18" t="inlineStr">
        <is>
          <t>특별이익 합계</t>
        </is>
      </c>
      <c r="C120" s="20" t="n">
        <v>0</v>
      </c>
      <c r="D120" s="20" t="n">
        <v>0</v>
      </c>
      <c r="E120" s="20" t="n">
        <v>0</v>
      </c>
      <c r="F120" s="20" t="n">
        <v>191</v>
      </c>
      <c r="G120" s="20" t="n">
        <v>53</v>
      </c>
      <c r="H120" s="20" t="n">
        <v>0</v>
      </c>
      <c r="I120" s="20" t="n">
        <v>0</v>
      </c>
      <c r="J120" s="20" t="n">
        <v>-44</v>
      </c>
      <c r="K120" s="20" t="n">
        <v>0</v>
      </c>
      <c r="L120" s="20" t="n">
        <v>0</v>
      </c>
      <c r="T120" s="20" t="n">
        <v>30</v>
      </c>
      <c r="U120" s="20" t="n">
        <v>-50</v>
      </c>
      <c r="V120" s="20" t="n">
        <v>191</v>
      </c>
      <c r="W120" s="20" t="n">
        <v>-44</v>
      </c>
    </row>
    <row r="121">
      <c r="A121" s="18" t="inlineStr">
        <is>
          <t>고정자산 압축손실</t>
        </is>
      </c>
      <c r="C121" s="20" t="n">
        <v>0</v>
      </c>
      <c r="D121" s="20" t="n">
        <v>0</v>
      </c>
      <c r="E121" s="20" t="n">
        <v>0</v>
      </c>
      <c r="F121" s="20" t="n">
        <v>191</v>
      </c>
      <c r="G121" s="20" t="n">
        <v>53</v>
      </c>
      <c r="H121" s="20" t="n">
        <v>0</v>
      </c>
      <c r="I121" s="20" t="n">
        <v>0</v>
      </c>
      <c r="J121" s="20" t="n">
        <v>-44</v>
      </c>
      <c r="K121" s="20" t="n">
        <v>0</v>
      </c>
      <c r="L121" s="20" t="n">
        <v>0</v>
      </c>
      <c r="T121" s="20" t="n">
        <v>30</v>
      </c>
      <c r="U121" s="20" t="n">
        <v>-50</v>
      </c>
      <c r="V121" s="20" t="n">
        <v>191</v>
      </c>
      <c r="W121" s="20" t="n">
        <v>-44</v>
      </c>
    </row>
    <row r="122">
      <c r="A122" s="18" t="inlineStr">
        <is>
          <t>특별손실 합계</t>
        </is>
      </c>
      <c r="C122" s="20" t="n">
        <v>0</v>
      </c>
      <c r="D122" s="20" t="n">
        <v>0</v>
      </c>
      <c r="E122" s="20" t="n">
        <v>0</v>
      </c>
      <c r="F122" s="20" t="n">
        <v>191</v>
      </c>
      <c r="G122" s="20" t="n">
        <v>53</v>
      </c>
      <c r="H122" s="20" t="n">
        <v>0</v>
      </c>
      <c r="I122" s="20" t="n">
        <v>0</v>
      </c>
      <c r="J122" s="20" t="n">
        <v>-44</v>
      </c>
      <c r="K122" s="20" t="n">
        <v>0</v>
      </c>
      <c r="L122" s="20" t="n">
        <v>31</v>
      </c>
      <c r="T122" s="20" t="n">
        <v>166</v>
      </c>
      <c r="U122" s="20" t="n">
        <v>-25</v>
      </c>
      <c r="V122" s="20" t="n">
        <v>191</v>
      </c>
      <c r="W122" s="20" t="n">
        <v>-44</v>
      </c>
    </row>
    <row r="123">
      <c r="A123" s="9" t="inlineStr">
        <is>
          <t>법인세차감전 순이익</t>
        </is>
      </c>
      <c r="C123" s="12" t="n">
        <v>1665</v>
      </c>
      <c r="D123" s="12" t="n">
        <v>1879</v>
      </c>
      <c r="E123" s="12" t="n">
        <v>2279</v>
      </c>
      <c r="F123" s="12" t="n">
        <v>1654</v>
      </c>
      <c r="G123" s="12" t="n">
        <v>1513</v>
      </c>
      <c r="H123" s="12" t="n">
        <v>1739</v>
      </c>
      <c r="I123" s="12" t="n">
        <v>2364</v>
      </c>
      <c r="J123" s="12" t="n">
        <v>1451</v>
      </c>
      <c r="K123" s="12" t="n">
        <v>2006</v>
      </c>
      <c r="L123" s="12" t="n">
        <v>1887</v>
      </c>
      <c r="S123" s="12" t="n">
        <v>961</v>
      </c>
      <c r="T123" s="12" t="n">
        <v>456</v>
      </c>
      <c r="U123" s="12" t="n">
        <v>-1703</v>
      </c>
      <c r="V123" s="12" t="n">
        <v>1654</v>
      </c>
      <c r="W123" s="12" t="n">
        <v>1451</v>
      </c>
    </row>
    <row r="124">
      <c r="A124" s="18" t="inlineStr">
        <is>
          <t>법인세·주민세·사업세</t>
        </is>
      </c>
      <c r="C124" s="20" t="n">
        <v>325</v>
      </c>
      <c r="D124" s="20" t="n">
        <v>799</v>
      </c>
      <c r="E124" s="20" t="n">
        <v>540</v>
      </c>
      <c r="F124" s="20" t="n">
        <v>679</v>
      </c>
      <c r="G124" s="20" t="n">
        <v>263</v>
      </c>
      <c r="H124" s="20" t="n">
        <v>747</v>
      </c>
      <c r="I124" s="20" t="n">
        <v>449</v>
      </c>
      <c r="J124" s="20" t="n">
        <v>783</v>
      </c>
      <c r="K124" s="20" t="n">
        <v>397</v>
      </c>
      <c r="L124" s="20" t="n">
        <v>778</v>
      </c>
      <c r="S124" s="20" t="n">
        <v>346</v>
      </c>
      <c r="T124" s="20" t="n">
        <v>347</v>
      </c>
      <c r="U124" s="20" t="n">
        <v>-212</v>
      </c>
      <c r="V124" s="20" t="n">
        <v>679</v>
      </c>
      <c r="W124" s="20" t="n">
        <v>783</v>
      </c>
    </row>
    <row r="125">
      <c r="A125" s="18" t="inlineStr">
        <is>
          <t>법인세 조정액</t>
        </is>
      </c>
      <c r="C125" s="20" t="n">
        <v>194</v>
      </c>
      <c r="D125" s="20" t="n">
        <v>-203</v>
      </c>
      <c r="E125" s="20" t="n">
        <v>174</v>
      </c>
      <c r="F125" s="20" t="n">
        <v>-226</v>
      </c>
      <c r="G125" s="20" t="n">
        <v>195</v>
      </c>
      <c r="H125" s="20" t="n">
        <v>-194</v>
      </c>
      <c r="I125" s="20" t="n">
        <v>278</v>
      </c>
      <c r="J125" s="20" t="n">
        <v>-356</v>
      </c>
      <c r="K125" s="20" t="n">
        <v>208</v>
      </c>
      <c r="L125" s="20" t="n">
        <v>-177</v>
      </c>
      <c r="S125" s="20" t="n">
        <v>-4</v>
      </c>
      <c r="T125" s="20" t="n">
        <v>-214</v>
      </c>
      <c r="U125" s="20" t="n">
        <v>-272</v>
      </c>
      <c r="V125" s="20" t="n">
        <v>-226</v>
      </c>
      <c r="W125" s="20" t="n">
        <v>-356</v>
      </c>
    </row>
    <row r="126">
      <c r="A126" s="18" t="inlineStr">
        <is>
          <t>법인세 등 합계</t>
        </is>
      </c>
      <c r="C126" s="20" t="n">
        <v>519</v>
      </c>
      <c r="D126" s="20" t="n">
        <v>595</v>
      </c>
      <c r="E126" s="20" t="n">
        <v>715</v>
      </c>
      <c r="F126" s="20" t="n">
        <v>453</v>
      </c>
      <c r="G126" s="20" t="n">
        <v>458</v>
      </c>
      <c r="H126" s="20" t="n">
        <v>554</v>
      </c>
      <c r="I126" s="20" t="n">
        <v>727</v>
      </c>
      <c r="J126" s="20" t="n">
        <v>426</v>
      </c>
      <c r="K126" s="20" t="n">
        <v>606</v>
      </c>
      <c r="L126" s="20" t="n">
        <v>601</v>
      </c>
      <c r="S126" s="20" t="n">
        <v>341</v>
      </c>
      <c r="T126" s="20" t="n">
        <v>132</v>
      </c>
      <c r="U126" s="20" t="n">
        <v>-485</v>
      </c>
      <c r="V126" s="20" t="n">
        <v>453</v>
      </c>
      <c r="W126" s="20" t="n">
        <v>426</v>
      </c>
    </row>
    <row r="127">
      <c r="A127" s="9" t="inlineStr">
        <is>
          <t>순이익</t>
        </is>
      </c>
      <c r="C127" s="12" t="n">
        <v>1145</v>
      </c>
      <c r="D127" s="12" t="n">
        <v>1285</v>
      </c>
      <c r="E127" s="12" t="n">
        <v>1564</v>
      </c>
      <c r="F127" s="12" t="n">
        <v>1201</v>
      </c>
      <c r="G127" s="12" t="n">
        <v>1055</v>
      </c>
      <c r="H127" s="12" t="n">
        <v>1184</v>
      </c>
      <c r="I127" s="12" t="n">
        <v>1637</v>
      </c>
      <c r="J127" s="12" t="n">
        <v>1026</v>
      </c>
      <c r="K127" s="12" t="n">
        <v>1400</v>
      </c>
      <c r="L127" s="12" t="n">
        <v>1286</v>
      </c>
      <c r="S127" s="12" t="n">
        <v>619</v>
      </c>
      <c r="T127" s="12" t="n">
        <v>324</v>
      </c>
      <c r="U127" s="12" t="n">
        <v>-1218</v>
      </c>
      <c r="V127" s="12" t="n">
        <v>1201</v>
      </c>
      <c r="W127" s="12" t="n">
        <v>1026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S128" s="15">
        <f>IF(OR(S127="",R127=""),"",IF(R127&lt;=0,"",IFERROR(S127/R127-1,"")))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</row>
    <row r="129">
      <c r="A129" s="9" t="inlineStr">
        <is>
          <t>비지배주주 순이익</t>
        </is>
      </c>
      <c r="C129" s="12" t="n">
        <v>17</v>
      </c>
      <c r="D129" s="12" t="n">
        <v>14</v>
      </c>
      <c r="E129" s="12" t="n">
        <v>16</v>
      </c>
      <c r="F129" s="12" t="n">
        <v>31</v>
      </c>
      <c r="G129" s="12" t="n">
        <v>22</v>
      </c>
      <c r="H129" s="12" t="n">
        <v>22</v>
      </c>
      <c r="I129" s="12" t="n">
        <v>20</v>
      </c>
      <c r="J129" s="12" t="n">
        <v>4</v>
      </c>
      <c r="K129" s="12" t="n">
        <v>21</v>
      </c>
      <c r="L129" s="12" t="n">
        <v>19</v>
      </c>
      <c r="S129" s="12" t="n">
        <v>16</v>
      </c>
      <c r="T129" s="12" t="n">
        <v>29</v>
      </c>
      <c r="U129" s="12" t="n">
        <v>21</v>
      </c>
      <c r="V129" s="12" t="n">
        <v>31</v>
      </c>
      <c r="W129" s="12" t="n">
        <v>4</v>
      </c>
    </row>
    <row r="130">
      <c r="A130" s="9" t="inlineStr">
        <is>
          <t>지배주주 순이익</t>
        </is>
      </c>
      <c r="C130" s="12" t="n">
        <v>1127</v>
      </c>
      <c r="D130" s="12" t="n">
        <v>1271</v>
      </c>
      <c r="E130" s="12" t="n">
        <v>1548</v>
      </c>
      <c r="F130" s="12" t="n">
        <v>1170</v>
      </c>
      <c r="G130" s="12" t="n">
        <v>1032</v>
      </c>
      <c r="H130" s="12" t="n">
        <v>1163</v>
      </c>
      <c r="I130" s="12" t="n">
        <v>1617</v>
      </c>
      <c r="J130" s="12" t="n">
        <v>1021</v>
      </c>
      <c r="K130" s="12" t="n">
        <v>1379</v>
      </c>
      <c r="L130" s="12" t="n">
        <v>1267</v>
      </c>
      <c r="S130" s="12" t="n">
        <v>603</v>
      </c>
      <c r="T130" s="12" t="n">
        <v>295</v>
      </c>
      <c r="U130" s="12" t="n">
        <v>-1238</v>
      </c>
      <c r="V130" s="12" t="n">
        <v>1170</v>
      </c>
      <c r="W130" s="12" t="n">
        <v>1021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S131" s="15">
        <f>IF(OR(S130="",R130=""),"",IF(R130&lt;=0,"",IFERROR(S130/R130-1,"")))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2025.1Q</t>
        </is>
      </c>
      <c r="D134" s="5" t="inlineStr">
        <is>
          <t>2025.2Q</t>
        </is>
      </c>
      <c r="E134" s="5" t="inlineStr">
        <is>
          <t>2025.3Q</t>
        </is>
      </c>
      <c r="F134" s="5" t="inlineStr">
        <is>
          <t>2025.4Q</t>
        </is>
      </c>
      <c r="G134" s="5" t="inlineStr">
        <is>
          <t>2026.1Q</t>
        </is>
      </c>
      <c r="H134" s="5" t="inlineStr">
        <is>
          <t>2026.2Q</t>
        </is>
      </c>
      <c r="I134" s="5" t="inlineStr">
        <is>
          <t>2026.3Q</t>
        </is>
      </c>
      <c r="J134" s="5" t="inlineStr">
        <is>
          <t>2026.4Q</t>
        </is>
      </c>
      <c r="K134" s="5" t="inlineStr">
        <is>
          <t>2027.1Q</t>
        </is>
      </c>
      <c r="L134" s="5" t="inlineStr">
        <is>
          <t>2027.2Q</t>
        </is>
      </c>
      <c r="M134" s="5" t="inlineStr">
        <is>
          <t>2027.3Q</t>
        </is>
      </c>
      <c r="N134" s="5" t="inlineStr">
        <is>
          <t>2027.4Q</t>
        </is>
      </c>
      <c r="O134" s="5" t="inlineStr">
        <is>
          <t>2018</t>
        </is>
      </c>
      <c r="P134" s="5" t="inlineStr">
        <is>
          <t>2019</t>
        </is>
      </c>
      <c r="Q134" s="5" t="inlineStr">
        <is>
          <t>2020</t>
        </is>
      </c>
      <c r="R134" s="5" t="inlineStr">
        <is>
          <t>2021</t>
        </is>
      </c>
      <c r="S134" s="5" t="inlineStr">
        <is>
          <t>2022</t>
        </is>
      </c>
      <c r="T134" s="5" t="inlineStr">
        <is>
          <t>2023</t>
        </is>
      </c>
      <c r="U134" s="5" t="inlineStr">
        <is>
          <t>2024</t>
        </is>
      </c>
      <c r="V134" s="5" t="inlineStr">
        <is>
          <t>2025</t>
        </is>
      </c>
      <c r="W134" s="5" t="inlineStr">
        <is>
          <t>2026</t>
        </is>
      </c>
      <c r="X134" s="5" t="inlineStr">
        <is>
          <t>2027</t>
        </is>
      </c>
      <c r="Y134" s="5" t="inlineStr">
        <is>
          <t>2028(MW)</t>
        </is>
      </c>
      <c r="Z134" s="5" t="inlineStr">
        <is>
          <t>2029(MW)</t>
        </is>
      </c>
      <c r="AA134" s="5" t="inlineStr">
        <is>
          <t>2030(MW)</t>
        </is>
      </c>
      <c r="AB134" s="5" t="inlineStr">
        <is>
          <t>2031(MW)</t>
        </is>
      </c>
      <c r="AC134" s="5" t="inlineStr">
        <is>
          <t>2032(MW)</t>
        </is>
      </c>
    </row>
    <row r="135">
      <c r="A135" s="9" t="inlineStr">
        <is>
          <t>순이익</t>
        </is>
      </c>
      <c r="C135" s="12" t="n">
        <v>1145</v>
      </c>
      <c r="D135" s="12" t="n">
        <v>1285</v>
      </c>
      <c r="E135" s="12" t="n">
        <v>1564</v>
      </c>
      <c r="F135" s="12" t="n">
        <v>1201</v>
      </c>
      <c r="G135" s="12" t="n">
        <v>1055</v>
      </c>
      <c r="H135" s="12" t="n">
        <v>1184</v>
      </c>
      <c r="I135" s="12" t="n">
        <v>1637</v>
      </c>
      <c r="J135" s="12" t="n">
        <v>1026</v>
      </c>
      <c r="K135" s="12" t="n">
        <v>1400</v>
      </c>
      <c r="L135" s="12" t="n">
        <v>1286</v>
      </c>
      <c r="S135" s="12" t="n">
        <v>619</v>
      </c>
      <c r="T135" s="12" t="n">
        <v>324</v>
      </c>
      <c r="U135" s="12" t="n">
        <v>-1218</v>
      </c>
      <c r="V135" s="12" t="n">
        <v>1201</v>
      </c>
      <c r="W135" s="12" t="n">
        <v>1026</v>
      </c>
    </row>
    <row r="136">
      <c r="A136" s="18" t="inlineStr">
        <is>
          <t>기타유가증권 평가차액</t>
        </is>
      </c>
      <c r="C136" s="20" t="n">
        <v>-17</v>
      </c>
      <c r="D136" s="20" t="n">
        <v>46</v>
      </c>
      <c r="E136" s="20" t="n">
        <v>26</v>
      </c>
      <c r="F136" s="20" t="n">
        <v>304</v>
      </c>
      <c r="G136" s="20" t="n">
        <v>-44</v>
      </c>
      <c r="H136" s="20" t="n">
        <v>84</v>
      </c>
      <c r="I136" s="20" t="n">
        <v>120</v>
      </c>
      <c r="J136" s="20" t="n">
        <v>-62</v>
      </c>
      <c r="K136" s="20" t="n">
        <v>179</v>
      </c>
      <c r="L136" s="20" t="n">
        <v>153</v>
      </c>
      <c r="S136" s="20" t="n">
        <v>436</v>
      </c>
      <c r="T136" s="20" t="n">
        <v>-156</v>
      </c>
      <c r="U136" s="20" t="n">
        <v>-175</v>
      </c>
      <c r="V136" s="20" t="n">
        <v>304</v>
      </c>
      <c r="W136" s="20" t="n">
        <v>-62</v>
      </c>
    </row>
    <row r="137">
      <c r="A137" s="18" t="inlineStr">
        <is>
          <t>토지재평가차액금</t>
        </is>
      </c>
      <c r="C137" s="20" t="n">
        <v>0</v>
      </c>
      <c r="D137" s="20" t="n">
        <v>0</v>
      </c>
      <c r="E137" s="20" t="n">
        <v>0</v>
      </c>
      <c r="G137" s="20" t="n">
        <v>-1</v>
      </c>
      <c r="H137" s="20" t="n">
        <v>0</v>
      </c>
      <c r="I137" s="20" t="n">
        <v>0</v>
      </c>
      <c r="J137" s="20" t="n">
        <v>1</v>
      </c>
      <c r="K137" s="20" t="n">
        <v>0</v>
      </c>
      <c r="L137" s="20" t="n">
        <v>0</v>
      </c>
      <c r="W137" s="20" t="n">
        <v>1</v>
      </c>
    </row>
    <row r="138">
      <c r="A138" s="18" t="inlineStr">
        <is>
          <t>퇴직급여 조정액</t>
        </is>
      </c>
      <c r="C138" s="20" t="n">
        <v>-17</v>
      </c>
      <c r="D138" s="20" t="n">
        <v>-18</v>
      </c>
      <c r="E138" s="20" t="n">
        <v>-18</v>
      </c>
      <c r="F138" s="20" t="n">
        <v>275</v>
      </c>
      <c r="G138" s="20" t="n">
        <v>-27</v>
      </c>
      <c r="H138" s="20" t="n">
        <v>-20</v>
      </c>
      <c r="I138" s="20" t="n">
        <v>-20</v>
      </c>
      <c r="J138" s="20" t="n">
        <v>220</v>
      </c>
      <c r="K138" s="20" t="n">
        <v>-43</v>
      </c>
      <c r="L138" s="20" t="n">
        <v>-36</v>
      </c>
      <c r="S138" s="20" t="n">
        <v>602</v>
      </c>
      <c r="T138" s="20" t="n">
        <v>-75</v>
      </c>
      <c r="U138" s="20" t="n">
        <v>214</v>
      </c>
      <c r="V138" s="20" t="n">
        <v>275</v>
      </c>
      <c r="W138" s="20" t="n">
        <v>220</v>
      </c>
    </row>
    <row r="139">
      <c r="A139" s="18" t="inlineStr">
        <is>
          <t>기타포괄손익 합계</t>
        </is>
      </c>
      <c r="C139" s="20" t="n">
        <v>-35</v>
      </c>
      <c r="D139" s="20" t="n">
        <v>29</v>
      </c>
      <c r="E139" s="20" t="n">
        <v>7</v>
      </c>
      <c r="F139" s="20" t="n">
        <v>580</v>
      </c>
      <c r="G139" s="20" t="n">
        <v>-73</v>
      </c>
      <c r="H139" s="20" t="n">
        <v>65</v>
      </c>
      <c r="I139" s="20" t="n">
        <v>99</v>
      </c>
      <c r="J139" s="20" t="n">
        <v>161</v>
      </c>
      <c r="K139" s="20" t="n">
        <v>136</v>
      </c>
      <c r="L139" s="20" t="n">
        <v>116</v>
      </c>
      <c r="S139" s="20" t="n">
        <v>1040</v>
      </c>
      <c r="T139" s="20" t="n">
        <v>-230</v>
      </c>
      <c r="U139" s="20" t="n">
        <v>40</v>
      </c>
      <c r="V139" s="20" t="n">
        <v>580</v>
      </c>
      <c r="W139" s="20" t="n">
        <v>161</v>
      </c>
    </row>
    <row r="140">
      <c r="A140" s="9" t="inlineStr">
        <is>
          <t>포괄이익</t>
        </is>
      </c>
      <c r="C140" s="12" t="n">
        <v>1109</v>
      </c>
      <c r="D140" s="12" t="n">
        <v>1314</v>
      </c>
      <c r="E140" s="12" t="n">
        <v>1573</v>
      </c>
      <c r="F140" s="12" t="n">
        <v>1781</v>
      </c>
      <c r="G140" s="12" t="n">
        <v>981</v>
      </c>
      <c r="H140" s="12" t="n">
        <v>1250</v>
      </c>
      <c r="I140" s="12" t="n">
        <v>1737</v>
      </c>
      <c r="J140" s="12" t="n">
        <v>1186</v>
      </c>
      <c r="K140" s="12" t="n">
        <v>1536</v>
      </c>
      <c r="L140" s="12" t="n">
        <v>1403</v>
      </c>
      <c r="S140" s="12" t="n">
        <v>1660</v>
      </c>
      <c r="T140" s="12" t="n">
        <v>94</v>
      </c>
      <c r="U140" s="12" t="n">
        <v>-1178</v>
      </c>
      <c r="V140" s="12" t="n">
        <v>1781</v>
      </c>
      <c r="W140" s="12" t="n">
        <v>1186</v>
      </c>
    </row>
    <row r="141">
      <c r="A141" s="9" t="inlineStr">
        <is>
          <t>지배주주 포괄이익</t>
        </is>
      </c>
      <c r="C141" s="12" t="n">
        <v>1091</v>
      </c>
      <c r="D141" s="12" t="n">
        <v>1300</v>
      </c>
      <c r="E141" s="12" t="n">
        <v>1557</v>
      </c>
      <c r="F141" s="12" t="n">
        <v>1750</v>
      </c>
      <c r="G141" s="12" t="n">
        <v>959</v>
      </c>
      <c r="H141" s="12" t="n">
        <v>1228</v>
      </c>
      <c r="I141" s="12" t="n">
        <v>1716</v>
      </c>
      <c r="J141" s="12" t="n">
        <v>1183</v>
      </c>
      <c r="K141" s="12" t="n">
        <v>1515</v>
      </c>
      <c r="L141" s="12" t="n">
        <v>1384</v>
      </c>
      <c r="S141" s="12" t="n">
        <v>1644</v>
      </c>
      <c r="T141" s="12" t="n">
        <v>66</v>
      </c>
      <c r="U141" s="12" t="n">
        <v>-1199</v>
      </c>
      <c r="V141" s="12" t="n">
        <v>1750</v>
      </c>
      <c r="W141" s="12" t="n">
        <v>1183</v>
      </c>
    </row>
    <row r="142">
      <c r="A142" s="9" t="inlineStr">
        <is>
          <t>비지배주주 포괄이익</t>
        </is>
      </c>
      <c r="C142" s="12" t="n">
        <v>17</v>
      </c>
      <c r="D142" s="12" t="n">
        <v>14</v>
      </c>
      <c r="E142" s="12" t="n">
        <v>16</v>
      </c>
      <c r="F142" s="12" t="n">
        <v>31</v>
      </c>
      <c r="G142" s="12" t="n">
        <v>22</v>
      </c>
      <c r="H142" s="12" t="n">
        <v>22</v>
      </c>
      <c r="I142" s="12" t="n">
        <v>20</v>
      </c>
      <c r="J142" s="12" t="n">
        <v>4</v>
      </c>
      <c r="K142" s="12" t="n">
        <v>21</v>
      </c>
      <c r="L142" s="12" t="n">
        <v>19</v>
      </c>
      <c r="S142" s="12" t="n">
        <v>16</v>
      </c>
      <c r="T142" s="12" t="n">
        <v>29</v>
      </c>
      <c r="U142" s="12" t="n">
        <v>21</v>
      </c>
      <c r="V142" s="12" t="n">
        <v>31</v>
      </c>
      <c r="W142" s="12" t="n">
        <v>4</v>
      </c>
    </row>
    <row r="144">
      <c r="A144" s="16" t="inlineStr">
        <is>
          <t>부문 · 전 항목</t>
        </is>
      </c>
      <c r="B144" s="42" t="inlineStr">
        <is>
          <t>부문 · 항목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2025.1Q</t>
        </is>
      </c>
      <c r="D145" s="5" t="inlineStr">
        <is>
          <t>2025.2Q</t>
        </is>
      </c>
      <c r="E145" s="5" t="inlineStr">
        <is>
          <t>2025.3Q</t>
        </is>
      </c>
      <c r="F145" s="5" t="inlineStr">
        <is>
          <t>2025.4Q</t>
        </is>
      </c>
      <c r="G145" s="5" t="inlineStr">
        <is>
          <t>2026.1Q</t>
        </is>
      </c>
      <c r="H145" s="5" t="inlineStr">
        <is>
          <t>2026.2Q</t>
        </is>
      </c>
      <c r="I145" s="5" t="inlineStr">
        <is>
          <t>2026.3Q</t>
        </is>
      </c>
      <c r="J145" s="5" t="inlineStr">
        <is>
          <t>2026.4Q</t>
        </is>
      </c>
      <c r="K145" s="5" t="inlineStr">
        <is>
          <t>2027.1Q</t>
        </is>
      </c>
      <c r="L145" s="5" t="inlineStr">
        <is>
          <t>2027.2Q</t>
        </is>
      </c>
      <c r="M145" s="5" t="inlineStr">
        <is>
          <t>2027.3Q</t>
        </is>
      </c>
      <c r="N145" s="5" t="inlineStr">
        <is>
          <t>2027.4Q</t>
        </is>
      </c>
      <c r="O145" s="5" t="inlineStr">
        <is>
          <t>2018</t>
        </is>
      </c>
      <c r="P145" s="5" t="inlineStr">
        <is>
          <t>2019</t>
        </is>
      </c>
      <c r="Q145" s="5" t="inlineStr">
        <is>
          <t>2020</t>
        </is>
      </c>
      <c r="R145" s="5" t="inlineStr">
        <is>
          <t>2021</t>
        </is>
      </c>
      <c r="S145" s="5" t="inlineStr">
        <is>
          <t>2022</t>
        </is>
      </c>
      <c r="T145" s="5" t="inlineStr">
        <is>
          <t>2023</t>
        </is>
      </c>
      <c r="U145" s="5" t="inlineStr">
        <is>
          <t>2024</t>
        </is>
      </c>
      <c r="V145" s="5" t="inlineStr">
        <is>
          <t>2025</t>
        </is>
      </c>
      <c r="W145" s="5" t="inlineStr">
        <is>
          <t>2026</t>
        </is>
      </c>
      <c r="X145" s="5" t="inlineStr">
        <is>
          <t>2027</t>
        </is>
      </c>
      <c r="Y145" s="5" t="inlineStr">
        <is>
          <t>2028(MW)</t>
        </is>
      </c>
      <c r="Z145" s="5" t="inlineStr">
        <is>
          <t>2029(MW)</t>
        </is>
      </c>
      <c r="AA145" s="5" t="inlineStr">
        <is>
          <t>2030(MW)</t>
        </is>
      </c>
      <c r="AB145" s="5" t="inlineStr">
        <is>
          <t>2031(MW)</t>
        </is>
      </c>
      <c r="AC145" s="5" t="inlineStr">
        <is>
          <t>2032(MW)</t>
        </is>
      </c>
    </row>
    <row r="146">
      <c r="A146" s="18" t="inlineStr">
        <is>
          <t>전기자재 및 관재 · 외부 고객 매출</t>
        </is>
      </c>
      <c r="C146" s="20" t="n">
        <v>8649</v>
      </c>
      <c r="D146" s="20" t="n">
        <v>8708</v>
      </c>
      <c r="E146" s="20" t="n">
        <v>9766</v>
      </c>
      <c r="F146" s="20" t="n">
        <v>6997</v>
      </c>
      <c r="G146" s="20" t="n">
        <v>9019</v>
      </c>
      <c r="H146" s="20" t="n">
        <v>8540</v>
      </c>
      <c r="I146" s="20" t="n">
        <v>9492</v>
      </c>
      <c r="J146" s="20" t="n">
        <v>7733</v>
      </c>
      <c r="K146" s="20" t="n">
        <v>9883</v>
      </c>
      <c r="L146" s="20" t="n">
        <v>9150</v>
      </c>
      <c r="V146" s="20" t="n">
        <v>6997</v>
      </c>
      <c r="W146" s="20" t="n">
        <v>7733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</row>
    <row r="148">
      <c r="A148" s="18" t="inlineStr">
        <is>
          <t>배선 기구 · 외부 고객 매출</t>
        </is>
      </c>
      <c r="C148" s="20" t="n">
        <v>1710</v>
      </c>
      <c r="D148" s="20" t="n">
        <v>1804</v>
      </c>
      <c r="E148" s="20" t="n">
        <v>2089</v>
      </c>
      <c r="F148" s="20" t="n">
        <v>1224</v>
      </c>
      <c r="G148" s="20" t="n">
        <v>1903</v>
      </c>
      <c r="H148" s="20" t="n">
        <v>1972</v>
      </c>
      <c r="I148" s="20" t="n">
        <v>2221</v>
      </c>
      <c r="J148" s="20" t="n">
        <v>1233</v>
      </c>
      <c r="K148" s="20" t="n">
        <v>2148</v>
      </c>
      <c r="L148" s="20" t="n">
        <v>2177</v>
      </c>
      <c r="V148" s="20" t="n">
        <v>1224</v>
      </c>
      <c r="W148" s="20" t="n">
        <v>1233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</row>
    <row r="150">
      <c r="A150" s="18" t="inlineStr">
        <is>
          <t>보고부문 합계 · 외부 고객 매출</t>
        </is>
      </c>
      <c r="C150" s="20" t="n">
        <v>10360</v>
      </c>
      <c r="D150" s="20" t="n">
        <v>10511</v>
      </c>
      <c r="E150" s="20" t="n">
        <v>11855</v>
      </c>
      <c r="F150" s="20" t="n">
        <v>8221</v>
      </c>
      <c r="G150" s="20" t="n">
        <v>10922</v>
      </c>
      <c r="H150" s="20" t="n">
        <v>10513</v>
      </c>
      <c r="I150" s="20" t="n">
        <v>11712</v>
      </c>
      <c r="J150" s="20" t="n">
        <v>8966</v>
      </c>
      <c r="K150" s="20" t="n">
        <v>12031</v>
      </c>
      <c r="L150" s="20" t="n">
        <v>11328</v>
      </c>
      <c r="V150" s="20" t="n">
        <v>8221</v>
      </c>
      <c r="W150" s="20" t="n">
        <v>8966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</row>
    <row r="152">
      <c r="A152" s="18" t="inlineStr">
        <is>
          <t>기타 · 외부 고객 매출</t>
        </is>
      </c>
      <c r="C152" s="20" t="n">
        <v>782</v>
      </c>
      <c r="D152" s="20" t="n">
        <v>709</v>
      </c>
      <c r="E152" s="20" t="n">
        <v>751</v>
      </c>
      <c r="F152" s="20" t="n">
        <v>901</v>
      </c>
      <c r="G152" s="20" t="n">
        <v>754</v>
      </c>
      <c r="H152" s="20" t="n">
        <v>757</v>
      </c>
      <c r="I152" s="20" t="n">
        <v>720</v>
      </c>
      <c r="J152" s="20" t="n">
        <v>768</v>
      </c>
      <c r="K152" s="20" t="n">
        <v>732</v>
      </c>
      <c r="L152" s="20" t="n">
        <v>769</v>
      </c>
      <c r="V152" s="20" t="n">
        <v>901</v>
      </c>
      <c r="W152" s="20" t="n">
        <v>768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</row>
    <row r="154">
      <c r="A154" s="18" t="inlineStr">
        <is>
          <t>합계 · 외부 고객 매출</t>
        </is>
      </c>
      <c r="C154" s="20" t="n">
        <v>11142</v>
      </c>
      <c r="D154" s="20" t="n">
        <v>11221</v>
      </c>
      <c r="E154" s="20" t="n">
        <v>12606</v>
      </c>
      <c r="F154" s="20" t="n">
        <v>9122</v>
      </c>
      <c r="G154" s="20" t="n">
        <v>11677</v>
      </c>
      <c r="H154" s="20" t="n">
        <v>11269</v>
      </c>
      <c r="I154" s="20" t="n">
        <v>12432</v>
      </c>
      <c r="J154" s="20" t="n">
        <v>9735</v>
      </c>
      <c r="K154" s="20" t="n">
        <v>12764</v>
      </c>
      <c r="L154" s="20" t="n">
        <v>12097</v>
      </c>
      <c r="V154" s="20" t="n">
        <v>9122</v>
      </c>
      <c r="W154" s="20" t="n">
        <v>9735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</row>
    <row r="156">
      <c r="A156" s="18" t="inlineStr">
        <is>
          <t>전기자재 및 관재 · 부문 간 내부매출·대체</t>
        </is>
      </c>
      <c r="C156" s="20" t="n">
        <v>60</v>
      </c>
      <c r="D156" s="20" t="n">
        <v>61</v>
      </c>
      <c r="E156" s="20" t="n">
        <v>65</v>
      </c>
      <c r="F156" s="20" t="n">
        <v>54</v>
      </c>
      <c r="G156" s="20" t="n">
        <v>60</v>
      </c>
      <c r="H156" s="20" t="n">
        <v>63</v>
      </c>
      <c r="I156" s="20" t="n">
        <v>74</v>
      </c>
      <c r="J156" s="20" t="n">
        <v>44</v>
      </c>
      <c r="K156" s="20" t="n">
        <v>65</v>
      </c>
      <c r="L156" s="20" t="n">
        <v>81</v>
      </c>
      <c r="V156" s="20" t="n">
        <v>54</v>
      </c>
      <c r="W156" s="20" t="n">
        <v>44</v>
      </c>
    </row>
    <row r="157">
      <c r="A157" s="18" t="inlineStr">
        <is>
          <t>배선 기구 · 부문 간 내부매출·대체</t>
        </is>
      </c>
      <c r="C157" s="20" t="n">
        <v>0</v>
      </c>
      <c r="D157" s="20" t="n">
        <v>0</v>
      </c>
      <c r="E157" s="20" t="n">
        <v>0</v>
      </c>
      <c r="F157" s="20" t="n">
        <v>1</v>
      </c>
      <c r="G157" s="20" t="n">
        <v>0</v>
      </c>
      <c r="H157" s="20" t="n">
        <v>0</v>
      </c>
      <c r="I157" s="20" t="n">
        <v>0</v>
      </c>
      <c r="J157" s="20" t="n">
        <v>0</v>
      </c>
      <c r="K157" s="20" t="n">
        <v>0</v>
      </c>
      <c r="L157" s="20" t="n">
        <v>0</v>
      </c>
      <c r="V157" s="20" t="n">
        <v>1</v>
      </c>
      <c r="W157" s="20" t="n">
        <v>0</v>
      </c>
    </row>
    <row r="158">
      <c r="A158" s="18" t="inlineStr">
        <is>
          <t>보고부문 합계 · 부문 간 내부매출·대체</t>
        </is>
      </c>
      <c r="C158" s="20" t="n">
        <v>60</v>
      </c>
      <c r="D158" s="20" t="n">
        <v>61</v>
      </c>
      <c r="E158" s="20" t="n">
        <v>65</v>
      </c>
      <c r="F158" s="20" t="n">
        <v>55</v>
      </c>
      <c r="G158" s="20" t="n">
        <v>61</v>
      </c>
      <c r="H158" s="20" t="n">
        <v>63</v>
      </c>
      <c r="I158" s="20" t="n">
        <v>74</v>
      </c>
      <c r="J158" s="20" t="n">
        <v>43</v>
      </c>
      <c r="K158" s="20" t="n">
        <v>65</v>
      </c>
      <c r="L158" s="20" t="n">
        <v>82</v>
      </c>
      <c r="V158" s="20" t="n">
        <v>55</v>
      </c>
      <c r="W158" s="20" t="n">
        <v>43</v>
      </c>
    </row>
    <row r="159">
      <c r="A159" s="18" t="inlineStr">
        <is>
          <t>기타 · 부문 간 내부매출·대체</t>
        </is>
      </c>
      <c r="C159" s="20" t="n">
        <v>1112</v>
      </c>
      <c r="D159" s="20" t="n">
        <v>1287</v>
      </c>
      <c r="E159" s="20" t="n">
        <v>1294</v>
      </c>
      <c r="F159" s="20" t="n">
        <v>881</v>
      </c>
      <c r="G159" s="20" t="n">
        <v>1176</v>
      </c>
      <c r="H159" s="20" t="n">
        <v>1344</v>
      </c>
      <c r="I159" s="20" t="n">
        <v>1426</v>
      </c>
      <c r="J159" s="20" t="n">
        <v>944</v>
      </c>
      <c r="K159" s="20" t="n">
        <v>1345</v>
      </c>
      <c r="L159" s="20" t="n">
        <v>1391</v>
      </c>
      <c r="V159" s="20" t="n">
        <v>881</v>
      </c>
      <c r="W159" s="20" t="n">
        <v>944</v>
      </c>
    </row>
    <row r="160">
      <c r="A160" s="18" t="inlineStr">
        <is>
          <t>합계 · 부문 간 내부매출·대체</t>
        </is>
      </c>
      <c r="C160" s="20" t="n">
        <v>1172</v>
      </c>
      <c r="D160" s="20" t="n">
        <v>1348</v>
      </c>
      <c r="E160" s="20" t="n">
        <v>1359</v>
      </c>
      <c r="F160" s="20" t="n">
        <v>937</v>
      </c>
      <c r="G160" s="20" t="n">
        <v>1237</v>
      </c>
      <c r="H160" s="20" t="n">
        <v>1407</v>
      </c>
      <c r="I160" s="20" t="n">
        <v>1500</v>
      </c>
      <c r="J160" s="20" t="n">
        <v>988</v>
      </c>
      <c r="K160" s="20" t="n">
        <v>1411</v>
      </c>
      <c r="L160" s="20" t="n">
        <v>1473</v>
      </c>
      <c r="V160" s="20" t="n">
        <v>937</v>
      </c>
      <c r="W160" s="20" t="n">
        <v>988</v>
      </c>
    </row>
    <row r="161">
      <c r="A161" s="18" t="inlineStr">
        <is>
          <t>전기자재 및 관재 · 계</t>
        </is>
      </c>
      <c r="C161" s="20" t="n">
        <v>8709</v>
      </c>
      <c r="D161" s="20" t="n">
        <v>8770</v>
      </c>
      <c r="E161" s="20" t="n">
        <v>9830</v>
      </c>
      <c r="F161" s="20" t="n">
        <v>7051</v>
      </c>
      <c r="G161" s="20" t="n">
        <v>9080</v>
      </c>
      <c r="H161" s="20" t="n">
        <v>8602</v>
      </c>
      <c r="I161" s="20" t="n">
        <v>9566</v>
      </c>
      <c r="J161" s="20" t="n">
        <v>7777</v>
      </c>
      <c r="K161" s="20" t="n">
        <v>9948</v>
      </c>
      <c r="L161" s="20" t="n">
        <v>9232</v>
      </c>
      <c r="V161" s="20" t="n">
        <v>7051</v>
      </c>
      <c r="W161" s="20" t="n">
        <v>7777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</row>
    <row r="163">
      <c r="A163" s="18" t="inlineStr">
        <is>
          <t>배선 기구 · 계</t>
        </is>
      </c>
      <c r="C163" s="20" t="n">
        <v>1710</v>
      </c>
      <c r="D163" s="20" t="n">
        <v>1804</v>
      </c>
      <c r="E163" s="20" t="n">
        <v>2090</v>
      </c>
      <c r="F163" s="20" t="n">
        <v>1224</v>
      </c>
      <c r="G163" s="20" t="n">
        <v>1903</v>
      </c>
      <c r="H163" s="20" t="n">
        <v>1973</v>
      </c>
      <c r="I163" s="20" t="n">
        <v>2221</v>
      </c>
      <c r="J163" s="20" t="n">
        <v>1233</v>
      </c>
      <c r="K163" s="20" t="n">
        <v>2149</v>
      </c>
      <c r="L163" s="20" t="n">
        <v>2177</v>
      </c>
      <c r="V163" s="20" t="n">
        <v>1224</v>
      </c>
      <c r="W163" s="20" t="n">
        <v>1233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</row>
    <row r="165">
      <c r="A165" s="18" t="inlineStr">
        <is>
          <t>보고부문 합계 · 계</t>
        </is>
      </c>
      <c r="C165" s="20" t="n">
        <v>10420</v>
      </c>
      <c r="D165" s="20" t="n">
        <v>10573</v>
      </c>
      <c r="E165" s="20" t="n">
        <v>11920</v>
      </c>
      <c r="F165" s="20" t="n">
        <v>8276</v>
      </c>
      <c r="G165" s="20" t="n">
        <v>10983</v>
      </c>
      <c r="H165" s="20" t="n">
        <v>10576</v>
      </c>
      <c r="I165" s="20" t="n">
        <v>11786</v>
      </c>
      <c r="J165" s="20" t="n">
        <v>9010</v>
      </c>
      <c r="K165" s="20" t="n">
        <v>12097</v>
      </c>
      <c r="L165" s="20" t="n">
        <v>11409</v>
      </c>
      <c r="V165" s="20" t="n">
        <v>8276</v>
      </c>
      <c r="W165" s="20" t="n">
        <v>9010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</row>
    <row r="167">
      <c r="A167" s="18" t="inlineStr">
        <is>
          <t>기타 · 계</t>
        </is>
      </c>
      <c r="C167" s="20" t="n">
        <v>1894</v>
      </c>
      <c r="D167" s="20" t="n">
        <v>1996</v>
      </c>
      <c r="E167" s="20" t="n">
        <v>2045</v>
      </c>
      <c r="F167" s="20" t="n">
        <v>1783</v>
      </c>
      <c r="G167" s="20" t="n">
        <v>1930</v>
      </c>
      <c r="H167" s="20" t="n">
        <v>2101</v>
      </c>
      <c r="I167" s="20" t="n">
        <v>2146</v>
      </c>
      <c r="J167" s="20" t="n">
        <v>1713</v>
      </c>
      <c r="K167" s="20" t="n">
        <v>2077</v>
      </c>
      <c r="L167" s="20" t="n">
        <v>2161</v>
      </c>
      <c r="V167" s="20" t="n">
        <v>1783</v>
      </c>
      <c r="W167" s="20" t="n">
        <v>1713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</row>
    <row r="169">
      <c r="A169" s="18" t="inlineStr">
        <is>
          <t>합계 · 계</t>
        </is>
      </c>
      <c r="C169" s="20" t="n">
        <v>12314</v>
      </c>
      <c r="D169" s="20" t="n">
        <v>12569</v>
      </c>
      <c r="E169" s="20" t="n">
        <v>13966</v>
      </c>
      <c r="F169" s="20" t="n">
        <v>10058</v>
      </c>
      <c r="G169" s="20" t="n">
        <v>12914</v>
      </c>
      <c r="H169" s="20" t="n">
        <v>12676</v>
      </c>
      <c r="I169" s="20" t="n">
        <v>13933</v>
      </c>
      <c r="J169" s="20" t="n">
        <v>10723</v>
      </c>
      <c r="K169" s="20" t="n">
        <v>14175</v>
      </c>
      <c r="L169" s="20" t="n">
        <v>13570</v>
      </c>
      <c r="V169" s="20" t="n">
        <v>10058</v>
      </c>
      <c r="W169" s="20" t="n">
        <v>10723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</row>
    <row r="171">
      <c r="A171" s="18" t="inlineStr">
        <is>
          <t>전기자재 및 관재 · 부문 이익</t>
        </is>
      </c>
      <c r="C171" s="20" t="n">
        <v>1571</v>
      </c>
      <c r="D171" s="20" t="n">
        <v>1758</v>
      </c>
      <c r="E171" s="20" t="n">
        <v>1973</v>
      </c>
      <c r="F171" s="20" t="n">
        <v>1536</v>
      </c>
      <c r="G171" s="20" t="n">
        <v>1301</v>
      </c>
      <c r="H171" s="20" t="n">
        <v>1496</v>
      </c>
      <c r="I171" s="20" t="n">
        <v>2061</v>
      </c>
      <c r="J171" s="20" t="n">
        <v>1542</v>
      </c>
      <c r="K171" s="20" t="n">
        <v>1746</v>
      </c>
      <c r="L171" s="20" t="n">
        <v>1747</v>
      </c>
      <c r="V171" s="20" t="n">
        <v>1536</v>
      </c>
      <c r="W171" s="20" t="n">
        <v>1542</v>
      </c>
    </row>
    <row r="172">
      <c r="A172" s="43" t="inlineStr">
        <is>
          <t>OPM</t>
        </is>
      </c>
      <c r="B172" s="3" t="inlineStr">
        <is>
          <t>영업이익 ÷ 매출</t>
        </is>
      </c>
      <c r="C172" s="15">
        <f>IF(OR(C171="",C161=""),"",IF(C161&lt;=0,"",IFERROR(C171/C161,"")))</f>
        <v/>
      </c>
      <c r="D172" s="15">
        <f>IF(OR(D171="",D161=""),"",IF(D161&lt;=0,"",IFERROR(D171/D161,"")))</f>
        <v/>
      </c>
      <c r="E172" s="15">
        <f>IF(OR(E171="",E161=""),"",IF(E161&lt;=0,"",IFERROR(E171/E161,"")))</f>
        <v/>
      </c>
      <c r="F172" s="15">
        <f>IF(OR(F171="",F161=""),"",IF(F161&lt;=0,"",IFERROR(F171/F161,"")))</f>
        <v/>
      </c>
      <c r="G172" s="15">
        <f>IF(OR(G171="",G161=""),"",IF(G161&lt;=0,"",IFERROR(G171/G161,"")))</f>
        <v/>
      </c>
      <c r="H172" s="15">
        <f>IF(OR(H171="",H161=""),"",IF(H161&lt;=0,"",IFERROR(H171/H161,"")))</f>
        <v/>
      </c>
      <c r="I172" s="15">
        <f>IF(OR(I171="",I161=""),"",IF(I161&lt;=0,"",IFERROR(I171/I161,"")))</f>
        <v/>
      </c>
      <c r="J172" s="15">
        <f>IF(OR(J171="",J161=""),"",IF(J161&lt;=0,"",IFERROR(J171/J161,"")))</f>
        <v/>
      </c>
      <c r="K172" s="15">
        <f>IF(OR(K171="",K161=""),"",IF(K161&lt;=0,"",IFERROR(K171/K161,"")))</f>
        <v/>
      </c>
      <c r="L172" s="15">
        <f>IF(OR(L171="",L161=""),"",IF(L161&lt;=0,"",IFERROR(L171/L161,"")))</f>
        <v/>
      </c>
      <c r="V172" s="15">
        <f>IF(OR(V171="",V161=""),"",IF(V161&lt;=0,"",IFERROR(V171/V161,"")))</f>
        <v/>
      </c>
      <c r="W172" s="15">
        <f>IF(OR(W171="",W161=""),"",IF(W161&lt;=0,"",IFERROR(W171/W161,"")))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IF(OR(G171="",C171=""),"",IF(C171&lt;=0,"",IFERROR(G171/C171-1,"")))</f>
        <v/>
      </c>
      <c r="H173" s="15">
        <f>IF(OR(H171="",D171=""),"",IF(D171&lt;=0,"",IFERROR(H171/D171-1,"")))</f>
        <v/>
      </c>
      <c r="I173" s="15">
        <f>IF(OR(I171="",E171=""),"",IF(E171&lt;=0,"",IFERROR(I171/E171-1,"")))</f>
        <v/>
      </c>
      <c r="J173" s="15">
        <f>IF(OR(J171="",F171=""),"",IF(F171&lt;=0,"",IFERROR(J171/F171-1,"")))</f>
        <v/>
      </c>
      <c r="K173" s="15">
        <f>IF(OR(K171="",G171=""),"",IF(G171&lt;=0,"",IFERROR(K171/G171-1,"")))</f>
        <v/>
      </c>
      <c r="L173" s="15">
        <f>IF(OR(L171="",H171=""),"",IF(H171&lt;=0,"",IFERROR(L171/H171-1,"")))</f>
        <v/>
      </c>
      <c r="V173" s="15">
        <f>IF(OR(V171="",U171=""),"",IF(U171&lt;=0,"",IFERROR(V171/U171-1,"")))</f>
        <v/>
      </c>
      <c r="W173" s="15">
        <f>IF(OR(W171="",V171=""),"",IF(V171&lt;=0,"",IFERROR(W171/V171-1,"")))</f>
        <v/>
      </c>
    </row>
    <row r="174">
      <c r="A174" s="18" t="inlineStr">
        <is>
          <t>배선 기구 · 부문 이익</t>
        </is>
      </c>
      <c r="C174" s="20" t="n">
        <v>114</v>
      </c>
      <c r="D174" s="20" t="n">
        <v>153</v>
      </c>
      <c r="E174" s="20" t="n">
        <v>272</v>
      </c>
      <c r="F174" s="20" t="n">
        <v>-66</v>
      </c>
      <c r="G174" s="20" t="n">
        <v>198</v>
      </c>
      <c r="H174" s="20" t="n">
        <v>201</v>
      </c>
      <c r="I174" s="20" t="n">
        <v>307</v>
      </c>
      <c r="J174" s="20" t="n">
        <v>-8</v>
      </c>
      <c r="K174" s="20" t="n">
        <v>234</v>
      </c>
      <c r="L174" s="20" t="n">
        <v>196</v>
      </c>
      <c r="V174" s="20" t="n">
        <v>-66</v>
      </c>
      <c r="W174" s="20" t="n">
        <v>-8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IF(OR(C174="",C163=""),"",IF(C163&lt;=0,"",IFERROR(C174/C163,"")))</f>
        <v/>
      </c>
      <c r="D175" s="15">
        <f>IF(OR(D174="",D163=""),"",IF(D163&lt;=0,"",IFERROR(D174/D163,"")))</f>
        <v/>
      </c>
      <c r="E175" s="15">
        <f>IF(OR(E174="",E163=""),"",IF(E163&lt;=0,"",IFERROR(E174/E163,"")))</f>
        <v/>
      </c>
      <c r="F175" s="15">
        <f>IF(OR(F174="",F163=""),"",IF(F163&lt;=0,"",IFERROR(F174/F163,"")))</f>
        <v/>
      </c>
      <c r="G175" s="15">
        <f>IF(OR(G174="",G163=""),"",IF(G163&lt;=0,"",IFERROR(G174/G163,"")))</f>
        <v/>
      </c>
      <c r="H175" s="15">
        <f>IF(OR(H174="",H163=""),"",IF(H163&lt;=0,"",IFERROR(H174/H163,"")))</f>
        <v/>
      </c>
      <c r="I175" s="15">
        <f>IF(OR(I174="",I163=""),"",IF(I163&lt;=0,"",IFERROR(I174/I163,"")))</f>
        <v/>
      </c>
      <c r="J175" s="15">
        <f>IF(OR(J174="",J163=""),"",IF(J163&lt;=0,"",IFERROR(J174/J163,"")))</f>
        <v/>
      </c>
      <c r="K175" s="15">
        <f>IF(OR(K174="",K163=""),"",IF(K163&lt;=0,"",IFERROR(K174/K163,"")))</f>
        <v/>
      </c>
      <c r="L175" s="15">
        <f>IF(OR(L174="",L163=""),"",IF(L163&lt;=0,"",IFERROR(L174/L163,"")))</f>
        <v/>
      </c>
      <c r="V175" s="15">
        <f>IF(OR(V174="",V163=""),"",IF(V163&lt;=0,"",IFERROR(V174/V163,"")))</f>
        <v/>
      </c>
      <c r="W175" s="15">
        <f>IF(OR(W174="",W163=""),"",IF(W163&lt;=0,"",IFERROR(W174/W163,"")))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</row>
    <row r="177">
      <c r="A177" s="18" t="inlineStr">
        <is>
          <t>보고부문 합계 · 부문 이익</t>
        </is>
      </c>
      <c r="C177" s="20" t="n">
        <v>1685</v>
      </c>
      <c r="D177" s="20" t="n">
        <v>1911</v>
      </c>
      <c r="E177" s="20" t="n">
        <v>2246</v>
      </c>
      <c r="F177" s="20" t="n">
        <v>1469</v>
      </c>
      <c r="G177" s="20" t="n">
        <v>1499</v>
      </c>
      <c r="H177" s="20" t="n">
        <v>1697</v>
      </c>
      <c r="I177" s="20" t="n">
        <v>2369</v>
      </c>
      <c r="J177" s="20" t="n">
        <v>1533</v>
      </c>
      <c r="K177" s="20" t="n">
        <v>1980</v>
      </c>
      <c r="L177" s="20" t="n">
        <v>1944</v>
      </c>
      <c r="V177" s="20" t="n">
        <v>1469</v>
      </c>
      <c r="W177" s="20" t="n">
        <v>1533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IF(OR(C177="",C165=""),"",IF(C165&lt;=0,"",IFERROR(C177/C165,"")))</f>
        <v/>
      </c>
      <c r="D178" s="15">
        <f>IF(OR(D177="",D165=""),"",IF(D165&lt;=0,"",IFERROR(D177/D165,"")))</f>
        <v/>
      </c>
      <c r="E178" s="15">
        <f>IF(OR(E177="",E165=""),"",IF(E165&lt;=0,"",IFERROR(E177/E165,"")))</f>
        <v/>
      </c>
      <c r="F178" s="15">
        <f>IF(OR(F177="",F165=""),"",IF(F165&lt;=0,"",IFERROR(F177/F165,"")))</f>
        <v/>
      </c>
      <c r="G178" s="15">
        <f>IF(OR(G177="",G165=""),"",IF(G165&lt;=0,"",IFERROR(G177/G165,"")))</f>
        <v/>
      </c>
      <c r="H178" s="15">
        <f>IF(OR(H177="",H165=""),"",IF(H165&lt;=0,"",IFERROR(H177/H165,"")))</f>
        <v/>
      </c>
      <c r="I178" s="15">
        <f>IF(OR(I177="",I165=""),"",IF(I165&lt;=0,"",IFERROR(I177/I165,"")))</f>
        <v/>
      </c>
      <c r="J178" s="15">
        <f>IF(OR(J177="",J165=""),"",IF(J165&lt;=0,"",IFERROR(J177/J165,"")))</f>
        <v/>
      </c>
      <c r="K178" s="15">
        <f>IF(OR(K177="",K165=""),"",IF(K165&lt;=0,"",IFERROR(K177/K165,"")))</f>
        <v/>
      </c>
      <c r="L178" s="15">
        <f>IF(OR(L177="",L165=""),"",IF(L165&lt;=0,"",IFERROR(L177/L165,"")))</f>
        <v/>
      </c>
      <c r="V178" s="15">
        <f>IF(OR(V177="",V165=""),"",IF(V165&lt;=0,"",IFERROR(V177/V165,"")))</f>
        <v/>
      </c>
      <c r="W178" s="15">
        <f>IF(OR(W177="",W165=""),"",IF(W165&lt;=0,"",IFERROR(W177/W165,"")))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</row>
    <row r="180">
      <c r="A180" s="18" t="inlineStr">
        <is>
          <t>기타 · 부문 이익</t>
        </is>
      </c>
      <c r="C180" s="20" t="n">
        <v>145</v>
      </c>
      <c r="D180" s="20" t="n">
        <v>136</v>
      </c>
      <c r="E180" s="20" t="n">
        <v>159</v>
      </c>
      <c r="F180" s="20" t="n">
        <v>266</v>
      </c>
      <c r="G180" s="20" t="n">
        <v>165</v>
      </c>
      <c r="H180" s="20" t="n">
        <v>213</v>
      </c>
      <c r="I180" s="20" t="n">
        <v>148</v>
      </c>
      <c r="J180" s="20" t="n">
        <v>45</v>
      </c>
      <c r="K180" s="20" t="n">
        <v>166</v>
      </c>
      <c r="L180" s="20" t="n">
        <v>144</v>
      </c>
      <c r="V180" s="20" t="n">
        <v>266</v>
      </c>
      <c r="W180" s="20" t="n">
        <v>45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IF(OR(C180="",C167=""),"",IF(C167&lt;=0,"",IFERROR(C180/C167,"")))</f>
        <v/>
      </c>
      <c r="D181" s="15">
        <f>IF(OR(D180="",D167=""),"",IF(D167&lt;=0,"",IFERROR(D180/D167,"")))</f>
        <v/>
      </c>
      <c r="E181" s="15">
        <f>IF(OR(E180="",E167=""),"",IF(E167&lt;=0,"",IFERROR(E180/E167,"")))</f>
        <v/>
      </c>
      <c r="F181" s="15">
        <f>IF(OR(F180="",F167=""),"",IF(F167&lt;=0,"",IFERROR(F180/F167,"")))</f>
        <v/>
      </c>
      <c r="G181" s="15">
        <f>IF(OR(G180="",G167=""),"",IF(G167&lt;=0,"",IFERROR(G180/G167,"")))</f>
        <v/>
      </c>
      <c r="H181" s="15">
        <f>IF(OR(H180="",H167=""),"",IF(H167&lt;=0,"",IFERROR(H180/H167,"")))</f>
        <v/>
      </c>
      <c r="I181" s="15">
        <f>IF(OR(I180="",I167=""),"",IF(I167&lt;=0,"",IFERROR(I180/I167,"")))</f>
        <v/>
      </c>
      <c r="J181" s="15">
        <f>IF(OR(J180="",J167=""),"",IF(J167&lt;=0,"",IFERROR(J180/J167,"")))</f>
        <v/>
      </c>
      <c r="K181" s="15">
        <f>IF(OR(K180="",K167=""),"",IF(K167&lt;=0,"",IFERROR(K180/K167,"")))</f>
        <v/>
      </c>
      <c r="L181" s="15">
        <f>IF(OR(L180="",L167=""),"",IF(L167&lt;=0,"",IFERROR(L180/L167,"")))</f>
        <v/>
      </c>
      <c r="V181" s="15">
        <f>IF(OR(V180="",V167=""),"",IF(V167&lt;=0,"",IFERROR(V180/V167,"")))</f>
        <v/>
      </c>
      <c r="W181" s="15">
        <f>IF(OR(W180="",W167=""),"",IF(W167&lt;=0,"",IFERROR(W180/W167,"")))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</row>
    <row r="183">
      <c r="A183" s="18" t="inlineStr">
        <is>
          <t>합계 · 부문 이익</t>
        </is>
      </c>
      <c r="C183" s="20" t="n">
        <v>1831</v>
      </c>
      <c r="D183" s="20" t="n">
        <v>2046</v>
      </c>
      <c r="E183" s="20" t="n">
        <v>2405</v>
      </c>
      <c r="F183" s="20" t="n">
        <v>1736</v>
      </c>
      <c r="G183" s="20" t="n">
        <v>1664</v>
      </c>
      <c r="H183" s="20" t="n">
        <v>1910</v>
      </c>
      <c r="I183" s="20" t="n">
        <v>2517</v>
      </c>
      <c r="J183" s="20" t="n">
        <v>1579</v>
      </c>
      <c r="K183" s="20" t="n">
        <v>2147</v>
      </c>
      <c r="L183" s="20" t="n">
        <v>2087</v>
      </c>
      <c r="V183" s="20" t="n">
        <v>1736</v>
      </c>
      <c r="W183" s="20" t="n">
        <v>1579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IF(OR(C183="",C169=""),"",IF(C169&lt;=0,"",IFERROR(C183/C169,"")))</f>
        <v/>
      </c>
      <c r="D184" s="15">
        <f>IF(OR(D183="",D169=""),"",IF(D169&lt;=0,"",IFERROR(D183/D169,"")))</f>
        <v/>
      </c>
      <c r="E184" s="15">
        <f>IF(OR(E183="",E169=""),"",IF(E169&lt;=0,"",IFERROR(E183/E169,"")))</f>
        <v/>
      </c>
      <c r="F184" s="15">
        <f>IF(OR(F183="",F169=""),"",IF(F169&lt;=0,"",IFERROR(F183/F169,"")))</f>
        <v/>
      </c>
      <c r="G184" s="15">
        <f>IF(OR(G183="",G169=""),"",IF(G169&lt;=0,"",IFERROR(G183/G169,"")))</f>
        <v/>
      </c>
      <c r="H184" s="15">
        <f>IF(OR(H183="",H169=""),"",IF(H169&lt;=0,"",IFERROR(H183/H169,"")))</f>
        <v/>
      </c>
      <c r="I184" s="15">
        <f>IF(OR(I183="",I169=""),"",IF(I169&lt;=0,"",IFERROR(I183/I169,"")))</f>
        <v/>
      </c>
      <c r="J184" s="15">
        <f>IF(OR(J183="",J169=""),"",IF(J169&lt;=0,"",IFERROR(J183/J169,"")))</f>
        <v/>
      </c>
      <c r="K184" s="15">
        <f>IF(OR(K183="",K169=""),"",IF(K169&lt;=0,"",IFERROR(K183/K169,"")))</f>
        <v/>
      </c>
      <c r="L184" s="15">
        <f>IF(OR(L183="",L169=""),"",IF(L169&lt;=0,"",IFERROR(L183/L169,"")))</f>
        <v/>
      </c>
      <c r="V184" s="15">
        <f>IF(OR(V183="",V169=""),"",IF(V169&lt;=0,"",IFERROR(V183/V169,"")))</f>
        <v/>
      </c>
      <c r="W184" s="15">
        <f>IF(OR(W183="",W169=""),"",IF(W169&lt;=0,"",IFERROR(W183/W169,"")))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</row>
    <row r="187">
      <c r="A187" s="16" t="inlineStr">
        <is>
          <t>현금흐름표 · 전 항목</t>
        </is>
      </c>
      <c r="B187" s="42" t="inlineStr">
        <is>
          <t>분기 = 결산기 첫날부터 누계(공시 그대로)</t>
        </is>
      </c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</row>
    <row r="188">
      <c r="A188" s="5" t="inlineStr">
        <is>
          <t>항목</t>
        </is>
      </c>
      <c r="B188" s="5" t="inlineStr">
        <is>
          <t>참고</t>
        </is>
      </c>
      <c r="C188" s="5" t="inlineStr">
        <is>
          <t>2025.1Q</t>
        </is>
      </c>
      <c r="D188" s="5" t="inlineStr">
        <is>
          <t>2025.2Q</t>
        </is>
      </c>
      <c r="E188" s="5" t="inlineStr">
        <is>
          <t>2025.3Q</t>
        </is>
      </c>
      <c r="F188" s="5" t="inlineStr">
        <is>
          <t>2025.4Q</t>
        </is>
      </c>
      <c r="G188" s="5" t="inlineStr">
        <is>
          <t>2026.1Q</t>
        </is>
      </c>
      <c r="H188" s="5" t="inlineStr">
        <is>
          <t>2026.2Q</t>
        </is>
      </c>
      <c r="I188" s="5" t="inlineStr">
        <is>
          <t>2026.3Q</t>
        </is>
      </c>
      <c r="J188" s="5" t="inlineStr">
        <is>
          <t>2026.4Q</t>
        </is>
      </c>
      <c r="K188" s="5" t="inlineStr">
        <is>
          <t>2027.1Q</t>
        </is>
      </c>
      <c r="L188" s="5" t="inlineStr">
        <is>
          <t>2027.2Q</t>
        </is>
      </c>
      <c r="M188" s="5" t="inlineStr">
        <is>
          <t>2027.3Q</t>
        </is>
      </c>
      <c r="N188" s="5" t="inlineStr">
        <is>
          <t>2027.4Q</t>
        </is>
      </c>
      <c r="O188" s="5" t="inlineStr">
        <is>
          <t>2018</t>
        </is>
      </c>
      <c r="P188" s="5" t="inlineStr">
        <is>
          <t>2019</t>
        </is>
      </c>
      <c r="Q188" s="5" t="inlineStr">
        <is>
          <t>2020</t>
        </is>
      </c>
      <c r="R188" s="5" t="inlineStr">
        <is>
          <t>2021</t>
        </is>
      </c>
      <c r="S188" s="5" t="inlineStr">
        <is>
          <t>2022</t>
        </is>
      </c>
      <c r="T188" s="5" t="inlineStr">
        <is>
          <t>2023</t>
        </is>
      </c>
      <c r="U188" s="5" t="inlineStr">
        <is>
          <t>2024</t>
        </is>
      </c>
      <c r="V188" s="5" t="inlineStr">
        <is>
          <t>2025</t>
        </is>
      </c>
      <c r="W188" s="5" t="inlineStr">
        <is>
          <t>2026</t>
        </is>
      </c>
      <c r="X188" s="5" t="inlineStr">
        <is>
          <t>2027</t>
        </is>
      </c>
      <c r="Y188" s="5" t="inlineStr">
        <is>
          <t>2028(MW)</t>
        </is>
      </c>
      <c r="Z188" s="5" t="inlineStr">
        <is>
          <t>2029(MW)</t>
        </is>
      </c>
      <c r="AA188" s="5" t="inlineStr">
        <is>
          <t>2030(MW)</t>
        </is>
      </c>
      <c r="AB188" s="5" t="inlineStr">
        <is>
          <t>2031(MW)</t>
        </is>
      </c>
      <c r="AC188" s="5" t="inlineStr">
        <is>
          <t>2032(MW)</t>
        </is>
      </c>
    </row>
    <row r="189">
      <c r="A189" s="9" t="inlineStr">
        <is>
          <t>법인세차감전 순이익</t>
        </is>
      </c>
      <c r="D189" s="12" t="n">
        <v>3544</v>
      </c>
      <c r="F189" s="12" t="n">
        <v>7477</v>
      </c>
      <c r="H189" s="12" t="n">
        <v>3252</v>
      </c>
      <c r="J189" s="12" t="n">
        <v>7067</v>
      </c>
      <c r="L189" s="12" t="n">
        <v>3893</v>
      </c>
      <c r="N189" s="12" t="n">
        <v>6899</v>
      </c>
      <c r="P189" s="12" t="n">
        <v>4177</v>
      </c>
      <c r="Q189" s="12" t="n">
        <v>5663</v>
      </c>
      <c r="R189" s="12" t="n">
        <v>4228</v>
      </c>
      <c r="S189" s="12" t="n">
        <v>4264</v>
      </c>
      <c r="T189" s="12" t="n">
        <v>3818</v>
      </c>
      <c r="U189" s="12" t="n">
        <v>4126</v>
      </c>
      <c r="V189" s="12" t="n">
        <v>7477</v>
      </c>
      <c r="W189" s="12" t="n">
        <v>7067</v>
      </c>
      <c r="X189" s="12" t="n">
        <v>6899</v>
      </c>
    </row>
    <row r="190">
      <c r="A190" s="18" t="inlineStr">
        <is>
          <t>감가상각비</t>
        </is>
      </c>
      <c r="D190" s="20" t="n">
        <v>998</v>
      </c>
      <c r="F190" s="20" t="n">
        <v>2149</v>
      </c>
      <c r="H190" s="20" t="n">
        <v>1125</v>
      </c>
      <c r="J190" s="20" t="n">
        <v>2287</v>
      </c>
      <c r="L190" s="20" t="n">
        <v>1247</v>
      </c>
      <c r="N190" s="20" t="n">
        <v>2605</v>
      </c>
      <c r="P190" s="20" t="n">
        <v>2119</v>
      </c>
      <c r="Q190" s="20" t="n">
        <v>2066</v>
      </c>
      <c r="R190" s="20" t="n">
        <v>2195</v>
      </c>
      <c r="S190" s="20" t="n">
        <v>2365</v>
      </c>
      <c r="T190" s="20" t="n">
        <v>2444</v>
      </c>
      <c r="U190" s="20" t="n">
        <v>2158</v>
      </c>
      <c r="V190" s="20" t="n">
        <v>2149</v>
      </c>
      <c r="W190" s="20" t="n">
        <v>2287</v>
      </c>
      <c r="X190" s="20" t="n">
        <v>2605</v>
      </c>
    </row>
    <row r="191">
      <c r="A191" s="18" t="inlineStr">
        <is>
          <t>보조금 수입</t>
        </is>
      </c>
      <c r="D191" s="20" t="n">
        <v>0</v>
      </c>
      <c r="F191" s="20" t="n">
        <v>-191</v>
      </c>
      <c r="H191" s="20" t="n">
        <v>-53</v>
      </c>
      <c r="J191" s="20" t="n">
        <v>-9</v>
      </c>
      <c r="L191" s="20" t="n">
        <v>0</v>
      </c>
      <c r="N191" s="20" t="n">
        <v>-53</v>
      </c>
      <c r="P191" s="20" t="n">
        <v>-45</v>
      </c>
      <c r="Q191" s="20" t="n">
        <v>-545</v>
      </c>
      <c r="R191" s="20" t="n">
        <v>0</v>
      </c>
      <c r="S191" s="20" t="n">
        <v>-37</v>
      </c>
      <c r="T191" s="20" t="n">
        <v>-30</v>
      </c>
      <c r="U191" s="20" t="n">
        <v>0</v>
      </c>
      <c r="V191" s="20" t="n">
        <v>-191</v>
      </c>
      <c r="W191" s="20" t="n">
        <v>-9</v>
      </c>
      <c r="X191" s="20" t="n">
        <v>-53</v>
      </c>
    </row>
    <row r="192">
      <c r="A192" s="18" t="inlineStr">
        <is>
          <t>고정자산 압축손실</t>
        </is>
      </c>
      <c r="D192" s="20" t="n">
        <v>0</v>
      </c>
      <c r="F192" s="20" t="n">
        <v>191</v>
      </c>
      <c r="H192" s="20" t="n">
        <v>53</v>
      </c>
      <c r="J192" s="20" t="n">
        <v>9</v>
      </c>
      <c r="L192" s="20" t="n">
        <v>0</v>
      </c>
      <c r="N192" s="20" t="n">
        <v>53</v>
      </c>
      <c r="P192" s="20" t="n">
        <v>45</v>
      </c>
      <c r="Q192" s="20" t="n">
        <v>545</v>
      </c>
      <c r="R192" s="20" t="n">
        <v>0</v>
      </c>
      <c r="S192" s="20" t="n">
        <v>98</v>
      </c>
      <c r="T192" s="20" t="n">
        <v>30</v>
      </c>
      <c r="U192" s="20" t="n">
        <v>0</v>
      </c>
      <c r="V192" s="20" t="n">
        <v>191</v>
      </c>
      <c r="W192" s="20" t="n">
        <v>9</v>
      </c>
      <c r="X192" s="20" t="n">
        <v>53</v>
      </c>
    </row>
    <row r="193">
      <c r="A193" s="18" t="inlineStr">
        <is>
          <t>손상차손</t>
        </is>
      </c>
      <c r="F193" s="20" t="n">
        <v>0</v>
      </c>
      <c r="P193" s="20" t="n">
        <v>75</v>
      </c>
      <c r="Q193" s="20" t="n">
        <v>0</v>
      </c>
      <c r="R193" s="20" t="n">
        <v>0</v>
      </c>
      <c r="S193" s="20" t="n">
        <v>144</v>
      </c>
      <c r="T193" s="20" t="n">
        <v>136</v>
      </c>
      <c r="U193" s="20" t="n">
        <v>25</v>
      </c>
      <c r="V193" s="20" t="n">
        <v>0</v>
      </c>
    </row>
    <row r="194">
      <c r="A194" s="18" t="inlineStr">
        <is>
          <t>투자유가증권 평가손익</t>
        </is>
      </c>
      <c r="Q194" s="20" t="n">
        <v>0</v>
      </c>
      <c r="R194" s="20" t="n">
        <v>53</v>
      </c>
      <c r="S194" s="20" t="n">
        <v>0</v>
      </c>
    </row>
    <row r="195">
      <c r="A195" s="18" t="inlineStr">
        <is>
          <t>재해 손실</t>
        </is>
      </c>
      <c r="H195" s="20" t="n">
        <v>0</v>
      </c>
      <c r="L195" s="20" t="n">
        <v>31</v>
      </c>
    </row>
    <row r="196">
      <c r="A196" s="18" t="inlineStr">
        <is>
          <t>대손충당금 증감</t>
        </is>
      </c>
      <c r="D196" s="20" t="n">
        <v>-0</v>
      </c>
      <c r="F196" s="20" t="n">
        <v>-0</v>
      </c>
      <c r="H196" s="20" t="n">
        <v>0</v>
      </c>
      <c r="J196" s="20" t="n">
        <v>2</v>
      </c>
      <c r="L196" s="20" t="n">
        <v>-0</v>
      </c>
      <c r="N196" s="20" t="n">
        <v>-2</v>
      </c>
      <c r="P196" s="20" t="n">
        <v>24</v>
      </c>
      <c r="Q196" s="20" t="n">
        <v>-3</v>
      </c>
      <c r="R196" s="20" t="n">
        <v>-4</v>
      </c>
      <c r="S196" s="20" t="n">
        <v>-0</v>
      </c>
      <c r="T196" s="20" t="n">
        <v>-83</v>
      </c>
      <c r="U196" s="20" t="n">
        <v>-3</v>
      </c>
      <c r="V196" s="20" t="n">
        <v>-0</v>
      </c>
      <c r="W196" s="20" t="n">
        <v>2</v>
      </c>
      <c r="X196" s="20" t="n">
        <v>-2</v>
      </c>
    </row>
    <row r="197">
      <c r="A197" s="18" t="inlineStr">
        <is>
          <t>투자유가증권 매각손익</t>
        </is>
      </c>
      <c r="Q197" s="20" t="n">
        <v>0</v>
      </c>
      <c r="R197" s="20" t="n">
        <v>-70</v>
      </c>
    </row>
    <row r="198">
      <c r="A198" s="18" t="inlineStr">
        <is>
          <t>주식 지급 충당금 증감액(△는 감소)</t>
        </is>
      </c>
      <c r="D198" s="20" t="n">
        <v>13</v>
      </c>
      <c r="F198" s="20" t="n">
        <v>29</v>
      </c>
      <c r="H198" s="20" t="n">
        <v>14</v>
      </c>
      <c r="J198" s="20" t="n">
        <v>25</v>
      </c>
      <c r="L198" s="20" t="n">
        <v>-6</v>
      </c>
      <c r="N198" s="20" t="n">
        <v>38</v>
      </c>
      <c r="P198" s="20" t="n">
        <v>121</v>
      </c>
      <c r="Q198" s="20" t="n">
        <v>115</v>
      </c>
      <c r="R198" s="20" t="n">
        <v>119</v>
      </c>
      <c r="S198" s="20" t="n">
        <v>108</v>
      </c>
      <c r="T198" s="20" t="n">
        <v>106</v>
      </c>
      <c r="U198" s="20" t="n">
        <v>98</v>
      </c>
      <c r="V198" s="20" t="n">
        <v>29</v>
      </c>
      <c r="W198" s="20" t="n">
        <v>25</v>
      </c>
      <c r="X198" s="20" t="n">
        <v>38</v>
      </c>
    </row>
    <row r="199">
      <c r="A199" s="18" t="inlineStr">
        <is>
          <t>임원 주식 지급 충당금 증감액(△는 감소)</t>
        </is>
      </c>
      <c r="D199" s="20" t="n">
        <v>16</v>
      </c>
      <c r="F199" s="20" t="n">
        <v>22</v>
      </c>
      <c r="H199" s="20" t="n">
        <v>18</v>
      </c>
      <c r="J199" s="20" t="n">
        <v>34</v>
      </c>
      <c r="L199" s="20" t="n">
        <v>18</v>
      </c>
      <c r="N199" s="20" t="n">
        <v>36</v>
      </c>
      <c r="U199" s="20" t="n">
        <v>0</v>
      </c>
      <c r="V199" s="20" t="n">
        <v>22</v>
      </c>
      <c r="W199" s="20" t="n">
        <v>34</v>
      </c>
      <c r="X199" s="20" t="n">
        <v>36</v>
      </c>
    </row>
    <row r="200">
      <c r="A200" s="18" t="inlineStr">
        <is>
          <t>임원 퇴직위로 충당금 증감</t>
        </is>
      </c>
      <c r="D200" s="20" t="n">
        <v>6</v>
      </c>
      <c r="F200" s="20" t="n">
        <v>2</v>
      </c>
      <c r="H200" s="20" t="n">
        <v>0</v>
      </c>
      <c r="J200" s="20" t="n">
        <v>13</v>
      </c>
      <c r="L200" s="20" t="n">
        <v>-20</v>
      </c>
      <c r="N200" s="20" t="n">
        <v>7</v>
      </c>
      <c r="P200" s="20" t="n">
        <v>-24</v>
      </c>
      <c r="Q200" s="20" t="n">
        <v>-11</v>
      </c>
      <c r="R200" s="20" t="n">
        <v>-2</v>
      </c>
      <c r="S200" s="20" t="n">
        <v>15</v>
      </c>
      <c r="T200" s="20" t="n">
        <v>3</v>
      </c>
      <c r="U200" s="20" t="n">
        <v>-21</v>
      </c>
      <c r="V200" s="20" t="n">
        <v>2</v>
      </c>
      <c r="W200" s="20" t="n">
        <v>13</v>
      </c>
      <c r="X200" s="20" t="n">
        <v>7</v>
      </c>
    </row>
    <row r="201">
      <c r="A201" s="18" t="inlineStr">
        <is>
          <t>퇴직급여부채 증감</t>
        </is>
      </c>
      <c r="D201" s="20" t="n">
        <v>-1</v>
      </c>
      <c r="F201" s="20" t="n">
        <v>409</v>
      </c>
      <c r="H201" s="20" t="n">
        <v>2</v>
      </c>
      <c r="J201" s="20" t="n">
        <v>8</v>
      </c>
      <c r="L201" s="20" t="n">
        <v>-5</v>
      </c>
      <c r="N201" s="20" t="n">
        <v>14</v>
      </c>
      <c r="P201" s="20" t="n">
        <v>10</v>
      </c>
      <c r="Q201" s="20" t="n">
        <v>14</v>
      </c>
      <c r="R201" s="20" t="n">
        <v>15</v>
      </c>
      <c r="S201" s="20" t="n">
        <v>17</v>
      </c>
      <c r="T201" s="20" t="n">
        <v>7</v>
      </c>
      <c r="U201" s="20" t="n">
        <v>32</v>
      </c>
      <c r="V201" s="20" t="n">
        <v>409</v>
      </c>
      <c r="W201" s="20" t="n">
        <v>8</v>
      </c>
      <c r="X201" s="20" t="n">
        <v>14</v>
      </c>
    </row>
    <row r="202">
      <c r="A202" s="18" t="inlineStr">
        <is>
          <t>퇴직급여자산 증감</t>
        </is>
      </c>
      <c r="D202" s="20" t="n">
        <v>-48</v>
      </c>
      <c r="F202" s="20" t="n">
        <v>-464</v>
      </c>
      <c r="H202" s="20" t="n">
        <v>-55</v>
      </c>
      <c r="J202" s="20" t="n">
        <v>-96</v>
      </c>
      <c r="L202" s="20" t="n">
        <v>-91</v>
      </c>
      <c r="N202" s="20" t="n">
        <v>-109</v>
      </c>
      <c r="P202" s="20" t="n">
        <v>-62</v>
      </c>
      <c r="Q202" s="20" t="n">
        <v>-90</v>
      </c>
      <c r="R202" s="20" t="n">
        <v>-109</v>
      </c>
      <c r="S202" s="20" t="n">
        <v>-50</v>
      </c>
      <c r="T202" s="20" t="n">
        <v>-19</v>
      </c>
      <c r="U202" s="20" t="n">
        <v>-59</v>
      </c>
      <c r="V202" s="20" t="n">
        <v>-464</v>
      </c>
      <c r="W202" s="20" t="n">
        <v>-96</v>
      </c>
      <c r="X202" s="20" t="n">
        <v>-109</v>
      </c>
    </row>
    <row r="203">
      <c r="A203" s="18" t="inlineStr">
        <is>
          <t>이자·배당금 수익</t>
        </is>
      </c>
      <c r="D203" s="20" t="n">
        <v>-44</v>
      </c>
      <c r="F203" s="20" t="n">
        <v>-68</v>
      </c>
      <c r="H203" s="20" t="n">
        <v>-51</v>
      </c>
      <c r="J203" s="20" t="n">
        <v>-80</v>
      </c>
      <c r="L203" s="20" t="n">
        <v>-75</v>
      </c>
      <c r="N203" s="20" t="n">
        <v>-98</v>
      </c>
      <c r="P203" s="20" t="n">
        <v>-34</v>
      </c>
      <c r="Q203" s="20" t="n">
        <v>-37</v>
      </c>
      <c r="R203" s="20" t="n">
        <v>-42</v>
      </c>
      <c r="S203" s="20" t="n">
        <v>-43</v>
      </c>
      <c r="T203" s="20" t="n">
        <v>-41</v>
      </c>
      <c r="U203" s="20" t="n">
        <v>-44</v>
      </c>
      <c r="V203" s="20" t="n">
        <v>-68</v>
      </c>
      <c r="W203" s="20" t="n">
        <v>-80</v>
      </c>
      <c r="X203" s="20" t="n">
        <v>-98</v>
      </c>
    </row>
    <row r="204">
      <c r="A204" s="18" t="inlineStr">
        <is>
          <t>이자비용</t>
        </is>
      </c>
      <c r="D204" s="20" t="n">
        <v>2</v>
      </c>
      <c r="F204" s="20" t="n">
        <v>3</v>
      </c>
      <c r="H204" s="20" t="n">
        <v>4</v>
      </c>
      <c r="J204" s="20" t="n">
        <v>5</v>
      </c>
      <c r="L204" s="20" t="n">
        <v>5</v>
      </c>
      <c r="N204" s="20" t="n">
        <v>7</v>
      </c>
      <c r="P204" s="20" t="n">
        <v>10</v>
      </c>
      <c r="Q204" s="20" t="n">
        <v>7</v>
      </c>
      <c r="R204" s="20" t="n">
        <v>6</v>
      </c>
      <c r="S204" s="20" t="n">
        <v>5</v>
      </c>
      <c r="T204" s="20" t="n">
        <v>4</v>
      </c>
      <c r="U204" s="20" t="n">
        <v>4</v>
      </c>
      <c r="V204" s="20" t="n">
        <v>3</v>
      </c>
      <c r="W204" s="20" t="n">
        <v>5</v>
      </c>
      <c r="X204" s="20" t="n">
        <v>7</v>
      </c>
    </row>
    <row r="205">
      <c r="A205" s="18" t="inlineStr">
        <is>
          <t>고정자산 매각손익</t>
        </is>
      </c>
      <c r="P205" s="20" t="n">
        <v>0</v>
      </c>
      <c r="Q205" s="20" t="n">
        <v>-1747</v>
      </c>
      <c r="R205" s="20" t="n">
        <v>0</v>
      </c>
      <c r="S205" s="20" t="n">
        <v>-288</v>
      </c>
      <c r="T205" s="20" t="n">
        <v>-3</v>
      </c>
    </row>
    <row r="206">
      <c r="A206" s="18" t="inlineStr">
        <is>
          <t>매출채권 증감</t>
        </is>
      </c>
      <c r="P206" s="20" t="n">
        <v>12</v>
      </c>
      <c r="Q206" s="20" t="n">
        <v>-421</v>
      </c>
      <c r="R206" s="20" t="n">
        <v>-360</v>
      </c>
      <c r="S206" s="20" t="n">
        <v>100</v>
      </c>
      <c r="T206" s="20" t="n">
        <v>587</v>
      </c>
      <c r="U206" s="20" t="n">
        <v>0</v>
      </c>
    </row>
    <row r="207">
      <c r="A207" s="18" t="inlineStr">
        <is>
          <t>매출채권·계약자산 증감</t>
        </is>
      </c>
      <c r="D207" s="20" t="n">
        <v>-35</v>
      </c>
      <c r="F207" s="20" t="n">
        <v>-885</v>
      </c>
      <c r="T207" s="20" t="n">
        <v>0</v>
      </c>
      <c r="U207" s="20" t="n">
        <v>-1424</v>
      </c>
      <c r="V207" s="20" t="n">
        <v>-885</v>
      </c>
    </row>
    <row r="208">
      <c r="A208" s="18" t="inlineStr">
        <is>
          <t>매출채권·계약자산 증감</t>
        </is>
      </c>
      <c r="D208" s="20" t="n">
        <v>-35</v>
      </c>
      <c r="F208" s="20" t="n">
        <v>-885</v>
      </c>
      <c r="H208" s="20" t="n">
        <v>109</v>
      </c>
      <c r="J208" s="20" t="n">
        <v>442</v>
      </c>
      <c r="L208" s="20" t="n">
        <v>-1358</v>
      </c>
      <c r="N208" s="20" t="n">
        <v>451</v>
      </c>
      <c r="V208" s="20" t="n">
        <v>-885</v>
      </c>
      <c r="W208" s="20" t="n">
        <v>442</v>
      </c>
      <c r="X208" s="20" t="n">
        <v>451</v>
      </c>
    </row>
    <row r="209">
      <c r="A209" s="18" t="inlineStr">
        <is>
          <t>재고자산 증감</t>
        </is>
      </c>
      <c r="D209" s="20" t="n">
        <v>131</v>
      </c>
      <c r="F209" s="20" t="n">
        <v>-387</v>
      </c>
      <c r="H209" s="20" t="n">
        <v>-43</v>
      </c>
      <c r="J209" s="20" t="n">
        <v>-239</v>
      </c>
      <c r="L209" s="20" t="n">
        <v>-505</v>
      </c>
      <c r="N209" s="20" t="n">
        <v>-377</v>
      </c>
      <c r="P209" s="20" t="n">
        <v>-564</v>
      </c>
      <c r="Q209" s="20" t="n">
        <v>-130</v>
      </c>
      <c r="R209" s="20" t="n">
        <v>15</v>
      </c>
      <c r="S209" s="20" t="n">
        <v>32</v>
      </c>
      <c r="T209" s="20" t="n">
        <v>-418</v>
      </c>
      <c r="U209" s="20" t="n">
        <v>-573</v>
      </c>
      <c r="V209" s="20" t="n">
        <v>-387</v>
      </c>
      <c r="W209" s="20" t="n">
        <v>-239</v>
      </c>
      <c r="X209" s="20" t="n">
        <v>-377</v>
      </c>
    </row>
    <row r="210">
      <c r="A210" s="18" t="inlineStr">
        <is>
          <t>미수 소비세 증감</t>
        </is>
      </c>
      <c r="P210" s="20" t="n">
        <v>345</v>
      </c>
      <c r="Q210" s="20" t="n">
        <v>0</v>
      </c>
    </row>
    <row r="211">
      <c r="A211" s="18" t="inlineStr">
        <is>
          <t>매입채무 증감</t>
        </is>
      </c>
      <c r="D211" s="20" t="n">
        <v>175</v>
      </c>
      <c r="F211" s="20" t="n">
        <v>-2930</v>
      </c>
      <c r="H211" s="20" t="n">
        <v>-26</v>
      </c>
      <c r="J211" s="20" t="n">
        <v>329</v>
      </c>
      <c r="L211" s="20" t="n">
        <v>210</v>
      </c>
      <c r="N211" s="20" t="n">
        <v>-360</v>
      </c>
      <c r="P211" s="20" t="n">
        <v>-9</v>
      </c>
      <c r="Q211" s="20" t="n">
        <v>866</v>
      </c>
      <c r="R211" s="20" t="n">
        <v>92</v>
      </c>
      <c r="S211" s="20" t="n">
        <v>-620</v>
      </c>
      <c r="T211" s="20" t="n">
        <v>582</v>
      </c>
      <c r="U211" s="20" t="n">
        <v>816</v>
      </c>
      <c r="V211" s="20" t="n">
        <v>-2930</v>
      </c>
      <c r="W211" s="20" t="n">
        <v>329</v>
      </c>
      <c r="X211" s="20" t="n">
        <v>-360</v>
      </c>
    </row>
    <row r="212">
      <c r="A212" s="18" t="inlineStr">
        <is>
          <t>미지급금 증감</t>
        </is>
      </c>
      <c r="F212" s="20" t="n">
        <v>195</v>
      </c>
      <c r="H212" s="20" t="n">
        <v>-117</v>
      </c>
      <c r="J212" s="20" t="n">
        <v>318</v>
      </c>
      <c r="L212" s="20" t="n">
        <v>-55</v>
      </c>
      <c r="N212" s="20" t="n">
        <v>-311</v>
      </c>
      <c r="U212" s="20" t="n">
        <v>86</v>
      </c>
      <c r="V212" s="20" t="n">
        <v>195</v>
      </c>
      <c r="W212" s="20" t="n">
        <v>318</v>
      </c>
      <c r="X212" s="20" t="n">
        <v>-311</v>
      </c>
    </row>
    <row r="213">
      <c r="A213" s="18" t="inlineStr">
        <is>
          <t>미지급 소비세 증감</t>
        </is>
      </c>
      <c r="D213" s="20" t="n">
        <v>-249</v>
      </c>
      <c r="F213" s="20" t="n">
        <v>277</v>
      </c>
      <c r="H213" s="20" t="n">
        <v>-22</v>
      </c>
      <c r="J213" s="20" t="n">
        <v>-263</v>
      </c>
      <c r="L213" s="20" t="n">
        <v>88</v>
      </c>
      <c r="N213" s="20" t="n">
        <v>-50</v>
      </c>
      <c r="P213" s="20" t="n">
        <v>508</v>
      </c>
      <c r="Q213" s="20" t="n">
        <v>-365</v>
      </c>
      <c r="R213" s="20" t="n">
        <v>131</v>
      </c>
      <c r="U213" s="20" t="n">
        <v>-18</v>
      </c>
      <c r="V213" s="20" t="n">
        <v>277</v>
      </c>
      <c r="W213" s="20" t="n">
        <v>-263</v>
      </c>
      <c r="X213" s="20" t="n">
        <v>-50</v>
      </c>
    </row>
    <row r="214">
      <c r="A214" s="18" t="inlineStr">
        <is>
          <t>기타</t>
        </is>
      </c>
      <c r="D214" s="20" t="n">
        <v>417</v>
      </c>
      <c r="F214" s="20" t="n">
        <v>133</v>
      </c>
      <c r="H214" s="20" t="n">
        <v>91</v>
      </c>
      <c r="J214" s="20" t="n">
        <v>335</v>
      </c>
      <c r="L214" s="20" t="n">
        <v>-62</v>
      </c>
      <c r="N214" s="20" t="n">
        <v>392</v>
      </c>
      <c r="P214" s="20" t="n">
        <v>628</v>
      </c>
      <c r="Q214" s="20" t="n">
        <v>-224</v>
      </c>
      <c r="R214" s="20" t="n">
        <v>219</v>
      </c>
      <c r="S214" s="20" t="n">
        <v>67</v>
      </c>
      <c r="T214" s="20" t="n">
        <v>-82</v>
      </c>
      <c r="U214" s="20" t="n">
        <v>-69</v>
      </c>
      <c r="V214" s="20" t="n">
        <v>133</v>
      </c>
      <c r="W214" s="20" t="n">
        <v>335</v>
      </c>
      <c r="X214" s="20" t="n">
        <v>392</v>
      </c>
    </row>
    <row r="215">
      <c r="A215" s="18" t="inlineStr">
        <is>
          <t>소계</t>
        </is>
      </c>
      <c r="D215" s="20" t="n">
        <v>4926</v>
      </c>
      <c r="F215" s="20" t="n">
        <v>5963</v>
      </c>
      <c r="H215" s="20" t="n">
        <v>4303</v>
      </c>
      <c r="J215" s="20" t="n">
        <v>10193</v>
      </c>
      <c r="L215" s="20" t="n">
        <v>3315</v>
      </c>
      <c r="N215" s="20" t="n">
        <v>9142</v>
      </c>
      <c r="P215" s="20" t="n">
        <v>7340</v>
      </c>
      <c r="Q215" s="20" t="n">
        <v>5702</v>
      </c>
      <c r="R215" s="20" t="n">
        <v>6426</v>
      </c>
      <c r="S215" s="20" t="n">
        <v>6179</v>
      </c>
      <c r="T215" s="20" t="n">
        <v>7046</v>
      </c>
      <c r="U215" s="20" t="n">
        <v>5135</v>
      </c>
      <c r="V215" s="20" t="n">
        <v>5963</v>
      </c>
      <c r="W215" s="20" t="n">
        <v>10193</v>
      </c>
      <c r="X215" s="20" t="n">
        <v>9142</v>
      </c>
    </row>
    <row r="216">
      <c r="A216" s="18" t="inlineStr">
        <is>
          <t>이자·배당금 수취</t>
        </is>
      </c>
      <c r="D216" s="20" t="n">
        <v>44</v>
      </c>
      <c r="F216" s="20" t="n">
        <v>68</v>
      </c>
      <c r="H216" s="20" t="n">
        <v>50</v>
      </c>
      <c r="J216" s="20" t="n">
        <v>79</v>
      </c>
      <c r="L216" s="20" t="n">
        <v>74</v>
      </c>
      <c r="N216" s="20" t="n">
        <v>97</v>
      </c>
      <c r="P216" s="20" t="n">
        <v>34</v>
      </c>
      <c r="Q216" s="20" t="n">
        <v>40</v>
      </c>
      <c r="R216" s="20" t="n">
        <v>41</v>
      </c>
      <c r="S216" s="20" t="n">
        <v>44</v>
      </c>
      <c r="T216" s="20" t="n">
        <v>41</v>
      </c>
      <c r="U216" s="20" t="n">
        <v>44</v>
      </c>
      <c r="V216" s="20" t="n">
        <v>68</v>
      </c>
      <c r="W216" s="20" t="n">
        <v>79</v>
      </c>
      <c r="X216" s="20" t="n">
        <v>97</v>
      </c>
    </row>
    <row r="217">
      <c r="A217" s="18" t="inlineStr">
        <is>
          <t>이자 지급</t>
        </is>
      </c>
      <c r="D217" s="20" t="n">
        <v>-2</v>
      </c>
      <c r="F217" s="20" t="n">
        <v>-3</v>
      </c>
      <c r="H217" s="20" t="n">
        <v>-4</v>
      </c>
      <c r="J217" s="20" t="n">
        <v>-5</v>
      </c>
      <c r="L217" s="20" t="n">
        <v>-5</v>
      </c>
      <c r="N217" s="20" t="n">
        <v>-7</v>
      </c>
      <c r="P217" s="20" t="n">
        <v>-10</v>
      </c>
      <c r="Q217" s="20" t="n">
        <v>-7</v>
      </c>
      <c r="R217" s="20" t="n">
        <v>-6</v>
      </c>
      <c r="S217" s="20" t="n">
        <v>-5</v>
      </c>
      <c r="T217" s="20" t="n">
        <v>-4</v>
      </c>
      <c r="U217" s="20" t="n">
        <v>-4</v>
      </c>
      <c r="V217" s="20" t="n">
        <v>-3</v>
      </c>
      <c r="W217" s="20" t="n">
        <v>-5</v>
      </c>
      <c r="X217" s="20" t="n">
        <v>-7</v>
      </c>
    </row>
    <row r="218">
      <c r="A218" s="18" t="inlineStr">
        <is>
          <t>법인세 납부</t>
        </is>
      </c>
      <c r="D218" s="20" t="n">
        <v>-1639</v>
      </c>
      <c r="F218" s="20" t="n">
        <v>-1487</v>
      </c>
      <c r="H218" s="20" t="n">
        <v>-1082</v>
      </c>
      <c r="J218" s="20" t="n">
        <v>-2810</v>
      </c>
      <c r="L218" s="20" t="n">
        <v>-935</v>
      </c>
      <c r="N218" s="20" t="n">
        <v>-2209</v>
      </c>
      <c r="P218" s="20" t="n">
        <v>-1174</v>
      </c>
      <c r="Q218" s="20" t="n">
        <v>-1524</v>
      </c>
      <c r="R218" s="20" t="n">
        <v>-1139</v>
      </c>
      <c r="S218" s="20" t="n">
        <v>-1333</v>
      </c>
      <c r="T218" s="20" t="n">
        <v>-1176</v>
      </c>
      <c r="U218" s="20" t="n">
        <v>-1275</v>
      </c>
      <c r="V218" s="20" t="n">
        <v>-1487</v>
      </c>
      <c r="W218" s="20" t="n">
        <v>-2810</v>
      </c>
      <c r="X218" s="20" t="n">
        <v>-2209</v>
      </c>
    </row>
    <row r="219">
      <c r="A219" s="18" t="inlineStr">
        <is>
          <t>보조금 수취</t>
        </is>
      </c>
      <c r="D219" s="20" t="n">
        <v>69</v>
      </c>
      <c r="F219" s="20" t="n">
        <v>133</v>
      </c>
      <c r="H219" s="20" t="n">
        <v>58</v>
      </c>
      <c r="J219" s="20" t="n">
        <v>74</v>
      </c>
      <c r="L219" s="20" t="n">
        <v>0</v>
      </c>
      <c r="N219" s="20" t="n">
        <v>58</v>
      </c>
      <c r="P219" s="20" t="n">
        <v>45</v>
      </c>
      <c r="Q219" s="20" t="n">
        <v>196</v>
      </c>
      <c r="R219" s="20" t="n">
        <v>100</v>
      </c>
      <c r="S219" s="20" t="n">
        <v>137</v>
      </c>
      <c r="T219" s="20" t="n">
        <v>130</v>
      </c>
      <c r="U219" s="20" t="n">
        <v>100</v>
      </c>
      <c r="V219" s="20" t="n">
        <v>133</v>
      </c>
      <c r="W219" s="20" t="n">
        <v>74</v>
      </c>
      <c r="X219" s="20" t="n">
        <v>58</v>
      </c>
    </row>
    <row r="220">
      <c r="A220" s="18" t="inlineStr">
        <is>
          <t>재해 손실 지급액</t>
        </is>
      </c>
      <c r="H220" s="20" t="n">
        <v>0</v>
      </c>
      <c r="L220" s="20" t="n">
        <v>-0</v>
      </c>
    </row>
    <row r="221">
      <c r="A221" s="9" t="inlineStr">
        <is>
          <t>영업활동 현금흐름</t>
        </is>
      </c>
      <c r="D221" s="12" t="n">
        <v>3398</v>
      </c>
      <c r="F221" s="12" t="n">
        <v>4675</v>
      </c>
      <c r="H221" s="12" t="n">
        <v>3326</v>
      </c>
      <c r="J221" s="12" t="n">
        <v>7531</v>
      </c>
      <c r="L221" s="12" t="n">
        <v>2447</v>
      </c>
      <c r="N221" s="12" t="n">
        <v>7081</v>
      </c>
      <c r="P221" s="12" t="n">
        <v>6236</v>
      </c>
      <c r="Q221" s="12" t="n">
        <v>4406</v>
      </c>
      <c r="R221" s="12" t="n">
        <v>5421</v>
      </c>
      <c r="S221" s="12" t="n">
        <v>5022</v>
      </c>
      <c r="T221" s="12" t="n">
        <v>6036</v>
      </c>
      <c r="U221" s="12" t="n">
        <v>4000</v>
      </c>
      <c r="V221" s="12" t="n">
        <v>4675</v>
      </c>
      <c r="W221" s="12" t="n">
        <v>7531</v>
      </c>
      <c r="X221" s="12" t="n">
        <v>7081</v>
      </c>
    </row>
    <row r="222">
      <c r="A222" s="18" t="inlineStr">
        <is>
          <t>정기예금 예입</t>
        </is>
      </c>
      <c r="D222" s="20" t="n">
        <v>-199</v>
      </c>
      <c r="F222" s="20" t="n">
        <v>-543</v>
      </c>
      <c r="H222" s="20" t="n">
        <v>-369</v>
      </c>
      <c r="J222" s="20" t="n">
        <v>-1107</v>
      </c>
      <c r="L222" s="20" t="n">
        <v>-233</v>
      </c>
      <c r="N222" s="20" t="n">
        <v>-550</v>
      </c>
      <c r="P222" s="20" t="n">
        <v>-924</v>
      </c>
      <c r="Q222" s="20" t="n">
        <v>-3029</v>
      </c>
      <c r="R222" s="20" t="n">
        <v>-451</v>
      </c>
      <c r="S222" s="20" t="n">
        <v>-375</v>
      </c>
      <c r="T222" s="20" t="n">
        <v>-360</v>
      </c>
      <c r="U222" s="20" t="n">
        <v>-362</v>
      </c>
      <c r="V222" s="20" t="n">
        <v>-543</v>
      </c>
      <c r="W222" s="20" t="n">
        <v>-1107</v>
      </c>
      <c r="X222" s="20" t="n">
        <v>-550</v>
      </c>
    </row>
    <row r="223">
      <c r="A223" s="18" t="inlineStr">
        <is>
          <t>정기예금 인출</t>
        </is>
      </c>
      <c r="D223" s="20" t="n">
        <v>128</v>
      </c>
      <c r="F223" s="20" t="n">
        <v>256</v>
      </c>
      <c r="H223" s="20" t="n">
        <v>136</v>
      </c>
      <c r="J223" s="20" t="n">
        <v>275</v>
      </c>
      <c r="L223" s="20" t="n">
        <v>330</v>
      </c>
      <c r="N223" s="20" t="n">
        <v>161</v>
      </c>
      <c r="P223" s="20" t="n">
        <v>666</v>
      </c>
      <c r="Q223" s="20" t="n">
        <v>741</v>
      </c>
      <c r="R223" s="20" t="n">
        <v>218</v>
      </c>
      <c r="S223" s="20" t="n">
        <v>218</v>
      </c>
      <c r="T223" s="20" t="n">
        <v>216</v>
      </c>
      <c r="U223" s="20" t="n">
        <v>209</v>
      </c>
      <c r="V223" s="20" t="n">
        <v>256</v>
      </c>
      <c r="W223" s="20" t="n">
        <v>275</v>
      </c>
      <c r="X223" s="20" t="n">
        <v>161</v>
      </c>
    </row>
    <row r="224">
      <c r="A224" s="18" t="inlineStr">
        <is>
          <t>유형자산 취득(설비투자)</t>
        </is>
      </c>
      <c r="D224" s="20" t="n">
        <v>-1268</v>
      </c>
      <c r="F224" s="20" t="n">
        <v>-2867</v>
      </c>
      <c r="H224" s="20" t="n">
        <v>-1629</v>
      </c>
      <c r="J224" s="20" t="n">
        <v>-2707</v>
      </c>
      <c r="L224" s="20" t="n">
        <v>-1653</v>
      </c>
      <c r="N224" s="20" t="n">
        <v>-3528</v>
      </c>
      <c r="P224" s="20" t="n">
        <v>-1653</v>
      </c>
      <c r="Q224" s="20" t="n">
        <v>-1683</v>
      </c>
      <c r="R224" s="20" t="n">
        <v>-2217</v>
      </c>
      <c r="S224" s="20" t="n">
        <v>-2577</v>
      </c>
      <c r="T224" s="20" t="n">
        <v>-1740</v>
      </c>
      <c r="U224" s="20" t="n">
        <v>-1788</v>
      </c>
      <c r="V224" s="20" t="n">
        <v>-2867</v>
      </c>
      <c r="W224" s="20" t="n">
        <v>-2707</v>
      </c>
      <c r="X224" s="20" t="n">
        <v>-3528</v>
      </c>
    </row>
    <row r="225">
      <c r="A225" s="18" t="inlineStr">
        <is>
          <t>유형자산 매각</t>
        </is>
      </c>
      <c r="D225" s="20" t="n">
        <v>1</v>
      </c>
      <c r="F225" s="20" t="n">
        <v>4</v>
      </c>
      <c r="H225" s="20" t="n">
        <v>0</v>
      </c>
      <c r="J225" s="20" t="n">
        <v>34</v>
      </c>
      <c r="L225" s="20" t="n">
        <v>0</v>
      </c>
      <c r="N225" s="20" t="n">
        <v>4</v>
      </c>
      <c r="P225" s="20" t="n">
        <v>59</v>
      </c>
      <c r="Q225" s="20" t="n">
        <v>2950</v>
      </c>
      <c r="R225" s="20" t="n">
        <v>49</v>
      </c>
      <c r="S225" s="20" t="n">
        <v>898</v>
      </c>
      <c r="T225" s="20" t="n">
        <v>49</v>
      </c>
      <c r="U225" s="20" t="n">
        <v>7</v>
      </c>
      <c r="V225" s="20" t="n">
        <v>4</v>
      </c>
      <c r="W225" s="20" t="n">
        <v>34</v>
      </c>
      <c r="X225" s="20" t="n">
        <v>4</v>
      </c>
    </row>
    <row r="226">
      <c r="A226" s="18" t="inlineStr">
        <is>
          <t>투자유가증권 취득</t>
        </is>
      </c>
      <c r="P226" s="20" t="n">
        <v>-432</v>
      </c>
      <c r="Q226" s="20" t="n">
        <v>-500</v>
      </c>
      <c r="R226" s="20" t="n">
        <v>0</v>
      </c>
    </row>
    <row r="227">
      <c r="A227" s="18" t="inlineStr">
        <is>
          <t>투자유가증권 매각</t>
        </is>
      </c>
      <c r="Q227" s="20" t="n">
        <v>0</v>
      </c>
      <c r="R227" s="20" t="n">
        <v>1158</v>
      </c>
      <c r="S227" s="20" t="n">
        <v>1</v>
      </c>
    </row>
    <row r="228">
      <c r="A228" s="18" t="inlineStr">
        <is>
          <t>기타</t>
        </is>
      </c>
      <c r="D228" s="20" t="n">
        <v>-49</v>
      </c>
      <c r="F228" s="20" t="n">
        <v>-26</v>
      </c>
      <c r="H228" s="20" t="n">
        <v>-17</v>
      </c>
      <c r="J228" s="20" t="n">
        <v>-41</v>
      </c>
      <c r="L228" s="20" t="n">
        <v>-50</v>
      </c>
      <c r="N228" s="20" t="n">
        <v>-235</v>
      </c>
      <c r="P228" s="20" t="n">
        <v>75</v>
      </c>
      <c r="Q228" s="20" t="n">
        <v>-66</v>
      </c>
      <c r="R228" s="20" t="n">
        <v>-96</v>
      </c>
      <c r="S228" s="20" t="n">
        <v>-83</v>
      </c>
      <c r="T228" s="20" t="n">
        <v>-76</v>
      </c>
      <c r="U228" s="20" t="n">
        <v>-39</v>
      </c>
      <c r="V228" s="20" t="n">
        <v>-26</v>
      </c>
      <c r="W228" s="20" t="n">
        <v>-41</v>
      </c>
      <c r="X228" s="20" t="n">
        <v>-235</v>
      </c>
    </row>
    <row r="229">
      <c r="A229" s="9" t="inlineStr">
        <is>
          <t>투자활동 현금흐름</t>
        </is>
      </c>
      <c r="D229" s="12" t="n">
        <v>-1387</v>
      </c>
      <c r="F229" s="12" t="n">
        <v>-3175</v>
      </c>
      <c r="H229" s="12" t="n">
        <v>-1879</v>
      </c>
      <c r="J229" s="12" t="n">
        <v>-3546</v>
      </c>
      <c r="L229" s="12" t="n">
        <v>-1605</v>
      </c>
      <c r="N229" s="12" t="n">
        <v>-4148</v>
      </c>
      <c r="P229" s="12" t="n">
        <v>-2208</v>
      </c>
      <c r="Q229" s="12" t="n">
        <v>-1588</v>
      </c>
      <c r="R229" s="12" t="n">
        <v>-1337</v>
      </c>
      <c r="S229" s="12" t="n">
        <v>-1918</v>
      </c>
      <c r="T229" s="12" t="n">
        <v>-1910</v>
      </c>
      <c r="U229" s="12" t="n">
        <v>-1974</v>
      </c>
      <c r="V229" s="12" t="n">
        <v>-3175</v>
      </c>
      <c r="W229" s="12" t="n">
        <v>-3546</v>
      </c>
      <c r="X229" s="12" t="n">
        <v>-4148</v>
      </c>
    </row>
    <row r="230">
      <c r="A230" s="18" t="inlineStr">
        <is>
          <t>단기차입금 순증감</t>
        </is>
      </c>
      <c r="D230" s="20" t="n">
        <v>15</v>
      </c>
      <c r="F230" s="20" t="n">
        <v>-5</v>
      </c>
      <c r="H230" s="20" t="n">
        <v>45</v>
      </c>
      <c r="J230" s="20" t="n">
        <v>0</v>
      </c>
      <c r="L230" s="20" t="n">
        <v>80</v>
      </c>
      <c r="P230" s="20" t="n">
        <v>-101</v>
      </c>
      <c r="Q230" s="20" t="n">
        <v>-8</v>
      </c>
      <c r="R230" s="20" t="n">
        <v>-8</v>
      </c>
      <c r="S230" s="20" t="n">
        <v>-6</v>
      </c>
      <c r="T230" s="20" t="n">
        <v>-20</v>
      </c>
      <c r="U230" s="20" t="n">
        <v>0</v>
      </c>
      <c r="V230" s="20" t="n">
        <v>-5</v>
      </c>
      <c r="W230" s="20" t="n">
        <v>0</v>
      </c>
    </row>
    <row r="231">
      <c r="A231" s="18" t="inlineStr">
        <is>
          <t>장기차입</t>
        </is>
      </c>
      <c r="D231" s="20" t="n">
        <v>250</v>
      </c>
      <c r="F231" s="20" t="n">
        <v>380</v>
      </c>
      <c r="H231" s="20" t="n">
        <v>200</v>
      </c>
      <c r="J231" s="20" t="n">
        <v>280</v>
      </c>
      <c r="L231" s="20" t="n">
        <v>410</v>
      </c>
      <c r="N231" s="20" t="n">
        <v>200</v>
      </c>
      <c r="P231" s="20" t="n">
        <v>330</v>
      </c>
      <c r="Q231" s="20" t="n">
        <v>340</v>
      </c>
      <c r="R231" s="20" t="n">
        <v>370</v>
      </c>
      <c r="S231" s="20" t="n">
        <v>350</v>
      </c>
      <c r="T231" s="20" t="n">
        <v>280</v>
      </c>
      <c r="U231" s="20" t="n">
        <v>230</v>
      </c>
      <c r="V231" s="20" t="n">
        <v>380</v>
      </c>
      <c r="W231" s="20" t="n">
        <v>280</v>
      </c>
      <c r="X231" s="20" t="n">
        <v>200</v>
      </c>
    </row>
    <row r="232">
      <c r="A232" s="18" t="inlineStr">
        <is>
          <t>장기차입금 상환</t>
        </is>
      </c>
      <c r="D232" s="20" t="n">
        <v>-175</v>
      </c>
      <c r="F232" s="20" t="n">
        <v>-357</v>
      </c>
      <c r="H232" s="20" t="n">
        <v>-155</v>
      </c>
      <c r="J232" s="20" t="n">
        <v>-299</v>
      </c>
      <c r="L232" s="20" t="n">
        <v>-211</v>
      </c>
      <c r="N232" s="20" t="n">
        <v>-267</v>
      </c>
      <c r="P232" s="20" t="n">
        <v>-501</v>
      </c>
      <c r="Q232" s="20" t="n">
        <v>-511</v>
      </c>
      <c r="R232" s="20" t="n">
        <v>-462</v>
      </c>
      <c r="S232" s="20" t="n">
        <v>-468</v>
      </c>
      <c r="T232" s="20" t="n">
        <v>-427</v>
      </c>
      <c r="U232" s="20" t="n">
        <v>-335</v>
      </c>
      <c r="V232" s="20" t="n">
        <v>-357</v>
      </c>
      <c r="W232" s="20" t="n">
        <v>-299</v>
      </c>
      <c r="X232" s="20" t="n">
        <v>-267</v>
      </c>
    </row>
    <row r="233">
      <c r="A233" s="18" t="inlineStr">
        <is>
          <t>사채 발행</t>
        </is>
      </c>
      <c r="D233" s="20" t="n">
        <v>194</v>
      </c>
      <c r="F233" s="20" t="n">
        <v>193</v>
      </c>
      <c r="H233" s="20" t="n">
        <v>194</v>
      </c>
      <c r="J233" s="20" t="n">
        <v>194</v>
      </c>
      <c r="L233" s="20" t="n">
        <v>0</v>
      </c>
      <c r="N233" s="20" t="n">
        <v>194</v>
      </c>
      <c r="P233" s="20" t="n">
        <v>49</v>
      </c>
      <c r="Q233" s="20" t="n">
        <v>58</v>
      </c>
      <c r="R233" s="20" t="n">
        <v>97</v>
      </c>
      <c r="S233" s="20" t="n">
        <v>97</v>
      </c>
      <c r="T233" s="20" t="n">
        <v>146</v>
      </c>
      <c r="U233" s="20" t="n">
        <v>194</v>
      </c>
      <c r="V233" s="20" t="n">
        <v>193</v>
      </c>
      <c r="W233" s="20" t="n">
        <v>194</v>
      </c>
      <c r="X233" s="20" t="n">
        <v>194</v>
      </c>
    </row>
    <row r="234">
      <c r="A234" s="18" t="inlineStr">
        <is>
          <t>사채 상환</t>
        </is>
      </c>
      <c r="D234" s="20" t="n">
        <v>-115</v>
      </c>
      <c r="F234" s="20" t="n">
        <v>-178</v>
      </c>
      <c r="H234" s="20" t="n">
        <v>-100</v>
      </c>
      <c r="J234" s="20" t="n">
        <v>-220</v>
      </c>
      <c r="L234" s="20" t="n">
        <v>-80</v>
      </c>
      <c r="N234" s="20" t="n">
        <v>-220</v>
      </c>
      <c r="P234" s="20" t="n">
        <v>-39</v>
      </c>
      <c r="Q234" s="20" t="n">
        <v>-40</v>
      </c>
      <c r="R234" s="20" t="n">
        <v>-59</v>
      </c>
      <c r="S234" s="20" t="n">
        <v>-82</v>
      </c>
      <c r="T234" s="20" t="n">
        <v>-114</v>
      </c>
      <c r="U234" s="20" t="n">
        <v>-160</v>
      </c>
      <c r="V234" s="20" t="n">
        <v>-178</v>
      </c>
      <c r="W234" s="20" t="n">
        <v>-220</v>
      </c>
      <c r="X234" s="20" t="n">
        <v>-220</v>
      </c>
    </row>
    <row r="235">
      <c r="A235" s="18" t="inlineStr">
        <is>
          <t>자기주식 취득</t>
        </is>
      </c>
      <c r="D235" s="20" t="n">
        <v>-0</v>
      </c>
      <c r="F235" s="20" t="n">
        <v>-4657</v>
      </c>
      <c r="H235" s="20" t="n">
        <v>-0</v>
      </c>
      <c r="J235" s="20" t="n">
        <v>-1</v>
      </c>
      <c r="L235" s="20" t="n">
        <v>-0</v>
      </c>
      <c r="N235" s="20" t="n">
        <v>-1</v>
      </c>
      <c r="Q235" s="20" t="n">
        <v>0</v>
      </c>
      <c r="R235" s="20" t="n">
        <v>-12774</v>
      </c>
      <c r="S235" s="20" t="n">
        <v>-0</v>
      </c>
      <c r="T235" s="20" t="n">
        <v>-0</v>
      </c>
      <c r="U235" s="20" t="n">
        <v>-0</v>
      </c>
      <c r="V235" s="20" t="n">
        <v>-4657</v>
      </c>
      <c r="W235" s="20" t="n">
        <v>-1</v>
      </c>
      <c r="X235" s="20" t="n">
        <v>-1</v>
      </c>
    </row>
    <row r="236">
      <c r="A236" s="18" t="inlineStr">
        <is>
          <t>자기주식 처분</t>
        </is>
      </c>
      <c r="F236" s="20" t="n">
        <v>1032</v>
      </c>
      <c r="J236" s="20" t="n">
        <v>0</v>
      </c>
      <c r="U236" s="20" t="n">
        <v>0</v>
      </c>
      <c r="V236" s="20" t="n">
        <v>1032</v>
      </c>
      <c r="W236" s="20" t="n">
        <v>0</v>
      </c>
    </row>
    <row r="237">
      <c r="A237" s="18" t="inlineStr">
        <is>
          <t>배당금 지급</t>
        </is>
      </c>
      <c r="D237" s="20" t="n">
        <v>-1721</v>
      </c>
      <c r="F237" s="20" t="n">
        <v>-1350</v>
      </c>
      <c r="H237" s="20" t="n">
        <v>-1721</v>
      </c>
      <c r="J237" s="20" t="n">
        <v>-2581</v>
      </c>
      <c r="L237" s="20" t="n">
        <v>-1634</v>
      </c>
      <c r="N237" s="20" t="n">
        <v>-2581</v>
      </c>
      <c r="P237" s="20" t="n">
        <v>-768</v>
      </c>
      <c r="Q237" s="20" t="n">
        <v>-768</v>
      </c>
      <c r="R237" s="20" t="n">
        <v>-936</v>
      </c>
      <c r="S237" s="20" t="n">
        <v>-720</v>
      </c>
      <c r="T237" s="20" t="n">
        <v>-810</v>
      </c>
      <c r="U237" s="20" t="n">
        <v>-900</v>
      </c>
      <c r="V237" s="20" t="n">
        <v>-1350</v>
      </c>
      <c r="W237" s="20" t="n">
        <v>-2581</v>
      </c>
      <c r="X237" s="20" t="n">
        <v>-2581</v>
      </c>
    </row>
    <row r="238">
      <c r="A238" s="18" t="inlineStr">
        <is>
          <t>기타</t>
        </is>
      </c>
      <c r="D238" s="20" t="n">
        <v>-3</v>
      </c>
      <c r="F238" s="20" t="n">
        <v>-7</v>
      </c>
      <c r="H238" s="20" t="n">
        <v>-11</v>
      </c>
      <c r="J238" s="20" t="n">
        <v>-15</v>
      </c>
      <c r="L238" s="20" t="n">
        <v>-13</v>
      </c>
      <c r="N238" s="20" t="n">
        <v>-21</v>
      </c>
      <c r="P238" s="20" t="n">
        <v>-3</v>
      </c>
      <c r="Q238" s="20" t="n">
        <v>3</v>
      </c>
      <c r="R238" s="20" t="n">
        <v>-0</v>
      </c>
      <c r="S238" s="20" t="n">
        <v>9</v>
      </c>
      <c r="T238" s="20" t="n">
        <v>8</v>
      </c>
      <c r="U238" s="20" t="n">
        <v>-8</v>
      </c>
      <c r="V238" s="20" t="n">
        <v>-7</v>
      </c>
      <c r="W238" s="20" t="n">
        <v>-15</v>
      </c>
      <c r="X238" s="20" t="n">
        <v>-21</v>
      </c>
    </row>
    <row r="239">
      <c r="A239" s="9" t="inlineStr">
        <is>
          <t>재무활동 현금흐름</t>
        </is>
      </c>
      <c r="D239" s="12" t="n">
        <v>-1556</v>
      </c>
      <c r="F239" s="12" t="n">
        <v>-4950</v>
      </c>
      <c r="H239" s="12" t="n">
        <v>-1548</v>
      </c>
      <c r="J239" s="12" t="n">
        <v>-2643</v>
      </c>
      <c r="L239" s="12" t="n">
        <v>-1450</v>
      </c>
      <c r="N239" s="12" t="n">
        <v>-2697</v>
      </c>
      <c r="P239" s="12" t="n">
        <v>-1034</v>
      </c>
      <c r="Q239" s="12" t="n">
        <v>-926</v>
      </c>
      <c r="R239" s="12" t="n">
        <v>-13772</v>
      </c>
      <c r="S239" s="12" t="n">
        <v>-821</v>
      </c>
      <c r="T239" s="12" t="n">
        <v>-937</v>
      </c>
      <c r="U239" s="12" t="n">
        <v>-979</v>
      </c>
      <c r="V239" s="12" t="n">
        <v>-4950</v>
      </c>
      <c r="W239" s="12" t="n">
        <v>-2643</v>
      </c>
      <c r="X239" s="12" t="n">
        <v>-2697</v>
      </c>
    </row>
    <row r="240">
      <c r="A240" s="18" t="inlineStr">
        <is>
          <t>현금성자산 증감</t>
        </is>
      </c>
      <c r="D240" s="20" t="n">
        <v>454</v>
      </c>
      <c r="F240" s="20" t="n">
        <v>-3451</v>
      </c>
      <c r="H240" s="20" t="n">
        <v>-101</v>
      </c>
      <c r="J240" s="20" t="n">
        <v>1341</v>
      </c>
      <c r="L240" s="20" t="n">
        <v>-607</v>
      </c>
      <c r="N240" s="20" t="n">
        <v>235</v>
      </c>
      <c r="P240" s="20" t="n">
        <v>2993</v>
      </c>
      <c r="Q240" s="20" t="n">
        <v>1892</v>
      </c>
      <c r="R240" s="20" t="n">
        <v>-9688</v>
      </c>
      <c r="S240" s="20" t="n">
        <v>2282</v>
      </c>
      <c r="T240" s="20" t="n">
        <v>3187</v>
      </c>
      <c r="U240" s="20" t="n">
        <v>1046</v>
      </c>
      <c r="V240" s="20" t="n">
        <v>-3451</v>
      </c>
      <c r="W240" s="20" t="n">
        <v>1341</v>
      </c>
      <c r="X240" s="20" t="n">
        <v>235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미라이공업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2026.3Q</t>
        </is>
      </c>
      <c r="D3" s="5" t="inlineStr">
        <is>
          <t>2026.4Q</t>
        </is>
      </c>
      <c r="E3" s="5" t="inlineStr">
        <is>
          <t>2027.1Q</t>
        </is>
      </c>
      <c r="F3" s="5" t="inlineStr">
        <is>
          <t>2027.2Q</t>
        </is>
      </c>
      <c r="G3" s="5" t="inlineStr">
        <is>
          <t>2027.3Q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42632</v>
      </c>
      <c r="D5" s="12" t="n">
        <v>42684</v>
      </c>
      <c r="E5" s="12" t="n">
        <v>42950</v>
      </c>
      <c r="F5" s="12" t="n">
        <v>43382</v>
      </c>
      <c r="G5" s="12" t="n">
        <v>44474</v>
      </c>
      <c r="H5" s="11" t="n">
        <v>41705</v>
      </c>
      <c r="I5" s="12" t="n">
        <v>39202</v>
      </c>
      <c r="J5" s="12" t="n">
        <v>41825</v>
      </c>
      <c r="K5" s="12" t="n">
        <v>42684</v>
      </c>
    </row>
    <row r="6">
      <c r="A6" s="18" t="inlineStr">
        <is>
          <t>현금및현금성자산</t>
        </is>
      </c>
      <c r="B6" s="10" t="n"/>
      <c r="C6" s="19" t="n">
        <v>21234</v>
      </c>
      <c r="D6" s="20" t="n">
        <v>20458</v>
      </c>
      <c r="E6" s="20" t="n">
        <v>21728</v>
      </c>
      <c r="F6" s="20" t="n">
        <v>20761</v>
      </c>
      <c r="G6" s="20" t="n">
        <v>21024</v>
      </c>
      <c r="H6" s="19" t="n">
        <v>22115</v>
      </c>
      <c r="I6" s="20" t="n">
        <v>17787</v>
      </c>
      <c r="J6" s="20" t="n">
        <v>19010</v>
      </c>
      <c r="K6" s="20" t="n">
        <v>20458</v>
      </c>
    </row>
    <row r="7">
      <c r="A7" s="18" t="inlineStr">
        <is>
          <t>단기금융상품</t>
        </is>
      </c>
      <c r="B7" s="10" t="n"/>
      <c r="C7" s="19" t="n">
        <v>1525</v>
      </c>
      <c r="D7" s="20" t="n">
        <v>1499</v>
      </c>
      <c r="E7" s="20" t="n">
        <v>1513</v>
      </c>
      <c r="F7" s="20" t="n">
        <v>1498</v>
      </c>
      <c r="G7" s="20" t="n">
        <v>1497</v>
      </c>
      <c r="H7" s="19" t="n"/>
      <c r="I7" s="20" t="n"/>
      <c r="J7" s="20" t="n"/>
      <c r="K7" s="20" t="n">
        <v>1499</v>
      </c>
    </row>
    <row r="8">
      <c r="A8" s="18" t="inlineStr">
        <is>
          <t>매출채권</t>
        </is>
      </c>
      <c r="B8" s="10" t="n"/>
      <c r="C8" s="19" t="n">
        <v>6979</v>
      </c>
      <c r="D8" s="20" t="n">
        <v>7510</v>
      </c>
      <c r="E8" s="20" t="n">
        <v>6548</v>
      </c>
      <c r="F8" s="20" t="n">
        <v>7235</v>
      </c>
      <c r="G8" s="20" t="n">
        <v>7298</v>
      </c>
      <c r="H8" s="19" t="n">
        <v>8184</v>
      </c>
      <c r="I8" s="20" t="n">
        <v>8941</v>
      </c>
      <c r="J8" s="20" t="n">
        <v>8154</v>
      </c>
      <c r="K8" s="20" t="n">
        <v>7510</v>
      </c>
    </row>
    <row r="9">
      <c r="A9" s="18" t="inlineStr">
        <is>
          <t>재고자산</t>
        </is>
      </c>
      <c r="B9" s="10" t="n"/>
      <c r="C9" s="19" t="n">
        <v>6586</v>
      </c>
      <c r="D9" s="20" t="n">
        <v>6821</v>
      </c>
      <c r="E9" s="20" t="n">
        <v>6920</v>
      </c>
      <c r="F9" s="20" t="n">
        <v>7088</v>
      </c>
      <c r="G9" s="20" t="n">
        <v>7425</v>
      </c>
      <c r="H9" s="19" t="n">
        <v>5850</v>
      </c>
      <c r="I9" s="20" t="n">
        <v>6191</v>
      </c>
      <c r="J9" s="20" t="n">
        <v>6432</v>
      </c>
      <c r="K9" s="20" t="n">
        <v>6821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24402</v>
      </c>
      <c r="D11" s="12" t="n">
        <v>24615</v>
      </c>
      <c r="E11" s="12" t="n">
        <v>25746</v>
      </c>
      <c r="F11" s="12" t="n">
        <v>25942</v>
      </c>
      <c r="G11" s="12" t="n">
        <v>26501</v>
      </c>
      <c r="H11" s="11" t="n">
        <v>21579</v>
      </c>
      <c r="I11" s="12" t="n">
        <v>22456</v>
      </c>
      <c r="J11" s="12" t="n">
        <v>23286</v>
      </c>
      <c r="K11" s="12" t="n">
        <v>24615</v>
      </c>
    </row>
    <row r="12">
      <c r="A12" s="18" t="inlineStr">
        <is>
          <t>유형자산</t>
        </is>
      </c>
      <c r="B12" s="10" t="n"/>
      <c r="C12" s="19" t="n">
        <v>15020</v>
      </c>
      <c r="D12" s="20" t="n">
        <v>15229</v>
      </c>
      <c r="E12" s="20" t="n">
        <v>15544</v>
      </c>
      <c r="F12" s="20" t="n">
        <v>15617</v>
      </c>
      <c r="G12" s="20" t="n">
        <v>15849</v>
      </c>
      <c r="H12" s="19" t="n">
        <v>13875</v>
      </c>
      <c r="I12" s="20" t="n">
        <v>14172</v>
      </c>
      <c r="J12" s="20" t="n">
        <v>14416</v>
      </c>
      <c r="K12" s="20" t="n">
        <v>15229</v>
      </c>
    </row>
    <row r="13">
      <c r="A13" s="18" t="inlineStr">
        <is>
          <t>무형자산</t>
        </is>
      </c>
      <c r="B13" s="10" t="n"/>
      <c r="C13" s="19" t="n">
        <v>184</v>
      </c>
      <c r="D13" s="20" t="n">
        <v>256</v>
      </c>
      <c r="E13" s="20" t="n">
        <v>340</v>
      </c>
      <c r="F13" s="20" t="n">
        <v>361</v>
      </c>
      <c r="G13" s="20" t="n">
        <v>367</v>
      </c>
      <c r="H13" s="19" t="n">
        <v>156</v>
      </c>
      <c r="I13" s="20" t="n">
        <v>129</v>
      </c>
      <c r="J13" s="20" t="n">
        <v>190</v>
      </c>
      <c r="K13" s="20" t="n">
        <v>256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67034</v>
      </c>
      <c r="D16" s="12" t="n">
        <v>67300</v>
      </c>
      <c r="E16" s="12" t="n">
        <v>68697</v>
      </c>
      <c r="F16" s="12" t="n">
        <v>69325</v>
      </c>
      <c r="G16" s="12" t="n">
        <v>70976</v>
      </c>
      <c r="H16" s="11" t="n">
        <v>63285</v>
      </c>
      <c r="I16" s="12" t="n">
        <v>61658</v>
      </c>
      <c r="J16" s="12" t="n">
        <v>65112</v>
      </c>
      <c r="K16" s="12" t="n">
        <v>67300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10404</v>
      </c>
      <c r="D18" s="12" t="n">
        <v>9792</v>
      </c>
      <c r="E18" s="12" t="n">
        <v>9688</v>
      </c>
      <c r="F18" s="12" t="n">
        <v>10159</v>
      </c>
      <c r="G18" s="12" t="n">
        <v>10569</v>
      </c>
      <c r="H18" s="11" t="n">
        <v>11666</v>
      </c>
      <c r="I18" s="12" t="n">
        <v>9921</v>
      </c>
      <c r="J18" s="12" t="n">
        <v>10236</v>
      </c>
      <c r="K18" s="12" t="n">
        <v>9792</v>
      </c>
    </row>
    <row r="19">
      <c r="A19" s="18" t="inlineStr">
        <is>
          <t>매입채무</t>
        </is>
      </c>
      <c r="B19" s="10" t="n"/>
      <c r="C19" s="19" t="n">
        <v>3055</v>
      </c>
      <c r="D19" s="20" t="n">
        <v>3215</v>
      </c>
      <c r="E19" s="20" t="n">
        <v>2592</v>
      </c>
      <c r="F19" s="20" t="n">
        <v>3465</v>
      </c>
      <c r="G19" s="20" t="n">
        <v>3344</v>
      </c>
      <c r="H19" s="19" t="n">
        <v>3491</v>
      </c>
      <c r="I19" s="20" t="n">
        <v>3111</v>
      </c>
      <c r="J19" s="20" t="n">
        <v>3411</v>
      </c>
      <c r="K19" s="20" t="n">
        <v>3215</v>
      </c>
    </row>
    <row r="20">
      <c r="A20" s="18" t="inlineStr">
        <is>
          <t>단기차입금</t>
        </is>
      </c>
      <c r="B20" s="10" t="n"/>
      <c r="C20" s="19" t="n">
        <v>85</v>
      </c>
      <c r="D20" s="20" t="n">
        <v>267</v>
      </c>
      <c r="E20" s="20" t="n">
        <v>40</v>
      </c>
      <c r="F20" s="20" t="n">
        <v>85</v>
      </c>
      <c r="G20" s="20" t="n">
        <v>120</v>
      </c>
      <c r="H20" s="19" t="n">
        <v>225</v>
      </c>
      <c r="I20" s="20" t="n">
        <v>220</v>
      </c>
      <c r="J20" s="20" t="n">
        <v>237</v>
      </c>
      <c r="K20" s="20" t="n">
        <v>267</v>
      </c>
    </row>
    <row r="21">
      <c r="A21" s="18" t="inlineStr">
        <is>
          <t>유동성장기부채</t>
        </is>
      </c>
      <c r="B21" s="10" t="n"/>
      <c r="C21" s="19" t="n">
        <v>202</v>
      </c>
      <c r="D21" s="20" t="n">
        <v>163</v>
      </c>
      <c r="E21" s="20" t="n">
        <v>124</v>
      </c>
      <c r="F21" s="20" t="n">
        <v>364</v>
      </c>
      <c r="G21" s="20" t="n">
        <v>311</v>
      </c>
      <c r="H21" s="19" t="n">
        <v>236</v>
      </c>
      <c r="I21" s="20" t="n">
        <v>171</v>
      </c>
      <c r="J21" s="20" t="n">
        <v>153</v>
      </c>
      <c r="K21" s="20" t="n">
        <v>163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2680</v>
      </c>
      <c r="D23" s="12" t="n">
        <v>2674</v>
      </c>
      <c r="E23" s="12" t="n">
        <v>2745</v>
      </c>
      <c r="F23" s="12" t="n">
        <v>2977</v>
      </c>
      <c r="G23" s="12" t="n">
        <v>2791</v>
      </c>
      <c r="H23" s="11" t="n">
        <v>2460</v>
      </c>
      <c r="I23" s="12" t="n">
        <v>2468</v>
      </c>
      <c r="J23" s="12" t="n">
        <v>2625</v>
      </c>
      <c r="K23" s="12" t="n">
        <v>2674</v>
      </c>
    </row>
    <row r="24">
      <c r="A24" s="18" t="inlineStr">
        <is>
          <t>장기차입금</t>
        </is>
      </c>
      <c r="B24" s="10" t="n"/>
      <c r="C24" s="19" t="n">
        <v>48</v>
      </c>
      <c r="D24" s="20" t="n">
        <v>31</v>
      </c>
      <c r="E24" s="20" t="n">
        <v>14</v>
      </c>
      <c r="F24" s="20" t="n">
        <v>80</v>
      </c>
      <c r="G24" s="20" t="n">
        <v>26</v>
      </c>
      <c r="H24" s="19" t="n">
        <v>37</v>
      </c>
      <c r="I24" s="20" t="n">
        <v>0</v>
      </c>
      <c r="J24" s="20" t="n">
        <v>77</v>
      </c>
      <c r="K24" s="20" t="n">
        <v>31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13085</v>
      </c>
      <c r="D27" s="12" t="n">
        <v>12466</v>
      </c>
      <c r="E27" s="12" t="n">
        <v>12434</v>
      </c>
      <c r="F27" s="12" t="n">
        <v>13137</v>
      </c>
      <c r="G27" s="12" t="n">
        <v>13360</v>
      </c>
      <c r="H27" s="11" t="n">
        <v>14126</v>
      </c>
      <c r="I27" s="12" t="n">
        <v>12390</v>
      </c>
      <c r="J27" s="12" t="n">
        <v>12861</v>
      </c>
      <c r="K27" s="12" t="n">
        <v>12466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53176</v>
      </c>
      <c r="D31" s="12" t="n">
        <v>54040</v>
      </c>
      <c r="E31" s="12" t="n">
        <v>55450</v>
      </c>
      <c r="F31" s="12" t="n">
        <v>55354</v>
      </c>
      <c r="G31" s="12" t="n">
        <v>56763</v>
      </c>
      <c r="H31" s="11" t="n">
        <v>48598</v>
      </c>
      <c r="I31" s="12" t="n">
        <v>48631</v>
      </c>
      <c r="J31" s="12" t="n">
        <v>51544</v>
      </c>
      <c r="K31" s="12" t="n">
        <v>54040</v>
      </c>
    </row>
    <row r="32">
      <c r="A32" s="18" t="inlineStr">
        <is>
          <t>자본금</t>
        </is>
      </c>
      <c r="B32" s="10" t="n"/>
      <c r="C32" s="19" t="n">
        <v>7067</v>
      </c>
      <c r="D32" s="20" t="n">
        <v>7067</v>
      </c>
      <c r="E32" s="20" t="n">
        <v>7067</v>
      </c>
      <c r="F32" s="20" t="n">
        <v>7067</v>
      </c>
      <c r="G32" s="20" t="n">
        <v>7067</v>
      </c>
      <c r="H32" s="19" t="n">
        <v>7067</v>
      </c>
      <c r="I32" s="20" t="n">
        <v>7067</v>
      </c>
      <c r="J32" s="20" t="n">
        <v>7067</v>
      </c>
      <c r="K32" s="20" t="n">
        <v>7067</v>
      </c>
    </row>
    <row r="33">
      <c r="A33" s="18" t="inlineStr">
        <is>
          <t>이익잉여금</t>
        </is>
      </c>
      <c r="B33" s="10" t="n"/>
      <c r="C33" s="19" t="n">
        <v>55165</v>
      </c>
      <c r="D33" s="20" t="n">
        <v>55921</v>
      </c>
      <c r="E33" s="20" t="n">
        <v>56806</v>
      </c>
      <c r="F33" s="20" t="n">
        <v>56550</v>
      </c>
      <c r="G33" s="20" t="n">
        <v>57817</v>
      </c>
      <c r="H33" s="19" t="n">
        <v>48167</v>
      </c>
      <c r="I33" s="20" t="n">
        <v>51303</v>
      </c>
      <c r="J33" s="20" t="n">
        <v>53804</v>
      </c>
      <c r="K33" s="20" t="n">
        <v>55921</v>
      </c>
    </row>
    <row r="34">
      <c r="A34" s="18" t="inlineStr">
        <is>
          <t>비지배지분</t>
        </is>
      </c>
      <c r="B34" s="10" t="n"/>
      <c r="C34" s="19" t="n">
        <v>773</v>
      </c>
      <c r="D34" s="20" t="n">
        <v>793</v>
      </c>
      <c r="E34" s="20" t="n">
        <v>812</v>
      </c>
      <c r="F34" s="20" t="n">
        <v>833</v>
      </c>
      <c r="G34" s="20" t="n">
        <v>852</v>
      </c>
      <c r="H34" s="19" t="n">
        <v>560</v>
      </c>
      <c r="I34" s="20" t="n">
        <v>637</v>
      </c>
      <c r="J34" s="20" t="n">
        <v>707</v>
      </c>
      <c r="K34" s="20" t="n">
        <v>793</v>
      </c>
    </row>
    <row r="35">
      <c r="A35" s="9" t="inlineStr">
        <is>
          <t>자본총계</t>
        </is>
      </c>
      <c r="B35" s="10" t="n"/>
      <c r="C35" s="11" t="n">
        <v>53949</v>
      </c>
      <c r="D35" s="12" t="n">
        <v>54833</v>
      </c>
      <c r="E35" s="12" t="n">
        <v>56262</v>
      </c>
      <c r="F35" s="12" t="n">
        <v>56187</v>
      </c>
      <c r="G35" s="12" t="n">
        <v>57615</v>
      </c>
      <c r="H35" s="11" t="n">
        <v>49158</v>
      </c>
      <c r="I35" s="12" t="n">
        <v>49268</v>
      </c>
      <c r="J35" s="12" t="n">
        <v>52251</v>
      </c>
      <c r="K35" s="12" t="n">
        <v>54833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7531</v>
      </c>
      <c r="E37" s="12" t="n"/>
      <c r="F37" s="12" t="n">
        <v>6652</v>
      </c>
      <c r="G37" s="12" t="n"/>
      <c r="H37" s="11" t="n">
        <v>6036</v>
      </c>
      <c r="I37" s="12" t="n">
        <v>4000</v>
      </c>
      <c r="J37" s="12" t="n">
        <v>4675</v>
      </c>
      <c r="K37" s="12" t="n">
        <v>7531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2707</v>
      </c>
      <c r="E38" s="20" t="n"/>
      <c r="F38" s="20" t="n">
        <v>2731</v>
      </c>
      <c r="G38" s="20" t="n"/>
      <c r="H38" s="19" t="n">
        <v>1740</v>
      </c>
      <c r="I38" s="20" t="n">
        <v>1788</v>
      </c>
      <c r="J38" s="20" t="n">
        <v>2867</v>
      </c>
      <c r="K38" s="20" t="n">
        <v>2707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2581</v>
      </c>
      <c r="E40" s="20" t="n"/>
      <c r="F40" s="20" t="n">
        <v>2494</v>
      </c>
      <c r="G40" s="20" t="n"/>
      <c r="H40" s="19" t="n">
        <v>810</v>
      </c>
      <c r="I40" s="20" t="n">
        <v>900</v>
      </c>
      <c r="J40" s="20" t="n">
        <v>1350</v>
      </c>
      <c r="K40" s="20" t="n">
        <v>2581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IFERROR((IF(COUNT('연간'!F22:I22)&lt;4,"",SUM('연간'!F22:I22)))/(IF(COUNT('연간'!F44:I44)&lt;4,"",SUM('연간'!F44:I44))),"")</f>
        <v/>
      </c>
      <c r="D48" s="31">
        <f>IFERROR((IF(COUNT('연간'!G22:J22)&lt;4,"",SUM('연간'!G22:J22)))/(IF(COUNT('연간'!G44:J44)&lt;4,"",SUM('연간'!G44:J44))),"")</f>
        <v/>
      </c>
      <c r="E48" s="31">
        <f>IFERROR((IF(COUNT('연간'!H22:K22)&lt;4,"",SUM('연간'!H22:K22)))/(IF(COUNT('연간'!H44:K44)&lt;4,"",SUM('연간'!H44:K44))),"")</f>
        <v/>
      </c>
      <c r="F48" s="31">
        <f>IFERROR((IF(COUNT('연간'!I22:L22)&lt;4,"",SUM('연간'!I22:L22)))/(IF(COUNT('연간'!I44:L44)&lt;4,"",SUM('연간'!I44:L44))),"")</f>
        <v/>
      </c>
      <c r="G48" s="31">
        <f>IFERROR((IF(COUNT('연간'!J22:M22)&lt;4,"",SUM('연간'!J22:M22)))/(IF(COUNT('연간'!J44:M44)&lt;4,"",SUM('연간'!J44:M44))),"")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IFERROR(IF((IF(COUNT('연간'!F50:I50)&lt;4,"",SUM('연간'!F50:I50)))&lt;=0,"적자",C28/(IF(COUNT('연간'!F50:I50)&lt;4,"",SUM('연간'!F50:I50)))),"")</f>
        <v/>
      </c>
      <c r="D49" s="47">
        <f>IFERROR(IF((IF(COUNT('연간'!G50:J50)&lt;4,"",SUM('연간'!G50:J50)))&lt;=0,"적자",D28/(IF(COUNT('연간'!G50:J50)&lt;4,"",SUM('연간'!G50:J50)))),"")</f>
        <v/>
      </c>
      <c r="E49" s="47">
        <f>IFERROR(IF((IF(COUNT('연간'!H50:K50)&lt;4,"",SUM('연간'!H50:K50)))&lt;=0,"적자",E28/(IF(COUNT('연간'!H50:K50)&lt;4,"",SUM('연간'!H50:K50)))),"")</f>
        <v/>
      </c>
      <c r="F49" s="47">
        <f>IFERROR(IF((IF(COUNT('연간'!I50:L50)&lt;4,"",SUM('연간'!I50:L50)))&lt;=0,"적자",F28/(IF(COUNT('연간'!I50:L50)&lt;4,"",SUM('연간'!I50:L50)))),"")</f>
        <v/>
      </c>
      <c r="G49" s="47">
        <f>IFERROR(IF((IF(COUNT('연간'!J50:M50)&lt;4,"",SUM('연간'!J50:M50)))&lt;=0,"적자",G28/(IF(COUNT('연간'!J50:M50)&lt;4,"",SUM('연간'!J50:M50)))),"")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IFERROR((IF(COUNT('연간'!F50:I50)&lt;4,"",SUM('연간'!F50:I50)))/C31,"")</f>
        <v/>
      </c>
      <c r="D51" s="36">
        <f>IFERROR((IF(COUNT('연간'!G50:J50)&lt;4,"",SUM('연간'!G50:J50)))/D31,"")</f>
        <v/>
      </c>
      <c r="E51" s="36">
        <f>IFERROR((IF(COUNT('연간'!H50:K50)&lt;4,"",SUM('연간'!H50:K50)))/E31,"")</f>
        <v/>
      </c>
      <c r="F51" s="36">
        <f>IFERROR((IF(COUNT('연간'!I50:L50)&lt;4,"",SUM('연간'!I50:L50)))/F31,"")</f>
        <v/>
      </c>
      <c r="G51" s="36">
        <f>IFERROR((IF(COUNT('연간'!J50:M50)&lt;4,"",SUM('연간'!J50:M50)))/G31,"")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IFERROR((IF(COUNT('연간'!F49:I49)&lt;4,"",SUM('연간'!F49:I49)))/C16,"")</f>
        <v/>
      </c>
      <c r="D52" s="36">
        <f>IFERROR((IF(COUNT('연간'!G49:J49)&lt;4,"",SUM('연간'!G49:J49)))/D16,"")</f>
        <v/>
      </c>
      <c r="E52" s="36">
        <f>IFERROR((IF(COUNT('연간'!H49:K49)&lt;4,"",SUM('연간'!H49:K49)))/E16,"")</f>
        <v/>
      </c>
      <c r="F52" s="36">
        <f>IFERROR((IF(COUNT('연간'!I49:L49)&lt;4,"",SUM('연간'!I49:L49)))/F16,"")</f>
        <v/>
      </c>
      <c r="G52" s="36">
        <f>IFERROR((IF(COUNT('연간'!J49:M49)&lt;4,"",SUM('연간'!J49:M49)))/G16,"")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IFERROR((IF(COUNT('연간'!F22:I22)&lt;4,"",SUM('연간'!F22:I22)))*(1-0.3)/(C35+C29),"")</f>
        <v/>
      </c>
      <c r="D53" s="36">
        <f>IFERROR((IF(COUNT('연간'!G22:J22)&lt;4,"",SUM('연간'!G22:J22)))*(1-0.3)/(D35+D29),"")</f>
        <v/>
      </c>
      <c r="E53" s="36">
        <f>IFERROR((IF(COUNT('연간'!H22:K22)&lt;4,"",SUM('연간'!H22:K22)))*(1-0.3)/(E35+E29),"")</f>
        <v/>
      </c>
      <c r="F53" s="36">
        <f>IFERROR((IF(COUNT('연간'!I22:L22)&lt;4,"",SUM('연간'!I22:L22)))*(1-0.3)/(F35+F29),"")</f>
        <v/>
      </c>
      <c r="G53" s="36">
        <f>IFERROR((IF(COUNT('연간'!J22:M22)&lt;4,"",SUM('연간'!J22:M22)))*(1-0.3)/(G35+G29),"")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IFERROR((IF(COUNT('연간'!F18:I18)&lt;4,"",SUM('연간'!F18:I18)))/(IF(COUNT('연간'!F4:I4)&lt;4,"",SUM('연간'!F4:I4))),"")</f>
        <v/>
      </c>
      <c r="D54" s="36">
        <f>IFERROR((IF(COUNT('연간'!G18:J18)&lt;4,"",SUM('연간'!G18:J18)))/(IF(COUNT('연간'!G4:J4)&lt;4,"",SUM('연간'!G4:J4))),"")</f>
        <v/>
      </c>
      <c r="E54" s="36">
        <f>IFERROR((IF(COUNT('연간'!H18:K18)&lt;4,"",SUM('연간'!H18:K18)))/(IF(COUNT('연간'!H4:K4)&lt;4,"",SUM('연간'!H4:K4))),"")</f>
        <v/>
      </c>
      <c r="F54" s="36">
        <f>IFERROR((IF(COUNT('연간'!I18:L18)&lt;4,"",SUM('연간'!I18:L18)))/(IF(COUNT('연간'!I4:L4)&lt;4,"",SUM('연간'!I4:L4))),"")</f>
        <v/>
      </c>
      <c r="G54" s="36">
        <f>IFERROR((IF(COUNT('연간'!J18:M18)&lt;4,"",SUM('연간'!J18:M18)))/(IF(COUNT('연간'!J4:M4)&lt;4,"",SUM('연간'!J4:M4))),"")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IFERROR((IF(COUNT('연간'!F22:I22)&lt;4,"",SUM('연간'!F22:I22)))/(IF(COUNT('연간'!F4:I4)&lt;4,"",SUM('연간'!F4:I4))),"")</f>
        <v/>
      </c>
      <c r="D55" s="36">
        <f>IFERROR((IF(COUNT('연간'!G22:J22)&lt;4,"",SUM('연간'!G22:J22)))/(IF(COUNT('연간'!G4:J4)&lt;4,"",SUM('연간'!G4:J4))),"")</f>
        <v/>
      </c>
      <c r="E55" s="36">
        <f>IFERROR((IF(COUNT('연간'!H22:K22)&lt;4,"",SUM('연간'!H22:K22)))/(IF(COUNT('연간'!H4:K4)&lt;4,"",SUM('연간'!H4:K4))),"")</f>
        <v/>
      </c>
      <c r="F55" s="36">
        <f>IFERROR((IF(COUNT('연간'!I22:L22)&lt;4,"",SUM('연간'!I22:L22)))/(IF(COUNT('연간'!I4:L4)&lt;4,"",SUM('연간'!I4:L4))),"")</f>
        <v/>
      </c>
      <c r="G55" s="36">
        <f>IFERROR((IF(COUNT('연간'!J22:M22)&lt;4,"",SUM('연간'!J22:M22)))/(IF(COUNT('연간'!J4:M4)&lt;4,"",SUM('연간'!J4:M4))),"")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IFERROR((IF(COUNT('연간'!F49:I49)&lt;4,"",SUM('연간'!F49:I49)))/(IF(COUNT('연간'!F4:I4)&lt;4,"",SUM('연간'!F4:I4))),"")</f>
        <v/>
      </c>
      <c r="D56" s="36">
        <f>IFERROR((IF(COUNT('연간'!G49:J49)&lt;4,"",SUM('연간'!G49:J49)))/(IF(COUNT('연간'!G4:J4)&lt;4,"",SUM('연간'!G4:J4))),"")</f>
        <v/>
      </c>
      <c r="E56" s="36">
        <f>IFERROR((IF(COUNT('연간'!H49:K49)&lt;4,"",SUM('연간'!H49:K49)))/(IF(COUNT('연간'!H4:K4)&lt;4,"",SUM('연간'!H4:K4))),"")</f>
        <v/>
      </c>
      <c r="F56" s="36">
        <f>IFERROR((IF(COUNT('연간'!I49:L49)&lt;4,"",SUM('연간'!I49:L49)))/(IF(COUNT('연간'!I4:L4)&lt;4,"",SUM('연간'!I4:L4))),"")</f>
        <v/>
      </c>
      <c r="G56" s="36">
        <f>IFERROR((IF(COUNT('연간'!J49:M49)&lt;4,"",SUM('연간'!J49:M49)))/(IF(COUNT('연간'!J4:M4)&lt;4,"",SUM('연간'!J4:M4))),"")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IFERROR((IF(COUNT('연간'!F4:I4)&lt;4,"",SUM('연간'!F4:I4)))/C16,"")</f>
        <v/>
      </c>
      <c r="D58" s="31">
        <f>IFERROR((IF(COUNT('연간'!G4:J4)&lt;4,"",SUM('연간'!G4:J4)))/D16,"")</f>
        <v/>
      </c>
      <c r="E58" s="31">
        <f>IFERROR((IF(COUNT('연간'!H4:K4)&lt;4,"",SUM('연간'!H4:K4)))/E16,"")</f>
        <v/>
      </c>
      <c r="F58" s="31">
        <f>IFERROR((IF(COUNT('연간'!I4:L4)&lt;4,"",SUM('연간'!I4:L4)))/F16,"")</f>
        <v/>
      </c>
      <c r="G58" s="31">
        <f>IFERROR((IF(COUNT('연간'!J4:M4)&lt;4,"",SUM('연간'!J4:M4)))/G16,"")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IFERROR(C8/(IF(COUNT('연간'!F4:I4)&lt;4,"",SUM('연간'!F4:I4)))*365,"")</f>
        <v/>
      </c>
      <c r="D59" s="49">
        <f>IFERROR(D8/(IF(COUNT('연간'!G4:J4)&lt;4,"",SUM('연간'!G4:J4)))*365,"")</f>
        <v/>
      </c>
      <c r="E59" s="49">
        <f>IFERROR(E8/(IF(COUNT('연간'!H4:K4)&lt;4,"",SUM('연간'!H4:K4)))*365,"")</f>
        <v/>
      </c>
      <c r="F59" s="49">
        <f>IFERROR(F8/(IF(COUNT('연간'!I4:L4)&lt;4,"",SUM('연간'!I4:L4)))*365,"")</f>
        <v/>
      </c>
      <c r="G59" s="49">
        <f>IFERROR(G8/(IF(COUNT('연간'!J4:M4)&lt;4,"",SUM('연간'!J4:M4)))*365,"")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IFERROR(C9/(IF(COUNT('연간'!F17:I17)&lt;4,"",SUM('연간'!F17:I17)))*365,"")</f>
        <v/>
      </c>
      <c r="D60" s="49">
        <f>IFERROR(D9/(IF(COUNT('연간'!G17:J17)&lt;4,"",SUM('연간'!G17:J17)))*365,"")</f>
        <v/>
      </c>
      <c r="E60" s="49">
        <f>IFERROR(E9/(IF(COUNT('연간'!H17:K17)&lt;4,"",SUM('연간'!H17:K17)))*365,"")</f>
        <v/>
      </c>
      <c r="F60" s="49">
        <f>IFERROR(F9/(IF(COUNT('연간'!I17:L17)&lt;4,"",SUM('연간'!I17:L17)))*365,"")</f>
        <v/>
      </c>
      <c r="G60" s="49">
        <f>IFERROR(G9/(IF(COUNT('연간'!J17:M17)&lt;4,"",SUM('연간'!J17:M17)))*365,"")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IFERROR(C19/(IF(COUNT('연간'!F17:I17)&lt;4,"",SUM('연간'!F17:I17)))*365,"")</f>
        <v/>
      </c>
      <c r="D61" s="49">
        <f>IFERROR(D19/(IF(COUNT('연간'!G17:J17)&lt;4,"",SUM('연간'!G17:J17)))*365,"")</f>
        <v/>
      </c>
      <c r="E61" s="49">
        <f>IFERROR(E19/(IF(COUNT('연간'!H17:K17)&lt;4,"",SUM('연간'!H17:K17)))*365,"")</f>
        <v/>
      </c>
      <c r="F61" s="49">
        <f>IFERROR(F19/(IF(COUNT('연간'!I17:L17)&lt;4,"",SUM('연간'!I17:L17)))*365,"")</f>
        <v/>
      </c>
      <c r="G61" s="49">
        <f>IFERROR(G19/(IF(COUNT('연간'!J17:M17)&lt;4,"",SUM('연간'!J17:M17)))*365,"")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IF(C37="","",IFERROR(C37/(IF(COUNT('연간'!F49:I49)&lt;4,"",SUM('연간'!F49:I49))),""))</f>
        <v/>
      </c>
      <c r="D64" s="31">
        <f>IF(D37="","",IFERROR(D37/(IF(COUNT('연간'!G49:J49)&lt;4,"",SUM('연간'!G49:J49))),""))</f>
        <v/>
      </c>
      <c r="E64" s="31">
        <f>IF(E37="","",IFERROR(E37/(IF(COUNT('연간'!H49:K49)&lt;4,"",SUM('연간'!H49:K49))),""))</f>
        <v/>
      </c>
      <c r="F64" s="31">
        <f>IF(F37="","",IFERROR(F37/(IF(COUNT('연간'!I49:L49)&lt;4,"",SUM('연간'!I49:L49))),""))</f>
        <v/>
      </c>
      <c r="G64" s="31">
        <f>IF(G37="","",IFERROR(G37/(IF(COUNT('연간'!J49:M49)&lt;4,"",SUM('연간'!J49:M49))),""))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IF(C39="","",IFERROR(C39/(IF(COUNT('연간'!F4:I4)&lt;4,"",SUM('연간'!F4:I4))),""))</f>
        <v/>
      </c>
      <c r="D65" s="36">
        <f>IF(D39="","",IFERROR(D39/(IF(COUNT('연간'!G4:J4)&lt;4,"",SUM('연간'!G4:J4))),""))</f>
        <v/>
      </c>
      <c r="E65" s="36">
        <f>IF(E39="","",IFERROR(E39/(IF(COUNT('연간'!H4:K4)&lt;4,"",SUM('연간'!H4:K4))),""))</f>
        <v/>
      </c>
      <c r="F65" s="36">
        <f>IF(F39="","",IFERROR(F39/(IF(COUNT('연간'!I4:L4)&lt;4,"",SUM('연간'!I4:L4))),""))</f>
        <v/>
      </c>
      <c r="G65" s="36">
        <f>IF(G39="","",IFERROR(G39/(IF(COUNT('연간'!J4:M4)&lt;4,"",SUM('연간'!J4:M4))),""))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IF(C38="","",IFERROR(C38/(IF(COUNT('연간'!F4:I4)&lt;4,"",SUM('연간'!F4:I4))),""))</f>
        <v/>
      </c>
      <c r="D66" s="36">
        <f>IF(D38="","",IFERROR(D38/(IF(COUNT('연간'!G4:J4)&lt;4,"",SUM('연간'!G4:J4))),""))</f>
        <v/>
      </c>
      <c r="E66" s="36">
        <f>IF(E38="","",IFERROR(E38/(IF(COUNT('연간'!H4:K4)&lt;4,"",SUM('연간'!H4:K4))),""))</f>
        <v/>
      </c>
      <c r="F66" s="36">
        <f>IF(F38="","",IFERROR(F38/(IF(COUNT('연간'!I4:L4)&lt;4,"",SUM('연간'!I4:L4))),""))</f>
        <v/>
      </c>
      <c r="G66" s="36">
        <f>IF(G38="","",IFERROR(G38/(IF(COUNT('연간'!J4:M4)&lt;4,"",SUM('연간'!J4:M4))),""))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IF(C40="","",IFERROR(C40/(IF(COUNT('연간'!F50:I50)&lt;4,"",SUM('연간'!F50:I50))),""))</f>
        <v/>
      </c>
      <c r="D67" s="36">
        <f>IF(D40="","",IFERROR(D40/(IF(COUNT('연간'!G50:J50)&lt;4,"",SUM('연간'!G50:J50))),""))</f>
        <v/>
      </c>
      <c r="E67" s="36">
        <f>IF(E40="","",IFERROR(E40/(IF(COUNT('연간'!H50:K50)&lt;4,"",SUM('연간'!H50:K50))),""))</f>
        <v/>
      </c>
      <c r="F67" s="36">
        <f>IF(F40="","",IFERROR(F40/(IF(COUNT('연간'!I50:L50)&lt;4,"",SUM('연간'!I50:L50))),""))</f>
        <v/>
      </c>
      <c r="G67" s="36">
        <f>IF(G40="","",IFERROR(G40/(IF(COUNT('연간'!J50:M50)&lt;4,"",SUM('연간'!J50:M50))),""))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2026.3Q</t>
        </is>
      </c>
      <c r="D70" s="5" t="inlineStr">
        <is>
          <t>2026.4Q</t>
        </is>
      </c>
      <c r="E70" s="5" t="inlineStr">
        <is>
          <t>2027.1Q</t>
        </is>
      </c>
      <c r="F70" s="5" t="inlineStr">
        <is>
          <t>2027.2Q</t>
        </is>
      </c>
      <c r="G70" s="5" t="inlineStr">
        <is>
          <t>2027.3Q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21234</v>
      </c>
      <c r="D71" s="20" t="n">
        <v>20458</v>
      </c>
      <c r="E71" s="20" t="n">
        <v>21728</v>
      </c>
      <c r="F71" s="20" t="n">
        <v>20761</v>
      </c>
      <c r="G71" s="20" t="n">
        <v>21024</v>
      </c>
      <c r="H71" s="20" t="n">
        <v>22115</v>
      </c>
      <c r="I71" s="20" t="n">
        <v>17787</v>
      </c>
      <c r="J71" s="20" t="n">
        <v>19010</v>
      </c>
      <c r="K71" s="20" t="n">
        <v>20458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6979</v>
      </c>
      <c r="D73" s="20" t="n">
        <v>7510</v>
      </c>
      <c r="E73" s="20" t="n">
        <v>6548</v>
      </c>
      <c r="F73" s="20" t="n">
        <v>7235</v>
      </c>
      <c r="G73" s="20" t="n">
        <v>7298</v>
      </c>
      <c r="H73" s="20" t="n">
        <v>8184</v>
      </c>
      <c r="I73" s="20" t="n">
        <v>8941</v>
      </c>
      <c r="J73" s="20" t="n">
        <v>8154</v>
      </c>
      <c r="K73" s="20" t="n">
        <v>7510</v>
      </c>
    </row>
    <row r="74">
      <c r="A74" s="18" t="inlineStr">
        <is>
          <t>전자기록채권</t>
        </is>
      </c>
      <c r="C74" s="20" t="n">
        <v>5121</v>
      </c>
      <c r="D74" s="20" t="n">
        <v>5347</v>
      </c>
      <c r="E74" s="20" t="n">
        <v>5211</v>
      </c>
      <c r="F74" s="20" t="n">
        <v>5557</v>
      </c>
      <c r="G74" s="20" t="n">
        <v>5819</v>
      </c>
      <c r="H74" s="20" t="n">
        <v>4052</v>
      </c>
      <c r="I74" s="20" t="n">
        <v>4850</v>
      </c>
      <c r="J74" s="20" t="n">
        <v>5752</v>
      </c>
      <c r="K74" s="20" t="n">
        <v>5347</v>
      </c>
    </row>
    <row r="75">
      <c r="A75" s="18" t="inlineStr">
        <is>
          <t>상품·제품</t>
        </is>
      </c>
      <c r="C75" s="20" t="n">
        <v>4834</v>
      </c>
      <c r="D75" s="20" t="n">
        <v>4939</v>
      </c>
      <c r="E75" s="20" t="n">
        <v>5081</v>
      </c>
      <c r="F75" s="20" t="n">
        <v>5003</v>
      </c>
      <c r="G75" s="20" t="n">
        <v>5270</v>
      </c>
      <c r="H75" s="20" t="n">
        <v>4244</v>
      </c>
      <c r="I75" s="20" t="n">
        <v>4482</v>
      </c>
      <c r="J75" s="20" t="n">
        <v>4619</v>
      </c>
      <c r="K75" s="20" t="n">
        <v>4939</v>
      </c>
    </row>
    <row r="76">
      <c r="A76" s="18" t="inlineStr">
        <is>
          <t>원재료·저장품</t>
        </is>
      </c>
      <c r="C76" s="20" t="n">
        <v>1752</v>
      </c>
      <c r="D76" s="20" t="n">
        <v>1882</v>
      </c>
      <c r="E76" s="20" t="n">
        <v>1839</v>
      </c>
      <c r="F76" s="20" t="n">
        <v>2085</v>
      </c>
      <c r="G76" s="20" t="n">
        <v>2155</v>
      </c>
      <c r="H76" s="20" t="n">
        <v>1606</v>
      </c>
      <c r="I76" s="20" t="n">
        <v>1709</v>
      </c>
      <c r="J76" s="20" t="n">
        <v>1813</v>
      </c>
      <c r="K76" s="20" t="n">
        <v>1882</v>
      </c>
    </row>
    <row r="77">
      <c r="A77" s="18" t="inlineStr">
        <is>
          <t>유가증권</t>
        </is>
      </c>
      <c r="C77" s="20" t="n">
        <v>1525</v>
      </c>
      <c r="D77" s="20" t="n">
        <v>1499</v>
      </c>
      <c r="E77" s="20" t="n">
        <v>1513</v>
      </c>
      <c r="F77" s="20" t="n">
        <v>1498</v>
      </c>
      <c r="G77" s="20" t="n">
        <v>1497</v>
      </c>
      <c r="K77" s="20" t="n">
        <v>1499</v>
      </c>
    </row>
    <row r="78">
      <c r="A78" s="18" t="inlineStr">
        <is>
          <t>기타</t>
        </is>
      </c>
      <c r="C78" s="20" t="n">
        <v>1186</v>
      </c>
      <c r="D78" s="20" t="n">
        <v>1048</v>
      </c>
      <c r="E78" s="20" t="n">
        <v>1029</v>
      </c>
      <c r="F78" s="20" t="n">
        <v>1242</v>
      </c>
      <c r="G78" s="20" t="n">
        <v>1409</v>
      </c>
      <c r="H78" s="20" t="n">
        <v>1506</v>
      </c>
      <c r="I78" s="20" t="n">
        <v>1432</v>
      </c>
      <c r="J78" s="20" t="n">
        <v>2477</v>
      </c>
      <c r="K78" s="20" t="n">
        <v>1048</v>
      </c>
    </row>
    <row r="79">
      <c r="A79" s="18" t="inlineStr">
        <is>
          <t>대손충당금</t>
        </is>
      </c>
      <c r="C79" s="20" t="n">
        <v>-2</v>
      </c>
      <c r="D79" s="20" t="n">
        <v>-1</v>
      </c>
      <c r="E79" s="20" t="n">
        <v>-1</v>
      </c>
      <c r="F79" s="20" t="n">
        <v>-1</v>
      </c>
      <c r="G79" s="20" t="n">
        <v>-1</v>
      </c>
      <c r="H79" s="20" t="n">
        <v>-4</v>
      </c>
      <c r="I79" s="20" t="n">
        <v>-2</v>
      </c>
      <c r="J79" s="20" t="n">
        <v>-2</v>
      </c>
      <c r="K79" s="20" t="n">
        <v>-1</v>
      </c>
    </row>
    <row r="80">
      <c r="A80" s="9" t="inlineStr">
        <is>
          <t>유동자산 합계</t>
        </is>
      </c>
      <c r="C80" s="12" t="n">
        <v>42632</v>
      </c>
      <c r="D80" s="12" t="n">
        <v>42684</v>
      </c>
      <c r="E80" s="12" t="n">
        <v>42950</v>
      </c>
      <c r="F80" s="12" t="n">
        <v>43382</v>
      </c>
      <c r="G80" s="12" t="n">
        <v>44474</v>
      </c>
      <c r="H80" s="12" t="n">
        <v>41705</v>
      </c>
      <c r="I80" s="12" t="n">
        <v>39202</v>
      </c>
      <c r="J80" s="12" t="n">
        <v>41825</v>
      </c>
      <c r="K80" s="12" t="n">
        <v>42684</v>
      </c>
    </row>
    <row r="81">
      <c r="A81" s="18" t="inlineStr">
        <is>
          <t>건물·구축물</t>
        </is>
      </c>
      <c r="E81" s="20" t="n">
        <v>19138</v>
      </c>
    </row>
    <row r="82">
      <c r="A82" s="18" t="inlineStr">
        <is>
          <t>감가상각누계액</t>
        </is>
      </c>
      <c r="E82" s="20" t="n">
        <v>-14069</v>
      </c>
    </row>
    <row r="83">
      <c r="A83" s="18" t="inlineStr">
        <is>
          <t>건물·구축물(순액)</t>
        </is>
      </c>
      <c r="C83" s="20" t="n">
        <v>5169</v>
      </c>
      <c r="D83" s="20" t="n">
        <v>5112</v>
      </c>
      <c r="E83" s="20" t="n">
        <v>5068</v>
      </c>
      <c r="F83" s="20" t="n">
        <v>5008</v>
      </c>
      <c r="G83" s="20" t="n">
        <v>4935</v>
      </c>
      <c r="H83" s="20" t="n">
        <v>5193</v>
      </c>
      <c r="I83" s="20" t="n">
        <v>5379</v>
      </c>
      <c r="J83" s="20" t="n">
        <v>5201</v>
      </c>
      <c r="K83" s="20" t="n">
        <v>5112</v>
      </c>
    </row>
    <row r="84">
      <c r="A84" s="18" t="inlineStr">
        <is>
          <t>기계장치·운반구</t>
        </is>
      </c>
      <c r="E84" s="20" t="n">
        <v>21080</v>
      </c>
    </row>
    <row r="85">
      <c r="A85" s="18" t="inlineStr">
        <is>
          <t>감가상각누계액</t>
        </is>
      </c>
      <c r="E85" s="20" t="n">
        <v>-17327</v>
      </c>
    </row>
    <row r="86">
      <c r="A86" s="18" t="inlineStr">
        <is>
          <t>기계장치·운반구(순액)</t>
        </is>
      </c>
      <c r="C86" s="20" t="n">
        <v>3269</v>
      </c>
      <c r="D86" s="20" t="n">
        <v>3463</v>
      </c>
      <c r="E86" s="20" t="n">
        <v>3752</v>
      </c>
      <c r="F86" s="20" t="n">
        <v>3835</v>
      </c>
      <c r="G86" s="20" t="n">
        <v>3868</v>
      </c>
      <c r="H86" s="20" t="n">
        <v>2685</v>
      </c>
      <c r="I86" s="20" t="n">
        <v>2635</v>
      </c>
      <c r="J86" s="20" t="n">
        <v>3113</v>
      </c>
      <c r="K86" s="20" t="n">
        <v>3463</v>
      </c>
    </row>
    <row r="87">
      <c r="A87" s="18" t="inlineStr">
        <is>
          <t>토지</t>
        </is>
      </c>
      <c r="C87" s="20" t="n">
        <v>4617</v>
      </c>
      <c r="D87" s="20" t="n">
        <v>4617</v>
      </c>
      <c r="E87" s="20" t="n">
        <v>4617</v>
      </c>
      <c r="F87" s="20" t="n">
        <v>4617</v>
      </c>
      <c r="G87" s="20" t="n">
        <v>4617</v>
      </c>
      <c r="H87" s="20" t="n">
        <v>4643</v>
      </c>
      <c r="I87" s="20" t="n">
        <v>4643</v>
      </c>
      <c r="J87" s="20" t="n">
        <v>4617</v>
      </c>
      <c r="K87" s="20" t="n">
        <v>4617</v>
      </c>
    </row>
    <row r="88">
      <c r="A88" s="18" t="inlineStr">
        <is>
          <t>건설중인자산</t>
        </is>
      </c>
      <c r="C88" s="20" t="n">
        <v>985</v>
      </c>
      <c r="D88" s="20" t="n">
        <v>1013</v>
      </c>
      <c r="E88" s="20" t="n">
        <v>1061</v>
      </c>
      <c r="F88" s="20" t="n">
        <v>1010</v>
      </c>
      <c r="G88" s="20" t="n">
        <v>1148</v>
      </c>
      <c r="H88" s="20" t="n">
        <v>677</v>
      </c>
      <c r="I88" s="20" t="n">
        <v>663</v>
      </c>
      <c r="J88" s="20" t="n">
        <v>670</v>
      </c>
      <c r="K88" s="20" t="n">
        <v>1013</v>
      </c>
    </row>
    <row r="89">
      <c r="A89" s="18" t="inlineStr">
        <is>
          <t>기타</t>
        </is>
      </c>
      <c r="E89" s="20" t="n">
        <v>24661</v>
      </c>
    </row>
    <row r="90">
      <c r="A90" s="18" t="inlineStr">
        <is>
          <t>감가상각누계액</t>
        </is>
      </c>
      <c r="E90" s="20" t="n">
        <v>-23617</v>
      </c>
    </row>
    <row r="91">
      <c r="A91" s="18" t="inlineStr">
        <is>
          <t>기타(순액)</t>
        </is>
      </c>
      <c r="C91" s="20" t="n">
        <v>979</v>
      </c>
      <c r="D91" s="20" t="n">
        <v>1022</v>
      </c>
      <c r="E91" s="20" t="n">
        <v>1043</v>
      </c>
      <c r="F91" s="20" t="n">
        <v>1145</v>
      </c>
      <c r="G91" s="20" t="n">
        <v>1279</v>
      </c>
      <c r="H91" s="20" t="n">
        <v>674</v>
      </c>
      <c r="I91" s="20" t="n">
        <v>850</v>
      </c>
      <c r="J91" s="20" t="n">
        <v>812</v>
      </c>
      <c r="K91" s="20" t="n">
        <v>1022</v>
      </c>
    </row>
    <row r="92">
      <c r="A92" s="18" t="inlineStr">
        <is>
          <t>유형자산 합계</t>
        </is>
      </c>
      <c r="C92" s="20" t="n">
        <v>15020</v>
      </c>
      <c r="D92" s="20" t="n">
        <v>15229</v>
      </c>
      <c r="E92" s="20" t="n">
        <v>15544</v>
      </c>
      <c r="F92" s="20" t="n">
        <v>15617</v>
      </c>
      <c r="G92" s="20" t="n">
        <v>15849</v>
      </c>
      <c r="H92" s="20" t="n">
        <v>13875</v>
      </c>
      <c r="I92" s="20" t="n">
        <v>14172</v>
      </c>
      <c r="J92" s="20" t="n">
        <v>14416</v>
      </c>
      <c r="K92" s="20" t="n">
        <v>15229</v>
      </c>
    </row>
    <row r="93">
      <c r="A93" s="18" t="inlineStr">
        <is>
          <t>무형자산</t>
        </is>
      </c>
      <c r="C93" s="20" t="n">
        <v>184</v>
      </c>
      <c r="D93" s="20" t="n">
        <v>256</v>
      </c>
      <c r="E93" s="20" t="n">
        <v>340</v>
      </c>
      <c r="F93" s="20" t="n">
        <v>361</v>
      </c>
      <c r="G93" s="20" t="n">
        <v>367</v>
      </c>
      <c r="H93" s="20" t="n">
        <v>156</v>
      </c>
      <c r="I93" s="20" t="n">
        <v>129</v>
      </c>
      <c r="J93" s="20" t="n">
        <v>190</v>
      </c>
      <c r="K93" s="20" t="n">
        <v>256</v>
      </c>
    </row>
    <row r="94">
      <c r="A94" s="18" t="inlineStr">
        <is>
          <t>투자유가증권</t>
        </is>
      </c>
      <c r="C94" s="20" t="n">
        <v>1805</v>
      </c>
      <c r="D94" s="20" t="n">
        <v>2007</v>
      </c>
      <c r="E94" s="20" t="n">
        <v>2214</v>
      </c>
      <c r="F94" s="20" t="n">
        <v>2476</v>
      </c>
      <c r="G94" s="20" t="n">
        <v>2700</v>
      </c>
      <c r="H94" s="20" t="n">
        <v>1055</v>
      </c>
      <c r="I94" s="20" t="n">
        <v>1503</v>
      </c>
      <c r="J94" s="20" t="n">
        <v>1726</v>
      </c>
      <c r="K94" s="20" t="n">
        <v>2007</v>
      </c>
    </row>
    <row r="95">
      <c r="A95" s="18" t="inlineStr">
        <is>
          <t>이연법인세자산</t>
        </is>
      </c>
      <c r="C95" s="20" t="n">
        <v>1031</v>
      </c>
      <c r="D95" s="20" t="n">
        <v>708</v>
      </c>
      <c r="E95" s="20" t="n">
        <v>708</v>
      </c>
      <c r="F95" s="20" t="n">
        <v>610</v>
      </c>
      <c r="G95" s="20" t="n">
        <v>627</v>
      </c>
      <c r="H95" s="20" t="n">
        <v>1050</v>
      </c>
      <c r="I95" s="20" t="n">
        <v>971</v>
      </c>
      <c r="J95" s="20" t="n">
        <v>894</v>
      </c>
      <c r="K95" s="20" t="n">
        <v>708</v>
      </c>
    </row>
    <row r="96">
      <c r="A96" s="18" t="inlineStr">
        <is>
          <t>퇴직급여자산</t>
        </is>
      </c>
      <c r="C96" s="20" t="n">
        <v>1974</v>
      </c>
      <c r="D96" s="20" t="n">
        <v>1977</v>
      </c>
      <c r="E96" s="20" t="n">
        <v>2511</v>
      </c>
      <c r="F96" s="20" t="n">
        <v>2511</v>
      </c>
      <c r="G96" s="20" t="n">
        <v>2509</v>
      </c>
      <c r="H96" s="20" t="n">
        <v>1033</v>
      </c>
      <c r="I96" s="20" t="n">
        <v>1288</v>
      </c>
      <c r="J96" s="20" t="n">
        <v>1686</v>
      </c>
      <c r="K96" s="20" t="n">
        <v>1977</v>
      </c>
    </row>
    <row r="97">
      <c r="A97" s="18" t="inlineStr">
        <is>
          <t>장기예금</t>
        </is>
      </c>
      <c r="C97" s="20" t="n">
        <v>4000</v>
      </c>
      <c r="D97" s="20" t="n">
        <v>4000</v>
      </c>
      <c r="E97" s="20" t="n">
        <v>4000</v>
      </c>
      <c r="F97" s="20" t="n">
        <v>4000</v>
      </c>
      <c r="G97" s="20" t="n">
        <v>4000</v>
      </c>
      <c r="H97" s="20" t="n">
        <v>4000</v>
      </c>
      <c r="I97" s="20" t="n">
        <v>4000</v>
      </c>
      <c r="J97" s="20" t="n">
        <v>4000</v>
      </c>
      <c r="K97" s="20" t="n">
        <v>4000</v>
      </c>
    </row>
    <row r="98">
      <c r="A98" s="18" t="inlineStr">
        <is>
          <t>기타</t>
        </is>
      </c>
      <c r="C98" s="20" t="n">
        <v>488</v>
      </c>
      <c r="D98" s="20" t="n">
        <v>538</v>
      </c>
      <c r="E98" s="20" t="n">
        <v>527</v>
      </c>
      <c r="F98" s="20" t="n">
        <v>466</v>
      </c>
      <c r="G98" s="20" t="n">
        <v>547</v>
      </c>
      <c r="H98" s="20" t="n">
        <v>512</v>
      </c>
      <c r="I98" s="20" t="n">
        <v>490</v>
      </c>
      <c r="J98" s="20" t="n">
        <v>472</v>
      </c>
      <c r="K98" s="20" t="n">
        <v>538</v>
      </c>
    </row>
    <row r="99">
      <c r="A99" s="18" t="inlineStr">
        <is>
          <t>대손충당금</t>
        </is>
      </c>
      <c r="C99" s="20" t="n">
        <v>-102</v>
      </c>
      <c r="D99" s="20" t="n">
        <v>-102</v>
      </c>
      <c r="E99" s="20" t="n">
        <v>-100</v>
      </c>
      <c r="F99" s="20" t="n">
        <v>-101</v>
      </c>
      <c r="G99" s="20" t="n">
        <v>-100</v>
      </c>
      <c r="H99" s="20" t="n">
        <v>-103</v>
      </c>
      <c r="I99" s="20" t="n">
        <v>-100</v>
      </c>
      <c r="J99" s="20" t="n">
        <v>-99</v>
      </c>
      <c r="K99" s="20" t="n">
        <v>-102</v>
      </c>
    </row>
    <row r="100">
      <c r="A100" s="18" t="inlineStr">
        <is>
          <t>투자 및 기타자산 합계</t>
        </is>
      </c>
      <c r="C100" s="20" t="n">
        <v>9197</v>
      </c>
      <c r="D100" s="20" t="n">
        <v>9128</v>
      </c>
      <c r="E100" s="20" t="n">
        <v>9862</v>
      </c>
      <c r="F100" s="20" t="n">
        <v>9964</v>
      </c>
      <c r="G100" s="20" t="n">
        <v>10284</v>
      </c>
      <c r="H100" s="20" t="n">
        <v>7548</v>
      </c>
      <c r="I100" s="20" t="n">
        <v>8154</v>
      </c>
      <c r="J100" s="20" t="n">
        <v>8680</v>
      </c>
      <c r="K100" s="20" t="n">
        <v>9128</v>
      </c>
    </row>
    <row r="101">
      <c r="A101" s="9" t="inlineStr">
        <is>
          <t>비유동자산 합계</t>
        </is>
      </c>
      <c r="C101" s="12" t="n">
        <v>24402</v>
      </c>
      <c r="D101" s="12" t="n">
        <v>24615</v>
      </c>
      <c r="E101" s="12" t="n">
        <v>25746</v>
      </c>
      <c r="F101" s="12" t="n">
        <v>25942</v>
      </c>
      <c r="G101" s="12" t="n">
        <v>26501</v>
      </c>
      <c r="H101" s="12" t="n">
        <v>21579</v>
      </c>
      <c r="I101" s="12" t="n">
        <v>22456</v>
      </c>
      <c r="J101" s="12" t="n">
        <v>23286</v>
      </c>
      <c r="K101" s="12" t="n">
        <v>24615</v>
      </c>
    </row>
    <row r="102">
      <c r="A102" s="9" t="inlineStr">
        <is>
          <t>자산 합계</t>
        </is>
      </c>
      <c r="C102" s="12" t="n">
        <v>67034</v>
      </c>
      <c r="D102" s="12" t="n">
        <v>67300</v>
      </c>
      <c r="E102" s="12" t="n">
        <v>68697</v>
      </c>
      <c r="F102" s="12" t="n">
        <v>69325</v>
      </c>
      <c r="G102" s="12" t="n">
        <v>70976</v>
      </c>
      <c r="H102" s="12" t="n">
        <v>63285</v>
      </c>
      <c r="I102" s="12" t="n">
        <v>61658</v>
      </c>
      <c r="J102" s="12" t="n">
        <v>65112</v>
      </c>
      <c r="K102" s="12" t="n">
        <v>67300</v>
      </c>
    </row>
    <row r="103">
      <c r="A103" s="18" t="inlineStr">
        <is>
          <t>지급어음·매입채무</t>
        </is>
      </c>
      <c r="C103" s="20" t="n">
        <v>3055</v>
      </c>
      <c r="D103" s="20" t="n">
        <v>3215</v>
      </c>
      <c r="E103" s="20" t="n">
        <v>2592</v>
      </c>
      <c r="F103" s="20" t="n">
        <v>3465</v>
      </c>
      <c r="G103" s="20" t="n">
        <v>3344</v>
      </c>
      <c r="H103" s="20" t="n">
        <v>3491</v>
      </c>
      <c r="I103" s="20" t="n">
        <v>3111</v>
      </c>
      <c r="J103" s="20" t="n">
        <v>3411</v>
      </c>
      <c r="K103" s="20" t="n">
        <v>3215</v>
      </c>
    </row>
    <row r="104">
      <c r="A104" s="18" t="inlineStr">
        <is>
          <t>전자기록채무</t>
        </is>
      </c>
      <c r="C104" s="20" t="n">
        <v>1649</v>
      </c>
      <c r="D104" s="20" t="n">
        <v>1830</v>
      </c>
      <c r="E104" s="20" t="n">
        <v>1777</v>
      </c>
      <c r="F104" s="20" t="n">
        <v>1474</v>
      </c>
      <c r="G104" s="20" t="n">
        <v>1236</v>
      </c>
      <c r="H104" s="20" t="n">
        <v>4238</v>
      </c>
      <c r="I104" s="20" t="n">
        <v>1701</v>
      </c>
      <c r="J104" s="20" t="n">
        <v>1800</v>
      </c>
      <c r="K104" s="20" t="n">
        <v>1830</v>
      </c>
    </row>
    <row r="105">
      <c r="A105" s="18" t="inlineStr">
        <is>
          <t>단기차입금</t>
        </is>
      </c>
      <c r="C105" s="20" t="n">
        <v>85</v>
      </c>
      <c r="D105" s="20" t="n">
        <v>267</v>
      </c>
      <c r="E105" s="20" t="n">
        <v>40</v>
      </c>
      <c r="F105" s="20" t="n">
        <v>85</v>
      </c>
      <c r="G105" s="20" t="n">
        <v>120</v>
      </c>
      <c r="H105" s="20" t="n">
        <v>225</v>
      </c>
      <c r="I105" s="20" t="n">
        <v>220</v>
      </c>
      <c r="J105" s="20" t="n">
        <v>237</v>
      </c>
      <c r="K105" s="20" t="n">
        <v>267</v>
      </c>
    </row>
    <row r="106">
      <c r="A106" s="18" t="inlineStr">
        <is>
          <t>1년 내 상환 장기차입금</t>
        </is>
      </c>
      <c r="C106" s="20" t="n">
        <v>202</v>
      </c>
      <c r="D106" s="20" t="n">
        <v>163</v>
      </c>
      <c r="E106" s="20" t="n">
        <v>124</v>
      </c>
      <c r="F106" s="20" t="n">
        <v>364</v>
      </c>
      <c r="G106" s="20" t="n">
        <v>311</v>
      </c>
      <c r="H106" s="20" t="n">
        <v>236</v>
      </c>
      <c r="I106" s="20" t="n">
        <v>171</v>
      </c>
      <c r="J106" s="20" t="n">
        <v>153</v>
      </c>
      <c r="K106" s="20" t="n">
        <v>163</v>
      </c>
    </row>
    <row r="107">
      <c r="A107" s="18" t="inlineStr">
        <is>
          <t>미지급법인세</t>
        </is>
      </c>
      <c r="C107" s="20" t="n">
        <v>1105</v>
      </c>
      <c r="D107" s="20" t="n">
        <v>377</v>
      </c>
      <c r="E107" s="20" t="n">
        <v>1027</v>
      </c>
      <c r="F107" s="20" t="n">
        <v>447</v>
      </c>
      <c r="G107" s="20" t="n">
        <v>1274</v>
      </c>
      <c r="H107" s="20" t="n">
        <v>342</v>
      </c>
      <c r="I107" s="20" t="n">
        <v>992</v>
      </c>
      <c r="J107" s="20" t="n">
        <v>560</v>
      </c>
      <c r="K107" s="20" t="n">
        <v>377</v>
      </c>
    </row>
    <row r="108">
      <c r="A108" s="18" t="inlineStr">
        <is>
          <t>상여충당금</t>
        </is>
      </c>
      <c r="D108" s="20" t="n">
        <v>453</v>
      </c>
      <c r="E108" s="20" t="n">
        <v>0</v>
      </c>
      <c r="F108" s="20" t="n">
        <v>490</v>
      </c>
      <c r="H108" s="20" t="n">
        <v>431</v>
      </c>
      <c r="I108" s="20" t="n">
        <v>432</v>
      </c>
      <c r="J108" s="20" t="n">
        <v>443</v>
      </c>
      <c r="K108" s="20" t="n">
        <v>453</v>
      </c>
    </row>
    <row r="109">
      <c r="A109" s="18" t="inlineStr">
        <is>
          <t>재해손실 충당금</t>
        </is>
      </c>
      <c r="E109" s="20" t="n">
        <v>0</v>
      </c>
      <c r="G109" s="20" t="n">
        <v>30</v>
      </c>
    </row>
    <row r="110">
      <c r="A110" s="18" t="inlineStr">
        <is>
          <t>기타</t>
        </is>
      </c>
      <c r="C110" s="20" t="n">
        <v>4307</v>
      </c>
      <c r="D110" s="20" t="n">
        <v>3485</v>
      </c>
      <c r="E110" s="20" t="n">
        <v>4127</v>
      </c>
      <c r="F110" s="20" t="n">
        <v>3832</v>
      </c>
      <c r="G110" s="20" t="n">
        <v>4252</v>
      </c>
      <c r="H110" s="20" t="n">
        <v>2700</v>
      </c>
      <c r="I110" s="20" t="n">
        <v>3291</v>
      </c>
      <c r="J110" s="20" t="n">
        <v>3629</v>
      </c>
      <c r="K110" s="20" t="n">
        <v>3485</v>
      </c>
    </row>
    <row r="111">
      <c r="A111" s="9" t="inlineStr">
        <is>
          <t>유동부채 합계</t>
        </is>
      </c>
      <c r="C111" s="12" t="n">
        <v>10404</v>
      </c>
      <c r="D111" s="12" t="n">
        <v>9792</v>
      </c>
      <c r="E111" s="12" t="n">
        <v>9688</v>
      </c>
      <c r="F111" s="12" t="n">
        <v>10159</v>
      </c>
      <c r="G111" s="12" t="n">
        <v>10569</v>
      </c>
      <c r="H111" s="12" t="n">
        <v>11666</v>
      </c>
      <c r="I111" s="12" t="n">
        <v>9921</v>
      </c>
      <c r="J111" s="12" t="n">
        <v>10236</v>
      </c>
      <c r="K111" s="12" t="n">
        <v>9792</v>
      </c>
    </row>
    <row r="112">
      <c r="A112" s="18" t="inlineStr">
        <is>
          <t>장기차입금</t>
        </is>
      </c>
      <c r="C112" s="20" t="n">
        <v>48</v>
      </c>
      <c r="D112" s="20" t="n">
        <v>31</v>
      </c>
      <c r="E112" s="20" t="n">
        <v>14</v>
      </c>
      <c r="F112" s="20" t="n">
        <v>80</v>
      </c>
      <c r="G112" s="20" t="n">
        <v>26</v>
      </c>
      <c r="H112" s="20" t="n">
        <v>37</v>
      </c>
      <c r="I112" s="20" t="n">
        <v>0</v>
      </c>
      <c r="J112" s="20" t="n">
        <v>77</v>
      </c>
      <c r="K112" s="20" t="n">
        <v>31</v>
      </c>
    </row>
    <row r="113">
      <c r="A113" s="18" t="inlineStr">
        <is>
          <t>이연법인세부채</t>
        </is>
      </c>
      <c r="E113" s="20" t="n">
        <v>0</v>
      </c>
      <c r="F113" s="20" t="n">
        <v>183</v>
      </c>
      <c r="G113" s="20" t="n">
        <v>76</v>
      </c>
    </row>
    <row r="114">
      <c r="A114" s="18" t="inlineStr">
        <is>
          <t>재평가 관련 이연법인세부채</t>
        </is>
      </c>
      <c r="C114" s="20" t="n">
        <v>62</v>
      </c>
      <c r="D114" s="20" t="n">
        <v>62</v>
      </c>
      <c r="E114" s="20" t="n">
        <v>62</v>
      </c>
      <c r="F114" s="20" t="n">
        <v>62</v>
      </c>
      <c r="G114" s="20" t="n">
        <v>62</v>
      </c>
      <c r="H114" s="20" t="n">
        <v>60</v>
      </c>
      <c r="I114" s="20" t="n">
        <v>60</v>
      </c>
      <c r="J114" s="20" t="n">
        <v>60</v>
      </c>
      <c r="K114" s="20" t="n">
        <v>62</v>
      </c>
    </row>
    <row r="115">
      <c r="A115" s="18" t="inlineStr">
        <is>
          <t>주식 지급 충당금</t>
        </is>
      </c>
      <c r="C115" s="20" t="n">
        <v>1224</v>
      </c>
      <c r="D115" s="20" t="n">
        <v>1234</v>
      </c>
      <c r="E115" s="20" t="n">
        <v>1247</v>
      </c>
      <c r="F115" s="20" t="n">
        <v>1245</v>
      </c>
      <c r="G115" s="20" t="n">
        <v>1241</v>
      </c>
      <c r="H115" s="20" t="n">
        <v>1125</v>
      </c>
      <c r="I115" s="20" t="n">
        <v>1173</v>
      </c>
      <c r="J115" s="20" t="n">
        <v>1200</v>
      </c>
      <c r="K115" s="20" t="n">
        <v>1234</v>
      </c>
    </row>
    <row r="116">
      <c r="A116" s="18" t="inlineStr">
        <is>
          <t>임원 주식 지급 충당금</t>
        </is>
      </c>
      <c r="C116" s="20" t="n">
        <v>75</v>
      </c>
      <c r="D116" s="20" t="n">
        <v>84</v>
      </c>
      <c r="E116" s="20" t="n">
        <v>93</v>
      </c>
      <c r="F116" s="20" t="n">
        <v>103</v>
      </c>
      <c r="G116" s="20" t="n">
        <v>112</v>
      </c>
      <c r="I116" s="20" t="n">
        <v>15</v>
      </c>
      <c r="J116" s="20" t="n">
        <v>48</v>
      </c>
      <c r="K116" s="20" t="n">
        <v>84</v>
      </c>
    </row>
    <row r="117">
      <c r="A117" s="18" t="inlineStr">
        <is>
          <t>임원 퇴직위로 충당금</t>
        </is>
      </c>
      <c r="C117" s="20" t="n">
        <v>111</v>
      </c>
      <c r="D117" s="20" t="n">
        <v>114</v>
      </c>
      <c r="E117" s="20" t="n">
        <v>118</v>
      </c>
      <c r="F117" s="20" t="n">
        <v>94</v>
      </c>
      <c r="G117" s="20" t="n">
        <v>97</v>
      </c>
      <c r="H117" s="20" t="n">
        <v>91</v>
      </c>
      <c r="I117" s="20" t="n">
        <v>93</v>
      </c>
      <c r="J117" s="20" t="n">
        <v>107</v>
      </c>
      <c r="K117" s="20" t="n">
        <v>114</v>
      </c>
    </row>
    <row r="118">
      <c r="A118" s="18" t="inlineStr">
        <is>
          <t>퇴직급여부채</t>
        </is>
      </c>
      <c r="C118" s="20" t="n">
        <v>668</v>
      </c>
      <c r="D118" s="20" t="n">
        <v>680</v>
      </c>
      <c r="E118" s="20" t="n">
        <v>667</v>
      </c>
      <c r="F118" s="20" t="n">
        <v>680</v>
      </c>
      <c r="G118" s="20" t="n">
        <v>671</v>
      </c>
      <c r="H118" s="20" t="n">
        <v>680</v>
      </c>
      <c r="I118" s="20" t="n">
        <v>671</v>
      </c>
      <c r="J118" s="20" t="n">
        <v>689</v>
      </c>
      <c r="K118" s="20" t="n">
        <v>680</v>
      </c>
    </row>
    <row r="119">
      <c r="A119" s="18" t="inlineStr">
        <is>
          <t>기타</t>
        </is>
      </c>
      <c r="C119" s="20" t="n">
        <v>489</v>
      </c>
      <c r="D119" s="20" t="n">
        <v>465</v>
      </c>
      <c r="E119" s="20" t="n">
        <v>540</v>
      </c>
      <c r="F119" s="20" t="n">
        <v>527</v>
      </c>
      <c r="G119" s="20" t="n">
        <v>501</v>
      </c>
      <c r="H119" s="20" t="n">
        <v>464</v>
      </c>
      <c r="I119" s="20" t="n">
        <v>453</v>
      </c>
      <c r="J119" s="20" t="n">
        <v>441</v>
      </c>
      <c r="K119" s="20" t="n">
        <v>465</v>
      </c>
    </row>
    <row r="120">
      <c r="A120" s="9" t="inlineStr">
        <is>
          <t>비유동부채 합계</t>
        </is>
      </c>
      <c r="C120" s="12" t="n">
        <v>2680</v>
      </c>
      <c r="D120" s="12" t="n">
        <v>2674</v>
      </c>
      <c r="E120" s="12" t="n">
        <v>2745</v>
      </c>
      <c r="F120" s="12" t="n">
        <v>2977</v>
      </c>
      <c r="G120" s="12" t="n">
        <v>2791</v>
      </c>
      <c r="H120" s="12" t="n">
        <v>2460</v>
      </c>
      <c r="I120" s="12" t="n">
        <v>2468</v>
      </c>
      <c r="J120" s="12" t="n">
        <v>2625</v>
      </c>
      <c r="K120" s="12" t="n">
        <v>2674</v>
      </c>
    </row>
    <row r="121">
      <c r="A121" s="9" t="inlineStr">
        <is>
          <t>부채 합계</t>
        </is>
      </c>
      <c r="C121" s="12" t="n">
        <v>13085</v>
      </c>
      <c r="D121" s="12" t="n">
        <v>12466</v>
      </c>
      <c r="E121" s="12" t="n">
        <v>12434</v>
      </c>
      <c r="F121" s="12" t="n">
        <v>13137</v>
      </c>
      <c r="G121" s="12" t="n">
        <v>13360</v>
      </c>
      <c r="H121" s="12" t="n">
        <v>14126</v>
      </c>
      <c r="I121" s="12" t="n">
        <v>12390</v>
      </c>
      <c r="J121" s="12" t="n">
        <v>12861</v>
      </c>
      <c r="K121" s="12" t="n">
        <v>12466</v>
      </c>
    </row>
    <row r="122">
      <c r="A122" s="18" t="inlineStr">
        <is>
          <t>자본금</t>
        </is>
      </c>
      <c r="C122" s="20" t="n">
        <v>7067</v>
      </c>
      <c r="D122" s="20" t="n">
        <v>7067</v>
      </c>
      <c r="E122" s="20" t="n">
        <v>7067</v>
      </c>
      <c r="F122" s="20" t="n">
        <v>7067</v>
      </c>
      <c r="G122" s="20" t="n">
        <v>7067</v>
      </c>
      <c r="H122" s="20" t="n">
        <v>7067</v>
      </c>
      <c r="I122" s="20" t="n">
        <v>7067</v>
      </c>
      <c r="J122" s="20" t="n">
        <v>7067</v>
      </c>
      <c r="K122" s="20" t="n">
        <v>7067</v>
      </c>
    </row>
    <row r="123">
      <c r="A123" s="18" t="inlineStr">
        <is>
          <t>자본잉여금</t>
        </is>
      </c>
      <c r="C123" s="20" t="n">
        <v>9904</v>
      </c>
      <c r="D123" s="20" t="n">
        <v>9904</v>
      </c>
      <c r="E123" s="20" t="n">
        <v>9904</v>
      </c>
      <c r="F123" s="20" t="n">
        <v>9904</v>
      </c>
      <c r="G123" s="20" t="n">
        <v>9904</v>
      </c>
      <c r="H123" s="20" t="n">
        <v>9538</v>
      </c>
      <c r="I123" s="20" t="n">
        <v>9904</v>
      </c>
      <c r="J123" s="20" t="n">
        <v>9904</v>
      </c>
      <c r="K123" s="20" t="n">
        <v>9904</v>
      </c>
    </row>
    <row r="124">
      <c r="A124" s="18" t="inlineStr">
        <is>
          <t>이익잉여금</t>
        </is>
      </c>
      <c r="C124" s="20" t="n">
        <v>55165</v>
      </c>
      <c r="D124" s="20" t="n">
        <v>55921</v>
      </c>
      <c r="E124" s="20" t="n">
        <v>56806</v>
      </c>
      <c r="F124" s="20" t="n">
        <v>56550</v>
      </c>
      <c r="G124" s="20" t="n">
        <v>57817</v>
      </c>
      <c r="H124" s="20" t="n">
        <v>48167</v>
      </c>
      <c r="I124" s="20" t="n">
        <v>51303</v>
      </c>
      <c r="J124" s="20" t="n">
        <v>53804</v>
      </c>
      <c r="K124" s="20" t="n">
        <v>55921</v>
      </c>
    </row>
    <row r="125">
      <c r="A125" s="18" t="inlineStr">
        <is>
          <t>자기주식</t>
        </is>
      </c>
      <c r="C125" s="20" t="n">
        <v>-19780</v>
      </c>
      <c r="D125" s="20" t="n">
        <v>-19773</v>
      </c>
      <c r="E125" s="20" t="n">
        <v>-19769</v>
      </c>
      <c r="F125" s="20" t="n">
        <v>-19746</v>
      </c>
      <c r="G125" s="20" t="n">
        <v>-19721</v>
      </c>
      <c r="H125" s="20" t="n">
        <v>-15892</v>
      </c>
      <c r="I125" s="20" t="n">
        <v>-19856</v>
      </c>
      <c r="J125" s="20" t="n">
        <v>-19810</v>
      </c>
      <c r="K125" s="20" t="n">
        <v>-19773</v>
      </c>
    </row>
    <row r="126">
      <c r="A126" s="9" t="inlineStr">
        <is>
          <t>주주자본 합계</t>
        </is>
      </c>
      <c r="C126" s="12" t="n">
        <v>52356</v>
      </c>
      <c r="D126" s="12" t="n">
        <v>53120</v>
      </c>
      <c r="E126" s="12" t="n">
        <v>54008</v>
      </c>
      <c r="F126" s="12" t="n">
        <v>53775</v>
      </c>
      <c r="G126" s="12" t="n">
        <v>55067</v>
      </c>
      <c r="H126" s="12" t="n">
        <v>48881</v>
      </c>
      <c r="I126" s="12" t="n">
        <v>48418</v>
      </c>
      <c r="J126" s="12" t="n">
        <v>50966</v>
      </c>
      <c r="K126" s="12" t="n">
        <v>53120</v>
      </c>
    </row>
    <row r="127">
      <c r="A127" s="18" t="inlineStr">
        <is>
          <t>기타유가증권 평가차액</t>
        </is>
      </c>
      <c r="C127" s="20" t="n">
        <v>692</v>
      </c>
      <c r="D127" s="20" t="n">
        <v>812</v>
      </c>
      <c r="E127" s="20" t="n">
        <v>965</v>
      </c>
      <c r="F127" s="20" t="n">
        <v>1145</v>
      </c>
      <c r="G127" s="20" t="n">
        <v>1297</v>
      </c>
      <c r="H127" s="20" t="n">
        <v>109</v>
      </c>
      <c r="I127" s="20" t="n">
        <v>449</v>
      </c>
      <c r="J127" s="20" t="n">
        <v>608</v>
      </c>
      <c r="K127" s="20" t="n">
        <v>812</v>
      </c>
    </row>
    <row r="128">
      <c r="A128" s="18" t="inlineStr">
        <is>
          <t>토지재평가차액금</t>
        </is>
      </c>
      <c r="C128" s="20" t="n">
        <v>-602</v>
      </c>
      <c r="D128" s="20" t="n">
        <v>-602</v>
      </c>
      <c r="E128" s="20" t="n">
        <v>-602</v>
      </c>
      <c r="F128" s="20" t="n">
        <v>-602</v>
      </c>
      <c r="G128" s="20" t="n">
        <v>-602</v>
      </c>
      <c r="H128" s="20" t="n">
        <v>-600</v>
      </c>
      <c r="I128" s="20" t="n">
        <v>-600</v>
      </c>
      <c r="J128" s="20" t="n">
        <v>-600</v>
      </c>
      <c r="K128" s="20" t="n">
        <v>-602</v>
      </c>
    </row>
    <row r="129">
      <c r="A129" s="18" t="inlineStr">
        <is>
          <t>퇴직급여 조정누계액</t>
        </is>
      </c>
      <c r="C129" s="20" t="n">
        <v>729</v>
      </c>
      <c r="D129" s="20" t="n">
        <v>709</v>
      </c>
      <c r="E129" s="20" t="n">
        <v>1078</v>
      </c>
      <c r="F129" s="20" t="n">
        <v>1035</v>
      </c>
      <c r="G129" s="20" t="n">
        <v>999</v>
      </c>
      <c r="H129" s="20" t="n">
        <v>208</v>
      </c>
      <c r="I129" s="20" t="n">
        <v>362</v>
      </c>
      <c r="J129" s="20" t="n">
        <v>569</v>
      </c>
      <c r="K129" s="20" t="n">
        <v>709</v>
      </c>
    </row>
    <row r="130">
      <c r="A130" s="18" t="inlineStr">
        <is>
          <t>기타포괄손익누계액 합계</t>
        </is>
      </c>
      <c r="C130" s="20" t="n">
        <v>819</v>
      </c>
      <c r="D130" s="20" t="n">
        <v>919</v>
      </c>
      <c r="E130" s="20" t="n">
        <v>1442</v>
      </c>
      <c r="F130" s="20" t="n">
        <v>1578</v>
      </c>
      <c r="G130" s="20" t="n">
        <v>1694</v>
      </c>
      <c r="H130" s="20" t="n">
        <v>-282</v>
      </c>
      <c r="I130" s="20" t="n">
        <v>212</v>
      </c>
      <c r="J130" s="20" t="n">
        <v>577</v>
      </c>
      <c r="K130" s="20" t="n">
        <v>919</v>
      </c>
    </row>
    <row r="131">
      <c r="A131" s="18" t="inlineStr">
        <is>
          <t>비지배지분</t>
        </is>
      </c>
      <c r="C131" s="20" t="n">
        <v>773</v>
      </c>
      <c r="D131" s="20" t="n">
        <v>793</v>
      </c>
      <c r="E131" s="20" t="n">
        <v>812</v>
      </c>
      <c r="F131" s="20" t="n">
        <v>833</v>
      </c>
      <c r="G131" s="20" t="n">
        <v>852</v>
      </c>
      <c r="H131" s="20" t="n">
        <v>560</v>
      </c>
      <c r="I131" s="20" t="n">
        <v>637</v>
      </c>
      <c r="J131" s="20" t="n">
        <v>707</v>
      </c>
      <c r="K131" s="20" t="n">
        <v>793</v>
      </c>
    </row>
    <row r="132">
      <c r="A132" s="9" t="inlineStr">
        <is>
          <t>순자산 합계</t>
        </is>
      </c>
      <c r="C132" s="12" t="n">
        <v>53949</v>
      </c>
      <c r="D132" s="12" t="n">
        <v>54833</v>
      </c>
      <c r="E132" s="12" t="n">
        <v>56262</v>
      </c>
      <c r="F132" s="12" t="n">
        <v>56187</v>
      </c>
      <c r="G132" s="12" t="n">
        <v>57615</v>
      </c>
      <c r="H132" s="12" t="n">
        <v>49158</v>
      </c>
      <c r="I132" s="12" t="n">
        <v>49268</v>
      </c>
      <c r="J132" s="12" t="n">
        <v>52251</v>
      </c>
      <c r="K132" s="12" t="n">
        <v>54833</v>
      </c>
    </row>
    <row r="133">
      <c r="A133" s="9" t="inlineStr">
        <is>
          <t>부채·순자산 합계</t>
        </is>
      </c>
      <c r="C133" s="12" t="n">
        <v>67034</v>
      </c>
      <c r="D133" s="12" t="n">
        <v>67300</v>
      </c>
      <c r="E133" s="12" t="n">
        <v>68697</v>
      </c>
      <c r="F133" s="12" t="n">
        <v>69325</v>
      </c>
      <c r="G133" s="12" t="n">
        <v>70976</v>
      </c>
      <c r="H133" s="12" t="n">
        <v>63285</v>
      </c>
      <c r="I133" s="12" t="n">
        <v>61658</v>
      </c>
      <c r="J133" s="12" t="n">
        <v>65112</v>
      </c>
      <c r="K133" s="12" t="n">
        <v>67300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4" customWidth="1" min="8" max="8"/>
  </cols>
  <sheetData>
    <row r="1">
      <c r="A1" s="50" t="inlineStr">
        <is>
          <t>미라이공업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G27</t>
        </is>
      </c>
      <c r="B4" s="52" t="n"/>
      <c r="C4" s="52" t="n"/>
      <c r="D4" s="52" t="n"/>
      <c r="E4" s="52" t="n"/>
      <c r="F4" s="52" t="n"/>
      <c r="G4" s="52" t="n"/>
      <c r="H4" s="52" t="n"/>
    </row>
    <row r="5">
      <c r="A5" s="53" t="inlineStr">
        <is>
          <t>항목</t>
        </is>
      </c>
      <c r="B5" s="53" t="inlineStr">
        <is>
          <t>값</t>
        </is>
      </c>
      <c r="H5" s="53" t="inlineStr">
        <is>
          <t>출처</t>
        </is>
      </c>
    </row>
    <row r="6">
      <c r="A6" s="54" t="inlineStr">
        <is>
          <t>매출</t>
        </is>
      </c>
      <c r="B6" s="55" t="n">
        <v>489.84</v>
      </c>
      <c r="H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69.27</v>
      </c>
    </row>
    <row r="8">
      <c r="A8" s="54" t="inlineStr">
        <is>
          <t>ord</t>
        </is>
      </c>
      <c r="B8" s="55" t="n">
        <v>71.25</v>
      </c>
    </row>
    <row r="9">
      <c r="A9" s="54" t="inlineStr">
        <is>
          <t>순이익</t>
        </is>
      </c>
      <c r="B9" s="55" t="n">
        <v>47.55</v>
      </c>
    </row>
    <row r="10">
      <c r="A10" s="54" t="inlineStr">
        <is>
          <t>EPS</t>
        </is>
      </c>
      <c r="B10" s="55" t="n">
        <v>293.91</v>
      </c>
    </row>
    <row r="11">
      <c r="A11" s="54" t="inlineStr">
        <is>
          <t>dps</t>
        </is>
      </c>
      <c r="B11" s="57" t="n">
        <v>135</v>
      </c>
    </row>
    <row r="13">
      <c r="A13" s="52" t="inlineStr">
        <is>
          <t>G27 직전</t>
        </is>
      </c>
      <c r="B13" s="52" t="n"/>
      <c r="C13" s="52" t="n"/>
      <c r="D13" s="52" t="n"/>
      <c r="E13" s="52" t="n"/>
      <c r="F13" s="52" t="n"/>
      <c r="G13" s="52" t="n"/>
      <c r="H13" s="52" t="n"/>
    </row>
    <row r="14">
      <c r="A14" s="53" t="inlineStr">
        <is>
          <t>항목</t>
        </is>
      </c>
      <c r="B14" s="53" t="inlineStr">
        <is>
          <t>값</t>
        </is>
      </c>
      <c r="H14" s="53" t="inlineStr">
        <is>
          <t>출처</t>
        </is>
      </c>
    </row>
    <row r="15">
      <c r="A15" s="54" t="inlineStr">
        <is>
          <t>매출</t>
        </is>
      </c>
      <c r="B15" s="55" t="n">
        <v>485.3</v>
      </c>
      <c r="H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5" t="n">
        <v>62.32</v>
      </c>
    </row>
    <row r="17">
      <c r="A17" s="54" t="inlineStr">
        <is>
          <t>ord</t>
        </is>
      </c>
      <c r="B17" s="55" t="n">
        <v>63.98</v>
      </c>
    </row>
    <row r="18">
      <c r="A18" s="54" t="inlineStr">
        <is>
          <t>순이익</t>
        </is>
      </c>
      <c r="B18" s="55" t="n">
        <v>43.42</v>
      </c>
    </row>
    <row r="19">
      <c r="A19" s="54" t="inlineStr">
        <is>
          <t>EPS</t>
        </is>
      </c>
      <c r="B19" s="55" t="n">
        <v>268.54</v>
      </c>
    </row>
    <row r="21">
      <c r="A21" s="52" t="inlineStr">
        <is>
          <t>상반기 계획</t>
        </is>
      </c>
      <c r="B21" s="52" t="n"/>
      <c r="C21" s="52" t="n"/>
      <c r="D21" s="52" t="n"/>
      <c r="E21" s="52" t="n"/>
      <c r="F21" s="52" t="n"/>
      <c r="G21" s="52" t="n"/>
      <c r="H21" s="52" t="n"/>
    </row>
    <row r="22">
      <c r="A22" s="53" t="inlineStr">
        <is>
          <t>항목</t>
        </is>
      </c>
      <c r="B22" s="53" t="inlineStr">
        <is>
          <t>값</t>
        </is>
      </c>
      <c r="H22" s="53" t="inlineStr">
        <is>
          <t>출처</t>
        </is>
      </c>
    </row>
    <row r="23">
      <c r="A23" s="54" t="inlineStr">
        <is>
          <t>매출</t>
        </is>
      </c>
      <c r="B23" s="55" t="n">
        <v>247.78</v>
      </c>
      <c r="H23" s="56" t="inlineStr">
        <is>
          <t>2단계 보고서 자료(회사 설명회 자료·공시)</t>
        </is>
      </c>
    </row>
    <row r="24">
      <c r="A24" s="54" t="inlineStr">
        <is>
          <t>영업이익</t>
        </is>
      </c>
      <c r="B24" s="55" t="n">
        <v>33.43</v>
      </c>
    </row>
    <row r="26">
      <c r="A26" s="52" t="inlineStr">
        <is>
          <t>band</t>
        </is>
      </c>
      <c r="B26" s="52" t="n"/>
      <c r="C26" s="52" t="n"/>
      <c r="D26" s="52" t="n"/>
      <c r="E26" s="52" t="n"/>
      <c r="F26" s="52" t="n"/>
      <c r="G26" s="52" t="n"/>
      <c r="H26" s="52" t="n"/>
    </row>
    <row r="27">
      <c r="A27" s="53" t="inlineStr">
        <is>
          <t>항목</t>
        </is>
      </c>
      <c r="B27" s="53" t="inlineStr">
        <is>
          <t>값</t>
        </is>
      </c>
      <c r="H27" s="53" t="inlineStr">
        <is>
          <t>출처</t>
        </is>
      </c>
    </row>
    <row r="28">
      <c r="A28" s="54" t="inlineStr">
        <is>
          <t>lo</t>
        </is>
      </c>
      <c r="B28" s="55" t="n">
        <v>11.8</v>
      </c>
      <c r="H28" s="56" t="inlineStr">
        <is>
          <t>2단계 보고서 자료(회사 설명회 자료·공시)</t>
        </is>
      </c>
    </row>
    <row r="29">
      <c r="A29" s="54" t="inlineStr">
        <is>
          <t>avg</t>
        </is>
      </c>
      <c r="B29" s="55" t="n">
        <v>13.8</v>
      </c>
    </row>
    <row r="30">
      <c r="A30" s="54" t="inlineStr">
        <is>
          <t>hi</t>
        </is>
      </c>
      <c r="B30" s="55" t="n">
        <v>19.6</v>
      </c>
    </row>
    <row r="32">
      <c r="A32" s="52" t="inlineStr">
        <is>
          <t>nap q</t>
        </is>
      </c>
      <c r="B32" s="52" t="n"/>
      <c r="C32" s="52" t="n"/>
      <c r="D32" s="52" t="n"/>
      <c r="E32" s="52" t="n"/>
      <c r="F32" s="52" t="n"/>
      <c r="G32" s="52" t="n"/>
      <c r="H32" s="52" t="n"/>
    </row>
    <row r="33">
      <c r="A33" s="53" t="inlineStr">
        <is>
          <t>항목</t>
        </is>
      </c>
      <c r="B33" s="53" t="inlineStr">
        <is>
          <t>값</t>
        </is>
      </c>
      <c r="H33" s="53" t="inlineStr">
        <is>
          <t>출처</t>
        </is>
      </c>
    </row>
    <row r="34">
      <c r="A34" s="54" t="inlineStr">
        <is>
          <t>2024-Q3</t>
        </is>
      </c>
      <c r="B34" s="55" t="n">
        <v>74.3</v>
      </c>
      <c r="H34" s="56" t="inlineStr">
        <is>
          <t>2단계 보고서 자료(회사 설명회 자료·공시)</t>
        </is>
      </c>
    </row>
    <row r="35">
      <c r="A35" s="54" t="inlineStr">
        <is>
          <t>2024-Q4</t>
        </is>
      </c>
      <c r="B35" s="55" t="n">
        <v>72.90000000000001</v>
      </c>
    </row>
    <row r="36">
      <c r="A36" s="54" t="inlineStr">
        <is>
          <t>2025-Q1</t>
        </is>
      </c>
      <c r="B36" s="55" t="n">
        <v>80.59999999999999</v>
      </c>
    </row>
    <row r="37">
      <c r="A37" s="54" t="inlineStr">
        <is>
          <t>2025-Q2</t>
        </is>
      </c>
      <c r="B37" s="55" t="n">
        <v>79</v>
      </c>
    </row>
    <row r="38">
      <c r="A38" s="54" t="inlineStr">
        <is>
          <t>2025-Q3</t>
        </is>
      </c>
      <c r="B38" s="55" t="n">
        <v>73</v>
      </c>
    </row>
    <row r="39">
      <c r="A39" s="54" t="inlineStr">
        <is>
          <t>2025-Q4</t>
        </is>
      </c>
      <c r="B39" s="55" t="n">
        <v>73.5</v>
      </c>
    </row>
    <row r="40">
      <c r="A40" s="54" t="inlineStr">
        <is>
          <t>2026-Q1</t>
        </is>
      </c>
      <c r="B40" s="55" t="n">
        <v>66.2</v>
      </c>
    </row>
    <row r="41">
      <c r="A41" s="54" t="inlineStr">
        <is>
          <t>2026-Q2</t>
        </is>
      </c>
      <c r="B41" s="55" t="n">
        <v>65.5</v>
      </c>
    </row>
    <row r="42">
      <c r="A42" s="54" t="inlineStr">
        <is>
          <t>2026-Q3</t>
        </is>
      </c>
      <c r="B42" s="55" t="n">
        <v>65.8</v>
      </c>
    </row>
    <row r="43">
      <c r="A43" s="54" t="inlineStr">
        <is>
          <t>2026-Q4</t>
        </is>
      </c>
      <c r="B43" s="55" t="n">
        <v>68.40000000000001</v>
      </c>
    </row>
    <row r="44">
      <c r="A44" s="54" t="inlineStr">
        <is>
          <t>2027-Q1</t>
        </is>
      </c>
      <c r="B44" s="55" t="n">
        <v>121.3</v>
      </c>
    </row>
    <row r="45">
      <c r="A45" s="54" t="inlineStr">
        <is>
          <t>2027-Q2</t>
        </is>
      </c>
      <c r="B45" s="55" t="n">
        <v>101.4</v>
      </c>
    </row>
    <row r="47">
      <c r="A47" s="52" t="inlineStr">
        <is>
          <t>pvcp q</t>
        </is>
      </c>
      <c r="B47" s="52" t="n"/>
      <c r="C47" s="52" t="n"/>
      <c r="D47" s="52" t="n"/>
      <c r="E47" s="52" t="n"/>
      <c r="F47" s="52" t="n"/>
      <c r="G47" s="52" t="n"/>
      <c r="H47" s="52" t="n"/>
    </row>
    <row r="48">
      <c r="A48" s="53" t="inlineStr">
        <is>
          <t>항목</t>
        </is>
      </c>
      <c r="B48" s="53" t="inlineStr">
        <is>
          <t>값</t>
        </is>
      </c>
      <c r="H48" s="53" t="inlineStr">
        <is>
          <t>출처</t>
        </is>
      </c>
    </row>
    <row r="49">
      <c r="A49" s="54" t="inlineStr">
        <is>
          <t>2024-Q3</t>
        </is>
      </c>
      <c r="B49" s="55" t="n">
        <v>118.3</v>
      </c>
      <c r="H49" s="56" t="inlineStr">
        <is>
          <t>2단계 보고서 자료(회사 설명회 자료·공시)</t>
        </is>
      </c>
    </row>
    <row r="50">
      <c r="A50" s="54" t="inlineStr">
        <is>
          <t>2024-Q4</t>
        </is>
      </c>
      <c r="B50" s="55" t="n">
        <v>113.3</v>
      </c>
    </row>
    <row r="51">
      <c r="A51" s="54" t="inlineStr">
        <is>
          <t>2025-Q1</t>
        </is>
      </c>
      <c r="B51" s="55" t="n">
        <v>119.3</v>
      </c>
    </row>
    <row r="52">
      <c r="A52" s="54" t="inlineStr">
        <is>
          <t>2025-Q2</t>
        </is>
      </c>
      <c r="B52" s="55" t="n">
        <v>126.7</v>
      </c>
    </row>
    <row r="53">
      <c r="A53" s="54" t="inlineStr">
        <is>
          <t>2025-Q3</t>
        </is>
      </c>
      <c r="B53" s="57" t="n">
        <v>115</v>
      </c>
    </row>
    <row r="54">
      <c r="A54" s="54" t="inlineStr">
        <is>
          <t>2025-Q4</t>
        </is>
      </c>
      <c r="B54" s="55" t="n">
        <v>112.7</v>
      </c>
    </row>
    <row r="55">
      <c r="A55" s="54" t="inlineStr">
        <is>
          <t>2026-Q1</t>
        </is>
      </c>
      <c r="B55" s="55" t="n">
        <v>101.4</v>
      </c>
    </row>
    <row r="56">
      <c r="A56" s="54" t="inlineStr">
        <is>
          <t>2026-Q2</t>
        </is>
      </c>
      <c r="B56" s="55" t="n">
        <v>100.8</v>
      </c>
    </row>
    <row r="57">
      <c r="A57" s="54" t="inlineStr">
        <is>
          <t>2026-Q3</t>
        </is>
      </c>
      <c r="B57" s="55" t="n">
        <v>99</v>
      </c>
    </row>
    <row r="58">
      <c r="A58" s="54" t="inlineStr">
        <is>
          <t>2026-Q4</t>
        </is>
      </c>
      <c r="B58" s="55" t="n">
        <v>98.2</v>
      </c>
    </row>
    <row r="59">
      <c r="A59" s="54" t="inlineStr">
        <is>
          <t>2027-Q1</t>
        </is>
      </c>
      <c r="B59" s="55" t="n">
        <v>121.3</v>
      </c>
    </row>
    <row r="60">
      <c r="A60" s="54" t="inlineStr">
        <is>
          <t>2027-Q2</t>
        </is>
      </c>
      <c r="B60" s="57" t="n">
        <v>119</v>
      </c>
    </row>
    <row r="62">
      <c r="A62" s="52" t="inlineStr">
        <is>
          <t>pvcv q</t>
        </is>
      </c>
      <c r="B62" s="52" t="n"/>
      <c r="C62" s="52" t="n"/>
      <c r="D62" s="52" t="n"/>
      <c r="E62" s="52" t="n"/>
      <c r="F62" s="52" t="n"/>
      <c r="G62" s="52" t="n"/>
      <c r="H62" s="52" t="n"/>
    </row>
    <row r="63">
      <c r="A63" s="53" t="inlineStr">
        <is>
          <t>항목</t>
        </is>
      </c>
      <c r="B63" s="53" t="inlineStr">
        <is>
          <t>값</t>
        </is>
      </c>
      <c r="H63" s="53" t="inlineStr">
        <is>
          <t>출처</t>
        </is>
      </c>
    </row>
    <row r="64">
      <c r="A64" s="54" t="inlineStr">
        <is>
          <t>2024-Q3</t>
        </is>
      </c>
      <c r="B64" s="55" t="n">
        <v>179.2</v>
      </c>
      <c r="H64" s="56" t="inlineStr">
        <is>
          <t>2단계 보고서 자료(회사 설명회 자료·공시)</t>
        </is>
      </c>
    </row>
    <row r="65">
      <c r="A65" s="54" t="inlineStr">
        <is>
          <t>2024-Q4</t>
        </is>
      </c>
      <c r="B65" s="55" t="n">
        <v>161.6</v>
      </c>
    </row>
    <row r="66">
      <c r="A66" s="54" t="inlineStr">
        <is>
          <t>2025-Q1</t>
        </is>
      </c>
      <c r="B66" s="55" t="n">
        <v>124.6</v>
      </c>
    </row>
    <row r="67">
      <c r="A67" s="54" t="inlineStr">
        <is>
          <t>2025-Q2</t>
        </is>
      </c>
      <c r="B67" s="55" t="n">
        <v>164</v>
      </c>
    </row>
    <row r="68">
      <c r="A68" s="54" t="inlineStr">
        <is>
          <t>2025-Q3</t>
        </is>
      </c>
      <c r="B68" s="55" t="n">
        <v>154.6</v>
      </c>
    </row>
    <row r="69">
      <c r="A69" s="54" t="inlineStr">
        <is>
          <t>2025-Q4</t>
        </is>
      </c>
      <c r="B69" s="55" t="n">
        <v>156</v>
      </c>
    </row>
    <row r="70">
      <c r="A70" s="54" t="inlineStr">
        <is>
          <t>2026-Q1</t>
        </is>
      </c>
      <c r="B70" s="55" t="n">
        <v>134.1</v>
      </c>
    </row>
    <row r="71">
      <c r="A71" s="54" t="inlineStr">
        <is>
          <t>2026-Q2</t>
        </is>
      </c>
      <c r="B71" s="55" t="n">
        <v>169.4</v>
      </c>
    </row>
    <row r="72">
      <c r="A72" s="54" t="inlineStr">
        <is>
          <t>2026-Q3</t>
        </is>
      </c>
      <c r="B72" s="55" t="n">
        <v>165.1</v>
      </c>
    </row>
    <row r="73">
      <c r="A73" s="54" t="inlineStr">
        <is>
          <t>2026-Q4</t>
        </is>
      </c>
      <c r="B73" s="55" t="n">
        <v>161.8</v>
      </c>
    </row>
    <row r="74">
      <c r="A74" s="54" t="inlineStr">
        <is>
          <t>2027-Q1</t>
        </is>
      </c>
      <c r="B74" s="55" t="n">
        <v>82.09999999999999</v>
      </c>
    </row>
    <row r="75">
      <c r="A75" s="54" t="inlineStr">
        <is>
          <t>2027-Q2</t>
        </is>
      </c>
      <c r="B75" s="55" t="n">
        <v>127.2</v>
      </c>
    </row>
    <row r="77">
      <c r="A77" s="52" t="inlineStr">
        <is>
          <t>매출총이익률 q</t>
        </is>
      </c>
      <c r="B77" s="52" t="n"/>
      <c r="C77" s="52" t="n"/>
      <c r="D77" s="52" t="n"/>
      <c r="E77" s="52" t="n"/>
      <c r="F77" s="52" t="n"/>
      <c r="G77" s="52" t="n"/>
      <c r="H77" s="52" t="n"/>
    </row>
    <row r="78">
      <c r="A78" s="53" t="inlineStr">
        <is>
          <t>항목</t>
        </is>
      </c>
      <c r="B78" s="53" t="inlineStr">
        <is>
          <t>값</t>
        </is>
      </c>
      <c r="H78" s="53" t="inlineStr">
        <is>
          <t>출처</t>
        </is>
      </c>
    </row>
    <row r="79">
      <c r="A79" s="54" t="inlineStr">
        <is>
          <t>2025-Q1</t>
        </is>
      </c>
      <c r="B79" s="55" t="n">
        <v>40.2</v>
      </c>
      <c r="H79" s="56" t="inlineStr">
        <is>
          <t>2단계 보고서 자료(회사 설명회 자료·공시)</t>
        </is>
      </c>
    </row>
    <row r="80">
      <c r="A80" s="54" t="inlineStr">
        <is>
          <t>2025-Q2</t>
        </is>
      </c>
      <c r="B80" s="55" t="n">
        <v>39.4</v>
      </c>
    </row>
    <row r="81">
      <c r="A81" s="54" t="inlineStr">
        <is>
          <t>2025-Q3</t>
        </is>
      </c>
      <c r="B81" s="55" t="n">
        <v>40.7</v>
      </c>
    </row>
    <row r="82">
      <c r="A82" s="54" t="inlineStr">
        <is>
          <t>2025-Q4</t>
        </is>
      </c>
      <c r="B82" s="55" t="n">
        <v>36.8</v>
      </c>
    </row>
    <row r="83">
      <c r="A83" s="54" t="inlineStr">
        <is>
          <t>2026-Q1</t>
        </is>
      </c>
      <c r="B83" s="55" t="n">
        <v>37.9</v>
      </c>
    </row>
    <row r="84">
      <c r="A84" s="54" t="inlineStr">
        <is>
          <t>2026-Q2</t>
        </is>
      </c>
      <c r="B84" s="55" t="n">
        <v>38.2</v>
      </c>
    </row>
    <row r="85">
      <c r="A85" s="54" t="inlineStr">
        <is>
          <t>2026-Q3</t>
        </is>
      </c>
      <c r="B85" s="55" t="n">
        <v>40.6</v>
      </c>
    </row>
    <row r="86">
      <c r="A86" s="54" t="inlineStr">
        <is>
          <t>2026-Q4</t>
        </is>
      </c>
      <c r="B86" s="55" t="n">
        <v>37.6</v>
      </c>
    </row>
    <row r="87">
      <c r="A87" s="54" t="inlineStr">
        <is>
          <t>2027-Q1</t>
        </is>
      </c>
      <c r="B87" s="55" t="n">
        <v>39.7</v>
      </c>
    </row>
    <row r="88">
      <c r="A88" s="54" t="inlineStr">
        <is>
          <t>2027-Q2</t>
        </is>
      </c>
      <c r="B88" s="55" t="n">
        <v>38.2</v>
      </c>
    </row>
    <row r="90">
      <c r="A90" s="52" t="inlineStr">
        <is>
          <t>컨센서스</t>
        </is>
      </c>
      <c r="B90" s="52" t="n"/>
      <c r="C90" s="52" t="n"/>
      <c r="D90" s="52" t="n"/>
      <c r="E90" s="52" t="n"/>
      <c r="F90" s="52" t="n"/>
      <c r="G90" s="52" t="n"/>
      <c r="H90" s="52" t="n"/>
    </row>
    <row r="91">
      <c r="A91" s="53" t="inlineStr">
        <is>
          <t>항목</t>
        </is>
      </c>
      <c r="B91" s="53" t="inlineStr">
        <is>
          <t>값</t>
        </is>
      </c>
      <c r="H91" s="53" t="inlineStr">
        <is>
          <t>출처</t>
        </is>
      </c>
    </row>
    <row r="92">
      <c r="A92" s="54" t="inlineStr">
        <is>
          <t>FY2027 매출</t>
        </is>
      </c>
      <c r="B92" s="57" t="n">
        <v>500</v>
      </c>
      <c r="H92" s="56" t="inlineStr">
        <is>
          <t>애널리스트 1명(야후)</t>
        </is>
      </c>
    </row>
    <row r="93">
      <c r="A93" s="54" t="inlineStr">
        <is>
          <t>FY2027 EPS</t>
        </is>
      </c>
      <c r="B93" s="55" t="n">
        <v>300.1</v>
      </c>
    </row>
    <row r="94">
      <c r="A94" s="54" t="inlineStr">
        <is>
          <t>FY2028 EPS</t>
        </is>
      </c>
      <c r="B94" s="55" t="n">
        <v>321.7</v>
      </c>
    </row>
    <row r="95">
      <c r="A95" s="54" t="inlineStr">
        <is>
          <t>3Q 매출</t>
        </is>
      </c>
      <c r="B95" s="57" t="n">
        <v>135</v>
      </c>
    </row>
    <row r="97">
      <c r="A97" s="52" t="inlineStr">
        <is>
          <t>phases</t>
        </is>
      </c>
      <c r="B97" s="52" t="n"/>
      <c r="C97" s="52" t="n"/>
      <c r="D97" s="52" t="n"/>
      <c r="E97" s="52" t="n"/>
      <c r="F97" s="52" t="n"/>
      <c r="G97" s="52" t="n"/>
      <c r="H97" s="52" t="n"/>
    </row>
    <row r="98">
      <c r="A98" s="53" t="inlineStr">
        <is>
          <t>항목</t>
        </is>
      </c>
      <c r="B98" s="53" t="inlineStr">
        <is>
          <t>to</t>
        </is>
      </c>
      <c r="C98" s="53" t="inlineStr">
        <is>
          <t>a</t>
        </is>
      </c>
      <c r="D98" s="53" t="inlineStr">
        <is>
          <t>b</t>
        </is>
      </c>
      <c r="E98" s="53" t="inlineStr">
        <is>
          <t>pa</t>
        </is>
      </c>
      <c r="F98" s="53" t="inlineStr">
        <is>
          <t>pb</t>
        </is>
      </c>
      <c r="G98" s="53" t="inlineStr">
        <is>
          <t>chg</t>
        </is>
      </c>
      <c r="H98" s="53" t="inlineStr">
        <is>
          <t>출처</t>
        </is>
      </c>
    </row>
    <row r="99">
      <c r="A99" s="54" t="inlineStr">
        <is>
          <t>0</t>
        </is>
      </c>
      <c r="B99" s="57" t="n">
        <v>69</v>
      </c>
      <c r="C99" s="58" t="inlineStr">
        <is>
          <t>2021-10-25</t>
        </is>
      </c>
      <c r="D99" s="58" t="inlineStr">
        <is>
          <t>2023-02-20</t>
        </is>
      </c>
      <c r="E99" s="55" t="n">
        <v>1690</v>
      </c>
      <c r="F99" s="55" t="n">
        <v>1494</v>
      </c>
      <c r="G99" s="55" t="n">
        <v>-11.6</v>
      </c>
      <c r="H99" s="56" t="inlineStr">
        <is>
          <t>2단계 보고서 자료(회사 설명회 자료·공시)</t>
        </is>
      </c>
    </row>
    <row r="100">
      <c r="A100" s="54" t="inlineStr">
        <is>
          <t>69</t>
        </is>
      </c>
      <c r="B100" s="57" t="n">
        <v>121</v>
      </c>
      <c r="C100" s="58" t="inlineStr">
        <is>
          <t>2023-02-20</t>
        </is>
      </c>
      <c r="D100" s="58" t="inlineStr">
        <is>
          <t>2024-02-19</t>
        </is>
      </c>
      <c r="E100" s="55" t="n">
        <v>1494</v>
      </c>
      <c r="F100" s="55" t="n">
        <v>5380</v>
      </c>
      <c r="G100" s="55" t="n">
        <v>260.1</v>
      </c>
    </row>
    <row r="101">
      <c r="A101" s="54" t="inlineStr">
        <is>
          <t>121</t>
        </is>
      </c>
      <c r="B101" s="57" t="n">
        <v>234</v>
      </c>
      <c r="C101" s="58" t="inlineStr">
        <is>
          <t>2024-02-19</t>
        </is>
      </c>
      <c r="D101" s="58" t="inlineStr">
        <is>
          <t>2026-04-20</t>
        </is>
      </c>
      <c r="E101" s="55" t="n">
        <v>5380</v>
      </c>
      <c r="F101" s="55" t="n">
        <v>2927</v>
      </c>
      <c r="G101" s="55" t="n">
        <v>-45.6</v>
      </c>
    </row>
    <row r="102">
      <c r="A102" s="54" t="inlineStr">
        <is>
          <t>234</t>
        </is>
      </c>
      <c r="B102" s="57" t="n">
        <v>261</v>
      </c>
      <c r="C102" s="58" t="inlineStr">
        <is>
          <t>2026-04-20</t>
        </is>
      </c>
      <c r="D102" s="58" t="inlineStr">
        <is>
          <t>2026-10-26</t>
        </is>
      </c>
      <c r="E102" s="55" t="n">
        <v>2927</v>
      </c>
      <c r="F102" s="55" t="n">
        <v>3485</v>
      </c>
      <c r="G102" s="55" t="n">
        <v>19.1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２분기 결산단신</t>
        </is>
      </c>
      <c r="C4" t="inlineStr">
        <is>
          <t>https://www2.jpx.co.jp/disc/79310/140120261022554660.pdf</t>
        </is>
      </c>
    </row>
    <row r="5">
      <c r="A5" t="inlineStr">
        <is>
          <t>2026-07-23</t>
        </is>
      </c>
      <c r="B5" t="inlineStr">
        <is>
          <t>2027년 3월 결산기 １분기 결산단신</t>
        </is>
      </c>
      <c r="C5" t="inlineStr">
        <is>
          <t>https://www2.jpx.co.jp/disc/79310/140120260722597572.pdf</t>
        </is>
      </c>
    </row>
    <row r="6">
      <c r="A6" t="inlineStr">
        <is>
          <t>2026-04-23</t>
        </is>
      </c>
      <c r="B6" t="inlineStr">
        <is>
          <t>2026년 3월 결산기 연간 결산단신</t>
        </is>
      </c>
      <c r="C6" t="inlineStr">
        <is>
          <t>https://www2.jpx.co.jp/disc/79310/140120260422508231.pdf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https://www2.jpx.co.jp/disc/79310/140120260128540246.pdf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https://www2.jpx.co.jp/disc/79310/140120251022577052.pdf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https://www2.jpx.co.jp/disc/79310/140120250723518478.pdf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https://www2.jpx.co.jp/disc/79310/140120250424521883.pdf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https://www2.jpx.co.jp/disc/79310/140120250127555617.pdf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https://www2.jpx.co.jp/disc/79310/140120241023501530.pdf</t>
        </is>
      </c>
    </row>
    <row r="13">
      <c r="A13" t="inlineStr">
        <is>
          <t>2024-07-24</t>
        </is>
      </c>
      <c r="B13" t="inlineStr">
        <is>
          <t>2025년 3월 결산기 １분기 결산단신</t>
        </is>
      </c>
      <c r="C13" t="inlineStr">
        <is>
          <t>https://www2.jpx.co.jp/disc/79310/140120240723553317.pdf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https://www2.jpx.co.jp/disc/79310/140120240424575835.pdf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https://www2.jpx.co.jp/disc/79310/140120240124518574.pdf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https://www2.jpx.co.jp/disc/79310/140120231025571322.pdf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https://www2.jpx.co.jp/disc/79310/140120230725526490.pdf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https://www2.jpx.co.jp/disc/79310/140120230426552974.pdf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https://www2.jpx.co.jp/disc/79310/140120230125593402.pdf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https://www2.jpx.co.jp/disc/79310/140120220426528055.pdf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https://www2.jpx.co.jp/disc/79310/140120210426400170.pdf</t>
        </is>
      </c>
    </row>
    <row r="22">
      <c r="A22" t="inlineStr">
        <is>
          <t>2020-05-01</t>
        </is>
      </c>
      <c r="B22" t="inlineStr">
        <is>
          <t>2020년 3월 결산기 연간 결산단신</t>
        </is>
      </c>
      <c r="C22" t="inlineStr">
        <is>
          <t>https://www2.jpx.co.jp/disc/79310/140120200430402327.pdf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https://www2.jpx.co.jp/disc/79310/140120190425411633.pdf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2026-10-26T10:59:01Z</dcterms:created>
  <dcterms:modified xmlns:dcterms="http://purl.org/dc/terms/" xmlns:xsi="http://www.w3.org/2001/XMLSchema-instance" xsi:type="dcterms:W3CDTF">2026-10-26T10:59:01Z</dcterms:modified>
</cp:coreProperties>
</file>