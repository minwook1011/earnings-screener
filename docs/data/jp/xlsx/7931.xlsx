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미라이공업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2027.4Q = 2027년 2월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2025.1Q</t>
        </is>
      </c>
      <c r="D3" s="5" t="inlineStr">
        <is>
          <t>2025.2Q</t>
        </is>
      </c>
      <c r="E3" s="5" t="inlineStr">
        <is>
          <t>2025.3Q</t>
        </is>
      </c>
      <c r="F3" s="5" t="inlineStr">
        <is>
          <t>2025.4Q</t>
        </is>
      </c>
      <c r="G3" s="5" t="inlineStr">
        <is>
          <t>2026.1Q</t>
        </is>
      </c>
      <c r="H3" s="5" t="inlineStr">
        <is>
          <t>2026.2Q</t>
        </is>
      </c>
      <c r="I3" s="5" t="inlineStr">
        <is>
          <t>2026.3Q</t>
        </is>
      </c>
      <c r="J3" s="5" t="inlineStr">
        <is>
          <t>2026.4Q</t>
        </is>
      </c>
      <c r="K3" s="5" t="inlineStr">
        <is>
          <t>2027.1Q</t>
        </is>
      </c>
      <c r="L3" s="5" t="inlineStr">
        <is>
          <t>2027.2Q</t>
        </is>
      </c>
      <c r="M3" s="5" t="inlineStr">
        <is>
          <t>2027.3Q</t>
        </is>
      </c>
      <c r="N3" s="5" t="inlineStr">
        <is>
          <t>2027.4Q</t>
        </is>
      </c>
      <c r="O3" s="6" t="inlineStr">
        <is>
          <t>2018</t>
        </is>
      </c>
      <c r="P3" s="5" t="inlineStr">
        <is>
          <t>2019</t>
        </is>
      </c>
      <c r="Q3" s="5" t="inlineStr">
        <is>
          <t>2020</t>
        </is>
      </c>
      <c r="R3" s="5" t="inlineStr">
        <is>
          <t>2021</t>
        </is>
      </c>
      <c r="S3" s="5" t="inlineStr">
        <is>
          <t>2022</t>
        </is>
      </c>
      <c r="T3" s="5" t="inlineStr">
        <is>
          <t>2023</t>
        </is>
      </c>
      <c r="U3" s="5" t="inlineStr">
        <is>
          <t>2024</t>
        </is>
      </c>
      <c r="V3" s="5" t="inlineStr">
        <is>
          <t>2025</t>
        </is>
      </c>
      <c r="W3" s="5" t="inlineStr">
        <is>
          <t>2026</t>
        </is>
      </c>
      <c r="X3" s="5" t="inlineStr">
        <is>
          <t>2027</t>
        </is>
      </c>
      <c r="Y3" s="7" t="inlineStr">
        <is>
          <t>2028(MW)</t>
        </is>
      </c>
      <c r="Z3" s="8" t="inlineStr">
        <is>
          <t>2029(MW)</t>
        </is>
      </c>
      <c r="AA3" s="8" t="inlineStr">
        <is>
          <t>2030(MW)</t>
        </is>
      </c>
      <c r="AB3" s="8" t="inlineStr">
        <is>
          <t>2031(MW)</t>
        </is>
      </c>
      <c r="AC3" s="8" t="inlineStr">
        <is>
          <t>2032(MW)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11142</v>
      </c>
      <c r="D4" s="12" t="n">
        <v>11221</v>
      </c>
      <c r="E4" s="12" t="n">
        <v>12606</v>
      </c>
      <c r="F4" s="12" t="n">
        <v>9122</v>
      </c>
      <c r="G4" s="12" t="n">
        <v>11677</v>
      </c>
      <c r="H4" s="12" t="n">
        <v>11269</v>
      </c>
      <c r="I4" s="12" t="n">
        <v>12432</v>
      </c>
      <c r="J4" s="12" t="n">
        <v>9735</v>
      </c>
      <c r="K4" s="12" t="n">
        <v>12764</v>
      </c>
      <c r="L4" s="12" t="n">
        <v>12097</v>
      </c>
      <c r="M4" s="12" t="n"/>
      <c r="N4" s="12" t="n"/>
      <c r="O4" s="11" t="n"/>
      <c r="P4" s="12" t="n">
        <v>35175</v>
      </c>
      <c r="Q4" s="12" t="n">
        <v>36035</v>
      </c>
      <c r="R4" s="12" t="n">
        <v>37573</v>
      </c>
      <c r="S4" s="12" t="n">
        <v>36069</v>
      </c>
      <c r="T4" s="12" t="n">
        <v>36905</v>
      </c>
      <c r="U4" s="12" t="n">
        <v>39568</v>
      </c>
      <c r="V4" s="12" t="n">
        <v>44091</v>
      </c>
      <c r="W4" s="12" t="n">
        <v>45113</v>
      </c>
      <c r="X4" s="12" t="n">
        <v>45673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전기자재 및 관재</t>
        </is>
      </c>
      <c r="B7" s="10" t="n"/>
      <c r="C7" s="19" t="n">
        <v>8649</v>
      </c>
      <c r="D7" s="20" t="n">
        <v>8708</v>
      </c>
      <c r="E7" s="20" t="n">
        <v>9766</v>
      </c>
      <c r="F7" s="20" t="n">
        <v>6997</v>
      </c>
      <c r="G7" s="20" t="n">
        <v>9019</v>
      </c>
      <c r="H7" s="20" t="n">
        <v>8540</v>
      </c>
      <c r="I7" s="20" t="n">
        <v>9492</v>
      </c>
      <c r="J7" s="20" t="n">
        <v>7733</v>
      </c>
      <c r="K7" s="20" t="n">
        <v>9883</v>
      </c>
      <c r="L7" s="20" t="n">
        <v>9150</v>
      </c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34120</v>
      </c>
      <c r="W7" s="20" t="n">
        <v>34784</v>
      </c>
      <c r="X7" s="20" t="n">
        <v>34733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배선 기구</t>
        </is>
      </c>
      <c r="B10" s="10" t="n"/>
      <c r="C10" s="19" t="n">
        <v>1710</v>
      </c>
      <c r="D10" s="20" t="n">
        <v>1804</v>
      </c>
      <c r="E10" s="20" t="n">
        <v>2089</v>
      </c>
      <c r="F10" s="20" t="n">
        <v>1224</v>
      </c>
      <c r="G10" s="20" t="n">
        <v>1903</v>
      </c>
      <c r="H10" s="20" t="n">
        <v>1972</v>
      </c>
      <c r="I10" s="20" t="n">
        <v>2221</v>
      </c>
      <c r="J10" s="20" t="n">
        <v>1233</v>
      </c>
      <c r="K10" s="20" t="n">
        <v>2148</v>
      </c>
      <c r="L10" s="20" t="n">
        <v>2177</v>
      </c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6827</v>
      </c>
      <c r="W10" s="20" t="n">
        <v>7329</v>
      </c>
      <c r="X10" s="20" t="n">
        <v>8037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</t>
        </is>
      </c>
      <c r="B13" s="10" t="n"/>
      <c r="C13" s="19" t="n">
        <v>782</v>
      </c>
      <c r="D13" s="20" t="n">
        <v>709</v>
      </c>
      <c r="E13" s="20" t="n">
        <v>751</v>
      </c>
      <c r="F13" s="20" t="n">
        <v>901</v>
      </c>
      <c r="G13" s="20" t="n">
        <v>754</v>
      </c>
      <c r="H13" s="20" t="n">
        <v>757</v>
      </c>
      <c r="I13" s="20" t="n">
        <v>720</v>
      </c>
      <c r="J13" s="20" t="n">
        <v>768</v>
      </c>
      <c r="K13" s="20" t="n">
        <v>732</v>
      </c>
      <c r="L13" s="20" t="n">
        <v>769</v>
      </c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3143</v>
      </c>
      <c r="W13" s="20" t="n">
        <v>2999</v>
      </c>
      <c r="X13" s="20" t="n">
        <v>2902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6663</v>
      </c>
      <c r="D17" s="20" t="n">
        <v>6803</v>
      </c>
      <c r="E17" s="20" t="n">
        <v>7481</v>
      </c>
      <c r="F17" s="20" t="n">
        <v>5369</v>
      </c>
      <c r="G17" s="20" t="n">
        <v>7250</v>
      </c>
      <c r="H17" s="20" t="n">
        <v>6961</v>
      </c>
      <c r="I17" s="20" t="n">
        <v>7391</v>
      </c>
      <c r="J17" s="20" t="n">
        <v>5756</v>
      </c>
      <c r="K17" s="20" t="n">
        <v>7689</v>
      </c>
      <c r="L17" s="20" t="n">
        <v>7471</v>
      </c>
      <c r="M17" s="20" t="n"/>
      <c r="N17" s="20" t="n"/>
      <c r="O17" s="19" t="n"/>
      <c r="P17" s="20" t="n">
        <v>21374</v>
      </c>
      <c r="Q17" s="20" t="n">
        <v>22417</v>
      </c>
      <c r="R17" s="20" t="n">
        <v>23238</v>
      </c>
      <c r="S17" s="20" t="n">
        <v>22118</v>
      </c>
      <c r="T17" s="20" t="n">
        <v>23111</v>
      </c>
      <c r="U17" s="20" t="n">
        <v>25606</v>
      </c>
      <c r="V17" s="20" t="n">
        <v>26316</v>
      </c>
      <c r="W17" s="20" t="n">
        <v>27358</v>
      </c>
      <c r="X17" s="20" t="n">
        <v>28012</v>
      </c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2847</v>
      </c>
      <c r="D23" s="20" t="n">
        <v>2580</v>
      </c>
      <c r="E23" s="20" t="n">
        <v>2900</v>
      </c>
      <c r="F23" s="20" t="n">
        <v>2114</v>
      </c>
      <c r="G23" s="20" t="n">
        <v>2947</v>
      </c>
      <c r="H23" s="20" t="n">
        <v>2628</v>
      </c>
      <c r="I23" s="20" t="n">
        <v>2733</v>
      </c>
      <c r="J23" s="20" t="n">
        <v>2549</v>
      </c>
      <c r="K23" s="20" t="n">
        <v>3128</v>
      </c>
      <c r="L23" s="20" t="n">
        <v>2780</v>
      </c>
      <c r="M23" s="20" t="n"/>
      <c r="N23" s="20" t="n"/>
      <c r="O23" s="19" t="n"/>
      <c r="P23" s="20" t="n">
        <v>9601</v>
      </c>
      <c r="Q23" s="20" t="n">
        <v>9712</v>
      </c>
      <c r="R23" s="20" t="n">
        <v>10123</v>
      </c>
      <c r="S23" s="20" t="n">
        <v>9767</v>
      </c>
      <c r="T23" s="20" t="n">
        <v>9749</v>
      </c>
      <c r="U23" s="20" t="n">
        <v>9917</v>
      </c>
      <c r="V23" s="20" t="n">
        <v>10441</v>
      </c>
      <c r="W23" s="20" t="n">
        <v>10857</v>
      </c>
      <c r="X23" s="20" t="n">
        <v>10937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1631</v>
      </c>
      <c r="D25" s="12" t="n">
        <v>1837</v>
      </c>
      <c r="E25" s="12" t="n">
        <v>2225</v>
      </c>
      <c r="F25" s="12" t="n">
        <v>1639</v>
      </c>
      <c r="G25" s="12" t="n">
        <v>1479</v>
      </c>
      <c r="H25" s="12" t="n">
        <v>1680</v>
      </c>
      <c r="I25" s="12" t="n">
        <v>2309</v>
      </c>
      <c r="J25" s="12" t="n">
        <v>1429</v>
      </c>
      <c r="K25" s="12" t="n">
        <v>1945</v>
      </c>
      <c r="L25" s="12" t="n">
        <v>1847</v>
      </c>
      <c r="M25" s="12" t="n"/>
      <c r="N25" s="12" t="n"/>
      <c r="O25" s="11" t="n"/>
      <c r="P25" s="12" t="n">
        <v>4198</v>
      </c>
      <c r="Q25" s="12" t="n">
        <v>3904</v>
      </c>
      <c r="R25" s="12" t="n">
        <v>4211</v>
      </c>
      <c r="S25" s="12" t="n">
        <v>4184</v>
      </c>
      <c r="T25" s="12" t="n">
        <v>4044</v>
      </c>
      <c r="U25" s="12" t="n">
        <v>4044</v>
      </c>
      <c r="V25" s="12" t="n">
        <v>7332</v>
      </c>
      <c r="W25" s="12" t="n">
        <v>6897</v>
      </c>
      <c r="X25" s="12" t="n">
        <v>6723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>
        <v>3379</v>
      </c>
      <c r="Q30" s="20" t="n">
        <v>3503</v>
      </c>
      <c r="R30" s="20" t="n">
        <v>3556</v>
      </c>
      <c r="S30" s="20" t="n">
        <v>3517</v>
      </c>
      <c r="T30" s="20" t="n">
        <v>3542</v>
      </c>
      <c r="U30" s="20" t="n">
        <v>3611</v>
      </c>
      <c r="V30" s="20" t="n">
        <v>3653</v>
      </c>
      <c r="W30" s="20" t="n">
        <v>3751</v>
      </c>
      <c r="X30" s="20" t="n">
        <v>3859</v>
      </c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0</v>
      </c>
      <c r="D41" s="20" t="n">
        <v>0</v>
      </c>
      <c r="E41" s="20" t="n">
        <v>0</v>
      </c>
      <c r="F41" s="20" t="n">
        <v>191</v>
      </c>
      <c r="G41" s="20" t="n">
        <v>53</v>
      </c>
      <c r="H41" s="20" t="n">
        <v>0</v>
      </c>
      <c r="I41" s="20" t="n">
        <v>0</v>
      </c>
      <c r="J41" s="20" t="n">
        <v>-44</v>
      </c>
      <c r="K41" s="20" t="n">
        <v>0</v>
      </c>
      <c r="L41" s="20" t="n">
        <v>0</v>
      </c>
      <c r="M41" s="20" t="n"/>
      <c r="N41" s="20" t="n"/>
      <c r="O41" s="19" t="n"/>
      <c r="P41" s="20" t="n">
        <v>45</v>
      </c>
      <c r="Q41" s="20" t="n">
        <v>2292</v>
      </c>
      <c r="R41" s="20" t="n">
        <v>0</v>
      </c>
      <c r="S41" s="20" t="n">
        <v>386</v>
      </c>
      <c r="T41" s="20" t="n">
        <v>30</v>
      </c>
      <c r="U41" s="20" t="n">
        <v>0</v>
      </c>
      <c r="V41" s="20" t="n">
        <v>191</v>
      </c>
      <c r="W41" s="20" t="n">
        <v>9</v>
      </c>
      <c r="X41" s="20" t="n">
        <v>53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0</v>
      </c>
      <c r="D43" s="20" t="n">
        <v>0</v>
      </c>
      <c r="E43" s="20" t="n">
        <v>0</v>
      </c>
      <c r="F43" s="20" t="n">
        <v>191</v>
      </c>
      <c r="G43" s="20" t="n">
        <v>53</v>
      </c>
      <c r="H43" s="20" t="n">
        <v>0</v>
      </c>
      <c r="I43" s="20" t="n">
        <v>0</v>
      </c>
      <c r="J43" s="20" t="n">
        <v>-44</v>
      </c>
      <c r="K43" s="20" t="n">
        <v>0</v>
      </c>
      <c r="L43" s="20" t="n">
        <v>31</v>
      </c>
      <c r="M43" s="20" t="n"/>
      <c r="N43" s="20" t="n"/>
      <c r="O43" s="19" t="n"/>
      <c r="P43" s="20" t="n">
        <v>121</v>
      </c>
      <c r="Q43" s="20" t="n">
        <v>545</v>
      </c>
      <c r="R43" s="20" t="n">
        <v>53</v>
      </c>
      <c r="S43" s="20" t="n">
        <v>243</v>
      </c>
      <c r="T43" s="20" t="n">
        <v>166</v>
      </c>
      <c r="U43" s="20" t="n">
        <v>25</v>
      </c>
      <c r="V43" s="20" t="n">
        <v>191</v>
      </c>
      <c r="W43" s="20" t="n">
        <v>9</v>
      </c>
      <c r="X43" s="20" t="n">
        <v>53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42</v>
      </c>
      <c r="D45" s="20" t="n">
        <v>60</v>
      </c>
      <c r="E45" s="20" t="n">
        <v>68</v>
      </c>
      <c r="F45" s="20" t="n">
        <v>6</v>
      </c>
      <c r="G45" s="20" t="n">
        <v>43</v>
      </c>
      <c r="H45" s="20" t="n">
        <v>64</v>
      </c>
      <c r="I45" s="20" t="n">
        <v>63</v>
      </c>
      <c r="J45" s="20" t="n">
        <v>45</v>
      </c>
      <c r="K45" s="20" t="n">
        <v>65</v>
      </c>
      <c r="L45" s="20" t="n">
        <v>86</v>
      </c>
      <c r="M45" s="20" t="n"/>
      <c r="N45" s="20" t="n"/>
      <c r="O45" s="19" t="n"/>
      <c r="P45" s="20" t="n">
        <v>285</v>
      </c>
      <c r="Q45" s="20" t="n">
        <v>250</v>
      </c>
      <c r="R45" s="20" t="n">
        <v>319</v>
      </c>
      <c r="S45" s="20" t="n">
        <v>159</v>
      </c>
      <c r="T45" s="20" t="n">
        <v>121</v>
      </c>
      <c r="U45" s="20" t="n">
        <v>135</v>
      </c>
      <c r="V45" s="20" t="n">
        <v>176</v>
      </c>
      <c r="W45" s="20" t="n">
        <v>215</v>
      </c>
      <c r="X45" s="20" t="n">
        <v>218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8</v>
      </c>
      <c r="D47" s="20" t="n">
        <v>19</v>
      </c>
      <c r="E47" s="20" t="n">
        <v>13</v>
      </c>
      <c r="F47" s="20" t="n">
        <v>-9</v>
      </c>
      <c r="G47" s="20" t="n">
        <v>10</v>
      </c>
      <c r="H47" s="20" t="n">
        <v>4</v>
      </c>
      <c r="I47" s="20" t="n">
        <v>8</v>
      </c>
      <c r="J47" s="20" t="n">
        <v>23</v>
      </c>
      <c r="K47" s="20" t="n">
        <v>4</v>
      </c>
      <c r="L47" s="20" t="n">
        <v>14</v>
      </c>
      <c r="M47" s="20" t="n"/>
      <c r="N47" s="20" t="n"/>
      <c r="O47" s="19" t="n"/>
      <c r="P47" s="20" t="n">
        <v>230</v>
      </c>
      <c r="Q47" s="20" t="n">
        <v>238</v>
      </c>
      <c r="R47" s="20" t="n">
        <v>248</v>
      </c>
      <c r="S47" s="20" t="n">
        <v>222</v>
      </c>
      <c r="T47" s="20" t="n">
        <v>210</v>
      </c>
      <c r="U47" s="20" t="n">
        <v>26</v>
      </c>
      <c r="V47" s="20" t="n">
        <v>31</v>
      </c>
      <c r="W47" s="20" t="n">
        <v>45</v>
      </c>
      <c r="X47" s="20" t="n">
        <v>42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1665</v>
      </c>
      <c r="D49" s="12" t="n">
        <v>1879</v>
      </c>
      <c r="E49" s="12" t="n">
        <v>2279</v>
      </c>
      <c r="F49" s="12" t="n">
        <v>1654</v>
      </c>
      <c r="G49" s="12" t="n">
        <v>1513</v>
      </c>
      <c r="H49" s="12" t="n">
        <v>1739</v>
      </c>
      <c r="I49" s="12" t="n">
        <v>2364</v>
      </c>
      <c r="J49" s="12" t="n">
        <v>1451</v>
      </c>
      <c r="K49" s="12" t="n">
        <v>2006</v>
      </c>
      <c r="L49" s="12" t="n">
        <v>1887</v>
      </c>
      <c r="M49" s="12" t="n"/>
      <c r="N49" s="12" t="n"/>
      <c r="O49" s="11" t="n"/>
      <c r="P49" s="12" t="n">
        <v>4177</v>
      </c>
      <c r="Q49" s="12" t="n">
        <v>5663</v>
      </c>
      <c r="R49" s="12" t="n">
        <v>4228</v>
      </c>
      <c r="S49" s="12" t="n">
        <v>4264</v>
      </c>
      <c r="T49" s="12" t="n">
        <v>3818</v>
      </c>
      <c r="U49" s="12" t="n">
        <v>4126</v>
      </c>
      <c r="V49" s="12" t="n">
        <v>7477</v>
      </c>
      <c r="W49" s="12" t="n">
        <v>7067</v>
      </c>
      <c r="X49" s="12" t="n">
        <v>6899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519</v>
      </c>
      <c r="D51" s="20" t="n">
        <v>595</v>
      </c>
      <c r="E51" s="20" t="n">
        <v>715</v>
      </c>
      <c r="F51" s="20" t="n">
        <v>453</v>
      </c>
      <c r="G51" s="20" t="n">
        <v>458</v>
      </c>
      <c r="H51" s="20" t="n">
        <v>554</v>
      </c>
      <c r="I51" s="20" t="n">
        <v>727</v>
      </c>
      <c r="J51" s="20" t="n">
        <v>426</v>
      </c>
      <c r="K51" s="20" t="n">
        <v>606</v>
      </c>
      <c r="L51" s="20" t="n">
        <v>601</v>
      </c>
      <c r="M51" s="20" t="n"/>
      <c r="N51" s="20" t="n"/>
      <c r="O51" s="19" t="n"/>
      <c r="P51" s="20" t="n">
        <v>1222</v>
      </c>
      <c r="Q51" s="20" t="n">
        <v>1504</v>
      </c>
      <c r="R51" s="20" t="n">
        <v>1351</v>
      </c>
      <c r="S51" s="20" t="n">
        <v>1362</v>
      </c>
      <c r="T51" s="20" t="n">
        <v>1203</v>
      </c>
      <c r="U51" s="20" t="n">
        <v>1307</v>
      </c>
      <c r="V51" s="20" t="n">
        <v>2282</v>
      </c>
      <c r="W51" s="20" t="n">
        <v>2165</v>
      </c>
      <c r="X51" s="20" t="n">
        <v>2119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1145</v>
      </c>
      <c r="D53" s="12" t="n">
        <v>1285</v>
      </c>
      <c r="E53" s="12" t="n">
        <v>1564</v>
      </c>
      <c r="F53" s="12" t="n">
        <v>1201</v>
      </c>
      <c r="G53" s="12" t="n">
        <v>1055</v>
      </c>
      <c r="H53" s="12" t="n">
        <v>1184</v>
      </c>
      <c r="I53" s="12" t="n">
        <v>1637</v>
      </c>
      <c r="J53" s="12" t="n">
        <v>1026</v>
      </c>
      <c r="K53" s="12" t="n">
        <v>1400</v>
      </c>
      <c r="L53" s="12" t="n">
        <v>1286</v>
      </c>
      <c r="M53" s="12" t="n"/>
      <c r="N53" s="12" t="n"/>
      <c r="O53" s="11" t="n"/>
      <c r="P53" s="12" t="n">
        <v>2955</v>
      </c>
      <c r="Q53" s="12" t="n">
        <v>4159</v>
      </c>
      <c r="R53" s="12" t="n">
        <v>2877</v>
      </c>
      <c r="S53" s="12" t="n">
        <v>2901</v>
      </c>
      <c r="T53" s="12" t="n">
        <v>2615</v>
      </c>
      <c r="U53" s="12" t="n">
        <v>2818</v>
      </c>
      <c r="V53" s="12" t="n">
        <v>5195</v>
      </c>
      <c r="W53" s="12" t="n">
        <v>4902</v>
      </c>
      <c r="X53" s="12" t="n">
        <v>4780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1127</v>
      </c>
      <c r="D55" s="12" t="n">
        <v>1271</v>
      </c>
      <c r="E55" s="12" t="n">
        <v>1548</v>
      </c>
      <c r="F55" s="12" t="n">
        <v>1170</v>
      </c>
      <c r="G55" s="12" t="n">
        <v>1032</v>
      </c>
      <c r="H55" s="12" t="n">
        <v>1163</v>
      </c>
      <c r="I55" s="12" t="n">
        <v>1617</v>
      </c>
      <c r="J55" s="12" t="n">
        <v>1021</v>
      </c>
      <c r="K55" s="12" t="n">
        <v>1379</v>
      </c>
      <c r="L55" s="12" t="n">
        <v>1267</v>
      </c>
      <c r="M55" s="12" t="n"/>
      <c r="N55" s="12" t="n"/>
      <c r="O55" s="11" t="n"/>
      <c r="P55" s="12" t="n">
        <v>2929</v>
      </c>
      <c r="Q55" s="12" t="n">
        <v>4114</v>
      </c>
      <c r="R55" s="12" t="n">
        <v>2824</v>
      </c>
      <c r="S55" s="12" t="n">
        <v>2826</v>
      </c>
      <c r="T55" s="12" t="n">
        <v>2531</v>
      </c>
      <c r="U55" s="12" t="n">
        <v>2742</v>
      </c>
      <c r="V55" s="12" t="n">
        <v>5116</v>
      </c>
      <c r="W55" s="12" t="n">
        <v>4833</v>
      </c>
      <c r="X55" s="12" t="n">
        <v>4696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(2026.10.28)</t>
        </is>
      </c>
      <c r="B59" s="27" t="n">
        <v>3450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25607086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2026.10.28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2025.1Q</t>
        </is>
      </c>
      <c r="D89" s="5" t="inlineStr">
        <is>
          <t>2025.2Q</t>
        </is>
      </c>
      <c r="E89" s="5" t="inlineStr">
        <is>
          <t>2025.3Q</t>
        </is>
      </c>
      <c r="F89" s="5" t="inlineStr">
        <is>
          <t>2025.4Q</t>
        </is>
      </c>
      <c r="G89" s="5" t="inlineStr">
        <is>
          <t>2026.1Q</t>
        </is>
      </c>
      <c r="H89" s="5" t="inlineStr">
        <is>
          <t>2026.2Q</t>
        </is>
      </c>
      <c r="I89" s="5" t="inlineStr">
        <is>
          <t>2026.3Q</t>
        </is>
      </c>
      <c r="J89" s="5" t="inlineStr">
        <is>
          <t>2026.4Q</t>
        </is>
      </c>
      <c r="K89" s="5" t="inlineStr">
        <is>
          <t>2027.1Q</t>
        </is>
      </c>
      <c r="L89" s="5" t="inlineStr">
        <is>
          <t>2027.2Q</t>
        </is>
      </c>
      <c r="M89" s="5" t="inlineStr">
        <is>
          <t>2027.3Q</t>
        </is>
      </c>
      <c r="N89" s="5" t="inlineStr">
        <is>
          <t>2027.4Q</t>
        </is>
      </c>
      <c r="O89" s="5" t="inlineStr">
        <is>
          <t>2018</t>
        </is>
      </c>
      <c r="P89" s="5" t="inlineStr">
        <is>
          <t>2019</t>
        </is>
      </c>
      <c r="Q89" s="5" t="inlineStr">
        <is>
          <t>2020</t>
        </is>
      </c>
      <c r="R89" s="5" t="inlineStr">
        <is>
          <t>2021</t>
        </is>
      </c>
      <c r="S89" s="5" t="inlineStr">
        <is>
          <t>2022</t>
        </is>
      </c>
      <c r="T89" s="5" t="inlineStr">
        <is>
          <t>2023</t>
        </is>
      </c>
      <c r="U89" s="5" t="inlineStr">
        <is>
          <t>2024</t>
        </is>
      </c>
      <c r="V89" s="5" t="inlineStr">
        <is>
          <t>2025</t>
        </is>
      </c>
      <c r="W89" s="5" t="inlineStr">
        <is>
          <t>2026</t>
        </is>
      </c>
      <c r="X89" s="5" t="inlineStr">
        <is>
          <t>2027</t>
        </is>
      </c>
      <c r="Y89" s="5" t="inlineStr">
        <is>
          <t>2028(MW)</t>
        </is>
      </c>
      <c r="Z89" s="5" t="inlineStr">
        <is>
          <t>2029(MW)</t>
        </is>
      </c>
      <c r="AA89" s="5" t="inlineStr">
        <is>
          <t>2030(MW)</t>
        </is>
      </c>
      <c r="AB89" s="5" t="inlineStr">
        <is>
          <t>2031(MW)</t>
        </is>
      </c>
      <c r="AC89" s="5" t="inlineStr">
        <is>
          <t>2032(MW)</t>
        </is>
      </c>
    </row>
    <row r="90">
      <c r="A90" s="9" t="inlineStr">
        <is>
          <t>매출액</t>
        </is>
      </c>
      <c r="C90" s="12" t="n">
        <v>11142</v>
      </c>
      <c r="D90" s="12" t="n">
        <v>11221</v>
      </c>
      <c r="E90" s="12" t="n">
        <v>12606</v>
      </c>
      <c r="F90" s="12" t="n">
        <v>9122</v>
      </c>
      <c r="G90" s="12" t="n">
        <v>11677</v>
      </c>
      <c r="H90" s="12" t="n">
        <v>11269</v>
      </c>
      <c r="I90" s="12" t="n">
        <v>12432</v>
      </c>
      <c r="J90" s="12" t="n">
        <v>9735</v>
      </c>
      <c r="K90" s="12" t="n">
        <v>12764</v>
      </c>
      <c r="L90" s="12" t="n">
        <v>12097</v>
      </c>
      <c r="S90" s="12" t="n">
        <v>7656</v>
      </c>
      <c r="T90" s="12" t="n">
        <v>6851</v>
      </c>
      <c r="U90" s="12" t="n">
        <v>5497</v>
      </c>
      <c r="V90" s="12" t="n">
        <v>9122</v>
      </c>
      <c r="W90" s="12" t="n">
        <v>9735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S91" s="15">
        <f>IF(OR(S90="",R90=""),"",IF(R90&lt;=0,"",IFERROR(S90/R90-1,"")))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</row>
    <row r="92">
      <c r="A92" s="18" t="inlineStr">
        <is>
          <t>매출원가</t>
        </is>
      </c>
      <c r="C92" s="20" t="n">
        <v>6663</v>
      </c>
      <c r="D92" s="20" t="n">
        <v>6803</v>
      </c>
      <c r="E92" s="20" t="n">
        <v>7481</v>
      </c>
      <c r="F92" s="20" t="n">
        <v>5369</v>
      </c>
      <c r="G92" s="20" t="n">
        <v>7250</v>
      </c>
      <c r="H92" s="20" t="n">
        <v>6961</v>
      </c>
      <c r="I92" s="20" t="n">
        <v>7391</v>
      </c>
      <c r="J92" s="20" t="n">
        <v>5756</v>
      </c>
      <c r="K92" s="20" t="n">
        <v>7689</v>
      </c>
      <c r="L92" s="20" t="n">
        <v>7471</v>
      </c>
      <c r="S92" s="20" t="n">
        <v>4570</v>
      </c>
      <c r="T92" s="20" t="n">
        <v>3869</v>
      </c>
      <c r="U92" s="20" t="n">
        <v>5319</v>
      </c>
      <c r="V92" s="20" t="n">
        <v>5369</v>
      </c>
      <c r="W92" s="20" t="n">
        <v>5756</v>
      </c>
    </row>
    <row r="93">
      <c r="A93" s="43" t="inlineStr">
        <is>
          <t>YoY</t>
        </is>
      </c>
      <c r="B93" s="3" t="inlineStr">
        <is>
          <t>전년 같은 분기·전년 대비</t>
        </is>
      </c>
      <c r="G93" s="15">
        <f>IF(OR(G92="",C92=""),"",IF(G92*C92&lt;=0,"",IFERROR(G92/C92-1,"")))</f>
        <v/>
      </c>
      <c r="H93" s="15">
        <f>IF(OR(H92="",D92=""),"",IF(H92*D92&lt;=0,"",IFERROR(H92/D92-1,"")))</f>
        <v/>
      </c>
      <c r="I93" s="15">
        <f>IF(OR(I92="",E92=""),"",IF(I92*E92&lt;=0,"",IFERROR(I92/E92-1,"")))</f>
        <v/>
      </c>
      <c r="J93" s="15">
        <f>IF(OR(J92="",F92=""),"",IF(J92*F92&lt;=0,"",IFERROR(J92/F92-1,"")))</f>
        <v/>
      </c>
      <c r="K93" s="15">
        <f>IF(OR(K92="",G92=""),"",IF(K92*G92&lt;=0,"",IFERROR(K92/G92-1,"")))</f>
        <v/>
      </c>
      <c r="L93" s="15">
        <f>IF(OR(L92="",H92=""),"",IF(L92*H92&lt;=0,"",IFERROR(L92/H92-1,"")))</f>
        <v/>
      </c>
      <c r="S93" s="15">
        <f>IF(OR(S92="",R92=""),"",IF(S92*R92&lt;=0,"",IFERROR(S92/R92-1,"")))</f>
        <v/>
      </c>
      <c r="T93" s="15">
        <f>IF(OR(T92="",S92=""),"",IF(T92*S92&lt;=0,"",IFERROR(T92/S92-1,"")))</f>
        <v/>
      </c>
      <c r="U93" s="15">
        <f>IF(OR(U92="",T92=""),"",IF(U92*T92&lt;=0,"",IFERROR(U92/T92-1,"")))</f>
        <v/>
      </c>
      <c r="V93" s="15">
        <f>IF(OR(V92="",U92=""),"",IF(V92*U92&lt;=0,"",IFERROR(V92/U92-1,"")))</f>
        <v/>
      </c>
      <c r="W93" s="15">
        <f>IF(OR(W92="",V92=""),"",IF(W92*V92&lt;=0,"",IFERROR(W92/V92-1,"")))</f>
        <v/>
      </c>
    </row>
    <row r="94">
      <c r="A94" s="9" t="inlineStr">
        <is>
          <t>매출총이익</t>
        </is>
      </c>
      <c r="C94" s="12" t="n">
        <v>4478</v>
      </c>
      <c r="D94" s="12" t="n">
        <v>4418</v>
      </c>
      <c r="E94" s="12" t="n">
        <v>5125</v>
      </c>
      <c r="F94" s="12" t="n">
        <v>3753</v>
      </c>
      <c r="G94" s="12" t="n">
        <v>4426</v>
      </c>
      <c r="H94" s="12" t="n">
        <v>4308</v>
      </c>
      <c r="I94" s="12" t="n">
        <v>5042</v>
      </c>
      <c r="J94" s="12" t="n">
        <v>3979</v>
      </c>
      <c r="K94" s="12" t="n">
        <v>5074</v>
      </c>
      <c r="L94" s="12" t="n">
        <v>4626</v>
      </c>
      <c r="S94" s="12" t="n">
        <v>3087</v>
      </c>
      <c r="T94" s="12" t="n">
        <v>2983</v>
      </c>
      <c r="U94" s="12" t="n">
        <v>178</v>
      </c>
      <c r="V94" s="12" t="n">
        <v>3753</v>
      </c>
      <c r="W94" s="12" t="n">
        <v>3979</v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IF(OR(G94="",C94=""),"",IF(C94&lt;=0,"",IFERROR(G94/C94-1,"")))</f>
        <v/>
      </c>
      <c r="H95" s="15">
        <f>IF(OR(H94="",D94=""),"",IF(D94&lt;=0,"",IFERROR(H94/D94-1,"")))</f>
        <v/>
      </c>
      <c r="I95" s="15">
        <f>IF(OR(I94="",E94=""),"",IF(E94&lt;=0,"",IFERROR(I94/E94-1,"")))</f>
        <v/>
      </c>
      <c r="J95" s="15">
        <f>IF(OR(J94="",F94=""),"",IF(F94&lt;=0,"",IFERROR(J94/F94-1,"")))</f>
        <v/>
      </c>
      <c r="K95" s="15">
        <f>IF(OR(K94="",G94=""),"",IF(G94&lt;=0,"",IFERROR(K94/G94-1,"")))</f>
        <v/>
      </c>
      <c r="L95" s="15">
        <f>IF(OR(L94="",H94=""),"",IF(H94&lt;=0,"",IFERROR(L94/H94-1,"")))</f>
        <v/>
      </c>
      <c r="S95" s="15">
        <f>IF(OR(S94="",R94=""),"",IF(R94&lt;=0,"",IFERROR(S94/R94-1,"")))</f>
        <v/>
      </c>
      <c r="T95" s="15">
        <f>IF(OR(T94="",S94=""),"",IF(S94&lt;=0,"",IFERROR(T94/S94-1,"")))</f>
        <v/>
      </c>
      <c r="U95" s="15">
        <f>IF(OR(U94="",T94=""),"",IF(T94&lt;=0,"",IFERROR(U94/T94-1,"")))</f>
        <v/>
      </c>
      <c r="V95" s="15">
        <f>IF(OR(V94="",U94=""),"",IF(U94&lt;=0,"",IFERROR(V94/U94-1,"")))</f>
        <v/>
      </c>
      <c r="W95" s="15">
        <f>IF(OR(W94="",V94=""),"",IF(V94&lt;=0,"",IFERROR(W94/V94-1,"")))</f>
        <v/>
      </c>
    </row>
    <row r="96">
      <c r="A96" s="18" t="inlineStr">
        <is>
          <t>운임</t>
        </is>
      </c>
      <c r="C96" s="20" t="n">
        <v>582</v>
      </c>
      <c r="D96" s="20" t="n">
        <v>561</v>
      </c>
      <c r="E96" s="20" t="n">
        <v>634</v>
      </c>
      <c r="F96" s="20" t="n">
        <v>488</v>
      </c>
      <c r="G96" s="20" t="n">
        <v>627</v>
      </c>
      <c r="H96" s="20" t="n">
        <v>573</v>
      </c>
      <c r="I96" s="20" t="n">
        <v>634</v>
      </c>
      <c r="J96" s="20" t="n">
        <v>447</v>
      </c>
      <c r="K96" s="20" t="n">
        <v>680</v>
      </c>
      <c r="L96" s="20" t="n">
        <v>603</v>
      </c>
      <c r="S96" s="20" t="n">
        <v>504</v>
      </c>
      <c r="T96" s="20" t="n">
        <v>560</v>
      </c>
      <c r="U96" s="20" t="n">
        <v>477</v>
      </c>
      <c r="V96" s="20" t="n">
        <v>488</v>
      </c>
      <c r="W96" s="20" t="n">
        <v>447</v>
      </c>
    </row>
    <row r="97">
      <c r="A97" s="18" t="inlineStr">
        <is>
          <t>대손충당금 전입</t>
        </is>
      </c>
      <c r="C97" s="20" t="n">
        <v>-0</v>
      </c>
      <c r="D97" s="20" t="n">
        <v>0</v>
      </c>
      <c r="E97" s="20" t="n">
        <v>0</v>
      </c>
      <c r="F97" s="20" t="n">
        <v>-0</v>
      </c>
      <c r="G97" s="20" t="n">
        <v>-0</v>
      </c>
      <c r="H97" s="20" t="n">
        <v>0</v>
      </c>
      <c r="I97" s="20" t="n">
        <v>-0</v>
      </c>
      <c r="J97" s="20" t="n">
        <v>3</v>
      </c>
      <c r="K97" s="20" t="n">
        <v>0</v>
      </c>
      <c r="L97" s="20" t="n">
        <v>0</v>
      </c>
      <c r="S97" s="20" t="n">
        <v>0</v>
      </c>
      <c r="T97" s="20" t="n">
        <v>-9</v>
      </c>
      <c r="U97" s="20" t="n">
        <v>1</v>
      </c>
      <c r="V97" s="20" t="n">
        <v>-0</v>
      </c>
      <c r="W97" s="20" t="n">
        <v>3</v>
      </c>
    </row>
    <row r="98">
      <c r="A98" s="18" t="inlineStr">
        <is>
          <t>임원 보수</t>
        </is>
      </c>
      <c r="C98" s="20" t="n">
        <v>67</v>
      </c>
      <c r="D98" s="20" t="n">
        <v>72</v>
      </c>
      <c r="E98" s="20" t="n">
        <v>72</v>
      </c>
      <c r="F98" s="20" t="n">
        <v>41</v>
      </c>
      <c r="G98" s="20" t="n">
        <v>73</v>
      </c>
      <c r="H98" s="20" t="n">
        <v>83</v>
      </c>
      <c r="I98" s="20" t="n">
        <v>82</v>
      </c>
      <c r="J98" s="20" t="n">
        <v>45</v>
      </c>
      <c r="K98" s="20" t="n">
        <v>83</v>
      </c>
      <c r="L98" s="20" t="n">
        <v>83</v>
      </c>
      <c r="S98" s="20" t="n">
        <v>76</v>
      </c>
      <c r="T98" s="20" t="n">
        <v>90</v>
      </c>
      <c r="U98" s="20" t="n">
        <v>63</v>
      </c>
      <c r="V98" s="20" t="n">
        <v>41</v>
      </c>
      <c r="W98" s="20" t="n">
        <v>45</v>
      </c>
    </row>
    <row r="99">
      <c r="A99" s="18" t="inlineStr">
        <is>
          <t>급여·수당</t>
        </is>
      </c>
      <c r="C99" s="20" t="n">
        <v>710</v>
      </c>
      <c r="D99" s="20" t="n">
        <v>1180</v>
      </c>
      <c r="E99" s="20" t="n">
        <v>787</v>
      </c>
      <c r="F99" s="20" t="n">
        <v>976</v>
      </c>
      <c r="G99" s="20" t="n">
        <v>739</v>
      </c>
      <c r="H99" s="20" t="n">
        <v>1198</v>
      </c>
      <c r="I99" s="20" t="n">
        <v>750</v>
      </c>
      <c r="J99" s="20" t="n">
        <v>1064</v>
      </c>
      <c r="K99" s="20" t="n">
        <v>759</v>
      </c>
      <c r="L99" s="20" t="n">
        <v>1199</v>
      </c>
      <c r="S99" s="20" t="n">
        <v>990</v>
      </c>
      <c r="T99" s="20" t="n">
        <v>994</v>
      </c>
      <c r="U99" s="20" t="n">
        <v>997</v>
      </c>
      <c r="V99" s="20" t="n">
        <v>976</v>
      </c>
      <c r="W99" s="20" t="n">
        <v>1064</v>
      </c>
    </row>
    <row r="100">
      <c r="A100" s="18" t="inlineStr">
        <is>
          <t>상여충당금 전입</t>
        </is>
      </c>
      <c r="C100" s="20" t="n">
        <v>233</v>
      </c>
      <c r="G100" s="20" t="n">
        <v>226</v>
      </c>
      <c r="K100" s="20" t="n">
        <v>223</v>
      </c>
    </row>
    <row r="101">
      <c r="A101" s="18" t="inlineStr">
        <is>
          <t>퇴직급여비용</t>
        </is>
      </c>
      <c r="C101" s="20" t="n">
        <v>26</v>
      </c>
      <c r="D101" s="20" t="n">
        <v>28</v>
      </c>
      <c r="E101" s="20" t="n">
        <v>27</v>
      </c>
      <c r="F101" s="20" t="n">
        <v>36</v>
      </c>
      <c r="G101" s="20" t="n">
        <v>25</v>
      </c>
      <c r="H101" s="20" t="n">
        <v>26</v>
      </c>
      <c r="I101" s="20" t="n">
        <v>26</v>
      </c>
      <c r="J101" s="20" t="n">
        <v>31</v>
      </c>
      <c r="K101" s="20" t="n">
        <v>20</v>
      </c>
      <c r="L101" s="20" t="n">
        <v>18</v>
      </c>
      <c r="S101" s="20" t="n">
        <v>62</v>
      </c>
      <c r="T101" s="20" t="n">
        <v>15</v>
      </c>
      <c r="U101" s="20" t="n">
        <v>40</v>
      </c>
      <c r="V101" s="20" t="n">
        <v>36</v>
      </c>
      <c r="W101" s="20" t="n">
        <v>31</v>
      </c>
    </row>
    <row r="102">
      <c r="A102" s="18" t="inlineStr">
        <is>
          <t>주식 지급 충당금 전입액</t>
        </is>
      </c>
      <c r="C102" s="20" t="n">
        <v>6</v>
      </c>
      <c r="D102" s="20" t="n">
        <v>7</v>
      </c>
      <c r="E102" s="20" t="n">
        <v>6</v>
      </c>
      <c r="F102" s="20" t="n">
        <v>4</v>
      </c>
      <c r="G102" s="20" t="n">
        <v>6</v>
      </c>
      <c r="H102" s="20" t="n">
        <v>6</v>
      </c>
      <c r="I102" s="20" t="n">
        <v>6</v>
      </c>
      <c r="J102" s="20" t="n">
        <v>5</v>
      </c>
      <c r="K102" s="20" t="n">
        <v>5</v>
      </c>
      <c r="L102" s="20" t="n">
        <v>6</v>
      </c>
      <c r="S102" s="20" t="n">
        <v>16</v>
      </c>
      <c r="T102" s="20" t="n">
        <v>14</v>
      </c>
      <c r="U102" s="20" t="n">
        <v>38</v>
      </c>
      <c r="V102" s="20" t="n">
        <v>4</v>
      </c>
      <c r="W102" s="20" t="n">
        <v>5</v>
      </c>
    </row>
    <row r="103">
      <c r="A103" s="18" t="inlineStr">
        <is>
          <t>임원 주식 지급 충당금 전입액</t>
        </is>
      </c>
      <c r="C103" s="20" t="n">
        <v>7</v>
      </c>
      <c r="D103" s="20" t="n">
        <v>9</v>
      </c>
      <c r="E103" s="20" t="n">
        <v>9</v>
      </c>
      <c r="F103" s="20" t="n">
        <v>-3</v>
      </c>
      <c r="G103" s="20" t="n">
        <v>9</v>
      </c>
      <c r="H103" s="20" t="n">
        <v>9</v>
      </c>
      <c r="I103" s="20" t="n">
        <v>9</v>
      </c>
      <c r="J103" s="20" t="n">
        <v>7</v>
      </c>
      <c r="K103" s="20" t="n">
        <v>9</v>
      </c>
      <c r="L103" s="20" t="n">
        <v>9</v>
      </c>
      <c r="U103" s="20" t="n">
        <v>-15</v>
      </c>
      <c r="V103" s="20" t="n">
        <v>-3</v>
      </c>
      <c r="W103" s="20" t="n">
        <v>7</v>
      </c>
    </row>
    <row r="104">
      <c r="A104" s="18" t="inlineStr">
        <is>
          <t>임원 퇴직위로 충당금 전입</t>
        </is>
      </c>
      <c r="C104" s="20" t="n">
        <v>3</v>
      </c>
      <c r="D104" s="20" t="n">
        <v>3</v>
      </c>
      <c r="E104" s="20" t="n">
        <v>4</v>
      </c>
      <c r="F104" s="20" t="n">
        <v>2</v>
      </c>
      <c r="G104" s="20" t="n">
        <v>3</v>
      </c>
      <c r="H104" s="20" t="n">
        <v>3</v>
      </c>
      <c r="I104" s="20" t="n">
        <v>4</v>
      </c>
      <c r="J104" s="20" t="n">
        <v>3</v>
      </c>
      <c r="K104" s="20" t="n">
        <v>3</v>
      </c>
      <c r="L104" s="20" t="n">
        <v>3</v>
      </c>
      <c r="S104" s="20" t="n">
        <v>5</v>
      </c>
      <c r="T104" s="20" t="n">
        <v>5</v>
      </c>
      <c r="U104" s="20" t="n">
        <v>4</v>
      </c>
      <c r="V104" s="20" t="n">
        <v>2</v>
      </c>
      <c r="W104" s="20" t="n">
        <v>3</v>
      </c>
    </row>
    <row r="105">
      <c r="A105" s="18" t="inlineStr">
        <is>
          <t>기타</t>
        </is>
      </c>
      <c r="C105" s="20" t="n">
        <v>1210</v>
      </c>
      <c r="D105" s="20" t="n">
        <v>953</v>
      </c>
      <c r="E105" s="20" t="n">
        <v>1219</v>
      </c>
      <c r="F105" s="20" t="n">
        <v>711</v>
      </c>
      <c r="G105" s="20" t="n">
        <v>1236</v>
      </c>
      <c r="H105" s="20" t="n">
        <v>956</v>
      </c>
      <c r="I105" s="20" t="n">
        <v>1014</v>
      </c>
      <c r="J105" s="20" t="n">
        <v>1152</v>
      </c>
      <c r="K105" s="20" t="n">
        <v>1342</v>
      </c>
      <c r="L105" s="20" t="n">
        <v>1081</v>
      </c>
      <c r="S105" s="20" t="n">
        <v>765</v>
      </c>
      <c r="T105" s="20" t="n">
        <v>689</v>
      </c>
      <c r="U105" s="20" t="n">
        <v>374</v>
      </c>
      <c r="V105" s="20" t="n">
        <v>711</v>
      </c>
      <c r="W105" s="20" t="n">
        <v>1152</v>
      </c>
    </row>
    <row r="106">
      <c r="A106" s="18" t="inlineStr">
        <is>
          <t>판매비와 관리비 합계</t>
        </is>
      </c>
      <c r="C106" s="20" t="n">
        <v>2847</v>
      </c>
      <c r="D106" s="20" t="n">
        <v>2580</v>
      </c>
      <c r="E106" s="20" t="n">
        <v>2900</v>
      </c>
      <c r="F106" s="20" t="n">
        <v>2114</v>
      </c>
      <c r="G106" s="20" t="n">
        <v>2947</v>
      </c>
      <c r="H106" s="20" t="n">
        <v>2628</v>
      </c>
      <c r="I106" s="20" t="n">
        <v>2733</v>
      </c>
      <c r="J106" s="20" t="n">
        <v>2549</v>
      </c>
      <c r="K106" s="20" t="n">
        <v>3128</v>
      </c>
      <c r="L106" s="20" t="n">
        <v>2780</v>
      </c>
      <c r="S106" s="20" t="n">
        <v>2274</v>
      </c>
      <c r="T106" s="20" t="n">
        <v>2216</v>
      </c>
      <c r="U106" s="20" t="n">
        <v>1843</v>
      </c>
      <c r="V106" s="20" t="n">
        <v>2114</v>
      </c>
      <c r="W106" s="20" t="n">
        <v>2549</v>
      </c>
    </row>
    <row r="107">
      <c r="A107" s="43" t="inlineStr">
        <is>
          <t>YoY</t>
        </is>
      </c>
      <c r="B107" s="3" t="inlineStr">
        <is>
          <t>전년 같은 분기·전년 대비</t>
        </is>
      </c>
      <c r="G107" s="15">
        <f>IF(OR(G106="",C106=""),"",IF(G106*C106&lt;=0,"",IFERROR(G106/C106-1,"")))</f>
        <v/>
      </c>
      <c r="H107" s="15">
        <f>IF(OR(H106="",D106=""),"",IF(H106*D106&lt;=0,"",IFERROR(H106/D106-1,"")))</f>
        <v/>
      </c>
      <c r="I107" s="15">
        <f>IF(OR(I106="",E106=""),"",IF(I106*E106&lt;=0,"",IFERROR(I106/E106-1,"")))</f>
        <v/>
      </c>
      <c r="J107" s="15">
        <f>IF(OR(J106="",F106=""),"",IF(J106*F106&lt;=0,"",IFERROR(J106/F106-1,"")))</f>
        <v/>
      </c>
      <c r="K107" s="15">
        <f>IF(OR(K106="",G106=""),"",IF(K106*G106&lt;=0,"",IFERROR(K106/G106-1,"")))</f>
        <v/>
      </c>
      <c r="L107" s="15">
        <f>IF(OR(L106="",H106=""),"",IF(L106*H106&lt;=0,"",IFERROR(L106/H106-1,"")))</f>
        <v/>
      </c>
      <c r="S107" s="15">
        <f>IF(OR(S106="",R106=""),"",IF(S106*R106&lt;=0,"",IFERROR(S106/R106-1,"")))</f>
        <v/>
      </c>
      <c r="T107" s="15">
        <f>IF(OR(T106="",S106=""),"",IF(T106*S106&lt;=0,"",IFERROR(T106/S106-1,"")))</f>
        <v/>
      </c>
      <c r="U107" s="15">
        <f>IF(OR(U106="",T106=""),"",IF(U106*T106&lt;=0,"",IFERROR(U106/T106-1,"")))</f>
        <v/>
      </c>
      <c r="V107" s="15">
        <f>IF(OR(V106="",U106=""),"",IF(V106*U106&lt;=0,"",IFERROR(V106/U106-1,"")))</f>
        <v/>
      </c>
      <c r="W107" s="15">
        <f>IF(OR(W106="",V106=""),"",IF(W106*V106&lt;=0,"",IFERROR(W106/V106-1,"")))</f>
        <v/>
      </c>
    </row>
    <row r="108">
      <c r="A108" s="9" t="inlineStr">
        <is>
          <t>영업이익</t>
        </is>
      </c>
      <c r="C108" s="12" t="n">
        <v>1631</v>
      </c>
      <c r="D108" s="12" t="n">
        <v>1837</v>
      </c>
      <c r="E108" s="12" t="n">
        <v>2225</v>
      </c>
      <c r="F108" s="12" t="n">
        <v>1639</v>
      </c>
      <c r="G108" s="12" t="n">
        <v>1479</v>
      </c>
      <c r="H108" s="12" t="n">
        <v>1680</v>
      </c>
      <c r="I108" s="12" t="n">
        <v>2309</v>
      </c>
      <c r="J108" s="12" t="n">
        <v>1429</v>
      </c>
      <c r="K108" s="12" t="n">
        <v>1945</v>
      </c>
      <c r="L108" s="12" t="n">
        <v>1847</v>
      </c>
      <c r="S108" s="12" t="n">
        <v>814</v>
      </c>
      <c r="T108" s="12" t="n">
        <v>766</v>
      </c>
      <c r="U108" s="12" t="n">
        <v>-1665</v>
      </c>
      <c r="V108" s="12" t="n">
        <v>1639</v>
      </c>
      <c r="W108" s="12" t="n">
        <v>1429</v>
      </c>
    </row>
    <row r="109">
      <c r="A109" s="43" t="inlineStr">
        <is>
          <t>OPM</t>
        </is>
      </c>
      <c r="B109" s="3" t="inlineStr">
        <is>
          <t>영업이익 ÷ 매출</t>
        </is>
      </c>
      <c r="C109" s="15">
        <f>IF(OR(C108="",C90=""),"",IF(C90&lt;=0,"",IFERROR(C108/C90,"")))</f>
        <v/>
      </c>
      <c r="D109" s="15">
        <f>IF(OR(D108="",D90=""),"",IF(D90&lt;=0,"",IFERROR(D108/D90,"")))</f>
        <v/>
      </c>
      <c r="E109" s="15">
        <f>IF(OR(E108="",E90=""),"",IF(E90&lt;=0,"",IFERROR(E108/E90,"")))</f>
        <v/>
      </c>
      <c r="F109" s="15">
        <f>IF(OR(F108="",F90=""),"",IF(F90&lt;=0,"",IFERROR(F108/F90,"")))</f>
        <v/>
      </c>
      <c r="G109" s="15">
        <f>IF(OR(G108="",G90=""),"",IF(G90&lt;=0,"",IFERROR(G108/G90,"")))</f>
        <v/>
      </c>
      <c r="H109" s="15">
        <f>IF(OR(H108="",H90=""),"",IF(H90&lt;=0,"",IFERROR(H108/H90,"")))</f>
        <v/>
      </c>
      <c r="I109" s="15">
        <f>IF(OR(I108="",I90=""),"",IF(I90&lt;=0,"",IFERROR(I108/I90,"")))</f>
        <v/>
      </c>
      <c r="J109" s="15">
        <f>IF(OR(J108="",J90=""),"",IF(J90&lt;=0,"",IFERROR(J108/J90,"")))</f>
        <v/>
      </c>
      <c r="K109" s="15">
        <f>IF(OR(K108="",K90=""),"",IF(K90&lt;=0,"",IFERROR(K108/K90,"")))</f>
        <v/>
      </c>
      <c r="L109" s="15">
        <f>IF(OR(L108="",L90=""),"",IF(L90&lt;=0,"",IFERROR(L108/L90,"")))</f>
        <v/>
      </c>
      <c r="S109" s="15">
        <f>IF(OR(S108="",S90=""),"",IF(S90&lt;=0,"",IFERROR(S108/S90,"")))</f>
        <v/>
      </c>
      <c r="T109" s="15">
        <f>IF(OR(T108="",T90=""),"",IF(T90&lt;=0,"",IFERROR(T108/T90,"")))</f>
        <v/>
      </c>
      <c r="U109" s="15">
        <f>IF(OR(U108="",U90=""),"",IF(U90&lt;=0,"",IFERROR(U108/U90,"")))</f>
        <v/>
      </c>
      <c r="V109" s="15">
        <f>IF(OR(V108="",V90=""),"",IF(V90&lt;=0,"",IFERROR(V108/V90,"")))</f>
        <v/>
      </c>
      <c r="W109" s="15">
        <f>IF(OR(W108="",W90=""),"",IF(W90&lt;=0,"",IFERROR(W108/W90,"")))</f>
        <v/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IF(OR(G108="",C108=""),"",IF(C108&lt;=0,"",IFERROR(G108/C108-1,"")))</f>
        <v/>
      </c>
      <c r="H110" s="15">
        <f>IF(OR(H108="",D108=""),"",IF(D108&lt;=0,"",IFERROR(H108/D108-1,"")))</f>
        <v/>
      </c>
      <c r="I110" s="15">
        <f>IF(OR(I108="",E108=""),"",IF(E108&lt;=0,"",IFERROR(I108/E108-1,"")))</f>
        <v/>
      </c>
      <c r="J110" s="15">
        <f>IF(OR(J108="",F108=""),"",IF(F108&lt;=0,"",IFERROR(J108/F108-1,"")))</f>
        <v/>
      </c>
      <c r="K110" s="15">
        <f>IF(OR(K108="",G108=""),"",IF(G108&lt;=0,"",IFERROR(K108/G108-1,"")))</f>
        <v/>
      </c>
      <c r="L110" s="15">
        <f>IF(OR(L108="",H108=""),"",IF(H108&lt;=0,"",IFERROR(L108/H108-1,"")))</f>
        <v/>
      </c>
      <c r="S110" s="15">
        <f>IF(OR(S108="",R108=""),"",IF(R108&lt;=0,"",IFERROR(S108/R108-1,"")))</f>
        <v/>
      </c>
      <c r="T110" s="15">
        <f>IF(OR(T108="",S108=""),"",IF(S108&lt;=0,"",IFERROR(T108/S108-1,"")))</f>
        <v/>
      </c>
      <c r="U110" s="15">
        <f>IF(OR(U108="",T108=""),"",IF(T108&lt;=0,"",IFERROR(U108/T108-1,"")))</f>
        <v/>
      </c>
      <c r="V110" s="15">
        <f>IF(OR(V108="",U108=""),"",IF(U108&lt;=0,"",IFERROR(V108/U108-1,"")))</f>
        <v/>
      </c>
      <c r="W110" s="15">
        <f>IF(OR(W108="",V108=""),"",IF(V108&lt;=0,"",IFERROR(W108/V108-1,"")))</f>
        <v/>
      </c>
    </row>
    <row r="111">
      <c r="A111" s="18" t="inlineStr">
        <is>
          <t>이자수익</t>
        </is>
      </c>
      <c r="C111" s="20" t="n">
        <v>3</v>
      </c>
      <c r="D111" s="20" t="n">
        <v>4</v>
      </c>
      <c r="E111" s="20" t="n">
        <v>5</v>
      </c>
      <c r="F111" s="20" t="n">
        <v>2</v>
      </c>
      <c r="G111" s="20" t="n">
        <v>5</v>
      </c>
      <c r="H111" s="20" t="n">
        <v>7</v>
      </c>
      <c r="I111" s="20" t="n">
        <v>6</v>
      </c>
      <c r="J111" s="20" t="n">
        <v>-1</v>
      </c>
      <c r="K111" s="20" t="n">
        <v>9</v>
      </c>
      <c r="L111" s="20" t="n">
        <v>18</v>
      </c>
      <c r="S111" s="20" t="n">
        <v>2</v>
      </c>
      <c r="T111" s="20" t="n">
        <v>3</v>
      </c>
      <c r="U111" s="20" t="n">
        <v>3</v>
      </c>
      <c r="V111" s="20" t="n">
        <v>2</v>
      </c>
      <c r="W111" s="20" t="n">
        <v>-1</v>
      </c>
    </row>
    <row r="112">
      <c r="A112" s="18" t="inlineStr">
        <is>
          <t>배당금수익</t>
        </is>
      </c>
      <c r="C112" s="20" t="n">
        <v>8</v>
      </c>
      <c r="D112" s="20" t="n">
        <v>28</v>
      </c>
      <c r="E112" s="20" t="n">
        <v>26</v>
      </c>
      <c r="F112" s="20" t="n">
        <v>-8</v>
      </c>
      <c r="G112" s="20" t="n">
        <v>6</v>
      </c>
      <c r="H112" s="20" t="n">
        <v>32</v>
      </c>
      <c r="I112" s="20" t="n">
        <v>31</v>
      </c>
      <c r="J112" s="20" t="n">
        <v>-7</v>
      </c>
      <c r="K112" s="20" t="n">
        <v>10</v>
      </c>
      <c r="L112" s="20" t="n">
        <v>37</v>
      </c>
      <c r="S112" s="20" t="n">
        <v>3</v>
      </c>
      <c r="T112" s="20" t="n">
        <v>-1</v>
      </c>
      <c r="U112" s="20" t="n">
        <v>-24</v>
      </c>
      <c r="V112" s="20" t="n">
        <v>-8</v>
      </c>
      <c r="W112" s="20" t="n">
        <v>-7</v>
      </c>
    </row>
    <row r="113">
      <c r="A113" s="18" t="inlineStr">
        <is>
          <t>보험 사무 수수료</t>
        </is>
      </c>
      <c r="C113" s="20" t="n">
        <v>1</v>
      </c>
      <c r="D113" s="20" t="n">
        <v>1</v>
      </c>
      <c r="E113" s="20" t="n">
        <v>2</v>
      </c>
      <c r="F113" s="20" t="n">
        <v>1</v>
      </c>
      <c r="G113" s="20" t="n">
        <v>1</v>
      </c>
      <c r="H113" s="20" t="n">
        <v>1</v>
      </c>
      <c r="I113" s="20" t="n">
        <v>1</v>
      </c>
      <c r="J113" s="20" t="n">
        <v>2</v>
      </c>
      <c r="K113" s="20" t="n">
        <v>1</v>
      </c>
      <c r="L113" s="20" t="n">
        <v>1</v>
      </c>
      <c r="S113" s="20" t="n">
        <v>2</v>
      </c>
      <c r="T113" s="20" t="n">
        <v>2</v>
      </c>
      <c r="U113" s="20" t="n">
        <v>2</v>
      </c>
      <c r="V113" s="20" t="n">
        <v>1</v>
      </c>
      <c r="W113" s="20" t="n">
        <v>2</v>
      </c>
    </row>
    <row r="114">
      <c r="A114" s="18" t="inlineStr">
        <is>
          <t>작업부산물 매각이익</t>
        </is>
      </c>
      <c r="C114" s="20" t="n">
        <v>5</v>
      </c>
      <c r="D114" s="20" t="n">
        <v>6</v>
      </c>
      <c r="E114" s="20" t="n">
        <v>4</v>
      </c>
      <c r="F114" s="20" t="n">
        <v>8</v>
      </c>
      <c r="G114" s="20" t="n">
        <v>3</v>
      </c>
      <c r="H114" s="20" t="n">
        <v>3</v>
      </c>
      <c r="I114" s="20" t="n">
        <v>9</v>
      </c>
      <c r="J114" s="20" t="n">
        <v>11</v>
      </c>
      <c r="K114" s="20" t="n">
        <v>17</v>
      </c>
      <c r="L114" s="20" t="n">
        <v>8</v>
      </c>
      <c r="S114" s="20" t="n">
        <v>-4</v>
      </c>
      <c r="T114" s="20" t="n">
        <v>10</v>
      </c>
      <c r="U114" s="20" t="n">
        <v>6</v>
      </c>
      <c r="V114" s="20" t="n">
        <v>8</v>
      </c>
      <c r="W114" s="20" t="n">
        <v>11</v>
      </c>
    </row>
    <row r="115">
      <c r="A115" s="18" t="inlineStr">
        <is>
          <t>수수료 수익</t>
        </is>
      </c>
      <c r="C115" s="20" t="n">
        <v>7</v>
      </c>
      <c r="D115" s="20" t="n">
        <v>7</v>
      </c>
      <c r="E115" s="20" t="n">
        <v>8</v>
      </c>
      <c r="F115" s="20" t="n">
        <v>6</v>
      </c>
      <c r="G115" s="20" t="n">
        <v>7</v>
      </c>
      <c r="H115" s="20" t="n">
        <v>5</v>
      </c>
      <c r="I115" s="20" t="n">
        <v>6</v>
      </c>
      <c r="J115" s="20" t="n">
        <v>10</v>
      </c>
      <c r="K115" s="20" t="n">
        <v>6</v>
      </c>
      <c r="L115" s="20" t="n">
        <v>5</v>
      </c>
      <c r="V115" s="20" t="n">
        <v>6</v>
      </c>
      <c r="W115" s="20" t="n">
        <v>10</v>
      </c>
    </row>
    <row r="116">
      <c r="A116" s="18" t="inlineStr">
        <is>
          <t>기타</t>
        </is>
      </c>
      <c r="C116" s="20" t="n">
        <v>15</v>
      </c>
      <c r="D116" s="20" t="n">
        <v>14</v>
      </c>
      <c r="E116" s="20" t="n">
        <v>24</v>
      </c>
      <c r="F116" s="20" t="n">
        <v>-3</v>
      </c>
      <c r="G116" s="20" t="n">
        <v>19</v>
      </c>
      <c r="H116" s="20" t="n">
        <v>16</v>
      </c>
      <c r="I116" s="20" t="n">
        <v>10</v>
      </c>
      <c r="J116" s="20" t="n">
        <v>30</v>
      </c>
      <c r="K116" s="20" t="n">
        <v>21</v>
      </c>
      <c r="L116" s="20" t="n">
        <v>16</v>
      </c>
      <c r="S116" s="20" t="n">
        <v>60</v>
      </c>
      <c r="T116" s="20" t="n">
        <v>-2</v>
      </c>
      <c r="U116" s="20" t="n">
        <v>-14</v>
      </c>
      <c r="V116" s="20" t="n">
        <v>-3</v>
      </c>
      <c r="W116" s="20" t="n">
        <v>30</v>
      </c>
    </row>
    <row r="117">
      <c r="A117" s="18" t="inlineStr">
        <is>
          <t>영업외수익 합계</t>
        </is>
      </c>
      <c r="C117" s="20" t="n">
        <v>42</v>
      </c>
      <c r="D117" s="20" t="n">
        <v>60</v>
      </c>
      <c r="E117" s="20" t="n">
        <v>68</v>
      </c>
      <c r="F117" s="20" t="n">
        <v>6</v>
      </c>
      <c r="G117" s="20" t="n">
        <v>43</v>
      </c>
      <c r="H117" s="20" t="n">
        <v>64</v>
      </c>
      <c r="I117" s="20" t="n">
        <v>63</v>
      </c>
      <c r="J117" s="20" t="n">
        <v>45</v>
      </c>
      <c r="K117" s="20" t="n">
        <v>65</v>
      </c>
      <c r="L117" s="20" t="n">
        <v>86</v>
      </c>
      <c r="S117" s="20" t="n">
        <v>63</v>
      </c>
      <c r="T117" s="20" t="n">
        <v>20</v>
      </c>
      <c r="U117" s="20" t="n">
        <v>-5</v>
      </c>
      <c r="V117" s="20" t="n">
        <v>6</v>
      </c>
      <c r="W117" s="20" t="n">
        <v>45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S118" s="15">
        <f>IF(OR(S117="",R117=""),"",IF(S117*R117&lt;=0,"",IFERROR(S117/R117-1,"")))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</row>
    <row r="119">
      <c r="A119" s="18" t="inlineStr">
        <is>
          <t>이자비용</t>
        </is>
      </c>
      <c r="C119" s="20" t="n">
        <v>1</v>
      </c>
      <c r="D119" s="20" t="n">
        <v>1</v>
      </c>
      <c r="E119" s="20" t="n">
        <v>2</v>
      </c>
      <c r="F119" s="20" t="n">
        <v>-1</v>
      </c>
      <c r="G119" s="20" t="n">
        <v>1</v>
      </c>
      <c r="H119" s="20" t="n">
        <v>3</v>
      </c>
      <c r="I119" s="20" t="n">
        <v>2</v>
      </c>
      <c r="J119" s="20" t="n">
        <v>-1</v>
      </c>
      <c r="K119" s="20" t="n">
        <v>2</v>
      </c>
      <c r="L119" s="20" t="n">
        <v>3</v>
      </c>
      <c r="S119" s="20" t="n">
        <v>2</v>
      </c>
      <c r="T119" s="20" t="n">
        <v>2</v>
      </c>
      <c r="U119" s="20" t="n">
        <v>2</v>
      </c>
      <c r="V119" s="20" t="n">
        <v>-1</v>
      </c>
      <c r="W119" s="20" t="n">
        <v>-1</v>
      </c>
    </row>
    <row r="120">
      <c r="A120" s="18" t="inlineStr">
        <is>
          <t>매출할인</t>
        </is>
      </c>
      <c r="S120" s="20" t="n">
        <v>43</v>
      </c>
      <c r="T120" s="20" t="n">
        <v>180</v>
      </c>
    </row>
    <row r="121">
      <c r="A121" s="18" t="inlineStr">
        <is>
          <t>사채발행비</t>
        </is>
      </c>
      <c r="C121" s="20" t="n">
        <v>5</v>
      </c>
      <c r="D121" s="20" t="n">
        <v>0</v>
      </c>
      <c r="E121" s="20" t="n">
        <v>0</v>
      </c>
      <c r="F121" s="20" t="n">
        <v>1</v>
      </c>
      <c r="G121" s="20" t="n">
        <v>5</v>
      </c>
      <c r="H121" s="20" t="n">
        <v>0</v>
      </c>
      <c r="I121" s="20" t="n">
        <v>0</v>
      </c>
      <c r="J121" s="20" t="n">
        <v>0</v>
      </c>
      <c r="K121" s="20" t="n">
        <v>0</v>
      </c>
      <c r="L121" s="20" t="n">
        <v>0</v>
      </c>
      <c r="T121" s="20" t="n">
        <v>-2</v>
      </c>
      <c r="U121" s="20" t="n">
        <v>-1</v>
      </c>
      <c r="V121" s="20" t="n">
        <v>1</v>
      </c>
      <c r="W121" s="20" t="n">
        <v>0</v>
      </c>
    </row>
    <row r="122">
      <c r="A122" s="18" t="inlineStr">
        <is>
          <t>고정자산 제각손실</t>
        </is>
      </c>
      <c r="C122" s="20" t="n">
        <v>0</v>
      </c>
      <c r="F122" s="20" t="n">
        <v>5</v>
      </c>
      <c r="G122" s="20" t="n">
        <v>0</v>
      </c>
      <c r="H122" s="20" t="n">
        <v>1</v>
      </c>
      <c r="I122" s="20" t="n">
        <v>6</v>
      </c>
      <c r="J122" s="20" t="n">
        <v>5</v>
      </c>
      <c r="K122" s="20" t="n">
        <v>1</v>
      </c>
      <c r="L122" s="20" t="n">
        <v>9</v>
      </c>
      <c r="S122" s="20" t="n">
        <v>13</v>
      </c>
      <c r="T122" s="20" t="n">
        <v>14</v>
      </c>
      <c r="U122" s="20" t="n">
        <v>6</v>
      </c>
      <c r="V122" s="20" t="n">
        <v>5</v>
      </c>
      <c r="W122" s="20" t="n">
        <v>5</v>
      </c>
    </row>
    <row r="123">
      <c r="A123" s="18" t="inlineStr">
        <is>
          <t>보상비 지급</t>
        </is>
      </c>
      <c r="E123" s="20" t="n">
        <v>10</v>
      </c>
      <c r="F123" s="20" t="n">
        <v>-16</v>
      </c>
      <c r="V123" s="20" t="n">
        <v>-16</v>
      </c>
    </row>
    <row r="124">
      <c r="A124" s="18" t="inlineStr">
        <is>
          <t>기타</t>
        </is>
      </c>
      <c r="C124" s="20" t="n">
        <v>1</v>
      </c>
      <c r="D124" s="20" t="n">
        <v>18</v>
      </c>
      <c r="E124" s="20" t="n">
        <v>3</v>
      </c>
      <c r="F124" s="20" t="n">
        <v>-18</v>
      </c>
      <c r="G124" s="20" t="n">
        <v>2</v>
      </c>
      <c r="H124" s="20" t="n">
        <v>1</v>
      </c>
      <c r="I124" s="20" t="n">
        <v>0</v>
      </c>
      <c r="J124" s="20" t="n">
        <v>0</v>
      </c>
      <c r="K124" s="20" t="n">
        <v>0</v>
      </c>
      <c r="L124" s="20" t="n">
        <v>3</v>
      </c>
      <c r="S124" s="20" t="n">
        <v>5</v>
      </c>
      <c r="T124" s="20" t="n">
        <v>-2</v>
      </c>
      <c r="U124" s="20" t="n">
        <v>4</v>
      </c>
      <c r="V124" s="20" t="n">
        <v>-18</v>
      </c>
      <c r="W124" s="20" t="n">
        <v>0</v>
      </c>
    </row>
    <row r="125">
      <c r="A125" s="18" t="inlineStr">
        <is>
          <t>영업외비용 합계</t>
        </is>
      </c>
      <c r="C125" s="20" t="n">
        <v>8</v>
      </c>
      <c r="D125" s="20" t="n">
        <v>19</v>
      </c>
      <c r="E125" s="20" t="n">
        <v>13</v>
      </c>
      <c r="F125" s="20" t="n">
        <v>-9</v>
      </c>
      <c r="G125" s="20" t="n">
        <v>10</v>
      </c>
      <c r="H125" s="20" t="n">
        <v>4</v>
      </c>
      <c r="I125" s="20" t="n">
        <v>8</v>
      </c>
      <c r="J125" s="20" t="n">
        <v>23</v>
      </c>
      <c r="K125" s="20" t="n">
        <v>4</v>
      </c>
      <c r="L125" s="20" t="n">
        <v>14</v>
      </c>
      <c r="S125" s="20" t="n">
        <v>60</v>
      </c>
      <c r="T125" s="20" t="n">
        <v>193</v>
      </c>
      <c r="U125" s="20" t="n">
        <v>6</v>
      </c>
      <c r="V125" s="20" t="n">
        <v>-9</v>
      </c>
      <c r="W125" s="20" t="n">
        <v>23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IF(OR(G125="",C125=""),"",IF(G125*C125&lt;=0,"",IFERROR(G125/C125-1,"")))</f>
        <v/>
      </c>
      <c r="H126" s="15">
        <f>IF(OR(H125="",D125=""),"",IF(H125*D125&lt;=0,"",IFERROR(H125/D125-1,"")))</f>
        <v/>
      </c>
      <c r="I126" s="15">
        <f>IF(OR(I125="",E125=""),"",IF(I125*E125&lt;=0,"",IFERROR(I125/E125-1,"")))</f>
        <v/>
      </c>
      <c r="J126" s="15">
        <f>IF(OR(J125="",F125=""),"",IF(J125*F125&lt;=0,"",IFERROR(J125/F125-1,"")))</f>
        <v/>
      </c>
      <c r="K126" s="15">
        <f>IF(OR(K125="",G125=""),"",IF(K125*G125&lt;=0,"",IFERROR(K125/G125-1,"")))</f>
        <v/>
      </c>
      <c r="L126" s="15">
        <f>IF(OR(L125="",H125=""),"",IF(L125*H125&lt;=0,"",IFERROR(L125/H125-1,"")))</f>
        <v/>
      </c>
      <c r="S126" s="15">
        <f>IF(OR(S125="",R125=""),"",IF(S125*R125&lt;=0,"",IFERROR(S125/R125-1,"")))</f>
        <v/>
      </c>
      <c r="T126" s="15">
        <f>IF(OR(T125="",S125=""),"",IF(T125*S125&lt;=0,"",IFERROR(T125/S125-1,"")))</f>
        <v/>
      </c>
      <c r="U126" s="15">
        <f>IF(OR(U125="",T125=""),"",IF(U125*T125&lt;=0,"",IFERROR(U125/T125-1,"")))</f>
        <v/>
      </c>
      <c r="V126" s="15">
        <f>IF(OR(V125="",U125=""),"",IF(V125*U125&lt;=0,"",IFERROR(V125/U125-1,"")))</f>
        <v/>
      </c>
      <c r="W126" s="15">
        <f>IF(OR(W125="",V125=""),"",IF(W125*V125&lt;=0,"",IFERROR(W125/V125-1,"")))</f>
        <v/>
      </c>
    </row>
    <row r="127">
      <c r="A127" s="9" t="inlineStr">
        <is>
          <t>경상이익</t>
        </is>
      </c>
      <c r="C127" s="12" t="n">
        <v>1665</v>
      </c>
      <c r="D127" s="12" t="n">
        <v>1879</v>
      </c>
      <c r="E127" s="12" t="n">
        <v>2279</v>
      </c>
      <c r="F127" s="12" t="n">
        <v>1654</v>
      </c>
      <c r="G127" s="12" t="n">
        <v>1513</v>
      </c>
      <c r="H127" s="12" t="n">
        <v>1739</v>
      </c>
      <c r="I127" s="12" t="n">
        <v>2364</v>
      </c>
      <c r="J127" s="12" t="n">
        <v>1451</v>
      </c>
      <c r="K127" s="12" t="n">
        <v>2006</v>
      </c>
      <c r="L127" s="12" t="n">
        <v>1919</v>
      </c>
      <c r="S127" s="12" t="n">
        <v>818</v>
      </c>
      <c r="T127" s="12" t="n">
        <v>592</v>
      </c>
      <c r="U127" s="12" t="n">
        <v>-1677</v>
      </c>
      <c r="V127" s="12" t="n">
        <v>1654</v>
      </c>
      <c r="W127" s="12" t="n">
        <v>1451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IF(OR(G127="",C127=""),"",IF(C127&lt;=0,"",IFERROR(G127/C127-1,"")))</f>
        <v/>
      </c>
      <c r="H128" s="15">
        <f>IF(OR(H127="",D127=""),"",IF(D127&lt;=0,"",IFERROR(H127/D127-1,"")))</f>
        <v/>
      </c>
      <c r="I128" s="15">
        <f>IF(OR(I127="",E127=""),"",IF(E127&lt;=0,"",IFERROR(I127/E127-1,"")))</f>
        <v/>
      </c>
      <c r="J128" s="15">
        <f>IF(OR(J127="",F127=""),"",IF(F127&lt;=0,"",IFERROR(J127/F127-1,"")))</f>
        <v/>
      </c>
      <c r="K128" s="15">
        <f>IF(OR(K127="",G127=""),"",IF(G127&lt;=0,"",IFERROR(K127/G127-1,"")))</f>
        <v/>
      </c>
      <c r="L128" s="15">
        <f>IF(OR(L127="",H127=""),"",IF(H127&lt;=0,"",IFERROR(L127/H127-1,"")))</f>
        <v/>
      </c>
      <c r="S128" s="15">
        <f>IF(OR(S127="",R127=""),"",IF(R127&lt;=0,"",IFERROR(S127/R127-1,"")))</f>
        <v/>
      </c>
      <c r="T128" s="15">
        <f>IF(OR(T127="",S127=""),"",IF(S127&lt;=0,"",IFERROR(T127/S127-1,"")))</f>
        <v/>
      </c>
      <c r="U128" s="15">
        <f>IF(OR(U127="",T127=""),"",IF(T127&lt;=0,"",IFERROR(U127/T127-1,"")))</f>
        <v/>
      </c>
      <c r="V128" s="15">
        <f>IF(OR(V127="",U127=""),"",IF(U127&lt;=0,"",IFERROR(V127/U127-1,"")))</f>
        <v/>
      </c>
      <c r="W128" s="15">
        <f>IF(OR(W127="",V127=""),"",IF(V127&lt;=0,"",IFERROR(W127/V127-1,"")))</f>
        <v/>
      </c>
    </row>
    <row r="129">
      <c r="A129" s="18" t="inlineStr">
        <is>
          <t>보조금 수입</t>
        </is>
      </c>
      <c r="C129" s="20" t="n">
        <v>0</v>
      </c>
      <c r="D129" s="20" t="n">
        <v>0</v>
      </c>
      <c r="E129" s="20" t="n">
        <v>0</v>
      </c>
      <c r="F129" s="20" t="n">
        <v>191</v>
      </c>
      <c r="G129" s="20" t="n">
        <v>53</v>
      </c>
      <c r="H129" s="20" t="n">
        <v>0</v>
      </c>
      <c r="I129" s="20" t="n">
        <v>0</v>
      </c>
      <c r="J129" s="20" t="n">
        <v>-44</v>
      </c>
      <c r="K129" s="20" t="n">
        <v>0</v>
      </c>
      <c r="L129" s="20" t="n">
        <v>0</v>
      </c>
      <c r="T129" s="20" t="n">
        <v>30</v>
      </c>
      <c r="U129" s="20" t="n">
        <v>-50</v>
      </c>
      <c r="V129" s="20" t="n">
        <v>191</v>
      </c>
      <c r="W129" s="20" t="n">
        <v>-44</v>
      </c>
    </row>
    <row r="130">
      <c r="A130" s="18" t="inlineStr">
        <is>
          <t>특별이익 합계</t>
        </is>
      </c>
      <c r="C130" s="20" t="n">
        <v>0</v>
      </c>
      <c r="D130" s="20" t="n">
        <v>0</v>
      </c>
      <c r="E130" s="20" t="n">
        <v>0</v>
      </c>
      <c r="F130" s="20" t="n">
        <v>191</v>
      </c>
      <c r="G130" s="20" t="n">
        <v>53</v>
      </c>
      <c r="H130" s="20" t="n">
        <v>0</v>
      </c>
      <c r="I130" s="20" t="n">
        <v>0</v>
      </c>
      <c r="J130" s="20" t="n">
        <v>-44</v>
      </c>
      <c r="K130" s="20" t="n">
        <v>0</v>
      </c>
      <c r="L130" s="20" t="n">
        <v>0</v>
      </c>
      <c r="T130" s="20" t="n">
        <v>30</v>
      </c>
      <c r="U130" s="20" t="n">
        <v>-50</v>
      </c>
      <c r="V130" s="20" t="n">
        <v>191</v>
      </c>
      <c r="W130" s="20" t="n">
        <v>-44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IF(OR(G130="",C130=""),"",IF(G130*C130&lt;=0,"",IFERROR(G130/C130-1,"")))</f>
        <v/>
      </c>
      <c r="H131" s="15">
        <f>IF(OR(H130="",D130=""),"",IF(H130*D130&lt;=0,"",IFERROR(H130/D130-1,"")))</f>
        <v/>
      </c>
      <c r="I131" s="15">
        <f>IF(OR(I130="",E130=""),"",IF(I130*E130&lt;=0,"",IFERROR(I130/E130-1,"")))</f>
        <v/>
      </c>
      <c r="J131" s="15">
        <f>IF(OR(J130="",F130=""),"",IF(J130*F130&lt;=0,"",IFERROR(J130/F130-1,"")))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T131" s="15">
        <f>IF(OR(T130="",S130=""),"",IF(T130*S130&lt;=0,"",IFERROR(T130/S130-1,"")))</f>
        <v/>
      </c>
      <c r="U131" s="15">
        <f>IF(OR(U130="",T130=""),"",IF(U130*T130&lt;=0,"",IFERROR(U130/T130-1,"")))</f>
        <v/>
      </c>
      <c r="V131" s="15">
        <f>IF(OR(V130="",U130=""),"",IF(V130*U130&lt;=0,"",IFERROR(V130/U130-1,"")))</f>
        <v/>
      </c>
      <c r="W131" s="15">
        <f>IF(OR(W130="",V130=""),"",IF(W130*V130&lt;=0,"",IFERROR(W130/V130-1,"")))</f>
        <v/>
      </c>
    </row>
    <row r="132">
      <c r="A132" s="18" t="inlineStr">
        <is>
          <t>고정자산 압축손실</t>
        </is>
      </c>
      <c r="C132" s="20" t="n">
        <v>0</v>
      </c>
      <c r="D132" s="20" t="n">
        <v>0</v>
      </c>
      <c r="E132" s="20" t="n">
        <v>0</v>
      </c>
      <c r="F132" s="20" t="n">
        <v>191</v>
      </c>
      <c r="G132" s="20" t="n">
        <v>53</v>
      </c>
      <c r="H132" s="20" t="n">
        <v>0</v>
      </c>
      <c r="I132" s="20" t="n">
        <v>0</v>
      </c>
      <c r="J132" s="20" t="n">
        <v>-44</v>
      </c>
      <c r="K132" s="20" t="n">
        <v>0</v>
      </c>
      <c r="L132" s="20" t="n">
        <v>0</v>
      </c>
      <c r="T132" s="20" t="n">
        <v>30</v>
      </c>
      <c r="U132" s="20" t="n">
        <v>-50</v>
      </c>
      <c r="V132" s="20" t="n">
        <v>191</v>
      </c>
      <c r="W132" s="20" t="n">
        <v>-44</v>
      </c>
    </row>
    <row r="133">
      <c r="A133" s="18" t="inlineStr">
        <is>
          <t>특별손실 합계</t>
        </is>
      </c>
      <c r="C133" s="20" t="n">
        <v>0</v>
      </c>
      <c r="D133" s="20" t="n">
        <v>0</v>
      </c>
      <c r="E133" s="20" t="n">
        <v>0</v>
      </c>
      <c r="F133" s="20" t="n">
        <v>191</v>
      </c>
      <c r="G133" s="20" t="n">
        <v>53</v>
      </c>
      <c r="H133" s="20" t="n">
        <v>0</v>
      </c>
      <c r="I133" s="20" t="n">
        <v>0</v>
      </c>
      <c r="J133" s="20" t="n">
        <v>-44</v>
      </c>
      <c r="K133" s="20" t="n">
        <v>0</v>
      </c>
      <c r="L133" s="20" t="n">
        <v>31</v>
      </c>
      <c r="T133" s="20" t="n">
        <v>166</v>
      </c>
      <c r="U133" s="20" t="n">
        <v>-25</v>
      </c>
      <c r="V133" s="20" t="n">
        <v>191</v>
      </c>
      <c r="W133" s="20" t="n">
        <v>-44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IF(OR(G133="",C133=""),"",IF(G133*C133&lt;=0,"",IFERROR(G133/C133-1,"")))</f>
        <v/>
      </c>
      <c r="H134" s="15">
        <f>IF(OR(H133="",D133=""),"",IF(H133*D133&lt;=0,"",IFERROR(H133/D133-1,"")))</f>
        <v/>
      </c>
      <c r="I134" s="15">
        <f>IF(OR(I133="",E133=""),"",IF(I133*E133&lt;=0,"",IFERROR(I133/E133-1,"")))</f>
        <v/>
      </c>
      <c r="J134" s="15">
        <f>IF(OR(J133="",F133=""),"",IF(J133*F133&lt;=0,"",IFERROR(J133/F133-1,"")))</f>
        <v/>
      </c>
      <c r="K134" s="15">
        <f>IF(OR(K133="",G133=""),"",IF(K133*G133&lt;=0,"",IFERROR(K133/G133-1,"")))</f>
        <v/>
      </c>
      <c r="L134" s="15">
        <f>IF(OR(L133="",H133=""),"",IF(L133*H133&lt;=0,"",IFERROR(L133/H133-1,"")))</f>
        <v/>
      </c>
      <c r="T134" s="15">
        <f>IF(OR(T133="",S133=""),"",IF(T133*S133&lt;=0,"",IFERROR(T133/S133-1,"")))</f>
        <v/>
      </c>
      <c r="U134" s="15">
        <f>IF(OR(U133="",T133=""),"",IF(U133*T133&lt;=0,"",IFERROR(U133/T133-1,"")))</f>
        <v/>
      </c>
      <c r="V134" s="15">
        <f>IF(OR(V133="",U133=""),"",IF(V133*U133&lt;=0,"",IFERROR(V133/U133-1,"")))</f>
        <v/>
      </c>
      <c r="W134" s="15">
        <f>IF(OR(W133="",V133=""),"",IF(W133*V133&lt;=0,"",IFERROR(W133/V133-1,"")))</f>
        <v/>
      </c>
    </row>
    <row r="135">
      <c r="A135" s="9" t="inlineStr">
        <is>
          <t>법인세차감전 순이익</t>
        </is>
      </c>
      <c r="C135" s="12" t="n">
        <v>1665</v>
      </c>
      <c r="D135" s="12" t="n">
        <v>1879</v>
      </c>
      <c r="E135" s="12" t="n">
        <v>2279</v>
      </c>
      <c r="F135" s="12" t="n">
        <v>1654</v>
      </c>
      <c r="G135" s="12" t="n">
        <v>1513</v>
      </c>
      <c r="H135" s="12" t="n">
        <v>1739</v>
      </c>
      <c r="I135" s="12" t="n">
        <v>2364</v>
      </c>
      <c r="J135" s="12" t="n">
        <v>1451</v>
      </c>
      <c r="K135" s="12" t="n">
        <v>2006</v>
      </c>
      <c r="L135" s="12" t="n">
        <v>1887</v>
      </c>
      <c r="S135" s="12" t="n">
        <v>961</v>
      </c>
      <c r="T135" s="12" t="n">
        <v>456</v>
      </c>
      <c r="U135" s="12" t="n">
        <v>-1703</v>
      </c>
      <c r="V135" s="12" t="n">
        <v>1654</v>
      </c>
      <c r="W135" s="12" t="n">
        <v>1451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S136" s="15">
        <f>IF(OR(S135="",R135=""),"",IF(R135&lt;=0,"",IFERROR(S135/R135-1,"")))</f>
        <v/>
      </c>
      <c r="T136" s="15">
        <f>IF(OR(T135="",S135=""),"",IF(S135&lt;=0,"",IFERROR(T135/S135-1,"")))</f>
        <v/>
      </c>
      <c r="U136" s="15">
        <f>IF(OR(U135="",T135=""),"",IF(T135&lt;=0,"",IFERROR(U135/T135-1,"")))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</row>
    <row r="137">
      <c r="A137" s="18" t="inlineStr">
        <is>
          <t>법인세·주민세·사업세</t>
        </is>
      </c>
      <c r="C137" s="20" t="n">
        <v>325</v>
      </c>
      <c r="D137" s="20" t="n">
        <v>799</v>
      </c>
      <c r="E137" s="20" t="n">
        <v>540</v>
      </c>
      <c r="F137" s="20" t="n">
        <v>679</v>
      </c>
      <c r="G137" s="20" t="n">
        <v>263</v>
      </c>
      <c r="H137" s="20" t="n">
        <v>747</v>
      </c>
      <c r="I137" s="20" t="n">
        <v>449</v>
      </c>
      <c r="J137" s="20" t="n">
        <v>783</v>
      </c>
      <c r="K137" s="20" t="n">
        <v>397</v>
      </c>
      <c r="L137" s="20" t="n">
        <v>778</v>
      </c>
      <c r="S137" s="20" t="n">
        <v>346</v>
      </c>
      <c r="T137" s="20" t="n">
        <v>347</v>
      </c>
      <c r="U137" s="20" t="n">
        <v>-212</v>
      </c>
      <c r="V137" s="20" t="n">
        <v>679</v>
      </c>
      <c r="W137" s="20" t="n">
        <v>783</v>
      </c>
    </row>
    <row r="138">
      <c r="A138" s="18" t="inlineStr">
        <is>
          <t>법인세 조정액</t>
        </is>
      </c>
      <c r="C138" s="20" t="n">
        <v>194</v>
      </c>
      <c r="D138" s="20" t="n">
        <v>-203</v>
      </c>
      <c r="E138" s="20" t="n">
        <v>174</v>
      </c>
      <c r="F138" s="20" t="n">
        <v>-226</v>
      </c>
      <c r="G138" s="20" t="n">
        <v>195</v>
      </c>
      <c r="H138" s="20" t="n">
        <v>-194</v>
      </c>
      <c r="I138" s="20" t="n">
        <v>278</v>
      </c>
      <c r="J138" s="20" t="n">
        <v>-356</v>
      </c>
      <c r="K138" s="20" t="n">
        <v>208</v>
      </c>
      <c r="L138" s="20" t="n">
        <v>-177</v>
      </c>
      <c r="S138" s="20" t="n">
        <v>-4</v>
      </c>
      <c r="T138" s="20" t="n">
        <v>-214</v>
      </c>
      <c r="U138" s="20" t="n">
        <v>-272</v>
      </c>
      <c r="V138" s="20" t="n">
        <v>-226</v>
      </c>
      <c r="W138" s="20" t="n">
        <v>-356</v>
      </c>
    </row>
    <row r="139">
      <c r="A139" s="18" t="inlineStr">
        <is>
          <t>법인세 등 합계</t>
        </is>
      </c>
      <c r="C139" s="20" t="n">
        <v>519</v>
      </c>
      <c r="D139" s="20" t="n">
        <v>595</v>
      </c>
      <c r="E139" s="20" t="n">
        <v>715</v>
      </c>
      <c r="F139" s="20" t="n">
        <v>453</v>
      </c>
      <c r="G139" s="20" t="n">
        <v>458</v>
      </c>
      <c r="H139" s="20" t="n">
        <v>554</v>
      </c>
      <c r="I139" s="20" t="n">
        <v>727</v>
      </c>
      <c r="J139" s="20" t="n">
        <v>426</v>
      </c>
      <c r="K139" s="20" t="n">
        <v>606</v>
      </c>
      <c r="L139" s="20" t="n">
        <v>601</v>
      </c>
      <c r="S139" s="20" t="n">
        <v>341</v>
      </c>
      <c r="T139" s="20" t="n">
        <v>132</v>
      </c>
      <c r="U139" s="20" t="n">
        <v>-485</v>
      </c>
      <c r="V139" s="20" t="n">
        <v>453</v>
      </c>
      <c r="W139" s="20" t="n">
        <v>426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IF(OR(G139="",C139=""),"",IF(G139*C139&lt;=0,"",IFERROR(G139/C139-1,"")))</f>
        <v/>
      </c>
      <c r="H140" s="15">
        <f>IF(OR(H139="",D139=""),"",IF(H139*D139&lt;=0,"",IFERROR(H139/D139-1,"")))</f>
        <v/>
      </c>
      <c r="I140" s="15">
        <f>IF(OR(I139="",E139=""),"",IF(I139*E139&lt;=0,"",IFERROR(I139/E139-1,"")))</f>
        <v/>
      </c>
      <c r="J140" s="15">
        <f>IF(OR(J139="",F139=""),"",IF(J139*F139&lt;=0,"",IFERROR(J139/F139-1,"")))</f>
        <v/>
      </c>
      <c r="K140" s="15">
        <f>IF(OR(K139="",G139=""),"",IF(K139*G139&lt;=0,"",IFERROR(K139/G139-1,"")))</f>
        <v/>
      </c>
      <c r="L140" s="15">
        <f>IF(OR(L139="",H139=""),"",IF(L139*H139&lt;=0,"",IFERROR(L139/H139-1,"")))</f>
        <v/>
      </c>
      <c r="S140" s="15">
        <f>IF(OR(S139="",R139=""),"",IF(S139*R139&lt;=0,"",IFERROR(S139/R139-1,"")))</f>
        <v/>
      </c>
      <c r="T140" s="15">
        <f>IF(OR(T139="",S139=""),"",IF(T139*S139&lt;=0,"",IFERROR(T139/S139-1,"")))</f>
        <v/>
      </c>
      <c r="U140" s="15">
        <f>IF(OR(U139="",T139=""),"",IF(U139*T139&lt;=0,"",IFERROR(U139/T139-1,"")))</f>
        <v/>
      </c>
      <c r="V140" s="15">
        <f>IF(OR(V139="",U139=""),"",IF(V139*U139&lt;=0,"",IFERROR(V139/U139-1,"")))</f>
        <v/>
      </c>
      <c r="W140" s="15">
        <f>IF(OR(W139="",V139=""),"",IF(W139*V139&lt;=0,"",IFERROR(W139/V139-1,"")))</f>
        <v/>
      </c>
    </row>
    <row r="141">
      <c r="A141" s="9" t="inlineStr">
        <is>
          <t>순이익</t>
        </is>
      </c>
      <c r="C141" s="12" t="n">
        <v>1145</v>
      </c>
      <c r="D141" s="12" t="n">
        <v>1285</v>
      </c>
      <c r="E141" s="12" t="n">
        <v>1564</v>
      </c>
      <c r="F141" s="12" t="n">
        <v>1201</v>
      </c>
      <c r="G141" s="12" t="n">
        <v>1055</v>
      </c>
      <c r="H141" s="12" t="n">
        <v>1184</v>
      </c>
      <c r="I141" s="12" t="n">
        <v>1637</v>
      </c>
      <c r="J141" s="12" t="n">
        <v>1026</v>
      </c>
      <c r="K141" s="12" t="n">
        <v>1400</v>
      </c>
      <c r="L141" s="12" t="n">
        <v>1286</v>
      </c>
      <c r="S141" s="12" t="n">
        <v>619</v>
      </c>
      <c r="T141" s="12" t="n">
        <v>324</v>
      </c>
      <c r="U141" s="12" t="n">
        <v>-1218</v>
      </c>
      <c r="V141" s="12" t="n">
        <v>1201</v>
      </c>
      <c r="W141" s="12" t="n">
        <v>1026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S142" s="15">
        <f>IF(OR(S141="",R141=""),"",IF(R141&lt;=0,"",IFERROR(S141/R141-1,"")))</f>
        <v/>
      </c>
      <c r="T142" s="15">
        <f>IF(OR(T141="",S141=""),"",IF(S141&lt;=0,"",IFERROR(T141/S141-1,"")))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</row>
    <row r="143">
      <c r="A143" s="9" t="inlineStr">
        <is>
          <t>비지배주주 순이익</t>
        </is>
      </c>
      <c r="C143" s="12" t="n">
        <v>17</v>
      </c>
      <c r="D143" s="12" t="n">
        <v>14</v>
      </c>
      <c r="E143" s="12" t="n">
        <v>16</v>
      </c>
      <c r="F143" s="12" t="n">
        <v>31</v>
      </c>
      <c r="G143" s="12" t="n">
        <v>22</v>
      </c>
      <c r="H143" s="12" t="n">
        <v>22</v>
      </c>
      <c r="I143" s="12" t="n">
        <v>20</v>
      </c>
      <c r="J143" s="12" t="n">
        <v>4</v>
      </c>
      <c r="K143" s="12" t="n">
        <v>21</v>
      </c>
      <c r="L143" s="12" t="n">
        <v>19</v>
      </c>
      <c r="S143" s="12" t="n">
        <v>16</v>
      </c>
      <c r="T143" s="12" t="n">
        <v>29</v>
      </c>
      <c r="U143" s="12" t="n">
        <v>21</v>
      </c>
      <c r="V143" s="12" t="n">
        <v>31</v>
      </c>
      <c r="W143" s="12" t="n">
        <v>4</v>
      </c>
    </row>
    <row r="144">
      <c r="A144" s="9" t="inlineStr">
        <is>
          <t>지배주주 순이익</t>
        </is>
      </c>
      <c r="C144" s="12" t="n">
        <v>1127</v>
      </c>
      <c r="D144" s="12" t="n">
        <v>1271</v>
      </c>
      <c r="E144" s="12" t="n">
        <v>1548</v>
      </c>
      <c r="F144" s="12" t="n">
        <v>1170</v>
      </c>
      <c r="G144" s="12" t="n">
        <v>1032</v>
      </c>
      <c r="H144" s="12" t="n">
        <v>1163</v>
      </c>
      <c r="I144" s="12" t="n">
        <v>1617</v>
      </c>
      <c r="J144" s="12" t="n">
        <v>1021</v>
      </c>
      <c r="K144" s="12" t="n">
        <v>1379</v>
      </c>
      <c r="L144" s="12" t="n">
        <v>1267</v>
      </c>
      <c r="S144" s="12" t="n">
        <v>603</v>
      </c>
      <c r="T144" s="12" t="n">
        <v>295</v>
      </c>
      <c r="U144" s="12" t="n">
        <v>-1238</v>
      </c>
      <c r="V144" s="12" t="n">
        <v>1170</v>
      </c>
      <c r="W144" s="12" t="n">
        <v>1021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S145" s="15">
        <f>IF(OR(S144="",R144=""),"",IF(R144&lt;=0,"",IFERROR(S144/R144-1,"")))</f>
        <v/>
      </c>
      <c r="T145" s="15">
        <f>IF(OR(T144="",S144=""),"",IF(S144&lt;=0,"",IFERROR(T144/S144-1,"")))</f>
        <v/>
      </c>
      <c r="U145" s="15">
        <f>IF(OR(U144="",T144=""),"",IF(T144&lt;=0,"",IFERROR(U144/T144-1,"")))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</row>
    <row r="147">
      <c r="A147" s="16" t="inlineStr">
        <is>
          <t>포괄손익 · 전 항목</t>
        </is>
      </c>
      <c r="B147" s="42" t="inlineStr">
        <is>
          <t>분기 = 3개월 단독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2025.1Q</t>
        </is>
      </c>
      <c r="D148" s="5" t="inlineStr">
        <is>
          <t>2025.2Q</t>
        </is>
      </c>
      <c r="E148" s="5" t="inlineStr">
        <is>
          <t>2025.3Q</t>
        </is>
      </c>
      <c r="F148" s="5" t="inlineStr">
        <is>
          <t>2025.4Q</t>
        </is>
      </c>
      <c r="G148" s="5" t="inlineStr">
        <is>
          <t>2026.1Q</t>
        </is>
      </c>
      <c r="H148" s="5" t="inlineStr">
        <is>
          <t>2026.2Q</t>
        </is>
      </c>
      <c r="I148" s="5" t="inlineStr">
        <is>
          <t>2026.3Q</t>
        </is>
      </c>
      <c r="J148" s="5" t="inlineStr">
        <is>
          <t>2026.4Q</t>
        </is>
      </c>
      <c r="K148" s="5" t="inlineStr">
        <is>
          <t>2027.1Q</t>
        </is>
      </c>
      <c r="L148" s="5" t="inlineStr">
        <is>
          <t>2027.2Q</t>
        </is>
      </c>
      <c r="M148" s="5" t="inlineStr">
        <is>
          <t>2027.3Q</t>
        </is>
      </c>
      <c r="N148" s="5" t="inlineStr">
        <is>
          <t>2027.4Q</t>
        </is>
      </c>
      <c r="O148" s="5" t="inlineStr">
        <is>
          <t>2018</t>
        </is>
      </c>
      <c r="P148" s="5" t="inlineStr">
        <is>
          <t>2019</t>
        </is>
      </c>
      <c r="Q148" s="5" t="inlineStr">
        <is>
          <t>2020</t>
        </is>
      </c>
      <c r="R148" s="5" t="inlineStr">
        <is>
          <t>2021</t>
        </is>
      </c>
      <c r="S148" s="5" t="inlineStr">
        <is>
          <t>2022</t>
        </is>
      </c>
      <c r="T148" s="5" t="inlineStr">
        <is>
          <t>2023</t>
        </is>
      </c>
      <c r="U148" s="5" t="inlineStr">
        <is>
          <t>2024</t>
        </is>
      </c>
      <c r="V148" s="5" t="inlineStr">
        <is>
          <t>2025</t>
        </is>
      </c>
      <c r="W148" s="5" t="inlineStr">
        <is>
          <t>2026</t>
        </is>
      </c>
      <c r="X148" s="5" t="inlineStr">
        <is>
          <t>2027</t>
        </is>
      </c>
      <c r="Y148" s="5" t="inlineStr">
        <is>
          <t>2028(MW)</t>
        </is>
      </c>
      <c r="Z148" s="5" t="inlineStr">
        <is>
          <t>2029(MW)</t>
        </is>
      </c>
      <c r="AA148" s="5" t="inlineStr">
        <is>
          <t>2030(MW)</t>
        </is>
      </c>
      <c r="AB148" s="5" t="inlineStr">
        <is>
          <t>2031(MW)</t>
        </is>
      </c>
      <c r="AC148" s="5" t="inlineStr">
        <is>
          <t>2032(MW)</t>
        </is>
      </c>
    </row>
    <row r="149">
      <c r="A149" s="9" t="inlineStr">
        <is>
          <t>순이익</t>
        </is>
      </c>
      <c r="C149" s="12" t="n">
        <v>1145</v>
      </c>
      <c r="D149" s="12" t="n">
        <v>1285</v>
      </c>
      <c r="E149" s="12" t="n">
        <v>1564</v>
      </c>
      <c r="F149" s="12" t="n">
        <v>1201</v>
      </c>
      <c r="G149" s="12" t="n">
        <v>1055</v>
      </c>
      <c r="H149" s="12" t="n">
        <v>1184</v>
      </c>
      <c r="I149" s="12" t="n">
        <v>1637</v>
      </c>
      <c r="J149" s="12" t="n">
        <v>1026</v>
      </c>
      <c r="K149" s="12" t="n">
        <v>1400</v>
      </c>
      <c r="L149" s="12" t="n">
        <v>1286</v>
      </c>
      <c r="S149" s="12" t="n">
        <v>619</v>
      </c>
      <c r="T149" s="12" t="n">
        <v>324</v>
      </c>
      <c r="U149" s="12" t="n">
        <v>-1218</v>
      </c>
      <c r="V149" s="12" t="n">
        <v>1201</v>
      </c>
      <c r="W149" s="12" t="n">
        <v>1026</v>
      </c>
    </row>
    <row r="150">
      <c r="A150" s="18" t="inlineStr">
        <is>
          <t>기타유가증권 평가차액</t>
        </is>
      </c>
      <c r="C150" s="20" t="n">
        <v>-17</v>
      </c>
      <c r="D150" s="20" t="n">
        <v>46</v>
      </c>
      <c r="E150" s="20" t="n">
        <v>26</v>
      </c>
      <c r="F150" s="20" t="n">
        <v>304</v>
      </c>
      <c r="G150" s="20" t="n">
        <v>-44</v>
      </c>
      <c r="H150" s="20" t="n">
        <v>84</v>
      </c>
      <c r="I150" s="20" t="n">
        <v>120</v>
      </c>
      <c r="J150" s="20" t="n">
        <v>-62</v>
      </c>
      <c r="K150" s="20" t="n">
        <v>179</v>
      </c>
      <c r="L150" s="20" t="n">
        <v>153</v>
      </c>
      <c r="S150" s="20" t="n">
        <v>436</v>
      </c>
      <c r="T150" s="20" t="n">
        <v>-156</v>
      </c>
      <c r="U150" s="20" t="n">
        <v>-175</v>
      </c>
      <c r="V150" s="20" t="n">
        <v>304</v>
      </c>
      <c r="W150" s="20" t="n">
        <v>-62</v>
      </c>
    </row>
    <row r="151">
      <c r="A151" s="18" t="inlineStr">
        <is>
          <t>토지재평가차액금</t>
        </is>
      </c>
      <c r="C151" s="20" t="n">
        <v>0</v>
      </c>
      <c r="D151" s="20" t="n">
        <v>0</v>
      </c>
      <c r="E151" s="20" t="n">
        <v>0</v>
      </c>
      <c r="G151" s="20" t="n">
        <v>-1</v>
      </c>
      <c r="H151" s="20" t="n">
        <v>0</v>
      </c>
      <c r="I151" s="20" t="n">
        <v>0</v>
      </c>
      <c r="J151" s="20" t="n">
        <v>1</v>
      </c>
      <c r="K151" s="20" t="n">
        <v>0</v>
      </c>
      <c r="L151" s="20" t="n">
        <v>0</v>
      </c>
      <c r="W151" s="20" t="n">
        <v>1</v>
      </c>
    </row>
    <row r="152">
      <c r="A152" s="18" t="inlineStr">
        <is>
          <t>퇴직급여 조정액</t>
        </is>
      </c>
      <c r="C152" s="20" t="n">
        <v>-17</v>
      </c>
      <c r="D152" s="20" t="n">
        <v>-18</v>
      </c>
      <c r="E152" s="20" t="n">
        <v>-18</v>
      </c>
      <c r="F152" s="20" t="n">
        <v>275</v>
      </c>
      <c r="G152" s="20" t="n">
        <v>-27</v>
      </c>
      <c r="H152" s="20" t="n">
        <v>-20</v>
      </c>
      <c r="I152" s="20" t="n">
        <v>-20</v>
      </c>
      <c r="J152" s="20" t="n">
        <v>220</v>
      </c>
      <c r="K152" s="20" t="n">
        <v>-43</v>
      </c>
      <c r="L152" s="20" t="n">
        <v>-36</v>
      </c>
      <c r="S152" s="20" t="n">
        <v>602</v>
      </c>
      <c r="T152" s="20" t="n">
        <v>-75</v>
      </c>
      <c r="U152" s="20" t="n">
        <v>214</v>
      </c>
      <c r="V152" s="20" t="n">
        <v>275</v>
      </c>
      <c r="W152" s="20" t="n">
        <v>220</v>
      </c>
    </row>
    <row r="153">
      <c r="A153" s="18" t="inlineStr">
        <is>
          <t>기타포괄손익 합계</t>
        </is>
      </c>
      <c r="C153" s="20" t="n">
        <v>-35</v>
      </c>
      <c r="D153" s="20" t="n">
        <v>29</v>
      </c>
      <c r="E153" s="20" t="n">
        <v>7</v>
      </c>
      <c r="F153" s="20" t="n">
        <v>580</v>
      </c>
      <c r="G153" s="20" t="n">
        <v>-73</v>
      </c>
      <c r="H153" s="20" t="n">
        <v>65</v>
      </c>
      <c r="I153" s="20" t="n">
        <v>99</v>
      </c>
      <c r="J153" s="20" t="n">
        <v>161</v>
      </c>
      <c r="K153" s="20" t="n">
        <v>136</v>
      </c>
      <c r="L153" s="20" t="n">
        <v>116</v>
      </c>
      <c r="S153" s="20" t="n">
        <v>1040</v>
      </c>
      <c r="T153" s="20" t="n">
        <v>-230</v>
      </c>
      <c r="U153" s="20" t="n">
        <v>40</v>
      </c>
      <c r="V153" s="20" t="n">
        <v>580</v>
      </c>
      <c r="W153" s="20" t="n">
        <v>161</v>
      </c>
    </row>
    <row r="154">
      <c r="A154" s="9" t="inlineStr">
        <is>
          <t>포괄이익</t>
        </is>
      </c>
      <c r="C154" s="12" t="n">
        <v>1109</v>
      </c>
      <c r="D154" s="12" t="n">
        <v>1314</v>
      </c>
      <c r="E154" s="12" t="n">
        <v>1573</v>
      </c>
      <c r="F154" s="12" t="n">
        <v>1781</v>
      </c>
      <c r="G154" s="12" t="n">
        <v>981</v>
      </c>
      <c r="H154" s="12" t="n">
        <v>1250</v>
      </c>
      <c r="I154" s="12" t="n">
        <v>1737</v>
      </c>
      <c r="J154" s="12" t="n">
        <v>1186</v>
      </c>
      <c r="K154" s="12" t="n">
        <v>1536</v>
      </c>
      <c r="L154" s="12" t="n">
        <v>1403</v>
      </c>
      <c r="S154" s="12" t="n">
        <v>1660</v>
      </c>
      <c r="T154" s="12" t="n">
        <v>94</v>
      </c>
      <c r="U154" s="12" t="n">
        <v>-1178</v>
      </c>
      <c r="V154" s="12" t="n">
        <v>1781</v>
      </c>
      <c r="W154" s="12" t="n">
        <v>1186</v>
      </c>
    </row>
    <row r="155">
      <c r="A155" s="9" t="inlineStr">
        <is>
          <t>지배주주 포괄이익</t>
        </is>
      </c>
      <c r="C155" s="12" t="n">
        <v>1091</v>
      </c>
      <c r="D155" s="12" t="n">
        <v>1300</v>
      </c>
      <c r="E155" s="12" t="n">
        <v>1557</v>
      </c>
      <c r="F155" s="12" t="n">
        <v>1750</v>
      </c>
      <c r="G155" s="12" t="n">
        <v>959</v>
      </c>
      <c r="H155" s="12" t="n">
        <v>1228</v>
      </c>
      <c r="I155" s="12" t="n">
        <v>1716</v>
      </c>
      <c r="J155" s="12" t="n">
        <v>1183</v>
      </c>
      <c r="K155" s="12" t="n">
        <v>1515</v>
      </c>
      <c r="L155" s="12" t="n">
        <v>1384</v>
      </c>
      <c r="S155" s="12" t="n">
        <v>1644</v>
      </c>
      <c r="T155" s="12" t="n">
        <v>66</v>
      </c>
      <c r="U155" s="12" t="n">
        <v>-1199</v>
      </c>
      <c r="V155" s="12" t="n">
        <v>1750</v>
      </c>
      <c r="W155" s="12" t="n">
        <v>1183</v>
      </c>
    </row>
    <row r="156">
      <c r="A156" s="9" t="inlineStr">
        <is>
          <t>비지배주주 포괄이익</t>
        </is>
      </c>
      <c r="C156" s="12" t="n">
        <v>17</v>
      </c>
      <c r="D156" s="12" t="n">
        <v>14</v>
      </c>
      <c r="E156" s="12" t="n">
        <v>16</v>
      </c>
      <c r="F156" s="12" t="n">
        <v>31</v>
      </c>
      <c r="G156" s="12" t="n">
        <v>22</v>
      </c>
      <c r="H156" s="12" t="n">
        <v>22</v>
      </c>
      <c r="I156" s="12" t="n">
        <v>20</v>
      </c>
      <c r="J156" s="12" t="n">
        <v>4</v>
      </c>
      <c r="K156" s="12" t="n">
        <v>21</v>
      </c>
      <c r="L156" s="12" t="n">
        <v>19</v>
      </c>
      <c r="S156" s="12" t="n">
        <v>16</v>
      </c>
      <c r="T156" s="12" t="n">
        <v>29</v>
      </c>
      <c r="U156" s="12" t="n">
        <v>21</v>
      </c>
      <c r="V156" s="12" t="n">
        <v>31</v>
      </c>
      <c r="W156" s="12" t="n">
        <v>4</v>
      </c>
    </row>
    <row r="158">
      <c r="A158" s="16" t="inlineStr">
        <is>
          <t>부문 · 전 항목</t>
        </is>
      </c>
      <c r="B158" s="42" t="inlineStr">
        <is>
          <t>부문 · 항목</t>
        </is>
      </c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</row>
    <row r="159">
      <c r="A159" s="5" t="inlineStr">
        <is>
          <t>항목</t>
        </is>
      </c>
      <c r="B159" s="5" t="inlineStr">
        <is>
          <t>참고</t>
        </is>
      </c>
      <c r="C159" s="5" t="inlineStr">
        <is>
          <t>2025.1Q</t>
        </is>
      </c>
      <c r="D159" s="5" t="inlineStr">
        <is>
          <t>2025.2Q</t>
        </is>
      </c>
      <c r="E159" s="5" t="inlineStr">
        <is>
          <t>2025.3Q</t>
        </is>
      </c>
      <c r="F159" s="5" t="inlineStr">
        <is>
          <t>2025.4Q</t>
        </is>
      </c>
      <c r="G159" s="5" t="inlineStr">
        <is>
          <t>2026.1Q</t>
        </is>
      </c>
      <c r="H159" s="5" t="inlineStr">
        <is>
          <t>2026.2Q</t>
        </is>
      </c>
      <c r="I159" s="5" t="inlineStr">
        <is>
          <t>2026.3Q</t>
        </is>
      </c>
      <c r="J159" s="5" t="inlineStr">
        <is>
          <t>2026.4Q</t>
        </is>
      </c>
      <c r="K159" s="5" t="inlineStr">
        <is>
          <t>2027.1Q</t>
        </is>
      </c>
      <c r="L159" s="5" t="inlineStr">
        <is>
          <t>2027.2Q</t>
        </is>
      </c>
      <c r="M159" s="5" t="inlineStr">
        <is>
          <t>2027.3Q</t>
        </is>
      </c>
      <c r="N159" s="5" t="inlineStr">
        <is>
          <t>2027.4Q</t>
        </is>
      </c>
      <c r="O159" s="5" t="inlineStr">
        <is>
          <t>2018</t>
        </is>
      </c>
      <c r="P159" s="5" t="inlineStr">
        <is>
          <t>2019</t>
        </is>
      </c>
      <c r="Q159" s="5" t="inlineStr">
        <is>
          <t>2020</t>
        </is>
      </c>
      <c r="R159" s="5" t="inlineStr">
        <is>
          <t>2021</t>
        </is>
      </c>
      <c r="S159" s="5" t="inlineStr">
        <is>
          <t>2022</t>
        </is>
      </c>
      <c r="T159" s="5" t="inlineStr">
        <is>
          <t>2023</t>
        </is>
      </c>
      <c r="U159" s="5" t="inlineStr">
        <is>
          <t>2024</t>
        </is>
      </c>
      <c r="V159" s="5" t="inlineStr">
        <is>
          <t>2025</t>
        </is>
      </c>
      <c r="W159" s="5" t="inlineStr">
        <is>
          <t>2026</t>
        </is>
      </c>
      <c r="X159" s="5" t="inlineStr">
        <is>
          <t>2027</t>
        </is>
      </c>
      <c r="Y159" s="5" t="inlineStr">
        <is>
          <t>2028(MW)</t>
        </is>
      </c>
      <c r="Z159" s="5" t="inlineStr">
        <is>
          <t>2029(MW)</t>
        </is>
      </c>
      <c r="AA159" s="5" t="inlineStr">
        <is>
          <t>2030(MW)</t>
        </is>
      </c>
      <c r="AB159" s="5" t="inlineStr">
        <is>
          <t>2031(MW)</t>
        </is>
      </c>
      <c r="AC159" s="5" t="inlineStr">
        <is>
          <t>2032(MW)</t>
        </is>
      </c>
    </row>
    <row r="160">
      <c r="A160" s="18" t="inlineStr">
        <is>
          <t>전기자재 및 관재 · 외부 고객 매출</t>
        </is>
      </c>
      <c r="C160" s="20" t="n">
        <v>8649</v>
      </c>
      <c r="D160" s="20" t="n">
        <v>8708</v>
      </c>
      <c r="E160" s="20" t="n">
        <v>9766</v>
      </c>
      <c r="F160" s="20" t="n">
        <v>6997</v>
      </c>
      <c r="G160" s="20" t="n">
        <v>9019</v>
      </c>
      <c r="H160" s="20" t="n">
        <v>8540</v>
      </c>
      <c r="I160" s="20" t="n">
        <v>9492</v>
      </c>
      <c r="J160" s="20" t="n">
        <v>7733</v>
      </c>
      <c r="K160" s="20" t="n">
        <v>9883</v>
      </c>
      <c r="L160" s="20" t="n">
        <v>9150</v>
      </c>
      <c r="V160" s="20" t="n">
        <v>6997</v>
      </c>
      <c r="W160" s="20" t="n">
        <v>7733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</row>
    <row r="162">
      <c r="A162" s="18" t="inlineStr">
        <is>
          <t>배선 기구 · 외부 고객 매출</t>
        </is>
      </c>
      <c r="C162" s="20" t="n">
        <v>1710</v>
      </c>
      <c r="D162" s="20" t="n">
        <v>1804</v>
      </c>
      <c r="E162" s="20" t="n">
        <v>2089</v>
      </c>
      <c r="F162" s="20" t="n">
        <v>1224</v>
      </c>
      <c r="G162" s="20" t="n">
        <v>1903</v>
      </c>
      <c r="H162" s="20" t="n">
        <v>1972</v>
      </c>
      <c r="I162" s="20" t="n">
        <v>2221</v>
      </c>
      <c r="J162" s="20" t="n">
        <v>1233</v>
      </c>
      <c r="K162" s="20" t="n">
        <v>2148</v>
      </c>
      <c r="L162" s="20" t="n">
        <v>2177</v>
      </c>
      <c r="V162" s="20" t="n">
        <v>1224</v>
      </c>
      <c r="W162" s="20" t="n">
        <v>1233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</row>
    <row r="164">
      <c r="A164" s="18" t="inlineStr">
        <is>
          <t>보고부문 합계 · 외부 고객 매출</t>
        </is>
      </c>
      <c r="C164" s="20" t="n">
        <v>10360</v>
      </c>
      <c r="D164" s="20" t="n">
        <v>10511</v>
      </c>
      <c r="E164" s="20" t="n">
        <v>11855</v>
      </c>
      <c r="F164" s="20" t="n">
        <v>8221</v>
      </c>
      <c r="G164" s="20" t="n">
        <v>10922</v>
      </c>
      <c r="H164" s="20" t="n">
        <v>10513</v>
      </c>
      <c r="I164" s="20" t="n">
        <v>11712</v>
      </c>
      <c r="J164" s="20" t="n">
        <v>8966</v>
      </c>
      <c r="K164" s="20" t="n">
        <v>12031</v>
      </c>
      <c r="L164" s="20" t="n">
        <v>11328</v>
      </c>
      <c r="V164" s="20" t="n">
        <v>8221</v>
      </c>
      <c r="W164" s="20" t="n">
        <v>8966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</row>
    <row r="166">
      <c r="A166" s="18" t="inlineStr">
        <is>
          <t>기타 · 외부 고객 매출</t>
        </is>
      </c>
      <c r="C166" s="20" t="n">
        <v>782</v>
      </c>
      <c r="D166" s="20" t="n">
        <v>709</v>
      </c>
      <c r="E166" s="20" t="n">
        <v>751</v>
      </c>
      <c r="F166" s="20" t="n">
        <v>901</v>
      </c>
      <c r="G166" s="20" t="n">
        <v>754</v>
      </c>
      <c r="H166" s="20" t="n">
        <v>757</v>
      </c>
      <c r="I166" s="20" t="n">
        <v>720</v>
      </c>
      <c r="J166" s="20" t="n">
        <v>768</v>
      </c>
      <c r="K166" s="20" t="n">
        <v>732</v>
      </c>
      <c r="L166" s="20" t="n">
        <v>769</v>
      </c>
      <c r="V166" s="20" t="n">
        <v>901</v>
      </c>
      <c r="W166" s="20" t="n">
        <v>768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</row>
    <row r="168">
      <c r="A168" s="18" t="inlineStr">
        <is>
          <t>합계 · 외부 고객 매출</t>
        </is>
      </c>
      <c r="C168" s="20" t="n">
        <v>11142</v>
      </c>
      <c r="D168" s="20" t="n">
        <v>11221</v>
      </c>
      <c r="E168" s="20" t="n">
        <v>12606</v>
      </c>
      <c r="F168" s="20" t="n">
        <v>9122</v>
      </c>
      <c r="G168" s="20" t="n">
        <v>11677</v>
      </c>
      <c r="H168" s="20" t="n">
        <v>11269</v>
      </c>
      <c r="I168" s="20" t="n">
        <v>12432</v>
      </c>
      <c r="J168" s="20" t="n">
        <v>9735</v>
      </c>
      <c r="K168" s="20" t="n">
        <v>12764</v>
      </c>
      <c r="L168" s="20" t="n">
        <v>12097</v>
      </c>
      <c r="V168" s="20" t="n">
        <v>9122</v>
      </c>
      <c r="W168" s="20" t="n">
        <v>9735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</row>
    <row r="170">
      <c r="A170" s="18" t="inlineStr">
        <is>
          <t>전기자재 및 관재 · 부문 간 내부매출·대체</t>
        </is>
      </c>
      <c r="C170" s="20" t="n">
        <v>60</v>
      </c>
      <c r="D170" s="20" t="n">
        <v>61</v>
      </c>
      <c r="E170" s="20" t="n">
        <v>65</v>
      </c>
      <c r="F170" s="20" t="n">
        <v>54</v>
      </c>
      <c r="G170" s="20" t="n">
        <v>60</v>
      </c>
      <c r="H170" s="20" t="n">
        <v>63</v>
      </c>
      <c r="I170" s="20" t="n">
        <v>74</v>
      </c>
      <c r="J170" s="20" t="n">
        <v>44</v>
      </c>
      <c r="K170" s="20" t="n">
        <v>65</v>
      </c>
      <c r="L170" s="20" t="n">
        <v>81</v>
      </c>
      <c r="V170" s="20" t="n">
        <v>54</v>
      </c>
      <c r="W170" s="20" t="n">
        <v>44</v>
      </c>
    </row>
    <row r="171">
      <c r="A171" s="18" t="inlineStr">
        <is>
          <t>배선 기구 · 부문 간 내부매출·대체</t>
        </is>
      </c>
      <c r="C171" s="20" t="n">
        <v>0</v>
      </c>
      <c r="D171" s="20" t="n">
        <v>0</v>
      </c>
      <c r="E171" s="20" t="n">
        <v>0</v>
      </c>
      <c r="F171" s="20" t="n">
        <v>1</v>
      </c>
      <c r="G171" s="20" t="n">
        <v>0</v>
      </c>
      <c r="H171" s="20" t="n">
        <v>0</v>
      </c>
      <c r="I171" s="20" t="n">
        <v>0</v>
      </c>
      <c r="J171" s="20" t="n">
        <v>0</v>
      </c>
      <c r="K171" s="20" t="n">
        <v>0</v>
      </c>
      <c r="L171" s="20" t="n">
        <v>0</v>
      </c>
      <c r="V171" s="20" t="n">
        <v>1</v>
      </c>
      <c r="W171" s="20" t="n">
        <v>0</v>
      </c>
    </row>
    <row r="172">
      <c r="A172" s="18" t="inlineStr">
        <is>
          <t>보고부문 합계 · 부문 간 내부매출·대체</t>
        </is>
      </c>
      <c r="C172" s="20" t="n">
        <v>60</v>
      </c>
      <c r="D172" s="20" t="n">
        <v>61</v>
      </c>
      <c r="E172" s="20" t="n">
        <v>65</v>
      </c>
      <c r="F172" s="20" t="n">
        <v>55</v>
      </c>
      <c r="G172" s="20" t="n">
        <v>61</v>
      </c>
      <c r="H172" s="20" t="n">
        <v>63</v>
      </c>
      <c r="I172" s="20" t="n">
        <v>74</v>
      </c>
      <c r="J172" s="20" t="n">
        <v>43</v>
      </c>
      <c r="K172" s="20" t="n">
        <v>65</v>
      </c>
      <c r="L172" s="20" t="n">
        <v>82</v>
      </c>
      <c r="V172" s="20" t="n">
        <v>55</v>
      </c>
      <c r="W172" s="20" t="n">
        <v>43</v>
      </c>
    </row>
    <row r="173">
      <c r="A173" s="18" t="inlineStr">
        <is>
          <t>기타 · 부문 간 내부매출·대체</t>
        </is>
      </c>
      <c r="C173" s="20" t="n">
        <v>1112</v>
      </c>
      <c r="D173" s="20" t="n">
        <v>1287</v>
      </c>
      <c r="E173" s="20" t="n">
        <v>1294</v>
      </c>
      <c r="F173" s="20" t="n">
        <v>881</v>
      </c>
      <c r="G173" s="20" t="n">
        <v>1176</v>
      </c>
      <c r="H173" s="20" t="n">
        <v>1344</v>
      </c>
      <c r="I173" s="20" t="n">
        <v>1426</v>
      </c>
      <c r="J173" s="20" t="n">
        <v>944</v>
      </c>
      <c r="K173" s="20" t="n">
        <v>1345</v>
      </c>
      <c r="L173" s="20" t="n">
        <v>1391</v>
      </c>
      <c r="V173" s="20" t="n">
        <v>881</v>
      </c>
      <c r="W173" s="20" t="n">
        <v>944</v>
      </c>
    </row>
    <row r="174">
      <c r="A174" s="18" t="inlineStr">
        <is>
          <t>합계 · 부문 간 내부매출·대체</t>
        </is>
      </c>
      <c r="C174" s="20" t="n">
        <v>1172</v>
      </c>
      <c r="D174" s="20" t="n">
        <v>1348</v>
      </c>
      <c r="E174" s="20" t="n">
        <v>1359</v>
      </c>
      <c r="F174" s="20" t="n">
        <v>937</v>
      </c>
      <c r="G174" s="20" t="n">
        <v>1237</v>
      </c>
      <c r="H174" s="20" t="n">
        <v>1407</v>
      </c>
      <c r="I174" s="20" t="n">
        <v>1500</v>
      </c>
      <c r="J174" s="20" t="n">
        <v>988</v>
      </c>
      <c r="K174" s="20" t="n">
        <v>1411</v>
      </c>
      <c r="L174" s="20" t="n">
        <v>1473</v>
      </c>
      <c r="V174" s="20" t="n">
        <v>937</v>
      </c>
      <c r="W174" s="20" t="n">
        <v>988</v>
      </c>
    </row>
    <row r="175">
      <c r="A175" s="18" t="inlineStr">
        <is>
          <t>전기자재 및 관재 · 계</t>
        </is>
      </c>
      <c r="C175" s="20" t="n">
        <v>8709</v>
      </c>
      <c r="D175" s="20" t="n">
        <v>8770</v>
      </c>
      <c r="E175" s="20" t="n">
        <v>9830</v>
      </c>
      <c r="F175" s="20" t="n">
        <v>7051</v>
      </c>
      <c r="G175" s="20" t="n">
        <v>9080</v>
      </c>
      <c r="H175" s="20" t="n">
        <v>8602</v>
      </c>
      <c r="I175" s="20" t="n">
        <v>9566</v>
      </c>
      <c r="J175" s="20" t="n">
        <v>7777</v>
      </c>
      <c r="K175" s="20" t="n">
        <v>9948</v>
      </c>
      <c r="L175" s="20" t="n">
        <v>9232</v>
      </c>
      <c r="V175" s="20" t="n">
        <v>7051</v>
      </c>
      <c r="W175" s="20" t="n">
        <v>7777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</row>
    <row r="177">
      <c r="A177" s="18" t="inlineStr">
        <is>
          <t>배선 기구 · 계</t>
        </is>
      </c>
      <c r="C177" s="20" t="n">
        <v>1710</v>
      </c>
      <c r="D177" s="20" t="n">
        <v>1804</v>
      </c>
      <c r="E177" s="20" t="n">
        <v>2090</v>
      </c>
      <c r="F177" s="20" t="n">
        <v>1224</v>
      </c>
      <c r="G177" s="20" t="n">
        <v>1903</v>
      </c>
      <c r="H177" s="20" t="n">
        <v>1973</v>
      </c>
      <c r="I177" s="20" t="n">
        <v>2221</v>
      </c>
      <c r="J177" s="20" t="n">
        <v>1233</v>
      </c>
      <c r="K177" s="20" t="n">
        <v>2149</v>
      </c>
      <c r="L177" s="20" t="n">
        <v>2177</v>
      </c>
      <c r="V177" s="20" t="n">
        <v>1224</v>
      </c>
      <c r="W177" s="20" t="n">
        <v>1233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</row>
    <row r="179">
      <c r="A179" s="18" t="inlineStr">
        <is>
          <t>보고부문 합계 · 계</t>
        </is>
      </c>
      <c r="C179" s="20" t="n">
        <v>10420</v>
      </c>
      <c r="D179" s="20" t="n">
        <v>10573</v>
      </c>
      <c r="E179" s="20" t="n">
        <v>11920</v>
      </c>
      <c r="F179" s="20" t="n">
        <v>8276</v>
      </c>
      <c r="G179" s="20" t="n">
        <v>10983</v>
      </c>
      <c r="H179" s="20" t="n">
        <v>10576</v>
      </c>
      <c r="I179" s="20" t="n">
        <v>11786</v>
      </c>
      <c r="J179" s="20" t="n">
        <v>9010</v>
      </c>
      <c r="K179" s="20" t="n">
        <v>12097</v>
      </c>
      <c r="L179" s="20" t="n">
        <v>11409</v>
      </c>
      <c r="V179" s="20" t="n">
        <v>8276</v>
      </c>
      <c r="W179" s="20" t="n">
        <v>9010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</row>
    <row r="181">
      <c r="A181" s="18" t="inlineStr">
        <is>
          <t>기타 · 계</t>
        </is>
      </c>
      <c r="C181" s="20" t="n">
        <v>1894</v>
      </c>
      <c r="D181" s="20" t="n">
        <v>1996</v>
      </c>
      <c r="E181" s="20" t="n">
        <v>2045</v>
      </c>
      <c r="F181" s="20" t="n">
        <v>1783</v>
      </c>
      <c r="G181" s="20" t="n">
        <v>1930</v>
      </c>
      <c r="H181" s="20" t="n">
        <v>2101</v>
      </c>
      <c r="I181" s="20" t="n">
        <v>2146</v>
      </c>
      <c r="J181" s="20" t="n">
        <v>1713</v>
      </c>
      <c r="K181" s="20" t="n">
        <v>2077</v>
      </c>
      <c r="L181" s="20" t="n">
        <v>2161</v>
      </c>
      <c r="V181" s="20" t="n">
        <v>1783</v>
      </c>
      <c r="W181" s="20" t="n">
        <v>1713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</row>
    <row r="183">
      <c r="A183" s="18" t="inlineStr">
        <is>
          <t>합계 · 계</t>
        </is>
      </c>
      <c r="C183" s="20" t="n">
        <v>12314</v>
      </c>
      <c r="D183" s="20" t="n">
        <v>12569</v>
      </c>
      <c r="E183" s="20" t="n">
        <v>13966</v>
      </c>
      <c r="F183" s="20" t="n">
        <v>10058</v>
      </c>
      <c r="G183" s="20" t="n">
        <v>12914</v>
      </c>
      <c r="H183" s="20" t="n">
        <v>12676</v>
      </c>
      <c r="I183" s="20" t="n">
        <v>13933</v>
      </c>
      <c r="J183" s="20" t="n">
        <v>10723</v>
      </c>
      <c r="K183" s="20" t="n">
        <v>14175</v>
      </c>
      <c r="L183" s="20" t="n">
        <v>13570</v>
      </c>
      <c r="V183" s="20" t="n">
        <v>10058</v>
      </c>
      <c r="W183" s="20" t="n">
        <v>10723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</row>
    <row r="185">
      <c r="A185" s="18" t="inlineStr">
        <is>
          <t>전기자재 및 관재 · 부문 이익</t>
        </is>
      </c>
      <c r="C185" s="20" t="n">
        <v>1571</v>
      </c>
      <c r="D185" s="20" t="n">
        <v>1758</v>
      </c>
      <c r="E185" s="20" t="n">
        <v>1973</v>
      </c>
      <c r="F185" s="20" t="n">
        <v>1536</v>
      </c>
      <c r="G185" s="20" t="n">
        <v>1301</v>
      </c>
      <c r="H185" s="20" t="n">
        <v>1496</v>
      </c>
      <c r="I185" s="20" t="n">
        <v>2061</v>
      </c>
      <c r="J185" s="20" t="n">
        <v>1542</v>
      </c>
      <c r="K185" s="20" t="n">
        <v>1746</v>
      </c>
      <c r="L185" s="20" t="n">
        <v>1747</v>
      </c>
      <c r="V185" s="20" t="n">
        <v>1536</v>
      </c>
      <c r="W185" s="20" t="n">
        <v>1542</v>
      </c>
    </row>
    <row r="186">
      <c r="A186" s="43" t="inlineStr">
        <is>
          <t>OPM</t>
        </is>
      </c>
      <c r="B186" s="3" t="inlineStr">
        <is>
          <t>영업이익 ÷ 매출</t>
        </is>
      </c>
      <c r="C186" s="15">
        <f>IF(OR(C185="",C175=""),"",IF(C175&lt;=0,"",IFERROR(C185/C175,"")))</f>
        <v/>
      </c>
      <c r="D186" s="15">
        <f>IF(OR(D185="",D175=""),"",IF(D175&lt;=0,"",IFERROR(D185/D175,"")))</f>
        <v/>
      </c>
      <c r="E186" s="15">
        <f>IF(OR(E185="",E175=""),"",IF(E175&lt;=0,"",IFERROR(E185/E175,"")))</f>
        <v/>
      </c>
      <c r="F186" s="15">
        <f>IF(OR(F185="",F175=""),"",IF(F175&lt;=0,"",IFERROR(F185/F175,"")))</f>
        <v/>
      </c>
      <c r="G186" s="15">
        <f>IF(OR(G185="",G175=""),"",IF(G175&lt;=0,"",IFERROR(G185/G175,"")))</f>
        <v/>
      </c>
      <c r="H186" s="15">
        <f>IF(OR(H185="",H175=""),"",IF(H175&lt;=0,"",IFERROR(H185/H175,"")))</f>
        <v/>
      </c>
      <c r="I186" s="15">
        <f>IF(OR(I185="",I175=""),"",IF(I175&lt;=0,"",IFERROR(I185/I175,"")))</f>
        <v/>
      </c>
      <c r="J186" s="15">
        <f>IF(OR(J185="",J175=""),"",IF(J175&lt;=0,"",IFERROR(J185/J175,"")))</f>
        <v/>
      </c>
      <c r="K186" s="15">
        <f>IF(OR(K185="",K175=""),"",IF(K175&lt;=0,"",IFERROR(K185/K175,"")))</f>
        <v/>
      </c>
      <c r="L186" s="15">
        <f>IF(OR(L185="",L175=""),"",IF(L175&lt;=0,"",IFERROR(L185/L175,"")))</f>
        <v/>
      </c>
      <c r="V186" s="15">
        <f>IF(OR(V185="",V175=""),"",IF(V175&lt;=0,"",IFERROR(V185/V175,"")))</f>
        <v/>
      </c>
      <c r="W186" s="15">
        <f>IF(OR(W185="",W175=""),"",IF(W175&lt;=0,"",IFERROR(W185/W175,"")))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IF(OR(G185="",C185=""),"",IF(C185&lt;=0,"",IFERROR(G185/C185-1,"")))</f>
        <v/>
      </c>
      <c r="H187" s="15">
        <f>IF(OR(H185="",D185=""),"",IF(D185&lt;=0,"",IFERROR(H185/D185-1,"")))</f>
        <v/>
      </c>
      <c r="I187" s="15">
        <f>IF(OR(I185="",E185=""),"",IF(E185&lt;=0,"",IFERROR(I185/E185-1,"")))</f>
        <v/>
      </c>
      <c r="J187" s="15">
        <f>IF(OR(J185="",F185=""),"",IF(F185&lt;=0,"",IFERROR(J185/F185-1,"")))</f>
        <v/>
      </c>
      <c r="K187" s="15">
        <f>IF(OR(K185="",G185=""),"",IF(G185&lt;=0,"",IFERROR(K185/G185-1,"")))</f>
        <v/>
      </c>
      <c r="L187" s="15">
        <f>IF(OR(L185="",H185=""),"",IF(H185&lt;=0,"",IFERROR(L185/H185-1,"")))</f>
        <v/>
      </c>
      <c r="V187" s="15">
        <f>IF(OR(V185="",U185=""),"",IF(U185&lt;=0,"",IFERROR(V185/U185-1,"")))</f>
        <v/>
      </c>
      <c r="W187" s="15">
        <f>IF(OR(W185="",V185=""),"",IF(V185&lt;=0,"",IFERROR(W185/V185-1,"")))</f>
        <v/>
      </c>
    </row>
    <row r="188">
      <c r="A188" s="18" t="inlineStr">
        <is>
          <t>배선 기구 · 부문 이익</t>
        </is>
      </c>
      <c r="C188" s="20" t="n">
        <v>114</v>
      </c>
      <c r="D188" s="20" t="n">
        <v>153</v>
      </c>
      <c r="E188" s="20" t="n">
        <v>272</v>
      </c>
      <c r="F188" s="20" t="n">
        <v>-66</v>
      </c>
      <c r="G188" s="20" t="n">
        <v>198</v>
      </c>
      <c r="H188" s="20" t="n">
        <v>201</v>
      </c>
      <c r="I188" s="20" t="n">
        <v>307</v>
      </c>
      <c r="J188" s="20" t="n">
        <v>-8</v>
      </c>
      <c r="K188" s="20" t="n">
        <v>234</v>
      </c>
      <c r="L188" s="20" t="n">
        <v>196</v>
      </c>
      <c r="V188" s="20" t="n">
        <v>-66</v>
      </c>
      <c r="W188" s="20" t="n">
        <v>-8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IF(OR(C188="",C177=""),"",IF(C177&lt;=0,"",IFERROR(C188/C177,"")))</f>
        <v/>
      </c>
      <c r="D189" s="15">
        <f>IF(OR(D188="",D177=""),"",IF(D177&lt;=0,"",IFERROR(D188/D177,"")))</f>
        <v/>
      </c>
      <c r="E189" s="15">
        <f>IF(OR(E188="",E177=""),"",IF(E177&lt;=0,"",IFERROR(E188/E177,"")))</f>
        <v/>
      </c>
      <c r="F189" s="15">
        <f>IF(OR(F188="",F177=""),"",IF(F177&lt;=0,"",IFERROR(F188/F177,"")))</f>
        <v/>
      </c>
      <c r="G189" s="15">
        <f>IF(OR(G188="",G177=""),"",IF(G177&lt;=0,"",IFERROR(G188/G177,"")))</f>
        <v/>
      </c>
      <c r="H189" s="15">
        <f>IF(OR(H188="",H177=""),"",IF(H177&lt;=0,"",IFERROR(H188/H177,"")))</f>
        <v/>
      </c>
      <c r="I189" s="15">
        <f>IF(OR(I188="",I177=""),"",IF(I177&lt;=0,"",IFERROR(I188/I177,"")))</f>
        <v/>
      </c>
      <c r="J189" s="15">
        <f>IF(OR(J188="",J177=""),"",IF(J177&lt;=0,"",IFERROR(J188/J177,"")))</f>
        <v/>
      </c>
      <c r="K189" s="15">
        <f>IF(OR(K188="",K177=""),"",IF(K177&lt;=0,"",IFERROR(K188/K177,"")))</f>
        <v/>
      </c>
      <c r="L189" s="15">
        <f>IF(OR(L188="",L177=""),"",IF(L177&lt;=0,"",IFERROR(L188/L177,"")))</f>
        <v/>
      </c>
      <c r="V189" s="15">
        <f>IF(OR(V188="",V177=""),"",IF(V177&lt;=0,"",IFERROR(V188/V177,"")))</f>
        <v/>
      </c>
      <c r="W189" s="15">
        <f>IF(OR(W188="",W177=""),"",IF(W177&lt;=0,"",IFERROR(W188/W177,"")))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</row>
    <row r="191">
      <c r="A191" s="18" t="inlineStr">
        <is>
          <t>보고부문 합계 · 부문 이익</t>
        </is>
      </c>
      <c r="C191" s="20" t="n">
        <v>1685</v>
      </c>
      <c r="D191" s="20" t="n">
        <v>1911</v>
      </c>
      <c r="E191" s="20" t="n">
        <v>2246</v>
      </c>
      <c r="F191" s="20" t="n">
        <v>1469</v>
      </c>
      <c r="G191" s="20" t="n">
        <v>1499</v>
      </c>
      <c r="H191" s="20" t="n">
        <v>1697</v>
      </c>
      <c r="I191" s="20" t="n">
        <v>2369</v>
      </c>
      <c r="J191" s="20" t="n">
        <v>1533</v>
      </c>
      <c r="K191" s="20" t="n">
        <v>1980</v>
      </c>
      <c r="L191" s="20" t="n">
        <v>1944</v>
      </c>
      <c r="V191" s="20" t="n">
        <v>1469</v>
      </c>
      <c r="W191" s="20" t="n">
        <v>1533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IF(OR(C191="",C179=""),"",IF(C179&lt;=0,"",IFERROR(C191/C179,"")))</f>
        <v/>
      </c>
      <c r="D192" s="15">
        <f>IF(OR(D191="",D179=""),"",IF(D179&lt;=0,"",IFERROR(D191/D179,"")))</f>
        <v/>
      </c>
      <c r="E192" s="15">
        <f>IF(OR(E191="",E179=""),"",IF(E179&lt;=0,"",IFERROR(E191/E179,"")))</f>
        <v/>
      </c>
      <c r="F192" s="15">
        <f>IF(OR(F191="",F179=""),"",IF(F179&lt;=0,"",IFERROR(F191/F179,"")))</f>
        <v/>
      </c>
      <c r="G192" s="15">
        <f>IF(OR(G191="",G179=""),"",IF(G179&lt;=0,"",IFERROR(G191/G179,"")))</f>
        <v/>
      </c>
      <c r="H192" s="15">
        <f>IF(OR(H191="",H179=""),"",IF(H179&lt;=0,"",IFERROR(H191/H179,"")))</f>
        <v/>
      </c>
      <c r="I192" s="15">
        <f>IF(OR(I191="",I179=""),"",IF(I179&lt;=0,"",IFERROR(I191/I179,"")))</f>
        <v/>
      </c>
      <c r="J192" s="15">
        <f>IF(OR(J191="",J179=""),"",IF(J179&lt;=0,"",IFERROR(J191/J179,"")))</f>
        <v/>
      </c>
      <c r="K192" s="15">
        <f>IF(OR(K191="",K179=""),"",IF(K179&lt;=0,"",IFERROR(K191/K179,"")))</f>
        <v/>
      </c>
      <c r="L192" s="15">
        <f>IF(OR(L191="",L179=""),"",IF(L179&lt;=0,"",IFERROR(L191/L179,"")))</f>
        <v/>
      </c>
      <c r="V192" s="15">
        <f>IF(OR(V191="",V179=""),"",IF(V179&lt;=0,"",IFERROR(V191/V179,"")))</f>
        <v/>
      </c>
      <c r="W192" s="15">
        <f>IF(OR(W191="",W179=""),"",IF(W179&lt;=0,"",IFERROR(W191/W179,"")))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J193" s="15">
        <f>IF(OR(J191="",F191=""),"",IF(F191&lt;=0,"",IFERROR(J191/F191-1,"")))</f>
        <v/>
      </c>
      <c r="K193" s="15">
        <f>IF(OR(K191="",G191=""),"",IF(G191&lt;=0,"",IFERROR(K191/G191-1,"")))</f>
        <v/>
      </c>
      <c r="L193" s="15">
        <f>IF(OR(L191="",H191=""),"",IF(H191&lt;=0,"",IFERROR(L191/H191-1,"")))</f>
        <v/>
      </c>
      <c r="V193" s="15">
        <f>IF(OR(V191="",U191=""),"",IF(U191&lt;=0,"",IFERROR(V191/U191-1,"")))</f>
        <v/>
      </c>
      <c r="W193" s="15">
        <f>IF(OR(W191="",V191=""),"",IF(V191&lt;=0,"",IFERROR(W191/V191-1,"")))</f>
        <v/>
      </c>
    </row>
    <row r="194">
      <c r="A194" s="18" t="inlineStr">
        <is>
          <t>기타 · 부문 이익</t>
        </is>
      </c>
      <c r="C194" s="20" t="n">
        <v>145</v>
      </c>
      <c r="D194" s="20" t="n">
        <v>136</v>
      </c>
      <c r="E194" s="20" t="n">
        <v>159</v>
      </c>
      <c r="F194" s="20" t="n">
        <v>266</v>
      </c>
      <c r="G194" s="20" t="n">
        <v>165</v>
      </c>
      <c r="H194" s="20" t="n">
        <v>213</v>
      </c>
      <c r="I194" s="20" t="n">
        <v>148</v>
      </c>
      <c r="J194" s="20" t="n">
        <v>45</v>
      </c>
      <c r="K194" s="20" t="n">
        <v>166</v>
      </c>
      <c r="L194" s="20" t="n">
        <v>144</v>
      </c>
      <c r="V194" s="20" t="n">
        <v>266</v>
      </c>
      <c r="W194" s="20" t="n">
        <v>45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IF(OR(C194="",C181=""),"",IF(C181&lt;=0,"",IFERROR(C194/C181,"")))</f>
        <v/>
      </c>
      <c r="D195" s="15">
        <f>IF(OR(D194="",D181=""),"",IF(D181&lt;=0,"",IFERROR(D194/D181,"")))</f>
        <v/>
      </c>
      <c r="E195" s="15">
        <f>IF(OR(E194="",E181=""),"",IF(E181&lt;=0,"",IFERROR(E194/E181,"")))</f>
        <v/>
      </c>
      <c r="F195" s="15">
        <f>IF(OR(F194="",F181=""),"",IF(F181&lt;=0,"",IFERROR(F194/F181,"")))</f>
        <v/>
      </c>
      <c r="G195" s="15">
        <f>IF(OR(G194="",G181=""),"",IF(G181&lt;=0,"",IFERROR(G194/G181,"")))</f>
        <v/>
      </c>
      <c r="H195" s="15">
        <f>IF(OR(H194="",H181=""),"",IF(H181&lt;=0,"",IFERROR(H194/H181,"")))</f>
        <v/>
      </c>
      <c r="I195" s="15">
        <f>IF(OR(I194="",I181=""),"",IF(I181&lt;=0,"",IFERROR(I194/I181,"")))</f>
        <v/>
      </c>
      <c r="J195" s="15">
        <f>IF(OR(J194="",J181=""),"",IF(J181&lt;=0,"",IFERROR(J194/J181,"")))</f>
        <v/>
      </c>
      <c r="K195" s="15">
        <f>IF(OR(K194="",K181=""),"",IF(K181&lt;=0,"",IFERROR(K194/K181,"")))</f>
        <v/>
      </c>
      <c r="L195" s="15">
        <f>IF(OR(L194="",L181=""),"",IF(L181&lt;=0,"",IFERROR(L194/L181,"")))</f>
        <v/>
      </c>
      <c r="V195" s="15">
        <f>IF(OR(V194="",V181=""),"",IF(V181&lt;=0,"",IFERROR(V194/V181,"")))</f>
        <v/>
      </c>
      <c r="W195" s="15">
        <f>IF(OR(W194="",W181=""),"",IF(W181&lt;=0,"",IFERROR(W194/W181,"")))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H196" s="15">
        <f>IF(OR(H194="",D194=""),"",IF(D194&lt;=0,"",IFERROR(H194/D194-1,"")))</f>
        <v/>
      </c>
      <c r="I196" s="15">
        <f>IF(OR(I194="",E194=""),"",IF(E194&lt;=0,"",IFERROR(I194/E194-1,"")))</f>
        <v/>
      </c>
      <c r="J196" s="15">
        <f>IF(OR(J194="",F194=""),"",IF(F194&lt;=0,"",IFERROR(J194/F194-1,"")))</f>
        <v/>
      </c>
      <c r="K196" s="15">
        <f>IF(OR(K194="",G194=""),"",IF(G194&lt;=0,"",IFERROR(K194/G194-1,"")))</f>
        <v/>
      </c>
      <c r="L196" s="15">
        <f>IF(OR(L194="",H194=""),"",IF(H194&lt;=0,"",IFERROR(L194/H194-1,"")))</f>
        <v/>
      </c>
      <c r="V196" s="15">
        <f>IF(OR(V194="",U194=""),"",IF(U194&lt;=0,"",IFERROR(V194/U194-1,"")))</f>
        <v/>
      </c>
      <c r="W196" s="15">
        <f>IF(OR(W194="",V194=""),"",IF(V194&lt;=0,"",IFERROR(W194/V194-1,"")))</f>
        <v/>
      </c>
    </row>
    <row r="197">
      <c r="A197" s="18" t="inlineStr">
        <is>
          <t>합계 · 부문 이익</t>
        </is>
      </c>
      <c r="C197" s="20" t="n">
        <v>1831</v>
      </c>
      <c r="D197" s="20" t="n">
        <v>2046</v>
      </c>
      <c r="E197" s="20" t="n">
        <v>2405</v>
      </c>
      <c r="F197" s="20" t="n">
        <v>1736</v>
      </c>
      <c r="G197" s="20" t="n">
        <v>1664</v>
      </c>
      <c r="H197" s="20" t="n">
        <v>1910</v>
      </c>
      <c r="I197" s="20" t="n">
        <v>2517</v>
      </c>
      <c r="J197" s="20" t="n">
        <v>1579</v>
      </c>
      <c r="K197" s="20" t="n">
        <v>2147</v>
      </c>
      <c r="L197" s="20" t="n">
        <v>2087</v>
      </c>
      <c r="V197" s="20" t="n">
        <v>1736</v>
      </c>
      <c r="W197" s="20" t="n">
        <v>1579</v>
      </c>
    </row>
    <row r="198">
      <c r="A198" s="43" t="inlineStr">
        <is>
          <t>OPM</t>
        </is>
      </c>
      <c r="B198" s="3" t="inlineStr">
        <is>
          <t>영업이익 ÷ 매출</t>
        </is>
      </c>
      <c r="C198" s="15">
        <f>IF(OR(C197="",C183=""),"",IF(C183&lt;=0,"",IFERROR(C197/C183,"")))</f>
        <v/>
      </c>
      <c r="D198" s="15">
        <f>IF(OR(D197="",D183=""),"",IF(D183&lt;=0,"",IFERROR(D197/D183,"")))</f>
        <v/>
      </c>
      <c r="E198" s="15">
        <f>IF(OR(E197="",E183=""),"",IF(E183&lt;=0,"",IFERROR(E197/E183,"")))</f>
        <v/>
      </c>
      <c r="F198" s="15">
        <f>IF(OR(F197="",F183=""),"",IF(F183&lt;=0,"",IFERROR(F197/F183,"")))</f>
        <v/>
      </c>
      <c r="G198" s="15">
        <f>IF(OR(G197="",G183=""),"",IF(G183&lt;=0,"",IFERROR(G197/G183,"")))</f>
        <v/>
      </c>
      <c r="H198" s="15">
        <f>IF(OR(H197="",H183=""),"",IF(H183&lt;=0,"",IFERROR(H197/H183,"")))</f>
        <v/>
      </c>
      <c r="I198" s="15">
        <f>IF(OR(I197="",I183=""),"",IF(I183&lt;=0,"",IFERROR(I197/I183,"")))</f>
        <v/>
      </c>
      <c r="J198" s="15">
        <f>IF(OR(J197="",J183=""),"",IF(J183&lt;=0,"",IFERROR(J197/J183,"")))</f>
        <v/>
      </c>
      <c r="K198" s="15">
        <f>IF(OR(K197="",K183=""),"",IF(K183&lt;=0,"",IFERROR(K197/K183,"")))</f>
        <v/>
      </c>
      <c r="L198" s="15">
        <f>IF(OR(L197="",L183=""),"",IF(L183&lt;=0,"",IFERROR(L197/L183,"")))</f>
        <v/>
      </c>
      <c r="V198" s="15">
        <f>IF(OR(V197="",V183=""),"",IF(V183&lt;=0,"",IFERROR(V197/V183,"")))</f>
        <v/>
      </c>
      <c r="W198" s="15">
        <f>IF(OR(W197="",W183=""),"",IF(W183&lt;=0,"",IFERROR(W197/W183,"")))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</row>
    <row r="201">
      <c r="A201" s="16" t="inlineStr">
        <is>
          <t>현금흐름표 · 전 항목</t>
        </is>
      </c>
      <c r="B201" s="42" t="inlineStr">
        <is>
          <t>분기 = 결산기 첫날부터 누계(공시 그대로)</t>
        </is>
      </c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</row>
    <row r="202">
      <c r="A202" s="5" t="inlineStr">
        <is>
          <t>항목</t>
        </is>
      </c>
      <c r="B202" s="5" t="inlineStr">
        <is>
          <t>참고</t>
        </is>
      </c>
      <c r="C202" s="5" t="inlineStr">
        <is>
          <t>2025.1Q</t>
        </is>
      </c>
      <c r="D202" s="5" t="inlineStr">
        <is>
          <t>2025.2Q</t>
        </is>
      </c>
      <c r="E202" s="5" t="inlineStr">
        <is>
          <t>2025.3Q</t>
        </is>
      </c>
      <c r="F202" s="5" t="inlineStr">
        <is>
          <t>2025.4Q</t>
        </is>
      </c>
      <c r="G202" s="5" t="inlineStr">
        <is>
          <t>2026.1Q</t>
        </is>
      </c>
      <c r="H202" s="5" t="inlineStr">
        <is>
          <t>2026.2Q</t>
        </is>
      </c>
      <c r="I202" s="5" t="inlineStr">
        <is>
          <t>2026.3Q</t>
        </is>
      </c>
      <c r="J202" s="5" t="inlineStr">
        <is>
          <t>2026.4Q</t>
        </is>
      </c>
      <c r="K202" s="5" t="inlineStr">
        <is>
          <t>2027.1Q</t>
        </is>
      </c>
      <c r="L202" s="5" t="inlineStr">
        <is>
          <t>2027.2Q</t>
        </is>
      </c>
      <c r="M202" s="5" t="inlineStr">
        <is>
          <t>2027.3Q</t>
        </is>
      </c>
      <c r="N202" s="5" t="inlineStr">
        <is>
          <t>2027.4Q</t>
        </is>
      </c>
      <c r="O202" s="5" t="inlineStr">
        <is>
          <t>2018</t>
        </is>
      </c>
      <c r="P202" s="5" t="inlineStr">
        <is>
          <t>2019</t>
        </is>
      </c>
      <c r="Q202" s="5" t="inlineStr">
        <is>
          <t>2020</t>
        </is>
      </c>
      <c r="R202" s="5" t="inlineStr">
        <is>
          <t>2021</t>
        </is>
      </c>
      <c r="S202" s="5" t="inlineStr">
        <is>
          <t>2022</t>
        </is>
      </c>
      <c r="T202" s="5" t="inlineStr">
        <is>
          <t>2023</t>
        </is>
      </c>
      <c r="U202" s="5" t="inlineStr">
        <is>
          <t>2024</t>
        </is>
      </c>
      <c r="V202" s="5" t="inlineStr">
        <is>
          <t>2025</t>
        </is>
      </c>
      <c r="W202" s="5" t="inlineStr">
        <is>
          <t>2026</t>
        </is>
      </c>
      <c r="X202" s="5" t="inlineStr">
        <is>
          <t>2027</t>
        </is>
      </c>
      <c r="Y202" s="5" t="inlineStr">
        <is>
          <t>2028(MW)</t>
        </is>
      </c>
      <c r="Z202" s="5" t="inlineStr">
        <is>
          <t>2029(MW)</t>
        </is>
      </c>
      <c r="AA202" s="5" t="inlineStr">
        <is>
          <t>2030(MW)</t>
        </is>
      </c>
      <c r="AB202" s="5" t="inlineStr">
        <is>
          <t>2031(MW)</t>
        </is>
      </c>
      <c r="AC202" s="5" t="inlineStr">
        <is>
          <t>2032(MW)</t>
        </is>
      </c>
    </row>
    <row r="203">
      <c r="A203" s="9" t="inlineStr">
        <is>
          <t>법인세차감전 순이익</t>
        </is>
      </c>
      <c r="D203" s="12" t="n">
        <v>3544</v>
      </c>
      <c r="F203" s="12" t="n">
        <v>7477</v>
      </c>
      <c r="H203" s="12" t="n">
        <v>3252</v>
      </c>
      <c r="J203" s="12" t="n">
        <v>7067</v>
      </c>
      <c r="L203" s="12" t="n">
        <v>3893</v>
      </c>
      <c r="N203" s="12" t="n">
        <v>6899</v>
      </c>
      <c r="P203" s="12" t="n">
        <v>4177</v>
      </c>
      <c r="Q203" s="12" t="n">
        <v>5663</v>
      </c>
      <c r="R203" s="12" t="n">
        <v>4228</v>
      </c>
      <c r="S203" s="12" t="n">
        <v>4264</v>
      </c>
      <c r="T203" s="12" t="n">
        <v>3818</v>
      </c>
      <c r="U203" s="12" t="n">
        <v>4126</v>
      </c>
      <c r="V203" s="12" t="n">
        <v>7477</v>
      </c>
      <c r="W203" s="12" t="n">
        <v>7067</v>
      </c>
      <c r="X203" s="12" t="n">
        <v>6899</v>
      </c>
    </row>
    <row r="204">
      <c r="A204" s="18" t="inlineStr">
        <is>
          <t>감가상각비</t>
        </is>
      </c>
      <c r="D204" s="20" t="n">
        <v>998</v>
      </c>
      <c r="F204" s="20" t="n">
        <v>2149</v>
      </c>
      <c r="H204" s="20" t="n">
        <v>1125</v>
      </c>
      <c r="J204" s="20" t="n">
        <v>2287</v>
      </c>
      <c r="L204" s="20" t="n">
        <v>1247</v>
      </c>
      <c r="N204" s="20" t="n">
        <v>2605</v>
      </c>
      <c r="P204" s="20" t="n">
        <v>2119</v>
      </c>
      <c r="Q204" s="20" t="n">
        <v>2066</v>
      </c>
      <c r="R204" s="20" t="n">
        <v>2195</v>
      </c>
      <c r="S204" s="20" t="n">
        <v>2365</v>
      </c>
      <c r="T204" s="20" t="n">
        <v>2444</v>
      </c>
      <c r="U204" s="20" t="n">
        <v>2158</v>
      </c>
      <c r="V204" s="20" t="n">
        <v>2149</v>
      </c>
      <c r="W204" s="20" t="n">
        <v>2287</v>
      </c>
      <c r="X204" s="20" t="n">
        <v>2605</v>
      </c>
    </row>
    <row r="205">
      <c r="A205" s="18" t="inlineStr">
        <is>
          <t>보조금 수입</t>
        </is>
      </c>
      <c r="D205" s="20" t="n">
        <v>0</v>
      </c>
      <c r="F205" s="20" t="n">
        <v>-191</v>
      </c>
      <c r="H205" s="20" t="n">
        <v>-53</v>
      </c>
      <c r="J205" s="20" t="n">
        <v>-9</v>
      </c>
      <c r="L205" s="20" t="n">
        <v>0</v>
      </c>
      <c r="N205" s="20" t="n">
        <v>-53</v>
      </c>
      <c r="P205" s="20" t="n">
        <v>-45</v>
      </c>
      <c r="Q205" s="20" t="n">
        <v>-545</v>
      </c>
      <c r="R205" s="20" t="n">
        <v>0</v>
      </c>
      <c r="S205" s="20" t="n">
        <v>-37</v>
      </c>
      <c r="T205" s="20" t="n">
        <v>-30</v>
      </c>
      <c r="U205" s="20" t="n">
        <v>0</v>
      </c>
      <c r="V205" s="20" t="n">
        <v>-191</v>
      </c>
      <c r="W205" s="20" t="n">
        <v>-9</v>
      </c>
      <c r="X205" s="20" t="n">
        <v>-53</v>
      </c>
    </row>
    <row r="206">
      <c r="A206" s="18" t="inlineStr">
        <is>
          <t>고정자산 압축손실</t>
        </is>
      </c>
      <c r="D206" s="20" t="n">
        <v>0</v>
      </c>
      <c r="F206" s="20" t="n">
        <v>191</v>
      </c>
      <c r="H206" s="20" t="n">
        <v>53</v>
      </c>
      <c r="J206" s="20" t="n">
        <v>9</v>
      </c>
      <c r="L206" s="20" t="n">
        <v>0</v>
      </c>
      <c r="N206" s="20" t="n">
        <v>53</v>
      </c>
      <c r="P206" s="20" t="n">
        <v>45</v>
      </c>
      <c r="Q206" s="20" t="n">
        <v>545</v>
      </c>
      <c r="R206" s="20" t="n">
        <v>0</v>
      </c>
      <c r="S206" s="20" t="n">
        <v>98</v>
      </c>
      <c r="T206" s="20" t="n">
        <v>30</v>
      </c>
      <c r="U206" s="20" t="n">
        <v>0</v>
      </c>
      <c r="V206" s="20" t="n">
        <v>191</v>
      </c>
      <c r="W206" s="20" t="n">
        <v>9</v>
      </c>
      <c r="X206" s="20" t="n">
        <v>53</v>
      </c>
    </row>
    <row r="207">
      <c r="A207" s="18" t="inlineStr">
        <is>
          <t>손상차손</t>
        </is>
      </c>
      <c r="F207" s="20" t="n">
        <v>0</v>
      </c>
      <c r="P207" s="20" t="n">
        <v>75</v>
      </c>
      <c r="Q207" s="20" t="n">
        <v>0</v>
      </c>
      <c r="R207" s="20" t="n">
        <v>0</v>
      </c>
      <c r="S207" s="20" t="n">
        <v>144</v>
      </c>
      <c r="T207" s="20" t="n">
        <v>136</v>
      </c>
      <c r="U207" s="20" t="n">
        <v>25</v>
      </c>
      <c r="V207" s="20" t="n">
        <v>0</v>
      </c>
    </row>
    <row r="208">
      <c r="A208" s="18" t="inlineStr">
        <is>
          <t>투자유가증권 평가손익</t>
        </is>
      </c>
      <c r="Q208" s="20" t="n">
        <v>0</v>
      </c>
      <c r="R208" s="20" t="n">
        <v>53</v>
      </c>
      <c r="S208" s="20" t="n">
        <v>0</v>
      </c>
    </row>
    <row r="209">
      <c r="A209" s="18" t="inlineStr">
        <is>
          <t>재해 손실</t>
        </is>
      </c>
      <c r="H209" s="20" t="n">
        <v>0</v>
      </c>
      <c r="L209" s="20" t="n">
        <v>31</v>
      </c>
    </row>
    <row r="210">
      <c r="A210" s="18" t="inlineStr">
        <is>
          <t>대손충당금 증감</t>
        </is>
      </c>
      <c r="D210" s="20" t="n">
        <v>-0</v>
      </c>
      <c r="F210" s="20" t="n">
        <v>-0</v>
      </c>
      <c r="H210" s="20" t="n">
        <v>0</v>
      </c>
      <c r="J210" s="20" t="n">
        <v>2</v>
      </c>
      <c r="L210" s="20" t="n">
        <v>-0</v>
      </c>
      <c r="N210" s="20" t="n">
        <v>-2</v>
      </c>
      <c r="P210" s="20" t="n">
        <v>24</v>
      </c>
      <c r="Q210" s="20" t="n">
        <v>-3</v>
      </c>
      <c r="R210" s="20" t="n">
        <v>-4</v>
      </c>
      <c r="S210" s="20" t="n">
        <v>-0</v>
      </c>
      <c r="T210" s="20" t="n">
        <v>-83</v>
      </c>
      <c r="U210" s="20" t="n">
        <v>-3</v>
      </c>
      <c r="V210" s="20" t="n">
        <v>-0</v>
      </c>
      <c r="W210" s="20" t="n">
        <v>2</v>
      </c>
      <c r="X210" s="20" t="n">
        <v>-2</v>
      </c>
    </row>
    <row r="211">
      <c r="A211" s="18" t="inlineStr">
        <is>
          <t>투자유가증권 매각손익</t>
        </is>
      </c>
      <c r="Q211" s="20" t="n">
        <v>0</v>
      </c>
      <c r="R211" s="20" t="n">
        <v>-70</v>
      </c>
    </row>
    <row r="212">
      <c r="A212" s="18" t="inlineStr">
        <is>
          <t>주식 지급 충당금 증감액(△는 감소)</t>
        </is>
      </c>
      <c r="D212" s="20" t="n">
        <v>13</v>
      </c>
      <c r="F212" s="20" t="n">
        <v>29</v>
      </c>
      <c r="H212" s="20" t="n">
        <v>14</v>
      </c>
      <c r="J212" s="20" t="n">
        <v>25</v>
      </c>
      <c r="L212" s="20" t="n">
        <v>-6</v>
      </c>
      <c r="N212" s="20" t="n">
        <v>38</v>
      </c>
      <c r="P212" s="20" t="n">
        <v>121</v>
      </c>
      <c r="Q212" s="20" t="n">
        <v>115</v>
      </c>
      <c r="R212" s="20" t="n">
        <v>119</v>
      </c>
      <c r="S212" s="20" t="n">
        <v>108</v>
      </c>
      <c r="T212" s="20" t="n">
        <v>106</v>
      </c>
      <c r="U212" s="20" t="n">
        <v>98</v>
      </c>
      <c r="V212" s="20" t="n">
        <v>29</v>
      </c>
      <c r="W212" s="20" t="n">
        <v>25</v>
      </c>
      <c r="X212" s="20" t="n">
        <v>38</v>
      </c>
    </row>
    <row r="213">
      <c r="A213" s="18" t="inlineStr">
        <is>
          <t>임원 주식 지급 충당금 증감액(△는 감소)</t>
        </is>
      </c>
      <c r="D213" s="20" t="n">
        <v>16</v>
      </c>
      <c r="F213" s="20" t="n">
        <v>22</v>
      </c>
      <c r="H213" s="20" t="n">
        <v>18</v>
      </c>
      <c r="J213" s="20" t="n">
        <v>34</v>
      </c>
      <c r="L213" s="20" t="n">
        <v>18</v>
      </c>
      <c r="N213" s="20" t="n">
        <v>36</v>
      </c>
      <c r="U213" s="20" t="n">
        <v>0</v>
      </c>
      <c r="V213" s="20" t="n">
        <v>22</v>
      </c>
      <c r="W213" s="20" t="n">
        <v>34</v>
      </c>
      <c r="X213" s="20" t="n">
        <v>36</v>
      </c>
    </row>
    <row r="214">
      <c r="A214" s="18" t="inlineStr">
        <is>
          <t>임원 퇴직위로 충당금 증감</t>
        </is>
      </c>
      <c r="D214" s="20" t="n">
        <v>6</v>
      </c>
      <c r="F214" s="20" t="n">
        <v>2</v>
      </c>
      <c r="H214" s="20" t="n">
        <v>0</v>
      </c>
      <c r="J214" s="20" t="n">
        <v>13</v>
      </c>
      <c r="L214" s="20" t="n">
        <v>-20</v>
      </c>
      <c r="N214" s="20" t="n">
        <v>7</v>
      </c>
      <c r="P214" s="20" t="n">
        <v>-24</v>
      </c>
      <c r="Q214" s="20" t="n">
        <v>-11</v>
      </c>
      <c r="R214" s="20" t="n">
        <v>-2</v>
      </c>
      <c r="S214" s="20" t="n">
        <v>15</v>
      </c>
      <c r="T214" s="20" t="n">
        <v>3</v>
      </c>
      <c r="U214" s="20" t="n">
        <v>-21</v>
      </c>
      <c r="V214" s="20" t="n">
        <v>2</v>
      </c>
      <c r="W214" s="20" t="n">
        <v>13</v>
      </c>
      <c r="X214" s="20" t="n">
        <v>7</v>
      </c>
    </row>
    <row r="215">
      <c r="A215" s="18" t="inlineStr">
        <is>
          <t>퇴직급여부채 증감</t>
        </is>
      </c>
      <c r="D215" s="20" t="n">
        <v>-1</v>
      </c>
      <c r="F215" s="20" t="n">
        <v>409</v>
      </c>
      <c r="H215" s="20" t="n">
        <v>2</v>
      </c>
      <c r="J215" s="20" t="n">
        <v>8</v>
      </c>
      <c r="L215" s="20" t="n">
        <v>-5</v>
      </c>
      <c r="N215" s="20" t="n">
        <v>14</v>
      </c>
      <c r="P215" s="20" t="n">
        <v>10</v>
      </c>
      <c r="Q215" s="20" t="n">
        <v>14</v>
      </c>
      <c r="R215" s="20" t="n">
        <v>15</v>
      </c>
      <c r="S215" s="20" t="n">
        <v>17</v>
      </c>
      <c r="T215" s="20" t="n">
        <v>7</v>
      </c>
      <c r="U215" s="20" t="n">
        <v>32</v>
      </c>
      <c r="V215" s="20" t="n">
        <v>409</v>
      </c>
      <c r="W215" s="20" t="n">
        <v>8</v>
      </c>
      <c r="X215" s="20" t="n">
        <v>14</v>
      </c>
    </row>
    <row r="216">
      <c r="A216" s="18" t="inlineStr">
        <is>
          <t>퇴직급여자산 증감</t>
        </is>
      </c>
      <c r="D216" s="20" t="n">
        <v>-48</v>
      </c>
      <c r="F216" s="20" t="n">
        <v>-464</v>
      </c>
      <c r="H216" s="20" t="n">
        <v>-55</v>
      </c>
      <c r="J216" s="20" t="n">
        <v>-96</v>
      </c>
      <c r="L216" s="20" t="n">
        <v>-91</v>
      </c>
      <c r="N216" s="20" t="n">
        <v>-109</v>
      </c>
      <c r="P216" s="20" t="n">
        <v>-62</v>
      </c>
      <c r="Q216" s="20" t="n">
        <v>-90</v>
      </c>
      <c r="R216" s="20" t="n">
        <v>-109</v>
      </c>
      <c r="S216" s="20" t="n">
        <v>-50</v>
      </c>
      <c r="T216" s="20" t="n">
        <v>-19</v>
      </c>
      <c r="U216" s="20" t="n">
        <v>-59</v>
      </c>
      <c r="V216" s="20" t="n">
        <v>-464</v>
      </c>
      <c r="W216" s="20" t="n">
        <v>-96</v>
      </c>
      <c r="X216" s="20" t="n">
        <v>-109</v>
      </c>
    </row>
    <row r="217">
      <c r="A217" s="18" t="inlineStr">
        <is>
          <t>이자·배당금 수익</t>
        </is>
      </c>
      <c r="D217" s="20" t="n">
        <v>-44</v>
      </c>
      <c r="F217" s="20" t="n">
        <v>-68</v>
      </c>
      <c r="H217" s="20" t="n">
        <v>-51</v>
      </c>
      <c r="J217" s="20" t="n">
        <v>-80</v>
      </c>
      <c r="L217" s="20" t="n">
        <v>-75</v>
      </c>
      <c r="N217" s="20" t="n">
        <v>-98</v>
      </c>
      <c r="P217" s="20" t="n">
        <v>-34</v>
      </c>
      <c r="Q217" s="20" t="n">
        <v>-37</v>
      </c>
      <c r="R217" s="20" t="n">
        <v>-42</v>
      </c>
      <c r="S217" s="20" t="n">
        <v>-43</v>
      </c>
      <c r="T217" s="20" t="n">
        <v>-41</v>
      </c>
      <c r="U217" s="20" t="n">
        <v>-44</v>
      </c>
      <c r="V217" s="20" t="n">
        <v>-68</v>
      </c>
      <c r="W217" s="20" t="n">
        <v>-80</v>
      </c>
      <c r="X217" s="20" t="n">
        <v>-98</v>
      </c>
    </row>
    <row r="218">
      <c r="A218" s="18" t="inlineStr">
        <is>
          <t>이자비용</t>
        </is>
      </c>
      <c r="D218" s="20" t="n">
        <v>2</v>
      </c>
      <c r="F218" s="20" t="n">
        <v>3</v>
      </c>
      <c r="H218" s="20" t="n">
        <v>4</v>
      </c>
      <c r="J218" s="20" t="n">
        <v>5</v>
      </c>
      <c r="L218" s="20" t="n">
        <v>5</v>
      </c>
      <c r="N218" s="20" t="n">
        <v>7</v>
      </c>
      <c r="P218" s="20" t="n">
        <v>10</v>
      </c>
      <c r="Q218" s="20" t="n">
        <v>7</v>
      </c>
      <c r="R218" s="20" t="n">
        <v>6</v>
      </c>
      <c r="S218" s="20" t="n">
        <v>5</v>
      </c>
      <c r="T218" s="20" t="n">
        <v>4</v>
      </c>
      <c r="U218" s="20" t="n">
        <v>4</v>
      </c>
      <c r="V218" s="20" t="n">
        <v>3</v>
      </c>
      <c r="W218" s="20" t="n">
        <v>5</v>
      </c>
      <c r="X218" s="20" t="n">
        <v>7</v>
      </c>
    </row>
    <row r="219">
      <c r="A219" s="18" t="inlineStr">
        <is>
          <t>고정자산 매각손익</t>
        </is>
      </c>
      <c r="P219" s="20" t="n">
        <v>0</v>
      </c>
      <c r="Q219" s="20" t="n">
        <v>-1747</v>
      </c>
      <c r="R219" s="20" t="n">
        <v>0</v>
      </c>
      <c r="S219" s="20" t="n">
        <v>-288</v>
      </c>
      <c r="T219" s="20" t="n">
        <v>-3</v>
      </c>
    </row>
    <row r="220">
      <c r="A220" s="18" t="inlineStr">
        <is>
          <t>매출채권 증감</t>
        </is>
      </c>
      <c r="P220" s="20" t="n">
        <v>12</v>
      </c>
      <c r="Q220" s="20" t="n">
        <v>-421</v>
      </c>
      <c r="R220" s="20" t="n">
        <v>-360</v>
      </c>
      <c r="S220" s="20" t="n">
        <v>100</v>
      </c>
      <c r="T220" s="20" t="n">
        <v>587</v>
      </c>
      <c r="U220" s="20" t="n">
        <v>0</v>
      </c>
    </row>
    <row r="221">
      <c r="A221" s="18" t="inlineStr">
        <is>
          <t>매출채권·계약자산 증감</t>
        </is>
      </c>
      <c r="D221" s="20" t="n">
        <v>-35</v>
      </c>
      <c r="F221" s="20" t="n">
        <v>-885</v>
      </c>
      <c r="T221" s="20" t="n">
        <v>0</v>
      </c>
      <c r="U221" s="20" t="n">
        <v>-1424</v>
      </c>
      <c r="V221" s="20" t="n">
        <v>-885</v>
      </c>
    </row>
    <row r="222">
      <c r="A222" s="18" t="inlineStr">
        <is>
          <t>매출채권·계약자산 증감</t>
        </is>
      </c>
      <c r="D222" s="20" t="n">
        <v>-35</v>
      </c>
      <c r="F222" s="20" t="n">
        <v>-885</v>
      </c>
      <c r="H222" s="20" t="n">
        <v>109</v>
      </c>
      <c r="J222" s="20" t="n">
        <v>442</v>
      </c>
      <c r="L222" s="20" t="n">
        <v>-1358</v>
      </c>
      <c r="N222" s="20" t="n">
        <v>451</v>
      </c>
      <c r="V222" s="20" t="n">
        <v>-885</v>
      </c>
      <c r="W222" s="20" t="n">
        <v>442</v>
      </c>
      <c r="X222" s="20" t="n">
        <v>451</v>
      </c>
    </row>
    <row r="223">
      <c r="A223" s="18" t="inlineStr">
        <is>
          <t>재고자산 증감</t>
        </is>
      </c>
      <c r="D223" s="20" t="n">
        <v>131</v>
      </c>
      <c r="F223" s="20" t="n">
        <v>-387</v>
      </c>
      <c r="H223" s="20" t="n">
        <v>-43</v>
      </c>
      <c r="J223" s="20" t="n">
        <v>-239</v>
      </c>
      <c r="L223" s="20" t="n">
        <v>-505</v>
      </c>
      <c r="N223" s="20" t="n">
        <v>-377</v>
      </c>
      <c r="P223" s="20" t="n">
        <v>-564</v>
      </c>
      <c r="Q223" s="20" t="n">
        <v>-130</v>
      </c>
      <c r="R223" s="20" t="n">
        <v>15</v>
      </c>
      <c r="S223" s="20" t="n">
        <v>32</v>
      </c>
      <c r="T223" s="20" t="n">
        <v>-418</v>
      </c>
      <c r="U223" s="20" t="n">
        <v>-573</v>
      </c>
      <c r="V223" s="20" t="n">
        <v>-387</v>
      </c>
      <c r="W223" s="20" t="n">
        <v>-239</v>
      </c>
      <c r="X223" s="20" t="n">
        <v>-377</v>
      </c>
    </row>
    <row r="224">
      <c r="A224" s="18" t="inlineStr">
        <is>
          <t>미수 소비세 증감</t>
        </is>
      </c>
      <c r="P224" s="20" t="n">
        <v>345</v>
      </c>
      <c r="Q224" s="20" t="n">
        <v>0</v>
      </c>
    </row>
    <row r="225">
      <c r="A225" s="18" t="inlineStr">
        <is>
          <t>매입채무 증감</t>
        </is>
      </c>
      <c r="D225" s="20" t="n">
        <v>175</v>
      </c>
      <c r="F225" s="20" t="n">
        <v>-2930</v>
      </c>
      <c r="H225" s="20" t="n">
        <v>-26</v>
      </c>
      <c r="J225" s="20" t="n">
        <v>329</v>
      </c>
      <c r="L225" s="20" t="n">
        <v>210</v>
      </c>
      <c r="N225" s="20" t="n">
        <v>-360</v>
      </c>
      <c r="P225" s="20" t="n">
        <v>-9</v>
      </c>
      <c r="Q225" s="20" t="n">
        <v>866</v>
      </c>
      <c r="R225" s="20" t="n">
        <v>92</v>
      </c>
      <c r="S225" s="20" t="n">
        <v>-620</v>
      </c>
      <c r="T225" s="20" t="n">
        <v>582</v>
      </c>
      <c r="U225" s="20" t="n">
        <v>816</v>
      </c>
      <c r="V225" s="20" t="n">
        <v>-2930</v>
      </c>
      <c r="W225" s="20" t="n">
        <v>329</v>
      </c>
      <c r="X225" s="20" t="n">
        <v>-360</v>
      </c>
    </row>
    <row r="226">
      <c r="A226" s="18" t="inlineStr">
        <is>
          <t>미지급금 증감</t>
        </is>
      </c>
      <c r="F226" s="20" t="n">
        <v>195</v>
      </c>
      <c r="H226" s="20" t="n">
        <v>-117</v>
      </c>
      <c r="J226" s="20" t="n">
        <v>318</v>
      </c>
      <c r="L226" s="20" t="n">
        <v>-55</v>
      </c>
      <c r="N226" s="20" t="n">
        <v>-311</v>
      </c>
      <c r="U226" s="20" t="n">
        <v>86</v>
      </c>
      <c r="V226" s="20" t="n">
        <v>195</v>
      </c>
      <c r="W226" s="20" t="n">
        <v>318</v>
      </c>
      <c r="X226" s="20" t="n">
        <v>-311</v>
      </c>
    </row>
    <row r="227">
      <c r="A227" s="18" t="inlineStr">
        <is>
          <t>미지급 소비세 증감</t>
        </is>
      </c>
      <c r="D227" s="20" t="n">
        <v>-249</v>
      </c>
      <c r="F227" s="20" t="n">
        <v>277</v>
      </c>
      <c r="H227" s="20" t="n">
        <v>-22</v>
      </c>
      <c r="J227" s="20" t="n">
        <v>-263</v>
      </c>
      <c r="L227" s="20" t="n">
        <v>88</v>
      </c>
      <c r="N227" s="20" t="n">
        <v>-50</v>
      </c>
      <c r="P227" s="20" t="n">
        <v>508</v>
      </c>
      <c r="Q227" s="20" t="n">
        <v>-365</v>
      </c>
      <c r="R227" s="20" t="n">
        <v>131</v>
      </c>
      <c r="U227" s="20" t="n">
        <v>-18</v>
      </c>
      <c r="V227" s="20" t="n">
        <v>277</v>
      </c>
      <c r="W227" s="20" t="n">
        <v>-263</v>
      </c>
      <c r="X227" s="20" t="n">
        <v>-50</v>
      </c>
    </row>
    <row r="228">
      <c r="A228" s="18" t="inlineStr">
        <is>
          <t>기타</t>
        </is>
      </c>
      <c r="D228" s="20" t="n">
        <v>417</v>
      </c>
      <c r="F228" s="20" t="n">
        <v>133</v>
      </c>
      <c r="H228" s="20" t="n">
        <v>91</v>
      </c>
      <c r="J228" s="20" t="n">
        <v>335</v>
      </c>
      <c r="L228" s="20" t="n">
        <v>-62</v>
      </c>
      <c r="N228" s="20" t="n">
        <v>392</v>
      </c>
      <c r="P228" s="20" t="n">
        <v>628</v>
      </c>
      <c r="Q228" s="20" t="n">
        <v>-224</v>
      </c>
      <c r="R228" s="20" t="n">
        <v>219</v>
      </c>
      <c r="S228" s="20" t="n">
        <v>67</v>
      </c>
      <c r="T228" s="20" t="n">
        <v>-82</v>
      </c>
      <c r="U228" s="20" t="n">
        <v>-69</v>
      </c>
      <c r="V228" s="20" t="n">
        <v>133</v>
      </c>
      <c r="W228" s="20" t="n">
        <v>335</v>
      </c>
      <c r="X228" s="20" t="n">
        <v>392</v>
      </c>
    </row>
    <row r="229">
      <c r="A229" s="18" t="inlineStr">
        <is>
          <t>소계</t>
        </is>
      </c>
      <c r="D229" s="20" t="n">
        <v>4926</v>
      </c>
      <c r="F229" s="20" t="n">
        <v>5963</v>
      </c>
      <c r="H229" s="20" t="n">
        <v>4303</v>
      </c>
      <c r="J229" s="20" t="n">
        <v>10193</v>
      </c>
      <c r="L229" s="20" t="n">
        <v>3315</v>
      </c>
      <c r="N229" s="20" t="n">
        <v>9142</v>
      </c>
      <c r="P229" s="20" t="n">
        <v>7340</v>
      </c>
      <c r="Q229" s="20" t="n">
        <v>5702</v>
      </c>
      <c r="R229" s="20" t="n">
        <v>6426</v>
      </c>
      <c r="S229" s="20" t="n">
        <v>6179</v>
      </c>
      <c r="T229" s="20" t="n">
        <v>7046</v>
      </c>
      <c r="U229" s="20" t="n">
        <v>5135</v>
      </c>
      <c r="V229" s="20" t="n">
        <v>5963</v>
      </c>
      <c r="W229" s="20" t="n">
        <v>10193</v>
      </c>
      <c r="X229" s="20" t="n">
        <v>9142</v>
      </c>
    </row>
    <row r="230">
      <c r="A230" s="18" t="inlineStr">
        <is>
          <t>이자·배당금 수취</t>
        </is>
      </c>
      <c r="D230" s="20" t="n">
        <v>44</v>
      </c>
      <c r="F230" s="20" t="n">
        <v>68</v>
      </c>
      <c r="H230" s="20" t="n">
        <v>50</v>
      </c>
      <c r="J230" s="20" t="n">
        <v>79</v>
      </c>
      <c r="L230" s="20" t="n">
        <v>74</v>
      </c>
      <c r="N230" s="20" t="n">
        <v>97</v>
      </c>
      <c r="P230" s="20" t="n">
        <v>34</v>
      </c>
      <c r="Q230" s="20" t="n">
        <v>40</v>
      </c>
      <c r="R230" s="20" t="n">
        <v>41</v>
      </c>
      <c r="S230" s="20" t="n">
        <v>44</v>
      </c>
      <c r="T230" s="20" t="n">
        <v>41</v>
      </c>
      <c r="U230" s="20" t="n">
        <v>44</v>
      </c>
      <c r="V230" s="20" t="n">
        <v>68</v>
      </c>
      <c r="W230" s="20" t="n">
        <v>79</v>
      </c>
      <c r="X230" s="20" t="n">
        <v>97</v>
      </c>
    </row>
    <row r="231">
      <c r="A231" s="18" t="inlineStr">
        <is>
          <t>이자 지급</t>
        </is>
      </c>
      <c r="D231" s="20" t="n">
        <v>-2</v>
      </c>
      <c r="F231" s="20" t="n">
        <v>-3</v>
      </c>
      <c r="H231" s="20" t="n">
        <v>-4</v>
      </c>
      <c r="J231" s="20" t="n">
        <v>-5</v>
      </c>
      <c r="L231" s="20" t="n">
        <v>-5</v>
      </c>
      <c r="N231" s="20" t="n">
        <v>-7</v>
      </c>
      <c r="P231" s="20" t="n">
        <v>-10</v>
      </c>
      <c r="Q231" s="20" t="n">
        <v>-7</v>
      </c>
      <c r="R231" s="20" t="n">
        <v>-6</v>
      </c>
      <c r="S231" s="20" t="n">
        <v>-5</v>
      </c>
      <c r="T231" s="20" t="n">
        <v>-4</v>
      </c>
      <c r="U231" s="20" t="n">
        <v>-4</v>
      </c>
      <c r="V231" s="20" t="n">
        <v>-3</v>
      </c>
      <c r="W231" s="20" t="n">
        <v>-5</v>
      </c>
      <c r="X231" s="20" t="n">
        <v>-7</v>
      </c>
    </row>
    <row r="232">
      <c r="A232" s="18" t="inlineStr">
        <is>
          <t>법인세 납부</t>
        </is>
      </c>
      <c r="D232" s="20" t="n">
        <v>-1639</v>
      </c>
      <c r="F232" s="20" t="n">
        <v>-1487</v>
      </c>
      <c r="H232" s="20" t="n">
        <v>-1082</v>
      </c>
      <c r="J232" s="20" t="n">
        <v>-2810</v>
      </c>
      <c r="L232" s="20" t="n">
        <v>-935</v>
      </c>
      <c r="N232" s="20" t="n">
        <v>-2209</v>
      </c>
      <c r="P232" s="20" t="n">
        <v>-1174</v>
      </c>
      <c r="Q232" s="20" t="n">
        <v>-1524</v>
      </c>
      <c r="R232" s="20" t="n">
        <v>-1139</v>
      </c>
      <c r="S232" s="20" t="n">
        <v>-1333</v>
      </c>
      <c r="T232" s="20" t="n">
        <v>-1176</v>
      </c>
      <c r="U232" s="20" t="n">
        <v>-1275</v>
      </c>
      <c r="V232" s="20" t="n">
        <v>-1487</v>
      </c>
      <c r="W232" s="20" t="n">
        <v>-2810</v>
      </c>
      <c r="X232" s="20" t="n">
        <v>-2209</v>
      </c>
    </row>
    <row r="233">
      <c r="A233" s="18" t="inlineStr">
        <is>
          <t>보조금 수취</t>
        </is>
      </c>
      <c r="D233" s="20" t="n">
        <v>69</v>
      </c>
      <c r="F233" s="20" t="n">
        <v>133</v>
      </c>
      <c r="H233" s="20" t="n">
        <v>58</v>
      </c>
      <c r="J233" s="20" t="n">
        <v>74</v>
      </c>
      <c r="L233" s="20" t="n">
        <v>0</v>
      </c>
      <c r="N233" s="20" t="n">
        <v>58</v>
      </c>
      <c r="P233" s="20" t="n">
        <v>45</v>
      </c>
      <c r="Q233" s="20" t="n">
        <v>196</v>
      </c>
      <c r="R233" s="20" t="n">
        <v>100</v>
      </c>
      <c r="S233" s="20" t="n">
        <v>137</v>
      </c>
      <c r="T233" s="20" t="n">
        <v>130</v>
      </c>
      <c r="U233" s="20" t="n">
        <v>100</v>
      </c>
      <c r="V233" s="20" t="n">
        <v>133</v>
      </c>
      <c r="W233" s="20" t="n">
        <v>74</v>
      </c>
      <c r="X233" s="20" t="n">
        <v>58</v>
      </c>
    </row>
    <row r="234">
      <c r="A234" s="18" t="inlineStr">
        <is>
          <t>재해 손실 지급액</t>
        </is>
      </c>
      <c r="H234" s="20" t="n">
        <v>0</v>
      </c>
      <c r="L234" s="20" t="n">
        <v>-0</v>
      </c>
    </row>
    <row r="235">
      <c r="A235" s="9" t="inlineStr">
        <is>
          <t>영업활동 현금흐름</t>
        </is>
      </c>
      <c r="D235" s="12" t="n">
        <v>3398</v>
      </c>
      <c r="F235" s="12" t="n">
        <v>4675</v>
      </c>
      <c r="H235" s="12" t="n">
        <v>3326</v>
      </c>
      <c r="J235" s="12" t="n">
        <v>7531</v>
      </c>
      <c r="L235" s="12" t="n">
        <v>2447</v>
      </c>
      <c r="N235" s="12" t="n">
        <v>7081</v>
      </c>
      <c r="P235" s="12" t="n">
        <v>6236</v>
      </c>
      <c r="Q235" s="12" t="n">
        <v>4406</v>
      </c>
      <c r="R235" s="12" t="n">
        <v>5421</v>
      </c>
      <c r="S235" s="12" t="n">
        <v>5022</v>
      </c>
      <c r="T235" s="12" t="n">
        <v>6036</v>
      </c>
      <c r="U235" s="12" t="n">
        <v>4000</v>
      </c>
      <c r="V235" s="12" t="n">
        <v>4675</v>
      </c>
      <c r="W235" s="12" t="n">
        <v>7531</v>
      </c>
      <c r="X235" s="12" t="n">
        <v>7081</v>
      </c>
    </row>
    <row r="236">
      <c r="A236" s="18" t="inlineStr">
        <is>
          <t>정기예금 예입</t>
        </is>
      </c>
      <c r="D236" s="20" t="n">
        <v>-199</v>
      </c>
      <c r="F236" s="20" t="n">
        <v>-543</v>
      </c>
      <c r="H236" s="20" t="n">
        <v>-369</v>
      </c>
      <c r="J236" s="20" t="n">
        <v>-1107</v>
      </c>
      <c r="L236" s="20" t="n">
        <v>-233</v>
      </c>
      <c r="N236" s="20" t="n">
        <v>-550</v>
      </c>
      <c r="P236" s="20" t="n">
        <v>-924</v>
      </c>
      <c r="Q236" s="20" t="n">
        <v>-3029</v>
      </c>
      <c r="R236" s="20" t="n">
        <v>-451</v>
      </c>
      <c r="S236" s="20" t="n">
        <v>-375</v>
      </c>
      <c r="T236" s="20" t="n">
        <v>-360</v>
      </c>
      <c r="U236" s="20" t="n">
        <v>-362</v>
      </c>
      <c r="V236" s="20" t="n">
        <v>-543</v>
      </c>
      <c r="W236" s="20" t="n">
        <v>-1107</v>
      </c>
      <c r="X236" s="20" t="n">
        <v>-550</v>
      </c>
    </row>
    <row r="237">
      <c r="A237" s="18" t="inlineStr">
        <is>
          <t>정기예금 인출</t>
        </is>
      </c>
      <c r="D237" s="20" t="n">
        <v>128</v>
      </c>
      <c r="F237" s="20" t="n">
        <v>256</v>
      </c>
      <c r="H237" s="20" t="n">
        <v>136</v>
      </c>
      <c r="J237" s="20" t="n">
        <v>275</v>
      </c>
      <c r="L237" s="20" t="n">
        <v>330</v>
      </c>
      <c r="N237" s="20" t="n">
        <v>161</v>
      </c>
      <c r="P237" s="20" t="n">
        <v>666</v>
      </c>
      <c r="Q237" s="20" t="n">
        <v>741</v>
      </c>
      <c r="R237" s="20" t="n">
        <v>218</v>
      </c>
      <c r="S237" s="20" t="n">
        <v>218</v>
      </c>
      <c r="T237" s="20" t="n">
        <v>216</v>
      </c>
      <c r="U237" s="20" t="n">
        <v>209</v>
      </c>
      <c r="V237" s="20" t="n">
        <v>256</v>
      </c>
      <c r="W237" s="20" t="n">
        <v>275</v>
      </c>
      <c r="X237" s="20" t="n">
        <v>161</v>
      </c>
    </row>
    <row r="238">
      <c r="A238" s="18" t="inlineStr">
        <is>
          <t>유형자산 취득(설비투자)</t>
        </is>
      </c>
      <c r="D238" s="20" t="n">
        <v>-1268</v>
      </c>
      <c r="F238" s="20" t="n">
        <v>-2867</v>
      </c>
      <c r="H238" s="20" t="n">
        <v>-1629</v>
      </c>
      <c r="J238" s="20" t="n">
        <v>-2707</v>
      </c>
      <c r="L238" s="20" t="n">
        <v>-1653</v>
      </c>
      <c r="N238" s="20" t="n">
        <v>-3528</v>
      </c>
      <c r="P238" s="20" t="n">
        <v>-1653</v>
      </c>
      <c r="Q238" s="20" t="n">
        <v>-1683</v>
      </c>
      <c r="R238" s="20" t="n">
        <v>-2217</v>
      </c>
      <c r="S238" s="20" t="n">
        <v>-2577</v>
      </c>
      <c r="T238" s="20" t="n">
        <v>-1740</v>
      </c>
      <c r="U238" s="20" t="n">
        <v>-1788</v>
      </c>
      <c r="V238" s="20" t="n">
        <v>-2867</v>
      </c>
      <c r="W238" s="20" t="n">
        <v>-2707</v>
      </c>
      <c r="X238" s="20" t="n">
        <v>-3528</v>
      </c>
    </row>
    <row r="239">
      <c r="A239" s="18" t="inlineStr">
        <is>
          <t>유형자산 매각</t>
        </is>
      </c>
      <c r="D239" s="20" t="n">
        <v>1</v>
      </c>
      <c r="F239" s="20" t="n">
        <v>4</v>
      </c>
      <c r="H239" s="20" t="n">
        <v>0</v>
      </c>
      <c r="J239" s="20" t="n">
        <v>34</v>
      </c>
      <c r="L239" s="20" t="n">
        <v>0</v>
      </c>
      <c r="N239" s="20" t="n">
        <v>4</v>
      </c>
      <c r="P239" s="20" t="n">
        <v>59</v>
      </c>
      <c r="Q239" s="20" t="n">
        <v>2950</v>
      </c>
      <c r="R239" s="20" t="n">
        <v>49</v>
      </c>
      <c r="S239" s="20" t="n">
        <v>898</v>
      </c>
      <c r="T239" s="20" t="n">
        <v>49</v>
      </c>
      <c r="U239" s="20" t="n">
        <v>7</v>
      </c>
      <c r="V239" s="20" t="n">
        <v>4</v>
      </c>
      <c r="W239" s="20" t="n">
        <v>34</v>
      </c>
      <c r="X239" s="20" t="n">
        <v>4</v>
      </c>
    </row>
    <row r="240">
      <c r="A240" s="18" t="inlineStr">
        <is>
          <t>투자유가증권 취득</t>
        </is>
      </c>
      <c r="P240" s="20" t="n">
        <v>-432</v>
      </c>
      <c r="Q240" s="20" t="n">
        <v>-500</v>
      </c>
      <c r="R240" s="20" t="n">
        <v>0</v>
      </c>
    </row>
    <row r="241">
      <c r="A241" s="18" t="inlineStr">
        <is>
          <t>투자유가증권 매각</t>
        </is>
      </c>
      <c r="Q241" s="20" t="n">
        <v>0</v>
      </c>
      <c r="R241" s="20" t="n">
        <v>1158</v>
      </c>
      <c r="S241" s="20" t="n">
        <v>1</v>
      </c>
    </row>
    <row r="242">
      <c r="A242" s="18" t="inlineStr">
        <is>
          <t>기타</t>
        </is>
      </c>
      <c r="D242" s="20" t="n">
        <v>-49</v>
      </c>
      <c r="F242" s="20" t="n">
        <v>-26</v>
      </c>
      <c r="H242" s="20" t="n">
        <v>-17</v>
      </c>
      <c r="J242" s="20" t="n">
        <v>-41</v>
      </c>
      <c r="L242" s="20" t="n">
        <v>-50</v>
      </c>
      <c r="N242" s="20" t="n">
        <v>-235</v>
      </c>
      <c r="P242" s="20" t="n">
        <v>75</v>
      </c>
      <c r="Q242" s="20" t="n">
        <v>-66</v>
      </c>
      <c r="R242" s="20" t="n">
        <v>-96</v>
      </c>
      <c r="S242" s="20" t="n">
        <v>-83</v>
      </c>
      <c r="T242" s="20" t="n">
        <v>-76</v>
      </c>
      <c r="U242" s="20" t="n">
        <v>-39</v>
      </c>
      <c r="V242" s="20" t="n">
        <v>-26</v>
      </c>
      <c r="W242" s="20" t="n">
        <v>-41</v>
      </c>
      <c r="X242" s="20" t="n">
        <v>-235</v>
      </c>
    </row>
    <row r="243">
      <c r="A243" s="9" t="inlineStr">
        <is>
          <t>투자활동 현금흐름</t>
        </is>
      </c>
      <c r="D243" s="12" t="n">
        <v>-1387</v>
      </c>
      <c r="F243" s="12" t="n">
        <v>-3175</v>
      </c>
      <c r="H243" s="12" t="n">
        <v>-1879</v>
      </c>
      <c r="J243" s="12" t="n">
        <v>-3546</v>
      </c>
      <c r="L243" s="12" t="n">
        <v>-1605</v>
      </c>
      <c r="N243" s="12" t="n">
        <v>-4148</v>
      </c>
      <c r="P243" s="12" t="n">
        <v>-2208</v>
      </c>
      <c r="Q243" s="12" t="n">
        <v>-1588</v>
      </c>
      <c r="R243" s="12" t="n">
        <v>-1337</v>
      </c>
      <c r="S243" s="12" t="n">
        <v>-1918</v>
      </c>
      <c r="T243" s="12" t="n">
        <v>-1910</v>
      </c>
      <c r="U243" s="12" t="n">
        <v>-1974</v>
      </c>
      <c r="V243" s="12" t="n">
        <v>-3175</v>
      </c>
      <c r="W243" s="12" t="n">
        <v>-3546</v>
      </c>
      <c r="X243" s="12" t="n">
        <v>-4148</v>
      </c>
    </row>
    <row r="244">
      <c r="A244" s="18" t="inlineStr">
        <is>
          <t>단기차입금 순증감</t>
        </is>
      </c>
      <c r="D244" s="20" t="n">
        <v>15</v>
      </c>
      <c r="F244" s="20" t="n">
        <v>-5</v>
      </c>
      <c r="H244" s="20" t="n">
        <v>45</v>
      </c>
      <c r="J244" s="20" t="n">
        <v>0</v>
      </c>
      <c r="L244" s="20" t="n">
        <v>80</v>
      </c>
      <c r="P244" s="20" t="n">
        <v>-101</v>
      </c>
      <c r="Q244" s="20" t="n">
        <v>-8</v>
      </c>
      <c r="R244" s="20" t="n">
        <v>-8</v>
      </c>
      <c r="S244" s="20" t="n">
        <v>-6</v>
      </c>
      <c r="T244" s="20" t="n">
        <v>-20</v>
      </c>
      <c r="U244" s="20" t="n">
        <v>0</v>
      </c>
      <c r="V244" s="20" t="n">
        <v>-5</v>
      </c>
      <c r="W244" s="20" t="n">
        <v>0</v>
      </c>
    </row>
    <row r="245">
      <c r="A245" s="18" t="inlineStr">
        <is>
          <t>장기차입</t>
        </is>
      </c>
      <c r="D245" s="20" t="n">
        <v>250</v>
      </c>
      <c r="F245" s="20" t="n">
        <v>380</v>
      </c>
      <c r="H245" s="20" t="n">
        <v>200</v>
      </c>
      <c r="J245" s="20" t="n">
        <v>280</v>
      </c>
      <c r="L245" s="20" t="n">
        <v>410</v>
      </c>
      <c r="N245" s="20" t="n">
        <v>200</v>
      </c>
      <c r="P245" s="20" t="n">
        <v>330</v>
      </c>
      <c r="Q245" s="20" t="n">
        <v>340</v>
      </c>
      <c r="R245" s="20" t="n">
        <v>370</v>
      </c>
      <c r="S245" s="20" t="n">
        <v>350</v>
      </c>
      <c r="T245" s="20" t="n">
        <v>280</v>
      </c>
      <c r="U245" s="20" t="n">
        <v>230</v>
      </c>
      <c r="V245" s="20" t="n">
        <v>380</v>
      </c>
      <c r="W245" s="20" t="n">
        <v>280</v>
      </c>
      <c r="X245" s="20" t="n">
        <v>200</v>
      </c>
    </row>
    <row r="246">
      <c r="A246" s="18" t="inlineStr">
        <is>
          <t>장기차입금 상환</t>
        </is>
      </c>
      <c r="D246" s="20" t="n">
        <v>-175</v>
      </c>
      <c r="F246" s="20" t="n">
        <v>-357</v>
      </c>
      <c r="H246" s="20" t="n">
        <v>-155</v>
      </c>
      <c r="J246" s="20" t="n">
        <v>-299</v>
      </c>
      <c r="L246" s="20" t="n">
        <v>-211</v>
      </c>
      <c r="N246" s="20" t="n">
        <v>-267</v>
      </c>
      <c r="P246" s="20" t="n">
        <v>-501</v>
      </c>
      <c r="Q246" s="20" t="n">
        <v>-511</v>
      </c>
      <c r="R246" s="20" t="n">
        <v>-462</v>
      </c>
      <c r="S246" s="20" t="n">
        <v>-468</v>
      </c>
      <c r="T246" s="20" t="n">
        <v>-427</v>
      </c>
      <c r="U246" s="20" t="n">
        <v>-335</v>
      </c>
      <c r="V246" s="20" t="n">
        <v>-357</v>
      </c>
      <c r="W246" s="20" t="n">
        <v>-299</v>
      </c>
      <c r="X246" s="20" t="n">
        <v>-267</v>
      </c>
    </row>
    <row r="247">
      <c r="A247" s="18" t="inlineStr">
        <is>
          <t>사채 발행</t>
        </is>
      </c>
      <c r="D247" s="20" t="n">
        <v>194</v>
      </c>
      <c r="F247" s="20" t="n">
        <v>193</v>
      </c>
      <c r="H247" s="20" t="n">
        <v>194</v>
      </c>
      <c r="J247" s="20" t="n">
        <v>194</v>
      </c>
      <c r="L247" s="20" t="n">
        <v>0</v>
      </c>
      <c r="N247" s="20" t="n">
        <v>194</v>
      </c>
      <c r="P247" s="20" t="n">
        <v>49</v>
      </c>
      <c r="Q247" s="20" t="n">
        <v>58</v>
      </c>
      <c r="R247" s="20" t="n">
        <v>97</v>
      </c>
      <c r="S247" s="20" t="n">
        <v>97</v>
      </c>
      <c r="T247" s="20" t="n">
        <v>146</v>
      </c>
      <c r="U247" s="20" t="n">
        <v>194</v>
      </c>
      <c r="V247" s="20" t="n">
        <v>193</v>
      </c>
      <c r="W247" s="20" t="n">
        <v>194</v>
      </c>
      <c r="X247" s="20" t="n">
        <v>194</v>
      </c>
    </row>
    <row r="248">
      <c r="A248" s="18" t="inlineStr">
        <is>
          <t>사채 상환</t>
        </is>
      </c>
      <c r="D248" s="20" t="n">
        <v>-115</v>
      </c>
      <c r="F248" s="20" t="n">
        <v>-178</v>
      </c>
      <c r="H248" s="20" t="n">
        <v>-100</v>
      </c>
      <c r="J248" s="20" t="n">
        <v>-220</v>
      </c>
      <c r="L248" s="20" t="n">
        <v>-80</v>
      </c>
      <c r="N248" s="20" t="n">
        <v>-220</v>
      </c>
      <c r="P248" s="20" t="n">
        <v>-39</v>
      </c>
      <c r="Q248" s="20" t="n">
        <v>-40</v>
      </c>
      <c r="R248" s="20" t="n">
        <v>-59</v>
      </c>
      <c r="S248" s="20" t="n">
        <v>-82</v>
      </c>
      <c r="T248" s="20" t="n">
        <v>-114</v>
      </c>
      <c r="U248" s="20" t="n">
        <v>-160</v>
      </c>
      <c r="V248" s="20" t="n">
        <v>-178</v>
      </c>
      <c r="W248" s="20" t="n">
        <v>-220</v>
      </c>
      <c r="X248" s="20" t="n">
        <v>-220</v>
      </c>
    </row>
    <row r="249">
      <c r="A249" s="18" t="inlineStr">
        <is>
          <t>자기주식 취득</t>
        </is>
      </c>
      <c r="D249" s="20" t="n">
        <v>-0</v>
      </c>
      <c r="F249" s="20" t="n">
        <v>-4657</v>
      </c>
      <c r="H249" s="20" t="n">
        <v>-0</v>
      </c>
      <c r="J249" s="20" t="n">
        <v>-1</v>
      </c>
      <c r="L249" s="20" t="n">
        <v>-0</v>
      </c>
      <c r="N249" s="20" t="n">
        <v>-1</v>
      </c>
      <c r="Q249" s="20" t="n">
        <v>0</v>
      </c>
      <c r="R249" s="20" t="n">
        <v>-12774</v>
      </c>
      <c r="S249" s="20" t="n">
        <v>-0</v>
      </c>
      <c r="T249" s="20" t="n">
        <v>-0</v>
      </c>
      <c r="U249" s="20" t="n">
        <v>-0</v>
      </c>
      <c r="V249" s="20" t="n">
        <v>-4657</v>
      </c>
      <c r="W249" s="20" t="n">
        <v>-1</v>
      </c>
      <c r="X249" s="20" t="n">
        <v>-1</v>
      </c>
    </row>
    <row r="250">
      <c r="A250" s="18" t="inlineStr">
        <is>
          <t>자기주식 처분</t>
        </is>
      </c>
      <c r="F250" s="20" t="n">
        <v>1032</v>
      </c>
      <c r="J250" s="20" t="n">
        <v>0</v>
      </c>
      <c r="U250" s="20" t="n">
        <v>0</v>
      </c>
      <c r="V250" s="20" t="n">
        <v>1032</v>
      </c>
      <c r="W250" s="20" t="n">
        <v>0</v>
      </c>
    </row>
    <row r="251">
      <c r="A251" s="18" t="inlineStr">
        <is>
          <t>배당금 지급</t>
        </is>
      </c>
      <c r="D251" s="20" t="n">
        <v>-1721</v>
      </c>
      <c r="F251" s="20" t="n">
        <v>-1350</v>
      </c>
      <c r="H251" s="20" t="n">
        <v>-1721</v>
      </c>
      <c r="J251" s="20" t="n">
        <v>-2581</v>
      </c>
      <c r="L251" s="20" t="n">
        <v>-1634</v>
      </c>
      <c r="N251" s="20" t="n">
        <v>-2581</v>
      </c>
      <c r="P251" s="20" t="n">
        <v>-768</v>
      </c>
      <c r="Q251" s="20" t="n">
        <v>-768</v>
      </c>
      <c r="R251" s="20" t="n">
        <v>-936</v>
      </c>
      <c r="S251" s="20" t="n">
        <v>-720</v>
      </c>
      <c r="T251" s="20" t="n">
        <v>-810</v>
      </c>
      <c r="U251" s="20" t="n">
        <v>-900</v>
      </c>
      <c r="V251" s="20" t="n">
        <v>-1350</v>
      </c>
      <c r="W251" s="20" t="n">
        <v>-2581</v>
      </c>
      <c r="X251" s="20" t="n">
        <v>-2581</v>
      </c>
    </row>
    <row r="252">
      <c r="A252" s="18" t="inlineStr">
        <is>
          <t>기타</t>
        </is>
      </c>
      <c r="D252" s="20" t="n">
        <v>-3</v>
      </c>
      <c r="F252" s="20" t="n">
        <v>-7</v>
      </c>
      <c r="H252" s="20" t="n">
        <v>-11</v>
      </c>
      <c r="J252" s="20" t="n">
        <v>-15</v>
      </c>
      <c r="L252" s="20" t="n">
        <v>-13</v>
      </c>
      <c r="N252" s="20" t="n">
        <v>-21</v>
      </c>
      <c r="P252" s="20" t="n">
        <v>-3</v>
      </c>
      <c r="Q252" s="20" t="n">
        <v>3</v>
      </c>
      <c r="R252" s="20" t="n">
        <v>-0</v>
      </c>
      <c r="S252" s="20" t="n">
        <v>9</v>
      </c>
      <c r="T252" s="20" t="n">
        <v>8</v>
      </c>
      <c r="U252" s="20" t="n">
        <v>-8</v>
      </c>
      <c r="V252" s="20" t="n">
        <v>-7</v>
      </c>
      <c r="W252" s="20" t="n">
        <v>-15</v>
      </c>
      <c r="X252" s="20" t="n">
        <v>-21</v>
      </c>
    </row>
    <row r="253">
      <c r="A253" s="9" t="inlineStr">
        <is>
          <t>재무활동 현금흐름</t>
        </is>
      </c>
      <c r="D253" s="12" t="n">
        <v>-1556</v>
      </c>
      <c r="F253" s="12" t="n">
        <v>-4950</v>
      </c>
      <c r="H253" s="12" t="n">
        <v>-1548</v>
      </c>
      <c r="J253" s="12" t="n">
        <v>-2643</v>
      </c>
      <c r="L253" s="12" t="n">
        <v>-1450</v>
      </c>
      <c r="N253" s="12" t="n">
        <v>-2697</v>
      </c>
      <c r="P253" s="12" t="n">
        <v>-1034</v>
      </c>
      <c r="Q253" s="12" t="n">
        <v>-926</v>
      </c>
      <c r="R253" s="12" t="n">
        <v>-13772</v>
      </c>
      <c r="S253" s="12" t="n">
        <v>-821</v>
      </c>
      <c r="T253" s="12" t="n">
        <v>-937</v>
      </c>
      <c r="U253" s="12" t="n">
        <v>-979</v>
      </c>
      <c r="V253" s="12" t="n">
        <v>-4950</v>
      </c>
      <c r="W253" s="12" t="n">
        <v>-2643</v>
      </c>
      <c r="X253" s="12" t="n">
        <v>-2697</v>
      </c>
    </row>
    <row r="254">
      <c r="A254" s="18" t="inlineStr">
        <is>
          <t>현금성자산 증감</t>
        </is>
      </c>
      <c r="D254" s="20" t="n">
        <v>454</v>
      </c>
      <c r="F254" s="20" t="n">
        <v>-3451</v>
      </c>
      <c r="H254" s="20" t="n">
        <v>-101</v>
      </c>
      <c r="J254" s="20" t="n">
        <v>1341</v>
      </c>
      <c r="L254" s="20" t="n">
        <v>-607</v>
      </c>
      <c r="N254" s="20" t="n">
        <v>235</v>
      </c>
      <c r="P254" s="20" t="n">
        <v>2993</v>
      </c>
      <c r="Q254" s="20" t="n">
        <v>1892</v>
      </c>
      <c r="R254" s="20" t="n">
        <v>-9688</v>
      </c>
      <c r="S254" s="20" t="n">
        <v>2282</v>
      </c>
      <c r="T254" s="20" t="n">
        <v>3187</v>
      </c>
      <c r="U254" s="20" t="n">
        <v>1046</v>
      </c>
      <c r="V254" s="20" t="n">
        <v>-3451</v>
      </c>
      <c r="W254" s="20" t="n">
        <v>1341</v>
      </c>
      <c r="X254" s="20" t="n">
        <v>235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미라이공업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2026.3Q</t>
        </is>
      </c>
      <c r="D3" s="5" t="inlineStr">
        <is>
          <t>2026.4Q</t>
        </is>
      </c>
      <c r="E3" s="5" t="inlineStr">
        <is>
          <t>2027.1Q</t>
        </is>
      </c>
      <c r="F3" s="5" t="inlineStr">
        <is>
          <t>2027.2Q</t>
        </is>
      </c>
      <c r="G3" s="5" t="inlineStr">
        <is>
          <t>2027.3Q</t>
        </is>
      </c>
      <c r="H3" s="6" t="inlineStr">
        <is>
          <t>2023</t>
        </is>
      </c>
      <c r="I3" s="5" t="inlineStr">
        <is>
          <t>2024</t>
        </is>
      </c>
      <c r="J3" s="5" t="inlineStr">
        <is>
          <t>2025</t>
        </is>
      </c>
      <c r="K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</row>
    <row r="5">
      <c r="A5" s="9" t="inlineStr">
        <is>
          <t>유동자산</t>
        </is>
      </c>
      <c r="B5" s="10" t="n"/>
      <c r="C5" s="11" t="n">
        <v>42632</v>
      </c>
      <c r="D5" s="12" t="n">
        <v>42684</v>
      </c>
      <c r="E5" s="12" t="n">
        <v>42950</v>
      </c>
      <c r="F5" s="12" t="n">
        <v>43382</v>
      </c>
      <c r="G5" s="12" t="n">
        <v>44474</v>
      </c>
      <c r="H5" s="11" t="n">
        <v>41705</v>
      </c>
      <c r="I5" s="12" t="n">
        <v>39202</v>
      </c>
      <c r="J5" s="12" t="n">
        <v>41825</v>
      </c>
      <c r="K5" s="12" t="n">
        <v>42684</v>
      </c>
    </row>
    <row r="6">
      <c r="A6" s="18" t="inlineStr">
        <is>
          <t>현금및현금성자산</t>
        </is>
      </c>
      <c r="B6" s="10" t="n"/>
      <c r="C6" s="19" t="n">
        <v>21234</v>
      </c>
      <c r="D6" s="20" t="n">
        <v>20458</v>
      </c>
      <c r="E6" s="20" t="n">
        <v>21728</v>
      </c>
      <c r="F6" s="20" t="n">
        <v>20761</v>
      </c>
      <c r="G6" s="20" t="n">
        <v>21024</v>
      </c>
      <c r="H6" s="19" t="n">
        <v>22115</v>
      </c>
      <c r="I6" s="20" t="n">
        <v>17787</v>
      </c>
      <c r="J6" s="20" t="n">
        <v>19010</v>
      </c>
      <c r="K6" s="20" t="n">
        <v>20458</v>
      </c>
    </row>
    <row r="7">
      <c r="A7" s="18" t="inlineStr">
        <is>
          <t>단기금융상품</t>
        </is>
      </c>
      <c r="B7" s="10" t="n"/>
      <c r="C7" s="19" t="n">
        <v>1525</v>
      </c>
      <c r="D7" s="20" t="n">
        <v>1499</v>
      </c>
      <c r="E7" s="20" t="n">
        <v>1513</v>
      </c>
      <c r="F7" s="20" t="n">
        <v>1498</v>
      </c>
      <c r="G7" s="20" t="n">
        <v>1497</v>
      </c>
      <c r="H7" s="19" t="n"/>
      <c r="I7" s="20" t="n"/>
      <c r="J7" s="20" t="n"/>
      <c r="K7" s="20" t="n">
        <v>1499</v>
      </c>
    </row>
    <row r="8">
      <c r="A8" s="18" t="inlineStr">
        <is>
          <t>매출채권</t>
        </is>
      </c>
      <c r="B8" s="10" t="n"/>
      <c r="C8" s="19" t="n">
        <v>6979</v>
      </c>
      <c r="D8" s="20" t="n">
        <v>7510</v>
      </c>
      <c r="E8" s="20" t="n">
        <v>6548</v>
      </c>
      <c r="F8" s="20" t="n">
        <v>7235</v>
      </c>
      <c r="G8" s="20" t="n">
        <v>7298</v>
      </c>
      <c r="H8" s="19" t="n">
        <v>8184</v>
      </c>
      <c r="I8" s="20" t="n">
        <v>8941</v>
      </c>
      <c r="J8" s="20" t="n">
        <v>8154</v>
      </c>
      <c r="K8" s="20" t="n">
        <v>7510</v>
      </c>
    </row>
    <row r="9">
      <c r="A9" s="18" t="inlineStr">
        <is>
          <t>재고자산</t>
        </is>
      </c>
      <c r="B9" s="10" t="n"/>
      <c r="C9" s="19" t="n">
        <v>6586</v>
      </c>
      <c r="D9" s="20" t="n">
        <v>6821</v>
      </c>
      <c r="E9" s="20" t="n">
        <v>6920</v>
      </c>
      <c r="F9" s="20" t="n">
        <v>7088</v>
      </c>
      <c r="G9" s="20" t="n">
        <v>7425</v>
      </c>
      <c r="H9" s="19" t="n">
        <v>5850</v>
      </c>
      <c r="I9" s="20" t="n">
        <v>6191</v>
      </c>
      <c r="J9" s="20" t="n">
        <v>6432</v>
      </c>
      <c r="K9" s="20" t="n">
        <v>6821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>
        <v>24402</v>
      </c>
      <c r="D11" s="12" t="n">
        <v>24615</v>
      </c>
      <c r="E11" s="12" t="n">
        <v>25746</v>
      </c>
      <c r="F11" s="12" t="n">
        <v>25942</v>
      </c>
      <c r="G11" s="12" t="n">
        <v>26501</v>
      </c>
      <c r="H11" s="11" t="n">
        <v>21579</v>
      </c>
      <c r="I11" s="12" t="n">
        <v>22456</v>
      </c>
      <c r="J11" s="12" t="n">
        <v>23286</v>
      </c>
      <c r="K11" s="12" t="n">
        <v>24615</v>
      </c>
    </row>
    <row r="12">
      <c r="A12" s="18" t="inlineStr">
        <is>
          <t>유형자산</t>
        </is>
      </c>
      <c r="B12" s="10" t="n"/>
      <c r="C12" s="19" t="n">
        <v>15020</v>
      </c>
      <c r="D12" s="20" t="n">
        <v>15229</v>
      </c>
      <c r="E12" s="20" t="n">
        <v>15544</v>
      </c>
      <c r="F12" s="20" t="n">
        <v>15617</v>
      </c>
      <c r="G12" s="20" t="n">
        <v>15849</v>
      </c>
      <c r="H12" s="19" t="n">
        <v>13875</v>
      </c>
      <c r="I12" s="20" t="n">
        <v>14172</v>
      </c>
      <c r="J12" s="20" t="n">
        <v>14416</v>
      </c>
      <c r="K12" s="20" t="n">
        <v>15229</v>
      </c>
    </row>
    <row r="13">
      <c r="A13" s="18" t="inlineStr">
        <is>
          <t>무형자산</t>
        </is>
      </c>
      <c r="B13" s="10" t="n"/>
      <c r="C13" s="19" t="n">
        <v>184</v>
      </c>
      <c r="D13" s="20" t="n">
        <v>256</v>
      </c>
      <c r="E13" s="20" t="n">
        <v>340</v>
      </c>
      <c r="F13" s="20" t="n">
        <v>361</v>
      </c>
      <c r="G13" s="20" t="n">
        <v>367</v>
      </c>
      <c r="H13" s="19" t="n">
        <v>156</v>
      </c>
      <c r="I13" s="20" t="n">
        <v>129</v>
      </c>
      <c r="J13" s="20" t="n">
        <v>190</v>
      </c>
      <c r="K13" s="20" t="n">
        <v>256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67034</v>
      </c>
      <c r="D16" s="12" t="n">
        <v>67300</v>
      </c>
      <c r="E16" s="12" t="n">
        <v>68697</v>
      </c>
      <c r="F16" s="12" t="n">
        <v>69325</v>
      </c>
      <c r="G16" s="12" t="n">
        <v>70976</v>
      </c>
      <c r="H16" s="11" t="n">
        <v>63285</v>
      </c>
      <c r="I16" s="12" t="n">
        <v>61658</v>
      </c>
      <c r="J16" s="12" t="n">
        <v>65112</v>
      </c>
      <c r="K16" s="12" t="n">
        <v>67300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</row>
    <row r="18">
      <c r="A18" s="9" t="inlineStr">
        <is>
          <t>유동부채</t>
        </is>
      </c>
      <c r="B18" s="10" t="n"/>
      <c r="C18" s="11" t="n">
        <v>10404</v>
      </c>
      <c r="D18" s="12" t="n">
        <v>9792</v>
      </c>
      <c r="E18" s="12" t="n">
        <v>9688</v>
      </c>
      <c r="F18" s="12" t="n">
        <v>10159</v>
      </c>
      <c r="G18" s="12" t="n">
        <v>10569</v>
      </c>
      <c r="H18" s="11" t="n">
        <v>11666</v>
      </c>
      <c r="I18" s="12" t="n">
        <v>9921</v>
      </c>
      <c r="J18" s="12" t="n">
        <v>10236</v>
      </c>
      <c r="K18" s="12" t="n">
        <v>9792</v>
      </c>
    </row>
    <row r="19">
      <c r="A19" s="18" t="inlineStr">
        <is>
          <t>매입채무</t>
        </is>
      </c>
      <c r="B19" s="10" t="n"/>
      <c r="C19" s="19" t="n">
        <v>3055</v>
      </c>
      <c r="D19" s="20" t="n">
        <v>3215</v>
      </c>
      <c r="E19" s="20" t="n">
        <v>2592</v>
      </c>
      <c r="F19" s="20" t="n">
        <v>3465</v>
      </c>
      <c r="G19" s="20" t="n">
        <v>3344</v>
      </c>
      <c r="H19" s="19" t="n">
        <v>3491</v>
      </c>
      <c r="I19" s="20" t="n">
        <v>3111</v>
      </c>
      <c r="J19" s="20" t="n">
        <v>3411</v>
      </c>
      <c r="K19" s="20" t="n">
        <v>3215</v>
      </c>
    </row>
    <row r="20">
      <c r="A20" s="18" t="inlineStr">
        <is>
          <t>단기차입금</t>
        </is>
      </c>
      <c r="B20" s="10" t="n"/>
      <c r="C20" s="19" t="n">
        <v>85</v>
      </c>
      <c r="D20" s="20" t="n">
        <v>267</v>
      </c>
      <c r="E20" s="20" t="n">
        <v>40</v>
      </c>
      <c r="F20" s="20" t="n">
        <v>85</v>
      </c>
      <c r="G20" s="20" t="n">
        <v>120</v>
      </c>
      <c r="H20" s="19" t="n">
        <v>225</v>
      </c>
      <c r="I20" s="20" t="n">
        <v>220</v>
      </c>
      <c r="J20" s="20" t="n">
        <v>237</v>
      </c>
      <c r="K20" s="20" t="n">
        <v>267</v>
      </c>
    </row>
    <row r="21">
      <c r="A21" s="18" t="inlineStr">
        <is>
          <t>유동성장기부채</t>
        </is>
      </c>
      <c r="B21" s="10" t="n"/>
      <c r="C21" s="19" t="n">
        <v>202</v>
      </c>
      <c r="D21" s="20" t="n">
        <v>163</v>
      </c>
      <c r="E21" s="20" t="n">
        <v>124</v>
      </c>
      <c r="F21" s="20" t="n">
        <v>364</v>
      </c>
      <c r="G21" s="20" t="n">
        <v>311</v>
      </c>
      <c r="H21" s="19" t="n">
        <v>236</v>
      </c>
      <c r="I21" s="20" t="n">
        <v>171</v>
      </c>
      <c r="J21" s="20" t="n">
        <v>153</v>
      </c>
      <c r="K21" s="20" t="n">
        <v>163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>
        <v>2680</v>
      </c>
      <c r="D23" s="12" t="n">
        <v>2674</v>
      </c>
      <c r="E23" s="12" t="n">
        <v>2745</v>
      </c>
      <c r="F23" s="12" t="n">
        <v>2977</v>
      </c>
      <c r="G23" s="12" t="n">
        <v>2791</v>
      </c>
      <c r="H23" s="11" t="n">
        <v>2460</v>
      </c>
      <c r="I23" s="12" t="n">
        <v>2468</v>
      </c>
      <c r="J23" s="12" t="n">
        <v>2625</v>
      </c>
      <c r="K23" s="12" t="n">
        <v>2674</v>
      </c>
    </row>
    <row r="24">
      <c r="A24" s="18" t="inlineStr">
        <is>
          <t>장기차입금</t>
        </is>
      </c>
      <c r="B24" s="10" t="n"/>
      <c r="C24" s="19" t="n">
        <v>48</v>
      </c>
      <c r="D24" s="20" t="n">
        <v>31</v>
      </c>
      <c r="E24" s="20" t="n">
        <v>14</v>
      </c>
      <c r="F24" s="20" t="n">
        <v>80</v>
      </c>
      <c r="G24" s="20" t="n">
        <v>26</v>
      </c>
      <c r="H24" s="19" t="n">
        <v>37</v>
      </c>
      <c r="I24" s="20" t="n">
        <v>0</v>
      </c>
      <c r="J24" s="20" t="n">
        <v>77</v>
      </c>
      <c r="K24" s="20" t="n">
        <v>31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13085</v>
      </c>
      <c r="D27" s="12" t="n">
        <v>12466</v>
      </c>
      <c r="E27" s="12" t="n">
        <v>12434</v>
      </c>
      <c r="F27" s="12" t="n">
        <v>13137</v>
      </c>
      <c r="G27" s="12" t="n">
        <v>13360</v>
      </c>
      <c r="H27" s="11" t="n">
        <v>14126</v>
      </c>
      <c r="I27" s="12" t="n">
        <v>12390</v>
      </c>
      <c r="J27" s="12" t="n">
        <v>12861</v>
      </c>
      <c r="K27" s="12" t="n">
        <v>12466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</row>
    <row r="31">
      <c r="A31" s="9" t="inlineStr">
        <is>
          <t>지배주주지분</t>
        </is>
      </c>
      <c r="B31" s="10" t="n"/>
      <c r="C31" s="11" t="n">
        <v>53176</v>
      </c>
      <c r="D31" s="12" t="n">
        <v>54040</v>
      </c>
      <c r="E31" s="12" t="n">
        <v>55450</v>
      </c>
      <c r="F31" s="12" t="n">
        <v>55354</v>
      </c>
      <c r="G31" s="12" t="n">
        <v>56763</v>
      </c>
      <c r="H31" s="11" t="n">
        <v>48598</v>
      </c>
      <c r="I31" s="12" t="n">
        <v>48631</v>
      </c>
      <c r="J31" s="12" t="n">
        <v>51544</v>
      </c>
      <c r="K31" s="12" t="n">
        <v>54040</v>
      </c>
    </row>
    <row r="32">
      <c r="A32" s="18" t="inlineStr">
        <is>
          <t>자본금</t>
        </is>
      </c>
      <c r="B32" s="10" t="n"/>
      <c r="C32" s="19" t="n">
        <v>7067</v>
      </c>
      <c r="D32" s="20" t="n">
        <v>7067</v>
      </c>
      <c r="E32" s="20" t="n">
        <v>7067</v>
      </c>
      <c r="F32" s="20" t="n">
        <v>7067</v>
      </c>
      <c r="G32" s="20" t="n">
        <v>7067</v>
      </c>
      <c r="H32" s="19" t="n">
        <v>7067</v>
      </c>
      <c r="I32" s="20" t="n">
        <v>7067</v>
      </c>
      <c r="J32" s="20" t="n">
        <v>7067</v>
      </c>
      <c r="K32" s="20" t="n">
        <v>7067</v>
      </c>
    </row>
    <row r="33">
      <c r="A33" s="18" t="inlineStr">
        <is>
          <t>이익잉여금</t>
        </is>
      </c>
      <c r="B33" s="10" t="n"/>
      <c r="C33" s="19" t="n">
        <v>55165</v>
      </c>
      <c r="D33" s="20" t="n">
        <v>55921</v>
      </c>
      <c r="E33" s="20" t="n">
        <v>56806</v>
      </c>
      <c r="F33" s="20" t="n">
        <v>56550</v>
      </c>
      <c r="G33" s="20" t="n">
        <v>57817</v>
      </c>
      <c r="H33" s="19" t="n">
        <v>48167</v>
      </c>
      <c r="I33" s="20" t="n">
        <v>51303</v>
      </c>
      <c r="J33" s="20" t="n">
        <v>53804</v>
      </c>
      <c r="K33" s="20" t="n">
        <v>55921</v>
      </c>
    </row>
    <row r="34">
      <c r="A34" s="18" t="inlineStr">
        <is>
          <t>비지배지분</t>
        </is>
      </c>
      <c r="B34" s="10" t="n"/>
      <c r="C34" s="19" t="n">
        <v>773</v>
      </c>
      <c r="D34" s="20" t="n">
        <v>793</v>
      </c>
      <c r="E34" s="20" t="n">
        <v>812</v>
      </c>
      <c r="F34" s="20" t="n">
        <v>833</v>
      </c>
      <c r="G34" s="20" t="n">
        <v>852</v>
      </c>
      <c r="H34" s="19" t="n">
        <v>560</v>
      </c>
      <c r="I34" s="20" t="n">
        <v>637</v>
      </c>
      <c r="J34" s="20" t="n">
        <v>707</v>
      </c>
      <c r="K34" s="20" t="n">
        <v>793</v>
      </c>
    </row>
    <row r="35">
      <c r="A35" s="9" t="inlineStr">
        <is>
          <t>자본총계</t>
        </is>
      </c>
      <c r="B35" s="10" t="n"/>
      <c r="C35" s="11" t="n">
        <v>53949</v>
      </c>
      <c r="D35" s="12" t="n">
        <v>54833</v>
      </c>
      <c r="E35" s="12" t="n">
        <v>56262</v>
      </c>
      <c r="F35" s="12" t="n">
        <v>56187</v>
      </c>
      <c r="G35" s="12" t="n">
        <v>57615</v>
      </c>
      <c r="H35" s="11" t="n">
        <v>49158</v>
      </c>
      <c r="I35" s="12" t="n">
        <v>49268</v>
      </c>
      <c r="J35" s="12" t="n">
        <v>52251</v>
      </c>
      <c r="K35" s="12" t="n">
        <v>54833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</row>
    <row r="37">
      <c r="A37" s="9" t="inlineStr">
        <is>
          <t>영업활동현금흐름</t>
        </is>
      </c>
      <c r="B37" s="10" t="n"/>
      <c r="C37" s="11" t="n"/>
      <c r="D37" s="12" t="n">
        <v>7531</v>
      </c>
      <c r="E37" s="12" t="n"/>
      <c r="F37" s="12" t="n">
        <v>6652</v>
      </c>
      <c r="G37" s="12" t="n"/>
      <c r="H37" s="11" t="n">
        <v>6036</v>
      </c>
      <c r="I37" s="12" t="n">
        <v>4000</v>
      </c>
      <c r="J37" s="12" t="n">
        <v>4675</v>
      </c>
      <c r="K37" s="12" t="n">
        <v>7531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2707</v>
      </c>
      <c r="E38" s="20" t="n"/>
      <c r="F38" s="20" t="n">
        <v>2731</v>
      </c>
      <c r="G38" s="20" t="n"/>
      <c r="H38" s="19" t="n">
        <v>1740</v>
      </c>
      <c r="I38" s="20" t="n">
        <v>1788</v>
      </c>
      <c r="J38" s="20" t="n">
        <v>2867</v>
      </c>
      <c r="K38" s="20" t="n">
        <v>2707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2581</v>
      </c>
      <c r="E40" s="20" t="n"/>
      <c r="F40" s="20" t="n">
        <v>2494</v>
      </c>
      <c r="G40" s="20" t="n"/>
      <c r="H40" s="19" t="n">
        <v>810</v>
      </c>
      <c r="I40" s="20" t="n">
        <v>900</v>
      </c>
      <c r="J40" s="20" t="n">
        <v>1350</v>
      </c>
      <c r="K40" s="20" t="n">
        <v>2581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IFERROR((IF(COUNT('연간'!F25:I25)&lt;4,"",SUM('연간'!F25:I25)))/(IF(COUNT('연간'!F47:I47)&lt;4,"",SUM('연간'!F47:I47))),"")</f>
        <v/>
      </c>
      <c r="D48" s="31">
        <f>IFERROR((IF(COUNT('연간'!G25:J25)&lt;4,"",SUM('연간'!G25:J25)))/(IF(COUNT('연간'!G47:J47)&lt;4,"",SUM('연간'!G47:J47))),"")</f>
        <v/>
      </c>
      <c r="E48" s="31">
        <f>IFERROR((IF(COUNT('연간'!H25:K25)&lt;4,"",SUM('연간'!H25:K25)))/(IF(COUNT('연간'!H47:K47)&lt;4,"",SUM('연간'!H47:K47))),"")</f>
        <v/>
      </c>
      <c r="F48" s="31">
        <f>IFERROR((IF(COUNT('연간'!I25:L25)&lt;4,"",SUM('연간'!I25:L25)))/(IF(COUNT('연간'!I47:L47)&lt;4,"",SUM('연간'!I47:L47))),"")</f>
        <v/>
      </c>
      <c r="G48" s="31">
        <f>IFERROR((IF(COUNT('연간'!J25:M25)&lt;4,"",SUM('연간'!J25:M25)))/(IF(COUNT('연간'!J47:M47)&lt;4,"",SUM('연간'!J47:M47))),"")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IFERROR(IF((IF(COUNT('연간'!F55:I55)&lt;4,"",SUM('연간'!F55:I55)))&lt;=0,"적자",C28/(IF(COUNT('연간'!F55:I55)&lt;4,"",SUM('연간'!F55:I55)))),"")</f>
        <v/>
      </c>
      <c r="D49" s="47">
        <f>IFERROR(IF((IF(COUNT('연간'!G55:J55)&lt;4,"",SUM('연간'!G55:J55)))&lt;=0,"적자",D28/(IF(COUNT('연간'!G55:J55)&lt;4,"",SUM('연간'!G55:J55)))),"")</f>
        <v/>
      </c>
      <c r="E49" s="47">
        <f>IFERROR(IF((IF(COUNT('연간'!H55:K55)&lt;4,"",SUM('연간'!H55:K55)))&lt;=0,"적자",E28/(IF(COUNT('연간'!H55:K55)&lt;4,"",SUM('연간'!H55:K55)))),"")</f>
        <v/>
      </c>
      <c r="F49" s="47">
        <f>IFERROR(IF((IF(COUNT('연간'!I55:L55)&lt;4,"",SUM('연간'!I55:L55)))&lt;=0,"적자",F28/(IF(COUNT('연간'!I55:L55)&lt;4,"",SUM('연간'!I55:L55)))),"")</f>
        <v/>
      </c>
      <c r="G49" s="47">
        <f>IFERROR(IF((IF(COUNT('연간'!J55:M55)&lt;4,"",SUM('연간'!J55:M55)))&lt;=0,"적자",G28/(IF(COUNT('연간'!J55:M55)&lt;4,"",SUM('연간'!J55:M55)))),"")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IFERROR((IF(COUNT('연간'!F55:I55)&lt;4,"",SUM('연간'!F55:I55)))/C31,"")</f>
        <v/>
      </c>
      <c r="D51" s="36">
        <f>IFERROR((IF(COUNT('연간'!G55:J55)&lt;4,"",SUM('연간'!G55:J55)))/D31,"")</f>
        <v/>
      </c>
      <c r="E51" s="36">
        <f>IFERROR((IF(COUNT('연간'!H55:K55)&lt;4,"",SUM('연간'!H55:K55)))/E31,"")</f>
        <v/>
      </c>
      <c r="F51" s="36">
        <f>IFERROR((IF(COUNT('연간'!I55:L55)&lt;4,"",SUM('연간'!I55:L55)))/F31,"")</f>
        <v/>
      </c>
      <c r="G51" s="36">
        <f>IFERROR((IF(COUNT('연간'!J55:M55)&lt;4,"",SUM('연간'!J55:M55)))/G31,"")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IFERROR((IF(COUNT('연간'!F53:I53)&lt;4,"",SUM('연간'!F53:I53)))/C16,"")</f>
        <v/>
      </c>
      <c r="D52" s="36">
        <f>IFERROR((IF(COUNT('연간'!G53:J53)&lt;4,"",SUM('연간'!G53:J53)))/D16,"")</f>
        <v/>
      </c>
      <c r="E52" s="36">
        <f>IFERROR((IF(COUNT('연간'!H53:K53)&lt;4,"",SUM('연간'!H53:K53)))/E16,"")</f>
        <v/>
      </c>
      <c r="F52" s="36">
        <f>IFERROR((IF(COUNT('연간'!I53:L53)&lt;4,"",SUM('연간'!I53:L53)))/F16,"")</f>
        <v/>
      </c>
      <c r="G52" s="36">
        <f>IFERROR((IF(COUNT('연간'!J53:M53)&lt;4,"",SUM('연간'!J53:M53)))/G16,"")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IFERROR((IF(COUNT('연간'!F25:I25)&lt;4,"",SUM('연간'!F25:I25)))*(1-0.3)/(C35+C29),"")</f>
        <v/>
      </c>
      <c r="D53" s="36">
        <f>IFERROR((IF(COUNT('연간'!G25:J25)&lt;4,"",SUM('연간'!G25:J25)))*(1-0.3)/(D35+D29),"")</f>
        <v/>
      </c>
      <c r="E53" s="36">
        <f>IFERROR((IF(COUNT('연간'!H25:K25)&lt;4,"",SUM('연간'!H25:K25)))*(1-0.3)/(E35+E29),"")</f>
        <v/>
      </c>
      <c r="F53" s="36">
        <f>IFERROR((IF(COUNT('연간'!I25:L25)&lt;4,"",SUM('연간'!I25:L25)))*(1-0.3)/(F35+F29),"")</f>
        <v/>
      </c>
      <c r="G53" s="36">
        <f>IFERROR((IF(COUNT('연간'!J25:M25)&lt;4,"",SUM('연간'!J25:M25)))*(1-0.3)/(G35+G29),"")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IFERROR((IF(COUNT('연간'!F19:I19)&lt;4,"",SUM('연간'!F19:I19)))/(IF(COUNT('연간'!F4:I4)&lt;4,"",SUM('연간'!F4:I4))),"")</f>
        <v/>
      </c>
      <c r="D54" s="36">
        <f>IFERROR((IF(COUNT('연간'!G19:J19)&lt;4,"",SUM('연간'!G19:J19)))/(IF(COUNT('연간'!G4:J4)&lt;4,"",SUM('연간'!G4:J4))),"")</f>
        <v/>
      </c>
      <c r="E54" s="36">
        <f>IFERROR((IF(COUNT('연간'!H19:K19)&lt;4,"",SUM('연간'!H19:K19)))/(IF(COUNT('연간'!H4:K4)&lt;4,"",SUM('연간'!H4:K4))),"")</f>
        <v/>
      </c>
      <c r="F54" s="36">
        <f>IFERROR((IF(COUNT('연간'!I19:L19)&lt;4,"",SUM('연간'!I19:L19)))/(IF(COUNT('연간'!I4:L4)&lt;4,"",SUM('연간'!I4:L4))),"")</f>
        <v/>
      </c>
      <c r="G54" s="36">
        <f>IFERROR((IF(COUNT('연간'!J19:M19)&lt;4,"",SUM('연간'!J19:M19)))/(IF(COUNT('연간'!J4:M4)&lt;4,"",SUM('연간'!J4:M4))),"")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IFERROR((IF(COUNT('연간'!F25:I25)&lt;4,"",SUM('연간'!F25:I25)))/(IF(COUNT('연간'!F4:I4)&lt;4,"",SUM('연간'!F4:I4))),"")</f>
        <v/>
      </c>
      <c r="D55" s="36">
        <f>IFERROR((IF(COUNT('연간'!G25:J25)&lt;4,"",SUM('연간'!G25:J25)))/(IF(COUNT('연간'!G4:J4)&lt;4,"",SUM('연간'!G4:J4))),"")</f>
        <v/>
      </c>
      <c r="E55" s="36">
        <f>IFERROR((IF(COUNT('연간'!H25:K25)&lt;4,"",SUM('연간'!H25:K25)))/(IF(COUNT('연간'!H4:K4)&lt;4,"",SUM('연간'!H4:K4))),"")</f>
        <v/>
      </c>
      <c r="F55" s="36">
        <f>IFERROR((IF(COUNT('연간'!I25:L25)&lt;4,"",SUM('연간'!I25:L25)))/(IF(COUNT('연간'!I4:L4)&lt;4,"",SUM('연간'!I4:L4))),"")</f>
        <v/>
      </c>
      <c r="G55" s="36">
        <f>IFERROR((IF(COUNT('연간'!J25:M25)&lt;4,"",SUM('연간'!J25:M25)))/(IF(COUNT('연간'!J4:M4)&lt;4,"",SUM('연간'!J4:M4))),"")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IFERROR((IF(COUNT('연간'!F53:I53)&lt;4,"",SUM('연간'!F53:I53)))/(IF(COUNT('연간'!F4:I4)&lt;4,"",SUM('연간'!F4:I4))),"")</f>
        <v/>
      </c>
      <c r="D56" s="36">
        <f>IFERROR((IF(COUNT('연간'!G53:J53)&lt;4,"",SUM('연간'!G53:J53)))/(IF(COUNT('연간'!G4:J4)&lt;4,"",SUM('연간'!G4:J4))),"")</f>
        <v/>
      </c>
      <c r="E56" s="36">
        <f>IFERROR((IF(COUNT('연간'!H53:K53)&lt;4,"",SUM('연간'!H53:K53)))/(IF(COUNT('연간'!H4:K4)&lt;4,"",SUM('연간'!H4:K4))),"")</f>
        <v/>
      </c>
      <c r="F56" s="36">
        <f>IFERROR((IF(COUNT('연간'!I53:L53)&lt;4,"",SUM('연간'!I53:L53)))/(IF(COUNT('연간'!I4:L4)&lt;4,"",SUM('연간'!I4:L4))),"")</f>
        <v/>
      </c>
      <c r="G56" s="36">
        <f>IFERROR((IF(COUNT('연간'!J53:M53)&lt;4,"",SUM('연간'!J53:M53)))/(IF(COUNT('연간'!J4:M4)&lt;4,"",SUM('연간'!J4:M4))),"")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IFERROR((IF(COUNT('연간'!F4:I4)&lt;4,"",SUM('연간'!F4:I4)))/C16,"")</f>
        <v/>
      </c>
      <c r="D58" s="31">
        <f>IFERROR((IF(COUNT('연간'!G4:J4)&lt;4,"",SUM('연간'!G4:J4)))/D16,"")</f>
        <v/>
      </c>
      <c r="E58" s="31">
        <f>IFERROR((IF(COUNT('연간'!H4:K4)&lt;4,"",SUM('연간'!H4:K4)))/E16,"")</f>
        <v/>
      </c>
      <c r="F58" s="31">
        <f>IFERROR((IF(COUNT('연간'!I4:L4)&lt;4,"",SUM('연간'!I4:L4)))/F16,"")</f>
        <v/>
      </c>
      <c r="G58" s="31">
        <f>IFERROR((IF(COUNT('연간'!J4:M4)&lt;4,"",SUM('연간'!J4:M4)))/G16,"")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IFERROR(C8/(IF(COUNT('연간'!F4:I4)&lt;4,"",SUM('연간'!F4:I4)))*365,"")</f>
        <v/>
      </c>
      <c r="D59" s="49">
        <f>IFERROR(D8/(IF(COUNT('연간'!G4:J4)&lt;4,"",SUM('연간'!G4:J4)))*365,"")</f>
        <v/>
      </c>
      <c r="E59" s="49">
        <f>IFERROR(E8/(IF(COUNT('연간'!H4:K4)&lt;4,"",SUM('연간'!H4:K4)))*365,"")</f>
        <v/>
      </c>
      <c r="F59" s="49">
        <f>IFERROR(F8/(IF(COUNT('연간'!I4:L4)&lt;4,"",SUM('연간'!I4:L4)))*365,"")</f>
        <v/>
      </c>
      <c r="G59" s="49">
        <f>IFERROR(G8/(IF(COUNT('연간'!J4:M4)&lt;4,"",SUM('연간'!J4:M4)))*365,"")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IFERROR(C9/(IF(COUNT('연간'!F17:I17)&lt;4,"",SUM('연간'!F17:I17)))*365,"")</f>
        <v/>
      </c>
      <c r="D60" s="49">
        <f>IFERROR(D9/(IF(COUNT('연간'!G17:J17)&lt;4,"",SUM('연간'!G17:J17)))*365,"")</f>
        <v/>
      </c>
      <c r="E60" s="49">
        <f>IFERROR(E9/(IF(COUNT('연간'!H17:K17)&lt;4,"",SUM('연간'!H17:K17)))*365,"")</f>
        <v/>
      </c>
      <c r="F60" s="49">
        <f>IFERROR(F9/(IF(COUNT('연간'!I17:L17)&lt;4,"",SUM('연간'!I17:L17)))*365,"")</f>
        <v/>
      </c>
      <c r="G60" s="49">
        <f>IFERROR(G9/(IF(COUNT('연간'!J17:M17)&lt;4,"",SUM('연간'!J17:M17)))*365,"")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IFERROR(C19/(IF(COUNT('연간'!F17:I17)&lt;4,"",SUM('연간'!F17:I17)))*365,"")</f>
        <v/>
      </c>
      <c r="D61" s="49">
        <f>IFERROR(D19/(IF(COUNT('연간'!G17:J17)&lt;4,"",SUM('연간'!G17:J17)))*365,"")</f>
        <v/>
      </c>
      <c r="E61" s="49">
        <f>IFERROR(E19/(IF(COUNT('연간'!H17:K17)&lt;4,"",SUM('연간'!H17:K17)))*365,"")</f>
        <v/>
      </c>
      <c r="F61" s="49">
        <f>IFERROR(F19/(IF(COUNT('연간'!I17:L17)&lt;4,"",SUM('연간'!I17:L17)))*365,"")</f>
        <v/>
      </c>
      <c r="G61" s="49">
        <f>IFERROR(G19/(IF(COUNT('연간'!J17:M17)&lt;4,"",SUM('연간'!J17:M17)))*365,"")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IF(C37="","",IFERROR(C37/(IF(COUNT('연간'!F53:I53)&lt;4,"",SUM('연간'!F53:I53))),""))</f>
        <v/>
      </c>
      <c r="D64" s="31">
        <f>IF(D37="","",IFERROR(D37/(IF(COUNT('연간'!G53:J53)&lt;4,"",SUM('연간'!G53:J53))),""))</f>
        <v/>
      </c>
      <c r="E64" s="31">
        <f>IF(E37="","",IFERROR(E37/(IF(COUNT('연간'!H53:K53)&lt;4,"",SUM('연간'!H53:K53))),""))</f>
        <v/>
      </c>
      <c r="F64" s="31">
        <f>IF(F37="","",IFERROR(F37/(IF(COUNT('연간'!I53:L53)&lt;4,"",SUM('연간'!I53:L53))),""))</f>
        <v/>
      </c>
      <c r="G64" s="31">
        <f>IF(G37="","",IFERROR(G37/(IF(COUNT('연간'!J53:M53)&lt;4,"",SUM('연간'!J53:M53))),""))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IF(C39="","",IFERROR(C39/(IF(COUNT('연간'!F4:I4)&lt;4,"",SUM('연간'!F4:I4))),""))</f>
        <v/>
      </c>
      <c r="D65" s="36">
        <f>IF(D39="","",IFERROR(D39/(IF(COUNT('연간'!G4:J4)&lt;4,"",SUM('연간'!G4:J4))),""))</f>
        <v/>
      </c>
      <c r="E65" s="36">
        <f>IF(E39="","",IFERROR(E39/(IF(COUNT('연간'!H4:K4)&lt;4,"",SUM('연간'!H4:K4))),""))</f>
        <v/>
      </c>
      <c r="F65" s="36">
        <f>IF(F39="","",IFERROR(F39/(IF(COUNT('연간'!I4:L4)&lt;4,"",SUM('연간'!I4:L4))),""))</f>
        <v/>
      </c>
      <c r="G65" s="36">
        <f>IF(G39="","",IFERROR(G39/(IF(COUNT('연간'!J4:M4)&lt;4,"",SUM('연간'!J4:M4))),""))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IF(C38="","",IFERROR(C38/(IF(COUNT('연간'!F4:I4)&lt;4,"",SUM('연간'!F4:I4))),""))</f>
        <v/>
      </c>
      <c r="D66" s="36">
        <f>IF(D38="","",IFERROR(D38/(IF(COUNT('연간'!G4:J4)&lt;4,"",SUM('연간'!G4:J4))),""))</f>
        <v/>
      </c>
      <c r="E66" s="36">
        <f>IF(E38="","",IFERROR(E38/(IF(COUNT('연간'!H4:K4)&lt;4,"",SUM('연간'!H4:K4))),""))</f>
        <v/>
      </c>
      <c r="F66" s="36">
        <f>IF(F38="","",IFERROR(F38/(IF(COUNT('연간'!I4:L4)&lt;4,"",SUM('연간'!I4:L4))),""))</f>
        <v/>
      </c>
      <c r="G66" s="36">
        <f>IF(G38="","",IFERROR(G38/(IF(COUNT('연간'!J4:M4)&lt;4,"",SUM('연간'!J4:M4))),""))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IF(C40="","",IFERROR(C40/(IF(COUNT('연간'!F55:I55)&lt;4,"",SUM('연간'!F55:I55))),""))</f>
        <v/>
      </c>
      <c r="D67" s="36">
        <f>IF(D40="","",IFERROR(D40/(IF(COUNT('연간'!G55:J55)&lt;4,"",SUM('연간'!G55:J55))),""))</f>
        <v/>
      </c>
      <c r="E67" s="36">
        <f>IF(E40="","",IFERROR(E40/(IF(COUNT('연간'!H55:K55)&lt;4,"",SUM('연간'!H55:K55))),""))</f>
        <v/>
      </c>
      <c r="F67" s="36">
        <f>IF(F40="","",IFERROR(F40/(IF(COUNT('연간'!I55:L55)&lt;4,"",SUM('연간'!I55:L55))),""))</f>
        <v/>
      </c>
      <c r="G67" s="36">
        <f>IF(G40="","",IFERROR(G40/(IF(COUNT('연간'!J55:M55)&lt;4,"",SUM('연간'!J55:M55))),""))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2026.3Q</t>
        </is>
      </c>
      <c r="D70" s="5" t="inlineStr">
        <is>
          <t>2026.4Q</t>
        </is>
      </c>
      <c r="E70" s="5" t="inlineStr">
        <is>
          <t>2027.1Q</t>
        </is>
      </c>
      <c r="F70" s="5" t="inlineStr">
        <is>
          <t>2027.2Q</t>
        </is>
      </c>
      <c r="G70" s="5" t="inlineStr">
        <is>
          <t>2027.3Q</t>
        </is>
      </c>
      <c r="H70" s="5" t="inlineStr">
        <is>
          <t>2023</t>
        </is>
      </c>
      <c r="I70" s="5" t="inlineStr">
        <is>
          <t>2024</t>
        </is>
      </c>
      <c r="J70" s="5" t="inlineStr">
        <is>
          <t>2025</t>
        </is>
      </c>
      <c r="K70" s="5" t="inlineStr">
        <is>
          <t>2026</t>
        </is>
      </c>
    </row>
    <row r="71">
      <c r="A71" s="18" t="inlineStr">
        <is>
          <t>현금 및 예금</t>
        </is>
      </c>
      <c r="C71" s="20" t="n">
        <v>21234</v>
      </c>
      <c r="D71" s="20" t="n">
        <v>20458</v>
      </c>
      <c r="E71" s="20" t="n">
        <v>21728</v>
      </c>
      <c r="F71" s="20" t="n">
        <v>20761</v>
      </c>
      <c r="G71" s="20" t="n">
        <v>21024</v>
      </c>
      <c r="H71" s="20" t="n">
        <v>22115</v>
      </c>
      <c r="I71" s="20" t="n">
        <v>17787</v>
      </c>
      <c r="J71" s="20" t="n">
        <v>19010</v>
      </c>
      <c r="K71" s="20" t="n">
        <v>20458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받을어음·매출채권·계약자산</t>
        </is>
      </c>
      <c r="C73" s="20" t="n">
        <v>6979</v>
      </c>
      <c r="D73" s="20" t="n">
        <v>7510</v>
      </c>
      <c r="E73" s="20" t="n">
        <v>6548</v>
      </c>
      <c r="F73" s="20" t="n">
        <v>7235</v>
      </c>
      <c r="G73" s="20" t="n">
        <v>7298</v>
      </c>
      <c r="H73" s="20" t="n">
        <v>8184</v>
      </c>
      <c r="I73" s="20" t="n">
        <v>8941</v>
      </c>
      <c r="J73" s="20" t="n">
        <v>8154</v>
      </c>
      <c r="K73" s="20" t="n">
        <v>7510</v>
      </c>
    </row>
    <row r="74">
      <c r="A74" s="18" t="inlineStr">
        <is>
          <t>전자기록채권</t>
        </is>
      </c>
      <c r="C74" s="20" t="n">
        <v>5121</v>
      </c>
      <c r="D74" s="20" t="n">
        <v>5347</v>
      </c>
      <c r="E74" s="20" t="n">
        <v>5211</v>
      </c>
      <c r="F74" s="20" t="n">
        <v>5557</v>
      </c>
      <c r="G74" s="20" t="n">
        <v>5819</v>
      </c>
      <c r="H74" s="20" t="n">
        <v>4052</v>
      </c>
      <c r="I74" s="20" t="n">
        <v>4850</v>
      </c>
      <c r="J74" s="20" t="n">
        <v>5752</v>
      </c>
      <c r="K74" s="20" t="n">
        <v>5347</v>
      </c>
    </row>
    <row r="75">
      <c r="A75" s="18" t="inlineStr">
        <is>
          <t>상품·제품</t>
        </is>
      </c>
      <c r="C75" s="20" t="n">
        <v>4834</v>
      </c>
      <c r="D75" s="20" t="n">
        <v>4939</v>
      </c>
      <c r="E75" s="20" t="n">
        <v>5081</v>
      </c>
      <c r="F75" s="20" t="n">
        <v>5003</v>
      </c>
      <c r="G75" s="20" t="n">
        <v>5270</v>
      </c>
      <c r="H75" s="20" t="n">
        <v>4244</v>
      </c>
      <c r="I75" s="20" t="n">
        <v>4482</v>
      </c>
      <c r="J75" s="20" t="n">
        <v>4619</v>
      </c>
      <c r="K75" s="20" t="n">
        <v>4939</v>
      </c>
    </row>
    <row r="76">
      <c r="A76" s="18" t="inlineStr">
        <is>
          <t>원재료·저장품</t>
        </is>
      </c>
      <c r="C76" s="20" t="n">
        <v>1752</v>
      </c>
      <c r="D76" s="20" t="n">
        <v>1882</v>
      </c>
      <c r="E76" s="20" t="n">
        <v>1839</v>
      </c>
      <c r="F76" s="20" t="n">
        <v>2085</v>
      </c>
      <c r="G76" s="20" t="n">
        <v>2155</v>
      </c>
      <c r="H76" s="20" t="n">
        <v>1606</v>
      </c>
      <c r="I76" s="20" t="n">
        <v>1709</v>
      </c>
      <c r="J76" s="20" t="n">
        <v>1813</v>
      </c>
      <c r="K76" s="20" t="n">
        <v>1882</v>
      </c>
    </row>
    <row r="77">
      <c r="A77" s="18" t="inlineStr">
        <is>
          <t>유가증권</t>
        </is>
      </c>
      <c r="C77" s="20" t="n">
        <v>1525</v>
      </c>
      <c r="D77" s="20" t="n">
        <v>1499</v>
      </c>
      <c r="E77" s="20" t="n">
        <v>1513</v>
      </c>
      <c r="F77" s="20" t="n">
        <v>1498</v>
      </c>
      <c r="G77" s="20" t="n">
        <v>1497</v>
      </c>
      <c r="K77" s="20" t="n">
        <v>1499</v>
      </c>
    </row>
    <row r="78">
      <c r="A78" s="18" t="inlineStr">
        <is>
          <t>기타</t>
        </is>
      </c>
      <c r="C78" s="20" t="n">
        <v>1186</v>
      </c>
      <c r="D78" s="20" t="n">
        <v>1048</v>
      </c>
      <c r="E78" s="20" t="n">
        <v>1029</v>
      </c>
      <c r="F78" s="20" t="n">
        <v>1242</v>
      </c>
      <c r="G78" s="20" t="n">
        <v>1409</v>
      </c>
      <c r="H78" s="20" t="n">
        <v>1506</v>
      </c>
      <c r="I78" s="20" t="n">
        <v>1432</v>
      </c>
      <c r="J78" s="20" t="n">
        <v>2477</v>
      </c>
      <c r="K78" s="20" t="n">
        <v>1048</v>
      </c>
    </row>
    <row r="79">
      <c r="A79" s="18" t="inlineStr">
        <is>
          <t>대손충당금</t>
        </is>
      </c>
      <c r="C79" s="20" t="n">
        <v>-2</v>
      </c>
      <c r="D79" s="20" t="n">
        <v>-1</v>
      </c>
      <c r="E79" s="20" t="n">
        <v>-1</v>
      </c>
      <c r="F79" s="20" t="n">
        <v>-1</v>
      </c>
      <c r="G79" s="20" t="n">
        <v>-1</v>
      </c>
      <c r="H79" s="20" t="n">
        <v>-4</v>
      </c>
      <c r="I79" s="20" t="n">
        <v>-2</v>
      </c>
      <c r="J79" s="20" t="n">
        <v>-2</v>
      </c>
      <c r="K79" s="20" t="n">
        <v>-1</v>
      </c>
    </row>
    <row r="80">
      <c r="A80" s="9" t="inlineStr">
        <is>
          <t>유동자산 합계</t>
        </is>
      </c>
      <c r="C80" s="12" t="n">
        <v>42632</v>
      </c>
      <c r="D80" s="12" t="n">
        <v>42684</v>
      </c>
      <c r="E80" s="12" t="n">
        <v>42950</v>
      </c>
      <c r="F80" s="12" t="n">
        <v>43382</v>
      </c>
      <c r="G80" s="12" t="n">
        <v>44474</v>
      </c>
      <c r="H80" s="12" t="n">
        <v>41705</v>
      </c>
      <c r="I80" s="12" t="n">
        <v>39202</v>
      </c>
      <c r="J80" s="12" t="n">
        <v>41825</v>
      </c>
      <c r="K80" s="12" t="n">
        <v>42684</v>
      </c>
    </row>
    <row r="81">
      <c r="A81" s="18" t="inlineStr">
        <is>
          <t>건물·구축물</t>
        </is>
      </c>
      <c r="E81" s="20" t="n">
        <v>19138</v>
      </c>
    </row>
    <row r="82">
      <c r="A82" s="18" t="inlineStr">
        <is>
          <t>감가상각누계액</t>
        </is>
      </c>
      <c r="E82" s="20" t="n">
        <v>-14069</v>
      </c>
    </row>
    <row r="83">
      <c r="A83" s="18" t="inlineStr">
        <is>
          <t>건물·구축물(순액)</t>
        </is>
      </c>
      <c r="C83" s="20" t="n">
        <v>5169</v>
      </c>
      <c r="D83" s="20" t="n">
        <v>5112</v>
      </c>
      <c r="E83" s="20" t="n">
        <v>5068</v>
      </c>
      <c r="F83" s="20" t="n">
        <v>5008</v>
      </c>
      <c r="G83" s="20" t="n">
        <v>4935</v>
      </c>
      <c r="H83" s="20" t="n">
        <v>5193</v>
      </c>
      <c r="I83" s="20" t="n">
        <v>5379</v>
      </c>
      <c r="J83" s="20" t="n">
        <v>5201</v>
      </c>
      <c r="K83" s="20" t="n">
        <v>5112</v>
      </c>
    </row>
    <row r="84">
      <c r="A84" s="18" t="inlineStr">
        <is>
          <t>기계장치·운반구</t>
        </is>
      </c>
      <c r="E84" s="20" t="n">
        <v>21080</v>
      </c>
    </row>
    <row r="85">
      <c r="A85" s="18" t="inlineStr">
        <is>
          <t>감가상각누계액</t>
        </is>
      </c>
      <c r="E85" s="20" t="n">
        <v>-17327</v>
      </c>
    </row>
    <row r="86">
      <c r="A86" s="18" t="inlineStr">
        <is>
          <t>기계장치·운반구(순액)</t>
        </is>
      </c>
      <c r="C86" s="20" t="n">
        <v>3269</v>
      </c>
      <c r="D86" s="20" t="n">
        <v>3463</v>
      </c>
      <c r="E86" s="20" t="n">
        <v>3752</v>
      </c>
      <c r="F86" s="20" t="n">
        <v>3835</v>
      </c>
      <c r="G86" s="20" t="n">
        <v>3868</v>
      </c>
      <c r="H86" s="20" t="n">
        <v>2685</v>
      </c>
      <c r="I86" s="20" t="n">
        <v>2635</v>
      </c>
      <c r="J86" s="20" t="n">
        <v>3113</v>
      </c>
      <c r="K86" s="20" t="n">
        <v>3463</v>
      </c>
    </row>
    <row r="87">
      <c r="A87" s="18" t="inlineStr">
        <is>
          <t>토지</t>
        </is>
      </c>
      <c r="C87" s="20" t="n">
        <v>4617</v>
      </c>
      <c r="D87" s="20" t="n">
        <v>4617</v>
      </c>
      <c r="E87" s="20" t="n">
        <v>4617</v>
      </c>
      <c r="F87" s="20" t="n">
        <v>4617</v>
      </c>
      <c r="G87" s="20" t="n">
        <v>4617</v>
      </c>
      <c r="H87" s="20" t="n">
        <v>4643</v>
      </c>
      <c r="I87" s="20" t="n">
        <v>4643</v>
      </c>
      <c r="J87" s="20" t="n">
        <v>4617</v>
      </c>
      <c r="K87" s="20" t="n">
        <v>4617</v>
      </c>
    </row>
    <row r="88">
      <c r="A88" s="18" t="inlineStr">
        <is>
          <t>건설중인자산</t>
        </is>
      </c>
      <c r="C88" s="20" t="n">
        <v>985</v>
      </c>
      <c r="D88" s="20" t="n">
        <v>1013</v>
      </c>
      <c r="E88" s="20" t="n">
        <v>1061</v>
      </c>
      <c r="F88" s="20" t="n">
        <v>1010</v>
      </c>
      <c r="G88" s="20" t="n">
        <v>1148</v>
      </c>
      <c r="H88" s="20" t="n">
        <v>677</v>
      </c>
      <c r="I88" s="20" t="n">
        <v>663</v>
      </c>
      <c r="J88" s="20" t="n">
        <v>670</v>
      </c>
      <c r="K88" s="20" t="n">
        <v>1013</v>
      </c>
    </row>
    <row r="89">
      <c r="A89" s="18" t="inlineStr">
        <is>
          <t>기타</t>
        </is>
      </c>
      <c r="E89" s="20" t="n">
        <v>24661</v>
      </c>
    </row>
    <row r="90">
      <c r="A90" s="18" t="inlineStr">
        <is>
          <t>감가상각누계액</t>
        </is>
      </c>
      <c r="E90" s="20" t="n">
        <v>-23617</v>
      </c>
    </row>
    <row r="91">
      <c r="A91" s="18" t="inlineStr">
        <is>
          <t>기타(순액)</t>
        </is>
      </c>
      <c r="C91" s="20" t="n">
        <v>979</v>
      </c>
      <c r="D91" s="20" t="n">
        <v>1022</v>
      </c>
      <c r="E91" s="20" t="n">
        <v>1043</v>
      </c>
      <c r="F91" s="20" t="n">
        <v>1145</v>
      </c>
      <c r="G91" s="20" t="n">
        <v>1279</v>
      </c>
      <c r="H91" s="20" t="n">
        <v>674</v>
      </c>
      <c r="I91" s="20" t="n">
        <v>850</v>
      </c>
      <c r="J91" s="20" t="n">
        <v>812</v>
      </c>
      <c r="K91" s="20" t="n">
        <v>1022</v>
      </c>
    </row>
    <row r="92">
      <c r="A92" s="18" t="inlineStr">
        <is>
          <t>유형자산 합계</t>
        </is>
      </c>
      <c r="C92" s="20" t="n">
        <v>15020</v>
      </c>
      <c r="D92" s="20" t="n">
        <v>15229</v>
      </c>
      <c r="E92" s="20" t="n">
        <v>15544</v>
      </c>
      <c r="F92" s="20" t="n">
        <v>15617</v>
      </c>
      <c r="G92" s="20" t="n">
        <v>15849</v>
      </c>
      <c r="H92" s="20" t="n">
        <v>13875</v>
      </c>
      <c r="I92" s="20" t="n">
        <v>14172</v>
      </c>
      <c r="J92" s="20" t="n">
        <v>14416</v>
      </c>
      <c r="K92" s="20" t="n">
        <v>15229</v>
      </c>
    </row>
    <row r="93">
      <c r="A93" s="18" t="inlineStr">
        <is>
          <t>무형자산</t>
        </is>
      </c>
      <c r="C93" s="20" t="n">
        <v>184</v>
      </c>
      <c r="D93" s="20" t="n">
        <v>256</v>
      </c>
      <c r="E93" s="20" t="n">
        <v>340</v>
      </c>
      <c r="F93" s="20" t="n">
        <v>361</v>
      </c>
      <c r="G93" s="20" t="n">
        <v>367</v>
      </c>
      <c r="H93" s="20" t="n">
        <v>156</v>
      </c>
      <c r="I93" s="20" t="n">
        <v>129</v>
      </c>
      <c r="J93" s="20" t="n">
        <v>190</v>
      </c>
      <c r="K93" s="20" t="n">
        <v>256</v>
      </c>
    </row>
    <row r="94">
      <c r="A94" s="18" t="inlineStr">
        <is>
          <t>투자유가증권</t>
        </is>
      </c>
      <c r="C94" s="20" t="n">
        <v>1805</v>
      </c>
      <c r="D94" s="20" t="n">
        <v>2007</v>
      </c>
      <c r="E94" s="20" t="n">
        <v>2214</v>
      </c>
      <c r="F94" s="20" t="n">
        <v>2476</v>
      </c>
      <c r="G94" s="20" t="n">
        <v>2700</v>
      </c>
      <c r="H94" s="20" t="n">
        <v>1055</v>
      </c>
      <c r="I94" s="20" t="n">
        <v>1503</v>
      </c>
      <c r="J94" s="20" t="n">
        <v>1726</v>
      </c>
      <c r="K94" s="20" t="n">
        <v>2007</v>
      </c>
    </row>
    <row r="95">
      <c r="A95" s="18" t="inlineStr">
        <is>
          <t>이연법인세자산</t>
        </is>
      </c>
      <c r="C95" s="20" t="n">
        <v>1031</v>
      </c>
      <c r="D95" s="20" t="n">
        <v>708</v>
      </c>
      <c r="E95" s="20" t="n">
        <v>708</v>
      </c>
      <c r="F95" s="20" t="n">
        <v>610</v>
      </c>
      <c r="G95" s="20" t="n">
        <v>627</v>
      </c>
      <c r="H95" s="20" t="n">
        <v>1050</v>
      </c>
      <c r="I95" s="20" t="n">
        <v>971</v>
      </c>
      <c r="J95" s="20" t="n">
        <v>894</v>
      </c>
      <c r="K95" s="20" t="n">
        <v>708</v>
      </c>
    </row>
    <row r="96">
      <c r="A96" s="18" t="inlineStr">
        <is>
          <t>퇴직급여자산</t>
        </is>
      </c>
      <c r="C96" s="20" t="n">
        <v>1974</v>
      </c>
      <c r="D96" s="20" t="n">
        <v>1977</v>
      </c>
      <c r="E96" s="20" t="n">
        <v>2511</v>
      </c>
      <c r="F96" s="20" t="n">
        <v>2511</v>
      </c>
      <c r="G96" s="20" t="n">
        <v>2509</v>
      </c>
      <c r="H96" s="20" t="n">
        <v>1033</v>
      </c>
      <c r="I96" s="20" t="n">
        <v>1288</v>
      </c>
      <c r="J96" s="20" t="n">
        <v>1686</v>
      </c>
      <c r="K96" s="20" t="n">
        <v>1977</v>
      </c>
    </row>
    <row r="97">
      <c r="A97" s="18" t="inlineStr">
        <is>
          <t>장기예금</t>
        </is>
      </c>
      <c r="C97" s="20" t="n">
        <v>4000</v>
      </c>
      <c r="D97" s="20" t="n">
        <v>4000</v>
      </c>
      <c r="E97" s="20" t="n">
        <v>4000</v>
      </c>
      <c r="F97" s="20" t="n">
        <v>4000</v>
      </c>
      <c r="G97" s="20" t="n">
        <v>4000</v>
      </c>
      <c r="H97" s="20" t="n">
        <v>4000</v>
      </c>
      <c r="I97" s="20" t="n">
        <v>4000</v>
      </c>
      <c r="J97" s="20" t="n">
        <v>4000</v>
      </c>
      <c r="K97" s="20" t="n">
        <v>4000</v>
      </c>
    </row>
    <row r="98">
      <c r="A98" s="18" t="inlineStr">
        <is>
          <t>기타</t>
        </is>
      </c>
      <c r="C98" s="20" t="n">
        <v>488</v>
      </c>
      <c r="D98" s="20" t="n">
        <v>538</v>
      </c>
      <c r="E98" s="20" t="n">
        <v>527</v>
      </c>
      <c r="F98" s="20" t="n">
        <v>466</v>
      </c>
      <c r="G98" s="20" t="n">
        <v>547</v>
      </c>
      <c r="H98" s="20" t="n">
        <v>512</v>
      </c>
      <c r="I98" s="20" t="n">
        <v>490</v>
      </c>
      <c r="J98" s="20" t="n">
        <v>472</v>
      </c>
      <c r="K98" s="20" t="n">
        <v>538</v>
      </c>
    </row>
    <row r="99">
      <c r="A99" s="18" t="inlineStr">
        <is>
          <t>대손충당금</t>
        </is>
      </c>
      <c r="C99" s="20" t="n">
        <v>-102</v>
      </c>
      <c r="D99" s="20" t="n">
        <v>-102</v>
      </c>
      <c r="E99" s="20" t="n">
        <v>-100</v>
      </c>
      <c r="F99" s="20" t="n">
        <v>-101</v>
      </c>
      <c r="G99" s="20" t="n">
        <v>-100</v>
      </c>
      <c r="H99" s="20" t="n">
        <v>-103</v>
      </c>
      <c r="I99" s="20" t="n">
        <v>-100</v>
      </c>
      <c r="J99" s="20" t="n">
        <v>-99</v>
      </c>
      <c r="K99" s="20" t="n">
        <v>-102</v>
      </c>
    </row>
    <row r="100">
      <c r="A100" s="18" t="inlineStr">
        <is>
          <t>투자 및 기타자산 합계</t>
        </is>
      </c>
      <c r="C100" s="20" t="n">
        <v>9197</v>
      </c>
      <c r="D100" s="20" t="n">
        <v>9128</v>
      </c>
      <c r="E100" s="20" t="n">
        <v>9862</v>
      </c>
      <c r="F100" s="20" t="n">
        <v>9964</v>
      </c>
      <c r="G100" s="20" t="n">
        <v>10284</v>
      </c>
      <c r="H100" s="20" t="n">
        <v>7548</v>
      </c>
      <c r="I100" s="20" t="n">
        <v>8154</v>
      </c>
      <c r="J100" s="20" t="n">
        <v>8680</v>
      </c>
      <c r="K100" s="20" t="n">
        <v>9128</v>
      </c>
    </row>
    <row r="101">
      <c r="A101" s="9" t="inlineStr">
        <is>
          <t>비유동자산 합계</t>
        </is>
      </c>
      <c r="C101" s="12" t="n">
        <v>24402</v>
      </c>
      <c r="D101" s="12" t="n">
        <v>24615</v>
      </c>
      <c r="E101" s="12" t="n">
        <v>25746</v>
      </c>
      <c r="F101" s="12" t="n">
        <v>25942</v>
      </c>
      <c r="G101" s="12" t="n">
        <v>26501</v>
      </c>
      <c r="H101" s="12" t="n">
        <v>21579</v>
      </c>
      <c r="I101" s="12" t="n">
        <v>22456</v>
      </c>
      <c r="J101" s="12" t="n">
        <v>23286</v>
      </c>
      <c r="K101" s="12" t="n">
        <v>24615</v>
      </c>
    </row>
    <row r="102">
      <c r="A102" s="9" t="inlineStr">
        <is>
          <t>자산 합계</t>
        </is>
      </c>
      <c r="C102" s="12" t="n">
        <v>67034</v>
      </c>
      <c r="D102" s="12" t="n">
        <v>67300</v>
      </c>
      <c r="E102" s="12" t="n">
        <v>68697</v>
      </c>
      <c r="F102" s="12" t="n">
        <v>69325</v>
      </c>
      <c r="G102" s="12" t="n">
        <v>70976</v>
      </c>
      <c r="H102" s="12" t="n">
        <v>63285</v>
      </c>
      <c r="I102" s="12" t="n">
        <v>61658</v>
      </c>
      <c r="J102" s="12" t="n">
        <v>65112</v>
      </c>
      <c r="K102" s="12" t="n">
        <v>67300</v>
      </c>
    </row>
    <row r="103">
      <c r="A103" s="18" t="inlineStr">
        <is>
          <t>지급어음·매입채무</t>
        </is>
      </c>
      <c r="C103" s="20" t="n">
        <v>3055</v>
      </c>
      <c r="D103" s="20" t="n">
        <v>3215</v>
      </c>
      <c r="E103" s="20" t="n">
        <v>2592</v>
      </c>
      <c r="F103" s="20" t="n">
        <v>3465</v>
      </c>
      <c r="G103" s="20" t="n">
        <v>3344</v>
      </c>
      <c r="H103" s="20" t="n">
        <v>3491</v>
      </c>
      <c r="I103" s="20" t="n">
        <v>3111</v>
      </c>
      <c r="J103" s="20" t="n">
        <v>3411</v>
      </c>
      <c r="K103" s="20" t="n">
        <v>3215</v>
      </c>
    </row>
    <row r="104">
      <c r="A104" s="18" t="inlineStr">
        <is>
          <t>전자기록채무</t>
        </is>
      </c>
      <c r="C104" s="20" t="n">
        <v>1649</v>
      </c>
      <c r="D104" s="20" t="n">
        <v>1830</v>
      </c>
      <c r="E104" s="20" t="n">
        <v>1777</v>
      </c>
      <c r="F104" s="20" t="n">
        <v>1474</v>
      </c>
      <c r="G104" s="20" t="n">
        <v>1236</v>
      </c>
      <c r="H104" s="20" t="n">
        <v>4238</v>
      </c>
      <c r="I104" s="20" t="n">
        <v>1701</v>
      </c>
      <c r="J104" s="20" t="n">
        <v>1800</v>
      </c>
      <c r="K104" s="20" t="n">
        <v>1830</v>
      </c>
    </row>
    <row r="105">
      <c r="A105" s="18" t="inlineStr">
        <is>
          <t>단기차입금</t>
        </is>
      </c>
      <c r="C105" s="20" t="n">
        <v>85</v>
      </c>
      <c r="D105" s="20" t="n">
        <v>267</v>
      </c>
      <c r="E105" s="20" t="n">
        <v>40</v>
      </c>
      <c r="F105" s="20" t="n">
        <v>85</v>
      </c>
      <c r="G105" s="20" t="n">
        <v>120</v>
      </c>
      <c r="H105" s="20" t="n">
        <v>225</v>
      </c>
      <c r="I105" s="20" t="n">
        <v>220</v>
      </c>
      <c r="J105" s="20" t="n">
        <v>237</v>
      </c>
      <c r="K105" s="20" t="n">
        <v>267</v>
      </c>
    </row>
    <row r="106">
      <c r="A106" s="18" t="inlineStr">
        <is>
          <t>1년 내 상환 장기차입금</t>
        </is>
      </c>
      <c r="C106" s="20" t="n">
        <v>202</v>
      </c>
      <c r="D106" s="20" t="n">
        <v>163</v>
      </c>
      <c r="E106" s="20" t="n">
        <v>124</v>
      </c>
      <c r="F106" s="20" t="n">
        <v>364</v>
      </c>
      <c r="G106" s="20" t="n">
        <v>311</v>
      </c>
      <c r="H106" s="20" t="n">
        <v>236</v>
      </c>
      <c r="I106" s="20" t="n">
        <v>171</v>
      </c>
      <c r="J106" s="20" t="n">
        <v>153</v>
      </c>
      <c r="K106" s="20" t="n">
        <v>163</v>
      </c>
    </row>
    <row r="107">
      <c r="A107" s="18" t="inlineStr">
        <is>
          <t>미지급법인세</t>
        </is>
      </c>
      <c r="C107" s="20" t="n">
        <v>1105</v>
      </c>
      <c r="D107" s="20" t="n">
        <v>377</v>
      </c>
      <c r="E107" s="20" t="n">
        <v>1027</v>
      </c>
      <c r="F107" s="20" t="n">
        <v>447</v>
      </c>
      <c r="G107" s="20" t="n">
        <v>1274</v>
      </c>
      <c r="H107" s="20" t="n">
        <v>342</v>
      </c>
      <c r="I107" s="20" t="n">
        <v>992</v>
      </c>
      <c r="J107" s="20" t="n">
        <v>560</v>
      </c>
      <c r="K107" s="20" t="n">
        <v>377</v>
      </c>
    </row>
    <row r="108">
      <c r="A108" s="18" t="inlineStr">
        <is>
          <t>상여충당금</t>
        </is>
      </c>
      <c r="D108" s="20" t="n">
        <v>453</v>
      </c>
      <c r="E108" s="20" t="n">
        <v>0</v>
      </c>
      <c r="F108" s="20" t="n">
        <v>490</v>
      </c>
      <c r="H108" s="20" t="n">
        <v>431</v>
      </c>
      <c r="I108" s="20" t="n">
        <v>432</v>
      </c>
      <c r="J108" s="20" t="n">
        <v>443</v>
      </c>
      <c r="K108" s="20" t="n">
        <v>453</v>
      </c>
    </row>
    <row r="109">
      <c r="A109" s="18" t="inlineStr">
        <is>
          <t>재해손실 충당금</t>
        </is>
      </c>
      <c r="E109" s="20" t="n">
        <v>0</v>
      </c>
      <c r="G109" s="20" t="n">
        <v>30</v>
      </c>
    </row>
    <row r="110">
      <c r="A110" s="18" t="inlineStr">
        <is>
          <t>기타</t>
        </is>
      </c>
      <c r="C110" s="20" t="n">
        <v>4307</v>
      </c>
      <c r="D110" s="20" t="n">
        <v>3485</v>
      </c>
      <c r="E110" s="20" t="n">
        <v>4127</v>
      </c>
      <c r="F110" s="20" t="n">
        <v>3832</v>
      </c>
      <c r="G110" s="20" t="n">
        <v>4252</v>
      </c>
      <c r="H110" s="20" t="n">
        <v>2700</v>
      </c>
      <c r="I110" s="20" t="n">
        <v>3291</v>
      </c>
      <c r="J110" s="20" t="n">
        <v>3629</v>
      </c>
      <c r="K110" s="20" t="n">
        <v>3485</v>
      </c>
    </row>
    <row r="111">
      <c r="A111" s="9" t="inlineStr">
        <is>
          <t>유동부채 합계</t>
        </is>
      </c>
      <c r="C111" s="12" t="n">
        <v>10404</v>
      </c>
      <c r="D111" s="12" t="n">
        <v>9792</v>
      </c>
      <c r="E111" s="12" t="n">
        <v>9688</v>
      </c>
      <c r="F111" s="12" t="n">
        <v>10159</v>
      </c>
      <c r="G111" s="12" t="n">
        <v>10569</v>
      </c>
      <c r="H111" s="12" t="n">
        <v>11666</v>
      </c>
      <c r="I111" s="12" t="n">
        <v>9921</v>
      </c>
      <c r="J111" s="12" t="n">
        <v>10236</v>
      </c>
      <c r="K111" s="12" t="n">
        <v>9792</v>
      </c>
    </row>
    <row r="112">
      <c r="A112" s="18" t="inlineStr">
        <is>
          <t>장기차입금</t>
        </is>
      </c>
      <c r="C112" s="20" t="n">
        <v>48</v>
      </c>
      <c r="D112" s="20" t="n">
        <v>31</v>
      </c>
      <c r="E112" s="20" t="n">
        <v>14</v>
      </c>
      <c r="F112" s="20" t="n">
        <v>80</v>
      </c>
      <c r="G112" s="20" t="n">
        <v>26</v>
      </c>
      <c r="H112" s="20" t="n">
        <v>37</v>
      </c>
      <c r="I112" s="20" t="n">
        <v>0</v>
      </c>
      <c r="J112" s="20" t="n">
        <v>77</v>
      </c>
      <c r="K112" s="20" t="n">
        <v>31</v>
      </c>
    </row>
    <row r="113">
      <c r="A113" s="18" t="inlineStr">
        <is>
          <t>이연법인세부채</t>
        </is>
      </c>
      <c r="E113" s="20" t="n">
        <v>0</v>
      </c>
      <c r="F113" s="20" t="n">
        <v>183</v>
      </c>
      <c r="G113" s="20" t="n">
        <v>76</v>
      </c>
    </row>
    <row r="114">
      <c r="A114" s="18" t="inlineStr">
        <is>
          <t>재평가 관련 이연법인세부채</t>
        </is>
      </c>
      <c r="C114" s="20" t="n">
        <v>62</v>
      </c>
      <c r="D114" s="20" t="n">
        <v>62</v>
      </c>
      <c r="E114" s="20" t="n">
        <v>62</v>
      </c>
      <c r="F114" s="20" t="n">
        <v>62</v>
      </c>
      <c r="G114" s="20" t="n">
        <v>62</v>
      </c>
      <c r="H114" s="20" t="n">
        <v>60</v>
      </c>
      <c r="I114" s="20" t="n">
        <v>60</v>
      </c>
      <c r="J114" s="20" t="n">
        <v>60</v>
      </c>
      <c r="K114" s="20" t="n">
        <v>62</v>
      </c>
    </row>
    <row r="115">
      <c r="A115" s="18" t="inlineStr">
        <is>
          <t>주식 지급 충당금</t>
        </is>
      </c>
      <c r="C115" s="20" t="n">
        <v>1224</v>
      </c>
      <c r="D115" s="20" t="n">
        <v>1234</v>
      </c>
      <c r="E115" s="20" t="n">
        <v>1247</v>
      </c>
      <c r="F115" s="20" t="n">
        <v>1245</v>
      </c>
      <c r="G115" s="20" t="n">
        <v>1241</v>
      </c>
      <c r="H115" s="20" t="n">
        <v>1125</v>
      </c>
      <c r="I115" s="20" t="n">
        <v>1173</v>
      </c>
      <c r="J115" s="20" t="n">
        <v>1200</v>
      </c>
      <c r="K115" s="20" t="n">
        <v>1234</v>
      </c>
    </row>
    <row r="116">
      <c r="A116" s="18" t="inlineStr">
        <is>
          <t>임원 주식 지급 충당금</t>
        </is>
      </c>
      <c r="C116" s="20" t="n">
        <v>75</v>
      </c>
      <c r="D116" s="20" t="n">
        <v>84</v>
      </c>
      <c r="E116" s="20" t="n">
        <v>93</v>
      </c>
      <c r="F116" s="20" t="n">
        <v>103</v>
      </c>
      <c r="G116" s="20" t="n">
        <v>112</v>
      </c>
      <c r="I116" s="20" t="n">
        <v>15</v>
      </c>
      <c r="J116" s="20" t="n">
        <v>48</v>
      </c>
      <c r="K116" s="20" t="n">
        <v>84</v>
      </c>
    </row>
    <row r="117">
      <c r="A117" s="18" t="inlineStr">
        <is>
          <t>임원 퇴직위로 충당금</t>
        </is>
      </c>
      <c r="C117" s="20" t="n">
        <v>111</v>
      </c>
      <c r="D117" s="20" t="n">
        <v>114</v>
      </c>
      <c r="E117" s="20" t="n">
        <v>118</v>
      </c>
      <c r="F117" s="20" t="n">
        <v>94</v>
      </c>
      <c r="G117" s="20" t="n">
        <v>97</v>
      </c>
      <c r="H117" s="20" t="n">
        <v>91</v>
      </c>
      <c r="I117" s="20" t="n">
        <v>93</v>
      </c>
      <c r="J117" s="20" t="n">
        <v>107</v>
      </c>
      <c r="K117" s="20" t="n">
        <v>114</v>
      </c>
    </row>
    <row r="118">
      <c r="A118" s="18" t="inlineStr">
        <is>
          <t>퇴직급여부채</t>
        </is>
      </c>
      <c r="C118" s="20" t="n">
        <v>668</v>
      </c>
      <c r="D118" s="20" t="n">
        <v>680</v>
      </c>
      <c r="E118" s="20" t="n">
        <v>667</v>
      </c>
      <c r="F118" s="20" t="n">
        <v>680</v>
      </c>
      <c r="G118" s="20" t="n">
        <v>671</v>
      </c>
      <c r="H118" s="20" t="n">
        <v>680</v>
      </c>
      <c r="I118" s="20" t="n">
        <v>671</v>
      </c>
      <c r="J118" s="20" t="n">
        <v>689</v>
      </c>
      <c r="K118" s="20" t="n">
        <v>680</v>
      </c>
    </row>
    <row r="119">
      <c r="A119" s="18" t="inlineStr">
        <is>
          <t>기타</t>
        </is>
      </c>
      <c r="C119" s="20" t="n">
        <v>489</v>
      </c>
      <c r="D119" s="20" t="n">
        <v>465</v>
      </c>
      <c r="E119" s="20" t="n">
        <v>540</v>
      </c>
      <c r="F119" s="20" t="n">
        <v>527</v>
      </c>
      <c r="G119" s="20" t="n">
        <v>501</v>
      </c>
      <c r="H119" s="20" t="n">
        <v>464</v>
      </c>
      <c r="I119" s="20" t="n">
        <v>453</v>
      </c>
      <c r="J119" s="20" t="n">
        <v>441</v>
      </c>
      <c r="K119" s="20" t="n">
        <v>465</v>
      </c>
    </row>
    <row r="120">
      <c r="A120" s="9" t="inlineStr">
        <is>
          <t>비유동부채 합계</t>
        </is>
      </c>
      <c r="C120" s="12" t="n">
        <v>2680</v>
      </c>
      <c r="D120" s="12" t="n">
        <v>2674</v>
      </c>
      <c r="E120" s="12" t="n">
        <v>2745</v>
      </c>
      <c r="F120" s="12" t="n">
        <v>2977</v>
      </c>
      <c r="G120" s="12" t="n">
        <v>2791</v>
      </c>
      <c r="H120" s="12" t="n">
        <v>2460</v>
      </c>
      <c r="I120" s="12" t="n">
        <v>2468</v>
      </c>
      <c r="J120" s="12" t="n">
        <v>2625</v>
      </c>
      <c r="K120" s="12" t="n">
        <v>2674</v>
      </c>
    </row>
    <row r="121">
      <c r="A121" s="9" t="inlineStr">
        <is>
          <t>부채 합계</t>
        </is>
      </c>
      <c r="C121" s="12" t="n">
        <v>13085</v>
      </c>
      <c r="D121" s="12" t="n">
        <v>12466</v>
      </c>
      <c r="E121" s="12" t="n">
        <v>12434</v>
      </c>
      <c r="F121" s="12" t="n">
        <v>13137</v>
      </c>
      <c r="G121" s="12" t="n">
        <v>13360</v>
      </c>
      <c r="H121" s="12" t="n">
        <v>14126</v>
      </c>
      <c r="I121" s="12" t="n">
        <v>12390</v>
      </c>
      <c r="J121" s="12" t="n">
        <v>12861</v>
      </c>
      <c r="K121" s="12" t="n">
        <v>12466</v>
      </c>
    </row>
    <row r="122">
      <c r="A122" s="18" t="inlineStr">
        <is>
          <t>자본금</t>
        </is>
      </c>
      <c r="C122" s="20" t="n">
        <v>7067</v>
      </c>
      <c r="D122" s="20" t="n">
        <v>7067</v>
      </c>
      <c r="E122" s="20" t="n">
        <v>7067</v>
      </c>
      <c r="F122" s="20" t="n">
        <v>7067</v>
      </c>
      <c r="G122" s="20" t="n">
        <v>7067</v>
      </c>
      <c r="H122" s="20" t="n">
        <v>7067</v>
      </c>
      <c r="I122" s="20" t="n">
        <v>7067</v>
      </c>
      <c r="J122" s="20" t="n">
        <v>7067</v>
      </c>
      <c r="K122" s="20" t="n">
        <v>7067</v>
      </c>
    </row>
    <row r="123">
      <c r="A123" s="18" t="inlineStr">
        <is>
          <t>자본잉여금</t>
        </is>
      </c>
      <c r="C123" s="20" t="n">
        <v>9904</v>
      </c>
      <c r="D123" s="20" t="n">
        <v>9904</v>
      </c>
      <c r="E123" s="20" t="n">
        <v>9904</v>
      </c>
      <c r="F123" s="20" t="n">
        <v>9904</v>
      </c>
      <c r="G123" s="20" t="n">
        <v>9904</v>
      </c>
      <c r="H123" s="20" t="n">
        <v>9538</v>
      </c>
      <c r="I123" s="20" t="n">
        <v>9904</v>
      </c>
      <c r="J123" s="20" t="n">
        <v>9904</v>
      </c>
      <c r="K123" s="20" t="n">
        <v>9904</v>
      </c>
    </row>
    <row r="124">
      <c r="A124" s="18" t="inlineStr">
        <is>
          <t>이익잉여금</t>
        </is>
      </c>
      <c r="C124" s="20" t="n">
        <v>55165</v>
      </c>
      <c r="D124" s="20" t="n">
        <v>55921</v>
      </c>
      <c r="E124" s="20" t="n">
        <v>56806</v>
      </c>
      <c r="F124" s="20" t="n">
        <v>56550</v>
      </c>
      <c r="G124" s="20" t="n">
        <v>57817</v>
      </c>
      <c r="H124" s="20" t="n">
        <v>48167</v>
      </c>
      <c r="I124" s="20" t="n">
        <v>51303</v>
      </c>
      <c r="J124" s="20" t="n">
        <v>53804</v>
      </c>
      <c r="K124" s="20" t="n">
        <v>55921</v>
      </c>
    </row>
    <row r="125">
      <c r="A125" s="18" t="inlineStr">
        <is>
          <t>자기주식</t>
        </is>
      </c>
      <c r="C125" s="20" t="n">
        <v>-19780</v>
      </c>
      <c r="D125" s="20" t="n">
        <v>-19773</v>
      </c>
      <c r="E125" s="20" t="n">
        <v>-19769</v>
      </c>
      <c r="F125" s="20" t="n">
        <v>-19746</v>
      </c>
      <c r="G125" s="20" t="n">
        <v>-19721</v>
      </c>
      <c r="H125" s="20" t="n">
        <v>-15892</v>
      </c>
      <c r="I125" s="20" t="n">
        <v>-19856</v>
      </c>
      <c r="J125" s="20" t="n">
        <v>-19810</v>
      </c>
      <c r="K125" s="20" t="n">
        <v>-19773</v>
      </c>
    </row>
    <row r="126">
      <c r="A126" s="9" t="inlineStr">
        <is>
          <t>주주자본 합계</t>
        </is>
      </c>
      <c r="C126" s="12" t="n">
        <v>52356</v>
      </c>
      <c r="D126" s="12" t="n">
        <v>53120</v>
      </c>
      <c r="E126" s="12" t="n">
        <v>54008</v>
      </c>
      <c r="F126" s="12" t="n">
        <v>53775</v>
      </c>
      <c r="G126" s="12" t="n">
        <v>55067</v>
      </c>
      <c r="H126" s="12" t="n">
        <v>48881</v>
      </c>
      <c r="I126" s="12" t="n">
        <v>48418</v>
      </c>
      <c r="J126" s="12" t="n">
        <v>50966</v>
      </c>
      <c r="K126" s="12" t="n">
        <v>53120</v>
      </c>
    </row>
    <row r="127">
      <c r="A127" s="18" t="inlineStr">
        <is>
          <t>기타유가증권 평가차액</t>
        </is>
      </c>
      <c r="C127" s="20" t="n">
        <v>692</v>
      </c>
      <c r="D127" s="20" t="n">
        <v>812</v>
      </c>
      <c r="E127" s="20" t="n">
        <v>965</v>
      </c>
      <c r="F127" s="20" t="n">
        <v>1145</v>
      </c>
      <c r="G127" s="20" t="n">
        <v>1297</v>
      </c>
      <c r="H127" s="20" t="n">
        <v>109</v>
      </c>
      <c r="I127" s="20" t="n">
        <v>449</v>
      </c>
      <c r="J127" s="20" t="n">
        <v>608</v>
      </c>
      <c r="K127" s="20" t="n">
        <v>812</v>
      </c>
    </row>
    <row r="128">
      <c r="A128" s="18" t="inlineStr">
        <is>
          <t>토지재평가차액금</t>
        </is>
      </c>
      <c r="C128" s="20" t="n">
        <v>-602</v>
      </c>
      <c r="D128" s="20" t="n">
        <v>-602</v>
      </c>
      <c r="E128" s="20" t="n">
        <v>-602</v>
      </c>
      <c r="F128" s="20" t="n">
        <v>-602</v>
      </c>
      <c r="G128" s="20" t="n">
        <v>-602</v>
      </c>
      <c r="H128" s="20" t="n">
        <v>-600</v>
      </c>
      <c r="I128" s="20" t="n">
        <v>-600</v>
      </c>
      <c r="J128" s="20" t="n">
        <v>-600</v>
      </c>
      <c r="K128" s="20" t="n">
        <v>-602</v>
      </c>
    </row>
    <row r="129">
      <c r="A129" s="18" t="inlineStr">
        <is>
          <t>퇴직급여 조정누계액</t>
        </is>
      </c>
      <c r="C129" s="20" t="n">
        <v>729</v>
      </c>
      <c r="D129" s="20" t="n">
        <v>709</v>
      </c>
      <c r="E129" s="20" t="n">
        <v>1078</v>
      </c>
      <c r="F129" s="20" t="n">
        <v>1035</v>
      </c>
      <c r="G129" s="20" t="n">
        <v>999</v>
      </c>
      <c r="H129" s="20" t="n">
        <v>208</v>
      </c>
      <c r="I129" s="20" t="n">
        <v>362</v>
      </c>
      <c r="J129" s="20" t="n">
        <v>569</v>
      </c>
      <c r="K129" s="20" t="n">
        <v>709</v>
      </c>
    </row>
    <row r="130">
      <c r="A130" s="18" t="inlineStr">
        <is>
          <t>기타포괄손익누계액 합계</t>
        </is>
      </c>
      <c r="C130" s="20" t="n">
        <v>819</v>
      </c>
      <c r="D130" s="20" t="n">
        <v>919</v>
      </c>
      <c r="E130" s="20" t="n">
        <v>1442</v>
      </c>
      <c r="F130" s="20" t="n">
        <v>1578</v>
      </c>
      <c r="G130" s="20" t="n">
        <v>1694</v>
      </c>
      <c r="H130" s="20" t="n">
        <v>-282</v>
      </c>
      <c r="I130" s="20" t="n">
        <v>212</v>
      </c>
      <c r="J130" s="20" t="n">
        <v>577</v>
      </c>
      <c r="K130" s="20" t="n">
        <v>919</v>
      </c>
    </row>
    <row r="131">
      <c r="A131" s="18" t="inlineStr">
        <is>
          <t>비지배지분</t>
        </is>
      </c>
      <c r="C131" s="20" t="n">
        <v>773</v>
      </c>
      <c r="D131" s="20" t="n">
        <v>793</v>
      </c>
      <c r="E131" s="20" t="n">
        <v>812</v>
      </c>
      <c r="F131" s="20" t="n">
        <v>833</v>
      </c>
      <c r="G131" s="20" t="n">
        <v>852</v>
      </c>
      <c r="H131" s="20" t="n">
        <v>560</v>
      </c>
      <c r="I131" s="20" t="n">
        <v>637</v>
      </c>
      <c r="J131" s="20" t="n">
        <v>707</v>
      </c>
      <c r="K131" s="20" t="n">
        <v>793</v>
      </c>
    </row>
    <row r="132">
      <c r="A132" s="9" t="inlineStr">
        <is>
          <t>순자산 합계</t>
        </is>
      </c>
      <c r="C132" s="12" t="n">
        <v>53949</v>
      </c>
      <c r="D132" s="12" t="n">
        <v>54833</v>
      </c>
      <c r="E132" s="12" t="n">
        <v>56262</v>
      </c>
      <c r="F132" s="12" t="n">
        <v>56187</v>
      </c>
      <c r="G132" s="12" t="n">
        <v>57615</v>
      </c>
      <c r="H132" s="12" t="n">
        <v>49158</v>
      </c>
      <c r="I132" s="12" t="n">
        <v>49268</v>
      </c>
      <c r="J132" s="12" t="n">
        <v>52251</v>
      </c>
      <c r="K132" s="12" t="n">
        <v>54833</v>
      </c>
    </row>
    <row r="133">
      <c r="A133" s="9" t="inlineStr">
        <is>
          <t>부채·순자산 합계</t>
        </is>
      </c>
      <c r="C133" s="12" t="n">
        <v>67034</v>
      </c>
      <c r="D133" s="12" t="n">
        <v>67300</v>
      </c>
      <c r="E133" s="12" t="n">
        <v>68697</v>
      </c>
      <c r="F133" s="12" t="n">
        <v>69325</v>
      </c>
      <c r="G133" s="12" t="n">
        <v>70976</v>
      </c>
      <c r="H133" s="12" t="n">
        <v>63285</v>
      </c>
      <c r="I133" s="12" t="n">
        <v>61658</v>
      </c>
      <c r="J133" s="12" t="n">
        <v>65112</v>
      </c>
      <c r="K133" s="12" t="n">
        <v>67300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4" customWidth="1" min="8" max="8"/>
  </cols>
  <sheetData>
    <row r="1">
      <c r="A1" s="50" t="inlineStr">
        <is>
          <t>미라이공업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G27</t>
        </is>
      </c>
      <c r="B4" s="52" t="n"/>
      <c r="C4" s="52" t="n"/>
      <c r="D4" s="52" t="n"/>
      <c r="E4" s="52" t="n"/>
      <c r="F4" s="52" t="n"/>
      <c r="G4" s="52" t="n"/>
      <c r="H4" s="52" t="n"/>
    </row>
    <row r="5">
      <c r="A5" s="53" t="inlineStr">
        <is>
          <t>항목</t>
        </is>
      </c>
      <c r="B5" s="53" t="inlineStr">
        <is>
          <t>값</t>
        </is>
      </c>
      <c r="H5" s="53" t="inlineStr">
        <is>
          <t>출처</t>
        </is>
      </c>
    </row>
    <row r="6">
      <c r="A6" s="54" t="inlineStr">
        <is>
          <t>매출</t>
        </is>
      </c>
      <c r="B6" s="55" t="n">
        <v>489.84</v>
      </c>
      <c r="H6" s="56" t="inlineStr">
        <is>
          <t>2단계 보고서 자료(회사 설명회 자료·공시)</t>
        </is>
      </c>
    </row>
    <row r="7">
      <c r="A7" s="54" t="inlineStr">
        <is>
          <t>영업이익</t>
        </is>
      </c>
      <c r="B7" s="55" t="n">
        <v>69.27</v>
      </c>
    </row>
    <row r="8">
      <c r="A8" s="54" t="inlineStr">
        <is>
          <t>ord</t>
        </is>
      </c>
      <c r="B8" s="55" t="n">
        <v>71.25</v>
      </c>
    </row>
    <row r="9">
      <c r="A9" s="54" t="inlineStr">
        <is>
          <t>순이익</t>
        </is>
      </c>
      <c r="B9" s="55" t="n">
        <v>47.55</v>
      </c>
    </row>
    <row r="10">
      <c r="A10" s="54" t="inlineStr">
        <is>
          <t>EPS</t>
        </is>
      </c>
      <c r="B10" s="55" t="n">
        <v>293.91</v>
      </c>
    </row>
    <row r="11">
      <c r="A11" s="54" t="inlineStr">
        <is>
          <t>dps</t>
        </is>
      </c>
      <c r="B11" s="57" t="n">
        <v>135</v>
      </c>
    </row>
    <row r="13">
      <c r="A13" s="52" t="inlineStr">
        <is>
          <t>G27 직전</t>
        </is>
      </c>
      <c r="B13" s="52" t="n"/>
      <c r="C13" s="52" t="n"/>
      <c r="D13" s="52" t="n"/>
      <c r="E13" s="52" t="n"/>
      <c r="F13" s="52" t="n"/>
      <c r="G13" s="52" t="n"/>
      <c r="H13" s="52" t="n"/>
    </row>
    <row r="14">
      <c r="A14" s="53" t="inlineStr">
        <is>
          <t>항목</t>
        </is>
      </c>
      <c r="B14" s="53" t="inlineStr">
        <is>
          <t>값</t>
        </is>
      </c>
      <c r="H14" s="53" t="inlineStr">
        <is>
          <t>출처</t>
        </is>
      </c>
    </row>
    <row r="15">
      <c r="A15" s="54" t="inlineStr">
        <is>
          <t>매출</t>
        </is>
      </c>
      <c r="B15" s="55" t="n">
        <v>485.3</v>
      </c>
      <c r="H15" s="56" t="inlineStr">
        <is>
          <t>2단계 보고서 자료(회사 설명회 자료·공시)</t>
        </is>
      </c>
    </row>
    <row r="16">
      <c r="A16" s="54" t="inlineStr">
        <is>
          <t>영업이익</t>
        </is>
      </c>
      <c r="B16" s="55" t="n">
        <v>62.32</v>
      </c>
    </row>
    <row r="17">
      <c r="A17" s="54" t="inlineStr">
        <is>
          <t>ord</t>
        </is>
      </c>
      <c r="B17" s="55" t="n">
        <v>63.98</v>
      </c>
    </row>
    <row r="18">
      <c r="A18" s="54" t="inlineStr">
        <is>
          <t>순이익</t>
        </is>
      </c>
      <c r="B18" s="55" t="n">
        <v>43.42</v>
      </c>
    </row>
    <row r="19">
      <c r="A19" s="54" t="inlineStr">
        <is>
          <t>EPS</t>
        </is>
      </c>
      <c r="B19" s="55" t="n">
        <v>268.54</v>
      </c>
    </row>
    <row r="21">
      <c r="A21" s="52" t="inlineStr">
        <is>
          <t>상반기 계획</t>
        </is>
      </c>
      <c r="B21" s="52" t="n"/>
      <c r="C21" s="52" t="n"/>
      <c r="D21" s="52" t="n"/>
      <c r="E21" s="52" t="n"/>
      <c r="F21" s="52" t="n"/>
      <c r="G21" s="52" t="n"/>
      <c r="H21" s="52" t="n"/>
    </row>
    <row r="22">
      <c r="A22" s="53" t="inlineStr">
        <is>
          <t>항목</t>
        </is>
      </c>
      <c r="B22" s="53" t="inlineStr">
        <is>
          <t>값</t>
        </is>
      </c>
      <c r="H22" s="53" t="inlineStr">
        <is>
          <t>출처</t>
        </is>
      </c>
    </row>
    <row r="23">
      <c r="A23" s="54" t="inlineStr">
        <is>
          <t>매출</t>
        </is>
      </c>
      <c r="B23" s="55" t="n">
        <v>247.78</v>
      </c>
      <c r="H23" s="56" t="inlineStr">
        <is>
          <t>2단계 보고서 자료(회사 설명회 자료·공시)</t>
        </is>
      </c>
    </row>
    <row r="24">
      <c r="A24" s="54" t="inlineStr">
        <is>
          <t>영업이익</t>
        </is>
      </c>
      <c r="B24" s="55" t="n">
        <v>33.43</v>
      </c>
    </row>
    <row r="26">
      <c r="A26" s="52" t="inlineStr">
        <is>
          <t>band</t>
        </is>
      </c>
      <c r="B26" s="52" t="n"/>
      <c r="C26" s="52" t="n"/>
      <c r="D26" s="52" t="n"/>
      <c r="E26" s="52" t="n"/>
      <c r="F26" s="52" t="n"/>
      <c r="G26" s="52" t="n"/>
      <c r="H26" s="52" t="n"/>
    </row>
    <row r="27">
      <c r="A27" s="53" t="inlineStr">
        <is>
          <t>항목</t>
        </is>
      </c>
      <c r="B27" s="53" t="inlineStr">
        <is>
          <t>값</t>
        </is>
      </c>
      <c r="H27" s="53" t="inlineStr">
        <is>
          <t>출처</t>
        </is>
      </c>
    </row>
    <row r="28">
      <c r="A28" s="54" t="inlineStr">
        <is>
          <t>lo</t>
        </is>
      </c>
      <c r="B28" s="55" t="n">
        <v>11.8</v>
      </c>
      <c r="H28" s="56" t="inlineStr">
        <is>
          <t>2단계 보고서 자료(회사 설명회 자료·공시)</t>
        </is>
      </c>
    </row>
    <row r="29">
      <c r="A29" s="54" t="inlineStr">
        <is>
          <t>avg</t>
        </is>
      </c>
      <c r="B29" s="55" t="n">
        <v>13.8</v>
      </c>
    </row>
    <row r="30">
      <c r="A30" s="54" t="inlineStr">
        <is>
          <t>hi</t>
        </is>
      </c>
      <c r="B30" s="55" t="n">
        <v>19.6</v>
      </c>
    </row>
    <row r="32">
      <c r="A32" s="52" t="inlineStr">
        <is>
          <t>nap q</t>
        </is>
      </c>
      <c r="B32" s="52" t="n"/>
      <c r="C32" s="52" t="n"/>
      <c r="D32" s="52" t="n"/>
      <c r="E32" s="52" t="n"/>
      <c r="F32" s="52" t="n"/>
      <c r="G32" s="52" t="n"/>
      <c r="H32" s="52" t="n"/>
    </row>
    <row r="33">
      <c r="A33" s="53" t="inlineStr">
        <is>
          <t>항목</t>
        </is>
      </c>
      <c r="B33" s="53" t="inlineStr">
        <is>
          <t>값</t>
        </is>
      </c>
      <c r="H33" s="53" t="inlineStr">
        <is>
          <t>출처</t>
        </is>
      </c>
    </row>
    <row r="34">
      <c r="A34" s="54" t="inlineStr">
        <is>
          <t>2024-Q3</t>
        </is>
      </c>
      <c r="B34" s="55" t="n">
        <v>74.3</v>
      </c>
      <c r="H34" s="56" t="inlineStr">
        <is>
          <t>2단계 보고서 자료(회사 설명회 자료·공시)</t>
        </is>
      </c>
    </row>
    <row r="35">
      <c r="A35" s="54" t="inlineStr">
        <is>
          <t>2024-Q4</t>
        </is>
      </c>
      <c r="B35" s="55" t="n">
        <v>72.90000000000001</v>
      </c>
    </row>
    <row r="36">
      <c r="A36" s="54" t="inlineStr">
        <is>
          <t>2025-Q1</t>
        </is>
      </c>
      <c r="B36" s="55" t="n">
        <v>80.59999999999999</v>
      </c>
    </row>
    <row r="37">
      <c r="A37" s="54" t="inlineStr">
        <is>
          <t>2025-Q2</t>
        </is>
      </c>
      <c r="B37" s="55" t="n">
        <v>79</v>
      </c>
    </row>
    <row r="38">
      <c r="A38" s="54" t="inlineStr">
        <is>
          <t>2025-Q3</t>
        </is>
      </c>
      <c r="B38" s="55" t="n">
        <v>73</v>
      </c>
    </row>
    <row r="39">
      <c r="A39" s="54" t="inlineStr">
        <is>
          <t>2025-Q4</t>
        </is>
      </c>
      <c r="B39" s="55" t="n">
        <v>73.5</v>
      </c>
    </row>
    <row r="40">
      <c r="A40" s="54" t="inlineStr">
        <is>
          <t>2026-Q1</t>
        </is>
      </c>
      <c r="B40" s="55" t="n">
        <v>66.2</v>
      </c>
    </row>
    <row r="41">
      <c r="A41" s="54" t="inlineStr">
        <is>
          <t>2026-Q2</t>
        </is>
      </c>
      <c r="B41" s="55" t="n">
        <v>65.5</v>
      </c>
    </row>
    <row r="42">
      <c r="A42" s="54" t="inlineStr">
        <is>
          <t>2026-Q3</t>
        </is>
      </c>
      <c r="B42" s="55" t="n">
        <v>65.8</v>
      </c>
    </row>
    <row r="43">
      <c r="A43" s="54" t="inlineStr">
        <is>
          <t>2026-Q4</t>
        </is>
      </c>
      <c r="B43" s="55" t="n">
        <v>68.40000000000001</v>
      </c>
    </row>
    <row r="44">
      <c r="A44" s="54" t="inlineStr">
        <is>
          <t>2027-Q1</t>
        </is>
      </c>
      <c r="B44" s="55" t="n">
        <v>121.3</v>
      </c>
    </row>
    <row r="45">
      <c r="A45" s="54" t="inlineStr">
        <is>
          <t>2027-Q2</t>
        </is>
      </c>
      <c r="B45" s="55" t="n">
        <v>101.4</v>
      </c>
    </row>
    <row r="47">
      <c r="A47" s="52" t="inlineStr">
        <is>
          <t>pvcp q</t>
        </is>
      </c>
      <c r="B47" s="52" t="n"/>
      <c r="C47" s="52" t="n"/>
      <c r="D47" s="52" t="n"/>
      <c r="E47" s="52" t="n"/>
      <c r="F47" s="52" t="n"/>
      <c r="G47" s="52" t="n"/>
      <c r="H47" s="52" t="n"/>
    </row>
    <row r="48">
      <c r="A48" s="53" t="inlineStr">
        <is>
          <t>항목</t>
        </is>
      </c>
      <c r="B48" s="53" t="inlineStr">
        <is>
          <t>값</t>
        </is>
      </c>
      <c r="H48" s="53" t="inlineStr">
        <is>
          <t>출처</t>
        </is>
      </c>
    </row>
    <row r="49">
      <c r="A49" s="54" t="inlineStr">
        <is>
          <t>2024-Q3</t>
        </is>
      </c>
      <c r="B49" s="55" t="n">
        <v>118.3</v>
      </c>
      <c r="H49" s="56" t="inlineStr">
        <is>
          <t>2단계 보고서 자료(회사 설명회 자료·공시)</t>
        </is>
      </c>
    </row>
    <row r="50">
      <c r="A50" s="54" t="inlineStr">
        <is>
          <t>2024-Q4</t>
        </is>
      </c>
      <c r="B50" s="55" t="n">
        <v>113.3</v>
      </c>
    </row>
    <row r="51">
      <c r="A51" s="54" t="inlineStr">
        <is>
          <t>2025-Q1</t>
        </is>
      </c>
      <c r="B51" s="55" t="n">
        <v>119.3</v>
      </c>
    </row>
    <row r="52">
      <c r="A52" s="54" t="inlineStr">
        <is>
          <t>2025-Q2</t>
        </is>
      </c>
      <c r="B52" s="55" t="n">
        <v>126.7</v>
      </c>
    </row>
    <row r="53">
      <c r="A53" s="54" t="inlineStr">
        <is>
          <t>2025-Q3</t>
        </is>
      </c>
      <c r="B53" s="57" t="n">
        <v>115</v>
      </c>
    </row>
    <row r="54">
      <c r="A54" s="54" t="inlineStr">
        <is>
          <t>2025-Q4</t>
        </is>
      </c>
      <c r="B54" s="55" t="n">
        <v>112.7</v>
      </c>
    </row>
    <row r="55">
      <c r="A55" s="54" t="inlineStr">
        <is>
          <t>2026-Q1</t>
        </is>
      </c>
      <c r="B55" s="55" t="n">
        <v>101.4</v>
      </c>
    </row>
    <row r="56">
      <c r="A56" s="54" t="inlineStr">
        <is>
          <t>2026-Q2</t>
        </is>
      </c>
      <c r="B56" s="55" t="n">
        <v>100.8</v>
      </c>
    </row>
    <row r="57">
      <c r="A57" s="54" t="inlineStr">
        <is>
          <t>2026-Q3</t>
        </is>
      </c>
      <c r="B57" s="55" t="n">
        <v>99</v>
      </c>
    </row>
    <row r="58">
      <c r="A58" s="54" t="inlineStr">
        <is>
          <t>2026-Q4</t>
        </is>
      </c>
      <c r="B58" s="55" t="n">
        <v>98.2</v>
      </c>
    </row>
    <row r="59">
      <c r="A59" s="54" t="inlineStr">
        <is>
          <t>2027-Q1</t>
        </is>
      </c>
      <c r="B59" s="55" t="n">
        <v>121.3</v>
      </c>
    </row>
    <row r="60">
      <c r="A60" s="54" t="inlineStr">
        <is>
          <t>2027-Q2</t>
        </is>
      </c>
      <c r="B60" s="57" t="n">
        <v>119</v>
      </c>
    </row>
    <row r="62">
      <c r="A62" s="52" t="inlineStr">
        <is>
          <t>pvcv q</t>
        </is>
      </c>
      <c r="B62" s="52" t="n"/>
      <c r="C62" s="52" t="n"/>
      <c r="D62" s="52" t="n"/>
      <c r="E62" s="52" t="n"/>
      <c r="F62" s="52" t="n"/>
      <c r="G62" s="52" t="n"/>
      <c r="H62" s="52" t="n"/>
    </row>
    <row r="63">
      <c r="A63" s="53" t="inlineStr">
        <is>
          <t>항목</t>
        </is>
      </c>
      <c r="B63" s="53" t="inlineStr">
        <is>
          <t>값</t>
        </is>
      </c>
      <c r="H63" s="53" t="inlineStr">
        <is>
          <t>출처</t>
        </is>
      </c>
    </row>
    <row r="64">
      <c r="A64" s="54" t="inlineStr">
        <is>
          <t>2024-Q3</t>
        </is>
      </c>
      <c r="B64" s="55" t="n">
        <v>179.2</v>
      </c>
      <c r="H64" s="56" t="inlineStr">
        <is>
          <t>2단계 보고서 자료(회사 설명회 자료·공시)</t>
        </is>
      </c>
    </row>
    <row r="65">
      <c r="A65" s="54" t="inlineStr">
        <is>
          <t>2024-Q4</t>
        </is>
      </c>
      <c r="B65" s="55" t="n">
        <v>161.6</v>
      </c>
    </row>
    <row r="66">
      <c r="A66" s="54" t="inlineStr">
        <is>
          <t>2025-Q1</t>
        </is>
      </c>
      <c r="B66" s="55" t="n">
        <v>124.6</v>
      </c>
    </row>
    <row r="67">
      <c r="A67" s="54" t="inlineStr">
        <is>
          <t>2025-Q2</t>
        </is>
      </c>
      <c r="B67" s="55" t="n">
        <v>164</v>
      </c>
    </row>
    <row r="68">
      <c r="A68" s="54" t="inlineStr">
        <is>
          <t>2025-Q3</t>
        </is>
      </c>
      <c r="B68" s="55" t="n">
        <v>154.6</v>
      </c>
    </row>
    <row r="69">
      <c r="A69" s="54" t="inlineStr">
        <is>
          <t>2025-Q4</t>
        </is>
      </c>
      <c r="B69" s="55" t="n">
        <v>156</v>
      </c>
    </row>
    <row r="70">
      <c r="A70" s="54" t="inlineStr">
        <is>
          <t>2026-Q1</t>
        </is>
      </c>
      <c r="B70" s="55" t="n">
        <v>134.1</v>
      </c>
    </row>
    <row r="71">
      <c r="A71" s="54" t="inlineStr">
        <is>
          <t>2026-Q2</t>
        </is>
      </c>
      <c r="B71" s="55" t="n">
        <v>169.4</v>
      </c>
    </row>
    <row r="72">
      <c r="A72" s="54" t="inlineStr">
        <is>
          <t>2026-Q3</t>
        </is>
      </c>
      <c r="B72" s="55" t="n">
        <v>165.1</v>
      </c>
    </row>
    <row r="73">
      <c r="A73" s="54" t="inlineStr">
        <is>
          <t>2026-Q4</t>
        </is>
      </c>
      <c r="B73" s="55" t="n">
        <v>161.8</v>
      </c>
    </row>
    <row r="74">
      <c r="A74" s="54" t="inlineStr">
        <is>
          <t>2027-Q1</t>
        </is>
      </c>
      <c r="B74" s="55" t="n">
        <v>82.09999999999999</v>
      </c>
    </row>
    <row r="75">
      <c r="A75" s="54" t="inlineStr">
        <is>
          <t>2027-Q2</t>
        </is>
      </c>
      <c r="B75" s="55" t="n">
        <v>127.2</v>
      </c>
    </row>
    <row r="77">
      <c r="A77" s="52" t="inlineStr">
        <is>
          <t>매출총이익률 q</t>
        </is>
      </c>
      <c r="B77" s="52" t="n"/>
      <c r="C77" s="52" t="n"/>
      <c r="D77" s="52" t="n"/>
      <c r="E77" s="52" t="n"/>
      <c r="F77" s="52" t="n"/>
      <c r="G77" s="52" t="n"/>
      <c r="H77" s="52" t="n"/>
    </row>
    <row r="78">
      <c r="A78" s="53" t="inlineStr">
        <is>
          <t>항목</t>
        </is>
      </c>
      <c r="B78" s="53" t="inlineStr">
        <is>
          <t>값</t>
        </is>
      </c>
      <c r="H78" s="53" t="inlineStr">
        <is>
          <t>출처</t>
        </is>
      </c>
    </row>
    <row r="79">
      <c r="A79" s="54" t="inlineStr">
        <is>
          <t>2025-Q1</t>
        </is>
      </c>
      <c r="B79" s="55" t="n">
        <v>40.2</v>
      </c>
      <c r="H79" s="56" t="inlineStr">
        <is>
          <t>2단계 보고서 자료(회사 설명회 자료·공시)</t>
        </is>
      </c>
    </row>
    <row r="80">
      <c r="A80" s="54" t="inlineStr">
        <is>
          <t>2025-Q2</t>
        </is>
      </c>
      <c r="B80" s="55" t="n">
        <v>39.4</v>
      </c>
    </row>
    <row r="81">
      <c r="A81" s="54" t="inlineStr">
        <is>
          <t>2025-Q3</t>
        </is>
      </c>
      <c r="B81" s="55" t="n">
        <v>40.7</v>
      </c>
    </row>
    <row r="82">
      <c r="A82" s="54" t="inlineStr">
        <is>
          <t>2025-Q4</t>
        </is>
      </c>
      <c r="B82" s="55" t="n">
        <v>36.8</v>
      </c>
    </row>
    <row r="83">
      <c r="A83" s="54" t="inlineStr">
        <is>
          <t>2026-Q1</t>
        </is>
      </c>
      <c r="B83" s="55" t="n">
        <v>37.9</v>
      </c>
    </row>
    <row r="84">
      <c r="A84" s="54" t="inlineStr">
        <is>
          <t>2026-Q2</t>
        </is>
      </c>
      <c r="B84" s="55" t="n">
        <v>38.2</v>
      </c>
    </row>
    <row r="85">
      <c r="A85" s="54" t="inlineStr">
        <is>
          <t>2026-Q3</t>
        </is>
      </c>
      <c r="B85" s="55" t="n">
        <v>40.6</v>
      </c>
    </row>
    <row r="86">
      <c r="A86" s="54" t="inlineStr">
        <is>
          <t>2026-Q4</t>
        </is>
      </c>
      <c r="B86" s="55" t="n">
        <v>37.6</v>
      </c>
    </row>
    <row r="87">
      <c r="A87" s="54" t="inlineStr">
        <is>
          <t>2027-Q1</t>
        </is>
      </c>
      <c r="B87" s="55" t="n">
        <v>39.7</v>
      </c>
    </row>
    <row r="88">
      <c r="A88" s="54" t="inlineStr">
        <is>
          <t>2027-Q2</t>
        </is>
      </c>
      <c r="B88" s="55" t="n">
        <v>38.2</v>
      </c>
    </row>
    <row r="90">
      <c r="A90" s="52" t="inlineStr">
        <is>
          <t>컨센서스</t>
        </is>
      </c>
      <c r="B90" s="52" t="n"/>
      <c r="C90" s="52" t="n"/>
      <c r="D90" s="52" t="n"/>
      <c r="E90" s="52" t="n"/>
      <c r="F90" s="52" t="n"/>
      <c r="G90" s="52" t="n"/>
      <c r="H90" s="52" t="n"/>
    </row>
    <row r="91">
      <c r="A91" s="53" t="inlineStr">
        <is>
          <t>항목</t>
        </is>
      </c>
      <c r="B91" s="53" t="inlineStr">
        <is>
          <t>값</t>
        </is>
      </c>
      <c r="H91" s="53" t="inlineStr">
        <is>
          <t>출처</t>
        </is>
      </c>
    </row>
    <row r="92">
      <c r="A92" s="54" t="inlineStr">
        <is>
          <t>FY2027 매출</t>
        </is>
      </c>
      <c r="B92" s="57" t="n">
        <v>500</v>
      </c>
      <c r="H92" s="56" t="inlineStr">
        <is>
          <t>애널리스트 1명(야후)</t>
        </is>
      </c>
    </row>
    <row r="93">
      <c r="A93" s="54" t="inlineStr">
        <is>
          <t>FY2027 EPS</t>
        </is>
      </c>
      <c r="B93" s="55" t="n">
        <v>300.1</v>
      </c>
    </row>
    <row r="94">
      <c r="A94" s="54" t="inlineStr">
        <is>
          <t>FY2028 EPS</t>
        </is>
      </c>
      <c r="B94" s="55" t="n">
        <v>321.7</v>
      </c>
    </row>
    <row r="95">
      <c r="A95" s="54" t="inlineStr">
        <is>
          <t>3Q 매출</t>
        </is>
      </c>
      <c r="B95" s="57" t="n">
        <v>135</v>
      </c>
    </row>
    <row r="97">
      <c r="A97" s="52" t="inlineStr">
        <is>
          <t>phases</t>
        </is>
      </c>
      <c r="B97" s="52" t="n"/>
      <c r="C97" s="52" t="n"/>
      <c r="D97" s="52" t="n"/>
      <c r="E97" s="52" t="n"/>
      <c r="F97" s="52" t="n"/>
      <c r="G97" s="52" t="n"/>
      <c r="H97" s="52" t="n"/>
    </row>
    <row r="98">
      <c r="A98" s="53" t="inlineStr">
        <is>
          <t>항목</t>
        </is>
      </c>
      <c r="B98" s="53" t="inlineStr">
        <is>
          <t>to</t>
        </is>
      </c>
      <c r="C98" s="53" t="inlineStr">
        <is>
          <t>a</t>
        </is>
      </c>
      <c r="D98" s="53" t="inlineStr">
        <is>
          <t>b</t>
        </is>
      </c>
      <c r="E98" s="53" t="inlineStr">
        <is>
          <t>pa</t>
        </is>
      </c>
      <c r="F98" s="53" t="inlineStr">
        <is>
          <t>pb</t>
        </is>
      </c>
      <c r="G98" s="53" t="inlineStr">
        <is>
          <t>chg</t>
        </is>
      </c>
      <c r="H98" s="53" t="inlineStr">
        <is>
          <t>출처</t>
        </is>
      </c>
    </row>
    <row r="99">
      <c r="A99" s="54" t="inlineStr">
        <is>
          <t>0</t>
        </is>
      </c>
      <c r="B99" s="57" t="n">
        <v>69</v>
      </c>
      <c r="C99" s="58" t="inlineStr">
        <is>
          <t>2021-10-25</t>
        </is>
      </c>
      <c r="D99" s="58" t="inlineStr">
        <is>
          <t>2023-02-20</t>
        </is>
      </c>
      <c r="E99" s="55" t="n">
        <v>1690</v>
      </c>
      <c r="F99" s="55" t="n">
        <v>1494</v>
      </c>
      <c r="G99" s="55" t="n">
        <v>-11.6</v>
      </c>
      <c r="H99" s="56" t="inlineStr">
        <is>
          <t>2단계 보고서 자료(회사 설명회 자료·공시)</t>
        </is>
      </c>
    </row>
    <row r="100">
      <c r="A100" s="54" t="inlineStr">
        <is>
          <t>69</t>
        </is>
      </c>
      <c r="B100" s="57" t="n">
        <v>121</v>
      </c>
      <c r="C100" s="58" t="inlineStr">
        <is>
          <t>2023-02-20</t>
        </is>
      </c>
      <c r="D100" s="58" t="inlineStr">
        <is>
          <t>2024-02-19</t>
        </is>
      </c>
      <c r="E100" s="55" t="n">
        <v>1494</v>
      </c>
      <c r="F100" s="55" t="n">
        <v>5380</v>
      </c>
      <c r="G100" s="55" t="n">
        <v>260.1</v>
      </c>
    </row>
    <row r="101">
      <c r="A101" s="54" t="inlineStr">
        <is>
          <t>121</t>
        </is>
      </c>
      <c r="B101" s="57" t="n">
        <v>234</v>
      </c>
      <c r="C101" s="58" t="inlineStr">
        <is>
          <t>2024-02-19</t>
        </is>
      </c>
      <c r="D101" s="58" t="inlineStr">
        <is>
          <t>2026-04-20</t>
        </is>
      </c>
      <c r="E101" s="55" t="n">
        <v>5380</v>
      </c>
      <c r="F101" s="55" t="n">
        <v>2927</v>
      </c>
      <c r="G101" s="55" t="n">
        <v>-45.6</v>
      </c>
    </row>
    <row r="102">
      <c r="A102" s="54" t="inlineStr">
        <is>
          <t>234</t>
        </is>
      </c>
      <c r="B102" s="57" t="n">
        <v>261</v>
      </c>
      <c r="C102" s="58" t="inlineStr">
        <is>
          <t>2026-04-20</t>
        </is>
      </c>
      <c r="D102" s="58" t="inlineStr">
        <is>
          <t>2026-10-26</t>
        </is>
      </c>
      <c r="E102" s="55" t="n">
        <v>2927</v>
      </c>
      <c r="F102" s="55" t="n">
        <v>3485</v>
      </c>
      <c r="G102" s="55" t="n">
        <v>19.1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2026-10-23</t>
        </is>
      </c>
      <c r="B4" t="inlineStr">
        <is>
          <t>2027년 3월 결산기 ２분기 결산단신</t>
        </is>
      </c>
      <c r="C4" t="inlineStr">
        <is>
          <t>https://www2.jpx.co.jp/disc/79310/140120261022554660.pdf</t>
        </is>
      </c>
    </row>
    <row r="5">
      <c r="A5" t="inlineStr">
        <is>
          <t>2026-07-23</t>
        </is>
      </c>
      <c r="B5" t="inlineStr">
        <is>
          <t>2027년 3월 결산기 １분기 결산단신</t>
        </is>
      </c>
      <c r="C5" t="inlineStr">
        <is>
          <t>https://www2.jpx.co.jp/disc/79310/140120260722597572.pdf</t>
        </is>
      </c>
    </row>
    <row r="6">
      <c r="A6" t="inlineStr">
        <is>
          <t>2026-04-23</t>
        </is>
      </c>
      <c r="B6" t="inlineStr">
        <is>
          <t>2026년 3월 결산기 연간 결산단신</t>
        </is>
      </c>
      <c r="C6" t="inlineStr">
        <is>
          <t>https://www2.jpx.co.jp/disc/79310/140120260422508231.pdf</t>
        </is>
      </c>
    </row>
    <row r="7">
      <c r="A7" t="inlineStr">
        <is>
          <t>2026-01-29</t>
        </is>
      </c>
      <c r="B7" t="inlineStr">
        <is>
          <t>2026년 3월 결산기 ３분기 결산단신</t>
        </is>
      </c>
      <c r="C7" t="inlineStr">
        <is>
          <t>https://www2.jpx.co.jp/disc/79310/140120260128540246.pdf</t>
        </is>
      </c>
    </row>
    <row r="8">
      <c r="A8" t="inlineStr">
        <is>
          <t>2025-10-23</t>
        </is>
      </c>
      <c r="B8" t="inlineStr">
        <is>
          <t>2026년 3월 결산기 ２분기 결산단신</t>
        </is>
      </c>
      <c r="C8" t="inlineStr">
        <is>
          <t>https://www2.jpx.co.jp/disc/79310/140120251022577052.pdf</t>
        </is>
      </c>
    </row>
    <row r="9">
      <c r="A9" t="inlineStr">
        <is>
          <t>2025-07-24</t>
        </is>
      </c>
      <c r="B9" t="inlineStr">
        <is>
          <t>2026년 3월 결산기 １분기 결산단신</t>
        </is>
      </c>
      <c r="C9" t="inlineStr">
        <is>
          <t>https://www2.jpx.co.jp/disc/79310/140120250723518478.pdf</t>
        </is>
      </c>
    </row>
    <row r="10">
      <c r="A10" t="inlineStr">
        <is>
          <t>2025-04-24</t>
        </is>
      </c>
      <c r="B10" t="inlineStr">
        <is>
          <t>2025년 3월 결산기 연간 결산단신</t>
        </is>
      </c>
      <c r="C10" t="inlineStr">
        <is>
          <t>https://www2.jpx.co.jp/disc/79310/140120250424521883.pdf</t>
        </is>
      </c>
    </row>
    <row r="11">
      <c r="A11" t="inlineStr">
        <is>
          <t>2025-01-28</t>
        </is>
      </c>
      <c r="B11" t="inlineStr">
        <is>
          <t>2025년 3월 결산기 ３분기 결산단신</t>
        </is>
      </c>
      <c r="C11" t="inlineStr">
        <is>
          <t>https://www2.jpx.co.jp/disc/79310/140120250127555617.pdf</t>
        </is>
      </c>
    </row>
    <row r="12">
      <c r="A12" t="inlineStr">
        <is>
          <t>2024-10-24</t>
        </is>
      </c>
      <c r="B12" t="inlineStr">
        <is>
          <t>2025년 3월 결산기 ２분기 결산단신</t>
        </is>
      </c>
      <c r="C12" t="inlineStr">
        <is>
          <t>https://www2.jpx.co.jp/disc/79310/140120241023501530.pdf</t>
        </is>
      </c>
    </row>
    <row r="13">
      <c r="A13" t="inlineStr">
        <is>
          <t>2024-07-24</t>
        </is>
      </c>
      <c r="B13" t="inlineStr">
        <is>
          <t>2025년 3월 결산기 １분기 결산단신</t>
        </is>
      </c>
      <c r="C13" t="inlineStr">
        <is>
          <t>https://www2.jpx.co.jp/disc/79310/140120240723553317.pdf</t>
        </is>
      </c>
    </row>
    <row r="14">
      <c r="A14" t="inlineStr">
        <is>
          <t>2024-04-25</t>
        </is>
      </c>
      <c r="B14" t="inlineStr">
        <is>
          <t>2024년 3월 결산기 연간 결산단신</t>
        </is>
      </c>
      <c r="C14" t="inlineStr">
        <is>
          <t>https://www2.jpx.co.jp/disc/79310/140120240424575835.pdf</t>
        </is>
      </c>
    </row>
    <row r="15">
      <c r="A15" t="inlineStr">
        <is>
          <t>2024-01-25</t>
        </is>
      </c>
      <c r="B15" t="inlineStr">
        <is>
          <t>2024년 3월 결산기 ３분기 결산단신</t>
        </is>
      </c>
      <c r="C15" t="inlineStr">
        <is>
          <t>https://www2.jpx.co.jp/disc/79310/140120240124518574.pdf</t>
        </is>
      </c>
    </row>
    <row r="16">
      <c r="A16" t="inlineStr">
        <is>
          <t>2023-10-26</t>
        </is>
      </c>
      <c r="B16" t="inlineStr">
        <is>
          <t>2024년 3월 결산기 ２분기 결산단신</t>
        </is>
      </c>
      <c r="C16" t="inlineStr">
        <is>
          <t>https://www2.jpx.co.jp/disc/79310/140120231025571322.pdf</t>
        </is>
      </c>
    </row>
    <row r="17">
      <c r="A17" t="inlineStr">
        <is>
          <t>2023-07-26</t>
        </is>
      </c>
      <c r="B17" t="inlineStr">
        <is>
          <t>2024년 3월 결산기 １분기 결산단신</t>
        </is>
      </c>
      <c r="C17" t="inlineStr">
        <is>
          <t>https://www2.jpx.co.jp/disc/79310/140120230725526490.pdf</t>
        </is>
      </c>
    </row>
    <row r="18">
      <c r="A18" t="inlineStr">
        <is>
          <t>2023-04-27</t>
        </is>
      </c>
      <c r="B18" t="inlineStr">
        <is>
          <t>2023년 3월 결산기 연간 결산단신</t>
        </is>
      </c>
      <c r="C18" t="inlineStr">
        <is>
          <t>https://www2.jpx.co.jp/disc/79310/140120230426552974.pdf</t>
        </is>
      </c>
    </row>
    <row r="19">
      <c r="A19" t="inlineStr">
        <is>
          <t>2023-01-26</t>
        </is>
      </c>
      <c r="B19" t="inlineStr">
        <is>
          <t>2023년 3월 결산기 ３분기 결산단신</t>
        </is>
      </c>
      <c r="C19" t="inlineStr">
        <is>
          <t>https://www2.jpx.co.jp/disc/79310/140120230125593402.pdf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https://www2.jpx.co.jp/disc/79310/140120220426528055.pdf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https://www2.jpx.co.jp/disc/79310/140120210426400170.pdf</t>
        </is>
      </c>
    </row>
    <row r="22">
      <c r="A22" t="inlineStr">
        <is>
          <t>2020-05-01</t>
        </is>
      </c>
      <c r="B22" t="inlineStr">
        <is>
          <t>2020년 3월 결산기 연간 결산단신</t>
        </is>
      </c>
      <c r="C22" t="inlineStr">
        <is>
          <t>https://www2.jpx.co.jp/disc/79310/140120200430402327.pdf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https://www2.jpx.co.jp/disc/79310/140120190425411633.pdf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2026-10-28T07:00:14Z</dcterms:created>
  <dcterms:modified xmlns:dcterms="http://purl.org/dc/terms/" xmlns:xsi="http://www.w3.org/2001/XMLSchema-instance" xsi:type="dcterms:W3CDTF">2026-10-28T07:00:15Z</dcterms:modified>
</cp:coreProperties>
</file>