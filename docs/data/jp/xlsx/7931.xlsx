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1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미라이공업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일본 기준 · 2027.4Q = 2027년 2월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11142</v>
      </c>
      <c r="D4" s="12" t="n">
        <v>11221</v>
      </c>
      <c r="E4" s="12" t="n">
        <v>12606</v>
      </c>
      <c r="F4" s="12" t="n">
        <v>9122</v>
      </c>
      <c r="G4" s="12" t="n">
        <v>11677</v>
      </c>
      <c r="H4" s="12" t="n">
        <v>11269</v>
      </c>
      <c r="I4" s="12" t="n">
        <v>12432</v>
      </c>
      <c r="J4" s="12" t="n">
        <v>9735</v>
      </c>
      <c r="K4" s="12" t="n">
        <v>12764</v>
      </c>
      <c r="L4" s="12" t="n">
        <v>12097</v>
      </c>
      <c r="M4" s="12" t="n"/>
      <c r="N4" s="12" t="n"/>
      <c r="O4" s="11" t="n"/>
      <c r="P4" s="12" t="n">
        <v>35175</v>
      </c>
      <c r="Q4" s="12" t="n">
        <v>36035</v>
      </c>
      <c r="R4" s="12" t="n">
        <v>37573</v>
      </c>
      <c r="S4" s="12" t="n">
        <v>36069</v>
      </c>
      <c r="T4" s="12" t="n">
        <v>36905</v>
      </c>
      <c r="U4" s="12" t="n">
        <v>39568</v>
      </c>
      <c r="V4" s="12" t="n">
        <v>44091</v>
      </c>
      <c r="W4" s="12" t="n">
        <v>45113</v>
      </c>
      <c r="X4" s="12" t="n">
        <v>45673</v>
      </c>
      <c r="Y4" s="11">
        <f>IF(COUNT(Y7,Y10,Y13)=0,"",SUM(Y7,Y10,Y13))</f>
        <v/>
      </c>
      <c r="Z4" s="12">
        <f>IF(COUNT(Z7,Z10,Z13)=0,"",SUM(Z7,Z10,Z13))</f>
        <v/>
      </c>
      <c r="AA4" s="12">
        <f>IF(COUNT(AA7,AA10,AA13)=0,"",SUM(AA7,AA10,AA13))</f>
        <v/>
      </c>
      <c r="AB4" s="12">
        <f>IF(COUNT(AB7,AB10,AB13)=0,"",SUM(AB7,AB10,AB13))</f>
        <v/>
      </c>
      <c r="AC4" s="12">
        <f>IF(COUNT(AC7,AC10,AC13)=0,"",SUM(AC7,AC10,AC13))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전기자재 및 관재</t>
        </is>
      </c>
      <c r="B7" s="10" t="n"/>
      <c r="C7" s="19" t="n">
        <v>8649</v>
      </c>
      <c r="D7" s="20" t="n">
        <v>8708</v>
      </c>
      <c r="E7" s="20" t="n">
        <v>9766</v>
      </c>
      <c r="F7" s="20" t="n">
        <v>6997</v>
      </c>
      <c r="G7" s="20" t="n">
        <v>9019</v>
      </c>
      <c r="H7" s="20" t="n">
        <v>8540</v>
      </c>
      <c r="I7" s="20" t="n">
        <v>9492</v>
      </c>
      <c r="J7" s="20" t="n">
        <v>7733</v>
      </c>
      <c r="K7" s="20" t="n">
        <v>9883</v>
      </c>
      <c r="L7" s="20" t="n">
        <v>9150</v>
      </c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34120</v>
      </c>
      <c r="W7" s="20" t="n">
        <v>34784</v>
      </c>
      <c r="X7" s="20" t="n">
        <v>34733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배선 기구</t>
        </is>
      </c>
      <c r="B10" s="10" t="n"/>
      <c r="C10" s="19" t="n">
        <v>1710</v>
      </c>
      <c r="D10" s="20" t="n">
        <v>1804</v>
      </c>
      <c r="E10" s="20" t="n">
        <v>2089</v>
      </c>
      <c r="F10" s="20" t="n">
        <v>1224</v>
      </c>
      <c r="G10" s="20" t="n">
        <v>1903</v>
      </c>
      <c r="H10" s="20" t="n">
        <v>1972</v>
      </c>
      <c r="I10" s="20" t="n">
        <v>2221</v>
      </c>
      <c r="J10" s="20" t="n">
        <v>1233</v>
      </c>
      <c r="K10" s="20" t="n">
        <v>2148</v>
      </c>
      <c r="L10" s="20" t="n">
        <v>2177</v>
      </c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6827</v>
      </c>
      <c r="W10" s="20" t="n">
        <v>7329</v>
      </c>
      <c r="X10" s="20" t="n">
        <v>8037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기타</t>
        </is>
      </c>
      <c r="B13" s="10" t="n"/>
      <c r="C13" s="19" t="n">
        <v>782</v>
      </c>
      <c r="D13" s="20" t="n">
        <v>709</v>
      </c>
      <c r="E13" s="20" t="n">
        <v>751</v>
      </c>
      <c r="F13" s="20" t="n">
        <v>901</v>
      </c>
      <c r="G13" s="20" t="n">
        <v>754</v>
      </c>
      <c r="H13" s="20" t="n">
        <v>757</v>
      </c>
      <c r="I13" s="20" t="n">
        <v>720</v>
      </c>
      <c r="J13" s="20" t="n">
        <v>768</v>
      </c>
      <c r="K13" s="20" t="n">
        <v>732</v>
      </c>
      <c r="L13" s="20" t="n">
        <v>769</v>
      </c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3143</v>
      </c>
      <c r="W13" s="20" t="n">
        <v>2999</v>
      </c>
      <c r="X13" s="20" t="n">
        <v>2902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6" t="inlineStr">
        <is>
          <t>매출원가</t>
        </is>
      </c>
      <c r="B16" s="16" t="n"/>
      <c r="C16" s="17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7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7" t="n"/>
      <c r="Z16" s="16" t="n"/>
      <c r="AA16" s="16" t="n"/>
      <c r="AB16" s="16" t="n"/>
      <c r="AC16" s="16" t="n"/>
    </row>
    <row r="17">
      <c r="A17" s="18" t="inlineStr">
        <is>
          <t>전체 매출원가</t>
        </is>
      </c>
      <c r="B17" s="10" t="n"/>
      <c r="C17" s="19" t="n">
        <v>6663</v>
      </c>
      <c r="D17" s="20" t="n">
        <v>6803</v>
      </c>
      <c r="E17" s="20" t="n">
        <v>7481</v>
      </c>
      <c r="F17" s="20" t="n">
        <v>5369</v>
      </c>
      <c r="G17" s="20" t="n">
        <v>7250</v>
      </c>
      <c r="H17" s="20" t="n">
        <v>6961</v>
      </c>
      <c r="I17" s="20" t="n">
        <v>7391</v>
      </c>
      <c r="J17" s="20" t="n">
        <v>5756</v>
      </c>
      <c r="K17" s="20" t="n">
        <v>7689</v>
      </c>
      <c r="L17" s="20" t="n">
        <v>7471</v>
      </c>
      <c r="M17" s="20" t="n"/>
      <c r="N17" s="20" t="n"/>
      <c r="O17" s="19" t="n"/>
      <c r="P17" s="20" t="n">
        <v>21374</v>
      </c>
      <c r="Q17" s="20" t="n">
        <v>22417</v>
      </c>
      <c r="R17" s="20" t="n">
        <v>23238</v>
      </c>
      <c r="S17" s="20" t="n">
        <v>22118</v>
      </c>
      <c r="T17" s="20" t="n">
        <v>23111</v>
      </c>
      <c r="U17" s="20" t="n">
        <v>25606</v>
      </c>
      <c r="V17" s="20" t="n">
        <v>26316</v>
      </c>
      <c r="W17" s="20" t="n">
        <v>27358</v>
      </c>
      <c r="X17" s="20" t="n">
        <v>28012</v>
      </c>
      <c r="Y17" s="19" t="n"/>
      <c r="Z17" s="20" t="n"/>
      <c r="AA17" s="20" t="n"/>
      <c r="AB17" s="20" t="n"/>
      <c r="AC17" s="20" t="n"/>
    </row>
    <row r="18">
      <c r="A18" s="18" t="inlineStr">
        <is>
          <t>매출총이익</t>
        </is>
      </c>
      <c r="B18" s="10" t="n"/>
      <c r="C18" s="19">
        <f>IF(OR(C4="",C17=""),"",IFERROR(C4-C17,""))</f>
        <v/>
      </c>
      <c r="D18" s="20">
        <f>IF(OR(D4="",D17=""),"",IFERROR(D4-D17,""))</f>
        <v/>
      </c>
      <c r="E18" s="20">
        <f>IF(OR(E4="",E17=""),"",IFERROR(E4-E17,""))</f>
        <v/>
      </c>
      <c r="F18" s="20">
        <f>IF(OR(F4="",F17=""),"",IFERROR(F4-F17,""))</f>
        <v/>
      </c>
      <c r="G18" s="20">
        <f>IF(OR(G4="",G17=""),"",IFERROR(G4-G17,""))</f>
        <v/>
      </c>
      <c r="H18" s="20">
        <f>IF(OR(H4="",H17=""),"",IFERROR(H4-H17,""))</f>
        <v/>
      </c>
      <c r="I18" s="20">
        <f>IF(OR(I4="",I17=""),"",IFERROR(I4-I17,""))</f>
        <v/>
      </c>
      <c r="J18" s="20">
        <f>IF(OR(J4="",J17=""),"",IFERROR(J4-J17,""))</f>
        <v/>
      </c>
      <c r="K18" s="20">
        <f>IF(OR(K4="",K17=""),"",IFERROR(K4-K17,""))</f>
        <v/>
      </c>
      <c r="L18" s="20">
        <f>IF(OR(L4="",L17=""),"",IFERROR(L4-L17,""))</f>
        <v/>
      </c>
      <c r="M18" s="20">
        <f>IF(OR(M4="",M17=""),"",IFERROR(M4-M17,""))</f>
        <v/>
      </c>
      <c r="N18" s="20">
        <f>IF(OR(N4="",N17=""),"",IFERROR(N4-N17,""))</f>
        <v/>
      </c>
      <c r="O18" s="19">
        <f>IF(OR(O4="",O17=""),"",IFERROR(O4-O17,""))</f>
        <v/>
      </c>
      <c r="P18" s="20">
        <f>IF(OR(P4="",P17=""),"",IFERROR(P4-P17,""))</f>
        <v/>
      </c>
      <c r="Q18" s="20">
        <f>IF(OR(Q4="",Q17=""),"",IFERROR(Q4-Q17,""))</f>
        <v/>
      </c>
      <c r="R18" s="20">
        <f>IF(OR(R4="",R17=""),"",IFERROR(R4-R17,""))</f>
        <v/>
      </c>
      <c r="S18" s="20">
        <f>IF(OR(S4="",S17=""),"",IFERROR(S4-S17,""))</f>
        <v/>
      </c>
      <c r="T18" s="20">
        <f>IF(OR(T4="",T17=""),"",IFERROR(T4-T17,""))</f>
        <v/>
      </c>
      <c r="U18" s="20">
        <f>IF(OR(U4="",U17=""),"",IFERROR(U4-U17,""))</f>
        <v/>
      </c>
      <c r="V18" s="20">
        <f>IF(OR(V4="",V17=""),"",IFERROR(V4-V17,""))</f>
        <v/>
      </c>
      <c r="W18" s="20">
        <f>IF(OR(W4="",W17=""),"",IFERROR(W4-W17,""))</f>
        <v/>
      </c>
      <c r="X18" s="20">
        <f>IF(OR(X4="",X17=""),"",IFERROR(X4-X17,""))</f>
        <v/>
      </c>
      <c r="Y18" s="19" t="n"/>
      <c r="Z18" s="20" t="n"/>
      <c r="AA18" s="20" t="n"/>
      <c r="AB18" s="20" t="n"/>
      <c r="AC18" s="20" t="n"/>
    </row>
    <row r="19">
      <c r="A19" s="13" t="inlineStr">
        <is>
          <t>GPM</t>
        </is>
      </c>
      <c r="B19" s="10" t="n"/>
      <c r="C19" s="14">
        <f>IF(OR(C18="",C4=""),"",IFERROR(C18/C4,""))</f>
        <v/>
      </c>
      <c r="D19" s="15">
        <f>IF(OR(D18="",D4=""),"",IFERROR(D18/D4,""))</f>
        <v/>
      </c>
      <c r="E19" s="15">
        <f>IF(OR(E18="",E4=""),"",IFERROR(E18/E4,""))</f>
        <v/>
      </c>
      <c r="F19" s="15">
        <f>IF(OR(F18="",F4=""),"",IFERROR(F18/F4,""))</f>
        <v/>
      </c>
      <c r="G19" s="15">
        <f>IF(OR(G18="",G4=""),"",IFERROR(G18/G4,""))</f>
        <v/>
      </c>
      <c r="H19" s="15">
        <f>IF(OR(H18="",H4=""),"",IFERROR(H18/H4,""))</f>
        <v/>
      </c>
      <c r="I19" s="15">
        <f>IF(OR(I18="",I4=""),"",IFERROR(I18/I4,""))</f>
        <v/>
      </c>
      <c r="J19" s="15">
        <f>IF(OR(J18="",J4=""),"",IFERROR(J18/J4,""))</f>
        <v/>
      </c>
      <c r="K19" s="15">
        <f>IF(OR(K18="",K4=""),"",IFERROR(K18/K4,""))</f>
        <v/>
      </c>
      <c r="L19" s="15">
        <f>IF(OR(L18="",L4=""),"",IFERROR(L18/L4,""))</f>
        <v/>
      </c>
      <c r="M19" s="15">
        <f>IF(OR(M18="",M4=""),"",IFERROR(M18/M4,""))</f>
        <v/>
      </c>
      <c r="N19" s="15">
        <f>IF(OR(N18="",N4=""),"",IFERROR(N18/N4,""))</f>
        <v/>
      </c>
      <c r="O19" s="14">
        <f>IF(OR(O18="",O4=""),"",IFERROR(O18/O4,""))</f>
        <v/>
      </c>
      <c r="P19" s="15">
        <f>IF(OR(P18="",P4=""),"",IFERROR(P18/P4,""))</f>
        <v/>
      </c>
      <c r="Q19" s="15">
        <f>IF(OR(Q18="",Q4=""),"",IFERROR(Q18/Q4,""))</f>
        <v/>
      </c>
      <c r="R19" s="15">
        <f>IF(OR(R18="",R4=""),"",IFERROR(R18/R4,""))</f>
        <v/>
      </c>
      <c r="S19" s="15">
        <f>IF(OR(S18="",S4=""),"",IFERROR(S18/S4,""))</f>
        <v/>
      </c>
      <c r="T19" s="15">
        <f>IF(OR(T18="",T4=""),"",IFERROR(T18/T4,""))</f>
        <v/>
      </c>
      <c r="U19" s="15">
        <f>IF(OR(U18="",U4=""),"",IFERROR(U18/U4,""))</f>
        <v/>
      </c>
      <c r="V19" s="15">
        <f>IF(OR(V18="",V4=""),"",IFERROR(V18/V4,""))</f>
        <v/>
      </c>
      <c r="W19" s="15">
        <f>IF(OR(W18="",W4=""),"",IFERROR(W18/W4,""))</f>
        <v/>
      </c>
      <c r="X19" s="15">
        <f>IF(OR(X18="",X4=""),"",IFERROR(X18/X4,""))</f>
        <v/>
      </c>
      <c r="Y19" s="14">
        <f>IF(OR(Y18="",Y4=""),"",IFERROR(Y18/Y4,""))</f>
        <v/>
      </c>
      <c r="Z19" s="15">
        <f>IF(OR(Z18="",Z4=""),"",IFERROR(Z18/Z4,""))</f>
        <v/>
      </c>
      <c r="AA19" s="15">
        <f>IF(OR(AA18="",AA4=""),"",IFERROR(AA18/AA4,""))</f>
        <v/>
      </c>
      <c r="AB19" s="15">
        <f>IF(OR(AB18="",AB4=""),"",IFERROR(AB18/AB4,""))</f>
        <v/>
      </c>
      <c r="AC19" s="15">
        <f>IF(OR(AC18="",AC4=""),"",IFERROR(AC18/AC4,""))</f>
        <v/>
      </c>
    </row>
    <row r="20">
      <c r="A20" s="23" t="inlineStr">
        <is>
          <t>판매관리비</t>
        </is>
      </c>
      <c r="B20" s="23" t="n"/>
      <c r="C20" s="24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23" t="n"/>
      <c r="N20" s="23" t="n"/>
      <c r="O20" s="24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4" t="n"/>
      <c r="Z20" s="23" t="n"/>
      <c r="AA20" s="23" t="n"/>
      <c r="AB20" s="23" t="n"/>
      <c r="AC20" s="23" t="n"/>
    </row>
    <row r="21">
      <c r="A21" s="18" t="inlineStr">
        <is>
          <t>전체 판관비</t>
        </is>
      </c>
      <c r="B21" s="10" t="n"/>
      <c r="C21" s="19" t="n">
        <v>2847</v>
      </c>
      <c r="D21" s="20" t="n">
        <v>2580</v>
      </c>
      <c r="E21" s="20" t="n">
        <v>2900</v>
      </c>
      <c r="F21" s="20" t="n">
        <v>2114</v>
      </c>
      <c r="G21" s="20" t="n">
        <v>2947</v>
      </c>
      <c r="H21" s="20" t="n">
        <v>2628</v>
      </c>
      <c r="I21" s="20" t="n">
        <v>2733</v>
      </c>
      <c r="J21" s="20" t="n">
        <v>2549</v>
      </c>
      <c r="K21" s="20" t="n">
        <v>3128</v>
      </c>
      <c r="L21" s="20" t="n">
        <v>2780</v>
      </c>
      <c r="M21" s="20" t="n"/>
      <c r="N21" s="20" t="n"/>
      <c r="O21" s="19" t="n"/>
      <c r="P21" s="20" t="n">
        <v>9601</v>
      </c>
      <c r="Q21" s="20" t="n">
        <v>9712</v>
      </c>
      <c r="R21" s="20" t="n">
        <v>10123</v>
      </c>
      <c r="S21" s="20" t="n">
        <v>9767</v>
      </c>
      <c r="T21" s="20" t="n">
        <v>9749</v>
      </c>
      <c r="U21" s="20" t="n">
        <v>9917</v>
      </c>
      <c r="V21" s="20" t="n">
        <v>10441</v>
      </c>
      <c r="W21" s="20" t="n">
        <v>10857</v>
      </c>
      <c r="X21" s="20" t="n">
        <v>10937</v>
      </c>
      <c r="Y21" s="19" t="n"/>
      <c r="Z21" s="20" t="n"/>
      <c r="AA21" s="20" t="n"/>
      <c r="AB21" s="20" t="n"/>
      <c r="AC21" s="20" t="n"/>
    </row>
    <row r="22">
      <c r="A22" s="9" t="inlineStr">
        <is>
          <t>영업이익</t>
        </is>
      </c>
      <c r="B22" s="10" t="inlineStr">
        <is>
          <t>MW = 매출 × OPM</t>
        </is>
      </c>
      <c r="C22" s="11" t="n">
        <v>1631</v>
      </c>
      <c r="D22" s="12" t="n">
        <v>1837</v>
      </c>
      <c r="E22" s="12" t="n">
        <v>2225</v>
      </c>
      <c r="F22" s="12" t="n">
        <v>1639</v>
      </c>
      <c r="G22" s="12" t="n">
        <v>1479</v>
      </c>
      <c r="H22" s="12" t="n">
        <v>1680</v>
      </c>
      <c r="I22" s="12" t="n">
        <v>2309</v>
      </c>
      <c r="J22" s="12" t="n">
        <v>1429</v>
      </c>
      <c r="K22" s="12" t="n">
        <v>1945</v>
      </c>
      <c r="L22" s="12" t="n">
        <v>1847</v>
      </c>
      <c r="M22" s="12" t="n"/>
      <c r="N22" s="12" t="n"/>
      <c r="O22" s="11" t="n"/>
      <c r="P22" s="12" t="n">
        <v>4198</v>
      </c>
      <c r="Q22" s="12" t="n">
        <v>3904</v>
      </c>
      <c r="R22" s="12" t="n">
        <v>4211</v>
      </c>
      <c r="S22" s="12" t="n">
        <v>4184</v>
      </c>
      <c r="T22" s="12" t="n">
        <v>4044</v>
      </c>
      <c r="U22" s="12" t="n">
        <v>4044</v>
      </c>
      <c r="V22" s="12" t="n">
        <v>7332</v>
      </c>
      <c r="W22" s="12" t="n">
        <v>6897</v>
      </c>
      <c r="X22" s="12" t="n">
        <v>6723</v>
      </c>
      <c r="Y22" s="11">
        <f>IF(OR(Y4="",Y23=""),"",IFERROR(Y4*Y23,""))</f>
        <v/>
      </c>
      <c r="Z22" s="12">
        <f>IF(OR(Z4="",Z23=""),"",IFERROR(Z4*Z23,""))</f>
        <v/>
      </c>
      <c r="AA22" s="12">
        <f>IF(OR(AA4="",AA23=""),"",IFERROR(AA4*AA23,""))</f>
        <v/>
      </c>
      <c r="AB22" s="12">
        <f>IF(OR(AB4="",AB23=""),"",IFERROR(AB4*AB23,""))</f>
        <v/>
      </c>
      <c r="AC22" s="12">
        <f>IF(OR(AC4="",AC23=""),"",IFERROR(AC4*AC23,""))</f>
        <v/>
      </c>
    </row>
    <row r="23">
      <c r="A23" s="13" t="inlineStr">
        <is>
          <t>OPM</t>
        </is>
      </c>
      <c r="B23" s="10" t="inlineStr">
        <is>
          <t>MW 입력</t>
        </is>
      </c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25" t="n"/>
      <c r="Z23" s="26" t="n"/>
      <c r="AA23" s="26" t="n"/>
      <c r="AB23" s="26" t="n"/>
      <c r="AC23" s="26" t="n"/>
    </row>
    <row r="24">
      <c r="A24" s="13" t="inlineStr">
        <is>
          <t>증가율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비용의 성격별 분류</t>
        </is>
      </c>
      <c r="B25" s="16" t="inlineStr">
        <is>
          <t>참고 데이터</t>
        </is>
      </c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9" t="inlineStr">
        <is>
          <t>총 판관비</t>
        </is>
      </c>
      <c r="B26" s="10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1">
        <f>IF(O21="","",O21)</f>
        <v/>
      </c>
      <c r="P26" s="12">
        <f>IF(P21="","",P21)</f>
        <v/>
      </c>
      <c r="Q26" s="12">
        <f>IF(Q21="","",Q21)</f>
        <v/>
      </c>
      <c r="R26" s="12">
        <f>IF(R21="","",R21)</f>
        <v/>
      </c>
      <c r="S26" s="12">
        <f>IF(S21="","",S21)</f>
        <v/>
      </c>
      <c r="T26" s="12">
        <f>IF(T21="","",T21)</f>
        <v/>
      </c>
      <c r="U26" s="12">
        <f>IF(U21="","",U21)</f>
        <v/>
      </c>
      <c r="V26" s="12">
        <f>IF(V21="","",V21)</f>
        <v/>
      </c>
      <c r="W26" s="12">
        <f>IF(W21="","",W21)</f>
        <v/>
      </c>
      <c r="X26" s="12">
        <f>IF(X21="","",X21)</f>
        <v/>
      </c>
      <c r="Y26" s="11" t="n"/>
      <c r="Z26" s="12" t="n"/>
      <c r="AA26" s="12" t="n"/>
      <c r="AB26" s="12" t="n"/>
      <c r="AC26" s="12" t="n"/>
    </row>
    <row r="27">
      <c r="A27" s="18" t="inlineStr">
        <is>
          <t>급여</t>
        </is>
      </c>
      <c r="B27" s="10" t="inlineStr">
        <is>
          <t>고정비</t>
        </is>
      </c>
      <c r="C27" s="19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19" t="n"/>
      <c r="P27" s="20" t="n">
        <v>3379</v>
      </c>
      <c r="Q27" s="20" t="n">
        <v>3503</v>
      </c>
      <c r="R27" s="20" t="n">
        <v>3556</v>
      </c>
      <c r="S27" s="20" t="n">
        <v>3517</v>
      </c>
      <c r="T27" s="20" t="n">
        <v>3542</v>
      </c>
      <c r="U27" s="20" t="n">
        <v>3611</v>
      </c>
      <c r="V27" s="20" t="n">
        <v>3653</v>
      </c>
      <c r="W27" s="20" t="n">
        <v>3751</v>
      </c>
      <c r="X27" s="20" t="n">
        <v>3859</v>
      </c>
      <c r="Y27" s="19" t="n"/>
      <c r="Z27" s="20" t="n"/>
      <c r="AA27" s="20" t="n"/>
      <c r="AB27" s="20" t="n"/>
      <c r="AC27" s="20" t="n"/>
    </row>
    <row r="28">
      <c r="A28" s="13" t="inlineStr">
        <is>
          <t>% of Sales</t>
        </is>
      </c>
      <c r="B28" s="10" t="n"/>
      <c r="C28" s="14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4">
        <f>IF(OR(O27="",O4=""),"",IFERROR(O27/O4,""))</f>
        <v/>
      </c>
      <c r="P28" s="15">
        <f>IF(OR(P27="",P4=""),"",IFERROR(P27/P4,""))</f>
        <v/>
      </c>
      <c r="Q28" s="15">
        <f>IF(OR(Q27="",Q4=""),"",IFERROR(Q27/Q4,""))</f>
        <v/>
      </c>
      <c r="R28" s="15">
        <f>IF(OR(R27="",R4=""),"",IFERROR(R27/R4,""))</f>
        <v/>
      </c>
      <c r="S28" s="15">
        <f>IF(OR(S27="",S4=""),"",IFERROR(S27/S4,""))</f>
        <v/>
      </c>
      <c r="T28" s="15">
        <f>IF(OR(T27="",T4=""),"",IFERROR(T27/T4,""))</f>
        <v/>
      </c>
      <c r="U28" s="15">
        <f>IF(OR(U27="",U4=""),"",IFERROR(U27/U4,""))</f>
        <v/>
      </c>
      <c r="V28" s="15">
        <f>IF(OR(V27="",V4=""),"",IFERROR(V27/V4,""))</f>
        <v/>
      </c>
      <c r="W28" s="15">
        <f>IF(OR(W27="",W4=""),"",IFERROR(W27/W4,""))</f>
        <v/>
      </c>
      <c r="X28" s="15">
        <f>IF(OR(X27="",X4=""),"",IFERROR(X27/X4,""))</f>
        <v/>
      </c>
      <c r="Y28" s="14" t="n"/>
      <c r="Z28" s="15" t="n"/>
      <c r="AA28" s="15" t="n"/>
      <c r="AB28" s="15" t="n"/>
      <c r="AC28" s="15" t="n"/>
    </row>
    <row r="29">
      <c r="A29" s="18" t="inlineStr">
        <is>
          <t>감가상각비</t>
        </is>
      </c>
      <c r="B29" s="10" t="inlineStr">
        <is>
          <t>고정비</t>
        </is>
      </c>
      <c r="C29" s="19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19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19" t="n"/>
      <c r="Z29" s="20" t="n"/>
      <c r="AA29" s="20" t="n"/>
      <c r="AB29" s="20" t="n"/>
      <c r="AC29" s="20" t="n"/>
    </row>
    <row r="30">
      <c r="A30" s="13" t="inlineStr">
        <is>
          <t>% of Sales</t>
        </is>
      </c>
      <c r="B30" s="10" t="n"/>
      <c r="C30" s="14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4">
        <f>IF(OR(O29="",O4=""),"",IFERROR(O29/O4,""))</f>
        <v/>
      </c>
      <c r="P30" s="15">
        <f>IF(OR(P29="",P4=""),"",IFERROR(P29/P4,""))</f>
        <v/>
      </c>
      <c r="Q30" s="15">
        <f>IF(OR(Q29="",Q4=""),"",IFERROR(Q29/Q4,""))</f>
        <v/>
      </c>
      <c r="R30" s="15">
        <f>IF(OR(R29="",R4=""),"",IFERROR(R29/R4,""))</f>
        <v/>
      </c>
      <c r="S30" s="15">
        <f>IF(OR(S29="",S4=""),"",IFERROR(S29/S4,""))</f>
        <v/>
      </c>
      <c r="T30" s="15">
        <f>IF(OR(T29="",T4=""),"",IFERROR(T29/T4,""))</f>
        <v/>
      </c>
      <c r="U30" s="15">
        <f>IF(OR(U29="",U4=""),"",IFERROR(U29/U4,""))</f>
        <v/>
      </c>
      <c r="V30" s="15">
        <f>IF(OR(V29="",V4=""),"",IFERROR(V29/V4,""))</f>
        <v/>
      </c>
      <c r="W30" s="15">
        <f>IF(OR(W29="",W4=""),"",IFERROR(W29/W4,""))</f>
        <v/>
      </c>
      <c r="X30" s="15">
        <f>IF(OR(X29="",X4=""),"",IFERROR(X29/X4,""))</f>
        <v/>
      </c>
      <c r="Y30" s="14" t="n"/>
      <c r="Z30" s="15" t="n"/>
      <c r="AA30" s="15" t="n"/>
      <c r="AB30" s="15" t="n"/>
      <c r="AC30" s="15" t="n"/>
    </row>
    <row r="31">
      <c r="A31" s="18" t="inlineStr">
        <is>
          <t>지급수수료</t>
        </is>
      </c>
      <c r="B31" s="10" t="inlineStr">
        <is>
          <t>고정비</t>
        </is>
      </c>
      <c r="C31" s="19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19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19" t="n"/>
      <c r="Z31" s="20" t="n"/>
      <c r="AA31" s="20" t="n"/>
      <c r="AB31" s="20" t="n"/>
      <c r="AC31" s="20" t="n"/>
    </row>
    <row r="32">
      <c r="A32" s="13" t="inlineStr">
        <is>
          <t>% of Sales</t>
        </is>
      </c>
      <c r="B32" s="10" t="n"/>
      <c r="C32" s="14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14" t="n"/>
      <c r="Z32" s="15" t="n"/>
      <c r="AA32" s="15" t="n"/>
      <c r="AB32" s="15" t="n"/>
      <c r="AC32" s="15" t="n"/>
    </row>
    <row r="33">
      <c r="A33" s="18" t="inlineStr">
        <is>
          <t>연구개발비</t>
        </is>
      </c>
      <c r="B33" s="10" t="inlineStr">
        <is>
          <t>변동비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기타비용</t>
        </is>
      </c>
      <c r="B35" s="10" t="inlineStr">
        <is>
          <t>변동비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>
        <f>IF(OR(O26="",O27="",O29="",O31="",O33=""),"",IFERROR(O26-O27-O29-O31-O33,""))</f>
        <v/>
      </c>
      <c r="P35" s="20">
        <f>IF(OR(P26="",P27="",P29="",P31="",P33=""),"",IFERROR(P26-P27-P29-P31-P33,""))</f>
        <v/>
      </c>
      <c r="Q35" s="20">
        <f>IF(OR(Q26="",Q27="",Q29="",Q31="",Q33=""),"",IFERROR(Q26-Q27-Q29-Q31-Q33,""))</f>
        <v/>
      </c>
      <c r="R35" s="20">
        <f>IF(OR(R26="",R27="",R29="",R31="",R33=""),"",IFERROR(R26-R27-R29-R31-R33,""))</f>
        <v/>
      </c>
      <c r="S35" s="20">
        <f>IF(OR(S26="",S27="",S29="",S31="",S33=""),"",IFERROR(S26-S27-S29-S31-S33,""))</f>
        <v/>
      </c>
      <c r="T35" s="20">
        <f>IF(OR(T26="",T27="",T29="",T31="",T33=""),"",IFERROR(T26-T27-T29-T31-T33,""))</f>
        <v/>
      </c>
      <c r="U35" s="20">
        <f>IF(OR(U26="",U27="",U29="",U31="",U33=""),"",IFERROR(U26-U27-U29-U31-U33,""))</f>
        <v/>
      </c>
      <c r="V35" s="20">
        <f>IF(OR(V26="",V27="",V29="",V31="",V33=""),"",IFERROR(V26-V27-V29-V31-V33,""))</f>
        <v/>
      </c>
      <c r="W35" s="20">
        <f>IF(OR(W26="",W27="",W29="",W31="",W33=""),"",IFERROR(W26-W27-W29-W31-W33,""))</f>
        <v/>
      </c>
      <c r="X35" s="20">
        <f>IF(OR(X26="",X27="",X29="",X31="",X33=""),"",IFERROR(X26-X27-X29-X31-X33,""))</f>
        <v/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6" t="inlineStr">
        <is>
          <t>당기순이익 추정</t>
        </is>
      </c>
      <c r="B37" s="16" t="n"/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18" t="inlineStr">
        <is>
          <t>특별이익</t>
        </is>
      </c>
      <c r="B38" s="10" t="n"/>
      <c r="C38" s="19" t="n">
        <v>0</v>
      </c>
      <c r="D38" s="20" t="n">
        <v>0</v>
      </c>
      <c r="E38" s="20" t="n">
        <v>0</v>
      </c>
      <c r="F38" s="20" t="n">
        <v>191</v>
      </c>
      <c r="G38" s="20" t="n">
        <v>53</v>
      </c>
      <c r="H38" s="20" t="n">
        <v>0</v>
      </c>
      <c r="I38" s="20" t="n">
        <v>0</v>
      </c>
      <c r="J38" s="20" t="n">
        <v>-44</v>
      </c>
      <c r="K38" s="20" t="n">
        <v>0</v>
      </c>
      <c r="L38" s="20" t="n">
        <v>0</v>
      </c>
      <c r="M38" s="20" t="n"/>
      <c r="N38" s="20" t="n"/>
      <c r="O38" s="19" t="n"/>
      <c r="P38" s="20" t="n">
        <v>45</v>
      </c>
      <c r="Q38" s="20" t="n">
        <v>2292</v>
      </c>
      <c r="R38" s="20" t="n">
        <v>0</v>
      </c>
      <c r="S38" s="20" t="n">
        <v>386</v>
      </c>
      <c r="T38" s="20" t="n">
        <v>30</v>
      </c>
      <c r="U38" s="20" t="n">
        <v>0</v>
      </c>
      <c r="V38" s="20" t="n">
        <v>191</v>
      </c>
      <c r="W38" s="20" t="n">
        <v>9</v>
      </c>
      <c r="X38" s="20" t="n">
        <v>53</v>
      </c>
      <c r="Y38" s="19">
        <f>IF(OR(Y4="",Y39=""),"",IFERROR(Y4*Y39,""))</f>
        <v/>
      </c>
      <c r="Z38" s="20">
        <f>IF(OR(Z4="",Z39=""),"",IFERROR(Z4*Z39,""))</f>
        <v/>
      </c>
      <c r="AA38" s="20">
        <f>IF(OR(AA4="",AA39=""),"",IFERROR(AA4*AA39,""))</f>
        <v/>
      </c>
      <c r="AB38" s="20">
        <f>IF(OR(AB4="",AB39=""),"",IFERROR(AB4*AB39,""))</f>
        <v/>
      </c>
      <c r="AC38" s="20">
        <f>IF(OR(AC4="",AC39=""),"",IFERROR(AC4*AC39,""))</f>
        <v/>
      </c>
    </row>
    <row r="39">
      <c r="A39" s="13" t="inlineStr">
        <is>
          <t>% of Sales</t>
        </is>
      </c>
      <c r="B39" s="10" t="inlineStr">
        <is>
          <t>MW = 최근 3년 평균</t>
        </is>
      </c>
      <c r="C39" s="14">
        <f>IF(OR(C38="",C4=""),"",IFERROR(C38/C4,""))</f>
        <v/>
      </c>
      <c r="D39" s="15">
        <f>IF(OR(D38="",D4=""),"",IFERROR(D38/D4,""))</f>
        <v/>
      </c>
      <c r="E39" s="15">
        <f>IF(OR(E38="",E4=""),"",IFERROR(E38/E4,""))</f>
        <v/>
      </c>
      <c r="F39" s="15">
        <f>IF(OR(F38="",F4=""),"",IFERROR(F38/F4,""))</f>
        <v/>
      </c>
      <c r="G39" s="15">
        <f>IF(OR(G38="",G4=""),"",IFERROR(G38/G4,""))</f>
        <v/>
      </c>
      <c r="H39" s="15">
        <f>IF(OR(H38="",H4=""),"",IFERROR(H38/H4,""))</f>
        <v/>
      </c>
      <c r="I39" s="15">
        <f>IF(OR(I38="",I4=""),"",IFERROR(I38/I4,""))</f>
        <v/>
      </c>
      <c r="J39" s="15">
        <f>IF(OR(J38="",J4=""),"",IFERROR(J38/J4,""))</f>
        <v/>
      </c>
      <c r="K39" s="15">
        <f>IF(OR(K38="",K4=""),"",IFERROR(K38/K4,""))</f>
        <v/>
      </c>
      <c r="L39" s="15">
        <f>IF(OR(L38="",L4=""),"",IFERROR(L38/L4,""))</f>
        <v/>
      </c>
      <c r="M39" s="15">
        <f>IF(OR(M38="",M4=""),"",IFERROR(M38/M4,""))</f>
        <v/>
      </c>
      <c r="N39" s="15">
        <f>IF(OR(N38="",N4=""),"",IFERROR(N38/N4,""))</f>
        <v/>
      </c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25">
        <f>IFERROR(AVERAGE(V39,W39,X39),"")</f>
        <v/>
      </c>
      <c r="Z39" s="26">
        <f>Y39</f>
        <v/>
      </c>
      <c r="AA39" s="26">
        <f>Z39</f>
        <v/>
      </c>
      <c r="AB39" s="26">
        <f>AA39</f>
        <v/>
      </c>
      <c r="AC39" s="26">
        <f>AB39</f>
        <v/>
      </c>
    </row>
    <row r="40">
      <c r="A40" s="18" t="inlineStr">
        <is>
          <t>특별손실</t>
        </is>
      </c>
      <c r="B40" s="10" t="n"/>
      <c r="C40" s="19" t="n">
        <v>0</v>
      </c>
      <c r="D40" s="20" t="n">
        <v>0</v>
      </c>
      <c r="E40" s="20" t="n">
        <v>0</v>
      </c>
      <c r="F40" s="20" t="n">
        <v>191</v>
      </c>
      <c r="G40" s="20" t="n">
        <v>53</v>
      </c>
      <c r="H40" s="20" t="n">
        <v>0</v>
      </c>
      <c r="I40" s="20" t="n">
        <v>0</v>
      </c>
      <c r="J40" s="20" t="n">
        <v>-44</v>
      </c>
      <c r="K40" s="20" t="n">
        <v>0</v>
      </c>
      <c r="L40" s="20" t="n">
        <v>31</v>
      </c>
      <c r="M40" s="20" t="n"/>
      <c r="N40" s="20" t="n"/>
      <c r="O40" s="19" t="n"/>
      <c r="P40" s="20" t="n">
        <v>121</v>
      </c>
      <c r="Q40" s="20" t="n">
        <v>545</v>
      </c>
      <c r="R40" s="20" t="n">
        <v>53</v>
      </c>
      <c r="S40" s="20" t="n">
        <v>243</v>
      </c>
      <c r="T40" s="20" t="n">
        <v>166</v>
      </c>
      <c r="U40" s="20" t="n">
        <v>25</v>
      </c>
      <c r="V40" s="20" t="n">
        <v>191</v>
      </c>
      <c r="W40" s="20" t="n">
        <v>9</v>
      </c>
      <c r="X40" s="20" t="n">
        <v>53</v>
      </c>
      <c r="Y40" s="19">
        <f>IF(OR(Y4="",Y41=""),"",IFERROR(Y4*Y41,""))</f>
        <v/>
      </c>
      <c r="Z40" s="20">
        <f>IF(OR(Z4="",Z41=""),"",IFERROR(Z4*Z41,""))</f>
        <v/>
      </c>
      <c r="AA40" s="20">
        <f>IF(OR(AA4="",AA41=""),"",IFERROR(AA4*AA41,""))</f>
        <v/>
      </c>
      <c r="AB40" s="20">
        <f>IF(OR(AB4="",AB41=""),"",IFERROR(AB4*AB41,""))</f>
        <v/>
      </c>
      <c r="AC40" s="20">
        <f>IF(OR(AC4="",AC41=""),"",IFERROR(AC4*AC41,""))</f>
        <v/>
      </c>
    </row>
    <row r="41">
      <c r="A41" s="13" t="inlineStr">
        <is>
          <t>% of Sales</t>
        </is>
      </c>
      <c r="B41" s="10" t="n"/>
      <c r="C41" s="14">
        <f>IF(OR(C40="",C4=""),"",IFERROR(C40/C4,""))</f>
        <v/>
      </c>
      <c r="D41" s="15">
        <f>IF(OR(D40="",D4=""),"",IFERROR(D40/D4,""))</f>
        <v/>
      </c>
      <c r="E41" s="15">
        <f>IF(OR(E40="",E4=""),"",IFERROR(E40/E4,""))</f>
        <v/>
      </c>
      <c r="F41" s="15">
        <f>IF(OR(F40="",F4=""),"",IFERROR(F40/F4,""))</f>
        <v/>
      </c>
      <c r="G41" s="15">
        <f>IF(OR(G40="",G4=""),"",IFERROR(G40/G4,""))</f>
        <v/>
      </c>
      <c r="H41" s="15">
        <f>IF(OR(H40="",H4=""),"",IFERROR(H40/H4,""))</f>
        <v/>
      </c>
      <c r="I41" s="15">
        <f>IF(OR(I40="",I4=""),"",IFERROR(I40/I4,""))</f>
        <v/>
      </c>
      <c r="J41" s="15">
        <f>IF(OR(J40="",J4=""),"",IFERROR(J40/J4,""))</f>
        <v/>
      </c>
      <c r="K41" s="15">
        <f>IF(OR(K40="",K4=""),"",IFERROR(K40/K4,""))</f>
        <v/>
      </c>
      <c r="L41" s="15">
        <f>IF(OR(L40="",L4=""),"",IFERROR(L40/L4,""))</f>
        <v/>
      </c>
      <c r="M41" s="15">
        <f>IF(OR(M40="",M4=""),"",IFERROR(M40/M4,""))</f>
        <v/>
      </c>
      <c r="N41" s="15">
        <f>IF(OR(N40="",N4=""),"",IFERROR(N40/N4,""))</f>
        <v/>
      </c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25">
        <f>IFERROR(AVERAGE(V41,W41,X41),"")</f>
        <v/>
      </c>
      <c r="Z41" s="26">
        <f>Y41</f>
        <v/>
      </c>
      <c r="AA41" s="26">
        <f>Z41</f>
        <v/>
      </c>
      <c r="AB41" s="26">
        <f>AA41</f>
        <v/>
      </c>
      <c r="AC41" s="26">
        <f>AB41</f>
        <v/>
      </c>
    </row>
    <row r="42">
      <c r="A42" s="18" t="inlineStr">
        <is>
          <t>영업외수익</t>
        </is>
      </c>
      <c r="B42" s="10" t="n"/>
      <c r="C42" s="19" t="n">
        <v>42</v>
      </c>
      <c r="D42" s="20" t="n">
        <v>60</v>
      </c>
      <c r="E42" s="20" t="n">
        <v>68</v>
      </c>
      <c r="F42" s="20" t="n">
        <v>6</v>
      </c>
      <c r="G42" s="20" t="n">
        <v>43</v>
      </c>
      <c r="H42" s="20" t="n">
        <v>64</v>
      </c>
      <c r="I42" s="20" t="n">
        <v>63</v>
      </c>
      <c r="J42" s="20" t="n">
        <v>45</v>
      </c>
      <c r="K42" s="20" t="n">
        <v>65</v>
      </c>
      <c r="L42" s="20" t="n">
        <v>86</v>
      </c>
      <c r="M42" s="20" t="n"/>
      <c r="N42" s="20" t="n"/>
      <c r="O42" s="19" t="n"/>
      <c r="P42" s="20" t="n">
        <v>285</v>
      </c>
      <c r="Q42" s="20" t="n">
        <v>250</v>
      </c>
      <c r="R42" s="20" t="n">
        <v>319</v>
      </c>
      <c r="S42" s="20" t="n">
        <v>159</v>
      </c>
      <c r="T42" s="20" t="n">
        <v>121</v>
      </c>
      <c r="U42" s="20" t="n">
        <v>135</v>
      </c>
      <c r="V42" s="20" t="n">
        <v>176</v>
      </c>
      <c r="W42" s="20" t="n">
        <v>215</v>
      </c>
      <c r="X42" s="20" t="n">
        <v>218</v>
      </c>
      <c r="Y42" s="19">
        <f>IF(OR(Y4="",Y43=""),"",IFERROR(Y4*Y43,""))</f>
        <v/>
      </c>
      <c r="Z42" s="20">
        <f>IF(OR(Z4="",Z43=""),"",IFERROR(Z4*Z43,""))</f>
        <v/>
      </c>
      <c r="AA42" s="20">
        <f>IF(OR(AA4="",AA43=""),"",IFERROR(AA4*AA43,""))</f>
        <v/>
      </c>
      <c r="AB42" s="20">
        <f>IF(OR(AB4="",AB43=""),"",IFERROR(AB4*AB43,""))</f>
        <v/>
      </c>
      <c r="AC42" s="20">
        <f>IF(OR(AC4="",AC43=""),"",IFERROR(AC4*AC43,""))</f>
        <v/>
      </c>
    </row>
    <row r="43">
      <c r="A43" s="13" t="inlineStr">
        <is>
          <t>% of Sales</t>
        </is>
      </c>
      <c r="B43" s="10" t="n"/>
      <c r="C43" s="14">
        <f>IF(OR(C42="",C4=""),"",IFERROR(C42/C4,""))</f>
        <v/>
      </c>
      <c r="D43" s="15">
        <f>IF(OR(D42="",D4=""),"",IFERROR(D42/D4,""))</f>
        <v/>
      </c>
      <c r="E43" s="15">
        <f>IF(OR(E42="",E4=""),"",IFERROR(E42/E4,""))</f>
        <v/>
      </c>
      <c r="F43" s="15">
        <f>IF(OR(F42="",F4=""),"",IFERROR(F42/F4,""))</f>
        <v/>
      </c>
      <c r="G43" s="15">
        <f>IF(OR(G42="",G4=""),"",IFERROR(G42/G4,""))</f>
        <v/>
      </c>
      <c r="H43" s="15">
        <f>IF(OR(H42="",H4=""),"",IFERROR(H42/H4,""))</f>
        <v/>
      </c>
      <c r="I43" s="15">
        <f>IF(OR(I42="",I4=""),"",IFERROR(I42/I4,""))</f>
        <v/>
      </c>
      <c r="J43" s="15">
        <f>IF(OR(J42="",J4=""),"",IFERROR(J42/J4,""))</f>
        <v/>
      </c>
      <c r="K43" s="15">
        <f>IF(OR(K42="",K4=""),"",IFERROR(K42/K4,""))</f>
        <v/>
      </c>
      <c r="L43" s="15">
        <f>IF(OR(L42="",L4=""),"",IFERROR(L42/L4,""))</f>
        <v/>
      </c>
      <c r="M43" s="15">
        <f>IF(OR(M42="",M4=""),"",IFERROR(M42/M4,""))</f>
        <v/>
      </c>
      <c r="N43" s="15">
        <f>IF(OR(N42="",N4=""),"",IFERROR(N42/N4,""))</f>
        <v/>
      </c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25">
        <f>IFERROR(AVERAGE(V43,W43,X43),"")</f>
        <v/>
      </c>
      <c r="Z43" s="26">
        <f>Y43</f>
        <v/>
      </c>
      <c r="AA43" s="26">
        <f>Z43</f>
        <v/>
      </c>
      <c r="AB43" s="26">
        <f>AA43</f>
        <v/>
      </c>
      <c r="AC43" s="26">
        <f>AB43</f>
        <v/>
      </c>
    </row>
    <row r="44">
      <c r="A44" s="18" t="inlineStr">
        <is>
          <t>영업외비용</t>
        </is>
      </c>
      <c r="B44" s="10" t="n"/>
      <c r="C44" s="19" t="n">
        <v>8</v>
      </c>
      <c r="D44" s="20" t="n">
        <v>19</v>
      </c>
      <c r="E44" s="20" t="n">
        <v>13</v>
      </c>
      <c r="F44" s="20" t="n">
        <v>-9</v>
      </c>
      <c r="G44" s="20" t="n">
        <v>10</v>
      </c>
      <c r="H44" s="20" t="n">
        <v>4</v>
      </c>
      <c r="I44" s="20" t="n">
        <v>8</v>
      </c>
      <c r="J44" s="20" t="n">
        <v>23</v>
      </c>
      <c r="K44" s="20" t="n">
        <v>4</v>
      </c>
      <c r="L44" s="20" t="n">
        <v>14</v>
      </c>
      <c r="M44" s="20" t="n"/>
      <c r="N44" s="20" t="n"/>
      <c r="O44" s="19" t="n"/>
      <c r="P44" s="20" t="n">
        <v>230</v>
      </c>
      <c r="Q44" s="20" t="n">
        <v>238</v>
      </c>
      <c r="R44" s="20" t="n">
        <v>248</v>
      </c>
      <c r="S44" s="20" t="n">
        <v>222</v>
      </c>
      <c r="T44" s="20" t="n">
        <v>210</v>
      </c>
      <c r="U44" s="20" t="n">
        <v>26</v>
      </c>
      <c r="V44" s="20" t="n">
        <v>31</v>
      </c>
      <c r="W44" s="20" t="n">
        <v>45</v>
      </c>
      <c r="X44" s="20" t="n">
        <v>42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n"/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9" t="inlineStr">
        <is>
          <t>법인세비용차감전순이익(손실)</t>
        </is>
      </c>
      <c r="B46" s="10" t="n"/>
      <c r="C46" s="11" t="n">
        <v>1665</v>
      </c>
      <c r="D46" s="12" t="n">
        <v>1879</v>
      </c>
      <c r="E46" s="12" t="n">
        <v>2279</v>
      </c>
      <c r="F46" s="12" t="n">
        <v>1654</v>
      </c>
      <c r="G46" s="12" t="n">
        <v>1513</v>
      </c>
      <c r="H46" s="12" t="n">
        <v>1739</v>
      </c>
      <c r="I46" s="12" t="n">
        <v>2364</v>
      </c>
      <c r="J46" s="12" t="n">
        <v>1451</v>
      </c>
      <c r="K46" s="12" t="n">
        <v>2006</v>
      </c>
      <c r="L46" s="12" t="n">
        <v>1887</v>
      </c>
      <c r="M46" s="12" t="n"/>
      <c r="N46" s="12" t="n"/>
      <c r="O46" s="11" t="n"/>
      <c r="P46" s="12" t="n">
        <v>4177</v>
      </c>
      <c r="Q46" s="12" t="n">
        <v>5663</v>
      </c>
      <c r="R46" s="12" t="n">
        <v>4228</v>
      </c>
      <c r="S46" s="12" t="n">
        <v>4264</v>
      </c>
      <c r="T46" s="12" t="n">
        <v>3818</v>
      </c>
      <c r="U46" s="12" t="n">
        <v>4126</v>
      </c>
      <c r="V46" s="12" t="n">
        <v>7477</v>
      </c>
      <c r="W46" s="12" t="n">
        <v>7067</v>
      </c>
      <c r="X46" s="12" t="n">
        <v>6899</v>
      </c>
      <c r="Y46" s="11">
        <f>IF(OR(Y22=""),"",IFERROR(Y22+N(Y38)-N(Y40)+N(Y42)-N(Y44),""))</f>
        <v/>
      </c>
      <c r="Z46" s="12">
        <f>IF(OR(Z22=""),"",IFERROR(Z22+N(Z38)-N(Z40)+N(Z42)-N(Z44),""))</f>
        <v/>
      </c>
      <c r="AA46" s="12">
        <f>IF(OR(AA22=""),"",IFERROR(AA22+N(AA38)-N(AA40)+N(AA42)-N(AA44),""))</f>
        <v/>
      </c>
      <c r="AB46" s="12">
        <f>IF(OR(AB22=""),"",IFERROR(AB22+N(AB38)-N(AB40)+N(AB42)-N(AB44),""))</f>
        <v/>
      </c>
      <c r="AC46" s="12">
        <f>IF(OR(AC22=""),"",IFERROR(AC22+N(AC38)-N(AC40)+N(AC42)-N(AC44),""))</f>
        <v/>
      </c>
    </row>
    <row r="47">
      <c r="A47" s="18" t="inlineStr">
        <is>
          <t>법인세비용(수익)</t>
        </is>
      </c>
      <c r="B47" s="10" t="n"/>
      <c r="C47" s="19" t="n">
        <v>519</v>
      </c>
      <c r="D47" s="20" t="n">
        <v>595</v>
      </c>
      <c r="E47" s="20" t="n">
        <v>715</v>
      </c>
      <c r="F47" s="20" t="n">
        <v>453</v>
      </c>
      <c r="G47" s="20" t="n">
        <v>458</v>
      </c>
      <c r="H47" s="20" t="n">
        <v>554</v>
      </c>
      <c r="I47" s="20" t="n">
        <v>727</v>
      </c>
      <c r="J47" s="20" t="n">
        <v>426</v>
      </c>
      <c r="K47" s="20" t="n">
        <v>606</v>
      </c>
      <c r="L47" s="20" t="n">
        <v>601</v>
      </c>
      <c r="M47" s="20" t="n"/>
      <c r="N47" s="20" t="n"/>
      <c r="O47" s="19" t="n"/>
      <c r="P47" s="20" t="n">
        <v>1222</v>
      </c>
      <c r="Q47" s="20" t="n">
        <v>1504</v>
      </c>
      <c r="R47" s="20" t="n">
        <v>1351</v>
      </c>
      <c r="S47" s="20" t="n">
        <v>1362</v>
      </c>
      <c r="T47" s="20" t="n">
        <v>1203</v>
      </c>
      <c r="U47" s="20" t="n">
        <v>1307</v>
      </c>
      <c r="V47" s="20" t="n">
        <v>2282</v>
      </c>
      <c r="W47" s="20" t="n">
        <v>2165</v>
      </c>
      <c r="X47" s="20" t="n">
        <v>2119</v>
      </c>
      <c r="Y47" s="19">
        <f>IF(OR(Y46="",Y48=""),"",IFERROR(MAX(Y46,0)*Y48,""))</f>
        <v/>
      </c>
      <c r="Z47" s="20">
        <f>IF(OR(Z46="",Z48=""),"",IFERROR(MAX(Z46,0)*Z48,""))</f>
        <v/>
      </c>
      <c r="AA47" s="20">
        <f>IF(OR(AA46="",AA48=""),"",IFERROR(MAX(AA46,0)*AA48,""))</f>
        <v/>
      </c>
      <c r="AB47" s="20">
        <f>IF(OR(AB46="",AB48=""),"",IFERROR(MAX(AB46,0)*AB48,""))</f>
        <v/>
      </c>
      <c r="AC47" s="20">
        <f>IF(OR(AC46="",AC48=""),"",IFERROR(MAX(AC46,0)*AC48,""))</f>
        <v/>
      </c>
    </row>
    <row r="48">
      <c r="A48" s="13" t="inlineStr">
        <is>
          <t>법인세율</t>
        </is>
      </c>
      <c r="B48" s="10" t="inlineStr">
        <is>
          <t>MW 기본 30%</t>
        </is>
      </c>
      <c r="C48" s="14">
        <f>IF(OR(C47="",C46=""),"",IFERROR(C47/C46,""))</f>
        <v/>
      </c>
      <c r="D48" s="15">
        <f>IF(OR(D47="",D46=""),"",IFERROR(D47/D46,""))</f>
        <v/>
      </c>
      <c r="E48" s="15">
        <f>IF(OR(E47="",E46=""),"",IFERROR(E47/E46,""))</f>
        <v/>
      </c>
      <c r="F48" s="15">
        <f>IF(OR(F47="",F46=""),"",IFERROR(F47/F46,""))</f>
        <v/>
      </c>
      <c r="G48" s="15">
        <f>IF(OR(G47="",G46=""),"",IFERROR(G47/G46,""))</f>
        <v/>
      </c>
      <c r="H48" s="15">
        <f>IF(OR(H47="",H46=""),"",IFERROR(H47/H46,""))</f>
        <v/>
      </c>
      <c r="I48" s="15">
        <f>IF(OR(I47="",I46=""),"",IFERROR(I47/I46,""))</f>
        <v/>
      </c>
      <c r="J48" s="15">
        <f>IF(OR(J47="",J46=""),"",IFERROR(J47/J46,""))</f>
        <v/>
      </c>
      <c r="K48" s="15">
        <f>IF(OR(K47="",K46=""),"",IFERROR(K47/K46,""))</f>
        <v/>
      </c>
      <c r="L48" s="15">
        <f>IF(OR(L47="",L46=""),"",IFERROR(L47/L46,""))</f>
        <v/>
      </c>
      <c r="M48" s="15">
        <f>IF(OR(M47="",M46=""),"",IFERROR(M47/M46,""))</f>
        <v/>
      </c>
      <c r="N48" s="15">
        <f>IF(OR(N47="",N46=""),"",IFERROR(N47/N46,""))</f>
        <v/>
      </c>
      <c r="O48" s="14">
        <f>IF(OR(O47="",O46=""),"",IFERROR(O47/O46,""))</f>
        <v/>
      </c>
      <c r="P48" s="15">
        <f>IF(OR(P47="",P46=""),"",IFERROR(P47/P46,""))</f>
        <v/>
      </c>
      <c r="Q48" s="15">
        <f>IF(OR(Q47="",Q46=""),"",IFERROR(Q47/Q46,""))</f>
        <v/>
      </c>
      <c r="R48" s="15">
        <f>IF(OR(R47="",R46=""),"",IFERROR(R47/R46,""))</f>
        <v/>
      </c>
      <c r="S48" s="15">
        <f>IF(OR(S47="",S46=""),"",IFERROR(S47/S46,""))</f>
        <v/>
      </c>
      <c r="T48" s="15">
        <f>IF(OR(T47="",T46=""),"",IFERROR(T47/T46,""))</f>
        <v/>
      </c>
      <c r="U48" s="15">
        <f>IF(OR(U47="",U46=""),"",IFERROR(U47/U46,""))</f>
        <v/>
      </c>
      <c r="V48" s="15">
        <f>IF(OR(V47="",V46=""),"",IFERROR(V47/V46,""))</f>
        <v/>
      </c>
      <c r="W48" s="15">
        <f>IF(OR(W47="",W46=""),"",IFERROR(W47/W46,""))</f>
        <v/>
      </c>
      <c r="X48" s="15">
        <f>IF(OR(X47="",X46=""),"",IFERROR(X47/X46,""))</f>
        <v/>
      </c>
      <c r="Y48" s="25" t="n">
        <v>0.3</v>
      </c>
      <c r="Z48" s="26" t="n">
        <v>0.3</v>
      </c>
      <c r="AA48" s="26" t="n">
        <v>0.3</v>
      </c>
      <c r="AB48" s="26" t="n">
        <v>0.3</v>
      </c>
      <c r="AC48" s="26" t="n">
        <v>0.3</v>
      </c>
    </row>
    <row r="49">
      <c r="A49" s="9" t="inlineStr">
        <is>
          <t>당기순이익(손실)</t>
        </is>
      </c>
      <c r="B49" s="10" t="n"/>
      <c r="C49" s="11" t="n">
        <v>1145</v>
      </c>
      <c r="D49" s="12" t="n">
        <v>1285</v>
      </c>
      <c r="E49" s="12" t="n">
        <v>1564</v>
      </c>
      <c r="F49" s="12" t="n">
        <v>1201</v>
      </c>
      <c r="G49" s="12" t="n">
        <v>1055</v>
      </c>
      <c r="H49" s="12" t="n">
        <v>1184</v>
      </c>
      <c r="I49" s="12" t="n">
        <v>1637</v>
      </c>
      <c r="J49" s="12" t="n">
        <v>1026</v>
      </c>
      <c r="K49" s="12" t="n">
        <v>1400</v>
      </c>
      <c r="L49" s="12" t="n">
        <v>1286</v>
      </c>
      <c r="M49" s="12" t="n"/>
      <c r="N49" s="12" t="n"/>
      <c r="O49" s="11" t="n"/>
      <c r="P49" s="12" t="n">
        <v>2955</v>
      </c>
      <c r="Q49" s="12" t="n">
        <v>4159</v>
      </c>
      <c r="R49" s="12" t="n">
        <v>2877</v>
      </c>
      <c r="S49" s="12" t="n">
        <v>2901</v>
      </c>
      <c r="T49" s="12" t="n">
        <v>2615</v>
      </c>
      <c r="U49" s="12" t="n">
        <v>2818</v>
      </c>
      <c r="V49" s="12" t="n">
        <v>5195</v>
      </c>
      <c r="W49" s="12" t="n">
        <v>4902</v>
      </c>
      <c r="X49" s="12" t="n">
        <v>4780</v>
      </c>
      <c r="Y49" s="11">
        <f>IF(OR(Y46=""),"",IFERROR(Y46-Y47,""))</f>
        <v/>
      </c>
      <c r="Z49" s="12">
        <f>IF(OR(Z46=""),"",IFERROR(Z46-Z47,""))</f>
        <v/>
      </c>
      <c r="AA49" s="12">
        <f>IF(OR(AA46=""),"",IFERROR(AA46-AA47,""))</f>
        <v/>
      </c>
      <c r="AB49" s="12">
        <f>IF(OR(AB46=""),"",IFERROR(AB46-AB47,""))</f>
        <v/>
      </c>
      <c r="AC49" s="12">
        <f>IF(OR(AC46=""),"",IFERROR(AC46-AC47,""))</f>
        <v/>
      </c>
    </row>
    <row r="50">
      <c r="A50" s="9" t="inlineStr">
        <is>
          <t>지배주주 순이익</t>
        </is>
      </c>
      <c r="B50" s="10" t="n"/>
      <c r="C50" s="11" t="n">
        <v>1127</v>
      </c>
      <c r="D50" s="12" t="n">
        <v>1271</v>
      </c>
      <c r="E50" s="12" t="n">
        <v>1548</v>
      </c>
      <c r="F50" s="12" t="n">
        <v>1170</v>
      </c>
      <c r="G50" s="12" t="n">
        <v>1032</v>
      </c>
      <c r="H50" s="12" t="n">
        <v>1163</v>
      </c>
      <c r="I50" s="12" t="n">
        <v>1617</v>
      </c>
      <c r="J50" s="12" t="n">
        <v>1021</v>
      </c>
      <c r="K50" s="12" t="n">
        <v>1379</v>
      </c>
      <c r="L50" s="12" t="n">
        <v>1267</v>
      </c>
      <c r="M50" s="12" t="n"/>
      <c r="N50" s="12" t="n"/>
      <c r="O50" s="11" t="n"/>
      <c r="P50" s="12" t="n">
        <v>2929</v>
      </c>
      <c r="Q50" s="12" t="n">
        <v>4114</v>
      </c>
      <c r="R50" s="12" t="n">
        <v>2824</v>
      </c>
      <c r="S50" s="12" t="n">
        <v>2826</v>
      </c>
      <c r="T50" s="12" t="n">
        <v>2531</v>
      </c>
      <c r="U50" s="12" t="n">
        <v>2742</v>
      </c>
      <c r="V50" s="12" t="n">
        <v>5116</v>
      </c>
      <c r="W50" s="12" t="n">
        <v>4833</v>
      </c>
      <c r="X50" s="12" t="n">
        <v>4696</v>
      </c>
      <c r="Y50" s="11">
        <f>IF(OR(Y49="",Y51=""),"",IFERROR(Y49*Y51,""))</f>
        <v/>
      </c>
      <c r="Z50" s="12">
        <f>IF(OR(Z49="",Z51=""),"",IFERROR(Z49*Z51,""))</f>
        <v/>
      </c>
      <c r="AA50" s="12">
        <f>IF(OR(AA49="",AA51=""),"",IFERROR(AA49*AA51,""))</f>
        <v/>
      </c>
      <c r="AB50" s="12">
        <f>IF(OR(AB49="",AB51=""),"",IFERROR(AB49*AB51,""))</f>
        <v/>
      </c>
      <c r="AC50" s="12">
        <f>IF(OR(AC49="",AC51=""),"",IFERROR(AC49*AC51,""))</f>
        <v/>
      </c>
    </row>
    <row r="51">
      <c r="A51" s="13" t="inlineStr">
        <is>
          <t>지배주주 순이익률</t>
        </is>
      </c>
      <c r="B51" s="10" t="inlineStr">
        <is>
          <t>MW 기본 100%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1</v>
      </c>
      <c r="Z51" s="26" t="n">
        <v>1</v>
      </c>
      <c r="AA51" s="26" t="n">
        <v>1</v>
      </c>
      <c r="AB51" s="26" t="n">
        <v>1</v>
      </c>
      <c r="AC51" s="26" t="n">
        <v>1</v>
      </c>
    </row>
    <row r="52">
      <c r="A52" s="16" t="inlineStr">
        <is>
          <t>목표주가 산출</t>
        </is>
      </c>
      <c r="B52" s="16" t="n"/>
      <c r="C52" s="17" t="n"/>
      <c r="D52" s="16" t="n"/>
      <c r="E52" s="16" t="n"/>
      <c r="F52" s="16" t="n"/>
      <c r="G52" s="16" t="n"/>
      <c r="H52" s="16" t="n"/>
      <c r="I52" s="16" t="n"/>
      <c r="J52" s="16" t="n"/>
      <c r="K52" s="16" t="n"/>
      <c r="L52" s="16" t="n"/>
      <c r="M52" s="16" t="n"/>
      <c r="N52" s="16" t="n"/>
      <c r="O52" s="17" t="n"/>
      <c r="P52" s="16" t="n"/>
      <c r="Q52" s="16" t="n"/>
      <c r="R52" s="16" t="n"/>
      <c r="S52" s="16" t="n"/>
      <c r="T52" s="16" t="n"/>
      <c r="U52" s="16" t="n"/>
      <c r="V52" s="16" t="n"/>
      <c r="W52" s="16" t="n"/>
      <c r="X52" s="16" t="n"/>
      <c r="Y52" s="17" t="n"/>
      <c r="Z52" s="16" t="n"/>
      <c r="AA52" s="16" t="n"/>
      <c r="AB52" s="16" t="n"/>
      <c r="AC52" s="16" t="n"/>
    </row>
    <row r="53">
      <c r="A53" s="18" t="inlineStr">
        <is>
          <t>현재 주가 ()</t>
        </is>
      </c>
      <c r="B53" s="27" t="n"/>
      <c r="C53" s="28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8" t="n"/>
      <c r="P53" s="29" t="n"/>
      <c r="Q53" s="29" t="n"/>
      <c r="R53" s="29" t="n"/>
      <c r="S53" s="29" t="n"/>
      <c r="T53" s="29" t="n"/>
      <c r="U53" s="29" t="n"/>
      <c r="V53" s="29" t="n"/>
      <c r="W53" s="29" t="n"/>
      <c r="X53" s="29" t="n"/>
      <c r="Y53" s="28" t="n"/>
      <c r="Z53" s="29" t="n"/>
      <c r="AA53" s="29" t="n"/>
      <c r="AB53" s="29" t="n"/>
      <c r="AC53" s="29" t="n"/>
    </row>
    <row r="54">
      <c r="A54" s="18" t="inlineStr">
        <is>
          <t>발행주식수 (보통주)</t>
        </is>
      </c>
      <c r="B54" s="27" t="n"/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8" t="n"/>
      <c r="P54" s="29" t="n"/>
      <c r="Q54" s="29" t="n"/>
      <c r="R54" s="29" t="n"/>
      <c r="S54" s="29" t="n"/>
      <c r="T54" s="29" t="n"/>
      <c r="U54" s="29" t="n"/>
      <c r="V54" s="29" t="n"/>
      <c r="W54" s="29" t="n"/>
      <c r="X54" s="29" t="n"/>
      <c r="Y54" s="28" t="n"/>
      <c r="Z54" s="29" t="n"/>
      <c r="AA54" s="29" t="n"/>
      <c r="AB54" s="29" t="n"/>
      <c r="AC54" s="29" t="n"/>
    </row>
    <row r="55">
      <c r="A55" s="18" t="inlineStr">
        <is>
          <t>시가총액 (백만엔)</t>
        </is>
      </c>
      <c r="B55" s="12">
        <f>IF(OR(B53="",B54=""),"",B53*B54/1000000.0)</f>
        <v/>
      </c>
      <c r="C55" s="19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19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19" t="n"/>
      <c r="Z55" s="20" t="n"/>
      <c r="AA55" s="20" t="n"/>
      <c r="AB55" s="20" t="n"/>
      <c r="AC55" s="20" t="n"/>
    </row>
    <row r="56">
      <c r="A56" s="13" t="inlineStr">
        <is>
          <t>OPM</t>
        </is>
      </c>
      <c r="B56" s="10" t="n"/>
      <c r="C56" s="14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4">
        <f>IF(O23="","",O23)</f>
        <v/>
      </c>
      <c r="P56" s="15">
        <f>IF(P23="","",P23)</f>
        <v/>
      </c>
      <c r="Q56" s="15">
        <f>IF(Q23="","",Q23)</f>
        <v/>
      </c>
      <c r="R56" s="15">
        <f>IF(R23="","",R23)</f>
        <v/>
      </c>
      <c r="S56" s="15">
        <f>IF(S23="","",S23)</f>
        <v/>
      </c>
      <c r="T56" s="15">
        <f>IF(T23="","",T23)</f>
        <v/>
      </c>
      <c r="U56" s="15">
        <f>IF(U23="","",U23)</f>
        <v/>
      </c>
      <c r="V56" s="15">
        <f>IF(V23="","",V23)</f>
        <v/>
      </c>
      <c r="W56" s="15">
        <f>IF(W23="","",W23)</f>
        <v/>
      </c>
      <c r="X56" s="15">
        <f>IF(X23="","",X23)</f>
        <v/>
      </c>
      <c r="Y56" s="14">
        <f>IF(Y23="","",Y23)</f>
        <v/>
      </c>
      <c r="Z56" s="15">
        <f>IF(Z23="","",Z23)</f>
        <v/>
      </c>
      <c r="AA56" s="15">
        <f>IF(AA23="","",AA23)</f>
        <v/>
      </c>
      <c r="AB56" s="15">
        <f>IF(AB23="","",AB23)</f>
        <v/>
      </c>
      <c r="AC56" s="15">
        <f>IF(AC23="","",AC23)</f>
        <v/>
      </c>
    </row>
    <row r="57">
      <c r="A57" s="13" t="inlineStr">
        <is>
          <t>지배주주 순이익 증가율</t>
        </is>
      </c>
      <c r="B57" s="10" t="n"/>
      <c r="C57" s="14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4" t="n"/>
      <c r="P57" s="15">
        <f>IF(OR(P50="",O50=""),"",IFERROR(P50/O50-1,""))</f>
        <v/>
      </c>
      <c r="Q57" s="15">
        <f>IF(OR(Q50="",P50=""),"",IFERROR(Q50/P50-1,""))</f>
        <v/>
      </c>
      <c r="R57" s="15">
        <f>IF(OR(R50="",Q50=""),"",IFERROR(R50/Q50-1,""))</f>
        <v/>
      </c>
      <c r="S57" s="15">
        <f>IF(OR(S50="",R50=""),"",IFERROR(S50/R50-1,""))</f>
        <v/>
      </c>
      <c r="T57" s="15">
        <f>IF(OR(T50="",S50=""),"",IFERROR(T50/S50-1,""))</f>
        <v/>
      </c>
      <c r="U57" s="15">
        <f>IF(OR(U50="",T50=""),"",IFERROR(U50/T50-1,""))</f>
        <v/>
      </c>
      <c r="V57" s="15">
        <f>IF(OR(V50="",U50=""),"",IFERROR(V50/U50-1,""))</f>
        <v/>
      </c>
      <c r="W57" s="15">
        <f>IF(OR(W50="",V50=""),"",IFERROR(W50/V50-1,""))</f>
        <v/>
      </c>
      <c r="X57" s="15">
        <f>IF(OR(X50="",W50=""),"",IFERROR(X50/W50-1,""))</f>
        <v/>
      </c>
      <c r="Y57" s="14">
        <f>IF(OR(Y50="",X50=""),"",IFERROR(Y50/X50-1,""))</f>
        <v/>
      </c>
      <c r="Z57" s="15">
        <f>IF(OR(Z50="",Y50=""),"",IFERROR(Z50/Y50-1,""))</f>
        <v/>
      </c>
      <c r="AA57" s="15">
        <f>IF(OR(AA50="",Z50=""),"",IFERROR(AA50/Z50-1,""))</f>
        <v/>
      </c>
      <c r="AB57" s="15">
        <f>IF(OR(AB50="",AA50=""),"",IFERROR(AB50/AA50-1,""))</f>
        <v/>
      </c>
      <c r="AC57" s="15">
        <f>IF(OR(AC50="",AB50=""),"",IFERROR(AC50/AB50-1,""))</f>
        <v/>
      </c>
    </row>
    <row r="58">
      <c r="A58" s="18" t="inlineStr">
        <is>
          <t>P/E (현재 주가)</t>
        </is>
      </c>
      <c r="B58" s="10" t="inlineStr">
        <is>
          <t>시총 ÷ 지배순이익</t>
        </is>
      </c>
      <c r="C58" s="30" t="n"/>
      <c r="D58" s="31" t="n"/>
      <c r="E58" s="31" t="n"/>
      <c r="F58" s="31" t="n"/>
      <c r="G58" s="31" t="n"/>
      <c r="H58" s="31" t="n"/>
      <c r="I58" s="31" t="n"/>
      <c r="J58" s="31" t="n"/>
      <c r="K58" s="31" t="n"/>
      <c r="L58" s="31" t="n"/>
      <c r="M58" s="31" t="n"/>
      <c r="N58" s="31" t="n"/>
      <c r="O58" s="30" t="n"/>
      <c r="P58" s="31" t="n"/>
      <c r="Q58" s="31" t="n"/>
      <c r="R58" s="31" t="n"/>
      <c r="S58" s="31" t="n"/>
      <c r="T58" s="31" t="n"/>
      <c r="U58" s="31" t="n"/>
      <c r="V58" s="31" t="n"/>
      <c r="W58" s="31" t="n"/>
      <c r="X58" s="31">
        <f>IF(OR($B$55="",X50=""),"",IFERROR($B$55/X50,""))</f>
        <v/>
      </c>
      <c r="Y58" s="30">
        <f>IF(OR($B$55="",Y50=""),"",IFERROR($B$55/Y50,""))</f>
        <v/>
      </c>
      <c r="Z58" s="31">
        <f>IF(OR($B$55="",Z50=""),"",IFERROR($B$55/Z50,""))</f>
        <v/>
      </c>
      <c r="AA58" s="31">
        <f>IF(OR($B$55="",AA50=""),"",IFERROR($B$55/AA50,""))</f>
        <v/>
      </c>
      <c r="AB58" s="31">
        <f>IF(OR($B$55="",AB50=""),"",IFERROR($B$55/AB50,""))</f>
        <v/>
      </c>
      <c r="AC58" s="31">
        <f>IF(OR($B$55="",AC50=""),"",IFERROR($B$55/AC50,""))</f>
        <v/>
      </c>
    </row>
    <row r="59">
      <c r="A59" s="18" t="inlineStr">
        <is>
          <t>Target P/E</t>
        </is>
      </c>
      <c r="B59" s="10" t="inlineStr">
        <is>
          <t>직접 입력</t>
        </is>
      </c>
      <c r="C59" s="30" t="n"/>
      <c r="D59" s="31" t="n"/>
      <c r="E59" s="31" t="n"/>
      <c r="F59" s="31" t="n"/>
      <c r="G59" s="31" t="n"/>
      <c r="H59" s="31" t="n"/>
      <c r="I59" s="31" t="n"/>
      <c r="J59" s="31" t="n"/>
      <c r="K59" s="31" t="n"/>
      <c r="L59" s="31" t="n"/>
      <c r="M59" s="31" t="n"/>
      <c r="N59" s="31" t="n"/>
      <c r="O59" s="30" t="n"/>
      <c r="P59" s="31" t="n"/>
      <c r="Q59" s="31" t="n"/>
      <c r="R59" s="31" t="n"/>
      <c r="S59" s="31" t="n"/>
      <c r="T59" s="31" t="n"/>
      <c r="U59" s="31" t="n"/>
      <c r="V59" s="31" t="n"/>
      <c r="W59" s="31" t="n"/>
      <c r="X59" s="31" t="n"/>
      <c r="Y59" s="32" t="n"/>
      <c r="Z59" s="33" t="n"/>
      <c r="AA59" s="33" t="n"/>
      <c r="AB59" s="33" t="n"/>
      <c r="AC59" s="33" t="n"/>
    </row>
    <row r="60">
      <c r="A60" s="18" t="inlineStr">
        <is>
          <t>EPS</t>
        </is>
      </c>
      <c r="B60" s="10" t="inlineStr">
        <is>
          <t>지배순이익 ÷ 주식수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>
        <f>IF(OR(O50="",$B$54=""),"",IFERROR(O50*1000000.0/$B$54,""))</f>
        <v/>
      </c>
      <c r="P60" s="29">
        <f>IF(OR(P50="",$B$54=""),"",IFERROR(P50*1000000.0/$B$54,""))</f>
        <v/>
      </c>
      <c r="Q60" s="29">
        <f>IF(OR(Q50="",$B$54=""),"",IFERROR(Q50*1000000.0/$B$54,""))</f>
        <v/>
      </c>
      <c r="R60" s="29">
        <f>IF(OR(R50="",$B$54=""),"",IFERROR(R50*1000000.0/$B$54,""))</f>
        <v/>
      </c>
      <c r="S60" s="29">
        <f>IF(OR(S50="",$B$54=""),"",IFERROR(S50*1000000.0/$B$54,""))</f>
        <v/>
      </c>
      <c r="T60" s="29">
        <f>IF(OR(T50="",$B$54=""),"",IFERROR(T50*1000000.0/$B$54,""))</f>
        <v/>
      </c>
      <c r="U60" s="29">
        <f>IF(OR(U50="",$B$54=""),"",IFERROR(U50*1000000.0/$B$54,""))</f>
        <v/>
      </c>
      <c r="V60" s="29">
        <f>IF(OR(V50="",$B$54=""),"",IFERROR(V50*1000000.0/$B$54,""))</f>
        <v/>
      </c>
      <c r="W60" s="29">
        <f>IF(OR(W50="",$B$54=""),"",IFERROR(W50*1000000.0/$B$54,""))</f>
        <v/>
      </c>
      <c r="X60" s="29">
        <f>IF(OR(X50="",$B$54=""),"",IFERROR(X50*1000000.0/$B$54,""))</f>
        <v/>
      </c>
      <c r="Y60" s="28">
        <f>IF(OR(Y50="",$B$54=""),"",IFERROR(Y50*1000000.0/$B$54,""))</f>
        <v/>
      </c>
      <c r="Z60" s="29">
        <f>IF(OR(Z50="",$B$54=""),"",IFERROR(Z50*1000000.0/$B$54,""))</f>
        <v/>
      </c>
      <c r="AA60" s="29">
        <f>IF(OR(AA50="",$B$54=""),"",IFERROR(AA50*1000000.0/$B$54,""))</f>
        <v/>
      </c>
      <c r="AB60" s="29">
        <f>IF(OR(AB50="",$B$54=""),"",IFERROR(AB50*1000000.0/$B$54,""))</f>
        <v/>
      </c>
      <c r="AC60" s="29">
        <f>IF(OR(AC50="",$B$54=""),"",IFERROR(AC50*1000000.0/$B$54,""))</f>
        <v/>
      </c>
    </row>
    <row r="61">
      <c r="A61" s="9" t="inlineStr">
        <is>
          <t>목표주가</t>
        </is>
      </c>
      <c r="B61" s="10" t="n"/>
      <c r="C61" s="34" t="n"/>
      <c r="D61" s="27" t="n"/>
      <c r="E61" s="27" t="n"/>
      <c r="F61" s="27" t="n"/>
      <c r="G61" s="27" t="n"/>
      <c r="H61" s="27" t="n"/>
      <c r="I61" s="27" t="n"/>
      <c r="J61" s="27" t="n"/>
      <c r="K61" s="27" t="n"/>
      <c r="L61" s="27" t="n"/>
      <c r="M61" s="27" t="n"/>
      <c r="N61" s="27" t="n"/>
      <c r="O61" s="34" t="n"/>
      <c r="P61" s="27" t="n"/>
      <c r="Q61" s="27" t="n"/>
      <c r="R61" s="27" t="n"/>
      <c r="S61" s="27" t="n"/>
      <c r="T61" s="27" t="n"/>
      <c r="U61" s="27" t="n"/>
      <c r="V61" s="27" t="n"/>
      <c r="W61" s="27" t="n"/>
      <c r="X61" s="27" t="n"/>
      <c r="Y61" s="34">
        <f>IF(OR(Y60="",Y59=""),"",IFERROR(Y60*Y59,""))</f>
        <v/>
      </c>
      <c r="Z61" s="27">
        <f>IF(OR(Z60="",Z59=""),"",IFERROR(Z60*Z59,""))</f>
        <v/>
      </c>
      <c r="AA61" s="27">
        <f>IF(OR(AA60="",AA59=""),"",IFERROR(AA60*AA59,""))</f>
        <v/>
      </c>
      <c r="AB61" s="27">
        <f>IF(OR(AB60="",AB59=""),"",IFERROR(AB60*AB59,""))</f>
        <v/>
      </c>
      <c r="AC61" s="27">
        <f>IF(OR(AC60="",AC59=""),"",IFERROR(AC60*AC59,""))</f>
        <v/>
      </c>
    </row>
    <row r="62">
      <c r="A62" s="18" t="inlineStr">
        <is>
          <t>상승여력</t>
        </is>
      </c>
      <c r="B62" s="10" t="n"/>
      <c r="C62" s="35" t="n"/>
      <c r="D62" s="36" t="n"/>
      <c r="E62" s="36" t="n"/>
      <c r="F62" s="36" t="n"/>
      <c r="G62" s="36" t="n"/>
      <c r="H62" s="36" t="n"/>
      <c r="I62" s="36" t="n"/>
      <c r="J62" s="36" t="n"/>
      <c r="K62" s="36" t="n"/>
      <c r="L62" s="36" t="n"/>
      <c r="M62" s="36" t="n"/>
      <c r="N62" s="36" t="n"/>
      <c r="O62" s="35" t="n"/>
      <c r="P62" s="36" t="n"/>
      <c r="Q62" s="36" t="n"/>
      <c r="R62" s="36" t="n"/>
      <c r="S62" s="36" t="n"/>
      <c r="T62" s="36" t="n"/>
      <c r="U62" s="36" t="n"/>
      <c r="V62" s="36" t="n"/>
      <c r="W62" s="36" t="n"/>
      <c r="X62" s="36" t="n"/>
      <c r="Y62" s="37">
        <f>IF(OR(Y61="",$B$53=""),"",IFERROR(Y61/$B$53-1,""))</f>
        <v/>
      </c>
      <c r="Z62" s="38">
        <f>IF(OR(Z61="",$B$53=""),"",IFERROR(Z61/$B$53-1,""))</f>
        <v/>
      </c>
      <c r="AA62" s="38">
        <f>IF(OR(AA61="",$B$53=""),"",IFERROR(AA61/$B$53-1,""))</f>
        <v/>
      </c>
      <c r="AB62" s="38">
        <f>IF(OR(AB61="",$B$53=""),"",IFERROR(AB61/$B$53-1,""))</f>
        <v/>
      </c>
      <c r="AC62" s="38">
        <f>IF(OR(AC61="",$B$53=""),"",IFERROR(AC61/$B$53-1,""))</f>
        <v/>
      </c>
    </row>
    <row r="63">
      <c r="A63" s="16" t="inlineStr">
        <is>
          <t>자산가치 산출</t>
        </is>
      </c>
      <c r="B63" s="16" t="inlineStr">
        <is>
          <t>최신 분기 BS</t>
        </is>
      </c>
      <c r="C63" s="17" t="n"/>
      <c r="D63" s="16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7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7" t="n"/>
      <c r="Z63" s="16" t="n"/>
      <c r="AA63" s="16" t="n"/>
      <c r="AB63" s="16" t="n"/>
      <c r="AC63" s="16" t="n"/>
    </row>
    <row r="64">
      <c r="A64" s="18" t="inlineStr">
        <is>
          <t>현금및현금성자산</t>
        </is>
      </c>
      <c r="B64" s="10" t="n"/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>
        <f>'재무상태표'!G6</f>
        <v/>
      </c>
      <c r="Y64" s="19">
        <f>'재무상태표'!G6</f>
        <v/>
      </c>
      <c r="Z64" s="20">
        <f>'재무상태표'!G6</f>
        <v/>
      </c>
      <c r="AA64" s="20">
        <f>'재무상태표'!G6</f>
        <v/>
      </c>
      <c r="AB64" s="20">
        <f>'재무상태표'!G6</f>
        <v/>
      </c>
      <c r="AC64" s="20">
        <f>'재무상태표'!G6</f>
        <v/>
      </c>
    </row>
    <row r="65">
      <c r="A65" s="18" t="inlineStr">
        <is>
          <t>단기금융상품</t>
        </is>
      </c>
      <c r="B65" s="10" t="n"/>
      <c r="C65" s="19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19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>
        <f>'재무상태표'!G7</f>
        <v/>
      </c>
      <c r="Y65" s="19">
        <f>'재무상태표'!G7</f>
        <v/>
      </c>
      <c r="Z65" s="20">
        <f>'재무상태표'!G7</f>
        <v/>
      </c>
      <c r="AA65" s="20">
        <f>'재무상태표'!G7</f>
        <v/>
      </c>
      <c r="AB65" s="20">
        <f>'재무상태표'!G7</f>
        <v/>
      </c>
      <c r="AC65" s="20">
        <f>'재무상태표'!G7</f>
        <v/>
      </c>
    </row>
    <row r="66">
      <c r="A66" s="18" t="inlineStr">
        <is>
          <t>투자부동산</t>
        </is>
      </c>
      <c r="B66" s="10" t="n"/>
      <c r="C66" s="19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19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>
        <f>'재무상태표'!G14</f>
        <v/>
      </c>
      <c r="Y66" s="19">
        <f>'재무상태표'!G14</f>
        <v/>
      </c>
      <c r="Z66" s="20">
        <f>'재무상태표'!G14</f>
        <v/>
      </c>
      <c r="AA66" s="20">
        <f>'재무상태표'!G14</f>
        <v/>
      </c>
      <c r="AB66" s="20">
        <f>'재무상태표'!G14</f>
        <v/>
      </c>
      <c r="AC66" s="20">
        <f>'재무상태표'!G14</f>
        <v/>
      </c>
    </row>
    <row r="67">
      <c r="A67" s="18" t="inlineStr">
        <is>
          <t>지배자본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'재무상태표'!G31</f>
        <v/>
      </c>
      <c r="Y67" s="19">
        <f>'재무상태표'!G31</f>
        <v/>
      </c>
      <c r="Z67" s="20">
        <f>'재무상태표'!G31</f>
        <v/>
      </c>
      <c r="AA67" s="20">
        <f>'재무상태표'!G31</f>
        <v/>
      </c>
      <c r="AB67" s="20">
        <f>'재무상태표'!G31</f>
        <v/>
      </c>
      <c r="AC67" s="20">
        <f>'재무상태표'!G31</f>
        <v/>
      </c>
    </row>
    <row r="68">
      <c r="A68" s="18" t="inlineStr">
        <is>
          <t>부채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'재무상태표'!G27</f>
        <v/>
      </c>
      <c r="Y68" s="19">
        <f>'재무상태표'!G27</f>
        <v/>
      </c>
      <c r="Z68" s="20">
        <f>'재무상태표'!G27</f>
        <v/>
      </c>
      <c r="AA68" s="20">
        <f>'재무상태표'!G27</f>
        <v/>
      </c>
      <c r="AB68" s="20">
        <f>'재무상태표'!G27</f>
        <v/>
      </c>
      <c r="AC68" s="20">
        <f>'재무상태표'!G27</f>
        <v/>
      </c>
    </row>
    <row r="69">
      <c r="A69" s="13" t="inlineStr">
        <is>
          <t>부채비율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>
        <f>IF(OR(X68="",X67=""),"",IFERROR(X68/X67,""))</f>
        <v/>
      </c>
      <c r="Y69" s="14">
        <f>IF(OR(Y68="",Y67=""),"",IFERROR(Y68/Y67,""))</f>
        <v/>
      </c>
      <c r="Z69" s="15">
        <f>IF(OR(Z68="",Z67=""),"",IFERROR(Z68/Z67,""))</f>
        <v/>
      </c>
      <c r="AA69" s="15">
        <f>IF(OR(AA68="",AA67=""),"",IFERROR(AA68/AA67,""))</f>
        <v/>
      </c>
      <c r="AB69" s="15">
        <f>IF(OR(AB68="",AB67=""),"",IFERROR(AB68/AB67,""))</f>
        <v/>
      </c>
      <c r="AC69" s="15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6" t="inlineStr">
        <is>
          <t>기업가치 산출</t>
        </is>
      </c>
      <c r="B71" s="16" t="n"/>
      <c r="C71" s="17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7" t="n"/>
      <c r="P71" s="16" t="n"/>
      <c r="Q71" s="16" t="n"/>
      <c r="R71" s="16" t="n"/>
      <c r="S71" s="16" t="n"/>
      <c r="T71" s="16" t="n"/>
      <c r="U71" s="16" t="n"/>
      <c r="V71" s="16" t="n"/>
      <c r="W71" s="16" t="n"/>
      <c r="X71" s="16" t="n"/>
      <c r="Y71" s="17" t="n"/>
      <c r="Z71" s="16" t="n"/>
      <c r="AA71" s="16" t="n"/>
      <c r="AB71" s="16" t="n"/>
      <c r="AC71" s="16" t="n"/>
    </row>
    <row r="72">
      <c r="A72" s="18" t="inlineStr">
        <is>
          <t>목표 시가총액 (P/E)</t>
        </is>
      </c>
      <c r="B72" s="10" t="inlineStr">
        <is>
          <t>지배순이익 × Target P/E</t>
        </is>
      </c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19">
        <f>IF(OR(Y50="",Y59=""),"",IFERROR(Y50*Y59,""))</f>
        <v/>
      </c>
      <c r="Z72" s="20">
        <f>IF(OR(Z50="",Z59=""),"",IFERROR(Z50*Z59,""))</f>
        <v/>
      </c>
      <c r="AA72" s="20">
        <f>IF(OR(AA50="",AA59=""),"",IFERROR(AA50*AA59,""))</f>
        <v/>
      </c>
      <c r="AB72" s="20">
        <f>IF(OR(AB50="",AB59=""),"",IFERROR(AB50*AB59,""))</f>
        <v/>
      </c>
      <c r="AC72" s="20">
        <f>IF(OR(AC50="",AC59=""),"",IFERROR(AC50*AC59,""))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18" t="inlineStr">
        <is>
          <t>현재 시가총액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19">
        <f>$B$55</f>
        <v/>
      </c>
      <c r="Z74" s="20">
        <f>$B$55</f>
        <v/>
      </c>
      <c r="AA74" s="20">
        <f>$B$55</f>
        <v/>
      </c>
      <c r="AB74" s="20">
        <f>$B$55</f>
        <v/>
      </c>
      <c r="AC74" s="20">
        <f>$B$55</f>
        <v/>
      </c>
    </row>
    <row r="75">
      <c r="A75" s="18" t="inlineStr">
        <is>
          <t>상승여력</t>
        </is>
      </c>
      <c r="B75" s="10" t="n"/>
      <c r="C75" s="35" t="n"/>
      <c r="D75" s="36" t="n"/>
      <c r="E75" s="36" t="n"/>
      <c r="F75" s="36" t="n"/>
      <c r="G75" s="36" t="n"/>
      <c r="H75" s="36" t="n"/>
      <c r="I75" s="36" t="n"/>
      <c r="J75" s="36" t="n"/>
      <c r="K75" s="36" t="n"/>
      <c r="L75" s="36" t="n"/>
      <c r="M75" s="36" t="n"/>
      <c r="N75" s="36" t="n"/>
      <c r="O75" s="35" t="n"/>
      <c r="P75" s="36" t="n"/>
      <c r="Q75" s="36" t="n"/>
      <c r="R75" s="36" t="n"/>
      <c r="S75" s="36" t="n"/>
      <c r="T75" s="36" t="n"/>
      <c r="U75" s="36" t="n"/>
      <c r="V75" s="36" t="n"/>
      <c r="W75" s="36" t="n"/>
      <c r="X75" s="36" t="n"/>
      <c r="Y75" s="37">
        <f>IF(OR(Y73="",Y74=""),"",IFERROR(Y73/Y74-1,""))</f>
        <v/>
      </c>
      <c r="Z75" s="38">
        <f>IF(OR(Z73="",Z74=""),"",IFERROR(Z73/Z74-1,""))</f>
        <v/>
      </c>
      <c r="AA75" s="38">
        <f>IF(OR(AA73="",AA74=""),"",IFERROR(AA73/AA74-1,""))</f>
        <v/>
      </c>
      <c r="AB75" s="38">
        <f>IF(OR(AB73="",AB74=""),"",IFERROR(AB73/AB74-1,""))</f>
        <v/>
      </c>
      <c r="AC75" s="38">
        <f>IF(OR(AC73="",AC74=""),"",IFERROR(AC73/AC74-1,""))</f>
        <v/>
      </c>
    </row>
    <row r="76">
      <c r="C76" s="39" t="n"/>
      <c r="O76" s="39" t="n"/>
      <c r="Y76" s="39" t="n"/>
    </row>
    <row r="77">
      <c r="A77" s="40" t="inlineStr">
        <is>
          <t>출처</t>
        </is>
      </c>
      <c r="C77" s="39" t="n"/>
      <c r="O77" s="39" t="n"/>
      <c r="Y77" s="39" t="n"/>
    </row>
    <row r="78">
      <c r="A78" s="41" t="inlineStr">
        <is>
          <t>결산단신 XBRL(TDnet·JPX 보관소) — 쓴 문서는 '출처' 시트</t>
        </is>
      </c>
      <c r="C78" s="39" t="n"/>
      <c r="O78" s="39" t="n"/>
      <c r="Y78" s="39" t="n"/>
    </row>
    <row r="79">
      <c r="A79" s="41" t="inlineStr">
        <is>
          <t>분기 = 누계에서 앞 분기를 뺀 3개월 값</t>
        </is>
      </c>
      <c r="C79" s="39" t="n"/>
      <c r="O79" s="39" t="n"/>
      <c r="Y79" s="39" t="n"/>
    </row>
    <row r="80">
      <c r="A80" s="41" t="inlineStr">
        <is>
          <t>주가: 야후 파이낸스 일봉</t>
        </is>
      </c>
      <c r="C80" s="39" t="n"/>
      <c r="O80" s="39" t="n"/>
      <c r="Y80" s="39" t="n"/>
    </row>
    <row r="82">
      <c r="A82" s="16" t="inlineStr">
        <is>
          <t>손익계산서 · 전 항목</t>
        </is>
      </c>
      <c r="B82" s="42" t="inlineStr">
        <is>
          <t>분기 = 3개월 단독</t>
        </is>
      </c>
      <c r="C82" s="16" t="n"/>
      <c r="D82" s="16" t="n"/>
      <c r="E82" s="16" t="n"/>
      <c r="F82" s="16" t="n"/>
      <c r="G82" s="16" t="n"/>
      <c r="H82" s="16" t="n"/>
      <c r="I82" s="16" t="n"/>
      <c r="J82" s="16" t="n"/>
      <c r="K82" s="16" t="n"/>
      <c r="L82" s="16" t="n"/>
      <c r="M82" s="16" t="n"/>
      <c r="N82" s="16" t="n"/>
      <c r="O82" s="16" t="n"/>
      <c r="P82" s="16" t="n"/>
      <c r="Q82" s="16" t="n"/>
      <c r="R82" s="16" t="n"/>
      <c r="S82" s="16" t="n"/>
      <c r="T82" s="16" t="n"/>
      <c r="U82" s="16" t="n"/>
      <c r="V82" s="16" t="n"/>
      <c r="W82" s="16" t="n"/>
      <c r="X82" s="16" t="n"/>
      <c r="Y82" s="16" t="n"/>
      <c r="Z82" s="16" t="n"/>
      <c r="AA82" s="16" t="n"/>
      <c r="AB82" s="16" t="n"/>
      <c r="AC82" s="16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2025.1Q</t>
        </is>
      </c>
      <c r="D83" s="5" t="inlineStr">
        <is>
          <t>2025.2Q</t>
        </is>
      </c>
      <c r="E83" s="5" t="inlineStr">
        <is>
          <t>2025.3Q</t>
        </is>
      </c>
      <c r="F83" s="5" t="inlineStr">
        <is>
          <t>2025.4Q</t>
        </is>
      </c>
      <c r="G83" s="5" t="inlineStr">
        <is>
          <t>2026.1Q</t>
        </is>
      </c>
      <c r="H83" s="5" t="inlineStr">
        <is>
          <t>2026.2Q</t>
        </is>
      </c>
      <c r="I83" s="5" t="inlineStr">
        <is>
          <t>2026.3Q</t>
        </is>
      </c>
      <c r="J83" s="5" t="inlineStr">
        <is>
          <t>2026.4Q</t>
        </is>
      </c>
      <c r="K83" s="5" t="inlineStr">
        <is>
          <t>2027.1Q</t>
        </is>
      </c>
      <c r="L83" s="5" t="inlineStr">
        <is>
          <t>2027.2Q</t>
        </is>
      </c>
      <c r="M83" s="5" t="inlineStr">
        <is>
          <t>2027.3Q</t>
        </is>
      </c>
      <c r="N83" s="5" t="inlineStr">
        <is>
          <t>2027.4Q</t>
        </is>
      </c>
      <c r="O83" s="5" t="inlineStr">
        <is>
          <t>2018</t>
        </is>
      </c>
      <c r="P83" s="5" t="inlineStr">
        <is>
          <t>2019</t>
        </is>
      </c>
      <c r="Q83" s="5" t="inlineStr">
        <is>
          <t>2020</t>
        </is>
      </c>
      <c r="R83" s="5" t="inlineStr">
        <is>
          <t>2021</t>
        </is>
      </c>
      <c r="S83" s="5" t="inlineStr">
        <is>
          <t>2022</t>
        </is>
      </c>
      <c r="T83" s="5" t="inlineStr">
        <is>
          <t>2023</t>
        </is>
      </c>
      <c r="U83" s="5" t="inlineStr">
        <is>
          <t>2024</t>
        </is>
      </c>
      <c r="V83" s="5" t="inlineStr">
        <is>
          <t>2025</t>
        </is>
      </c>
      <c r="W83" s="5" t="inlineStr">
        <is>
          <t>2026</t>
        </is>
      </c>
      <c r="X83" s="5" t="inlineStr">
        <is>
          <t>2027</t>
        </is>
      </c>
      <c r="Y83" s="5" t="inlineStr">
        <is>
          <t>2028(MW)</t>
        </is>
      </c>
      <c r="Z83" s="5" t="inlineStr">
        <is>
          <t>2029(MW)</t>
        </is>
      </c>
      <c r="AA83" s="5" t="inlineStr">
        <is>
          <t>2030(MW)</t>
        </is>
      </c>
      <c r="AB83" s="5" t="inlineStr">
        <is>
          <t>2031(MW)</t>
        </is>
      </c>
      <c r="AC83" s="5" t="inlineStr">
        <is>
          <t>2032(MW)</t>
        </is>
      </c>
    </row>
    <row r="84">
      <c r="A84" s="9" t="inlineStr">
        <is>
          <t>매출액</t>
        </is>
      </c>
      <c r="C84" s="12" t="n">
        <v>11142</v>
      </c>
      <c r="D84" s="12" t="n">
        <v>11221</v>
      </c>
      <c r="E84" s="12" t="n">
        <v>12606</v>
      </c>
      <c r="F84" s="12" t="n">
        <v>9122</v>
      </c>
      <c r="G84" s="12" t="n">
        <v>11677</v>
      </c>
      <c r="H84" s="12" t="n">
        <v>11269</v>
      </c>
      <c r="I84" s="12" t="n">
        <v>12432</v>
      </c>
      <c r="J84" s="12" t="n">
        <v>9735</v>
      </c>
      <c r="K84" s="12" t="n">
        <v>12764</v>
      </c>
      <c r="L84" s="12" t="n">
        <v>12097</v>
      </c>
      <c r="S84" s="12" t="n">
        <v>7656</v>
      </c>
      <c r="T84" s="12" t="n">
        <v>6851</v>
      </c>
      <c r="U84" s="12" t="n">
        <v>5497</v>
      </c>
      <c r="V84" s="12" t="n">
        <v>9122</v>
      </c>
      <c r="W84" s="12" t="n">
        <v>9735</v>
      </c>
    </row>
    <row r="85">
      <c r="A85" s="18" t="inlineStr">
        <is>
          <t>매출원가</t>
        </is>
      </c>
      <c r="C85" s="20" t="n">
        <v>6663</v>
      </c>
      <c r="D85" s="20" t="n">
        <v>6803</v>
      </c>
      <c r="E85" s="20" t="n">
        <v>7481</v>
      </c>
      <c r="F85" s="20" t="n">
        <v>5369</v>
      </c>
      <c r="G85" s="20" t="n">
        <v>7250</v>
      </c>
      <c r="H85" s="20" t="n">
        <v>6961</v>
      </c>
      <c r="I85" s="20" t="n">
        <v>7391</v>
      </c>
      <c r="J85" s="20" t="n">
        <v>5756</v>
      </c>
      <c r="K85" s="20" t="n">
        <v>7689</v>
      </c>
      <c r="L85" s="20" t="n">
        <v>7471</v>
      </c>
      <c r="S85" s="20" t="n">
        <v>4570</v>
      </c>
      <c r="T85" s="20" t="n">
        <v>3869</v>
      </c>
      <c r="U85" s="20" t="n">
        <v>5319</v>
      </c>
      <c r="V85" s="20" t="n">
        <v>5369</v>
      </c>
      <c r="W85" s="20" t="n">
        <v>5756</v>
      </c>
    </row>
    <row r="86">
      <c r="A86" s="9" t="inlineStr">
        <is>
          <t>매출총이익</t>
        </is>
      </c>
      <c r="C86" s="12" t="n">
        <v>4478</v>
      </c>
      <c r="D86" s="12" t="n">
        <v>4418</v>
      </c>
      <c r="E86" s="12" t="n">
        <v>5125</v>
      </c>
      <c r="F86" s="12" t="n">
        <v>3753</v>
      </c>
      <c r="G86" s="12" t="n">
        <v>4426</v>
      </c>
      <c r="H86" s="12" t="n">
        <v>4308</v>
      </c>
      <c r="I86" s="12" t="n">
        <v>5042</v>
      </c>
      <c r="J86" s="12" t="n">
        <v>3979</v>
      </c>
      <c r="K86" s="12" t="n">
        <v>5074</v>
      </c>
      <c r="L86" s="12" t="n">
        <v>4626</v>
      </c>
      <c r="S86" s="12" t="n">
        <v>3087</v>
      </c>
      <c r="T86" s="12" t="n">
        <v>2983</v>
      </c>
      <c r="U86" s="12" t="n">
        <v>178</v>
      </c>
      <c r="V86" s="12" t="n">
        <v>3753</v>
      </c>
      <c r="W86" s="12" t="n">
        <v>3979</v>
      </c>
    </row>
    <row r="87">
      <c r="A87" s="18" t="inlineStr">
        <is>
          <t>운임</t>
        </is>
      </c>
      <c r="C87" s="20" t="n">
        <v>582</v>
      </c>
      <c r="D87" s="20" t="n">
        <v>561</v>
      </c>
      <c r="E87" s="20" t="n">
        <v>634</v>
      </c>
      <c r="F87" s="20" t="n">
        <v>488</v>
      </c>
      <c r="G87" s="20" t="n">
        <v>627</v>
      </c>
      <c r="H87" s="20" t="n">
        <v>573</v>
      </c>
      <c r="I87" s="20" t="n">
        <v>634</v>
      </c>
      <c r="J87" s="20" t="n">
        <v>447</v>
      </c>
      <c r="K87" s="20" t="n">
        <v>680</v>
      </c>
      <c r="L87" s="20" t="n">
        <v>603</v>
      </c>
      <c r="S87" s="20" t="n">
        <v>504</v>
      </c>
      <c r="T87" s="20" t="n">
        <v>560</v>
      </c>
      <c r="U87" s="20" t="n">
        <v>477</v>
      </c>
      <c r="V87" s="20" t="n">
        <v>488</v>
      </c>
      <c r="W87" s="20" t="n">
        <v>447</v>
      </c>
    </row>
    <row r="88">
      <c r="A88" s="18" t="inlineStr">
        <is>
          <t>대손충당금 전입</t>
        </is>
      </c>
      <c r="C88" s="20" t="n">
        <v>-0</v>
      </c>
      <c r="D88" s="20" t="n">
        <v>0</v>
      </c>
      <c r="E88" s="20" t="n">
        <v>0</v>
      </c>
      <c r="F88" s="20" t="n">
        <v>-0</v>
      </c>
      <c r="G88" s="20" t="n">
        <v>-0</v>
      </c>
      <c r="H88" s="20" t="n">
        <v>0</v>
      </c>
      <c r="I88" s="20" t="n">
        <v>-0</v>
      </c>
      <c r="J88" s="20" t="n">
        <v>3</v>
      </c>
      <c r="K88" s="20" t="n">
        <v>0</v>
      </c>
      <c r="L88" s="20" t="n">
        <v>0</v>
      </c>
      <c r="S88" s="20" t="n">
        <v>0</v>
      </c>
      <c r="T88" s="20" t="n">
        <v>-9</v>
      </c>
      <c r="U88" s="20" t="n">
        <v>1</v>
      </c>
      <c r="V88" s="20" t="n">
        <v>-0</v>
      </c>
      <c r="W88" s="20" t="n">
        <v>3</v>
      </c>
    </row>
    <row r="89">
      <c r="A89" s="18" t="inlineStr">
        <is>
          <t>임원 보수</t>
        </is>
      </c>
      <c r="C89" s="20" t="n">
        <v>67</v>
      </c>
      <c r="D89" s="20" t="n">
        <v>72</v>
      </c>
      <c r="E89" s="20" t="n">
        <v>72</v>
      </c>
      <c r="F89" s="20" t="n">
        <v>41</v>
      </c>
      <c r="G89" s="20" t="n">
        <v>73</v>
      </c>
      <c r="H89" s="20" t="n">
        <v>83</v>
      </c>
      <c r="I89" s="20" t="n">
        <v>82</v>
      </c>
      <c r="J89" s="20" t="n">
        <v>45</v>
      </c>
      <c r="K89" s="20" t="n">
        <v>83</v>
      </c>
      <c r="L89" s="20" t="n">
        <v>83</v>
      </c>
      <c r="S89" s="20" t="n">
        <v>76</v>
      </c>
      <c r="T89" s="20" t="n">
        <v>90</v>
      </c>
      <c r="U89" s="20" t="n">
        <v>63</v>
      </c>
      <c r="V89" s="20" t="n">
        <v>41</v>
      </c>
      <c r="W89" s="20" t="n">
        <v>45</v>
      </c>
    </row>
    <row r="90">
      <c r="A90" s="18" t="inlineStr">
        <is>
          <t>급여·수당</t>
        </is>
      </c>
      <c r="C90" s="20" t="n">
        <v>710</v>
      </c>
      <c r="D90" s="20" t="n">
        <v>1180</v>
      </c>
      <c r="E90" s="20" t="n">
        <v>787</v>
      </c>
      <c r="F90" s="20" t="n">
        <v>976</v>
      </c>
      <c r="G90" s="20" t="n">
        <v>739</v>
      </c>
      <c r="H90" s="20" t="n">
        <v>1198</v>
      </c>
      <c r="I90" s="20" t="n">
        <v>750</v>
      </c>
      <c r="J90" s="20" t="n">
        <v>1064</v>
      </c>
      <c r="K90" s="20" t="n">
        <v>759</v>
      </c>
      <c r="L90" s="20" t="n">
        <v>1199</v>
      </c>
      <c r="S90" s="20" t="n">
        <v>990</v>
      </c>
      <c r="T90" s="20" t="n">
        <v>994</v>
      </c>
      <c r="U90" s="20" t="n">
        <v>997</v>
      </c>
      <c r="V90" s="20" t="n">
        <v>976</v>
      </c>
      <c r="W90" s="20" t="n">
        <v>1064</v>
      </c>
    </row>
    <row r="91">
      <c r="A91" s="18" t="inlineStr">
        <is>
          <t>상여충당금 전입</t>
        </is>
      </c>
      <c r="C91" s="20" t="n">
        <v>233</v>
      </c>
      <c r="G91" s="20" t="n">
        <v>226</v>
      </c>
      <c r="K91" s="20" t="n">
        <v>223</v>
      </c>
    </row>
    <row r="92">
      <c r="A92" s="18" t="inlineStr">
        <is>
          <t>퇴직급여비용</t>
        </is>
      </c>
      <c r="C92" s="20" t="n">
        <v>26</v>
      </c>
      <c r="D92" s="20" t="n">
        <v>28</v>
      </c>
      <c r="E92" s="20" t="n">
        <v>27</v>
      </c>
      <c r="F92" s="20" t="n">
        <v>36</v>
      </c>
      <c r="G92" s="20" t="n">
        <v>25</v>
      </c>
      <c r="H92" s="20" t="n">
        <v>26</v>
      </c>
      <c r="I92" s="20" t="n">
        <v>26</v>
      </c>
      <c r="J92" s="20" t="n">
        <v>31</v>
      </c>
      <c r="K92" s="20" t="n">
        <v>20</v>
      </c>
      <c r="L92" s="20" t="n">
        <v>18</v>
      </c>
      <c r="S92" s="20" t="n">
        <v>62</v>
      </c>
      <c r="T92" s="20" t="n">
        <v>15</v>
      </c>
      <c r="U92" s="20" t="n">
        <v>40</v>
      </c>
      <c r="V92" s="20" t="n">
        <v>36</v>
      </c>
      <c r="W92" s="20" t="n">
        <v>31</v>
      </c>
    </row>
    <row r="93">
      <c r="A93" s="18" t="inlineStr">
        <is>
          <t>주식 지급 충당금 전입액</t>
        </is>
      </c>
      <c r="C93" s="20" t="n">
        <v>6</v>
      </c>
      <c r="D93" s="20" t="n">
        <v>7</v>
      </c>
      <c r="E93" s="20" t="n">
        <v>6</v>
      </c>
      <c r="F93" s="20" t="n">
        <v>4</v>
      </c>
      <c r="G93" s="20" t="n">
        <v>6</v>
      </c>
      <c r="H93" s="20" t="n">
        <v>6</v>
      </c>
      <c r="I93" s="20" t="n">
        <v>6</v>
      </c>
      <c r="J93" s="20" t="n">
        <v>5</v>
      </c>
      <c r="K93" s="20" t="n">
        <v>5</v>
      </c>
      <c r="L93" s="20" t="n">
        <v>6</v>
      </c>
      <c r="S93" s="20" t="n">
        <v>16</v>
      </c>
      <c r="T93" s="20" t="n">
        <v>14</v>
      </c>
      <c r="U93" s="20" t="n">
        <v>38</v>
      </c>
      <c r="V93" s="20" t="n">
        <v>4</v>
      </c>
      <c r="W93" s="20" t="n">
        <v>5</v>
      </c>
    </row>
    <row r="94">
      <c r="A94" s="18" t="inlineStr">
        <is>
          <t>임원 주식 지급 충당금 전입액</t>
        </is>
      </c>
      <c r="C94" s="20" t="n">
        <v>7</v>
      </c>
      <c r="D94" s="20" t="n">
        <v>9</v>
      </c>
      <c r="E94" s="20" t="n">
        <v>9</v>
      </c>
      <c r="F94" s="20" t="n">
        <v>-3</v>
      </c>
      <c r="G94" s="20" t="n">
        <v>9</v>
      </c>
      <c r="H94" s="20" t="n">
        <v>9</v>
      </c>
      <c r="I94" s="20" t="n">
        <v>9</v>
      </c>
      <c r="J94" s="20" t="n">
        <v>7</v>
      </c>
      <c r="K94" s="20" t="n">
        <v>9</v>
      </c>
      <c r="L94" s="20" t="n">
        <v>9</v>
      </c>
      <c r="U94" s="20" t="n">
        <v>-15</v>
      </c>
      <c r="V94" s="20" t="n">
        <v>-3</v>
      </c>
      <c r="W94" s="20" t="n">
        <v>7</v>
      </c>
    </row>
    <row r="95">
      <c r="A95" s="18" t="inlineStr">
        <is>
          <t>임원 퇴직위로 충당금 전입</t>
        </is>
      </c>
      <c r="C95" s="20" t="n">
        <v>3</v>
      </c>
      <c r="D95" s="20" t="n">
        <v>3</v>
      </c>
      <c r="E95" s="20" t="n">
        <v>4</v>
      </c>
      <c r="F95" s="20" t="n">
        <v>2</v>
      </c>
      <c r="G95" s="20" t="n">
        <v>3</v>
      </c>
      <c r="H95" s="20" t="n">
        <v>3</v>
      </c>
      <c r="I95" s="20" t="n">
        <v>4</v>
      </c>
      <c r="J95" s="20" t="n">
        <v>3</v>
      </c>
      <c r="K95" s="20" t="n">
        <v>3</v>
      </c>
      <c r="L95" s="20" t="n">
        <v>3</v>
      </c>
      <c r="S95" s="20" t="n">
        <v>5</v>
      </c>
      <c r="T95" s="20" t="n">
        <v>5</v>
      </c>
      <c r="U95" s="20" t="n">
        <v>4</v>
      </c>
      <c r="V95" s="20" t="n">
        <v>2</v>
      </c>
      <c r="W95" s="20" t="n">
        <v>3</v>
      </c>
    </row>
    <row r="96">
      <c r="A96" s="18" t="inlineStr">
        <is>
          <t>기타</t>
        </is>
      </c>
      <c r="C96" s="20" t="n">
        <v>1210</v>
      </c>
      <c r="D96" s="20" t="n">
        <v>953</v>
      </c>
      <c r="E96" s="20" t="n">
        <v>1219</v>
      </c>
      <c r="F96" s="20" t="n">
        <v>711</v>
      </c>
      <c r="G96" s="20" t="n">
        <v>1236</v>
      </c>
      <c r="H96" s="20" t="n">
        <v>956</v>
      </c>
      <c r="I96" s="20" t="n">
        <v>1014</v>
      </c>
      <c r="J96" s="20" t="n">
        <v>1152</v>
      </c>
      <c r="K96" s="20" t="n">
        <v>1342</v>
      </c>
      <c r="L96" s="20" t="n">
        <v>1081</v>
      </c>
      <c r="S96" s="20" t="n">
        <v>765</v>
      </c>
      <c r="T96" s="20" t="n">
        <v>689</v>
      </c>
      <c r="U96" s="20" t="n">
        <v>374</v>
      </c>
      <c r="V96" s="20" t="n">
        <v>711</v>
      </c>
      <c r="W96" s="20" t="n">
        <v>1152</v>
      </c>
    </row>
    <row r="97">
      <c r="A97" s="18" t="inlineStr">
        <is>
          <t>판매비와 관리비 합계</t>
        </is>
      </c>
      <c r="C97" s="20" t="n">
        <v>2847</v>
      </c>
      <c r="D97" s="20" t="n">
        <v>2580</v>
      </c>
      <c r="E97" s="20" t="n">
        <v>2900</v>
      </c>
      <c r="F97" s="20" t="n">
        <v>2114</v>
      </c>
      <c r="G97" s="20" t="n">
        <v>2947</v>
      </c>
      <c r="H97" s="20" t="n">
        <v>2628</v>
      </c>
      <c r="I97" s="20" t="n">
        <v>2733</v>
      </c>
      <c r="J97" s="20" t="n">
        <v>2549</v>
      </c>
      <c r="K97" s="20" t="n">
        <v>3128</v>
      </c>
      <c r="L97" s="20" t="n">
        <v>2780</v>
      </c>
      <c r="S97" s="20" t="n">
        <v>2274</v>
      </c>
      <c r="T97" s="20" t="n">
        <v>2216</v>
      </c>
      <c r="U97" s="20" t="n">
        <v>1843</v>
      </c>
      <c r="V97" s="20" t="n">
        <v>2114</v>
      </c>
      <c r="W97" s="20" t="n">
        <v>2549</v>
      </c>
    </row>
    <row r="98">
      <c r="A98" s="9" t="inlineStr">
        <is>
          <t>영업이익</t>
        </is>
      </c>
      <c r="C98" s="12" t="n">
        <v>1631</v>
      </c>
      <c r="D98" s="12" t="n">
        <v>1837</v>
      </c>
      <c r="E98" s="12" t="n">
        <v>2225</v>
      </c>
      <c r="F98" s="12" t="n">
        <v>1639</v>
      </c>
      <c r="G98" s="12" t="n">
        <v>1479</v>
      </c>
      <c r="H98" s="12" t="n">
        <v>1680</v>
      </c>
      <c r="I98" s="12" t="n">
        <v>2309</v>
      </c>
      <c r="J98" s="12" t="n">
        <v>1429</v>
      </c>
      <c r="K98" s="12" t="n">
        <v>1945</v>
      </c>
      <c r="L98" s="12" t="n">
        <v>1847</v>
      </c>
      <c r="S98" s="12" t="n">
        <v>814</v>
      </c>
      <c r="T98" s="12" t="n">
        <v>766</v>
      </c>
      <c r="U98" s="12" t="n">
        <v>-1665</v>
      </c>
      <c r="V98" s="12" t="n">
        <v>1639</v>
      </c>
      <c r="W98" s="12" t="n">
        <v>1429</v>
      </c>
    </row>
    <row r="99">
      <c r="A99" s="18" t="inlineStr">
        <is>
          <t>이자수익</t>
        </is>
      </c>
      <c r="C99" s="20" t="n">
        <v>3</v>
      </c>
      <c r="D99" s="20" t="n">
        <v>4</v>
      </c>
      <c r="E99" s="20" t="n">
        <v>5</v>
      </c>
      <c r="F99" s="20" t="n">
        <v>2</v>
      </c>
      <c r="G99" s="20" t="n">
        <v>5</v>
      </c>
      <c r="H99" s="20" t="n">
        <v>7</v>
      </c>
      <c r="I99" s="20" t="n">
        <v>6</v>
      </c>
      <c r="J99" s="20" t="n">
        <v>-1</v>
      </c>
      <c r="K99" s="20" t="n">
        <v>9</v>
      </c>
      <c r="L99" s="20" t="n">
        <v>18</v>
      </c>
      <c r="S99" s="20" t="n">
        <v>2</v>
      </c>
      <c r="T99" s="20" t="n">
        <v>3</v>
      </c>
      <c r="U99" s="20" t="n">
        <v>3</v>
      </c>
      <c r="V99" s="20" t="n">
        <v>2</v>
      </c>
      <c r="W99" s="20" t="n">
        <v>-1</v>
      </c>
    </row>
    <row r="100">
      <c r="A100" s="18" t="inlineStr">
        <is>
          <t>배당금수익</t>
        </is>
      </c>
      <c r="C100" s="20" t="n">
        <v>8</v>
      </c>
      <c r="D100" s="20" t="n">
        <v>28</v>
      </c>
      <c r="E100" s="20" t="n">
        <v>26</v>
      </c>
      <c r="F100" s="20" t="n">
        <v>-8</v>
      </c>
      <c r="G100" s="20" t="n">
        <v>6</v>
      </c>
      <c r="H100" s="20" t="n">
        <v>32</v>
      </c>
      <c r="I100" s="20" t="n">
        <v>31</v>
      </c>
      <c r="J100" s="20" t="n">
        <v>-7</v>
      </c>
      <c r="K100" s="20" t="n">
        <v>10</v>
      </c>
      <c r="L100" s="20" t="n">
        <v>37</v>
      </c>
      <c r="S100" s="20" t="n">
        <v>3</v>
      </c>
      <c r="T100" s="20" t="n">
        <v>-1</v>
      </c>
      <c r="U100" s="20" t="n">
        <v>-24</v>
      </c>
      <c r="V100" s="20" t="n">
        <v>-8</v>
      </c>
      <c r="W100" s="20" t="n">
        <v>-7</v>
      </c>
    </row>
    <row r="101">
      <c r="A101" s="18" t="inlineStr">
        <is>
          <t>보험 사무 수수료</t>
        </is>
      </c>
      <c r="C101" s="20" t="n">
        <v>1</v>
      </c>
      <c r="D101" s="20" t="n">
        <v>1</v>
      </c>
      <c r="E101" s="20" t="n">
        <v>2</v>
      </c>
      <c r="F101" s="20" t="n">
        <v>1</v>
      </c>
      <c r="G101" s="20" t="n">
        <v>1</v>
      </c>
      <c r="H101" s="20" t="n">
        <v>1</v>
      </c>
      <c r="I101" s="20" t="n">
        <v>1</v>
      </c>
      <c r="J101" s="20" t="n">
        <v>2</v>
      </c>
      <c r="K101" s="20" t="n">
        <v>1</v>
      </c>
      <c r="L101" s="20" t="n">
        <v>1</v>
      </c>
      <c r="S101" s="20" t="n">
        <v>2</v>
      </c>
      <c r="T101" s="20" t="n">
        <v>2</v>
      </c>
      <c r="U101" s="20" t="n">
        <v>2</v>
      </c>
      <c r="V101" s="20" t="n">
        <v>1</v>
      </c>
      <c r="W101" s="20" t="n">
        <v>2</v>
      </c>
    </row>
    <row r="102">
      <c r="A102" s="18" t="inlineStr">
        <is>
          <t>작업부산물 매각이익</t>
        </is>
      </c>
      <c r="C102" s="20" t="n">
        <v>5</v>
      </c>
      <c r="D102" s="20" t="n">
        <v>6</v>
      </c>
      <c r="E102" s="20" t="n">
        <v>4</v>
      </c>
      <c r="F102" s="20" t="n">
        <v>8</v>
      </c>
      <c r="G102" s="20" t="n">
        <v>3</v>
      </c>
      <c r="H102" s="20" t="n">
        <v>3</v>
      </c>
      <c r="I102" s="20" t="n">
        <v>9</v>
      </c>
      <c r="J102" s="20" t="n">
        <v>11</v>
      </c>
      <c r="K102" s="20" t="n">
        <v>17</v>
      </c>
      <c r="L102" s="20" t="n">
        <v>8</v>
      </c>
      <c r="S102" s="20" t="n">
        <v>-4</v>
      </c>
      <c r="T102" s="20" t="n">
        <v>10</v>
      </c>
      <c r="U102" s="20" t="n">
        <v>6</v>
      </c>
      <c r="V102" s="20" t="n">
        <v>8</v>
      </c>
      <c r="W102" s="20" t="n">
        <v>11</v>
      </c>
    </row>
    <row r="103">
      <c r="A103" s="18" t="inlineStr">
        <is>
          <t>수수료 수익</t>
        </is>
      </c>
      <c r="C103" s="20" t="n">
        <v>7</v>
      </c>
      <c r="D103" s="20" t="n">
        <v>7</v>
      </c>
      <c r="E103" s="20" t="n">
        <v>8</v>
      </c>
      <c r="F103" s="20" t="n">
        <v>6</v>
      </c>
      <c r="G103" s="20" t="n">
        <v>7</v>
      </c>
      <c r="H103" s="20" t="n">
        <v>5</v>
      </c>
      <c r="I103" s="20" t="n">
        <v>6</v>
      </c>
      <c r="J103" s="20" t="n">
        <v>10</v>
      </c>
      <c r="K103" s="20" t="n">
        <v>6</v>
      </c>
      <c r="L103" s="20" t="n">
        <v>5</v>
      </c>
      <c r="V103" s="20" t="n">
        <v>6</v>
      </c>
      <c r="W103" s="20" t="n">
        <v>10</v>
      </c>
    </row>
    <row r="104">
      <c r="A104" s="18" t="inlineStr">
        <is>
          <t>기타</t>
        </is>
      </c>
      <c r="C104" s="20" t="n">
        <v>15</v>
      </c>
      <c r="D104" s="20" t="n">
        <v>14</v>
      </c>
      <c r="E104" s="20" t="n">
        <v>24</v>
      </c>
      <c r="F104" s="20" t="n">
        <v>-3</v>
      </c>
      <c r="G104" s="20" t="n">
        <v>19</v>
      </c>
      <c r="H104" s="20" t="n">
        <v>16</v>
      </c>
      <c r="I104" s="20" t="n">
        <v>10</v>
      </c>
      <c r="J104" s="20" t="n">
        <v>30</v>
      </c>
      <c r="K104" s="20" t="n">
        <v>21</v>
      </c>
      <c r="L104" s="20" t="n">
        <v>16</v>
      </c>
      <c r="S104" s="20" t="n">
        <v>60</v>
      </c>
      <c r="T104" s="20" t="n">
        <v>-2</v>
      </c>
      <c r="U104" s="20" t="n">
        <v>-14</v>
      </c>
      <c r="V104" s="20" t="n">
        <v>-3</v>
      </c>
      <c r="W104" s="20" t="n">
        <v>30</v>
      </c>
    </row>
    <row r="105">
      <c r="A105" s="18" t="inlineStr">
        <is>
          <t>영업외수익 합계</t>
        </is>
      </c>
      <c r="C105" s="20" t="n">
        <v>42</v>
      </c>
      <c r="D105" s="20" t="n">
        <v>60</v>
      </c>
      <c r="E105" s="20" t="n">
        <v>68</v>
      </c>
      <c r="F105" s="20" t="n">
        <v>6</v>
      </c>
      <c r="G105" s="20" t="n">
        <v>43</v>
      </c>
      <c r="H105" s="20" t="n">
        <v>64</v>
      </c>
      <c r="I105" s="20" t="n">
        <v>63</v>
      </c>
      <c r="J105" s="20" t="n">
        <v>45</v>
      </c>
      <c r="K105" s="20" t="n">
        <v>65</v>
      </c>
      <c r="L105" s="20" t="n">
        <v>86</v>
      </c>
      <c r="S105" s="20" t="n">
        <v>63</v>
      </c>
      <c r="T105" s="20" t="n">
        <v>20</v>
      </c>
      <c r="U105" s="20" t="n">
        <v>-5</v>
      </c>
      <c r="V105" s="20" t="n">
        <v>6</v>
      </c>
      <c r="W105" s="20" t="n">
        <v>45</v>
      </c>
    </row>
    <row r="106">
      <c r="A106" s="18" t="inlineStr">
        <is>
          <t>이자비용</t>
        </is>
      </c>
      <c r="C106" s="20" t="n">
        <v>1</v>
      </c>
      <c r="D106" s="20" t="n">
        <v>1</v>
      </c>
      <c r="E106" s="20" t="n">
        <v>2</v>
      </c>
      <c r="F106" s="20" t="n">
        <v>-1</v>
      </c>
      <c r="G106" s="20" t="n">
        <v>1</v>
      </c>
      <c r="H106" s="20" t="n">
        <v>3</v>
      </c>
      <c r="I106" s="20" t="n">
        <v>2</v>
      </c>
      <c r="J106" s="20" t="n">
        <v>-1</v>
      </c>
      <c r="K106" s="20" t="n">
        <v>2</v>
      </c>
      <c r="L106" s="20" t="n">
        <v>3</v>
      </c>
      <c r="S106" s="20" t="n">
        <v>2</v>
      </c>
      <c r="T106" s="20" t="n">
        <v>2</v>
      </c>
      <c r="U106" s="20" t="n">
        <v>2</v>
      </c>
      <c r="V106" s="20" t="n">
        <v>-1</v>
      </c>
      <c r="W106" s="20" t="n">
        <v>-1</v>
      </c>
    </row>
    <row r="107">
      <c r="A107" s="18" t="inlineStr">
        <is>
          <t>매출할인</t>
        </is>
      </c>
      <c r="S107" s="20" t="n">
        <v>43</v>
      </c>
      <c r="T107" s="20" t="n">
        <v>180</v>
      </c>
    </row>
    <row r="108">
      <c r="A108" s="18" t="inlineStr">
        <is>
          <t>사채발행비</t>
        </is>
      </c>
      <c r="C108" s="20" t="n">
        <v>5</v>
      </c>
      <c r="D108" s="20" t="n">
        <v>0</v>
      </c>
      <c r="E108" s="20" t="n">
        <v>0</v>
      </c>
      <c r="F108" s="20" t="n">
        <v>1</v>
      </c>
      <c r="G108" s="20" t="n">
        <v>5</v>
      </c>
      <c r="H108" s="20" t="n">
        <v>0</v>
      </c>
      <c r="I108" s="20" t="n">
        <v>0</v>
      </c>
      <c r="J108" s="20" t="n">
        <v>0</v>
      </c>
      <c r="K108" s="20" t="n">
        <v>0</v>
      </c>
      <c r="L108" s="20" t="n">
        <v>0</v>
      </c>
      <c r="T108" s="20" t="n">
        <v>-2</v>
      </c>
      <c r="U108" s="20" t="n">
        <v>-1</v>
      </c>
      <c r="V108" s="20" t="n">
        <v>1</v>
      </c>
      <c r="W108" s="20" t="n">
        <v>0</v>
      </c>
    </row>
    <row r="109">
      <c r="A109" s="18" t="inlineStr">
        <is>
          <t>고정자산 제각손실</t>
        </is>
      </c>
      <c r="C109" s="20" t="n">
        <v>0</v>
      </c>
      <c r="F109" s="20" t="n">
        <v>5</v>
      </c>
      <c r="G109" s="20" t="n">
        <v>0</v>
      </c>
      <c r="H109" s="20" t="n">
        <v>1</v>
      </c>
      <c r="I109" s="20" t="n">
        <v>6</v>
      </c>
      <c r="J109" s="20" t="n">
        <v>5</v>
      </c>
      <c r="K109" s="20" t="n">
        <v>1</v>
      </c>
      <c r="L109" s="20" t="n">
        <v>9</v>
      </c>
      <c r="S109" s="20" t="n">
        <v>13</v>
      </c>
      <c r="T109" s="20" t="n">
        <v>14</v>
      </c>
      <c r="U109" s="20" t="n">
        <v>6</v>
      </c>
      <c r="V109" s="20" t="n">
        <v>5</v>
      </c>
      <c r="W109" s="20" t="n">
        <v>5</v>
      </c>
    </row>
    <row r="110">
      <c r="A110" s="18" t="inlineStr">
        <is>
          <t>보상비 지급</t>
        </is>
      </c>
      <c r="E110" s="20" t="n">
        <v>10</v>
      </c>
      <c r="F110" s="20" t="n">
        <v>-16</v>
      </c>
      <c r="V110" s="20" t="n">
        <v>-16</v>
      </c>
    </row>
    <row r="111">
      <c r="A111" s="18" t="inlineStr">
        <is>
          <t>기타</t>
        </is>
      </c>
      <c r="C111" s="20" t="n">
        <v>1</v>
      </c>
      <c r="D111" s="20" t="n">
        <v>18</v>
      </c>
      <c r="E111" s="20" t="n">
        <v>3</v>
      </c>
      <c r="F111" s="20" t="n">
        <v>-18</v>
      </c>
      <c r="G111" s="20" t="n">
        <v>2</v>
      </c>
      <c r="H111" s="20" t="n">
        <v>1</v>
      </c>
      <c r="I111" s="20" t="n">
        <v>0</v>
      </c>
      <c r="J111" s="20" t="n">
        <v>0</v>
      </c>
      <c r="K111" s="20" t="n">
        <v>0</v>
      </c>
      <c r="L111" s="20" t="n">
        <v>3</v>
      </c>
      <c r="S111" s="20" t="n">
        <v>5</v>
      </c>
      <c r="T111" s="20" t="n">
        <v>-2</v>
      </c>
      <c r="U111" s="20" t="n">
        <v>4</v>
      </c>
      <c r="V111" s="20" t="n">
        <v>-18</v>
      </c>
      <c r="W111" s="20" t="n">
        <v>0</v>
      </c>
    </row>
    <row r="112">
      <c r="A112" s="18" t="inlineStr">
        <is>
          <t>영업외비용 합계</t>
        </is>
      </c>
      <c r="C112" s="20" t="n">
        <v>8</v>
      </c>
      <c r="D112" s="20" t="n">
        <v>19</v>
      </c>
      <c r="E112" s="20" t="n">
        <v>13</v>
      </c>
      <c r="F112" s="20" t="n">
        <v>-9</v>
      </c>
      <c r="G112" s="20" t="n">
        <v>10</v>
      </c>
      <c r="H112" s="20" t="n">
        <v>4</v>
      </c>
      <c r="I112" s="20" t="n">
        <v>8</v>
      </c>
      <c r="J112" s="20" t="n">
        <v>23</v>
      </c>
      <c r="K112" s="20" t="n">
        <v>4</v>
      </c>
      <c r="L112" s="20" t="n">
        <v>14</v>
      </c>
      <c r="S112" s="20" t="n">
        <v>60</v>
      </c>
      <c r="T112" s="20" t="n">
        <v>193</v>
      </c>
      <c r="U112" s="20" t="n">
        <v>6</v>
      </c>
      <c r="V112" s="20" t="n">
        <v>-9</v>
      </c>
      <c r="W112" s="20" t="n">
        <v>23</v>
      </c>
    </row>
    <row r="113">
      <c r="A113" s="9" t="inlineStr">
        <is>
          <t>경상이익</t>
        </is>
      </c>
      <c r="C113" s="12" t="n">
        <v>1665</v>
      </c>
      <c r="D113" s="12" t="n">
        <v>1879</v>
      </c>
      <c r="E113" s="12" t="n">
        <v>2279</v>
      </c>
      <c r="F113" s="12" t="n">
        <v>1654</v>
      </c>
      <c r="G113" s="12" t="n">
        <v>1513</v>
      </c>
      <c r="H113" s="12" t="n">
        <v>1739</v>
      </c>
      <c r="I113" s="12" t="n">
        <v>2364</v>
      </c>
      <c r="J113" s="12" t="n">
        <v>1451</v>
      </c>
      <c r="K113" s="12" t="n">
        <v>2006</v>
      </c>
      <c r="L113" s="12" t="n">
        <v>1919</v>
      </c>
      <c r="S113" s="12" t="n">
        <v>818</v>
      </c>
      <c r="T113" s="12" t="n">
        <v>592</v>
      </c>
      <c r="U113" s="12" t="n">
        <v>-1677</v>
      </c>
      <c r="V113" s="12" t="n">
        <v>1654</v>
      </c>
      <c r="W113" s="12" t="n">
        <v>1451</v>
      </c>
    </row>
    <row r="114">
      <c r="A114" s="18" t="inlineStr">
        <is>
          <t>보조금 수입</t>
        </is>
      </c>
      <c r="C114" s="20" t="n">
        <v>0</v>
      </c>
      <c r="D114" s="20" t="n">
        <v>0</v>
      </c>
      <c r="E114" s="20" t="n">
        <v>0</v>
      </c>
      <c r="F114" s="20" t="n">
        <v>191</v>
      </c>
      <c r="G114" s="20" t="n">
        <v>53</v>
      </c>
      <c r="H114" s="20" t="n">
        <v>0</v>
      </c>
      <c r="I114" s="20" t="n">
        <v>0</v>
      </c>
      <c r="J114" s="20" t="n">
        <v>-44</v>
      </c>
      <c r="K114" s="20" t="n">
        <v>0</v>
      </c>
      <c r="L114" s="20" t="n">
        <v>0</v>
      </c>
      <c r="T114" s="20" t="n">
        <v>30</v>
      </c>
      <c r="U114" s="20" t="n">
        <v>-50</v>
      </c>
      <c r="V114" s="20" t="n">
        <v>191</v>
      </c>
      <c r="W114" s="20" t="n">
        <v>-44</v>
      </c>
    </row>
    <row r="115">
      <c r="A115" s="18" t="inlineStr">
        <is>
          <t>특별이익 합계</t>
        </is>
      </c>
      <c r="C115" s="20" t="n">
        <v>0</v>
      </c>
      <c r="D115" s="20" t="n">
        <v>0</v>
      </c>
      <c r="E115" s="20" t="n">
        <v>0</v>
      </c>
      <c r="F115" s="20" t="n">
        <v>191</v>
      </c>
      <c r="G115" s="20" t="n">
        <v>53</v>
      </c>
      <c r="H115" s="20" t="n">
        <v>0</v>
      </c>
      <c r="I115" s="20" t="n">
        <v>0</v>
      </c>
      <c r="J115" s="20" t="n">
        <v>-44</v>
      </c>
      <c r="K115" s="20" t="n">
        <v>0</v>
      </c>
      <c r="L115" s="20" t="n">
        <v>0</v>
      </c>
      <c r="T115" s="20" t="n">
        <v>30</v>
      </c>
      <c r="U115" s="20" t="n">
        <v>-50</v>
      </c>
      <c r="V115" s="20" t="n">
        <v>191</v>
      </c>
      <c r="W115" s="20" t="n">
        <v>-44</v>
      </c>
    </row>
    <row r="116">
      <c r="A116" s="18" t="inlineStr">
        <is>
          <t>고정자산 압축손실</t>
        </is>
      </c>
      <c r="C116" s="20" t="n">
        <v>0</v>
      </c>
      <c r="D116" s="20" t="n">
        <v>0</v>
      </c>
      <c r="E116" s="20" t="n">
        <v>0</v>
      </c>
      <c r="F116" s="20" t="n">
        <v>191</v>
      </c>
      <c r="G116" s="20" t="n">
        <v>53</v>
      </c>
      <c r="H116" s="20" t="n">
        <v>0</v>
      </c>
      <c r="I116" s="20" t="n">
        <v>0</v>
      </c>
      <c r="J116" s="20" t="n">
        <v>-44</v>
      </c>
      <c r="K116" s="20" t="n">
        <v>0</v>
      </c>
      <c r="L116" s="20" t="n">
        <v>0</v>
      </c>
      <c r="T116" s="20" t="n">
        <v>30</v>
      </c>
      <c r="U116" s="20" t="n">
        <v>-50</v>
      </c>
      <c r="V116" s="20" t="n">
        <v>191</v>
      </c>
      <c r="W116" s="20" t="n">
        <v>-44</v>
      </c>
    </row>
    <row r="117">
      <c r="A117" s="18" t="inlineStr">
        <is>
          <t>특별손실 합계</t>
        </is>
      </c>
      <c r="C117" s="20" t="n">
        <v>0</v>
      </c>
      <c r="D117" s="20" t="n">
        <v>0</v>
      </c>
      <c r="E117" s="20" t="n">
        <v>0</v>
      </c>
      <c r="F117" s="20" t="n">
        <v>191</v>
      </c>
      <c r="G117" s="20" t="n">
        <v>53</v>
      </c>
      <c r="H117" s="20" t="n">
        <v>0</v>
      </c>
      <c r="I117" s="20" t="n">
        <v>0</v>
      </c>
      <c r="J117" s="20" t="n">
        <v>-44</v>
      </c>
      <c r="K117" s="20" t="n">
        <v>0</v>
      </c>
      <c r="L117" s="20" t="n">
        <v>31</v>
      </c>
      <c r="T117" s="20" t="n">
        <v>166</v>
      </c>
      <c r="U117" s="20" t="n">
        <v>-25</v>
      </c>
      <c r="V117" s="20" t="n">
        <v>191</v>
      </c>
      <c r="W117" s="20" t="n">
        <v>-44</v>
      </c>
    </row>
    <row r="118">
      <c r="A118" s="9" t="inlineStr">
        <is>
          <t>법인세차감전 순이익</t>
        </is>
      </c>
      <c r="C118" s="12" t="n">
        <v>1665</v>
      </c>
      <c r="D118" s="12" t="n">
        <v>1879</v>
      </c>
      <c r="E118" s="12" t="n">
        <v>2279</v>
      </c>
      <c r="F118" s="12" t="n">
        <v>1654</v>
      </c>
      <c r="G118" s="12" t="n">
        <v>1513</v>
      </c>
      <c r="H118" s="12" t="n">
        <v>1739</v>
      </c>
      <c r="I118" s="12" t="n">
        <v>2364</v>
      </c>
      <c r="J118" s="12" t="n">
        <v>1451</v>
      </c>
      <c r="K118" s="12" t="n">
        <v>2006</v>
      </c>
      <c r="L118" s="12" t="n">
        <v>1887</v>
      </c>
      <c r="S118" s="12" t="n">
        <v>961</v>
      </c>
      <c r="T118" s="12" t="n">
        <v>456</v>
      </c>
      <c r="U118" s="12" t="n">
        <v>-1703</v>
      </c>
      <c r="V118" s="12" t="n">
        <v>1654</v>
      </c>
      <c r="W118" s="12" t="n">
        <v>1451</v>
      </c>
    </row>
    <row r="119">
      <c r="A119" s="18" t="inlineStr">
        <is>
          <t>법인세·주민세·사업세</t>
        </is>
      </c>
      <c r="C119" s="20" t="n">
        <v>325</v>
      </c>
      <c r="D119" s="20" t="n">
        <v>799</v>
      </c>
      <c r="E119" s="20" t="n">
        <v>540</v>
      </c>
      <c r="F119" s="20" t="n">
        <v>679</v>
      </c>
      <c r="G119" s="20" t="n">
        <v>263</v>
      </c>
      <c r="H119" s="20" t="n">
        <v>747</v>
      </c>
      <c r="I119" s="20" t="n">
        <v>449</v>
      </c>
      <c r="J119" s="20" t="n">
        <v>783</v>
      </c>
      <c r="K119" s="20" t="n">
        <v>397</v>
      </c>
      <c r="L119" s="20" t="n">
        <v>778</v>
      </c>
      <c r="S119" s="20" t="n">
        <v>346</v>
      </c>
      <c r="T119" s="20" t="n">
        <v>347</v>
      </c>
      <c r="U119" s="20" t="n">
        <v>-212</v>
      </c>
      <c r="V119" s="20" t="n">
        <v>679</v>
      </c>
      <c r="W119" s="20" t="n">
        <v>783</v>
      </c>
    </row>
    <row r="120">
      <c r="A120" s="18" t="inlineStr">
        <is>
          <t>법인세 조정액</t>
        </is>
      </c>
      <c r="C120" s="20" t="n">
        <v>194</v>
      </c>
      <c r="D120" s="20" t="n">
        <v>-203</v>
      </c>
      <c r="E120" s="20" t="n">
        <v>174</v>
      </c>
      <c r="F120" s="20" t="n">
        <v>-226</v>
      </c>
      <c r="G120" s="20" t="n">
        <v>195</v>
      </c>
      <c r="H120" s="20" t="n">
        <v>-194</v>
      </c>
      <c r="I120" s="20" t="n">
        <v>278</v>
      </c>
      <c r="J120" s="20" t="n">
        <v>-356</v>
      </c>
      <c r="K120" s="20" t="n">
        <v>208</v>
      </c>
      <c r="L120" s="20" t="n">
        <v>-177</v>
      </c>
      <c r="S120" s="20" t="n">
        <v>-4</v>
      </c>
      <c r="T120" s="20" t="n">
        <v>-214</v>
      </c>
      <c r="U120" s="20" t="n">
        <v>-272</v>
      </c>
      <c r="V120" s="20" t="n">
        <v>-226</v>
      </c>
      <c r="W120" s="20" t="n">
        <v>-356</v>
      </c>
    </row>
    <row r="121">
      <c r="A121" s="18" t="inlineStr">
        <is>
          <t>법인세 등 합계</t>
        </is>
      </c>
      <c r="C121" s="20" t="n">
        <v>519</v>
      </c>
      <c r="D121" s="20" t="n">
        <v>595</v>
      </c>
      <c r="E121" s="20" t="n">
        <v>715</v>
      </c>
      <c r="F121" s="20" t="n">
        <v>453</v>
      </c>
      <c r="G121" s="20" t="n">
        <v>458</v>
      </c>
      <c r="H121" s="20" t="n">
        <v>554</v>
      </c>
      <c r="I121" s="20" t="n">
        <v>727</v>
      </c>
      <c r="J121" s="20" t="n">
        <v>426</v>
      </c>
      <c r="K121" s="20" t="n">
        <v>606</v>
      </c>
      <c r="L121" s="20" t="n">
        <v>601</v>
      </c>
      <c r="S121" s="20" t="n">
        <v>341</v>
      </c>
      <c r="T121" s="20" t="n">
        <v>132</v>
      </c>
      <c r="U121" s="20" t="n">
        <v>-485</v>
      </c>
      <c r="V121" s="20" t="n">
        <v>453</v>
      </c>
      <c r="W121" s="20" t="n">
        <v>426</v>
      </c>
    </row>
    <row r="122">
      <c r="A122" s="9" t="inlineStr">
        <is>
          <t>순이익</t>
        </is>
      </c>
      <c r="C122" s="12" t="n">
        <v>1145</v>
      </c>
      <c r="D122" s="12" t="n">
        <v>1285</v>
      </c>
      <c r="E122" s="12" t="n">
        <v>1564</v>
      </c>
      <c r="F122" s="12" t="n">
        <v>1201</v>
      </c>
      <c r="G122" s="12" t="n">
        <v>1055</v>
      </c>
      <c r="H122" s="12" t="n">
        <v>1184</v>
      </c>
      <c r="I122" s="12" t="n">
        <v>1637</v>
      </c>
      <c r="J122" s="12" t="n">
        <v>1026</v>
      </c>
      <c r="K122" s="12" t="n">
        <v>1400</v>
      </c>
      <c r="L122" s="12" t="n">
        <v>1286</v>
      </c>
      <c r="S122" s="12" t="n">
        <v>619</v>
      </c>
      <c r="T122" s="12" t="n">
        <v>324</v>
      </c>
      <c r="U122" s="12" t="n">
        <v>-1218</v>
      </c>
      <c r="V122" s="12" t="n">
        <v>1201</v>
      </c>
      <c r="W122" s="12" t="n">
        <v>1026</v>
      </c>
    </row>
    <row r="123">
      <c r="A123" s="9" t="inlineStr">
        <is>
          <t>비지배주주 순이익</t>
        </is>
      </c>
      <c r="C123" s="12" t="n">
        <v>17</v>
      </c>
      <c r="D123" s="12" t="n">
        <v>14</v>
      </c>
      <c r="E123" s="12" t="n">
        <v>16</v>
      </c>
      <c r="F123" s="12" t="n">
        <v>31</v>
      </c>
      <c r="G123" s="12" t="n">
        <v>22</v>
      </c>
      <c r="H123" s="12" t="n">
        <v>22</v>
      </c>
      <c r="I123" s="12" t="n">
        <v>20</v>
      </c>
      <c r="J123" s="12" t="n">
        <v>4</v>
      </c>
      <c r="K123" s="12" t="n">
        <v>21</v>
      </c>
      <c r="L123" s="12" t="n">
        <v>19</v>
      </c>
      <c r="S123" s="12" t="n">
        <v>16</v>
      </c>
      <c r="T123" s="12" t="n">
        <v>29</v>
      </c>
      <c r="U123" s="12" t="n">
        <v>21</v>
      </c>
      <c r="V123" s="12" t="n">
        <v>31</v>
      </c>
      <c r="W123" s="12" t="n">
        <v>4</v>
      </c>
    </row>
    <row r="124">
      <c r="A124" s="9" t="inlineStr">
        <is>
          <t>지배주주 순이익</t>
        </is>
      </c>
      <c r="C124" s="12" t="n">
        <v>1127</v>
      </c>
      <c r="D124" s="12" t="n">
        <v>1271</v>
      </c>
      <c r="E124" s="12" t="n">
        <v>1548</v>
      </c>
      <c r="F124" s="12" t="n">
        <v>1170</v>
      </c>
      <c r="G124" s="12" t="n">
        <v>1032</v>
      </c>
      <c r="H124" s="12" t="n">
        <v>1163</v>
      </c>
      <c r="I124" s="12" t="n">
        <v>1617</v>
      </c>
      <c r="J124" s="12" t="n">
        <v>1021</v>
      </c>
      <c r="K124" s="12" t="n">
        <v>1379</v>
      </c>
      <c r="L124" s="12" t="n">
        <v>1267</v>
      </c>
      <c r="S124" s="12" t="n">
        <v>603</v>
      </c>
      <c r="T124" s="12" t="n">
        <v>295</v>
      </c>
      <c r="U124" s="12" t="n">
        <v>-1238</v>
      </c>
      <c r="V124" s="12" t="n">
        <v>1170</v>
      </c>
      <c r="W124" s="12" t="n">
        <v>1021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2025.1Q</t>
        </is>
      </c>
      <c r="D127" s="5" t="inlineStr">
        <is>
          <t>2025.2Q</t>
        </is>
      </c>
      <c r="E127" s="5" t="inlineStr">
        <is>
          <t>2025.3Q</t>
        </is>
      </c>
      <c r="F127" s="5" t="inlineStr">
        <is>
          <t>2025.4Q</t>
        </is>
      </c>
      <c r="G127" s="5" t="inlineStr">
        <is>
          <t>2026.1Q</t>
        </is>
      </c>
      <c r="H127" s="5" t="inlineStr">
        <is>
          <t>2026.2Q</t>
        </is>
      </c>
      <c r="I127" s="5" t="inlineStr">
        <is>
          <t>2026.3Q</t>
        </is>
      </c>
      <c r="J127" s="5" t="inlineStr">
        <is>
          <t>2026.4Q</t>
        </is>
      </c>
      <c r="K127" s="5" t="inlineStr">
        <is>
          <t>2027.1Q</t>
        </is>
      </c>
      <c r="L127" s="5" t="inlineStr">
        <is>
          <t>2027.2Q</t>
        </is>
      </c>
      <c r="M127" s="5" t="inlineStr">
        <is>
          <t>2027.3Q</t>
        </is>
      </c>
      <c r="N127" s="5" t="inlineStr">
        <is>
          <t>2027.4Q</t>
        </is>
      </c>
      <c r="O127" s="5" t="inlineStr">
        <is>
          <t>2018</t>
        </is>
      </c>
      <c r="P127" s="5" t="inlineStr">
        <is>
          <t>2019</t>
        </is>
      </c>
      <c r="Q127" s="5" t="inlineStr">
        <is>
          <t>2020</t>
        </is>
      </c>
      <c r="R127" s="5" t="inlineStr">
        <is>
          <t>2021</t>
        </is>
      </c>
      <c r="S127" s="5" t="inlineStr">
        <is>
          <t>2022</t>
        </is>
      </c>
      <c r="T127" s="5" t="inlineStr">
        <is>
          <t>2023</t>
        </is>
      </c>
      <c r="U127" s="5" t="inlineStr">
        <is>
          <t>2024</t>
        </is>
      </c>
      <c r="V127" s="5" t="inlineStr">
        <is>
          <t>2025</t>
        </is>
      </c>
      <c r="W127" s="5" t="inlineStr">
        <is>
          <t>2026</t>
        </is>
      </c>
      <c r="X127" s="5" t="inlineStr">
        <is>
          <t>2027</t>
        </is>
      </c>
      <c r="Y127" s="5" t="inlineStr">
        <is>
          <t>2028(MW)</t>
        </is>
      </c>
      <c r="Z127" s="5" t="inlineStr">
        <is>
          <t>2029(MW)</t>
        </is>
      </c>
      <c r="AA127" s="5" t="inlineStr">
        <is>
          <t>2030(MW)</t>
        </is>
      </c>
      <c r="AB127" s="5" t="inlineStr">
        <is>
          <t>2031(MW)</t>
        </is>
      </c>
      <c r="AC127" s="5" t="inlineStr">
        <is>
          <t>2032(MW)</t>
        </is>
      </c>
    </row>
    <row r="128">
      <c r="A128" s="9" t="inlineStr">
        <is>
          <t>순이익</t>
        </is>
      </c>
      <c r="C128" s="12" t="n">
        <v>1145</v>
      </c>
      <c r="D128" s="12" t="n">
        <v>1285</v>
      </c>
      <c r="E128" s="12" t="n">
        <v>1564</v>
      </c>
      <c r="F128" s="12" t="n">
        <v>1201</v>
      </c>
      <c r="G128" s="12" t="n">
        <v>1055</v>
      </c>
      <c r="H128" s="12" t="n">
        <v>1184</v>
      </c>
      <c r="I128" s="12" t="n">
        <v>1637</v>
      </c>
      <c r="J128" s="12" t="n">
        <v>1026</v>
      </c>
      <c r="K128" s="12" t="n">
        <v>1400</v>
      </c>
      <c r="L128" s="12" t="n">
        <v>1286</v>
      </c>
      <c r="S128" s="12" t="n">
        <v>619</v>
      </c>
      <c r="T128" s="12" t="n">
        <v>324</v>
      </c>
      <c r="U128" s="12" t="n">
        <v>-1218</v>
      </c>
      <c r="V128" s="12" t="n">
        <v>1201</v>
      </c>
      <c r="W128" s="12" t="n">
        <v>1026</v>
      </c>
    </row>
    <row r="129">
      <c r="A129" s="18" t="inlineStr">
        <is>
          <t>기타유가증권 평가차액</t>
        </is>
      </c>
      <c r="C129" s="20" t="n">
        <v>-17</v>
      </c>
      <c r="D129" s="20" t="n">
        <v>46</v>
      </c>
      <c r="E129" s="20" t="n">
        <v>26</v>
      </c>
      <c r="F129" s="20" t="n">
        <v>304</v>
      </c>
      <c r="G129" s="20" t="n">
        <v>-44</v>
      </c>
      <c r="H129" s="20" t="n">
        <v>84</v>
      </c>
      <c r="I129" s="20" t="n">
        <v>120</v>
      </c>
      <c r="J129" s="20" t="n">
        <v>-62</v>
      </c>
      <c r="K129" s="20" t="n">
        <v>179</v>
      </c>
      <c r="L129" s="20" t="n">
        <v>153</v>
      </c>
      <c r="S129" s="20" t="n">
        <v>436</v>
      </c>
      <c r="T129" s="20" t="n">
        <v>-156</v>
      </c>
      <c r="U129" s="20" t="n">
        <v>-175</v>
      </c>
      <c r="V129" s="20" t="n">
        <v>304</v>
      </c>
      <c r="W129" s="20" t="n">
        <v>-62</v>
      </c>
    </row>
    <row r="130">
      <c r="A130" s="18" t="inlineStr">
        <is>
          <t>토지재평가차액금</t>
        </is>
      </c>
      <c r="C130" s="20" t="n">
        <v>0</v>
      </c>
      <c r="D130" s="20" t="n">
        <v>0</v>
      </c>
      <c r="E130" s="20" t="n">
        <v>0</v>
      </c>
      <c r="G130" s="20" t="n">
        <v>-1</v>
      </c>
      <c r="H130" s="20" t="n">
        <v>0</v>
      </c>
      <c r="I130" s="20" t="n">
        <v>0</v>
      </c>
      <c r="J130" s="20" t="n">
        <v>1</v>
      </c>
      <c r="K130" s="20" t="n">
        <v>0</v>
      </c>
      <c r="L130" s="20" t="n">
        <v>0</v>
      </c>
      <c r="W130" s="20" t="n">
        <v>1</v>
      </c>
    </row>
    <row r="131">
      <c r="A131" s="18" t="inlineStr">
        <is>
          <t>퇴직급여 조정액</t>
        </is>
      </c>
      <c r="C131" s="20" t="n">
        <v>-17</v>
      </c>
      <c r="D131" s="20" t="n">
        <v>-18</v>
      </c>
      <c r="E131" s="20" t="n">
        <v>-18</v>
      </c>
      <c r="F131" s="20" t="n">
        <v>275</v>
      </c>
      <c r="G131" s="20" t="n">
        <v>-27</v>
      </c>
      <c r="H131" s="20" t="n">
        <v>-20</v>
      </c>
      <c r="I131" s="20" t="n">
        <v>-20</v>
      </c>
      <c r="J131" s="20" t="n">
        <v>220</v>
      </c>
      <c r="K131" s="20" t="n">
        <v>-43</v>
      </c>
      <c r="L131" s="20" t="n">
        <v>-36</v>
      </c>
      <c r="S131" s="20" t="n">
        <v>602</v>
      </c>
      <c r="T131" s="20" t="n">
        <v>-75</v>
      </c>
      <c r="U131" s="20" t="n">
        <v>214</v>
      </c>
      <c r="V131" s="20" t="n">
        <v>275</v>
      </c>
      <c r="W131" s="20" t="n">
        <v>220</v>
      </c>
    </row>
    <row r="132">
      <c r="A132" s="18" t="inlineStr">
        <is>
          <t>기타포괄손익 합계</t>
        </is>
      </c>
      <c r="C132" s="20" t="n">
        <v>-35</v>
      </c>
      <c r="D132" s="20" t="n">
        <v>29</v>
      </c>
      <c r="E132" s="20" t="n">
        <v>7</v>
      </c>
      <c r="F132" s="20" t="n">
        <v>580</v>
      </c>
      <c r="G132" s="20" t="n">
        <v>-73</v>
      </c>
      <c r="H132" s="20" t="n">
        <v>65</v>
      </c>
      <c r="I132" s="20" t="n">
        <v>99</v>
      </c>
      <c r="J132" s="20" t="n">
        <v>161</v>
      </c>
      <c r="K132" s="20" t="n">
        <v>136</v>
      </c>
      <c r="L132" s="20" t="n">
        <v>116</v>
      </c>
      <c r="S132" s="20" t="n">
        <v>1040</v>
      </c>
      <c r="T132" s="20" t="n">
        <v>-230</v>
      </c>
      <c r="U132" s="20" t="n">
        <v>40</v>
      </c>
      <c r="V132" s="20" t="n">
        <v>580</v>
      </c>
      <c r="W132" s="20" t="n">
        <v>161</v>
      </c>
    </row>
    <row r="133">
      <c r="A133" s="9" t="inlineStr">
        <is>
          <t>포괄이익</t>
        </is>
      </c>
      <c r="C133" s="12" t="n">
        <v>1109</v>
      </c>
      <c r="D133" s="12" t="n">
        <v>1314</v>
      </c>
      <c r="E133" s="12" t="n">
        <v>1573</v>
      </c>
      <c r="F133" s="12" t="n">
        <v>1781</v>
      </c>
      <c r="G133" s="12" t="n">
        <v>981</v>
      </c>
      <c r="H133" s="12" t="n">
        <v>1250</v>
      </c>
      <c r="I133" s="12" t="n">
        <v>1737</v>
      </c>
      <c r="J133" s="12" t="n">
        <v>1186</v>
      </c>
      <c r="K133" s="12" t="n">
        <v>1536</v>
      </c>
      <c r="L133" s="12" t="n">
        <v>1403</v>
      </c>
      <c r="S133" s="12" t="n">
        <v>1660</v>
      </c>
      <c r="T133" s="12" t="n">
        <v>94</v>
      </c>
      <c r="U133" s="12" t="n">
        <v>-1178</v>
      </c>
      <c r="V133" s="12" t="n">
        <v>1781</v>
      </c>
      <c r="W133" s="12" t="n">
        <v>1186</v>
      </c>
    </row>
    <row r="134">
      <c r="A134" s="9" t="inlineStr">
        <is>
          <t>지배주주 포괄이익</t>
        </is>
      </c>
      <c r="C134" s="12" t="n">
        <v>1091</v>
      </c>
      <c r="D134" s="12" t="n">
        <v>1300</v>
      </c>
      <c r="E134" s="12" t="n">
        <v>1557</v>
      </c>
      <c r="F134" s="12" t="n">
        <v>1750</v>
      </c>
      <c r="G134" s="12" t="n">
        <v>959</v>
      </c>
      <c r="H134" s="12" t="n">
        <v>1228</v>
      </c>
      <c r="I134" s="12" t="n">
        <v>1716</v>
      </c>
      <c r="J134" s="12" t="n">
        <v>1183</v>
      </c>
      <c r="K134" s="12" t="n">
        <v>1515</v>
      </c>
      <c r="L134" s="12" t="n">
        <v>1384</v>
      </c>
      <c r="S134" s="12" t="n">
        <v>1644</v>
      </c>
      <c r="T134" s="12" t="n">
        <v>66</v>
      </c>
      <c r="U134" s="12" t="n">
        <v>-1199</v>
      </c>
      <c r="V134" s="12" t="n">
        <v>1750</v>
      </c>
      <c r="W134" s="12" t="n">
        <v>1183</v>
      </c>
    </row>
    <row r="135">
      <c r="A135" s="9" t="inlineStr">
        <is>
          <t>비지배주주 포괄이익</t>
        </is>
      </c>
      <c r="C135" s="12" t="n">
        <v>17</v>
      </c>
      <c r="D135" s="12" t="n">
        <v>14</v>
      </c>
      <c r="E135" s="12" t="n">
        <v>16</v>
      </c>
      <c r="F135" s="12" t="n">
        <v>31</v>
      </c>
      <c r="G135" s="12" t="n">
        <v>22</v>
      </c>
      <c r="H135" s="12" t="n">
        <v>22</v>
      </c>
      <c r="I135" s="12" t="n">
        <v>20</v>
      </c>
      <c r="J135" s="12" t="n">
        <v>4</v>
      </c>
      <c r="K135" s="12" t="n">
        <v>21</v>
      </c>
      <c r="L135" s="12" t="n">
        <v>19</v>
      </c>
      <c r="S135" s="12" t="n">
        <v>16</v>
      </c>
      <c r="T135" s="12" t="n">
        <v>29</v>
      </c>
      <c r="U135" s="12" t="n">
        <v>21</v>
      </c>
      <c r="V135" s="12" t="n">
        <v>31</v>
      </c>
      <c r="W135" s="12" t="n">
        <v>4</v>
      </c>
    </row>
    <row r="137">
      <c r="A137" s="16" t="inlineStr">
        <is>
          <t>부문 · 전 항목</t>
        </is>
      </c>
      <c r="B137" s="42" t="inlineStr">
        <is>
          <t>부문 · 항목</t>
        </is>
      </c>
      <c r="C137" s="16" t="n"/>
      <c r="D137" s="16" t="n"/>
      <c r="E137" s="16" t="n"/>
      <c r="F137" s="16" t="n"/>
      <c r="G137" s="16" t="n"/>
      <c r="H137" s="16" t="n"/>
      <c r="I137" s="16" t="n"/>
      <c r="J137" s="16" t="n"/>
      <c r="K137" s="16" t="n"/>
      <c r="L137" s="16" t="n"/>
      <c r="M137" s="16" t="n"/>
      <c r="N137" s="16" t="n"/>
      <c r="O137" s="16" t="n"/>
      <c r="P137" s="16" t="n"/>
      <c r="Q137" s="16" t="n"/>
      <c r="R137" s="16" t="n"/>
      <c r="S137" s="16" t="n"/>
      <c r="T137" s="16" t="n"/>
      <c r="U137" s="16" t="n"/>
      <c r="V137" s="16" t="n"/>
      <c r="W137" s="16" t="n"/>
      <c r="X137" s="16" t="n"/>
      <c r="Y137" s="16" t="n"/>
      <c r="Z137" s="16" t="n"/>
      <c r="AA137" s="16" t="n"/>
      <c r="AB137" s="16" t="n"/>
      <c r="AC137" s="16" t="n"/>
    </row>
    <row r="138">
      <c r="A138" s="5" t="inlineStr">
        <is>
          <t>항목</t>
        </is>
      </c>
      <c r="B138" s="5" t="inlineStr">
        <is>
          <t>참고</t>
        </is>
      </c>
      <c r="C138" s="5" t="inlineStr">
        <is>
          <t>2025.1Q</t>
        </is>
      </c>
      <c r="D138" s="5" t="inlineStr">
        <is>
          <t>2025.2Q</t>
        </is>
      </c>
      <c r="E138" s="5" t="inlineStr">
        <is>
          <t>2025.3Q</t>
        </is>
      </c>
      <c r="F138" s="5" t="inlineStr">
        <is>
          <t>2025.4Q</t>
        </is>
      </c>
      <c r="G138" s="5" t="inlineStr">
        <is>
          <t>2026.1Q</t>
        </is>
      </c>
      <c r="H138" s="5" t="inlineStr">
        <is>
          <t>2026.2Q</t>
        </is>
      </c>
      <c r="I138" s="5" t="inlineStr">
        <is>
          <t>2026.3Q</t>
        </is>
      </c>
      <c r="J138" s="5" t="inlineStr">
        <is>
          <t>2026.4Q</t>
        </is>
      </c>
      <c r="K138" s="5" t="inlineStr">
        <is>
          <t>2027.1Q</t>
        </is>
      </c>
      <c r="L138" s="5" t="inlineStr">
        <is>
          <t>2027.2Q</t>
        </is>
      </c>
      <c r="M138" s="5" t="inlineStr">
        <is>
          <t>2027.3Q</t>
        </is>
      </c>
      <c r="N138" s="5" t="inlineStr">
        <is>
          <t>2027.4Q</t>
        </is>
      </c>
      <c r="O138" s="5" t="inlineStr">
        <is>
          <t>2018</t>
        </is>
      </c>
      <c r="P138" s="5" t="inlineStr">
        <is>
          <t>2019</t>
        </is>
      </c>
      <c r="Q138" s="5" t="inlineStr">
        <is>
          <t>2020</t>
        </is>
      </c>
      <c r="R138" s="5" t="inlineStr">
        <is>
          <t>2021</t>
        </is>
      </c>
      <c r="S138" s="5" t="inlineStr">
        <is>
          <t>2022</t>
        </is>
      </c>
      <c r="T138" s="5" t="inlineStr">
        <is>
          <t>2023</t>
        </is>
      </c>
      <c r="U138" s="5" t="inlineStr">
        <is>
          <t>2024</t>
        </is>
      </c>
      <c r="V138" s="5" t="inlineStr">
        <is>
          <t>2025</t>
        </is>
      </c>
      <c r="W138" s="5" t="inlineStr">
        <is>
          <t>2026</t>
        </is>
      </c>
      <c r="X138" s="5" t="inlineStr">
        <is>
          <t>2027</t>
        </is>
      </c>
      <c r="Y138" s="5" t="inlineStr">
        <is>
          <t>2028(MW)</t>
        </is>
      </c>
      <c r="Z138" s="5" t="inlineStr">
        <is>
          <t>2029(MW)</t>
        </is>
      </c>
      <c r="AA138" s="5" t="inlineStr">
        <is>
          <t>2030(MW)</t>
        </is>
      </c>
      <c r="AB138" s="5" t="inlineStr">
        <is>
          <t>2031(MW)</t>
        </is>
      </c>
      <c r="AC138" s="5" t="inlineStr">
        <is>
          <t>2032(MW)</t>
        </is>
      </c>
    </row>
    <row r="139">
      <c r="A139" s="18" t="inlineStr">
        <is>
          <t>전기자재 및 관재 · 외부 고객 매출</t>
        </is>
      </c>
      <c r="C139" s="20" t="n">
        <v>8649</v>
      </c>
      <c r="D139" s="20" t="n">
        <v>8708</v>
      </c>
      <c r="E139" s="20" t="n">
        <v>9766</v>
      </c>
      <c r="F139" s="20" t="n">
        <v>6997</v>
      </c>
      <c r="G139" s="20" t="n">
        <v>9019</v>
      </c>
      <c r="H139" s="20" t="n">
        <v>8540</v>
      </c>
      <c r="I139" s="20" t="n">
        <v>9492</v>
      </c>
      <c r="J139" s="20" t="n">
        <v>7733</v>
      </c>
      <c r="K139" s="20" t="n">
        <v>9883</v>
      </c>
      <c r="L139" s="20" t="n">
        <v>9150</v>
      </c>
      <c r="V139" s="20" t="n">
        <v>6997</v>
      </c>
      <c r="W139" s="20" t="n">
        <v>7733</v>
      </c>
    </row>
    <row r="140">
      <c r="A140" s="18" t="inlineStr">
        <is>
          <t>배선 기구 · 외부 고객 매출</t>
        </is>
      </c>
      <c r="C140" s="20" t="n">
        <v>1710</v>
      </c>
      <c r="D140" s="20" t="n">
        <v>1804</v>
      </c>
      <c r="E140" s="20" t="n">
        <v>2089</v>
      </c>
      <c r="F140" s="20" t="n">
        <v>1224</v>
      </c>
      <c r="G140" s="20" t="n">
        <v>1903</v>
      </c>
      <c r="H140" s="20" t="n">
        <v>1972</v>
      </c>
      <c r="I140" s="20" t="n">
        <v>2221</v>
      </c>
      <c r="J140" s="20" t="n">
        <v>1233</v>
      </c>
      <c r="K140" s="20" t="n">
        <v>2148</v>
      </c>
      <c r="L140" s="20" t="n">
        <v>2177</v>
      </c>
      <c r="V140" s="20" t="n">
        <v>1224</v>
      </c>
      <c r="W140" s="20" t="n">
        <v>1233</v>
      </c>
    </row>
    <row r="141">
      <c r="A141" s="18" t="inlineStr">
        <is>
          <t>보고부문 합계 · 외부 고객 매출</t>
        </is>
      </c>
      <c r="C141" s="20" t="n">
        <v>10360</v>
      </c>
      <c r="D141" s="20" t="n">
        <v>10511</v>
      </c>
      <c r="E141" s="20" t="n">
        <v>11855</v>
      </c>
      <c r="F141" s="20" t="n">
        <v>8221</v>
      </c>
      <c r="G141" s="20" t="n">
        <v>10922</v>
      </c>
      <c r="H141" s="20" t="n">
        <v>10513</v>
      </c>
      <c r="I141" s="20" t="n">
        <v>11712</v>
      </c>
      <c r="J141" s="20" t="n">
        <v>8966</v>
      </c>
      <c r="K141" s="20" t="n">
        <v>12031</v>
      </c>
      <c r="L141" s="20" t="n">
        <v>11328</v>
      </c>
      <c r="V141" s="20" t="n">
        <v>8221</v>
      </c>
      <c r="W141" s="20" t="n">
        <v>8966</v>
      </c>
    </row>
    <row r="142">
      <c r="A142" s="18" t="inlineStr">
        <is>
          <t>기타 · 외부 고객 매출</t>
        </is>
      </c>
      <c r="C142" s="20" t="n">
        <v>782</v>
      </c>
      <c r="D142" s="20" t="n">
        <v>709</v>
      </c>
      <c r="E142" s="20" t="n">
        <v>751</v>
      </c>
      <c r="F142" s="20" t="n">
        <v>901</v>
      </c>
      <c r="G142" s="20" t="n">
        <v>754</v>
      </c>
      <c r="H142" s="20" t="n">
        <v>757</v>
      </c>
      <c r="I142" s="20" t="n">
        <v>720</v>
      </c>
      <c r="J142" s="20" t="n">
        <v>768</v>
      </c>
      <c r="K142" s="20" t="n">
        <v>732</v>
      </c>
      <c r="L142" s="20" t="n">
        <v>769</v>
      </c>
      <c r="V142" s="20" t="n">
        <v>901</v>
      </c>
      <c r="W142" s="20" t="n">
        <v>768</v>
      </c>
    </row>
    <row r="143">
      <c r="A143" s="18" t="inlineStr">
        <is>
          <t>합계 · 외부 고객 매출</t>
        </is>
      </c>
      <c r="C143" s="20" t="n">
        <v>11142</v>
      </c>
      <c r="D143" s="20" t="n">
        <v>11221</v>
      </c>
      <c r="E143" s="20" t="n">
        <v>12606</v>
      </c>
      <c r="F143" s="20" t="n">
        <v>9122</v>
      </c>
      <c r="G143" s="20" t="n">
        <v>11677</v>
      </c>
      <c r="H143" s="20" t="n">
        <v>11269</v>
      </c>
      <c r="I143" s="20" t="n">
        <v>12432</v>
      </c>
      <c r="J143" s="20" t="n">
        <v>9735</v>
      </c>
      <c r="K143" s="20" t="n">
        <v>12764</v>
      </c>
      <c r="L143" s="20" t="n">
        <v>12097</v>
      </c>
      <c r="V143" s="20" t="n">
        <v>9122</v>
      </c>
      <c r="W143" s="20" t="n">
        <v>9735</v>
      </c>
    </row>
    <row r="144">
      <c r="A144" s="18" t="inlineStr">
        <is>
          <t>전기자재 및 관재 · 부문 간 내부매출·대체</t>
        </is>
      </c>
      <c r="C144" s="20" t="n">
        <v>60</v>
      </c>
      <c r="D144" s="20" t="n">
        <v>61</v>
      </c>
      <c r="E144" s="20" t="n">
        <v>65</v>
      </c>
      <c r="F144" s="20" t="n">
        <v>54</v>
      </c>
      <c r="G144" s="20" t="n">
        <v>60</v>
      </c>
      <c r="H144" s="20" t="n">
        <v>63</v>
      </c>
      <c r="I144" s="20" t="n">
        <v>74</v>
      </c>
      <c r="J144" s="20" t="n">
        <v>44</v>
      </c>
      <c r="K144" s="20" t="n">
        <v>65</v>
      </c>
      <c r="L144" s="20" t="n">
        <v>81</v>
      </c>
      <c r="V144" s="20" t="n">
        <v>54</v>
      </c>
      <c r="W144" s="20" t="n">
        <v>44</v>
      </c>
    </row>
    <row r="145">
      <c r="A145" s="18" t="inlineStr">
        <is>
          <t>배선 기구 · 부문 간 내부매출·대체</t>
        </is>
      </c>
      <c r="C145" s="20" t="n">
        <v>0</v>
      </c>
      <c r="D145" s="20" t="n">
        <v>0</v>
      </c>
      <c r="E145" s="20" t="n">
        <v>0</v>
      </c>
      <c r="F145" s="20" t="n">
        <v>1</v>
      </c>
      <c r="G145" s="20" t="n">
        <v>0</v>
      </c>
      <c r="H145" s="20" t="n">
        <v>0</v>
      </c>
      <c r="I145" s="20" t="n">
        <v>0</v>
      </c>
      <c r="J145" s="20" t="n">
        <v>0</v>
      </c>
      <c r="K145" s="20" t="n">
        <v>0</v>
      </c>
      <c r="L145" s="20" t="n">
        <v>0</v>
      </c>
      <c r="V145" s="20" t="n">
        <v>1</v>
      </c>
      <c r="W145" s="20" t="n">
        <v>0</v>
      </c>
    </row>
    <row r="146">
      <c r="A146" s="18" t="inlineStr">
        <is>
          <t>보고부문 합계 · 부문 간 내부매출·대체</t>
        </is>
      </c>
      <c r="C146" s="20" t="n">
        <v>60</v>
      </c>
      <c r="D146" s="20" t="n">
        <v>61</v>
      </c>
      <c r="E146" s="20" t="n">
        <v>65</v>
      </c>
      <c r="F146" s="20" t="n">
        <v>55</v>
      </c>
      <c r="G146" s="20" t="n">
        <v>61</v>
      </c>
      <c r="H146" s="20" t="n">
        <v>63</v>
      </c>
      <c r="I146" s="20" t="n">
        <v>74</v>
      </c>
      <c r="J146" s="20" t="n">
        <v>43</v>
      </c>
      <c r="K146" s="20" t="n">
        <v>65</v>
      </c>
      <c r="L146" s="20" t="n">
        <v>82</v>
      </c>
      <c r="V146" s="20" t="n">
        <v>55</v>
      </c>
      <c r="W146" s="20" t="n">
        <v>43</v>
      </c>
    </row>
    <row r="147">
      <c r="A147" s="18" t="inlineStr">
        <is>
          <t>기타 · 부문 간 내부매출·대체</t>
        </is>
      </c>
      <c r="C147" s="20" t="n">
        <v>1112</v>
      </c>
      <c r="D147" s="20" t="n">
        <v>1287</v>
      </c>
      <c r="E147" s="20" t="n">
        <v>1294</v>
      </c>
      <c r="F147" s="20" t="n">
        <v>881</v>
      </c>
      <c r="G147" s="20" t="n">
        <v>1176</v>
      </c>
      <c r="H147" s="20" t="n">
        <v>1344</v>
      </c>
      <c r="I147" s="20" t="n">
        <v>1426</v>
      </c>
      <c r="J147" s="20" t="n">
        <v>944</v>
      </c>
      <c r="K147" s="20" t="n">
        <v>1345</v>
      </c>
      <c r="L147" s="20" t="n">
        <v>1391</v>
      </c>
      <c r="V147" s="20" t="n">
        <v>881</v>
      </c>
      <c r="W147" s="20" t="n">
        <v>944</v>
      </c>
    </row>
    <row r="148">
      <c r="A148" s="18" t="inlineStr">
        <is>
          <t>합계 · 부문 간 내부매출·대체</t>
        </is>
      </c>
      <c r="C148" s="20" t="n">
        <v>1172</v>
      </c>
      <c r="D148" s="20" t="n">
        <v>1348</v>
      </c>
      <c r="E148" s="20" t="n">
        <v>1359</v>
      </c>
      <c r="F148" s="20" t="n">
        <v>937</v>
      </c>
      <c r="G148" s="20" t="n">
        <v>1237</v>
      </c>
      <c r="H148" s="20" t="n">
        <v>1407</v>
      </c>
      <c r="I148" s="20" t="n">
        <v>1500</v>
      </c>
      <c r="J148" s="20" t="n">
        <v>988</v>
      </c>
      <c r="K148" s="20" t="n">
        <v>1411</v>
      </c>
      <c r="L148" s="20" t="n">
        <v>1473</v>
      </c>
      <c r="V148" s="20" t="n">
        <v>937</v>
      </c>
      <c r="W148" s="20" t="n">
        <v>988</v>
      </c>
    </row>
    <row r="149">
      <c r="A149" s="18" t="inlineStr">
        <is>
          <t>전기자재 및 관재 · 계</t>
        </is>
      </c>
      <c r="C149" s="20" t="n">
        <v>8709</v>
      </c>
      <c r="D149" s="20" t="n">
        <v>8770</v>
      </c>
      <c r="E149" s="20" t="n">
        <v>9830</v>
      </c>
      <c r="F149" s="20" t="n">
        <v>7051</v>
      </c>
      <c r="G149" s="20" t="n">
        <v>9080</v>
      </c>
      <c r="H149" s="20" t="n">
        <v>8602</v>
      </c>
      <c r="I149" s="20" t="n">
        <v>9566</v>
      </c>
      <c r="J149" s="20" t="n">
        <v>7777</v>
      </c>
      <c r="K149" s="20" t="n">
        <v>9948</v>
      </c>
      <c r="L149" s="20" t="n">
        <v>9232</v>
      </c>
      <c r="V149" s="20" t="n">
        <v>7051</v>
      </c>
      <c r="W149" s="20" t="n">
        <v>7777</v>
      </c>
    </row>
    <row r="150">
      <c r="A150" s="18" t="inlineStr">
        <is>
          <t>배선 기구 · 계</t>
        </is>
      </c>
      <c r="C150" s="20" t="n">
        <v>1710</v>
      </c>
      <c r="D150" s="20" t="n">
        <v>1804</v>
      </c>
      <c r="E150" s="20" t="n">
        <v>2090</v>
      </c>
      <c r="F150" s="20" t="n">
        <v>1224</v>
      </c>
      <c r="G150" s="20" t="n">
        <v>1903</v>
      </c>
      <c r="H150" s="20" t="n">
        <v>1973</v>
      </c>
      <c r="I150" s="20" t="n">
        <v>2221</v>
      </c>
      <c r="J150" s="20" t="n">
        <v>1233</v>
      </c>
      <c r="K150" s="20" t="n">
        <v>2149</v>
      </c>
      <c r="L150" s="20" t="n">
        <v>2177</v>
      </c>
      <c r="V150" s="20" t="n">
        <v>1224</v>
      </c>
      <c r="W150" s="20" t="n">
        <v>1233</v>
      </c>
    </row>
    <row r="151">
      <c r="A151" s="18" t="inlineStr">
        <is>
          <t>보고부문 합계 · 계</t>
        </is>
      </c>
      <c r="C151" s="20" t="n">
        <v>10420</v>
      </c>
      <c r="D151" s="20" t="n">
        <v>10573</v>
      </c>
      <c r="E151" s="20" t="n">
        <v>11920</v>
      </c>
      <c r="F151" s="20" t="n">
        <v>8276</v>
      </c>
      <c r="G151" s="20" t="n">
        <v>10983</v>
      </c>
      <c r="H151" s="20" t="n">
        <v>10576</v>
      </c>
      <c r="I151" s="20" t="n">
        <v>11786</v>
      </c>
      <c r="J151" s="20" t="n">
        <v>9010</v>
      </c>
      <c r="K151" s="20" t="n">
        <v>12097</v>
      </c>
      <c r="L151" s="20" t="n">
        <v>11409</v>
      </c>
      <c r="V151" s="20" t="n">
        <v>8276</v>
      </c>
      <c r="W151" s="20" t="n">
        <v>9010</v>
      </c>
    </row>
    <row r="152">
      <c r="A152" s="18" t="inlineStr">
        <is>
          <t>기타 · 계</t>
        </is>
      </c>
      <c r="C152" s="20" t="n">
        <v>1894</v>
      </c>
      <c r="D152" s="20" t="n">
        <v>1996</v>
      </c>
      <c r="E152" s="20" t="n">
        <v>2045</v>
      </c>
      <c r="F152" s="20" t="n">
        <v>1783</v>
      </c>
      <c r="G152" s="20" t="n">
        <v>1930</v>
      </c>
      <c r="H152" s="20" t="n">
        <v>2101</v>
      </c>
      <c r="I152" s="20" t="n">
        <v>2146</v>
      </c>
      <c r="J152" s="20" t="n">
        <v>1713</v>
      </c>
      <c r="K152" s="20" t="n">
        <v>2077</v>
      </c>
      <c r="L152" s="20" t="n">
        <v>2161</v>
      </c>
      <c r="V152" s="20" t="n">
        <v>1783</v>
      </c>
      <c r="W152" s="20" t="n">
        <v>1713</v>
      </c>
    </row>
    <row r="153">
      <c r="A153" s="18" t="inlineStr">
        <is>
          <t>합계 · 계</t>
        </is>
      </c>
      <c r="C153" s="20" t="n">
        <v>12314</v>
      </c>
      <c r="D153" s="20" t="n">
        <v>12569</v>
      </c>
      <c r="E153" s="20" t="n">
        <v>13966</v>
      </c>
      <c r="F153" s="20" t="n">
        <v>10058</v>
      </c>
      <c r="G153" s="20" t="n">
        <v>12914</v>
      </c>
      <c r="H153" s="20" t="n">
        <v>12676</v>
      </c>
      <c r="I153" s="20" t="n">
        <v>13933</v>
      </c>
      <c r="J153" s="20" t="n">
        <v>10723</v>
      </c>
      <c r="K153" s="20" t="n">
        <v>14175</v>
      </c>
      <c r="L153" s="20" t="n">
        <v>13570</v>
      </c>
      <c r="V153" s="20" t="n">
        <v>10058</v>
      </c>
      <c r="W153" s="20" t="n">
        <v>10723</v>
      </c>
    </row>
    <row r="154">
      <c r="A154" s="18" t="inlineStr">
        <is>
          <t>전기자재 및 관재 · 부문 이익</t>
        </is>
      </c>
      <c r="C154" s="20" t="n">
        <v>1571</v>
      </c>
      <c r="D154" s="20" t="n">
        <v>1758</v>
      </c>
      <c r="E154" s="20" t="n">
        <v>1973</v>
      </c>
      <c r="F154" s="20" t="n">
        <v>1536</v>
      </c>
      <c r="G154" s="20" t="n">
        <v>1301</v>
      </c>
      <c r="H154" s="20" t="n">
        <v>1496</v>
      </c>
      <c r="I154" s="20" t="n">
        <v>2061</v>
      </c>
      <c r="J154" s="20" t="n">
        <v>1542</v>
      </c>
      <c r="K154" s="20" t="n">
        <v>1746</v>
      </c>
      <c r="L154" s="20" t="n">
        <v>1747</v>
      </c>
      <c r="V154" s="20" t="n">
        <v>1536</v>
      </c>
      <c r="W154" s="20" t="n">
        <v>1542</v>
      </c>
    </row>
    <row r="155">
      <c r="A155" s="18" t="inlineStr">
        <is>
          <t>배선 기구 · 부문 이익</t>
        </is>
      </c>
      <c r="C155" s="20" t="n">
        <v>114</v>
      </c>
      <c r="D155" s="20" t="n">
        <v>153</v>
      </c>
      <c r="E155" s="20" t="n">
        <v>272</v>
      </c>
      <c r="F155" s="20" t="n">
        <v>-66</v>
      </c>
      <c r="G155" s="20" t="n">
        <v>198</v>
      </c>
      <c r="H155" s="20" t="n">
        <v>201</v>
      </c>
      <c r="I155" s="20" t="n">
        <v>307</v>
      </c>
      <c r="J155" s="20" t="n">
        <v>-8</v>
      </c>
      <c r="K155" s="20" t="n">
        <v>234</v>
      </c>
      <c r="L155" s="20" t="n">
        <v>196</v>
      </c>
      <c r="V155" s="20" t="n">
        <v>-66</v>
      </c>
      <c r="W155" s="20" t="n">
        <v>-8</v>
      </c>
    </row>
    <row r="156">
      <c r="A156" s="18" t="inlineStr">
        <is>
          <t>보고부문 합계 · 부문 이익</t>
        </is>
      </c>
      <c r="C156" s="20" t="n">
        <v>1685</v>
      </c>
      <c r="D156" s="20" t="n">
        <v>1911</v>
      </c>
      <c r="E156" s="20" t="n">
        <v>2246</v>
      </c>
      <c r="F156" s="20" t="n">
        <v>1469</v>
      </c>
      <c r="G156" s="20" t="n">
        <v>1499</v>
      </c>
      <c r="H156" s="20" t="n">
        <v>1697</v>
      </c>
      <c r="I156" s="20" t="n">
        <v>2369</v>
      </c>
      <c r="J156" s="20" t="n">
        <v>1533</v>
      </c>
      <c r="K156" s="20" t="n">
        <v>1980</v>
      </c>
      <c r="L156" s="20" t="n">
        <v>1944</v>
      </c>
      <c r="V156" s="20" t="n">
        <v>1469</v>
      </c>
      <c r="W156" s="20" t="n">
        <v>1533</v>
      </c>
    </row>
    <row r="157">
      <c r="A157" s="18" t="inlineStr">
        <is>
          <t>기타 · 부문 이익</t>
        </is>
      </c>
      <c r="C157" s="20" t="n">
        <v>145</v>
      </c>
      <c r="D157" s="20" t="n">
        <v>136</v>
      </c>
      <c r="E157" s="20" t="n">
        <v>159</v>
      </c>
      <c r="F157" s="20" t="n">
        <v>266</v>
      </c>
      <c r="G157" s="20" t="n">
        <v>165</v>
      </c>
      <c r="H157" s="20" t="n">
        <v>213</v>
      </c>
      <c r="I157" s="20" t="n">
        <v>148</v>
      </c>
      <c r="J157" s="20" t="n">
        <v>45</v>
      </c>
      <c r="K157" s="20" t="n">
        <v>166</v>
      </c>
      <c r="L157" s="20" t="n">
        <v>144</v>
      </c>
      <c r="V157" s="20" t="n">
        <v>266</v>
      </c>
      <c r="W157" s="20" t="n">
        <v>45</v>
      </c>
    </row>
    <row r="158">
      <c r="A158" s="18" t="inlineStr">
        <is>
          <t>합계 · 부문 이익</t>
        </is>
      </c>
      <c r="C158" s="20" t="n">
        <v>1831</v>
      </c>
      <c r="D158" s="20" t="n">
        <v>2046</v>
      </c>
      <c r="E158" s="20" t="n">
        <v>2405</v>
      </c>
      <c r="F158" s="20" t="n">
        <v>1736</v>
      </c>
      <c r="G158" s="20" t="n">
        <v>1664</v>
      </c>
      <c r="H158" s="20" t="n">
        <v>1910</v>
      </c>
      <c r="I158" s="20" t="n">
        <v>2517</v>
      </c>
      <c r="J158" s="20" t="n">
        <v>1579</v>
      </c>
      <c r="K158" s="20" t="n">
        <v>2147</v>
      </c>
      <c r="L158" s="20" t="n">
        <v>2087</v>
      </c>
      <c r="V158" s="20" t="n">
        <v>1736</v>
      </c>
      <c r="W158" s="20" t="n">
        <v>1579</v>
      </c>
    </row>
    <row r="160">
      <c r="A160" s="16" t="inlineStr">
        <is>
          <t>현금흐름표 · 전 항목</t>
        </is>
      </c>
      <c r="B160" s="42" t="inlineStr">
        <is>
          <t>분기 = 결산기 첫날부터 누계(공시 그대로)</t>
        </is>
      </c>
      <c r="C160" s="16" t="n"/>
      <c r="D160" s="16" t="n"/>
      <c r="E160" s="16" t="n"/>
      <c r="F160" s="16" t="n"/>
      <c r="G160" s="16" t="n"/>
      <c r="H160" s="16" t="n"/>
      <c r="I160" s="16" t="n"/>
      <c r="J160" s="16" t="n"/>
      <c r="K160" s="16" t="n"/>
      <c r="L160" s="16" t="n"/>
      <c r="M160" s="16" t="n"/>
      <c r="N160" s="16" t="n"/>
      <c r="O160" s="16" t="n"/>
      <c r="P160" s="16" t="n"/>
      <c r="Q160" s="16" t="n"/>
      <c r="R160" s="16" t="n"/>
      <c r="S160" s="16" t="n"/>
      <c r="T160" s="16" t="n"/>
      <c r="U160" s="16" t="n"/>
      <c r="V160" s="16" t="n"/>
      <c r="W160" s="16" t="n"/>
      <c r="X160" s="16" t="n"/>
      <c r="Y160" s="16" t="n"/>
      <c r="Z160" s="16" t="n"/>
      <c r="AA160" s="16" t="n"/>
      <c r="AB160" s="16" t="n"/>
      <c r="AC160" s="16" t="n"/>
    </row>
    <row r="161">
      <c r="A161" s="5" t="inlineStr">
        <is>
          <t>항목</t>
        </is>
      </c>
      <c r="B161" s="5" t="inlineStr">
        <is>
          <t>참고</t>
        </is>
      </c>
      <c r="C161" s="5" t="inlineStr">
        <is>
          <t>2025.1Q</t>
        </is>
      </c>
      <c r="D161" s="5" t="inlineStr">
        <is>
          <t>2025.2Q</t>
        </is>
      </c>
      <c r="E161" s="5" t="inlineStr">
        <is>
          <t>2025.3Q</t>
        </is>
      </c>
      <c r="F161" s="5" t="inlineStr">
        <is>
          <t>2025.4Q</t>
        </is>
      </c>
      <c r="G161" s="5" t="inlineStr">
        <is>
          <t>2026.1Q</t>
        </is>
      </c>
      <c r="H161" s="5" t="inlineStr">
        <is>
          <t>2026.2Q</t>
        </is>
      </c>
      <c r="I161" s="5" t="inlineStr">
        <is>
          <t>2026.3Q</t>
        </is>
      </c>
      <c r="J161" s="5" t="inlineStr">
        <is>
          <t>2026.4Q</t>
        </is>
      </c>
      <c r="K161" s="5" t="inlineStr">
        <is>
          <t>2027.1Q</t>
        </is>
      </c>
      <c r="L161" s="5" t="inlineStr">
        <is>
          <t>2027.2Q</t>
        </is>
      </c>
      <c r="M161" s="5" t="inlineStr">
        <is>
          <t>2027.3Q</t>
        </is>
      </c>
      <c r="N161" s="5" t="inlineStr">
        <is>
          <t>2027.4Q</t>
        </is>
      </c>
      <c r="O161" s="5" t="inlineStr">
        <is>
          <t>2018</t>
        </is>
      </c>
      <c r="P161" s="5" t="inlineStr">
        <is>
          <t>2019</t>
        </is>
      </c>
      <c r="Q161" s="5" t="inlineStr">
        <is>
          <t>2020</t>
        </is>
      </c>
      <c r="R161" s="5" t="inlineStr">
        <is>
          <t>2021</t>
        </is>
      </c>
      <c r="S161" s="5" t="inlineStr">
        <is>
          <t>2022</t>
        </is>
      </c>
      <c r="T161" s="5" t="inlineStr">
        <is>
          <t>2023</t>
        </is>
      </c>
      <c r="U161" s="5" t="inlineStr">
        <is>
          <t>2024</t>
        </is>
      </c>
      <c r="V161" s="5" t="inlineStr">
        <is>
          <t>2025</t>
        </is>
      </c>
      <c r="W161" s="5" t="inlineStr">
        <is>
          <t>2026</t>
        </is>
      </c>
      <c r="X161" s="5" t="inlineStr">
        <is>
          <t>2027</t>
        </is>
      </c>
      <c r="Y161" s="5" t="inlineStr">
        <is>
          <t>2028(MW)</t>
        </is>
      </c>
      <c r="Z161" s="5" t="inlineStr">
        <is>
          <t>2029(MW)</t>
        </is>
      </c>
      <c r="AA161" s="5" t="inlineStr">
        <is>
          <t>2030(MW)</t>
        </is>
      </c>
      <c r="AB161" s="5" t="inlineStr">
        <is>
          <t>2031(MW)</t>
        </is>
      </c>
      <c r="AC161" s="5" t="inlineStr">
        <is>
          <t>2032(MW)</t>
        </is>
      </c>
    </row>
    <row r="162">
      <c r="A162" s="9" t="inlineStr">
        <is>
          <t>법인세차감전 순이익</t>
        </is>
      </c>
      <c r="D162" s="12" t="n">
        <v>3544</v>
      </c>
      <c r="F162" s="12" t="n">
        <v>7477</v>
      </c>
      <c r="H162" s="12" t="n">
        <v>3252</v>
      </c>
      <c r="J162" s="12" t="n">
        <v>7067</v>
      </c>
      <c r="L162" s="12" t="n">
        <v>3893</v>
      </c>
      <c r="N162" s="12" t="n">
        <v>6899</v>
      </c>
      <c r="P162" s="12" t="n">
        <v>4177</v>
      </c>
      <c r="Q162" s="12" t="n">
        <v>5663</v>
      </c>
      <c r="R162" s="12" t="n">
        <v>4228</v>
      </c>
      <c r="S162" s="12" t="n">
        <v>4264</v>
      </c>
      <c r="T162" s="12" t="n">
        <v>3818</v>
      </c>
      <c r="U162" s="12" t="n">
        <v>4126</v>
      </c>
      <c r="V162" s="12" t="n">
        <v>7477</v>
      </c>
      <c r="W162" s="12" t="n">
        <v>7067</v>
      </c>
      <c r="X162" s="12" t="n">
        <v>6899</v>
      </c>
    </row>
    <row r="163">
      <c r="A163" s="18" t="inlineStr">
        <is>
          <t>감가상각비</t>
        </is>
      </c>
      <c r="D163" s="20" t="n">
        <v>998</v>
      </c>
      <c r="F163" s="20" t="n">
        <v>2149</v>
      </c>
      <c r="H163" s="20" t="n">
        <v>1125</v>
      </c>
      <c r="J163" s="20" t="n">
        <v>2287</v>
      </c>
      <c r="L163" s="20" t="n">
        <v>1247</v>
      </c>
      <c r="N163" s="20" t="n">
        <v>2605</v>
      </c>
      <c r="P163" s="20" t="n">
        <v>2119</v>
      </c>
      <c r="Q163" s="20" t="n">
        <v>2066</v>
      </c>
      <c r="R163" s="20" t="n">
        <v>2195</v>
      </c>
      <c r="S163" s="20" t="n">
        <v>2365</v>
      </c>
      <c r="T163" s="20" t="n">
        <v>2444</v>
      </c>
      <c r="U163" s="20" t="n">
        <v>2158</v>
      </c>
      <c r="V163" s="20" t="n">
        <v>2149</v>
      </c>
      <c r="W163" s="20" t="n">
        <v>2287</v>
      </c>
      <c r="X163" s="20" t="n">
        <v>2605</v>
      </c>
    </row>
    <row r="164">
      <c r="A164" s="18" t="inlineStr">
        <is>
          <t>보조금 수입</t>
        </is>
      </c>
      <c r="D164" s="20" t="n">
        <v>0</v>
      </c>
      <c r="F164" s="20" t="n">
        <v>-191</v>
      </c>
      <c r="H164" s="20" t="n">
        <v>-53</v>
      </c>
      <c r="J164" s="20" t="n">
        <v>-9</v>
      </c>
      <c r="L164" s="20" t="n">
        <v>0</v>
      </c>
      <c r="N164" s="20" t="n">
        <v>-53</v>
      </c>
      <c r="P164" s="20" t="n">
        <v>-45</v>
      </c>
      <c r="Q164" s="20" t="n">
        <v>-545</v>
      </c>
      <c r="R164" s="20" t="n">
        <v>0</v>
      </c>
      <c r="S164" s="20" t="n">
        <v>-37</v>
      </c>
      <c r="T164" s="20" t="n">
        <v>-30</v>
      </c>
      <c r="U164" s="20" t="n">
        <v>0</v>
      </c>
      <c r="V164" s="20" t="n">
        <v>-191</v>
      </c>
      <c r="W164" s="20" t="n">
        <v>-9</v>
      </c>
      <c r="X164" s="20" t="n">
        <v>-53</v>
      </c>
    </row>
    <row r="165">
      <c r="A165" s="18" t="inlineStr">
        <is>
          <t>고정자산 압축손실</t>
        </is>
      </c>
      <c r="D165" s="20" t="n">
        <v>0</v>
      </c>
      <c r="F165" s="20" t="n">
        <v>191</v>
      </c>
      <c r="H165" s="20" t="n">
        <v>53</v>
      </c>
      <c r="J165" s="20" t="n">
        <v>9</v>
      </c>
      <c r="L165" s="20" t="n">
        <v>0</v>
      </c>
      <c r="N165" s="20" t="n">
        <v>53</v>
      </c>
      <c r="P165" s="20" t="n">
        <v>45</v>
      </c>
      <c r="Q165" s="20" t="n">
        <v>545</v>
      </c>
      <c r="R165" s="20" t="n">
        <v>0</v>
      </c>
      <c r="S165" s="20" t="n">
        <v>98</v>
      </c>
      <c r="T165" s="20" t="n">
        <v>30</v>
      </c>
      <c r="U165" s="20" t="n">
        <v>0</v>
      </c>
      <c r="V165" s="20" t="n">
        <v>191</v>
      </c>
      <c r="W165" s="20" t="n">
        <v>9</v>
      </c>
      <c r="X165" s="20" t="n">
        <v>53</v>
      </c>
    </row>
    <row r="166">
      <c r="A166" s="18" t="inlineStr">
        <is>
          <t>손상차손</t>
        </is>
      </c>
      <c r="F166" s="20" t="n">
        <v>0</v>
      </c>
      <c r="P166" s="20" t="n">
        <v>75</v>
      </c>
      <c r="Q166" s="20" t="n">
        <v>0</v>
      </c>
      <c r="R166" s="20" t="n">
        <v>0</v>
      </c>
      <c r="S166" s="20" t="n">
        <v>144</v>
      </c>
      <c r="T166" s="20" t="n">
        <v>136</v>
      </c>
      <c r="U166" s="20" t="n">
        <v>25</v>
      </c>
      <c r="V166" s="20" t="n">
        <v>0</v>
      </c>
    </row>
    <row r="167">
      <c r="A167" s="18" t="inlineStr">
        <is>
          <t>투자유가증권 평가손익</t>
        </is>
      </c>
      <c r="Q167" s="20" t="n">
        <v>0</v>
      </c>
      <c r="R167" s="20" t="n">
        <v>53</v>
      </c>
      <c r="S167" s="20" t="n">
        <v>0</v>
      </c>
    </row>
    <row r="168">
      <c r="A168" s="18" t="inlineStr">
        <is>
          <t>재해 손실</t>
        </is>
      </c>
      <c r="H168" s="20" t="n">
        <v>0</v>
      </c>
      <c r="L168" s="20" t="n">
        <v>31</v>
      </c>
    </row>
    <row r="169">
      <c r="A169" s="18" t="inlineStr">
        <is>
          <t>대손충당금 증감</t>
        </is>
      </c>
      <c r="D169" s="20" t="n">
        <v>-0</v>
      </c>
      <c r="F169" s="20" t="n">
        <v>-0</v>
      </c>
      <c r="H169" s="20" t="n">
        <v>0</v>
      </c>
      <c r="J169" s="20" t="n">
        <v>2</v>
      </c>
      <c r="L169" s="20" t="n">
        <v>-0</v>
      </c>
      <c r="N169" s="20" t="n">
        <v>-2</v>
      </c>
      <c r="P169" s="20" t="n">
        <v>24</v>
      </c>
      <c r="Q169" s="20" t="n">
        <v>-3</v>
      </c>
      <c r="R169" s="20" t="n">
        <v>-4</v>
      </c>
      <c r="S169" s="20" t="n">
        <v>-0</v>
      </c>
      <c r="T169" s="20" t="n">
        <v>-83</v>
      </c>
      <c r="U169" s="20" t="n">
        <v>-3</v>
      </c>
      <c r="V169" s="20" t="n">
        <v>-0</v>
      </c>
      <c r="W169" s="20" t="n">
        <v>2</v>
      </c>
      <c r="X169" s="20" t="n">
        <v>-2</v>
      </c>
    </row>
    <row r="170">
      <c r="A170" s="18" t="inlineStr">
        <is>
          <t>투자유가증권 매각손익</t>
        </is>
      </c>
      <c r="Q170" s="20" t="n">
        <v>0</v>
      </c>
      <c r="R170" s="20" t="n">
        <v>-70</v>
      </c>
    </row>
    <row r="171">
      <c r="A171" s="18" t="inlineStr">
        <is>
          <t>주식 지급 충당금 증감액(△는 감소)</t>
        </is>
      </c>
      <c r="D171" s="20" t="n">
        <v>13</v>
      </c>
      <c r="F171" s="20" t="n">
        <v>29</v>
      </c>
      <c r="H171" s="20" t="n">
        <v>14</v>
      </c>
      <c r="J171" s="20" t="n">
        <v>25</v>
      </c>
      <c r="L171" s="20" t="n">
        <v>-6</v>
      </c>
      <c r="N171" s="20" t="n">
        <v>38</v>
      </c>
      <c r="P171" s="20" t="n">
        <v>121</v>
      </c>
      <c r="Q171" s="20" t="n">
        <v>115</v>
      </c>
      <c r="R171" s="20" t="n">
        <v>119</v>
      </c>
      <c r="S171" s="20" t="n">
        <v>108</v>
      </c>
      <c r="T171" s="20" t="n">
        <v>106</v>
      </c>
      <c r="U171" s="20" t="n">
        <v>98</v>
      </c>
      <c r="V171" s="20" t="n">
        <v>29</v>
      </c>
      <c r="W171" s="20" t="n">
        <v>25</v>
      </c>
      <c r="X171" s="20" t="n">
        <v>38</v>
      </c>
    </row>
    <row r="172">
      <c r="A172" s="18" t="inlineStr">
        <is>
          <t>임원 주식 지급 충당금 증감액(△는 감소)</t>
        </is>
      </c>
      <c r="D172" s="20" t="n">
        <v>16</v>
      </c>
      <c r="F172" s="20" t="n">
        <v>22</v>
      </c>
      <c r="H172" s="20" t="n">
        <v>18</v>
      </c>
      <c r="J172" s="20" t="n">
        <v>34</v>
      </c>
      <c r="L172" s="20" t="n">
        <v>18</v>
      </c>
      <c r="N172" s="20" t="n">
        <v>36</v>
      </c>
      <c r="U172" s="20" t="n">
        <v>0</v>
      </c>
      <c r="V172" s="20" t="n">
        <v>22</v>
      </c>
      <c r="W172" s="20" t="n">
        <v>34</v>
      </c>
      <c r="X172" s="20" t="n">
        <v>36</v>
      </c>
    </row>
    <row r="173">
      <c r="A173" s="18" t="inlineStr">
        <is>
          <t>임원 퇴직위로 충당금 증감</t>
        </is>
      </c>
      <c r="D173" s="20" t="n">
        <v>6</v>
      </c>
      <c r="F173" s="20" t="n">
        <v>2</v>
      </c>
      <c r="H173" s="20" t="n">
        <v>0</v>
      </c>
      <c r="J173" s="20" t="n">
        <v>13</v>
      </c>
      <c r="L173" s="20" t="n">
        <v>-20</v>
      </c>
      <c r="N173" s="20" t="n">
        <v>7</v>
      </c>
      <c r="P173" s="20" t="n">
        <v>-24</v>
      </c>
      <c r="Q173" s="20" t="n">
        <v>-11</v>
      </c>
      <c r="R173" s="20" t="n">
        <v>-2</v>
      </c>
      <c r="S173" s="20" t="n">
        <v>15</v>
      </c>
      <c r="T173" s="20" t="n">
        <v>3</v>
      </c>
      <c r="U173" s="20" t="n">
        <v>-21</v>
      </c>
      <c r="V173" s="20" t="n">
        <v>2</v>
      </c>
      <c r="W173" s="20" t="n">
        <v>13</v>
      </c>
      <c r="X173" s="20" t="n">
        <v>7</v>
      </c>
    </row>
    <row r="174">
      <c r="A174" s="18" t="inlineStr">
        <is>
          <t>퇴직급여부채 증감</t>
        </is>
      </c>
      <c r="D174" s="20" t="n">
        <v>-1</v>
      </c>
      <c r="F174" s="20" t="n">
        <v>409</v>
      </c>
      <c r="H174" s="20" t="n">
        <v>2</v>
      </c>
      <c r="J174" s="20" t="n">
        <v>8</v>
      </c>
      <c r="L174" s="20" t="n">
        <v>-5</v>
      </c>
      <c r="N174" s="20" t="n">
        <v>14</v>
      </c>
      <c r="P174" s="20" t="n">
        <v>10</v>
      </c>
      <c r="Q174" s="20" t="n">
        <v>14</v>
      </c>
      <c r="R174" s="20" t="n">
        <v>15</v>
      </c>
      <c r="S174" s="20" t="n">
        <v>17</v>
      </c>
      <c r="T174" s="20" t="n">
        <v>7</v>
      </c>
      <c r="U174" s="20" t="n">
        <v>32</v>
      </c>
      <c r="V174" s="20" t="n">
        <v>409</v>
      </c>
      <c r="W174" s="20" t="n">
        <v>8</v>
      </c>
      <c r="X174" s="20" t="n">
        <v>14</v>
      </c>
    </row>
    <row r="175">
      <c r="A175" s="18" t="inlineStr">
        <is>
          <t>퇴직급여자산 증감</t>
        </is>
      </c>
      <c r="D175" s="20" t="n">
        <v>-48</v>
      </c>
      <c r="F175" s="20" t="n">
        <v>-464</v>
      </c>
      <c r="H175" s="20" t="n">
        <v>-55</v>
      </c>
      <c r="J175" s="20" t="n">
        <v>-96</v>
      </c>
      <c r="L175" s="20" t="n">
        <v>-91</v>
      </c>
      <c r="N175" s="20" t="n">
        <v>-109</v>
      </c>
      <c r="P175" s="20" t="n">
        <v>-62</v>
      </c>
      <c r="Q175" s="20" t="n">
        <v>-90</v>
      </c>
      <c r="R175" s="20" t="n">
        <v>-109</v>
      </c>
      <c r="S175" s="20" t="n">
        <v>-50</v>
      </c>
      <c r="T175" s="20" t="n">
        <v>-19</v>
      </c>
      <c r="U175" s="20" t="n">
        <v>-59</v>
      </c>
      <c r="V175" s="20" t="n">
        <v>-464</v>
      </c>
      <c r="W175" s="20" t="n">
        <v>-96</v>
      </c>
      <c r="X175" s="20" t="n">
        <v>-109</v>
      </c>
    </row>
    <row r="176">
      <c r="A176" s="18" t="inlineStr">
        <is>
          <t>이자·배당금 수익</t>
        </is>
      </c>
      <c r="D176" s="20" t="n">
        <v>-44</v>
      </c>
      <c r="F176" s="20" t="n">
        <v>-68</v>
      </c>
      <c r="H176" s="20" t="n">
        <v>-51</v>
      </c>
      <c r="J176" s="20" t="n">
        <v>-80</v>
      </c>
      <c r="L176" s="20" t="n">
        <v>-75</v>
      </c>
      <c r="N176" s="20" t="n">
        <v>-98</v>
      </c>
      <c r="P176" s="20" t="n">
        <v>-34</v>
      </c>
      <c r="Q176" s="20" t="n">
        <v>-37</v>
      </c>
      <c r="R176" s="20" t="n">
        <v>-42</v>
      </c>
      <c r="S176" s="20" t="n">
        <v>-43</v>
      </c>
      <c r="T176" s="20" t="n">
        <v>-41</v>
      </c>
      <c r="U176" s="20" t="n">
        <v>-44</v>
      </c>
      <c r="V176" s="20" t="n">
        <v>-68</v>
      </c>
      <c r="W176" s="20" t="n">
        <v>-80</v>
      </c>
      <c r="X176" s="20" t="n">
        <v>-98</v>
      </c>
    </row>
    <row r="177">
      <c r="A177" s="18" t="inlineStr">
        <is>
          <t>이자비용</t>
        </is>
      </c>
      <c r="D177" s="20" t="n">
        <v>2</v>
      </c>
      <c r="F177" s="20" t="n">
        <v>3</v>
      </c>
      <c r="H177" s="20" t="n">
        <v>4</v>
      </c>
      <c r="J177" s="20" t="n">
        <v>5</v>
      </c>
      <c r="L177" s="20" t="n">
        <v>5</v>
      </c>
      <c r="N177" s="20" t="n">
        <v>7</v>
      </c>
      <c r="P177" s="20" t="n">
        <v>10</v>
      </c>
      <c r="Q177" s="20" t="n">
        <v>7</v>
      </c>
      <c r="R177" s="20" t="n">
        <v>6</v>
      </c>
      <c r="S177" s="20" t="n">
        <v>5</v>
      </c>
      <c r="T177" s="20" t="n">
        <v>4</v>
      </c>
      <c r="U177" s="20" t="n">
        <v>4</v>
      </c>
      <c r="V177" s="20" t="n">
        <v>3</v>
      </c>
      <c r="W177" s="20" t="n">
        <v>5</v>
      </c>
      <c r="X177" s="20" t="n">
        <v>7</v>
      </c>
    </row>
    <row r="178">
      <c r="A178" s="18" t="inlineStr">
        <is>
          <t>고정자산 매각손익</t>
        </is>
      </c>
      <c r="P178" s="20" t="n">
        <v>0</v>
      </c>
      <c r="Q178" s="20" t="n">
        <v>-1747</v>
      </c>
      <c r="R178" s="20" t="n">
        <v>0</v>
      </c>
      <c r="S178" s="20" t="n">
        <v>-288</v>
      </c>
      <c r="T178" s="20" t="n">
        <v>-3</v>
      </c>
    </row>
    <row r="179">
      <c r="A179" s="18" t="inlineStr">
        <is>
          <t>매출채권 증감</t>
        </is>
      </c>
      <c r="P179" s="20" t="n">
        <v>12</v>
      </c>
      <c r="Q179" s="20" t="n">
        <v>-421</v>
      </c>
      <c r="R179" s="20" t="n">
        <v>-360</v>
      </c>
      <c r="S179" s="20" t="n">
        <v>100</v>
      </c>
      <c r="T179" s="20" t="n">
        <v>587</v>
      </c>
      <c r="U179" s="20" t="n">
        <v>0</v>
      </c>
    </row>
    <row r="180">
      <c r="A180" s="18" t="inlineStr">
        <is>
          <t>매출채권·계약자산 증감</t>
        </is>
      </c>
      <c r="D180" s="20" t="n">
        <v>-35</v>
      </c>
      <c r="F180" s="20" t="n">
        <v>-885</v>
      </c>
      <c r="T180" s="20" t="n">
        <v>0</v>
      </c>
      <c r="U180" s="20" t="n">
        <v>-1424</v>
      </c>
      <c r="V180" s="20" t="n">
        <v>-885</v>
      </c>
    </row>
    <row r="181">
      <c r="A181" s="18" t="inlineStr">
        <is>
          <t>매출채권·계약자산 증감</t>
        </is>
      </c>
      <c r="D181" s="20" t="n">
        <v>-35</v>
      </c>
      <c r="F181" s="20" t="n">
        <v>-885</v>
      </c>
      <c r="H181" s="20" t="n">
        <v>109</v>
      </c>
      <c r="J181" s="20" t="n">
        <v>442</v>
      </c>
      <c r="L181" s="20" t="n">
        <v>-1358</v>
      </c>
      <c r="N181" s="20" t="n">
        <v>451</v>
      </c>
      <c r="V181" s="20" t="n">
        <v>-885</v>
      </c>
      <c r="W181" s="20" t="n">
        <v>442</v>
      </c>
      <c r="X181" s="20" t="n">
        <v>451</v>
      </c>
    </row>
    <row r="182">
      <c r="A182" s="18" t="inlineStr">
        <is>
          <t>재고자산 증감</t>
        </is>
      </c>
      <c r="D182" s="20" t="n">
        <v>131</v>
      </c>
      <c r="F182" s="20" t="n">
        <v>-387</v>
      </c>
      <c r="H182" s="20" t="n">
        <v>-43</v>
      </c>
      <c r="J182" s="20" t="n">
        <v>-239</v>
      </c>
      <c r="L182" s="20" t="n">
        <v>-505</v>
      </c>
      <c r="N182" s="20" t="n">
        <v>-377</v>
      </c>
      <c r="P182" s="20" t="n">
        <v>-564</v>
      </c>
      <c r="Q182" s="20" t="n">
        <v>-130</v>
      </c>
      <c r="R182" s="20" t="n">
        <v>15</v>
      </c>
      <c r="S182" s="20" t="n">
        <v>32</v>
      </c>
      <c r="T182" s="20" t="n">
        <v>-418</v>
      </c>
      <c r="U182" s="20" t="n">
        <v>-573</v>
      </c>
      <c r="V182" s="20" t="n">
        <v>-387</v>
      </c>
      <c r="W182" s="20" t="n">
        <v>-239</v>
      </c>
      <c r="X182" s="20" t="n">
        <v>-377</v>
      </c>
    </row>
    <row r="183">
      <c r="A183" s="18" t="inlineStr">
        <is>
          <t>미수 소비세 증감</t>
        </is>
      </c>
      <c r="P183" s="20" t="n">
        <v>345</v>
      </c>
      <c r="Q183" s="20" t="n">
        <v>0</v>
      </c>
    </row>
    <row r="184">
      <c r="A184" s="18" t="inlineStr">
        <is>
          <t>매입채무 증감</t>
        </is>
      </c>
      <c r="D184" s="20" t="n">
        <v>175</v>
      </c>
      <c r="F184" s="20" t="n">
        <v>-2930</v>
      </c>
      <c r="H184" s="20" t="n">
        <v>-26</v>
      </c>
      <c r="J184" s="20" t="n">
        <v>329</v>
      </c>
      <c r="L184" s="20" t="n">
        <v>210</v>
      </c>
      <c r="N184" s="20" t="n">
        <v>-360</v>
      </c>
      <c r="P184" s="20" t="n">
        <v>-9</v>
      </c>
      <c r="Q184" s="20" t="n">
        <v>866</v>
      </c>
      <c r="R184" s="20" t="n">
        <v>92</v>
      </c>
      <c r="S184" s="20" t="n">
        <v>-620</v>
      </c>
      <c r="T184" s="20" t="n">
        <v>582</v>
      </c>
      <c r="U184" s="20" t="n">
        <v>816</v>
      </c>
      <c r="V184" s="20" t="n">
        <v>-2930</v>
      </c>
      <c r="W184" s="20" t="n">
        <v>329</v>
      </c>
      <c r="X184" s="20" t="n">
        <v>-360</v>
      </c>
    </row>
    <row r="185">
      <c r="A185" s="18" t="inlineStr">
        <is>
          <t>미지급금 증감</t>
        </is>
      </c>
      <c r="F185" s="20" t="n">
        <v>195</v>
      </c>
      <c r="H185" s="20" t="n">
        <v>-117</v>
      </c>
      <c r="J185" s="20" t="n">
        <v>318</v>
      </c>
      <c r="L185" s="20" t="n">
        <v>-55</v>
      </c>
      <c r="N185" s="20" t="n">
        <v>-311</v>
      </c>
      <c r="U185" s="20" t="n">
        <v>86</v>
      </c>
      <c r="V185" s="20" t="n">
        <v>195</v>
      </c>
      <c r="W185" s="20" t="n">
        <v>318</v>
      </c>
      <c r="X185" s="20" t="n">
        <v>-311</v>
      </c>
    </row>
    <row r="186">
      <c r="A186" s="18" t="inlineStr">
        <is>
          <t>미지급 소비세 증감</t>
        </is>
      </c>
      <c r="D186" s="20" t="n">
        <v>-249</v>
      </c>
      <c r="F186" s="20" t="n">
        <v>277</v>
      </c>
      <c r="H186" s="20" t="n">
        <v>-22</v>
      </c>
      <c r="J186" s="20" t="n">
        <v>-263</v>
      </c>
      <c r="L186" s="20" t="n">
        <v>88</v>
      </c>
      <c r="N186" s="20" t="n">
        <v>-50</v>
      </c>
      <c r="P186" s="20" t="n">
        <v>508</v>
      </c>
      <c r="Q186" s="20" t="n">
        <v>-365</v>
      </c>
      <c r="R186" s="20" t="n">
        <v>131</v>
      </c>
      <c r="U186" s="20" t="n">
        <v>-18</v>
      </c>
      <c r="V186" s="20" t="n">
        <v>277</v>
      </c>
      <c r="W186" s="20" t="n">
        <v>-263</v>
      </c>
      <c r="X186" s="20" t="n">
        <v>-50</v>
      </c>
    </row>
    <row r="187">
      <c r="A187" s="18" t="inlineStr">
        <is>
          <t>기타</t>
        </is>
      </c>
      <c r="D187" s="20" t="n">
        <v>417</v>
      </c>
      <c r="F187" s="20" t="n">
        <v>133</v>
      </c>
      <c r="H187" s="20" t="n">
        <v>91</v>
      </c>
      <c r="J187" s="20" t="n">
        <v>335</v>
      </c>
      <c r="L187" s="20" t="n">
        <v>-62</v>
      </c>
      <c r="N187" s="20" t="n">
        <v>392</v>
      </c>
      <c r="P187" s="20" t="n">
        <v>628</v>
      </c>
      <c r="Q187" s="20" t="n">
        <v>-224</v>
      </c>
      <c r="R187" s="20" t="n">
        <v>219</v>
      </c>
      <c r="S187" s="20" t="n">
        <v>67</v>
      </c>
      <c r="T187" s="20" t="n">
        <v>-82</v>
      </c>
      <c r="U187" s="20" t="n">
        <v>-69</v>
      </c>
      <c r="V187" s="20" t="n">
        <v>133</v>
      </c>
      <c r="W187" s="20" t="n">
        <v>335</v>
      </c>
      <c r="X187" s="20" t="n">
        <v>392</v>
      </c>
    </row>
    <row r="188">
      <c r="A188" s="18" t="inlineStr">
        <is>
          <t>소계</t>
        </is>
      </c>
      <c r="D188" s="20" t="n">
        <v>4926</v>
      </c>
      <c r="F188" s="20" t="n">
        <v>5963</v>
      </c>
      <c r="H188" s="20" t="n">
        <v>4303</v>
      </c>
      <c r="J188" s="20" t="n">
        <v>10193</v>
      </c>
      <c r="L188" s="20" t="n">
        <v>3315</v>
      </c>
      <c r="N188" s="20" t="n">
        <v>9142</v>
      </c>
      <c r="P188" s="20" t="n">
        <v>7340</v>
      </c>
      <c r="Q188" s="20" t="n">
        <v>5702</v>
      </c>
      <c r="R188" s="20" t="n">
        <v>6426</v>
      </c>
      <c r="S188" s="20" t="n">
        <v>6179</v>
      </c>
      <c r="T188" s="20" t="n">
        <v>7046</v>
      </c>
      <c r="U188" s="20" t="n">
        <v>5135</v>
      </c>
      <c r="V188" s="20" t="n">
        <v>5963</v>
      </c>
      <c r="W188" s="20" t="n">
        <v>10193</v>
      </c>
      <c r="X188" s="20" t="n">
        <v>9142</v>
      </c>
    </row>
    <row r="189">
      <c r="A189" s="18" t="inlineStr">
        <is>
          <t>이자·배당금 수취</t>
        </is>
      </c>
      <c r="D189" s="20" t="n">
        <v>44</v>
      </c>
      <c r="F189" s="20" t="n">
        <v>68</v>
      </c>
      <c r="H189" s="20" t="n">
        <v>50</v>
      </c>
      <c r="J189" s="20" t="n">
        <v>79</v>
      </c>
      <c r="L189" s="20" t="n">
        <v>74</v>
      </c>
      <c r="N189" s="20" t="n">
        <v>97</v>
      </c>
      <c r="P189" s="20" t="n">
        <v>34</v>
      </c>
      <c r="Q189" s="20" t="n">
        <v>40</v>
      </c>
      <c r="R189" s="20" t="n">
        <v>41</v>
      </c>
      <c r="S189" s="20" t="n">
        <v>44</v>
      </c>
      <c r="T189" s="20" t="n">
        <v>41</v>
      </c>
      <c r="U189" s="20" t="n">
        <v>44</v>
      </c>
      <c r="V189" s="20" t="n">
        <v>68</v>
      </c>
      <c r="W189" s="20" t="n">
        <v>79</v>
      </c>
      <c r="X189" s="20" t="n">
        <v>97</v>
      </c>
    </row>
    <row r="190">
      <c r="A190" s="18" t="inlineStr">
        <is>
          <t>이자 지급</t>
        </is>
      </c>
      <c r="D190" s="20" t="n">
        <v>-2</v>
      </c>
      <c r="F190" s="20" t="n">
        <v>-3</v>
      </c>
      <c r="H190" s="20" t="n">
        <v>-4</v>
      </c>
      <c r="J190" s="20" t="n">
        <v>-5</v>
      </c>
      <c r="L190" s="20" t="n">
        <v>-5</v>
      </c>
      <c r="N190" s="20" t="n">
        <v>-7</v>
      </c>
      <c r="P190" s="20" t="n">
        <v>-10</v>
      </c>
      <c r="Q190" s="20" t="n">
        <v>-7</v>
      </c>
      <c r="R190" s="20" t="n">
        <v>-6</v>
      </c>
      <c r="S190" s="20" t="n">
        <v>-5</v>
      </c>
      <c r="T190" s="20" t="n">
        <v>-4</v>
      </c>
      <c r="U190" s="20" t="n">
        <v>-4</v>
      </c>
      <c r="V190" s="20" t="n">
        <v>-3</v>
      </c>
      <c r="W190" s="20" t="n">
        <v>-5</v>
      </c>
      <c r="X190" s="20" t="n">
        <v>-7</v>
      </c>
    </row>
    <row r="191">
      <c r="A191" s="18" t="inlineStr">
        <is>
          <t>법인세 납부</t>
        </is>
      </c>
      <c r="D191" s="20" t="n">
        <v>-1639</v>
      </c>
      <c r="F191" s="20" t="n">
        <v>-1487</v>
      </c>
      <c r="H191" s="20" t="n">
        <v>-1082</v>
      </c>
      <c r="J191" s="20" t="n">
        <v>-2810</v>
      </c>
      <c r="L191" s="20" t="n">
        <v>-935</v>
      </c>
      <c r="N191" s="20" t="n">
        <v>-2209</v>
      </c>
      <c r="P191" s="20" t="n">
        <v>-1174</v>
      </c>
      <c r="Q191" s="20" t="n">
        <v>-1524</v>
      </c>
      <c r="R191" s="20" t="n">
        <v>-1139</v>
      </c>
      <c r="S191" s="20" t="n">
        <v>-1333</v>
      </c>
      <c r="T191" s="20" t="n">
        <v>-1176</v>
      </c>
      <c r="U191" s="20" t="n">
        <v>-1275</v>
      </c>
      <c r="V191" s="20" t="n">
        <v>-1487</v>
      </c>
      <c r="W191" s="20" t="n">
        <v>-2810</v>
      </c>
      <c r="X191" s="20" t="n">
        <v>-2209</v>
      </c>
    </row>
    <row r="192">
      <c r="A192" s="18" t="inlineStr">
        <is>
          <t>보조금 수취</t>
        </is>
      </c>
      <c r="D192" s="20" t="n">
        <v>69</v>
      </c>
      <c r="F192" s="20" t="n">
        <v>133</v>
      </c>
      <c r="H192" s="20" t="n">
        <v>58</v>
      </c>
      <c r="J192" s="20" t="n">
        <v>74</v>
      </c>
      <c r="L192" s="20" t="n">
        <v>0</v>
      </c>
      <c r="N192" s="20" t="n">
        <v>58</v>
      </c>
      <c r="P192" s="20" t="n">
        <v>45</v>
      </c>
      <c r="Q192" s="20" t="n">
        <v>196</v>
      </c>
      <c r="R192" s="20" t="n">
        <v>100</v>
      </c>
      <c r="S192" s="20" t="n">
        <v>137</v>
      </c>
      <c r="T192" s="20" t="n">
        <v>130</v>
      </c>
      <c r="U192" s="20" t="n">
        <v>100</v>
      </c>
      <c r="V192" s="20" t="n">
        <v>133</v>
      </c>
      <c r="W192" s="20" t="n">
        <v>74</v>
      </c>
      <c r="X192" s="20" t="n">
        <v>58</v>
      </c>
    </row>
    <row r="193">
      <c r="A193" s="18" t="inlineStr">
        <is>
          <t>재해 손실 지급액</t>
        </is>
      </c>
      <c r="H193" s="20" t="n">
        <v>0</v>
      </c>
      <c r="L193" s="20" t="n">
        <v>-0</v>
      </c>
    </row>
    <row r="194">
      <c r="A194" s="9" t="inlineStr">
        <is>
          <t>영업활동 현금흐름</t>
        </is>
      </c>
      <c r="D194" s="12" t="n">
        <v>3398</v>
      </c>
      <c r="F194" s="12" t="n">
        <v>4675</v>
      </c>
      <c r="H194" s="12" t="n">
        <v>3326</v>
      </c>
      <c r="J194" s="12" t="n">
        <v>7531</v>
      </c>
      <c r="L194" s="12" t="n">
        <v>2447</v>
      </c>
      <c r="N194" s="12" t="n">
        <v>7081</v>
      </c>
      <c r="P194" s="12" t="n">
        <v>6236</v>
      </c>
      <c r="Q194" s="12" t="n">
        <v>4406</v>
      </c>
      <c r="R194" s="12" t="n">
        <v>5421</v>
      </c>
      <c r="S194" s="12" t="n">
        <v>5022</v>
      </c>
      <c r="T194" s="12" t="n">
        <v>6036</v>
      </c>
      <c r="U194" s="12" t="n">
        <v>4000</v>
      </c>
      <c r="V194" s="12" t="n">
        <v>4675</v>
      </c>
      <c r="W194" s="12" t="n">
        <v>7531</v>
      </c>
      <c r="X194" s="12" t="n">
        <v>7081</v>
      </c>
    </row>
    <row r="195">
      <c r="A195" s="18" t="inlineStr">
        <is>
          <t>정기예금 예입</t>
        </is>
      </c>
      <c r="D195" s="20" t="n">
        <v>-199</v>
      </c>
      <c r="F195" s="20" t="n">
        <v>-543</v>
      </c>
      <c r="H195" s="20" t="n">
        <v>-369</v>
      </c>
      <c r="J195" s="20" t="n">
        <v>-1107</v>
      </c>
      <c r="L195" s="20" t="n">
        <v>-233</v>
      </c>
      <c r="N195" s="20" t="n">
        <v>-550</v>
      </c>
      <c r="P195" s="20" t="n">
        <v>-924</v>
      </c>
      <c r="Q195" s="20" t="n">
        <v>-3029</v>
      </c>
      <c r="R195" s="20" t="n">
        <v>-451</v>
      </c>
      <c r="S195" s="20" t="n">
        <v>-375</v>
      </c>
      <c r="T195" s="20" t="n">
        <v>-360</v>
      </c>
      <c r="U195" s="20" t="n">
        <v>-362</v>
      </c>
      <c r="V195" s="20" t="n">
        <v>-543</v>
      </c>
      <c r="W195" s="20" t="n">
        <v>-1107</v>
      </c>
      <c r="X195" s="20" t="n">
        <v>-550</v>
      </c>
    </row>
    <row r="196">
      <c r="A196" s="18" t="inlineStr">
        <is>
          <t>정기예금 인출</t>
        </is>
      </c>
      <c r="D196" s="20" t="n">
        <v>128</v>
      </c>
      <c r="F196" s="20" t="n">
        <v>256</v>
      </c>
      <c r="H196" s="20" t="n">
        <v>136</v>
      </c>
      <c r="J196" s="20" t="n">
        <v>275</v>
      </c>
      <c r="L196" s="20" t="n">
        <v>330</v>
      </c>
      <c r="N196" s="20" t="n">
        <v>161</v>
      </c>
      <c r="P196" s="20" t="n">
        <v>666</v>
      </c>
      <c r="Q196" s="20" t="n">
        <v>741</v>
      </c>
      <c r="R196" s="20" t="n">
        <v>218</v>
      </c>
      <c r="S196" s="20" t="n">
        <v>218</v>
      </c>
      <c r="T196" s="20" t="n">
        <v>216</v>
      </c>
      <c r="U196" s="20" t="n">
        <v>209</v>
      </c>
      <c r="V196" s="20" t="n">
        <v>256</v>
      </c>
      <c r="W196" s="20" t="n">
        <v>275</v>
      </c>
      <c r="X196" s="20" t="n">
        <v>161</v>
      </c>
    </row>
    <row r="197">
      <c r="A197" s="18" t="inlineStr">
        <is>
          <t>유형자산 취득(설비투자)</t>
        </is>
      </c>
      <c r="D197" s="20" t="n">
        <v>-1268</v>
      </c>
      <c r="F197" s="20" t="n">
        <v>-2867</v>
      </c>
      <c r="H197" s="20" t="n">
        <v>-1629</v>
      </c>
      <c r="J197" s="20" t="n">
        <v>-2707</v>
      </c>
      <c r="L197" s="20" t="n">
        <v>-1653</v>
      </c>
      <c r="N197" s="20" t="n">
        <v>-3528</v>
      </c>
      <c r="P197" s="20" t="n">
        <v>-1653</v>
      </c>
      <c r="Q197" s="20" t="n">
        <v>-1683</v>
      </c>
      <c r="R197" s="20" t="n">
        <v>-2217</v>
      </c>
      <c r="S197" s="20" t="n">
        <v>-2577</v>
      </c>
      <c r="T197" s="20" t="n">
        <v>-1740</v>
      </c>
      <c r="U197" s="20" t="n">
        <v>-1788</v>
      </c>
      <c r="V197" s="20" t="n">
        <v>-2867</v>
      </c>
      <c r="W197" s="20" t="n">
        <v>-2707</v>
      </c>
      <c r="X197" s="20" t="n">
        <v>-3528</v>
      </c>
    </row>
    <row r="198">
      <c r="A198" s="18" t="inlineStr">
        <is>
          <t>유형자산 매각</t>
        </is>
      </c>
      <c r="D198" s="20" t="n">
        <v>1</v>
      </c>
      <c r="F198" s="20" t="n">
        <v>4</v>
      </c>
      <c r="H198" s="20" t="n">
        <v>0</v>
      </c>
      <c r="J198" s="20" t="n">
        <v>34</v>
      </c>
      <c r="L198" s="20" t="n">
        <v>0</v>
      </c>
      <c r="N198" s="20" t="n">
        <v>4</v>
      </c>
      <c r="P198" s="20" t="n">
        <v>59</v>
      </c>
      <c r="Q198" s="20" t="n">
        <v>2950</v>
      </c>
      <c r="R198" s="20" t="n">
        <v>49</v>
      </c>
      <c r="S198" s="20" t="n">
        <v>898</v>
      </c>
      <c r="T198" s="20" t="n">
        <v>49</v>
      </c>
      <c r="U198" s="20" t="n">
        <v>7</v>
      </c>
      <c r="V198" s="20" t="n">
        <v>4</v>
      </c>
      <c r="W198" s="20" t="n">
        <v>34</v>
      </c>
      <c r="X198" s="20" t="n">
        <v>4</v>
      </c>
    </row>
    <row r="199">
      <c r="A199" s="18" t="inlineStr">
        <is>
          <t>투자유가증권 취득</t>
        </is>
      </c>
      <c r="P199" s="20" t="n">
        <v>-432</v>
      </c>
      <c r="Q199" s="20" t="n">
        <v>-500</v>
      </c>
      <c r="R199" s="20" t="n">
        <v>0</v>
      </c>
    </row>
    <row r="200">
      <c r="A200" s="18" t="inlineStr">
        <is>
          <t>투자유가증권 매각</t>
        </is>
      </c>
      <c r="Q200" s="20" t="n">
        <v>0</v>
      </c>
      <c r="R200" s="20" t="n">
        <v>1158</v>
      </c>
      <c r="S200" s="20" t="n">
        <v>1</v>
      </c>
    </row>
    <row r="201">
      <c r="A201" s="18" t="inlineStr">
        <is>
          <t>기타</t>
        </is>
      </c>
      <c r="D201" s="20" t="n">
        <v>-49</v>
      </c>
      <c r="F201" s="20" t="n">
        <v>-26</v>
      </c>
      <c r="H201" s="20" t="n">
        <v>-17</v>
      </c>
      <c r="J201" s="20" t="n">
        <v>-41</v>
      </c>
      <c r="L201" s="20" t="n">
        <v>-50</v>
      </c>
      <c r="N201" s="20" t="n">
        <v>-235</v>
      </c>
      <c r="P201" s="20" t="n">
        <v>75</v>
      </c>
      <c r="Q201" s="20" t="n">
        <v>-66</v>
      </c>
      <c r="R201" s="20" t="n">
        <v>-96</v>
      </c>
      <c r="S201" s="20" t="n">
        <v>-83</v>
      </c>
      <c r="T201" s="20" t="n">
        <v>-76</v>
      </c>
      <c r="U201" s="20" t="n">
        <v>-39</v>
      </c>
      <c r="V201" s="20" t="n">
        <v>-26</v>
      </c>
      <c r="W201" s="20" t="n">
        <v>-41</v>
      </c>
      <c r="X201" s="20" t="n">
        <v>-235</v>
      </c>
    </row>
    <row r="202">
      <c r="A202" s="9" t="inlineStr">
        <is>
          <t>투자활동 현금흐름</t>
        </is>
      </c>
      <c r="D202" s="12" t="n">
        <v>-1387</v>
      </c>
      <c r="F202" s="12" t="n">
        <v>-3175</v>
      </c>
      <c r="H202" s="12" t="n">
        <v>-1879</v>
      </c>
      <c r="J202" s="12" t="n">
        <v>-3546</v>
      </c>
      <c r="L202" s="12" t="n">
        <v>-1605</v>
      </c>
      <c r="N202" s="12" t="n">
        <v>-4148</v>
      </c>
      <c r="P202" s="12" t="n">
        <v>-2208</v>
      </c>
      <c r="Q202" s="12" t="n">
        <v>-1588</v>
      </c>
      <c r="R202" s="12" t="n">
        <v>-1337</v>
      </c>
      <c r="S202" s="12" t="n">
        <v>-1918</v>
      </c>
      <c r="T202" s="12" t="n">
        <v>-1910</v>
      </c>
      <c r="U202" s="12" t="n">
        <v>-1974</v>
      </c>
      <c r="V202" s="12" t="n">
        <v>-3175</v>
      </c>
      <c r="W202" s="12" t="n">
        <v>-3546</v>
      </c>
      <c r="X202" s="12" t="n">
        <v>-4148</v>
      </c>
    </row>
    <row r="203">
      <c r="A203" s="18" t="inlineStr">
        <is>
          <t>단기차입금 순증감</t>
        </is>
      </c>
      <c r="D203" s="20" t="n">
        <v>15</v>
      </c>
      <c r="F203" s="20" t="n">
        <v>-5</v>
      </c>
      <c r="H203" s="20" t="n">
        <v>45</v>
      </c>
      <c r="J203" s="20" t="n">
        <v>0</v>
      </c>
      <c r="L203" s="20" t="n">
        <v>80</v>
      </c>
      <c r="P203" s="20" t="n">
        <v>-101</v>
      </c>
      <c r="Q203" s="20" t="n">
        <v>-8</v>
      </c>
      <c r="R203" s="20" t="n">
        <v>-8</v>
      </c>
      <c r="S203" s="20" t="n">
        <v>-6</v>
      </c>
      <c r="T203" s="20" t="n">
        <v>-20</v>
      </c>
      <c r="U203" s="20" t="n">
        <v>0</v>
      </c>
      <c r="V203" s="20" t="n">
        <v>-5</v>
      </c>
      <c r="W203" s="20" t="n">
        <v>0</v>
      </c>
    </row>
    <row r="204">
      <c r="A204" s="18" t="inlineStr">
        <is>
          <t>장기차입</t>
        </is>
      </c>
      <c r="D204" s="20" t="n">
        <v>250</v>
      </c>
      <c r="F204" s="20" t="n">
        <v>380</v>
      </c>
      <c r="H204" s="20" t="n">
        <v>200</v>
      </c>
      <c r="J204" s="20" t="n">
        <v>280</v>
      </c>
      <c r="L204" s="20" t="n">
        <v>410</v>
      </c>
      <c r="N204" s="20" t="n">
        <v>200</v>
      </c>
      <c r="P204" s="20" t="n">
        <v>330</v>
      </c>
      <c r="Q204" s="20" t="n">
        <v>340</v>
      </c>
      <c r="R204" s="20" t="n">
        <v>370</v>
      </c>
      <c r="S204" s="20" t="n">
        <v>350</v>
      </c>
      <c r="T204" s="20" t="n">
        <v>280</v>
      </c>
      <c r="U204" s="20" t="n">
        <v>230</v>
      </c>
      <c r="V204" s="20" t="n">
        <v>380</v>
      </c>
      <c r="W204" s="20" t="n">
        <v>280</v>
      </c>
      <c r="X204" s="20" t="n">
        <v>200</v>
      </c>
    </row>
    <row r="205">
      <c r="A205" s="18" t="inlineStr">
        <is>
          <t>장기차입금 상환</t>
        </is>
      </c>
      <c r="D205" s="20" t="n">
        <v>-175</v>
      </c>
      <c r="F205" s="20" t="n">
        <v>-357</v>
      </c>
      <c r="H205" s="20" t="n">
        <v>-155</v>
      </c>
      <c r="J205" s="20" t="n">
        <v>-299</v>
      </c>
      <c r="L205" s="20" t="n">
        <v>-211</v>
      </c>
      <c r="N205" s="20" t="n">
        <v>-267</v>
      </c>
      <c r="P205" s="20" t="n">
        <v>-501</v>
      </c>
      <c r="Q205" s="20" t="n">
        <v>-511</v>
      </c>
      <c r="R205" s="20" t="n">
        <v>-462</v>
      </c>
      <c r="S205" s="20" t="n">
        <v>-468</v>
      </c>
      <c r="T205" s="20" t="n">
        <v>-427</v>
      </c>
      <c r="U205" s="20" t="n">
        <v>-335</v>
      </c>
      <c r="V205" s="20" t="n">
        <v>-357</v>
      </c>
      <c r="W205" s="20" t="n">
        <v>-299</v>
      </c>
      <c r="X205" s="20" t="n">
        <v>-267</v>
      </c>
    </row>
    <row r="206">
      <c r="A206" s="18" t="inlineStr">
        <is>
          <t>사채 발행</t>
        </is>
      </c>
      <c r="D206" s="20" t="n">
        <v>194</v>
      </c>
      <c r="F206" s="20" t="n">
        <v>193</v>
      </c>
      <c r="H206" s="20" t="n">
        <v>194</v>
      </c>
      <c r="J206" s="20" t="n">
        <v>194</v>
      </c>
      <c r="L206" s="20" t="n">
        <v>0</v>
      </c>
      <c r="N206" s="20" t="n">
        <v>194</v>
      </c>
      <c r="P206" s="20" t="n">
        <v>49</v>
      </c>
      <c r="Q206" s="20" t="n">
        <v>58</v>
      </c>
      <c r="R206" s="20" t="n">
        <v>97</v>
      </c>
      <c r="S206" s="20" t="n">
        <v>97</v>
      </c>
      <c r="T206" s="20" t="n">
        <v>146</v>
      </c>
      <c r="U206" s="20" t="n">
        <v>194</v>
      </c>
      <c r="V206" s="20" t="n">
        <v>193</v>
      </c>
      <c r="W206" s="20" t="n">
        <v>194</v>
      </c>
      <c r="X206" s="20" t="n">
        <v>194</v>
      </c>
    </row>
    <row r="207">
      <c r="A207" s="18" t="inlineStr">
        <is>
          <t>사채 상환</t>
        </is>
      </c>
      <c r="D207" s="20" t="n">
        <v>-115</v>
      </c>
      <c r="F207" s="20" t="n">
        <v>-178</v>
      </c>
      <c r="H207" s="20" t="n">
        <v>-100</v>
      </c>
      <c r="J207" s="20" t="n">
        <v>-220</v>
      </c>
      <c r="L207" s="20" t="n">
        <v>-80</v>
      </c>
      <c r="N207" s="20" t="n">
        <v>-220</v>
      </c>
      <c r="P207" s="20" t="n">
        <v>-39</v>
      </c>
      <c r="Q207" s="20" t="n">
        <v>-40</v>
      </c>
      <c r="R207" s="20" t="n">
        <v>-59</v>
      </c>
      <c r="S207" s="20" t="n">
        <v>-82</v>
      </c>
      <c r="T207" s="20" t="n">
        <v>-114</v>
      </c>
      <c r="U207" s="20" t="n">
        <v>-160</v>
      </c>
      <c r="V207" s="20" t="n">
        <v>-178</v>
      </c>
      <c r="W207" s="20" t="n">
        <v>-220</v>
      </c>
      <c r="X207" s="20" t="n">
        <v>-220</v>
      </c>
    </row>
    <row r="208">
      <c r="A208" s="18" t="inlineStr">
        <is>
          <t>자기주식 취득</t>
        </is>
      </c>
      <c r="D208" s="20" t="n">
        <v>-0</v>
      </c>
      <c r="F208" s="20" t="n">
        <v>-4657</v>
      </c>
      <c r="H208" s="20" t="n">
        <v>-0</v>
      </c>
      <c r="J208" s="20" t="n">
        <v>-1</v>
      </c>
      <c r="L208" s="20" t="n">
        <v>-0</v>
      </c>
      <c r="N208" s="20" t="n">
        <v>-1</v>
      </c>
      <c r="Q208" s="20" t="n">
        <v>0</v>
      </c>
      <c r="R208" s="20" t="n">
        <v>-12774</v>
      </c>
      <c r="S208" s="20" t="n">
        <v>-0</v>
      </c>
      <c r="T208" s="20" t="n">
        <v>-0</v>
      </c>
      <c r="U208" s="20" t="n">
        <v>-0</v>
      </c>
      <c r="V208" s="20" t="n">
        <v>-4657</v>
      </c>
      <c r="W208" s="20" t="n">
        <v>-1</v>
      </c>
      <c r="X208" s="20" t="n">
        <v>-1</v>
      </c>
    </row>
    <row r="209">
      <c r="A209" s="18" t="inlineStr">
        <is>
          <t>자기주식 처분</t>
        </is>
      </c>
      <c r="F209" s="20" t="n">
        <v>1032</v>
      </c>
      <c r="J209" s="20" t="n">
        <v>0</v>
      </c>
      <c r="U209" s="20" t="n">
        <v>0</v>
      </c>
      <c r="V209" s="20" t="n">
        <v>1032</v>
      </c>
      <c r="W209" s="20" t="n">
        <v>0</v>
      </c>
    </row>
    <row r="210">
      <c r="A210" s="18" t="inlineStr">
        <is>
          <t>배당금 지급</t>
        </is>
      </c>
      <c r="D210" s="20" t="n">
        <v>-1721</v>
      </c>
      <c r="F210" s="20" t="n">
        <v>-1350</v>
      </c>
      <c r="H210" s="20" t="n">
        <v>-1721</v>
      </c>
      <c r="J210" s="20" t="n">
        <v>-2581</v>
      </c>
      <c r="L210" s="20" t="n">
        <v>-1634</v>
      </c>
      <c r="N210" s="20" t="n">
        <v>-2581</v>
      </c>
      <c r="P210" s="20" t="n">
        <v>-768</v>
      </c>
      <c r="Q210" s="20" t="n">
        <v>-768</v>
      </c>
      <c r="R210" s="20" t="n">
        <v>-936</v>
      </c>
      <c r="S210" s="20" t="n">
        <v>-720</v>
      </c>
      <c r="T210" s="20" t="n">
        <v>-810</v>
      </c>
      <c r="U210" s="20" t="n">
        <v>-900</v>
      </c>
      <c r="V210" s="20" t="n">
        <v>-1350</v>
      </c>
      <c r="W210" s="20" t="n">
        <v>-2581</v>
      </c>
      <c r="X210" s="20" t="n">
        <v>-2581</v>
      </c>
    </row>
    <row r="211">
      <c r="A211" s="18" t="inlineStr">
        <is>
          <t>기타</t>
        </is>
      </c>
      <c r="D211" s="20" t="n">
        <v>-3</v>
      </c>
      <c r="F211" s="20" t="n">
        <v>-7</v>
      </c>
      <c r="H211" s="20" t="n">
        <v>-11</v>
      </c>
      <c r="J211" s="20" t="n">
        <v>-15</v>
      </c>
      <c r="L211" s="20" t="n">
        <v>-13</v>
      </c>
      <c r="N211" s="20" t="n">
        <v>-21</v>
      </c>
      <c r="P211" s="20" t="n">
        <v>-3</v>
      </c>
      <c r="Q211" s="20" t="n">
        <v>3</v>
      </c>
      <c r="R211" s="20" t="n">
        <v>-0</v>
      </c>
      <c r="S211" s="20" t="n">
        <v>9</v>
      </c>
      <c r="T211" s="20" t="n">
        <v>8</v>
      </c>
      <c r="U211" s="20" t="n">
        <v>-8</v>
      </c>
      <c r="V211" s="20" t="n">
        <v>-7</v>
      </c>
      <c r="W211" s="20" t="n">
        <v>-15</v>
      </c>
      <c r="X211" s="20" t="n">
        <v>-21</v>
      </c>
    </row>
    <row r="212">
      <c r="A212" s="9" t="inlineStr">
        <is>
          <t>재무활동 현금흐름</t>
        </is>
      </c>
      <c r="D212" s="12" t="n">
        <v>-1556</v>
      </c>
      <c r="F212" s="12" t="n">
        <v>-4950</v>
      </c>
      <c r="H212" s="12" t="n">
        <v>-1548</v>
      </c>
      <c r="J212" s="12" t="n">
        <v>-2643</v>
      </c>
      <c r="L212" s="12" t="n">
        <v>-1450</v>
      </c>
      <c r="N212" s="12" t="n">
        <v>-2697</v>
      </c>
      <c r="P212" s="12" t="n">
        <v>-1034</v>
      </c>
      <c r="Q212" s="12" t="n">
        <v>-926</v>
      </c>
      <c r="R212" s="12" t="n">
        <v>-13772</v>
      </c>
      <c r="S212" s="12" t="n">
        <v>-821</v>
      </c>
      <c r="T212" s="12" t="n">
        <v>-937</v>
      </c>
      <c r="U212" s="12" t="n">
        <v>-979</v>
      </c>
      <c r="V212" s="12" t="n">
        <v>-4950</v>
      </c>
      <c r="W212" s="12" t="n">
        <v>-2643</v>
      </c>
      <c r="X212" s="12" t="n">
        <v>-2697</v>
      </c>
    </row>
    <row r="213">
      <c r="A213" s="18" t="inlineStr">
        <is>
          <t>현금성자산 증감</t>
        </is>
      </c>
      <c r="D213" s="20" t="n">
        <v>454</v>
      </c>
      <c r="F213" s="20" t="n">
        <v>-3451</v>
      </c>
      <c r="H213" s="20" t="n">
        <v>-101</v>
      </c>
      <c r="J213" s="20" t="n">
        <v>1341</v>
      </c>
      <c r="L213" s="20" t="n">
        <v>-607</v>
      </c>
      <c r="N213" s="20" t="n">
        <v>235</v>
      </c>
      <c r="P213" s="20" t="n">
        <v>2993</v>
      </c>
      <c r="Q213" s="20" t="n">
        <v>1892</v>
      </c>
      <c r="R213" s="20" t="n">
        <v>-9688</v>
      </c>
      <c r="S213" s="20" t="n">
        <v>2282</v>
      </c>
      <c r="T213" s="20" t="n">
        <v>3187</v>
      </c>
      <c r="U213" s="20" t="n">
        <v>1046</v>
      </c>
      <c r="V213" s="20" t="n">
        <v>-3451</v>
      </c>
      <c r="W213" s="20" t="n">
        <v>1341</v>
      </c>
      <c r="X213" s="20" t="n">
        <v>235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미라이공업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2026.3Q</t>
        </is>
      </c>
      <c r="D3" s="5" t="inlineStr">
        <is>
          <t>2026.4Q</t>
        </is>
      </c>
      <c r="E3" s="5" t="inlineStr">
        <is>
          <t>2027.1Q</t>
        </is>
      </c>
      <c r="F3" s="5" t="inlineStr">
        <is>
          <t>2027.2Q</t>
        </is>
      </c>
      <c r="G3" s="5" t="inlineStr">
        <is>
          <t>2027.3Q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42632</v>
      </c>
      <c r="D5" s="12" t="n">
        <v>42684</v>
      </c>
      <c r="E5" s="12" t="n">
        <v>42950</v>
      </c>
      <c r="F5" s="12" t="n">
        <v>43382</v>
      </c>
      <c r="G5" s="12" t="n">
        <v>44474</v>
      </c>
      <c r="H5" s="11" t="n">
        <v>41705</v>
      </c>
      <c r="I5" s="12" t="n">
        <v>39202</v>
      </c>
      <c r="J5" s="12" t="n">
        <v>41825</v>
      </c>
      <c r="K5" s="12" t="n">
        <v>42684</v>
      </c>
    </row>
    <row r="6">
      <c r="A6" s="18" t="inlineStr">
        <is>
          <t>현금및현금성자산</t>
        </is>
      </c>
      <c r="B6" s="10" t="n"/>
      <c r="C6" s="19" t="n">
        <v>21234</v>
      </c>
      <c r="D6" s="20" t="n">
        <v>20458</v>
      </c>
      <c r="E6" s="20" t="n">
        <v>21728</v>
      </c>
      <c r="F6" s="20" t="n">
        <v>20761</v>
      </c>
      <c r="G6" s="20" t="n">
        <v>21024</v>
      </c>
      <c r="H6" s="19" t="n">
        <v>22115</v>
      </c>
      <c r="I6" s="20" t="n">
        <v>17787</v>
      </c>
      <c r="J6" s="20" t="n">
        <v>19010</v>
      </c>
      <c r="K6" s="20" t="n">
        <v>20458</v>
      </c>
    </row>
    <row r="7">
      <c r="A7" s="18" t="inlineStr">
        <is>
          <t>단기금융상품</t>
        </is>
      </c>
      <c r="B7" s="10" t="n"/>
      <c r="C7" s="19" t="n">
        <v>1525</v>
      </c>
      <c r="D7" s="20" t="n">
        <v>1499</v>
      </c>
      <c r="E7" s="20" t="n">
        <v>1513</v>
      </c>
      <c r="F7" s="20" t="n">
        <v>1498</v>
      </c>
      <c r="G7" s="20" t="n">
        <v>1497</v>
      </c>
      <c r="H7" s="19" t="n"/>
      <c r="I7" s="20" t="n"/>
      <c r="J7" s="20" t="n"/>
      <c r="K7" s="20" t="n">
        <v>1499</v>
      </c>
    </row>
    <row r="8">
      <c r="A8" s="18" t="inlineStr">
        <is>
          <t>매출채권</t>
        </is>
      </c>
      <c r="B8" s="10" t="n"/>
      <c r="C8" s="19" t="n">
        <v>6979</v>
      </c>
      <c r="D8" s="20" t="n">
        <v>7510</v>
      </c>
      <c r="E8" s="20" t="n">
        <v>6548</v>
      </c>
      <c r="F8" s="20" t="n">
        <v>7235</v>
      </c>
      <c r="G8" s="20" t="n">
        <v>7298</v>
      </c>
      <c r="H8" s="19" t="n">
        <v>8184</v>
      </c>
      <c r="I8" s="20" t="n">
        <v>8941</v>
      </c>
      <c r="J8" s="20" t="n">
        <v>8154</v>
      </c>
      <c r="K8" s="20" t="n">
        <v>7510</v>
      </c>
    </row>
    <row r="9">
      <c r="A9" s="18" t="inlineStr">
        <is>
          <t>재고자산</t>
        </is>
      </c>
      <c r="B9" s="10" t="n"/>
      <c r="C9" s="19" t="n">
        <v>6586</v>
      </c>
      <c r="D9" s="20" t="n">
        <v>6821</v>
      </c>
      <c r="E9" s="20" t="n">
        <v>6920</v>
      </c>
      <c r="F9" s="20" t="n">
        <v>7088</v>
      </c>
      <c r="G9" s="20" t="n">
        <v>7425</v>
      </c>
      <c r="H9" s="19" t="n">
        <v>5850</v>
      </c>
      <c r="I9" s="20" t="n">
        <v>6191</v>
      </c>
      <c r="J9" s="20" t="n">
        <v>6432</v>
      </c>
      <c r="K9" s="20" t="n">
        <v>6821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24402</v>
      </c>
      <c r="D11" s="12" t="n">
        <v>24615</v>
      </c>
      <c r="E11" s="12" t="n">
        <v>25746</v>
      </c>
      <c r="F11" s="12" t="n">
        <v>25942</v>
      </c>
      <c r="G11" s="12" t="n">
        <v>26501</v>
      </c>
      <c r="H11" s="11" t="n">
        <v>21579</v>
      </c>
      <c r="I11" s="12" t="n">
        <v>22456</v>
      </c>
      <c r="J11" s="12" t="n">
        <v>23286</v>
      </c>
      <c r="K11" s="12" t="n">
        <v>24615</v>
      </c>
    </row>
    <row r="12">
      <c r="A12" s="18" t="inlineStr">
        <is>
          <t>유형자산</t>
        </is>
      </c>
      <c r="B12" s="10" t="n"/>
      <c r="C12" s="19" t="n">
        <v>15020</v>
      </c>
      <c r="D12" s="20" t="n">
        <v>15229</v>
      </c>
      <c r="E12" s="20" t="n">
        <v>15544</v>
      </c>
      <c r="F12" s="20" t="n">
        <v>15617</v>
      </c>
      <c r="G12" s="20" t="n">
        <v>15849</v>
      </c>
      <c r="H12" s="19" t="n">
        <v>13875</v>
      </c>
      <c r="I12" s="20" t="n">
        <v>14172</v>
      </c>
      <c r="J12" s="20" t="n">
        <v>14416</v>
      </c>
      <c r="K12" s="20" t="n">
        <v>15229</v>
      </c>
    </row>
    <row r="13">
      <c r="A13" s="18" t="inlineStr">
        <is>
          <t>무형자산</t>
        </is>
      </c>
      <c r="B13" s="10" t="n"/>
      <c r="C13" s="19" t="n">
        <v>184</v>
      </c>
      <c r="D13" s="20" t="n">
        <v>256</v>
      </c>
      <c r="E13" s="20" t="n">
        <v>340</v>
      </c>
      <c r="F13" s="20" t="n">
        <v>361</v>
      </c>
      <c r="G13" s="20" t="n">
        <v>367</v>
      </c>
      <c r="H13" s="19" t="n">
        <v>156</v>
      </c>
      <c r="I13" s="20" t="n">
        <v>129</v>
      </c>
      <c r="J13" s="20" t="n">
        <v>190</v>
      </c>
      <c r="K13" s="20" t="n">
        <v>256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67034</v>
      </c>
      <c r="D16" s="12" t="n">
        <v>67300</v>
      </c>
      <c r="E16" s="12" t="n">
        <v>68697</v>
      </c>
      <c r="F16" s="12" t="n">
        <v>69325</v>
      </c>
      <c r="G16" s="12" t="n">
        <v>70976</v>
      </c>
      <c r="H16" s="11" t="n">
        <v>63285</v>
      </c>
      <c r="I16" s="12" t="n">
        <v>61658</v>
      </c>
      <c r="J16" s="12" t="n">
        <v>65112</v>
      </c>
      <c r="K16" s="12" t="n">
        <v>67300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10404</v>
      </c>
      <c r="D18" s="12" t="n">
        <v>9792</v>
      </c>
      <c r="E18" s="12" t="n">
        <v>9688</v>
      </c>
      <c r="F18" s="12" t="n">
        <v>10159</v>
      </c>
      <c r="G18" s="12" t="n">
        <v>10569</v>
      </c>
      <c r="H18" s="11" t="n">
        <v>11666</v>
      </c>
      <c r="I18" s="12" t="n">
        <v>9921</v>
      </c>
      <c r="J18" s="12" t="n">
        <v>10236</v>
      </c>
      <c r="K18" s="12" t="n">
        <v>9792</v>
      </c>
    </row>
    <row r="19">
      <c r="A19" s="18" t="inlineStr">
        <is>
          <t>매입채무</t>
        </is>
      </c>
      <c r="B19" s="10" t="n"/>
      <c r="C19" s="19" t="n">
        <v>3055</v>
      </c>
      <c r="D19" s="20" t="n">
        <v>3215</v>
      </c>
      <c r="E19" s="20" t="n">
        <v>2592</v>
      </c>
      <c r="F19" s="20" t="n">
        <v>3465</v>
      </c>
      <c r="G19" s="20" t="n">
        <v>3344</v>
      </c>
      <c r="H19" s="19" t="n">
        <v>3491</v>
      </c>
      <c r="I19" s="20" t="n">
        <v>3111</v>
      </c>
      <c r="J19" s="20" t="n">
        <v>3411</v>
      </c>
      <c r="K19" s="20" t="n">
        <v>3215</v>
      </c>
    </row>
    <row r="20">
      <c r="A20" s="18" t="inlineStr">
        <is>
          <t>단기차입금</t>
        </is>
      </c>
      <c r="B20" s="10" t="n"/>
      <c r="C20" s="19" t="n">
        <v>85</v>
      </c>
      <c r="D20" s="20" t="n">
        <v>267</v>
      </c>
      <c r="E20" s="20" t="n">
        <v>40</v>
      </c>
      <c r="F20" s="20" t="n">
        <v>85</v>
      </c>
      <c r="G20" s="20" t="n">
        <v>120</v>
      </c>
      <c r="H20" s="19" t="n">
        <v>225</v>
      </c>
      <c r="I20" s="20" t="n">
        <v>220</v>
      </c>
      <c r="J20" s="20" t="n">
        <v>237</v>
      </c>
      <c r="K20" s="20" t="n">
        <v>267</v>
      </c>
    </row>
    <row r="21">
      <c r="A21" s="18" t="inlineStr">
        <is>
          <t>유동성장기부채</t>
        </is>
      </c>
      <c r="B21" s="10" t="n"/>
      <c r="C21" s="19" t="n">
        <v>202</v>
      </c>
      <c r="D21" s="20" t="n">
        <v>163</v>
      </c>
      <c r="E21" s="20" t="n">
        <v>124</v>
      </c>
      <c r="F21" s="20" t="n">
        <v>364</v>
      </c>
      <c r="G21" s="20" t="n">
        <v>311</v>
      </c>
      <c r="H21" s="19" t="n">
        <v>236</v>
      </c>
      <c r="I21" s="20" t="n">
        <v>171</v>
      </c>
      <c r="J21" s="20" t="n">
        <v>153</v>
      </c>
      <c r="K21" s="20" t="n">
        <v>163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2680</v>
      </c>
      <c r="D23" s="12" t="n">
        <v>2674</v>
      </c>
      <c r="E23" s="12" t="n">
        <v>2745</v>
      </c>
      <c r="F23" s="12" t="n">
        <v>2977</v>
      </c>
      <c r="G23" s="12" t="n">
        <v>2791</v>
      </c>
      <c r="H23" s="11" t="n">
        <v>2460</v>
      </c>
      <c r="I23" s="12" t="n">
        <v>2468</v>
      </c>
      <c r="J23" s="12" t="n">
        <v>2625</v>
      </c>
      <c r="K23" s="12" t="n">
        <v>2674</v>
      </c>
    </row>
    <row r="24">
      <c r="A24" s="18" t="inlineStr">
        <is>
          <t>장기차입금</t>
        </is>
      </c>
      <c r="B24" s="10" t="n"/>
      <c r="C24" s="19" t="n">
        <v>48</v>
      </c>
      <c r="D24" s="20" t="n">
        <v>31</v>
      </c>
      <c r="E24" s="20" t="n">
        <v>14</v>
      </c>
      <c r="F24" s="20" t="n">
        <v>80</v>
      </c>
      <c r="G24" s="20" t="n">
        <v>26</v>
      </c>
      <c r="H24" s="19" t="n">
        <v>37</v>
      </c>
      <c r="I24" s="20" t="n">
        <v>0</v>
      </c>
      <c r="J24" s="20" t="n">
        <v>77</v>
      </c>
      <c r="K24" s="20" t="n">
        <v>31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13085</v>
      </c>
      <c r="D27" s="12" t="n">
        <v>12466</v>
      </c>
      <c r="E27" s="12" t="n">
        <v>12434</v>
      </c>
      <c r="F27" s="12" t="n">
        <v>13137</v>
      </c>
      <c r="G27" s="12" t="n">
        <v>13360</v>
      </c>
      <c r="H27" s="11" t="n">
        <v>14126</v>
      </c>
      <c r="I27" s="12" t="n">
        <v>12390</v>
      </c>
      <c r="J27" s="12" t="n">
        <v>12861</v>
      </c>
      <c r="K27" s="12" t="n">
        <v>12466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53176</v>
      </c>
      <c r="D31" s="12" t="n">
        <v>54040</v>
      </c>
      <c r="E31" s="12" t="n">
        <v>55450</v>
      </c>
      <c r="F31" s="12" t="n">
        <v>55354</v>
      </c>
      <c r="G31" s="12" t="n">
        <v>56763</v>
      </c>
      <c r="H31" s="11" t="n">
        <v>48598</v>
      </c>
      <c r="I31" s="12" t="n">
        <v>48631</v>
      </c>
      <c r="J31" s="12" t="n">
        <v>51544</v>
      </c>
      <c r="K31" s="12" t="n">
        <v>54040</v>
      </c>
    </row>
    <row r="32">
      <c r="A32" s="18" t="inlineStr">
        <is>
          <t>자본금</t>
        </is>
      </c>
      <c r="B32" s="10" t="n"/>
      <c r="C32" s="19" t="n">
        <v>7067</v>
      </c>
      <c r="D32" s="20" t="n">
        <v>7067</v>
      </c>
      <c r="E32" s="20" t="n">
        <v>7067</v>
      </c>
      <c r="F32" s="20" t="n">
        <v>7067</v>
      </c>
      <c r="G32" s="20" t="n">
        <v>7067</v>
      </c>
      <c r="H32" s="19" t="n">
        <v>7067</v>
      </c>
      <c r="I32" s="20" t="n">
        <v>7067</v>
      </c>
      <c r="J32" s="20" t="n">
        <v>7067</v>
      </c>
      <c r="K32" s="20" t="n">
        <v>7067</v>
      </c>
    </row>
    <row r="33">
      <c r="A33" s="18" t="inlineStr">
        <is>
          <t>이익잉여금</t>
        </is>
      </c>
      <c r="B33" s="10" t="n"/>
      <c r="C33" s="19" t="n">
        <v>55165</v>
      </c>
      <c r="D33" s="20" t="n">
        <v>55921</v>
      </c>
      <c r="E33" s="20" t="n">
        <v>56806</v>
      </c>
      <c r="F33" s="20" t="n">
        <v>56550</v>
      </c>
      <c r="G33" s="20" t="n">
        <v>57817</v>
      </c>
      <c r="H33" s="19" t="n">
        <v>48167</v>
      </c>
      <c r="I33" s="20" t="n">
        <v>51303</v>
      </c>
      <c r="J33" s="20" t="n">
        <v>53804</v>
      </c>
      <c r="K33" s="20" t="n">
        <v>55921</v>
      </c>
    </row>
    <row r="34">
      <c r="A34" s="18" t="inlineStr">
        <is>
          <t>비지배지분</t>
        </is>
      </c>
      <c r="B34" s="10" t="n"/>
      <c r="C34" s="19" t="n">
        <v>773</v>
      </c>
      <c r="D34" s="20" t="n">
        <v>793</v>
      </c>
      <c r="E34" s="20" t="n">
        <v>812</v>
      </c>
      <c r="F34" s="20" t="n">
        <v>833</v>
      </c>
      <c r="G34" s="20" t="n">
        <v>852</v>
      </c>
      <c r="H34" s="19" t="n">
        <v>560</v>
      </c>
      <c r="I34" s="20" t="n">
        <v>637</v>
      </c>
      <c r="J34" s="20" t="n">
        <v>707</v>
      </c>
      <c r="K34" s="20" t="n">
        <v>793</v>
      </c>
    </row>
    <row r="35">
      <c r="A35" s="9" t="inlineStr">
        <is>
          <t>자본총계</t>
        </is>
      </c>
      <c r="B35" s="10" t="n"/>
      <c r="C35" s="11" t="n">
        <v>53949</v>
      </c>
      <c r="D35" s="12" t="n">
        <v>54833</v>
      </c>
      <c r="E35" s="12" t="n">
        <v>56262</v>
      </c>
      <c r="F35" s="12" t="n">
        <v>56187</v>
      </c>
      <c r="G35" s="12" t="n">
        <v>57615</v>
      </c>
      <c r="H35" s="11" t="n">
        <v>49158</v>
      </c>
      <c r="I35" s="12" t="n">
        <v>49268</v>
      </c>
      <c r="J35" s="12" t="n">
        <v>52251</v>
      </c>
      <c r="K35" s="12" t="n">
        <v>54833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>
        <v>7531</v>
      </c>
      <c r="E37" s="12" t="n"/>
      <c r="F37" s="12" t="n">
        <v>6652</v>
      </c>
      <c r="G37" s="12" t="n"/>
      <c r="H37" s="11" t="n">
        <v>6036</v>
      </c>
      <c r="I37" s="12" t="n">
        <v>4000</v>
      </c>
      <c r="J37" s="12" t="n">
        <v>4675</v>
      </c>
      <c r="K37" s="12" t="n">
        <v>7531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2707</v>
      </c>
      <c r="E38" s="20" t="n"/>
      <c r="F38" s="20" t="n">
        <v>2731</v>
      </c>
      <c r="G38" s="20" t="n"/>
      <c r="H38" s="19" t="n">
        <v>1740</v>
      </c>
      <c r="I38" s="20" t="n">
        <v>1788</v>
      </c>
      <c r="J38" s="20" t="n">
        <v>2867</v>
      </c>
      <c r="K38" s="20" t="n">
        <v>2707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2581</v>
      </c>
      <c r="E40" s="20" t="n"/>
      <c r="F40" s="20" t="n">
        <v>2494</v>
      </c>
      <c r="G40" s="20" t="n"/>
      <c r="H40" s="19" t="n">
        <v>810</v>
      </c>
      <c r="I40" s="20" t="n">
        <v>900</v>
      </c>
      <c r="J40" s="20" t="n">
        <v>1350</v>
      </c>
      <c r="K40" s="20" t="n">
        <v>2581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IFERROR((IF(COUNT('연간'!F22:I22)&lt;4,"",SUM('연간'!F22:I22)))/(IF(COUNT('연간'!F44:I44)&lt;4,"",SUM('연간'!F44:I44))),"")</f>
        <v/>
      </c>
      <c r="D48" s="31">
        <f>IFERROR((IF(COUNT('연간'!G22:J22)&lt;4,"",SUM('연간'!G22:J22)))/(IF(COUNT('연간'!G44:J44)&lt;4,"",SUM('연간'!G44:J44))),"")</f>
        <v/>
      </c>
      <c r="E48" s="31">
        <f>IFERROR((IF(COUNT('연간'!H22:K22)&lt;4,"",SUM('연간'!H22:K22)))/(IF(COUNT('연간'!H44:K44)&lt;4,"",SUM('연간'!H44:K44))),"")</f>
        <v/>
      </c>
      <c r="F48" s="31">
        <f>IFERROR((IF(COUNT('연간'!I22:L22)&lt;4,"",SUM('연간'!I22:L22)))/(IF(COUNT('연간'!I44:L44)&lt;4,"",SUM('연간'!I44:L44))),"")</f>
        <v/>
      </c>
      <c r="G48" s="31">
        <f>IFERROR((IF(COUNT('연간'!J22:M22)&lt;4,"",SUM('연간'!J22:M22)))/(IF(COUNT('연간'!J44:M44)&lt;4,"",SUM('연간'!J44:M44))),"")</f>
        <v/>
      </c>
      <c r="H48" s="30">
        <f>IFERROR(('연간'!T22)/('연간'!T44),"")</f>
        <v/>
      </c>
      <c r="I48" s="31">
        <f>IFERROR(('연간'!U22)/('연간'!U44),"")</f>
        <v/>
      </c>
      <c r="J48" s="31">
        <f>IFERROR(('연간'!V22)/('연간'!V44),"")</f>
        <v/>
      </c>
      <c r="K48" s="31">
        <f>IFERROR(('연간'!W22)/('연간'!W44),"")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IFERROR(IF((IF(COUNT('연간'!F50:I50)&lt;4,"",SUM('연간'!F50:I50)))&lt;=0,"적자",C28/(IF(COUNT('연간'!F50:I50)&lt;4,"",SUM('연간'!F50:I50)))),"")</f>
        <v/>
      </c>
      <c r="D49" s="46">
        <f>IFERROR(IF((IF(COUNT('연간'!G50:J50)&lt;4,"",SUM('연간'!G50:J50)))&lt;=0,"적자",D28/(IF(COUNT('연간'!G50:J50)&lt;4,"",SUM('연간'!G50:J50)))),"")</f>
        <v/>
      </c>
      <c r="E49" s="46">
        <f>IFERROR(IF((IF(COUNT('연간'!H50:K50)&lt;4,"",SUM('연간'!H50:K50)))&lt;=0,"적자",E28/(IF(COUNT('연간'!H50:K50)&lt;4,"",SUM('연간'!H50:K50)))),"")</f>
        <v/>
      </c>
      <c r="F49" s="46">
        <f>IFERROR(IF((IF(COUNT('연간'!I50:L50)&lt;4,"",SUM('연간'!I50:L50)))&lt;=0,"적자",F28/(IF(COUNT('연간'!I50:L50)&lt;4,"",SUM('연간'!I50:L50)))),"")</f>
        <v/>
      </c>
      <c r="G49" s="46">
        <f>IFERROR(IF((IF(COUNT('연간'!J50:M50)&lt;4,"",SUM('연간'!J50:M50)))&lt;=0,"적자",G28/(IF(COUNT('연간'!J50:M50)&lt;4,"",SUM('연간'!J50:M50)))),"")</f>
        <v/>
      </c>
      <c r="H49" s="45">
        <f>IFERROR(IF(('연간'!T50)&lt;=0,"적자",H28/('연간'!T50)),"")</f>
        <v/>
      </c>
      <c r="I49" s="46">
        <f>IFERROR(IF(('연간'!U50)&lt;=0,"적자",I28/('연간'!U50)),"")</f>
        <v/>
      </c>
      <c r="J49" s="46">
        <f>IFERROR(IF(('연간'!V50)&lt;=0,"적자",J28/('연간'!V50)),"")</f>
        <v/>
      </c>
      <c r="K49" s="46">
        <f>IFERROR(IF(('연간'!W50)&lt;=0,"적자",K28/('연간'!W50)),"")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IFERROR((IF(COUNT('연간'!F50:I50)&lt;4,"",SUM('연간'!F50:I50)))/C31,"")</f>
        <v/>
      </c>
      <c r="D51" s="36">
        <f>IFERROR((IF(COUNT('연간'!G50:J50)&lt;4,"",SUM('연간'!G50:J50)))/D31,"")</f>
        <v/>
      </c>
      <c r="E51" s="36">
        <f>IFERROR((IF(COUNT('연간'!H50:K50)&lt;4,"",SUM('연간'!H50:K50)))/E31,"")</f>
        <v/>
      </c>
      <c r="F51" s="36">
        <f>IFERROR((IF(COUNT('연간'!I50:L50)&lt;4,"",SUM('연간'!I50:L50)))/F31,"")</f>
        <v/>
      </c>
      <c r="G51" s="36">
        <f>IFERROR((IF(COUNT('연간'!J50:M50)&lt;4,"",SUM('연간'!J50:M50)))/G31,"")</f>
        <v/>
      </c>
      <c r="H51" s="35">
        <f>IFERROR(('연간'!T50)/H31,"")</f>
        <v/>
      </c>
      <c r="I51" s="36">
        <f>IFERROR(('연간'!U50)/I31,"")</f>
        <v/>
      </c>
      <c r="J51" s="36">
        <f>IFERROR(('연간'!V50)/J31,"")</f>
        <v/>
      </c>
      <c r="K51" s="36">
        <f>IFERROR(('연간'!W50)/K31,"")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IFERROR((IF(COUNT('연간'!F49:I49)&lt;4,"",SUM('연간'!F49:I49)))/C16,"")</f>
        <v/>
      </c>
      <c r="D52" s="36">
        <f>IFERROR((IF(COUNT('연간'!G49:J49)&lt;4,"",SUM('연간'!G49:J49)))/D16,"")</f>
        <v/>
      </c>
      <c r="E52" s="36">
        <f>IFERROR((IF(COUNT('연간'!H49:K49)&lt;4,"",SUM('연간'!H49:K49)))/E16,"")</f>
        <v/>
      </c>
      <c r="F52" s="36">
        <f>IFERROR((IF(COUNT('연간'!I49:L49)&lt;4,"",SUM('연간'!I49:L49)))/F16,"")</f>
        <v/>
      </c>
      <c r="G52" s="36">
        <f>IFERROR((IF(COUNT('연간'!J49:M49)&lt;4,"",SUM('연간'!J49:M49)))/G16,"")</f>
        <v/>
      </c>
      <c r="H52" s="35">
        <f>IFERROR(('연간'!T49)/H16,"")</f>
        <v/>
      </c>
      <c r="I52" s="36">
        <f>IFERROR(('연간'!U49)/I16,"")</f>
        <v/>
      </c>
      <c r="J52" s="36">
        <f>IFERROR(('연간'!V49)/J16,"")</f>
        <v/>
      </c>
      <c r="K52" s="36">
        <f>IFERROR(('연간'!W49)/K16,"")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IFERROR((IF(COUNT('연간'!F22:I22)&lt;4,"",SUM('연간'!F22:I22)))*(1-0.3)/(C35+C29),"")</f>
        <v/>
      </c>
      <c r="D53" s="36">
        <f>IFERROR((IF(COUNT('연간'!G22:J22)&lt;4,"",SUM('연간'!G22:J22)))*(1-0.3)/(D35+D29),"")</f>
        <v/>
      </c>
      <c r="E53" s="36">
        <f>IFERROR((IF(COUNT('연간'!H22:K22)&lt;4,"",SUM('연간'!H22:K22)))*(1-0.3)/(E35+E29),"")</f>
        <v/>
      </c>
      <c r="F53" s="36">
        <f>IFERROR((IF(COUNT('연간'!I22:L22)&lt;4,"",SUM('연간'!I22:L22)))*(1-0.3)/(F35+F29),"")</f>
        <v/>
      </c>
      <c r="G53" s="36">
        <f>IFERROR((IF(COUNT('연간'!J22:M22)&lt;4,"",SUM('연간'!J22:M22)))*(1-0.3)/(G35+G29),"")</f>
        <v/>
      </c>
      <c r="H53" s="35">
        <f>IFERROR(('연간'!T22)*(1-0.3)/(H35+H29),"")</f>
        <v/>
      </c>
      <c r="I53" s="36">
        <f>IFERROR(('연간'!U22)*(1-0.3)/(I35+I29),"")</f>
        <v/>
      </c>
      <c r="J53" s="36">
        <f>IFERROR(('연간'!V22)*(1-0.3)/(J35+J29),"")</f>
        <v/>
      </c>
      <c r="K53" s="36">
        <f>IFERROR(('연간'!W22)*(1-0.3)/(K35+K29),"")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IFERROR((IF(COUNT('연간'!F18:I18)&lt;4,"",SUM('연간'!F18:I18)))/(IF(COUNT('연간'!F4:I4)&lt;4,"",SUM('연간'!F4:I4))),"")</f>
        <v/>
      </c>
      <c r="D54" s="36">
        <f>IFERROR((IF(COUNT('연간'!G18:J18)&lt;4,"",SUM('연간'!G18:J18)))/(IF(COUNT('연간'!G4:J4)&lt;4,"",SUM('연간'!G4:J4))),"")</f>
        <v/>
      </c>
      <c r="E54" s="36">
        <f>IFERROR((IF(COUNT('연간'!H18:K18)&lt;4,"",SUM('연간'!H18:K18)))/(IF(COUNT('연간'!H4:K4)&lt;4,"",SUM('연간'!H4:K4))),"")</f>
        <v/>
      </c>
      <c r="F54" s="36">
        <f>IFERROR((IF(COUNT('연간'!I18:L18)&lt;4,"",SUM('연간'!I18:L18)))/(IF(COUNT('연간'!I4:L4)&lt;4,"",SUM('연간'!I4:L4))),"")</f>
        <v/>
      </c>
      <c r="G54" s="36">
        <f>IFERROR((IF(COUNT('연간'!J18:M18)&lt;4,"",SUM('연간'!J18:M18)))/(IF(COUNT('연간'!J4:M4)&lt;4,"",SUM('연간'!J4:M4))),"")</f>
        <v/>
      </c>
      <c r="H54" s="35">
        <f>IFERROR(('연간'!T18)/('연간'!T4),"")</f>
        <v/>
      </c>
      <c r="I54" s="36">
        <f>IFERROR(('연간'!U18)/('연간'!U4),"")</f>
        <v/>
      </c>
      <c r="J54" s="36">
        <f>IFERROR(('연간'!V18)/('연간'!V4),"")</f>
        <v/>
      </c>
      <c r="K54" s="36">
        <f>IFERROR(('연간'!W18)/('연간'!W4),"")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IFERROR((IF(COUNT('연간'!F22:I22)&lt;4,"",SUM('연간'!F22:I22)))/(IF(COUNT('연간'!F4:I4)&lt;4,"",SUM('연간'!F4:I4))),"")</f>
        <v/>
      </c>
      <c r="D55" s="36">
        <f>IFERROR((IF(COUNT('연간'!G22:J22)&lt;4,"",SUM('연간'!G22:J22)))/(IF(COUNT('연간'!G4:J4)&lt;4,"",SUM('연간'!G4:J4))),"")</f>
        <v/>
      </c>
      <c r="E55" s="36">
        <f>IFERROR((IF(COUNT('연간'!H22:K22)&lt;4,"",SUM('연간'!H22:K22)))/(IF(COUNT('연간'!H4:K4)&lt;4,"",SUM('연간'!H4:K4))),"")</f>
        <v/>
      </c>
      <c r="F55" s="36">
        <f>IFERROR((IF(COUNT('연간'!I22:L22)&lt;4,"",SUM('연간'!I22:L22)))/(IF(COUNT('연간'!I4:L4)&lt;4,"",SUM('연간'!I4:L4))),"")</f>
        <v/>
      </c>
      <c r="G55" s="36">
        <f>IFERROR((IF(COUNT('연간'!J22:M22)&lt;4,"",SUM('연간'!J22:M22)))/(IF(COUNT('연간'!J4:M4)&lt;4,"",SUM('연간'!J4:M4))),"")</f>
        <v/>
      </c>
      <c r="H55" s="35">
        <f>IFERROR(('연간'!T22)/('연간'!T4),"")</f>
        <v/>
      </c>
      <c r="I55" s="36">
        <f>IFERROR(('연간'!U22)/('연간'!U4),"")</f>
        <v/>
      </c>
      <c r="J55" s="36">
        <f>IFERROR(('연간'!V22)/('연간'!V4),"")</f>
        <v/>
      </c>
      <c r="K55" s="36">
        <f>IFERROR(('연간'!W22)/('연간'!W4),"")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IFERROR((IF(COUNT('연간'!F49:I49)&lt;4,"",SUM('연간'!F49:I49)))/(IF(COUNT('연간'!F4:I4)&lt;4,"",SUM('연간'!F4:I4))),"")</f>
        <v/>
      </c>
      <c r="D56" s="36">
        <f>IFERROR((IF(COUNT('연간'!G49:J49)&lt;4,"",SUM('연간'!G49:J49)))/(IF(COUNT('연간'!G4:J4)&lt;4,"",SUM('연간'!G4:J4))),"")</f>
        <v/>
      </c>
      <c r="E56" s="36">
        <f>IFERROR((IF(COUNT('연간'!H49:K49)&lt;4,"",SUM('연간'!H49:K49)))/(IF(COUNT('연간'!H4:K4)&lt;4,"",SUM('연간'!H4:K4))),"")</f>
        <v/>
      </c>
      <c r="F56" s="36">
        <f>IFERROR((IF(COUNT('연간'!I49:L49)&lt;4,"",SUM('연간'!I49:L49)))/(IF(COUNT('연간'!I4:L4)&lt;4,"",SUM('연간'!I4:L4))),"")</f>
        <v/>
      </c>
      <c r="G56" s="36">
        <f>IFERROR((IF(COUNT('연간'!J49:M49)&lt;4,"",SUM('연간'!J49:M49)))/(IF(COUNT('연간'!J4:M4)&lt;4,"",SUM('연간'!J4:M4))),"")</f>
        <v/>
      </c>
      <c r="H56" s="35">
        <f>IFERROR(('연간'!T49)/('연간'!T4),"")</f>
        <v/>
      </c>
      <c r="I56" s="36">
        <f>IFERROR(('연간'!U49)/('연간'!U4),"")</f>
        <v/>
      </c>
      <c r="J56" s="36">
        <f>IFERROR(('연간'!V49)/('연간'!V4),"")</f>
        <v/>
      </c>
      <c r="K56" s="36">
        <f>IFERROR(('연간'!W49)/('연간'!W4),"")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IFERROR((IF(COUNT('연간'!F4:I4)&lt;4,"",SUM('연간'!F4:I4)))/C16,"")</f>
        <v/>
      </c>
      <c r="D58" s="31">
        <f>IFERROR((IF(COUNT('연간'!G4:J4)&lt;4,"",SUM('연간'!G4:J4)))/D16,"")</f>
        <v/>
      </c>
      <c r="E58" s="31">
        <f>IFERROR((IF(COUNT('연간'!H4:K4)&lt;4,"",SUM('연간'!H4:K4)))/E16,"")</f>
        <v/>
      </c>
      <c r="F58" s="31">
        <f>IFERROR((IF(COUNT('연간'!I4:L4)&lt;4,"",SUM('연간'!I4:L4)))/F16,"")</f>
        <v/>
      </c>
      <c r="G58" s="31">
        <f>IFERROR((IF(COUNT('연간'!J4:M4)&lt;4,"",SUM('연간'!J4:M4)))/G16,"")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IFERROR(C8/(IF(COUNT('연간'!F4:I4)&lt;4,"",SUM('연간'!F4:I4)))*365,"")</f>
        <v/>
      </c>
      <c r="D59" s="48">
        <f>IFERROR(D8/(IF(COUNT('연간'!G4:J4)&lt;4,"",SUM('연간'!G4:J4)))*365,"")</f>
        <v/>
      </c>
      <c r="E59" s="48">
        <f>IFERROR(E8/(IF(COUNT('연간'!H4:K4)&lt;4,"",SUM('연간'!H4:K4)))*365,"")</f>
        <v/>
      </c>
      <c r="F59" s="48">
        <f>IFERROR(F8/(IF(COUNT('연간'!I4:L4)&lt;4,"",SUM('연간'!I4:L4)))*365,"")</f>
        <v/>
      </c>
      <c r="G59" s="48">
        <f>IFERROR(G8/(IF(COUNT('연간'!J4:M4)&lt;4,"",SUM('연간'!J4:M4)))*365,"")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IFERROR(C9/(IF(COUNT('연간'!F17:I17)&lt;4,"",SUM('연간'!F17:I17)))*365,"")</f>
        <v/>
      </c>
      <c r="D60" s="48">
        <f>IFERROR(D9/(IF(COUNT('연간'!G17:J17)&lt;4,"",SUM('연간'!G17:J17)))*365,"")</f>
        <v/>
      </c>
      <c r="E60" s="48">
        <f>IFERROR(E9/(IF(COUNT('연간'!H17:K17)&lt;4,"",SUM('연간'!H17:K17)))*365,"")</f>
        <v/>
      </c>
      <c r="F60" s="48">
        <f>IFERROR(F9/(IF(COUNT('연간'!I17:L17)&lt;4,"",SUM('연간'!I17:L17)))*365,"")</f>
        <v/>
      </c>
      <c r="G60" s="48">
        <f>IFERROR(G9/(IF(COUNT('연간'!J17:M17)&lt;4,"",SUM('연간'!J17:M17)))*365,"")</f>
        <v/>
      </c>
      <c r="H60" s="47">
        <f>IFERROR(H9/('연간'!T17)*365,"")</f>
        <v/>
      </c>
      <c r="I60" s="48">
        <f>IFERROR(I9/('연간'!U17)*365,"")</f>
        <v/>
      </c>
      <c r="J60" s="48">
        <f>IFERROR(J9/('연간'!V17)*365,"")</f>
        <v/>
      </c>
      <c r="K60" s="48">
        <f>IFERROR(K9/('연간'!W17)*365,"")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IFERROR(C19/(IF(COUNT('연간'!F17:I17)&lt;4,"",SUM('연간'!F17:I17)))*365,"")</f>
        <v/>
      </c>
      <c r="D61" s="48">
        <f>IFERROR(D19/(IF(COUNT('연간'!G17:J17)&lt;4,"",SUM('연간'!G17:J17)))*365,"")</f>
        <v/>
      </c>
      <c r="E61" s="48">
        <f>IFERROR(E19/(IF(COUNT('연간'!H17:K17)&lt;4,"",SUM('연간'!H17:K17)))*365,"")</f>
        <v/>
      </c>
      <c r="F61" s="48">
        <f>IFERROR(F19/(IF(COUNT('연간'!I17:L17)&lt;4,"",SUM('연간'!I17:L17)))*365,"")</f>
        <v/>
      </c>
      <c r="G61" s="48">
        <f>IFERROR(G19/(IF(COUNT('연간'!J17:M17)&lt;4,"",SUM('연간'!J17:M17)))*365,"")</f>
        <v/>
      </c>
      <c r="H61" s="47">
        <f>IFERROR(H19/('연간'!T17)*365,"")</f>
        <v/>
      </c>
      <c r="I61" s="48">
        <f>IFERROR(I19/('연간'!U17)*365,"")</f>
        <v/>
      </c>
      <c r="J61" s="48">
        <f>IFERROR(J19/('연간'!V17)*365,"")</f>
        <v/>
      </c>
      <c r="K61" s="48">
        <f>IFERROR(K19/('연간'!W17)*365,"")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IF(C37="","",IFERROR(C37/(IF(COUNT('연간'!F49:I49)&lt;4,"",SUM('연간'!F49:I49))),""))</f>
        <v/>
      </c>
      <c r="D64" s="31">
        <f>IF(D37="","",IFERROR(D37/(IF(COUNT('연간'!G49:J49)&lt;4,"",SUM('연간'!G49:J49))),""))</f>
        <v/>
      </c>
      <c r="E64" s="31">
        <f>IF(E37="","",IFERROR(E37/(IF(COUNT('연간'!H49:K49)&lt;4,"",SUM('연간'!H49:K49))),""))</f>
        <v/>
      </c>
      <c r="F64" s="31">
        <f>IF(F37="","",IFERROR(F37/(IF(COUNT('연간'!I49:L49)&lt;4,"",SUM('연간'!I49:L49))),""))</f>
        <v/>
      </c>
      <c r="G64" s="31">
        <f>IF(G37="","",IFERROR(G37/(IF(COUNT('연간'!J49:M49)&lt;4,"",SUM('연간'!J49:M49))),""))</f>
        <v/>
      </c>
      <c r="H64" s="30">
        <f>IF(H37="","",IFERROR(H37/('연간'!T49),""))</f>
        <v/>
      </c>
      <c r="I64" s="31">
        <f>IF(I37="","",IFERROR(I37/('연간'!U49),""))</f>
        <v/>
      </c>
      <c r="J64" s="31">
        <f>IF(J37="","",IFERROR(J37/('연간'!V49),""))</f>
        <v/>
      </c>
      <c r="K64" s="31">
        <f>IF(K37="","",IFERROR(K37/('연간'!W49),""))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IF(C39="","",IFERROR(C39/(IF(COUNT('연간'!F4:I4)&lt;4,"",SUM('연간'!F4:I4))),""))</f>
        <v/>
      </c>
      <c r="D65" s="36">
        <f>IF(D39="","",IFERROR(D39/(IF(COUNT('연간'!G4:J4)&lt;4,"",SUM('연간'!G4:J4))),""))</f>
        <v/>
      </c>
      <c r="E65" s="36">
        <f>IF(E39="","",IFERROR(E39/(IF(COUNT('연간'!H4:K4)&lt;4,"",SUM('연간'!H4:K4))),""))</f>
        <v/>
      </c>
      <c r="F65" s="36">
        <f>IF(F39="","",IFERROR(F39/(IF(COUNT('연간'!I4:L4)&lt;4,"",SUM('연간'!I4:L4))),""))</f>
        <v/>
      </c>
      <c r="G65" s="36">
        <f>IF(G39="","",IFERROR(G39/(IF(COUNT('연간'!J4:M4)&lt;4,"",SUM('연간'!J4:M4))),""))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IF(C38="","",IFERROR(C38/(IF(COUNT('연간'!F4:I4)&lt;4,"",SUM('연간'!F4:I4))),""))</f>
        <v/>
      </c>
      <c r="D66" s="36">
        <f>IF(D38="","",IFERROR(D38/(IF(COUNT('연간'!G4:J4)&lt;4,"",SUM('연간'!G4:J4))),""))</f>
        <v/>
      </c>
      <c r="E66" s="36">
        <f>IF(E38="","",IFERROR(E38/(IF(COUNT('연간'!H4:K4)&lt;4,"",SUM('연간'!H4:K4))),""))</f>
        <v/>
      </c>
      <c r="F66" s="36">
        <f>IF(F38="","",IFERROR(F38/(IF(COUNT('연간'!I4:L4)&lt;4,"",SUM('연간'!I4:L4))),""))</f>
        <v/>
      </c>
      <c r="G66" s="36">
        <f>IF(G38="","",IFERROR(G38/(IF(COUNT('연간'!J4:M4)&lt;4,"",SUM('연간'!J4:M4))),""))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IF(C40="","",IFERROR(C40/(IF(COUNT('연간'!F50:I50)&lt;4,"",SUM('연간'!F50:I50))),""))</f>
        <v/>
      </c>
      <c r="D67" s="36">
        <f>IF(D40="","",IFERROR(D40/(IF(COUNT('연간'!G50:J50)&lt;4,"",SUM('연간'!G50:J50))),""))</f>
        <v/>
      </c>
      <c r="E67" s="36">
        <f>IF(E40="","",IFERROR(E40/(IF(COUNT('연간'!H50:K50)&lt;4,"",SUM('연간'!H50:K50))),""))</f>
        <v/>
      </c>
      <c r="F67" s="36">
        <f>IF(F40="","",IFERROR(F40/(IF(COUNT('연간'!I50:L50)&lt;4,"",SUM('연간'!I50:L50))),""))</f>
        <v/>
      </c>
      <c r="G67" s="36">
        <f>IF(G40="","",IFERROR(G40/(IF(COUNT('연간'!J50:M50)&lt;4,"",SUM('연간'!J50:M50))),""))</f>
        <v/>
      </c>
      <c r="H67" s="35">
        <f>IF(H40="","",IFERROR(H40/('연간'!T50),""))</f>
        <v/>
      </c>
      <c r="I67" s="36">
        <f>IF(I40="","",IFERROR(I40/('연간'!U50),""))</f>
        <v/>
      </c>
      <c r="J67" s="36">
        <f>IF(J40="","",IFERROR(J40/('연간'!V50),""))</f>
        <v/>
      </c>
      <c r="K67" s="36">
        <f>IF(K40="","",IFERROR(K40/('연간'!W50),""))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2026.3Q</t>
        </is>
      </c>
      <c r="D70" s="5" t="inlineStr">
        <is>
          <t>2026.4Q</t>
        </is>
      </c>
      <c r="E70" s="5" t="inlineStr">
        <is>
          <t>2027.1Q</t>
        </is>
      </c>
      <c r="F70" s="5" t="inlineStr">
        <is>
          <t>2027.2Q</t>
        </is>
      </c>
      <c r="G70" s="5" t="inlineStr">
        <is>
          <t>2027.3Q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21234</v>
      </c>
      <c r="D71" s="20" t="n">
        <v>20458</v>
      </c>
      <c r="E71" s="20" t="n">
        <v>21728</v>
      </c>
      <c r="F71" s="20" t="n">
        <v>20761</v>
      </c>
      <c r="G71" s="20" t="n">
        <v>21024</v>
      </c>
      <c r="H71" s="20" t="n">
        <v>22115</v>
      </c>
      <c r="I71" s="20" t="n">
        <v>17787</v>
      </c>
      <c r="J71" s="20" t="n">
        <v>19010</v>
      </c>
      <c r="K71" s="20" t="n">
        <v>20458</v>
      </c>
    </row>
    <row r="72">
      <c r="A72" s="18" t="inlineStr">
        <is>
          <t>받을어음·매출채권</t>
        </is>
      </c>
      <c r="H72" s="20" t="n">
        <v>0</v>
      </c>
    </row>
    <row r="73">
      <c r="A73" s="18" t="inlineStr">
        <is>
          <t>받을어음·매출채권·계약자산</t>
        </is>
      </c>
      <c r="C73" s="20" t="n">
        <v>6979</v>
      </c>
      <c r="D73" s="20" t="n">
        <v>7510</v>
      </c>
      <c r="E73" s="20" t="n">
        <v>6548</v>
      </c>
      <c r="F73" s="20" t="n">
        <v>7235</v>
      </c>
      <c r="G73" s="20" t="n">
        <v>7298</v>
      </c>
      <c r="H73" s="20" t="n">
        <v>8184</v>
      </c>
      <c r="I73" s="20" t="n">
        <v>8941</v>
      </c>
      <c r="J73" s="20" t="n">
        <v>8154</v>
      </c>
      <c r="K73" s="20" t="n">
        <v>7510</v>
      </c>
    </row>
    <row r="74">
      <c r="A74" s="18" t="inlineStr">
        <is>
          <t>전자기록채권</t>
        </is>
      </c>
      <c r="C74" s="20" t="n">
        <v>5121</v>
      </c>
      <c r="D74" s="20" t="n">
        <v>5347</v>
      </c>
      <c r="E74" s="20" t="n">
        <v>5211</v>
      </c>
      <c r="F74" s="20" t="n">
        <v>5557</v>
      </c>
      <c r="G74" s="20" t="n">
        <v>5819</v>
      </c>
      <c r="H74" s="20" t="n">
        <v>4052</v>
      </c>
      <c r="I74" s="20" t="n">
        <v>4850</v>
      </c>
      <c r="J74" s="20" t="n">
        <v>5752</v>
      </c>
      <c r="K74" s="20" t="n">
        <v>5347</v>
      </c>
    </row>
    <row r="75">
      <c r="A75" s="18" t="inlineStr">
        <is>
          <t>상품·제품</t>
        </is>
      </c>
      <c r="C75" s="20" t="n">
        <v>4834</v>
      </c>
      <c r="D75" s="20" t="n">
        <v>4939</v>
      </c>
      <c r="E75" s="20" t="n">
        <v>5081</v>
      </c>
      <c r="F75" s="20" t="n">
        <v>5003</v>
      </c>
      <c r="G75" s="20" t="n">
        <v>5270</v>
      </c>
      <c r="H75" s="20" t="n">
        <v>4244</v>
      </c>
      <c r="I75" s="20" t="n">
        <v>4482</v>
      </c>
      <c r="J75" s="20" t="n">
        <v>4619</v>
      </c>
      <c r="K75" s="20" t="n">
        <v>4939</v>
      </c>
    </row>
    <row r="76">
      <c r="A76" s="18" t="inlineStr">
        <is>
          <t>원재료·저장품</t>
        </is>
      </c>
      <c r="C76" s="20" t="n">
        <v>1752</v>
      </c>
      <c r="D76" s="20" t="n">
        <v>1882</v>
      </c>
      <c r="E76" s="20" t="n">
        <v>1839</v>
      </c>
      <c r="F76" s="20" t="n">
        <v>2085</v>
      </c>
      <c r="G76" s="20" t="n">
        <v>2155</v>
      </c>
      <c r="H76" s="20" t="n">
        <v>1606</v>
      </c>
      <c r="I76" s="20" t="n">
        <v>1709</v>
      </c>
      <c r="J76" s="20" t="n">
        <v>1813</v>
      </c>
      <c r="K76" s="20" t="n">
        <v>1882</v>
      </c>
    </row>
    <row r="77">
      <c r="A77" s="18" t="inlineStr">
        <is>
          <t>유가증권</t>
        </is>
      </c>
      <c r="C77" s="20" t="n">
        <v>1525</v>
      </c>
      <c r="D77" s="20" t="n">
        <v>1499</v>
      </c>
      <c r="E77" s="20" t="n">
        <v>1513</v>
      </c>
      <c r="F77" s="20" t="n">
        <v>1498</v>
      </c>
      <c r="G77" s="20" t="n">
        <v>1497</v>
      </c>
      <c r="K77" s="20" t="n">
        <v>1499</v>
      </c>
    </row>
    <row r="78">
      <c r="A78" s="18" t="inlineStr">
        <is>
          <t>기타</t>
        </is>
      </c>
      <c r="C78" s="20" t="n">
        <v>1186</v>
      </c>
      <c r="D78" s="20" t="n">
        <v>1048</v>
      </c>
      <c r="E78" s="20" t="n">
        <v>1029</v>
      </c>
      <c r="F78" s="20" t="n">
        <v>1242</v>
      </c>
      <c r="G78" s="20" t="n">
        <v>1409</v>
      </c>
      <c r="H78" s="20" t="n">
        <v>1506</v>
      </c>
      <c r="I78" s="20" t="n">
        <v>1432</v>
      </c>
      <c r="J78" s="20" t="n">
        <v>2477</v>
      </c>
      <c r="K78" s="20" t="n">
        <v>1048</v>
      </c>
    </row>
    <row r="79">
      <c r="A79" s="18" t="inlineStr">
        <is>
          <t>대손충당금</t>
        </is>
      </c>
      <c r="C79" s="20" t="n">
        <v>-2</v>
      </c>
      <c r="D79" s="20" t="n">
        <v>-1</v>
      </c>
      <c r="E79" s="20" t="n">
        <v>-1</v>
      </c>
      <c r="F79" s="20" t="n">
        <v>-1</v>
      </c>
      <c r="G79" s="20" t="n">
        <v>-1</v>
      </c>
      <c r="H79" s="20" t="n">
        <v>-4</v>
      </c>
      <c r="I79" s="20" t="n">
        <v>-2</v>
      </c>
      <c r="J79" s="20" t="n">
        <v>-2</v>
      </c>
      <c r="K79" s="20" t="n">
        <v>-1</v>
      </c>
    </row>
    <row r="80">
      <c r="A80" s="9" t="inlineStr">
        <is>
          <t>유동자산 합계</t>
        </is>
      </c>
      <c r="C80" s="12" t="n">
        <v>42632</v>
      </c>
      <c r="D80" s="12" t="n">
        <v>42684</v>
      </c>
      <c r="E80" s="12" t="n">
        <v>42950</v>
      </c>
      <c r="F80" s="12" t="n">
        <v>43382</v>
      </c>
      <c r="G80" s="12" t="n">
        <v>44474</v>
      </c>
      <c r="H80" s="12" t="n">
        <v>41705</v>
      </c>
      <c r="I80" s="12" t="n">
        <v>39202</v>
      </c>
      <c r="J80" s="12" t="n">
        <v>41825</v>
      </c>
      <c r="K80" s="12" t="n">
        <v>42684</v>
      </c>
    </row>
    <row r="81">
      <c r="A81" s="18" t="inlineStr">
        <is>
          <t>건물·구축물</t>
        </is>
      </c>
      <c r="E81" s="20" t="n">
        <v>19138</v>
      </c>
    </row>
    <row r="82">
      <c r="A82" s="18" t="inlineStr">
        <is>
          <t>감가상각누계액</t>
        </is>
      </c>
      <c r="E82" s="20" t="n">
        <v>-14069</v>
      </c>
    </row>
    <row r="83">
      <c r="A83" s="18" t="inlineStr">
        <is>
          <t>건물·구축물(순액)</t>
        </is>
      </c>
      <c r="C83" s="20" t="n">
        <v>5169</v>
      </c>
      <c r="D83" s="20" t="n">
        <v>5112</v>
      </c>
      <c r="E83" s="20" t="n">
        <v>5068</v>
      </c>
      <c r="F83" s="20" t="n">
        <v>5008</v>
      </c>
      <c r="G83" s="20" t="n">
        <v>4935</v>
      </c>
      <c r="H83" s="20" t="n">
        <v>5193</v>
      </c>
      <c r="I83" s="20" t="n">
        <v>5379</v>
      </c>
      <c r="J83" s="20" t="n">
        <v>5201</v>
      </c>
      <c r="K83" s="20" t="n">
        <v>5112</v>
      </c>
    </row>
    <row r="84">
      <c r="A84" s="18" t="inlineStr">
        <is>
          <t>기계장치·운반구</t>
        </is>
      </c>
      <c r="E84" s="20" t="n">
        <v>21080</v>
      </c>
    </row>
    <row r="85">
      <c r="A85" s="18" t="inlineStr">
        <is>
          <t>감가상각누계액</t>
        </is>
      </c>
      <c r="E85" s="20" t="n">
        <v>-17327</v>
      </c>
    </row>
    <row r="86">
      <c r="A86" s="18" t="inlineStr">
        <is>
          <t>기계장치·운반구(순액)</t>
        </is>
      </c>
      <c r="C86" s="20" t="n">
        <v>3269</v>
      </c>
      <c r="D86" s="20" t="n">
        <v>3463</v>
      </c>
      <c r="E86" s="20" t="n">
        <v>3752</v>
      </c>
      <c r="F86" s="20" t="n">
        <v>3835</v>
      </c>
      <c r="G86" s="20" t="n">
        <v>3868</v>
      </c>
      <c r="H86" s="20" t="n">
        <v>2685</v>
      </c>
      <c r="I86" s="20" t="n">
        <v>2635</v>
      </c>
      <c r="J86" s="20" t="n">
        <v>3113</v>
      </c>
      <c r="K86" s="20" t="n">
        <v>3463</v>
      </c>
    </row>
    <row r="87">
      <c r="A87" s="18" t="inlineStr">
        <is>
          <t>토지</t>
        </is>
      </c>
      <c r="C87" s="20" t="n">
        <v>4617</v>
      </c>
      <c r="D87" s="20" t="n">
        <v>4617</v>
      </c>
      <c r="E87" s="20" t="n">
        <v>4617</v>
      </c>
      <c r="F87" s="20" t="n">
        <v>4617</v>
      </c>
      <c r="G87" s="20" t="n">
        <v>4617</v>
      </c>
      <c r="H87" s="20" t="n">
        <v>4643</v>
      </c>
      <c r="I87" s="20" t="n">
        <v>4643</v>
      </c>
      <c r="J87" s="20" t="n">
        <v>4617</v>
      </c>
      <c r="K87" s="20" t="n">
        <v>4617</v>
      </c>
    </row>
    <row r="88">
      <c r="A88" s="18" t="inlineStr">
        <is>
          <t>건설중인자산</t>
        </is>
      </c>
      <c r="C88" s="20" t="n">
        <v>985</v>
      </c>
      <c r="D88" s="20" t="n">
        <v>1013</v>
      </c>
      <c r="E88" s="20" t="n">
        <v>1061</v>
      </c>
      <c r="F88" s="20" t="n">
        <v>1010</v>
      </c>
      <c r="G88" s="20" t="n">
        <v>1148</v>
      </c>
      <c r="H88" s="20" t="n">
        <v>677</v>
      </c>
      <c r="I88" s="20" t="n">
        <v>663</v>
      </c>
      <c r="J88" s="20" t="n">
        <v>670</v>
      </c>
      <c r="K88" s="20" t="n">
        <v>1013</v>
      </c>
    </row>
    <row r="89">
      <c r="A89" s="18" t="inlineStr">
        <is>
          <t>기타</t>
        </is>
      </c>
      <c r="E89" s="20" t="n">
        <v>24661</v>
      </c>
    </row>
    <row r="90">
      <c r="A90" s="18" t="inlineStr">
        <is>
          <t>감가상각누계액</t>
        </is>
      </c>
      <c r="E90" s="20" t="n">
        <v>-23617</v>
      </c>
    </row>
    <row r="91">
      <c r="A91" s="18" t="inlineStr">
        <is>
          <t>기타(순액)</t>
        </is>
      </c>
      <c r="C91" s="20" t="n">
        <v>979</v>
      </c>
      <c r="D91" s="20" t="n">
        <v>1022</v>
      </c>
      <c r="E91" s="20" t="n">
        <v>1043</v>
      </c>
      <c r="F91" s="20" t="n">
        <v>1145</v>
      </c>
      <c r="G91" s="20" t="n">
        <v>1279</v>
      </c>
      <c r="H91" s="20" t="n">
        <v>674</v>
      </c>
      <c r="I91" s="20" t="n">
        <v>850</v>
      </c>
      <c r="J91" s="20" t="n">
        <v>812</v>
      </c>
      <c r="K91" s="20" t="n">
        <v>1022</v>
      </c>
    </row>
    <row r="92">
      <c r="A92" s="18" t="inlineStr">
        <is>
          <t>유형자산 합계</t>
        </is>
      </c>
      <c r="C92" s="20" t="n">
        <v>15020</v>
      </c>
      <c r="D92" s="20" t="n">
        <v>15229</v>
      </c>
      <c r="E92" s="20" t="n">
        <v>15544</v>
      </c>
      <c r="F92" s="20" t="n">
        <v>15617</v>
      </c>
      <c r="G92" s="20" t="n">
        <v>15849</v>
      </c>
      <c r="H92" s="20" t="n">
        <v>13875</v>
      </c>
      <c r="I92" s="20" t="n">
        <v>14172</v>
      </c>
      <c r="J92" s="20" t="n">
        <v>14416</v>
      </c>
      <c r="K92" s="20" t="n">
        <v>15229</v>
      </c>
    </row>
    <row r="93">
      <c r="A93" s="18" t="inlineStr">
        <is>
          <t>무형자산</t>
        </is>
      </c>
      <c r="C93" s="20" t="n">
        <v>184</v>
      </c>
      <c r="D93" s="20" t="n">
        <v>256</v>
      </c>
      <c r="E93" s="20" t="n">
        <v>340</v>
      </c>
      <c r="F93" s="20" t="n">
        <v>361</v>
      </c>
      <c r="G93" s="20" t="n">
        <v>367</v>
      </c>
      <c r="H93" s="20" t="n">
        <v>156</v>
      </c>
      <c r="I93" s="20" t="n">
        <v>129</v>
      </c>
      <c r="J93" s="20" t="n">
        <v>190</v>
      </c>
      <c r="K93" s="20" t="n">
        <v>256</v>
      </c>
    </row>
    <row r="94">
      <c r="A94" s="18" t="inlineStr">
        <is>
          <t>투자유가증권</t>
        </is>
      </c>
      <c r="C94" s="20" t="n">
        <v>1805</v>
      </c>
      <c r="D94" s="20" t="n">
        <v>2007</v>
      </c>
      <c r="E94" s="20" t="n">
        <v>2214</v>
      </c>
      <c r="F94" s="20" t="n">
        <v>2476</v>
      </c>
      <c r="G94" s="20" t="n">
        <v>2700</v>
      </c>
      <c r="H94" s="20" t="n">
        <v>1055</v>
      </c>
      <c r="I94" s="20" t="n">
        <v>1503</v>
      </c>
      <c r="J94" s="20" t="n">
        <v>1726</v>
      </c>
      <c r="K94" s="20" t="n">
        <v>2007</v>
      </c>
    </row>
    <row r="95">
      <c r="A95" s="18" t="inlineStr">
        <is>
          <t>이연법인세자산</t>
        </is>
      </c>
      <c r="C95" s="20" t="n">
        <v>1031</v>
      </c>
      <c r="D95" s="20" t="n">
        <v>708</v>
      </c>
      <c r="E95" s="20" t="n">
        <v>708</v>
      </c>
      <c r="F95" s="20" t="n">
        <v>610</v>
      </c>
      <c r="G95" s="20" t="n">
        <v>627</v>
      </c>
      <c r="H95" s="20" t="n">
        <v>1050</v>
      </c>
      <c r="I95" s="20" t="n">
        <v>971</v>
      </c>
      <c r="J95" s="20" t="n">
        <v>894</v>
      </c>
      <c r="K95" s="20" t="n">
        <v>708</v>
      </c>
    </row>
    <row r="96">
      <c r="A96" s="18" t="inlineStr">
        <is>
          <t>퇴직급여자산</t>
        </is>
      </c>
      <c r="C96" s="20" t="n">
        <v>1974</v>
      </c>
      <c r="D96" s="20" t="n">
        <v>1977</v>
      </c>
      <c r="E96" s="20" t="n">
        <v>2511</v>
      </c>
      <c r="F96" s="20" t="n">
        <v>2511</v>
      </c>
      <c r="G96" s="20" t="n">
        <v>2509</v>
      </c>
      <c r="H96" s="20" t="n">
        <v>1033</v>
      </c>
      <c r="I96" s="20" t="n">
        <v>1288</v>
      </c>
      <c r="J96" s="20" t="n">
        <v>1686</v>
      </c>
      <c r="K96" s="20" t="n">
        <v>1977</v>
      </c>
    </row>
    <row r="97">
      <c r="A97" s="18" t="inlineStr">
        <is>
          <t>장기예금</t>
        </is>
      </c>
      <c r="C97" s="20" t="n">
        <v>4000</v>
      </c>
      <c r="D97" s="20" t="n">
        <v>4000</v>
      </c>
      <c r="E97" s="20" t="n">
        <v>4000</v>
      </c>
      <c r="F97" s="20" t="n">
        <v>4000</v>
      </c>
      <c r="G97" s="20" t="n">
        <v>4000</v>
      </c>
      <c r="H97" s="20" t="n">
        <v>4000</v>
      </c>
      <c r="I97" s="20" t="n">
        <v>4000</v>
      </c>
      <c r="J97" s="20" t="n">
        <v>4000</v>
      </c>
      <c r="K97" s="20" t="n">
        <v>4000</v>
      </c>
    </row>
    <row r="98">
      <c r="A98" s="18" t="inlineStr">
        <is>
          <t>기타</t>
        </is>
      </c>
      <c r="C98" s="20" t="n">
        <v>488</v>
      </c>
      <c r="D98" s="20" t="n">
        <v>538</v>
      </c>
      <c r="E98" s="20" t="n">
        <v>527</v>
      </c>
      <c r="F98" s="20" t="n">
        <v>466</v>
      </c>
      <c r="G98" s="20" t="n">
        <v>547</v>
      </c>
      <c r="H98" s="20" t="n">
        <v>512</v>
      </c>
      <c r="I98" s="20" t="n">
        <v>490</v>
      </c>
      <c r="J98" s="20" t="n">
        <v>472</v>
      </c>
      <c r="K98" s="20" t="n">
        <v>538</v>
      </c>
    </row>
    <row r="99">
      <c r="A99" s="18" t="inlineStr">
        <is>
          <t>대손충당금</t>
        </is>
      </c>
      <c r="C99" s="20" t="n">
        <v>-102</v>
      </c>
      <c r="D99" s="20" t="n">
        <v>-102</v>
      </c>
      <c r="E99" s="20" t="n">
        <v>-100</v>
      </c>
      <c r="F99" s="20" t="n">
        <v>-101</v>
      </c>
      <c r="G99" s="20" t="n">
        <v>-100</v>
      </c>
      <c r="H99" s="20" t="n">
        <v>-103</v>
      </c>
      <c r="I99" s="20" t="n">
        <v>-100</v>
      </c>
      <c r="J99" s="20" t="n">
        <v>-99</v>
      </c>
      <c r="K99" s="20" t="n">
        <v>-102</v>
      </c>
    </row>
    <row r="100">
      <c r="A100" s="18" t="inlineStr">
        <is>
          <t>투자 및 기타자산 합계</t>
        </is>
      </c>
      <c r="C100" s="20" t="n">
        <v>9197</v>
      </c>
      <c r="D100" s="20" t="n">
        <v>9128</v>
      </c>
      <c r="E100" s="20" t="n">
        <v>9862</v>
      </c>
      <c r="F100" s="20" t="n">
        <v>9964</v>
      </c>
      <c r="G100" s="20" t="n">
        <v>10284</v>
      </c>
      <c r="H100" s="20" t="n">
        <v>7548</v>
      </c>
      <c r="I100" s="20" t="n">
        <v>8154</v>
      </c>
      <c r="J100" s="20" t="n">
        <v>8680</v>
      </c>
      <c r="K100" s="20" t="n">
        <v>9128</v>
      </c>
    </row>
    <row r="101">
      <c r="A101" s="9" t="inlineStr">
        <is>
          <t>비유동자산 합계</t>
        </is>
      </c>
      <c r="C101" s="12" t="n">
        <v>24402</v>
      </c>
      <c r="D101" s="12" t="n">
        <v>24615</v>
      </c>
      <c r="E101" s="12" t="n">
        <v>25746</v>
      </c>
      <c r="F101" s="12" t="n">
        <v>25942</v>
      </c>
      <c r="G101" s="12" t="n">
        <v>26501</v>
      </c>
      <c r="H101" s="12" t="n">
        <v>21579</v>
      </c>
      <c r="I101" s="12" t="n">
        <v>22456</v>
      </c>
      <c r="J101" s="12" t="n">
        <v>23286</v>
      </c>
      <c r="K101" s="12" t="n">
        <v>24615</v>
      </c>
    </row>
    <row r="102">
      <c r="A102" s="9" t="inlineStr">
        <is>
          <t>자산 합계</t>
        </is>
      </c>
      <c r="C102" s="12" t="n">
        <v>67034</v>
      </c>
      <c r="D102" s="12" t="n">
        <v>67300</v>
      </c>
      <c r="E102" s="12" t="n">
        <v>68697</v>
      </c>
      <c r="F102" s="12" t="n">
        <v>69325</v>
      </c>
      <c r="G102" s="12" t="n">
        <v>70976</v>
      </c>
      <c r="H102" s="12" t="n">
        <v>63285</v>
      </c>
      <c r="I102" s="12" t="n">
        <v>61658</v>
      </c>
      <c r="J102" s="12" t="n">
        <v>65112</v>
      </c>
      <c r="K102" s="12" t="n">
        <v>67300</v>
      </c>
    </row>
    <row r="103">
      <c r="A103" s="18" t="inlineStr">
        <is>
          <t>지급어음·매입채무</t>
        </is>
      </c>
      <c r="C103" s="20" t="n">
        <v>3055</v>
      </c>
      <c r="D103" s="20" t="n">
        <v>3215</v>
      </c>
      <c r="E103" s="20" t="n">
        <v>2592</v>
      </c>
      <c r="F103" s="20" t="n">
        <v>3465</v>
      </c>
      <c r="G103" s="20" t="n">
        <v>3344</v>
      </c>
      <c r="H103" s="20" t="n">
        <v>3491</v>
      </c>
      <c r="I103" s="20" t="n">
        <v>3111</v>
      </c>
      <c r="J103" s="20" t="n">
        <v>3411</v>
      </c>
      <c r="K103" s="20" t="n">
        <v>3215</v>
      </c>
    </row>
    <row r="104">
      <c r="A104" s="18" t="inlineStr">
        <is>
          <t>전자기록채무</t>
        </is>
      </c>
      <c r="C104" s="20" t="n">
        <v>1649</v>
      </c>
      <c r="D104" s="20" t="n">
        <v>1830</v>
      </c>
      <c r="E104" s="20" t="n">
        <v>1777</v>
      </c>
      <c r="F104" s="20" t="n">
        <v>1474</v>
      </c>
      <c r="G104" s="20" t="n">
        <v>1236</v>
      </c>
      <c r="H104" s="20" t="n">
        <v>4238</v>
      </c>
      <c r="I104" s="20" t="n">
        <v>1701</v>
      </c>
      <c r="J104" s="20" t="n">
        <v>1800</v>
      </c>
      <c r="K104" s="20" t="n">
        <v>1830</v>
      </c>
    </row>
    <row r="105">
      <c r="A105" s="18" t="inlineStr">
        <is>
          <t>단기차입금</t>
        </is>
      </c>
      <c r="C105" s="20" t="n">
        <v>85</v>
      </c>
      <c r="D105" s="20" t="n">
        <v>267</v>
      </c>
      <c r="E105" s="20" t="n">
        <v>40</v>
      </c>
      <c r="F105" s="20" t="n">
        <v>85</v>
      </c>
      <c r="G105" s="20" t="n">
        <v>120</v>
      </c>
      <c r="H105" s="20" t="n">
        <v>225</v>
      </c>
      <c r="I105" s="20" t="n">
        <v>220</v>
      </c>
      <c r="J105" s="20" t="n">
        <v>237</v>
      </c>
      <c r="K105" s="20" t="n">
        <v>267</v>
      </c>
    </row>
    <row r="106">
      <c r="A106" s="18" t="inlineStr">
        <is>
          <t>1년 내 상환 장기차입금</t>
        </is>
      </c>
      <c r="C106" s="20" t="n">
        <v>202</v>
      </c>
      <c r="D106" s="20" t="n">
        <v>163</v>
      </c>
      <c r="E106" s="20" t="n">
        <v>124</v>
      </c>
      <c r="F106" s="20" t="n">
        <v>364</v>
      </c>
      <c r="G106" s="20" t="n">
        <v>311</v>
      </c>
      <c r="H106" s="20" t="n">
        <v>236</v>
      </c>
      <c r="I106" s="20" t="n">
        <v>171</v>
      </c>
      <c r="J106" s="20" t="n">
        <v>153</v>
      </c>
      <c r="K106" s="20" t="n">
        <v>163</v>
      </c>
    </row>
    <row r="107">
      <c r="A107" s="18" t="inlineStr">
        <is>
          <t>미지급법인세</t>
        </is>
      </c>
      <c r="C107" s="20" t="n">
        <v>1105</v>
      </c>
      <c r="D107" s="20" t="n">
        <v>377</v>
      </c>
      <c r="E107" s="20" t="n">
        <v>1027</v>
      </c>
      <c r="F107" s="20" t="n">
        <v>447</v>
      </c>
      <c r="G107" s="20" t="n">
        <v>1274</v>
      </c>
      <c r="H107" s="20" t="n">
        <v>342</v>
      </c>
      <c r="I107" s="20" t="n">
        <v>992</v>
      </c>
      <c r="J107" s="20" t="n">
        <v>560</v>
      </c>
      <c r="K107" s="20" t="n">
        <v>377</v>
      </c>
    </row>
    <row r="108">
      <c r="A108" s="18" t="inlineStr">
        <is>
          <t>상여충당금</t>
        </is>
      </c>
      <c r="D108" s="20" t="n">
        <v>453</v>
      </c>
      <c r="E108" s="20" t="n">
        <v>0</v>
      </c>
      <c r="F108" s="20" t="n">
        <v>490</v>
      </c>
      <c r="H108" s="20" t="n">
        <v>431</v>
      </c>
      <c r="I108" s="20" t="n">
        <v>432</v>
      </c>
      <c r="J108" s="20" t="n">
        <v>443</v>
      </c>
      <c r="K108" s="20" t="n">
        <v>453</v>
      </c>
    </row>
    <row r="109">
      <c r="A109" s="18" t="inlineStr">
        <is>
          <t>재해손실 충당금</t>
        </is>
      </c>
      <c r="E109" s="20" t="n">
        <v>0</v>
      </c>
      <c r="G109" s="20" t="n">
        <v>30</v>
      </c>
    </row>
    <row r="110">
      <c r="A110" s="18" t="inlineStr">
        <is>
          <t>기타</t>
        </is>
      </c>
      <c r="C110" s="20" t="n">
        <v>4307</v>
      </c>
      <c r="D110" s="20" t="n">
        <v>3485</v>
      </c>
      <c r="E110" s="20" t="n">
        <v>4127</v>
      </c>
      <c r="F110" s="20" t="n">
        <v>3832</v>
      </c>
      <c r="G110" s="20" t="n">
        <v>4252</v>
      </c>
      <c r="H110" s="20" t="n">
        <v>2700</v>
      </c>
      <c r="I110" s="20" t="n">
        <v>3291</v>
      </c>
      <c r="J110" s="20" t="n">
        <v>3629</v>
      </c>
      <c r="K110" s="20" t="n">
        <v>3485</v>
      </c>
    </row>
    <row r="111">
      <c r="A111" s="9" t="inlineStr">
        <is>
          <t>유동부채 합계</t>
        </is>
      </c>
      <c r="C111" s="12" t="n">
        <v>10404</v>
      </c>
      <c r="D111" s="12" t="n">
        <v>9792</v>
      </c>
      <c r="E111" s="12" t="n">
        <v>9688</v>
      </c>
      <c r="F111" s="12" t="n">
        <v>10159</v>
      </c>
      <c r="G111" s="12" t="n">
        <v>10569</v>
      </c>
      <c r="H111" s="12" t="n">
        <v>11666</v>
      </c>
      <c r="I111" s="12" t="n">
        <v>9921</v>
      </c>
      <c r="J111" s="12" t="n">
        <v>10236</v>
      </c>
      <c r="K111" s="12" t="n">
        <v>9792</v>
      </c>
    </row>
    <row r="112">
      <c r="A112" s="18" t="inlineStr">
        <is>
          <t>장기차입금</t>
        </is>
      </c>
      <c r="C112" s="20" t="n">
        <v>48</v>
      </c>
      <c r="D112" s="20" t="n">
        <v>31</v>
      </c>
      <c r="E112" s="20" t="n">
        <v>14</v>
      </c>
      <c r="F112" s="20" t="n">
        <v>80</v>
      </c>
      <c r="G112" s="20" t="n">
        <v>26</v>
      </c>
      <c r="H112" s="20" t="n">
        <v>37</v>
      </c>
      <c r="I112" s="20" t="n">
        <v>0</v>
      </c>
      <c r="J112" s="20" t="n">
        <v>77</v>
      </c>
      <c r="K112" s="20" t="n">
        <v>31</v>
      </c>
    </row>
    <row r="113">
      <c r="A113" s="18" t="inlineStr">
        <is>
          <t>이연법인세부채</t>
        </is>
      </c>
      <c r="E113" s="20" t="n">
        <v>0</v>
      </c>
      <c r="F113" s="20" t="n">
        <v>183</v>
      </c>
      <c r="G113" s="20" t="n">
        <v>76</v>
      </c>
    </row>
    <row r="114">
      <c r="A114" s="18" t="inlineStr">
        <is>
          <t>재평가 관련 이연법인세부채</t>
        </is>
      </c>
      <c r="C114" s="20" t="n">
        <v>62</v>
      </c>
      <c r="D114" s="20" t="n">
        <v>62</v>
      </c>
      <c r="E114" s="20" t="n">
        <v>62</v>
      </c>
      <c r="F114" s="20" t="n">
        <v>62</v>
      </c>
      <c r="G114" s="20" t="n">
        <v>62</v>
      </c>
      <c r="H114" s="20" t="n">
        <v>60</v>
      </c>
      <c r="I114" s="20" t="n">
        <v>60</v>
      </c>
      <c r="J114" s="20" t="n">
        <v>60</v>
      </c>
      <c r="K114" s="20" t="n">
        <v>62</v>
      </c>
    </row>
    <row r="115">
      <c r="A115" s="18" t="inlineStr">
        <is>
          <t>주식 지급 충당금</t>
        </is>
      </c>
      <c r="C115" s="20" t="n">
        <v>1224</v>
      </c>
      <c r="D115" s="20" t="n">
        <v>1234</v>
      </c>
      <c r="E115" s="20" t="n">
        <v>1247</v>
      </c>
      <c r="F115" s="20" t="n">
        <v>1245</v>
      </c>
      <c r="G115" s="20" t="n">
        <v>1241</v>
      </c>
      <c r="H115" s="20" t="n">
        <v>1125</v>
      </c>
      <c r="I115" s="20" t="n">
        <v>1173</v>
      </c>
      <c r="J115" s="20" t="n">
        <v>1200</v>
      </c>
      <c r="K115" s="20" t="n">
        <v>1234</v>
      </c>
    </row>
    <row r="116">
      <c r="A116" s="18" t="inlineStr">
        <is>
          <t>임원 주식 지급 충당금</t>
        </is>
      </c>
      <c r="C116" s="20" t="n">
        <v>75</v>
      </c>
      <c r="D116" s="20" t="n">
        <v>84</v>
      </c>
      <c r="E116" s="20" t="n">
        <v>93</v>
      </c>
      <c r="F116" s="20" t="n">
        <v>103</v>
      </c>
      <c r="G116" s="20" t="n">
        <v>112</v>
      </c>
      <c r="I116" s="20" t="n">
        <v>15</v>
      </c>
      <c r="J116" s="20" t="n">
        <v>48</v>
      </c>
      <c r="K116" s="20" t="n">
        <v>84</v>
      </c>
    </row>
    <row r="117">
      <c r="A117" s="18" t="inlineStr">
        <is>
          <t>임원 퇴직위로 충당금</t>
        </is>
      </c>
      <c r="C117" s="20" t="n">
        <v>111</v>
      </c>
      <c r="D117" s="20" t="n">
        <v>114</v>
      </c>
      <c r="E117" s="20" t="n">
        <v>118</v>
      </c>
      <c r="F117" s="20" t="n">
        <v>94</v>
      </c>
      <c r="G117" s="20" t="n">
        <v>97</v>
      </c>
      <c r="H117" s="20" t="n">
        <v>91</v>
      </c>
      <c r="I117" s="20" t="n">
        <v>93</v>
      </c>
      <c r="J117" s="20" t="n">
        <v>107</v>
      </c>
      <c r="K117" s="20" t="n">
        <v>114</v>
      </c>
    </row>
    <row r="118">
      <c r="A118" s="18" t="inlineStr">
        <is>
          <t>퇴직급여부채</t>
        </is>
      </c>
      <c r="C118" s="20" t="n">
        <v>668</v>
      </c>
      <c r="D118" s="20" t="n">
        <v>680</v>
      </c>
      <c r="E118" s="20" t="n">
        <v>667</v>
      </c>
      <c r="F118" s="20" t="n">
        <v>680</v>
      </c>
      <c r="G118" s="20" t="n">
        <v>671</v>
      </c>
      <c r="H118" s="20" t="n">
        <v>680</v>
      </c>
      <c r="I118" s="20" t="n">
        <v>671</v>
      </c>
      <c r="J118" s="20" t="n">
        <v>689</v>
      </c>
      <c r="K118" s="20" t="n">
        <v>680</v>
      </c>
    </row>
    <row r="119">
      <c r="A119" s="18" t="inlineStr">
        <is>
          <t>기타</t>
        </is>
      </c>
      <c r="C119" s="20" t="n">
        <v>489</v>
      </c>
      <c r="D119" s="20" t="n">
        <v>465</v>
      </c>
      <c r="E119" s="20" t="n">
        <v>540</v>
      </c>
      <c r="F119" s="20" t="n">
        <v>527</v>
      </c>
      <c r="G119" s="20" t="n">
        <v>501</v>
      </c>
      <c r="H119" s="20" t="n">
        <v>464</v>
      </c>
      <c r="I119" s="20" t="n">
        <v>453</v>
      </c>
      <c r="J119" s="20" t="n">
        <v>441</v>
      </c>
      <c r="K119" s="20" t="n">
        <v>465</v>
      </c>
    </row>
    <row r="120">
      <c r="A120" s="9" t="inlineStr">
        <is>
          <t>비유동부채 합계</t>
        </is>
      </c>
      <c r="C120" s="12" t="n">
        <v>2680</v>
      </c>
      <c r="D120" s="12" t="n">
        <v>2674</v>
      </c>
      <c r="E120" s="12" t="n">
        <v>2745</v>
      </c>
      <c r="F120" s="12" t="n">
        <v>2977</v>
      </c>
      <c r="G120" s="12" t="n">
        <v>2791</v>
      </c>
      <c r="H120" s="12" t="n">
        <v>2460</v>
      </c>
      <c r="I120" s="12" t="n">
        <v>2468</v>
      </c>
      <c r="J120" s="12" t="n">
        <v>2625</v>
      </c>
      <c r="K120" s="12" t="n">
        <v>2674</v>
      </c>
    </row>
    <row r="121">
      <c r="A121" s="9" t="inlineStr">
        <is>
          <t>부채 합계</t>
        </is>
      </c>
      <c r="C121" s="12" t="n">
        <v>13085</v>
      </c>
      <c r="D121" s="12" t="n">
        <v>12466</v>
      </c>
      <c r="E121" s="12" t="n">
        <v>12434</v>
      </c>
      <c r="F121" s="12" t="n">
        <v>13137</v>
      </c>
      <c r="G121" s="12" t="n">
        <v>13360</v>
      </c>
      <c r="H121" s="12" t="n">
        <v>14126</v>
      </c>
      <c r="I121" s="12" t="n">
        <v>12390</v>
      </c>
      <c r="J121" s="12" t="n">
        <v>12861</v>
      </c>
      <c r="K121" s="12" t="n">
        <v>12466</v>
      </c>
    </row>
    <row r="122">
      <c r="A122" s="18" t="inlineStr">
        <is>
          <t>자본금</t>
        </is>
      </c>
      <c r="C122" s="20" t="n">
        <v>7067</v>
      </c>
      <c r="D122" s="20" t="n">
        <v>7067</v>
      </c>
      <c r="E122" s="20" t="n">
        <v>7067</v>
      </c>
      <c r="F122" s="20" t="n">
        <v>7067</v>
      </c>
      <c r="G122" s="20" t="n">
        <v>7067</v>
      </c>
      <c r="H122" s="20" t="n">
        <v>7067</v>
      </c>
      <c r="I122" s="20" t="n">
        <v>7067</v>
      </c>
      <c r="J122" s="20" t="n">
        <v>7067</v>
      </c>
      <c r="K122" s="20" t="n">
        <v>7067</v>
      </c>
    </row>
    <row r="123">
      <c r="A123" s="18" t="inlineStr">
        <is>
          <t>자본잉여금</t>
        </is>
      </c>
      <c r="C123" s="20" t="n">
        <v>9904</v>
      </c>
      <c r="D123" s="20" t="n">
        <v>9904</v>
      </c>
      <c r="E123" s="20" t="n">
        <v>9904</v>
      </c>
      <c r="F123" s="20" t="n">
        <v>9904</v>
      </c>
      <c r="G123" s="20" t="n">
        <v>9904</v>
      </c>
      <c r="H123" s="20" t="n">
        <v>9538</v>
      </c>
      <c r="I123" s="20" t="n">
        <v>9904</v>
      </c>
      <c r="J123" s="20" t="n">
        <v>9904</v>
      </c>
      <c r="K123" s="20" t="n">
        <v>9904</v>
      </c>
    </row>
    <row r="124">
      <c r="A124" s="18" t="inlineStr">
        <is>
          <t>이익잉여금</t>
        </is>
      </c>
      <c r="C124" s="20" t="n">
        <v>55165</v>
      </c>
      <c r="D124" s="20" t="n">
        <v>55921</v>
      </c>
      <c r="E124" s="20" t="n">
        <v>56806</v>
      </c>
      <c r="F124" s="20" t="n">
        <v>56550</v>
      </c>
      <c r="G124" s="20" t="n">
        <v>57817</v>
      </c>
      <c r="H124" s="20" t="n">
        <v>48167</v>
      </c>
      <c r="I124" s="20" t="n">
        <v>51303</v>
      </c>
      <c r="J124" s="20" t="n">
        <v>53804</v>
      </c>
      <c r="K124" s="20" t="n">
        <v>55921</v>
      </c>
    </row>
    <row r="125">
      <c r="A125" s="18" t="inlineStr">
        <is>
          <t>자기주식</t>
        </is>
      </c>
      <c r="C125" s="20" t="n">
        <v>-19780</v>
      </c>
      <c r="D125" s="20" t="n">
        <v>-19773</v>
      </c>
      <c r="E125" s="20" t="n">
        <v>-19769</v>
      </c>
      <c r="F125" s="20" t="n">
        <v>-19746</v>
      </c>
      <c r="G125" s="20" t="n">
        <v>-19721</v>
      </c>
      <c r="H125" s="20" t="n">
        <v>-15892</v>
      </c>
      <c r="I125" s="20" t="n">
        <v>-19856</v>
      </c>
      <c r="J125" s="20" t="n">
        <v>-19810</v>
      </c>
      <c r="K125" s="20" t="n">
        <v>-19773</v>
      </c>
    </row>
    <row r="126">
      <c r="A126" s="9" t="inlineStr">
        <is>
          <t>주주자본 합계</t>
        </is>
      </c>
      <c r="C126" s="12" t="n">
        <v>52356</v>
      </c>
      <c r="D126" s="12" t="n">
        <v>53120</v>
      </c>
      <c r="E126" s="12" t="n">
        <v>54008</v>
      </c>
      <c r="F126" s="12" t="n">
        <v>53775</v>
      </c>
      <c r="G126" s="12" t="n">
        <v>55067</v>
      </c>
      <c r="H126" s="12" t="n">
        <v>48881</v>
      </c>
      <c r="I126" s="12" t="n">
        <v>48418</v>
      </c>
      <c r="J126" s="12" t="n">
        <v>50966</v>
      </c>
      <c r="K126" s="12" t="n">
        <v>53120</v>
      </c>
    </row>
    <row r="127">
      <c r="A127" s="18" t="inlineStr">
        <is>
          <t>기타유가증권 평가차액</t>
        </is>
      </c>
      <c r="C127" s="20" t="n">
        <v>692</v>
      </c>
      <c r="D127" s="20" t="n">
        <v>812</v>
      </c>
      <c r="E127" s="20" t="n">
        <v>965</v>
      </c>
      <c r="F127" s="20" t="n">
        <v>1145</v>
      </c>
      <c r="G127" s="20" t="n">
        <v>1297</v>
      </c>
      <c r="H127" s="20" t="n">
        <v>109</v>
      </c>
      <c r="I127" s="20" t="n">
        <v>449</v>
      </c>
      <c r="J127" s="20" t="n">
        <v>608</v>
      </c>
      <c r="K127" s="20" t="n">
        <v>812</v>
      </c>
    </row>
    <row r="128">
      <c r="A128" s="18" t="inlineStr">
        <is>
          <t>토지재평가차액금</t>
        </is>
      </c>
      <c r="C128" s="20" t="n">
        <v>-602</v>
      </c>
      <c r="D128" s="20" t="n">
        <v>-602</v>
      </c>
      <c r="E128" s="20" t="n">
        <v>-602</v>
      </c>
      <c r="F128" s="20" t="n">
        <v>-602</v>
      </c>
      <c r="G128" s="20" t="n">
        <v>-602</v>
      </c>
      <c r="H128" s="20" t="n">
        <v>-600</v>
      </c>
      <c r="I128" s="20" t="n">
        <v>-600</v>
      </c>
      <c r="J128" s="20" t="n">
        <v>-600</v>
      </c>
      <c r="K128" s="20" t="n">
        <v>-602</v>
      </c>
    </row>
    <row r="129">
      <c r="A129" s="18" t="inlineStr">
        <is>
          <t>퇴직급여 조정누계액</t>
        </is>
      </c>
      <c r="C129" s="20" t="n">
        <v>729</v>
      </c>
      <c r="D129" s="20" t="n">
        <v>709</v>
      </c>
      <c r="E129" s="20" t="n">
        <v>1078</v>
      </c>
      <c r="F129" s="20" t="n">
        <v>1035</v>
      </c>
      <c r="G129" s="20" t="n">
        <v>999</v>
      </c>
      <c r="H129" s="20" t="n">
        <v>208</v>
      </c>
      <c r="I129" s="20" t="n">
        <v>362</v>
      </c>
      <c r="J129" s="20" t="n">
        <v>569</v>
      </c>
      <c r="K129" s="20" t="n">
        <v>709</v>
      </c>
    </row>
    <row r="130">
      <c r="A130" s="18" t="inlineStr">
        <is>
          <t>기타포괄손익누계액 합계</t>
        </is>
      </c>
      <c r="C130" s="20" t="n">
        <v>819</v>
      </c>
      <c r="D130" s="20" t="n">
        <v>919</v>
      </c>
      <c r="E130" s="20" t="n">
        <v>1442</v>
      </c>
      <c r="F130" s="20" t="n">
        <v>1578</v>
      </c>
      <c r="G130" s="20" t="n">
        <v>1694</v>
      </c>
      <c r="H130" s="20" t="n">
        <v>-282</v>
      </c>
      <c r="I130" s="20" t="n">
        <v>212</v>
      </c>
      <c r="J130" s="20" t="n">
        <v>577</v>
      </c>
      <c r="K130" s="20" t="n">
        <v>919</v>
      </c>
    </row>
    <row r="131">
      <c r="A131" s="18" t="inlineStr">
        <is>
          <t>비지배지분</t>
        </is>
      </c>
      <c r="C131" s="20" t="n">
        <v>773</v>
      </c>
      <c r="D131" s="20" t="n">
        <v>793</v>
      </c>
      <c r="E131" s="20" t="n">
        <v>812</v>
      </c>
      <c r="F131" s="20" t="n">
        <v>833</v>
      </c>
      <c r="G131" s="20" t="n">
        <v>852</v>
      </c>
      <c r="H131" s="20" t="n">
        <v>560</v>
      </c>
      <c r="I131" s="20" t="n">
        <v>637</v>
      </c>
      <c r="J131" s="20" t="n">
        <v>707</v>
      </c>
      <c r="K131" s="20" t="n">
        <v>793</v>
      </c>
    </row>
    <row r="132">
      <c r="A132" s="9" t="inlineStr">
        <is>
          <t>순자산 합계</t>
        </is>
      </c>
      <c r="C132" s="12" t="n">
        <v>53949</v>
      </c>
      <c r="D132" s="12" t="n">
        <v>54833</v>
      </c>
      <c r="E132" s="12" t="n">
        <v>56262</v>
      </c>
      <c r="F132" s="12" t="n">
        <v>56187</v>
      </c>
      <c r="G132" s="12" t="n">
        <v>57615</v>
      </c>
      <c r="H132" s="12" t="n">
        <v>49158</v>
      </c>
      <c r="I132" s="12" t="n">
        <v>49268</v>
      </c>
      <c r="J132" s="12" t="n">
        <v>52251</v>
      </c>
      <c r="K132" s="12" t="n">
        <v>54833</v>
      </c>
    </row>
    <row r="133">
      <c r="A133" s="9" t="inlineStr">
        <is>
          <t>부채·순자산 합계</t>
        </is>
      </c>
      <c r="C133" s="12" t="n">
        <v>67034</v>
      </c>
      <c r="D133" s="12" t="n">
        <v>67300</v>
      </c>
      <c r="E133" s="12" t="n">
        <v>68697</v>
      </c>
      <c r="F133" s="12" t="n">
        <v>69325</v>
      </c>
      <c r="G133" s="12" t="n">
        <v>70976</v>
      </c>
      <c r="H133" s="12" t="n">
        <v>63285</v>
      </c>
      <c r="I133" s="12" t="n">
        <v>61658</v>
      </c>
      <c r="J133" s="12" t="n">
        <v>65112</v>
      </c>
      <c r="K133" s="12" t="n">
        <v>67300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4" customWidth="1" min="8" max="8"/>
  </cols>
  <sheetData>
    <row r="1">
      <c r="A1" s="49" t="inlineStr">
        <is>
          <t>미라이공업 섹터·사업 데이터</t>
        </is>
      </c>
    </row>
    <row r="2">
      <c r="A2" s="50" t="inlineStr">
        <is>
          <t>2단계 보고서를 만들 때 모은 자료 · 월차 · 출처는 맨 오른쪽</t>
        </is>
      </c>
    </row>
    <row r="4">
      <c r="A4" s="51" t="inlineStr">
        <is>
          <t>G27</t>
        </is>
      </c>
      <c r="B4" s="51" t="n"/>
      <c r="C4" s="51" t="n"/>
      <c r="D4" s="51" t="n"/>
      <c r="E4" s="51" t="n"/>
      <c r="F4" s="51" t="n"/>
      <c r="G4" s="51" t="n"/>
      <c r="H4" s="51" t="n"/>
    </row>
    <row r="5">
      <c r="A5" s="52" t="inlineStr">
        <is>
          <t>항목</t>
        </is>
      </c>
      <c r="B5" s="52" t="inlineStr">
        <is>
          <t>값</t>
        </is>
      </c>
      <c r="H5" s="52" t="inlineStr">
        <is>
          <t>출처</t>
        </is>
      </c>
    </row>
    <row r="6">
      <c r="A6" s="53" t="inlineStr">
        <is>
          <t>매출</t>
        </is>
      </c>
      <c r="B6" s="54" t="n">
        <v>489.84</v>
      </c>
      <c r="H6" s="55" t="inlineStr">
        <is>
          <t>2단계 보고서 자료(회사 설명회 자료·공시)</t>
        </is>
      </c>
    </row>
    <row r="7">
      <c r="A7" s="53" t="inlineStr">
        <is>
          <t>영업이익</t>
        </is>
      </c>
      <c r="B7" s="54" t="n">
        <v>69.27</v>
      </c>
    </row>
    <row r="8">
      <c r="A8" s="53" t="inlineStr">
        <is>
          <t>ord</t>
        </is>
      </c>
      <c r="B8" s="54" t="n">
        <v>71.25</v>
      </c>
    </row>
    <row r="9">
      <c r="A9" s="53" t="inlineStr">
        <is>
          <t>순이익</t>
        </is>
      </c>
      <c r="B9" s="54" t="n">
        <v>47.55</v>
      </c>
    </row>
    <row r="10">
      <c r="A10" s="53" t="inlineStr">
        <is>
          <t>EPS</t>
        </is>
      </c>
      <c r="B10" s="54" t="n">
        <v>293.91</v>
      </c>
    </row>
    <row r="11">
      <c r="A11" s="53" t="inlineStr">
        <is>
          <t>dps</t>
        </is>
      </c>
      <c r="B11" s="56" t="n">
        <v>135</v>
      </c>
    </row>
    <row r="13">
      <c r="A13" s="51" t="inlineStr">
        <is>
          <t>G27 직전</t>
        </is>
      </c>
      <c r="B13" s="51" t="n"/>
      <c r="C13" s="51" t="n"/>
      <c r="D13" s="51" t="n"/>
      <c r="E13" s="51" t="n"/>
      <c r="F13" s="51" t="n"/>
      <c r="G13" s="51" t="n"/>
      <c r="H13" s="51" t="n"/>
    </row>
    <row r="14">
      <c r="A14" s="52" t="inlineStr">
        <is>
          <t>항목</t>
        </is>
      </c>
      <c r="B14" s="52" t="inlineStr">
        <is>
          <t>값</t>
        </is>
      </c>
      <c r="H14" s="52" t="inlineStr">
        <is>
          <t>출처</t>
        </is>
      </c>
    </row>
    <row r="15">
      <c r="A15" s="53" t="inlineStr">
        <is>
          <t>매출</t>
        </is>
      </c>
      <c r="B15" s="54" t="n">
        <v>485.3</v>
      </c>
      <c r="H15" s="55" t="inlineStr">
        <is>
          <t>2단계 보고서 자료(회사 설명회 자료·공시)</t>
        </is>
      </c>
    </row>
    <row r="16">
      <c r="A16" s="53" t="inlineStr">
        <is>
          <t>영업이익</t>
        </is>
      </c>
      <c r="B16" s="54" t="n">
        <v>62.32</v>
      </c>
    </row>
    <row r="17">
      <c r="A17" s="53" t="inlineStr">
        <is>
          <t>ord</t>
        </is>
      </c>
      <c r="B17" s="54" t="n">
        <v>63.98</v>
      </c>
    </row>
    <row r="18">
      <c r="A18" s="53" t="inlineStr">
        <is>
          <t>순이익</t>
        </is>
      </c>
      <c r="B18" s="54" t="n">
        <v>43.42</v>
      </c>
    </row>
    <row r="19">
      <c r="A19" s="53" t="inlineStr">
        <is>
          <t>EPS</t>
        </is>
      </c>
      <c r="B19" s="54" t="n">
        <v>268.54</v>
      </c>
    </row>
    <row r="21">
      <c r="A21" s="51" t="inlineStr">
        <is>
          <t>상반기 계획</t>
        </is>
      </c>
      <c r="B21" s="51" t="n"/>
      <c r="C21" s="51" t="n"/>
      <c r="D21" s="51" t="n"/>
      <c r="E21" s="51" t="n"/>
      <c r="F21" s="51" t="n"/>
      <c r="G21" s="51" t="n"/>
      <c r="H21" s="51" t="n"/>
    </row>
    <row r="22">
      <c r="A22" s="52" t="inlineStr">
        <is>
          <t>항목</t>
        </is>
      </c>
      <c r="B22" s="52" t="inlineStr">
        <is>
          <t>값</t>
        </is>
      </c>
      <c r="H22" s="52" t="inlineStr">
        <is>
          <t>출처</t>
        </is>
      </c>
    </row>
    <row r="23">
      <c r="A23" s="53" t="inlineStr">
        <is>
          <t>매출</t>
        </is>
      </c>
      <c r="B23" s="54" t="n">
        <v>247.78</v>
      </c>
      <c r="H23" s="55" t="inlineStr">
        <is>
          <t>2단계 보고서 자료(회사 설명회 자료·공시)</t>
        </is>
      </c>
    </row>
    <row r="24">
      <c r="A24" s="53" t="inlineStr">
        <is>
          <t>영업이익</t>
        </is>
      </c>
      <c r="B24" s="54" t="n">
        <v>33.43</v>
      </c>
    </row>
    <row r="26">
      <c r="A26" s="51" t="inlineStr">
        <is>
          <t>band</t>
        </is>
      </c>
      <c r="B26" s="51" t="n"/>
      <c r="C26" s="51" t="n"/>
      <c r="D26" s="51" t="n"/>
      <c r="E26" s="51" t="n"/>
      <c r="F26" s="51" t="n"/>
      <c r="G26" s="51" t="n"/>
      <c r="H26" s="51" t="n"/>
    </row>
    <row r="27">
      <c r="A27" s="52" t="inlineStr">
        <is>
          <t>항목</t>
        </is>
      </c>
      <c r="B27" s="52" t="inlineStr">
        <is>
          <t>값</t>
        </is>
      </c>
      <c r="H27" s="52" t="inlineStr">
        <is>
          <t>출처</t>
        </is>
      </c>
    </row>
    <row r="28">
      <c r="A28" s="53" t="inlineStr">
        <is>
          <t>lo</t>
        </is>
      </c>
      <c r="B28" s="54" t="n">
        <v>11.8</v>
      </c>
      <c r="H28" s="55" t="inlineStr">
        <is>
          <t>2단계 보고서 자료(회사 설명회 자료·공시)</t>
        </is>
      </c>
    </row>
    <row r="29">
      <c r="A29" s="53" t="inlineStr">
        <is>
          <t>avg</t>
        </is>
      </c>
      <c r="B29" s="54" t="n">
        <v>13.8</v>
      </c>
    </row>
    <row r="30">
      <c r="A30" s="53" t="inlineStr">
        <is>
          <t>hi</t>
        </is>
      </c>
      <c r="B30" s="54" t="n">
        <v>19.6</v>
      </c>
    </row>
    <row r="32">
      <c r="A32" s="51" t="inlineStr">
        <is>
          <t>nap q</t>
        </is>
      </c>
      <c r="B32" s="51" t="n"/>
      <c r="C32" s="51" t="n"/>
      <c r="D32" s="51" t="n"/>
      <c r="E32" s="51" t="n"/>
      <c r="F32" s="51" t="n"/>
      <c r="G32" s="51" t="n"/>
      <c r="H32" s="51" t="n"/>
    </row>
    <row r="33">
      <c r="A33" s="52" t="inlineStr">
        <is>
          <t>항목</t>
        </is>
      </c>
      <c r="B33" s="52" t="inlineStr">
        <is>
          <t>값</t>
        </is>
      </c>
      <c r="H33" s="52" t="inlineStr">
        <is>
          <t>출처</t>
        </is>
      </c>
    </row>
    <row r="34">
      <c r="A34" s="53" t="inlineStr">
        <is>
          <t>2024-Q3</t>
        </is>
      </c>
      <c r="B34" s="54" t="n">
        <v>74.3</v>
      </c>
      <c r="H34" s="55" t="inlineStr">
        <is>
          <t>2단계 보고서 자료(회사 설명회 자료·공시)</t>
        </is>
      </c>
    </row>
    <row r="35">
      <c r="A35" s="53" t="inlineStr">
        <is>
          <t>2024-Q4</t>
        </is>
      </c>
      <c r="B35" s="54" t="n">
        <v>72.90000000000001</v>
      </c>
    </row>
    <row r="36">
      <c r="A36" s="53" t="inlineStr">
        <is>
          <t>2025-Q1</t>
        </is>
      </c>
      <c r="B36" s="54" t="n">
        <v>80.59999999999999</v>
      </c>
    </row>
    <row r="37">
      <c r="A37" s="53" t="inlineStr">
        <is>
          <t>2025-Q2</t>
        </is>
      </c>
      <c r="B37" s="54" t="n">
        <v>79</v>
      </c>
    </row>
    <row r="38">
      <c r="A38" s="53" t="inlineStr">
        <is>
          <t>2025-Q3</t>
        </is>
      </c>
      <c r="B38" s="54" t="n">
        <v>73</v>
      </c>
    </row>
    <row r="39">
      <c r="A39" s="53" t="inlineStr">
        <is>
          <t>2025-Q4</t>
        </is>
      </c>
      <c r="B39" s="54" t="n">
        <v>73.5</v>
      </c>
    </row>
    <row r="40">
      <c r="A40" s="53" t="inlineStr">
        <is>
          <t>2026-Q1</t>
        </is>
      </c>
      <c r="B40" s="54" t="n">
        <v>66.2</v>
      </c>
    </row>
    <row r="41">
      <c r="A41" s="53" t="inlineStr">
        <is>
          <t>2026-Q2</t>
        </is>
      </c>
      <c r="B41" s="54" t="n">
        <v>65.5</v>
      </c>
    </row>
    <row r="42">
      <c r="A42" s="53" t="inlineStr">
        <is>
          <t>2026-Q3</t>
        </is>
      </c>
      <c r="B42" s="54" t="n">
        <v>65.8</v>
      </c>
    </row>
    <row r="43">
      <c r="A43" s="53" t="inlineStr">
        <is>
          <t>2026-Q4</t>
        </is>
      </c>
      <c r="B43" s="54" t="n">
        <v>68.40000000000001</v>
      </c>
    </row>
    <row r="44">
      <c r="A44" s="53" t="inlineStr">
        <is>
          <t>2027-Q1</t>
        </is>
      </c>
      <c r="B44" s="54" t="n">
        <v>121.3</v>
      </c>
    </row>
    <row r="45">
      <c r="A45" s="53" t="inlineStr">
        <is>
          <t>2027-Q2</t>
        </is>
      </c>
      <c r="B45" s="54" t="n">
        <v>101.4</v>
      </c>
    </row>
    <row r="47">
      <c r="A47" s="51" t="inlineStr">
        <is>
          <t>pvcp q</t>
        </is>
      </c>
      <c r="B47" s="51" t="n"/>
      <c r="C47" s="51" t="n"/>
      <c r="D47" s="51" t="n"/>
      <c r="E47" s="51" t="n"/>
      <c r="F47" s="51" t="n"/>
      <c r="G47" s="51" t="n"/>
      <c r="H47" s="51" t="n"/>
    </row>
    <row r="48">
      <c r="A48" s="52" t="inlineStr">
        <is>
          <t>항목</t>
        </is>
      </c>
      <c r="B48" s="52" t="inlineStr">
        <is>
          <t>값</t>
        </is>
      </c>
      <c r="H48" s="52" t="inlineStr">
        <is>
          <t>출처</t>
        </is>
      </c>
    </row>
    <row r="49">
      <c r="A49" s="53" t="inlineStr">
        <is>
          <t>2024-Q3</t>
        </is>
      </c>
      <c r="B49" s="54" t="n">
        <v>118.3</v>
      </c>
      <c r="H49" s="55" t="inlineStr">
        <is>
          <t>2단계 보고서 자료(회사 설명회 자료·공시)</t>
        </is>
      </c>
    </row>
    <row r="50">
      <c r="A50" s="53" t="inlineStr">
        <is>
          <t>2024-Q4</t>
        </is>
      </c>
      <c r="B50" s="54" t="n">
        <v>113.3</v>
      </c>
    </row>
    <row r="51">
      <c r="A51" s="53" t="inlineStr">
        <is>
          <t>2025-Q1</t>
        </is>
      </c>
      <c r="B51" s="54" t="n">
        <v>119.3</v>
      </c>
    </row>
    <row r="52">
      <c r="A52" s="53" t="inlineStr">
        <is>
          <t>2025-Q2</t>
        </is>
      </c>
      <c r="B52" s="54" t="n">
        <v>126.7</v>
      </c>
    </row>
    <row r="53">
      <c r="A53" s="53" t="inlineStr">
        <is>
          <t>2025-Q3</t>
        </is>
      </c>
      <c r="B53" s="56" t="n">
        <v>115</v>
      </c>
    </row>
    <row r="54">
      <c r="A54" s="53" t="inlineStr">
        <is>
          <t>2025-Q4</t>
        </is>
      </c>
      <c r="B54" s="54" t="n">
        <v>112.7</v>
      </c>
    </row>
    <row r="55">
      <c r="A55" s="53" t="inlineStr">
        <is>
          <t>2026-Q1</t>
        </is>
      </c>
      <c r="B55" s="54" t="n">
        <v>101.4</v>
      </c>
    </row>
    <row r="56">
      <c r="A56" s="53" t="inlineStr">
        <is>
          <t>2026-Q2</t>
        </is>
      </c>
      <c r="B56" s="54" t="n">
        <v>100.8</v>
      </c>
    </row>
    <row r="57">
      <c r="A57" s="53" t="inlineStr">
        <is>
          <t>2026-Q3</t>
        </is>
      </c>
      <c r="B57" s="54" t="n">
        <v>99</v>
      </c>
    </row>
    <row r="58">
      <c r="A58" s="53" t="inlineStr">
        <is>
          <t>2026-Q4</t>
        </is>
      </c>
      <c r="B58" s="54" t="n">
        <v>98.2</v>
      </c>
    </row>
    <row r="59">
      <c r="A59" s="53" t="inlineStr">
        <is>
          <t>2027-Q1</t>
        </is>
      </c>
      <c r="B59" s="54" t="n">
        <v>121.3</v>
      </c>
    </row>
    <row r="60">
      <c r="A60" s="53" t="inlineStr">
        <is>
          <t>2027-Q2</t>
        </is>
      </c>
      <c r="B60" s="56" t="n">
        <v>119</v>
      </c>
    </row>
    <row r="62">
      <c r="A62" s="51" t="inlineStr">
        <is>
          <t>pvcv q</t>
        </is>
      </c>
      <c r="B62" s="51" t="n"/>
      <c r="C62" s="51" t="n"/>
      <c r="D62" s="51" t="n"/>
      <c r="E62" s="51" t="n"/>
      <c r="F62" s="51" t="n"/>
      <c r="G62" s="51" t="n"/>
      <c r="H62" s="51" t="n"/>
    </row>
    <row r="63">
      <c r="A63" s="52" t="inlineStr">
        <is>
          <t>항목</t>
        </is>
      </c>
      <c r="B63" s="52" t="inlineStr">
        <is>
          <t>값</t>
        </is>
      </c>
      <c r="H63" s="52" t="inlineStr">
        <is>
          <t>출처</t>
        </is>
      </c>
    </row>
    <row r="64">
      <c r="A64" s="53" t="inlineStr">
        <is>
          <t>2024-Q3</t>
        </is>
      </c>
      <c r="B64" s="54" t="n">
        <v>179.2</v>
      </c>
      <c r="H64" s="55" t="inlineStr">
        <is>
          <t>2단계 보고서 자료(회사 설명회 자료·공시)</t>
        </is>
      </c>
    </row>
    <row r="65">
      <c r="A65" s="53" t="inlineStr">
        <is>
          <t>2024-Q4</t>
        </is>
      </c>
      <c r="B65" s="54" t="n">
        <v>161.6</v>
      </c>
    </row>
    <row r="66">
      <c r="A66" s="53" t="inlineStr">
        <is>
          <t>2025-Q1</t>
        </is>
      </c>
      <c r="B66" s="54" t="n">
        <v>124.6</v>
      </c>
    </row>
    <row r="67">
      <c r="A67" s="53" t="inlineStr">
        <is>
          <t>2025-Q2</t>
        </is>
      </c>
      <c r="B67" s="54" t="n">
        <v>164</v>
      </c>
    </row>
    <row r="68">
      <c r="A68" s="53" t="inlineStr">
        <is>
          <t>2025-Q3</t>
        </is>
      </c>
      <c r="B68" s="54" t="n">
        <v>154.6</v>
      </c>
    </row>
    <row r="69">
      <c r="A69" s="53" t="inlineStr">
        <is>
          <t>2025-Q4</t>
        </is>
      </c>
      <c r="B69" s="54" t="n">
        <v>156</v>
      </c>
    </row>
    <row r="70">
      <c r="A70" s="53" t="inlineStr">
        <is>
          <t>2026-Q1</t>
        </is>
      </c>
      <c r="B70" s="54" t="n">
        <v>134.1</v>
      </c>
    </row>
    <row r="71">
      <c r="A71" s="53" t="inlineStr">
        <is>
          <t>2026-Q2</t>
        </is>
      </c>
      <c r="B71" s="54" t="n">
        <v>169.4</v>
      </c>
    </row>
    <row r="72">
      <c r="A72" s="53" t="inlineStr">
        <is>
          <t>2026-Q3</t>
        </is>
      </c>
      <c r="B72" s="54" t="n">
        <v>165.1</v>
      </c>
    </row>
    <row r="73">
      <c r="A73" s="53" t="inlineStr">
        <is>
          <t>2026-Q4</t>
        </is>
      </c>
      <c r="B73" s="54" t="n">
        <v>161.8</v>
      </c>
    </row>
    <row r="74">
      <c r="A74" s="53" t="inlineStr">
        <is>
          <t>2027-Q1</t>
        </is>
      </c>
      <c r="B74" s="54" t="n">
        <v>82.09999999999999</v>
      </c>
    </row>
    <row r="75">
      <c r="A75" s="53" t="inlineStr">
        <is>
          <t>2027-Q2</t>
        </is>
      </c>
      <c r="B75" s="54" t="n">
        <v>127.2</v>
      </c>
    </row>
    <row r="77">
      <c r="A77" s="51" t="inlineStr">
        <is>
          <t>매출총이익률 q</t>
        </is>
      </c>
      <c r="B77" s="51" t="n"/>
      <c r="C77" s="51" t="n"/>
      <c r="D77" s="51" t="n"/>
      <c r="E77" s="51" t="n"/>
      <c r="F77" s="51" t="n"/>
      <c r="G77" s="51" t="n"/>
      <c r="H77" s="51" t="n"/>
    </row>
    <row r="78">
      <c r="A78" s="52" t="inlineStr">
        <is>
          <t>항목</t>
        </is>
      </c>
      <c r="B78" s="52" t="inlineStr">
        <is>
          <t>값</t>
        </is>
      </c>
      <c r="H78" s="52" t="inlineStr">
        <is>
          <t>출처</t>
        </is>
      </c>
    </row>
    <row r="79">
      <c r="A79" s="53" t="inlineStr">
        <is>
          <t>2025-Q1</t>
        </is>
      </c>
      <c r="B79" s="54" t="n">
        <v>40.2</v>
      </c>
      <c r="H79" s="55" t="inlineStr">
        <is>
          <t>2단계 보고서 자료(회사 설명회 자료·공시)</t>
        </is>
      </c>
    </row>
    <row r="80">
      <c r="A80" s="53" t="inlineStr">
        <is>
          <t>2025-Q2</t>
        </is>
      </c>
      <c r="B80" s="54" t="n">
        <v>39.4</v>
      </c>
    </row>
    <row r="81">
      <c r="A81" s="53" t="inlineStr">
        <is>
          <t>2025-Q3</t>
        </is>
      </c>
      <c r="B81" s="54" t="n">
        <v>40.7</v>
      </c>
    </row>
    <row r="82">
      <c r="A82" s="53" t="inlineStr">
        <is>
          <t>2025-Q4</t>
        </is>
      </c>
      <c r="B82" s="54" t="n">
        <v>36.8</v>
      </c>
    </row>
    <row r="83">
      <c r="A83" s="53" t="inlineStr">
        <is>
          <t>2026-Q1</t>
        </is>
      </c>
      <c r="B83" s="54" t="n">
        <v>37.9</v>
      </c>
    </row>
    <row r="84">
      <c r="A84" s="53" t="inlineStr">
        <is>
          <t>2026-Q2</t>
        </is>
      </c>
      <c r="B84" s="54" t="n">
        <v>38.2</v>
      </c>
    </row>
    <row r="85">
      <c r="A85" s="53" t="inlineStr">
        <is>
          <t>2026-Q3</t>
        </is>
      </c>
      <c r="B85" s="54" t="n">
        <v>40.6</v>
      </c>
    </row>
    <row r="86">
      <c r="A86" s="53" t="inlineStr">
        <is>
          <t>2026-Q4</t>
        </is>
      </c>
      <c r="B86" s="54" t="n">
        <v>37.6</v>
      </c>
    </row>
    <row r="87">
      <c r="A87" s="53" t="inlineStr">
        <is>
          <t>2027-Q1</t>
        </is>
      </c>
      <c r="B87" s="54" t="n">
        <v>39.7</v>
      </c>
    </row>
    <row r="88">
      <c r="A88" s="53" t="inlineStr">
        <is>
          <t>2027-Q2</t>
        </is>
      </c>
      <c r="B88" s="54" t="n">
        <v>38.2</v>
      </c>
    </row>
    <row r="90">
      <c r="A90" s="51" t="inlineStr">
        <is>
          <t>컨센서스</t>
        </is>
      </c>
      <c r="B90" s="51" t="n"/>
      <c r="C90" s="51" t="n"/>
      <c r="D90" s="51" t="n"/>
      <c r="E90" s="51" t="n"/>
      <c r="F90" s="51" t="n"/>
      <c r="G90" s="51" t="n"/>
      <c r="H90" s="51" t="n"/>
    </row>
    <row r="91">
      <c r="A91" s="52" t="inlineStr">
        <is>
          <t>항목</t>
        </is>
      </c>
      <c r="B91" s="52" t="inlineStr">
        <is>
          <t>값</t>
        </is>
      </c>
      <c r="H91" s="52" t="inlineStr">
        <is>
          <t>출처</t>
        </is>
      </c>
    </row>
    <row r="92">
      <c r="A92" s="53" t="inlineStr">
        <is>
          <t>FY2027 매출</t>
        </is>
      </c>
      <c r="B92" s="56" t="n">
        <v>500</v>
      </c>
      <c r="H92" s="55" t="inlineStr">
        <is>
          <t>애널리스트 1명(야후)</t>
        </is>
      </c>
    </row>
    <row r="93">
      <c r="A93" s="53" t="inlineStr">
        <is>
          <t>FY2027 EPS</t>
        </is>
      </c>
      <c r="B93" s="54" t="n">
        <v>300.1</v>
      </c>
    </row>
    <row r="94">
      <c r="A94" s="53" t="inlineStr">
        <is>
          <t>FY2028 EPS</t>
        </is>
      </c>
      <c r="B94" s="54" t="n">
        <v>321.7</v>
      </c>
    </row>
    <row r="95">
      <c r="A95" s="53" t="inlineStr">
        <is>
          <t>3Q 매출</t>
        </is>
      </c>
      <c r="B95" s="56" t="n">
        <v>135</v>
      </c>
    </row>
    <row r="97">
      <c r="A97" s="51" t="inlineStr">
        <is>
          <t>phases</t>
        </is>
      </c>
      <c r="B97" s="51" t="n"/>
      <c r="C97" s="51" t="n"/>
      <c r="D97" s="51" t="n"/>
      <c r="E97" s="51" t="n"/>
      <c r="F97" s="51" t="n"/>
      <c r="G97" s="51" t="n"/>
      <c r="H97" s="51" t="n"/>
    </row>
    <row r="98">
      <c r="A98" s="52" t="inlineStr">
        <is>
          <t>항목</t>
        </is>
      </c>
      <c r="B98" s="52" t="inlineStr">
        <is>
          <t>to</t>
        </is>
      </c>
      <c r="C98" s="52" t="inlineStr">
        <is>
          <t>a</t>
        </is>
      </c>
      <c r="D98" s="52" t="inlineStr">
        <is>
          <t>b</t>
        </is>
      </c>
      <c r="E98" s="52" t="inlineStr">
        <is>
          <t>pa</t>
        </is>
      </c>
      <c r="F98" s="52" t="inlineStr">
        <is>
          <t>pb</t>
        </is>
      </c>
      <c r="G98" s="52" t="inlineStr">
        <is>
          <t>chg</t>
        </is>
      </c>
      <c r="H98" s="52" t="inlineStr">
        <is>
          <t>출처</t>
        </is>
      </c>
    </row>
    <row r="99">
      <c r="A99" s="53" t="inlineStr">
        <is>
          <t>0</t>
        </is>
      </c>
      <c r="B99" s="56" t="n">
        <v>69</v>
      </c>
      <c r="C99" s="57" t="inlineStr">
        <is>
          <t>2021-10-25</t>
        </is>
      </c>
      <c r="D99" s="57" t="inlineStr">
        <is>
          <t>2023-02-20</t>
        </is>
      </c>
      <c r="E99" s="54" t="n">
        <v>1690</v>
      </c>
      <c r="F99" s="54" t="n">
        <v>1494</v>
      </c>
      <c r="G99" s="54" t="n">
        <v>-11.6</v>
      </c>
      <c r="H99" s="55" t="inlineStr">
        <is>
          <t>2단계 보고서 자료(회사 설명회 자료·공시)</t>
        </is>
      </c>
    </row>
    <row r="100">
      <c r="A100" s="53" t="inlineStr">
        <is>
          <t>69</t>
        </is>
      </c>
      <c r="B100" s="56" t="n">
        <v>121</v>
      </c>
      <c r="C100" s="57" t="inlineStr">
        <is>
          <t>2023-02-20</t>
        </is>
      </c>
      <c r="D100" s="57" t="inlineStr">
        <is>
          <t>2024-02-19</t>
        </is>
      </c>
      <c r="E100" s="54" t="n">
        <v>1494</v>
      </c>
      <c r="F100" s="54" t="n">
        <v>5380</v>
      </c>
      <c r="G100" s="54" t="n">
        <v>260.1</v>
      </c>
    </row>
    <row r="101">
      <c r="A101" s="53" t="inlineStr">
        <is>
          <t>121</t>
        </is>
      </c>
      <c r="B101" s="56" t="n">
        <v>234</v>
      </c>
      <c r="C101" s="57" t="inlineStr">
        <is>
          <t>2024-02-19</t>
        </is>
      </c>
      <c r="D101" s="57" t="inlineStr">
        <is>
          <t>2026-04-20</t>
        </is>
      </c>
      <c r="E101" s="54" t="n">
        <v>5380</v>
      </c>
      <c r="F101" s="54" t="n">
        <v>2927</v>
      </c>
      <c r="G101" s="54" t="n">
        <v>-45.6</v>
      </c>
    </row>
    <row r="102">
      <c r="A102" s="53" t="inlineStr">
        <is>
          <t>234</t>
        </is>
      </c>
      <c r="B102" s="56" t="n">
        <v>261</v>
      </c>
      <c r="C102" s="57" t="inlineStr">
        <is>
          <t>2026-04-20</t>
        </is>
      </c>
      <c r="D102" s="57" t="inlineStr">
        <is>
          <t>2026-10-26</t>
        </is>
      </c>
      <c r="E102" s="54" t="n">
        <v>2927</v>
      </c>
      <c r="F102" s="54" t="n">
        <v>3485</v>
      </c>
      <c r="G102" s="54" t="n">
        <v>19.1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２분기 결산단신</t>
        </is>
      </c>
      <c r="C4" t="inlineStr">
        <is>
          <t>https://www2.jpx.co.jp/disc/79310/140120261022554660.pdf</t>
        </is>
      </c>
    </row>
    <row r="5">
      <c r="A5" t="inlineStr">
        <is>
          <t>2026-07-23</t>
        </is>
      </c>
      <c r="B5" t="inlineStr">
        <is>
          <t>2027년 3월 결산기 １분기 결산단신</t>
        </is>
      </c>
      <c r="C5" t="inlineStr">
        <is>
          <t>https://www2.jpx.co.jp/disc/79310/140120260722597572.pdf</t>
        </is>
      </c>
    </row>
    <row r="6">
      <c r="A6" t="inlineStr">
        <is>
          <t>2026-04-23</t>
        </is>
      </c>
      <c r="B6" t="inlineStr">
        <is>
          <t>2026년 3월 결산기 연간 결산단신</t>
        </is>
      </c>
      <c r="C6" t="inlineStr">
        <is>
          <t>https://www2.jpx.co.jp/disc/79310/140120260422508231.pdf</t>
        </is>
      </c>
    </row>
    <row r="7">
      <c r="A7" t="inlineStr">
        <is>
          <t>2026-01-29</t>
        </is>
      </c>
      <c r="B7" t="inlineStr">
        <is>
          <t>2026년 3월 결산기 ３분기 결산단신</t>
        </is>
      </c>
      <c r="C7" t="inlineStr">
        <is>
          <t>https://www2.jpx.co.jp/disc/79310/140120260128540246.pdf</t>
        </is>
      </c>
    </row>
    <row r="8">
      <c r="A8" t="inlineStr">
        <is>
          <t>2025-10-23</t>
        </is>
      </c>
      <c r="B8" t="inlineStr">
        <is>
          <t>2026년 3월 결산기 ２분기 결산단신</t>
        </is>
      </c>
      <c r="C8" t="inlineStr">
        <is>
          <t>https://www2.jpx.co.jp/disc/79310/140120251022577052.pdf</t>
        </is>
      </c>
    </row>
    <row r="9">
      <c r="A9" t="inlineStr">
        <is>
          <t>2025-07-24</t>
        </is>
      </c>
      <c r="B9" t="inlineStr">
        <is>
          <t>2026년 3월 결산기 １분기 결산단신</t>
        </is>
      </c>
      <c r="C9" t="inlineStr">
        <is>
          <t>https://www2.jpx.co.jp/disc/79310/140120250723518478.pdf</t>
        </is>
      </c>
    </row>
    <row r="10">
      <c r="A10" t="inlineStr">
        <is>
          <t>2025-04-24</t>
        </is>
      </c>
      <c r="B10" t="inlineStr">
        <is>
          <t>2025년 3월 결산기 연간 결산단신</t>
        </is>
      </c>
      <c r="C10" t="inlineStr">
        <is>
          <t>https://www2.jpx.co.jp/disc/79310/140120250424521883.pdf</t>
        </is>
      </c>
    </row>
    <row r="11">
      <c r="A11" t="inlineStr">
        <is>
          <t>2025-01-28</t>
        </is>
      </c>
      <c r="B11" t="inlineStr">
        <is>
          <t>2025년 3월 결산기 ３분기 결산단신</t>
        </is>
      </c>
      <c r="C11" t="inlineStr">
        <is>
          <t>https://www2.jpx.co.jp/disc/79310/140120250127555617.pdf</t>
        </is>
      </c>
    </row>
    <row r="12">
      <c r="A12" t="inlineStr">
        <is>
          <t>2024-10-24</t>
        </is>
      </c>
      <c r="B12" t="inlineStr">
        <is>
          <t>2025년 3월 결산기 ２분기 결산단신</t>
        </is>
      </c>
      <c r="C12" t="inlineStr">
        <is>
          <t>https://www2.jpx.co.jp/disc/79310/140120241023501530.pdf</t>
        </is>
      </c>
    </row>
    <row r="13">
      <c r="A13" t="inlineStr">
        <is>
          <t>2024-07-24</t>
        </is>
      </c>
      <c r="B13" t="inlineStr">
        <is>
          <t>2025년 3월 결산기 １분기 결산단신</t>
        </is>
      </c>
      <c r="C13" t="inlineStr">
        <is>
          <t>https://www2.jpx.co.jp/disc/79310/140120240723553317.pdf</t>
        </is>
      </c>
    </row>
    <row r="14">
      <c r="A14" t="inlineStr">
        <is>
          <t>2024-04-25</t>
        </is>
      </c>
      <c r="B14" t="inlineStr">
        <is>
          <t>2024년 3월 결산기 연간 결산단신</t>
        </is>
      </c>
      <c r="C14" t="inlineStr">
        <is>
          <t>https://www2.jpx.co.jp/disc/79310/140120240424575835.pdf</t>
        </is>
      </c>
    </row>
    <row r="15">
      <c r="A15" t="inlineStr">
        <is>
          <t>2024-01-25</t>
        </is>
      </c>
      <c r="B15" t="inlineStr">
        <is>
          <t>2024년 3월 결산기 ３분기 결산단신</t>
        </is>
      </c>
      <c r="C15" t="inlineStr">
        <is>
          <t>https://www2.jpx.co.jp/disc/79310/140120240124518574.pdf</t>
        </is>
      </c>
    </row>
    <row r="16">
      <c r="A16" t="inlineStr">
        <is>
          <t>2023-10-26</t>
        </is>
      </c>
      <c r="B16" t="inlineStr">
        <is>
          <t>2024년 3월 결산기 ２분기 결산단신</t>
        </is>
      </c>
      <c r="C16" t="inlineStr">
        <is>
          <t>https://www2.jpx.co.jp/disc/79310/140120231025571322.pdf</t>
        </is>
      </c>
    </row>
    <row r="17">
      <c r="A17" t="inlineStr">
        <is>
          <t>2023-07-26</t>
        </is>
      </c>
      <c r="B17" t="inlineStr">
        <is>
          <t>2024년 3월 결산기 １분기 결산단신</t>
        </is>
      </c>
      <c r="C17" t="inlineStr">
        <is>
          <t>https://www2.jpx.co.jp/disc/79310/140120230725526490.pdf</t>
        </is>
      </c>
    </row>
    <row r="18">
      <c r="A18" t="inlineStr">
        <is>
          <t>2023-04-27</t>
        </is>
      </c>
      <c r="B18" t="inlineStr">
        <is>
          <t>2023년 3월 결산기 연간 결산단신</t>
        </is>
      </c>
      <c r="C18" t="inlineStr">
        <is>
          <t>https://www2.jpx.co.jp/disc/79310/140120230426552974.pdf</t>
        </is>
      </c>
    </row>
    <row r="19">
      <c r="A19" t="inlineStr">
        <is>
          <t>2023-01-26</t>
        </is>
      </c>
      <c r="B19" t="inlineStr">
        <is>
          <t>2023년 3월 결산기 ３분기 결산단신</t>
        </is>
      </c>
      <c r="C19" t="inlineStr">
        <is>
          <t>https://www2.jpx.co.jp/disc/79310/140120230125593402.pdf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https://www2.jpx.co.jp/disc/79310/140120220426528055.pdf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https://www2.jpx.co.jp/disc/79310/140120210426400170.pdf</t>
        </is>
      </c>
    </row>
    <row r="22">
      <c r="A22" t="inlineStr">
        <is>
          <t>2020-05-01</t>
        </is>
      </c>
      <c r="B22" t="inlineStr">
        <is>
          <t>2020년 3월 결산기 연간 결산단신</t>
        </is>
      </c>
      <c r="C22" t="inlineStr">
        <is>
          <t>https://www2.jpx.co.jp/disc/79310/140120200430402327.pdf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https://www2.jpx.co.jp/disc/79310/140120190425411633.pdf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2026-10-26T07:53:52Z</dcterms:created>
  <dcterms:modified xmlns:dcterms="http://purl.org/dc/terms/" xmlns:xsi="http://www.w3.org/2001/XMLSchema-instance" xsi:type="dcterms:W3CDTF">2026-10-26T07:53:53Z</dcterms:modified>
</cp:coreProperties>
</file>