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  <sheet xmlns:r="http://schemas.openxmlformats.org/officeDocument/2006/relationships" name="재무제표 한눈에 보기" sheetId="5" state="visible" r:id="rId5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  <numFmt numFmtId="170" formatCode="0.0&quot;%&quot;"/>
  </numFmts>
  <fonts count="25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  <font>
      <name val="맑은 고딕"/>
      <b val="1"/>
      <sz val="12"/>
    </font>
    <font>
      <name val="맑은 고딕"/>
      <color rgb="00666666"/>
      <sz val="8"/>
    </font>
    <font>
      <name val="맑은 고딕"/>
      <b val="1"/>
      <sz val="9"/>
    </font>
    <font>
      <name val="맑은 고딕"/>
      <sz val="9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7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3" fillId="8" borderId="0" applyAlignment="1" pivotButton="0" quotePrefix="0" xfId="0">
      <alignment horizontal="center"/>
    </xf>
    <xf numFmtId="0" fontId="24" fillId="0" borderId="0" pivotButton="0" quotePrefix="0" xfId="0"/>
    <xf numFmtId="3" fontId="24" fillId="0" borderId="0" pivotButton="0" quotePrefix="0" xfId="0"/>
    <xf numFmtId="170" fontId="24" fillId="0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매출액 (억 엔) · 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보기'!A5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보기'!$B$5:$AO$5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보기'!A6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보기'!$B$6:$AO$6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부문별 매출 (억 엔)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'재무제표 한눈에 보기'!A24</f>
            </strRef>
          </tx>
          <spPr>
            <a:ln xmlns:a="http://schemas.openxmlformats.org/drawingml/2006/main" w="22000">
              <a:solidFill>
                <a:srgbClr val="4472C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보기'!$B$24:$AO$24</f>
            </numRef>
          </val>
          <smooth val="0"/>
        </ser>
        <ser>
          <idx val="1"/>
          <order val="1"/>
          <tx>
            <strRef>
              <f>'재무제표 한눈에 보기'!A25</f>
            </strRef>
          </tx>
          <spPr>
            <a:ln xmlns:a="http://schemas.openxmlformats.org/drawingml/2006/main" w="22000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보기'!$B$25:$AO$25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영업이익 (억 엔) · OPM·YoY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보기'!A7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보기'!$B$7:$AO$7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보기'!A8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보기'!$B$8:$AO$8</f>
            </numRef>
          </val>
          <smooth val="0"/>
        </ser>
        <ser>
          <idx val="2"/>
          <order val="2"/>
          <tx>
            <strRef>
              <f>'재무제표 한눈에 보기'!A9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보기'!$B$9:$AO$9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재무 안정성 — 총 차입금·현금 (억 엔) · 부채비율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보기'!A22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보기'!$B$22:$AO$22</f>
            </numRef>
          </val>
        </ser>
        <ser>
          <idx val="1"/>
          <order val="1"/>
          <tx>
            <strRef>
              <f>'재무제표 한눈에 보기'!A23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보기'!$B$23:$AO$23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2"/>
          <order val="2"/>
          <tx>
            <strRef>
              <f>'재무제표 한눈에 보기'!A15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보기'!$B$15:$AO$15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27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22</col>
      <colOff>0</colOff>
      <row>27</row>
      <rowOff>0</rowOff>
    </from>
    <ext cx="86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46</row>
      <rowOff>0</rowOff>
    </from>
    <ext cx="86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22</col>
      <colOff>0</colOff>
      <row>46</row>
      <rowOff>0</rowOff>
    </from>
    <ext cx="864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86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9882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46579</v>
      </c>
      <c r="D4" s="12" t="n">
        <v>33087</v>
      </c>
      <c r="E4" s="12" t="n">
        <v>34672</v>
      </c>
      <c r="F4" s="12" t="n">
        <v>34619</v>
      </c>
      <c r="G4" s="12" t="n">
        <v>49858</v>
      </c>
      <c r="H4" s="12" t="n">
        <v>34917</v>
      </c>
      <c r="I4" s="12" t="n">
        <v>40288</v>
      </c>
      <c r="J4" s="12" t="n">
        <v>39017</v>
      </c>
      <c r="K4" s="12" t="n">
        <v>53048</v>
      </c>
      <c r="L4" s="12" t="n">
        <v>38927</v>
      </c>
      <c r="M4" s="12" t="n">
        <v>41248</v>
      </c>
      <c r="N4" s="12" t="n">
        <v>41767</v>
      </c>
      <c r="O4" s="11" t="n">
        <v>129817</v>
      </c>
      <c r="P4" s="12" t="n">
        <v>137865</v>
      </c>
      <c r="Q4" s="12" t="n">
        <v>139200</v>
      </c>
      <c r="R4" s="12" t="n">
        <v>141031</v>
      </c>
      <c r="S4" s="12" t="n">
        <v>146994</v>
      </c>
      <c r="T4" s="12" t="n">
        <v>148038</v>
      </c>
      <c r="U4" s="12" t="n">
        <v>147157</v>
      </c>
      <c r="V4" s="12" t="n">
        <v>146641</v>
      </c>
      <c r="W4" s="12" t="n">
        <v>154066</v>
      </c>
      <c r="X4" s="12" t="n">
        <v>171280</v>
      </c>
      <c r="Y4" s="11">
        <f>IF(COUNT(Y7,Y10,Y13,Y16)=0,"",SUM(Y7,Y10,Y13,Y16))</f>
        <v/>
      </c>
      <c r="Z4" s="12">
        <f>IF(COUNT(Z7,Z10,Z13,Z16)=0,"",SUM(Z7,Z10,Z13,Z16))</f>
        <v/>
      </c>
      <c r="AA4" s="12">
        <f>IF(COUNT(AA7,AA10,AA13,AA16)=0,"",SUM(AA7,AA10,AA13,AA16))</f>
        <v/>
      </c>
      <c r="AB4" s="12">
        <f>IF(COUNT(AB7,AB10,AB13,AB16)=0,"",SUM(AB7,AB10,AB13,AB16))</f>
        <v/>
      </c>
      <c r="AC4" s="12">
        <f>IF(COUNT(AC7,AC10,AC13,AC16)=0,"",SUM(AC7,AC10,AC13,AC16))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AutomobilePartsSalesAndMotorbikePartsSalesReportableSegmentsMember</t>
        </is>
      </c>
      <c r="B7" s="10" t="n"/>
      <c r="C7" s="19" t="n">
        <v>45104</v>
      </c>
      <c r="D7" s="20" t="n"/>
      <c r="E7" s="20" t="n">
        <v>33216</v>
      </c>
      <c r="F7" s="20" t="n">
        <v>33171</v>
      </c>
      <c r="G7" s="20" t="n">
        <v>48422</v>
      </c>
      <c r="H7" s="20" t="n">
        <v>33478</v>
      </c>
      <c r="I7" s="20" t="n">
        <v>38839</v>
      </c>
      <c r="J7" s="20" t="n">
        <v>37591</v>
      </c>
      <c r="K7" s="20" t="n">
        <v>51594</v>
      </c>
      <c r="L7" s="20" t="n">
        <v>37462</v>
      </c>
      <c r="M7" s="20" t="n">
        <v>39797</v>
      </c>
      <c r="N7" s="20" t="n">
        <v>40317</v>
      </c>
      <c r="O7" s="19" t="n"/>
      <c r="P7" s="20" t="n"/>
      <c r="Q7" s="20" t="n"/>
      <c r="R7" s="20" t="n"/>
      <c r="S7" s="20" t="n"/>
      <c r="T7" s="20" t="n"/>
      <c r="U7" s="20" t="n"/>
      <c r="V7" s="20" t="n"/>
      <c r="W7" s="20" t="n">
        <v>148287</v>
      </c>
      <c r="X7" s="20" t="n">
        <v>165486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LeasingReportableSegmentsMember</t>
        </is>
      </c>
      <c r="B10" s="10" t="n"/>
      <c r="C10" s="19" t="n">
        <v>1476</v>
      </c>
      <c r="D10" s="20" t="n"/>
      <c r="E10" s="20" t="n">
        <v>1456</v>
      </c>
      <c r="F10" s="20" t="n">
        <v>1447</v>
      </c>
      <c r="G10" s="20" t="n">
        <v>1436</v>
      </c>
      <c r="H10" s="20" t="n">
        <v>1440</v>
      </c>
      <c r="I10" s="20" t="n">
        <v>1449</v>
      </c>
      <c r="J10" s="20" t="n">
        <v>1426</v>
      </c>
      <c r="K10" s="20" t="n">
        <v>1454</v>
      </c>
      <c r="L10" s="20" t="n">
        <v>1464</v>
      </c>
      <c r="M10" s="20" t="n">
        <v>1451</v>
      </c>
      <c r="N10" s="20" t="n">
        <v>1449</v>
      </c>
      <c r="O10" s="19" t="n"/>
      <c r="P10" s="20" t="n"/>
      <c r="Q10" s="20" t="n"/>
      <c r="R10" s="20" t="n"/>
      <c r="S10" s="20" t="n"/>
      <c r="T10" s="20" t="n"/>
      <c r="U10" s="20" t="n"/>
      <c r="V10" s="20" t="n"/>
      <c r="W10" s="20" t="n">
        <v>5779</v>
      </c>
      <c r="X10" s="20" t="n">
        <v>5793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기타</t>
        </is>
      </c>
      <c r="B13" s="10" t="n"/>
      <c r="C13" s="19" t="n">
        <v>0</v>
      </c>
      <c r="D13" s="20" t="n"/>
      <c r="E13" s="20" t="n">
        <v>0</v>
      </c>
      <c r="F13" s="20" t="n">
        <v>0</v>
      </c>
      <c r="G13" s="20" t="n">
        <v>0</v>
      </c>
      <c r="H13" s="20" t="n">
        <v>0</v>
      </c>
      <c r="I13" s="20" t="n">
        <v>0</v>
      </c>
      <c r="J13" s="20" t="n">
        <v>0</v>
      </c>
      <c r="K13" s="20" t="n">
        <v>0</v>
      </c>
      <c r="L13" s="20" t="n">
        <v>0</v>
      </c>
      <c r="M13" s="20" t="n">
        <v>0</v>
      </c>
      <c r="N13" s="20" t="n">
        <v>0</v>
      </c>
      <c r="O13" s="19" t="n"/>
      <c r="P13" s="20" t="n"/>
      <c r="Q13" s="20" t="n"/>
      <c r="R13" s="20" t="n"/>
      <c r="S13" s="20" t="n"/>
      <c r="T13" s="20" t="n"/>
      <c r="U13" s="20" t="n"/>
      <c r="V13" s="20" t="n"/>
      <c r="W13" s="20" t="n">
        <v>0</v>
      </c>
      <c r="X13" s="20" t="n">
        <v>0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EntityTotalMember</t>
        </is>
      </c>
      <c r="B16" s="10" t="n"/>
      <c r="C16" s="19" t="n"/>
      <c r="D16" s="20" t="n"/>
      <c r="E16" s="20" t="n">
        <v>34672</v>
      </c>
      <c r="F16" s="20" t="n"/>
      <c r="G16" s="20" t="n"/>
      <c r="H16" s="20" t="n"/>
      <c r="I16" s="20" t="n">
        <v>40288</v>
      </c>
      <c r="J16" s="20" t="n"/>
      <c r="K16" s="20" t="n"/>
      <c r="L16" s="20" t="n"/>
      <c r="M16" s="20" t="n">
        <v>41248</v>
      </c>
      <c r="N16" s="20" t="n"/>
      <c r="O16" s="19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6" t="inlineStr">
        <is>
          <t>매출원가</t>
        </is>
      </c>
      <c r="B19" s="16" t="n"/>
      <c r="C19" s="17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7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7" t="n"/>
      <c r="Z19" s="16" t="n"/>
      <c r="AA19" s="16" t="n"/>
      <c r="AB19" s="16" t="n"/>
      <c r="AC19" s="16" t="n"/>
    </row>
    <row r="20">
      <c r="A20" s="18" t="inlineStr">
        <is>
          <t>전체 매출원가</t>
        </is>
      </c>
      <c r="B20" s="10" t="n"/>
      <c r="C20" s="19" t="n">
        <v>27243</v>
      </c>
      <c r="D20" s="20" t="n">
        <v>18697</v>
      </c>
      <c r="E20" s="20" t="n">
        <v>19103</v>
      </c>
      <c r="F20" s="20" t="n">
        <v>19738</v>
      </c>
      <c r="G20" s="20" t="n">
        <v>28662</v>
      </c>
      <c r="H20" s="20" t="n">
        <v>19172</v>
      </c>
      <c r="I20" s="20" t="n">
        <v>21994</v>
      </c>
      <c r="J20" s="20" t="n">
        <v>22302</v>
      </c>
      <c r="K20" s="20" t="n">
        <v>30541</v>
      </c>
      <c r="L20" s="20" t="n">
        <v>21966</v>
      </c>
      <c r="M20" s="20" t="n">
        <v>22717</v>
      </c>
      <c r="N20" s="20" t="n">
        <v>23223</v>
      </c>
      <c r="O20" s="19" t="n">
        <v>83136</v>
      </c>
      <c r="P20" s="20" t="n">
        <v>86103</v>
      </c>
      <c r="Q20" s="20" t="n">
        <v>85578</v>
      </c>
      <c r="R20" s="20" t="n">
        <v>84514</v>
      </c>
      <c r="S20" s="20" t="n">
        <v>87094</v>
      </c>
      <c r="T20" s="20" t="n">
        <v>86900</v>
      </c>
      <c r="U20" s="20" t="n">
        <v>84157</v>
      </c>
      <c r="V20" s="20" t="n">
        <v>83814</v>
      </c>
      <c r="W20" s="20" t="n">
        <v>86675</v>
      </c>
      <c r="X20" s="20" t="n">
        <v>96803</v>
      </c>
      <c r="Y20" s="19" t="n"/>
      <c r="Z20" s="20" t="n"/>
      <c r="AA20" s="20" t="n"/>
      <c r="AB20" s="20" t="n"/>
      <c r="AC20" s="20" t="n"/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IF(OR(G20="",C20=""),"",IF(C20&lt;=0,"",IFERROR(G20/C20-1,"")))</f>
        <v/>
      </c>
      <c r="H21" s="15">
        <f>IF(OR(H20="",D20=""),"",IF(D20&lt;=0,"",IFERROR(H20/D20-1,"")))</f>
        <v/>
      </c>
      <c r="I21" s="15">
        <f>IF(OR(I20="",E20=""),"",IF(E20&lt;=0,"",IFERROR(I20/E20-1,"")))</f>
        <v/>
      </c>
      <c r="J21" s="15">
        <f>IF(OR(J20="",F20=""),"",IF(F20&lt;=0,"",IFERROR(J20/F20-1,"")))</f>
        <v/>
      </c>
      <c r="K21" s="15">
        <f>IF(OR(K20="",G20=""),"",IF(G20&lt;=0,"",IFERROR(K20/G20-1,"")))</f>
        <v/>
      </c>
      <c r="L21" s="15">
        <f>IF(OR(L20="",H20=""),"",IF(H20&lt;=0,"",IFERROR(L20/H20-1,"")))</f>
        <v/>
      </c>
      <c r="M21" s="15">
        <f>IF(OR(M20="",I20=""),"",IF(I20&lt;=0,"",IFERROR(M20/I20-1,"")))</f>
        <v/>
      </c>
      <c r="N21" s="15">
        <f>IF(OR(N20="",J20=""),"",IF(J20&lt;=0,"",IFERROR(N20/J20-1,"")))</f>
        <v/>
      </c>
      <c r="O21" s="14" t="n"/>
      <c r="P21" s="15">
        <f>IF(OR(P20="",O20=""),"",IF(O20&lt;=0,"",IFERROR(P20/O20-1,"")))</f>
        <v/>
      </c>
      <c r="Q21" s="15">
        <f>IF(OR(Q20="",P20=""),"",IF(P20&lt;=0,"",IFERROR(Q20/P20-1,"")))</f>
        <v/>
      </c>
      <c r="R21" s="15">
        <f>IF(OR(R20="",Q20=""),"",IF(Q20&lt;=0,"",IFERROR(R20/Q20-1,"")))</f>
        <v/>
      </c>
      <c r="S21" s="15">
        <f>IF(OR(S20="",R20=""),"",IF(R20&lt;=0,"",IFERROR(S20/R20-1,"")))</f>
        <v/>
      </c>
      <c r="T21" s="15">
        <f>IF(OR(T20="",S20=""),"",IF(S20&lt;=0,"",IFERROR(T20/S20-1,"")))</f>
        <v/>
      </c>
      <c r="U21" s="15">
        <f>IF(OR(U20="",T20=""),"",IF(T20&lt;=0,"",IFERROR(U20/T20-1,"")))</f>
        <v/>
      </c>
      <c r="V21" s="15">
        <f>IF(OR(V20="",U20=""),"",IF(U20&lt;=0,"",IFERROR(V20/U20-1,"")))</f>
        <v/>
      </c>
      <c r="W21" s="15">
        <f>IF(OR(W20="",V20=""),"",IF(V20&lt;=0,"",IFERROR(W20/V20-1,"")))</f>
        <v/>
      </c>
      <c r="X21" s="15">
        <f>IF(OR(X20="",W20=""),"",IF(W20&lt;=0,"",IFERROR(X20/W20-1,"")))</f>
        <v/>
      </c>
      <c r="Y21" s="14">
        <f>IF(OR(Y20="",X20=""),"",IF(X20&lt;=0,"",IFERROR(Y20/X20-1,"")))</f>
        <v/>
      </c>
      <c r="Z21" s="15">
        <f>IF(OR(Z20="",Y20=""),"",IF(Y20&lt;=0,"",IFERROR(Z20/Y20-1,"")))</f>
        <v/>
      </c>
      <c r="AA21" s="15">
        <f>IF(OR(AA20="",Z20=""),"",IF(Z20&lt;=0,"",IFERROR(AA20/Z20-1,"")))</f>
        <v/>
      </c>
      <c r="AB21" s="15">
        <f>IF(OR(AB20="",AA20=""),"",IF(AA20&lt;=0,"",IFERROR(AB20/AA20-1,"")))</f>
        <v/>
      </c>
      <c r="AC21" s="15">
        <f>IF(OR(AC20="",AB20=""),"",IF(AB20&lt;=0,"",IFERROR(AC20/AB20-1,"")))</f>
        <v/>
      </c>
    </row>
    <row r="22">
      <c r="A22" s="18" t="inlineStr">
        <is>
          <t>매출총이익</t>
        </is>
      </c>
      <c r="B22" s="10" t="n"/>
      <c r="C22" s="19">
        <f>IF(OR(C4="",C20=""),"",IFERROR(C4-C20,""))</f>
        <v/>
      </c>
      <c r="D22" s="20">
        <f>IF(OR(D4="",D20=""),"",IFERROR(D4-D20,""))</f>
        <v/>
      </c>
      <c r="E22" s="20">
        <f>IF(OR(E4="",E20=""),"",IFERROR(E4-E20,""))</f>
        <v/>
      </c>
      <c r="F22" s="20">
        <f>IF(OR(F4="",F20=""),"",IFERROR(F4-F20,""))</f>
        <v/>
      </c>
      <c r="G22" s="20">
        <f>IF(OR(G4="",G20=""),"",IFERROR(G4-G20,""))</f>
        <v/>
      </c>
      <c r="H22" s="20">
        <f>IF(OR(H4="",H20=""),"",IFERROR(H4-H20,""))</f>
        <v/>
      </c>
      <c r="I22" s="20">
        <f>IF(OR(I4="",I20=""),"",IFERROR(I4-I20,""))</f>
        <v/>
      </c>
      <c r="J22" s="20">
        <f>IF(OR(J4="",J20=""),"",IFERROR(J4-J20,""))</f>
        <v/>
      </c>
      <c r="K22" s="20">
        <f>IF(OR(K4="",K20=""),"",IFERROR(K4-K20,""))</f>
        <v/>
      </c>
      <c r="L22" s="20">
        <f>IF(OR(L4="",L20=""),"",IFERROR(L4-L20,""))</f>
        <v/>
      </c>
      <c r="M22" s="20">
        <f>IF(OR(M4="",M20=""),"",IFERROR(M4-M20,""))</f>
        <v/>
      </c>
      <c r="N22" s="20">
        <f>IF(OR(N4="",N20=""),"",IFERROR(N4-N20,""))</f>
        <v/>
      </c>
      <c r="O22" s="19">
        <f>IF(OR(O4="",O20=""),"",IFERROR(O4-O20,""))</f>
        <v/>
      </c>
      <c r="P22" s="20">
        <f>IF(OR(P4="",P20=""),"",IFERROR(P4-P20,""))</f>
        <v/>
      </c>
      <c r="Q22" s="20">
        <f>IF(OR(Q4="",Q20=""),"",IFERROR(Q4-Q20,""))</f>
        <v/>
      </c>
      <c r="R22" s="20">
        <f>IF(OR(R4="",R20=""),"",IFERROR(R4-R20,""))</f>
        <v/>
      </c>
      <c r="S22" s="20">
        <f>IF(OR(S4="",S20=""),"",IFERROR(S4-S20,""))</f>
        <v/>
      </c>
      <c r="T22" s="20">
        <f>IF(OR(T4="",T20=""),"",IFERROR(T4-T20,""))</f>
        <v/>
      </c>
      <c r="U22" s="20">
        <f>IF(OR(U4="",U20=""),"",IFERROR(U4-U20,""))</f>
        <v/>
      </c>
      <c r="V22" s="20">
        <f>IF(OR(V4="",V20=""),"",IFERROR(V4-V20,""))</f>
        <v/>
      </c>
      <c r="W22" s="20">
        <f>IF(OR(W4="",W20=""),"",IFERROR(W4-W20,""))</f>
        <v/>
      </c>
      <c r="X22" s="20">
        <f>IF(OR(X4="",X20=""),"",IFERROR(X4-X20,""))</f>
        <v/>
      </c>
      <c r="Y22" s="19" t="n"/>
      <c r="Z22" s="20" t="n"/>
      <c r="AA22" s="20" t="n"/>
      <c r="AB22" s="20" t="n"/>
      <c r="AC22" s="20" t="n"/>
    </row>
    <row r="23">
      <c r="A23" s="13" t="inlineStr">
        <is>
          <t>GPM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IF(OR(G22="",C22=""),"",IF(C22&lt;=0,"",IFERROR(G22/C22-1,"")))</f>
        <v/>
      </c>
      <c r="H24" s="15">
        <f>IF(OR(H22="",D22=""),"",IF(D22&lt;=0,"",IFERROR(H22/D22-1,"")))</f>
        <v/>
      </c>
      <c r="I24" s="15">
        <f>IF(OR(I22="",E22=""),"",IF(E22&lt;=0,"",IFERROR(I22/E22-1,"")))</f>
        <v/>
      </c>
      <c r="J24" s="15">
        <f>IF(OR(J22="",F22=""),"",IF(F22&lt;=0,"",IFERROR(J22/F22-1,"")))</f>
        <v/>
      </c>
      <c r="K24" s="15">
        <f>IF(OR(K22="",G22=""),"",IF(G22&lt;=0,"",IFERROR(K22/G22-1,"")))</f>
        <v/>
      </c>
      <c r="L24" s="15">
        <f>IF(OR(L22="",H22=""),"",IF(H22&lt;=0,"",IFERROR(L22/H22-1,"")))</f>
        <v/>
      </c>
      <c r="M24" s="15">
        <f>IF(OR(M22="",I22=""),"",IF(I22&lt;=0,"",IFERROR(M22/I22-1,"")))</f>
        <v/>
      </c>
      <c r="N24" s="15">
        <f>IF(OR(N22="",J22=""),"",IF(J22&lt;=0,"",IFERROR(N22/J22-1,"")))</f>
        <v/>
      </c>
      <c r="O24" s="14" t="n"/>
      <c r="P24" s="15">
        <f>IF(OR(P22="",O22=""),"",IF(O22&lt;=0,"",IFERROR(P22/O22-1,"")))</f>
        <v/>
      </c>
      <c r="Q24" s="15">
        <f>IF(OR(Q22="",P22=""),"",IF(P22&lt;=0,"",IFERROR(Q22/P22-1,"")))</f>
        <v/>
      </c>
      <c r="R24" s="15">
        <f>IF(OR(R22="",Q22=""),"",IF(Q22&lt;=0,"",IFERROR(R22/Q22-1,"")))</f>
        <v/>
      </c>
      <c r="S24" s="15">
        <f>IF(OR(S22="",R22=""),"",IF(R22&lt;=0,"",IFERROR(S22/R22-1,"")))</f>
        <v/>
      </c>
      <c r="T24" s="15">
        <f>IF(OR(T22="",S22=""),"",IF(S22&lt;=0,"",IFERROR(T22/S22-1,"")))</f>
        <v/>
      </c>
      <c r="U24" s="15">
        <f>IF(OR(U22="",T22=""),"",IF(T22&lt;=0,"",IFERROR(U22/T22-1,"")))</f>
        <v/>
      </c>
      <c r="V24" s="15">
        <f>IF(OR(V22="",U22=""),"",IF(U22&lt;=0,"",IFERROR(V22/U22-1,"")))</f>
        <v/>
      </c>
      <c r="W24" s="15">
        <f>IF(OR(W22="",V22=""),"",IF(V22&lt;=0,"",IFERROR(W22/V22-1,"")))</f>
        <v/>
      </c>
      <c r="X24" s="15">
        <f>IF(OR(X22="",W22=""),"",IF(W22&lt;=0,"",IFERROR(X22/W22-1,"")))</f>
        <v/>
      </c>
      <c r="Y24" s="14">
        <f>IF(OR(Y22="",X22=""),"",IF(X22&lt;=0,"",IFERROR(Y22/X22-1,"")))</f>
        <v/>
      </c>
      <c r="Z24" s="15">
        <f>IF(OR(Z22="",Y22=""),"",IF(Y22&lt;=0,"",IFERROR(Z22/Y22-1,"")))</f>
        <v/>
      </c>
      <c r="AA24" s="15">
        <f>IF(OR(AA22="",Z22=""),"",IF(Z22&lt;=0,"",IFERROR(AA22/Z22-1,"")))</f>
        <v/>
      </c>
      <c r="AB24" s="15">
        <f>IF(OR(AB22="",AA22=""),"",IF(AA22&lt;=0,"",IFERROR(AB22/AA22-1,"")))</f>
        <v/>
      </c>
      <c r="AC24" s="15">
        <f>IF(OR(AC22="",AB22=""),"",IF(AB22&lt;=0,"",IFERROR(AC22/AB22-1,"")))</f>
        <v/>
      </c>
    </row>
    <row r="25">
      <c r="A25" s="23" t="inlineStr">
        <is>
          <t>판매관리비</t>
        </is>
      </c>
      <c r="B25" s="23" t="n"/>
      <c r="C25" s="24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4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4" t="n"/>
      <c r="Z25" s="23" t="n"/>
      <c r="AA25" s="23" t="n"/>
      <c r="AB25" s="23" t="n"/>
      <c r="AC25" s="23" t="n"/>
    </row>
    <row r="26">
      <c r="A26" s="18" t="inlineStr">
        <is>
          <t>전체 판관비</t>
        </is>
      </c>
      <c r="B26" s="10" t="n"/>
      <c r="C26" s="19" t="n">
        <v>12605</v>
      </c>
      <c r="D26" s="20" t="n">
        <v>11881</v>
      </c>
      <c r="E26" s="20" t="n">
        <v>12450</v>
      </c>
      <c r="F26" s="20" t="n">
        <v>12646</v>
      </c>
      <c r="G26" s="20" t="n">
        <v>13430</v>
      </c>
      <c r="H26" s="20" t="n">
        <v>13414</v>
      </c>
      <c r="I26" s="20" t="n">
        <v>14795</v>
      </c>
      <c r="J26" s="20" t="n">
        <v>14720</v>
      </c>
      <c r="K26" s="20" t="n">
        <v>15285</v>
      </c>
      <c r="L26" s="20" t="n">
        <v>14589</v>
      </c>
      <c r="M26" s="20" t="n">
        <v>15623</v>
      </c>
      <c r="N26" s="20" t="n">
        <v>14955</v>
      </c>
      <c r="O26" s="19" t="n">
        <v>39741</v>
      </c>
      <c r="P26" s="20" t="n">
        <v>42200</v>
      </c>
      <c r="Q26" s="20" t="n">
        <v>44038</v>
      </c>
      <c r="R26" s="20" t="n">
        <v>46423</v>
      </c>
      <c r="S26" s="20" t="n">
        <v>46922</v>
      </c>
      <c r="T26" s="20" t="n">
        <v>47047</v>
      </c>
      <c r="U26" s="20" t="n">
        <v>47749</v>
      </c>
      <c r="V26" s="20" t="n">
        <v>48351</v>
      </c>
      <c r="W26" s="20" t="n">
        <v>51940</v>
      </c>
      <c r="X26" s="20" t="n">
        <v>59389</v>
      </c>
      <c r="Y26" s="19" t="n"/>
      <c r="Z26" s="20" t="n"/>
      <c r="AA26" s="20" t="n"/>
      <c r="AB26" s="20" t="n"/>
      <c r="AC26" s="20" t="n"/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IF(OR(G26="",C26=""),"",IF(C26&lt;=0,"",IFERROR(G26/C26-1,"")))</f>
        <v/>
      </c>
      <c r="H27" s="15">
        <f>IF(OR(H26="",D26=""),"",IF(D26&lt;=0,"",IFERROR(H26/D26-1,"")))</f>
        <v/>
      </c>
      <c r="I27" s="15">
        <f>IF(OR(I26="",E26=""),"",IF(E26&lt;=0,"",IFERROR(I26/E26-1,"")))</f>
        <v/>
      </c>
      <c r="J27" s="15">
        <f>IF(OR(J26="",F26=""),"",IF(F26&lt;=0,"",IFERROR(J26/F26-1,"")))</f>
        <v/>
      </c>
      <c r="K27" s="15">
        <f>IF(OR(K26="",G26=""),"",IF(G26&lt;=0,"",IFERROR(K26/G26-1,"")))</f>
        <v/>
      </c>
      <c r="L27" s="15">
        <f>IF(OR(L26="",H26=""),"",IF(H26&lt;=0,"",IFERROR(L26/H26-1,"")))</f>
        <v/>
      </c>
      <c r="M27" s="15">
        <f>IF(OR(M26="",I26=""),"",IF(I26&lt;=0,"",IFERROR(M26/I26-1,"")))</f>
        <v/>
      </c>
      <c r="N27" s="15">
        <f>IF(OR(N26="",J26=""),"",IF(J26&lt;=0,"",IFERROR(N26/J26-1,"")))</f>
        <v/>
      </c>
      <c r="O27" s="14" t="n"/>
      <c r="P27" s="15">
        <f>IF(OR(P26="",O26=""),"",IF(O26&lt;=0,"",IFERROR(P26/O26-1,"")))</f>
        <v/>
      </c>
      <c r="Q27" s="15">
        <f>IF(OR(Q26="",P26=""),"",IF(P26&lt;=0,"",IFERROR(Q26/P26-1,"")))</f>
        <v/>
      </c>
      <c r="R27" s="15">
        <f>IF(OR(R26="",Q26=""),"",IF(Q26&lt;=0,"",IFERROR(R26/Q26-1,"")))</f>
        <v/>
      </c>
      <c r="S27" s="15">
        <f>IF(OR(S26="",R26=""),"",IF(R26&lt;=0,"",IFERROR(S26/R26-1,"")))</f>
        <v/>
      </c>
      <c r="T27" s="15">
        <f>IF(OR(T26="",S26=""),"",IF(S26&lt;=0,"",IFERROR(T26/S26-1,"")))</f>
        <v/>
      </c>
      <c r="U27" s="15">
        <f>IF(OR(U26="",T26=""),"",IF(T26&lt;=0,"",IFERROR(U26/T26-1,"")))</f>
        <v/>
      </c>
      <c r="V27" s="15">
        <f>IF(OR(V26="",U26=""),"",IF(U26&lt;=0,"",IFERROR(V26/U26-1,"")))</f>
        <v/>
      </c>
      <c r="W27" s="15">
        <f>IF(OR(W26="",V26=""),"",IF(V26&lt;=0,"",IFERROR(W26/V26-1,"")))</f>
        <v/>
      </c>
      <c r="X27" s="15">
        <f>IF(OR(X26="",W26=""),"",IF(W26&lt;=0,"",IFERROR(X26/W26-1,"")))</f>
        <v/>
      </c>
      <c r="Y27" s="14">
        <f>IF(OR(Y26="",X26=""),"",IF(X26&lt;=0,"",IFERROR(Y26/X26-1,"")))</f>
        <v/>
      </c>
      <c r="Z27" s="15">
        <f>IF(OR(Z26="",Y26=""),"",IF(Y26&lt;=0,"",IFERROR(Z26/Y26-1,"")))</f>
        <v/>
      </c>
      <c r="AA27" s="15">
        <f>IF(OR(AA26="",Z26=""),"",IF(Z26&lt;=0,"",IFERROR(AA26/Z26-1,"")))</f>
        <v/>
      </c>
      <c r="AB27" s="15">
        <f>IF(OR(AB26="",AA26=""),"",IF(AA26&lt;=0,"",IFERROR(AB26/AA26-1,"")))</f>
        <v/>
      </c>
      <c r="AC27" s="15">
        <f>IF(OR(AC26="",AB26=""),"",IF(AB26&lt;=0,"",IFERROR(AC26/AB26-1,"")))</f>
        <v/>
      </c>
    </row>
    <row r="28">
      <c r="A28" s="9" t="inlineStr">
        <is>
          <t>영업이익</t>
        </is>
      </c>
      <c r="B28" s="10" t="inlineStr">
        <is>
          <t>MW = 매출 × OPM</t>
        </is>
      </c>
      <c r="C28" s="11" t="n">
        <v>6731</v>
      </c>
      <c r="D28" s="12" t="n">
        <v>2509</v>
      </c>
      <c r="E28" s="12" t="n">
        <v>3117</v>
      </c>
      <c r="F28" s="12" t="n">
        <v>2236</v>
      </c>
      <c r="G28" s="12" t="n">
        <v>7766</v>
      </c>
      <c r="H28" s="12" t="n">
        <v>2331</v>
      </c>
      <c r="I28" s="12" t="n">
        <v>3498</v>
      </c>
      <c r="J28" s="12" t="n">
        <v>1995</v>
      </c>
      <c r="K28" s="12" t="n">
        <v>7223</v>
      </c>
      <c r="L28" s="12" t="n">
        <v>2371</v>
      </c>
      <c r="M28" s="12" t="n">
        <v>2907</v>
      </c>
      <c r="N28" s="12" t="n">
        <v>3589</v>
      </c>
      <c r="O28" s="11" t="n">
        <v>6939</v>
      </c>
      <c r="P28" s="12" t="n">
        <v>9561</v>
      </c>
      <c r="Q28" s="12" t="n">
        <v>9583</v>
      </c>
      <c r="R28" s="12" t="n">
        <v>10093</v>
      </c>
      <c r="S28" s="12" t="n">
        <v>12978</v>
      </c>
      <c r="T28" s="12" t="n">
        <v>14090</v>
      </c>
      <c r="U28" s="12" t="n">
        <v>15250</v>
      </c>
      <c r="V28" s="12" t="n">
        <v>14475</v>
      </c>
      <c r="W28" s="12" t="n">
        <v>15450</v>
      </c>
      <c r="X28" s="12" t="n">
        <v>15087</v>
      </c>
      <c r="Y28" s="11">
        <f>IF(OR(Y4="",Y29=""),"",IFERROR(Y4*Y29,""))</f>
        <v/>
      </c>
      <c r="Z28" s="12">
        <f>IF(OR(Z4="",Z29=""),"",IFERROR(Z4*Z29,""))</f>
        <v/>
      </c>
      <c r="AA28" s="12">
        <f>IF(OR(AA4="",AA29=""),"",IFERROR(AA4*AA29,""))</f>
        <v/>
      </c>
      <c r="AB28" s="12">
        <f>IF(OR(AB4="",AB29=""),"",IFERROR(AB4*AB29,""))</f>
        <v/>
      </c>
      <c r="AC28" s="12">
        <f>IF(OR(AC4="",AC29=""),"",IFERROR(AC4*AC29,""))</f>
        <v/>
      </c>
    </row>
    <row r="29">
      <c r="A29" s="13" t="inlineStr">
        <is>
          <t>OPM</t>
        </is>
      </c>
      <c r="B29" s="10" t="inlineStr">
        <is>
          <t>MW 입력</t>
        </is>
      </c>
      <c r="C29" s="14">
        <f>IF(OR(C28="",C4=""),"",IFERROR(C28/C4,""))</f>
        <v/>
      </c>
      <c r="D29" s="15">
        <f>IF(OR(D28="",D4=""),"",IFERROR(D28/D4,""))</f>
        <v/>
      </c>
      <c r="E29" s="15">
        <f>IF(OR(E28="",E4=""),"",IFERROR(E28/E4,""))</f>
        <v/>
      </c>
      <c r="F29" s="15">
        <f>IF(OR(F28="",F4=""),"",IFERROR(F28/F4,""))</f>
        <v/>
      </c>
      <c r="G29" s="15">
        <f>IF(OR(G28="",G4=""),"",IFERROR(G28/G4,""))</f>
        <v/>
      </c>
      <c r="H29" s="15">
        <f>IF(OR(H28="",H4=""),"",IFERROR(H28/H4,""))</f>
        <v/>
      </c>
      <c r="I29" s="15">
        <f>IF(OR(I28="",I4=""),"",IFERROR(I28/I4,""))</f>
        <v/>
      </c>
      <c r="J29" s="15">
        <f>IF(OR(J28="",J4=""),"",IFERROR(J28/J4,""))</f>
        <v/>
      </c>
      <c r="K29" s="15">
        <f>IF(OR(K28="",K4=""),"",IFERROR(K28/K4,""))</f>
        <v/>
      </c>
      <c r="L29" s="15">
        <f>IF(OR(L28="",L4=""),"",IFERROR(L28/L4,""))</f>
        <v/>
      </c>
      <c r="M29" s="15">
        <f>IF(OR(M28="",M4=""),"",IFERROR(M28/M4,""))</f>
        <v/>
      </c>
      <c r="N29" s="15">
        <f>IF(OR(N28="",N4=""),"",IFERROR(N28/N4,""))</f>
        <v/>
      </c>
      <c r="O29" s="14">
        <f>IF(OR(O28="",O4=""),"",IFERROR(O28/O4,""))</f>
        <v/>
      </c>
      <c r="P29" s="15">
        <f>IF(OR(P28="",P4=""),"",IFERROR(P28/P4,""))</f>
        <v/>
      </c>
      <c r="Q29" s="15">
        <f>IF(OR(Q28="",Q4=""),"",IFERROR(Q28/Q4,""))</f>
        <v/>
      </c>
      <c r="R29" s="15">
        <f>IF(OR(R28="",R4=""),"",IFERROR(R28/R4,""))</f>
        <v/>
      </c>
      <c r="S29" s="15">
        <f>IF(OR(S28="",S4=""),"",IFERROR(S28/S4,""))</f>
        <v/>
      </c>
      <c r="T29" s="15">
        <f>IF(OR(T28="",T4=""),"",IFERROR(T28/T4,""))</f>
        <v/>
      </c>
      <c r="U29" s="15">
        <f>IF(OR(U28="",U4=""),"",IFERROR(U28/U4,""))</f>
        <v/>
      </c>
      <c r="V29" s="15">
        <f>IF(OR(V28="",V4=""),"",IFERROR(V28/V4,""))</f>
        <v/>
      </c>
      <c r="W29" s="15">
        <f>IF(OR(W28="",W4=""),"",IFERROR(W28/W4,""))</f>
        <v/>
      </c>
      <c r="X29" s="15">
        <f>IF(OR(X28="",X4=""),"",IFERROR(X28/X4,""))</f>
        <v/>
      </c>
      <c r="Y29" s="25" t="n"/>
      <c r="Z29" s="26" t="n"/>
      <c r="AA29" s="26" t="n"/>
      <c r="AB29" s="26" t="n"/>
      <c r="AC29" s="26" t="n"/>
    </row>
    <row r="30">
      <c r="A30" s="13" t="inlineStr">
        <is>
          <t>증가율</t>
        </is>
      </c>
      <c r="B30" s="10" t="n"/>
      <c r="C30" s="14" t="n"/>
      <c r="D30" s="15" t="n"/>
      <c r="E30" s="15" t="n"/>
      <c r="F30" s="15" t="n"/>
      <c r="G30" s="15">
        <f>IF(OR(G28="",C28=""),"",IFERROR(G28/C28-1,""))</f>
        <v/>
      </c>
      <c r="H30" s="15">
        <f>IF(OR(H28="",D28=""),"",IFERROR(H28/D28-1,""))</f>
        <v/>
      </c>
      <c r="I30" s="15">
        <f>IF(OR(I28="",E28=""),"",IFERROR(I28/E28-1,""))</f>
        <v/>
      </c>
      <c r="J30" s="15">
        <f>IF(OR(J28="",F28=""),"",IFERROR(J28/F28-1,""))</f>
        <v/>
      </c>
      <c r="K30" s="15">
        <f>IF(OR(K28="",G28=""),"",IFERROR(K28/G28-1,""))</f>
        <v/>
      </c>
      <c r="L30" s="15">
        <f>IF(OR(L28="",H28=""),"",IFERROR(L28/H28-1,""))</f>
        <v/>
      </c>
      <c r="M30" s="15">
        <f>IF(OR(M28="",I28=""),"",IFERROR(M28/I28-1,""))</f>
        <v/>
      </c>
      <c r="N30" s="15">
        <f>IF(OR(N28="",J28=""),"",IFERROR(N28/J28-1,""))</f>
        <v/>
      </c>
      <c r="O30" s="14" t="n"/>
      <c r="P30" s="15">
        <f>IF(OR(P28="",O28=""),"",IFERROR(P28/O28-1,""))</f>
        <v/>
      </c>
      <c r="Q30" s="15">
        <f>IF(OR(Q28="",P28=""),"",IFERROR(Q28/P28-1,""))</f>
        <v/>
      </c>
      <c r="R30" s="15">
        <f>IF(OR(R28="",Q28=""),"",IFERROR(R28/Q28-1,""))</f>
        <v/>
      </c>
      <c r="S30" s="15">
        <f>IF(OR(S28="",R28=""),"",IFERROR(S28/R28-1,""))</f>
        <v/>
      </c>
      <c r="T30" s="15">
        <f>IF(OR(T28="",S28=""),"",IFERROR(T28/S28-1,""))</f>
        <v/>
      </c>
      <c r="U30" s="15">
        <f>IF(OR(U28="",T28=""),"",IFERROR(U28/T28-1,""))</f>
        <v/>
      </c>
      <c r="V30" s="15">
        <f>IF(OR(V28="",U28=""),"",IFERROR(V28/U28-1,""))</f>
        <v/>
      </c>
      <c r="W30" s="15">
        <f>IF(OR(W28="",V28=""),"",IFERROR(W28/V28-1,""))</f>
        <v/>
      </c>
      <c r="X30" s="15">
        <f>IF(OR(X28="",W28=""),"",IFERROR(X28/W28-1,""))</f>
        <v/>
      </c>
      <c r="Y30" s="14">
        <f>IF(OR(Y28="",X28=""),"",IFERROR(Y28/X28-1,""))</f>
        <v/>
      </c>
      <c r="Z30" s="15">
        <f>IF(OR(Z28="",Y28=""),"",IFERROR(Z28/Y28-1,""))</f>
        <v/>
      </c>
      <c r="AA30" s="15">
        <f>IF(OR(AA28="",Z28=""),"",IFERROR(AA28/Z28-1,""))</f>
        <v/>
      </c>
      <c r="AB30" s="15">
        <f>IF(OR(AB28="",AA28=""),"",IFERROR(AB28/AA28-1,""))</f>
        <v/>
      </c>
      <c r="AC30" s="15">
        <f>IF(OR(AC28="",AB28=""),"",IFERROR(AC28/AB28-1,""))</f>
        <v/>
      </c>
    </row>
    <row r="31">
      <c r="A31" s="16" t="inlineStr">
        <is>
          <t>비용의 성격별 분류</t>
        </is>
      </c>
      <c r="B31" s="16" t="inlineStr">
        <is>
          <t>참고 데이터</t>
        </is>
      </c>
      <c r="C31" s="17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7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7" t="n"/>
      <c r="Z31" s="16" t="n"/>
      <c r="AA31" s="16" t="n"/>
      <c r="AB31" s="16" t="n"/>
      <c r="AC31" s="16" t="n"/>
    </row>
    <row r="32">
      <c r="A32" s="9" t="inlineStr">
        <is>
          <t>총 판관비</t>
        </is>
      </c>
      <c r="B32" s="10" t="n"/>
      <c r="C32" s="11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1">
        <f>IF(O26="","",O26)</f>
        <v/>
      </c>
      <c r="P32" s="12">
        <f>IF(P26="","",P26)</f>
        <v/>
      </c>
      <c r="Q32" s="12">
        <f>IF(Q26="","",Q26)</f>
        <v/>
      </c>
      <c r="R32" s="12">
        <f>IF(R26="","",R26)</f>
        <v/>
      </c>
      <c r="S32" s="12">
        <f>IF(S26="","",S26)</f>
        <v/>
      </c>
      <c r="T32" s="12">
        <f>IF(T26="","",T26)</f>
        <v/>
      </c>
      <c r="U32" s="12">
        <f>IF(U26="","",U26)</f>
        <v/>
      </c>
      <c r="V32" s="12">
        <f>IF(V26="","",V26)</f>
        <v/>
      </c>
      <c r="W32" s="12">
        <f>IF(W26="","",W26)</f>
        <v/>
      </c>
      <c r="X32" s="12">
        <f>IF(X26="","",X26)</f>
        <v/>
      </c>
      <c r="Y32" s="11" t="n"/>
      <c r="Z32" s="12" t="n"/>
      <c r="AA32" s="12" t="n"/>
      <c r="AB32" s="12" t="n"/>
      <c r="AC32" s="12" t="n"/>
    </row>
    <row r="33">
      <c r="A33" s="18" t="inlineStr">
        <is>
          <t>급여</t>
        </is>
      </c>
      <c r="B33" s="10" t="inlineStr">
        <is>
          <t>고정비</t>
        </is>
      </c>
      <c r="C33" s="19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19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19" t="n"/>
      <c r="Z33" s="20" t="n"/>
      <c r="AA33" s="20" t="n"/>
      <c r="AB33" s="20" t="n"/>
      <c r="AC33" s="20" t="n"/>
    </row>
    <row r="34">
      <c r="A34" s="13" t="inlineStr">
        <is>
          <t>% of Sales</t>
        </is>
      </c>
      <c r="B34" s="10" t="n"/>
      <c r="C34" s="14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4">
        <f>IF(OR(O33="",O4=""),"",IFERROR(O33/O4,""))</f>
        <v/>
      </c>
      <c r="P34" s="15">
        <f>IF(OR(P33="",P4=""),"",IFERROR(P33/P4,""))</f>
        <v/>
      </c>
      <c r="Q34" s="15">
        <f>IF(OR(Q33="",Q4=""),"",IFERROR(Q33/Q4,""))</f>
        <v/>
      </c>
      <c r="R34" s="15">
        <f>IF(OR(R33="",R4=""),"",IFERROR(R33/R4,""))</f>
        <v/>
      </c>
      <c r="S34" s="15">
        <f>IF(OR(S33="",S4=""),"",IFERROR(S33/S4,""))</f>
        <v/>
      </c>
      <c r="T34" s="15">
        <f>IF(OR(T33="",T4=""),"",IFERROR(T33/T4,""))</f>
        <v/>
      </c>
      <c r="U34" s="15">
        <f>IF(OR(U33="",U4=""),"",IFERROR(U33/U4,""))</f>
        <v/>
      </c>
      <c r="V34" s="15">
        <f>IF(OR(V33="",V4=""),"",IFERROR(V33/V4,""))</f>
        <v/>
      </c>
      <c r="W34" s="15">
        <f>IF(OR(W33="",W4=""),"",IFERROR(W33/W4,""))</f>
        <v/>
      </c>
      <c r="X34" s="15">
        <f>IF(OR(X33="",X4=""),"",IFERROR(X33/X4,""))</f>
        <v/>
      </c>
      <c r="Y34" s="14" t="n"/>
      <c r="Z34" s="15" t="n"/>
      <c r="AA34" s="15" t="n"/>
      <c r="AB34" s="15" t="n"/>
      <c r="AC34" s="15" t="n"/>
    </row>
    <row r="35">
      <c r="A35" s="18" t="inlineStr">
        <is>
          <t>감가상각비</t>
        </is>
      </c>
      <c r="B35" s="10" t="inlineStr">
        <is>
          <t>고정비</t>
        </is>
      </c>
      <c r="C35" s="19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19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19" t="n"/>
      <c r="Z35" s="20" t="n"/>
      <c r="AA35" s="20" t="n"/>
      <c r="AB35" s="20" t="n"/>
      <c r="AC35" s="20" t="n"/>
    </row>
    <row r="36">
      <c r="A36" s="13" t="inlineStr">
        <is>
          <t>% of Sales</t>
        </is>
      </c>
      <c r="B36" s="10" t="n"/>
      <c r="C36" s="14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4">
        <f>IF(OR(O35="",O4=""),"",IFERROR(O35/O4,""))</f>
        <v/>
      </c>
      <c r="P36" s="15">
        <f>IF(OR(P35="",P4=""),"",IFERROR(P35/P4,""))</f>
        <v/>
      </c>
      <c r="Q36" s="15">
        <f>IF(OR(Q35="",Q4=""),"",IFERROR(Q35/Q4,""))</f>
        <v/>
      </c>
      <c r="R36" s="15">
        <f>IF(OR(R35="",R4=""),"",IFERROR(R35/R4,""))</f>
        <v/>
      </c>
      <c r="S36" s="15">
        <f>IF(OR(S35="",S4=""),"",IFERROR(S35/S4,""))</f>
        <v/>
      </c>
      <c r="T36" s="15">
        <f>IF(OR(T35="",T4=""),"",IFERROR(T35/T4,""))</f>
        <v/>
      </c>
      <c r="U36" s="15">
        <f>IF(OR(U35="",U4=""),"",IFERROR(U35/U4,""))</f>
        <v/>
      </c>
      <c r="V36" s="15">
        <f>IF(OR(V35="",V4=""),"",IFERROR(V35/V4,""))</f>
        <v/>
      </c>
      <c r="W36" s="15">
        <f>IF(OR(W35="",W4=""),"",IFERROR(W35/W4,""))</f>
        <v/>
      </c>
      <c r="X36" s="15">
        <f>IF(OR(X35="",X4=""),"",IFERROR(X35/X4,""))</f>
        <v/>
      </c>
      <c r="Y36" s="14" t="n"/>
      <c r="Z36" s="15" t="n"/>
      <c r="AA36" s="15" t="n"/>
      <c r="AB36" s="15" t="n"/>
      <c r="AC36" s="15" t="n"/>
    </row>
    <row r="37">
      <c r="A37" s="18" t="inlineStr">
        <is>
          <t>지급수수료</t>
        </is>
      </c>
      <c r="B37" s="10" t="inlineStr">
        <is>
          <t>고정비</t>
        </is>
      </c>
      <c r="C37" s="19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19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19" t="n"/>
      <c r="Z37" s="20" t="n"/>
      <c r="AA37" s="20" t="n"/>
      <c r="AB37" s="20" t="n"/>
      <c r="AC37" s="20" t="n"/>
    </row>
    <row r="38">
      <c r="A38" s="13" t="inlineStr">
        <is>
          <t>% of Sales</t>
        </is>
      </c>
      <c r="B38" s="10" t="n"/>
      <c r="C38" s="14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4">
        <f>IF(OR(O37="",O4=""),"",IFERROR(O37/O4,""))</f>
        <v/>
      </c>
      <c r="P38" s="15">
        <f>IF(OR(P37="",P4=""),"",IFERROR(P37/P4,""))</f>
        <v/>
      </c>
      <c r="Q38" s="15">
        <f>IF(OR(Q37="",Q4=""),"",IFERROR(Q37/Q4,""))</f>
        <v/>
      </c>
      <c r="R38" s="15">
        <f>IF(OR(R37="",R4=""),"",IFERROR(R37/R4,""))</f>
        <v/>
      </c>
      <c r="S38" s="15">
        <f>IF(OR(S37="",S4=""),"",IFERROR(S37/S4,""))</f>
        <v/>
      </c>
      <c r="T38" s="15">
        <f>IF(OR(T37="",T4=""),"",IFERROR(T37/T4,""))</f>
        <v/>
      </c>
      <c r="U38" s="15">
        <f>IF(OR(U37="",U4=""),"",IFERROR(U37/U4,""))</f>
        <v/>
      </c>
      <c r="V38" s="15">
        <f>IF(OR(V37="",V4=""),"",IFERROR(V37/V4,""))</f>
        <v/>
      </c>
      <c r="W38" s="15">
        <f>IF(OR(W37="",W4=""),"",IFERROR(W37/W4,""))</f>
        <v/>
      </c>
      <c r="X38" s="15">
        <f>IF(OR(X37="",X4=""),"",IFERROR(X37/X4,""))</f>
        <v/>
      </c>
      <c r="Y38" s="14" t="n"/>
      <c r="Z38" s="15" t="n"/>
      <c r="AA38" s="15" t="n"/>
      <c r="AB38" s="15" t="n"/>
      <c r="AC38" s="15" t="n"/>
    </row>
    <row r="39">
      <c r="A39" s="18" t="inlineStr">
        <is>
          <t>연구개발비</t>
        </is>
      </c>
      <c r="B39" s="10" t="inlineStr">
        <is>
          <t>변동비</t>
        </is>
      </c>
      <c r="C39" s="19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19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19" t="n"/>
      <c r="Z39" s="20" t="n"/>
      <c r="AA39" s="20" t="n"/>
      <c r="AB39" s="20" t="n"/>
      <c r="AC39" s="20" t="n"/>
    </row>
    <row r="40">
      <c r="A40" s="13" t="inlineStr">
        <is>
          <t>% of Sales</t>
        </is>
      </c>
      <c r="B40" s="10" t="n"/>
      <c r="C40" s="14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4">
        <f>IF(OR(O39="",O4=""),"",IFERROR(O39/O4,""))</f>
        <v/>
      </c>
      <c r="P40" s="15">
        <f>IF(OR(P39="",P4=""),"",IFERROR(P39/P4,""))</f>
        <v/>
      </c>
      <c r="Q40" s="15">
        <f>IF(OR(Q39="",Q4=""),"",IFERROR(Q39/Q4,""))</f>
        <v/>
      </c>
      <c r="R40" s="15">
        <f>IF(OR(R39="",R4=""),"",IFERROR(R39/R4,""))</f>
        <v/>
      </c>
      <c r="S40" s="15">
        <f>IF(OR(S39="",S4=""),"",IFERROR(S39/S4,""))</f>
        <v/>
      </c>
      <c r="T40" s="15">
        <f>IF(OR(T39="",T4=""),"",IFERROR(T39/T4,""))</f>
        <v/>
      </c>
      <c r="U40" s="15">
        <f>IF(OR(U39="",U4=""),"",IFERROR(U39/U4,""))</f>
        <v/>
      </c>
      <c r="V40" s="15">
        <f>IF(OR(V39="",V4=""),"",IFERROR(V39/V4,""))</f>
        <v/>
      </c>
      <c r="W40" s="15">
        <f>IF(OR(W39="",W4=""),"",IFERROR(W39/W4,""))</f>
        <v/>
      </c>
      <c r="X40" s="15">
        <f>IF(OR(X39="",X4=""),"",IFERROR(X39/X4,""))</f>
        <v/>
      </c>
      <c r="Y40" s="14" t="n"/>
      <c r="Z40" s="15" t="n"/>
      <c r="AA40" s="15" t="n"/>
      <c r="AB40" s="15" t="n"/>
      <c r="AC40" s="15" t="n"/>
    </row>
    <row r="41">
      <c r="A41" s="18" t="inlineStr">
        <is>
          <t>기타비용</t>
        </is>
      </c>
      <c r="B41" s="10" t="inlineStr">
        <is>
          <t>변동비</t>
        </is>
      </c>
      <c r="C41" s="19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19">
        <f>IF(OR(O32="",O33="",O35="",O37="",O39=""),"",IFERROR(O32-O33-O35-O37-O39,""))</f>
        <v/>
      </c>
      <c r="P41" s="20">
        <f>IF(OR(P32="",P33="",P35="",P37="",P39=""),"",IFERROR(P32-P33-P35-P37-P39,""))</f>
        <v/>
      </c>
      <c r="Q41" s="20">
        <f>IF(OR(Q32="",Q33="",Q35="",Q37="",Q39=""),"",IFERROR(Q32-Q33-Q35-Q37-Q39,""))</f>
        <v/>
      </c>
      <c r="R41" s="20">
        <f>IF(OR(R32="",R33="",R35="",R37="",R39=""),"",IFERROR(R32-R33-R35-R37-R39,""))</f>
        <v/>
      </c>
      <c r="S41" s="20">
        <f>IF(OR(S32="",S33="",S35="",S37="",S39=""),"",IFERROR(S32-S33-S35-S37-S39,""))</f>
        <v/>
      </c>
      <c r="T41" s="20">
        <f>IF(OR(T32="",T33="",T35="",T37="",T39=""),"",IFERROR(T32-T33-T35-T37-T39,""))</f>
        <v/>
      </c>
      <c r="U41" s="20">
        <f>IF(OR(U32="",U33="",U35="",U37="",U39=""),"",IFERROR(U32-U33-U35-U37-U39,""))</f>
        <v/>
      </c>
      <c r="V41" s="20">
        <f>IF(OR(V32="",V33="",V35="",V37="",V39=""),"",IFERROR(V32-V33-V35-V37-V39,""))</f>
        <v/>
      </c>
      <c r="W41" s="20">
        <f>IF(OR(W32="",W33="",W35="",W37="",W39=""),"",IFERROR(W32-W33-W35-W37-W39,""))</f>
        <v/>
      </c>
      <c r="X41" s="20">
        <f>IF(OR(X32="",X33="",X35="",X37="",X39=""),"",IFERROR(X32-X33-X35-X37-X39,""))</f>
        <v/>
      </c>
      <c r="Y41" s="19" t="n"/>
      <c r="Z41" s="20" t="n"/>
      <c r="AA41" s="20" t="n"/>
      <c r="AB41" s="20" t="n"/>
      <c r="AC41" s="20" t="n"/>
    </row>
    <row r="42">
      <c r="A42" s="13" t="inlineStr">
        <is>
          <t>% of Sales</t>
        </is>
      </c>
      <c r="B42" s="10" t="n"/>
      <c r="C42" s="14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14" t="n"/>
      <c r="Z42" s="15" t="n"/>
      <c r="AA42" s="15" t="n"/>
      <c r="AB42" s="15" t="n"/>
      <c r="AC42" s="15" t="n"/>
    </row>
    <row r="43">
      <c r="A43" s="16" t="inlineStr">
        <is>
          <t>당기순이익 추정</t>
        </is>
      </c>
      <c r="B43" s="16" t="n"/>
      <c r="C43" s="17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7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7" t="n"/>
      <c r="Z43" s="16" t="n"/>
      <c r="AA43" s="16" t="n"/>
      <c r="AB43" s="16" t="n"/>
      <c r="AC43" s="16" t="n"/>
    </row>
    <row r="44">
      <c r="A44" s="18" t="inlineStr">
        <is>
          <t>특별이익</t>
        </is>
      </c>
      <c r="B44" s="10" t="n"/>
      <c r="C44" s="19" t="n">
        <v>1</v>
      </c>
      <c r="D44" s="20" t="n">
        <v>3</v>
      </c>
      <c r="E44" s="20" t="n">
        <v>0</v>
      </c>
      <c r="F44" s="20" t="n">
        <v>6</v>
      </c>
      <c r="G44" s="20" t="n">
        <v>133</v>
      </c>
      <c r="H44" s="20" t="n">
        <v>11</v>
      </c>
      <c r="I44" s="20" t="n">
        <v>51</v>
      </c>
      <c r="J44" s="20" t="n">
        <v>33</v>
      </c>
      <c r="K44" s="20" t="n">
        <v>1105</v>
      </c>
      <c r="L44" s="20" t="n">
        <v>171</v>
      </c>
      <c r="M44" s="20" t="n">
        <v>1014</v>
      </c>
      <c r="N44" s="20" t="n">
        <v>2</v>
      </c>
      <c r="O44" s="19" t="n">
        <v>135</v>
      </c>
      <c r="P44" s="20" t="n">
        <v>2</v>
      </c>
      <c r="Q44" s="20" t="n">
        <v>1</v>
      </c>
      <c r="R44" s="20" t="n">
        <v>1</v>
      </c>
      <c r="S44" s="20" t="n">
        <v>3</v>
      </c>
      <c r="T44" s="20" t="n">
        <v>8</v>
      </c>
      <c r="U44" s="20" t="n">
        <v>20</v>
      </c>
      <c r="V44" s="20" t="n">
        <v>18</v>
      </c>
      <c r="W44" s="20" t="n">
        <v>150</v>
      </c>
      <c r="X44" s="20" t="n">
        <v>1360</v>
      </c>
      <c r="Y44" s="19">
        <f>IF(OR(Y4="",Y45=""),"",IFERROR(Y4*Y45,""))</f>
        <v/>
      </c>
      <c r="Z44" s="20">
        <f>IF(OR(Z4="",Z45=""),"",IFERROR(Z4*Z45,""))</f>
        <v/>
      </c>
      <c r="AA44" s="20">
        <f>IF(OR(AA4="",AA45=""),"",IFERROR(AA4*AA45,""))</f>
        <v/>
      </c>
      <c r="AB44" s="20">
        <f>IF(OR(AB4="",AB45=""),"",IFERROR(AB4*AB45,""))</f>
        <v/>
      </c>
      <c r="AC44" s="20">
        <f>IF(OR(AC4="",AC45=""),"",IFERROR(AC4*AC45,""))</f>
        <v/>
      </c>
    </row>
    <row r="45">
      <c r="A45" s="13" t="inlineStr">
        <is>
          <t>% of Sales</t>
        </is>
      </c>
      <c r="B45" s="10" t="inlineStr">
        <is>
          <t>MW = 최근 3년 평균</t>
        </is>
      </c>
      <c r="C45" s="14">
        <f>IF(OR(C44="",C4=""),"",IFERROR(C44/C4,""))</f>
        <v/>
      </c>
      <c r="D45" s="15">
        <f>IF(OR(D44="",D4=""),"",IFERROR(D44/D4,""))</f>
        <v/>
      </c>
      <c r="E45" s="15">
        <f>IF(OR(E44="",E4=""),"",IFERROR(E44/E4,""))</f>
        <v/>
      </c>
      <c r="F45" s="15">
        <f>IF(OR(F44="",F4=""),"",IFERROR(F44/F4,""))</f>
        <v/>
      </c>
      <c r="G45" s="15">
        <f>IF(OR(G44="",G4=""),"",IFERROR(G44/G4,""))</f>
        <v/>
      </c>
      <c r="H45" s="15">
        <f>IF(OR(H44="",H4=""),"",IFERROR(H44/H4,""))</f>
        <v/>
      </c>
      <c r="I45" s="15">
        <f>IF(OR(I44="",I4=""),"",IFERROR(I44/I4,""))</f>
        <v/>
      </c>
      <c r="J45" s="15">
        <f>IF(OR(J44="",J4=""),"",IFERROR(J44/J4,""))</f>
        <v/>
      </c>
      <c r="K45" s="15">
        <f>IF(OR(K44="",K4=""),"",IFERROR(K44/K4,""))</f>
        <v/>
      </c>
      <c r="L45" s="15">
        <f>IF(OR(L44="",L4=""),"",IFERROR(L44/L4,""))</f>
        <v/>
      </c>
      <c r="M45" s="15">
        <f>IF(OR(M44="",M4=""),"",IFERROR(M44/M4,""))</f>
        <v/>
      </c>
      <c r="N45" s="15">
        <f>IF(OR(N44="",N4=""),"",IFERROR(N44/N4,""))</f>
        <v/>
      </c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25">
        <f>IFERROR(AVERAGE(V45,W45,X45),"")</f>
        <v/>
      </c>
      <c r="Z45" s="26">
        <f>Y45</f>
        <v/>
      </c>
      <c r="AA45" s="26">
        <f>Z45</f>
        <v/>
      </c>
      <c r="AB45" s="26">
        <f>AA45</f>
        <v/>
      </c>
      <c r="AC45" s="26">
        <f>AB45</f>
        <v/>
      </c>
    </row>
    <row r="46">
      <c r="A46" s="18" t="inlineStr">
        <is>
          <t>특별손실</t>
        </is>
      </c>
      <c r="B46" s="10" t="n"/>
      <c r="C46" s="19" t="n">
        <v>6</v>
      </c>
      <c r="D46" s="20" t="n">
        <v>897</v>
      </c>
      <c r="E46" s="20" t="n">
        <v>1</v>
      </c>
      <c r="F46" s="20" t="n">
        <v>1</v>
      </c>
      <c r="G46" s="20" t="n">
        <v>5</v>
      </c>
      <c r="H46" s="20" t="n">
        <v>538</v>
      </c>
      <c r="I46" s="20" t="n">
        <v>1</v>
      </c>
      <c r="J46" s="20" t="n">
        <v>15</v>
      </c>
      <c r="K46" s="20" t="n">
        <v>21</v>
      </c>
      <c r="L46" s="20" t="n">
        <v>836</v>
      </c>
      <c r="M46" s="20" t="n">
        <v>214</v>
      </c>
      <c r="N46" s="20" t="n">
        <v>98</v>
      </c>
      <c r="O46" s="19" t="n">
        <v>367</v>
      </c>
      <c r="P46" s="20" t="n">
        <v>547</v>
      </c>
      <c r="Q46" s="20" t="n">
        <v>465</v>
      </c>
      <c r="R46" s="20" t="n">
        <v>643</v>
      </c>
      <c r="S46" s="20" t="n">
        <v>1326</v>
      </c>
      <c r="T46" s="20" t="n">
        <v>878</v>
      </c>
      <c r="U46" s="20" t="n">
        <v>841</v>
      </c>
      <c r="V46" s="20" t="n">
        <v>964</v>
      </c>
      <c r="W46" s="20" t="n">
        <v>545</v>
      </c>
      <c r="X46" s="20" t="n">
        <v>873</v>
      </c>
      <c r="Y46" s="19">
        <f>IF(OR(Y4="",Y47=""),"",IFERROR(Y4*Y47,""))</f>
        <v/>
      </c>
      <c r="Z46" s="20">
        <f>IF(OR(Z4="",Z47=""),"",IFERROR(Z4*Z47,""))</f>
        <v/>
      </c>
      <c r="AA46" s="20">
        <f>IF(OR(AA4="",AA47=""),"",IFERROR(AA4*AA47,""))</f>
        <v/>
      </c>
      <c r="AB46" s="20">
        <f>IF(OR(AB4="",AB47=""),"",IFERROR(AB4*AB47,""))</f>
        <v/>
      </c>
      <c r="AC46" s="20">
        <f>IF(OR(AC4="",AC47=""),"",IFERROR(AC4*AC47,""))</f>
        <v/>
      </c>
    </row>
    <row r="47">
      <c r="A47" s="13" t="inlineStr">
        <is>
          <t>% of Sales</t>
        </is>
      </c>
      <c r="B47" s="10" t="n"/>
      <c r="C47" s="14">
        <f>IF(OR(C46="",C4=""),"",IFERROR(C46/C4,""))</f>
        <v/>
      </c>
      <c r="D47" s="15">
        <f>IF(OR(D46="",D4=""),"",IFERROR(D46/D4,""))</f>
        <v/>
      </c>
      <c r="E47" s="15">
        <f>IF(OR(E46="",E4=""),"",IFERROR(E46/E4,""))</f>
        <v/>
      </c>
      <c r="F47" s="15">
        <f>IF(OR(F46="",F4=""),"",IFERROR(F46/F4,""))</f>
        <v/>
      </c>
      <c r="G47" s="15">
        <f>IF(OR(G46="",G4=""),"",IFERROR(G46/G4,""))</f>
        <v/>
      </c>
      <c r="H47" s="15">
        <f>IF(OR(H46="",H4=""),"",IFERROR(H46/H4,""))</f>
        <v/>
      </c>
      <c r="I47" s="15">
        <f>IF(OR(I46="",I4=""),"",IFERROR(I46/I4,""))</f>
        <v/>
      </c>
      <c r="J47" s="15">
        <f>IF(OR(J46="",J4=""),"",IFERROR(J46/J4,""))</f>
        <v/>
      </c>
      <c r="K47" s="15">
        <f>IF(OR(K46="",K4=""),"",IFERROR(K46/K4,""))</f>
        <v/>
      </c>
      <c r="L47" s="15">
        <f>IF(OR(L46="",L4=""),"",IFERROR(L46/L4,""))</f>
        <v/>
      </c>
      <c r="M47" s="15">
        <f>IF(OR(M46="",M4=""),"",IFERROR(M46/M4,""))</f>
        <v/>
      </c>
      <c r="N47" s="15">
        <f>IF(OR(N46="",N4=""),"",IFERROR(N46/N4,""))</f>
        <v/>
      </c>
      <c r="O47" s="14">
        <f>IF(OR(O46="",O4=""),"",IFERROR(O46/O4,""))</f>
        <v/>
      </c>
      <c r="P47" s="15">
        <f>IF(OR(P46="",P4=""),"",IFERROR(P46/P4,""))</f>
        <v/>
      </c>
      <c r="Q47" s="15">
        <f>IF(OR(Q46="",Q4=""),"",IFERROR(Q46/Q4,""))</f>
        <v/>
      </c>
      <c r="R47" s="15">
        <f>IF(OR(R46="",R4=""),"",IFERROR(R46/R4,""))</f>
        <v/>
      </c>
      <c r="S47" s="15">
        <f>IF(OR(S46="",S4=""),"",IFERROR(S46/S4,""))</f>
        <v/>
      </c>
      <c r="T47" s="15">
        <f>IF(OR(T46="",T4=""),"",IFERROR(T46/T4,""))</f>
        <v/>
      </c>
      <c r="U47" s="15">
        <f>IF(OR(U46="",U4=""),"",IFERROR(U46/U4,""))</f>
        <v/>
      </c>
      <c r="V47" s="15">
        <f>IF(OR(V46="",V4=""),"",IFERROR(V46/V4,""))</f>
        <v/>
      </c>
      <c r="W47" s="15">
        <f>IF(OR(W46="",W4=""),"",IFERROR(W46/W4,""))</f>
        <v/>
      </c>
      <c r="X47" s="15">
        <f>IF(OR(X46="",X4=""),"",IFERROR(X46/X4,""))</f>
        <v/>
      </c>
      <c r="Y47" s="25">
        <f>IFERROR(AVERAGE(V47,W47,X47),"")</f>
        <v/>
      </c>
      <c r="Z47" s="26">
        <f>Y47</f>
        <v/>
      </c>
      <c r="AA47" s="26">
        <f>Z47</f>
        <v/>
      </c>
      <c r="AB47" s="26">
        <f>AA47</f>
        <v/>
      </c>
      <c r="AC47" s="26">
        <f>AB47</f>
        <v/>
      </c>
    </row>
    <row r="48">
      <c r="A48" s="18" t="inlineStr">
        <is>
          <t>영업외수익</t>
        </is>
      </c>
      <c r="B48" s="10" t="n"/>
      <c r="C48" s="19" t="n">
        <v>417</v>
      </c>
      <c r="D48" s="20" t="n">
        <v>276</v>
      </c>
      <c r="E48" s="20" t="n">
        <v>358</v>
      </c>
      <c r="F48" s="20" t="n">
        <v>259</v>
      </c>
      <c r="G48" s="20" t="n">
        <v>506</v>
      </c>
      <c r="H48" s="20" t="n">
        <v>344</v>
      </c>
      <c r="I48" s="20" t="n">
        <v>416</v>
      </c>
      <c r="J48" s="20" t="n">
        <v>364</v>
      </c>
      <c r="K48" s="20" t="n">
        <v>670</v>
      </c>
      <c r="L48" s="20" t="n">
        <v>363</v>
      </c>
      <c r="M48" s="20" t="n">
        <v>533</v>
      </c>
      <c r="N48" s="20" t="n">
        <v>311</v>
      </c>
      <c r="O48" s="19" t="n">
        <v>1267</v>
      </c>
      <c r="P48" s="20" t="n">
        <v>1181</v>
      </c>
      <c r="Q48" s="20" t="n">
        <v>1460</v>
      </c>
      <c r="R48" s="20" t="n">
        <v>1057</v>
      </c>
      <c r="S48" s="20" t="n">
        <v>1097</v>
      </c>
      <c r="T48" s="20" t="n">
        <v>1058</v>
      </c>
      <c r="U48" s="20" t="n">
        <v>1115</v>
      </c>
      <c r="V48" s="20" t="n">
        <v>1526</v>
      </c>
      <c r="W48" s="20" t="n">
        <v>1467</v>
      </c>
      <c r="X48" s="20" t="n">
        <v>1813</v>
      </c>
      <c r="Y48" s="19">
        <f>IF(OR(Y4="",Y49=""),"",IFERROR(Y4*Y49,""))</f>
        <v/>
      </c>
      <c r="Z48" s="20">
        <f>IF(OR(Z4="",Z49=""),"",IFERROR(Z4*Z49,""))</f>
        <v/>
      </c>
      <c r="AA48" s="20">
        <f>IF(OR(AA4="",AA49=""),"",IFERROR(AA4*AA49,""))</f>
        <v/>
      </c>
      <c r="AB48" s="20">
        <f>IF(OR(AB4="",AB49=""),"",IFERROR(AB4*AB49,""))</f>
        <v/>
      </c>
      <c r="AC48" s="20">
        <f>IF(OR(AC4="",AC49=""),"",IFERROR(AC4*AC49,""))</f>
        <v/>
      </c>
    </row>
    <row r="49">
      <c r="A49" s="13" t="inlineStr">
        <is>
          <t>% of Sales</t>
        </is>
      </c>
      <c r="B49" s="10" t="n"/>
      <c r="C49" s="14">
        <f>IF(OR(C48="",C4=""),"",IFERROR(C48/C4,""))</f>
        <v/>
      </c>
      <c r="D49" s="15">
        <f>IF(OR(D48="",D4=""),"",IFERROR(D48/D4,""))</f>
        <v/>
      </c>
      <c r="E49" s="15">
        <f>IF(OR(E48="",E4=""),"",IFERROR(E48/E4,""))</f>
        <v/>
      </c>
      <c r="F49" s="15">
        <f>IF(OR(F48="",F4=""),"",IFERROR(F48/F4,""))</f>
        <v/>
      </c>
      <c r="G49" s="15">
        <f>IF(OR(G48="",G4=""),"",IFERROR(G48/G4,""))</f>
        <v/>
      </c>
      <c r="H49" s="15">
        <f>IF(OR(H48="",H4=""),"",IFERROR(H48/H4,""))</f>
        <v/>
      </c>
      <c r="I49" s="15">
        <f>IF(OR(I48="",I4=""),"",IFERROR(I48/I4,""))</f>
        <v/>
      </c>
      <c r="J49" s="15">
        <f>IF(OR(J48="",J4=""),"",IFERROR(J48/J4,""))</f>
        <v/>
      </c>
      <c r="K49" s="15">
        <f>IF(OR(K48="",K4=""),"",IFERROR(K48/K4,""))</f>
        <v/>
      </c>
      <c r="L49" s="15">
        <f>IF(OR(L48="",L4=""),"",IFERROR(L48/L4,""))</f>
        <v/>
      </c>
      <c r="M49" s="15">
        <f>IF(OR(M48="",M4=""),"",IFERROR(M48/M4,""))</f>
        <v/>
      </c>
      <c r="N49" s="15">
        <f>IF(OR(N48="",N4=""),"",IFERROR(N48/N4,""))</f>
        <v/>
      </c>
      <c r="O49" s="14">
        <f>IF(OR(O48="",O4=""),"",IFERROR(O48/O4,""))</f>
        <v/>
      </c>
      <c r="P49" s="15">
        <f>IF(OR(P48="",P4=""),"",IFERROR(P48/P4,""))</f>
        <v/>
      </c>
      <c r="Q49" s="15">
        <f>IF(OR(Q48="",Q4=""),"",IFERROR(Q48/Q4,""))</f>
        <v/>
      </c>
      <c r="R49" s="15">
        <f>IF(OR(R48="",R4=""),"",IFERROR(R48/R4,""))</f>
        <v/>
      </c>
      <c r="S49" s="15">
        <f>IF(OR(S48="",S4=""),"",IFERROR(S48/S4,""))</f>
        <v/>
      </c>
      <c r="T49" s="15">
        <f>IF(OR(T48="",T4=""),"",IFERROR(T48/T4,""))</f>
        <v/>
      </c>
      <c r="U49" s="15">
        <f>IF(OR(U48="",U4=""),"",IFERROR(U48/U4,""))</f>
        <v/>
      </c>
      <c r="V49" s="15">
        <f>IF(OR(V48="",V4=""),"",IFERROR(V48/V4,""))</f>
        <v/>
      </c>
      <c r="W49" s="15">
        <f>IF(OR(W48="",W4=""),"",IFERROR(W48/W4,""))</f>
        <v/>
      </c>
      <c r="X49" s="15">
        <f>IF(OR(X48="",X4=""),"",IFERROR(X48/X4,""))</f>
        <v/>
      </c>
      <c r="Y49" s="25">
        <f>IFERROR(AVERAGE(V49,W49,X49),"")</f>
        <v/>
      </c>
      <c r="Z49" s="26">
        <f>Y49</f>
        <v/>
      </c>
      <c r="AA49" s="26">
        <f>Z49</f>
        <v/>
      </c>
      <c r="AB49" s="26">
        <f>AA49</f>
        <v/>
      </c>
      <c r="AC49" s="26">
        <f>AB49</f>
        <v/>
      </c>
    </row>
    <row r="50">
      <c r="A50" s="18" t="inlineStr">
        <is>
          <t>영업외비용</t>
        </is>
      </c>
      <c r="B50" s="10" t="n"/>
      <c r="C50" s="19" t="n">
        <v>-30</v>
      </c>
      <c r="D50" s="20" t="n">
        <v>11</v>
      </c>
      <c r="E50" s="20" t="n">
        <v>12</v>
      </c>
      <c r="F50" s="20" t="n">
        <v>39</v>
      </c>
      <c r="G50" s="20" t="n">
        <v>-10</v>
      </c>
      <c r="H50" s="20" t="n">
        <v>38</v>
      </c>
      <c r="I50" s="20" t="n">
        <v>51</v>
      </c>
      <c r="J50" s="20" t="n">
        <v>105</v>
      </c>
      <c r="K50" s="20" t="n">
        <v>60</v>
      </c>
      <c r="L50" s="20" t="n">
        <v>102</v>
      </c>
      <c r="M50" s="20" t="n">
        <v>80</v>
      </c>
      <c r="N50" s="20" t="n">
        <v>76</v>
      </c>
      <c r="O50" s="19" t="n">
        <v>106</v>
      </c>
      <c r="P50" s="20" t="n">
        <v>53</v>
      </c>
      <c r="Q50" s="20" t="n">
        <v>57</v>
      </c>
      <c r="R50" s="20" t="n">
        <v>56</v>
      </c>
      <c r="S50" s="20" t="n">
        <v>43</v>
      </c>
      <c r="T50" s="20" t="n">
        <v>134</v>
      </c>
      <c r="U50" s="20" t="n">
        <v>60</v>
      </c>
      <c r="V50" s="20" t="n">
        <v>37</v>
      </c>
      <c r="W50" s="20" t="n">
        <v>79</v>
      </c>
      <c r="X50" s="20" t="n">
        <v>318</v>
      </c>
      <c r="Y50" s="19">
        <f>IF(OR(Y4="",Y51=""),"",IFERROR(Y4*Y51,""))</f>
        <v/>
      </c>
      <c r="Z50" s="20">
        <f>IF(OR(Z4="",Z51=""),"",IFERROR(Z4*Z51,""))</f>
        <v/>
      </c>
      <c r="AA50" s="20">
        <f>IF(OR(AA4="",AA51=""),"",IFERROR(AA4*AA51,""))</f>
        <v/>
      </c>
      <c r="AB50" s="20">
        <f>IF(OR(AB4="",AB51=""),"",IFERROR(AB4*AB51,""))</f>
        <v/>
      </c>
      <c r="AC50" s="20">
        <f>IF(OR(AC4="",AC51=""),"",IFERROR(AC4*AC51,""))</f>
        <v/>
      </c>
    </row>
    <row r="51">
      <c r="A51" s="13" t="inlineStr">
        <is>
          <t>% of Sales</t>
        </is>
      </c>
      <c r="B51" s="10" t="n"/>
      <c r="C51" s="14">
        <f>IF(OR(C50="",C4=""),"",IFERROR(C50/C4,""))</f>
        <v/>
      </c>
      <c r="D51" s="15">
        <f>IF(OR(D50="",D4=""),"",IFERROR(D50/D4,""))</f>
        <v/>
      </c>
      <c r="E51" s="15">
        <f>IF(OR(E50="",E4=""),"",IFERROR(E50/E4,""))</f>
        <v/>
      </c>
      <c r="F51" s="15">
        <f>IF(OR(F50="",F4=""),"",IFERROR(F50/F4,""))</f>
        <v/>
      </c>
      <c r="G51" s="15">
        <f>IF(OR(G50="",G4=""),"",IFERROR(G50/G4,""))</f>
        <v/>
      </c>
      <c r="H51" s="15">
        <f>IF(OR(H50="",H4=""),"",IFERROR(H50/H4,""))</f>
        <v/>
      </c>
      <c r="I51" s="15">
        <f>IF(OR(I50="",I4=""),"",IFERROR(I50/I4,""))</f>
        <v/>
      </c>
      <c r="J51" s="15">
        <f>IF(OR(J50="",J4=""),"",IFERROR(J50/J4,""))</f>
        <v/>
      </c>
      <c r="K51" s="15">
        <f>IF(OR(K50="",K4=""),"",IFERROR(K50/K4,""))</f>
        <v/>
      </c>
      <c r="L51" s="15">
        <f>IF(OR(L50="",L4=""),"",IFERROR(L50/L4,""))</f>
        <v/>
      </c>
      <c r="M51" s="15">
        <f>IF(OR(M50="",M4=""),"",IFERROR(M50/M4,""))</f>
        <v/>
      </c>
      <c r="N51" s="15">
        <f>IF(OR(N50="",N4=""),"",IFERROR(N50/N4,""))</f>
        <v/>
      </c>
      <c r="O51" s="14">
        <f>IF(OR(O50="",O4=""),"",IFERROR(O50/O4,""))</f>
        <v/>
      </c>
      <c r="P51" s="15">
        <f>IF(OR(P50="",P4=""),"",IFERROR(P50/P4,""))</f>
        <v/>
      </c>
      <c r="Q51" s="15">
        <f>IF(OR(Q50="",Q4=""),"",IFERROR(Q50/Q4,""))</f>
        <v/>
      </c>
      <c r="R51" s="15">
        <f>IF(OR(R50="",R4=""),"",IFERROR(R50/R4,""))</f>
        <v/>
      </c>
      <c r="S51" s="15">
        <f>IF(OR(S50="",S4=""),"",IFERROR(S50/S4,""))</f>
        <v/>
      </c>
      <c r="T51" s="15">
        <f>IF(OR(T50="",T4=""),"",IFERROR(T50/T4,""))</f>
        <v/>
      </c>
      <c r="U51" s="15">
        <f>IF(OR(U50="",U4=""),"",IFERROR(U50/U4,""))</f>
        <v/>
      </c>
      <c r="V51" s="15">
        <f>IF(OR(V50="",V4=""),"",IFERROR(V50/V4,""))</f>
        <v/>
      </c>
      <c r="W51" s="15">
        <f>IF(OR(W50="",W4=""),"",IFERROR(W50/W4,""))</f>
        <v/>
      </c>
      <c r="X51" s="15">
        <f>IF(OR(X50="",X4=""),"",IFERROR(X50/X4,""))</f>
        <v/>
      </c>
      <c r="Y51" s="25">
        <f>IFERROR(AVERAGE(V51,W51,X51),"")</f>
        <v/>
      </c>
      <c r="Z51" s="26">
        <f>Y51</f>
        <v/>
      </c>
      <c r="AA51" s="26">
        <f>Z51</f>
        <v/>
      </c>
      <c r="AB51" s="26">
        <f>AA51</f>
        <v/>
      </c>
      <c r="AC51" s="26">
        <f>AB51</f>
        <v/>
      </c>
    </row>
    <row r="52">
      <c r="A52" s="9" t="inlineStr">
        <is>
          <t>법인세비용차감전순이익(손실)</t>
        </is>
      </c>
      <c r="B52" s="10" t="n"/>
      <c r="C52" s="11" t="n">
        <v>7174</v>
      </c>
      <c r="D52" s="12" t="n">
        <v>1879</v>
      </c>
      <c r="E52" s="12" t="n">
        <v>3462</v>
      </c>
      <c r="F52" s="12" t="n">
        <v>2462</v>
      </c>
      <c r="G52" s="12" t="n">
        <v>8410</v>
      </c>
      <c r="H52" s="12" t="n">
        <v>2109</v>
      </c>
      <c r="I52" s="12" t="n">
        <v>3914</v>
      </c>
      <c r="J52" s="12" t="n">
        <v>2271</v>
      </c>
      <c r="K52" s="12" t="n">
        <v>8916</v>
      </c>
      <c r="L52" s="12" t="n">
        <v>1968</v>
      </c>
      <c r="M52" s="12" t="n">
        <v>4161</v>
      </c>
      <c r="N52" s="12" t="n">
        <v>3728</v>
      </c>
      <c r="O52" s="11" t="n">
        <v>7867</v>
      </c>
      <c r="P52" s="12" t="n">
        <v>10143</v>
      </c>
      <c r="Q52" s="12" t="n">
        <v>10522</v>
      </c>
      <c r="R52" s="12" t="n">
        <v>10453</v>
      </c>
      <c r="S52" s="12" t="n">
        <v>12708</v>
      </c>
      <c r="T52" s="12" t="n">
        <v>14144</v>
      </c>
      <c r="U52" s="12" t="n">
        <v>15485</v>
      </c>
      <c r="V52" s="12" t="n">
        <v>15018</v>
      </c>
      <c r="W52" s="12" t="n">
        <v>16443</v>
      </c>
      <c r="X52" s="12" t="n">
        <v>17069</v>
      </c>
      <c r="Y52" s="11">
        <f>IF(OR(Y28=""),"",IFERROR(Y28+N(Y44)-N(Y46)+N(Y48)-N(Y50),""))</f>
        <v/>
      </c>
      <c r="Z52" s="12">
        <f>IF(OR(Z28=""),"",IFERROR(Z28+N(Z44)-N(Z46)+N(Z48)-N(Z50),""))</f>
        <v/>
      </c>
      <c r="AA52" s="12">
        <f>IF(OR(AA28=""),"",IFERROR(AA28+N(AA44)-N(AA46)+N(AA48)-N(AA50),""))</f>
        <v/>
      </c>
      <c r="AB52" s="12">
        <f>IF(OR(AB28=""),"",IFERROR(AB28+N(AB44)-N(AB46)+N(AB48)-N(AB50),""))</f>
        <v/>
      </c>
      <c r="AC52" s="12">
        <f>IF(OR(AC28=""),"",IFERROR(AC28+N(AC44)-N(AC46)+N(AC48)-N(AC50),""))</f>
        <v/>
      </c>
    </row>
    <row r="53">
      <c r="A53" s="13" t="inlineStr">
        <is>
          <t>YoY</t>
        </is>
      </c>
      <c r="B53" s="10" t="n"/>
      <c r="C53" s="14" t="n"/>
      <c r="D53" s="15" t="n"/>
      <c r="E53" s="15" t="n"/>
      <c r="F53" s="15" t="n"/>
      <c r="G53" s="15">
        <f>IF(OR(G52="",C52=""),"",IF(C52&lt;=0,"",IFERROR(G52/C52-1,"")))</f>
        <v/>
      </c>
      <c r="H53" s="15">
        <f>IF(OR(H52="",D52=""),"",IF(D52&lt;=0,"",IFERROR(H52/D52-1,"")))</f>
        <v/>
      </c>
      <c r="I53" s="15">
        <f>IF(OR(I52="",E52=""),"",IF(E52&lt;=0,"",IFERROR(I52/E52-1,"")))</f>
        <v/>
      </c>
      <c r="J53" s="15">
        <f>IF(OR(J52="",F52=""),"",IF(F52&lt;=0,"",IFERROR(J52/F52-1,"")))</f>
        <v/>
      </c>
      <c r="K53" s="15">
        <f>IF(OR(K52="",G52=""),"",IF(G52&lt;=0,"",IFERROR(K52/G52-1,"")))</f>
        <v/>
      </c>
      <c r="L53" s="15">
        <f>IF(OR(L52="",H52=""),"",IF(H52&lt;=0,"",IFERROR(L52/H52-1,"")))</f>
        <v/>
      </c>
      <c r="M53" s="15">
        <f>IF(OR(M52="",I52=""),"",IF(I52&lt;=0,"",IFERROR(M52/I52-1,"")))</f>
        <v/>
      </c>
      <c r="N53" s="15">
        <f>IF(OR(N52="",J52=""),"",IF(J52&lt;=0,"",IFERROR(N52/J52-1,"")))</f>
        <v/>
      </c>
      <c r="O53" s="14" t="n"/>
      <c r="P53" s="15">
        <f>IF(OR(P52="",O52=""),"",IF(O52&lt;=0,"",IFERROR(P52/O52-1,"")))</f>
        <v/>
      </c>
      <c r="Q53" s="15">
        <f>IF(OR(Q52="",P52=""),"",IF(P52&lt;=0,"",IFERROR(Q52/P52-1,"")))</f>
        <v/>
      </c>
      <c r="R53" s="15">
        <f>IF(OR(R52="",Q52=""),"",IF(Q52&lt;=0,"",IFERROR(R52/Q52-1,"")))</f>
        <v/>
      </c>
      <c r="S53" s="15">
        <f>IF(OR(S52="",R52=""),"",IF(R52&lt;=0,"",IFERROR(S52/R52-1,"")))</f>
        <v/>
      </c>
      <c r="T53" s="15">
        <f>IF(OR(T52="",S52=""),"",IF(S52&lt;=0,"",IFERROR(T52/S52-1,"")))</f>
        <v/>
      </c>
      <c r="U53" s="15">
        <f>IF(OR(U52="",T52=""),"",IF(T52&lt;=0,"",IFERROR(U52/T52-1,"")))</f>
        <v/>
      </c>
      <c r="V53" s="15">
        <f>IF(OR(V52="",U52=""),"",IF(U52&lt;=0,"",IFERROR(V52/U52-1,"")))</f>
        <v/>
      </c>
      <c r="W53" s="15">
        <f>IF(OR(W52="",V52=""),"",IF(V52&lt;=0,"",IFERROR(W52/V52-1,"")))</f>
        <v/>
      </c>
      <c r="X53" s="15">
        <f>IF(OR(X52="",W52=""),"",IF(W52&lt;=0,"",IFERROR(X52/W52-1,"")))</f>
        <v/>
      </c>
      <c r="Y53" s="14">
        <f>IF(OR(Y52="",X52=""),"",IF(X52&lt;=0,"",IFERROR(Y52/X52-1,"")))</f>
        <v/>
      </c>
      <c r="Z53" s="15">
        <f>IF(OR(Z52="",Y52=""),"",IF(Y52&lt;=0,"",IFERROR(Z52/Y52-1,"")))</f>
        <v/>
      </c>
      <c r="AA53" s="15">
        <f>IF(OR(AA52="",Z52=""),"",IF(Z52&lt;=0,"",IFERROR(AA52/Z52-1,"")))</f>
        <v/>
      </c>
      <c r="AB53" s="15">
        <f>IF(OR(AB52="",AA52=""),"",IF(AA52&lt;=0,"",IFERROR(AB52/AA52-1,"")))</f>
        <v/>
      </c>
      <c r="AC53" s="15">
        <f>IF(OR(AC52="",AB52=""),"",IF(AB52&lt;=0,"",IFERROR(AC52/AB52-1,"")))</f>
        <v/>
      </c>
    </row>
    <row r="54">
      <c r="A54" s="18" t="inlineStr">
        <is>
          <t>법인세비용(수익)</t>
        </is>
      </c>
      <c r="B54" s="10" t="n"/>
      <c r="C54" s="19" t="n">
        <v>2263</v>
      </c>
      <c r="D54" s="20" t="n">
        <v>590</v>
      </c>
      <c r="E54" s="20" t="n">
        <v>1206</v>
      </c>
      <c r="F54" s="20" t="n">
        <v>749</v>
      </c>
      <c r="G54" s="20" t="n">
        <v>2650</v>
      </c>
      <c r="H54" s="20" t="n">
        <v>577</v>
      </c>
      <c r="I54" s="20" t="n">
        <v>1236</v>
      </c>
      <c r="J54" s="20" t="n">
        <v>629</v>
      </c>
      <c r="K54" s="20" t="n">
        <v>2767</v>
      </c>
      <c r="L54" s="20" t="n">
        <v>468</v>
      </c>
      <c r="M54" s="20" t="n">
        <v>1314</v>
      </c>
      <c r="N54" s="20" t="n">
        <v>1264</v>
      </c>
      <c r="O54" s="19" t="n">
        <v>2287</v>
      </c>
      <c r="P54" s="20" t="n">
        <v>3301</v>
      </c>
      <c r="Q54" s="20" t="n">
        <v>3187</v>
      </c>
      <c r="R54" s="20" t="n">
        <v>3119</v>
      </c>
      <c r="S54" s="20" t="n">
        <v>4161</v>
      </c>
      <c r="T54" s="20" t="n">
        <v>4483</v>
      </c>
      <c r="U54" s="20" t="n">
        <v>4819</v>
      </c>
      <c r="V54" s="20" t="n">
        <v>4751</v>
      </c>
      <c r="W54" s="20" t="n">
        <v>5182</v>
      </c>
      <c r="X54" s="20" t="n">
        <v>5100</v>
      </c>
      <c r="Y54" s="19">
        <f>IF(OR(Y52="",Y55=""),"",IFERROR(MAX(Y52,0)*Y55,""))</f>
        <v/>
      </c>
      <c r="Z54" s="20">
        <f>IF(OR(Z52="",Z55=""),"",IFERROR(MAX(Z52,0)*Z55,""))</f>
        <v/>
      </c>
      <c r="AA54" s="20">
        <f>IF(OR(AA52="",AA55=""),"",IFERROR(MAX(AA52,0)*AA55,""))</f>
        <v/>
      </c>
      <c r="AB54" s="20">
        <f>IF(OR(AB52="",AB55=""),"",IFERROR(MAX(AB52,0)*AB55,""))</f>
        <v/>
      </c>
      <c r="AC54" s="20">
        <f>IF(OR(AC52="",AC55=""),"",IFERROR(MAX(AC52,0)*AC55,""))</f>
        <v/>
      </c>
    </row>
    <row r="55">
      <c r="A55" s="13" t="inlineStr">
        <is>
          <t>법인세율</t>
        </is>
      </c>
      <c r="B55" s="10" t="inlineStr">
        <is>
          <t>MW 기본 30%</t>
        </is>
      </c>
      <c r="C55" s="14">
        <f>IF(OR(C54="",C52=""),"",IFERROR(C54/C52,""))</f>
        <v/>
      </c>
      <c r="D55" s="15">
        <f>IF(OR(D54="",D52=""),"",IFERROR(D54/D52,""))</f>
        <v/>
      </c>
      <c r="E55" s="15">
        <f>IF(OR(E54="",E52=""),"",IFERROR(E54/E52,""))</f>
        <v/>
      </c>
      <c r="F55" s="15">
        <f>IF(OR(F54="",F52=""),"",IFERROR(F54/F52,""))</f>
        <v/>
      </c>
      <c r="G55" s="15">
        <f>IF(OR(G54="",G52=""),"",IFERROR(G54/G52,""))</f>
        <v/>
      </c>
      <c r="H55" s="15">
        <f>IF(OR(H54="",H52=""),"",IFERROR(H54/H52,""))</f>
        <v/>
      </c>
      <c r="I55" s="15">
        <f>IF(OR(I54="",I52=""),"",IFERROR(I54/I52,""))</f>
        <v/>
      </c>
      <c r="J55" s="15">
        <f>IF(OR(J54="",J52=""),"",IFERROR(J54/J52,""))</f>
        <v/>
      </c>
      <c r="K55" s="15">
        <f>IF(OR(K54="",K52=""),"",IFERROR(K54/K52,""))</f>
        <v/>
      </c>
      <c r="L55" s="15">
        <f>IF(OR(L54="",L52=""),"",IFERROR(L54/L52,""))</f>
        <v/>
      </c>
      <c r="M55" s="15">
        <f>IF(OR(M54="",M52=""),"",IFERROR(M54/M52,""))</f>
        <v/>
      </c>
      <c r="N55" s="15">
        <f>IF(OR(N54="",N52=""),"",IFERROR(N54/N52,""))</f>
        <v/>
      </c>
      <c r="O55" s="14">
        <f>IF(OR(O54="",O52=""),"",IFERROR(O54/O52,""))</f>
        <v/>
      </c>
      <c r="P55" s="15">
        <f>IF(OR(P54="",P52=""),"",IFERROR(P54/P52,""))</f>
        <v/>
      </c>
      <c r="Q55" s="15">
        <f>IF(OR(Q54="",Q52=""),"",IFERROR(Q54/Q52,""))</f>
        <v/>
      </c>
      <c r="R55" s="15">
        <f>IF(OR(R54="",R52=""),"",IFERROR(R54/R52,""))</f>
        <v/>
      </c>
      <c r="S55" s="15">
        <f>IF(OR(S54="",S52=""),"",IFERROR(S54/S52,""))</f>
        <v/>
      </c>
      <c r="T55" s="15">
        <f>IF(OR(T54="",T52=""),"",IFERROR(T54/T52,""))</f>
        <v/>
      </c>
      <c r="U55" s="15">
        <f>IF(OR(U54="",U52=""),"",IFERROR(U54/U52,""))</f>
        <v/>
      </c>
      <c r="V55" s="15">
        <f>IF(OR(V54="",V52=""),"",IFERROR(V54/V52,""))</f>
        <v/>
      </c>
      <c r="W55" s="15">
        <f>IF(OR(W54="",W52=""),"",IFERROR(W54/W52,""))</f>
        <v/>
      </c>
      <c r="X55" s="15">
        <f>IF(OR(X54="",X52=""),"",IFERROR(X54/X52,""))</f>
        <v/>
      </c>
      <c r="Y55" s="25" t="n">
        <v>0.3</v>
      </c>
      <c r="Z55" s="26" t="n">
        <v>0.3</v>
      </c>
      <c r="AA55" s="26" t="n">
        <v>0.3</v>
      </c>
      <c r="AB55" s="26" t="n">
        <v>0.3</v>
      </c>
      <c r="AC55" s="26" t="n">
        <v>0.3</v>
      </c>
    </row>
    <row r="56">
      <c r="A56" s="9" t="inlineStr">
        <is>
          <t>당기순이익(손실)</t>
        </is>
      </c>
      <c r="B56" s="10" t="n"/>
      <c r="C56" s="11" t="n">
        <v>4911</v>
      </c>
      <c r="D56" s="12" t="n">
        <v>1289</v>
      </c>
      <c r="E56" s="12" t="n">
        <v>2256</v>
      </c>
      <c r="F56" s="12" t="n">
        <v>1713</v>
      </c>
      <c r="G56" s="12" t="n">
        <v>5759</v>
      </c>
      <c r="H56" s="12" t="n">
        <v>1533</v>
      </c>
      <c r="I56" s="12" t="n">
        <v>2677</v>
      </c>
      <c r="J56" s="12" t="n">
        <v>1643</v>
      </c>
      <c r="K56" s="12" t="n">
        <v>6148</v>
      </c>
      <c r="L56" s="12" t="n">
        <v>1500</v>
      </c>
      <c r="M56" s="12" t="n">
        <v>2846</v>
      </c>
      <c r="N56" s="12" t="n">
        <v>2464</v>
      </c>
      <c r="O56" s="11" t="n">
        <v>5579</v>
      </c>
      <c r="P56" s="12" t="n">
        <v>6841</v>
      </c>
      <c r="Q56" s="12" t="n">
        <v>7334</v>
      </c>
      <c r="R56" s="12" t="n">
        <v>7334</v>
      </c>
      <c r="S56" s="12" t="n">
        <v>8547</v>
      </c>
      <c r="T56" s="12" t="n">
        <v>9660</v>
      </c>
      <c r="U56" s="12" t="n">
        <v>10666</v>
      </c>
      <c r="V56" s="12" t="n">
        <v>10266</v>
      </c>
      <c r="W56" s="12" t="n">
        <v>11261</v>
      </c>
      <c r="X56" s="12" t="n">
        <v>11968</v>
      </c>
      <c r="Y56" s="11">
        <f>IF(OR(Y52=""),"",IFERROR(Y52-Y54,""))</f>
        <v/>
      </c>
      <c r="Z56" s="12">
        <f>IF(OR(Z52=""),"",IFERROR(Z52-Z54,""))</f>
        <v/>
      </c>
      <c r="AA56" s="12">
        <f>IF(OR(AA52=""),"",IFERROR(AA52-AA54,""))</f>
        <v/>
      </c>
      <c r="AB56" s="12">
        <f>IF(OR(AB52=""),"",IFERROR(AB52-AB54,""))</f>
        <v/>
      </c>
      <c r="AC56" s="12">
        <f>IF(OR(AC52=""),"",IFERROR(AC52-AC54,""))</f>
        <v/>
      </c>
    </row>
    <row r="57">
      <c r="A57" s="13" t="inlineStr">
        <is>
          <t>YoY</t>
        </is>
      </c>
      <c r="B57" s="10" t="n"/>
      <c r="C57" s="14" t="n"/>
      <c r="D57" s="15" t="n"/>
      <c r="E57" s="15" t="n"/>
      <c r="F57" s="15" t="n"/>
      <c r="G57" s="15">
        <f>IF(OR(G56="",C56=""),"",IF(C56&lt;=0,"",IFERROR(G56/C56-1,"")))</f>
        <v/>
      </c>
      <c r="H57" s="15">
        <f>IF(OR(H56="",D56=""),"",IF(D56&lt;=0,"",IFERROR(H56/D56-1,"")))</f>
        <v/>
      </c>
      <c r="I57" s="15">
        <f>IF(OR(I56="",E56=""),"",IF(E56&lt;=0,"",IFERROR(I56/E56-1,"")))</f>
        <v/>
      </c>
      <c r="J57" s="15">
        <f>IF(OR(J56="",F56=""),"",IF(F56&lt;=0,"",IFERROR(J56/F56-1,"")))</f>
        <v/>
      </c>
      <c r="K57" s="15">
        <f>IF(OR(K56="",G56=""),"",IF(G56&lt;=0,"",IFERROR(K56/G56-1,"")))</f>
        <v/>
      </c>
      <c r="L57" s="15">
        <f>IF(OR(L56="",H56=""),"",IF(H56&lt;=0,"",IFERROR(L56/H56-1,"")))</f>
        <v/>
      </c>
      <c r="M57" s="15">
        <f>IF(OR(M56="",I56=""),"",IF(I56&lt;=0,"",IFERROR(M56/I56-1,"")))</f>
        <v/>
      </c>
      <c r="N57" s="15">
        <f>IF(OR(N56="",J56=""),"",IF(J56&lt;=0,"",IFERROR(N56/J56-1,"")))</f>
        <v/>
      </c>
      <c r="O57" s="14" t="n"/>
      <c r="P57" s="15">
        <f>IF(OR(P56="",O56=""),"",IF(O56&lt;=0,"",IFERROR(P56/O56-1,"")))</f>
        <v/>
      </c>
      <c r="Q57" s="15">
        <f>IF(OR(Q56="",P56=""),"",IF(P56&lt;=0,"",IFERROR(Q56/P56-1,"")))</f>
        <v/>
      </c>
      <c r="R57" s="15">
        <f>IF(OR(R56="",Q56=""),"",IF(Q56&lt;=0,"",IFERROR(R56/Q56-1,"")))</f>
        <v/>
      </c>
      <c r="S57" s="15">
        <f>IF(OR(S56="",R56=""),"",IF(R56&lt;=0,"",IFERROR(S56/R56-1,"")))</f>
        <v/>
      </c>
      <c r="T57" s="15">
        <f>IF(OR(T56="",S56=""),"",IF(S56&lt;=0,"",IFERROR(T56/S56-1,"")))</f>
        <v/>
      </c>
      <c r="U57" s="15">
        <f>IF(OR(U56="",T56=""),"",IF(T56&lt;=0,"",IFERROR(U56/T56-1,"")))</f>
        <v/>
      </c>
      <c r="V57" s="15">
        <f>IF(OR(V56="",U56=""),"",IF(U56&lt;=0,"",IFERROR(V56/U56-1,"")))</f>
        <v/>
      </c>
      <c r="W57" s="15">
        <f>IF(OR(W56="",V56=""),"",IF(V56&lt;=0,"",IFERROR(W56/V56-1,"")))</f>
        <v/>
      </c>
      <c r="X57" s="15">
        <f>IF(OR(X56="",W56=""),"",IF(W56&lt;=0,"",IFERROR(X56/W56-1,"")))</f>
        <v/>
      </c>
      <c r="Y57" s="14">
        <f>IF(OR(Y56="",X56=""),"",IF(X56&lt;=0,"",IFERROR(Y56/X56-1,"")))</f>
        <v/>
      </c>
      <c r="Z57" s="15">
        <f>IF(OR(Z56="",Y56=""),"",IF(Y56&lt;=0,"",IFERROR(Z56/Y56-1,"")))</f>
        <v/>
      </c>
      <c r="AA57" s="15">
        <f>IF(OR(AA56="",Z56=""),"",IF(Z56&lt;=0,"",IFERROR(AA56/Z56-1,"")))</f>
        <v/>
      </c>
      <c r="AB57" s="15">
        <f>IF(OR(AB56="",AA56=""),"",IF(AA56&lt;=0,"",IFERROR(AB56/AA56-1,"")))</f>
        <v/>
      </c>
      <c r="AC57" s="15">
        <f>IF(OR(AC56="",AB56=""),"",IF(AB56&lt;=0,"",IFERROR(AC56/AB56-1,"")))</f>
        <v/>
      </c>
    </row>
    <row r="58">
      <c r="A58" s="9" t="inlineStr">
        <is>
          <t>지배주주 순이익</t>
        </is>
      </c>
      <c r="B58" s="10" t="n"/>
      <c r="C58" s="11" t="n">
        <v>4909</v>
      </c>
      <c r="D58" s="12" t="n">
        <v>1283</v>
      </c>
      <c r="E58" s="12" t="n">
        <v>2256</v>
      </c>
      <c r="F58" s="12" t="n">
        <v>1713</v>
      </c>
      <c r="G58" s="12" t="n">
        <v>5758</v>
      </c>
      <c r="H58" s="12" t="n">
        <v>1533</v>
      </c>
      <c r="I58" s="12" t="n">
        <v>2677</v>
      </c>
      <c r="J58" s="12" t="n">
        <v>1643</v>
      </c>
      <c r="K58" s="12" t="n">
        <v>6148</v>
      </c>
      <c r="L58" s="12" t="n">
        <v>1500</v>
      </c>
      <c r="M58" s="12" t="n">
        <v>2846</v>
      </c>
      <c r="N58" s="12" t="n">
        <v>2464</v>
      </c>
      <c r="O58" s="11" t="n">
        <v>5580</v>
      </c>
      <c r="P58" s="12" t="n">
        <v>6839</v>
      </c>
      <c r="Q58" s="12" t="n">
        <v>7329</v>
      </c>
      <c r="R58" s="12" t="n">
        <v>7334</v>
      </c>
      <c r="S58" s="12" t="n">
        <v>8546</v>
      </c>
      <c r="T58" s="12" t="n">
        <v>9659</v>
      </c>
      <c r="U58" s="12" t="n">
        <v>10665</v>
      </c>
      <c r="V58" s="12" t="n">
        <v>10259</v>
      </c>
      <c r="W58" s="12" t="n">
        <v>11260</v>
      </c>
      <c r="X58" s="12" t="n">
        <v>11968</v>
      </c>
      <c r="Y58" s="11">
        <f>IF(OR(Y56="",Y59=""),"",IFERROR(Y56*Y59,""))</f>
        <v/>
      </c>
      <c r="Z58" s="12">
        <f>IF(OR(Z56="",Z59=""),"",IFERROR(Z56*Z59,""))</f>
        <v/>
      </c>
      <c r="AA58" s="12">
        <f>IF(OR(AA56="",AA59=""),"",IFERROR(AA56*AA59,""))</f>
        <v/>
      </c>
      <c r="AB58" s="12">
        <f>IF(OR(AB56="",AB59=""),"",IFERROR(AB56*AB59,""))</f>
        <v/>
      </c>
      <c r="AC58" s="12">
        <f>IF(OR(AC56="",AC59=""),"",IFERROR(AC56*AC59,""))</f>
        <v/>
      </c>
    </row>
    <row r="59">
      <c r="A59" s="13" t="inlineStr">
        <is>
          <t>지배주주 순이익률</t>
        </is>
      </c>
      <c r="B59" s="10" t="inlineStr">
        <is>
          <t>MW 기본 100%</t>
        </is>
      </c>
      <c r="C59" s="14">
        <f>IF(OR(C58="",C56=""),"",IFERROR(C58/C56,""))</f>
        <v/>
      </c>
      <c r="D59" s="15">
        <f>IF(OR(D58="",D56=""),"",IFERROR(D58/D56,""))</f>
        <v/>
      </c>
      <c r="E59" s="15">
        <f>IF(OR(E58="",E56=""),"",IFERROR(E58/E56,""))</f>
        <v/>
      </c>
      <c r="F59" s="15">
        <f>IF(OR(F58="",F56=""),"",IFERROR(F58/F56,""))</f>
        <v/>
      </c>
      <c r="G59" s="15">
        <f>IF(OR(G58="",G56=""),"",IFERROR(G58/G56,""))</f>
        <v/>
      </c>
      <c r="H59" s="15">
        <f>IF(OR(H58="",H56=""),"",IFERROR(H58/H56,""))</f>
        <v/>
      </c>
      <c r="I59" s="15">
        <f>IF(OR(I58="",I56=""),"",IFERROR(I58/I56,""))</f>
        <v/>
      </c>
      <c r="J59" s="15">
        <f>IF(OR(J58="",J56=""),"",IFERROR(J58/J56,""))</f>
        <v/>
      </c>
      <c r="K59" s="15">
        <f>IF(OR(K58="",K56=""),"",IFERROR(K58/K56,""))</f>
        <v/>
      </c>
      <c r="L59" s="15">
        <f>IF(OR(L58="",L56=""),"",IFERROR(L58/L56,""))</f>
        <v/>
      </c>
      <c r="M59" s="15">
        <f>IF(OR(M58="",M56=""),"",IFERROR(M58/M56,""))</f>
        <v/>
      </c>
      <c r="N59" s="15">
        <f>IF(OR(N58="",N56=""),"",IFERROR(N58/N56,""))</f>
        <v/>
      </c>
      <c r="O59" s="14">
        <f>IF(OR(O58="",O56=""),"",IFERROR(O58/O56,""))</f>
        <v/>
      </c>
      <c r="P59" s="15">
        <f>IF(OR(P58="",P56=""),"",IFERROR(P58/P56,""))</f>
        <v/>
      </c>
      <c r="Q59" s="15">
        <f>IF(OR(Q58="",Q56=""),"",IFERROR(Q58/Q56,""))</f>
        <v/>
      </c>
      <c r="R59" s="15">
        <f>IF(OR(R58="",R56=""),"",IFERROR(R58/R56,""))</f>
        <v/>
      </c>
      <c r="S59" s="15">
        <f>IF(OR(S58="",S56=""),"",IFERROR(S58/S56,""))</f>
        <v/>
      </c>
      <c r="T59" s="15">
        <f>IF(OR(T58="",T56=""),"",IFERROR(T58/T56,""))</f>
        <v/>
      </c>
      <c r="U59" s="15">
        <f>IF(OR(U58="",U56=""),"",IFERROR(U58/U56,""))</f>
        <v/>
      </c>
      <c r="V59" s="15">
        <f>IF(OR(V58="",V56=""),"",IFERROR(V58/V56,""))</f>
        <v/>
      </c>
      <c r="W59" s="15">
        <f>IF(OR(W58="",W56=""),"",IFERROR(W58/W56,""))</f>
        <v/>
      </c>
      <c r="X59" s="15">
        <f>IF(OR(X58="",X56=""),"",IFERROR(X58/X56,""))</f>
        <v/>
      </c>
      <c r="Y59" s="25" t="n">
        <v>1</v>
      </c>
      <c r="Z59" s="26" t="n">
        <v>1</v>
      </c>
      <c r="AA59" s="26" t="n">
        <v>1</v>
      </c>
      <c r="AB59" s="26" t="n">
        <v>1</v>
      </c>
      <c r="AC59" s="26" t="n">
        <v>1</v>
      </c>
    </row>
    <row r="60">
      <c r="A60" s="13" t="inlineStr">
        <is>
          <t>지배주주 순이익 YoY</t>
        </is>
      </c>
      <c r="B60" s="10" t="n"/>
      <c r="C60" s="14" t="n"/>
      <c r="D60" s="15" t="n"/>
      <c r="E60" s="15" t="n"/>
      <c r="F60" s="15" t="n"/>
      <c r="G60" s="15">
        <f>IF(OR(G58="",C58=""),"",IF(C58&lt;=0,"",IFERROR(G58/C58-1,"")))</f>
        <v/>
      </c>
      <c r="H60" s="15">
        <f>IF(OR(H58="",D58=""),"",IF(D58&lt;=0,"",IFERROR(H58/D58-1,"")))</f>
        <v/>
      </c>
      <c r="I60" s="15">
        <f>IF(OR(I58="",E58=""),"",IF(E58&lt;=0,"",IFERROR(I58/E58-1,"")))</f>
        <v/>
      </c>
      <c r="J60" s="15">
        <f>IF(OR(J58="",F58=""),"",IF(F58&lt;=0,"",IFERROR(J58/F58-1,"")))</f>
        <v/>
      </c>
      <c r="K60" s="15">
        <f>IF(OR(K58="",G58=""),"",IF(G58&lt;=0,"",IFERROR(K58/G58-1,"")))</f>
        <v/>
      </c>
      <c r="L60" s="15">
        <f>IF(OR(L58="",H58=""),"",IF(H58&lt;=0,"",IFERROR(L58/H58-1,"")))</f>
        <v/>
      </c>
      <c r="M60" s="15">
        <f>IF(OR(M58="",I58=""),"",IF(I58&lt;=0,"",IFERROR(M58/I58-1,"")))</f>
        <v/>
      </c>
      <c r="N60" s="15">
        <f>IF(OR(N58="",J58=""),"",IF(J58&lt;=0,"",IFERROR(N58/J58-1,"")))</f>
        <v/>
      </c>
      <c r="O60" s="14" t="n"/>
      <c r="P60" s="15">
        <f>IF(OR(P58="",O58=""),"",IF(O58&lt;=0,"",IFERROR(P58/O58-1,"")))</f>
        <v/>
      </c>
      <c r="Q60" s="15">
        <f>IF(OR(Q58="",P58=""),"",IF(P58&lt;=0,"",IFERROR(Q58/P58-1,"")))</f>
        <v/>
      </c>
      <c r="R60" s="15">
        <f>IF(OR(R58="",Q58=""),"",IF(Q58&lt;=0,"",IFERROR(R58/Q58-1,"")))</f>
        <v/>
      </c>
      <c r="S60" s="15">
        <f>IF(OR(S58="",R58=""),"",IF(R58&lt;=0,"",IFERROR(S58/R58-1,"")))</f>
        <v/>
      </c>
      <c r="T60" s="15">
        <f>IF(OR(T58="",S58=""),"",IF(S58&lt;=0,"",IFERROR(T58/S58-1,"")))</f>
        <v/>
      </c>
      <c r="U60" s="15">
        <f>IF(OR(U58="",T58=""),"",IF(T58&lt;=0,"",IFERROR(U58/T58-1,"")))</f>
        <v/>
      </c>
      <c r="V60" s="15">
        <f>IF(OR(V58="",U58=""),"",IF(U58&lt;=0,"",IFERROR(V58/U58-1,"")))</f>
        <v/>
      </c>
      <c r="W60" s="15">
        <f>IF(OR(W58="",V58=""),"",IF(V58&lt;=0,"",IFERROR(W58/V58-1,"")))</f>
        <v/>
      </c>
      <c r="X60" s="15">
        <f>IF(OR(X58="",W58=""),"",IF(W58&lt;=0,"",IFERROR(X58/W58-1,"")))</f>
        <v/>
      </c>
      <c r="Y60" s="14">
        <f>IF(OR(Y58="",X58=""),"",IF(X58&lt;=0,"",IFERROR(Y58/X58-1,"")))</f>
        <v/>
      </c>
      <c r="Z60" s="15">
        <f>IF(OR(Z58="",Y58=""),"",IF(Y58&lt;=0,"",IFERROR(Z58/Y58-1,"")))</f>
        <v/>
      </c>
      <c r="AA60" s="15">
        <f>IF(OR(AA58="",Z58=""),"",IF(Z58&lt;=0,"",IFERROR(AA58/Z58-1,"")))</f>
        <v/>
      </c>
      <c r="AB60" s="15">
        <f>IF(OR(AB58="",AA58=""),"",IF(AA58&lt;=0,"",IFERROR(AB58/AA58-1,"")))</f>
        <v/>
      </c>
      <c r="AC60" s="15">
        <f>IF(OR(AC58="",AB58=""),"",IF(AB58&lt;=0,"",IFERROR(AC58/AB58-1,"")))</f>
        <v/>
      </c>
    </row>
    <row r="61">
      <c r="A61" s="16" t="inlineStr">
        <is>
          <t>목표주가 산출</t>
        </is>
      </c>
      <c r="B61" s="16" t="n"/>
      <c r="C61" s="17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7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7" t="n"/>
      <c r="Z61" s="16" t="n"/>
      <c r="AA61" s="16" t="n"/>
      <c r="AB61" s="16" t="n"/>
      <c r="AC61" s="16" t="n"/>
    </row>
    <row r="62">
      <c r="A62" s="18" t="inlineStr">
        <is>
          <t>현재 주가 ()</t>
        </is>
      </c>
      <c r="B62" s="27" t="n"/>
      <c r="C62" s="28" t="n"/>
      <c r="D62" s="29" t="n"/>
      <c r="E62" s="29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  <c r="O62" s="28" t="n"/>
      <c r="P62" s="29" t="n"/>
      <c r="Q62" s="29" t="n"/>
      <c r="R62" s="29" t="n"/>
      <c r="S62" s="29" t="n"/>
      <c r="T62" s="29" t="n"/>
      <c r="U62" s="29" t="n"/>
      <c r="V62" s="29" t="n"/>
      <c r="W62" s="29" t="n"/>
      <c r="X62" s="29" t="n"/>
      <c r="Y62" s="28" t="n"/>
      <c r="Z62" s="29" t="n"/>
      <c r="AA62" s="29" t="n"/>
      <c r="AB62" s="29" t="n"/>
      <c r="AC62" s="29" t="n"/>
    </row>
    <row r="63">
      <c r="A63" s="18" t="inlineStr">
        <is>
          <t>발행주식수 (보통주)</t>
        </is>
      </c>
      <c r="B63" s="27" t="n"/>
      <c r="C63" s="28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8" t="n"/>
      <c r="P63" s="29" t="n"/>
      <c r="Q63" s="29" t="n"/>
      <c r="R63" s="29" t="n"/>
      <c r="S63" s="29" t="n"/>
      <c r="T63" s="29" t="n"/>
      <c r="U63" s="29" t="n"/>
      <c r="V63" s="29" t="n"/>
      <c r="W63" s="29" t="n"/>
      <c r="X63" s="29" t="n"/>
      <c r="Y63" s="28" t="n"/>
      <c r="Z63" s="29" t="n"/>
      <c r="AA63" s="29" t="n"/>
      <c r="AB63" s="29" t="n"/>
      <c r="AC63" s="29" t="n"/>
    </row>
    <row r="64">
      <c r="A64" s="18" t="inlineStr">
        <is>
          <t>시가총액 (백만엔)</t>
        </is>
      </c>
      <c r="B64" s="12">
        <f>IF(OR(B62="",B63=""),"",B62*B63/1000000.0)</f>
        <v/>
      </c>
      <c r="C64" s="19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19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19" t="n"/>
      <c r="Z64" s="20" t="n"/>
      <c r="AA64" s="20" t="n"/>
      <c r="AB64" s="20" t="n"/>
      <c r="AC64" s="20" t="n"/>
    </row>
    <row r="65">
      <c r="A65" s="13" t="inlineStr">
        <is>
          <t>OPM</t>
        </is>
      </c>
      <c r="B65" s="10" t="n"/>
      <c r="C65" s="14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4">
        <f>IF(O29="","",O29)</f>
        <v/>
      </c>
      <c r="P65" s="15">
        <f>IF(P29="","",P29)</f>
        <v/>
      </c>
      <c r="Q65" s="15">
        <f>IF(Q29="","",Q29)</f>
        <v/>
      </c>
      <c r="R65" s="15">
        <f>IF(R29="","",R29)</f>
        <v/>
      </c>
      <c r="S65" s="15">
        <f>IF(S29="","",S29)</f>
        <v/>
      </c>
      <c r="T65" s="15">
        <f>IF(T29="","",T29)</f>
        <v/>
      </c>
      <c r="U65" s="15">
        <f>IF(U29="","",U29)</f>
        <v/>
      </c>
      <c r="V65" s="15">
        <f>IF(V29="","",V29)</f>
        <v/>
      </c>
      <c r="W65" s="15">
        <f>IF(W29="","",W29)</f>
        <v/>
      </c>
      <c r="X65" s="15">
        <f>IF(X29="","",X29)</f>
        <v/>
      </c>
      <c r="Y65" s="14">
        <f>IF(Y29="","",Y29)</f>
        <v/>
      </c>
      <c r="Z65" s="15">
        <f>IF(Z29="","",Z29)</f>
        <v/>
      </c>
      <c r="AA65" s="15">
        <f>IF(AA29="","",AA29)</f>
        <v/>
      </c>
      <c r="AB65" s="15">
        <f>IF(AB29="","",AB29)</f>
        <v/>
      </c>
      <c r="AC65" s="15">
        <f>IF(AC29="","",AC29)</f>
        <v/>
      </c>
    </row>
    <row r="66">
      <c r="A66" s="13" t="inlineStr">
        <is>
          <t>지배주주 순이익 증가율</t>
        </is>
      </c>
      <c r="B66" s="10" t="n"/>
      <c r="C66" s="14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4" t="n"/>
      <c r="P66" s="15">
        <f>IF(OR(P58="",O58=""),"",IFERROR(P58/O58-1,""))</f>
        <v/>
      </c>
      <c r="Q66" s="15">
        <f>IF(OR(Q58="",P58=""),"",IFERROR(Q58/P58-1,""))</f>
        <v/>
      </c>
      <c r="R66" s="15">
        <f>IF(OR(R58="",Q58=""),"",IFERROR(R58/Q58-1,""))</f>
        <v/>
      </c>
      <c r="S66" s="15">
        <f>IF(OR(S58="",R58=""),"",IFERROR(S58/R58-1,""))</f>
        <v/>
      </c>
      <c r="T66" s="15">
        <f>IF(OR(T58="",S58=""),"",IFERROR(T58/S58-1,""))</f>
        <v/>
      </c>
      <c r="U66" s="15">
        <f>IF(OR(U58="",T58=""),"",IFERROR(U58/T58-1,""))</f>
        <v/>
      </c>
      <c r="V66" s="15">
        <f>IF(OR(V58="",U58=""),"",IFERROR(V58/U58-1,""))</f>
        <v/>
      </c>
      <c r="W66" s="15">
        <f>IF(OR(W58="",V58=""),"",IFERROR(W58/V58-1,""))</f>
        <v/>
      </c>
      <c r="X66" s="15">
        <f>IF(OR(X58="",W58=""),"",IFERROR(X58/W58-1,""))</f>
        <v/>
      </c>
      <c r="Y66" s="14">
        <f>IF(OR(Y58="",X58=""),"",IFERROR(Y58/X58-1,""))</f>
        <v/>
      </c>
      <c r="Z66" s="15">
        <f>IF(OR(Z58="",Y58=""),"",IFERROR(Z58/Y58-1,""))</f>
        <v/>
      </c>
      <c r="AA66" s="15">
        <f>IF(OR(AA58="",Z58=""),"",IFERROR(AA58/Z58-1,""))</f>
        <v/>
      </c>
      <c r="AB66" s="15">
        <f>IF(OR(AB58="",AA58=""),"",IFERROR(AB58/AA58-1,""))</f>
        <v/>
      </c>
      <c r="AC66" s="15">
        <f>IF(OR(AC58="",AB58=""),"",IFERROR(AC58/AB58-1,""))</f>
        <v/>
      </c>
    </row>
    <row r="67">
      <c r="A67" s="18" t="inlineStr">
        <is>
          <t>P/E (현재 주가)</t>
        </is>
      </c>
      <c r="B67" s="10" t="inlineStr">
        <is>
          <t>시총 ÷ 지배순이익</t>
        </is>
      </c>
      <c r="C67" s="30" t="n"/>
      <c r="D67" s="31" t="n"/>
      <c r="E67" s="31" t="n"/>
      <c r="F67" s="31" t="n"/>
      <c r="G67" s="31" t="n"/>
      <c r="H67" s="31" t="n"/>
      <c r="I67" s="31" t="n"/>
      <c r="J67" s="31" t="n"/>
      <c r="K67" s="31" t="n"/>
      <c r="L67" s="31" t="n"/>
      <c r="M67" s="31" t="n"/>
      <c r="N67" s="31" t="n"/>
      <c r="O67" s="30" t="n"/>
      <c r="P67" s="31" t="n"/>
      <c r="Q67" s="31" t="n"/>
      <c r="R67" s="31" t="n"/>
      <c r="S67" s="31" t="n"/>
      <c r="T67" s="31" t="n"/>
      <c r="U67" s="31" t="n"/>
      <c r="V67" s="31" t="n"/>
      <c r="W67" s="31" t="n"/>
      <c r="X67" s="31">
        <f>IF(OR($B$64="",X58=""),"",IFERROR($B$64/X58,""))</f>
        <v/>
      </c>
      <c r="Y67" s="30">
        <f>IF(OR($B$64="",Y58=""),"",IFERROR($B$64/Y58,""))</f>
        <v/>
      </c>
      <c r="Z67" s="31">
        <f>IF(OR($B$64="",Z58=""),"",IFERROR($B$64/Z58,""))</f>
        <v/>
      </c>
      <c r="AA67" s="31">
        <f>IF(OR($B$64="",AA58=""),"",IFERROR($B$64/AA58,""))</f>
        <v/>
      </c>
      <c r="AB67" s="31">
        <f>IF(OR($B$64="",AB58=""),"",IFERROR($B$64/AB58,""))</f>
        <v/>
      </c>
      <c r="AC67" s="31">
        <f>IF(OR($B$64="",AC58=""),"",IFERROR($B$64/AC58,""))</f>
        <v/>
      </c>
    </row>
    <row r="68">
      <c r="A68" s="18" t="inlineStr">
        <is>
          <t>Target P/E</t>
        </is>
      </c>
      <c r="B68" s="10" t="inlineStr">
        <is>
          <t>직접 입력</t>
        </is>
      </c>
      <c r="C68" s="30" t="n"/>
      <c r="D68" s="31" t="n"/>
      <c r="E68" s="31" t="n"/>
      <c r="F68" s="31" t="n"/>
      <c r="G68" s="31" t="n"/>
      <c r="H68" s="31" t="n"/>
      <c r="I68" s="31" t="n"/>
      <c r="J68" s="31" t="n"/>
      <c r="K68" s="31" t="n"/>
      <c r="L68" s="31" t="n"/>
      <c r="M68" s="31" t="n"/>
      <c r="N68" s="31" t="n"/>
      <c r="O68" s="30" t="n"/>
      <c r="P68" s="31" t="n"/>
      <c r="Q68" s="31" t="n"/>
      <c r="R68" s="31" t="n"/>
      <c r="S68" s="31" t="n"/>
      <c r="T68" s="31" t="n"/>
      <c r="U68" s="31" t="n"/>
      <c r="V68" s="31" t="n"/>
      <c r="W68" s="31" t="n"/>
      <c r="X68" s="31" t="n"/>
      <c r="Y68" s="32" t="n"/>
      <c r="Z68" s="33" t="n"/>
      <c r="AA68" s="33" t="n"/>
      <c r="AB68" s="33" t="n"/>
      <c r="AC68" s="33" t="n"/>
    </row>
    <row r="69">
      <c r="A69" s="18" t="inlineStr">
        <is>
          <t>EPS</t>
        </is>
      </c>
      <c r="B69" s="10" t="inlineStr">
        <is>
          <t>지배순이익 ÷ 주식수</t>
        </is>
      </c>
      <c r="C69" s="28" t="n"/>
      <c r="D69" s="29" t="n"/>
      <c r="E69" s="29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8">
        <f>IF(OR(O58="",$B$63=""),"",IFERROR(O58*1000000.0/$B$63,""))</f>
        <v/>
      </c>
      <c r="P69" s="29">
        <f>IF(OR(P58="",$B$63=""),"",IFERROR(P58*1000000.0/$B$63,""))</f>
        <v/>
      </c>
      <c r="Q69" s="29">
        <f>IF(OR(Q58="",$B$63=""),"",IFERROR(Q58*1000000.0/$B$63,""))</f>
        <v/>
      </c>
      <c r="R69" s="29">
        <f>IF(OR(R58="",$B$63=""),"",IFERROR(R58*1000000.0/$B$63,""))</f>
        <v/>
      </c>
      <c r="S69" s="29">
        <f>IF(OR(S58="",$B$63=""),"",IFERROR(S58*1000000.0/$B$63,""))</f>
        <v/>
      </c>
      <c r="T69" s="29">
        <f>IF(OR(T58="",$B$63=""),"",IFERROR(T58*1000000.0/$B$63,""))</f>
        <v/>
      </c>
      <c r="U69" s="29">
        <f>IF(OR(U58="",$B$63=""),"",IFERROR(U58*1000000.0/$B$63,""))</f>
        <v/>
      </c>
      <c r="V69" s="29">
        <f>IF(OR(V58="",$B$63=""),"",IFERROR(V58*1000000.0/$B$63,""))</f>
        <v/>
      </c>
      <c r="W69" s="29">
        <f>IF(OR(W58="",$B$63=""),"",IFERROR(W58*1000000.0/$B$63,""))</f>
        <v/>
      </c>
      <c r="X69" s="29">
        <f>IF(OR(X58="",$B$63=""),"",IFERROR(X58*1000000.0/$B$63,""))</f>
        <v/>
      </c>
      <c r="Y69" s="28">
        <f>IF(OR(Y58="",$B$63=""),"",IFERROR(Y58*1000000.0/$B$63,""))</f>
        <v/>
      </c>
      <c r="Z69" s="29">
        <f>IF(OR(Z58="",$B$63=""),"",IFERROR(Z58*1000000.0/$B$63,""))</f>
        <v/>
      </c>
      <c r="AA69" s="29">
        <f>IF(OR(AA58="",$B$63=""),"",IFERROR(AA58*1000000.0/$B$63,""))</f>
        <v/>
      </c>
      <c r="AB69" s="29">
        <f>IF(OR(AB58="",$B$63=""),"",IFERROR(AB58*1000000.0/$B$63,""))</f>
        <v/>
      </c>
      <c r="AC69" s="29">
        <f>IF(OR(AC58="",$B$63=""),"",IFERROR(AC58*1000000.0/$B$63,""))</f>
        <v/>
      </c>
    </row>
    <row r="70">
      <c r="A70" s="9" t="inlineStr">
        <is>
          <t>목표주가</t>
        </is>
      </c>
      <c r="B70" s="10" t="n"/>
      <c r="C70" s="34" t="n"/>
      <c r="D70" s="27" t="n"/>
      <c r="E70" s="27" t="n"/>
      <c r="F70" s="27" t="n"/>
      <c r="G70" s="27" t="n"/>
      <c r="H70" s="27" t="n"/>
      <c r="I70" s="27" t="n"/>
      <c r="J70" s="27" t="n"/>
      <c r="K70" s="27" t="n"/>
      <c r="L70" s="27" t="n"/>
      <c r="M70" s="27" t="n"/>
      <c r="N70" s="27" t="n"/>
      <c r="O70" s="34" t="n"/>
      <c r="P70" s="27" t="n"/>
      <c r="Q70" s="27" t="n"/>
      <c r="R70" s="27" t="n"/>
      <c r="S70" s="27" t="n"/>
      <c r="T70" s="27" t="n"/>
      <c r="U70" s="27" t="n"/>
      <c r="V70" s="27" t="n"/>
      <c r="W70" s="27" t="n"/>
      <c r="X70" s="27" t="n"/>
      <c r="Y70" s="34">
        <f>IF(OR(Y69="",Y68=""),"",IFERROR(Y69*Y68,""))</f>
        <v/>
      </c>
      <c r="Z70" s="27">
        <f>IF(OR(Z69="",Z68=""),"",IFERROR(Z69*Z68,""))</f>
        <v/>
      </c>
      <c r="AA70" s="27">
        <f>IF(OR(AA69="",AA68=""),"",IFERROR(AA69*AA68,""))</f>
        <v/>
      </c>
      <c r="AB70" s="27">
        <f>IF(OR(AB69="",AB68=""),"",IFERROR(AB69*AB68,""))</f>
        <v/>
      </c>
      <c r="AC70" s="27">
        <f>IF(OR(AC69="",AC68=""),"",IFERROR(AC69*AC68,""))</f>
        <v/>
      </c>
    </row>
    <row r="71">
      <c r="A71" s="18" t="inlineStr">
        <is>
          <t>상승여력</t>
        </is>
      </c>
      <c r="B71" s="10" t="n"/>
      <c r="C71" s="35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5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7">
        <f>IF(OR(Y70="",$B$62=""),"",IFERROR(Y70/$B$62-1,""))</f>
        <v/>
      </c>
      <c r="Z71" s="38">
        <f>IF(OR(Z70="",$B$62=""),"",IFERROR(Z70/$B$62-1,""))</f>
        <v/>
      </c>
      <c r="AA71" s="38">
        <f>IF(OR(AA70="",$B$62=""),"",IFERROR(AA70/$B$62-1,""))</f>
        <v/>
      </c>
      <c r="AB71" s="38">
        <f>IF(OR(AB70="",$B$62=""),"",IFERROR(AB70/$B$62-1,""))</f>
        <v/>
      </c>
      <c r="AC71" s="38">
        <f>IF(OR(AC70="",$B$62=""),"",IFERROR(AC70/$B$62-1,""))</f>
        <v/>
      </c>
    </row>
    <row r="72">
      <c r="A72" s="16" t="inlineStr">
        <is>
          <t>자산가치 산출</t>
        </is>
      </c>
      <c r="B72" s="16" t="inlineStr">
        <is>
          <t>최신 분기 BS</t>
        </is>
      </c>
      <c r="C72" s="17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7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7" t="n"/>
      <c r="Z72" s="16" t="n"/>
      <c r="AA72" s="16" t="n"/>
      <c r="AB72" s="16" t="n"/>
      <c r="AC72" s="16" t="n"/>
    </row>
    <row r="73">
      <c r="A73" s="18" t="inlineStr">
        <is>
          <t>현금및현금성자산</t>
        </is>
      </c>
      <c r="B73" s="10" t="n"/>
      <c r="C73" s="19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19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>
        <f>'재무상태표'!G6</f>
        <v/>
      </c>
      <c r="Y73" s="19">
        <f>'재무상태표'!G6</f>
        <v/>
      </c>
      <c r="Z73" s="20">
        <f>'재무상태표'!G6</f>
        <v/>
      </c>
      <c r="AA73" s="20">
        <f>'재무상태표'!G6</f>
        <v/>
      </c>
      <c r="AB73" s="20">
        <f>'재무상태표'!G6</f>
        <v/>
      </c>
      <c r="AC73" s="20">
        <f>'재무상태표'!G6</f>
        <v/>
      </c>
    </row>
    <row r="74">
      <c r="A74" s="18" t="inlineStr">
        <is>
          <t>단기금융상품</t>
        </is>
      </c>
      <c r="B74" s="10" t="n"/>
      <c r="C74" s="19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19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>
        <f>'재무상태표'!G7</f>
        <v/>
      </c>
      <c r="Y74" s="19">
        <f>'재무상태표'!G7</f>
        <v/>
      </c>
      <c r="Z74" s="20">
        <f>'재무상태표'!G7</f>
        <v/>
      </c>
      <c r="AA74" s="20">
        <f>'재무상태표'!G7</f>
        <v/>
      </c>
      <c r="AB74" s="20">
        <f>'재무상태표'!G7</f>
        <v/>
      </c>
      <c r="AC74" s="20">
        <f>'재무상태표'!G7</f>
        <v/>
      </c>
    </row>
    <row r="75">
      <c r="A75" s="18" t="inlineStr">
        <is>
          <t>투자부동산</t>
        </is>
      </c>
      <c r="B75" s="10" t="n"/>
      <c r="C75" s="19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19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>
        <f>'재무상태표'!G14</f>
        <v/>
      </c>
      <c r="Y75" s="19">
        <f>'재무상태표'!G14</f>
        <v/>
      </c>
      <c r="Z75" s="20">
        <f>'재무상태표'!G14</f>
        <v/>
      </c>
      <c r="AA75" s="20">
        <f>'재무상태표'!G14</f>
        <v/>
      </c>
      <c r="AB75" s="20">
        <f>'재무상태표'!G14</f>
        <v/>
      </c>
      <c r="AC75" s="20">
        <f>'재무상태표'!G14</f>
        <v/>
      </c>
    </row>
    <row r="76">
      <c r="A76" s="18" t="inlineStr">
        <is>
          <t>지배자본</t>
        </is>
      </c>
      <c r="B76" s="10" t="n"/>
      <c r="C76" s="19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19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>
        <f>'재무상태표'!G31</f>
        <v/>
      </c>
      <c r="Y76" s="19">
        <f>'재무상태표'!G31</f>
        <v/>
      </c>
      <c r="Z76" s="20">
        <f>'재무상태표'!G31</f>
        <v/>
      </c>
      <c r="AA76" s="20">
        <f>'재무상태표'!G31</f>
        <v/>
      </c>
      <c r="AB76" s="20">
        <f>'재무상태표'!G31</f>
        <v/>
      </c>
      <c r="AC76" s="20">
        <f>'재무상태표'!G31</f>
        <v/>
      </c>
    </row>
    <row r="77">
      <c r="A77" s="18" t="inlineStr">
        <is>
          <t>부채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>
        <f>'재무상태표'!G27</f>
        <v/>
      </c>
      <c r="Y77" s="19">
        <f>'재무상태표'!G27</f>
        <v/>
      </c>
      <c r="Z77" s="20">
        <f>'재무상태표'!G27</f>
        <v/>
      </c>
      <c r="AA77" s="20">
        <f>'재무상태표'!G27</f>
        <v/>
      </c>
      <c r="AB77" s="20">
        <f>'재무상태표'!G27</f>
        <v/>
      </c>
      <c r="AC77" s="20">
        <f>'재무상태표'!G27</f>
        <v/>
      </c>
    </row>
    <row r="78">
      <c r="A78" s="13" t="inlineStr">
        <is>
          <t>부채비율</t>
        </is>
      </c>
      <c r="B78" s="10" t="n"/>
      <c r="C78" s="14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4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>
        <f>IF(OR(X77="",X76=""),"",IFERROR(X77/X76,""))</f>
        <v/>
      </c>
      <c r="Y78" s="14">
        <f>IF(OR(Y77="",Y76=""),"",IFERROR(Y77/Y76,""))</f>
        <v/>
      </c>
      <c r="Z78" s="15">
        <f>IF(OR(Z77="",Z76=""),"",IFERROR(Z77/Z76,""))</f>
        <v/>
      </c>
      <c r="AA78" s="15">
        <f>IF(OR(AA77="",AA76=""),"",IFERROR(AA77/AA76,""))</f>
        <v/>
      </c>
      <c r="AB78" s="15">
        <f>IF(OR(AB77="",AB76=""),"",IFERROR(AB77/AB76,""))</f>
        <v/>
      </c>
      <c r="AC78" s="15">
        <f>IF(OR(AC77="",AC76=""),"",IFERROR(AC77/AC76,""))</f>
        <v/>
      </c>
    </row>
    <row r="79">
      <c r="A79" s="9" t="inlineStr">
        <is>
          <t>자산가치</t>
        </is>
      </c>
      <c r="B79" s="10" t="inlineStr">
        <is>
          <t>현금+단기금융+투자부동산</t>
        </is>
      </c>
      <c r="C79" s="11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1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>
        <f>SUM(X73,X74,X75)</f>
        <v/>
      </c>
      <c r="Y79" s="11">
        <f>SUM(Y73,Y74,Y75)</f>
        <v/>
      </c>
      <c r="Z79" s="12">
        <f>SUM(Z73,Z74,Z75)</f>
        <v/>
      </c>
      <c r="AA79" s="12">
        <f>SUM(AA73,AA74,AA75)</f>
        <v/>
      </c>
      <c r="AB79" s="12">
        <f>SUM(AB73,AB74,AB75)</f>
        <v/>
      </c>
      <c r="AC79" s="12">
        <f>SUM(AC73,AC74,AC75)</f>
        <v/>
      </c>
    </row>
    <row r="80">
      <c r="A80" s="16" t="inlineStr">
        <is>
          <t>기업가치 산출</t>
        </is>
      </c>
      <c r="B80" s="16" t="n"/>
      <c r="C80" s="17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7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7" t="n"/>
      <c r="Z80" s="16" t="n"/>
      <c r="AA80" s="16" t="n"/>
      <c r="AB80" s="16" t="n"/>
      <c r="AC80" s="16" t="n"/>
    </row>
    <row r="81">
      <c r="A81" s="18" t="inlineStr">
        <is>
          <t>목표 시가총액 (P/E)</t>
        </is>
      </c>
      <c r="B81" s="10" t="inlineStr">
        <is>
          <t>지배순이익 × Target P/E</t>
        </is>
      </c>
      <c r="C81" s="19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19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19">
        <f>IF(OR(Y58="",Y68=""),"",IFERROR(Y58*Y68,""))</f>
        <v/>
      </c>
      <c r="Z81" s="20">
        <f>IF(OR(Z58="",Z68=""),"",IFERROR(Z58*Z68,""))</f>
        <v/>
      </c>
      <c r="AA81" s="20">
        <f>IF(OR(AA58="",AA68=""),"",IFERROR(AA58*AA68,""))</f>
        <v/>
      </c>
      <c r="AB81" s="20">
        <f>IF(OR(AB58="",AB68=""),"",IFERROR(AB58*AB68,""))</f>
        <v/>
      </c>
      <c r="AC81" s="20">
        <f>IF(OR(AC58="",AC68=""),"",IFERROR(AC58*AC68,""))</f>
        <v/>
      </c>
    </row>
    <row r="82">
      <c r="A82" s="9" t="inlineStr">
        <is>
          <t>기업가치</t>
        </is>
      </c>
      <c r="B82" s="10" t="inlineStr">
        <is>
          <t>목표시총 + 자산가치</t>
        </is>
      </c>
      <c r="C82" s="11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1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1">
        <f>IF(OR(Y81=""),"",IFERROR(Y81+Y79,""))</f>
        <v/>
      </c>
      <c r="Z82" s="12">
        <f>IF(OR(Z81=""),"",IFERROR(Z81+Z79,""))</f>
        <v/>
      </c>
      <c r="AA82" s="12">
        <f>IF(OR(AA81=""),"",IFERROR(AA81+AA79,""))</f>
        <v/>
      </c>
      <c r="AB82" s="12">
        <f>IF(OR(AB81=""),"",IFERROR(AB81+AB79,""))</f>
        <v/>
      </c>
      <c r="AC82" s="12">
        <f>IF(OR(AC81=""),"",IFERROR(AC81+AC79,""))</f>
        <v/>
      </c>
    </row>
    <row r="83">
      <c r="A83" s="18" t="inlineStr">
        <is>
          <t>현재 시가총액</t>
        </is>
      </c>
      <c r="B83" s="10" t="n"/>
      <c r="C83" s="19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19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 t="n"/>
      <c r="Y83" s="19">
        <f>$B$64</f>
        <v/>
      </c>
      <c r="Z83" s="20">
        <f>$B$64</f>
        <v/>
      </c>
      <c r="AA83" s="20">
        <f>$B$64</f>
        <v/>
      </c>
      <c r="AB83" s="20">
        <f>$B$64</f>
        <v/>
      </c>
      <c r="AC83" s="20">
        <f>$B$64</f>
        <v/>
      </c>
    </row>
    <row r="84">
      <c r="A84" s="18" t="inlineStr">
        <is>
          <t>상승여력</t>
        </is>
      </c>
      <c r="B84" s="10" t="n"/>
      <c r="C84" s="35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5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7">
        <f>IF(OR(Y82="",Y83=""),"",IFERROR(Y82/Y83-1,""))</f>
        <v/>
      </c>
      <c r="Z84" s="38">
        <f>IF(OR(Z82="",Z83=""),"",IFERROR(Z82/Z83-1,""))</f>
        <v/>
      </c>
      <c r="AA84" s="38">
        <f>IF(OR(AA82="",AA83=""),"",IFERROR(AA82/AA83-1,""))</f>
        <v/>
      </c>
      <c r="AB84" s="38">
        <f>IF(OR(AB82="",AB83=""),"",IFERROR(AB82/AB83-1,""))</f>
        <v/>
      </c>
      <c r="AC84" s="38">
        <f>IF(OR(AC82="",AC83=""),"",IFERROR(AC82/AC83-1,""))</f>
        <v/>
      </c>
    </row>
    <row r="85">
      <c r="C85" s="39" t="n"/>
      <c r="O85" s="39" t="n"/>
      <c r="Y85" s="39" t="n"/>
    </row>
    <row r="86">
      <c r="A86" s="40" t="inlineStr">
        <is>
          <t>출처</t>
        </is>
      </c>
      <c r="C86" s="39" t="n"/>
      <c r="O86" s="39" t="n"/>
      <c r="Y86" s="39" t="n"/>
    </row>
    <row r="87">
      <c r="A87" s="41" t="inlineStr">
        <is>
          <t>결산단신 XBRL(TDnet·JPX 보관소) — 쓴 문서는 '출처' 시트</t>
        </is>
      </c>
      <c r="C87" s="39" t="n"/>
      <c r="O87" s="39" t="n"/>
      <c r="Y87" s="39" t="n"/>
    </row>
    <row r="88">
      <c r="A88" s="41" t="inlineStr">
        <is>
          <t>분기 = 누계에서 앞 분기를 뺀 3개월 값</t>
        </is>
      </c>
      <c r="C88" s="39" t="n"/>
      <c r="O88" s="39" t="n"/>
      <c r="Y88" s="39" t="n"/>
    </row>
    <row r="89">
      <c r="A89" s="41" t="inlineStr">
        <is>
          <t>주가: 야후 파이낸스 일봉</t>
        </is>
      </c>
      <c r="C89" s="39" t="n"/>
      <c r="O89" s="39" t="n"/>
      <c r="Y89" s="39" t="n"/>
    </row>
    <row r="91">
      <c r="A91" s="16" t="inlineStr">
        <is>
          <t>손익계산서 · 전 항목</t>
        </is>
      </c>
      <c r="B91" s="42" t="inlineStr">
        <is>
          <t>분기 = 3개월 단독</t>
        </is>
      </c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  <c r="AB91" s="16" t="n"/>
      <c r="AC91" s="16" t="n"/>
    </row>
    <row r="92">
      <c r="A92" s="5" t="inlineStr">
        <is>
          <t>항목</t>
        </is>
      </c>
      <c r="B92" s="5" t="inlineStr">
        <is>
          <t>참고</t>
        </is>
      </c>
      <c r="C92" s="5" t="inlineStr">
        <is>
          <t>2024.3Q</t>
        </is>
      </c>
      <c r="D92" s="5" t="inlineStr">
        <is>
          <t>2024.4Q</t>
        </is>
      </c>
      <c r="E92" s="5" t="inlineStr">
        <is>
          <t>2025.1Q</t>
        </is>
      </c>
      <c r="F92" s="5" t="inlineStr">
        <is>
          <t>2025.2Q</t>
        </is>
      </c>
      <c r="G92" s="5" t="inlineStr">
        <is>
          <t>2025.3Q</t>
        </is>
      </c>
      <c r="H92" s="5" t="inlineStr">
        <is>
          <t>2025.4Q</t>
        </is>
      </c>
      <c r="I92" s="5" t="inlineStr">
        <is>
          <t>2026.1Q</t>
        </is>
      </c>
      <c r="J92" s="5" t="inlineStr">
        <is>
          <t>2026.2Q</t>
        </is>
      </c>
      <c r="K92" s="5" t="inlineStr">
        <is>
          <t>2026.3Q</t>
        </is>
      </c>
      <c r="L92" s="5" t="inlineStr">
        <is>
          <t>2026.4Q</t>
        </is>
      </c>
      <c r="M92" s="5" t="inlineStr">
        <is>
          <t>2027.1Q</t>
        </is>
      </c>
      <c r="N92" s="5" t="inlineStr">
        <is>
          <t>2027.2Q</t>
        </is>
      </c>
      <c r="O92" s="5" t="inlineStr">
        <is>
          <t>2017</t>
        </is>
      </c>
      <c r="P92" s="5" t="inlineStr">
        <is>
          <t>2018</t>
        </is>
      </c>
      <c r="Q92" s="5" t="inlineStr">
        <is>
          <t>2019</t>
        </is>
      </c>
      <c r="R92" s="5" t="inlineStr">
        <is>
          <t>2020</t>
        </is>
      </c>
      <c r="S92" s="5" t="inlineStr">
        <is>
          <t>2021</t>
        </is>
      </c>
      <c r="T92" s="5" t="inlineStr">
        <is>
          <t>2022</t>
        </is>
      </c>
      <c r="U92" s="5" t="inlineStr">
        <is>
          <t>2023</t>
        </is>
      </c>
      <c r="V92" s="5" t="inlineStr">
        <is>
          <t>2024</t>
        </is>
      </c>
      <c r="W92" s="5" t="inlineStr">
        <is>
          <t>2025</t>
        </is>
      </c>
      <c r="X92" s="5" t="inlineStr">
        <is>
          <t>2026</t>
        </is>
      </c>
      <c r="Y92" s="5" t="inlineStr">
        <is>
          <t>2027(MW)</t>
        </is>
      </c>
      <c r="Z92" s="5" t="inlineStr">
        <is>
          <t>2028(MW)</t>
        </is>
      </c>
      <c r="AA92" s="5" t="inlineStr">
        <is>
          <t>2029(MW)</t>
        </is>
      </c>
      <c r="AB92" s="5" t="inlineStr">
        <is>
          <t>2030(MW)</t>
        </is>
      </c>
      <c r="AC92" s="5" t="inlineStr">
        <is>
          <t>2031(MW)</t>
        </is>
      </c>
    </row>
    <row r="93">
      <c r="A93" s="9" t="inlineStr">
        <is>
          <t>매출액</t>
        </is>
      </c>
      <c r="C93" s="12" t="n">
        <v>46579</v>
      </c>
      <c r="D93" s="12" t="n">
        <v>33087</v>
      </c>
      <c r="E93" s="12" t="n">
        <v>34672</v>
      </c>
      <c r="F93" s="12" t="n">
        <v>34619</v>
      </c>
      <c r="G93" s="12" t="n">
        <v>49858</v>
      </c>
      <c r="H93" s="12" t="n">
        <v>34917</v>
      </c>
      <c r="I93" s="12" t="n">
        <v>40288</v>
      </c>
      <c r="J93" s="12" t="n">
        <v>39017</v>
      </c>
      <c r="K93" s="12" t="n">
        <v>53048</v>
      </c>
      <c r="L93" s="12" t="n">
        <v>38927</v>
      </c>
      <c r="M93" s="12" t="n">
        <v>41248</v>
      </c>
      <c r="N93" s="12" t="n">
        <v>41767</v>
      </c>
      <c r="T93" s="12" t="n">
        <v>34782</v>
      </c>
      <c r="U93" s="12" t="n">
        <v>34341</v>
      </c>
      <c r="V93" s="12" t="n">
        <v>33087</v>
      </c>
      <c r="W93" s="12" t="n">
        <v>34917</v>
      </c>
      <c r="X93" s="12" t="n">
        <v>38927</v>
      </c>
    </row>
    <row r="94">
      <c r="A94" s="43" t="inlineStr">
        <is>
          <t>YoY</t>
        </is>
      </c>
      <c r="B94" s="3" t="inlineStr">
        <is>
          <t>전년 같은 분기·전년 대비</t>
        </is>
      </c>
      <c r="G94" s="15">
        <f>IF(OR(G93="",C93=""),"",IF(C93&lt;=0,"",IFERROR(G93/C93-1,"")))</f>
        <v/>
      </c>
      <c r="H94" s="15">
        <f>IF(OR(H93="",D93=""),"",IF(D93&lt;=0,"",IFERROR(H93/D93-1,"")))</f>
        <v/>
      </c>
      <c r="I94" s="15">
        <f>IF(OR(I93="",E93=""),"",IF(E93&lt;=0,"",IFERROR(I93/E93-1,"")))</f>
        <v/>
      </c>
      <c r="J94" s="15">
        <f>IF(OR(J93="",F93=""),"",IF(F93&lt;=0,"",IFERROR(J93/F93-1,"")))</f>
        <v/>
      </c>
      <c r="K94" s="15">
        <f>IF(OR(K93="",G93=""),"",IF(G93&lt;=0,"",IFERROR(K93/G93-1,"")))</f>
        <v/>
      </c>
      <c r="L94" s="15">
        <f>IF(OR(L93="",H93=""),"",IF(H93&lt;=0,"",IFERROR(L93/H93-1,"")))</f>
        <v/>
      </c>
      <c r="M94" s="15">
        <f>IF(OR(M93="",I93=""),"",IF(I93&lt;=0,"",IFERROR(M93/I93-1,"")))</f>
        <v/>
      </c>
      <c r="N94" s="15">
        <f>IF(OR(N93="",J93=""),"",IF(J93&lt;=0,"",IFERROR(N93/J93-1,"")))</f>
        <v/>
      </c>
      <c r="T94" s="15">
        <f>IF(OR(T93="",S93=""),"",IF(S93&lt;=0,"",IFERROR(T93/S93-1,"")))</f>
        <v/>
      </c>
      <c r="U94" s="15">
        <f>IF(OR(U93="",T93=""),"",IF(T93&lt;=0,"",IFERROR(U93/T93-1,"")))</f>
        <v/>
      </c>
      <c r="V94" s="15">
        <f>IF(OR(V93="",U93=""),"",IF(U93&lt;=0,"",IFERROR(V93/U93-1,"")))</f>
        <v/>
      </c>
      <c r="W94" s="15">
        <f>IF(OR(W93="",V93=""),"",IF(V93&lt;=0,"",IFERROR(W93/V93-1,"")))</f>
        <v/>
      </c>
      <c r="X94" s="15">
        <f>IF(OR(X93="",W93=""),"",IF(W93&lt;=0,"",IFERROR(X93/W93-1,"")))</f>
        <v/>
      </c>
    </row>
    <row r="95">
      <c r="A95" s="18" t="inlineStr">
        <is>
          <t>매출원가</t>
        </is>
      </c>
      <c r="C95" s="20" t="n">
        <v>27243</v>
      </c>
      <c r="D95" s="20" t="n">
        <v>18697</v>
      </c>
      <c r="E95" s="20" t="n">
        <v>19103</v>
      </c>
      <c r="F95" s="20" t="n">
        <v>19738</v>
      </c>
      <c r="G95" s="20" t="n">
        <v>28662</v>
      </c>
      <c r="H95" s="20" t="n">
        <v>19172</v>
      </c>
      <c r="I95" s="20" t="n">
        <v>21994</v>
      </c>
      <c r="J95" s="20" t="n">
        <v>22302</v>
      </c>
      <c r="K95" s="20" t="n">
        <v>30541</v>
      </c>
      <c r="L95" s="20" t="n">
        <v>21966</v>
      </c>
      <c r="M95" s="20" t="n">
        <v>22717</v>
      </c>
      <c r="N95" s="20" t="n">
        <v>23223</v>
      </c>
      <c r="T95" s="20" t="n">
        <v>20066</v>
      </c>
      <c r="U95" s="20" t="n">
        <v>19599</v>
      </c>
      <c r="V95" s="20" t="n">
        <v>18697</v>
      </c>
      <c r="W95" s="20" t="n">
        <v>19172</v>
      </c>
      <c r="X95" s="20" t="n">
        <v>21966</v>
      </c>
    </row>
    <row r="96">
      <c r="A96" s="43" t="inlineStr">
        <is>
          <t>YoY</t>
        </is>
      </c>
      <c r="B96" s="3" t="inlineStr">
        <is>
          <t>전년 같은 분기·전년 대비</t>
        </is>
      </c>
      <c r="G96" s="15">
        <f>IF(OR(G95="",C95=""),"",IF(G95*C95&lt;=0,"",IFERROR(G95/C95-1,"")))</f>
        <v/>
      </c>
      <c r="H96" s="15">
        <f>IF(OR(H95="",D95=""),"",IF(H95*D95&lt;=0,"",IFERROR(H95/D95-1,"")))</f>
        <v/>
      </c>
      <c r="I96" s="15">
        <f>IF(OR(I95="",E95=""),"",IF(I95*E95&lt;=0,"",IFERROR(I95/E95-1,"")))</f>
        <v/>
      </c>
      <c r="J96" s="15">
        <f>IF(OR(J95="",F95=""),"",IF(J95*F95&lt;=0,"",IFERROR(J95/F95-1,"")))</f>
        <v/>
      </c>
      <c r="K96" s="15">
        <f>IF(OR(K95="",G95=""),"",IF(K95*G95&lt;=0,"",IFERROR(K95/G95-1,"")))</f>
        <v/>
      </c>
      <c r="L96" s="15">
        <f>IF(OR(L95="",H95=""),"",IF(L95*H95&lt;=0,"",IFERROR(L95/H95-1,"")))</f>
        <v/>
      </c>
      <c r="M96" s="15">
        <f>IF(OR(M95="",I95=""),"",IF(M95*I95&lt;=0,"",IFERROR(M95/I95-1,"")))</f>
        <v/>
      </c>
      <c r="N96" s="15">
        <f>IF(OR(N95="",J95=""),"",IF(N95*J95&lt;=0,"",IFERROR(N95/J95-1,"")))</f>
        <v/>
      </c>
      <c r="T96" s="15">
        <f>IF(OR(T95="",S95=""),"",IF(T95*S95&lt;=0,"",IFERROR(T95/S95-1,"")))</f>
        <v/>
      </c>
      <c r="U96" s="15">
        <f>IF(OR(U95="",T95=""),"",IF(U95*T95&lt;=0,"",IFERROR(U95/T95-1,"")))</f>
        <v/>
      </c>
      <c r="V96" s="15">
        <f>IF(OR(V95="",U95=""),"",IF(V95*U95&lt;=0,"",IFERROR(V95/U95-1,"")))</f>
        <v/>
      </c>
      <c r="W96" s="15">
        <f>IF(OR(W95="",V95=""),"",IF(W95*V95&lt;=0,"",IFERROR(W95/V95-1,"")))</f>
        <v/>
      </c>
      <c r="X96" s="15">
        <f>IF(OR(X95="",W95=""),"",IF(X95*W95&lt;=0,"",IFERROR(X95/W95-1,"")))</f>
        <v/>
      </c>
    </row>
    <row r="97">
      <c r="A97" s="9" t="inlineStr">
        <is>
          <t>매출총이익</t>
        </is>
      </c>
      <c r="C97" s="12" t="n">
        <v>19335</v>
      </c>
      <c r="D97" s="12" t="n">
        <v>14391</v>
      </c>
      <c r="E97" s="12" t="n">
        <v>15568</v>
      </c>
      <c r="F97" s="12" t="n">
        <v>14882</v>
      </c>
      <c r="G97" s="12" t="n">
        <v>21196</v>
      </c>
      <c r="H97" s="12" t="n">
        <v>15745</v>
      </c>
      <c r="I97" s="12" t="n">
        <v>18293</v>
      </c>
      <c r="J97" s="12" t="n">
        <v>16716</v>
      </c>
      <c r="K97" s="12" t="n">
        <v>22507</v>
      </c>
      <c r="L97" s="12" t="n">
        <v>16961</v>
      </c>
      <c r="M97" s="12" t="n">
        <v>18530</v>
      </c>
      <c r="N97" s="12" t="n">
        <v>18545</v>
      </c>
      <c r="T97" s="12" t="n">
        <v>14716</v>
      </c>
      <c r="U97" s="12" t="n">
        <v>14741</v>
      </c>
      <c r="V97" s="12" t="n">
        <v>14391</v>
      </c>
      <c r="W97" s="12" t="n">
        <v>15745</v>
      </c>
      <c r="X97" s="12" t="n">
        <v>16961</v>
      </c>
    </row>
    <row r="98">
      <c r="A98" s="43" t="inlineStr">
        <is>
          <t>YoY</t>
        </is>
      </c>
      <c r="B98" s="3" t="inlineStr">
        <is>
          <t>전년 같은 분기·전년 대비</t>
        </is>
      </c>
      <c r="G98" s="15">
        <f>IF(OR(G97="",C97=""),"",IF(C97&lt;=0,"",IFERROR(G97/C97-1,"")))</f>
        <v/>
      </c>
      <c r="H98" s="15">
        <f>IF(OR(H97="",D97=""),"",IF(D97&lt;=0,"",IFERROR(H97/D97-1,"")))</f>
        <v/>
      </c>
      <c r="I98" s="15">
        <f>IF(OR(I97="",E97=""),"",IF(E97&lt;=0,"",IFERROR(I97/E97-1,"")))</f>
        <v/>
      </c>
      <c r="J98" s="15">
        <f>IF(OR(J97="",F97=""),"",IF(F97&lt;=0,"",IFERROR(J97/F97-1,"")))</f>
        <v/>
      </c>
      <c r="K98" s="15">
        <f>IF(OR(K97="",G97=""),"",IF(G97&lt;=0,"",IFERROR(K97/G97-1,"")))</f>
        <v/>
      </c>
      <c r="L98" s="15">
        <f>IF(OR(L97="",H97=""),"",IF(H97&lt;=0,"",IFERROR(L97/H97-1,"")))</f>
        <v/>
      </c>
      <c r="M98" s="15">
        <f>IF(OR(M97="",I97=""),"",IF(I97&lt;=0,"",IFERROR(M97/I97-1,"")))</f>
        <v/>
      </c>
      <c r="N98" s="15">
        <f>IF(OR(N97="",J97=""),"",IF(J97&lt;=0,"",IFERROR(N97/J97-1,"")))</f>
        <v/>
      </c>
      <c r="T98" s="15">
        <f>IF(OR(T97="",S97=""),"",IF(S97&lt;=0,"",IFERROR(T97/S97-1,"")))</f>
        <v/>
      </c>
      <c r="U98" s="15">
        <f>IF(OR(U97="",T97=""),"",IF(T97&lt;=0,"",IFERROR(U97/T97-1,"")))</f>
        <v/>
      </c>
      <c r="V98" s="15">
        <f>IF(OR(V97="",U97=""),"",IF(U97&lt;=0,"",IFERROR(V97/U97-1,"")))</f>
        <v/>
      </c>
      <c r="W98" s="15">
        <f>IF(OR(W97="",V97=""),"",IF(V97&lt;=0,"",IFERROR(W97/V97-1,"")))</f>
        <v/>
      </c>
      <c r="X98" s="15">
        <f>IF(OR(X97="",W97=""),"",IF(W97&lt;=0,"",IFERROR(X97/W97-1,"")))</f>
        <v/>
      </c>
    </row>
    <row r="99">
      <c r="A99" s="18" t="inlineStr">
        <is>
          <t>판매비와 관리비</t>
        </is>
      </c>
      <c r="C99" s="20" t="n">
        <v>12605</v>
      </c>
      <c r="D99" s="20" t="n">
        <v>11881</v>
      </c>
      <c r="E99" s="20" t="n">
        <v>12450</v>
      </c>
      <c r="F99" s="20" t="n">
        <v>12646</v>
      </c>
      <c r="G99" s="20" t="n">
        <v>13430</v>
      </c>
      <c r="H99" s="20" t="n">
        <v>13414</v>
      </c>
      <c r="I99" s="20" t="n">
        <v>14795</v>
      </c>
      <c r="J99" s="20" t="n">
        <v>14720</v>
      </c>
      <c r="K99" s="20" t="n">
        <v>15285</v>
      </c>
      <c r="L99" s="20" t="n">
        <v>14589</v>
      </c>
      <c r="M99" s="20" t="n">
        <v>15623</v>
      </c>
      <c r="N99" s="20" t="n">
        <v>14955</v>
      </c>
      <c r="T99" s="20" t="n">
        <v>11686</v>
      </c>
      <c r="U99" s="20" t="n">
        <v>12393</v>
      </c>
      <c r="V99" s="20" t="n">
        <v>11881</v>
      </c>
      <c r="W99" s="20" t="n">
        <v>13414</v>
      </c>
      <c r="X99" s="20" t="n">
        <v>14589</v>
      </c>
    </row>
    <row r="100">
      <c r="A100" s="43" t="inlineStr">
        <is>
          <t>YoY</t>
        </is>
      </c>
      <c r="B100" s="3" t="inlineStr">
        <is>
          <t>전년 같은 분기·전년 대비</t>
        </is>
      </c>
      <c r="G100" s="15">
        <f>IF(OR(G99="",C99=""),"",IF(G99*C99&lt;=0,"",IFERROR(G99/C99-1,"")))</f>
        <v/>
      </c>
      <c r="H100" s="15">
        <f>IF(OR(H99="",D99=""),"",IF(H99*D99&lt;=0,"",IFERROR(H99/D99-1,"")))</f>
        <v/>
      </c>
      <c r="I100" s="15">
        <f>IF(OR(I99="",E99=""),"",IF(I99*E99&lt;=0,"",IFERROR(I99/E99-1,"")))</f>
        <v/>
      </c>
      <c r="J100" s="15">
        <f>IF(OR(J99="",F99=""),"",IF(J99*F99&lt;=0,"",IFERROR(J99/F99-1,"")))</f>
        <v/>
      </c>
      <c r="K100" s="15">
        <f>IF(OR(K99="",G99=""),"",IF(K99*G99&lt;=0,"",IFERROR(K99/G99-1,"")))</f>
        <v/>
      </c>
      <c r="L100" s="15">
        <f>IF(OR(L99="",H99=""),"",IF(L99*H99&lt;=0,"",IFERROR(L99/H99-1,"")))</f>
        <v/>
      </c>
      <c r="M100" s="15">
        <f>IF(OR(M99="",I99=""),"",IF(M99*I99&lt;=0,"",IFERROR(M99/I99-1,"")))</f>
        <v/>
      </c>
      <c r="N100" s="15">
        <f>IF(OR(N99="",J99=""),"",IF(N99*J99&lt;=0,"",IFERROR(N99/J99-1,"")))</f>
        <v/>
      </c>
      <c r="T100" s="15">
        <f>IF(OR(T99="",S99=""),"",IF(T99*S99&lt;=0,"",IFERROR(T99/S99-1,"")))</f>
        <v/>
      </c>
      <c r="U100" s="15">
        <f>IF(OR(U99="",T99=""),"",IF(U99*T99&lt;=0,"",IFERROR(U99/T99-1,"")))</f>
        <v/>
      </c>
      <c r="V100" s="15">
        <f>IF(OR(V99="",U99=""),"",IF(V99*U99&lt;=0,"",IFERROR(V99/U99-1,"")))</f>
        <v/>
      </c>
      <c r="W100" s="15">
        <f>IF(OR(W99="",V99=""),"",IF(W99*V99&lt;=0,"",IFERROR(W99/V99-1,"")))</f>
        <v/>
      </c>
      <c r="X100" s="15">
        <f>IF(OR(X99="",W99=""),"",IF(X99*W99&lt;=0,"",IFERROR(X99/W99-1,"")))</f>
        <v/>
      </c>
    </row>
    <row r="101">
      <c r="A101" s="9" t="inlineStr">
        <is>
          <t>영업이익</t>
        </is>
      </c>
      <c r="C101" s="12" t="n">
        <v>6731</v>
      </c>
      <c r="D101" s="12" t="n">
        <v>2509</v>
      </c>
      <c r="E101" s="12" t="n">
        <v>3117</v>
      </c>
      <c r="F101" s="12" t="n">
        <v>2236</v>
      </c>
      <c r="G101" s="12" t="n">
        <v>7766</v>
      </c>
      <c r="H101" s="12" t="n">
        <v>2331</v>
      </c>
      <c r="I101" s="12" t="n">
        <v>3498</v>
      </c>
      <c r="J101" s="12" t="n">
        <v>1995</v>
      </c>
      <c r="K101" s="12" t="n">
        <v>7223</v>
      </c>
      <c r="L101" s="12" t="n">
        <v>2371</v>
      </c>
      <c r="M101" s="12" t="n">
        <v>2907</v>
      </c>
      <c r="N101" s="12" t="n">
        <v>3589</v>
      </c>
      <c r="T101" s="12" t="n">
        <v>3030</v>
      </c>
      <c r="U101" s="12" t="n">
        <v>2349</v>
      </c>
      <c r="V101" s="12" t="n">
        <v>2509</v>
      </c>
      <c r="W101" s="12" t="n">
        <v>2331</v>
      </c>
      <c r="X101" s="12" t="n">
        <v>2371</v>
      </c>
    </row>
    <row r="102">
      <c r="A102" s="43" t="inlineStr">
        <is>
          <t>OPM</t>
        </is>
      </c>
      <c r="B102" s="3" t="inlineStr">
        <is>
          <t>영업이익 ÷ 매출</t>
        </is>
      </c>
      <c r="C102" s="15">
        <f>IF(OR(C101="",C93=""),"",IF(C93&lt;=0,"",IFERROR(C101/C93,"")))</f>
        <v/>
      </c>
      <c r="D102" s="15">
        <f>IF(OR(D101="",D93=""),"",IF(D93&lt;=0,"",IFERROR(D101/D93,"")))</f>
        <v/>
      </c>
      <c r="E102" s="15">
        <f>IF(OR(E101="",E93=""),"",IF(E93&lt;=0,"",IFERROR(E101/E93,"")))</f>
        <v/>
      </c>
      <c r="F102" s="15">
        <f>IF(OR(F101="",F93=""),"",IF(F93&lt;=0,"",IFERROR(F101/F93,"")))</f>
        <v/>
      </c>
      <c r="G102" s="15">
        <f>IF(OR(G101="",G93=""),"",IF(G93&lt;=0,"",IFERROR(G101/G93,"")))</f>
        <v/>
      </c>
      <c r="H102" s="15">
        <f>IF(OR(H101="",H93=""),"",IF(H93&lt;=0,"",IFERROR(H101/H93,"")))</f>
        <v/>
      </c>
      <c r="I102" s="15">
        <f>IF(OR(I101="",I93=""),"",IF(I93&lt;=0,"",IFERROR(I101/I93,"")))</f>
        <v/>
      </c>
      <c r="J102" s="15">
        <f>IF(OR(J101="",J93=""),"",IF(J93&lt;=0,"",IFERROR(J101/J93,"")))</f>
        <v/>
      </c>
      <c r="K102" s="15">
        <f>IF(OR(K101="",K93=""),"",IF(K93&lt;=0,"",IFERROR(K101/K93,"")))</f>
        <v/>
      </c>
      <c r="L102" s="15">
        <f>IF(OR(L101="",L93=""),"",IF(L93&lt;=0,"",IFERROR(L101/L93,"")))</f>
        <v/>
      </c>
      <c r="M102" s="15">
        <f>IF(OR(M101="",M93=""),"",IF(M93&lt;=0,"",IFERROR(M101/M93,"")))</f>
        <v/>
      </c>
      <c r="N102" s="15">
        <f>IF(OR(N101="",N93=""),"",IF(N93&lt;=0,"",IFERROR(N101/N93,"")))</f>
        <v/>
      </c>
      <c r="T102" s="15">
        <f>IF(OR(T101="",T93=""),"",IF(T93&lt;=0,"",IFERROR(T101/T93,"")))</f>
        <v/>
      </c>
      <c r="U102" s="15">
        <f>IF(OR(U101="",U93=""),"",IF(U93&lt;=0,"",IFERROR(U101/U93,"")))</f>
        <v/>
      </c>
      <c r="V102" s="15">
        <f>IF(OR(V101="",V93=""),"",IF(V93&lt;=0,"",IFERROR(V101/V93,"")))</f>
        <v/>
      </c>
      <c r="W102" s="15">
        <f>IF(OR(W101="",W93=""),"",IF(W93&lt;=0,"",IFERROR(W101/W93,"")))</f>
        <v/>
      </c>
      <c r="X102" s="15">
        <f>IF(OR(X101="",X93=""),"",IF(X93&lt;=0,"",IFERROR(X101/X93,"")))</f>
        <v/>
      </c>
    </row>
    <row r="103">
      <c r="A103" s="43" t="inlineStr">
        <is>
          <t>YoY</t>
        </is>
      </c>
      <c r="B103" s="3" t="inlineStr">
        <is>
          <t>전년 같은 분기·전년 대비</t>
        </is>
      </c>
      <c r="G103" s="15">
        <f>IF(OR(G101="",C101=""),"",IF(C101&lt;=0,"",IFERROR(G101/C101-1,"")))</f>
        <v/>
      </c>
      <c r="H103" s="15">
        <f>IF(OR(H101="",D101=""),"",IF(D101&lt;=0,"",IFERROR(H101/D101-1,"")))</f>
        <v/>
      </c>
      <c r="I103" s="15">
        <f>IF(OR(I101="",E101=""),"",IF(E101&lt;=0,"",IFERROR(I101/E101-1,"")))</f>
        <v/>
      </c>
      <c r="J103" s="15">
        <f>IF(OR(J101="",F101=""),"",IF(F101&lt;=0,"",IFERROR(J101/F101-1,"")))</f>
        <v/>
      </c>
      <c r="K103" s="15">
        <f>IF(OR(K101="",G101=""),"",IF(G101&lt;=0,"",IFERROR(K101/G101-1,"")))</f>
        <v/>
      </c>
      <c r="L103" s="15">
        <f>IF(OR(L101="",H101=""),"",IF(H101&lt;=0,"",IFERROR(L101/H101-1,"")))</f>
        <v/>
      </c>
      <c r="M103" s="15">
        <f>IF(OR(M101="",I101=""),"",IF(I101&lt;=0,"",IFERROR(M101/I101-1,"")))</f>
        <v/>
      </c>
      <c r="N103" s="15">
        <f>IF(OR(N101="",J101=""),"",IF(J101&lt;=0,"",IFERROR(N101/J101-1,"")))</f>
        <v/>
      </c>
      <c r="T103" s="15">
        <f>IF(OR(T101="",S101=""),"",IF(S101&lt;=0,"",IFERROR(T101/S101-1,"")))</f>
        <v/>
      </c>
      <c r="U103" s="15">
        <f>IF(OR(U101="",T101=""),"",IF(T101&lt;=0,"",IFERROR(U101/T101-1,"")))</f>
        <v/>
      </c>
      <c r="V103" s="15">
        <f>IF(OR(V101="",U101=""),"",IF(U101&lt;=0,"",IFERROR(V101/U101-1,"")))</f>
        <v/>
      </c>
      <c r="W103" s="15">
        <f>IF(OR(W101="",V101=""),"",IF(V101&lt;=0,"",IFERROR(W101/V101-1,"")))</f>
        <v/>
      </c>
      <c r="X103" s="15">
        <f>IF(OR(X101="",W101=""),"",IF(W101&lt;=0,"",IFERROR(X101/W101-1,"")))</f>
        <v/>
      </c>
    </row>
    <row r="104">
      <c r="A104" s="18" t="inlineStr">
        <is>
          <t>이자수익</t>
        </is>
      </c>
      <c r="C104" s="20" t="n">
        <v>9</v>
      </c>
      <c r="D104" s="20" t="n">
        <v>10</v>
      </c>
      <c r="E104" s="20" t="n">
        <v>8</v>
      </c>
      <c r="F104" s="20" t="n">
        <v>8</v>
      </c>
      <c r="G104" s="20" t="n">
        <v>8</v>
      </c>
      <c r="H104" s="20" t="n">
        <v>11</v>
      </c>
      <c r="I104" s="20" t="n">
        <v>7</v>
      </c>
      <c r="J104" s="20" t="n">
        <v>8</v>
      </c>
      <c r="K104" s="20" t="n">
        <v>8</v>
      </c>
      <c r="L104" s="20" t="n">
        <v>9</v>
      </c>
      <c r="M104" s="20" t="n">
        <v>7</v>
      </c>
      <c r="N104" s="20" t="n">
        <v>8</v>
      </c>
      <c r="T104" s="20" t="n">
        <v>11</v>
      </c>
      <c r="U104" s="20" t="n">
        <v>11</v>
      </c>
      <c r="V104" s="20" t="n">
        <v>10</v>
      </c>
      <c r="W104" s="20" t="n">
        <v>11</v>
      </c>
      <c r="X104" s="20" t="n">
        <v>9</v>
      </c>
    </row>
    <row r="105">
      <c r="A105" s="18" t="inlineStr">
        <is>
          <t>배당금수익</t>
        </is>
      </c>
      <c r="C105" s="20" t="n">
        <v>76</v>
      </c>
      <c r="D105" s="20" t="n">
        <v>76</v>
      </c>
      <c r="E105" s="20" t="n">
        <v>86</v>
      </c>
      <c r="F105" s="20" t="n">
        <v>49</v>
      </c>
      <c r="G105" s="20" t="n">
        <v>98</v>
      </c>
      <c r="H105" s="20" t="n">
        <v>70</v>
      </c>
      <c r="I105" s="20" t="n">
        <v>108</v>
      </c>
      <c r="J105" s="20" t="n">
        <v>82</v>
      </c>
      <c r="K105" s="20" t="n">
        <v>123</v>
      </c>
      <c r="L105" s="20" t="n">
        <v>86</v>
      </c>
      <c r="M105" s="20" t="n">
        <v>148</v>
      </c>
      <c r="N105" s="20" t="n">
        <v>76</v>
      </c>
      <c r="V105" s="20" t="n">
        <v>76</v>
      </c>
      <c r="W105" s="20" t="n">
        <v>70</v>
      </c>
      <c r="X105" s="20" t="n">
        <v>86</v>
      </c>
    </row>
    <row r="106">
      <c r="A106" s="18" t="inlineStr">
        <is>
          <t>수수료 수익</t>
        </is>
      </c>
      <c r="C106" s="20" t="n">
        <v>91</v>
      </c>
      <c r="D106" s="20" t="n">
        <v>74</v>
      </c>
      <c r="E106" s="20" t="n">
        <v>91</v>
      </c>
      <c r="F106" s="20" t="n">
        <v>91</v>
      </c>
      <c r="G106" s="20" t="n">
        <v>100</v>
      </c>
      <c r="H106" s="20" t="n">
        <v>78</v>
      </c>
      <c r="I106" s="20" t="n">
        <v>115</v>
      </c>
      <c r="J106" s="20" t="n">
        <v>96</v>
      </c>
      <c r="K106" s="20" t="n">
        <v>124</v>
      </c>
      <c r="L106" s="20" t="n">
        <v>97</v>
      </c>
      <c r="M106" s="20" t="n">
        <v>115</v>
      </c>
      <c r="N106" s="20" t="n">
        <v>109</v>
      </c>
      <c r="T106" s="20" t="n">
        <v>68</v>
      </c>
      <c r="U106" s="20" t="n">
        <v>84</v>
      </c>
      <c r="V106" s="20" t="n">
        <v>74</v>
      </c>
      <c r="W106" s="20" t="n">
        <v>78</v>
      </c>
      <c r="X106" s="20" t="n">
        <v>97</v>
      </c>
    </row>
    <row r="107">
      <c r="A107" s="18" t="inlineStr">
        <is>
          <t>지분법이익</t>
        </is>
      </c>
      <c r="D107" s="20" t="n">
        <v>-42</v>
      </c>
      <c r="E107" s="20" t="n">
        <v>38</v>
      </c>
      <c r="H107" s="20" t="n">
        <v>-38</v>
      </c>
      <c r="I107" s="20" t="n">
        <v>31</v>
      </c>
      <c r="J107" s="20" t="n">
        <v>-31</v>
      </c>
      <c r="K107" s="20" t="n">
        <v>108</v>
      </c>
      <c r="L107" s="20" t="n">
        <v>-35</v>
      </c>
      <c r="M107" s="20" t="n">
        <v>40</v>
      </c>
      <c r="N107" s="20" t="n">
        <v>-21</v>
      </c>
      <c r="T107" s="20" t="n">
        <v>-44</v>
      </c>
      <c r="U107" s="20" t="n">
        <v>-33</v>
      </c>
      <c r="V107" s="20" t="n">
        <v>-42</v>
      </c>
      <c r="W107" s="20" t="n">
        <v>-38</v>
      </c>
      <c r="X107" s="20" t="n">
        <v>-35</v>
      </c>
    </row>
    <row r="108">
      <c r="A108" s="18" t="inlineStr">
        <is>
          <t>위약금 수입</t>
        </is>
      </c>
      <c r="C108" s="20" t="n">
        <v>0</v>
      </c>
      <c r="D108" s="20" t="n">
        <v>2</v>
      </c>
      <c r="G108" s="20" t="n">
        <v>0</v>
      </c>
      <c r="U108" s="20" t="n">
        <v>0</v>
      </c>
      <c r="V108" s="20" t="n">
        <v>2</v>
      </c>
    </row>
    <row r="109">
      <c r="A109" s="18" t="inlineStr">
        <is>
          <t>대손충당금 환입</t>
        </is>
      </c>
      <c r="E109" s="20" t="n">
        <v>0</v>
      </c>
      <c r="F109" s="20" t="n">
        <v>0</v>
      </c>
      <c r="I109" s="20" t="n">
        <v>1</v>
      </c>
      <c r="J109" s="20" t="n">
        <v>5</v>
      </c>
      <c r="M109" s="20" t="n">
        <v>0</v>
      </c>
      <c r="N109" s="20" t="n">
        <v>0</v>
      </c>
    </row>
    <row r="110">
      <c r="A110" s="18" t="inlineStr">
        <is>
          <t>기타</t>
        </is>
      </c>
      <c r="C110" s="20" t="n">
        <v>157</v>
      </c>
      <c r="D110" s="20" t="n">
        <v>154</v>
      </c>
      <c r="E110" s="20" t="n">
        <v>134</v>
      </c>
      <c r="F110" s="20" t="n">
        <v>148</v>
      </c>
      <c r="G110" s="20" t="n">
        <v>181</v>
      </c>
      <c r="H110" s="20" t="n">
        <v>222</v>
      </c>
      <c r="I110" s="20" t="n">
        <v>151</v>
      </c>
      <c r="J110" s="20" t="n">
        <v>206</v>
      </c>
      <c r="K110" s="20" t="n">
        <v>312</v>
      </c>
      <c r="L110" s="20" t="n">
        <v>190</v>
      </c>
      <c r="M110" s="20" t="n">
        <v>222</v>
      </c>
      <c r="N110" s="20" t="n">
        <v>137</v>
      </c>
      <c r="T110" s="20" t="n">
        <v>-14</v>
      </c>
      <c r="U110" s="20" t="n">
        <v>-2</v>
      </c>
      <c r="V110" s="20" t="n">
        <v>154</v>
      </c>
      <c r="W110" s="20" t="n">
        <v>222</v>
      </c>
      <c r="X110" s="20" t="n">
        <v>190</v>
      </c>
    </row>
    <row r="111">
      <c r="A111" s="18" t="inlineStr">
        <is>
          <t>영업외수익 합계</t>
        </is>
      </c>
      <c r="C111" s="20" t="n">
        <v>417</v>
      </c>
      <c r="D111" s="20" t="n">
        <v>276</v>
      </c>
      <c r="E111" s="20" t="n">
        <v>358</v>
      </c>
      <c r="F111" s="20" t="n">
        <v>259</v>
      </c>
      <c r="G111" s="20" t="n">
        <v>506</v>
      </c>
      <c r="H111" s="20" t="n">
        <v>344</v>
      </c>
      <c r="I111" s="20" t="n">
        <v>416</v>
      </c>
      <c r="J111" s="20" t="n">
        <v>364</v>
      </c>
      <c r="K111" s="20" t="n">
        <v>670</v>
      </c>
      <c r="L111" s="20" t="n">
        <v>363</v>
      </c>
      <c r="M111" s="20" t="n">
        <v>533</v>
      </c>
      <c r="N111" s="20" t="n">
        <v>311</v>
      </c>
      <c r="T111" s="20" t="n">
        <v>206</v>
      </c>
      <c r="U111" s="20" t="n">
        <v>257</v>
      </c>
      <c r="V111" s="20" t="n">
        <v>276</v>
      </c>
      <c r="W111" s="20" t="n">
        <v>344</v>
      </c>
      <c r="X111" s="20" t="n">
        <v>363</v>
      </c>
    </row>
    <row r="112">
      <c r="A112" s="43" t="inlineStr">
        <is>
          <t>YoY</t>
        </is>
      </c>
      <c r="B112" s="3" t="inlineStr">
        <is>
          <t>전년 같은 분기·전년 대비</t>
        </is>
      </c>
      <c r="G112" s="15">
        <f>IF(OR(G111="",C111=""),"",IF(G111*C111&lt;=0,"",IFERROR(G111/C111-1,"")))</f>
        <v/>
      </c>
      <c r="H112" s="15">
        <f>IF(OR(H111="",D111=""),"",IF(H111*D111&lt;=0,"",IFERROR(H111/D111-1,"")))</f>
        <v/>
      </c>
      <c r="I112" s="15">
        <f>IF(OR(I111="",E111=""),"",IF(I111*E111&lt;=0,"",IFERROR(I111/E111-1,"")))</f>
        <v/>
      </c>
      <c r="J112" s="15">
        <f>IF(OR(J111="",F111=""),"",IF(J111*F111&lt;=0,"",IFERROR(J111/F111-1,"")))</f>
        <v/>
      </c>
      <c r="K112" s="15">
        <f>IF(OR(K111="",G111=""),"",IF(K111*G111&lt;=0,"",IFERROR(K111/G111-1,"")))</f>
        <v/>
      </c>
      <c r="L112" s="15">
        <f>IF(OR(L111="",H111=""),"",IF(L111*H111&lt;=0,"",IFERROR(L111/H111-1,"")))</f>
        <v/>
      </c>
      <c r="M112" s="15">
        <f>IF(OR(M111="",I111=""),"",IF(M111*I111&lt;=0,"",IFERROR(M111/I111-1,"")))</f>
        <v/>
      </c>
      <c r="N112" s="15">
        <f>IF(OR(N111="",J111=""),"",IF(N111*J111&lt;=0,"",IFERROR(N111/J111-1,"")))</f>
        <v/>
      </c>
      <c r="T112" s="15">
        <f>IF(OR(T111="",S111=""),"",IF(T111*S111&lt;=0,"",IFERROR(T111/S111-1,"")))</f>
        <v/>
      </c>
      <c r="U112" s="15">
        <f>IF(OR(U111="",T111=""),"",IF(U111*T111&lt;=0,"",IFERROR(U111/T111-1,"")))</f>
        <v/>
      </c>
      <c r="V112" s="15">
        <f>IF(OR(V111="",U111=""),"",IF(V111*U111&lt;=0,"",IFERROR(V111/U111-1,"")))</f>
        <v/>
      </c>
      <c r="W112" s="15">
        <f>IF(OR(W111="",V111=""),"",IF(W111*V111&lt;=0,"",IFERROR(W111/V111-1,"")))</f>
        <v/>
      </c>
      <c r="X112" s="15">
        <f>IF(OR(X111="",W111=""),"",IF(X111*W111&lt;=0,"",IFERROR(X111/W111-1,"")))</f>
        <v/>
      </c>
    </row>
    <row r="113">
      <c r="A113" s="18" t="inlineStr">
        <is>
          <t>이자비용</t>
        </is>
      </c>
      <c r="C113" s="20" t="n">
        <v>3</v>
      </c>
      <c r="D113" s="20" t="n">
        <v>2</v>
      </c>
      <c r="E113" s="20" t="n">
        <v>0</v>
      </c>
      <c r="F113" s="20" t="n">
        <v>2</v>
      </c>
      <c r="G113" s="20" t="n">
        <v>7</v>
      </c>
      <c r="H113" s="20" t="n">
        <v>14</v>
      </c>
      <c r="I113" s="20" t="n">
        <v>20</v>
      </c>
      <c r="J113" s="20" t="n">
        <v>38</v>
      </c>
      <c r="K113" s="20" t="n">
        <v>73</v>
      </c>
      <c r="L113" s="20" t="n">
        <v>71</v>
      </c>
      <c r="M113" s="20" t="n">
        <v>67</v>
      </c>
      <c r="N113" s="20" t="n">
        <v>68</v>
      </c>
      <c r="T113" s="20" t="n">
        <v>2</v>
      </c>
      <c r="U113" s="20" t="n">
        <v>1</v>
      </c>
      <c r="V113" s="20" t="n">
        <v>2</v>
      </c>
      <c r="W113" s="20" t="n">
        <v>14</v>
      </c>
      <c r="X113" s="20" t="n">
        <v>71</v>
      </c>
    </row>
    <row r="114">
      <c r="A114" s="18" t="inlineStr">
        <is>
          <t>기타</t>
        </is>
      </c>
      <c r="C114" s="20" t="n">
        <v>6</v>
      </c>
      <c r="D114" s="20" t="n">
        <v>10</v>
      </c>
      <c r="E114" s="20" t="n">
        <v>11</v>
      </c>
      <c r="F114" s="20" t="n">
        <v>14</v>
      </c>
      <c r="G114" s="20" t="n">
        <v>6</v>
      </c>
      <c r="H114" s="20" t="n">
        <v>24</v>
      </c>
      <c r="I114" s="20" t="n">
        <v>30</v>
      </c>
      <c r="J114" s="20" t="n">
        <v>35</v>
      </c>
      <c r="K114" s="20" t="n">
        <v>20</v>
      </c>
      <c r="L114" s="20" t="n">
        <v>30</v>
      </c>
      <c r="M114" s="20" t="n">
        <v>12</v>
      </c>
      <c r="N114" s="20" t="n">
        <v>8</v>
      </c>
      <c r="T114" s="20" t="n">
        <v>-47</v>
      </c>
      <c r="U114" s="20" t="n">
        <v>12</v>
      </c>
      <c r="V114" s="20" t="n">
        <v>10</v>
      </c>
      <c r="W114" s="20" t="n">
        <v>24</v>
      </c>
      <c r="X114" s="20" t="n">
        <v>30</v>
      </c>
    </row>
    <row r="115">
      <c r="A115" s="18" t="inlineStr">
        <is>
          <t>영업외비용 합계</t>
        </is>
      </c>
      <c r="C115" s="20" t="n">
        <v>-30</v>
      </c>
      <c r="D115" s="20" t="n">
        <v>11</v>
      </c>
      <c r="E115" s="20" t="n">
        <v>12</v>
      </c>
      <c r="F115" s="20" t="n">
        <v>39</v>
      </c>
      <c r="G115" s="20" t="n">
        <v>-10</v>
      </c>
      <c r="H115" s="20" t="n">
        <v>38</v>
      </c>
      <c r="I115" s="20" t="n">
        <v>51</v>
      </c>
      <c r="J115" s="20" t="n">
        <v>105</v>
      </c>
      <c r="K115" s="20" t="n">
        <v>60</v>
      </c>
      <c r="L115" s="20" t="n">
        <v>102</v>
      </c>
      <c r="M115" s="20" t="n">
        <v>80</v>
      </c>
      <c r="N115" s="20" t="n">
        <v>76</v>
      </c>
      <c r="T115" s="20" t="n">
        <v>24</v>
      </c>
      <c r="U115" s="20" t="n">
        <v>21</v>
      </c>
      <c r="V115" s="20" t="n">
        <v>11</v>
      </c>
      <c r="W115" s="20" t="n">
        <v>38</v>
      </c>
      <c r="X115" s="20" t="n">
        <v>102</v>
      </c>
    </row>
    <row r="116">
      <c r="A116" s="43" t="inlineStr">
        <is>
          <t>YoY</t>
        </is>
      </c>
      <c r="B116" s="3" t="inlineStr">
        <is>
          <t>전년 같은 분기·전년 대비</t>
        </is>
      </c>
      <c r="G116" s="15">
        <f>IF(OR(G115="",C115=""),"",IF(G115*C115&lt;=0,"",IFERROR(G115/C115-1,"")))</f>
        <v/>
      </c>
      <c r="H116" s="15">
        <f>IF(OR(H115="",D115=""),"",IF(H115*D115&lt;=0,"",IFERROR(H115/D115-1,"")))</f>
        <v/>
      </c>
      <c r="I116" s="15">
        <f>IF(OR(I115="",E115=""),"",IF(I115*E115&lt;=0,"",IFERROR(I115/E115-1,"")))</f>
        <v/>
      </c>
      <c r="J116" s="15">
        <f>IF(OR(J115="",F115=""),"",IF(J115*F115&lt;=0,"",IFERROR(J115/F115-1,"")))</f>
        <v/>
      </c>
      <c r="K116" s="15">
        <f>IF(OR(K115="",G115=""),"",IF(K115*G115&lt;=0,"",IFERROR(K115/G115-1,"")))</f>
        <v/>
      </c>
      <c r="L116" s="15">
        <f>IF(OR(L115="",H115=""),"",IF(L115*H115&lt;=0,"",IFERROR(L115/H115-1,"")))</f>
        <v/>
      </c>
      <c r="M116" s="15">
        <f>IF(OR(M115="",I115=""),"",IF(M115*I115&lt;=0,"",IFERROR(M115/I115-1,"")))</f>
        <v/>
      </c>
      <c r="N116" s="15">
        <f>IF(OR(N115="",J115=""),"",IF(N115*J115&lt;=0,"",IFERROR(N115/J115-1,"")))</f>
        <v/>
      </c>
      <c r="T116" s="15">
        <f>IF(OR(T115="",S115=""),"",IF(T115*S115&lt;=0,"",IFERROR(T115/S115-1,"")))</f>
        <v/>
      </c>
      <c r="U116" s="15">
        <f>IF(OR(U115="",T115=""),"",IF(U115*T115&lt;=0,"",IFERROR(U115/T115-1,"")))</f>
        <v/>
      </c>
      <c r="V116" s="15">
        <f>IF(OR(V115="",U115=""),"",IF(V115*U115&lt;=0,"",IFERROR(V115/U115-1,"")))</f>
        <v/>
      </c>
      <c r="W116" s="15">
        <f>IF(OR(W115="",V115=""),"",IF(W115*V115&lt;=0,"",IFERROR(W115/V115-1,"")))</f>
        <v/>
      </c>
      <c r="X116" s="15">
        <f>IF(OR(X115="",W115=""),"",IF(X115*W115&lt;=0,"",IFERROR(X115/W115-1,"")))</f>
        <v/>
      </c>
    </row>
    <row r="117">
      <c r="A117" s="9" t="inlineStr">
        <is>
          <t>경상이익</t>
        </is>
      </c>
      <c r="C117" s="12" t="n">
        <v>7178</v>
      </c>
      <c r="D117" s="12" t="n">
        <v>2774</v>
      </c>
      <c r="E117" s="12" t="n">
        <v>3463</v>
      </c>
      <c r="F117" s="12" t="n">
        <v>2457</v>
      </c>
      <c r="G117" s="12" t="n">
        <v>8282</v>
      </c>
      <c r="H117" s="12" t="n">
        <v>2636</v>
      </c>
      <c r="I117" s="12" t="n">
        <v>3863</v>
      </c>
      <c r="J117" s="12" t="n">
        <v>2254</v>
      </c>
      <c r="K117" s="12" t="n">
        <v>7832</v>
      </c>
      <c r="L117" s="12" t="n">
        <v>2633</v>
      </c>
      <c r="M117" s="12" t="n">
        <v>3360</v>
      </c>
      <c r="N117" s="12" t="n">
        <v>3824</v>
      </c>
      <c r="T117" s="12" t="n">
        <v>3211</v>
      </c>
      <c r="U117" s="12" t="n">
        <v>2585</v>
      </c>
      <c r="V117" s="12" t="n">
        <v>2774</v>
      </c>
      <c r="W117" s="12" t="n">
        <v>2636</v>
      </c>
      <c r="X117" s="12" t="n">
        <v>2633</v>
      </c>
    </row>
    <row r="118">
      <c r="A118" s="43" t="inlineStr">
        <is>
          <t>YoY</t>
        </is>
      </c>
      <c r="B118" s="3" t="inlineStr">
        <is>
          <t>전년 같은 분기·전년 대비</t>
        </is>
      </c>
      <c r="G118" s="15">
        <f>IF(OR(G117="",C117=""),"",IF(C117&lt;=0,"",IFERROR(G117/C117-1,"")))</f>
        <v/>
      </c>
      <c r="H118" s="15">
        <f>IF(OR(H117="",D117=""),"",IF(D117&lt;=0,"",IFERROR(H117/D117-1,"")))</f>
        <v/>
      </c>
      <c r="I118" s="15">
        <f>IF(OR(I117="",E117=""),"",IF(E117&lt;=0,"",IFERROR(I117/E117-1,"")))</f>
        <v/>
      </c>
      <c r="J118" s="15">
        <f>IF(OR(J117="",F117=""),"",IF(F117&lt;=0,"",IFERROR(J117/F117-1,"")))</f>
        <v/>
      </c>
      <c r="K118" s="15">
        <f>IF(OR(K117="",G117=""),"",IF(G117&lt;=0,"",IFERROR(K117/G117-1,"")))</f>
        <v/>
      </c>
      <c r="L118" s="15">
        <f>IF(OR(L117="",H117=""),"",IF(H117&lt;=0,"",IFERROR(L117/H117-1,"")))</f>
        <v/>
      </c>
      <c r="M118" s="15">
        <f>IF(OR(M117="",I117=""),"",IF(I117&lt;=0,"",IFERROR(M117/I117-1,"")))</f>
        <v/>
      </c>
      <c r="N118" s="15">
        <f>IF(OR(N117="",J117=""),"",IF(J117&lt;=0,"",IFERROR(N117/J117-1,"")))</f>
        <v/>
      </c>
      <c r="T118" s="15">
        <f>IF(OR(T117="",S117=""),"",IF(S117&lt;=0,"",IFERROR(T117/S117-1,"")))</f>
        <v/>
      </c>
      <c r="U118" s="15">
        <f>IF(OR(U117="",T117=""),"",IF(T117&lt;=0,"",IFERROR(U117/T117-1,"")))</f>
        <v/>
      </c>
      <c r="V118" s="15">
        <f>IF(OR(V117="",U117=""),"",IF(U117&lt;=0,"",IFERROR(V117/U117-1,"")))</f>
        <v/>
      </c>
      <c r="W118" s="15">
        <f>IF(OR(W117="",V117=""),"",IF(V117&lt;=0,"",IFERROR(W117/V117-1,"")))</f>
        <v/>
      </c>
      <c r="X118" s="15">
        <f>IF(OR(X117="",W117=""),"",IF(W117&lt;=0,"",IFERROR(X117/W117-1,"")))</f>
        <v/>
      </c>
    </row>
    <row r="119">
      <c r="A119" s="18" t="inlineStr">
        <is>
          <t>고정자산 매각이익</t>
        </is>
      </c>
      <c r="C119" s="20" t="n">
        <v>2</v>
      </c>
      <c r="D119" s="20" t="n">
        <v>2</v>
      </c>
      <c r="E119" s="20" t="n">
        <v>0</v>
      </c>
      <c r="F119" s="20" t="n">
        <v>6</v>
      </c>
      <c r="G119" s="20" t="n">
        <v>71</v>
      </c>
      <c r="H119" s="20" t="n">
        <v>8</v>
      </c>
      <c r="I119" s="20" t="n">
        <v>51</v>
      </c>
      <c r="J119" s="20" t="n">
        <v>4</v>
      </c>
      <c r="K119" s="20" t="n">
        <v>4</v>
      </c>
      <c r="L119" s="20" t="n">
        <v>6</v>
      </c>
      <c r="M119" s="20" t="n">
        <v>876</v>
      </c>
      <c r="N119" s="20" t="n">
        <v>2</v>
      </c>
      <c r="T119" s="20" t="n">
        <v>2</v>
      </c>
      <c r="U119" s="20" t="n">
        <v>8</v>
      </c>
      <c r="V119" s="20" t="n">
        <v>2</v>
      </c>
      <c r="W119" s="20" t="n">
        <v>8</v>
      </c>
      <c r="X119" s="20" t="n">
        <v>6</v>
      </c>
    </row>
    <row r="120">
      <c r="A120" s="18" t="inlineStr">
        <is>
          <t>투자유가증권 매각이익</t>
        </is>
      </c>
      <c r="G120" s="20" t="n">
        <v>61</v>
      </c>
      <c r="H120" s="20" t="n">
        <v>3</v>
      </c>
      <c r="K120" s="20" t="n">
        <v>1000</v>
      </c>
      <c r="L120" s="20" t="n">
        <v>165</v>
      </c>
      <c r="W120" s="20" t="n">
        <v>3</v>
      </c>
      <c r="X120" s="20" t="n">
        <v>165</v>
      </c>
    </row>
    <row r="121">
      <c r="A121" s="18" t="inlineStr">
        <is>
          <t>관계회사 청산이익</t>
        </is>
      </c>
      <c r="I121" s="20" t="n">
        <v>0</v>
      </c>
      <c r="J121" s="20" t="n">
        <v>0</v>
      </c>
      <c r="M121" s="20" t="n">
        <v>138</v>
      </c>
      <c r="N121" s="20" t="n">
        <v>0</v>
      </c>
    </row>
    <row r="122">
      <c r="A122" s="18" t="inlineStr">
        <is>
          <t>부의 영업권 발생이익</t>
        </is>
      </c>
      <c r="C122" s="20" t="n">
        <v>0</v>
      </c>
      <c r="D122" s="20" t="n">
        <v>0</v>
      </c>
      <c r="G122" s="20" t="n">
        <v>0</v>
      </c>
      <c r="H122" s="20" t="n">
        <v>0</v>
      </c>
      <c r="K122" s="20" t="n">
        <v>0</v>
      </c>
      <c r="L122" s="20" t="n">
        <v>0</v>
      </c>
      <c r="U122" s="20" t="n">
        <v>0</v>
      </c>
      <c r="V122" s="20" t="n">
        <v>0</v>
      </c>
      <c r="W122" s="20" t="n">
        <v>0</v>
      </c>
      <c r="X122" s="20" t="n">
        <v>0</v>
      </c>
    </row>
    <row r="123">
      <c r="A123" s="18" t="inlineStr">
        <is>
          <t>퇴직급여제도 종료이익</t>
        </is>
      </c>
      <c r="C123" s="20" t="n">
        <v>0</v>
      </c>
      <c r="D123" s="20" t="n">
        <v>0</v>
      </c>
      <c r="T123" s="20" t="n">
        <v>0</v>
      </c>
      <c r="U123" s="20" t="n">
        <v>0</v>
      </c>
      <c r="V123" s="20" t="n">
        <v>0</v>
      </c>
    </row>
    <row r="124">
      <c r="A124" s="18" t="inlineStr">
        <is>
          <t>자산복구부채 환입이익</t>
        </is>
      </c>
      <c r="H124" s="20" t="n">
        <v>0</v>
      </c>
      <c r="L124" s="20" t="n">
        <v>-1</v>
      </c>
      <c r="W124" s="20" t="n">
        <v>0</v>
      </c>
      <c r="X124" s="20" t="n">
        <v>-1</v>
      </c>
    </row>
    <row r="125">
      <c r="A125" s="18" t="inlineStr">
        <is>
          <t>채무면제이익</t>
        </is>
      </c>
      <c r="H125" s="20" t="n">
        <v>0</v>
      </c>
      <c r="L125" s="20" t="n">
        <v>0</v>
      </c>
      <c r="W125" s="20" t="n">
        <v>0</v>
      </c>
      <c r="X125" s="20" t="n">
        <v>0</v>
      </c>
    </row>
    <row r="126">
      <c r="A126" s="18" t="inlineStr">
        <is>
          <t>특별이익 합계</t>
        </is>
      </c>
      <c r="C126" s="20" t="n">
        <v>1</v>
      </c>
      <c r="D126" s="20" t="n">
        <v>3</v>
      </c>
      <c r="E126" s="20" t="n">
        <v>0</v>
      </c>
      <c r="F126" s="20" t="n">
        <v>6</v>
      </c>
      <c r="G126" s="20" t="n">
        <v>133</v>
      </c>
      <c r="H126" s="20" t="n">
        <v>11</v>
      </c>
      <c r="I126" s="20" t="n">
        <v>51</v>
      </c>
      <c r="J126" s="20" t="n">
        <v>33</v>
      </c>
      <c r="K126" s="20" t="n">
        <v>1105</v>
      </c>
      <c r="L126" s="20" t="n">
        <v>171</v>
      </c>
      <c r="M126" s="20" t="n">
        <v>1014</v>
      </c>
      <c r="N126" s="20" t="n">
        <v>2</v>
      </c>
      <c r="T126" s="20" t="n">
        <v>2</v>
      </c>
      <c r="U126" s="20" t="n">
        <v>7</v>
      </c>
      <c r="V126" s="20" t="n">
        <v>3</v>
      </c>
      <c r="W126" s="20" t="n">
        <v>11</v>
      </c>
      <c r="X126" s="20" t="n">
        <v>171</v>
      </c>
    </row>
    <row r="127">
      <c r="A127" s="43" t="inlineStr">
        <is>
          <t>YoY</t>
        </is>
      </c>
      <c r="B127" s="3" t="inlineStr">
        <is>
          <t>전년 같은 분기·전년 대비</t>
        </is>
      </c>
      <c r="G127" s="15">
        <f>IF(OR(G126="",C126=""),"",IF(G126*C126&lt;=0,"",IFERROR(G126/C126-1,"")))</f>
        <v/>
      </c>
      <c r="H127" s="15">
        <f>IF(OR(H126="",D126=""),"",IF(H126*D126&lt;=0,"",IFERROR(H126/D126-1,"")))</f>
        <v/>
      </c>
      <c r="I127" s="15">
        <f>IF(OR(I126="",E126=""),"",IF(I126*E126&lt;=0,"",IFERROR(I126/E126-1,"")))</f>
        <v/>
      </c>
      <c r="J127" s="15">
        <f>IF(OR(J126="",F126=""),"",IF(J126*F126&lt;=0,"",IFERROR(J126/F126-1,"")))</f>
        <v/>
      </c>
      <c r="K127" s="15">
        <f>IF(OR(K126="",G126=""),"",IF(K126*G126&lt;=0,"",IFERROR(K126/G126-1,"")))</f>
        <v/>
      </c>
      <c r="L127" s="15">
        <f>IF(OR(L126="",H126=""),"",IF(L126*H126&lt;=0,"",IFERROR(L126/H126-1,"")))</f>
        <v/>
      </c>
      <c r="M127" s="15">
        <f>IF(OR(M126="",I126=""),"",IF(M126*I126&lt;=0,"",IFERROR(M126/I126-1,"")))</f>
        <v/>
      </c>
      <c r="N127" s="15">
        <f>IF(OR(N126="",J126=""),"",IF(N126*J126&lt;=0,"",IFERROR(N126/J126-1,"")))</f>
        <v/>
      </c>
      <c r="T127" s="15">
        <f>IF(OR(T126="",S126=""),"",IF(T126*S126&lt;=0,"",IFERROR(T126/S126-1,"")))</f>
        <v/>
      </c>
      <c r="U127" s="15">
        <f>IF(OR(U126="",T126=""),"",IF(U126*T126&lt;=0,"",IFERROR(U126/T126-1,"")))</f>
        <v/>
      </c>
      <c r="V127" s="15">
        <f>IF(OR(V126="",U126=""),"",IF(V126*U126&lt;=0,"",IFERROR(V126/U126-1,"")))</f>
        <v/>
      </c>
      <c r="W127" s="15">
        <f>IF(OR(W126="",V126=""),"",IF(W126*V126&lt;=0,"",IFERROR(W126/V126-1,"")))</f>
        <v/>
      </c>
      <c r="X127" s="15">
        <f>IF(OR(X126="",W126=""),"",IF(X126*W126&lt;=0,"",IFERROR(X126/W126-1,"")))</f>
        <v/>
      </c>
    </row>
    <row r="128">
      <c r="A128" s="18" t="inlineStr">
        <is>
          <t>고정자산 매각손실</t>
        </is>
      </c>
      <c r="C128" s="20" t="n">
        <v>0</v>
      </c>
      <c r="D128" s="20" t="n">
        <v>0</v>
      </c>
      <c r="E128" s="20" t="n">
        <v>0</v>
      </c>
      <c r="F128" s="20" t="n">
        <v>0</v>
      </c>
      <c r="G128" s="20" t="n">
        <v>0</v>
      </c>
      <c r="H128" s="20" t="n">
        <v>0</v>
      </c>
      <c r="I128" s="20" t="n">
        <v>0</v>
      </c>
      <c r="J128" s="20" t="n">
        <v>6</v>
      </c>
      <c r="K128" s="20" t="n">
        <v>0</v>
      </c>
      <c r="L128" s="20" t="n">
        <v>261</v>
      </c>
      <c r="M128" s="20" t="n">
        <v>1</v>
      </c>
      <c r="N128" s="20" t="n">
        <v>0</v>
      </c>
      <c r="T128" s="20" t="n">
        <v>0</v>
      </c>
      <c r="U128" s="20" t="n">
        <v>0</v>
      </c>
      <c r="V128" s="20" t="n">
        <v>0</v>
      </c>
      <c r="W128" s="20" t="n">
        <v>0</v>
      </c>
      <c r="X128" s="20" t="n">
        <v>261</v>
      </c>
    </row>
    <row r="129">
      <c r="A129" s="18" t="inlineStr">
        <is>
          <t>고정자산 제각손실</t>
        </is>
      </c>
      <c r="C129" s="20" t="n">
        <v>6</v>
      </c>
      <c r="D129" s="20" t="n">
        <v>16</v>
      </c>
      <c r="E129" s="20" t="n">
        <v>0</v>
      </c>
      <c r="F129" s="20" t="n">
        <v>1</v>
      </c>
      <c r="G129" s="20" t="n">
        <v>5</v>
      </c>
      <c r="H129" s="20" t="n">
        <v>9</v>
      </c>
      <c r="I129" s="20" t="n">
        <v>0</v>
      </c>
      <c r="J129" s="20" t="n">
        <v>9</v>
      </c>
      <c r="K129" s="20" t="n">
        <v>1</v>
      </c>
      <c r="L129" s="20" t="n">
        <v>192</v>
      </c>
      <c r="M129" s="20" t="n">
        <v>1</v>
      </c>
      <c r="N129" s="20" t="n">
        <v>12</v>
      </c>
      <c r="T129" s="20" t="n">
        <v>8</v>
      </c>
      <c r="U129" s="20" t="n">
        <v>3</v>
      </c>
      <c r="V129" s="20" t="n">
        <v>16</v>
      </c>
      <c r="W129" s="20" t="n">
        <v>9</v>
      </c>
      <c r="X129" s="20" t="n">
        <v>192</v>
      </c>
    </row>
    <row r="130">
      <c r="A130" s="18" t="inlineStr">
        <is>
          <t>손상차손</t>
        </is>
      </c>
      <c r="C130" s="20" t="n">
        <v>0</v>
      </c>
      <c r="D130" s="20" t="n">
        <v>882</v>
      </c>
      <c r="G130" s="20" t="n">
        <v>0</v>
      </c>
      <c r="H130" s="20" t="n">
        <v>528</v>
      </c>
      <c r="L130" s="20" t="n">
        <v>383</v>
      </c>
      <c r="T130" s="20" t="n">
        <v>645</v>
      </c>
      <c r="U130" s="20" t="n">
        <v>758</v>
      </c>
      <c r="V130" s="20" t="n">
        <v>882</v>
      </c>
      <c r="W130" s="20" t="n">
        <v>528</v>
      </c>
      <c r="X130" s="20" t="n">
        <v>383</v>
      </c>
    </row>
    <row r="131">
      <c r="A131" s="18" t="inlineStr">
        <is>
          <t>재해 손실</t>
        </is>
      </c>
      <c r="D131" s="20" t="n">
        <v>0</v>
      </c>
      <c r="T131" s="20" t="n">
        <v>0</v>
      </c>
      <c r="U131" s="20" t="n">
        <v>0</v>
      </c>
      <c r="V131" s="20" t="n">
        <v>0</v>
      </c>
    </row>
    <row r="132">
      <c r="A132" s="18" t="inlineStr">
        <is>
          <t>관계회사 정리손실</t>
        </is>
      </c>
      <c r="T132" s="20" t="n">
        <v>0</v>
      </c>
      <c r="U132" s="20" t="n">
        <v>0</v>
      </c>
    </row>
    <row r="133">
      <c r="A133" s="18" t="inlineStr">
        <is>
          <t>Information Security Cost EL</t>
        </is>
      </c>
      <c r="I133" s="20" t="n">
        <v>0</v>
      </c>
      <c r="J133" s="20" t="n">
        <v>0</v>
      </c>
      <c r="M133" s="20" t="n">
        <v>212</v>
      </c>
      <c r="N133" s="20" t="n">
        <v>85</v>
      </c>
    </row>
    <row r="134">
      <c r="A134" s="18" t="inlineStr">
        <is>
          <t>특별손실 합계</t>
        </is>
      </c>
      <c r="C134" s="20" t="n">
        <v>6</v>
      </c>
      <c r="D134" s="20" t="n">
        <v>897</v>
      </c>
      <c r="E134" s="20" t="n">
        <v>1</v>
      </c>
      <c r="F134" s="20" t="n">
        <v>1</v>
      </c>
      <c r="G134" s="20" t="n">
        <v>5</v>
      </c>
      <c r="H134" s="20" t="n">
        <v>538</v>
      </c>
      <c r="I134" s="20" t="n">
        <v>1</v>
      </c>
      <c r="J134" s="20" t="n">
        <v>15</v>
      </c>
      <c r="K134" s="20" t="n">
        <v>21</v>
      </c>
      <c r="L134" s="20" t="n">
        <v>836</v>
      </c>
      <c r="M134" s="20" t="n">
        <v>214</v>
      </c>
      <c r="N134" s="20" t="n">
        <v>98</v>
      </c>
      <c r="T134" s="20" t="n">
        <v>824</v>
      </c>
      <c r="U134" s="20" t="n">
        <v>761</v>
      </c>
      <c r="V134" s="20" t="n">
        <v>897</v>
      </c>
      <c r="W134" s="20" t="n">
        <v>538</v>
      </c>
      <c r="X134" s="20" t="n">
        <v>836</v>
      </c>
    </row>
    <row r="135">
      <c r="A135" s="43" t="inlineStr">
        <is>
          <t>YoY</t>
        </is>
      </c>
      <c r="B135" s="3" t="inlineStr">
        <is>
          <t>전년 같은 분기·전년 대비</t>
        </is>
      </c>
      <c r="G135" s="15">
        <f>IF(OR(G134="",C134=""),"",IF(G134*C134&lt;=0,"",IFERROR(G134/C134-1,"")))</f>
        <v/>
      </c>
      <c r="H135" s="15">
        <f>IF(OR(H134="",D134=""),"",IF(H134*D134&lt;=0,"",IFERROR(H134/D134-1,"")))</f>
        <v/>
      </c>
      <c r="I135" s="15">
        <f>IF(OR(I134="",E134=""),"",IF(I134*E134&lt;=0,"",IFERROR(I134/E134-1,"")))</f>
        <v/>
      </c>
      <c r="J135" s="15">
        <f>IF(OR(J134="",F134=""),"",IF(J134*F134&lt;=0,"",IFERROR(J134/F134-1,"")))</f>
        <v/>
      </c>
      <c r="K135" s="15">
        <f>IF(OR(K134="",G134=""),"",IF(K134*G134&lt;=0,"",IFERROR(K134/G134-1,"")))</f>
        <v/>
      </c>
      <c r="L135" s="15">
        <f>IF(OR(L134="",H134=""),"",IF(L134*H134&lt;=0,"",IFERROR(L134/H134-1,"")))</f>
        <v/>
      </c>
      <c r="M135" s="15">
        <f>IF(OR(M134="",I134=""),"",IF(M134*I134&lt;=0,"",IFERROR(M134/I134-1,"")))</f>
        <v/>
      </c>
      <c r="N135" s="15">
        <f>IF(OR(N134="",J134=""),"",IF(N134*J134&lt;=0,"",IFERROR(N134/J134-1,"")))</f>
        <v/>
      </c>
      <c r="T135" s="15">
        <f>IF(OR(T134="",S134=""),"",IF(T134*S134&lt;=0,"",IFERROR(T134/S134-1,"")))</f>
        <v/>
      </c>
      <c r="U135" s="15">
        <f>IF(OR(U134="",T134=""),"",IF(U134*T134&lt;=0,"",IFERROR(U134/T134-1,"")))</f>
        <v/>
      </c>
      <c r="V135" s="15">
        <f>IF(OR(V134="",U134=""),"",IF(V134*U134&lt;=0,"",IFERROR(V134/U134-1,"")))</f>
        <v/>
      </c>
      <c r="W135" s="15">
        <f>IF(OR(W134="",V134=""),"",IF(W134*V134&lt;=0,"",IFERROR(W134/V134-1,"")))</f>
        <v/>
      </c>
      <c r="X135" s="15">
        <f>IF(OR(X134="",W134=""),"",IF(X134*W134&lt;=0,"",IFERROR(X134/W134-1,"")))</f>
        <v/>
      </c>
    </row>
    <row r="136">
      <c r="A136" s="9" t="inlineStr">
        <is>
          <t>법인세차감전 순이익</t>
        </is>
      </c>
      <c r="C136" s="12" t="n">
        <v>7174</v>
      </c>
      <c r="D136" s="12" t="n">
        <v>1879</v>
      </c>
      <c r="E136" s="12" t="n">
        <v>3462</v>
      </c>
      <c r="F136" s="12" t="n">
        <v>2462</v>
      </c>
      <c r="G136" s="12" t="n">
        <v>8410</v>
      </c>
      <c r="H136" s="12" t="n">
        <v>2109</v>
      </c>
      <c r="I136" s="12" t="n">
        <v>3914</v>
      </c>
      <c r="J136" s="12" t="n">
        <v>2271</v>
      </c>
      <c r="K136" s="12" t="n">
        <v>8916</v>
      </c>
      <c r="L136" s="12" t="n">
        <v>1968</v>
      </c>
      <c r="M136" s="12" t="n">
        <v>4161</v>
      </c>
      <c r="N136" s="12" t="n">
        <v>3728</v>
      </c>
      <c r="T136" s="12" t="n">
        <v>2389</v>
      </c>
      <c r="U136" s="12" t="n">
        <v>1832</v>
      </c>
      <c r="V136" s="12" t="n">
        <v>1879</v>
      </c>
      <c r="W136" s="12" t="n">
        <v>2109</v>
      </c>
      <c r="X136" s="12" t="n">
        <v>1968</v>
      </c>
    </row>
    <row r="137">
      <c r="A137" s="43" t="inlineStr">
        <is>
          <t>YoY</t>
        </is>
      </c>
      <c r="B137" s="3" t="inlineStr">
        <is>
          <t>전년 같은 분기·전년 대비</t>
        </is>
      </c>
      <c r="G137" s="15">
        <f>IF(OR(G136="",C136=""),"",IF(C136&lt;=0,"",IFERROR(G136/C136-1,"")))</f>
        <v/>
      </c>
      <c r="H137" s="15">
        <f>IF(OR(H136="",D136=""),"",IF(D136&lt;=0,"",IFERROR(H136/D136-1,"")))</f>
        <v/>
      </c>
      <c r="I137" s="15">
        <f>IF(OR(I136="",E136=""),"",IF(E136&lt;=0,"",IFERROR(I136/E136-1,"")))</f>
        <v/>
      </c>
      <c r="J137" s="15">
        <f>IF(OR(J136="",F136=""),"",IF(F136&lt;=0,"",IFERROR(J136/F136-1,"")))</f>
        <v/>
      </c>
      <c r="K137" s="15">
        <f>IF(OR(K136="",G136=""),"",IF(G136&lt;=0,"",IFERROR(K136/G136-1,"")))</f>
        <v/>
      </c>
      <c r="L137" s="15">
        <f>IF(OR(L136="",H136=""),"",IF(H136&lt;=0,"",IFERROR(L136/H136-1,"")))</f>
        <v/>
      </c>
      <c r="M137" s="15">
        <f>IF(OR(M136="",I136=""),"",IF(I136&lt;=0,"",IFERROR(M136/I136-1,"")))</f>
        <v/>
      </c>
      <c r="N137" s="15">
        <f>IF(OR(N136="",J136=""),"",IF(J136&lt;=0,"",IFERROR(N136/J136-1,"")))</f>
        <v/>
      </c>
      <c r="T137" s="15">
        <f>IF(OR(T136="",S136=""),"",IF(S136&lt;=0,"",IFERROR(T136/S136-1,"")))</f>
        <v/>
      </c>
      <c r="U137" s="15">
        <f>IF(OR(U136="",T136=""),"",IF(T136&lt;=0,"",IFERROR(U136/T136-1,"")))</f>
        <v/>
      </c>
      <c r="V137" s="15">
        <f>IF(OR(V136="",U136=""),"",IF(U136&lt;=0,"",IFERROR(V136/U136-1,"")))</f>
        <v/>
      </c>
      <c r="W137" s="15">
        <f>IF(OR(W136="",V136=""),"",IF(V136&lt;=0,"",IFERROR(W136/V136-1,"")))</f>
        <v/>
      </c>
      <c r="X137" s="15">
        <f>IF(OR(X136="",W136=""),"",IF(W136&lt;=0,"",IFERROR(X136/W136-1,"")))</f>
        <v/>
      </c>
    </row>
    <row r="138">
      <c r="A138" s="18" t="inlineStr">
        <is>
          <t>법인세·주민세·사업세</t>
        </is>
      </c>
      <c r="C138" s="20" t="n">
        <v>1934</v>
      </c>
      <c r="D138" s="20" t="n">
        <v>909</v>
      </c>
      <c r="E138" s="20" t="n">
        <v>1108</v>
      </c>
      <c r="F138" s="20" t="n">
        <v>918</v>
      </c>
      <c r="G138" s="20" t="n">
        <v>2385</v>
      </c>
      <c r="H138" s="20" t="n">
        <v>854</v>
      </c>
      <c r="I138" s="20" t="n">
        <v>1255</v>
      </c>
      <c r="J138" s="20" t="n">
        <v>839</v>
      </c>
      <c r="K138" s="20" t="n">
        <v>2522</v>
      </c>
      <c r="L138" s="20" t="n">
        <v>706</v>
      </c>
      <c r="M138" s="20" t="n">
        <v>1424</v>
      </c>
      <c r="N138" s="20" t="n">
        <v>1170</v>
      </c>
      <c r="T138" s="20" t="n">
        <v>1081</v>
      </c>
      <c r="U138" s="20" t="n">
        <v>879</v>
      </c>
      <c r="V138" s="20" t="n">
        <v>909</v>
      </c>
      <c r="W138" s="20" t="n">
        <v>854</v>
      </c>
      <c r="X138" s="20" t="n">
        <v>706</v>
      </c>
    </row>
    <row r="139">
      <c r="A139" s="18" t="inlineStr">
        <is>
          <t>법인세 조정액</t>
        </is>
      </c>
      <c r="C139" s="20" t="n">
        <v>329</v>
      </c>
      <c r="D139" s="20" t="n">
        <v>-318</v>
      </c>
      <c r="E139" s="20" t="n">
        <v>98</v>
      </c>
      <c r="F139" s="20" t="n">
        <v>-169</v>
      </c>
      <c r="G139" s="20" t="n">
        <v>265</v>
      </c>
      <c r="H139" s="20" t="n">
        <v>-277</v>
      </c>
      <c r="I139" s="20" t="n">
        <v>-18</v>
      </c>
      <c r="J139" s="20" t="n">
        <v>-211</v>
      </c>
      <c r="K139" s="20" t="n">
        <v>244</v>
      </c>
      <c r="L139" s="20" t="n">
        <v>-236</v>
      </c>
      <c r="M139" s="20" t="n">
        <v>-109</v>
      </c>
      <c r="N139" s="20" t="n">
        <v>94</v>
      </c>
      <c r="T139" s="20" t="n">
        <v>-301</v>
      </c>
      <c r="U139" s="20" t="n">
        <v>-393</v>
      </c>
      <c r="V139" s="20" t="n">
        <v>-318</v>
      </c>
      <c r="W139" s="20" t="n">
        <v>-277</v>
      </c>
      <c r="X139" s="20" t="n">
        <v>-236</v>
      </c>
    </row>
    <row r="140">
      <c r="A140" s="18" t="inlineStr">
        <is>
          <t>법인세 등 합계</t>
        </is>
      </c>
      <c r="C140" s="20" t="n">
        <v>2263</v>
      </c>
      <c r="D140" s="20" t="n">
        <v>590</v>
      </c>
      <c r="E140" s="20" t="n">
        <v>1206</v>
      </c>
      <c r="F140" s="20" t="n">
        <v>749</v>
      </c>
      <c r="G140" s="20" t="n">
        <v>2650</v>
      </c>
      <c r="H140" s="20" t="n">
        <v>577</v>
      </c>
      <c r="I140" s="20" t="n">
        <v>1236</v>
      </c>
      <c r="J140" s="20" t="n">
        <v>629</v>
      </c>
      <c r="K140" s="20" t="n">
        <v>2767</v>
      </c>
      <c r="L140" s="20" t="n">
        <v>468</v>
      </c>
      <c r="M140" s="20" t="n">
        <v>1314</v>
      </c>
      <c r="N140" s="20" t="n">
        <v>1264</v>
      </c>
      <c r="T140" s="20" t="n">
        <v>778</v>
      </c>
      <c r="U140" s="20" t="n">
        <v>484</v>
      </c>
      <c r="V140" s="20" t="n">
        <v>590</v>
      </c>
      <c r="W140" s="20" t="n">
        <v>577</v>
      </c>
      <c r="X140" s="20" t="n">
        <v>468</v>
      </c>
    </row>
    <row r="141">
      <c r="A141" s="43" t="inlineStr">
        <is>
          <t>YoY</t>
        </is>
      </c>
      <c r="B141" s="3" t="inlineStr">
        <is>
          <t>전년 같은 분기·전년 대비</t>
        </is>
      </c>
      <c r="G141" s="15">
        <f>IF(OR(G140="",C140=""),"",IF(G140*C140&lt;=0,"",IFERROR(G140/C140-1,"")))</f>
        <v/>
      </c>
      <c r="H141" s="15">
        <f>IF(OR(H140="",D140=""),"",IF(H140*D140&lt;=0,"",IFERROR(H140/D140-1,"")))</f>
        <v/>
      </c>
      <c r="I141" s="15">
        <f>IF(OR(I140="",E140=""),"",IF(I140*E140&lt;=0,"",IFERROR(I140/E140-1,"")))</f>
        <v/>
      </c>
      <c r="J141" s="15">
        <f>IF(OR(J140="",F140=""),"",IF(J140*F140&lt;=0,"",IFERROR(J140/F140-1,"")))</f>
        <v/>
      </c>
      <c r="K141" s="15">
        <f>IF(OR(K140="",G140=""),"",IF(K140*G140&lt;=0,"",IFERROR(K140/G140-1,"")))</f>
        <v/>
      </c>
      <c r="L141" s="15">
        <f>IF(OR(L140="",H140=""),"",IF(L140*H140&lt;=0,"",IFERROR(L140/H140-1,"")))</f>
        <v/>
      </c>
      <c r="M141" s="15">
        <f>IF(OR(M140="",I140=""),"",IF(M140*I140&lt;=0,"",IFERROR(M140/I140-1,"")))</f>
        <v/>
      </c>
      <c r="N141" s="15">
        <f>IF(OR(N140="",J140=""),"",IF(N140*J140&lt;=0,"",IFERROR(N140/J140-1,"")))</f>
        <v/>
      </c>
      <c r="T141" s="15">
        <f>IF(OR(T140="",S140=""),"",IF(T140*S140&lt;=0,"",IFERROR(T140/S140-1,"")))</f>
        <v/>
      </c>
      <c r="U141" s="15">
        <f>IF(OR(U140="",T140=""),"",IF(U140*T140&lt;=0,"",IFERROR(U140/T140-1,"")))</f>
        <v/>
      </c>
      <c r="V141" s="15">
        <f>IF(OR(V140="",U140=""),"",IF(V140*U140&lt;=0,"",IFERROR(V140/U140-1,"")))</f>
        <v/>
      </c>
      <c r="W141" s="15">
        <f>IF(OR(W140="",V140=""),"",IF(W140*V140&lt;=0,"",IFERROR(W140/V140-1,"")))</f>
        <v/>
      </c>
      <c r="X141" s="15">
        <f>IF(OR(X140="",W140=""),"",IF(X140*W140&lt;=0,"",IFERROR(X140/W140-1,"")))</f>
        <v/>
      </c>
    </row>
    <row r="142">
      <c r="A142" s="9" t="inlineStr">
        <is>
          <t>순이익</t>
        </is>
      </c>
      <c r="C142" s="12" t="n">
        <v>4911</v>
      </c>
      <c r="D142" s="12" t="n">
        <v>1289</v>
      </c>
      <c r="E142" s="12" t="n">
        <v>2256</v>
      </c>
      <c r="F142" s="12" t="n">
        <v>1713</v>
      </c>
      <c r="G142" s="12" t="n">
        <v>5759</v>
      </c>
      <c r="H142" s="12" t="n">
        <v>1533</v>
      </c>
      <c r="I142" s="12" t="n">
        <v>2677</v>
      </c>
      <c r="J142" s="12" t="n">
        <v>1643</v>
      </c>
      <c r="K142" s="12" t="n">
        <v>6148</v>
      </c>
      <c r="L142" s="12" t="n">
        <v>1500</v>
      </c>
      <c r="M142" s="12" t="n">
        <v>2846</v>
      </c>
      <c r="N142" s="12" t="n">
        <v>2464</v>
      </c>
      <c r="T142" s="12" t="n">
        <v>1610</v>
      </c>
      <c r="U142" s="12" t="n">
        <v>1349</v>
      </c>
      <c r="V142" s="12" t="n">
        <v>1289</v>
      </c>
      <c r="W142" s="12" t="n">
        <v>1533</v>
      </c>
      <c r="X142" s="12" t="n">
        <v>1500</v>
      </c>
    </row>
    <row r="143">
      <c r="A143" s="43" t="inlineStr">
        <is>
          <t>YoY</t>
        </is>
      </c>
      <c r="B143" s="3" t="inlineStr">
        <is>
          <t>전년 같은 분기·전년 대비</t>
        </is>
      </c>
      <c r="G143" s="15">
        <f>IF(OR(G142="",C142=""),"",IF(C142&lt;=0,"",IFERROR(G142/C142-1,"")))</f>
        <v/>
      </c>
      <c r="H143" s="15">
        <f>IF(OR(H142="",D142=""),"",IF(D142&lt;=0,"",IFERROR(H142/D142-1,"")))</f>
        <v/>
      </c>
      <c r="I143" s="15">
        <f>IF(OR(I142="",E142=""),"",IF(E142&lt;=0,"",IFERROR(I142/E142-1,"")))</f>
        <v/>
      </c>
      <c r="J143" s="15">
        <f>IF(OR(J142="",F142=""),"",IF(F142&lt;=0,"",IFERROR(J142/F142-1,"")))</f>
        <v/>
      </c>
      <c r="K143" s="15">
        <f>IF(OR(K142="",G142=""),"",IF(G142&lt;=0,"",IFERROR(K142/G142-1,"")))</f>
        <v/>
      </c>
      <c r="L143" s="15">
        <f>IF(OR(L142="",H142=""),"",IF(H142&lt;=0,"",IFERROR(L142/H142-1,"")))</f>
        <v/>
      </c>
      <c r="M143" s="15">
        <f>IF(OR(M142="",I142=""),"",IF(I142&lt;=0,"",IFERROR(M142/I142-1,"")))</f>
        <v/>
      </c>
      <c r="N143" s="15">
        <f>IF(OR(N142="",J142=""),"",IF(J142&lt;=0,"",IFERROR(N142/J142-1,"")))</f>
        <v/>
      </c>
      <c r="T143" s="15">
        <f>IF(OR(T142="",S142=""),"",IF(S142&lt;=0,"",IFERROR(T142/S142-1,"")))</f>
        <v/>
      </c>
      <c r="U143" s="15">
        <f>IF(OR(U142="",T142=""),"",IF(T142&lt;=0,"",IFERROR(U142/T142-1,"")))</f>
        <v/>
      </c>
      <c r="V143" s="15">
        <f>IF(OR(V142="",U142=""),"",IF(U142&lt;=0,"",IFERROR(V142/U142-1,"")))</f>
        <v/>
      </c>
      <c r="W143" s="15">
        <f>IF(OR(W142="",V142=""),"",IF(V142&lt;=0,"",IFERROR(W142/V142-1,"")))</f>
        <v/>
      </c>
      <c r="X143" s="15">
        <f>IF(OR(X142="",W142=""),"",IF(W142&lt;=0,"",IFERROR(X142/W142-1,"")))</f>
        <v/>
      </c>
    </row>
    <row r="144">
      <c r="A144" s="9" t="inlineStr">
        <is>
          <t>비지배주주 당기순손실</t>
        </is>
      </c>
      <c r="C144" s="12" t="n">
        <v>0</v>
      </c>
      <c r="D144" s="12" t="n">
        <v>7</v>
      </c>
      <c r="E144" s="12" t="n">
        <v>-0</v>
      </c>
      <c r="F144" s="12" t="n">
        <v>0</v>
      </c>
      <c r="G144" s="12" t="n">
        <v>0</v>
      </c>
      <c r="H144" s="12" t="n">
        <v>0</v>
      </c>
      <c r="I144" s="12" t="n">
        <v>-0</v>
      </c>
      <c r="J144" s="12" t="n">
        <v>0</v>
      </c>
      <c r="K144" s="12" t="n">
        <v>0</v>
      </c>
      <c r="L144" s="12" t="n">
        <v>0</v>
      </c>
      <c r="M144" s="12" t="n">
        <v>-0</v>
      </c>
      <c r="N144" s="12" t="n">
        <v>0</v>
      </c>
      <c r="T144" s="12" t="n">
        <v>0</v>
      </c>
      <c r="U144" s="12" t="n">
        <v>0</v>
      </c>
      <c r="V144" s="12" t="n">
        <v>7</v>
      </c>
      <c r="W144" s="12" t="n">
        <v>0</v>
      </c>
      <c r="X144" s="12" t="n">
        <v>0</v>
      </c>
    </row>
    <row r="145">
      <c r="A145" s="9" t="inlineStr">
        <is>
          <t>지배주주 순이익</t>
        </is>
      </c>
      <c r="C145" s="12" t="n">
        <v>4909</v>
      </c>
      <c r="D145" s="12" t="n">
        <v>1283</v>
      </c>
      <c r="E145" s="12" t="n">
        <v>2256</v>
      </c>
      <c r="F145" s="12" t="n">
        <v>1713</v>
      </c>
      <c r="G145" s="12" t="n">
        <v>5758</v>
      </c>
      <c r="H145" s="12" t="n">
        <v>1533</v>
      </c>
      <c r="I145" s="12" t="n">
        <v>2677</v>
      </c>
      <c r="J145" s="12" t="n">
        <v>1643</v>
      </c>
      <c r="K145" s="12" t="n">
        <v>6148</v>
      </c>
      <c r="L145" s="12" t="n">
        <v>1500</v>
      </c>
      <c r="M145" s="12" t="n">
        <v>2846</v>
      </c>
      <c r="N145" s="12" t="n">
        <v>2464</v>
      </c>
      <c r="T145" s="12" t="n">
        <v>1608</v>
      </c>
      <c r="U145" s="12" t="n">
        <v>1349</v>
      </c>
      <c r="V145" s="12" t="n">
        <v>1283</v>
      </c>
      <c r="W145" s="12" t="n">
        <v>1533</v>
      </c>
      <c r="X145" s="12" t="n">
        <v>1500</v>
      </c>
    </row>
    <row r="146">
      <c r="A146" s="43" t="inlineStr">
        <is>
          <t>YoY</t>
        </is>
      </c>
      <c r="B146" s="3" t="inlineStr">
        <is>
          <t>전년 같은 분기·전년 대비</t>
        </is>
      </c>
      <c r="G146" s="15">
        <f>IF(OR(G145="",C145=""),"",IF(C145&lt;=0,"",IFERROR(G145/C145-1,"")))</f>
        <v/>
      </c>
      <c r="H146" s="15">
        <f>IF(OR(H145="",D145=""),"",IF(D145&lt;=0,"",IFERROR(H145/D145-1,"")))</f>
        <v/>
      </c>
      <c r="I146" s="15">
        <f>IF(OR(I145="",E145=""),"",IF(E145&lt;=0,"",IFERROR(I145/E145-1,"")))</f>
        <v/>
      </c>
      <c r="J146" s="15">
        <f>IF(OR(J145="",F145=""),"",IF(F145&lt;=0,"",IFERROR(J145/F145-1,"")))</f>
        <v/>
      </c>
      <c r="K146" s="15">
        <f>IF(OR(K145="",G145=""),"",IF(G145&lt;=0,"",IFERROR(K145/G145-1,"")))</f>
        <v/>
      </c>
      <c r="L146" s="15">
        <f>IF(OR(L145="",H145=""),"",IF(H145&lt;=0,"",IFERROR(L145/H145-1,"")))</f>
        <v/>
      </c>
      <c r="M146" s="15">
        <f>IF(OR(M145="",I145=""),"",IF(I145&lt;=0,"",IFERROR(M145/I145-1,"")))</f>
        <v/>
      </c>
      <c r="N146" s="15">
        <f>IF(OR(N145="",J145=""),"",IF(J145&lt;=0,"",IFERROR(N145/J145-1,"")))</f>
        <v/>
      </c>
      <c r="T146" s="15">
        <f>IF(OR(T145="",S145=""),"",IF(S145&lt;=0,"",IFERROR(T145/S145-1,"")))</f>
        <v/>
      </c>
      <c r="U146" s="15">
        <f>IF(OR(U145="",T145=""),"",IF(T145&lt;=0,"",IFERROR(U145/T145-1,"")))</f>
        <v/>
      </c>
      <c r="V146" s="15">
        <f>IF(OR(V145="",U145=""),"",IF(U145&lt;=0,"",IFERROR(V145/U145-1,"")))</f>
        <v/>
      </c>
      <c r="W146" s="15">
        <f>IF(OR(W145="",V145=""),"",IF(V145&lt;=0,"",IFERROR(W145/V145-1,"")))</f>
        <v/>
      </c>
      <c r="X146" s="15">
        <f>IF(OR(X145="",W145=""),"",IF(W145&lt;=0,"",IFERROR(X145/W145-1,"")))</f>
        <v/>
      </c>
    </row>
    <row r="148">
      <c r="A148" s="16" t="inlineStr">
        <is>
          <t>포괄손익 · 전 항목</t>
        </is>
      </c>
      <c r="B148" s="42" t="inlineStr">
        <is>
          <t>분기 = 3개월 단독</t>
        </is>
      </c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6" t="n"/>
      <c r="AC148" s="16" t="n"/>
    </row>
    <row r="149">
      <c r="A149" s="5" t="inlineStr">
        <is>
          <t>항목</t>
        </is>
      </c>
      <c r="B149" s="5" t="inlineStr">
        <is>
          <t>참고</t>
        </is>
      </c>
      <c r="C149" s="5" t="inlineStr">
        <is>
          <t>2024.3Q</t>
        </is>
      </c>
      <c r="D149" s="5" t="inlineStr">
        <is>
          <t>2024.4Q</t>
        </is>
      </c>
      <c r="E149" s="5" t="inlineStr">
        <is>
          <t>2025.1Q</t>
        </is>
      </c>
      <c r="F149" s="5" t="inlineStr">
        <is>
          <t>2025.2Q</t>
        </is>
      </c>
      <c r="G149" s="5" t="inlineStr">
        <is>
          <t>2025.3Q</t>
        </is>
      </c>
      <c r="H149" s="5" t="inlineStr">
        <is>
          <t>2025.4Q</t>
        </is>
      </c>
      <c r="I149" s="5" t="inlineStr">
        <is>
          <t>2026.1Q</t>
        </is>
      </c>
      <c r="J149" s="5" t="inlineStr">
        <is>
          <t>2026.2Q</t>
        </is>
      </c>
      <c r="K149" s="5" t="inlineStr">
        <is>
          <t>2026.3Q</t>
        </is>
      </c>
      <c r="L149" s="5" t="inlineStr">
        <is>
          <t>2026.4Q</t>
        </is>
      </c>
      <c r="M149" s="5" t="inlineStr">
        <is>
          <t>2027.1Q</t>
        </is>
      </c>
      <c r="N149" s="5" t="inlineStr">
        <is>
          <t>2027.2Q</t>
        </is>
      </c>
      <c r="O149" s="5" t="inlineStr">
        <is>
          <t>2017</t>
        </is>
      </c>
      <c r="P149" s="5" t="inlineStr">
        <is>
          <t>2018</t>
        </is>
      </c>
      <c r="Q149" s="5" t="inlineStr">
        <is>
          <t>2019</t>
        </is>
      </c>
      <c r="R149" s="5" t="inlineStr">
        <is>
          <t>2020</t>
        </is>
      </c>
      <c r="S149" s="5" t="inlineStr">
        <is>
          <t>2021</t>
        </is>
      </c>
      <c r="T149" s="5" t="inlineStr">
        <is>
          <t>2022</t>
        </is>
      </c>
      <c r="U149" s="5" t="inlineStr">
        <is>
          <t>2023</t>
        </is>
      </c>
      <c r="V149" s="5" t="inlineStr">
        <is>
          <t>2024</t>
        </is>
      </c>
      <c r="W149" s="5" t="inlineStr">
        <is>
          <t>2025</t>
        </is>
      </c>
      <c r="X149" s="5" t="inlineStr">
        <is>
          <t>2026</t>
        </is>
      </c>
      <c r="Y149" s="5" t="inlineStr">
        <is>
          <t>2027(MW)</t>
        </is>
      </c>
      <c r="Z149" s="5" t="inlineStr">
        <is>
          <t>2028(MW)</t>
        </is>
      </c>
      <c r="AA149" s="5" t="inlineStr">
        <is>
          <t>2029(MW)</t>
        </is>
      </c>
      <c r="AB149" s="5" t="inlineStr">
        <is>
          <t>2030(MW)</t>
        </is>
      </c>
      <c r="AC149" s="5" t="inlineStr">
        <is>
          <t>2031(MW)</t>
        </is>
      </c>
    </row>
    <row r="150">
      <c r="A150" s="9" t="inlineStr">
        <is>
          <t>순이익</t>
        </is>
      </c>
      <c r="C150" s="12" t="n">
        <v>4911</v>
      </c>
      <c r="D150" s="12" t="n">
        <v>1289</v>
      </c>
      <c r="E150" s="12" t="n">
        <v>2256</v>
      </c>
      <c r="F150" s="12" t="n">
        <v>1713</v>
      </c>
      <c r="G150" s="12" t="n">
        <v>5759</v>
      </c>
      <c r="H150" s="12" t="n">
        <v>1533</v>
      </c>
      <c r="I150" s="12" t="n">
        <v>2677</v>
      </c>
      <c r="J150" s="12" t="n">
        <v>1643</v>
      </c>
      <c r="K150" s="12" t="n">
        <v>6148</v>
      </c>
      <c r="L150" s="12" t="n">
        <v>1500</v>
      </c>
      <c r="M150" s="12" t="n">
        <v>2846</v>
      </c>
      <c r="N150" s="12" t="n">
        <v>2464</v>
      </c>
      <c r="T150" s="12" t="n">
        <v>1610</v>
      </c>
      <c r="U150" s="12" t="n">
        <v>1349</v>
      </c>
      <c r="V150" s="12" t="n">
        <v>1289</v>
      </c>
      <c r="W150" s="12" t="n">
        <v>1533</v>
      </c>
      <c r="X150" s="12" t="n">
        <v>1500</v>
      </c>
    </row>
    <row r="151">
      <c r="A151" s="18" t="inlineStr">
        <is>
          <t>기타유가증권 평가차액</t>
        </is>
      </c>
      <c r="C151" s="20" t="n">
        <v>-160</v>
      </c>
      <c r="D151" s="20" t="n">
        <v>1291</v>
      </c>
      <c r="E151" s="20" t="n">
        <v>207</v>
      </c>
      <c r="F151" s="20" t="n">
        <v>-641</v>
      </c>
      <c r="G151" s="20" t="n">
        <v>1095</v>
      </c>
      <c r="H151" s="20" t="n">
        <v>237</v>
      </c>
      <c r="I151" s="20" t="n">
        <v>-125</v>
      </c>
      <c r="J151" s="20" t="n">
        <v>1917</v>
      </c>
      <c r="K151" s="20" t="n">
        <v>454</v>
      </c>
      <c r="L151" s="20" t="n">
        <v>-597</v>
      </c>
      <c r="M151" s="20" t="n">
        <v>1614</v>
      </c>
      <c r="N151" s="20" t="n">
        <v>1022</v>
      </c>
      <c r="T151" s="20" t="n">
        <v>34</v>
      </c>
      <c r="U151" s="20" t="n">
        <v>168</v>
      </c>
      <c r="V151" s="20" t="n">
        <v>1291</v>
      </c>
      <c r="W151" s="20" t="n">
        <v>237</v>
      </c>
      <c r="X151" s="20" t="n">
        <v>-597</v>
      </c>
    </row>
    <row r="152">
      <c r="A152" s="18" t="inlineStr">
        <is>
          <t>해외사업환산조정</t>
        </is>
      </c>
      <c r="T152" s="20" t="n">
        <v>0</v>
      </c>
      <c r="U152" s="20" t="n">
        <v>0</v>
      </c>
    </row>
    <row r="153">
      <c r="A153" s="18" t="inlineStr">
        <is>
          <t>퇴직급여 조정액</t>
        </is>
      </c>
      <c r="C153" s="20" t="n">
        <v>0</v>
      </c>
      <c r="D153" s="20" t="n">
        <v>17</v>
      </c>
      <c r="E153" s="20" t="n">
        <v>-0</v>
      </c>
      <c r="F153" s="20" t="n">
        <v>-1</v>
      </c>
      <c r="G153" s="20" t="n">
        <v>0</v>
      </c>
      <c r="H153" s="20" t="n">
        <v>-9</v>
      </c>
      <c r="I153" s="20" t="n">
        <v>-0</v>
      </c>
      <c r="J153" s="20" t="n">
        <v>0</v>
      </c>
      <c r="K153" s="20" t="n">
        <v>0</v>
      </c>
      <c r="L153" s="20" t="n">
        <v>8</v>
      </c>
      <c r="M153" s="20" t="n">
        <v>-0</v>
      </c>
      <c r="N153" s="20" t="n">
        <v>0</v>
      </c>
      <c r="T153" s="20" t="n">
        <v>8</v>
      </c>
      <c r="U153" s="20" t="n">
        <v>-6</v>
      </c>
      <c r="V153" s="20" t="n">
        <v>17</v>
      </c>
      <c r="W153" s="20" t="n">
        <v>-9</v>
      </c>
      <c r="X153" s="20" t="n">
        <v>8</v>
      </c>
    </row>
    <row r="154">
      <c r="A154" s="18" t="inlineStr">
        <is>
          <t>지분법 적용회사 지분 해당액</t>
        </is>
      </c>
      <c r="C154" s="20" t="n">
        <v>10</v>
      </c>
      <c r="D154" s="20" t="n">
        <v>3</v>
      </c>
      <c r="E154" s="20" t="n">
        <v>15</v>
      </c>
      <c r="F154" s="20" t="n">
        <v>15</v>
      </c>
      <c r="G154" s="20" t="n">
        <v>-23</v>
      </c>
      <c r="H154" s="20" t="n">
        <v>13</v>
      </c>
      <c r="I154" s="20" t="n">
        <v>16</v>
      </c>
      <c r="J154" s="20" t="n">
        <v>2</v>
      </c>
      <c r="K154" s="20" t="n">
        <v>14</v>
      </c>
      <c r="L154" s="20" t="n">
        <v>16</v>
      </c>
      <c r="M154" s="20" t="n">
        <v>-138</v>
      </c>
      <c r="N154" s="20" t="n">
        <v>5</v>
      </c>
      <c r="T154" s="20" t="n">
        <v>10</v>
      </c>
      <c r="U154" s="20" t="n">
        <v>-14</v>
      </c>
      <c r="V154" s="20" t="n">
        <v>3</v>
      </c>
      <c r="W154" s="20" t="n">
        <v>13</v>
      </c>
      <c r="X154" s="20" t="n">
        <v>16</v>
      </c>
    </row>
    <row r="155">
      <c r="A155" s="18" t="inlineStr">
        <is>
          <t>기타포괄손익 합계</t>
        </is>
      </c>
      <c r="C155" s="20" t="n">
        <v>-151</v>
      </c>
      <c r="D155" s="20" t="n">
        <v>1311</v>
      </c>
      <c r="E155" s="20" t="n">
        <v>222</v>
      </c>
      <c r="F155" s="20" t="n">
        <v>-626</v>
      </c>
      <c r="G155" s="20" t="n">
        <v>1071</v>
      </c>
      <c r="H155" s="20" t="n">
        <v>241</v>
      </c>
      <c r="I155" s="20" t="n">
        <v>-109</v>
      </c>
      <c r="J155" s="20" t="n">
        <v>1919</v>
      </c>
      <c r="K155" s="20" t="n">
        <v>468</v>
      </c>
      <c r="L155" s="20" t="n">
        <v>-535</v>
      </c>
      <c r="M155" s="20" t="n">
        <v>1475</v>
      </c>
      <c r="N155" s="20" t="n">
        <v>1026</v>
      </c>
      <c r="T155" s="20" t="n">
        <v>53</v>
      </c>
      <c r="U155" s="20" t="n">
        <v>149</v>
      </c>
      <c r="V155" s="20" t="n">
        <v>1311</v>
      </c>
      <c r="W155" s="20" t="n">
        <v>241</v>
      </c>
      <c r="X155" s="20" t="n">
        <v>-535</v>
      </c>
    </row>
    <row r="156">
      <c r="A156" s="9" t="inlineStr">
        <is>
          <t>포괄이익</t>
        </is>
      </c>
      <c r="C156" s="12" t="n">
        <v>4759</v>
      </c>
      <c r="D156" s="12" t="n">
        <v>2601</v>
      </c>
      <c r="E156" s="12" t="n">
        <v>2478</v>
      </c>
      <c r="F156" s="12" t="n">
        <v>1086</v>
      </c>
      <c r="G156" s="12" t="n">
        <v>6831</v>
      </c>
      <c r="H156" s="12" t="n">
        <v>1774</v>
      </c>
      <c r="I156" s="12" t="n">
        <v>2568</v>
      </c>
      <c r="J156" s="12" t="n">
        <v>3562</v>
      </c>
      <c r="K156" s="12" t="n">
        <v>6616</v>
      </c>
      <c r="L156" s="12" t="n">
        <v>965</v>
      </c>
      <c r="M156" s="12" t="n">
        <v>4321</v>
      </c>
      <c r="N156" s="12" t="n">
        <v>3490</v>
      </c>
      <c r="T156" s="12" t="n">
        <v>1663</v>
      </c>
      <c r="U156" s="12" t="n">
        <v>1497</v>
      </c>
      <c r="V156" s="12" t="n">
        <v>2601</v>
      </c>
      <c r="W156" s="12" t="n">
        <v>1774</v>
      </c>
      <c r="X156" s="12" t="n">
        <v>965</v>
      </c>
    </row>
    <row r="157">
      <c r="A157" s="9" t="inlineStr">
        <is>
          <t>지배주주 포괄이익</t>
        </is>
      </c>
      <c r="C157" s="12" t="n">
        <v>4759</v>
      </c>
      <c r="D157" s="12" t="n">
        <v>2593</v>
      </c>
      <c r="E157" s="12" t="n">
        <v>2478</v>
      </c>
      <c r="F157" s="12" t="n">
        <v>1086</v>
      </c>
      <c r="G157" s="12" t="n">
        <v>6830</v>
      </c>
      <c r="H157" s="12" t="n">
        <v>1775</v>
      </c>
      <c r="I157" s="12" t="n">
        <v>2568</v>
      </c>
      <c r="J157" s="12" t="n">
        <v>3562</v>
      </c>
      <c r="K157" s="12" t="n">
        <v>6616</v>
      </c>
      <c r="L157" s="12" t="n">
        <v>965</v>
      </c>
      <c r="M157" s="12" t="n">
        <v>4321</v>
      </c>
      <c r="N157" s="12" t="n">
        <v>3491</v>
      </c>
      <c r="T157" s="12" t="n">
        <v>1661</v>
      </c>
      <c r="U157" s="12" t="n">
        <v>1498</v>
      </c>
      <c r="V157" s="12" t="n">
        <v>2593</v>
      </c>
      <c r="W157" s="12" t="n">
        <v>1775</v>
      </c>
      <c r="X157" s="12" t="n">
        <v>965</v>
      </c>
    </row>
    <row r="158">
      <c r="A158" s="9" t="inlineStr">
        <is>
          <t>비지배주주 포괄이익</t>
        </is>
      </c>
      <c r="C158" s="12" t="n">
        <v>0</v>
      </c>
      <c r="D158" s="12" t="n">
        <v>7</v>
      </c>
      <c r="E158" s="12" t="n">
        <v>-0</v>
      </c>
      <c r="F158" s="12" t="n">
        <v>0</v>
      </c>
      <c r="G158" s="12" t="n">
        <v>0</v>
      </c>
      <c r="H158" s="12" t="n">
        <v>0</v>
      </c>
      <c r="I158" s="12" t="n">
        <v>-0</v>
      </c>
      <c r="J158" s="12" t="n">
        <v>0</v>
      </c>
      <c r="K158" s="12" t="n">
        <v>0</v>
      </c>
      <c r="L158" s="12" t="n">
        <v>0</v>
      </c>
      <c r="M158" s="12" t="n">
        <v>-0</v>
      </c>
      <c r="N158" s="12" t="n">
        <v>0</v>
      </c>
      <c r="T158" s="12" t="n">
        <v>0</v>
      </c>
      <c r="U158" s="12" t="n">
        <v>0</v>
      </c>
      <c r="V158" s="12" t="n">
        <v>7</v>
      </c>
      <c r="W158" s="12" t="n">
        <v>0</v>
      </c>
      <c r="X158" s="12" t="n">
        <v>0</v>
      </c>
    </row>
    <row r="160">
      <c r="A160" s="16" t="inlineStr">
        <is>
          <t>부문 · 전 항목</t>
        </is>
      </c>
      <c r="B160" s="42" t="inlineStr">
        <is>
          <t>부문 · 항목</t>
        </is>
      </c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  <c r="AA160" s="16" t="n"/>
      <c r="AB160" s="16" t="n"/>
      <c r="AC160" s="16" t="n"/>
    </row>
    <row r="161">
      <c r="A161" s="5" t="inlineStr">
        <is>
          <t>항목</t>
        </is>
      </c>
      <c r="B161" s="5" t="inlineStr">
        <is>
          <t>참고</t>
        </is>
      </c>
      <c r="C161" s="5" t="inlineStr">
        <is>
          <t>2024.3Q</t>
        </is>
      </c>
      <c r="D161" s="5" t="inlineStr">
        <is>
          <t>2024.4Q</t>
        </is>
      </c>
      <c r="E161" s="5" t="inlineStr">
        <is>
          <t>2025.1Q</t>
        </is>
      </c>
      <c r="F161" s="5" t="inlineStr">
        <is>
          <t>2025.2Q</t>
        </is>
      </c>
      <c r="G161" s="5" t="inlineStr">
        <is>
          <t>2025.3Q</t>
        </is>
      </c>
      <c r="H161" s="5" t="inlineStr">
        <is>
          <t>2025.4Q</t>
        </is>
      </c>
      <c r="I161" s="5" t="inlineStr">
        <is>
          <t>2026.1Q</t>
        </is>
      </c>
      <c r="J161" s="5" t="inlineStr">
        <is>
          <t>2026.2Q</t>
        </is>
      </c>
      <c r="K161" s="5" t="inlineStr">
        <is>
          <t>2026.3Q</t>
        </is>
      </c>
      <c r="L161" s="5" t="inlineStr">
        <is>
          <t>2026.4Q</t>
        </is>
      </c>
      <c r="M161" s="5" t="inlineStr">
        <is>
          <t>2027.1Q</t>
        </is>
      </c>
      <c r="N161" s="5" t="inlineStr">
        <is>
          <t>2027.2Q</t>
        </is>
      </c>
      <c r="O161" s="5" t="inlineStr">
        <is>
          <t>2017</t>
        </is>
      </c>
      <c r="P161" s="5" t="inlineStr">
        <is>
          <t>2018</t>
        </is>
      </c>
      <c r="Q161" s="5" t="inlineStr">
        <is>
          <t>2019</t>
        </is>
      </c>
      <c r="R161" s="5" t="inlineStr">
        <is>
          <t>2020</t>
        </is>
      </c>
      <c r="S161" s="5" t="inlineStr">
        <is>
          <t>2021</t>
        </is>
      </c>
      <c r="T161" s="5" t="inlineStr">
        <is>
          <t>2022</t>
        </is>
      </c>
      <c r="U161" s="5" t="inlineStr">
        <is>
          <t>2023</t>
        </is>
      </c>
      <c r="V161" s="5" t="inlineStr">
        <is>
          <t>2024</t>
        </is>
      </c>
      <c r="W161" s="5" t="inlineStr">
        <is>
          <t>2025</t>
        </is>
      </c>
      <c r="X161" s="5" t="inlineStr">
        <is>
          <t>2026</t>
        </is>
      </c>
      <c r="Y161" s="5" t="inlineStr">
        <is>
          <t>2027(MW)</t>
        </is>
      </c>
      <c r="Z161" s="5" t="inlineStr">
        <is>
          <t>2028(MW)</t>
        </is>
      </c>
      <c r="AA161" s="5" t="inlineStr">
        <is>
          <t>2029(MW)</t>
        </is>
      </c>
      <c r="AB161" s="5" t="inlineStr">
        <is>
          <t>2030(MW)</t>
        </is>
      </c>
      <c r="AC161" s="5" t="inlineStr">
        <is>
          <t>2031(MW)</t>
        </is>
      </c>
    </row>
    <row r="162">
      <c r="A162" s="18" t="inlineStr">
        <is>
          <t>AutomobilePartsSalesAndMotorbikePartsSalesReportableSegmentsMember · 외부 고객 매출</t>
        </is>
      </c>
      <c r="C162" s="20" t="n">
        <v>45104</v>
      </c>
      <c r="E162" s="20" t="n">
        <v>33216</v>
      </c>
      <c r="F162" s="20" t="n">
        <v>33171</v>
      </c>
      <c r="G162" s="20" t="n">
        <v>48422</v>
      </c>
      <c r="H162" s="20" t="n">
        <v>33478</v>
      </c>
      <c r="I162" s="20" t="n">
        <v>38839</v>
      </c>
      <c r="J162" s="20" t="n">
        <v>37591</v>
      </c>
      <c r="K162" s="20" t="n">
        <v>51594</v>
      </c>
      <c r="L162" s="20" t="n">
        <v>37462</v>
      </c>
      <c r="M162" s="20" t="n">
        <v>39797</v>
      </c>
      <c r="N162" s="20" t="n">
        <v>40317</v>
      </c>
      <c r="W162" s="20" t="n">
        <v>33478</v>
      </c>
      <c r="X162" s="20" t="n">
        <v>37462</v>
      </c>
    </row>
    <row r="163">
      <c r="A163" s="43" t="inlineStr">
        <is>
          <t>YoY</t>
        </is>
      </c>
      <c r="B163" s="3" t="inlineStr">
        <is>
          <t>전년 같은 분기·전년 대비</t>
        </is>
      </c>
      <c r="G163" s="15">
        <f>IF(OR(G162="",C162=""),"",IF(C162&lt;=0,"",IFERROR(G162/C162-1,"")))</f>
        <v/>
      </c>
      <c r="H163" s="15">
        <f>IF(OR(H162="",D162=""),"",IF(D162&lt;=0,"",IFERROR(H162/D162-1,"")))</f>
        <v/>
      </c>
      <c r="I163" s="15">
        <f>IF(OR(I162="",E162=""),"",IF(E162&lt;=0,"",IFERROR(I162/E162-1,"")))</f>
        <v/>
      </c>
      <c r="J163" s="15">
        <f>IF(OR(J162="",F162=""),"",IF(F162&lt;=0,"",IFERROR(J162/F162-1,"")))</f>
        <v/>
      </c>
      <c r="K163" s="15">
        <f>IF(OR(K162="",G162=""),"",IF(G162&lt;=0,"",IFERROR(K162/G162-1,"")))</f>
        <v/>
      </c>
      <c r="L163" s="15">
        <f>IF(OR(L162="",H162=""),"",IF(H162&lt;=0,"",IFERROR(L162/H162-1,"")))</f>
        <v/>
      </c>
      <c r="M163" s="15">
        <f>IF(OR(M162="",I162=""),"",IF(I162&lt;=0,"",IFERROR(M162/I162-1,"")))</f>
        <v/>
      </c>
      <c r="N163" s="15">
        <f>IF(OR(N162="",J162=""),"",IF(J162&lt;=0,"",IFERROR(N162/J162-1,"")))</f>
        <v/>
      </c>
      <c r="W163" s="15">
        <f>IF(OR(W162="",V162=""),"",IF(V162&lt;=0,"",IFERROR(W162/V162-1,"")))</f>
        <v/>
      </c>
      <c r="X163" s="15">
        <f>IF(OR(X162="",W162=""),"",IF(W162&lt;=0,"",IFERROR(X162/W162-1,"")))</f>
        <v/>
      </c>
    </row>
    <row r="164">
      <c r="A164" s="18" t="inlineStr">
        <is>
          <t>LeasingReportableSegmentsMember · 외부 고객 매출</t>
        </is>
      </c>
      <c r="C164" s="20" t="n">
        <v>1476</v>
      </c>
      <c r="E164" s="20" t="n">
        <v>1456</v>
      </c>
      <c r="F164" s="20" t="n">
        <v>1447</v>
      </c>
      <c r="G164" s="20" t="n">
        <v>1436</v>
      </c>
      <c r="H164" s="20" t="n">
        <v>1440</v>
      </c>
      <c r="I164" s="20" t="n">
        <v>1449</v>
      </c>
      <c r="J164" s="20" t="n">
        <v>1426</v>
      </c>
      <c r="K164" s="20" t="n">
        <v>1454</v>
      </c>
      <c r="L164" s="20" t="n">
        <v>1464</v>
      </c>
      <c r="M164" s="20" t="n">
        <v>1451</v>
      </c>
      <c r="N164" s="20" t="n">
        <v>1449</v>
      </c>
      <c r="W164" s="20" t="n">
        <v>1440</v>
      </c>
      <c r="X164" s="20" t="n">
        <v>1464</v>
      </c>
    </row>
    <row r="165">
      <c r="A165" s="43" t="inlineStr">
        <is>
          <t>YoY</t>
        </is>
      </c>
      <c r="B165" s="3" t="inlineStr">
        <is>
          <t>전년 같은 분기·전년 대비</t>
        </is>
      </c>
      <c r="G165" s="15">
        <f>IF(OR(G164="",C164=""),"",IF(C164&lt;=0,"",IFERROR(G164/C164-1,"")))</f>
        <v/>
      </c>
      <c r="H165" s="15">
        <f>IF(OR(H164="",D164=""),"",IF(D164&lt;=0,"",IFERROR(H164/D164-1,"")))</f>
        <v/>
      </c>
      <c r="I165" s="15">
        <f>IF(OR(I164="",E164=""),"",IF(E164&lt;=0,"",IFERROR(I164/E164-1,"")))</f>
        <v/>
      </c>
      <c r="J165" s="15">
        <f>IF(OR(J164="",F164=""),"",IF(F164&lt;=0,"",IFERROR(J164/F164-1,"")))</f>
        <v/>
      </c>
      <c r="K165" s="15">
        <f>IF(OR(K164="",G164=""),"",IF(G164&lt;=0,"",IFERROR(K164/G164-1,"")))</f>
        <v/>
      </c>
      <c r="L165" s="15">
        <f>IF(OR(L164="",H164=""),"",IF(H164&lt;=0,"",IFERROR(L164/H164-1,"")))</f>
        <v/>
      </c>
      <c r="M165" s="15">
        <f>IF(OR(M164="",I164=""),"",IF(I164&lt;=0,"",IFERROR(M164/I164-1,"")))</f>
        <v/>
      </c>
      <c r="N165" s="15">
        <f>IF(OR(N164="",J164=""),"",IF(J164&lt;=0,"",IFERROR(N164/J164-1,"")))</f>
        <v/>
      </c>
      <c r="W165" s="15">
        <f>IF(OR(W164="",V164=""),"",IF(V164&lt;=0,"",IFERROR(W164/V164-1,"")))</f>
        <v/>
      </c>
      <c r="X165" s="15">
        <f>IF(OR(X164="",W164=""),"",IF(W164&lt;=0,"",IFERROR(X164/W164-1,"")))</f>
        <v/>
      </c>
    </row>
    <row r="166">
      <c r="A166" s="18" t="inlineStr">
        <is>
          <t>보고부문 합계 · 외부 고객 매출</t>
        </is>
      </c>
      <c r="C166" s="20" t="n">
        <v>46579</v>
      </c>
      <c r="E166" s="20" t="n">
        <v>34672</v>
      </c>
      <c r="F166" s="20" t="n">
        <v>34619</v>
      </c>
      <c r="G166" s="20" t="n">
        <v>49858</v>
      </c>
      <c r="H166" s="20" t="n">
        <v>34917</v>
      </c>
      <c r="I166" s="20" t="n">
        <v>40288</v>
      </c>
      <c r="J166" s="20" t="n">
        <v>39017</v>
      </c>
      <c r="K166" s="20" t="n">
        <v>53048</v>
      </c>
      <c r="L166" s="20" t="n">
        <v>38927</v>
      </c>
      <c r="M166" s="20" t="n">
        <v>41248</v>
      </c>
      <c r="N166" s="20" t="n">
        <v>41767</v>
      </c>
      <c r="W166" s="20" t="n">
        <v>34917</v>
      </c>
      <c r="X166" s="20" t="n">
        <v>38927</v>
      </c>
    </row>
    <row r="167">
      <c r="A167" s="43" t="inlineStr">
        <is>
          <t>YoY</t>
        </is>
      </c>
      <c r="B167" s="3" t="inlineStr">
        <is>
          <t>전년 같은 분기·전년 대비</t>
        </is>
      </c>
      <c r="G167" s="15">
        <f>IF(OR(G166="",C166=""),"",IF(C166&lt;=0,"",IFERROR(G166/C166-1,"")))</f>
        <v/>
      </c>
      <c r="H167" s="15">
        <f>IF(OR(H166="",D166=""),"",IF(D166&lt;=0,"",IFERROR(H166/D166-1,"")))</f>
        <v/>
      </c>
      <c r="I167" s="15">
        <f>IF(OR(I166="",E166=""),"",IF(E166&lt;=0,"",IFERROR(I166/E166-1,"")))</f>
        <v/>
      </c>
      <c r="J167" s="15">
        <f>IF(OR(J166="",F166=""),"",IF(F166&lt;=0,"",IFERROR(J166/F166-1,"")))</f>
        <v/>
      </c>
      <c r="K167" s="15">
        <f>IF(OR(K166="",G166=""),"",IF(G166&lt;=0,"",IFERROR(K166/G166-1,"")))</f>
        <v/>
      </c>
      <c r="L167" s="15">
        <f>IF(OR(L166="",H166=""),"",IF(H166&lt;=0,"",IFERROR(L166/H166-1,"")))</f>
        <v/>
      </c>
      <c r="M167" s="15">
        <f>IF(OR(M166="",I166=""),"",IF(I166&lt;=0,"",IFERROR(M166/I166-1,"")))</f>
        <v/>
      </c>
      <c r="N167" s="15">
        <f>IF(OR(N166="",J166=""),"",IF(J166&lt;=0,"",IFERROR(N166/J166-1,"")))</f>
        <v/>
      </c>
      <c r="W167" s="15">
        <f>IF(OR(W166="",V166=""),"",IF(V166&lt;=0,"",IFERROR(W166/V166-1,"")))</f>
        <v/>
      </c>
      <c r="X167" s="15">
        <f>IF(OR(X166="",W166=""),"",IF(W166&lt;=0,"",IFERROR(X166/W166-1,"")))</f>
        <v/>
      </c>
    </row>
    <row r="168">
      <c r="A168" s="18" t="inlineStr">
        <is>
          <t>기타 · 외부 고객 매출</t>
        </is>
      </c>
      <c r="C168" s="20" t="n">
        <v>0</v>
      </c>
      <c r="E168" s="20" t="n">
        <v>0</v>
      </c>
      <c r="F168" s="20" t="n">
        <v>0</v>
      </c>
      <c r="G168" s="20" t="n">
        <v>0</v>
      </c>
      <c r="H168" s="20" t="n">
        <v>0</v>
      </c>
      <c r="I168" s="20" t="n">
        <v>0</v>
      </c>
      <c r="J168" s="20" t="n">
        <v>0</v>
      </c>
      <c r="K168" s="20" t="n">
        <v>0</v>
      </c>
      <c r="L168" s="20" t="n">
        <v>0</v>
      </c>
      <c r="M168" s="20" t="n">
        <v>0</v>
      </c>
      <c r="N168" s="20" t="n">
        <v>0</v>
      </c>
      <c r="W168" s="20" t="n">
        <v>0</v>
      </c>
      <c r="X168" s="20" t="n">
        <v>0</v>
      </c>
    </row>
    <row r="169">
      <c r="A169" s="43" t="inlineStr">
        <is>
          <t>YoY</t>
        </is>
      </c>
      <c r="B169" s="3" t="inlineStr">
        <is>
          <t>전년 같은 분기·전년 대비</t>
        </is>
      </c>
      <c r="G169" s="15">
        <f>IF(OR(G168="",C168=""),"",IF(C168&lt;=0,"",IFERROR(G168/C168-1,"")))</f>
        <v/>
      </c>
      <c r="H169" s="15">
        <f>IF(OR(H168="",D168=""),"",IF(D168&lt;=0,"",IFERROR(H168/D168-1,"")))</f>
        <v/>
      </c>
      <c r="I169" s="15">
        <f>IF(OR(I168="",E168=""),"",IF(E168&lt;=0,"",IFERROR(I168/E168-1,"")))</f>
        <v/>
      </c>
      <c r="J169" s="15">
        <f>IF(OR(J168="",F168=""),"",IF(F168&lt;=0,"",IFERROR(J168/F168-1,"")))</f>
        <v/>
      </c>
      <c r="K169" s="15">
        <f>IF(OR(K168="",G168=""),"",IF(G168&lt;=0,"",IFERROR(K168/G168-1,"")))</f>
        <v/>
      </c>
      <c r="L169" s="15">
        <f>IF(OR(L168="",H168=""),"",IF(H168&lt;=0,"",IFERROR(L168/H168-1,"")))</f>
        <v/>
      </c>
      <c r="M169" s="15">
        <f>IF(OR(M168="",I168=""),"",IF(I168&lt;=0,"",IFERROR(M168/I168-1,"")))</f>
        <v/>
      </c>
      <c r="N169" s="15">
        <f>IF(OR(N168="",J168=""),"",IF(J168&lt;=0,"",IFERROR(N168/J168-1,"")))</f>
        <v/>
      </c>
      <c r="W169" s="15">
        <f>IF(OR(W168="",V168=""),"",IF(V168&lt;=0,"",IFERROR(W168/V168-1,"")))</f>
        <v/>
      </c>
      <c r="X169" s="15">
        <f>IF(OR(X168="",W168=""),"",IF(W168&lt;=0,"",IFERROR(X168/W168-1,"")))</f>
        <v/>
      </c>
    </row>
    <row r="170">
      <c r="A170" s="18" t="inlineStr">
        <is>
          <t>EntityTotalMember · 외부 고객 매출</t>
        </is>
      </c>
      <c r="E170" s="20" t="n">
        <v>34672</v>
      </c>
      <c r="I170" s="20" t="n">
        <v>40288</v>
      </c>
      <c r="M170" s="20" t="n">
        <v>41248</v>
      </c>
    </row>
    <row r="171">
      <c r="A171" s="9" t="inlineStr">
        <is>
          <t>외부 고객 매출</t>
        </is>
      </c>
      <c r="C171" s="12" t="n">
        <v>46579</v>
      </c>
      <c r="E171" s="12" t="n">
        <v>34672</v>
      </c>
      <c r="F171" s="12" t="n">
        <v>34619</v>
      </c>
      <c r="G171" s="12" t="n">
        <v>49858</v>
      </c>
      <c r="H171" s="12" t="n">
        <v>34917</v>
      </c>
      <c r="W171" s="12" t="n">
        <v>34917</v>
      </c>
    </row>
    <row r="172">
      <c r="A172" s="43" t="inlineStr">
        <is>
          <t>YoY</t>
        </is>
      </c>
      <c r="B172" s="3" t="inlineStr">
        <is>
          <t>전년 같은 분기·전년 대비</t>
        </is>
      </c>
      <c r="G172" s="15">
        <f>IF(OR(G171="",C171=""),"",IF(C171&lt;=0,"",IFERROR(G171/C171-1,"")))</f>
        <v/>
      </c>
      <c r="H172" s="15">
        <f>IF(OR(H171="",D171=""),"",IF(D171&lt;=0,"",IFERROR(H171/D171-1,"")))</f>
        <v/>
      </c>
      <c r="W172" s="15">
        <f>IF(OR(W171="",V171=""),"",IF(V171&lt;=0,"",IFERROR(W171/V171-1,"")))</f>
        <v/>
      </c>
    </row>
    <row r="173">
      <c r="A173" s="18" t="inlineStr">
        <is>
          <t>AutomobilePartsSalesAndMotorbikePartsSalesReportableSegmentsMember · 부문 간 내부매출·대체</t>
        </is>
      </c>
      <c r="C173" s="20" t="n">
        <v>0</v>
      </c>
      <c r="E173" s="20" t="n">
        <v>0</v>
      </c>
      <c r="F173" s="20" t="n">
        <v>0</v>
      </c>
      <c r="G173" s="20" t="n">
        <v>0</v>
      </c>
      <c r="H173" s="20" t="n">
        <v>0</v>
      </c>
      <c r="I173" s="20" t="n">
        <v>0</v>
      </c>
      <c r="J173" s="20" t="n">
        <v>0</v>
      </c>
      <c r="K173" s="20" t="n">
        <v>0</v>
      </c>
      <c r="L173" s="20" t="n">
        <v>0</v>
      </c>
      <c r="M173" s="20" t="n">
        <v>0</v>
      </c>
      <c r="N173" s="20" t="n">
        <v>0</v>
      </c>
      <c r="W173" s="20" t="n">
        <v>0</v>
      </c>
      <c r="X173" s="20" t="n">
        <v>0</v>
      </c>
    </row>
    <row r="174">
      <c r="A174" s="18" t="inlineStr">
        <is>
          <t>LeasingReportableSegmentsMember · 부문 간 내부매출·대체</t>
        </is>
      </c>
      <c r="C174" s="20" t="n">
        <v>0</v>
      </c>
      <c r="E174" s="20" t="n">
        <v>0</v>
      </c>
      <c r="F174" s="20" t="n">
        <v>0</v>
      </c>
      <c r="G174" s="20" t="n">
        <v>0</v>
      </c>
      <c r="H174" s="20" t="n">
        <v>0</v>
      </c>
      <c r="I174" s="20" t="n">
        <v>0</v>
      </c>
      <c r="J174" s="20" t="n">
        <v>0</v>
      </c>
      <c r="K174" s="20" t="n">
        <v>0</v>
      </c>
      <c r="L174" s="20" t="n">
        <v>0</v>
      </c>
      <c r="M174" s="20" t="n">
        <v>0</v>
      </c>
      <c r="N174" s="20" t="n">
        <v>0</v>
      </c>
      <c r="W174" s="20" t="n">
        <v>0</v>
      </c>
      <c r="X174" s="20" t="n">
        <v>0</v>
      </c>
    </row>
    <row r="175">
      <c r="A175" s="18" t="inlineStr">
        <is>
          <t>보고부문 합계 · 부문 간 내부매출·대체</t>
        </is>
      </c>
      <c r="C175" s="20" t="n">
        <v>0</v>
      </c>
      <c r="E175" s="20" t="n">
        <v>0</v>
      </c>
      <c r="F175" s="20" t="n">
        <v>0</v>
      </c>
      <c r="G175" s="20" t="n">
        <v>0</v>
      </c>
      <c r="H175" s="20" t="n">
        <v>0</v>
      </c>
      <c r="I175" s="20" t="n">
        <v>0</v>
      </c>
      <c r="J175" s="20" t="n">
        <v>0</v>
      </c>
      <c r="K175" s="20" t="n">
        <v>0</v>
      </c>
      <c r="L175" s="20" t="n">
        <v>0</v>
      </c>
      <c r="M175" s="20" t="n">
        <v>0</v>
      </c>
      <c r="N175" s="20" t="n">
        <v>0</v>
      </c>
      <c r="W175" s="20" t="n">
        <v>0</v>
      </c>
      <c r="X175" s="20" t="n">
        <v>0</v>
      </c>
    </row>
    <row r="176">
      <c r="A176" s="18" t="inlineStr">
        <is>
          <t>기타 · 부문 간 내부매출·대체</t>
        </is>
      </c>
      <c r="C176" s="20" t="n">
        <v>0</v>
      </c>
      <c r="E176" s="20" t="n">
        <v>0</v>
      </c>
      <c r="F176" s="20" t="n">
        <v>0</v>
      </c>
      <c r="G176" s="20" t="n">
        <v>0</v>
      </c>
      <c r="H176" s="20" t="n">
        <v>0</v>
      </c>
      <c r="I176" s="20" t="n">
        <v>0</v>
      </c>
      <c r="J176" s="20" t="n">
        <v>0</v>
      </c>
      <c r="K176" s="20" t="n">
        <v>0</v>
      </c>
      <c r="L176" s="20" t="n">
        <v>0</v>
      </c>
      <c r="M176" s="20" t="n">
        <v>0</v>
      </c>
      <c r="N176" s="20" t="n">
        <v>0</v>
      </c>
      <c r="W176" s="20" t="n">
        <v>0</v>
      </c>
      <c r="X176" s="20" t="n">
        <v>0</v>
      </c>
    </row>
    <row r="177">
      <c r="A177" s="18" t="inlineStr">
        <is>
          <t>EntityTotalMember · 부문 간 내부매출·대체</t>
        </is>
      </c>
      <c r="E177" s="20" t="n">
        <v>0</v>
      </c>
      <c r="I177" s="20" t="n">
        <v>0</v>
      </c>
      <c r="M177" s="20" t="n">
        <v>0</v>
      </c>
    </row>
    <row r="178">
      <c r="A178" s="18" t="inlineStr">
        <is>
          <t>부문 간 내부매출·대체</t>
        </is>
      </c>
      <c r="C178" s="20" t="n">
        <v>0</v>
      </c>
      <c r="E178" s="20" t="n">
        <v>0</v>
      </c>
      <c r="F178" s="20" t="n">
        <v>0</v>
      </c>
      <c r="G178" s="20" t="n">
        <v>0</v>
      </c>
      <c r="H178" s="20" t="n">
        <v>0</v>
      </c>
      <c r="W178" s="20" t="n">
        <v>0</v>
      </c>
    </row>
    <row r="179">
      <c r="A179" s="18" t="inlineStr">
        <is>
          <t>AutomobilePartsSalesAndMotorbikePartsSalesReportableSegmentsMember · 계</t>
        </is>
      </c>
      <c r="C179" s="20" t="n">
        <v>45104</v>
      </c>
      <c r="E179" s="20" t="n">
        <v>33216</v>
      </c>
      <c r="F179" s="20" t="n">
        <v>33171</v>
      </c>
      <c r="G179" s="20" t="n">
        <v>48422</v>
      </c>
      <c r="H179" s="20" t="n">
        <v>33478</v>
      </c>
      <c r="I179" s="20" t="n">
        <v>38839</v>
      </c>
      <c r="J179" s="20" t="n">
        <v>37591</v>
      </c>
      <c r="K179" s="20" t="n">
        <v>51594</v>
      </c>
      <c r="L179" s="20" t="n">
        <v>37462</v>
      </c>
      <c r="M179" s="20" t="n">
        <v>39797</v>
      </c>
      <c r="N179" s="20" t="n">
        <v>40317</v>
      </c>
      <c r="W179" s="20" t="n">
        <v>33478</v>
      </c>
      <c r="X179" s="20" t="n">
        <v>37462</v>
      </c>
    </row>
    <row r="180">
      <c r="A180" s="43" t="inlineStr">
        <is>
          <t>YoY</t>
        </is>
      </c>
      <c r="B180" s="3" t="inlineStr">
        <is>
          <t>전년 같은 분기·전년 대비</t>
        </is>
      </c>
      <c r="G180" s="15">
        <f>IF(OR(G179="",C179=""),"",IF(C179&lt;=0,"",IFERROR(G179/C179-1,"")))</f>
        <v/>
      </c>
      <c r="H180" s="15">
        <f>IF(OR(H179="",D179=""),"",IF(D179&lt;=0,"",IFERROR(H179/D179-1,"")))</f>
        <v/>
      </c>
      <c r="I180" s="15">
        <f>IF(OR(I179="",E179=""),"",IF(E179&lt;=0,"",IFERROR(I179/E179-1,"")))</f>
        <v/>
      </c>
      <c r="J180" s="15">
        <f>IF(OR(J179="",F179=""),"",IF(F179&lt;=0,"",IFERROR(J179/F179-1,"")))</f>
        <v/>
      </c>
      <c r="K180" s="15">
        <f>IF(OR(K179="",G179=""),"",IF(G179&lt;=0,"",IFERROR(K179/G179-1,"")))</f>
        <v/>
      </c>
      <c r="L180" s="15">
        <f>IF(OR(L179="",H179=""),"",IF(H179&lt;=0,"",IFERROR(L179/H179-1,"")))</f>
        <v/>
      </c>
      <c r="M180" s="15">
        <f>IF(OR(M179="",I179=""),"",IF(I179&lt;=0,"",IFERROR(M179/I179-1,"")))</f>
        <v/>
      </c>
      <c r="N180" s="15">
        <f>IF(OR(N179="",J179=""),"",IF(J179&lt;=0,"",IFERROR(N179/J179-1,"")))</f>
        <v/>
      </c>
      <c r="W180" s="15">
        <f>IF(OR(W179="",V179=""),"",IF(V179&lt;=0,"",IFERROR(W179/V179-1,"")))</f>
        <v/>
      </c>
      <c r="X180" s="15">
        <f>IF(OR(X179="",W179=""),"",IF(W179&lt;=0,"",IFERROR(X179/W179-1,"")))</f>
        <v/>
      </c>
    </row>
    <row r="181">
      <c r="A181" s="18" t="inlineStr">
        <is>
          <t>LeasingReportableSegmentsMember · 계</t>
        </is>
      </c>
      <c r="C181" s="20" t="n">
        <v>1476</v>
      </c>
      <c r="E181" s="20" t="n">
        <v>1456</v>
      </c>
      <c r="F181" s="20" t="n">
        <v>1447</v>
      </c>
      <c r="G181" s="20" t="n">
        <v>1436</v>
      </c>
      <c r="H181" s="20" t="n">
        <v>1440</v>
      </c>
      <c r="I181" s="20" t="n">
        <v>1449</v>
      </c>
      <c r="J181" s="20" t="n">
        <v>1426</v>
      </c>
      <c r="K181" s="20" t="n">
        <v>1454</v>
      </c>
      <c r="L181" s="20" t="n">
        <v>1464</v>
      </c>
      <c r="M181" s="20" t="n">
        <v>1451</v>
      </c>
      <c r="N181" s="20" t="n">
        <v>1449</v>
      </c>
      <c r="W181" s="20" t="n">
        <v>1440</v>
      </c>
      <c r="X181" s="20" t="n">
        <v>1464</v>
      </c>
    </row>
    <row r="182">
      <c r="A182" s="43" t="inlineStr">
        <is>
          <t>YoY</t>
        </is>
      </c>
      <c r="B182" s="3" t="inlineStr">
        <is>
          <t>전년 같은 분기·전년 대비</t>
        </is>
      </c>
      <c r="G182" s="15">
        <f>IF(OR(G181="",C181=""),"",IF(C181&lt;=0,"",IFERROR(G181/C181-1,"")))</f>
        <v/>
      </c>
      <c r="H182" s="15">
        <f>IF(OR(H181="",D181=""),"",IF(D181&lt;=0,"",IFERROR(H181/D181-1,"")))</f>
        <v/>
      </c>
      <c r="I182" s="15">
        <f>IF(OR(I181="",E181=""),"",IF(E181&lt;=0,"",IFERROR(I181/E181-1,"")))</f>
        <v/>
      </c>
      <c r="J182" s="15">
        <f>IF(OR(J181="",F181=""),"",IF(F181&lt;=0,"",IFERROR(J181/F181-1,"")))</f>
        <v/>
      </c>
      <c r="K182" s="15">
        <f>IF(OR(K181="",G181=""),"",IF(G181&lt;=0,"",IFERROR(K181/G181-1,"")))</f>
        <v/>
      </c>
      <c r="L182" s="15">
        <f>IF(OR(L181="",H181=""),"",IF(H181&lt;=0,"",IFERROR(L181/H181-1,"")))</f>
        <v/>
      </c>
      <c r="M182" s="15">
        <f>IF(OR(M181="",I181=""),"",IF(I181&lt;=0,"",IFERROR(M181/I181-1,"")))</f>
        <v/>
      </c>
      <c r="N182" s="15">
        <f>IF(OR(N181="",J181=""),"",IF(J181&lt;=0,"",IFERROR(N181/J181-1,"")))</f>
        <v/>
      </c>
      <c r="W182" s="15">
        <f>IF(OR(W181="",V181=""),"",IF(V181&lt;=0,"",IFERROR(W181/V181-1,"")))</f>
        <v/>
      </c>
      <c r="X182" s="15">
        <f>IF(OR(X181="",W181=""),"",IF(W181&lt;=0,"",IFERROR(X181/W181-1,"")))</f>
        <v/>
      </c>
    </row>
    <row r="183">
      <c r="A183" s="18" t="inlineStr">
        <is>
          <t>보고부문 합계 · 계</t>
        </is>
      </c>
      <c r="C183" s="20" t="n">
        <v>46579</v>
      </c>
      <c r="E183" s="20" t="n">
        <v>34672</v>
      </c>
      <c r="F183" s="20" t="n">
        <v>34619</v>
      </c>
      <c r="G183" s="20" t="n">
        <v>49858</v>
      </c>
      <c r="H183" s="20" t="n">
        <v>34917</v>
      </c>
      <c r="I183" s="20" t="n">
        <v>40288</v>
      </c>
      <c r="J183" s="20" t="n">
        <v>39017</v>
      </c>
      <c r="K183" s="20" t="n">
        <v>53048</v>
      </c>
      <c r="L183" s="20" t="n">
        <v>38927</v>
      </c>
      <c r="M183" s="20" t="n">
        <v>41248</v>
      </c>
      <c r="N183" s="20" t="n">
        <v>41767</v>
      </c>
      <c r="W183" s="20" t="n">
        <v>34917</v>
      </c>
      <c r="X183" s="20" t="n">
        <v>38927</v>
      </c>
    </row>
    <row r="184">
      <c r="A184" s="43" t="inlineStr">
        <is>
          <t>YoY</t>
        </is>
      </c>
      <c r="B184" s="3" t="inlineStr">
        <is>
          <t>전년 같은 분기·전년 대비</t>
        </is>
      </c>
      <c r="G184" s="15">
        <f>IF(OR(G183="",C183=""),"",IF(C183&lt;=0,"",IFERROR(G183/C183-1,"")))</f>
        <v/>
      </c>
      <c r="H184" s="15">
        <f>IF(OR(H183="",D183=""),"",IF(D183&lt;=0,"",IFERROR(H183/D183-1,"")))</f>
        <v/>
      </c>
      <c r="I184" s="15">
        <f>IF(OR(I183="",E183=""),"",IF(E183&lt;=0,"",IFERROR(I183/E183-1,"")))</f>
        <v/>
      </c>
      <c r="J184" s="15">
        <f>IF(OR(J183="",F183=""),"",IF(F183&lt;=0,"",IFERROR(J183/F183-1,"")))</f>
        <v/>
      </c>
      <c r="K184" s="15">
        <f>IF(OR(K183="",G183=""),"",IF(G183&lt;=0,"",IFERROR(K183/G183-1,"")))</f>
        <v/>
      </c>
      <c r="L184" s="15">
        <f>IF(OR(L183="",H183=""),"",IF(H183&lt;=0,"",IFERROR(L183/H183-1,"")))</f>
        <v/>
      </c>
      <c r="M184" s="15">
        <f>IF(OR(M183="",I183=""),"",IF(I183&lt;=0,"",IFERROR(M183/I183-1,"")))</f>
        <v/>
      </c>
      <c r="N184" s="15">
        <f>IF(OR(N183="",J183=""),"",IF(J183&lt;=0,"",IFERROR(N183/J183-1,"")))</f>
        <v/>
      </c>
      <c r="W184" s="15">
        <f>IF(OR(W183="",V183=""),"",IF(V183&lt;=0,"",IFERROR(W183/V183-1,"")))</f>
        <v/>
      </c>
      <c r="X184" s="15">
        <f>IF(OR(X183="",W183=""),"",IF(W183&lt;=0,"",IFERROR(X183/W183-1,"")))</f>
        <v/>
      </c>
    </row>
    <row r="185">
      <c r="A185" s="18" t="inlineStr">
        <is>
          <t>기타 · 계</t>
        </is>
      </c>
      <c r="C185" s="20" t="n">
        <v>0</v>
      </c>
      <c r="E185" s="20" t="n">
        <v>0</v>
      </c>
      <c r="F185" s="20" t="n">
        <v>0</v>
      </c>
      <c r="G185" s="20" t="n">
        <v>0</v>
      </c>
      <c r="H185" s="20" t="n">
        <v>0</v>
      </c>
      <c r="I185" s="20" t="n">
        <v>0</v>
      </c>
      <c r="J185" s="20" t="n">
        <v>0</v>
      </c>
      <c r="K185" s="20" t="n">
        <v>0</v>
      </c>
      <c r="L185" s="20" t="n">
        <v>0</v>
      </c>
      <c r="M185" s="20" t="n">
        <v>0</v>
      </c>
      <c r="N185" s="20" t="n">
        <v>0</v>
      </c>
      <c r="W185" s="20" t="n">
        <v>0</v>
      </c>
      <c r="X185" s="20" t="n">
        <v>0</v>
      </c>
    </row>
    <row r="186">
      <c r="A186" s="43" t="inlineStr">
        <is>
          <t>YoY</t>
        </is>
      </c>
      <c r="B186" s="3" t="inlineStr">
        <is>
          <t>전년 같은 분기·전년 대비</t>
        </is>
      </c>
      <c r="G186" s="15">
        <f>IF(OR(G185="",C185=""),"",IF(C185&lt;=0,"",IFERROR(G185/C185-1,"")))</f>
        <v/>
      </c>
      <c r="H186" s="15">
        <f>IF(OR(H185="",D185=""),"",IF(D185&lt;=0,"",IFERROR(H185/D185-1,"")))</f>
        <v/>
      </c>
      <c r="I186" s="15">
        <f>IF(OR(I185="",E185=""),"",IF(E185&lt;=0,"",IFERROR(I185/E185-1,"")))</f>
        <v/>
      </c>
      <c r="J186" s="15">
        <f>IF(OR(J185="",F185=""),"",IF(F185&lt;=0,"",IFERROR(J185/F185-1,"")))</f>
        <v/>
      </c>
      <c r="K186" s="15">
        <f>IF(OR(K185="",G185=""),"",IF(G185&lt;=0,"",IFERROR(K185/G185-1,"")))</f>
        <v/>
      </c>
      <c r="L186" s="15">
        <f>IF(OR(L185="",H185=""),"",IF(H185&lt;=0,"",IFERROR(L185/H185-1,"")))</f>
        <v/>
      </c>
      <c r="M186" s="15">
        <f>IF(OR(M185="",I185=""),"",IF(I185&lt;=0,"",IFERROR(M185/I185-1,"")))</f>
        <v/>
      </c>
      <c r="N186" s="15">
        <f>IF(OR(N185="",J185=""),"",IF(J185&lt;=0,"",IFERROR(N185/J185-1,"")))</f>
        <v/>
      </c>
      <c r="W186" s="15">
        <f>IF(OR(W185="",V185=""),"",IF(V185&lt;=0,"",IFERROR(W185/V185-1,"")))</f>
        <v/>
      </c>
      <c r="X186" s="15">
        <f>IF(OR(X185="",W185=""),"",IF(W185&lt;=0,"",IFERROR(X185/W185-1,"")))</f>
        <v/>
      </c>
    </row>
    <row r="187">
      <c r="A187" s="18" t="inlineStr">
        <is>
          <t>EntityTotalMember · 계</t>
        </is>
      </c>
      <c r="E187" s="20" t="n">
        <v>34672</v>
      </c>
      <c r="I187" s="20" t="n">
        <v>40288</v>
      </c>
      <c r="M187" s="20" t="n">
        <v>41248</v>
      </c>
    </row>
    <row r="188">
      <c r="A188" s="9" t="inlineStr">
        <is>
          <t>계</t>
        </is>
      </c>
      <c r="C188" s="12" t="n">
        <v>46579</v>
      </c>
      <c r="E188" s="12" t="n">
        <v>34672</v>
      </c>
      <c r="F188" s="12" t="n">
        <v>34619</v>
      </c>
      <c r="G188" s="12" t="n">
        <v>49858</v>
      </c>
      <c r="H188" s="12" t="n">
        <v>34917</v>
      </c>
      <c r="W188" s="12" t="n">
        <v>34917</v>
      </c>
    </row>
    <row r="189">
      <c r="A189" s="43" t="inlineStr">
        <is>
          <t>YoY</t>
        </is>
      </c>
      <c r="B189" s="3" t="inlineStr">
        <is>
          <t>전년 같은 분기·전년 대비</t>
        </is>
      </c>
      <c r="G189" s="15">
        <f>IF(OR(G188="",C188=""),"",IF(C188&lt;=0,"",IFERROR(G188/C188-1,"")))</f>
        <v/>
      </c>
      <c r="H189" s="15">
        <f>IF(OR(H188="",D188=""),"",IF(D188&lt;=0,"",IFERROR(H188/D188-1,"")))</f>
        <v/>
      </c>
      <c r="W189" s="15">
        <f>IF(OR(W188="",V188=""),"",IF(V188&lt;=0,"",IFERROR(W188/V188-1,"")))</f>
        <v/>
      </c>
    </row>
    <row r="190">
      <c r="A190" s="18" t="inlineStr">
        <is>
          <t>AutomobilePartsSalesAndMotorbikePartsSalesReportableSegmentsMember · 부문 이익</t>
        </is>
      </c>
      <c r="C190" s="20" t="n">
        <v>6358</v>
      </c>
      <c r="E190" s="20" t="n">
        <v>2722</v>
      </c>
      <c r="F190" s="20" t="n">
        <v>1852</v>
      </c>
      <c r="G190" s="20" t="n">
        <v>7395</v>
      </c>
      <c r="H190" s="20" t="n">
        <v>2087</v>
      </c>
      <c r="I190" s="20" t="n">
        <v>3127</v>
      </c>
      <c r="J190" s="20" t="n">
        <v>1667</v>
      </c>
      <c r="K190" s="20" t="n">
        <v>6844</v>
      </c>
      <c r="L190" s="20" t="n">
        <v>2042</v>
      </c>
      <c r="M190" s="20" t="n">
        <v>2560</v>
      </c>
      <c r="N190" s="20" t="n">
        <v>3216</v>
      </c>
      <c r="W190" s="20" t="n">
        <v>2087</v>
      </c>
      <c r="X190" s="20" t="n">
        <v>2042</v>
      </c>
    </row>
    <row r="191">
      <c r="A191" s="43" t="inlineStr">
        <is>
          <t>OPM</t>
        </is>
      </c>
      <c r="B191" s="3" t="inlineStr">
        <is>
          <t>영업이익 ÷ 매출</t>
        </is>
      </c>
      <c r="C191" s="15">
        <f>IF(OR(C190="",C179=""),"",IF(C179&lt;=0,"",IFERROR(C190/C179,"")))</f>
        <v/>
      </c>
      <c r="E191" s="15">
        <f>IF(OR(E190="",E179=""),"",IF(E179&lt;=0,"",IFERROR(E190/E179,"")))</f>
        <v/>
      </c>
      <c r="F191" s="15">
        <f>IF(OR(F190="",F179=""),"",IF(F179&lt;=0,"",IFERROR(F190/F179,"")))</f>
        <v/>
      </c>
      <c r="G191" s="15">
        <f>IF(OR(G190="",G179=""),"",IF(G179&lt;=0,"",IFERROR(G190/G179,"")))</f>
        <v/>
      </c>
      <c r="H191" s="15">
        <f>IF(OR(H190="",H179=""),"",IF(H179&lt;=0,"",IFERROR(H190/H179,"")))</f>
        <v/>
      </c>
      <c r="I191" s="15">
        <f>IF(OR(I190="",I179=""),"",IF(I179&lt;=0,"",IFERROR(I190/I179,"")))</f>
        <v/>
      </c>
      <c r="J191" s="15">
        <f>IF(OR(J190="",J179=""),"",IF(J179&lt;=0,"",IFERROR(J190/J179,"")))</f>
        <v/>
      </c>
      <c r="K191" s="15">
        <f>IF(OR(K190="",K179=""),"",IF(K179&lt;=0,"",IFERROR(K190/K179,"")))</f>
        <v/>
      </c>
      <c r="L191" s="15">
        <f>IF(OR(L190="",L179=""),"",IF(L179&lt;=0,"",IFERROR(L190/L179,"")))</f>
        <v/>
      </c>
      <c r="M191" s="15">
        <f>IF(OR(M190="",M179=""),"",IF(M179&lt;=0,"",IFERROR(M190/M179,"")))</f>
        <v/>
      </c>
      <c r="N191" s="15">
        <f>IF(OR(N190="",N179=""),"",IF(N179&lt;=0,"",IFERROR(N190/N179,"")))</f>
        <v/>
      </c>
      <c r="W191" s="15">
        <f>IF(OR(W190="",W179=""),"",IF(W179&lt;=0,"",IFERROR(W190/W179,"")))</f>
        <v/>
      </c>
      <c r="X191" s="15">
        <f>IF(OR(X190="",X179=""),"",IF(X179&lt;=0,"",IFERROR(X190/X179,"")))</f>
        <v/>
      </c>
    </row>
    <row r="192">
      <c r="A192" s="43" t="inlineStr">
        <is>
          <t>YoY</t>
        </is>
      </c>
      <c r="B192" s="3" t="inlineStr">
        <is>
          <t>전년 같은 분기·전년 대비</t>
        </is>
      </c>
      <c r="G192" s="15">
        <f>IF(OR(G190="",C190=""),"",IF(C190&lt;=0,"",IFERROR(G190/C190-1,"")))</f>
        <v/>
      </c>
      <c r="H192" s="15">
        <f>IF(OR(H190="",D190=""),"",IF(D190&lt;=0,"",IFERROR(H190/D190-1,"")))</f>
        <v/>
      </c>
      <c r="I192" s="15">
        <f>IF(OR(I190="",E190=""),"",IF(E190&lt;=0,"",IFERROR(I190/E190-1,"")))</f>
        <v/>
      </c>
      <c r="J192" s="15">
        <f>IF(OR(J190="",F190=""),"",IF(F190&lt;=0,"",IFERROR(J190/F190-1,"")))</f>
        <v/>
      </c>
      <c r="K192" s="15">
        <f>IF(OR(K190="",G190=""),"",IF(G190&lt;=0,"",IFERROR(K190/G190-1,"")))</f>
        <v/>
      </c>
      <c r="L192" s="15">
        <f>IF(OR(L190="",H190=""),"",IF(H190&lt;=0,"",IFERROR(L190/H190-1,"")))</f>
        <v/>
      </c>
      <c r="M192" s="15">
        <f>IF(OR(M190="",I190=""),"",IF(I190&lt;=0,"",IFERROR(M190/I190-1,"")))</f>
        <v/>
      </c>
      <c r="N192" s="15">
        <f>IF(OR(N190="",J190=""),"",IF(J190&lt;=0,"",IFERROR(N190/J190-1,"")))</f>
        <v/>
      </c>
      <c r="W192" s="15">
        <f>IF(OR(W190="",V190=""),"",IF(V190&lt;=0,"",IFERROR(W190/V190-1,"")))</f>
        <v/>
      </c>
      <c r="X192" s="15">
        <f>IF(OR(X190="",W190=""),"",IF(W190&lt;=0,"",IFERROR(X190/W190-1,"")))</f>
        <v/>
      </c>
    </row>
    <row r="193">
      <c r="A193" s="18" t="inlineStr">
        <is>
          <t>LeasingReportableSegmentsMember · 부문 이익</t>
        </is>
      </c>
      <c r="C193" s="20" t="n">
        <v>373</v>
      </c>
      <c r="E193" s="20" t="n">
        <v>395</v>
      </c>
      <c r="F193" s="20" t="n">
        <v>384</v>
      </c>
      <c r="G193" s="20" t="n">
        <v>370</v>
      </c>
      <c r="H193" s="20" t="n">
        <v>245</v>
      </c>
      <c r="I193" s="20" t="n">
        <v>370</v>
      </c>
      <c r="J193" s="20" t="n">
        <v>329</v>
      </c>
      <c r="K193" s="20" t="n">
        <v>378</v>
      </c>
      <c r="L193" s="20" t="n">
        <v>329</v>
      </c>
      <c r="M193" s="20" t="n">
        <v>346</v>
      </c>
      <c r="N193" s="20" t="n">
        <v>373</v>
      </c>
      <c r="W193" s="20" t="n">
        <v>245</v>
      </c>
      <c r="X193" s="20" t="n">
        <v>329</v>
      </c>
    </row>
    <row r="194">
      <c r="A194" s="43" t="inlineStr">
        <is>
          <t>OPM</t>
        </is>
      </c>
      <c r="B194" s="3" t="inlineStr">
        <is>
          <t>영업이익 ÷ 매출</t>
        </is>
      </c>
      <c r="C194" s="15">
        <f>IF(OR(C193="",C181=""),"",IF(C181&lt;=0,"",IFERROR(C193/C181,"")))</f>
        <v/>
      </c>
      <c r="E194" s="15">
        <f>IF(OR(E193="",E181=""),"",IF(E181&lt;=0,"",IFERROR(E193/E181,"")))</f>
        <v/>
      </c>
      <c r="F194" s="15">
        <f>IF(OR(F193="",F181=""),"",IF(F181&lt;=0,"",IFERROR(F193/F181,"")))</f>
        <v/>
      </c>
      <c r="G194" s="15">
        <f>IF(OR(G193="",G181=""),"",IF(G181&lt;=0,"",IFERROR(G193/G181,"")))</f>
        <v/>
      </c>
      <c r="H194" s="15">
        <f>IF(OR(H193="",H181=""),"",IF(H181&lt;=0,"",IFERROR(H193/H181,"")))</f>
        <v/>
      </c>
      <c r="I194" s="15">
        <f>IF(OR(I193="",I181=""),"",IF(I181&lt;=0,"",IFERROR(I193/I181,"")))</f>
        <v/>
      </c>
      <c r="J194" s="15">
        <f>IF(OR(J193="",J181=""),"",IF(J181&lt;=0,"",IFERROR(J193/J181,"")))</f>
        <v/>
      </c>
      <c r="K194" s="15">
        <f>IF(OR(K193="",K181=""),"",IF(K181&lt;=0,"",IFERROR(K193/K181,"")))</f>
        <v/>
      </c>
      <c r="L194" s="15">
        <f>IF(OR(L193="",L181=""),"",IF(L181&lt;=0,"",IFERROR(L193/L181,"")))</f>
        <v/>
      </c>
      <c r="M194" s="15">
        <f>IF(OR(M193="",M181=""),"",IF(M181&lt;=0,"",IFERROR(M193/M181,"")))</f>
        <v/>
      </c>
      <c r="N194" s="15">
        <f>IF(OR(N193="",N181=""),"",IF(N181&lt;=0,"",IFERROR(N193/N181,"")))</f>
        <v/>
      </c>
      <c r="W194" s="15">
        <f>IF(OR(W193="",W181=""),"",IF(W181&lt;=0,"",IFERROR(W193/W181,"")))</f>
        <v/>
      </c>
      <c r="X194" s="15">
        <f>IF(OR(X193="",X181=""),"",IF(X181&lt;=0,"",IFERROR(X193/X181,"")))</f>
        <v/>
      </c>
    </row>
    <row r="195">
      <c r="A195" s="43" t="inlineStr">
        <is>
          <t>YoY</t>
        </is>
      </c>
      <c r="B195" s="3" t="inlineStr">
        <is>
          <t>전년 같은 분기·전년 대비</t>
        </is>
      </c>
      <c r="G195" s="15">
        <f>IF(OR(G193="",C193=""),"",IF(C193&lt;=0,"",IFERROR(G193/C193-1,"")))</f>
        <v/>
      </c>
      <c r="H195" s="15">
        <f>IF(OR(H193="",D193=""),"",IF(D193&lt;=0,"",IFERROR(H193/D193-1,"")))</f>
        <v/>
      </c>
      <c r="I195" s="15">
        <f>IF(OR(I193="",E193=""),"",IF(E193&lt;=0,"",IFERROR(I193/E193-1,"")))</f>
        <v/>
      </c>
      <c r="J195" s="15">
        <f>IF(OR(J193="",F193=""),"",IF(F193&lt;=0,"",IFERROR(J193/F193-1,"")))</f>
        <v/>
      </c>
      <c r="K195" s="15">
        <f>IF(OR(K193="",G193=""),"",IF(G193&lt;=0,"",IFERROR(K193/G193-1,"")))</f>
        <v/>
      </c>
      <c r="L195" s="15">
        <f>IF(OR(L193="",H193=""),"",IF(H193&lt;=0,"",IFERROR(L193/H193-1,"")))</f>
        <v/>
      </c>
      <c r="M195" s="15">
        <f>IF(OR(M193="",I193=""),"",IF(I193&lt;=0,"",IFERROR(M193/I193-1,"")))</f>
        <v/>
      </c>
      <c r="N195" s="15">
        <f>IF(OR(N193="",J193=""),"",IF(J193&lt;=0,"",IFERROR(N193/J193-1,"")))</f>
        <v/>
      </c>
      <c r="W195" s="15">
        <f>IF(OR(W193="",V193=""),"",IF(V193&lt;=0,"",IFERROR(W193/V193-1,"")))</f>
        <v/>
      </c>
      <c r="X195" s="15">
        <f>IF(OR(X193="",W193=""),"",IF(W193&lt;=0,"",IFERROR(X193/W193-1,"")))</f>
        <v/>
      </c>
    </row>
    <row r="196">
      <c r="A196" s="18" t="inlineStr">
        <is>
          <t>보고부문 합계 · 부문 이익</t>
        </is>
      </c>
      <c r="C196" s="20" t="n">
        <v>6731</v>
      </c>
      <c r="E196" s="20" t="n">
        <v>3117</v>
      </c>
      <c r="F196" s="20" t="n">
        <v>2236</v>
      </c>
      <c r="G196" s="20" t="n">
        <v>7766</v>
      </c>
      <c r="H196" s="20" t="n">
        <v>2331</v>
      </c>
      <c r="I196" s="20" t="n">
        <v>3498</v>
      </c>
      <c r="J196" s="20" t="n">
        <v>1995</v>
      </c>
      <c r="K196" s="20" t="n">
        <v>7223</v>
      </c>
      <c r="L196" s="20" t="n">
        <v>2371</v>
      </c>
      <c r="M196" s="20" t="n">
        <v>2907</v>
      </c>
      <c r="N196" s="20" t="n">
        <v>3589</v>
      </c>
      <c r="W196" s="20" t="n">
        <v>2331</v>
      </c>
      <c r="X196" s="20" t="n">
        <v>2371</v>
      </c>
    </row>
    <row r="197">
      <c r="A197" s="43" t="inlineStr">
        <is>
          <t>OPM</t>
        </is>
      </c>
      <c r="B197" s="3" t="inlineStr">
        <is>
          <t>영업이익 ÷ 매출</t>
        </is>
      </c>
      <c r="C197" s="15">
        <f>IF(OR(C196="",C183=""),"",IF(C183&lt;=0,"",IFERROR(C196/C183,"")))</f>
        <v/>
      </c>
      <c r="E197" s="15">
        <f>IF(OR(E196="",E183=""),"",IF(E183&lt;=0,"",IFERROR(E196/E183,"")))</f>
        <v/>
      </c>
      <c r="F197" s="15">
        <f>IF(OR(F196="",F183=""),"",IF(F183&lt;=0,"",IFERROR(F196/F183,"")))</f>
        <v/>
      </c>
      <c r="G197" s="15">
        <f>IF(OR(G196="",G183=""),"",IF(G183&lt;=0,"",IFERROR(G196/G183,"")))</f>
        <v/>
      </c>
      <c r="H197" s="15">
        <f>IF(OR(H196="",H183=""),"",IF(H183&lt;=0,"",IFERROR(H196/H183,"")))</f>
        <v/>
      </c>
      <c r="I197" s="15">
        <f>IF(OR(I196="",I183=""),"",IF(I183&lt;=0,"",IFERROR(I196/I183,"")))</f>
        <v/>
      </c>
      <c r="J197" s="15">
        <f>IF(OR(J196="",J183=""),"",IF(J183&lt;=0,"",IFERROR(J196/J183,"")))</f>
        <v/>
      </c>
      <c r="K197" s="15">
        <f>IF(OR(K196="",K183=""),"",IF(K183&lt;=0,"",IFERROR(K196/K183,"")))</f>
        <v/>
      </c>
      <c r="L197" s="15">
        <f>IF(OR(L196="",L183=""),"",IF(L183&lt;=0,"",IFERROR(L196/L183,"")))</f>
        <v/>
      </c>
      <c r="M197" s="15">
        <f>IF(OR(M196="",M183=""),"",IF(M183&lt;=0,"",IFERROR(M196/M183,"")))</f>
        <v/>
      </c>
      <c r="N197" s="15">
        <f>IF(OR(N196="",N183=""),"",IF(N183&lt;=0,"",IFERROR(N196/N183,"")))</f>
        <v/>
      </c>
      <c r="W197" s="15">
        <f>IF(OR(W196="",W183=""),"",IF(W183&lt;=0,"",IFERROR(W196/W183,"")))</f>
        <v/>
      </c>
      <c r="X197" s="15">
        <f>IF(OR(X196="",X183=""),"",IF(X183&lt;=0,"",IFERROR(X196/X183,"")))</f>
        <v/>
      </c>
    </row>
    <row r="198">
      <c r="A198" s="43" t="inlineStr">
        <is>
          <t>YoY</t>
        </is>
      </c>
      <c r="B198" s="3" t="inlineStr">
        <is>
          <t>전년 같은 분기·전년 대비</t>
        </is>
      </c>
      <c r="G198" s="15">
        <f>IF(OR(G196="",C196=""),"",IF(C196&lt;=0,"",IFERROR(G196/C196-1,"")))</f>
        <v/>
      </c>
      <c r="H198" s="15">
        <f>IF(OR(H196="",D196=""),"",IF(D196&lt;=0,"",IFERROR(H196/D196-1,"")))</f>
        <v/>
      </c>
      <c r="I198" s="15">
        <f>IF(OR(I196="",E196=""),"",IF(E196&lt;=0,"",IFERROR(I196/E196-1,"")))</f>
        <v/>
      </c>
      <c r="J198" s="15">
        <f>IF(OR(J196="",F196=""),"",IF(F196&lt;=0,"",IFERROR(J196/F196-1,"")))</f>
        <v/>
      </c>
      <c r="K198" s="15">
        <f>IF(OR(K196="",G196=""),"",IF(G196&lt;=0,"",IFERROR(K196/G196-1,"")))</f>
        <v/>
      </c>
      <c r="L198" s="15">
        <f>IF(OR(L196="",H196=""),"",IF(H196&lt;=0,"",IFERROR(L196/H196-1,"")))</f>
        <v/>
      </c>
      <c r="M198" s="15">
        <f>IF(OR(M196="",I196=""),"",IF(I196&lt;=0,"",IFERROR(M196/I196-1,"")))</f>
        <v/>
      </c>
      <c r="N198" s="15">
        <f>IF(OR(N196="",J196=""),"",IF(J196&lt;=0,"",IFERROR(N196/J196-1,"")))</f>
        <v/>
      </c>
      <c r="W198" s="15">
        <f>IF(OR(W196="",V196=""),"",IF(V196&lt;=0,"",IFERROR(W196/V196-1,"")))</f>
        <v/>
      </c>
      <c r="X198" s="15">
        <f>IF(OR(X196="",W196=""),"",IF(W196&lt;=0,"",IFERROR(X196/W196-1,"")))</f>
        <v/>
      </c>
    </row>
    <row r="199">
      <c r="A199" s="18" t="inlineStr">
        <is>
          <t>기타 · 부문 이익</t>
        </is>
      </c>
      <c r="C199" s="20" t="n">
        <v>0</v>
      </c>
      <c r="E199" s="20" t="n">
        <v>0</v>
      </c>
      <c r="F199" s="20" t="n">
        <v>0</v>
      </c>
      <c r="G199" s="20" t="n">
        <v>0</v>
      </c>
      <c r="H199" s="20" t="n">
        <v>0</v>
      </c>
      <c r="I199" s="20" t="n">
        <v>0</v>
      </c>
      <c r="J199" s="20" t="n">
        <v>0</v>
      </c>
      <c r="K199" s="20" t="n">
        <v>0</v>
      </c>
      <c r="L199" s="20" t="n">
        <v>0</v>
      </c>
      <c r="M199" s="20" t="n">
        <v>0</v>
      </c>
      <c r="N199" s="20" t="n">
        <v>0</v>
      </c>
      <c r="W199" s="20" t="n">
        <v>0</v>
      </c>
      <c r="X199" s="20" t="n">
        <v>0</v>
      </c>
    </row>
    <row r="200">
      <c r="A200" s="43" t="inlineStr">
        <is>
          <t>OPM</t>
        </is>
      </c>
      <c r="B200" s="3" t="inlineStr">
        <is>
          <t>영업이익 ÷ 매출</t>
        </is>
      </c>
      <c r="C200" s="15">
        <f>IF(OR(C199="",C185=""),"",IF(C185&lt;=0,"",IFERROR(C199/C185,"")))</f>
        <v/>
      </c>
      <c r="E200" s="15">
        <f>IF(OR(E199="",E185=""),"",IF(E185&lt;=0,"",IFERROR(E199/E185,"")))</f>
        <v/>
      </c>
      <c r="F200" s="15">
        <f>IF(OR(F199="",F185=""),"",IF(F185&lt;=0,"",IFERROR(F199/F185,"")))</f>
        <v/>
      </c>
      <c r="G200" s="15">
        <f>IF(OR(G199="",G185=""),"",IF(G185&lt;=0,"",IFERROR(G199/G185,"")))</f>
        <v/>
      </c>
      <c r="H200" s="15">
        <f>IF(OR(H199="",H185=""),"",IF(H185&lt;=0,"",IFERROR(H199/H185,"")))</f>
        <v/>
      </c>
      <c r="I200" s="15">
        <f>IF(OR(I199="",I185=""),"",IF(I185&lt;=0,"",IFERROR(I199/I185,"")))</f>
        <v/>
      </c>
      <c r="J200" s="15">
        <f>IF(OR(J199="",J185=""),"",IF(J185&lt;=0,"",IFERROR(J199/J185,"")))</f>
        <v/>
      </c>
      <c r="K200" s="15">
        <f>IF(OR(K199="",K185=""),"",IF(K185&lt;=0,"",IFERROR(K199/K185,"")))</f>
        <v/>
      </c>
      <c r="L200" s="15">
        <f>IF(OR(L199="",L185=""),"",IF(L185&lt;=0,"",IFERROR(L199/L185,"")))</f>
        <v/>
      </c>
      <c r="M200" s="15">
        <f>IF(OR(M199="",M185=""),"",IF(M185&lt;=0,"",IFERROR(M199/M185,"")))</f>
        <v/>
      </c>
      <c r="N200" s="15">
        <f>IF(OR(N199="",N185=""),"",IF(N185&lt;=0,"",IFERROR(N199/N185,"")))</f>
        <v/>
      </c>
      <c r="W200" s="15">
        <f>IF(OR(W199="",W185=""),"",IF(W185&lt;=0,"",IFERROR(W199/W185,"")))</f>
        <v/>
      </c>
      <c r="X200" s="15">
        <f>IF(OR(X199="",X185=""),"",IF(X185&lt;=0,"",IFERROR(X199/X185,"")))</f>
        <v/>
      </c>
    </row>
    <row r="201">
      <c r="A201" s="43" t="inlineStr">
        <is>
          <t>YoY</t>
        </is>
      </c>
      <c r="B201" s="3" t="inlineStr">
        <is>
          <t>전년 같은 분기·전년 대비</t>
        </is>
      </c>
      <c r="G201" s="15">
        <f>IF(OR(G199="",C199=""),"",IF(C199&lt;=0,"",IFERROR(G199/C199-1,"")))</f>
        <v/>
      </c>
      <c r="H201" s="15">
        <f>IF(OR(H199="",D199=""),"",IF(D199&lt;=0,"",IFERROR(H199/D199-1,"")))</f>
        <v/>
      </c>
      <c r="I201" s="15">
        <f>IF(OR(I199="",E199=""),"",IF(E199&lt;=0,"",IFERROR(I199/E199-1,"")))</f>
        <v/>
      </c>
      <c r="J201" s="15">
        <f>IF(OR(J199="",F199=""),"",IF(F199&lt;=0,"",IFERROR(J199/F199-1,"")))</f>
        <v/>
      </c>
      <c r="K201" s="15">
        <f>IF(OR(K199="",G199=""),"",IF(G199&lt;=0,"",IFERROR(K199/G199-1,"")))</f>
        <v/>
      </c>
      <c r="L201" s="15">
        <f>IF(OR(L199="",H199=""),"",IF(H199&lt;=0,"",IFERROR(L199/H199-1,"")))</f>
        <v/>
      </c>
      <c r="M201" s="15">
        <f>IF(OR(M199="",I199=""),"",IF(I199&lt;=0,"",IFERROR(M199/I199-1,"")))</f>
        <v/>
      </c>
      <c r="N201" s="15">
        <f>IF(OR(N199="",J199=""),"",IF(J199&lt;=0,"",IFERROR(N199/J199-1,"")))</f>
        <v/>
      </c>
      <c r="W201" s="15">
        <f>IF(OR(W199="",V199=""),"",IF(V199&lt;=0,"",IFERROR(W199/V199-1,"")))</f>
        <v/>
      </c>
      <c r="X201" s="15">
        <f>IF(OR(X199="",W199=""),"",IF(W199&lt;=0,"",IFERROR(X199/W199-1,"")))</f>
        <v/>
      </c>
    </row>
    <row r="202">
      <c r="A202" s="18" t="inlineStr">
        <is>
          <t>EntityTotalMember · 부문 이익</t>
        </is>
      </c>
      <c r="E202" s="20" t="n">
        <v>3117</v>
      </c>
      <c r="I202" s="20" t="n">
        <v>3498</v>
      </c>
      <c r="M202" s="20" t="n">
        <v>2907</v>
      </c>
    </row>
    <row r="203">
      <c r="A203" s="9" t="inlineStr">
        <is>
          <t>부문 이익</t>
        </is>
      </c>
      <c r="C203" s="12" t="n">
        <v>6731</v>
      </c>
      <c r="E203" s="12" t="n">
        <v>3117</v>
      </c>
      <c r="F203" s="12" t="n">
        <v>2236</v>
      </c>
      <c r="G203" s="12" t="n">
        <v>7766</v>
      </c>
      <c r="H203" s="12" t="n">
        <v>2331</v>
      </c>
      <c r="W203" s="12" t="n">
        <v>2331</v>
      </c>
    </row>
    <row r="204">
      <c r="A204" s="43" t="inlineStr">
        <is>
          <t>OPM</t>
        </is>
      </c>
      <c r="B204" s="3" t="inlineStr">
        <is>
          <t>영업이익 ÷ 매출</t>
        </is>
      </c>
      <c r="C204" s="15">
        <f>IF(OR(C203="",C171=""),"",IF(C171&lt;=0,"",IFERROR(C203/C171,"")))</f>
        <v/>
      </c>
      <c r="E204" s="15">
        <f>IF(OR(E203="",E171=""),"",IF(E171&lt;=0,"",IFERROR(E203/E171,"")))</f>
        <v/>
      </c>
      <c r="F204" s="15">
        <f>IF(OR(F203="",F171=""),"",IF(F171&lt;=0,"",IFERROR(F203/F171,"")))</f>
        <v/>
      </c>
      <c r="G204" s="15">
        <f>IF(OR(G203="",G171=""),"",IF(G171&lt;=0,"",IFERROR(G203/G171,"")))</f>
        <v/>
      </c>
      <c r="H204" s="15">
        <f>IF(OR(H203="",H171=""),"",IF(H171&lt;=0,"",IFERROR(H203/H171,"")))</f>
        <v/>
      </c>
      <c r="W204" s="15">
        <f>IF(OR(W203="",W171=""),"",IF(W171&lt;=0,"",IFERROR(W203/W171,"")))</f>
        <v/>
      </c>
    </row>
    <row r="205">
      <c r="A205" s="43" t="inlineStr">
        <is>
          <t>YoY</t>
        </is>
      </c>
      <c r="B205" s="3" t="inlineStr">
        <is>
          <t>전년 같은 분기·전년 대비</t>
        </is>
      </c>
      <c r="G205" s="15">
        <f>IF(OR(G203="",C203=""),"",IF(C203&lt;=0,"",IFERROR(G203/C203-1,"")))</f>
        <v/>
      </c>
      <c r="H205" s="15">
        <f>IF(OR(H203="",D203=""),"",IF(D203&lt;=0,"",IFERROR(H203/D203-1,"")))</f>
        <v/>
      </c>
      <c r="W205" s="15">
        <f>IF(OR(W203="",V203=""),"",IF(V203&lt;=0,"",IFERROR(W203/V203-1,"")))</f>
        <v/>
      </c>
    </row>
    <row r="207">
      <c r="A207" s="16" t="inlineStr">
        <is>
          <t>현금흐름표 · 전 항목</t>
        </is>
      </c>
      <c r="B207" s="42" t="inlineStr">
        <is>
          <t>분기 = 결산기 첫날부터 누계(공시 그대로)</t>
        </is>
      </c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16" t="n"/>
      <c r="AA207" s="16" t="n"/>
      <c r="AB207" s="16" t="n"/>
      <c r="AC207" s="16" t="n"/>
    </row>
    <row r="208">
      <c r="A208" s="5" t="inlineStr">
        <is>
          <t>항목</t>
        </is>
      </c>
      <c r="B208" s="5" t="inlineStr">
        <is>
          <t>참고</t>
        </is>
      </c>
      <c r="C208" s="5" t="inlineStr">
        <is>
          <t>2024.3Q</t>
        </is>
      </c>
      <c r="D208" s="5" t="inlineStr">
        <is>
          <t>2024.4Q</t>
        </is>
      </c>
      <c r="E208" s="5" t="inlineStr">
        <is>
          <t>2025.1Q</t>
        </is>
      </c>
      <c r="F208" s="5" t="inlineStr">
        <is>
          <t>2025.2Q</t>
        </is>
      </c>
      <c r="G208" s="5" t="inlineStr">
        <is>
          <t>2025.3Q</t>
        </is>
      </c>
      <c r="H208" s="5" t="inlineStr">
        <is>
          <t>2025.4Q</t>
        </is>
      </c>
      <c r="I208" s="5" t="inlineStr">
        <is>
          <t>2026.1Q</t>
        </is>
      </c>
      <c r="J208" s="5" t="inlineStr">
        <is>
          <t>2026.2Q</t>
        </is>
      </c>
      <c r="K208" s="5" t="inlineStr">
        <is>
          <t>2026.3Q</t>
        </is>
      </c>
      <c r="L208" s="5" t="inlineStr">
        <is>
          <t>2026.4Q</t>
        </is>
      </c>
      <c r="M208" s="5" t="inlineStr">
        <is>
          <t>2027.1Q</t>
        </is>
      </c>
      <c r="N208" s="5" t="inlineStr">
        <is>
          <t>2027.2Q</t>
        </is>
      </c>
      <c r="O208" s="5" t="inlineStr">
        <is>
          <t>2017</t>
        </is>
      </c>
      <c r="P208" s="5" t="inlineStr">
        <is>
          <t>2018</t>
        </is>
      </c>
      <c r="Q208" s="5" t="inlineStr">
        <is>
          <t>2019</t>
        </is>
      </c>
      <c r="R208" s="5" t="inlineStr">
        <is>
          <t>2020</t>
        </is>
      </c>
      <c r="S208" s="5" t="inlineStr">
        <is>
          <t>2021</t>
        </is>
      </c>
      <c r="T208" s="5" t="inlineStr">
        <is>
          <t>2022</t>
        </is>
      </c>
      <c r="U208" s="5" t="inlineStr">
        <is>
          <t>2023</t>
        </is>
      </c>
      <c r="V208" s="5" t="inlineStr">
        <is>
          <t>2024</t>
        </is>
      </c>
      <c r="W208" s="5" t="inlineStr">
        <is>
          <t>2025</t>
        </is>
      </c>
      <c r="X208" s="5" t="inlineStr">
        <is>
          <t>2026</t>
        </is>
      </c>
      <c r="Y208" s="5" t="inlineStr">
        <is>
          <t>2027(MW)</t>
        </is>
      </c>
      <c r="Z208" s="5" t="inlineStr">
        <is>
          <t>2028(MW)</t>
        </is>
      </c>
      <c r="AA208" s="5" t="inlineStr">
        <is>
          <t>2029(MW)</t>
        </is>
      </c>
      <c r="AB208" s="5" t="inlineStr">
        <is>
          <t>2030(MW)</t>
        </is>
      </c>
      <c r="AC208" s="5" t="inlineStr">
        <is>
          <t>2031(MW)</t>
        </is>
      </c>
    </row>
    <row r="209">
      <c r="A209" s="9" t="inlineStr">
        <is>
          <t>법인세차감전 순이익</t>
        </is>
      </c>
      <c r="D209" s="12" t="n">
        <v>15018</v>
      </c>
      <c r="F209" s="12" t="n">
        <v>5924</v>
      </c>
      <c r="H209" s="12" t="n">
        <v>16443</v>
      </c>
      <c r="J209" s="12" t="n">
        <v>6185</v>
      </c>
      <c r="L209" s="12" t="n">
        <v>17069</v>
      </c>
      <c r="N209" s="12" t="n">
        <v>7889</v>
      </c>
      <c r="O209" s="12" t="n">
        <v>7867</v>
      </c>
      <c r="P209" s="12" t="n">
        <v>10143</v>
      </c>
      <c r="Q209" s="12" t="n">
        <v>10522</v>
      </c>
      <c r="R209" s="12" t="n">
        <v>10453</v>
      </c>
      <c r="S209" s="12" t="n">
        <v>12708</v>
      </c>
      <c r="T209" s="12" t="n">
        <v>14144</v>
      </c>
      <c r="U209" s="12" t="n">
        <v>15485</v>
      </c>
      <c r="V209" s="12" t="n">
        <v>15018</v>
      </c>
      <c r="W209" s="12" t="n">
        <v>16443</v>
      </c>
      <c r="X209" s="12" t="n">
        <v>17069</v>
      </c>
    </row>
    <row r="210">
      <c r="A210" s="18" t="inlineStr">
        <is>
          <t>감가상각비</t>
        </is>
      </c>
      <c r="D210" s="20" t="n">
        <v>2808</v>
      </c>
      <c r="F210" s="20" t="n">
        <v>1493</v>
      </c>
      <c r="H210" s="20" t="n">
        <v>3079</v>
      </c>
      <c r="J210" s="20" t="n">
        <v>1745</v>
      </c>
      <c r="L210" s="20" t="n">
        <v>3660</v>
      </c>
      <c r="N210" s="20" t="n">
        <v>1939</v>
      </c>
      <c r="O210" s="20" t="n">
        <v>2090</v>
      </c>
      <c r="P210" s="20" t="n">
        <v>2335</v>
      </c>
      <c r="Q210" s="20" t="n">
        <v>2311</v>
      </c>
      <c r="R210" s="20" t="n">
        <v>1879</v>
      </c>
      <c r="S210" s="20" t="n">
        <v>2143</v>
      </c>
      <c r="T210" s="20" t="n">
        <v>2249</v>
      </c>
      <c r="U210" s="20" t="n">
        <v>2415</v>
      </c>
      <c r="V210" s="20" t="n">
        <v>2808</v>
      </c>
      <c r="W210" s="20" t="n">
        <v>3079</v>
      </c>
      <c r="X210" s="20" t="n">
        <v>3660</v>
      </c>
    </row>
    <row r="211">
      <c r="A211" s="18" t="inlineStr">
        <is>
          <t>손상차손</t>
        </is>
      </c>
      <c r="D211" s="20" t="n">
        <v>941</v>
      </c>
      <c r="F211" s="20" t="n">
        <v>0</v>
      </c>
      <c r="H211" s="20" t="n">
        <v>528</v>
      </c>
      <c r="L211" s="20" t="n">
        <v>403</v>
      </c>
      <c r="O211" s="20" t="n">
        <v>130</v>
      </c>
      <c r="P211" s="20" t="n">
        <v>500</v>
      </c>
      <c r="Q211" s="20" t="n">
        <v>336</v>
      </c>
      <c r="R211" s="20" t="n">
        <v>604</v>
      </c>
      <c r="S211" s="20" t="n">
        <v>1100</v>
      </c>
      <c r="T211" s="20" t="n">
        <v>645</v>
      </c>
      <c r="U211" s="20" t="n">
        <v>801</v>
      </c>
      <c r="V211" s="20" t="n">
        <v>941</v>
      </c>
      <c r="W211" s="20" t="n">
        <v>528</v>
      </c>
      <c r="X211" s="20" t="n">
        <v>403</v>
      </c>
    </row>
    <row r="212">
      <c r="A212" s="18" t="inlineStr">
        <is>
          <t>재해 손실</t>
        </is>
      </c>
      <c r="O212" s="20" t="n">
        <v>184</v>
      </c>
      <c r="P212" s="20" t="n">
        <v>0</v>
      </c>
      <c r="Q212" s="20" t="n">
        <v>48</v>
      </c>
    </row>
    <row r="213">
      <c r="A213" s="18" t="inlineStr">
        <is>
          <t>단계적 취득 차손익</t>
        </is>
      </c>
      <c r="O213" s="20" t="n">
        <v>-20</v>
      </c>
      <c r="P213" s="20" t="n">
        <v>0</v>
      </c>
    </row>
    <row r="214">
      <c r="A214" s="18" t="inlineStr">
        <is>
          <t>위약금 수입</t>
        </is>
      </c>
      <c r="D214" s="20" t="n">
        <v>-214</v>
      </c>
      <c r="F214" s="20" t="n">
        <v>0</v>
      </c>
      <c r="U214" s="20" t="n">
        <v>0</v>
      </c>
      <c r="V214" s="20" t="n">
        <v>-214</v>
      </c>
    </row>
    <row r="215">
      <c r="A215" s="18" t="inlineStr">
        <is>
          <t>재해 손실</t>
        </is>
      </c>
      <c r="D215" s="20" t="n">
        <v>0</v>
      </c>
      <c r="Q215" s="20" t="n">
        <v>48</v>
      </c>
      <c r="R215" s="20" t="n">
        <v>0</v>
      </c>
      <c r="S215" s="20" t="n">
        <v>5</v>
      </c>
      <c r="T215" s="20" t="n">
        <v>0</v>
      </c>
      <c r="U215" s="20" t="n">
        <v>25</v>
      </c>
      <c r="V215" s="20" t="n">
        <v>0</v>
      </c>
    </row>
    <row r="216">
      <c r="A216" s="18" t="inlineStr">
        <is>
          <t>Loss On Cancellation Of Deposits Ope CF</t>
        </is>
      </c>
      <c r="P216" s="20" t="n">
        <v>0</v>
      </c>
      <c r="Q216" s="20" t="n">
        <v>51</v>
      </c>
      <c r="R216" s="20" t="n">
        <v>0</v>
      </c>
    </row>
    <row r="217">
      <c r="A217" s="18" t="inlineStr">
        <is>
          <t>화해금</t>
        </is>
      </c>
      <c r="R217" s="20" t="n">
        <v>0</v>
      </c>
      <c r="S217" s="20" t="n">
        <v>150</v>
      </c>
      <c r="T217" s="20" t="n">
        <v>0</v>
      </c>
    </row>
    <row r="218">
      <c r="A218" s="18" t="inlineStr">
        <is>
          <t>관계회사 정리손실</t>
        </is>
      </c>
      <c r="R218" s="20" t="n">
        <v>0</v>
      </c>
      <c r="S218" s="20" t="n">
        <v>54</v>
      </c>
      <c r="T218" s="20" t="n">
        <v>34</v>
      </c>
      <c r="U218" s="20" t="n">
        <v>0</v>
      </c>
    </row>
    <row r="219">
      <c r="A219" s="18" t="inlineStr">
        <is>
          <t>부의 영업권 발생이익</t>
        </is>
      </c>
      <c r="D219" s="20" t="n">
        <v>-9</v>
      </c>
      <c r="F219" s="20" t="n">
        <v>0</v>
      </c>
      <c r="H219" s="20" t="n">
        <v>0</v>
      </c>
      <c r="J219" s="20" t="n">
        <v>-27</v>
      </c>
      <c r="L219" s="20" t="n">
        <v>-27</v>
      </c>
      <c r="N219" s="20" t="n">
        <v>0</v>
      </c>
      <c r="O219" s="20" t="n">
        <v>0</v>
      </c>
      <c r="U219" s="20" t="n">
        <v>0</v>
      </c>
      <c r="V219" s="20" t="n">
        <v>-9</v>
      </c>
      <c r="W219" s="20" t="n">
        <v>0</v>
      </c>
      <c r="X219" s="20" t="n">
        <v>-27</v>
      </c>
    </row>
    <row r="220">
      <c r="A220" s="18" t="inlineStr">
        <is>
          <t>영업권 상각</t>
        </is>
      </c>
      <c r="D220" s="20" t="n">
        <v>7</v>
      </c>
      <c r="F220" s="20" t="n">
        <v>8</v>
      </c>
      <c r="H220" s="20" t="n">
        <v>16</v>
      </c>
      <c r="J220" s="20" t="n">
        <v>50</v>
      </c>
      <c r="L220" s="20" t="n">
        <v>95</v>
      </c>
      <c r="N220" s="20" t="n">
        <v>44</v>
      </c>
      <c r="O220" s="20" t="n">
        <v>32</v>
      </c>
      <c r="P220" s="20" t="n">
        <v>27</v>
      </c>
      <c r="Q220" s="20" t="n">
        <v>27</v>
      </c>
      <c r="R220" s="20" t="n">
        <v>9</v>
      </c>
      <c r="S220" s="20" t="n">
        <v>10</v>
      </c>
      <c r="T220" s="20" t="n">
        <v>2</v>
      </c>
      <c r="U220" s="20" t="n">
        <v>4</v>
      </c>
      <c r="V220" s="20" t="n">
        <v>7</v>
      </c>
      <c r="W220" s="20" t="n">
        <v>16</v>
      </c>
      <c r="X220" s="20" t="n">
        <v>95</v>
      </c>
    </row>
    <row r="221">
      <c r="A221" s="18" t="inlineStr">
        <is>
          <t>자산복구부채 환입이익</t>
        </is>
      </c>
      <c r="H221" s="20" t="n">
        <v>0</v>
      </c>
      <c r="L221" s="20" t="n">
        <v>-43</v>
      </c>
      <c r="W221" s="20" t="n">
        <v>0</v>
      </c>
      <c r="X221" s="20" t="n">
        <v>-43</v>
      </c>
    </row>
    <row r="222">
      <c r="A222" s="18" t="inlineStr">
        <is>
          <t>채무면제이익</t>
        </is>
      </c>
      <c r="H222" s="20" t="n">
        <v>0</v>
      </c>
      <c r="L222" s="20" t="n">
        <v>-56</v>
      </c>
      <c r="W222" s="20" t="n">
        <v>0</v>
      </c>
      <c r="X222" s="20" t="n">
        <v>-56</v>
      </c>
    </row>
    <row r="223">
      <c r="A223" s="18" t="inlineStr">
        <is>
          <t>대손충당금 증감</t>
        </is>
      </c>
      <c r="D223" s="20" t="n">
        <v>-198</v>
      </c>
      <c r="F223" s="20" t="n">
        <v>21</v>
      </c>
      <c r="H223" s="20" t="n">
        <v>3</v>
      </c>
      <c r="J223" s="20" t="n">
        <v>-6</v>
      </c>
      <c r="L223" s="20" t="n">
        <v>-15</v>
      </c>
      <c r="N223" s="20" t="n">
        <v>8</v>
      </c>
      <c r="O223" s="20" t="n">
        <v>-42</v>
      </c>
      <c r="P223" s="20" t="n">
        <v>196</v>
      </c>
      <c r="Q223" s="20" t="n">
        <v>-168</v>
      </c>
      <c r="R223" s="20" t="n">
        <v>-66</v>
      </c>
      <c r="S223" s="20" t="n">
        <v>-26</v>
      </c>
      <c r="T223" s="20" t="n">
        <v>40</v>
      </c>
      <c r="U223" s="20" t="n">
        <v>28</v>
      </c>
      <c r="V223" s="20" t="n">
        <v>-198</v>
      </c>
      <c r="W223" s="20" t="n">
        <v>3</v>
      </c>
      <c r="X223" s="20" t="n">
        <v>-15</v>
      </c>
    </row>
    <row r="224">
      <c r="A224" s="18" t="inlineStr">
        <is>
          <t>포인트 충당금 증감</t>
        </is>
      </c>
      <c r="O224" s="20" t="n">
        <v>56</v>
      </c>
      <c r="P224" s="20" t="n">
        <v>43</v>
      </c>
      <c r="Q224" s="20" t="n">
        <v>-2</v>
      </c>
      <c r="R224" s="20" t="n">
        <v>-33</v>
      </c>
      <c r="S224" s="20" t="n">
        <v>-33</v>
      </c>
      <c r="T224" s="20" t="n">
        <v>0</v>
      </c>
    </row>
    <row r="225">
      <c r="A225" s="18" t="inlineStr">
        <is>
          <t>상여충당금 증감</t>
        </is>
      </c>
      <c r="D225" s="20" t="n">
        <v>2</v>
      </c>
      <c r="F225" s="20" t="n">
        <v>47</v>
      </c>
      <c r="H225" s="20" t="n">
        <v>78</v>
      </c>
      <c r="J225" s="20" t="n">
        <v>101</v>
      </c>
      <c r="L225" s="20" t="n">
        <v>97</v>
      </c>
      <c r="N225" s="20" t="n">
        <v>43</v>
      </c>
      <c r="O225" s="20" t="n">
        <v>90</v>
      </c>
      <c r="P225" s="20" t="n">
        <v>47</v>
      </c>
      <c r="Q225" s="20" t="n">
        <v>84</v>
      </c>
      <c r="R225" s="20" t="n">
        <v>83</v>
      </c>
      <c r="S225" s="20" t="n">
        <v>62</v>
      </c>
      <c r="T225" s="20" t="n">
        <v>66</v>
      </c>
      <c r="U225" s="20" t="n">
        <v>31</v>
      </c>
      <c r="V225" s="20" t="n">
        <v>2</v>
      </c>
      <c r="W225" s="20" t="n">
        <v>78</v>
      </c>
      <c r="X225" s="20" t="n">
        <v>97</v>
      </c>
    </row>
    <row r="226">
      <c r="A226" s="18" t="inlineStr">
        <is>
          <t>퇴직급여부채 증감</t>
        </is>
      </c>
      <c r="F226" s="20" t="n">
        <v>-2</v>
      </c>
    </row>
    <row r="227">
      <c r="A227" s="18" t="inlineStr">
        <is>
          <t>퇴직급여부채 증감</t>
        </is>
      </c>
      <c r="D227" s="20" t="n">
        <v>10</v>
      </c>
      <c r="F227" s="20" t="n">
        <v>-2</v>
      </c>
      <c r="H227" s="20" t="n">
        <v>1</v>
      </c>
      <c r="J227" s="20" t="n">
        <v>21</v>
      </c>
      <c r="L227" s="20" t="n">
        <v>19</v>
      </c>
      <c r="N227" s="20" t="n">
        <v>-7</v>
      </c>
      <c r="O227" s="20" t="n">
        <v>-111</v>
      </c>
      <c r="P227" s="20" t="n">
        <v>-75</v>
      </c>
      <c r="Q227" s="20" t="n">
        <v>-76</v>
      </c>
      <c r="R227" s="20" t="n">
        <v>14</v>
      </c>
      <c r="S227" s="20" t="n">
        <v>5</v>
      </c>
      <c r="T227" s="20" t="n">
        <v>-24</v>
      </c>
      <c r="U227" s="20" t="n">
        <v>10</v>
      </c>
      <c r="V227" s="20" t="n">
        <v>10</v>
      </c>
      <c r="W227" s="20" t="n">
        <v>1</v>
      </c>
      <c r="X227" s="20" t="n">
        <v>19</v>
      </c>
    </row>
    <row r="228">
      <c r="A228" s="18" t="inlineStr">
        <is>
          <t>재해손실 충당금 증감액</t>
        </is>
      </c>
      <c r="D228" s="20" t="n">
        <v>0</v>
      </c>
      <c r="S228" s="20" t="n">
        <v>0</v>
      </c>
      <c r="T228" s="20" t="n">
        <v>170</v>
      </c>
      <c r="U228" s="20" t="n">
        <v>-170</v>
      </c>
      <c r="V228" s="20" t="n">
        <v>0</v>
      </c>
    </row>
    <row r="229">
      <c r="A229" s="18" t="inlineStr">
        <is>
          <t>이자·배당금 수익</t>
        </is>
      </c>
      <c r="D229" s="20" t="n">
        <v>-287</v>
      </c>
      <c r="F229" s="20" t="n">
        <v>-151</v>
      </c>
      <c r="H229" s="20" t="n">
        <v>-339</v>
      </c>
      <c r="J229" s="20" t="n">
        <v>-205</v>
      </c>
      <c r="L229" s="20" t="n">
        <v>-432</v>
      </c>
      <c r="N229" s="20" t="n">
        <v>-239</v>
      </c>
      <c r="O229" s="20" t="n">
        <v>-146</v>
      </c>
      <c r="P229" s="20" t="n">
        <v>-122</v>
      </c>
      <c r="Q229" s="20" t="n">
        <v>-109</v>
      </c>
      <c r="R229" s="20" t="n">
        <v>-110</v>
      </c>
      <c r="S229" s="20" t="n">
        <v>-167</v>
      </c>
      <c r="T229" s="20" t="n">
        <v>-228</v>
      </c>
      <c r="U229" s="20" t="n">
        <v>-238</v>
      </c>
      <c r="V229" s="20" t="n">
        <v>-287</v>
      </c>
      <c r="W229" s="20" t="n">
        <v>-339</v>
      </c>
      <c r="X229" s="20" t="n">
        <v>-432</v>
      </c>
    </row>
    <row r="230">
      <c r="A230" s="18" t="inlineStr">
        <is>
          <t>이자비용</t>
        </is>
      </c>
      <c r="D230" s="20" t="n">
        <v>7</v>
      </c>
      <c r="F230" s="20" t="n">
        <v>2</v>
      </c>
      <c r="H230" s="20" t="n">
        <v>23</v>
      </c>
      <c r="J230" s="20" t="n">
        <v>58</v>
      </c>
      <c r="L230" s="20" t="n">
        <v>202</v>
      </c>
      <c r="N230" s="20" t="n">
        <v>135</v>
      </c>
      <c r="O230" s="20" t="n">
        <v>29</v>
      </c>
      <c r="P230" s="20" t="n">
        <v>20</v>
      </c>
      <c r="Q230" s="20" t="n">
        <v>18</v>
      </c>
      <c r="R230" s="20" t="n">
        <v>11</v>
      </c>
      <c r="S230" s="20" t="n">
        <v>11</v>
      </c>
      <c r="T230" s="20" t="n">
        <v>9</v>
      </c>
      <c r="U230" s="20" t="n">
        <v>5</v>
      </c>
      <c r="V230" s="20" t="n">
        <v>7</v>
      </c>
      <c r="W230" s="20" t="n">
        <v>23</v>
      </c>
      <c r="X230" s="20" t="n">
        <v>202</v>
      </c>
    </row>
    <row r="231">
      <c r="A231" s="18" t="inlineStr">
        <is>
          <t>외환차손익</t>
        </is>
      </c>
      <c r="D231" s="20" t="n">
        <v>-1</v>
      </c>
      <c r="F231" s="20" t="n">
        <v>0</v>
      </c>
      <c r="H231" s="20" t="n">
        <v>0</v>
      </c>
      <c r="J231" s="20" t="n">
        <v>0</v>
      </c>
      <c r="L231" s="20" t="n">
        <v>-0</v>
      </c>
      <c r="N231" s="20" t="n">
        <v>0</v>
      </c>
      <c r="O231" s="20" t="n">
        <v>-14</v>
      </c>
      <c r="P231" s="20" t="n">
        <v>0</v>
      </c>
      <c r="Q231" s="20" t="n">
        <v>5</v>
      </c>
      <c r="R231" s="20" t="n">
        <v>1</v>
      </c>
      <c r="S231" s="20" t="n">
        <v>-26</v>
      </c>
      <c r="T231" s="20" t="n">
        <v>-4</v>
      </c>
      <c r="U231" s="20" t="n">
        <v>-2</v>
      </c>
      <c r="V231" s="20" t="n">
        <v>-1</v>
      </c>
      <c r="W231" s="20" t="n">
        <v>0</v>
      </c>
      <c r="X231" s="20" t="n">
        <v>-0</v>
      </c>
    </row>
    <row r="232">
      <c r="A232" s="18" t="inlineStr">
        <is>
          <t>지분법손익</t>
        </is>
      </c>
      <c r="D232" s="20" t="n">
        <v>-43</v>
      </c>
      <c r="F232" s="20" t="n">
        <v>22</v>
      </c>
      <c r="H232" s="20" t="n">
        <v>-82</v>
      </c>
      <c r="J232" s="20" t="n">
        <v>33</v>
      </c>
      <c r="L232" s="20" t="n">
        <v>-73</v>
      </c>
      <c r="N232" s="20" t="n">
        <v>-19</v>
      </c>
      <c r="O232" s="20" t="n">
        <v>-25</v>
      </c>
      <c r="P232" s="20" t="n">
        <v>-46</v>
      </c>
      <c r="Q232" s="20" t="n">
        <v>-63</v>
      </c>
      <c r="R232" s="20" t="n">
        <v>-57</v>
      </c>
      <c r="S232" s="20" t="n">
        <v>-64</v>
      </c>
      <c r="T232" s="20" t="n">
        <v>-25</v>
      </c>
      <c r="U232" s="20" t="n">
        <v>-31</v>
      </c>
      <c r="V232" s="20" t="n">
        <v>-43</v>
      </c>
      <c r="W232" s="20" t="n">
        <v>-82</v>
      </c>
      <c r="X232" s="20" t="n">
        <v>-73</v>
      </c>
    </row>
    <row r="233">
      <c r="A233" s="18" t="inlineStr">
        <is>
          <t>퇴직급여제도 종료이익</t>
        </is>
      </c>
      <c r="T233" s="20" t="n">
        <v>0</v>
      </c>
      <c r="U233" s="20" t="n">
        <v>-8</v>
      </c>
    </row>
    <row r="234">
      <c r="A234" s="18" t="inlineStr">
        <is>
          <t>퇴직급여제도 종료이익</t>
        </is>
      </c>
      <c r="D234" s="20" t="n">
        <v>0</v>
      </c>
      <c r="U234" s="20" t="n">
        <v>-8</v>
      </c>
      <c r="V234" s="20" t="n">
        <v>0</v>
      </c>
    </row>
    <row r="235">
      <c r="A235" s="18" t="inlineStr">
        <is>
          <t>고정자산 매각손익</t>
        </is>
      </c>
      <c r="D235" s="20" t="n">
        <v>-8</v>
      </c>
      <c r="F235" s="20" t="n">
        <v>-6</v>
      </c>
      <c r="H235" s="20" t="n">
        <v>-84</v>
      </c>
      <c r="J235" s="20" t="n">
        <v>-48</v>
      </c>
      <c r="L235" s="20" t="n">
        <v>202</v>
      </c>
      <c r="N235" s="20" t="n">
        <v>-877</v>
      </c>
      <c r="O235" s="20" t="n">
        <v>19</v>
      </c>
      <c r="P235" s="20" t="n">
        <v>-1</v>
      </c>
      <c r="Q235" s="20" t="n">
        <v>0</v>
      </c>
      <c r="R235" s="20" t="n">
        <v>-1</v>
      </c>
      <c r="S235" s="20" t="n">
        <v>-2</v>
      </c>
      <c r="T235" s="20" t="n">
        <v>-7</v>
      </c>
      <c r="U235" s="20" t="n">
        <v>-9</v>
      </c>
      <c r="V235" s="20" t="n">
        <v>-8</v>
      </c>
      <c r="W235" s="20" t="n">
        <v>-84</v>
      </c>
      <c r="X235" s="20" t="n">
        <v>202</v>
      </c>
    </row>
    <row r="236">
      <c r="A236" s="18" t="inlineStr">
        <is>
          <t>투자유가증권 매각손익</t>
        </is>
      </c>
      <c r="F236" s="20" t="n">
        <v>0</v>
      </c>
      <c r="H236" s="20" t="n">
        <v>-64</v>
      </c>
      <c r="J236" s="20" t="n">
        <v>-1</v>
      </c>
      <c r="L236" s="20" t="n">
        <v>-1166</v>
      </c>
      <c r="N236" s="20" t="n">
        <v>-0</v>
      </c>
      <c r="O236" s="20" t="n">
        <v>-110</v>
      </c>
      <c r="P236" s="20" t="n">
        <v>0</v>
      </c>
      <c r="Q236" s="20" t="n">
        <v>0</v>
      </c>
      <c r="R236" s="20" t="n">
        <v>3</v>
      </c>
      <c r="S236" s="20" t="n">
        <v>-0</v>
      </c>
      <c r="T236" s="20" t="n">
        <v>0</v>
      </c>
      <c r="W236" s="20" t="n">
        <v>-64</v>
      </c>
      <c r="X236" s="20" t="n">
        <v>-1166</v>
      </c>
    </row>
    <row r="237">
      <c r="A237" s="18" t="inlineStr">
        <is>
          <t>고정자산 제각손실</t>
        </is>
      </c>
      <c r="D237" s="20" t="n">
        <v>23</v>
      </c>
      <c r="F237" s="20" t="n">
        <v>1</v>
      </c>
      <c r="H237" s="20" t="n">
        <v>15</v>
      </c>
      <c r="J237" s="20" t="n">
        <v>9</v>
      </c>
      <c r="L237" s="20" t="n">
        <v>202</v>
      </c>
      <c r="N237" s="20" t="n">
        <v>13</v>
      </c>
      <c r="O237" s="20" t="n">
        <v>29</v>
      </c>
      <c r="P237" s="20" t="n">
        <v>45</v>
      </c>
      <c r="Q237" s="20" t="n">
        <v>27</v>
      </c>
      <c r="R237" s="20" t="n">
        <v>35</v>
      </c>
      <c r="S237" s="20" t="n">
        <v>15</v>
      </c>
      <c r="T237" s="20" t="n">
        <v>27</v>
      </c>
      <c r="U237" s="20" t="n">
        <v>11</v>
      </c>
      <c r="V237" s="20" t="n">
        <v>23</v>
      </c>
      <c r="W237" s="20" t="n">
        <v>15</v>
      </c>
      <c r="X237" s="20" t="n">
        <v>202</v>
      </c>
    </row>
    <row r="238">
      <c r="A238" s="18" t="inlineStr">
        <is>
          <t>관계회사 청산손익</t>
        </is>
      </c>
      <c r="J238" s="20" t="n">
        <v>0</v>
      </c>
      <c r="N238" s="20" t="n">
        <v>-138</v>
      </c>
    </row>
    <row r="239">
      <c r="A239" s="18" t="inlineStr">
        <is>
          <t>Information Security Expenses Ope CF</t>
        </is>
      </c>
      <c r="J239" s="20" t="n">
        <v>0</v>
      </c>
      <c r="N239" s="20" t="n">
        <v>297</v>
      </c>
    </row>
    <row r="240">
      <c r="A240" s="18" t="inlineStr">
        <is>
          <t>매출채권 증감</t>
        </is>
      </c>
      <c r="D240" s="20" t="n">
        <v>1020</v>
      </c>
      <c r="F240" s="20" t="n">
        <v>523</v>
      </c>
      <c r="H240" s="20" t="n">
        <v>-154</v>
      </c>
      <c r="J240" s="20" t="n">
        <v>776</v>
      </c>
      <c r="L240" s="20" t="n">
        <v>-964</v>
      </c>
      <c r="N240" s="20" t="n">
        <v>1165</v>
      </c>
      <c r="O240" s="20" t="n">
        <v>84</v>
      </c>
      <c r="P240" s="20" t="n">
        <v>-646</v>
      </c>
      <c r="Q240" s="20" t="n">
        <v>173</v>
      </c>
      <c r="R240" s="20" t="n">
        <v>881</v>
      </c>
      <c r="S240" s="20" t="n">
        <v>-227</v>
      </c>
      <c r="T240" s="20" t="n">
        <v>-1582</v>
      </c>
      <c r="U240" s="20" t="n">
        <v>-752</v>
      </c>
      <c r="V240" s="20" t="n">
        <v>1020</v>
      </c>
      <c r="W240" s="20" t="n">
        <v>-154</v>
      </c>
      <c r="X240" s="20" t="n">
        <v>-964</v>
      </c>
    </row>
    <row r="241">
      <c r="A241" s="18" t="inlineStr">
        <is>
          <t>매입채무 증감</t>
        </is>
      </c>
      <c r="D241" s="20" t="n">
        <v>-2042</v>
      </c>
      <c r="F241" s="20" t="n">
        <v>2699</v>
      </c>
      <c r="H241" s="20" t="n">
        <v>752</v>
      </c>
      <c r="J241" s="20" t="n">
        <v>2104</v>
      </c>
      <c r="L241" s="20" t="n">
        <v>1318</v>
      </c>
      <c r="N241" s="20" t="n">
        <v>-191</v>
      </c>
      <c r="O241" s="20" t="n">
        <v>565</v>
      </c>
      <c r="P241" s="20" t="n">
        <v>418</v>
      </c>
      <c r="Q241" s="20" t="n">
        <v>-323</v>
      </c>
      <c r="R241" s="20" t="n">
        <v>-487</v>
      </c>
      <c r="S241" s="20" t="n">
        <v>377</v>
      </c>
      <c r="T241" s="20" t="n">
        <v>1156</v>
      </c>
      <c r="U241" s="20" t="n">
        <v>2254</v>
      </c>
      <c r="V241" s="20" t="n">
        <v>-2042</v>
      </c>
      <c r="W241" s="20" t="n">
        <v>752</v>
      </c>
      <c r="X241" s="20" t="n">
        <v>1318</v>
      </c>
    </row>
    <row r="242">
      <c r="A242" s="18" t="inlineStr">
        <is>
          <t>재고자산 증감</t>
        </is>
      </c>
      <c r="D242" s="20" t="n">
        <v>-454</v>
      </c>
      <c r="F242" s="20" t="n">
        <v>-2999</v>
      </c>
      <c r="H242" s="20" t="n">
        <v>-383</v>
      </c>
      <c r="J242" s="20" t="n">
        <v>-6571</v>
      </c>
      <c r="L242" s="20" t="n">
        <v>-4642</v>
      </c>
      <c r="N242" s="20" t="n">
        <v>-2969</v>
      </c>
      <c r="O242" s="20" t="n">
        <v>-1851</v>
      </c>
      <c r="P242" s="20" t="n">
        <v>-1178</v>
      </c>
      <c r="Q242" s="20" t="n">
        <v>400</v>
      </c>
      <c r="R242" s="20" t="n">
        <v>-2407</v>
      </c>
      <c r="S242" s="20" t="n">
        <v>4740</v>
      </c>
      <c r="T242" s="20" t="n">
        <v>-728</v>
      </c>
      <c r="U242" s="20" t="n">
        <v>-2346</v>
      </c>
      <c r="V242" s="20" t="n">
        <v>-454</v>
      </c>
      <c r="W242" s="20" t="n">
        <v>-383</v>
      </c>
      <c r="X242" s="20" t="n">
        <v>-4642</v>
      </c>
    </row>
    <row r="243">
      <c r="A243" s="18" t="inlineStr">
        <is>
          <t>계약부채 증감</t>
        </is>
      </c>
      <c r="S243" s="20" t="n">
        <v>0</v>
      </c>
      <c r="T243" s="20" t="n">
        <v>120</v>
      </c>
      <c r="U243" s="20" t="n">
        <v>-97</v>
      </c>
    </row>
    <row r="244">
      <c r="A244" s="18" t="inlineStr">
        <is>
          <t>계약부채 증감</t>
        </is>
      </c>
      <c r="D244" s="20" t="n">
        <v>-231</v>
      </c>
      <c r="F244" s="20" t="n">
        <v>184</v>
      </c>
      <c r="H244" s="20" t="n">
        <v>57</v>
      </c>
      <c r="J244" s="20" t="n">
        <v>-90</v>
      </c>
      <c r="L244" s="20" t="n">
        <v>537</v>
      </c>
      <c r="N244" s="20" t="n">
        <v>-84</v>
      </c>
      <c r="U244" s="20" t="n">
        <v>-97</v>
      </c>
      <c r="V244" s="20" t="n">
        <v>-231</v>
      </c>
      <c r="W244" s="20" t="n">
        <v>57</v>
      </c>
      <c r="X244" s="20" t="n">
        <v>537</v>
      </c>
    </row>
    <row r="245">
      <c r="A245" s="18" t="inlineStr">
        <is>
          <t>미지급 소비세 증감</t>
        </is>
      </c>
      <c r="D245" s="20" t="n">
        <v>29</v>
      </c>
      <c r="F245" s="20" t="n">
        <v>-88</v>
      </c>
      <c r="H245" s="20" t="n">
        <v>613</v>
      </c>
      <c r="J245" s="20" t="n">
        <v>-855</v>
      </c>
      <c r="L245" s="20" t="n">
        <v>-576</v>
      </c>
      <c r="N245" s="20" t="n">
        <v>247</v>
      </c>
      <c r="S245" s="20" t="n">
        <v>1340</v>
      </c>
      <c r="T245" s="20" t="n">
        <v>-1284</v>
      </c>
      <c r="U245" s="20" t="n">
        <v>-39</v>
      </c>
      <c r="V245" s="20" t="n">
        <v>29</v>
      </c>
      <c r="W245" s="20" t="n">
        <v>613</v>
      </c>
      <c r="X245" s="20" t="n">
        <v>-576</v>
      </c>
    </row>
    <row r="246">
      <c r="A246" s="18" t="inlineStr">
        <is>
          <t>기타</t>
        </is>
      </c>
      <c r="D246" s="20" t="n">
        <v>-658</v>
      </c>
      <c r="F246" s="20" t="n">
        <v>-31</v>
      </c>
      <c r="H246" s="20" t="n">
        <v>490</v>
      </c>
      <c r="J246" s="20" t="n">
        <v>149</v>
      </c>
      <c r="L246" s="20" t="n">
        <v>-335</v>
      </c>
      <c r="N246" s="20" t="n">
        <v>345</v>
      </c>
      <c r="O246" s="20" t="n">
        <v>260</v>
      </c>
      <c r="P246" s="20" t="n">
        <v>1137</v>
      </c>
      <c r="Q246" s="20" t="n">
        <v>1204</v>
      </c>
      <c r="R246" s="20" t="n">
        <v>566</v>
      </c>
      <c r="S246" s="20" t="n">
        <v>716</v>
      </c>
      <c r="T246" s="20" t="n">
        <v>-221</v>
      </c>
      <c r="U246" s="20" t="n">
        <v>944</v>
      </c>
      <c r="V246" s="20" t="n">
        <v>-658</v>
      </c>
      <c r="W246" s="20" t="n">
        <v>490</v>
      </c>
      <c r="X246" s="20" t="n">
        <v>-335</v>
      </c>
    </row>
    <row r="247">
      <c r="A247" s="18" t="inlineStr">
        <is>
          <t>소계</t>
        </is>
      </c>
      <c r="D247" s="20" t="n">
        <v>15719</v>
      </c>
      <c r="F247" s="20" t="n">
        <v>7651</v>
      </c>
      <c r="H247" s="20" t="n">
        <v>20997</v>
      </c>
      <c r="J247" s="20" t="n">
        <v>3431</v>
      </c>
      <c r="L247" s="20" t="n">
        <v>15471</v>
      </c>
      <c r="N247" s="20" t="n">
        <v>7602</v>
      </c>
      <c r="O247" s="20" t="n">
        <v>9117</v>
      </c>
      <c r="P247" s="20" t="n">
        <v>12846</v>
      </c>
      <c r="Q247" s="20" t="n">
        <v>14467</v>
      </c>
      <c r="R247" s="20" t="n">
        <v>11380</v>
      </c>
      <c r="S247" s="20" t="n">
        <v>22894</v>
      </c>
      <c r="T247" s="20" t="n">
        <v>14558</v>
      </c>
      <c r="U247" s="20" t="n">
        <v>18320</v>
      </c>
      <c r="V247" s="20" t="n">
        <v>15719</v>
      </c>
      <c r="W247" s="20" t="n">
        <v>20997</v>
      </c>
      <c r="X247" s="20" t="n">
        <v>15471</v>
      </c>
    </row>
    <row r="248">
      <c r="A248" s="18" t="inlineStr">
        <is>
          <t>이자·배당금 수취</t>
        </is>
      </c>
      <c r="D248" s="20" t="n">
        <v>267</v>
      </c>
      <c r="F248" s="20" t="n">
        <v>143</v>
      </c>
      <c r="H248" s="20" t="n">
        <v>322</v>
      </c>
      <c r="J248" s="20" t="n">
        <v>198</v>
      </c>
      <c r="L248" s="20" t="n">
        <v>418</v>
      </c>
      <c r="N248" s="20" t="n">
        <v>234</v>
      </c>
      <c r="O248" s="20" t="n">
        <v>100</v>
      </c>
      <c r="P248" s="20" t="n">
        <v>83</v>
      </c>
      <c r="Q248" s="20" t="n">
        <v>73</v>
      </c>
      <c r="R248" s="20" t="n">
        <v>76</v>
      </c>
      <c r="S248" s="20" t="n">
        <v>137</v>
      </c>
      <c r="T248" s="20" t="n">
        <v>201</v>
      </c>
      <c r="U248" s="20" t="n">
        <v>215</v>
      </c>
      <c r="V248" s="20" t="n">
        <v>267</v>
      </c>
      <c r="W248" s="20" t="n">
        <v>322</v>
      </c>
      <c r="X248" s="20" t="n">
        <v>418</v>
      </c>
    </row>
    <row r="249">
      <c r="A249" s="18" t="inlineStr">
        <is>
          <t>이자 지급</t>
        </is>
      </c>
      <c r="D249" s="20" t="n">
        <v>-6</v>
      </c>
      <c r="F249" s="20" t="n">
        <v>-2</v>
      </c>
      <c r="H249" s="20" t="n">
        <v>-22</v>
      </c>
      <c r="J249" s="20" t="n">
        <v>-57</v>
      </c>
      <c r="L249" s="20" t="n">
        <v>-204</v>
      </c>
      <c r="N249" s="20" t="n">
        <v>-135</v>
      </c>
      <c r="O249" s="20" t="n">
        <v>-23</v>
      </c>
      <c r="P249" s="20" t="n">
        <v>-14</v>
      </c>
      <c r="Q249" s="20" t="n">
        <v>-14</v>
      </c>
      <c r="R249" s="20" t="n">
        <v>-8</v>
      </c>
      <c r="S249" s="20" t="n">
        <v>-9</v>
      </c>
      <c r="T249" s="20" t="n">
        <v>-7</v>
      </c>
      <c r="U249" s="20" t="n">
        <v>-4</v>
      </c>
      <c r="V249" s="20" t="n">
        <v>-6</v>
      </c>
      <c r="W249" s="20" t="n">
        <v>-22</v>
      </c>
      <c r="X249" s="20" t="n">
        <v>-204</v>
      </c>
    </row>
    <row r="250">
      <c r="A250" s="18" t="inlineStr">
        <is>
          <t>Information Security Cost Paid Ope CF</t>
        </is>
      </c>
      <c r="J250" s="20" t="n">
        <v>0</v>
      </c>
      <c r="N250" s="20" t="n">
        <v>-198</v>
      </c>
    </row>
    <row r="251">
      <c r="A251" s="18" t="inlineStr">
        <is>
          <t>법인세 납부</t>
        </is>
      </c>
      <c r="D251" s="20" t="n">
        <v>-4738</v>
      </c>
      <c r="F251" s="20" t="n">
        <v>-2589</v>
      </c>
      <c r="H251" s="20" t="n">
        <v>-5045</v>
      </c>
      <c r="J251" s="20" t="n">
        <v>-2727</v>
      </c>
      <c r="L251" s="20" t="n">
        <v>-5235</v>
      </c>
      <c r="N251" s="20" t="n">
        <v>-2732</v>
      </c>
      <c r="O251" s="20" t="n">
        <v>-1471</v>
      </c>
      <c r="P251" s="20" t="n">
        <v>-3245</v>
      </c>
      <c r="Q251" s="20" t="n">
        <v>-3937</v>
      </c>
      <c r="R251" s="20" t="n">
        <v>-3745</v>
      </c>
      <c r="S251" s="20" t="n">
        <v>-3683</v>
      </c>
      <c r="T251" s="20" t="n">
        <v>-4874</v>
      </c>
      <c r="U251" s="20" t="n">
        <v>-4946</v>
      </c>
      <c r="V251" s="20" t="n">
        <v>-4738</v>
      </c>
      <c r="W251" s="20" t="n">
        <v>-5045</v>
      </c>
      <c r="X251" s="20" t="n">
        <v>-5235</v>
      </c>
    </row>
    <row r="252">
      <c r="A252" s="18" t="inlineStr">
        <is>
          <t>법인세 환급</t>
        </is>
      </c>
      <c r="D252" s="20" t="n">
        <v>26</v>
      </c>
      <c r="F252" s="20" t="n">
        <v>26</v>
      </c>
      <c r="H252" s="20" t="n">
        <v>26</v>
      </c>
      <c r="J252" s="20" t="n">
        <v>19</v>
      </c>
      <c r="L252" s="20" t="n">
        <v>19</v>
      </c>
      <c r="N252" s="20" t="n">
        <v>1</v>
      </c>
      <c r="O252" s="20" t="n">
        <v>28</v>
      </c>
      <c r="P252" s="20" t="n">
        <v>27</v>
      </c>
      <c r="Q252" s="20" t="n">
        <v>34</v>
      </c>
      <c r="R252" s="20" t="n">
        <v>22</v>
      </c>
      <c r="S252" s="20" t="n">
        <v>18</v>
      </c>
      <c r="T252" s="20" t="n">
        <v>4</v>
      </c>
      <c r="U252" s="20" t="n">
        <v>9</v>
      </c>
      <c r="V252" s="20" t="n">
        <v>26</v>
      </c>
      <c r="W252" s="20" t="n">
        <v>26</v>
      </c>
      <c r="X252" s="20" t="n">
        <v>19</v>
      </c>
    </row>
    <row r="253">
      <c r="A253" s="18" t="inlineStr">
        <is>
          <t>재해 손실 지급액</t>
        </is>
      </c>
      <c r="O253" s="20" t="n">
        <v>-184</v>
      </c>
      <c r="P253" s="20" t="n">
        <v>0</v>
      </c>
      <c r="Q253" s="20" t="n">
        <v>-48</v>
      </c>
    </row>
    <row r="254">
      <c r="A254" s="18" t="inlineStr">
        <is>
          <t>위약금 수령액</t>
        </is>
      </c>
      <c r="D254" s="20" t="n">
        <v>214</v>
      </c>
      <c r="U254" s="20" t="n">
        <v>0</v>
      </c>
      <c r="V254" s="20" t="n">
        <v>214</v>
      </c>
    </row>
    <row r="255">
      <c r="A255" s="18" t="inlineStr">
        <is>
          <t>재해 손실 지급액</t>
        </is>
      </c>
      <c r="D255" s="20" t="n">
        <v>0</v>
      </c>
      <c r="Q255" s="20" t="n">
        <v>-48</v>
      </c>
      <c r="R255" s="20" t="n">
        <v>0</v>
      </c>
      <c r="S255" s="20" t="n">
        <v>-5</v>
      </c>
      <c r="T255" s="20" t="n">
        <v>0</v>
      </c>
      <c r="U255" s="20" t="n">
        <v>-25</v>
      </c>
      <c r="V255" s="20" t="n">
        <v>0</v>
      </c>
    </row>
    <row r="256">
      <c r="A256" s="18" t="inlineStr">
        <is>
          <t>화해금 지급액</t>
        </is>
      </c>
      <c r="S256" s="20" t="n">
        <v>0</v>
      </c>
      <c r="T256" s="20" t="n">
        <v>-150</v>
      </c>
      <c r="U256" s="20" t="n">
        <v>0</v>
      </c>
    </row>
    <row r="257">
      <c r="A257" s="9" t="inlineStr">
        <is>
          <t>영업활동 현금흐름</t>
        </is>
      </c>
      <c r="D257" s="12" t="n">
        <v>11483</v>
      </c>
      <c r="F257" s="12" t="n">
        <v>5228</v>
      </c>
      <c r="H257" s="12" t="n">
        <v>16277</v>
      </c>
      <c r="J257" s="12" t="n">
        <v>862</v>
      </c>
      <c r="L257" s="12" t="n">
        <v>10469</v>
      </c>
      <c r="N257" s="12" t="n">
        <v>4772</v>
      </c>
      <c r="O257" s="12" t="n">
        <v>7567</v>
      </c>
      <c r="P257" s="12" t="n">
        <v>9696</v>
      </c>
      <c r="Q257" s="12" t="n">
        <v>10575</v>
      </c>
      <c r="R257" s="12" t="n">
        <v>7726</v>
      </c>
      <c r="S257" s="12" t="n">
        <v>19352</v>
      </c>
      <c r="T257" s="12" t="n">
        <v>9732</v>
      </c>
      <c r="U257" s="12" t="n">
        <v>13570</v>
      </c>
      <c r="V257" s="12" t="n">
        <v>11483</v>
      </c>
      <c r="W257" s="12" t="n">
        <v>16277</v>
      </c>
      <c r="X257" s="12" t="n">
        <v>10469</v>
      </c>
    </row>
    <row r="258">
      <c r="A258" s="18" t="inlineStr">
        <is>
          <t>정기예금 인출</t>
        </is>
      </c>
      <c r="S258" s="20" t="n">
        <v>0</v>
      </c>
      <c r="T258" s="20" t="n">
        <v>9</v>
      </c>
      <c r="U258" s="20" t="n">
        <v>0</v>
      </c>
    </row>
    <row r="259">
      <c r="A259" s="18" t="inlineStr">
        <is>
          <t>유형자산 취득(설비투자)</t>
        </is>
      </c>
      <c r="D259" s="20" t="n">
        <v>-11093</v>
      </c>
      <c r="F259" s="20" t="n">
        <v>-5491</v>
      </c>
      <c r="H259" s="20" t="n">
        <v>-12092</v>
      </c>
      <c r="J259" s="20" t="n">
        <v>-6203</v>
      </c>
      <c r="L259" s="20" t="n">
        <v>-9638</v>
      </c>
      <c r="N259" s="20" t="n">
        <v>-2837</v>
      </c>
      <c r="O259" s="20" t="n">
        <v>-4211</v>
      </c>
      <c r="P259" s="20" t="n">
        <v>-4739</v>
      </c>
      <c r="Q259" s="20" t="n">
        <v>-4203</v>
      </c>
      <c r="R259" s="20" t="n">
        <v>-9232</v>
      </c>
      <c r="S259" s="20" t="n">
        <v>-9470</v>
      </c>
      <c r="T259" s="20" t="n">
        <v>-8690</v>
      </c>
      <c r="U259" s="20" t="n">
        <v>-13179</v>
      </c>
      <c r="V259" s="20" t="n">
        <v>-11093</v>
      </c>
      <c r="W259" s="20" t="n">
        <v>-12092</v>
      </c>
      <c r="X259" s="20" t="n">
        <v>-9638</v>
      </c>
    </row>
    <row r="260">
      <c r="A260" s="18" t="inlineStr">
        <is>
          <t>유형자산 매각</t>
        </is>
      </c>
      <c r="D260" s="20" t="n">
        <v>15</v>
      </c>
      <c r="F260" s="20" t="n">
        <v>64</v>
      </c>
      <c r="H260" s="20" t="n">
        <v>606</v>
      </c>
      <c r="J260" s="20" t="n">
        <v>515</v>
      </c>
      <c r="L260" s="20" t="n">
        <v>914</v>
      </c>
      <c r="N260" s="20" t="n">
        <v>2811</v>
      </c>
      <c r="O260" s="20" t="n">
        <v>141</v>
      </c>
      <c r="P260" s="20" t="n">
        <v>13</v>
      </c>
      <c r="Q260" s="20" t="n">
        <v>33</v>
      </c>
      <c r="R260" s="20" t="n">
        <v>35</v>
      </c>
      <c r="S260" s="20" t="n">
        <v>19</v>
      </c>
      <c r="T260" s="20" t="n">
        <v>23</v>
      </c>
      <c r="U260" s="20" t="n">
        <v>45</v>
      </c>
      <c r="V260" s="20" t="n">
        <v>15</v>
      </c>
      <c r="W260" s="20" t="n">
        <v>606</v>
      </c>
      <c r="X260" s="20" t="n">
        <v>914</v>
      </c>
    </row>
    <row r="261">
      <c r="A261" s="18" t="inlineStr">
        <is>
          <t>무형자산 취득</t>
        </is>
      </c>
      <c r="D261" s="20" t="n">
        <v>-608</v>
      </c>
      <c r="F261" s="20" t="n">
        <v>-107</v>
      </c>
      <c r="H261" s="20" t="n">
        <v>-191</v>
      </c>
      <c r="J261" s="20" t="n">
        <v>-240</v>
      </c>
      <c r="L261" s="20" t="n">
        <v>-684</v>
      </c>
      <c r="N261" s="20" t="n">
        <v>-154</v>
      </c>
      <c r="O261" s="20" t="n">
        <v>-76</v>
      </c>
      <c r="P261" s="20" t="n">
        <v>-39</v>
      </c>
      <c r="Q261" s="20" t="n">
        <v>-36</v>
      </c>
      <c r="R261" s="20" t="n">
        <v>-610</v>
      </c>
      <c r="S261" s="20" t="n">
        <v>-189</v>
      </c>
      <c r="T261" s="20" t="n">
        <v>-388</v>
      </c>
      <c r="U261" s="20" t="n">
        <v>-512</v>
      </c>
      <c r="V261" s="20" t="n">
        <v>-608</v>
      </c>
      <c r="W261" s="20" t="n">
        <v>-191</v>
      </c>
      <c r="X261" s="20" t="n">
        <v>-684</v>
      </c>
    </row>
    <row r="262">
      <c r="A262" s="18" t="inlineStr">
        <is>
          <t>무형자산 매각 수입</t>
        </is>
      </c>
      <c r="J262" s="20" t="n">
        <v>0</v>
      </c>
      <c r="N262" s="20" t="n">
        <v>473</v>
      </c>
    </row>
    <row r="263">
      <c r="A263" s="18" t="inlineStr">
        <is>
          <t>투자유가증권 취득</t>
        </is>
      </c>
      <c r="D263" s="20" t="n">
        <v>-6</v>
      </c>
      <c r="F263" s="20" t="n">
        <v>-206</v>
      </c>
      <c r="H263" s="20" t="n">
        <v>-206</v>
      </c>
      <c r="J263" s="20" t="n">
        <v>-580</v>
      </c>
      <c r="L263" s="20" t="n">
        <v>-0</v>
      </c>
      <c r="N263" s="20" t="n">
        <v>-0</v>
      </c>
      <c r="O263" s="20" t="n">
        <v>-250</v>
      </c>
      <c r="P263" s="20" t="n">
        <v>-7</v>
      </c>
      <c r="Q263" s="20" t="n">
        <v>-7</v>
      </c>
      <c r="R263" s="20" t="n">
        <v>-906</v>
      </c>
      <c r="S263" s="20" t="n">
        <v>-1300</v>
      </c>
      <c r="T263" s="20" t="n">
        <v>-597</v>
      </c>
      <c r="U263" s="20" t="n">
        <v>-204</v>
      </c>
      <c r="V263" s="20" t="n">
        <v>-6</v>
      </c>
      <c r="W263" s="20" t="n">
        <v>-206</v>
      </c>
      <c r="X263" s="20" t="n">
        <v>-0</v>
      </c>
    </row>
    <row r="264">
      <c r="A264" s="18" t="inlineStr">
        <is>
          <t>연결범위 변경 자회사 주식 취득(수입)</t>
        </is>
      </c>
      <c r="D264" s="20" t="n">
        <v>288</v>
      </c>
      <c r="F264" s="20" t="n">
        <v>0</v>
      </c>
      <c r="O264" s="20" t="n">
        <v>0</v>
      </c>
      <c r="P264" s="20" t="n">
        <v>0</v>
      </c>
      <c r="Q264" s="20" t="n">
        <v>34</v>
      </c>
      <c r="R264" s="20" t="n">
        <v>0</v>
      </c>
      <c r="S264" s="20" t="n">
        <v>0</v>
      </c>
      <c r="T264" s="20" t="n">
        <v>243</v>
      </c>
      <c r="U264" s="20" t="n">
        <v>6</v>
      </c>
      <c r="V264" s="20" t="n">
        <v>288</v>
      </c>
    </row>
    <row r="265">
      <c r="A265" s="18" t="inlineStr">
        <is>
          <t>투자유가증권 매각</t>
        </is>
      </c>
      <c r="F265" s="20" t="n">
        <v>0</v>
      </c>
      <c r="H265" s="20" t="n">
        <v>51</v>
      </c>
      <c r="J265" s="20" t="n">
        <v>5</v>
      </c>
      <c r="L265" s="20" t="n">
        <v>1469</v>
      </c>
      <c r="N265" s="20" t="n">
        <v>0</v>
      </c>
      <c r="O265" s="20" t="n">
        <v>319</v>
      </c>
      <c r="P265" s="20" t="n">
        <v>0</v>
      </c>
      <c r="Q265" s="20" t="n">
        <v>0</v>
      </c>
      <c r="R265" s="20" t="n">
        <v>13</v>
      </c>
      <c r="S265" s="20" t="n">
        <v>1</v>
      </c>
      <c r="T265" s="20" t="n">
        <v>0</v>
      </c>
      <c r="W265" s="20" t="n">
        <v>51</v>
      </c>
      <c r="X265" s="20" t="n">
        <v>1469</v>
      </c>
    </row>
    <row r="266">
      <c r="A266" s="18" t="inlineStr">
        <is>
          <t>관계회사 주식 취득</t>
        </is>
      </c>
      <c r="H266" s="20" t="n">
        <v>0</v>
      </c>
      <c r="L266" s="20" t="n">
        <v>-785</v>
      </c>
      <c r="W266" s="20" t="n">
        <v>0</v>
      </c>
      <c r="X266" s="20" t="n">
        <v>-785</v>
      </c>
    </row>
    <row r="267">
      <c r="A267" s="18" t="inlineStr">
        <is>
          <t>연결범위 변경 자회사 주식 취득</t>
        </is>
      </c>
      <c r="H267" s="20" t="n">
        <v>-4712</v>
      </c>
      <c r="L267" s="20" t="n">
        <v>0</v>
      </c>
      <c r="O267" s="20" t="n">
        <v>-240</v>
      </c>
      <c r="P267" s="20" t="n">
        <v>0</v>
      </c>
      <c r="R267" s="20" t="n">
        <v>0</v>
      </c>
      <c r="S267" s="20" t="n">
        <v>-168</v>
      </c>
      <c r="T267" s="20" t="n">
        <v>0</v>
      </c>
      <c r="W267" s="20" t="n">
        <v>-4712</v>
      </c>
      <c r="X267" s="20" t="n">
        <v>0</v>
      </c>
    </row>
    <row r="268">
      <c r="A268" s="18" t="inlineStr">
        <is>
          <t>관계회사 청산 수입</t>
        </is>
      </c>
      <c r="J268" s="20" t="n">
        <v>0</v>
      </c>
      <c r="N268" s="20" t="n">
        <v>376</v>
      </c>
    </row>
    <row r="269">
      <c r="A269" s="18" t="inlineStr">
        <is>
          <t>대여</t>
        </is>
      </c>
      <c r="D269" s="20" t="n">
        <v>-0</v>
      </c>
      <c r="F269" s="20" t="n">
        <v>-0</v>
      </c>
      <c r="H269" s="20" t="n">
        <v>-0</v>
      </c>
      <c r="J269" s="20" t="n">
        <v>-0</v>
      </c>
      <c r="L269" s="20" t="n">
        <v>-0</v>
      </c>
      <c r="N269" s="20" t="n">
        <v>0</v>
      </c>
      <c r="O269" s="20" t="n">
        <v>-31</v>
      </c>
      <c r="P269" s="20" t="n">
        <v>0</v>
      </c>
      <c r="Q269" s="20" t="n">
        <v>-0</v>
      </c>
      <c r="R269" s="20" t="n">
        <v>-1</v>
      </c>
      <c r="S269" s="20" t="n">
        <v>0</v>
      </c>
      <c r="T269" s="20" t="n">
        <v>-3</v>
      </c>
      <c r="U269" s="20" t="n">
        <v>0</v>
      </c>
      <c r="V269" s="20" t="n">
        <v>-0</v>
      </c>
      <c r="W269" s="20" t="n">
        <v>-0</v>
      </c>
      <c r="X269" s="20" t="n">
        <v>-0</v>
      </c>
    </row>
    <row r="270">
      <c r="A270" s="18" t="inlineStr">
        <is>
          <t>대여금 회수</t>
        </is>
      </c>
      <c r="D270" s="20" t="n">
        <v>3</v>
      </c>
      <c r="F270" s="20" t="n">
        <v>1</v>
      </c>
      <c r="H270" s="20" t="n">
        <v>2</v>
      </c>
      <c r="J270" s="20" t="n">
        <v>1</v>
      </c>
      <c r="L270" s="20" t="n">
        <v>2</v>
      </c>
      <c r="N270" s="20" t="n">
        <v>1</v>
      </c>
      <c r="O270" s="20" t="n">
        <v>37</v>
      </c>
      <c r="P270" s="20" t="n">
        <v>2</v>
      </c>
      <c r="Q270" s="20" t="n">
        <v>34</v>
      </c>
      <c r="R270" s="20" t="n">
        <v>22</v>
      </c>
      <c r="S270" s="20" t="n">
        <v>112</v>
      </c>
      <c r="T270" s="20" t="n">
        <v>5</v>
      </c>
      <c r="U270" s="20" t="n">
        <v>3</v>
      </c>
      <c r="V270" s="20" t="n">
        <v>3</v>
      </c>
      <c r="W270" s="20" t="n">
        <v>2</v>
      </c>
      <c r="X270" s="20" t="n">
        <v>2</v>
      </c>
    </row>
    <row r="271">
      <c r="A271" s="18" t="inlineStr">
        <is>
          <t>임차보증금·보증금 납입</t>
        </is>
      </c>
      <c r="D271" s="20" t="n">
        <v>-103</v>
      </c>
      <c r="F271" s="20" t="n">
        <v>-178</v>
      </c>
      <c r="H271" s="20" t="n">
        <v>-214</v>
      </c>
      <c r="J271" s="20" t="n">
        <v>-269</v>
      </c>
      <c r="L271" s="20" t="n">
        <v>-332</v>
      </c>
      <c r="N271" s="20" t="n">
        <v>-127</v>
      </c>
      <c r="O271" s="20" t="n">
        <v>-403</v>
      </c>
      <c r="P271" s="20" t="n">
        <v>-333</v>
      </c>
      <c r="Q271" s="20" t="n">
        <v>-264</v>
      </c>
      <c r="R271" s="20" t="n">
        <v>-636</v>
      </c>
      <c r="S271" s="20" t="n">
        <v>-635</v>
      </c>
      <c r="T271" s="20" t="n">
        <v>-566</v>
      </c>
      <c r="U271" s="20" t="n">
        <v>-96</v>
      </c>
      <c r="V271" s="20" t="n">
        <v>-103</v>
      </c>
      <c r="W271" s="20" t="n">
        <v>-214</v>
      </c>
      <c r="X271" s="20" t="n">
        <v>-332</v>
      </c>
    </row>
    <row r="272">
      <c r="A272" s="18" t="inlineStr">
        <is>
          <t>임차보증금·보증금 회수</t>
        </is>
      </c>
      <c r="D272" s="20" t="n">
        <v>187</v>
      </c>
      <c r="F272" s="20" t="n">
        <v>38</v>
      </c>
      <c r="H272" s="20" t="n">
        <v>98</v>
      </c>
      <c r="J272" s="20" t="n">
        <v>70</v>
      </c>
      <c r="L272" s="20" t="n">
        <v>170</v>
      </c>
      <c r="N272" s="20" t="n">
        <v>48</v>
      </c>
      <c r="O272" s="20" t="n">
        <v>158</v>
      </c>
      <c r="P272" s="20" t="n">
        <v>139</v>
      </c>
      <c r="Q272" s="20" t="n">
        <v>386</v>
      </c>
      <c r="R272" s="20" t="n">
        <v>312</v>
      </c>
      <c r="S272" s="20" t="n">
        <v>563</v>
      </c>
      <c r="T272" s="20" t="n">
        <v>530</v>
      </c>
      <c r="U272" s="20" t="n">
        <v>291</v>
      </c>
      <c r="V272" s="20" t="n">
        <v>187</v>
      </c>
      <c r="W272" s="20" t="n">
        <v>98</v>
      </c>
      <c r="X272" s="20" t="n">
        <v>170</v>
      </c>
    </row>
    <row r="273">
      <c r="A273" s="18" t="inlineStr">
        <is>
          <t>투자 및 기타자산 증감액</t>
        </is>
      </c>
      <c r="D273" s="20" t="n">
        <v>8</v>
      </c>
      <c r="F273" s="20" t="n">
        <v>14</v>
      </c>
      <c r="H273" s="20" t="n">
        <v>-78</v>
      </c>
      <c r="J273" s="20" t="n">
        <v>191</v>
      </c>
      <c r="L273" s="20" t="n">
        <v>-98</v>
      </c>
      <c r="N273" s="20" t="n">
        <v>-75</v>
      </c>
      <c r="O273" s="20" t="n">
        <v>254</v>
      </c>
      <c r="P273" s="20" t="n">
        <v>492</v>
      </c>
      <c r="Q273" s="20" t="n">
        <v>756</v>
      </c>
      <c r="R273" s="20" t="n">
        <v>226</v>
      </c>
      <c r="S273" s="20" t="n">
        <v>-34</v>
      </c>
      <c r="T273" s="20" t="n">
        <v>-234</v>
      </c>
      <c r="U273" s="20" t="n">
        <v>226</v>
      </c>
      <c r="V273" s="20" t="n">
        <v>8</v>
      </c>
      <c r="W273" s="20" t="n">
        <v>-78</v>
      </c>
      <c r="X273" s="20" t="n">
        <v>-98</v>
      </c>
    </row>
    <row r="274">
      <c r="A274" s="9" t="inlineStr">
        <is>
          <t>투자활동 현금흐름</t>
        </is>
      </c>
      <c r="D274" s="12" t="n">
        <v>-11308</v>
      </c>
      <c r="F274" s="12" t="n">
        <v>-5864</v>
      </c>
      <c r="H274" s="12" t="n">
        <v>-16735</v>
      </c>
      <c r="J274" s="12" t="n">
        <v>-6511</v>
      </c>
      <c r="L274" s="12" t="n">
        <v>-8981</v>
      </c>
      <c r="N274" s="12" t="n">
        <v>515</v>
      </c>
      <c r="O274" s="12" t="n">
        <v>-4301</v>
      </c>
      <c r="P274" s="12" t="n">
        <v>-4471</v>
      </c>
      <c r="Q274" s="12" t="n">
        <v>-3266</v>
      </c>
      <c r="R274" s="12" t="n">
        <v>-10777</v>
      </c>
      <c r="S274" s="12" t="n">
        <v>-11101</v>
      </c>
      <c r="T274" s="12" t="n">
        <v>-9668</v>
      </c>
      <c r="U274" s="12" t="n">
        <v>-13420</v>
      </c>
      <c r="V274" s="12" t="n">
        <v>-11308</v>
      </c>
      <c r="W274" s="12" t="n">
        <v>-16735</v>
      </c>
      <c r="X274" s="12" t="n">
        <v>-8981</v>
      </c>
    </row>
    <row r="275">
      <c r="A275" s="18" t="inlineStr">
        <is>
          <t>단기차입금 순증감</t>
        </is>
      </c>
      <c r="D275" s="20" t="n">
        <v>-215</v>
      </c>
      <c r="F275" s="20" t="n">
        <v>15000</v>
      </c>
      <c r="H275" s="20" t="n">
        <v>35000</v>
      </c>
      <c r="J275" s="20" t="n">
        <v>-10020</v>
      </c>
      <c r="L275" s="20" t="n">
        <v>-20</v>
      </c>
      <c r="N275" s="20" t="n">
        <v>0</v>
      </c>
      <c r="O275" s="20" t="n">
        <v>-150</v>
      </c>
      <c r="P275" s="20" t="n">
        <v>0</v>
      </c>
      <c r="R275" s="20" t="n">
        <v>0</v>
      </c>
      <c r="S275" s="20" t="n">
        <v>-0</v>
      </c>
      <c r="T275" s="20" t="n">
        <v>-500</v>
      </c>
      <c r="U275" s="20" t="n">
        <v>0</v>
      </c>
      <c r="V275" s="20" t="n">
        <v>-215</v>
      </c>
      <c r="W275" s="20" t="n">
        <v>35000</v>
      </c>
      <c r="X275" s="20" t="n">
        <v>-20</v>
      </c>
    </row>
    <row r="276">
      <c r="A276" s="18" t="inlineStr">
        <is>
          <t>장기차입금 상환</t>
        </is>
      </c>
      <c r="D276" s="20" t="n">
        <v>-413</v>
      </c>
      <c r="F276" s="20" t="n">
        <v>0</v>
      </c>
      <c r="H276" s="20" t="n">
        <v>0</v>
      </c>
      <c r="J276" s="20" t="n">
        <v>-572</v>
      </c>
      <c r="L276" s="20" t="n">
        <v>-572</v>
      </c>
      <c r="N276" s="20" t="n">
        <v>0</v>
      </c>
      <c r="O276" s="20" t="n">
        <v>-473</v>
      </c>
      <c r="P276" s="20" t="n">
        <v>0</v>
      </c>
      <c r="Q276" s="20" t="n">
        <v>-125</v>
      </c>
      <c r="R276" s="20" t="n">
        <v>0</v>
      </c>
      <c r="S276" s="20" t="n">
        <v>0</v>
      </c>
      <c r="T276" s="20" t="n">
        <v>-39</v>
      </c>
      <c r="U276" s="20" t="n">
        <v>-33</v>
      </c>
      <c r="V276" s="20" t="n">
        <v>-413</v>
      </c>
      <c r="W276" s="20" t="n">
        <v>0</v>
      </c>
      <c r="X276" s="20" t="n">
        <v>-572</v>
      </c>
    </row>
    <row r="277">
      <c r="A277" s="18" t="inlineStr">
        <is>
          <t>사채 상환</t>
        </is>
      </c>
      <c r="O277" s="20" t="n">
        <v>0</v>
      </c>
    </row>
    <row r="278">
      <c r="A278" s="18" t="inlineStr">
        <is>
          <t>리스부채 상환</t>
        </is>
      </c>
      <c r="O278" s="20" t="n">
        <v>-1</v>
      </c>
      <c r="P278" s="20" t="n">
        <v>0</v>
      </c>
    </row>
    <row r="279">
      <c r="A279" s="18" t="inlineStr">
        <is>
          <t>장기차입</t>
        </is>
      </c>
      <c r="F279" s="20" t="n">
        <v>0</v>
      </c>
      <c r="H279" s="20" t="n">
        <v>0</v>
      </c>
      <c r="J279" s="20" t="n">
        <v>18000</v>
      </c>
      <c r="L279" s="20" t="n">
        <v>18000</v>
      </c>
      <c r="N279" s="20" t="n">
        <v>0</v>
      </c>
      <c r="W279" s="20" t="n">
        <v>0</v>
      </c>
      <c r="X279" s="20" t="n">
        <v>18000</v>
      </c>
    </row>
    <row r="280">
      <c r="A280" s="18" t="inlineStr">
        <is>
          <t>자기주식 취득</t>
        </is>
      </c>
      <c r="D280" s="20" t="n">
        <v>-0</v>
      </c>
      <c r="F280" s="20" t="n">
        <v>-0</v>
      </c>
      <c r="H280" s="20" t="n">
        <v>-5000</v>
      </c>
      <c r="J280" s="20" t="n">
        <v>-2796</v>
      </c>
      <c r="L280" s="20" t="n">
        <v>-5018</v>
      </c>
      <c r="N280" s="20" t="n">
        <v>-3513</v>
      </c>
      <c r="O280" s="20" t="n">
        <v>-1</v>
      </c>
      <c r="P280" s="20" t="n">
        <v>-0</v>
      </c>
      <c r="Q280" s="20" t="n">
        <v>-0</v>
      </c>
      <c r="R280" s="20" t="n">
        <v>-0</v>
      </c>
      <c r="S280" s="20" t="n">
        <v>-0</v>
      </c>
      <c r="T280" s="20" t="n">
        <v>-0</v>
      </c>
      <c r="U280" s="20" t="n">
        <v>0</v>
      </c>
      <c r="V280" s="20" t="n">
        <v>-0</v>
      </c>
      <c r="W280" s="20" t="n">
        <v>-5000</v>
      </c>
      <c r="X280" s="20" t="n">
        <v>-5018</v>
      </c>
    </row>
    <row r="281">
      <c r="A281" s="18" t="inlineStr">
        <is>
          <t>배당금 지급</t>
        </is>
      </c>
      <c r="D281" s="20" t="n">
        <v>-2957</v>
      </c>
      <c r="F281" s="20" t="n">
        <v>-1525</v>
      </c>
      <c r="H281" s="20" t="n">
        <v>-3144</v>
      </c>
      <c r="J281" s="20" t="n">
        <v>-2878</v>
      </c>
      <c r="L281" s="20" t="n">
        <v>-5398</v>
      </c>
      <c r="N281" s="20" t="n">
        <v>-2817</v>
      </c>
      <c r="O281" s="20" t="n">
        <v>-1336</v>
      </c>
      <c r="P281" s="20" t="n">
        <v>-1453</v>
      </c>
      <c r="Q281" s="20" t="n">
        <v>-1591</v>
      </c>
      <c r="R281" s="20" t="n">
        <v>-1752</v>
      </c>
      <c r="S281" s="20" t="n">
        <v>-2395</v>
      </c>
      <c r="T281" s="20" t="n">
        <v>-2629</v>
      </c>
      <c r="U281" s="20" t="n">
        <v>-2769</v>
      </c>
      <c r="V281" s="20" t="n">
        <v>-2957</v>
      </c>
      <c r="W281" s="20" t="n">
        <v>-3144</v>
      </c>
      <c r="X281" s="20" t="n">
        <v>-5398</v>
      </c>
    </row>
    <row r="282">
      <c r="A282" s="18" t="inlineStr">
        <is>
          <t>연결범위 변경 없는 자회사 주식 취득</t>
        </is>
      </c>
      <c r="D282" s="20" t="n">
        <v>-1</v>
      </c>
      <c r="P282" s="20" t="n">
        <v>0</v>
      </c>
      <c r="Q282" s="20" t="n">
        <v>-1</v>
      </c>
      <c r="R282" s="20" t="n">
        <v>-0</v>
      </c>
      <c r="S282" s="20" t="n">
        <v>0</v>
      </c>
      <c r="U282" s="20" t="n">
        <v>0</v>
      </c>
      <c r="V282" s="20" t="n">
        <v>-1</v>
      </c>
    </row>
    <row r="283">
      <c r="A283" s="9" t="inlineStr">
        <is>
          <t>재무활동 현금흐름</t>
        </is>
      </c>
      <c r="D283" s="12" t="n">
        <v>-3588</v>
      </c>
      <c r="F283" s="12" t="n">
        <v>13474</v>
      </c>
      <c r="H283" s="12" t="n">
        <v>26855</v>
      </c>
      <c r="J283" s="12" t="n">
        <v>1732</v>
      </c>
      <c r="L283" s="12" t="n">
        <v>6990</v>
      </c>
      <c r="N283" s="12" t="n">
        <v>-6330</v>
      </c>
      <c r="O283" s="12" t="n">
        <v>-1963</v>
      </c>
      <c r="P283" s="12" t="n">
        <v>-1454</v>
      </c>
      <c r="Q283" s="12" t="n">
        <v>-1719</v>
      </c>
      <c r="R283" s="12" t="n">
        <v>-1753</v>
      </c>
      <c r="S283" s="12" t="n">
        <v>-2396</v>
      </c>
      <c r="T283" s="12" t="n">
        <v>-3169</v>
      </c>
      <c r="U283" s="12" t="n">
        <v>-2802</v>
      </c>
      <c r="V283" s="12" t="n">
        <v>-3588</v>
      </c>
      <c r="W283" s="12" t="n">
        <v>26855</v>
      </c>
      <c r="X283" s="12" t="n">
        <v>6990</v>
      </c>
    </row>
    <row r="284">
      <c r="A284" s="18" t="inlineStr">
        <is>
          <t>현금성자산 환산차이</t>
        </is>
      </c>
      <c r="D284" s="20" t="n">
        <v>1</v>
      </c>
      <c r="F284" s="20" t="n">
        <v>-0</v>
      </c>
      <c r="H284" s="20" t="n">
        <v>-0</v>
      </c>
      <c r="J284" s="20" t="n">
        <v>-0</v>
      </c>
      <c r="L284" s="20" t="n">
        <v>0</v>
      </c>
      <c r="N284" s="20" t="n">
        <v>-0</v>
      </c>
      <c r="O284" s="20" t="n">
        <v>-0</v>
      </c>
      <c r="P284" s="20" t="n">
        <v>-0</v>
      </c>
      <c r="Q284" s="20" t="n">
        <v>-0</v>
      </c>
      <c r="R284" s="20" t="n">
        <v>-0</v>
      </c>
      <c r="S284" s="20" t="n">
        <v>0</v>
      </c>
      <c r="T284" s="20" t="n">
        <v>0</v>
      </c>
      <c r="U284" s="20" t="n">
        <v>2</v>
      </c>
      <c r="V284" s="20" t="n">
        <v>1</v>
      </c>
      <c r="W284" s="20" t="n">
        <v>-0</v>
      </c>
      <c r="X284" s="20" t="n">
        <v>0</v>
      </c>
    </row>
    <row r="285">
      <c r="A285" s="18" t="inlineStr">
        <is>
          <t>현금성자산 증감</t>
        </is>
      </c>
      <c r="D285" s="20" t="n">
        <v>-3414</v>
      </c>
      <c r="F285" s="20" t="n">
        <v>12838</v>
      </c>
      <c r="H285" s="20" t="n">
        <v>26397</v>
      </c>
      <c r="J285" s="20" t="n">
        <v>-3916</v>
      </c>
      <c r="L285" s="20" t="n">
        <v>8478</v>
      </c>
      <c r="N285" s="20" t="n">
        <v>-1043</v>
      </c>
      <c r="O285" s="20" t="n">
        <v>1303</v>
      </c>
      <c r="P285" s="20" t="n">
        <v>3770</v>
      </c>
      <c r="Q285" s="20" t="n">
        <v>5589</v>
      </c>
      <c r="R285" s="20" t="n">
        <v>-4804</v>
      </c>
      <c r="S285" s="20" t="n">
        <v>5854</v>
      </c>
      <c r="T285" s="20" t="n">
        <v>-3105</v>
      </c>
      <c r="U285" s="20" t="n">
        <v>-2653</v>
      </c>
      <c r="V285" s="20" t="n">
        <v>-3414</v>
      </c>
      <c r="W285" s="20" t="n">
        <v>26397</v>
      </c>
      <c r="X285" s="20" t="n">
        <v>8478</v>
      </c>
    </row>
    <row r="286">
      <c r="A286" s="18" t="inlineStr">
        <is>
          <t>연결 제외 현금성자산 감소</t>
        </is>
      </c>
      <c r="S286" s="20" t="n">
        <v>0</v>
      </c>
      <c r="T286" s="20" t="n">
        <v>-21</v>
      </c>
      <c r="U286" s="20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0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9882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79362</v>
      </c>
      <c r="D5" s="12" t="n">
        <v>85417</v>
      </c>
      <c r="E5" s="12" t="n">
        <v>91556</v>
      </c>
      <c r="F5" s="12" t="n">
        <v>90290</v>
      </c>
      <c r="G5" s="12" t="n">
        <v>91577</v>
      </c>
      <c r="H5" s="11" t="n">
        <v>52658</v>
      </c>
      <c r="I5" s="12" t="n">
        <v>51779</v>
      </c>
      <c r="J5" s="12" t="n">
        <v>47709</v>
      </c>
      <c r="K5" s="12" t="n">
        <v>76789</v>
      </c>
      <c r="L5" s="12" t="n">
        <v>91556</v>
      </c>
    </row>
    <row r="6">
      <c r="A6" s="18" t="inlineStr">
        <is>
          <t>현금및현금성자산</t>
        </is>
      </c>
      <c r="B6" s="10" t="n"/>
      <c r="C6" s="19" t="n">
        <v>27334</v>
      </c>
      <c r="D6" s="20" t="n">
        <v>31147</v>
      </c>
      <c r="E6" s="20" t="n">
        <v>39729</v>
      </c>
      <c r="F6" s="20" t="n">
        <v>41471</v>
      </c>
      <c r="G6" s="20" t="n">
        <v>38686</v>
      </c>
      <c r="H6" s="19" t="n">
        <v>10917</v>
      </c>
      <c r="I6" s="20" t="n">
        <v>8266</v>
      </c>
      <c r="J6" s="20" t="n">
        <v>4853</v>
      </c>
      <c r="K6" s="20" t="n">
        <v>31251</v>
      </c>
      <c r="L6" s="20" t="n">
        <v>39729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8447</v>
      </c>
      <c r="D8" s="20" t="n">
        <v>11929</v>
      </c>
      <c r="E8" s="20" t="n">
        <v>9954</v>
      </c>
      <c r="F8" s="20" t="n">
        <v>7642</v>
      </c>
      <c r="G8" s="20" t="n">
        <v>8924</v>
      </c>
      <c r="H8" s="19" t="n">
        <v>10002</v>
      </c>
      <c r="I8" s="20" t="n">
        <v>10424</v>
      </c>
      <c r="J8" s="20" t="n">
        <v>8853</v>
      </c>
      <c r="K8" s="20" t="n">
        <v>9079</v>
      </c>
      <c r="L8" s="20" t="n">
        <v>9954</v>
      </c>
    </row>
    <row r="9">
      <c r="A9" s="18" t="inlineStr">
        <is>
          <t>재고자산</t>
        </is>
      </c>
      <c r="B9" s="10" t="n"/>
      <c r="C9" s="19" t="n">
        <v>35286</v>
      </c>
      <c r="D9" s="20" t="n">
        <v>34007</v>
      </c>
      <c r="E9" s="20" t="n">
        <v>34137</v>
      </c>
      <c r="F9" s="20" t="n">
        <v>34632</v>
      </c>
      <c r="G9" s="20" t="n">
        <v>36335</v>
      </c>
      <c r="H9" s="19" t="n">
        <v>23043</v>
      </c>
      <c r="I9" s="20" t="n">
        <v>25451</v>
      </c>
      <c r="J9" s="20" t="n">
        <v>26656</v>
      </c>
      <c r="K9" s="20" t="n">
        <v>29303</v>
      </c>
      <c r="L9" s="20" t="n">
        <v>34137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115263</v>
      </c>
      <c r="D11" s="12" t="n">
        <v>116766</v>
      </c>
      <c r="E11" s="12" t="n">
        <v>115262</v>
      </c>
      <c r="F11" s="12" t="n">
        <v>115682</v>
      </c>
      <c r="G11" s="12" t="n">
        <v>117365</v>
      </c>
      <c r="H11" s="11" t="n">
        <v>73760</v>
      </c>
      <c r="I11" s="12" t="n">
        <v>84663</v>
      </c>
      <c r="J11" s="12" t="n">
        <v>96320</v>
      </c>
      <c r="K11" s="12" t="n">
        <v>109152</v>
      </c>
      <c r="L11" s="12" t="n">
        <v>115262</v>
      </c>
    </row>
    <row r="12">
      <c r="A12" s="18" t="inlineStr">
        <is>
          <t>유형자산</t>
        </is>
      </c>
      <c r="B12" s="10" t="n"/>
      <c r="C12" s="19" t="n">
        <v>84966</v>
      </c>
      <c r="D12" s="20" t="n">
        <v>85720</v>
      </c>
      <c r="E12" s="20" t="n">
        <v>84914</v>
      </c>
      <c r="F12" s="20" t="n">
        <v>83840</v>
      </c>
      <c r="G12" s="20" t="n">
        <v>84066</v>
      </c>
      <c r="H12" s="19" t="n">
        <v>54042</v>
      </c>
      <c r="I12" s="20" t="n">
        <v>64575</v>
      </c>
      <c r="J12" s="20" t="n">
        <v>72742</v>
      </c>
      <c r="K12" s="20" t="n">
        <v>81545</v>
      </c>
      <c r="L12" s="20" t="n">
        <v>84914</v>
      </c>
    </row>
    <row r="13">
      <c r="A13" s="18" t="inlineStr">
        <is>
          <t>무형자산</t>
        </is>
      </c>
      <c r="B13" s="10" t="n"/>
      <c r="C13" s="19" t="n">
        <v>3945</v>
      </c>
      <c r="D13" s="20" t="n">
        <v>4122</v>
      </c>
      <c r="E13" s="20" t="n">
        <v>4311</v>
      </c>
      <c r="F13" s="20" t="n">
        <v>3764</v>
      </c>
      <c r="G13" s="20" t="n">
        <v>3666</v>
      </c>
      <c r="H13" s="19" t="n">
        <v>1174</v>
      </c>
      <c r="I13" s="20" t="n">
        <v>1501</v>
      </c>
      <c r="J13" s="20" t="n">
        <v>1751</v>
      </c>
      <c r="K13" s="20" t="n">
        <v>4355</v>
      </c>
      <c r="L13" s="20" t="n">
        <v>4311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194626</v>
      </c>
      <c r="D16" s="12" t="n">
        <v>202183</v>
      </c>
      <c r="E16" s="12" t="n">
        <v>206818</v>
      </c>
      <c r="F16" s="12" t="n">
        <v>205972</v>
      </c>
      <c r="G16" s="12" t="n">
        <v>208942</v>
      </c>
      <c r="H16" s="11" t="n">
        <v>126418</v>
      </c>
      <c r="I16" s="12" t="n">
        <v>136442</v>
      </c>
      <c r="J16" s="12" t="n">
        <v>144030</v>
      </c>
      <c r="K16" s="12" t="n">
        <v>185941</v>
      </c>
      <c r="L16" s="12" t="n">
        <v>206818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48766</v>
      </c>
      <c r="D18" s="12" t="n">
        <v>53685</v>
      </c>
      <c r="E18" s="12" t="n">
        <v>58055</v>
      </c>
      <c r="F18" s="12" t="n">
        <v>56201</v>
      </c>
      <c r="G18" s="12" t="n">
        <v>57484</v>
      </c>
      <c r="H18" s="11" t="n">
        <v>23040</v>
      </c>
      <c r="I18" s="12" t="n">
        <v>24621</v>
      </c>
      <c r="J18" s="12" t="n">
        <v>21764</v>
      </c>
      <c r="K18" s="12" t="n">
        <v>58827</v>
      </c>
      <c r="L18" s="12" t="n">
        <v>58055</v>
      </c>
    </row>
    <row r="19">
      <c r="A19" s="18" t="inlineStr">
        <is>
          <t>매입채무</t>
        </is>
      </c>
      <c r="B19" s="10" t="n"/>
      <c r="C19" s="19" t="n">
        <v>10811</v>
      </c>
      <c r="D19" s="20" t="n">
        <v>10725</v>
      </c>
      <c r="E19" s="20" t="n">
        <v>9772</v>
      </c>
      <c r="F19" s="20" t="n">
        <v>8286</v>
      </c>
      <c r="G19" s="20" t="n">
        <v>9105</v>
      </c>
      <c r="H19" s="19" t="n">
        <v>10231</v>
      </c>
      <c r="I19" s="20" t="n">
        <v>11226</v>
      </c>
      <c r="J19" s="20" t="n">
        <v>8501</v>
      </c>
      <c r="K19" s="20" t="n">
        <v>9199</v>
      </c>
      <c r="L19" s="20" t="n">
        <v>9772</v>
      </c>
    </row>
    <row r="20">
      <c r="A20" s="18" t="inlineStr">
        <is>
          <t>단기차입금</t>
        </is>
      </c>
      <c r="B20" s="10" t="n"/>
      <c r="C20" s="19" t="n">
        <v>25000</v>
      </c>
      <c r="D20" s="20" t="n">
        <v>30000</v>
      </c>
      <c r="E20" s="20" t="n">
        <v>35000</v>
      </c>
      <c r="F20" s="20" t="n">
        <v>35000</v>
      </c>
      <c r="G20" s="20" t="n">
        <v>35000</v>
      </c>
      <c r="H20" s="19" t="n"/>
      <c r="I20" s="20" t="n">
        <v>0</v>
      </c>
      <c r="J20" s="20" t="n">
        <v>0</v>
      </c>
      <c r="K20" s="20" t="n">
        <v>35000</v>
      </c>
      <c r="L20" s="20" t="n">
        <v>35000</v>
      </c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/>
      <c r="I21" s="20" t="n"/>
      <c r="J21" s="20" t="n"/>
      <c r="K21" s="20" t="n"/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24765</v>
      </c>
      <c r="D23" s="12" t="n">
        <v>24957</v>
      </c>
      <c r="E23" s="12" t="n">
        <v>24865</v>
      </c>
      <c r="F23" s="12" t="n">
        <v>25519</v>
      </c>
      <c r="G23" s="12" t="n">
        <v>26049</v>
      </c>
      <c r="H23" s="11" t="n">
        <v>5079</v>
      </c>
      <c r="I23" s="12" t="n">
        <v>5109</v>
      </c>
      <c r="J23" s="12" t="n">
        <v>5743</v>
      </c>
      <c r="K23" s="12" t="n">
        <v>6518</v>
      </c>
      <c r="L23" s="12" t="n">
        <v>24865</v>
      </c>
    </row>
    <row r="24">
      <c r="A24" s="18" t="inlineStr">
        <is>
          <t>장기차입금</t>
        </is>
      </c>
      <c r="B24" s="10" t="n"/>
      <c r="C24" s="19" t="n">
        <v>18000</v>
      </c>
      <c r="D24" s="20" t="n">
        <v>18000</v>
      </c>
      <c r="E24" s="20" t="n">
        <v>18000</v>
      </c>
      <c r="F24" s="20" t="n">
        <v>18000</v>
      </c>
      <c r="G24" s="20" t="n">
        <v>18000</v>
      </c>
      <c r="H24" s="19" t="n"/>
      <c r="I24" s="20" t="n"/>
      <c r="J24" s="20" t="n"/>
      <c r="K24" s="20" t="n">
        <v>0</v>
      </c>
      <c r="L24" s="20" t="n">
        <v>18000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73531</v>
      </c>
      <c r="D27" s="12" t="n">
        <v>78643</v>
      </c>
      <c r="E27" s="12" t="n">
        <v>82920</v>
      </c>
      <c r="F27" s="12" t="n">
        <v>81721</v>
      </c>
      <c r="G27" s="12" t="n">
        <v>83534</v>
      </c>
      <c r="H27" s="11" t="n">
        <v>28119</v>
      </c>
      <c r="I27" s="12" t="n">
        <v>29731</v>
      </c>
      <c r="J27" s="12" t="n">
        <v>27507</v>
      </c>
      <c r="K27" s="12" t="n">
        <v>65346</v>
      </c>
      <c r="L27" s="12" t="n">
        <v>82920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120946</v>
      </c>
      <c r="D31" s="12" t="n">
        <v>123392</v>
      </c>
      <c r="E31" s="12" t="n">
        <v>123754</v>
      </c>
      <c r="F31" s="12" t="n">
        <v>124108</v>
      </c>
      <c r="G31" s="12" t="n">
        <v>125265</v>
      </c>
      <c r="H31" s="11" t="n">
        <v>98118</v>
      </c>
      <c r="I31" s="12" t="n">
        <v>106533</v>
      </c>
      <c r="J31" s="12" t="n">
        <v>116368</v>
      </c>
      <c r="K31" s="12" t="n">
        <v>120446</v>
      </c>
      <c r="L31" s="12" t="n">
        <v>123754</v>
      </c>
    </row>
    <row r="32">
      <c r="A32" s="18" t="inlineStr">
        <is>
          <t>자본금</t>
        </is>
      </c>
      <c r="B32" s="10" t="n"/>
      <c r="C32" s="19" t="n">
        <v>15072</v>
      </c>
      <c r="D32" s="20" t="n">
        <v>15072</v>
      </c>
      <c r="E32" s="20" t="n">
        <v>15072</v>
      </c>
      <c r="F32" s="20" t="n">
        <v>15072</v>
      </c>
      <c r="G32" s="20" t="n">
        <v>15072</v>
      </c>
      <c r="H32" s="19" t="n">
        <v>15072</v>
      </c>
      <c r="I32" s="20" t="n">
        <v>15072</v>
      </c>
      <c r="J32" s="20" t="n">
        <v>15072</v>
      </c>
      <c r="K32" s="20" t="n">
        <v>15072</v>
      </c>
      <c r="L32" s="20" t="n">
        <v>15072</v>
      </c>
    </row>
    <row r="33">
      <c r="A33" s="18" t="inlineStr">
        <is>
          <t>이익잉여금</t>
        </is>
      </c>
      <c r="B33" s="10" t="n"/>
      <c r="C33" s="19" t="n">
        <v>94627</v>
      </c>
      <c r="D33" s="20" t="n">
        <v>98255</v>
      </c>
      <c r="E33" s="20" t="n">
        <v>95392</v>
      </c>
      <c r="F33" s="20" t="n">
        <v>95415</v>
      </c>
      <c r="G33" s="20" t="n">
        <v>97879</v>
      </c>
      <c r="H33" s="19" t="n">
        <v>75572</v>
      </c>
      <c r="I33" s="20" t="n">
        <v>83466</v>
      </c>
      <c r="J33" s="20" t="n">
        <v>90767</v>
      </c>
      <c r="K33" s="20" t="n">
        <v>97870</v>
      </c>
      <c r="L33" s="20" t="n">
        <v>95392</v>
      </c>
    </row>
    <row r="34">
      <c r="A34" s="18" t="inlineStr">
        <is>
          <t>비지배지분</t>
        </is>
      </c>
      <c r="B34" s="10" t="n"/>
      <c r="C34" s="19" t="n">
        <v>1</v>
      </c>
      <c r="D34" s="20" t="n">
        <v>1</v>
      </c>
      <c r="E34" s="20" t="n">
        <v>1</v>
      </c>
      <c r="F34" s="20" t="n">
        <v>1</v>
      </c>
      <c r="G34" s="20" t="n">
        <v>1</v>
      </c>
      <c r="H34" s="19" t="n">
        <v>5</v>
      </c>
      <c r="I34" s="20" t="n">
        <v>7</v>
      </c>
      <c r="J34" s="20" t="n">
        <v>0</v>
      </c>
      <c r="K34" s="20" t="n">
        <v>1</v>
      </c>
      <c r="L34" s="20" t="n">
        <v>1</v>
      </c>
    </row>
    <row r="35">
      <c r="A35" s="9" t="inlineStr">
        <is>
          <t>자본총계</t>
        </is>
      </c>
      <c r="B35" s="10" t="n"/>
      <c r="C35" s="11" t="n">
        <v>121094</v>
      </c>
      <c r="D35" s="12" t="n">
        <v>123540</v>
      </c>
      <c r="E35" s="12" t="n">
        <v>123897</v>
      </c>
      <c r="F35" s="12" t="n">
        <v>124251</v>
      </c>
      <c r="G35" s="12" t="n">
        <v>125408</v>
      </c>
      <c r="H35" s="11" t="n">
        <v>98298</v>
      </c>
      <c r="I35" s="12" t="n">
        <v>106710</v>
      </c>
      <c r="J35" s="12" t="n">
        <v>116522</v>
      </c>
      <c r="K35" s="12" t="n">
        <v>120594</v>
      </c>
      <c r="L35" s="12" t="n">
        <v>123897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11911</v>
      </c>
      <c r="D37" s="12" t="n"/>
      <c r="E37" s="12" t="n">
        <v>10469</v>
      </c>
      <c r="F37" s="12" t="n"/>
      <c r="G37" s="12" t="n">
        <v>14379</v>
      </c>
      <c r="H37" s="11" t="n">
        <v>9732</v>
      </c>
      <c r="I37" s="12" t="n">
        <v>13570</v>
      </c>
      <c r="J37" s="12" t="n">
        <v>11483</v>
      </c>
      <c r="K37" s="12" t="n">
        <v>16277</v>
      </c>
      <c r="L37" s="12" t="n">
        <v>10469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13128</v>
      </c>
      <c r="D38" s="20" t="n"/>
      <c r="E38" s="20" t="n">
        <v>10322</v>
      </c>
      <c r="F38" s="20" t="n"/>
      <c r="G38" s="20" t="n">
        <v>6870</v>
      </c>
      <c r="H38" s="19" t="n">
        <v>9078</v>
      </c>
      <c r="I38" s="20" t="n">
        <v>13691</v>
      </c>
      <c r="J38" s="20" t="n">
        <v>11701</v>
      </c>
      <c r="K38" s="20" t="n">
        <v>12283</v>
      </c>
      <c r="L38" s="20" t="n">
        <v>10322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4497</v>
      </c>
      <c r="D40" s="20" t="n"/>
      <c r="E40" s="20" t="n">
        <v>5398</v>
      </c>
      <c r="F40" s="20" t="n"/>
      <c r="G40" s="20" t="n">
        <v>5337</v>
      </c>
      <c r="H40" s="19" t="n">
        <v>2629</v>
      </c>
      <c r="I40" s="20" t="n">
        <v>2769</v>
      </c>
      <c r="J40" s="20" t="n">
        <v>2957</v>
      </c>
      <c r="K40" s="20" t="n">
        <v>3144</v>
      </c>
      <c r="L40" s="20" t="n">
        <v>5398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IFERROR((IF(COUNT('연간'!G28:J28)&lt;4,"",SUM('연간'!G28:J28)))/(IF(COUNT('연간'!G50:J50)&lt;4,"",SUM('연간'!G50:J50))),"")</f>
        <v/>
      </c>
      <c r="D48" s="31">
        <f>IFERROR((IF(COUNT('연간'!H28:K28)&lt;4,"",SUM('연간'!H28:K28)))/(IF(COUNT('연간'!H50:K50)&lt;4,"",SUM('연간'!H50:K50))),"")</f>
        <v/>
      </c>
      <c r="E48" s="31">
        <f>IFERROR((IF(COUNT('연간'!I28:L28)&lt;4,"",SUM('연간'!I28:L28)))/(IF(COUNT('연간'!I50:L50)&lt;4,"",SUM('연간'!I50:L50))),"")</f>
        <v/>
      </c>
      <c r="F48" s="31">
        <f>IFERROR((IF(COUNT('연간'!J28:M28)&lt;4,"",SUM('연간'!J28:M28)))/(IF(COUNT('연간'!J50:M50)&lt;4,"",SUM('연간'!J50:M50))),"")</f>
        <v/>
      </c>
      <c r="G48" s="31">
        <f>IFERROR((IF(COUNT('연간'!K28:N28)&lt;4,"",SUM('연간'!K28:N28)))/(IF(COUNT('연간'!K50:N50)&lt;4,"",SUM('연간'!K50:N50))),"")</f>
        <v/>
      </c>
      <c r="H48" s="30">
        <f>IFERROR(('연간'!T28)/('연간'!T50),"")</f>
        <v/>
      </c>
      <c r="I48" s="31">
        <f>IFERROR(('연간'!U28)/('연간'!U50),"")</f>
        <v/>
      </c>
      <c r="J48" s="31">
        <f>IFERROR(('연간'!V28)/('연간'!V50),"")</f>
        <v/>
      </c>
      <c r="K48" s="31">
        <f>IFERROR(('연간'!W28)/('연간'!W50),"")</f>
        <v/>
      </c>
      <c r="L48" s="31">
        <f>IFERROR(('연간'!X28)/('연간'!X50),"")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IFERROR(IF((IF(COUNT('연간'!G58:J58)&lt;4,"",SUM('연간'!G58:J58)))&lt;=0,"적자",C28/(IF(COUNT('연간'!G58:J58)&lt;4,"",SUM('연간'!G58:J58)))),"")</f>
        <v/>
      </c>
      <c r="D49" s="47">
        <f>IFERROR(IF((IF(COUNT('연간'!H58:K58)&lt;4,"",SUM('연간'!H58:K58)))&lt;=0,"적자",D28/(IF(COUNT('연간'!H58:K58)&lt;4,"",SUM('연간'!H58:K58)))),"")</f>
        <v/>
      </c>
      <c r="E49" s="47">
        <f>IFERROR(IF((IF(COUNT('연간'!I58:L58)&lt;4,"",SUM('연간'!I58:L58)))&lt;=0,"적자",E28/(IF(COUNT('연간'!I58:L58)&lt;4,"",SUM('연간'!I58:L58)))),"")</f>
        <v/>
      </c>
      <c r="F49" s="47">
        <f>IFERROR(IF((IF(COUNT('연간'!J58:M58)&lt;4,"",SUM('연간'!J58:M58)))&lt;=0,"적자",F28/(IF(COUNT('연간'!J58:M58)&lt;4,"",SUM('연간'!J58:M58)))),"")</f>
        <v/>
      </c>
      <c r="G49" s="47">
        <f>IFERROR(IF((IF(COUNT('연간'!K58:N58)&lt;4,"",SUM('연간'!K58:N58)))&lt;=0,"적자",G28/(IF(COUNT('연간'!K58:N58)&lt;4,"",SUM('연간'!K58:N58)))),"")</f>
        <v/>
      </c>
      <c r="H49" s="46">
        <f>IFERROR(IF(('연간'!T58)&lt;=0,"적자",H28/('연간'!T58)),"")</f>
        <v/>
      </c>
      <c r="I49" s="47">
        <f>IFERROR(IF(('연간'!U58)&lt;=0,"적자",I28/('연간'!U58)),"")</f>
        <v/>
      </c>
      <c r="J49" s="47">
        <f>IFERROR(IF(('연간'!V58)&lt;=0,"적자",J28/('연간'!V58)),"")</f>
        <v/>
      </c>
      <c r="K49" s="47">
        <f>IFERROR(IF(('연간'!W58)&lt;=0,"적자",K28/('연간'!W58)),"")</f>
        <v/>
      </c>
      <c r="L49" s="47">
        <f>IFERROR(IF(('연간'!X58)&lt;=0,"적자",L28/('연간'!X58)),"")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IFERROR((IF(COUNT('연간'!G58:J58)&lt;4,"",SUM('연간'!G58:J58)))/C31,"")</f>
        <v/>
      </c>
      <c r="D51" s="36">
        <f>IFERROR((IF(COUNT('연간'!H58:K58)&lt;4,"",SUM('연간'!H58:K58)))/D31,"")</f>
        <v/>
      </c>
      <c r="E51" s="36">
        <f>IFERROR((IF(COUNT('연간'!I58:L58)&lt;4,"",SUM('연간'!I58:L58)))/E31,"")</f>
        <v/>
      </c>
      <c r="F51" s="36">
        <f>IFERROR((IF(COUNT('연간'!J58:M58)&lt;4,"",SUM('연간'!J58:M58)))/F31,"")</f>
        <v/>
      </c>
      <c r="G51" s="36">
        <f>IFERROR((IF(COUNT('연간'!K58:N58)&lt;4,"",SUM('연간'!K58:N58)))/G31,"")</f>
        <v/>
      </c>
      <c r="H51" s="35">
        <f>IFERROR(('연간'!T58)/H31,"")</f>
        <v/>
      </c>
      <c r="I51" s="36">
        <f>IFERROR(('연간'!U58)/I31,"")</f>
        <v/>
      </c>
      <c r="J51" s="36">
        <f>IFERROR(('연간'!V58)/J31,"")</f>
        <v/>
      </c>
      <c r="K51" s="36">
        <f>IFERROR(('연간'!W58)/K31,"")</f>
        <v/>
      </c>
      <c r="L51" s="36">
        <f>IFERROR(('연간'!X58)/L31,"")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IFERROR((IF(COUNT('연간'!G56:J56)&lt;4,"",SUM('연간'!G56:J56)))/C16,"")</f>
        <v/>
      </c>
      <c r="D52" s="36">
        <f>IFERROR((IF(COUNT('연간'!H56:K56)&lt;4,"",SUM('연간'!H56:K56)))/D16,"")</f>
        <v/>
      </c>
      <c r="E52" s="36">
        <f>IFERROR((IF(COUNT('연간'!I56:L56)&lt;4,"",SUM('연간'!I56:L56)))/E16,"")</f>
        <v/>
      </c>
      <c r="F52" s="36">
        <f>IFERROR((IF(COUNT('연간'!J56:M56)&lt;4,"",SUM('연간'!J56:M56)))/F16,"")</f>
        <v/>
      </c>
      <c r="G52" s="36">
        <f>IFERROR((IF(COUNT('연간'!K56:N56)&lt;4,"",SUM('연간'!K56:N56)))/G16,"")</f>
        <v/>
      </c>
      <c r="H52" s="35">
        <f>IFERROR(('연간'!T56)/H16,"")</f>
        <v/>
      </c>
      <c r="I52" s="36">
        <f>IFERROR(('연간'!U56)/I16,"")</f>
        <v/>
      </c>
      <c r="J52" s="36">
        <f>IFERROR(('연간'!V56)/J16,"")</f>
        <v/>
      </c>
      <c r="K52" s="36">
        <f>IFERROR(('연간'!W56)/K16,"")</f>
        <v/>
      </c>
      <c r="L52" s="36">
        <f>IFERROR(('연간'!X56)/L16,"")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IFERROR((IF(COUNT('연간'!G28:J28)&lt;4,"",SUM('연간'!G28:J28)))*(1-0.3)/(C35+C29),"")</f>
        <v/>
      </c>
      <c r="D53" s="36">
        <f>IFERROR((IF(COUNT('연간'!H28:K28)&lt;4,"",SUM('연간'!H28:K28)))*(1-0.3)/(D35+D29),"")</f>
        <v/>
      </c>
      <c r="E53" s="36">
        <f>IFERROR((IF(COUNT('연간'!I28:L28)&lt;4,"",SUM('연간'!I28:L28)))*(1-0.3)/(E35+E29),"")</f>
        <v/>
      </c>
      <c r="F53" s="36">
        <f>IFERROR((IF(COUNT('연간'!J28:M28)&lt;4,"",SUM('연간'!J28:M28)))*(1-0.3)/(F35+F29),"")</f>
        <v/>
      </c>
      <c r="G53" s="36">
        <f>IFERROR((IF(COUNT('연간'!K28:N28)&lt;4,"",SUM('연간'!K28:N28)))*(1-0.3)/(G35+G29),"")</f>
        <v/>
      </c>
      <c r="H53" s="35">
        <f>IFERROR(('연간'!T28)*(1-0.3)/(H35+H29),"")</f>
        <v/>
      </c>
      <c r="I53" s="36">
        <f>IFERROR(('연간'!U28)*(1-0.3)/(I35+I29),"")</f>
        <v/>
      </c>
      <c r="J53" s="36">
        <f>IFERROR(('연간'!V28)*(1-0.3)/(J35+J29),"")</f>
        <v/>
      </c>
      <c r="K53" s="36">
        <f>IFERROR(('연간'!W28)*(1-0.3)/(K35+K29),"")</f>
        <v/>
      </c>
      <c r="L53" s="36">
        <f>IFERROR(('연간'!X28)*(1-0.3)/(L35+L29),"")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IFERROR((IF(COUNT('연간'!G22:J22)&lt;4,"",SUM('연간'!G22:J22)))/(IF(COUNT('연간'!G4:J4)&lt;4,"",SUM('연간'!G4:J4))),"")</f>
        <v/>
      </c>
      <c r="D54" s="36">
        <f>IFERROR((IF(COUNT('연간'!H22:K22)&lt;4,"",SUM('연간'!H22:K22)))/(IF(COUNT('연간'!H4:K4)&lt;4,"",SUM('연간'!H4:K4))),"")</f>
        <v/>
      </c>
      <c r="E54" s="36">
        <f>IFERROR((IF(COUNT('연간'!I22:L22)&lt;4,"",SUM('연간'!I22:L22)))/(IF(COUNT('연간'!I4:L4)&lt;4,"",SUM('연간'!I4:L4))),"")</f>
        <v/>
      </c>
      <c r="F54" s="36">
        <f>IFERROR((IF(COUNT('연간'!J22:M22)&lt;4,"",SUM('연간'!J22:M22)))/(IF(COUNT('연간'!J4:M4)&lt;4,"",SUM('연간'!J4:M4))),"")</f>
        <v/>
      </c>
      <c r="G54" s="36">
        <f>IFERROR((IF(COUNT('연간'!K22:N22)&lt;4,"",SUM('연간'!K22:N22)))/(IF(COUNT('연간'!K4:N4)&lt;4,"",SUM('연간'!K4:N4))),"")</f>
        <v/>
      </c>
      <c r="H54" s="35">
        <f>IFERROR(('연간'!T22)/('연간'!T4),"")</f>
        <v/>
      </c>
      <c r="I54" s="36">
        <f>IFERROR(('연간'!U22)/('연간'!U4),"")</f>
        <v/>
      </c>
      <c r="J54" s="36">
        <f>IFERROR(('연간'!V22)/('연간'!V4),"")</f>
        <v/>
      </c>
      <c r="K54" s="36">
        <f>IFERROR(('연간'!W22)/('연간'!W4),"")</f>
        <v/>
      </c>
      <c r="L54" s="36">
        <f>IFERROR(('연간'!X22)/('연간'!X4),"")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IFERROR((IF(COUNT('연간'!G28:J28)&lt;4,"",SUM('연간'!G28:J28)))/(IF(COUNT('연간'!G4:J4)&lt;4,"",SUM('연간'!G4:J4))),"")</f>
        <v/>
      </c>
      <c r="D55" s="36">
        <f>IFERROR((IF(COUNT('연간'!H28:K28)&lt;4,"",SUM('연간'!H28:K28)))/(IF(COUNT('연간'!H4:K4)&lt;4,"",SUM('연간'!H4:K4))),"")</f>
        <v/>
      </c>
      <c r="E55" s="36">
        <f>IFERROR((IF(COUNT('연간'!I28:L28)&lt;4,"",SUM('연간'!I28:L28)))/(IF(COUNT('연간'!I4:L4)&lt;4,"",SUM('연간'!I4:L4))),"")</f>
        <v/>
      </c>
      <c r="F55" s="36">
        <f>IFERROR((IF(COUNT('연간'!J28:M28)&lt;4,"",SUM('연간'!J28:M28)))/(IF(COUNT('연간'!J4:M4)&lt;4,"",SUM('연간'!J4:M4))),"")</f>
        <v/>
      </c>
      <c r="G55" s="36">
        <f>IFERROR((IF(COUNT('연간'!K28:N28)&lt;4,"",SUM('연간'!K28:N28)))/(IF(COUNT('연간'!K4:N4)&lt;4,"",SUM('연간'!K4:N4))),"")</f>
        <v/>
      </c>
      <c r="H55" s="35">
        <f>IFERROR(('연간'!T28)/('연간'!T4),"")</f>
        <v/>
      </c>
      <c r="I55" s="36">
        <f>IFERROR(('연간'!U28)/('연간'!U4),"")</f>
        <v/>
      </c>
      <c r="J55" s="36">
        <f>IFERROR(('연간'!V28)/('연간'!V4),"")</f>
        <v/>
      </c>
      <c r="K55" s="36">
        <f>IFERROR(('연간'!W28)/('연간'!W4),"")</f>
        <v/>
      </c>
      <c r="L55" s="36">
        <f>IFERROR(('연간'!X28)/('연간'!X4),"")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IFERROR((IF(COUNT('연간'!G56:J56)&lt;4,"",SUM('연간'!G56:J56)))/(IF(COUNT('연간'!G4:J4)&lt;4,"",SUM('연간'!G4:J4))),"")</f>
        <v/>
      </c>
      <c r="D56" s="36">
        <f>IFERROR((IF(COUNT('연간'!H56:K56)&lt;4,"",SUM('연간'!H56:K56)))/(IF(COUNT('연간'!H4:K4)&lt;4,"",SUM('연간'!H4:K4))),"")</f>
        <v/>
      </c>
      <c r="E56" s="36">
        <f>IFERROR((IF(COUNT('연간'!I56:L56)&lt;4,"",SUM('연간'!I56:L56)))/(IF(COUNT('연간'!I4:L4)&lt;4,"",SUM('연간'!I4:L4))),"")</f>
        <v/>
      </c>
      <c r="F56" s="36">
        <f>IFERROR((IF(COUNT('연간'!J56:M56)&lt;4,"",SUM('연간'!J56:M56)))/(IF(COUNT('연간'!J4:M4)&lt;4,"",SUM('연간'!J4:M4))),"")</f>
        <v/>
      </c>
      <c r="G56" s="36">
        <f>IFERROR((IF(COUNT('연간'!K56:N56)&lt;4,"",SUM('연간'!K56:N56)))/(IF(COUNT('연간'!K4:N4)&lt;4,"",SUM('연간'!K4:N4))),"")</f>
        <v/>
      </c>
      <c r="H56" s="35">
        <f>IFERROR(('연간'!T56)/('연간'!T4),"")</f>
        <v/>
      </c>
      <c r="I56" s="36">
        <f>IFERROR(('연간'!U56)/('연간'!U4),"")</f>
        <v/>
      </c>
      <c r="J56" s="36">
        <f>IFERROR(('연간'!V56)/('연간'!V4),"")</f>
        <v/>
      </c>
      <c r="K56" s="36">
        <f>IFERROR(('연간'!W56)/('연간'!W4),"")</f>
        <v/>
      </c>
      <c r="L56" s="36">
        <f>IFERROR(('연간'!X56)/('연간'!X4),"")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IFERROR(C9/(IF(COUNT('연간'!G20:J20)&lt;4,"",SUM('연간'!G20:J20)))*365,"")</f>
        <v/>
      </c>
      <c r="D60" s="49">
        <f>IFERROR(D9/(IF(COUNT('연간'!H20:K20)&lt;4,"",SUM('연간'!H20:K20)))*365,"")</f>
        <v/>
      </c>
      <c r="E60" s="49">
        <f>IFERROR(E9/(IF(COUNT('연간'!I20:L20)&lt;4,"",SUM('연간'!I20:L20)))*365,"")</f>
        <v/>
      </c>
      <c r="F60" s="49">
        <f>IFERROR(F9/(IF(COUNT('연간'!J20:M20)&lt;4,"",SUM('연간'!J20:M20)))*365,"")</f>
        <v/>
      </c>
      <c r="G60" s="49">
        <f>IFERROR(G9/(IF(COUNT('연간'!K20:N20)&lt;4,"",SUM('연간'!K20:N20)))*365,"")</f>
        <v/>
      </c>
      <c r="H60" s="48">
        <f>IFERROR(H9/('연간'!T20)*365,"")</f>
        <v/>
      </c>
      <c r="I60" s="49">
        <f>IFERROR(I9/('연간'!U20)*365,"")</f>
        <v/>
      </c>
      <c r="J60" s="49">
        <f>IFERROR(J9/('연간'!V20)*365,"")</f>
        <v/>
      </c>
      <c r="K60" s="49">
        <f>IFERROR(K9/('연간'!W20)*365,"")</f>
        <v/>
      </c>
      <c r="L60" s="49">
        <f>IFERROR(L9/('연간'!X20)*365,"")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IFERROR(C19/(IF(COUNT('연간'!G20:J20)&lt;4,"",SUM('연간'!G20:J20)))*365,"")</f>
        <v/>
      </c>
      <c r="D61" s="49">
        <f>IFERROR(D19/(IF(COUNT('연간'!H20:K20)&lt;4,"",SUM('연간'!H20:K20)))*365,"")</f>
        <v/>
      </c>
      <c r="E61" s="49">
        <f>IFERROR(E19/(IF(COUNT('연간'!I20:L20)&lt;4,"",SUM('연간'!I20:L20)))*365,"")</f>
        <v/>
      </c>
      <c r="F61" s="49">
        <f>IFERROR(F19/(IF(COUNT('연간'!J20:M20)&lt;4,"",SUM('연간'!J20:M20)))*365,"")</f>
        <v/>
      </c>
      <c r="G61" s="49">
        <f>IFERROR(G19/(IF(COUNT('연간'!K20:N20)&lt;4,"",SUM('연간'!K20:N20)))*365,"")</f>
        <v/>
      </c>
      <c r="H61" s="48">
        <f>IFERROR(H19/('연간'!T20)*365,"")</f>
        <v/>
      </c>
      <c r="I61" s="49">
        <f>IFERROR(I19/('연간'!U20)*365,"")</f>
        <v/>
      </c>
      <c r="J61" s="49">
        <f>IFERROR(J19/('연간'!V20)*365,"")</f>
        <v/>
      </c>
      <c r="K61" s="49">
        <f>IFERROR(K19/('연간'!W20)*365,"")</f>
        <v/>
      </c>
      <c r="L61" s="49">
        <f>IFERROR(L19/('연간'!X20)*365,"")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IF(C37="","",IFERROR(C37/(IF(COUNT('연간'!G56:J56)&lt;4,"",SUM('연간'!G56:J56))),""))</f>
        <v/>
      </c>
      <c r="D64" s="31">
        <f>IF(D37="","",IFERROR(D37/(IF(COUNT('연간'!H56:K56)&lt;4,"",SUM('연간'!H56:K56))),""))</f>
        <v/>
      </c>
      <c r="E64" s="31">
        <f>IF(E37="","",IFERROR(E37/(IF(COUNT('연간'!I56:L56)&lt;4,"",SUM('연간'!I56:L56))),""))</f>
        <v/>
      </c>
      <c r="F64" s="31">
        <f>IF(F37="","",IFERROR(F37/(IF(COUNT('연간'!J56:M56)&lt;4,"",SUM('연간'!J56:M56))),""))</f>
        <v/>
      </c>
      <c r="G64" s="31">
        <f>IF(G37="","",IFERROR(G37/(IF(COUNT('연간'!K56:N56)&lt;4,"",SUM('연간'!K56:N56))),""))</f>
        <v/>
      </c>
      <c r="H64" s="30">
        <f>IF(H37="","",IFERROR(H37/('연간'!T56),""))</f>
        <v/>
      </c>
      <c r="I64" s="31">
        <f>IF(I37="","",IFERROR(I37/('연간'!U56),""))</f>
        <v/>
      </c>
      <c r="J64" s="31">
        <f>IF(J37="","",IFERROR(J37/('연간'!V56),""))</f>
        <v/>
      </c>
      <c r="K64" s="31">
        <f>IF(K37="","",IFERROR(K37/('연간'!W56),""))</f>
        <v/>
      </c>
      <c r="L64" s="31">
        <f>IF(L37="","",IFERROR(L37/('연간'!X56),""))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IF(C40="","",IFERROR(C40/(IF(COUNT('연간'!G58:J58)&lt;4,"",SUM('연간'!G58:J58))),""))</f>
        <v/>
      </c>
      <c r="D67" s="36">
        <f>IF(D40="","",IFERROR(D40/(IF(COUNT('연간'!H58:K58)&lt;4,"",SUM('연간'!H58:K58))),""))</f>
        <v/>
      </c>
      <c r="E67" s="36">
        <f>IF(E40="","",IFERROR(E40/(IF(COUNT('연간'!I58:L58)&lt;4,"",SUM('연간'!I58:L58))),""))</f>
        <v/>
      </c>
      <c r="F67" s="36">
        <f>IF(F40="","",IFERROR(F40/(IF(COUNT('연간'!J58:M58)&lt;4,"",SUM('연간'!J58:M58))),""))</f>
        <v/>
      </c>
      <c r="G67" s="36">
        <f>IF(G40="","",IFERROR(G40/(IF(COUNT('연간'!K58:N58)&lt;4,"",SUM('연간'!K58:N58))),""))</f>
        <v/>
      </c>
      <c r="H67" s="35">
        <f>IF(H40="","",IFERROR(H40/('연간'!T58),""))</f>
        <v/>
      </c>
      <c r="I67" s="36">
        <f>IF(I40="","",IFERROR(I40/('연간'!U58),""))</f>
        <v/>
      </c>
      <c r="J67" s="36">
        <f>IF(J40="","",IFERROR(J40/('연간'!V58),""))</f>
        <v/>
      </c>
      <c r="K67" s="36">
        <f>IF(K40="","",IFERROR(K40/('연간'!W58),""))</f>
        <v/>
      </c>
      <c r="L67" s="36">
        <f>IF(L40="","",IFERROR(L40/('연간'!X58),""))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27334</v>
      </c>
      <c r="D71" s="20" t="n">
        <v>31147</v>
      </c>
      <c r="E71" s="20" t="n">
        <v>39729</v>
      </c>
      <c r="F71" s="20" t="n">
        <v>41471</v>
      </c>
      <c r="G71" s="20" t="n">
        <v>38686</v>
      </c>
      <c r="H71" s="20" t="n">
        <v>10917</v>
      </c>
      <c r="I71" s="20" t="n">
        <v>8266</v>
      </c>
      <c r="J71" s="20" t="n">
        <v>4853</v>
      </c>
      <c r="K71" s="20" t="n">
        <v>31251</v>
      </c>
      <c r="L71" s="20" t="n">
        <v>39729</v>
      </c>
    </row>
    <row r="72">
      <c r="A72" s="18" t="inlineStr">
        <is>
          <t>받을어음·매출채권</t>
        </is>
      </c>
      <c r="C72" s="20" t="n">
        <v>8447</v>
      </c>
      <c r="D72" s="20" t="n">
        <v>11929</v>
      </c>
      <c r="E72" s="20" t="n">
        <v>9954</v>
      </c>
      <c r="F72" s="20" t="n">
        <v>7642</v>
      </c>
      <c r="G72" s="20" t="n">
        <v>8924</v>
      </c>
      <c r="H72" s="20" t="n">
        <v>10002</v>
      </c>
      <c r="I72" s="20" t="n">
        <v>10424</v>
      </c>
      <c r="J72" s="20" t="n">
        <v>8853</v>
      </c>
      <c r="K72" s="20" t="n">
        <v>9079</v>
      </c>
      <c r="L72" s="20" t="n">
        <v>9954</v>
      </c>
    </row>
    <row r="73">
      <c r="A73" s="18" t="inlineStr">
        <is>
          <t>재고자산</t>
        </is>
      </c>
      <c r="C73" s="20" t="n">
        <v>35286</v>
      </c>
      <c r="D73" s="20" t="n">
        <v>34007</v>
      </c>
      <c r="E73" s="20" t="n">
        <v>34137</v>
      </c>
      <c r="F73" s="20" t="n">
        <v>34632</v>
      </c>
      <c r="G73" s="20" t="n">
        <v>36335</v>
      </c>
      <c r="H73" s="20" t="n">
        <v>23043</v>
      </c>
      <c r="I73" s="20" t="n">
        <v>25451</v>
      </c>
      <c r="J73" s="20" t="n">
        <v>26656</v>
      </c>
      <c r="K73" s="20" t="n">
        <v>29303</v>
      </c>
      <c r="L73" s="20" t="n">
        <v>34137</v>
      </c>
    </row>
    <row r="74">
      <c r="A74" s="18" t="inlineStr">
        <is>
          <t>미수금</t>
        </is>
      </c>
      <c r="E74" s="20" t="n">
        <v>4044</v>
      </c>
      <c r="H74" s="20" t="n">
        <v>4970</v>
      </c>
      <c r="I74" s="20" t="n">
        <v>4011</v>
      </c>
      <c r="J74" s="20" t="n">
        <v>3696</v>
      </c>
      <c r="K74" s="20" t="n">
        <v>3664</v>
      </c>
      <c r="L74" s="20" t="n">
        <v>4044</v>
      </c>
    </row>
    <row r="75">
      <c r="A75" s="18" t="inlineStr">
        <is>
          <t>기타</t>
        </is>
      </c>
      <c r="C75" s="20" t="n">
        <v>8297</v>
      </c>
      <c r="D75" s="20" t="n">
        <v>8394</v>
      </c>
      <c r="E75" s="20" t="n">
        <v>7743</v>
      </c>
      <c r="F75" s="20" t="n">
        <v>6550</v>
      </c>
      <c r="G75" s="20" t="n">
        <v>7633</v>
      </c>
      <c r="H75" s="20" t="n">
        <v>3924</v>
      </c>
      <c r="I75" s="20" t="n">
        <v>3829</v>
      </c>
      <c r="J75" s="20" t="n">
        <v>7353</v>
      </c>
      <c r="K75" s="20" t="n">
        <v>3498</v>
      </c>
      <c r="L75" s="20" t="n">
        <v>7743</v>
      </c>
    </row>
    <row r="76">
      <c r="A76" s="18" t="inlineStr">
        <is>
          <t>대손충당금</t>
        </is>
      </c>
      <c r="C76" s="20" t="n">
        <v>-3</v>
      </c>
      <c r="D76" s="20" t="n">
        <v>-61</v>
      </c>
      <c r="E76" s="20" t="n">
        <v>-8</v>
      </c>
      <c r="F76" s="20" t="n">
        <v>-6</v>
      </c>
      <c r="G76" s="20" t="n">
        <v>-1</v>
      </c>
      <c r="H76" s="20" t="n">
        <v>-199</v>
      </c>
      <c r="I76" s="20" t="n">
        <v>-205</v>
      </c>
      <c r="J76" s="20" t="n">
        <v>-7</v>
      </c>
      <c r="K76" s="20" t="n">
        <v>-8</v>
      </c>
      <c r="L76" s="20" t="n">
        <v>-8</v>
      </c>
    </row>
    <row r="77">
      <c r="A77" s="9" t="inlineStr">
        <is>
          <t>유동자산 합계</t>
        </is>
      </c>
      <c r="C77" s="12" t="n">
        <v>79362</v>
      </c>
      <c r="D77" s="12" t="n">
        <v>85417</v>
      </c>
      <c r="E77" s="12" t="n">
        <v>91556</v>
      </c>
      <c r="F77" s="12" t="n">
        <v>90290</v>
      </c>
      <c r="G77" s="12" t="n">
        <v>91577</v>
      </c>
      <c r="H77" s="12" t="n">
        <v>52658</v>
      </c>
      <c r="I77" s="12" t="n">
        <v>51779</v>
      </c>
      <c r="J77" s="12" t="n">
        <v>47709</v>
      </c>
      <c r="K77" s="12" t="n">
        <v>76789</v>
      </c>
      <c r="L77" s="12" t="n">
        <v>91556</v>
      </c>
    </row>
    <row r="78">
      <c r="A78" s="18" t="inlineStr">
        <is>
          <t>건물·구축물</t>
        </is>
      </c>
      <c r="C78" s="20" t="n">
        <v>64662</v>
      </c>
      <c r="D78" s="20" t="n">
        <v>66517</v>
      </c>
      <c r="E78" s="20" t="n">
        <v>67000</v>
      </c>
      <c r="F78" s="20" t="n">
        <v>66209</v>
      </c>
      <c r="G78" s="20" t="n">
        <v>66944</v>
      </c>
      <c r="H78" s="20" t="n">
        <v>45391</v>
      </c>
      <c r="I78" s="20" t="n">
        <v>48813</v>
      </c>
      <c r="J78" s="20" t="n">
        <v>54660</v>
      </c>
      <c r="K78" s="20" t="n">
        <v>59022</v>
      </c>
      <c r="L78" s="20" t="n">
        <v>67000</v>
      </c>
    </row>
    <row r="79">
      <c r="A79" s="18" t="inlineStr">
        <is>
          <t>감가상각누계액</t>
        </is>
      </c>
      <c r="C79" s="20" t="n">
        <v>-29723</v>
      </c>
      <c r="D79" s="20" t="n">
        <v>-30269</v>
      </c>
      <c r="E79" s="20" t="n">
        <v>-30456</v>
      </c>
      <c r="F79" s="20" t="n">
        <v>-30205</v>
      </c>
      <c r="G79" s="20" t="n">
        <v>-30762</v>
      </c>
      <c r="H79" s="20" t="n">
        <v>-24572</v>
      </c>
      <c r="I79" s="20" t="n">
        <v>-25922</v>
      </c>
      <c r="J79" s="20" t="n">
        <v>-27454</v>
      </c>
      <c r="K79" s="20" t="n">
        <v>-29046</v>
      </c>
      <c r="L79" s="20" t="n">
        <v>-30456</v>
      </c>
    </row>
    <row r="80">
      <c r="A80" s="18" t="inlineStr">
        <is>
          <t>건물·구축물(순액)</t>
        </is>
      </c>
      <c r="C80" s="20" t="n">
        <v>34939</v>
      </c>
      <c r="D80" s="20" t="n">
        <v>36248</v>
      </c>
      <c r="E80" s="20" t="n">
        <v>36543</v>
      </c>
      <c r="F80" s="20" t="n">
        <v>36003</v>
      </c>
      <c r="G80" s="20" t="n">
        <v>36181</v>
      </c>
      <c r="H80" s="20" t="n">
        <v>20818</v>
      </c>
      <c r="I80" s="20" t="n">
        <v>22891</v>
      </c>
      <c r="J80" s="20" t="n">
        <v>27205</v>
      </c>
      <c r="K80" s="20" t="n">
        <v>29975</v>
      </c>
      <c r="L80" s="20" t="n">
        <v>36543</v>
      </c>
    </row>
    <row r="81">
      <c r="A81" s="18" t="inlineStr">
        <is>
          <t>기계장치·운반구</t>
        </is>
      </c>
      <c r="E81" s="20" t="n">
        <v>3011</v>
      </c>
      <c r="H81" s="20" t="n">
        <v>2016</v>
      </c>
      <c r="I81" s="20" t="n">
        <v>2125</v>
      </c>
      <c r="J81" s="20" t="n">
        <v>2480</v>
      </c>
      <c r="K81" s="20" t="n">
        <v>2684</v>
      </c>
      <c r="L81" s="20" t="n">
        <v>3011</v>
      </c>
    </row>
    <row r="82">
      <c r="A82" s="18" t="inlineStr">
        <is>
          <t>감가상각누계액</t>
        </is>
      </c>
      <c r="E82" s="20" t="n">
        <v>-1969</v>
      </c>
      <c r="H82" s="20" t="n">
        <v>-1467</v>
      </c>
      <c r="I82" s="20" t="n">
        <v>-1559</v>
      </c>
      <c r="J82" s="20" t="n">
        <v>-1689</v>
      </c>
      <c r="K82" s="20" t="n">
        <v>-1773</v>
      </c>
      <c r="L82" s="20" t="n">
        <v>-1969</v>
      </c>
    </row>
    <row r="83">
      <c r="A83" s="18" t="inlineStr">
        <is>
          <t>기계장치·운반구(순액)</t>
        </is>
      </c>
      <c r="E83" s="20" t="n">
        <v>1042</v>
      </c>
      <c r="H83" s="20" t="n">
        <v>548</v>
      </c>
      <c r="I83" s="20" t="n">
        <v>565</v>
      </c>
      <c r="J83" s="20" t="n">
        <v>791</v>
      </c>
      <c r="K83" s="20" t="n">
        <v>911</v>
      </c>
      <c r="L83" s="20" t="n">
        <v>1042</v>
      </c>
    </row>
    <row r="84">
      <c r="A84" s="18" t="inlineStr">
        <is>
          <t>토지</t>
        </is>
      </c>
      <c r="C84" s="20" t="n">
        <v>43684</v>
      </c>
      <c r="D84" s="20" t="n">
        <v>43684</v>
      </c>
      <c r="E84" s="20" t="n">
        <v>43083</v>
      </c>
      <c r="F84" s="20" t="n">
        <v>42124</v>
      </c>
      <c r="G84" s="20" t="n">
        <v>42124</v>
      </c>
      <c r="H84" s="20" t="n">
        <v>29905</v>
      </c>
      <c r="I84" s="20" t="n">
        <v>37395</v>
      </c>
      <c r="J84" s="20" t="n">
        <v>40959</v>
      </c>
      <c r="K84" s="20" t="n">
        <v>43490</v>
      </c>
      <c r="L84" s="20" t="n">
        <v>43083</v>
      </c>
    </row>
    <row r="85">
      <c r="A85" s="18" t="inlineStr">
        <is>
          <t>리스자산</t>
        </is>
      </c>
      <c r="E85" s="20" t="n">
        <v>286</v>
      </c>
      <c r="H85" s="20" t="n">
        <v>341</v>
      </c>
      <c r="I85" s="20" t="n">
        <v>336</v>
      </c>
      <c r="J85" s="20" t="n">
        <v>286</v>
      </c>
      <c r="K85" s="20" t="n">
        <v>286</v>
      </c>
      <c r="L85" s="20" t="n">
        <v>286</v>
      </c>
    </row>
    <row r="86">
      <c r="A86" s="18" t="inlineStr">
        <is>
          <t>감가상각누계액</t>
        </is>
      </c>
      <c r="E86" s="20" t="n">
        <v>-245</v>
      </c>
      <c r="H86" s="20" t="n">
        <v>-247</v>
      </c>
      <c r="I86" s="20" t="n">
        <v>-258</v>
      </c>
      <c r="J86" s="20" t="n">
        <v>-222</v>
      </c>
      <c r="K86" s="20" t="n">
        <v>-233</v>
      </c>
      <c r="L86" s="20" t="n">
        <v>-245</v>
      </c>
    </row>
    <row r="87">
      <c r="A87" s="18" t="inlineStr">
        <is>
          <t>리스자산(순액)</t>
        </is>
      </c>
      <c r="E87" s="20" t="n">
        <v>41</v>
      </c>
      <c r="H87" s="20" t="n">
        <v>93</v>
      </c>
      <c r="I87" s="20" t="n">
        <v>77</v>
      </c>
      <c r="J87" s="20" t="n">
        <v>63</v>
      </c>
      <c r="K87" s="20" t="n">
        <v>52</v>
      </c>
      <c r="L87" s="20" t="n">
        <v>41</v>
      </c>
    </row>
    <row r="88">
      <c r="A88" s="18" t="inlineStr">
        <is>
          <t>건설중인자산</t>
        </is>
      </c>
      <c r="E88" s="20" t="n">
        <v>309</v>
      </c>
      <c r="H88" s="20" t="n">
        <v>454</v>
      </c>
      <c r="I88" s="20" t="n">
        <v>1260</v>
      </c>
      <c r="J88" s="20" t="n">
        <v>814</v>
      </c>
      <c r="K88" s="20" t="n">
        <v>3901</v>
      </c>
      <c r="L88" s="20" t="n">
        <v>309</v>
      </c>
    </row>
    <row r="89">
      <c r="A89" s="18" t="inlineStr">
        <is>
          <t>기타</t>
        </is>
      </c>
      <c r="C89" s="20" t="n">
        <v>14854</v>
      </c>
      <c r="D89" s="20" t="n">
        <v>14508</v>
      </c>
      <c r="E89" s="20" t="n">
        <v>14191</v>
      </c>
      <c r="F89" s="20" t="n">
        <v>14835</v>
      </c>
      <c r="G89" s="20" t="n">
        <v>15058</v>
      </c>
      <c r="H89" s="20" t="n">
        <v>6948</v>
      </c>
      <c r="I89" s="20" t="n">
        <v>7387</v>
      </c>
      <c r="J89" s="20" t="n">
        <v>12018</v>
      </c>
      <c r="K89" s="20" t="n">
        <v>9333</v>
      </c>
      <c r="L89" s="20" t="n">
        <v>14191</v>
      </c>
    </row>
    <row r="90">
      <c r="A90" s="18" t="inlineStr">
        <is>
          <t>감가상각누계액</t>
        </is>
      </c>
      <c r="C90" s="20" t="n">
        <v>-8511</v>
      </c>
      <c r="D90" s="20" t="n">
        <v>-8720</v>
      </c>
      <c r="E90" s="20" t="n">
        <v>-8904</v>
      </c>
      <c r="F90" s="20" t="n">
        <v>-9123</v>
      </c>
      <c r="G90" s="20" t="n">
        <v>-9298</v>
      </c>
      <c r="H90" s="20" t="n">
        <v>-4726</v>
      </c>
      <c r="I90" s="20" t="n">
        <v>-5002</v>
      </c>
      <c r="J90" s="20" t="n">
        <v>-7441</v>
      </c>
      <c r="K90" s="20" t="n">
        <v>-6119</v>
      </c>
      <c r="L90" s="20" t="n">
        <v>-8904</v>
      </c>
    </row>
    <row r="91">
      <c r="A91" s="18" t="inlineStr">
        <is>
          <t>기타(순액)</t>
        </is>
      </c>
      <c r="C91" s="20" t="n">
        <v>6343</v>
      </c>
      <c r="D91" s="20" t="n">
        <v>5788</v>
      </c>
      <c r="E91" s="20" t="n">
        <v>5286</v>
      </c>
      <c r="F91" s="20" t="n">
        <v>5712</v>
      </c>
      <c r="G91" s="20" t="n">
        <v>5759</v>
      </c>
      <c r="H91" s="20" t="n">
        <v>2221</v>
      </c>
      <c r="I91" s="20" t="n">
        <v>2385</v>
      </c>
      <c r="J91" s="20" t="n">
        <v>4577</v>
      </c>
      <c r="K91" s="20" t="n">
        <v>3213</v>
      </c>
      <c r="L91" s="20" t="n">
        <v>5286</v>
      </c>
    </row>
    <row r="92">
      <c r="A92" s="18" t="inlineStr">
        <is>
          <t>유형자산 합계</t>
        </is>
      </c>
      <c r="C92" s="20" t="n">
        <v>84966</v>
      </c>
      <c r="D92" s="20" t="n">
        <v>85720</v>
      </c>
      <c r="E92" s="20" t="n">
        <v>84914</v>
      </c>
      <c r="F92" s="20" t="n">
        <v>83840</v>
      </c>
      <c r="G92" s="20" t="n">
        <v>84066</v>
      </c>
      <c r="H92" s="20" t="n">
        <v>54042</v>
      </c>
      <c r="I92" s="20" t="n">
        <v>64575</v>
      </c>
      <c r="J92" s="20" t="n">
        <v>72742</v>
      </c>
      <c r="K92" s="20" t="n">
        <v>81545</v>
      </c>
      <c r="L92" s="20" t="n">
        <v>84914</v>
      </c>
    </row>
    <row r="93">
      <c r="A93" s="18" t="inlineStr">
        <is>
          <t>영업권</t>
        </is>
      </c>
      <c r="C93" s="20" t="n">
        <v>2349</v>
      </c>
      <c r="D93" s="20" t="n">
        <v>2315</v>
      </c>
      <c r="E93" s="20" t="n">
        <v>1435</v>
      </c>
      <c r="F93" s="20" t="n">
        <v>1412</v>
      </c>
      <c r="G93" s="20" t="n">
        <v>1390</v>
      </c>
      <c r="H93" s="20" t="n">
        <v>6</v>
      </c>
      <c r="I93" s="20" t="n">
        <v>18</v>
      </c>
      <c r="J93" s="20" t="n">
        <v>71</v>
      </c>
      <c r="K93" s="20" t="n">
        <v>1530</v>
      </c>
      <c r="L93" s="20" t="n">
        <v>1435</v>
      </c>
    </row>
    <row r="94">
      <c r="A94" s="18" t="inlineStr">
        <is>
          <t>소프트웨어</t>
        </is>
      </c>
      <c r="C94" s="20" t="n">
        <v>1129</v>
      </c>
      <c r="D94" s="20" t="n">
        <v>1345</v>
      </c>
      <c r="E94" s="20" t="n">
        <v>1175</v>
      </c>
      <c r="F94" s="20" t="n">
        <v>1141</v>
      </c>
      <c r="G94" s="20" t="n">
        <v>1081</v>
      </c>
      <c r="H94" s="20" t="n">
        <v>464</v>
      </c>
      <c r="I94" s="20" t="n">
        <v>771</v>
      </c>
      <c r="J94" s="20" t="n">
        <v>1216</v>
      </c>
      <c r="K94" s="20" t="n">
        <v>993</v>
      </c>
      <c r="L94" s="20" t="n">
        <v>1175</v>
      </c>
    </row>
    <row r="95">
      <c r="A95" s="18" t="inlineStr">
        <is>
          <t>개발 중 소프트웨어</t>
        </is>
      </c>
      <c r="E95" s="20" t="n">
        <v>150</v>
      </c>
      <c r="H95" s="20" t="n">
        <v>246</v>
      </c>
      <c r="I95" s="20" t="n">
        <v>253</v>
      </c>
      <c r="J95" s="20" t="n">
        <v>43</v>
      </c>
      <c r="K95" s="20" t="n">
        <v>80</v>
      </c>
      <c r="L95" s="20" t="n">
        <v>150</v>
      </c>
    </row>
    <row r="96">
      <c r="A96" s="18" t="inlineStr">
        <is>
          <t>기타</t>
        </is>
      </c>
      <c r="C96" s="20" t="n">
        <v>466</v>
      </c>
      <c r="D96" s="20" t="n">
        <v>460</v>
      </c>
      <c r="E96" s="20" t="n">
        <v>1700</v>
      </c>
      <c r="F96" s="20" t="n">
        <v>1210</v>
      </c>
      <c r="G96" s="20" t="n">
        <v>1193</v>
      </c>
      <c r="H96" s="20" t="n">
        <v>457</v>
      </c>
      <c r="I96" s="20" t="n">
        <v>458</v>
      </c>
      <c r="J96" s="20" t="n">
        <v>535</v>
      </c>
      <c r="K96" s="20" t="n">
        <v>1750</v>
      </c>
      <c r="L96" s="20" t="n">
        <v>1700</v>
      </c>
    </row>
    <row r="97">
      <c r="A97" s="18" t="inlineStr">
        <is>
          <t>무형자산 합계</t>
        </is>
      </c>
      <c r="C97" s="20" t="n">
        <v>3945</v>
      </c>
      <c r="D97" s="20" t="n">
        <v>4122</v>
      </c>
      <c r="E97" s="20" t="n">
        <v>4311</v>
      </c>
      <c r="F97" s="20" t="n">
        <v>3764</v>
      </c>
      <c r="G97" s="20" t="n">
        <v>3666</v>
      </c>
      <c r="H97" s="20" t="n">
        <v>1174</v>
      </c>
      <c r="I97" s="20" t="n">
        <v>1501</v>
      </c>
      <c r="J97" s="20" t="n">
        <v>1751</v>
      </c>
      <c r="K97" s="20" t="n">
        <v>4355</v>
      </c>
      <c r="L97" s="20" t="n">
        <v>4311</v>
      </c>
    </row>
    <row r="98">
      <c r="A98" s="18" t="inlineStr">
        <is>
          <t>투자유가증권</t>
        </is>
      </c>
      <c r="C98" s="20" t="n">
        <v>14536</v>
      </c>
      <c r="D98" s="20" t="n">
        <v>15148</v>
      </c>
      <c r="E98" s="20" t="n">
        <v>13449</v>
      </c>
      <c r="F98" s="20" t="n">
        <v>15806</v>
      </c>
      <c r="G98" s="20" t="n">
        <v>17298</v>
      </c>
      <c r="H98" s="20" t="n">
        <v>5387</v>
      </c>
      <c r="I98" s="20" t="n">
        <v>6294</v>
      </c>
      <c r="J98" s="20" t="n">
        <v>9801</v>
      </c>
      <c r="K98" s="20" t="n">
        <v>11341</v>
      </c>
      <c r="L98" s="20" t="n">
        <v>13449</v>
      </c>
    </row>
    <row r="99">
      <c r="A99" s="18" t="inlineStr">
        <is>
          <t>장기대여금</t>
        </is>
      </c>
      <c r="E99" s="20" t="n">
        <v>364</v>
      </c>
      <c r="H99" s="20" t="n">
        <v>360</v>
      </c>
      <c r="I99" s="20" t="n">
        <v>384</v>
      </c>
      <c r="J99" s="20" t="n">
        <v>392</v>
      </c>
      <c r="K99" s="20" t="n">
        <v>362</v>
      </c>
      <c r="L99" s="20" t="n">
        <v>364</v>
      </c>
    </row>
    <row r="100">
      <c r="A100" s="18" t="inlineStr">
        <is>
          <t>임차보증금</t>
        </is>
      </c>
      <c r="C100" s="20" t="n">
        <v>7369</v>
      </c>
      <c r="D100" s="20" t="n">
        <v>7351</v>
      </c>
      <c r="E100" s="20" t="n">
        <v>7362</v>
      </c>
      <c r="F100" s="20" t="n">
        <v>7439</v>
      </c>
      <c r="G100" s="20" t="n">
        <v>7520</v>
      </c>
      <c r="H100" s="20" t="n">
        <v>8228</v>
      </c>
      <c r="I100" s="20" t="n">
        <v>7532</v>
      </c>
      <c r="J100" s="20" t="n">
        <v>7354</v>
      </c>
      <c r="K100" s="20" t="n">
        <v>7473</v>
      </c>
      <c r="L100" s="20" t="n">
        <v>7362</v>
      </c>
    </row>
    <row r="101">
      <c r="A101" s="18" t="inlineStr">
        <is>
          <t>이연법인세자산</t>
        </is>
      </c>
      <c r="E101" s="20" t="n">
        <v>2398</v>
      </c>
      <c r="H101" s="20" t="n">
        <v>3158</v>
      </c>
      <c r="I101" s="20" t="n">
        <v>3071</v>
      </c>
      <c r="J101" s="20" t="n">
        <v>2916</v>
      </c>
      <c r="K101" s="20" t="n">
        <v>2535</v>
      </c>
      <c r="L101" s="20" t="n">
        <v>2398</v>
      </c>
    </row>
    <row r="102">
      <c r="A102" s="18" t="inlineStr">
        <is>
          <t>기타</t>
        </is>
      </c>
      <c r="C102" s="20" t="n">
        <v>4716</v>
      </c>
      <c r="D102" s="20" t="n">
        <v>4693</v>
      </c>
      <c r="E102" s="20" t="n">
        <v>5481</v>
      </c>
      <c r="F102" s="20" t="n">
        <v>5100</v>
      </c>
      <c r="G102" s="20" t="n">
        <v>5085</v>
      </c>
      <c r="H102" s="20" t="n">
        <v>1655</v>
      </c>
      <c r="I102" s="20" t="n">
        <v>1573</v>
      </c>
      <c r="J102" s="20" t="n">
        <v>4940</v>
      </c>
      <c r="K102" s="20" t="n">
        <v>1811</v>
      </c>
      <c r="L102" s="20" t="n">
        <v>5481</v>
      </c>
    </row>
    <row r="103">
      <c r="A103" s="18" t="inlineStr">
        <is>
          <t>대손충당금</t>
        </is>
      </c>
      <c r="C103" s="20" t="n">
        <v>-271</v>
      </c>
      <c r="D103" s="20" t="n">
        <v>-271</v>
      </c>
      <c r="E103" s="20" t="n">
        <v>-257</v>
      </c>
      <c r="F103" s="20" t="n">
        <v>-269</v>
      </c>
      <c r="G103" s="20" t="n">
        <v>-271</v>
      </c>
      <c r="H103" s="20" t="n">
        <v>-247</v>
      </c>
      <c r="I103" s="20" t="n">
        <v>-270</v>
      </c>
      <c r="J103" s="20" t="n">
        <v>-270</v>
      </c>
      <c r="K103" s="20" t="n">
        <v>-272</v>
      </c>
      <c r="L103" s="20" t="n">
        <v>-257</v>
      </c>
    </row>
    <row r="104">
      <c r="A104" s="18" t="inlineStr">
        <is>
          <t>투자 및 기타자산 합계</t>
        </is>
      </c>
      <c r="C104" s="20" t="n">
        <v>26351</v>
      </c>
      <c r="D104" s="20" t="n">
        <v>26922</v>
      </c>
      <c r="E104" s="20" t="n">
        <v>26036</v>
      </c>
      <c r="F104" s="20" t="n">
        <v>28077</v>
      </c>
      <c r="G104" s="20" t="n">
        <v>29633</v>
      </c>
      <c r="H104" s="20" t="n">
        <v>18543</v>
      </c>
      <c r="I104" s="20" t="n">
        <v>18586</v>
      </c>
      <c r="J104" s="20" t="n">
        <v>21826</v>
      </c>
      <c r="K104" s="20" t="n">
        <v>23251</v>
      </c>
      <c r="L104" s="20" t="n">
        <v>26036</v>
      </c>
    </row>
    <row r="105">
      <c r="A105" s="9" t="inlineStr">
        <is>
          <t>비유동자산 합계</t>
        </is>
      </c>
      <c r="C105" s="12" t="n">
        <v>115263</v>
      </c>
      <c r="D105" s="12" t="n">
        <v>116766</v>
      </c>
      <c r="E105" s="12" t="n">
        <v>115262</v>
      </c>
      <c r="F105" s="12" t="n">
        <v>115682</v>
      </c>
      <c r="G105" s="12" t="n">
        <v>117365</v>
      </c>
      <c r="H105" s="12" t="n">
        <v>73760</v>
      </c>
      <c r="I105" s="12" t="n">
        <v>84663</v>
      </c>
      <c r="J105" s="12" t="n">
        <v>96320</v>
      </c>
      <c r="K105" s="12" t="n">
        <v>109152</v>
      </c>
      <c r="L105" s="12" t="n">
        <v>115262</v>
      </c>
    </row>
    <row r="106">
      <c r="A106" s="9" t="inlineStr">
        <is>
          <t>자산 합계</t>
        </is>
      </c>
      <c r="C106" s="12" t="n">
        <v>194626</v>
      </c>
      <c r="D106" s="12" t="n">
        <v>202183</v>
      </c>
      <c r="E106" s="12" t="n">
        <v>206818</v>
      </c>
      <c r="F106" s="12" t="n">
        <v>205972</v>
      </c>
      <c r="G106" s="12" t="n">
        <v>208942</v>
      </c>
      <c r="H106" s="12" t="n">
        <v>126418</v>
      </c>
      <c r="I106" s="12" t="n">
        <v>136442</v>
      </c>
      <c r="J106" s="12" t="n">
        <v>144030</v>
      </c>
      <c r="K106" s="12" t="n">
        <v>185941</v>
      </c>
      <c r="L106" s="12" t="n">
        <v>206818</v>
      </c>
    </row>
    <row r="107">
      <c r="A107" s="18" t="inlineStr">
        <is>
          <t>지급어음·매입채무</t>
        </is>
      </c>
      <c r="C107" s="20" t="n">
        <v>10811</v>
      </c>
      <c r="D107" s="20" t="n">
        <v>10725</v>
      </c>
      <c r="E107" s="20" t="n">
        <v>9772</v>
      </c>
      <c r="F107" s="20" t="n">
        <v>8286</v>
      </c>
      <c r="G107" s="20" t="n">
        <v>9105</v>
      </c>
      <c r="H107" s="20" t="n">
        <v>10231</v>
      </c>
      <c r="I107" s="20" t="n">
        <v>11226</v>
      </c>
      <c r="J107" s="20" t="n">
        <v>8501</v>
      </c>
      <c r="K107" s="20" t="n">
        <v>9199</v>
      </c>
      <c r="L107" s="20" t="n">
        <v>9772</v>
      </c>
    </row>
    <row r="108">
      <c r="A108" s="18" t="inlineStr">
        <is>
          <t>단기차입금</t>
        </is>
      </c>
      <c r="C108" s="20" t="n">
        <v>25000</v>
      </c>
      <c r="D108" s="20" t="n">
        <v>30000</v>
      </c>
      <c r="E108" s="20" t="n">
        <v>35000</v>
      </c>
      <c r="F108" s="20" t="n">
        <v>35000</v>
      </c>
      <c r="G108" s="20" t="n">
        <v>35000</v>
      </c>
      <c r="I108" s="20" t="n">
        <v>0</v>
      </c>
      <c r="J108" s="20" t="n">
        <v>0</v>
      </c>
      <c r="K108" s="20" t="n">
        <v>35000</v>
      </c>
      <c r="L108" s="20" t="n">
        <v>35000</v>
      </c>
    </row>
    <row r="109">
      <c r="A109" s="18" t="inlineStr">
        <is>
          <t>리스부채</t>
        </is>
      </c>
      <c r="E109" s="20" t="n">
        <v>12</v>
      </c>
      <c r="H109" s="20" t="n">
        <v>37</v>
      </c>
      <c r="I109" s="20" t="n">
        <v>27</v>
      </c>
      <c r="J109" s="20" t="n">
        <v>20</v>
      </c>
      <c r="K109" s="20" t="n">
        <v>18</v>
      </c>
      <c r="L109" s="20" t="n">
        <v>12</v>
      </c>
    </row>
    <row r="110">
      <c r="A110" s="18" t="inlineStr">
        <is>
          <t>미지급금</t>
        </is>
      </c>
      <c r="E110" s="20" t="n">
        <v>3177</v>
      </c>
      <c r="H110" s="20" t="n">
        <v>3064</v>
      </c>
      <c r="I110" s="20" t="n">
        <v>4042</v>
      </c>
      <c r="J110" s="20" t="n">
        <v>3901</v>
      </c>
      <c r="K110" s="20" t="n">
        <v>4178</v>
      </c>
      <c r="L110" s="20" t="n">
        <v>3177</v>
      </c>
    </row>
    <row r="111">
      <c r="A111" s="18" t="inlineStr">
        <is>
          <t>미지급법인세</t>
        </is>
      </c>
      <c r="C111" s="20" t="n">
        <v>2331</v>
      </c>
      <c r="D111" s="20" t="n">
        <v>2384</v>
      </c>
      <c r="E111" s="20" t="n">
        <v>3052</v>
      </c>
      <c r="F111" s="20" t="n">
        <v>1634</v>
      </c>
      <c r="G111" s="20" t="n">
        <v>2780</v>
      </c>
      <c r="H111" s="20" t="n">
        <v>2586</v>
      </c>
      <c r="I111" s="20" t="n">
        <v>2571</v>
      </c>
      <c r="J111" s="20" t="n">
        <v>2782</v>
      </c>
      <c r="K111" s="20" t="n">
        <v>2996</v>
      </c>
      <c r="L111" s="20" t="n">
        <v>3052</v>
      </c>
    </row>
    <row r="112">
      <c r="A112" s="18" t="inlineStr">
        <is>
          <t>계약부채</t>
        </is>
      </c>
      <c r="C112" s="20" t="n">
        <v>1597</v>
      </c>
      <c r="D112" s="20" t="n">
        <v>1317</v>
      </c>
      <c r="E112" s="20" t="n">
        <v>2170</v>
      </c>
      <c r="F112" s="20" t="n">
        <v>1949</v>
      </c>
      <c r="G112" s="20" t="n">
        <v>2086</v>
      </c>
      <c r="H112" s="20" t="n">
        <v>1704</v>
      </c>
      <c r="I112" s="20" t="n">
        <v>1607</v>
      </c>
      <c r="J112" s="20" t="n">
        <v>1410</v>
      </c>
      <c r="K112" s="20" t="n">
        <v>1673</v>
      </c>
      <c r="L112" s="20" t="n">
        <v>2170</v>
      </c>
    </row>
    <row r="113">
      <c r="A113" s="18" t="inlineStr">
        <is>
          <t>상여충당금</t>
        </is>
      </c>
      <c r="C113" s="20" t="n">
        <v>1551</v>
      </c>
      <c r="D113" s="20" t="n">
        <v>806</v>
      </c>
      <c r="E113" s="20" t="n">
        <v>1547</v>
      </c>
      <c r="F113" s="20" t="n">
        <v>2087</v>
      </c>
      <c r="G113" s="20" t="n">
        <v>1591</v>
      </c>
      <c r="H113" s="20" t="n">
        <v>1317</v>
      </c>
      <c r="I113" s="20" t="n">
        <v>1348</v>
      </c>
      <c r="J113" s="20" t="n">
        <v>1367</v>
      </c>
      <c r="K113" s="20" t="n">
        <v>1484</v>
      </c>
      <c r="L113" s="20" t="n">
        <v>1547</v>
      </c>
    </row>
    <row r="114">
      <c r="A114" s="18" t="inlineStr">
        <is>
          <t>포인트 충당금</t>
        </is>
      </c>
      <c r="H114" s="20" t="n">
        <v>0</v>
      </c>
    </row>
    <row r="115">
      <c r="A115" s="18" t="inlineStr">
        <is>
          <t>재해손실 충당금</t>
        </is>
      </c>
      <c r="H115" s="20" t="n">
        <v>170</v>
      </c>
      <c r="I115" s="20" t="n">
        <v>0</v>
      </c>
    </row>
    <row r="116">
      <c r="A116" s="18" t="inlineStr">
        <is>
          <t>자산복구부채</t>
        </is>
      </c>
      <c r="E116" s="20" t="n">
        <v>20</v>
      </c>
      <c r="H116" s="20" t="n">
        <v>200</v>
      </c>
      <c r="I116" s="20" t="n">
        <v>6</v>
      </c>
      <c r="J116" s="20" t="n">
        <v>27</v>
      </c>
      <c r="K116" s="20" t="n">
        <v>5</v>
      </c>
      <c r="L116" s="20" t="n">
        <v>20</v>
      </c>
    </row>
    <row r="117">
      <c r="A117" s="18" t="inlineStr">
        <is>
          <t>기타</t>
        </is>
      </c>
      <c r="C117" s="20" t="n">
        <v>7473</v>
      </c>
      <c r="D117" s="20" t="n">
        <v>8451</v>
      </c>
      <c r="E117" s="20" t="n">
        <v>6512</v>
      </c>
      <c r="F117" s="20" t="n">
        <v>7244</v>
      </c>
      <c r="G117" s="20" t="n">
        <v>6921</v>
      </c>
      <c r="H117" s="20" t="n">
        <v>3727</v>
      </c>
      <c r="I117" s="20" t="n">
        <v>3790</v>
      </c>
      <c r="J117" s="20" t="n">
        <v>7703</v>
      </c>
      <c r="K117" s="20" t="n">
        <v>4273</v>
      </c>
      <c r="L117" s="20" t="n">
        <v>6512</v>
      </c>
    </row>
    <row r="118">
      <c r="A118" s="9" t="inlineStr">
        <is>
          <t>유동부채 합계</t>
        </is>
      </c>
      <c r="C118" s="12" t="n">
        <v>48766</v>
      </c>
      <c r="D118" s="12" t="n">
        <v>53685</v>
      </c>
      <c r="E118" s="12" t="n">
        <v>58055</v>
      </c>
      <c r="F118" s="12" t="n">
        <v>56201</v>
      </c>
      <c r="G118" s="12" t="n">
        <v>57484</v>
      </c>
      <c r="H118" s="12" t="n">
        <v>23040</v>
      </c>
      <c r="I118" s="12" t="n">
        <v>24621</v>
      </c>
      <c r="J118" s="12" t="n">
        <v>21764</v>
      </c>
      <c r="K118" s="12" t="n">
        <v>58827</v>
      </c>
      <c r="L118" s="12" t="n">
        <v>58055</v>
      </c>
    </row>
    <row r="119">
      <c r="A119" s="18" t="inlineStr">
        <is>
          <t>장기차입금</t>
        </is>
      </c>
      <c r="C119" s="20" t="n">
        <v>18000</v>
      </c>
      <c r="D119" s="20" t="n">
        <v>18000</v>
      </c>
      <c r="E119" s="20" t="n">
        <v>18000</v>
      </c>
      <c r="F119" s="20" t="n">
        <v>18000</v>
      </c>
      <c r="G119" s="20" t="n">
        <v>18000</v>
      </c>
      <c r="K119" s="20" t="n">
        <v>0</v>
      </c>
      <c r="L119" s="20" t="n">
        <v>18000</v>
      </c>
    </row>
    <row r="120">
      <c r="A120" s="18" t="inlineStr">
        <is>
          <t>Guarantee Deposits Received NCL</t>
        </is>
      </c>
      <c r="E120" s="20" t="n">
        <v>1628</v>
      </c>
      <c r="H120" s="20" t="n">
        <v>1594</v>
      </c>
      <c r="I120" s="20" t="n">
        <v>1632</v>
      </c>
      <c r="J120" s="20" t="n">
        <v>1634</v>
      </c>
      <c r="K120" s="20" t="n">
        <v>1655</v>
      </c>
      <c r="L120" s="20" t="n">
        <v>1628</v>
      </c>
    </row>
    <row r="121">
      <c r="A121" s="18" t="inlineStr">
        <is>
          <t>퇴직급여부채</t>
        </is>
      </c>
      <c r="C121" s="20" t="n">
        <v>121</v>
      </c>
      <c r="D121" s="20" t="n">
        <v>121</v>
      </c>
      <c r="E121" s="20" t="n">
        <v>113</v>
      </c>
      <c r="F121" s="20" t="n">
        <v>113</v>
      </c>
      <c r="G121" s="20" t="n">
        <v>111</v>
      </c>
      <c r="H121" s="20" t="n">
        <v>63</v>
      </c>
      <c r="I121" s="20" t="n">
        <v>93</v>
      </c>
      <c r="J121" s="20" t="n">
        <v>96</v>
      </c>
      <c r="K121" s="20" t="n">
        <v>115</v>
      </c>
      <c r="L121" s="20" t="n">
        <v>113</v>
      </c>
    </row>
    <row r="122">
      <c r="A122" s="18" t="inlineStr">
        <is>
          <t>리스부채</t>
        </is>
      </c>
      <c r="C122" s="20" t="n">
        <v>33</v>
      </c>
      <c r="D122" s="20" t="n">
        <v>28</v>
      </c>
      <c r="E122" s="20" t="n">
        <v>22</v>
      </c>
      <c r="F122" s="20" t="n">
        <v>17</v>
      </c>
      <c r="G122" s="20" t="n">
        <v>13</v>
      </c>
      <c r="H122" s="20" t="n">
        <v>131</v>
      </c>
      <c r="I122" s="20" t="n">
        <v>96</v>
      </c>
      <c r="J122" s="20" t="n">
        <v>69</v>
      </c>
      <c r="K122" s="20" t="n">
        <v>44</v>
      </c>
      <c r="L122" s="20" t="n">
        <v>22</v>
      </c>
    </row>
    <row r="123">
      <c r="A123" s="18" t="inlineStr">
        <is>
          <t>자산복구부채</t>
        </is>
      </c>
      <c r="C123" s="20" t="n">
        <v>3628</v>
      </c>
      <c r="D123" s="20" t="n">
        <v>3606</v>
      </c>
      <c r="E123" s="20" t="n">
        <v>3611</v>
      </c>
      <c r="F123" s="20" t="n">
        <v>3621</v>
      </c>
      <c r="G123" s="20" t="n">
        <v>3627</v>
      </c>
      <c r="H123" s="20" t="n">
        <v>3032</v>
      </c>
      <c r="I123" s="20" t="n">
        <v>3093</v>
      </c>
      <c r="J123" s="20" t="n">
        <v>3108</v>
      </c>
      <c r="K123" s="20" t="n">
        <v>3572</v>
      </c>
      <c r="L123" s="20" t="n">
        <v>3611</v>
      </c>
    </row>
    <row r="124">
      <c r="A124" s="18" t="inlineStr">
        <is>
          <t>기타</t>
        </is>
      </c>
      <c r="C124" s="20" t="n">
        <v>2981</v>
      </c>
      <c r="D124" s="20" t="n">
        <v>3201</v>
      </c>
      <c r="E124" s="20" t="n">
        <v>3117</v>
      </c>
      <c r="F124" s="20" t="n">
        <v>3766</v>
      </c>
      <c r="G124" s="20" t="n">
        <v>4297</v>
      </c>
      <c r="H124" s="20" t="n">
        <v>258</v>
      </c>
      <c r="I124" s="20" t="n">
        <v>193</v>
      </c>
      <c r="J124" s="20" t="n">
        <v>2468</v>
      </c>
      <c r="K124" s="20" t="n">
        <v>1131</v>
      </c>
      <c r="L124" s="20" t="n">
        <v>3117</v>
      </c>
    </row>
    <row r="125">
      <c r="A125" s="9" t="inlineStr">
        <is>
          <t>비유동부채 합계</t>
        </is>
      </c>
      <c r="C125" s="12" t="n">
        <v>24765</v>
      </c>
      <c r="D125" s="12" t="n">
        <v>24957</v>
      </c>
      <c r="E125" s="12" t="n">
        <v>24865</v>
      </c>
      <c r="F125" s="12" t="n">
        <v>25519</v>
      </c>
      <c r="G125" s="12" t="n">
        <v>26049</v>
      </c>
      <c r="H125" s="12" t="n">
        <v>5079</v>
      </c>
      <c r="I125" s="12" t="n">
        <v>5109</v>
      </c>
      <c r="J125" s="12" t="n">
        <v>5743</v>
      </c>
      <c r="K125" s="12" t="n">
        <v>6518</v>
      </c>
      <c r="L125" s="12" t="n">
        <v>24865</v>
      </c>
    </row>
    <row r="126">
      <c r="A126" s="9" t="inlineStr">
        <is>
          <t>부채 합계</t>
        </is>
      </c>
      <c r="C126" s="12" t="n">
        <v>73531</v>
      </c>
      <c r="D126" s="12" t="n">
        <v>78643</v>
      </c>
      <c r="E126" s="12" t="n">
        <v>82920</v>
      </c>
      <c r="F126" s="12" t="n">
        <v>81721</v>
      </c>
      <c r="G126" s="12" t="n">
        <v>83534</v>
      </c>
      <c r="H126" s="12" t="n">
        <v>28119</v>
      </c>
      <c r="I126" s="12" t="n">
        <v>29731</v>
      </c>
      <c r="J126" s="12" t="n">
        <v>27507</v>
      </c>
      <c r="K126" s="12" t="n">
        <v>65346</v>
      </c>
      <c r="L126" s="12" t="n">
        <v>82920</v>
      </c>
    </row>
    <row r="127">
      <c r="A127" s="18" t="inlineStr">
        <is>
          <t>자본금</t>
        </is>
      </c>
      <c r="C127" s="20" t="n">
        <v>15072</v>
      </c>
      <c r="D127" s="20" t="n">
        <v>15072</v>
      </c>
      <c r="E127" s="20" t="n">
        <v>15072</v>
      </c>
      <c r="F127" s="20" t="n">
        <v>15072</v>
      </c>
      <c r="G127" s="20" t="n">
        <v>15072</v>
      </c>
      <c r="H127" s="20" t="n">
        <v>15072</v>
      </c>
      <c r="I127" s="20" t="n">
        <v>15072</v>
      </c>
      <c r="J127" s="20" t="n">
        <v>15072</v>
      </c>
      <c r="K127" s="20" t="n">
        <v>15072</v>
      </c>
      <c r="L127" s="20" t="n">
        <v>15072</v>
      </c>
    </row>
    <row r="128">
      <c r="A128" s="18" t="inlineStr">
        <is>
          <t>자본잉여금</t>
        </is>
      </c>
      <c r="C128" s="20" t="n">
        <v>9099</v>
      </c>
      <c r="D128" s="20" t="n">
        <v>9099</v>
      </c>
      <c r="E128" s="20" t="n">
        <v>9085</v>
      </c>
      <c r="F128" s="20" t="n">
        <v>9085</v>
      </c>
      <c r="G128" s="20" t="n">
        <v>9090</v>
      </c>
      <c r="H128" s="20" t="n">
        <v>10442</v>
      </c>
      <c r="I128" s="20" t="n">
        <v>10471</v>
      </c>
      <c r="J128" s="20" t="n">
        <v>10509</v>
      </c>
      <c r="K128" s="20" t="n">
        <v>9085</v>
      </c>
      <c r="L128" s="20" t="n">
        <v>9085</v>
      </c>
    </row>
    <row r="129">
      <c r="A129" s="18" t="inlineStr">
        <is>
          <t>이익잉여금</t>
        </is>
      </c>
      <c r="C129" s="20" t="n">
        <v>94627</v>
      </c>
      <c r="D129" s="20" t="n">
        <v>98255</v>
      </c>
      <c r="E129" s="20" t="n">
        <v>95392</v>
      </c>
      <c r="F129" s="20" t="n">
        <v>95415</v>
      </c>
      <c r="G129" s="20" t="n">
        <v>97879</v>
      </c>
      <c r="H129" s="20" t="n">
        <v>75572</v>
      </c>
      <c r="I129" s="20" t="n">
        <v>83466</v>
      </c>
      <c r="J129" s="20" t="n">
        <v>90767</v>
      </c>
      <c r="K129" s="20" t="n">
        <v>97870</v>
      </c>
      <c r="L129" s="20" t="n">
        <v>95392</v>
      </c>
    </row>
    <row r="130">
      <c r="A130" s="18" t="inlineStr">
        <is>
          <t>자기주식</t>
        </is>
      </c>
      <c r="C130" s="20" t="n">
        <v>-2779</v>
      </c>
      <c r="D130" s="20" t="n">
        <v>-4429</v>
      </c>
      <c r="E130" s="20" t="n">
        <v>-655</v>
      </c>
      <c r="F130" s="20" t="n">
        <v>-1800</v>
      </c>
      <c r="G130" s="20" t="n">
        <v>-4138</v>
      </c>
      <c r="H130" s="20" t="n">
        <v>-2223</v>
      </c>
      <c r="I130" s="20" t="n">
        <v>-2210</v>
      </c>
      <c r="J130" s="20" t="n">
        <v>-2190</v>
      </c>
      <c r="K130" s="20" t="n">
        <v>-4697</v>
      </c>
      <c r="L130" s="20" t="n">
        <v>-655</v>
      </c>
    </row>
    <row r="131">
      <c r="A131" s="9" t="inlineStr">
        <is>
          <t>주주자본 합계</t>
        </is>
      </c>
      <c r="C131" s="12" t="n">
        <v>116020</v>
      </c>
      <c r="D131" s="12" t="n">
        <v>117998</v>
      </c>
      <c r="E131" s="12" t="n">
        <v>118894</v>
      </c>
      <c r="F131" s="12" t="n">
        <v>117773</v>
      </c>
      <c r="G131" s="12" t="n">
        <v>117904</v>
      </c>
      <c r="H131" s="12" t="n">
        <v>98863</v>
      </c>
      <c r="I131" s="12" t="n">
        <v>106799</v>
      </c>
      <c r="J131" s="12" t="n">
        <v>114160</v>
      </c>
      <c r="K131" s="12" t="n">
        <v>117330</v>
      </c>
      <c r="L131" s="12" t="n">
        <v>118894</v>
      </c>
    </row>
    <row r="132">
      <c r="A132" s="18" t="inlineStr">
        <is>
          <t>기타유가증권 평가차액</t>
        </is>
      </c>
      <c r="C132" s="20" t="n">
        <v>6698</v>
      </c>
      <c r="D132" s="20" t="n">
        <v>7160</v>
      </c>
      <c r="E132" s="20" t="n">
        <v>6553</v>
      </c>
      <c r="F132" s="20" t="n">
        <v>8169</v>
      </c>
      <c r="G132" s="20" t="n">
        <v>9198</v>
      </c>
      <c r="H132" s="20" t="n">
        <v>1068</v>
      </c>
      <c r="I132" s="20" t="n">
        <v>1557</v>
      </c>
      <c r="J132" s="20" t="n">
        <v>3992</v>
      </c>
      <c r="K132" s="20" t="n">
        <v>4893</v>
      </c>
      <c r="L132" s="20" t="n">
        <v>6553</v>
      </c>
    </row>
    <row r="133">
      <c r="A133" s="18" t="inlineStr">
        <is>
          <t>토지재평가차액금</t>
        </is>
      </c>
      <c r="C133" s="20" t="n">
        <v>-1907</v>
      </c>
      <c r="D133" s="20" t="n">
        <v>-1907</v>
      </c>
      <c r="E133" s="20" t="n">
        <v>-1871</v>
      </c>
      <c r="F133" s="20" t="n">
        <v>-1871</v>
      </c>
      <c r="G133" s="20" t="n">
        <v>-1871</v>
      </c>
      <c r="H133" s="20" t="n">
        <v>-1907</v>
      </c>
      <c r="I133" s="20" t="n">
        <v>-1907</v>
      </c>
      <c r="J133" s="20" t="n">
        <v>-1907</v>
      </c>
      <c r="K133" s="20" t="n">
        <v>-1907</v>
      </c>
      <c r="L133" s="20" t="n">
        <v>-1871</v>
      </c>
    </row>
    <row r="134">
      <c r="A134" s="18" t="inlineStr">
        <is>
          <t>해외사업환산조정</t>
        </is>
      </c>
      <c r="C134" s="20" t="n">
        <v>100</v>
      </c>
      <c r="D134" s="20" t="n">
        <v>110</v>
      </c>
      <c r="E134" s="20" t="n">
        <v>138</v>
      </c>
      <c r="F134" s="20" t="n">
        <v>0</v>
      </c>
      <c r="G134" s="20" t="n">
        <v>0</v>
      </c>
      <c r="H134" s="20" t="n">
        <v>75</v>
      </c>
      <c r="I134" s="20" t="n">
        <v>86</v>
      </c>
      <c r="J134" s="20" t="n">
        <v>97</v>
      </c>
      <c r="K134" s="20" t="n">
        <v>121</v>
      </c>
      <c r="L134" s="20" t="n">
        <v>138</v>
      </c>
    </row>
    <row r="135">
      <c r="A135" s="18" t="inlineStr">
        <is>
          <t>퇴직급여 조정누계액</t>
        </is>
      </c>
      <c r="C135" s="20" t="n">
        <v>33</v>
      </c>
      <c r="D135" s="20" t="n">
        <v>29</v>
      </c>
      <c r="E135" s="20" t="n">
        <v>38</v>
      </c>
      <c r="F135" s="20" t="n">
        <v>35</v>
      </c>
      <c r="G135" s="20" t="n">
        <v>32</v>
      </c>
      <c r="H135" s="20" t="n">
        <v>16</v>
      </c>
      <c r="I135" s="20" t="n">
        <v>-3</v>
      </c>
      <c r="J135" s="20" t="n">
        <v>24</v>
      </c>
      <c r="K135" s="20" t="n">
        <v>7</v>
      </c>
      <c r="L135" s="20" t="n">
        <v>38</v>
      </c>
    </row>
    <row r="136">
      <c r="A136" s="18" t="inlineStr">
        <is>
          <t>기타포괄손익누계액 합계</t>
        </is>
      </c>
      <c r="C136" s="20" t="n">
        <v>4925</v>
      </c>
      <c r="D136" s="20" t="n">
        <v>5393</v>
      </c>
      <c r="E136" s="20" t="n">
        <v>4858</v>
      </c>
      <c r="F136" s="20" t="n">
        <v>6333</v>
      </c>
      <c r="G136" s="20" t="n">
        <v>7360</v>
      </c>
      <c r="H136" s="20" t="n">
        <v>-746</v>
      </c>
      <c r="I136" s="20" t="n">
        <v>-266</v>
      </c>
      <c r="J136" s="20" t="n">
        <v>2206</v>
      </c>
      <c r="K136" s="20" t="n">
        <v>3115</v>
      </c>
      <c r="L136" s="20" t="n">
        <v>4858</v>
      </c>
    </row>
    <row r="137">
      <c r="A137" s="18" t="inlineStr">
        <is>
          <t>신주예약권</t>
        </is>
      </c>
      <c r="C137" s="20" t="n">
        <v>147</v>
      </c>
      <c r="D137" s="20" t="n">
        <v>147</v>
      </c>
      <c r="E137" s="20" t="n">
        <v>142</v>
      </c>
      <c r="F137" s="20" t="n">
        <v>142</v>
      </c>
      <c r="G137" s="20" t="n">
        <v>142</v>
      </c>
      <c r="H137" s="20" t="n">
        <v>175</v>
      </c>
      <c r="I137" s="20" t="n">
        <v>170</v>
      </c>
      <c r="J137" s="20" t="n">
        <v>154</v>
      </c>
      <c r="K137" s="20" t="n">
        <v>147</v>
      </c>
      <c r="L137" s="20" t="n">
        <v>142</v>
      </c>
    </row>
    <row r="138">
      <c r="A138" s="18" t="inlineStr">
        <is>
          <t>비지배지분</t>
        </is>
      </c>
      <c r="C138" s="20" t="n">
        <v>1</v>
      </c>
      <c r="D138" s="20" t="n">
        <v>1</v>
      </c>
      <c r="E138" s="20" t="n">
        <v>1</v>
      </c>
      <c r="F138" s="20" t="n">
        <v>1</v>
      </c>
      <c r="G138" s="20" t="n">
        <v>1</v>
      </c>
      <c r="H138" s="20" t="n">
        <v>5</v>
      </c>
      <c r="I138" s="20" t="n">
        <v>7</v>
      </c>
      <c r="J138" s="20" t="n">
        <v>0</v>
      </c>
      <c r="K138" s="20" t="n">
        <v>1</v>
      </c>
      <c r="L138" s="20" t="n">
        <v>1</v>
      </c>
    </row>
    <row r="139">
      <c r="A139" s="9" t="inlineStr">
        <is>
          <t>순자산 합계</t>
        </is>
      </c>
      <c r="C139" s="12" t="n">
        <v>121094</v>
      </c>
      <c r="D139" s="12" t="n">
        <v>123540</v>
      </c>
      <c r="E139" s="12" t="n">
        <v>123897</v>
      </c>
      <c r="F139" s="12" t="n">
        <v>124251</v>
      </c>
      <c r="G139" s="12" t="n">
        <v>125408</v>
      </c>
      <c r="H139" s="12" t="n">
        <v>98298</v>
      </c>
      <c r="I139" s="12" t="n">
        <v>106710</v>
      </c>
      <c r="J139" s="12" t="n">
        <v>116522</v>
      </c>
      <c r="K139" s="12" t="n">
        <v>120594</v>
      </c>
      <c r="L139" s="12" t="n">
        <v>123897</v>
      </c>
    </row>
    <row r="140">
      <c r="A140" s="9" t="inlineStr">
        <is>
          <t>부채·순자산 합계</t>
        </is>
      </c>
      <c r="C140" s="12" t="n">
        <v>194626</v>
      </c>
      <c r="D140" s="12" t="n">
        <v>202183</v>
      </c>
      <c r="E140" s="12" t="n">
        <v>206818</v>
      </c>
      <c r="F140" s="12" t="n">
        <v>205972</v>
      </c>
      <c r="G140" s="12" t="n">
        <v>208942</v>
      </c>
      <c r="H140" s="12" t="n">
        <v>126418</v>
      </c>
      <c r="I140" s="12" t="n">
        <v>136442</v>
      </c>
      <c r="J140" s="12" t="n">
        <v>144030</v>
      </c>
      <c r="K140" s="12" t="n">
        <v>185941</v>
      </c>
      <c r="L140" s="12" t="n">
        <v>206818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44" customWidth="1" min="4" max="4"/>
  </cols>
  <sheetData>
    <row r="1">
      <c r="A1" s="50" t="inlineStr">
        <is>
          <t>9882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컨센서스</t>
        </is>
      </c>
      <c r="B4" s="52" t="n"/>
      <c r="C4" s="52" t="n"/>
      <c r="D4" s="52" t="n"/>
    </row>
    <row r="5">
      <c r="A5" s="53" t="inlineStr">
        <is>
          <t>항목</t>
        </is>
      </c>
      <c r="B5" s="53" t="inlineStr">
        <is>
          <t>값</t>
        </is>
      </c>
      <c r="D5" s="53" t="inlineStr">
        <is>
          <t>출처</t>
        </is>
      </c>
    </row>
    <row r="6">
      <c r="A6" s="54" t="inlineStr">
        <is>
          <t>analysts</t>
        </is>
      </c>
      <c r="B6" s="55" t="n">
        <v>1</v>
      </c>
      <c r="D6" s="56" t="inlineStr">
        <is>
          <t>2단계 보고서 자료(회사 설명회 자료·공시)</t>
        </is>
      </c>
    </row>
    <row r="7">
      <c r="A7" s="54" t="inlineStr">
        <is>
          <t>FY27 EPS</t>
        </is>
      </c>
      <c r="B7" s="57" t="n">
        <v>156.8</v>
      </c>
    </row>
    <row r="8">
      <c r="A8" s="54" t="inlineStr">
        <is>
          <t>FY28 EPS</t>
        </is>
      </c>
      <c r="B8" s="57" t="n">
        <v>172.6</v>
      </c>
    </row>
    <row r="10">
      <c r="A10" s="52" t="inlineStr">
        <is>
          <t>kpis</t>
        </is>
      </c>
      <c r="B10" s="52" t="n"/>
      <c r="C10" s="52" t="n"/>
      <c r="D10" s="52" t="n"/>
    </row>
    <row r="11">
      <c r="A11" s="53" t="inlineStr">
        <is>
          <t>항목</t>
        </is>
      </c>
      <c r="B11" s="53" t="inlineStr">
        <is>
          <t>v</t>
        </is>
      </c>
      <c r="C11" s="53" t="inlineStr">
        <is>
          <t>s</t>
        </is>
      </c>
      <c r="D11" s="53" t="inlineStr">
        <is>
          <t>출처</t>
        </is>
      </c>
    </row>
    <row r="12">
      <c r="A12" s="54" t="inlineStr">
        <is>
          <t>2Q 매출·영업이익 YoY</t>
        </is>
      </c>
      <c r="B12" s="58" t="inlineStr">
        <is>
          <t>+7.0% · +80%</t>
        </is>
      </c>
      <c r="C12" s="58" t="inlineStr">
        <is>
          <t>26.7~9</t>
        </is>
      </c>
      <c r="D12" s="56" t="inlineStr">
        <is>
          <t>2단계 보고서 자료(회사 설명회 자료·공시)</t>
        </is>
      </c>
    </row>
    <row r="13">
      <c r="A13" s="54" t="inlineStr">
        <is>
          <t>상반기 계획 대비 영업이익</t>
        </is>
      </c>
      <c r="B13" s="58" t="inlineStr">
        <is>
          <t>+16.0%</t>
        </is>
      </c>
      <c r="C13" s="58" t="inlineStr">
        <is>
          <t>65.0억 / 56억</t>
        </is>
      </c>
    </row>
    <row r="14">
      <c r="A14" s="54" t="inlineStr">
        <is>
          <t>연간 진척률(영업이익)</t>
        </is>
      </c>
      <c r="B14" s="58" t="inlineStr">
        <is>
          <t>40.6%</t>
        </is>
      </c>
      <c r="C14" s="58" t="inlineStr">
        <is>
          <t>전년 36.4%</t>
        </is>
      </c>
    </row>
    <row r="15">
      <c r="A15" s="54" t="inlineStr">
        <is>
          <t>PER(회사 예상)</t>
        </is>
      </c>
      <c r="B15" s="58" t="inlineStr">
        <is>
          <t>11.2배</t>
        </is>
      </c>
      <c r="C15" s="58" t="inlineStr">
        <is>
          <t>3년 평균 11.2배</t>
        </is>
      </c>
    </row>
    <row r="16">
      <c r="A16" s="54" t="inlineStr">
        <is>
          <t>배당수익률</t>
        </is>
      </c>
      <c r="B16" s="58" t="inlineStr">
        <is>
          <t>4.3%</t>
        </is>
      </c>
      <c r="C16" s="58" t="inlineStr">
        <is>
          <t>주당 68엔</t>
        </is>
      </c>
    </row>
    <row r="17">
      <c r="A17" s="54" t="inlineStr">
        <is>
          <t>FY27 총환원 / 시총</t>
        </is>
      </c>
      <c r="B17" s="58" t="inlineStr">
        <is>
          <t>약 9.9%</t>
        </is>
      </c>
      <c r="C17" s="58" t="inlineStr">
        <is>
          <t>배당+자사주 75억, 계산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9" t="inlineStr">
        <is>
          <t>공시일</t>
        </is>
      </c>
      <c r="B3" s="59" t="inlineStr">
        <is>
          <t>문서</t>
        </is>
      </c>
      <c r="C3" s="59" t="inlineStr">
        <is>
          <t>PDF</t>
        </is>
      </c>
    </row>
    <row r="4">
      <c r="A4" t="inlineStr">
        <is>
          <t>2026-10-30</t>
        </is>
      </c>
      <c r="B4" t="inlineStr">
        <is>
          <t>2027년 3월 결산기 2분기 결산단신</t>
        </is>
      </c>
      <c r="C4" t="inlineStr">
        <is>
          <t>https://www2.jpx.co.jp/disc/98820/140120261027556509.pdf</t>
        </is>
      </c>
    </row>
    <row r="5">
      <c r="A5" t="inlineStr">
        <is>
          <t>2026-07-31</t>
        </is>
      </c>
      <c r="B5" t="inlineStr">
        <is>
          <t>2027년 3월 결산기 1분기 결산단신</t>
        </is>
      </c>
      <c r="C5" t="inlineStr">
        <is>
          <t>https://www2.jpx.co.jp/disc/98820/140120260727500303.pdf</t>
        </is>
      </c>
    </row>
    <row r="6">
      <c r="A6" t="inlineStr">
        <is>
          <t>2026-05-08</t>
        </is>
      </c>
      <c r="B6" t="inlineStr">
        <is>
          <t>2026년 3월 결산기 연간 결산단신</t>
        </is>
      </c>
      <c r="C6" t="inlineStr">
        <is>
          <t>https://www2.jpx.co.jp/disc/98820/140120260428513458.pdf</t>
        </is>
      </c>
    </row>
    <row r="7">
      <c r="A7" t="inlineStr">
        <is>
          <t>2026-01-30</t>
        </is>
      </c>
      <c r="B7" t="inlineStr">
        <is>
          <t>2026년 3월 결산기 3분기 결산단신</t>
        </is>
      </c>
      <c r="C7" t="inlineStr">
        <is>
          <t>https://www2.jpx.co.jp/disc/98820/140120260126538119.pdf</t>
        </is>
      </c>
    </row>
    <row r="8">
      <c r="A8" t="inlineStr">
        <is>
          <t>2025-10-31</t>
        </is>
      </c>
      <c r="B8" t="inlineStr">
        <is>
          <t>2026년 3월 결산기 2분기 결산단신</t>
        </is>
      </c>
      <c r="C8" t="inlineStr">
        <is>
          <t>https://www2.jpx.co.jp/disc/98820/140120251024578673.pdf</t>
        </is>
      </c>
    </row>
    <row r="9">
      <c r="A9" t="inlineStr">
        <is>
          <t>2025-07-31</t>
        </is>
      </c>
      <c r="B9" t="inlineStr">
        <is>
          <t>2026년 3월 결산기 1분기 결산단신</t>
        </is>
      </c>
      <c r="C9" t="inlineStr">
        <is>
          <t>https://www2.jpx.co.jp/disc/98820/140120250725520735.pdf</t>
        </is>
      </c>
    </row>
    <row r="10">
      <c r="A10" t="inlineStr">
        <is>
          <t>2025-01-31</t>
        </is>
      </c>
      <c r="B10" t="inlineStr">
        <is>
          <t>2025년 3월 결산기 3분기 결산단신</t>
        </is>
      </c>
      <c r="C10" t="inlineStr">
        <is>
          <t>https://www2.jpx.co.jp/disc/98820/140120250127555425.pdf</t>
        </is>
      </c>
    </row>
    <row r="11">
      <c r="A11" t="inlineStr">
        <is>
          <t>2024-10-31</t>
        </is>
      </c>
      <c r="B11" t="inlineStr">
        <is>
          <t>2025년 3월 결산기 2분기 결산단신</t>
        </is>
      </c>
      <c r="C11" t="inlineStr">
        <is>
          <t>https://www2.jpx.co.jp/disc/98820/140120241025502991.pdf</t>
        </is>
      </c>
    </row>
    <row r="12">
      <c r="A12" t="inlineStr">
        <is>
          <t>2024-07-31</t>
        </is>
      </c>
      <c r="B12" t="inlineStr">
        <is>
          <t>2025년 3월 결산기 1분기 결산단신</t>
        </is>
      </c>
      <c r="C12" t="inlineStr">
        <is>
          <t>https://www2.jpx.co.jp/disc/98820/140120240722552487.pdf</t>
        </is>
      </c>
    </row>
    <row r="13">
      <c r="A13" t="inlineStr">
        <is>
          <t>2024-05-10</t>
        </is>
      </c>
      <c r="B13" t="inlineStr">
        <is>
          <t>2024년 3월 결산기 연간 결산단신</t>
        </is>
      </c>
      <c r="C13" t="inlineStr">
        <is>
          <t>https://www2.jpx.co.jp/disc/98820/140120240502581431.pdf</t>
        </is>
      </c>
    </row>
    <row r="14">
      <c r="A14" t="inlineStr">
        <is>
          <t>2024-01-31</t>
        </is>
      </c>
      <c r="B14" t="inlineStr">
        <is>
          <t>2024년 3월 결산기 3분기 결산단신</t>
        </is>
      </c>
      <c r="C14" t="inlineStr">
        <is>
          <t>https://www2.jpx.co.jp/disc/98820/140120240130521355.pdf</t>
        </is>
      </c>
    </row>
    <row r="15">
      <c r="A15" t="inlineStr">
        <is>
          <t>2023-10-31</t>
        </is>
      </c>
      <c r="B15" t="inlineStr">
        <is>
          <t>2024년 3월 결산기 2분기 결산단신</t>
        </is>
      </c>
      <c r="C15" t="inlineStr">
        <is>
          <t>https://www2.jpx.co.jp/disc/98820/140120231026572165.pdf</t>
        </is>
      </c>
    </row>
    <row r="16">
      <c r="A16" t="inlineStr">
        <is>
          <t>2023-07-31</t>
        </is>
      </c>
      <c r="B16" t="inlineStr">
        <is>
          <t>2024년 3월 결산기 1분기 결산단신</t>
        </is>
      </c>
      <c r="C16" t="inlineStr">
        <is>
          <t>https://www2.jpx.co.jp/disc/98820/140120230727528458.pdf</t>
        </is>
      </c>
    </row>
    <row r="17">
      <c r="A17" t="inlineStr">
        <is>
          <t>2023-05-09</t>
        </is>
      </c>
      <c r="B17" t="inlineStr">
        <is>
          <t>2023년 3월 결산기 연간 결산단신</t>
        </is>
      </c>
      <c r="C17" t="inlineStr">
        <is>
          <t>https://www2.jpx.co.jp/disc/98820/140120230426553017.pdf</t>
        </is>
      </c>
    </row>
    <row r="18">
      <c r="A18" t="inlineStr">
        <is>
          <t>2023-01-31</t>
        </is>
      </c>
      <c r="B18" t="inlineStr">
        <is>
          <t>2023년 3월 결산기 3분기 결산단신</t>
        </is>
      </c>
      <c r="C18" t="inlineStr">
        <is>
          <t>https://www2.jpx.co.jp/disc/98820/140120230130595995.pdf</t>
        </is>
      </c>
    </row>
    <row r="19">
      <c r="A19" t="inlineStr">
        <is>
          <t>2022-10-31</t>
        </is>
      </c>
      <c r="B19" t="inlineStr">
        <is>
          <t>2023년 3월 결산기 2분기 결산단신</t>
        </is>
      </c>
      <c r="C19" t="inlineStr">
        <is>
          <t>https://www2.jpx.co.jp/disc/98820/140120221026550043.pdf</t>
        </is>
      </c>
    </row>
    <row r="20">
      <c r="A20" t="inlineStr">
        <is>
          <t>2022-05-10</t>
        </is>
      </c>
      <c r="B20" t="inlineStr">
        <is>
          <t>2022년 3월 결산기 연간 결산단신</t>
        </is>
      </c>
      <c r="C20" t="inlineStr">
        <is>
          <t>https://www2.jpx.co.jp/disc/98820/140120220502532853.pdf</t>
        </is>
      </c>
    </row>
    <row r="21">
      <c r="A21" t="inlineStr">
        <is>
          <t>2021-05-10</t>
        </is>
      </c>
      <c r="B21" t="inlineStr">
        <is>
          <t>2021년 3월 결산기 연간 결산단신</t>
        </is>
      </c>
      <c r="C21" t="inlineStr">
        <is>
          <t>https://www2.jpx.co.jp/disc/98820/140120210506406420.pdf</t>
        </is>
      </c>
    </row>
    <row r="22">
      <c r="A22" t="inlineStr">
        <is>
          <t>2020-05-08</t>
        </is>
      </c>
      <c r="B22" t="inlineStr">
        <is>
          <t>2020년 3월 결산기 연간 결산단신</t>
        </is>
      </c>
      <c r="C22" t="inlineStr">
        <is>
          <t>https://www2.jpx.co.jp/disc/98820/140120200430402710.pdf</t>
        </is>
      </c>
    </row>
    <row r="23">
      <c r="A23" t="inlineStr">
        <is>
          <t>2019-05-09</t>
        </is>
      </c>
      <c r="B23" t="inlineStr">
        <is>
          <t>2019년 3월 결산기 연간 결산단신</t>
        </is>
      </c>
      <c r="C23" t="inlineStr">
        <is>
          <t>https://www2.jpx.co.jp/disc/98820/140120190502414325.pdf</t>
        </is>
      </c>
    </row>
    <row r="24">
      <c r="A24" t="inlineStr">
        <is>
          <t>2018-05-09</t>
        </is>
      </c>
      <c r="B24" t="inlineStr">
        <is>
          <t>연간 결산단신</t>
        </is>
      </c>
      <c r="C24" t="inlineStr">
        <is>
          <t>https://www2.jpx.co.jp/disc/98820/140120180502426945.pdf</t>
        </is>
      </c>
    </row>
    <row r="25">
      <c r="A25" t="inlineStr">
        <is>
          <t>2017-05-09</t>
        </is>
      </c>
      <c r="B25" t="inlineStr">
        <is>
          <t>연간 결산단신</t>
        </is>
      </c>
      <c r="C25" t="inlineStr">
        <is>
          <t>https://www2.jpx.co.jp/disc/98820/140120170428454938.pdf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60" t="inlineStr">
        <is>
          <t>9882 재무제표 한눈에 보기 — 최근 40개 분기(달력 분기, 3Q26 = 26.7~9) · 단위 억 엔</t>
        </is>
      </c>
    </row>
    <row r="2">
      <c r="A2" s="61" t="inlineStr">
        <is>
          <t>출처: 매출·영업이익 결산단신 XBRL · 재무상태표 등 결산단신 XBRL 36건(2017-10-31~2026-10-30). 부문·지역·수주·수출은 있을 때만(출처는 줄 끝). 총 차입금 = 이자 붙는 부채 전부(단기·장기 차입금, CP, 사채·전환사채, 리스부채)</t>
        </is>
      </c>
    </row>
    <row r="4">
      <c r="A4" s="62" t="inlineStr">
        <is>
          <t>항목</t>
        </is>
      </c>
      <c r="B4" s="63" t="inlineStr">
        <is>
          <t>4Q16</t>
        </is>
      </c>
      <c r="C4" s="63" t="inlineStr">
        <is>
          <t>1Q17</t>
        </is>
      </c>
      <c r="D4" s="63" t="inlineStr">
        <is>
          <t>2Q17</t>
        </is>
      </c>
      <c r="E4" s="63" t="inlineStr">
        <is>
          <t>3Q17</t>
        </is>
      </c>
      <c r="F4" s="63" t="inlineStr">
        <is>
          <t>4Q17</t>
        </is>
      </c>
      <c r="G4" s="63" t="inlineStr">
        <is>
          <t>1Q18</t>
        </is>
      </c>
      <c r="H4" s="63" t="inlineStr">
        <is>
          <t>2Q18</t>
        </is>
      </c>
      <c r="I4" s="63" t="inlineStr">
        <is>
          <t>3Q18</t>
        </is>
      </c>
      <c r="J4" s="63" t="inlineStr">
        <is>
          <t>4Q18</t>
        </is>
      </c>
      <c r="K4" s="63" t="inlineStr">
        <is>
          <t>1Q19</t>
        </is>
      </c>
      <c r="L4" s="63" t="inlineStr">
        <is>
          <t>2Q19</t>
        </is>
      </c>
      <c r="M4" s="63" t="inlineStr">
        <is>
          <t>3Q19</t>
        </is>
      </c>
      <c r="N4" s="63" t="inlineStr">
        <is>
          <t>4Q19</t>
        </is>
      </c>
      <c r="O4" s="63" t="inlineStr">
        <is>
          <t>1Q20</t>
        </is>
      </c>
      <c r="P4" s="63" t="inlineStr">
        <is>
          <t>2Q20</t>
        </is>
      </c>
      <c r="Q4" s="63" t="inlineStr">
        <is>
          <t>3Q20</t>
        </is>
      </c>
      <c r="R4" s="63" t="inlineStr">
        <is>
          <t>4Q20</t>
        </is>
      </c>
      <c r="S4" s="63" t="inlineStr">
        <is>
          <t>1Q21</t>
        </is>
      </c>
      <c r="T4" s="63" t="inlineStr">
        <is>
          <t>2Q21</t>
        </is>
      </c>
      <c r="U4" s="63" t="inlineStr">
        <is>
          <t>3Q21</t>
        </is>
      </c>
      <c r="V4" s="63" t="inlineStr">
        <is>
          <t>4Q21</t>
        </is>
      </c>
      <c r="W4" s="63" t="inlineStr">
        <is>
          <t>1Q22</t>
        </is>
      </c>
      <c r="X4" s="63" t="inlineStr">
        <is>
          <t>2Q22</t>
        </is>
      </c>
      <c r="Y4" s="63" t="inlineStr">
        <is>
          <t>3Q22</t>
        </is>
      </c>
      <c r="Z4" s="63" t="inlineStr">
        <is>
          <t>4Q22</t>
        </is>
      </c>
      <c r="AA4" s="63" t="inlineStr">
        <is>
          <t>1Q23</t>
        </is>
      </c>
      <c r="AB4" s="63" t="inlineStr">
        <is>
          <t>2Q23</t>
        </is>
      </c>
      <c r="AC4" s="63" t="inlineStr">
        <is>
          <t>3Q23</t>
        </is>
      </c>
      <c r="AD4" s="63" t="inlineStr">
        <is>
          <t>4Q23</t>
        </is>
      </c>
      <c r="AE4" s="63" t="inlineStr">
        <is>
          <t>1Q24</t>
        </is>
      </c>
      <c r="AF4" s="63" t="inlineStr">
        <is>
          <t>2Q24</t>
        </is>
      </c>
      <c r="AG4" s="63" t="inlineStr">
        <is>
          <t>3Q24</t>
        </is>
      </c>
      <c r="AH4" s="63" t="inlineStr">
        <is>
          <t>4Q24</t>
        </is>
      </c>
      <c r="AI4" s="63" t="inlineStr">
        <is>
          <t>1Q25</t>
        </is>
      </c>
      <c r="AJ4" s="63" t="inlineStr">
        <is>
          <t>2Q25</t>
        </is>
      </c>
      <c r="AK4" s="63" t="inlineStr">
        <is>
          <t>3Q25</t>
        </is>
      </c>
      <c r="AL4" s="63" t="inlineStr">
        <is>
          <t>4Q25</t>
        </is>
      </c>
      <c r="AM4" s="63" t="inlineStr">
        <is>
          <t>1Q26</t>
        </is>
      </c>
      <c r="AN4" s="63" t="inlineStr">
        <is>
          <t>2Q26</t>
        </is>
      </c>
      <c r="AO4" s="63" t="inlineStr">
        <is>
          <t>3Q26</t>
        </is>
      </c>
      <c r="AP4" s="62" t="inlineStr">
        <is>
          <t>출처</t>
        </is>
      </c>
    </row>
    <row r="5">
      <c r="A5" s="64" t="inlineStr">
        <is>
          <t>매출액</t>
        </is>
      </c>
      <c r="B5" s="65" t="n">
        <v>421.5</v>
      </c>
      <c r="C5" s="65" t="n">
        <v>282.5</v>
      </c>
      <c r="D5" s="65" t="n">
        <v>318.1</v>
      </c>
      <c r="E5" s="65" t="n">
        <v>318.4</v>
      </c>
      <c r="F5" s="65" t="n">
        <v>439.8</v>
      </c>
      <c r="G5" s="65" t="n">
        <v>302.4</v>
      </c>
      <c r="H5" s="65" t="n">
        <v>314</v>
      </c>
      <c r="I5" s="65" t="n">
        <v>325.2</v>
      </c>
      <c r="J5" s="65" t="n">
        <v>453.4</v>
      </c>
      <c r="K5" s="65" t="n">
        <v>299.4</v>
      </c>
      <c r="L5" s="65" t="n">
        <v>328.8</v>
      </c>
      <c r="M5" s="65" t="n">
        <v>386.5</v>
      </c>
      <c r="N5" s="65" t="n">
        <v>408.3</v>
      </c>
      <c r="O5" s="65" t="n">
        <v>286.7</v>
      </c>
      <c r="P5" s="65" t="n">
        <v>311.3</v>
      </c>
      <c r="Q5" s="65" t="n">
        <v>364.8</v>
      </c>
      <c r="R5" s="65" t="n">
        <v>476</v>
      </c>
      <c r="S5" s="65" t="n">
        <v>317.8</v>
      </c>
      <c r="T5" s="65" t="n">
        <v>333.8</v>
      </c>
      <c r="U5" s="65" t="n">
        <v>329.1</v>
      </c>
      <c r="V5" s="65" t="n">
        <v>469.6</v>
      </c>
      <c r="W5" s="65" t="n">
        <v>347.8</v>
      </c>
      <c r="X5" s="65" t="n">
        <v>333.2</v>
      </c>
      <c r="Y5" s="65" t="n">
        <v>330.7</v>
      </c>
      <c r="Z5" s="65" t="n">
        <v>464.2</v>
      </c>
      <c r="AA5" s="65" t="n">
        <v>343.4</v>
      </c>
      <c r="AB5" s="65" t="n">
        <v>343</v>
      </c>
      <c r="AC5" s="65" t="n">
        <v>326.7</v>
      </c>
      <c r="AD5" s="65" t="n">
        <v>465.8</v>
      </c>
      <c r="AE5" s="65" t="n">
        <v>330.9</v>
      </c>
      <c r="AF5" s="65" t="n">
        <v>346.7</v>
      </c>
      <c r="AG5" s="65" t="n">
        <v>346.2</v>
      </c>
      <c r="AH5" s="65" t="n">
        <v>498.6</v>
      </c>
      <c r="AI5" s="65" t="n">
        <v>349.2</v>
      </c>
      <c r="AJ5" s="65" t="n">
        <v>402.9</v>
      </c>
      <c r="AK5" s="65" t="n">
        <v>390.2</v>
      </c>
      <c r="AL5" s="65" t="n">
        <v>530.5</v>
      </c>
      <c r="AM5" s="65" t="n">
        <v>389.3</v>
      </c>
      <c r="AN5" s="65" t="n">
        <v>412.5</v>
      </c>
      <c r="AO5" s="65" t="n">
        <v>417.7</v>
      </c>
    </row>
    <row r="6">
      <c r="A6" s="64" t="inlineStr">
        <is>
          <t>매출액 YoY</t>
        </is>
      </c>
      <c r="B6" s="66" t="n"/>
      <c r="C6" s="66" t="n"/>
      <c r="D6" s="66" t="n"/>
      <c r="E6" s="66" t="n"/>
      <c r="F6" s="66" t="n">
        <v>4.3</v>
      </c>
      <c r="G6" s="66" t="n">
        <v>7</v>
      </c>
      <c r="H6" s="66" t="n">
        <v>-1.3</v>
      </c>
      <c r="I6" s="66" t="n">
        <v>2.1</v>
      </c>
      <c r="J6" s="66" t="n">
        <v>3.1</v>
      </c>
      <c r="K6" s="66" t="n">
        <v>-1</v>
      </c>
      <c r="L6" s="66" t="n">
        <v>4.7</v>
      </c>
      <c r="M6" s="66" t="n">
        <v>18.8</v>
      </c>
      <c r="N6" s="66" t="n">
        <v>-9.9</v>
      </c>
      <c r="O6" s="66" t="n">
        <v>-4.2</v>
      </c>
      <c r="P6" s="66" t="n">
        <v>-5.3</v>
      </c>
      <c r="Q6" s="66" t="n">
        <v>-5.6</v>
      </c>
      <c r="R6" s="66" t="n">
        <v>16.6</v>
      </c>
      <c r="S6" s="66" t="n">
        <v>10.8</v>
      </c>
      <c r="T6" s="66" t="n">
        <v>7.2</v>
      </c>
      <c r="U6" s="66" t="n">
        <v>-9.800000000000001</v>
      </c>
      <c r="V6" s="66" t="n">
        <v>-1.3</v>
      </c>
      <c r="W6" s="66" t="n">
        <v>9.4</v>
      </c>
      <c r="X6" s="66" t="n">
        <v>-0.2</v>
      </c>
      <c r="Y6" s="66" t="n">
        <v>0.5</v>
      </c>
      <c r="Z6" s="66" t="n">
        <v>-1.1</v>
      </c>
      <c r="AA6" s="66" t="n">
        <v>-1.3</v>
      </c>
      <c r="AB6" s="66" t="n">
        <v>2.9</v>
      </c>
      <c r="AC6" s="66" t="n">
        <v>-1.2</v>
      </c>
      <c r="AD6" s="66" t="n">
        <v>0.3</v>
      </c>
      <c r="AE6" s="66" t="n">
        <v>-3.6</v>
      </c>
      <c r="AF6" s="66" t="n">
        <v>1.1</v>
      </c>
      <c r="AG6" s="66" t="n">
        <v>6</v>
      </c>
      <c r="AH6" s="66" t="n">
        <v>7</v>
      </c>
      <c r="AI6" s="66" t="n">
        <v>5.5</v>
      </c>
      <c r="AJ6" s="66" t="n">
        <v>16.2</v>
      </c>
      <c r="AK6" s="66" t="n">
        <v>12.7</v>
      </c>
      <c r="AL6" s="66" t="n">
        <v>6.4</v>
      </c>
      <c r="AM6" s="66" t="n">
        <v>11.5</v>
      </c>
      <c r="AN6" s="66" t="n">
        <v>2.4</v>
      </c>
      <c r="AO6" s="66" t="n">
        <v>7</v>
      </c>
    </row>
    <row r="7">
      <c r="A7" s="64" t="inlineStr">
        <is>
          <t>영업이익</t>
        </is>
      </c>
      <c r="B7" s="65" t="n">
        <v>36.6</v>
      </c>
      <c r="C7" s="65" t="n">
        <v>14.2</v>
      </c>
      <c r="D7" s="65" t="n">
        <v>19.3</v>
      </c>
      <c r="E7" s="65" t="n">
        <v>12.3</v>
      </c>
      <c r="F7" s="65" t="n">
        <v>45.8</v>
      </c>
      <c r="G7" s="65" t="n">
        <v>18.2</v>
      </c>
      <c r="H7" s="65" t="n">
        <v>14</v>
      </c>
      <c r="I7" s="65" t="n">
        <v>15.5</v>
      </c>
      <c r="J7" s="65" t="n">
        <v>51.2</v>
      </c>
      <c r="K7" s="65" t="n">
        <v>15.2</v>
      </c>
      <c r="L7" s="65" t="n">
        <v>21.4</v>
      </c>
      <c r="M7" s="65" t="n">
        <v>35.6</v>
      </c>
      <c r="N7" s="65" t="n">
        <v>39.7</v>
      </c>
      <c r="O7" s="65" t="n">
        <v>4.2</v>
      </c>
      <c r="P7" s="65" t="n">
        <v>18</v>
      </c>
      <c r="Q7" s="65" t="n">
        <v>27.8</v>
      </c>
      <c r="R7" s="65" t="n">
        <v>65.5</v>
      </c>
      <c r="S7" s="65" t="n">
        <v>18.6</v>
      </c>
      <c r="T7" s="65" t="n">
        <v>25.1</v>
      </c>
      <c r="U7" s="65" t="n">
        <v>18.1</v>
      </c>
      <c r="V7" s="65" t="n">
        <v>67.40000000000001</v>
      </c>
      <c r="W7" s="65" t="n">
        <v>30.3</v>
      </c>
      <c r="X7" s="65" t="n">
        <v>34</v>
      </c>
      <c r="Y7" s="65" t="n">
        <v>24.5</v>
      </c>
      <c r="Z7" s="65" t="n">
        <v>70.5</v>
      </c>
      <c r="AA7" s="65" t="n">
        <v>23.5</v>
      </c>
      <c r="AB7" s="65" t="n">
        <v>32.7</v>
      </c>
      <c r="AC7" s="65" t="n">
        <v>19.7</v>
      </c>
      <c r="AD7" s="65" t="n">
        <v>67.3</v>
      </c>
      <c r="AE7" s="65" t="n">
        <v>25.1</v>
      </c>
      <c r="AF7" s="65" t="n">
        <v>31.2</v>
      </c>
      <c r="AG7" s="65" t="n">
        <v>22.4</v>
      </c>
      <c r="AH7" s="65" t="n">
        <v>77.7</v>
      </c>
      <c r="AI7" s="65" t="n">
        <v>23.3</v>
      </c>
      <c r="AJ7" s="65" t="n">
        <v>35</v>
      </c>
      <c r="AK7" s="65" t="n">
        <v>19.9</v>
      </c>
      <c r="AL7" s="65" t="n">
        <v>72.2</v>
      </c>
      <c r="AM7" s="65" t="n">
        <v>23.7</v>
      </c>
      <c r="AN7" s="65" t="n">
        <v>29.1</v>
      </c>
      <c r="AO7" s="65" t="n">
        <v>35.9</v>
      </c>
    </row>
    <row r="8">
      <c r="A8" s="64" t="inlineStr">
        <is>
          <t>영업이익률</t>
        </is>
      </c>
      <c r="B8" s="66" t="n">
        <v>8.699999999999999</v>
      </c>
      <c r="C8" s="66" t="n">
        <v>5</v>
      </c>
      <c r="D8" s="66" t="n">
        <v>6.1</v>
      </c>
      <c r="E8" s="66" t="n">
        <v>3.9</v>
      </c>
      <c r="F8" s="66" t="n">
        <v>10.4</v>
      </c>
      <c r="G8" s="66" t="n">
        <v>6</v>
      </c>
      <c r="H8" s="66" t="n">
        <v>4.5</v>
      </c>
      <c r="I8" s="66" t="n">
        <v>4.8</v>
      </c>
      <c r="J8" s="66" t="n">
        <v>11.3</v>
      </c>
      <c r="K8" s="66" t="n">
        <v>5.1</v>
      </c>
      <c r="L8" s="66" t="n">
        <v>6.5</v>
      </c>
      <c r="M8" s="66" t="n">
        <v>9.199999999999999</v>
      </c>
      <c r="N8" s="66" t="n">
        <v>9.699999999999999</v>
      </c>
      <c r="O8" s="66" t="n">
        <v>1.5</v>
      </c>
      <c r="P8" s="66" t="n">
        <v>5.8</v>
      </c>
      <c r="Q8" s="66" t="n">
        <v>7.6</v>
      </c>
      <c r="R8" s="66" t="n">
        <v>13.8</v>
      </c>
      <c r="S8" s="66" t="n">
        <v>5.9</v>
      </c>
      <c r="T8" s="66" t="n">
        <v>7.5</v>
      </c>
      <c r="U8" s="66" t="n">
        <v>5.5</v>
      </c>
      <c r="V8" s="66" t="n">
        <v>14.4</v>
      </c>
      <c r="W8" s="66" t="n">
        <v>8.699999999999999</v>
      </c>
      <c r="X8" s="66" t="n">
        <v>10.2</v>
      </c>
      <c r="Y8" s="66" t="n">
        <v>7.4</v>
      </c>
      <c r="Z8" s="66" t="n">
        <v>15.2</v>
      </c>
      <c r="AA8" s="66" t="n">
        <v>6.8</v>
      </c>
      <c r="AB8" s="66" t="n">
        <v>9.5</v>
      </c>
      <c r="AC8" s="66" t="n">
        <v>6</v>
      </c>
      <c r="AD8" s="66" t="n">
        <v>14.4</v>
      </c>
      <c r="AE8" s="66" t="n">
        <v>7.6</v>
      </c>
      <c r="AF8" s="66" t="n">
        <v>9</v>
      </c>
      <c r="AG8" s="66" t="n">
        <v>6.5</v>
      </c>
      <c r="AH8" s="66" t="n">
        <v>15.6</v>
      </c>
      <c r="AI8" s="66" t="n">
        <v>6.7</v>
      </c>
      <c r="AJ8" s="66" t="n">
        <v>8.699999999999999</v>
      </c>
      <c r="AK8" s="66" t="n">
        <v>5.1</v>
      </c>
      <c r="AL8" s="66" t="n">
        <v>13.6</v>
      </c>
      <c r="AM8" s="66" t="n">
        <v>6.1</v>
      </c>
      <c r="AN8" s="66" t="n">
        <v>7.1</v>
      </c>
      <c r="AO8" s="66" t="n">
        <v>8.6</v>
      </c>
    </row>
    <row r="9">
      <c r="A9" s="64" t="inlineStr">
        <is>
          <t>영업이익 YoY</t>
        </is>
      </c>
      <c r="B9" s="66" t="n"/>
      <c r="C9" s="66" t="n"/>
      <c r="D9" s="66" t="n"/>
      <c r="E9" s="66" t="n"/>
      <c r="F9" s="66" t="n">
        <v>25.1</v>
      </c>
      <c r="G9" s="66" t="n">
        <v>28.2</v>
      </c>
      <c r="H9" s="66" t="n">
        <v>-27.5</v>
      </c>
      <c r="I9" s="66" t="n">
        <v>26</v>
      </c>
      <c r="J9" s="66" t="n">
        <v>11.8</v>
      </c>
      <c r="K9" s="66" t="n">
        <v>-16.5</v>
      </c>
      <c r="L9" s="66" t="n">
        <v>52.9</v>
      </c>
      <c r="M9" s="66" t="n">
        <v>129.7</v>
      </c>
      <c r="N9" s="66" t="n">
        <v>-22.5</v>
      </c>
      <c r="O9" s="66" t="n">
        <v>-72.40000000000001</v>
      </c>
      <c r="P9" s="66" t="n">
        <v>-15.9</v>
      </c>
      <c r="Q9" s="66" t="n">
        <v>-21.9</v>
      </c>
      <c r="R9" s="66" t="n">
        <v>65</v>
      </c>
      <c r="S9" s="66" t="n">
        <v>342.9</v>
      </c>
      <c r="T9" s="66" t="n">
        <v>39.4</v>
      </c>
      <c r="U9" s="66" t="n">
        <v>-34.9</v>
      </c>
      <c r="V9" s="66" t="n">
        <v>2.9</v>
      </c>
      <c r="W9" s="66" t="n">
        <v>62.9</v>
      </c>
      <c r="X9" s="66" t="n">
        <v>35.5</v>
      </c>
      <c r="Y9" s="66" t="n">
        <v>35.4</v>
      </c>
      <c r="Z9" s="66" t="n">
        <v>4.6</v>
      </c>
      <c r="AA9" s="66" t="n">
        <v>-22.4</v>
      </c>
      <c r="AB9" s="66" t="n">
        <v>-3.8</v>
      </c>
      <c r="AC9" s="66" t="n">
        <v>-19.6</v>
      </c>
      <c r="AD9" s="66" t="n">
        <v>-4.5</v>
      </c>
      <c r="AE9" s="66" t="n">
        <v>6.8</v>
      </c>
      <c r="AF9" s="66" t="n">
        <v>-4.6</v>
      </c>
      <c r="AG9" s="66" t="n">
        <v>13.7</v>
      </c>
      <c r="AH9" s="66" t="n">
        <v>15.5</v>
      </c>
      <c r="AI9" s="66" t="n">
        <v>-7.2</v>
      </c>
      <c r="AJ9" s="66" t="n">
        <v>12.2</v>
      </c>
      <c r="AK9" s="66" t="n">
        <v>-11.2</v>
      </c>
      <c r="AL9" s="66" t="n">
        <v>-7.1</v>
      </c>
      <c r="AM9" s="66" t="n">
        <v>1.7</v>
      </c>
      <c r="AN9" s="66" t="n">
        <v>-16.9</v>
      </c>
      <c r="AO9" s="66" t="n">
        <v>80.40000000000001</v>
      </c>
    </row>
    <row r="10">
      <c r="A10" s="64" t="inlineStr">
        <is>
          <t>유동자산</t>
        </is>
      </c>
      <c r="B10" s="65" t="n"/>
      <c r="C10" s="65" t="n">
        <v>461.6</v>
      </c>
      <c r="D10" s="65" t="n"/>
      <c r="E10" s="65" t="n">
        <v>458.4</v>
      </c>
      <c r="F10" s="65" t="n">
        <v>470.9</v>
      </c>
      <c r="G10" s="65" t="n">
        <v>491.9</v>
      </c>
      <c r="H10" s="65" t="n">
        <v>437.3</v>
      </c>
      <c r="I10" s="65" t="n">
        <v>512.5</v>
      </c>
      <c r="J10" s="65" t="n">
        <v>506.4</v>
      </c>
      <c r="K10" s="65" t="n">
        <v>541.7</v>
      </c>
      <c r="L10" s="65" t="n">
        <v>491.2</v>
      </c>
      <c r="M10" s="65" t="n">
        <v>601.6</v>
      </c>
      <c r="N10" s="65" t="n">
        <v>542.1</v>
      </c>
      <c r="O10" s="65" t="n">
        <v>504.9</v>
      </c>
      <c r="P10" s="65" t="n">
        <v>464.2</v>
      </c>
      <c r="Q10" s="65" t="n">
        <v>502</v>
      </c>
      <c r="R10" s="65" t="n">
        <v>506.1</v>
      </c>
      <c r="S10" s="65" t="n">
        <v>514.5</v>
      </c>
      <c r="T10" s="65" t="n">
        <v>446.2</v>
      </c>
      <c r="U10" s="65" t="n">
        <v>518.9</v>
      </c>
      <c r="V10" s="65" t="n">
        <v>535.7</v>
      </c>
      <c r="W10" s="65" t="n">
        <v>526.6</v>
      </c>
      <c r="X10" s="65" t="n">
        <v>482</v>
      </c>
      <c r="Y10" s="65" t="n">
        <v>504</v>
      </c>
      <c r="Z10" s="65" t="n">
        <v>543.1</v>
      </c>
      <c r="AA10" s="65" t="n">
        <v>517.8</v>
      </c>
      <c r="AB10" s="65" t="n">
        <v>468.1</v>
      </c>
      <c r="AC10" s="65" t="n">
        <v>470.4</v>
      </c>
      <c r="AD10" s="65" t="n">
        <v>496.3</v>
      </c>
      <c r="AE10" s="65" t="n">
        <v>477.1</v>
      </c>
      <c r="AF10" s="65" t="n">
        <v>428.4</v>
      </c>
      <c r="AG10" s="65" t="n">
        <v>633.9</v>
      </c>
      <c r="AH10" s="65" t="n">
        <v>671</v>
      </c>
      <c r="AI10" s="65" t="n">
        <v>767.9</v>
      </c>
      <c r="AJ10" s="65" t="n">
        <v>708.1</v>
      </c>
      <c r="AK10" s="65" t="n">
        <v>793.6</v>
      </c>
      <c r="AL10" s="65" t="n">
        <v>854.2</v>
      </c>
      <c r="AM10" s="65" t="n">
        <v>915.6</v>
      </c>
      <c r="AN10" s="65" t="n">
        <v>902.9</v>
      </c>
      <c r="AO10" s="65" t="n">
        <v>915.8</v>
      </c>
    </row>
    <row r="11">
      <c r="A11" s="64" t="inlineStr">
        <is>
          <t>유동부채</t>
        </is>
      </c>
      <c r="B11" s="65" t="n"/>
      <c r="C11" s="65" t="n">
        <v>205.4</v>
      </c>
      <c r="D11" s="65" t="n"/>
      <c r="E11" s="65" t="n">
        <v>195.1</v>
      </c>
      <c r="F11" s="65" t="n">
        <v>185.7</v>
      </c>
      <c r="G11" s="65" t="n">
        <v>214.2</v>
      </c>
      <c r="H11" s="65" t="n">
        <v>153.6</v>
      </c>
      <c r="I11" s="65" t="n">
        <v>220.9</v>
      </c>
      <c r="J11" s="65" t="n">
        <v>183.2</v>
      </c>
      <c r="K11" s="65" t="n">
        <v>207.3</v>
      </c>
      <c r="L11" s="65" t="n">
        <v>157.8</v>
      </c>
      <c r="M11" s="65" t="n">
        <v>260.1</v>
      </c>
      <c r="N11" s="65" t="n">
        <v>187.2</v>
      </c>
      <c r="O11" s="65" t="n">
        <v>194.6</v>
      </c>
      <c r="P11" s="65" t="n">
        <v>157</v>
      </c>
      <c r="Q11" s="65" t="n">
        <v>225.1</v>
      </c>
      <c r="R11" s="65" t="n">
        <v>209.2</v>
      </c>
      <c r="S11" s="65" t="n">
        <v>218.8</v>
      </c>
      <c r="T11" s="65" t="n">
        <v>172.9</v>
      </c>
      <c r="U11" s="65" t="n">
        <v>239</v>
      </c>
      <c r="V11" s="65" t="n">
        <v>234</v>
      </c>
      <c r="W11" s="65" t="n">
        <v>230.4</v>
      </c>
      <c r="X11" s="65" t="n">
        <v>201.3</v>
      </c>
      <c r="Y11" s="65" t="n">
        <v>224.7</v>
      </c>
      <c r="Z11" s="65" t="n">
        <v>231.5</v>
      </c>
      <c r="AA11" s="65" t="n">
        <v>246.2</v>
      </c>
      <c r="AB11" s="65" t="n">
        <v>215</v>
      </c>
      <c r="AC11" s="65" t="n">
        <v>238.2</v>
      </c>
      <c r="AD11" s="65" t="n">
        <v>238.6</v>
      </c>
      <c r="AE11" s="65" t="n">
        <v>217.6</v>
      </c>
      <c r="AF11" s="65" t="n">
        <v>177.9</v>
      </c>
      <c r="AG11" s="65" t="n">
        <v>384.4</v>
      </c>
      <c r="AH11" s="65" t="n">
        <v>420.2</v>
      </c>
      <c r="AI11" s="65" t="n">
        <v>588.3</v>
      </c>
      <c r="AJ11" s="65" t="n">
        <v>551</v>
      </c>
      <c r="AK11" s="65" t="n">
        <v>487.7</v>
      </c>
      <c r="AL11" s="65" t="n">
        <v>536.9</v>
      </c>
      <c r="AM11" s="65" t="n">
        <v>580.5</v>
      </c>
      <c r="AN11" s="65" t="n">
        <v>562</v>
      </c>
      <c r="AO11" s="65" t="n">
        <v>574.8</v>
      </c>
    </row>
    <row r="12">
      <c r="A12" s="64" t="inlineStr">
        <is>
          <t>부채총계</t>
        </is>
      </c>
      <c r="B12" s="65" t="n"/>
      <c r="C12" s="65" t="n">
        <v>256.6</v>
      </c>
      <c r="D12" s="65" t="n"/>
      <c r="E12" s="65" t="n">
        <v>248.6</v>
      </c>
      <c r="F12" s="65" t="n">
        <v>239.1</v>
      </c>
      <c r="G12" s="65" t="n">
        <v>269.2</v>
      </c>
      <c r="H12" s="65" t="n">
        <v>210.6</v>
      </c>
      <c r="I12" s="65" t="n">
        <v>277.7</v>
      </c>
      <c r="J12" s="65" t="n">
        <v>239.9</v>
      </c>
      <c r="K12" s="65" t="n">
        <v>263.8</v>
      </c>
      <c r="L12" s="65" t="n">
        <v>214.1</v>
      </c>
      <c r="M12" s="65" t="n">
        <v>316.6</v>
      </c>
      <c r="N12" s="65" t="n">
        <v>243.6</v>
      </c>
      <c r="O12" s="65" t="n">
        <v>251.4</v>
      </c>
      <c r="P12" s="65" t="n">
        <v>213.8</v>
      </c>
      <c r="Q12" s="65" t="n">
        <v>282.4</v>
      </c>
      <c r="R12" s="65" t="n">
        <v>266.5</v>
      </c>
      <c r="S12" s="65" t="n">
        <v>275.9</v>
      </c>
      <c r="T12" s="65" t="n">
        <v>229.8</v>
      </c>
      <c r="U12" s="65" t="n">
        <v>295.5</v>
      </c>
      <c r="V12" s="65" t="n">
        <v>285.9</v>
      </c>
      <c r="W12" s="65" t="n">
        <v>281.2</v>
      </c>
      <c r="X12" s="65" t="n">
        <v>252.2</v>
      </c>
      <c r="Y12" s="65" t="n">
        <v>275.9</v>
      </c>
      <c r="Z12" s="65" t="n">
        <v>282.8</v>
      </c>
      <c r="AA12" s="65" t="n">
        <v>297.3</v>
      </c>
      <c r="AB12" s="65" t="n">
        <v>265.9</v>
      </c>
      <c r="AC12" s="65" t="n">
        <v>290.8</v>
      </c>
      <c r="AD12" s="65" t="n">
        <v>289.4</v>
      </c>
      <c r="AE12" s="65" t="n">
        <v>275.1</v>
      </c>
      <c r="AF12" s="65" t="n">
        <v>236.5</v>
      </c>
      <c r="AG12" s="65" t="n">
        <v>439.3</v>
      </c>
      <c r="AH12" s="65" t="n">
        <v>479.4</v>
      </c>
      <c r="AI12" s="65" t="n">
        <v>653.5</v>
      </c>
      <c r="AJ12" s="65" t="n">
        <v>610.5</v>
      </c>
      <c r="AK12" s="65" t="n">
        <v>735.3</v>
      </c>
      <c r="AL12" s="65" t="n">
        <v>786.4</v>
      </c>
      <c r="AM12" s="65" t="n">
        <v>829.2</v>
      </c>
      <c r="AN12" s="65" t="n">
        <v>817.2</v>
      </c>
      <c r="AO12" s="65" t="n">
        <v>835.3</v>
      </c>
    </row>
    <row r="13">
      <c r="A13" s="64" t="inlineStr">
        <is>
          <t>자기자본</t>
        </is>
      </c>
      <c r="B13" s="66" t="n"/>
      <c r="C13" s="66" t="n">
        <v>678.2</v>
      </c>
      <c r="D13" s="66" t="n"/>
      <c r="E13" s="66" t="n">
        <v>693.8</v>
      </c>
      <c r="F13" s="66" t="n">
        <v>722.1</v>
      </c>
      <c r="G13" s="66" t="n">
        <v>733.6</v>
      </c>
      <c r="H13" s="66" t="n">
        <v>738.6</v>
      </c>
      <c r="I13" s="66" t="n">
        <v>750.8</v>
      </c>
      <c r="J13" s="66" t="n">
        <v>777.8</v>
      </c>
      <c r="K13" s="66" t="n">
        <v>789.4</v>
      </c>
      <c r="L13" s="66" t="n">
        <v>797.7</v>
      </c>
      <c r="M13" s="66" t="n">
        <v>823.7</v>
      </c>
      <c r="N13" s="66" t="n">
        <v>844.1</v>
      </c>
      <c r="O13" s="66" t="n">
        <v>844.2</v>
      </c>
      <c r="P13" s="66" t="n">
        <v>847.6</v>
      </c>
      <c r="Q13" s="66" t="n">
        <v>868.8</v>
      </c>
      <c r="R13" s="66" t="n">
        <v>904.4</v>
      </c>
      <c r="S13" s="66" t="n">
        <v>913.9</v>
      </c>
      <c r="T13" s="66" t="n">
        <v>918.2</v>
      </c>
      <c r="U13" s="66" t="n">
        <v>932.4</v>
      </c>
      <c r="V13" s="66" t="n">
        <v>966.3</v>
      </c>
      <c r="W13" s="66" t="n">
        <v>983</v>
      </c>
      <c r="X13" s="66" t="n">
        <v>995</v>
      </c>
      <c r="Y13" s="66" t="n">
        <v>1011.3</v>
      </c>
      <c r="Z13" s="66" t="n">
        <v>1052.1</v>
      </c>
      <c r="AA13" s="66" t="n">
        <v>1067.1</v>
      </c>
      <c r="AB13" s="66" t="n">
        <v>1083.5</v>
      </c>
      <c r="AC13" s="66" t="n">
        <v>1106.8</v>
      </c>
      <c r="AD13" s="66" t="n">
        <v>1139.2</v>
      </c>
      <c r="AE13" s="66" t="n">
        <v>1165.2</v>
      </c>
      <c r="AF13" s="66" t="n">
        <v>1174.8</v>
      </c>
      <c r="AG13" s="66" t="n">
        <v>1186.1</v>
      </c>
      <c r="AH13" s="66" t="n">
        <v>1201.5</v>
      </c>
      <c r="AI13" s="66" t="n">
        <v>1205.9</v>
      </c>
      <c r="AJ13" s="66" t="n">
        <v>1191.3</v>
      </c>
      <c r="AK13" s="66" t="n">
        <v>1210.9</v>
      </c>
      <c r="AL13" s="66" t="n">
        <v>1235.4</v>
      </c>
      <c r="AM13" s="66" t="n">
        <v>1239</v>
      </c>
      <c r="AN13" s="66" t="n">
        <v>1242.5</v>
      </c>
      <c r="AO13" s="66" t="n">
        <v>1254.1</v>
      </c>
    </row>
    <row r="14">
      <c r="A14" s="64" t="inlineStr">
        <is>
          <t>유동비율</t>
        </is>
      </c>
      <c r="B14" s="66" t="n"/>
      <c r="C14" s="66" t="n">
        <v>224.7</v>
      </c>
      <c r="D14" s="66" t="n"/>
      <c r="E14" s="66" t="n">
        <v>235</v>
      </c>
      <c r="F14" s="66" t="n">
        <v>253.6</v>
      </c>
      <c r="G14" s="66" t="n">
        <v>229.6</v>
      </c>
      <c r="H14" s="66" t="n">
        <v>284.7</v>
      </c>
      <c r="I14" s="66" t="n">
        <v>232</v>
      </c>
      <c r="J14" s="66" t="n">
        <v>276.4</v>
      </c>
      <c r="K14" s="66" t="n">
        <v>261.3</v>
      </c>
      <c r="L14" s="66" t="n">
        <v>311.3</v>
      </c>
      <c r="M14" s="66" t="n">
        <v>231.3</v>
      </c>
      <c r="N14" s="66" t="n">
        <v>289.6</v>
      </c>
      <c r="O14" s="66" t="n">
        <v>259.5</v>
      </c>
      <c r="P14" s="66" t="n">
        <v>295.7</v>
      </c>
      <c r="Q14" s="66" t="n">
        <v>223</v>
      </c>
      <c r="R14" s="66" t="n">
        <v>241.9</v>
      </c>
      <c r="S14" s="66" t="n">
        <v>235.1</v>
      </c>
      <c r="T14" s="66" t="n">
        <v>258.1</v>
      </c>
      <c r="U14" s="66" t="n">
        <v>217.1</v>
      </c>
      <c r="V14" s="66" t="n">
        <v>228.9</v>
      </c>
      <c r="W14" s="66" t="n">
        <v>228.6</v>
      </c>
      <c r="X14" s="66" t="n">
        <v>239.4</v>
      </c>
      <c r="Y14" s="66" t="n">
        <v>224.3</v>
      </c>
      <c r="Z14" s="66" t="n">
        <v>234.6</v>
      </c>
      <c r="AA14" s="66" t="n">
        <v>210.3</v>
      </c>
      <c r="AB14" s="66" t="n">
        <v>217.7</v>
      </c>
      <c r="AC14" s="66" t="n">
        <v>197.5</v>
      </c>
      <c r="AD14" s="66" t="n">
        <v>208</v>
      </c>
      <c r="AE14" s="66" t="n">
        <v>219.3</v>
      </c>
      <c r="AF14" s="66" t="n">
        <v>240.8</v>
      </c>
      <c r="AG14" s="66" t="n">
        <v>164.9</v>
      </c>
      <c r="AH14" s="66" t="n">
        <v>159.7</v>
      </c>
      <c r="AI14" s="66" t="n">
        <v>130.5</v>
      </c>
      <c r="AJ14" s="66" t="n">
        <v>128.5</v>
      </c>
      <c r="AK14" s="66" t="n">
        <v>162.7</v>
      </c>
      <c r="AL14" s="66" t="n">
        <v>159.1</v>
      </c>
      <c r="AM14" s="66" t="n">
        <v>157.7</v>
      </c>
      <c r="AN14" s="66" t="n">
        <v>160.7</v>
      </c>
      <c r="AO14" s="66" t="n">
        <v>159.3</v>
      </c>
    </row>
    <row r="15">
      <c r="A15" s="64" t="inlineStr">
        <is>
          <t>부채비율</t>
        </is>
      </c>
      <c r="B15" s="66" t="n"/>
      <c r="C15" s="66" t="n">
        <v>37.8</v>
      </c>
      <c r="D15" s="66" t="n"/>
      <c r="E15" s="66" t="n">
        <v>35.8</v>
      </c>
      <c r="F15" s="66" t="n">
        <v>33.1</v>
      </c>
      <c r="G15" s="66" t="n">
        <v>36.7</v>
      </c>
      <c r="H15" s="66" t="n">
        <v>28.5</v>
      </c>
      <c r="I15" s="66" t="n">
        <v>37</v>
      </c>
      <c r="J15" s="66" t="n">
        <v>30.8</v>
      </c>
      <c r="K15" s="66" t="n">
        <v>33.4</v>
      </c>
      <c r="L15" s="66" t="n">
        <v>26.8</v>
      </c>
      <c r="M15" s="66" t="n">
        <v>38.4</v>
      </c>
      <c r="N15" s="66" t="n">
        <v>28.9</v>
      </c>
      <c r="O15" s="66" t="n">
        <v>29.8</v>
      </c>
      <c r="P15" s="66" t="n">
        <v>25.2</v>
      </c>
      <c r="Q15" s="66" t="n">
        <v>32.5</v>
      </c>
      <c r="R15" s="66" t="n">
        <v>29.5</v>
      </c>
      <c r="S15" s="66" t="n">
        <v>30.2</v>
      </c>
      <c r="T15" s="66" t="n">
        <v>25</v>
      </c>
      <c r="U15" s="66" t="n">
        <v>31.7</v>
      </c>
      <c r="V15" s="66" t="n">
        <v>29.6</v>
      </c>
      <c r="W15" s="66" t="n">
        <v>28.6</v>
      </c>
      <c r="X15" s="66" t="n">
        <v>25.3</v>
      </c>
      <c r="Y15" s="66" t="n">
        <v>27.3</v>
      </c>
      <c r="Z15" s="66" t="n">
        <v>26.9</v>
      </c>
      <c r="AA15" s="66" t="n">
        <v>27.9</v>
      </c>
      <c r="AB15" s="66" t="n">
        <v>24.5</v>
      </c>
      <c r="AC15" s="66" t="n">
        <v>26.3</v>
      </c>
      <c r="AD15" s="66" t="n">
        <v>25.4</v>
      </c>
      <c r="AE15" s="66" t="n">
        <v>23.6</v>
      </c>
      <c r="AF15" s="66" t="n">
        <v>20.1</v>
      </c>
      <c r="AG15" s="66" t="n">
        <v>37</v>
      </c>
      <c r="AH15" s="66" t="n">
        <v>39.9</v>
      </c>
      <c r="AI15" s="66" t="n">
        <v>54.2</v>
      </c>
      <c r="AJ15" s="66" t="n">
        <v>51.2</v>
      </c>
      <c r="AK15" s="66" t="n">
        <v>60.7</v>
      </c>
      <c r="AL15" s="66" t="n">
        <v>63.7</v>
      </c>
      <c r="AM15" s="66" t="n">
        <v>66.90000000000001</v>
      </c>
      <c r="AN15" s="66" t="n">
        <v>65.8</v>
      </c>
      <c r="AO15" s="66" t="n">
        <v>66.59999999999999</v>
      </c>
    </row>
    <row r="16">
      <c r="A16" s="64" t="inlineStr">
        <is>
          <t>순차입금/자기자본</t>
        </is>
      </c>
      <c r="B16" s="66" t="n"/>
      <c r="C16" s="66" t="n">
        <v>-4.5</v>
      </c>
      <c r="D16" s="66" t="n"/>
      <c r="E16" s="66" t="n">
        <v>-1.2</v>
      </c>
      <c r="F16" s="66" t="n">
        <v>-3.2</v>
      </c>
      <c r="G16" s="66" t="n">
        <v>-9.4</v>
      </c>
      <c r="H16" s="66" t="n">
        <v>-7.1</v>
      </c>
      <c r="I16" s="66" t="n">
        <v>-8.9</v>
      </c>
      <c r="J16" s="66" t="n">
        <v>-8.6</v>
      </c>
      <c r="K16" s="66" t="n">
        <v>-15.9</v>
      </c>
      <c r="L16" s="66" t="n">
        <v>-14.8</v>
      </c>
      <c r="M16" s="66" t="n">
        <v>-15.4</v>
      </c>
      <c r="N16" s="66" t="n">
        <v>-12.1</v>
      </c>
      <c r="O16" s="66" t="n">
        <v>-9.300000000000001</v>
      </c>
      <c r="P16" s="66" t="n">
        <v>-10</v>
      </c>
      <c r="Q16" s="66" t="n">
        <v>-8.699999999999999</v>
      </c>
      <c r="R16" s="66" t="n">
        <v>-8.9</v>
      </c>
      <c r="S16" s="66" t="n">
        <v>-15.1</v>
      </c>
      <c r="T16" s="66" t="n">
        <v>-10.7</v>
      </c>
      <c r="U16" s="66" t="n">
        <v>-10</v>
      </c>
      <c r="V16" s="66" t="n">
        <v>-8</v>
      </c>
      <c r="W16" s="66" t="n">
        <v>-10.9</v>
      </c>
      <c r="X16" s="66" t="n">
        <v>-10.2</v>
      </c>
      <c r="Y16" s="66" t="n">
        <v>-6</v>
      </c>
      <c r="Z16" s="66" t="n">
        <v>-7.1</v>
      </c>
      <c r="AA16" s="66" t="n">
        <v>-7.6</v>
      </c>
      <c r="AB16" s="66" t="n">
        <v>-4.8</v>
      </c>
      <c r="AC16" s="66" t="n">
        <v>0</v>
      </c>
      <c r="AD16" s="66" t="n">
        <v>-0.4</v>
      </c>
      <c r="AE16" s="66" t="n">
        <v>-4.1</v>
      </c>
      <c r="AF16" s="66" t="n">
        <v>-2.3</v>
      </c>
      <c r="AG16" s="66" t="n">
        <v>-2.2</v>
      </c>
      <c r="AH16" s="66" t="n">
        <v>-0</v>
      </c>
      <c r="AI16" s="66" t="n">
        <v>3.2</v>
      </c>
      <c r="AJ16" s="66" t="n">
        <v>7.6</v>
      </c>
      <c r="AK16" s="66" t="n">
        <v>13</v>
      </c>
      <c r="AL16" s="66" t="n">
        <v>13.7</v>
      </c>
      <c r="AM16" s="66" t="n">
        <v>10.7</v>
      </c>
      <c r="AN16" s="66" t="n">
        <v>9.300000000000001</v>
      </c>
      <c r="AO16" s="66" t="n">
        <v>11.4</v>
      </c>
    </row>
    <row r="17">
      <c r="A17" s="64" t="inlineStr">
        <is>
          <t>재고자산</t>
        </is>
      </c>
      <c r="B17" s="65" t="n"/>
      <c r="C17" s="65" t="n">
        <v>231.2</v>
      </c>
      <c r="D17" s="65" t="n"/>
      <c r="E17" s="65" t="n">
        <v>254</v>
      </c>
      <c r="F17" s="65" t="n">
        <v>248.1</v>
      </c>
      <c r="G17" s="65" t="n">
        <v>243</v>
      </c>
      <c r="H17" s="65" t="n">
        <v>239.9</v>
      </c>
      <c r="I17" s="65" t="n">
        <v>256.3</v>
      </c>
      <c r="J17" s="65" t="n">
        <v>247.8</v>
      </c>
      <c r="K17" s="65" t="n">
        <v>240.9</v>
      </c>
      <c r="L17" s="65" t="n">
        <v>240.7</v>
      </c>
      <c r="M17" s="65" t="n">
        <v>255</v>
      </c>
      <c r="N17" s="65" t="n">
        <v>266.1</v>
      </c>
      <c r="O17" s="65" t="n">
        <v>265</v>
      </c>
      <c r="P17" s="65" t="n">
        <v>255.1</v>
      </c>
      <c r="Q17" s="65" t="n">
        <v>257.4</v>
      </c>
      <c r="R17" s="65" t="n">
        <v>234.1</v>
      </c>
      <c r="S17" s="65" t="n">
        <v>217.6</v>
      </c>
      <c r="T17" s="65" t="n">
        <v>221.1</v>
      </c>
      <c r="U17" s="65" t="n">
        <v>243.1</v>
      </c>
      <c r="V17" s="65" t="n">
        <v>241.4</v>
      </c>
      <c r="W17" s="65" t="n">
        <v>230.4</v>
      </c>
      <c r="X17" s="65" t="n">
        <v>232.3</v>
      </c>
      <c r="Y17" s="65" t="n">
        <v>259.2</v>
      </c>
      <c r="Z17" s="65" t="n">
        <v>255</v>
      </c>
      <c r="AA17" s="65" t="n">
        <v>254.5</v>
      </c>
      <c r="AB17" s="65" t="n">
        <v>267.6</v>
      </c>
      <c r="AC17" s="65" t="n">
        <v>291.9</v>
      </c>
      <c r="AD17" s="65" t="n">
        <v>273.3</v>
      </c>
      <c r="AE17" s="65" t="n">
        <v>266.6</v>
      </c>
      <c r="AF17" s="65" t="n">
        <v>271</v>
      </c>
      <c r="AG17" s="65" t="n">
        <v>290.7</v>
      </c>
      <c r="AH17" s="65" t="n">
        <v>281.9</v>
      </c>
      <c r="AI17" s="65" t="n">
        <v>293</v>
      </c>
      <c r="AJ17" s="65" t="n">
        <v>313.6</v>
      </c>
      <c r="AK17" s="65" t="n">
        <v>352.9</v>
      </c>
      <c r="AL17" s="65" t="n">
        <v>340.1</v>
      </c>
      <c r="AM17" s="65" t="n">
        <v>341.4</v>
      </c>
      <c r="AN17" s="65" t="n">
        <v>346.3</v>
      </c>
      <c r="AO17" s="65" t="n">
        <v>363.4</v>
      </c>
    </row>
    <row r="18">
      <c r="A18" s="64" t="inlineStr">
        <is>
          <t>재고자산 회전일수</t>
        </is>
      </c>
      <c r="B18" s="65" t="n"/>
      <c r="C18" s="65" t="n">
        <v>123</v>
      </c>
      <c r="D18" s="65" t="n"/>
      <c r="E18" s="65" t="n">
        <v>114</v>
      </c>
      <c r="F18" s="65" t="n">
        <v>80</v>
      </c>
      <c r="G18" s="65" t="n">
        <v>123</v>
      </c>
      <c r="H18" s="65" t="n">
        <v>113</v>
      </c>
      <c r="I18" s="65" t="n">
        <v>115</v>
      </c>
      <c r="J18" s="65" t="n">
        <v>79</v>
      </c>
      <c r="K18" s="65" t="n">
        <v>127</v>
      </c>
      <c r="L18" s="65" t="n">
        <v>113</v>
      </c>
      <c r="M18" s="65" t="n">
        <v>98</v>
      </c>
      <c r="N18" s="65" t="n">
        <v>97</v>
      </c>
      <c r="O18" s="65" t="n">
        <v>147</v>
      </c>
      <c r="P18" s="65" t="n">
        <v>128</v>
      </c>
      <c r="Q18" s="65" t="n">
        <v>105</v>
      </c>
      <c r="R18" s="65" t="n">
        <v>74</v>
      </c>
      <c r="S18" s="65" t="n">
        <v>111</v>
      </c>
      <c r="T18" s="65" t="n">
        <v>104</v>
      </c>
      <c r="U18" s="65" t="n">
        <v>113</v>
      </c>
      <c r="V18" s="65" t="n">
        <v>78</v>
      </c>
      <c r="W18" s="65" t="n">
        <v>104</v>
      </c>
      <c r="X18" s="65" t="n">
        <v>115</v>
      </c>
      <c r="Y18" s="65" t="n">
        <v>124</v>
      </c>
      <c r="Z18" s="65" t="n">
        <v>86</v>
      </c>
      <c r="AA18" s="65" t="n">
        <v>118</v>
      </c>
      <c r="AB18" s="65" t="n">
        <v>127</v>
      </c>
      <c r="AC18" s="65" t="n">
        <v>142</v>
      </c>
      <c r="AD18" s="65" t="n">
        <v>91</v>
      </c>
      <c r="AE18" s="65" t="n">
        <v>130</v>
      </c>
      <c r="AF18" s="65" t="n">
        <v>129</v>
      </c>
      <c r="AG18" s="65" t="n">
        <v>134</v>
      </c>
      <c r="AH18" s="65" t="n">
        <v>90</v>
      </c>
      <c r="AI18" s="65" t="n">
        <v>139</v>
      </c>
      <c r="AJ18" s="65" t="n">
        <v>130</v>
      </c>
      <c r="AK18" s="65" t="n">
        <v>144</v>
      </c>
      <c r="AL18" s="65" t="n">
        <v>101</v>
      </c>
      <c r="AM18" s="65" t="n">
        <v>141</v>
      </c>
      <c r="AN18" s="65" t="n">
        <v>139</v>
      </c>
      <c r="AO18" s="65" t="n">
        <v>142</v>
      </c>
    </row>
    <row r="19">
      <c r="A19" s="64" t="inlineStr">
        <is>
          <t>매출채권 회전일수</t>
        </is>
      </c>
      <c r="B19" s="65" t="n"/>
      <c r="C19" s="65" t="n">
        <v>31</v>
      </c>
      <c r="D19" s="65" t="n"/>
      <c r="E19" s="65" t="n">
        <v>26</v>
      </c>
      <c r="F19" s="65" t="n">
        <v>25</v>
      </c>
      <c r="G19" s="65" t="n">
        <v>31</v>
      </c>
      <c r="H19" s="65" t="n">
        <v>25</v>
      </c>
      <c r="I19" s="65" t="n">
        <v>28</v>
      </c>
      <c r="J19" s="65" t="n">
        <v>26</v>
      </c>
      <c r="K19" s="65" t="n">
        <v>30</v>
      </c>
      <c r="L19" s="65" t="n">
        <v>21</v>
      </c>
      <c r="M19" s="65" t="n">
        <v>29</v>
      </c>
      <c r="N19" s="65" t="n">
        <v>25</v>
      </c>
      <c r="O19" s="65" t="n">
        <v>27</v>
      </c>
      <c r="P19" s="65" t="n">
        <v>22</v>
      </c>
      <c r="Q19" s="65" t="n">
        <v>24</v>
      </c>
      <c r="R19" s="65" t="n">
        <v>24</v>
      </c>
      <c r="S19" s="65" t="n">
        <v>25</v>
      </c>
      <c r="T19" s="65" t="n">
        <v>19</v>
      </c>
      <c r="U19" s="65" t="n">
        <v>24</v>
      </c>
      <c r="V19" s="65" t="n">
        <v>25</v>
      </c>
      <c r="W19" s="65" t="n">
        <v>26</v>
      </c>
      <c r="X19" s="65" t="n">
        <v>22</v>
      </c>
      <c r="Y19" s="65" t="n">
        <v>23</v>
      </c>
      <c r="Z19" s="65" t="n">
        <v>25</v>
      </c>
      <c r="AA19" s="65" t="n">
        <v>28</v>
      </c>
      <c r="AB19" s="65" t="n">
        <v>22</v>
      </c>
      <c r="AC19" s="65" t="n">
        <v>23</v>
      </c>
      <c r="AD19" s="65" t="n">
        <v>23</v>
      </c>
      <c r="AE19" s="65" t="n">
        <v>24</v>
      </c>
      <c r="AF19" s="65" t="n">
        <v>19</v>
      </c>
      <c r="AG19" s="65" t="n">
        <v>23</v>
      </c>
      <c r="AH19" s="65" t="n">
        <v>22</v>
      </c>
      <c r="AI19" s="65" t="n">
        <v>24</v>
      </c>
      <c r="AJ19" s="65" t="n">
        <v>17</v>
      </c>
      <c r="AK19" s="65" t="n">
        <v>20</v>
      </c>
      <c r="AL19" s="65" t="n">
        <v>20</v>
      </c>
      <c r="AM19" s="65" t="n">
        <v>23</v>
      </c>
      <c r="AN19" s="65" t="n">
        <v>17</v>
      </c>
      <c r="AO19" s="65" t="n">
        <v>19</v>
      </c>
    </row>
    <row r="20">
      <c r="A20" s="64" t="inlineStr">
        <is>
          <t>매입채무 회전일수</t>
        </is>
      </c>
      <c r="B20" s="65" t="n"/>
      <c r="C20" s="65" t="n">
        <v>60</v>
      </c>
      <c r="D20" s="65" t="n"/>
      <c r="E20" s="65" t="n">
        <v>50</v>
      </c>
      <c r="F20" s="65" t="n">
        <v>32</v>
      </c>
      <c r="G20" s="65" t="n">
        <v>53</v>
      </c>
      <c r="H20" s="65" t="n">
        <v>34</v>
      </c>
      <c r="I20" s="65" t="n">
        <v>61</v>
      </c>
      <c r="J20" s="65" t="n">
        <v>32</v>
      </c>
      <c r="K20" s="65" t="n">
        <v>54</v>
      </c>
      <c r="L20" s="65" t="n">
        <v>33</v>
      </c>
      <c r="M20" s="65" t="n">
        <v>61</v>
      </c>
      <c r="N20" s="65" t="n">
        <v>35</v>
      </c>
      <c r="O20" s="65" t="n">
        <v>52</v>
      </c>
      <c r="P20" s="65" t="n">
        <v>35</v>
      </c>
      <c r="Q20" s="65" t="n">
        <v>51</v>
      </c>
      <c r="R20" s="65" t="n">
        <v>33</v>
      </c>
      <c r="S20" s="65" t="n">
        <v>44</v>
      </c>
      <c r="T20" s="65" t="n">
        <v>31</v>
      </c>
      <c r="U20" s="65" t="n">
        <v>58</v>
      </c>
      <c r="V20" s="65" t="n">
        <v>36</v>
      </c>
      <c r="W20" s="65" t="n">
        <v>46</v>
      </c>
      <c r="X20" s="65" t="n">
        <v>42</v>
      </c>
      <c r="Y20" s="65" t="n">
        <v>48</v>
      </c>
      <c r="Z20" s="65" t="n">
        <v>35</v>
      </c>
      <c r="AA20" s="65" t="n">
        <v>52</v>
      </c>
      <c r="AB20" s="65" t="n">
        <v>44</v>
      </c>
      <c r="AC20" s="65" t="n">
        <v>45</v>
      </c>
      <c r="AD20" s="65" t="n">
        <v>31</v>
      </c>
      <c r="AE20" s="65" t="n">
        <v>41</v>
      </c>
      <c r="AF20" s="65" t="n">
        <v>32</v>
      </c>
      <c r="AG20" s="65" t="n">
        <v>52</v>
      </c>
      <c r="AH20" s="65" t="n">
        <v>32</v>
      </c>
      <c r="AI20" s="65" t="n">
        <v>44</v>
      </c>
      <c r="AJ20" s="65" t="n">
        <v>33</v>
      </c>
      <c r="AK20" s="65" t="n">
        <v>44</v>
      </c>
      <c r="AL20" s="65" t="n">
        <v>32</v>
      </c>
      <c r="AM20" s="65" t="n">
        <v>40</v>
      </c>
      <c r="AN20" s="65" t="n">
        <v>33</v>
      </c>
      <c r="AO20" s="65" t="n">
        <v>36</v>
      </c>
    </row>
    <row r="21">
      <c r="A21" s="64" t="inlineStr">
        <is>
          <t>현금전환주기(CCC)</t>
        </is>
      </c>
      <c r="B21" s="65" t="n"/>
      <c r="C21" s="65" t="n">
        <v>94</v>
      </c>
      <c r="D21" s="65" t="n"/>
      <c r="E21" s="65" t="n">
        <v>90</v>
      </c>
      <c r="F21" s="65" t="n">
        <v>73</v>
      </c>
      <c r="G21" s="65" t="n">
        <v>101</v>
      </c>
      <c r="H21" s="65" t="n">
        <v>104</v>
      </c>
      <c r="I21" s="65" t="n">
        <v>82</v>
      </c>
      <c r="J21" s="65" t="n">
        <v>73</v>
      </c>
      <c r="K21" s="65" t="n">
        <v>103</v>
      </c>
      <c r="L21" s="65" t="n">
        <v>101</v>
      </c>
      <c r="M21" s="65" t="n">
        <v>66</v>
      </c>
      <c r="N21" s="65" t="n">
        <v>87</v>
      </c>
      <c r="O21" s="65" t="n">
        <v>122</v>
      </c>
      <c r="P21" s="65" t="n">
        <v>115</v>
      </c>
      <c r="Q21" s="65" t="n">
        <v>78</v>
      </c>
      <c r="R21" s="65" t="n">
        <v>65</v>
      </c>
      <c r="S21" s="65" t="n">
        <v>92</v>
      </c>
      <c r="T21" s="65" t="n">
        <v>92</v>
      </c>
      <c r="U21" s="65" t="n">
        <v>79</v>
      </c>
      <c r="V21" s="65" t="n">
        <v>67</v>
      </c>
      <c r="W21" s="65" t="n">
        <v>84</v>
      </c>
      <c r="X21" s="65" t="n">
        <v>95</v>
      </c>
      <c r="Y21" s="65" t="n">
        <v>99</v>
      </c>
      <c r="Z21" s="65" t="n">
        <v>76</v>
      </c>
      <c r="AA21" s="65" t="n">
        <v>94</v>
      </c>
      <c r="AB21" s="65" t="n">
        <v>105</v>
      </c>
      <c r="AC21" s="65" t="n">
        <v>120</v>
      </c>
      <c r="AD21" s="65" t="n">
        <v>83</v>
      </c>
      <c r="AE21" s="65" t="n">
        <v>113</v>
      </c>
      <c r="AF21" s="65" t="n">
        <v>116</v>
      </c>
      <c r="AG21" s="65" t="n">
        <v>105</v>
      </c>
      <c r="AH21" s="65" t="n">
        <v>80</v>
      </c>
      <c r="AI21" s="65" t="n">
        <v>119</v>
      </c>
      <c r="AJ21" s="65" t="n">
        <v>114</v>
      </c>
      <c r="AK21" s="65" t="n">
        <v>120</v>
      </c>
      <c r="AL21" s="65" t="n">
        <v>89</v>
      </c>
      <c r="AM21" s="65" t="n">
        <v>124</v>
      </c>
      <c r="AN21" s="65" t="n">
        <v>123</v>
      </c>
      <c r="AO21" s="65" t="n">
        <v>125</v>
      </c>
    </row>
    <row r="22">
      <c r="A22" s="64" t="inlineStr">
        <is>
          <t>총 차입금</t>
        </is>
      </c>
      <c r="B22" s="65" t="n"/>
      <c r="C22" s="65" t="n">
        <v>6.2</v>
      </c>
      <c r="D22" s="65" t="n"/>
      <c r="E22" s="65" t="n">
        <v>4.5</v>
      </c>
      <c r="F22" s="65" t="n">
        <v>4.3</v>
      </c>
      <c r="G22" s="65" t="n">
        <v>5.1</v>
      </c>
      <c r="H22" s="65" t="n">
        <v>3.9</v>
      </c>
      <c r="I22" s="65" t="n">
        <v>3.7</v>
      </c>
      <c r="J22" s="65" t="n">
        <v>3.5</v>
      </c>
      <c r="K22" s="65" t="n">
        <v>4.1</v>
      </c>
      <c r="L22" s="65" t="n">
        <v>3.1</v>
      </c>
      <c r="M22" s="65" t="n">
        <v>2.9</v>
      </c>
      <c r="N22" s="65" t="n">
        <v>2.8</v>
      </c>
      <c r="O22" s="65" t="n">
        <v>3.3</v>
      </c>
      <c r="P22" s="65" t="n">
        <v>2.4</v>
      </c>
      <c r="Q22" s="65" t="n">
        <v>2</v>
      </c>
      <c r="R22" s="65" t="n">
        <v>1.8</v>
      </c>
      <c r="S22" s="65" t="n">
        <v>2.3</v>
      </c>
      <c r="T22" s="65" t="n">
        <v>1.5</v>
      </c>
      <c r="U22" s="65" t="n">
        <v>1.5</v>
      </c>
      <c r="V22" s="65" t="n">
        <v>1.4</v>
      </c>
      <c r="W22" s="65" t="n">
        <v>1.7</v>
      </c>
      <c r="X22" s="65" t="n">
        <v>1.2</v>
      </c>
      <c r="Y22" s="65" t="n">
        <v>1.1</v>
      </c>
      <c r="Z22" s="65" t="n">
        <v>1</v>
      </c>
      <c r="AA22" s="65" t="n">
        <v>1.3</v>
      </c>
      <c r="AB22" s="65" t="n">
        <v>0.9</v>
      </c>
      <c r="AC22" s="65" t="n">
        <v>16.8</v>
      </c>
      <c r="AD22" s="65" t="n">
        <v>20.8</v>
      </c>
      <c r="AE22" s="65" t="n">
        <v>0.8999999999999999</v>
      </c>
      <c r="AF22" s="65" t="n">
        <v>0.6</v>
      </c>
      <c r="AG22" s="65" t="n">
        <v>150.6</v>
      </c>
      <c r="AH22" s="65" t="n">
        <v>190.5</v>
      </c>
      <c r="AI22" s="65" t="n">
        <v>350.6</v>
      </c>
      <c r="AJ22" s="65" t="n">
        <v>350.4</v>
      </c>
      <c r="AK22" s="65" t="n">
        <v>430.3</v>
      </c>
      <c r="AL22" s="65" t="n">
        <v>480.3</v>
      </c>
      <c r="AM22" s="65" t="n">
        <v>530.3</v>
      </c>
      <c r="AN22" s="65" t="n">
        <v>530.2</v>
      </c>
      <c r="AO22" s="65" t="n">
        <v>530.1</v>
      </c>
    </row>
    <row r="23">
      <c r="A23" s="64" t="inlineStr">
        <is>
          <t>현금</t>
        </is>
      </c>
      <c r="B23" s="65" t="n"/>
      <c r="C23" s="65" t="n">
        <v>36.4</v>
      </c>
      <c r="D23" s="65" t="n"/>
      <c r="E23" s="65" t="n">
        <v>12.7</v>
      </c>
      <c r="F23" s="65" t="n">
        <v>27.1</v>
      </c>
      <c r="G23" s="65" t="n">
        <v>74.09999999999999</v>
      </c>
      <c r="H23" s="65" t="n">
        <v>56.7</v>
      </c>
      <c r="I23" s="65" t="n">
        <v>70.8</v>
      </c>
      <c r="J23" s="65" t="n">
        <v>70.2</v>
      </c>
      <c r="K23" s="65" t="n">
        <v>130</v>
      </c>
      <c r="L23" s="65" t="n">
        <v>121.5</v>
      </c>
      <c r="M23" s="65" t="n">
        <v>129.4</v>
      </c>
      <c r="N23" s="65" t="n">
        <v>105.2</v>
      </c>
      <c r="O23" s="65" t="n">
        <v>82</v>
      </c>
      <c r="P23" s="65" t="n">
        <v>87.3</v>
      </c>
      <c r="Q23" s="65" t="n">
        <v>77.40000000000001</v>
      </c>
      <c r="R23" s="65" t="n">
        <v>82</v>
      </c>
      <c r="S23" s="65" t="n">
        <v>140.5</v>
      </c>
      <c r="T23" s="65" t="n">
        <v>99.7</v>
      </c>
      <c r="U23" s="65" t="n">
        <v>94.40000000000001</v>
      </c>
      <c r="V23" s="65" t="n">
        <v>79</v>
      </c>
      <c r="W23" s="65" t="n">
        <v>109.2</v>
      </c>
      <c r="X23" s="65" t="n">
        <v>102.6</v>
      </c>
      <c r="Y23" s="65" t="n">
        <v>61.4</v>
      </c>
      <c r="Z23" s="65" t="n">
        <v>75.40000000000001</v>
      </c>
      <c r="AA23" s="65" t="n">
        <v>82.7</v>
      </c>
      <c r="AB23" s="65" t="n">
        <v>52.9</v>
      </c>
      <c r="AC23" s="65" t="n">
        <v>16.6</v>
      </c>
      <c r="AD23" s="65" t="n">
        <v>25.1</v>
      </c>
      <c r="AE23" s="65" t="n">
        <v>48.5</v>
      </c>
      <c r="AF23" s="65" t="n">
        <v>27.4</v>
      </c>
      <c r="AG23" s="65" t="n">
        <v>176.9</v>
      </c>
      <c r="AH23" s="65" t="n">
        <v>190.6</v>
      </c>
      <c r="AI23" s="65" t="n">
        <v>312.5</v>
      </c>
      <c r="AJ23" s="65" t="n">
        <v>259.6</v>
      </c>
      <c r="AK23" s="65" t="n">
        <v>273.3</v>
      </c>
      <c r="AL23" s="65" t="n">
        <v>311.5</v>
      </c>
      <c r="AM23" s="65" t="n">
        <v>397.3</v>
      </c>
      <c r="AN23" s="65" t="n">
        <v>414.7</v>
      </c>
      <c r="AO23" s="65" t="n">
        <v>386.9</v>
      </c>
    </row>
    <row r="24">
      <c r="A24" s="64" t="inlineStr">
        <is>
          <t>부문별 매출 · AutomobilePartsSalesAndMotorbikePartsSalesReportableSegmentsMember</t>
        </is>
      </c>
      <c r="B24" s="65" t="n"/>
      <c r="C24" s="65" t="n"/>
      <c r="D24" s="65" t="n"/>
      <c r="E24" s="65" t="n"/>
      <c r="F24" s="65" t="n"/>
      <c r="G24" s="65" t="n"/>
      <c r="H24" s="65" t="n"/>
      <c r="I24" s="65" t="n"/>
      <c r="J24" s="65" t="n"/>
      <c r="K24" s="65" t="n"/>
      <c r="L24" s="65" t="n"/>
      <c r="M24" s="65" t="n"/>
      <c r="N24" s="65" t="n"/>
      <c r="O24" s="65" t="n"/>
      <c r="P24" s="65" t="n"/>
      <c r="Q24" s="65" t="n"/>
      <c r="R24" s="65" t="n"/>
      <c r="S24" s="65" t="n"/>
      <c r="T24" s="65" t="n"/>
      <c r="U24" s="65" t="n"/>
      <c r="V24" s="65" t="n"/>
      <c r="W24" s="65" t="n"/>
      <c r="X24" s="65" t="n"/>
      <c r="Y24" s="65" t="n"/>
      <c r="Z24" s="65" t="n"/>
      <c r="AA24" s="65" t="n"/>
      <c r="AB24" s="65" t="n">
        <v>328</v>
      </c>
      <c r="AC24" s="65" t="n">
        <v>311.9</v>
      </c>
      <c r="AD24" s="65" t="n">
        <v>451</v>
      </c>
      <c r="AE24" s="65" t="n"/>
      <c r="AF24" s="65" t="n">
        <v>332.2</v>
      </c>
      <c r="AG24" s="65" t="n">
        <v>331.7</v>
      </c>
      <c r="AH24" s="65" t="n">
        <v>484.2</v>
      </c>
      <c r="AI24" s="65" t="n">
        <v>334.8</v>
      </c>
      <c r="AJ24" s="65" t="n">
        <v>388.4</v>
      </c>
      <c r="AK24" s="65" t="n">
        <v>375.9</v>
      </c>
      <c r="AL24" s="65" t="n">
        <v>515.9</v>
      </c>
      <c r="AM24" s="65" t="n">
        <v>374.6</v>
      </c>
      <c r="AN24" s="65" t="n">
        <v>398</v>
      </c>
      <c r="AO24" s="65" t="n">
        <v>403.2</v>
      </c>
      <c r="AP24" s="61" t="inlineStr">
        <is>
          <t>결산단신 부문 정보(외부 고객 매출)</t>
        </is>
      </c>
    </row>
    <row r="25">
      <c r="A25" s="64" t="inlineStr">
        <is>
          <t>부문별 매출 · LeasingReportableSegmentsMember</t>
        </is>
      </c>
      <c r="B25" s="65" t="n"/>
      <c r="C25" s="65" t="n"/>
      <c r="D25" s="65" t="n"/>
      <c r="E25" s="65" t="n"/>
      <c r="F25" s="65" t="n"/>
      <c r="G25" s="65" t="n"/>
      <c r="H25" s="65" t="n"/>
      <c r="I25" s="65" t="n"/>
      <c r="J25" s="65" t="n"/>
      <c r="K25" s="65" t="n"/>
      <c r="L25" s="65" t="n"/>
      <c r="M25" s="65" t="n"/>
      <c r="N25" s="65" t="n"/>
      <c r="O25" s="65" t="n"/>
      <c r="P25" s="65" t="n"/>
      <c r="Q25" s="65" t="n"/>
      <c r="R25" s="65" t="n"/>
      <c r="S25" s="65" t="n"/>
      <c r="T25" s="65" t="n"/>
      <c r="U25" s="65" t="n"/>
      <c r="V25" s="65" t="n"/>
      <c r="W25" s="65" t="n"/>
      <c r="X25" s="65" t="n"/>
      <c r="Y25" s="65" t="n"/>
      <c r="Z25" s="65" t="n"/>
      <c r="AA25" s="65" t="n"/>
      <c r="AB25" s="65" t="n">
        <v>15</v>
      </c>
      <c r="AC25" s="65" t="n">
        <v>14.8</v>
      </c>
      <c r="AD25" s="65" t="n">
        <v>14.8</v>
      </c>
      <c r="AE25" s="65" t="n"/>
      <c r="AF25" s="65" t="n">
        <v>14.6</v>
      </c>
      <c r="AG25" s="65" t="n">
        <v>14.5</v>
      </c>
      <c r="AH25" s="65" t="n">
        <v>14.4</v>
      </c>
      <c r="AI25" s="65" t="n">
        <v>14.4</v>
      </c>
      <c r="AJ25" s="65" t="n">
        <v>14.5</v>
      </c>
      <c r="AK25" s="65" t="n">
        <v>14.3</v>
      </c>
      <c r="AL25" s="65" t="n">
        <v>14.5</v>
      </c>
      <c r="AM25" s="65" t="n">
        <v>14.6</v>
      </c>
      <c r="AN25" s="65" t="n">
        <v>14.5</v>
      </c>
      <c r="AO25" s="65" t="n">
        <v>14.5</v>
      </c>
      <c r="AP25" s="61" t="inlineStr">
        <is>
          <t>결산단신 부문 정보(외부 고객 매출)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2026-10-30T09:37:00Z</dcterms:created>
  <dcterms:modified xmlns:dcterms="http://purl.org/dc/terms/" xmlns:xsi="http://www.w3.org/2001/XMLSchema-instance" xsi:type="dcterms:W3CDTF">2026-10-30T09:38:09Z</dcterms:modified>
</cp:coreProperties>
</file>