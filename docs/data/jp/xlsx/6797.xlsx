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8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6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6797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3621.985</v>
      </c>
      <c r="D4" s="12" t="n">
        <v>3337.847</v>
      </c>
      <c r="E4" s="12" t="n">
        <v>7865.594</v>
      </c>
      <c r="F4" s="12" t="n">
        <v>2441.134</v>
      </c>
      <c r="G4" s="12" t="n">
        <v>3186.307</v>
      </c>
      <c r="H4" s="12" t="n">
        <v>4281.418</v>
      </c>
      <c r="I4" s="12" t="n">
        <v>7353.439</v>
      </c>
      <c r="J4" s="12" t="n">
        <v>1816.545</v>
      </c>
      <c r="K4" s="12" t="n">
        <v>3800.204</v>
      </c>
      <c r="L4" s="12" t="n">
        <v>4108.305</v>
      </c>
      <c r="M4" s="12" t="n">
        <v>7582.328</v>
      </c>
      <c r="N4" s="12" t="n">
        <v>2409.161</v>
      </c>
      <c r="O4" s="11" t="n"/>
      <c r="P4" s="12" t="n"/>
      <c r="Q4" s="12" t="n"/>
      <c r="R4" s="12" t="n"/>
      <c r="S4" s="12" t="n"/>
      <c r="T4" s="12" t="n"/>
      <c r="U4" s="12" t="n">
        <v>18009.293</v>
      </c>
      <c r="V4" s="12" t="n">
        <v>17582.489</v>
      </c>
      <c r="W4" s="12" t="n">
        <v>17262.298</v>
      </c>
      <c r="X4" s="12" t="n">
        <v>17307.382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2847.399</v>
      </c>
      <c r="D11" s="22" t="n">
        <v>2386.377</v>
      </c>
      <c r="E11" s="22" t="n">
        <v>4936.502</v>
      </c>
      <c r="F11" s="22" t="n">
        <v>1694.583</v>
      </c>
      <c r="G11" s="22" t="n">
        <v>2159.823</v>
      </c>
      <c r="H11" s="22" t="n">
        <v>2865.071</v>
      </c>
      <c r="I11" s="22" t="n">
        <v>4634.897</v>
      </c>
      <c r="J11" s="22" t="n">
        <v>1271.428</v>
      </c>
      <c r="K11" s="22" t="n">
        <v>2753.363</v>
      </c>
      <c r="L11" s="22" t="n">
        <v>3001.748</v>
      </c>
      <c r="M11" s="22" t="n">
        <v>5289.589</v>
      </c>
      <c r="N11" s="22" t="n">
        <v>1642.393</v>
      </c>
      <c r="O11" s="21" t="n"/>
      <c r="P11" s="22" t="n"/>
      <c r="Q11" s="22" t="n"/>
      <c r="R11" s="22" t="n"/>
      <c r="S11" s="22" t="n"/>
      <c r="T11" s="22" t="n"/>
      <c r="U11" s="22" t="n">
        <v>12320.782</v>
      </c>
      <c r="V11" s="22" t="n">
        <v>12210.727</v>
      </c>
      <c r="W11" s="22" t="n">
        <v>11354.374</v>
      </c>
      <c r="X11" s="22" t="n">
        <v>12316.128</v>
      </c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>
        <v>774.543</v>
      </c>
      <c r="D15" s="22" t="n">
        <v>725.0359999999999</v>
      </c>
      <c r="E15" s="22" t="n">
        <v>818.567</v>
      </c>
      <c r="F15" s="22" t="n">
        <v>716.686</v>
      </c>
      <c r="G15" s="22" t="n">
        <v>712.561</v>
      </c>
      <c r="H15" s="22" t="n">
        <v>738.044</v>
      </c>
      <c r="I15" s="22" t="n">
        <v>988.535</v>
      </c>
      <c r="J15" s="22" t="n">
        <v>768.318</v>
      </c>
      <c r="K15" s="22" t="n">
        <v>822.4059999999999</v>
      </c>
      <c r="L15" s="22" t="n">
        <v>750.936</v>
      </c>
      <c r="M15" s="22" t="n">
        <v>900.235</v>
      </c>
      <c r="N15" s="22" t="n">
        <v>774.28</v>
      </c>
      <c r="O15" s="21" t="n"/>
      <c r="P15" s="22" t="n"/>
      <c r="Q15" s="22" t="n"/>
      <c r="R15" s="22" t="n"/>
      <c r="S15" s="22" t="n"/>
      <c r="T15" s="22" t="n"/>
      <c r="U15" s="22" t="n">
        <v>3191.69</v>
      </c>
      <c r="V15" s="22" t="n">
        <v>3027.03</v>
      </c>
      <c r="W15" s="22" t="n">
        <v>3155.826</v>
      </c>
      <c r="X15" s="22" t="n">
        <v>3241.895</v>
      </c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>
        <v>0.043</v>
      </c>
      <c r="D16" s="12" t="n">
        <v>226.435</v>
      </c>
      <c r="E16" s="12" t="n">
        <v>2110.524</v>
      </c>
      <c r="F16" s="12" t="n">
        <v>29.863</v>
      </c>
      <c r="G16" s="12" t="n">
        <v>313.925</v>
      </c>
      <c r="H16" s="12" t="n">
        <v>678.302</v>
      </c>
      <c r="I16" s="12" t="n">
        <v>1730.007</v>
      </c>
      <c r="J16" s="12" t="n">
        <v>-223.201</v>
      </c>
      <c r="K16" s="12" t="n">
        <v>224.435</v>
      </c>
      <c r="L16" s="12" t="n">
        <v>355.621</v>
      </c>
      <c r="M16" s="12" t="n">
        <v>1392.503</v>
      </c>
      <c r="N16" s="12" t="n">
        <v>-7.512</v>
      </c>
      <c r="O16" s="11" t="n"/>
      <c r="P16" s="12" t="n"/>
      <c r="Q16" s="12" t="n"/>
      <c r="R16" s="12" t="n"/>
      <c r="S16" s="12" t="n"/>
      <c r="T16" s="12" t="n"/>
      <c r="U16" s="12" t="n">
        <v>2496.819</v>
      </c>
      <c r="V16" s="12" t="n">
        <v>2344.731</v>
      </c>
      <c r="W16" s="12" t="n">
        <v>2752.097</v>
      </c>
      <c r="X16" s="12" t="n">
        <v>1749.358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/>
      <c r="P23" s="22" t="n"/>
      <c r="Q23" s="22" t="n"/>
      <c r="R23" s="22" t="n"/>
      <c r="S23" s="22" t="n"/>
      <c r="T23" s="22" t="n"/>
      <c r="U23" s="22" t="n">
        <v>116.131</v>
      </c>
      <c r="V23" s="22" t="n">
        <v>143.581</v>
      </c>
      <c r="W23" s="22" t="n">
        <v>154.987</v>
      </c>
      <c r="X23" s="22" t="n">
        <v>166.941</v>
      </c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/>
      <c r="P27" s="22" t="n"/>
      <c r="Q27" s="22" t="n"/>
      <c r="R27" s="22" t="n"/>
      <c r="S27" s="22" t="n"/>
      <c r="T27" s="22" t="n"/>
      <c r="U27" s="22" t="n">
        <v>735.984</v>
      </c>
      <c r="V27" s="22" t="n">
        <v>916.769</v>
      </c>
      <c r="W27" s="22" t="n">
        <v>960.713</v>
      </c>
      <c r="X27" s="22" t="n">
        <v>817.323</v>
      </c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특별이익</t>
        </is>
      </c>
      <c r="B32" s="10" t="n"/>
      <c r="C32" s="21" t="n"/>
      <c r="D32" s="22" t="n"/>
      <c r="E32" s="22" t="n">
        <v>0</v>
      </c>
      <c r="F32" s="22" t="n"/>
      <c r="G32" s="22" t="n"/>
      <c r="H32" s="22" t="n">
        <v>77.211</v>
      </c>
      <c r="I32" s="22" t="n">
        <v>28.515</v>
      </c>
      <c r="J32" s="22" t="n"/>
      <c r="K32" s="22" t="n"/>
      <c r="L32" s="22" t="n">
        <v>0.35</v>
      </c>
      <c r="M32" s="22" t="n">
        <v>0</v>
      </c>
      <c r="N32" s="22" t="n"/>
      <c r="O32" s="21" t="n"/>
      <c r="P32" s="22" t="n"/>
      <c r="Q32" s="22" t="n"/>
      <c r="R32" s="22" t="n"/>
      <c r="S32" s="22" t="n"/>
      <c r="T32" s="22" t="n"/>
      <c r="U32" s="22" t="n">
        <v>46.14</v>
      </c>
      <c r="V32" s="22" t="n">
        <v>0.209</v>
      </c>
      <c r="W32" s="22" t="n">
        <v>105.726</v>
      </c>
      <c r="X32" s="22" t="n">
        <v>314.876</v>
      </c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특별손실</t>
        </is>
      </c>
      <c r="B34" s="10" t="n"/>
      <c r="C34" s="21" t="n"/>
      <c r="D34" s="22" t="n"/>
      <c r="E34" s="22" t="n"/>
      <c r="F34" s="22" t="n"/>
      <c r="G34" s="22" t="n"/>
      <c r="H34" s="22" t="n">
        <v>0</v>
      </c>
      <c r="I34" s="22" t="n">
        <v>0</v>
      </c>
      <c r="J34" s="22" t="n"/>
      <c r="K34" s="22" t="n"/>
      <c r="L34" s="22" t="n">
        <v>0</v>
      </c>
      <c r="M34" s="22" t="n">
        <v>0.05</v>
      </c>
      <c r="N34" s="22" t="n"/>
      <c r="O34" s="21" t="n"/>
      <c r="P34" s="22" t="n"/>
      <c r="Q34" s="22" t="n"/>
      <c r="R34" s="22" t="n"/>
      <c r="S34" s="22" t="n"/>
      <c r="T34" s="22" t="n"/>
      <c r="U34" s="22" t="n">
        <v>273.406</v>
      </c>
      <c r="V34" s="22" t="n">
        <v>0.029</v>
      </c>
      <c r="W34" s="22" t="n">
        <v>0</v>
      </c>
      <c r="X34" s="22" t="n">
        <v>1.175</v>
      </c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영업외수익</t>
        </is>
      </c>
      <c r="B36" s="10" t="n"/>
      <c r="C36" s="21" t="n">
        <v>27.053</v>
      </c>
      <c r="D36" s="22" t="n">
        <v>49.53</v>
      </c>
      <c r="E36" s="22" t="n">
        <v>43.289</v>
      </c>
      <c r="F36" s="22" t="n">
        <v>70.258</v>
      </c>
      <c r="G36" s="22" t="n">
        <v>29.443</v>
      </c>
      <c r="H36" s="22" t="n">
        <v>58.688</v>
      </c>
      <c r="I36" s="22" t="n">
        <v>37.811</v>
      </c>
      <c r="J36" s="22" t="n">
        <v>60.84</v>
      </c>
      <c r="K36" s="22" t="n">
        <v>38.808</v>
      </c>
      <c r="L36" s="22" t="n">
        <v>53.109</v>
      </c>
      <c r="M36" s="22" t="n">
        <v>44.285</v>
      </c>
      <c r="N36" s="22" t="n">
        <v>67.419</v>
      </c>
      <c r="O36" s="21" t="n"/>
      <c r="P36" s="22" t="n"/>
      <c r="Q36" s="22" t="n"/>
      <c r="R36" s="22" t="n"/>
      <c r="S36" s="22" t="n"/>
      <c r="T36" s="22" t="n"/>
      <c r="U36" s="22" t="n">
        <v>89.23099999999999</v>
      </c>
      <c r="V36" s="22" t="n">
        <v>166.396</v>
      </c>
      <c r="W36" s="22" t="n">
        <v>196.2</v>
      </c>
      <c r="X36" s="22" t="n">
        <v>197.042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영업외비용</t>
        </is>
      </c>
      <c r="B38" s="10" t="n"/>
      <c r="C38" s="21" t="n">
        <v>48.973</v>
      </c>
      <c r="D38" s="22" t="n">
        <v>33.967</v>
      </c>
      <c r="E38" s="22" t="n">
        <v>38.022</v>
      </c>
      <c r="F38" s="22" t="n">
        <v>34.15</v>
      </c>
      <c r="G38" s="22" t="n">
        <v>60</v>
      </c>
      <c r="H38" s="22" t="n">
        <v>15.043</v>
      </c>
      <c r="I38" s="22" t="n">
        <v>56.255</v>
      </c>
      <c r="J38" s="22" t="n">
        <v>44.589</v>
      </c>
      <c r="K38" s="22" t="n">
        <v>39.051</v>
      </c>
      <c r="L38" s="22" t="n">
        <v>24.217</v>
      </c>
      <c r="M38" s="22" t="n">
        <v>44.502</v>
      </c>
      <c r="N38" s="22" t="n">
        <v>31.842</v>
      </c>
      <c r="O38" s="21" t="n"/>
      <c r="P38" s="22" t="n"/>
      <c r="Q38" s="22" t="n"/>
      <c r="R38" s="22" t="n"/>
      <c r="S38" s="22" t="n"/>
      <c r="T38" s="22" t="n"/>
      <c r="U38" s="22" t="n">
        <v>146.865</v>
      </c>
      <c r="V38" s="22" t="n">
        <v>159.646</v>
      </c>
      <c r="W38" s="22" t="n">
        <v>165.448</v>
      </c>
      <c r="X38" s="22" t="n">
        <v>152.359</v>
      </c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>
        <v>-21.876</v>
      </c>
      <c r="D40" s="12" t="n">
        <v>242.206</v>
      </c>
      <c r="E40" s="12" t="n">
        <v>2115.762</v>
      </c>
      <c r="F40" s="12" t="n">
        <v>65.971</v>
      </c>
      <c r="G40" s="12" t="n">
        <v>283.368</v>
      </c>
      <c r="H40" s="12" t="n">
        <v>799.158</v>
      </c>
      <c r="I40" s="12" t="n">
        <v>1740.077</v>
      </c>
      <c r="J40" s="12" t="n">
        <v>-206.95</v>
      </c>
      <c r="K40" s="12" t="n">
        <v>537.593</v>
      </c>
      <c r="L40" s="12" t="n">
        <v>384.863</v>
      </c>
      <c r="M40" s="12" t="n">
        <v>1392.237</v>
      </c>
      <c r="N40" s="12" t="n">
        <v>28.064</v>
      </c>
      <c r="O40" s="11" t="n"/>
      <c r="P40" s="12" t="n"/>
      <c r="Q40" s="12" t="n"/>
      <c r="R40" s="12" t="n"/>
      <c r="S40" s="12" t="n"/>
      <c r="T40" s="12" t="n"/>
      <c r="U40" s="12" t="n">
        <v>2211.919</v>
      </c>
      <c r="V40" s="12" t="n">
        <v>2351.661</v>
      </c>
      <c r="W40" s="12" t="n">
        <v>2888.574</v>
      </c>
      <c r="X40" s="12" t="n">
        <v>2107.743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>
        <v>16.422</v>
      </c>
      <c r="D41" s="22" t="n">
        <v>87.705</v>
      </c>
      <c r="E41" s="22" t="n">
        <v>544.583</v>
      </c>
      <c r="F41" s="22" t="n">
        <v>26.681</v>
      </c>
      <c r="G41" s="22" t="n">
        <v>97.658</v>
      </c>
      <c r="H41" s="22" t="n">
        <v>256.012</v>
      </c>
      <c r="I41" s="22" t="n">
        <v>301.673</v>
      </c>
      <c r="J41" s="22" t="n">
        <v>-68.02800000000001</v>
      </c>
      <c r="K41" s="22" t="n">
        <v>177.639</v>
      </c>
      <c r="L41" s="22" t="n">
        <v>123.208</v>
      </c>
      <c r="M41" s="22" t="n">
        <v>356.691</v>
      </c>
      <c r="N41" s="22" t="n">
        <v>21.627</v>
      </c>
      <c r="O41" s="21" t="n"/>
      <c r="P41" s="22" t="n"/>
      <c r="Q41" s="22" t="n"/>
      <c r="R41" s="22" t="n"/>
      <c r="S41" s="22" t="n"/>
      <c r="T41" s="22" t="n"/>
      <c r="U41" s="22" t="n">
        <v>614.766</v>
      </c>
      <c r="V41" s="22" t="n">
        <v>671.228</v>
      </c>
      <c r="W41" s="22" t="n">
        <v>682.024</v>
      </c>
      <c r="X41" s="22" t="n">
        <v>589.51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>
        <v>-38.298</v>
      </c>
      <c r="D43" s="12" t="n">
        <v>154.5</v>
      </c>
      <c r="E43" s="12" t="n">
        <v>1571.179</v>
      </c>
      <c r="F43" s="12" t="n">
        <v>39.29</v>
      </c>
      <c r="G43" s="12" t="n">
        <v>185.709</v>
      </c>
      <c r="H43" s="12" t="n">
        <v>543.147</v>
      </c>
      <c r="I43" s="12" t="n">
        <v>1438.404</v>
      </c>
      <c r="J43" s="12" t="n">
        <v>-138.921</v>
      </c>
      <c r="K43" s="12" t="n">
        <v>359.952</v>
      </c>
      <c r="L43" s="12" t="n">
        <v>261.656</v>
      </c>
      <c r="M43" s="12" t="n">
        <v>1035.545</v>
      </c>
      <c r="N43" s="12" t="n">
        <v>6.436</v>
      </c>
      <c r="O43" s="11" t="n"/>
      <c r="P43" s="12" t="n"/>
      <c r="Q43" s="12" t="n"/>
      <c r="R43" s="12" t="n"/>
      <c r="S43" s="12" t="n"/>
      <c r="T43" s="12" t="n"/>
      <c r="U43" s="12" t="n">
        <v>1597.153</v>
      </c>
      <c r="V43" s="12" t="n">
        <v>1680.432</v>
      </c>
      <c r="W43" s="12" t="n">
        <v>2206.55</v>
      </c>
      <c r="X43" s="12" t="n">
        <v>1518.232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>
        <v>-38.298</v>
      </c>
      <c r="D44" s="12" t="n">
        <v>154.5</v>
      </c>
      <c r="E44" s="12" t="n">
        <v>1571.179</v>
      </c>
      <c r="F44" s="12" t="n">
        <v>39.29</v>
      </c>
      <c r="G44" s="12" t="n">
        <v>185.709</v>
      </c>
      <c r="H44" s="12" t="n">
        <v>543.147</v>
      </c>
      <c r="I44" s="12" t="n">
        <v>1438.404</v>
      </c>
      <c r="J44" s="12" t="n">
        <v>-138.921</v>
      </c>
      <c r="K44" s="12" t="n">
        <v>359.952</v>
      </c>
      <c r="L44" s="12" t="n">
        <v>261.656</v>
      </c>
      <c r="M44" s="12" t="n">
        <v>1035.545</v>
      </c>
      <c r="N44" s="12" t="n">
        <v>6.436</v>
      </c>
      <c r="O44" s="11" t="n"/>
      <c r="P44" s="12" t="n"/>
      <c r="Q44" s="12" t="n"/>
      <c r="R44" s="12" t="n"/>
      <c r="S44" s="12" t="n"/>
      <c r="T44" s="12" t="n"/>
      <c r="U44" s="12" t="n">
        <v>1597.153</v>
      </c>
      <c r="V44" s="12" t="n">
        <v>1680.432</v>
      </c>
      <c r="W44" s="12" t="n">
        <v>2206.55</v>
      </c>
      <c r="X44" s="12" t="n">
        <v>1518.232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()</t>
        </is>
      </c>
      <c r="B47" s="29" t="n"/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/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2024.2Q</t>
        </is>
      </c>
      <c r="D77" s="5" t="inlineStr">
        <is>
          <t>2024.3Q</t>
        </is>
      </c>
      <c r="E77" s="5" t="inlineStr">
        <is>
          <t>2024.4Q</t>
        </is>
      </c>
      <c r="F77" s="5" t="inlineStr">
        <is>
          <t>2025.1Q</t>
        </is>
      </c>
      <c r="G77" s="5" t="inlineStr">
        <is>
          <t>2025.2Q</t>
        </is>
      </c>
      <c r="H77" s="5" t="inlineStr">
        <is>
          <t>2025.3Q</t>
        </is>
      </c>
      <c r="I77" s="5" t="inlineStr">
        <is>
          <t>2025.4Q</t>
        </is>
      </c>
      <c r="J77" s="5" t="inlineStr">
        <is>
          <t>2026.1Q</t>
        </is>
      </c>
      <c r="K77" s="5" t="inlineStr">
        <is>
          <t>2026.2Q</t>
        </is>
      </c>
      <c r="L77" s="5" t="inlineStr">
        <is>
          <t>2026.3Q</t>
        </is>
      </c>
      <c r="M77" s="5" t="inlineStr">
        <is>
          <t>2026.4Q</t>
        </is>
      </c>
      <c r="N77" s="5" t="inlineStr">
        <is>
          <t>2027.1Q</t>
        </is>
      </c>
      <c r="O77" s="5" t="inlineStr">
        <is>
          <t>2017</t>
        </is>
      </c>
      <c r="P77" s="5" t="inlineStr">
        <is>
          <t>2018</t>
        </is>
      </c>
      <c r="Q77" s="5" t="inlineStr">
        <is>
          <t>2019</t>
        </is>
      </c>
      <c r="R77" s="5" t="inlineStr">
        <is>
          <t>2020</t>
        </is>
      </c>
      <c r="S77" s="5" t="inlineStr">
        <is>
          <t>2021</t>
        </is>
      </c>
      <c r="T77" s="5" t="inlineStr">
        <is>
          <t>2022</t>
        </is>
      </c>
      <c r="U77" s="5" t="inlineStr">
        <is>
          <t>2023</t>
        </is>
      </c>
      <c r="V77" s="5" t="inlineStr">
        <is>
          <t>2024</t>
        </is>
      </c>
      <c r="W77" s="5" t="inlineStr">
        <is>
          <t>2025</t>
        </is>
      </c>
      <c r="X77" s="5" t="inlineStr">
        <is>
          <t>2026</t>
        </is>
      </c>
      <c r="Y77" s="5" t="inlineStr">
        <is>
          <t>2027(MW)</t>
        </is>
      </c>
      <c r="Z77" s="5" t="inlineStr">
        <is>
          <t>2028(MW)</t>
        </is>
      </c>
      <c r="AA77" s="5" t="inlineStr">
        <is>
          <t>2029(MW)</t>
        </is>
      </c>
      <c r="AB77" s="5" t="inlineStr">
        <is>
          <t>2030(MW)</t>
        </is>
      </c>
      <c r="AC77" s="5" t="inlineStr">
        <is>
          <t>2031(MW)</t>
        </is>
      </c>
    </row>
    <row r="78">
      <c r="A78" s="9" t="inlineStr">
        <is>
          <t>매출액</t>
        </is>
      </c>
      <c r="C78" s="12" t="n">
        <v>3621.985</v>
      </c>
      <c r="D78" s="12" t="n">
        <v>3337.847</v>
      </c>
      <c r="E78" s="12" t="n">
        <v>7865.594</v>
      </c>
      <c r="F78" s="12" t="n">
        <v>2441.134</v>
      </c>
      <c r="G78" s="12" t="n">
        <v>3186.307</v>
      </c>
      <c r="H78" s="12" t="n">
        <v>4281.418</v>
      </c>
      <c r="I78" s="12" t="n">
        <v>7353.439</v>
      </c>
      <c r="J78" s="12" t="n">
        <v>1816.545</v>
      </c>
      <c r="K78" s="12" t="n">
        <v>3800.204</v>
      </c>
      <c r="L78" s="12" t="n">
        <v>4108.305</v>
      </c>
      <c r="M78" s="12" t="n">
        <v>7582.328</v>
      </c>
      <c r="N78" s="12" t="n">
        <v>2409.161</v>
      </c>
      <c r="V78" s="12" t="n">
        <v>7865.594</v>
      </c>
      <c r="W78" s="12" t="n">
        <v>7353.439</v>
      </c>
      <c r="X78" s="12" t="n">
        <v>7582.328</v>
      </c>
    </row>
    <row r="79">
      <c r="A79" s="20" t="inlineStr">
        <is>
          <t>매출원가</t>
        </is>
      </c>
      <c r="C79" s="22" t="n">
        <v>2847.399</v>
      </c>
      <c r="D79" s="22" t="n">
        <v>2386.377</v>
      </c>
      <c r="E79" s="22" t="n">
        <v>4936.502</v>
      </c>
      <c r="F79" s="22" t="n">
        <v>1694.583</v>
      </c>
      <c r="G79" s="22" t="n">
        <v>2159.823</v>
      </c>
      <c r="H79" s="22" t="n">
        <v>2865.071</v>
      </c>
      <c r="I79" s="22" t="n">
        <v>4634.897</v>
      </c>
      <c r="J79" s="22" t="n">
        <v>1271.428</v>
      </c>
      <c r="K79" s="22" t="n">
        <v>2753.363</v>
      </c>
      <c r="L79" s="22" t="n">
        <v>3001.748</v>
      </c>
      <c r="M79" s="22" t="n">
        <v>5289.589</v>
      </c>
      <c r="N79" s="22" t="n">
        <v>1642.393</v>
      </c>
      <c r="V79" s="22" t="n">
        <v>4936.502</v>
      </c>
      <c r="W79" s="22" t="n">
        <v>4634.897</v>
      </c>
      <c r="X79" s="22" t="n">
        <v>5289.589</v>
      </c>
    </row>
    <row r="80">
      <c r="A80" s="9" t="inlineStr">
        <is>
          <t>매출총이익</t>
        </is>
      </c>
      <c r="C80" s="12" t="n">
        <v>774.585</v>
      </c>
      <c r="D80" s="12" t="n">
        <v>951.471</v>
      </c>
      <c r="E80" s="12" t="n">
        <v>2929.092</v>
      </c>
      <c r="F80" s="12" t="n">
        <v>746.55</v>
      </c>
      <c r="G80" s="12" t="n">
        <v>1026.485</v>
      </c>
      <c r="H80" s="12" t="n">
        <v>1416.347</v>
      </c>
      <c r="I80" s="12" t="n">
        <v>2718.542</v>
      </c>
      <c r="J80" s="12" t="n">
        <v>545.117</v>
      </c>
      <c r="K80" s="12" t="n">
        <v>1046.841</v>
      </c>
      <c r="L80" s="12" t="n">
        <v>1106.557</v>
      </c>
      <c r="M80" s="12" t="n">
        <v>2292.738</v>
      </c>
      <c r="N80" s="12" t="n">
        <v>766.7670000000001</v>
      </c>
      <c r="V80" s="12" t="n">
        <v>2929.092</v>
      </c>
      <c r="W80" s="12" t="n">
        <v>2718.542</v>
      </c>
      <c r="X80" s="12" t="n">
        <v>2292.738</v>
      </c>
    </row>
    <row r="81">
      <c r="A81" s="20" t="inlineStr">
        <is>
          <t>판매비와 관리비</t>
        </is>
      </c>
      <c r="C81" s="22" t="n">
        <v>774.543</v>
      </c>
      <c r="D81" s="22" t="n">
        <v>725.0359999999999</v>
      </c>
      <c r="E81" s="22" t="n">
        <v>818.567</v>
      </c>
      <c r="F81" s="22" t="n">
        <v>716.686</v>
      </c>
      <c r="G81" s="22" t="n">
        <v>712.561</v>
      </c>
      <c r="H81" s="22" t="n">
        <v>738.044</v>
      </c>
      <c r="I81" s="22" t="n">
        <v>988.535</v>
      </c>
      <c r="J81" s="22" t="n">
        <v>768.318</v>
      </c>
      <c r="K81" s="22" t="n">
        <v>822.4059999999999</v>
      </c>
      <c r="L81" s="22" t="n">
        <v>750.936</v>
      </c>
      <c r="M81" s="22" t="n">
        <v>900.235</v>
      </c>
      <c r="N81" s="22" t="n">
        <v>774.28</v>
      </c>
      <c r="V81" s="22" t="n">
        <v>818.567</v>
      </c>
      <c r="W81" s="22" t="n">
        <v>988.535</v>
      </c>
      <c r="X81" s="22" t="n">
        <v>900.235</v>
      </c>
    </row>
    <row r="82">
      <c r="A82" s="9" t="inlineStr">
        <is>
          <t>Operating Income</t>
        </is>
      </c>
      <c r="C82" s="12" t="n">
        <v>0.043</v>
      </c>
      <c r="D82" s="12" t="n">
        <v>226.435</v>
      </c>
      <c r="E82" s="12" t="n">
        <v>2110.524</v>
      </c>
      <c r="F82" s="12" t="n">
        <v>29.863</v>
      </c>
      <c r="G82" s="12" t="n">
        <v>313.925</v>
      </c>
      <c r="H82" s="12" t="n">
        <v>678.302</v>
      </c>
      <c r="I82" s="12" t="n">
        <v>1730.007</v>
      </c>
      <c r="J82" s="12" t="n">
        <v>-223.201</v>
      </c>
      <c r="K82" s="12" t="n">
        <v>224.435</v>
      </c>
      <c r="L82" s="12" t="n">
        <v>355.621</v>
      </c>
      <c r="M82" s="12" t="n">
        <v>1392.503</v>
      </c>
      <c r="N82" s="12" t="n">
        <v>-7.512</v>
      </c>
      <c r="V82" s="12" t="n">
        <v>2110.524</v>
      </c>
      <c r="W82" s="12" t="n">
        <v>1730.007</v>
      </c>
      <c r="X82" s="12" t="n">
        <v>1392.503</v>
      </c>
    </row>
    <row r="83">
      <c r="A83" s="20" t="inlineStr">
        <is>
          <t>배당금수익</t>
        </is>
      </c>
      <c r="C83" s="22" t="n">
        <v>0.32</v>
      </c>
      <c r="D83" s="22" t="n">
        <v>13.36</v>
      </c>
      <c r="E83" s="22" t="n">
        <v>0</v>
      </c>
      <c r="F83" s="22" t="n">
        <v>12.702</v>
      </c>
      <c r="G83" s="22" t="n">
        <v>0.35</v>
      </c>
      <c r="H83" s="22" t="n">
        <v>16.558</v>
      </c>
      <c r="I83" s="22" t="n">
        <v>0</v>
      </c>
      <c r="J83" s="22" t="n">
        <v>14.505</v>
      </c>
      <c r="K83" s="22" t="n">
        <v>0</v>
      </c>
      <c r="L83" s="22" t="n">
        <v>19.807</v>
      </c>
      <c r="M83" s="22" t="n">
        <v>0</v>
      </c>
      <c r="N83" s="22" t="n">
        <v>22.734</v>
      </c>
      <c r="V83" s="22" t="n">
        <v>0</v>
      </c>
      <c r="W83" s="22" t="n">
        <v>0</v>
      </c>
      <c r="X83" s="22" t="n">
        <v>0</v>
      </c>
    </row>
    <row r="84">
      <c r="A84" s="20" t="inlineStr">
        <is>
          <t>부동산 임대료</t>
        </is>
      </c>
      <c r="C84" s="22" t="n">
        <v>23.917</v>
      </c>
      <c r="D84" s="22" t="n">
        <v>30.456</v>
      </c>
      <c r="E84" s="22" t="n">
        <v>31.056</v>
      </c>
      <c r="F84" s="22" t="n">
        <v>30.858</v>
      </c>
      <c r="G84" s="22" t="n">
        <v>30.771</v>
      </c>
      <c r="H84" s="22" t="n">
        <v>30.771</v>
      </c>
      <c r="I84" s="22" t="n">
        <v>30.772</v>
      </c>
      <c r="J84" s="22" t="n">
        <v>30.808</v>
      </c>
      <c r="K84" s="22" t="n">
        <v>30.767</v>
      </c>
      <c r="L84" s="22" t="n">
        <v>28.014</v>
      </c>
      <c r="M84" s="22" t="n">
        <v>28.017</v>
      </c>
      <c r="N84" s="22" t="n">
        <v>28.002</v>
      </c>
      <c r="V84" s="22" t="n">
        <v>31.056</v>
      </c>
      <c r="W84" s="22" t="n">
        <v>30.772</v>
      </c>
      <c r="X84" s="22" t="n">
        <v>28.017</v>
      </c>
    </row>
    <row r="85">
      <c r="A85" s="20" t="inlineStr">
        <is>
          <t>보상금 수취</t>
        </is>
      </c>
      <c r="D85" s="22" t="n">
        <v>0.575</v>
      </c>
      <c r="E85" s="22" t="n">
        <v>0.249</v>
      </c>
      <c r="H85" s="22" t="n">
        <v>0.166</v>
      </c>
      <c r="I85" s="22" t="n">
        <v>0.386</v>
      </c>
      <c r="L85" s="22" t="n">
        <v>0</v>
      </c>
      <c r="M85" s="22" t="n">
        <v>0.462</v>
      </c>
      <c r="V85" s="22" t="n">
        <v>0.249</v>
      </c>
      <c r="W85" s="22" t="n">
        <v>0.386</v>
      </c>
      <c r="X85" s="22" t="n">
        <v>0.462</v>
      </c>
    </row>
    <row r="86">
      <c r="A86" s="20" t="inlineStr">
        <is>
          <t>보조금 수입</t>
        </is>
      </c>
      <c r="C86" s="22" t="n">
        <v>0</v>
      </c>
      <c r="D86" s="22" t="n">
        <v>0.2</v>
      </c>
      <c r="E86" s="22" t="n">
        <v>0</v>
      </c>
      <c r="F86" s="22" t="n">
        <v>10.333</v>
      </c>
      <c r="G86" s="22" t="n">
        <v>0.126</v>
      </c>
      <c r="H86" s="22" t="n">
        <v>0</v>
      </c>
      <c r="I86" s="22" t="n">
        <v>0.348</v>
      </c>
      <c r="J86" s="22" t="n">
        <v>10.333</v>
      </c>
      <c r="K86" s="22" t="n">
        <v>0.289</v>
      </c>
      <c r="L86" s="22" t="n">
        <v>-0.289</v>
      </c>
      <c r="M86" s="22" t="n">
        <v>0.589</v>
      </c>
      <c r="N86" s="22" t="n">
        <v>0.221</v>
      </c>
      <c r="V86" s="22" t="n">
        <v>0</v>
      </c>
      <c r="W86" s="22" t="n">
        <v>0.348</v>
      </c>
      <c r="X86" s="22" t="n">
        <v>0.589</v>
      </c>
    </row>
    <row r="87">
      <c r="A87" s="20" t="inlineStr">
        <is>
          <t>Haizaishobunshunyu NOI</t>
        </is>
      </c>
      <c r="C87" s="22" t="n">
        <v>1.866</v>
      </c>
      <c r="D87" s="22" t="n">
        <v>2.175</v>
      </c>
      <c r="E87" s="22" t="n">
        <v>2.41</v>
      </c>
      <c r="F87" s="22" t="n">
        <v>6.063</v>
      </c>
      <c r="G87" s="22" t="n">
        <v>4.67</v>
      </c>
      <c r="H87" s="22" t="n">
        <v>7.036</v>
      </c>
      <c r="I87" s="22" t="n">
        <v>4.441</v>
      </c>
      <c r="J87" s="22" t="n">
        <v>3.802</v>
      </c>
      <c r="K87" s="22" t="n">
        <v>3.379</v>
      </c>
      <c r="L87" s="22" t="n">
        <v>2.309</v>
      </c>
      <c r="M87" s="22" t="n">
        <v>4.851</v>
      </c>
      <c r="N87" s="22" t="n">
        <v>4.871</v>
      </c>
      <c r="V87" s="22" t="n">
        <v>2.41</v>
      </c>
      <c r="W87" s="22" t="n">
        <v>4.441</v>
      </c>
      <c r="X87" s="22" t="n">
        <v>4.851</v>
      </c>
    </row>
    <row r="88">
      <c r="A88" s="20" t="inlineStr">
        <is>
          <t>기타</t>
        </is>
      </c>
      <c r="C88" s="22" t="n">
        <v>-2.963</v>
      </c>
      <c r="D88" s="22" t="n">
        <v>2.763</v>
      </c>
      <c r="F88" s="22" t="n">
        <v>10.3</v>
      </c>
      <c r="G88" s="22" t="n">
        <v>-8.019</v>
      </c>
      <c r="H88" s="22" t="n">
        <v>4.158</v>
      </c>
      <c r="J88" s="22" t="n">
        <v>1.391</v>
      </c>
      <c r="K88" s="22" t="n">
        <v>4.319</v>
      </c>
      <c r="L88" s="22" t="n">
        <v>3.271</v>
      </c>
      <c r="N88" s="22" t="n">
        <v>11.59</v>
      </c>
    </row>
    <row r="89">
      <c r="A89" s="20" t="inlineStr">
        <is>
          <t>영업외수익 합계</t>
        </is>
      </c>
      <c r="C89" s="22" t="n">
        <v>27.053</v>
      </c>
      <c r="D89" s="22" t="n">
        <v>49.53</v>
      </c>
      <c r="E89" s="22" t="n">
        <v>43.289</v>
      </c>
      <c r="F89" s="22" t="n">
        <v>70.258</v>
      </c>
      <c r="G89" s="22" t="n">
        <v>29.443</v>
      </c>
      <c r="H89" s="22" t="n">
        <v>58.688</v>
      </c>
      <c r="I89" s="22" t="n">
        <v>37.811</v>
      </c>
      <c r="J89" s="22" t="n">
        <v>60.84</v>
      </c>
      <c r="K89" s="22" t="n">
        <v>38.808</v>
      </c>
      <c r="L89" s="22" t="n">
        <v>53.109</v>
      </c>
      <c r="M89" s="22" t="n">
        <v>44.285</v>
      </c>
      <c r="N89" s="22" t="n">
        <v>67.419</v>
      </c>
      <c r="V89" s="22" t="n">
        <v>43.289</v>
      </c>
      <c r="W89" s="22" t="n">
        <v>37.811</v>
      </c>
      <c r="X89" s="22" t="n">
        <v>44.285</v>
      </c>
    </row>
    <row r="90">
      <c r="A90" s="20" t="inlineStr">
        <is>
          <t>지급보증료</t>
        </is>
      </c>
      <c r="C90" s="22" t="n">
        <v>5.716</v>
      </c>
      <c r="D90" s="22" t="n">
        <v>1.962</v>
      </c>
      <c r="E90" s="22" t="n">
        <v>3.751</v>
      </c>
      <c r="F90" s="22" t="n">
        <v>2.636</v>
      </c>
      <c r="G90" s="22" t="n">
        <v>3.988</v>
      </c>
      <c r="H90" s="22" t="n">
        <v>0.737</v>
      </c>
      <c r="I90" s="22" t="n">
        <v>4.452</v>
      </c>
      <c r="J90" s="22" t="n">
        <v>5.875</v>
      </c>
      <c r="K90" s="22" t="n">
        <v>6.967</v>
      </c>
      <c r="L90" s="22" t="n">
        <v>3.148</v>
      </c>
      <c r="M90" s="22" t="n">
        <v>4.088</v>
      </c>
      <c r="N90" s="22" t="n">
        <v>2.802</v>
      </c>
      <c r="V90" s="22" t="n">
        <v>3.751</v>
      </c>
      <c r="W90" s="22" t="n">
        <v>4.452</v>
      </c>
      <c r="X90" s="22" t="n">
        <v>4.088</v>
      </c>
    </row>
    <row r="91">
      <c r="A91" s="20" t="inlineStr">
        <is>
          <t>고정자산 제각손실</t>
        </is>
      </c>
      <c r="F91" s="22" t="n">
        <v>2.172</v>
      </c>
      <c r="J91" s="22" t="n">
        <v>1.548</v>
      </c>
      <c r="N91" s="22" t="n">
        <v>0.556</v>
      </c>
    </row>
    <row r="92">
      <c r="A92" s="20" t="inlineStr">
        <is>
          <t>Rent Expenses On Real Estates NOE</t>
        </is>
      </c>
      <c r="C92" s="22" t="n">
        <v>28.229</v>
      </c>
      <c r="D92" s="22" t="n">
        <v>28.397</v>
      </c>
      <c r="E92" s="22" t="n">
        <v>28.48</v>
      </c>
      <c r="F92" s="22" t="n">
        <v>28.582</v>
      </c>
      <c r="G92" s="22" t="n">
        <v>29.353</v>
      </c>
      <c r="H92" s="22" t="n">
        <v>28.552</v>
      </c>
      <c r="I92" s="22" t="n">
        <v>28.669</v>
      </c>
      <c r="J92" s="22" t="n">
        <v>28.741</v>
      </c>
      <c r="K92" s="22" t="n">
        <v>29.145</v>
      </c>
      <c r="L92" s="22" t="n">
        <v>29.373</v>
      </c>
      <c r="M92" s="22" t="n">
        <v>28.509</v>
      </c>
      <c r="N92" s="22" t="n">
        <v>28.468</v>
      </c>
      <c r="V92" s="22" t="n">
        <v>28.48</v>
      </c>
      <c r="W92" s="22" t="n">
        <v>28.669</v>
      </c>
      <c r="X92" s="22" t="n">
        <v>28.509</v>
      </c>
    </row>
    <row r="93">
      <c r="A93" s="20" t="inlineStr">
        <is>
          <t>Accident Related Expenses NOE</t>
        </is>
      </c>
      <c r="D93" s="22" t="n">
        <v>0</v>
      </c>
      <c r="E93" s="22" t="n">
        <v>0.252</v>
      </c>
      <c r="H93" s="22" t="n">
        <v>0</v>
      </c>
      <c r="I93" s="22" t="n">
        <v>0.962</v>
      </c>
      <c r="L93" s="22" t="n">
        <v>0</v>
      </c>
      <c r="M93" s="22" t="n">
        <v>1.119</v>
      </c>
      <c r="V93" s="22" t="n">
        <v>0.252</v>
      </c>
      <c r="W93" s="22" t="n">
        <v>0.962</v>
      </c>
      <c r="X93" s="22" t="n">
        <v>1.119</v>
      </c>
    </row>
    <row r="94">
      <c r="A94" s="20" t="inlineStr">
        <is>
          <t>외환차손</t>
        </is>
      </c>
      <c r="D94" s="22" t="n">
        <v>0</v>
      </c>
      <c r="E94" s="22" t="n">
        <v>0</v>
      </c>
      <c r="F94" s="22" t="n">
        <v>0</v>
      </c>
      <c r="G94" s="22" t="n">
        <v>20.582</v>
      </c>
      <c r="H94" s="22" t="n">
        <v>-16.223</v>
      </c>
      <c r="I94" s="22" t="n">
        <v>12.664</v>
      </c>
      <c r="J94" s="22" t="n">
        <v>8.413</v>
      </c>
      <c r="K94" s="22" t="n">
        <v>1.602</v>
      </c>
      <c r="L94" s="22" t="n">
        <v>-8.757</v>
      </c>
      <c r="M94" s="22" t="n">
        <v>7.468</v>
      </c>
      <c r="N94" s="22" t="n">
        <v>0</v>
      </c>
      <c r="V94" s="22" t="n">
        <v>0</v>
      </c>
      <c r="W94" s="22" t="n">
        <v>12.664</v>
      </c>
      <c r="X94" s="22" t="n">
        <v>7.468</v>
      </c>
    </row>
    <row r="95">
      <c r="A95" s="20" t="inlineStr">
        <is>
          <t>기타</t>
        </is>
      </c>
      <c r="C95" s="22" t="n">
        <v>13.904</v>
      </c>
      <c r="D95" s="22" t="n">
        <v>3.609</v>
      </c>
      <c r="F95" s="22" t="n">
        <v>0.758</v>
      </c>
      <c r="G95" s="22" t="n">
        <v>5.578</v>
      </c>
      <c r="H95" s="22" t="n">
        <v>1.976</v>
      </c>
      <c r="J95" s="22" t="n">
        <v>0.01</v>
      </c>
      <c r="K95" s="22" t="n">
        <v>2.886</v>
      </c>
      <c r="L95" s="22" t="n">
        <v>0.453</v>
      </c>
      <c r="N95" s="22" t="n">
        <v>0.015</v>
      </c>
    </row>
    <row r="96">
      <c r="A96" s="20" t="inlineStr">
        <is>
          <t>영업외비용 합계</t>
        </is>
      </c>
      <c r="C96" s="22" t="n">
        <v>48.973</v>
      </c>
      <c r="D96" s="22" t="n">
        <v>33.967</v>
      </c>
      <c r="E96" s="22" t="n">
        <v>38.022</v>
      </c>
      <c r="F96" s="22" t="n">
        <v>34.15</v>
      </c>
      <c r="G96" s="22" t="n">
        <v>60</v>
      </c>
      <c r="H96" s="22" t="n">
        <v>15.043</v>
      </c>
      <c r="I96" s="22" t="n">
        <v>56.255</v>
      </c>
      <c r="J96" s="22" t="n">
        <v>44.589</v>
      </c>
      <c r="K96" s="22" t="n">
        <v>39.051</v>
      </c>
      <c r="L96" s="22" t="n">
        <v>24.217</v>
      </c>
      <c r="M96" s="22" t="n">
        <v>44.502</v>
      </c>
      <c r="N96" s="22" t="n">
        <v>31.842</v>
      </c>
      <c r="V96" s="22" t="n">
        <v>38.022</v>
      </c>
      <c r="W96" s="22" t="n">
        <v>56.255</v>
      </c>
      <c r="X96" s="22" t="n">
        <v>44.502</v>
      </c>
    </row>
    <row r="97">
      <c r="A97" s="9" t="inlineStr">
        <is>
          <t>경상이익(손실)</t>
        </is>
      </c>
      <c r="C97" s="12" t="n">
        <v>-21.876</v>
      </c>
      <c r="D97" s="12" t="n">
        <v>241.997</v>
      </c>
      <c r="E97" s="12" t="n">
        <v>2115.791</v>
      </c>
      <c r="F97" s="12" t="n">
        <v>65.971</v>
      </c>
      <c r="G97" s="12" t="n">
        <v>283.368</v>
      </c>
      <c r="H97" s="12" t="n">
        <v>721.947</v>
      </c>
      <c r="I97" s="12" t="n">
        <v>1711.562</v>
      </c>
      <c r="J97" s="12" t="n">
        <v>-206.95</v>
      </c>
      <c r="K97" s="12" t="n">
        <v>224.191</v>
      </c>
      <c r="L97" s="12" t="n">
        <v>384.514</v>
      </c>
      <c r="M97" s="12" t="n">
        <v>1392.286</v>
      </c>
      <c r="N97" s="12" t="n">
        <v>28.064</v>
      </c>
      <c r="V97" s="12" t="n">
        <v>2115.791</v>
      </c>
      <c r="W97" s="12" t="n">
        <v>1711.562</v>
      </c>
      <c r="X97" s="12" t="n">
        <v>1392.286</v>
      </c>
    </row>
    <row r="98">
      <c r="A98" s="20" t="inlineStr">
        <is>
          <t>고정자산 매각이익</t>
        </is>
      </c>
      <c r="E98" s="22" t="n">
        <v>0</v>
      </c>
      <c r="H98" s="22" t="n">
        <v>0</v>
      </c>
      <c r="I98" s="22" t="n">
        <v>0</v>
      </c>
      <c r="L98" s="22" t="n">
        <v>0.35</v>
      </c>
      <c r="M98" s="22" t="n">
        <v>0</v>
      </c>
      <c r="V98" s="22" t="n">
        <v>0</v>
      </c>
      <c r="W98" s="22" t="n">
        <v>0</v>
      </c>
      <c r="X98" s="22" t="n">
        <v>0</v>
      </c>
    </row>
    <row r="99">
      <c r="A99" s="20" t="inlineStr">
        <is>
          <t>투자유가증권 매각이익</t>
        </is>
      </c>
      <c r="E99" s="22" t="n">
        <v>0</v>
      </c>
      <c r="I99" s="22" t="n">
        <v>28.515</v>
      </c>
      <c r="M99" s="22" t="n">
        <v>0</v>
      </c>
      <c r="V99" s="22" t="n">
        <v>0</v>
      </c>
      <c r="W99" s="22" t="n">
        <v>28.515</v>
      </c>
      <c r="X99" s="22" t="n">
        <v>0</v>
      </c>
    </row>
    <row r="100">
      <c r="A100" s="20" t="inlineStr">
        <is>
          <t>특별이익 합계</t>
        </is>
      </c>
      <c r="E100" s="22" t="n">
        <v>0</v>
      </c>
      <c r="H100" s="22" t="n">
        <v>77.211</v>
      </c>
      <c r="I100" s="22" t="n">
        <v>28.515</v>
      </c>
      <c r="L100" s="22" t="n">
        <v>0.35</v>
      </c>
      <c r="M100" s="22" t="n">
        <v>0</v>
      </c>
      <c r="V100" s="22" t="n">
        <v>0</v>
      </c>
      <c r="W100" s="22" t="n">
        <v>28.515</v>
      </c>
      <c r="X100" s="22" t="n">
        <v>0</v>
      </c>
    </row>
    <row r="101">
      <c r="A101" s="20" t="inlineStr">
        <is>
          <t>투자유가증권 매각손실</t>
        </is>
      </c>
      <c r="H101" s="22" t="n">
        <v>0</v>
      </c>
      <c r="I101" s="22" t="n">
        <v>0</v>
      </c>
      <c r="L101" s="22" t="n">
        <v>0</v>
      </c>
      <c r="M101" s="22" t="n">
        <v>0</v>
      </c>
      <c r="W101" s="22" t="n">
        <v>0</v>
      </c>
      <c r="X101" s="22" t="n">
        <v>0</v>
      </c>
    </row>
    <row r="102">
      <c r="A102" s="20" t="inlineStr">
        <is>
          <t>특별손실 합계</t>
        </is>
      </c>
      <c r="H102" s="22" t="n">
        <v>0</v>
      </c>
      <c r="I102" s="22" t="n">
        <v>0</v>
      </c>
      <c r="L102" s="22" t="n">
        <v>0</v>
      </c>
      <c r="M102" s="22" t="n">
        <v>0.05</v>
      </c>
      <c r="W102" s="22" t="n">
        <v>0</v>
      </c>
      <c r="X102" s="22" t="n">
        <v>0.05</v>
      </c>
    </row>
    <row r="103">
      <c r="A103" s="9" t="inlineStr">
        <is>
          <t>법인세차감전 중간순이익(손실)</t>
        </is>
      </c>
      <c r="C103" s="12" t="n">
        <v>-21.876</v>
      </c>
      <c r="D103" s="12" t="n">
        <v>242.206</v>
      </c>
      <c r="E103" s="12" t="n">
        <v>2115.762</v>
      </c>
      <c r="F103" s="12" t="n">
        <v>65.971</v>
      </c>
      <c r="G103" s="12" t="n">
        <v>283.368</v>
      </c>
      <c r="H103" s="12" t="n">
        <v>799.158</v>
      </c>
      <c r="I103" s="12" t="n">
        <v>1740.077</v>
      </c>
      <c r="J103" s="12" t="n">
        <v>-206.95</v>
      </c>
      <c r="K103" s="12" t="n">
        <v>537.593</v>
      </c>
      <c r="L103" s="12" t="n">
        <v>384.863</v>
      </c>
      <c r="M103" s="12" t="n">
        <v>1392.237</v>
      </c>
      <c r="N103" s="12" t="n">
        <v>28.064</v>
      </c>
      <c r="V103" s="12" t="n">
        <v>2115.762</v>
      </c>
      <c r="W103" s="12" t="n">
        <v>1740.077</v>
      </c>
      <c r="X103" s="12" t="n">
        <v>1392.237</v>
      </c>
    </row>
    <row r="104">
      <c r="A104" s="20" t="inlineStr">
        <is>
          <t>법인세·주민세·사업세</t>
        </is>
      </c>
      <c r="C104" s="22" t="n">
        <v>20.277</v>
      </c>
      <c r="D104" s="22" t="n">
        <v>35.279</v>
      </c>
      <c r="E104" s="22" t="n">
        <v>541.1180000000001</v>
      </c>
      <c r="F104" s="22" t="n">
        <v>49.728</v>
      </c>
      <c r="G104" s="22" t="n">
        <v>48.771</v>
      </c>
      <c r="H104" s="22" t="n">
        <v>187.492</v>
      </c>
      <c r="I104" s="22" t="n">
        <v>504.324</v>
      </c>
      <c r="J104" s="22" t="n">
        <v>3.532</v>
      </c>
      <c r="K104" s="22" t="n">
        <v>51.422</v>
      </c>
      <c r="L104" s="22" t="n">
        <v>29.504</v>
      </c>
      <c r="M104" s="22" t="n">
        <v>446.691</v>
      </c>
      <c r="N104" s="22" t="n">
        <v>56.472</v>
      </c>
      <c r="V104" s="22" t="n">
        <v>541.1180000000001</v>
      </c>
      <c r="W104" s="22" t="n">
        <v>504.324</v>
      </c>
      <c r="X104" s="22" t="n">
        <v>446.691</v>
      </c>
    </row>
    <row r="105">
      <c r="A105" s="20" t="inlineStr">
        <is>
          <t>법인세 조정액</t>
        </is>
      </c>
      <c r="C105" s="22" t="n">
        <v>-3.855</v>
      </c>
      <c r="D105" s="22" t="n">
        <v>52.426</v>
      </c>
      <c r="E105" s="22" t="n">
        <v>3.465</v>
      </c>
      <c r="F105" s="22" t="n">
        <v>-23.047</v>
      </c>
      <c r="G105" s="22" t="n">
        <v>48.886</v>
      </c>
      <c r="H105" s="22" t="n">
        <v>68.52</v>
      </c>
      <c r="I105" s="22" t="n">
        <v>-202.65</v>
      </c>
      <c r="J105" s="22" t="n">
        <v>-71.56100000000001</v>
      </c>
      <c r="K105" s="22" t="n">
        <v>126.218</v>
      </c>
      <c r="L105" s="22" t="n">
        <v>93.70399999999999</v>
      </c>
      <c r="M105" s="22" t="n">
        <v>-90.001</v>
      </c>
      <c r="N105" s="22" t="n">
        <v>-34.845</v>
      </c>
      <c r="V105" s="22" t="n">
        <v>3.465</v>
      </c>
      <c r="W105" s="22" t="n">
        <v>-202.65</v>
      </c>
      <c r="X105" s="22" t="n">
        <v>-90.001</v>
      </c>
    </row>
    <row r="106">
      <c r="A106" s="20" t="inlineStr">
        <is>
          <t>법인세 등 합계</t>
        </is>
      </c>
      <c r="C106" s="22" t="n">
        <v>16.422</v>
      </c>
      <c r="D106" s="22" t="n">
        <v>87.705</v>
      </c>
      <c r="E106" s="22" t="n">
        <v>544.583</v>
      </c>
      <c r="F106" s="22" t="n">
        <v>26.681</v>
      </c>
      <c r="G106" s="22" t="n">
        <v>97.658</v>
      </c>
      <c r="H106" s="22" t="n">
        <v>256.012</v>
      </c>
      <c r="I106" s="22" t="n">
        <v>301.673</v>
      </c>
      <c r="J106" s="22" t="n">
        <v>-68.02800000000001</v>
      </c>
      <c r="K106" s="22" t="n">
        <v>177.639</v>
      </c>
      <c r="L106" s="22" t="n">
        <v>123.208</v>
      </c>
      <c r="M106" s="22" t="n">
        <v>356.691</v>
      </c>
      <c r="N106" s="22" t="n">
        <v>21.627</v>
      </c>
      <c r="V106" s="22" t="n">
        <v>544.583</v>
      </c>
      <c r="W106" s="22" t="n">
        <v>301.673</v>
      </c>
      <c r="X106" s="22" t="n">
        <v>356.691</v>
      </c>
    </row>
    <row r="107">
      <c r="A107" s="9" t="inlineStr">
        <is>
          <t>중간순이익(손실)</t>
        </is>
      </c>
      <c r="C107" s="12" t="n">
        <v>-38.298</v>
      </c>
      <c r="D107" s="12" t="n">
        <v>154.5</v>
      </c>
      <c r="E107" s="12" t="n">
        <v>1571.179</v>
      </c>
      <c r="F107" s="12" t="n">
        <v>39.29</v>
      </c>
      <c r="G107" s="12" t="n">
        <v>185.709</v>
      </c>
      <c r="H107" s="12" t="n">
        <v>543.147</v>
      </c>
      <c r="I107" s="12" t="n">
        <v>1438.404</v>
      </c>
      <c r="J107" s="12" t="n">
        <v>-138.921</v>
      </c>
      <c r="K107" s="12" t="n">
        <v>359.952</v>
      </c>
      <c r="L107" s="12" t="n">
        <v>261.656</v>
      </c>
      <c r="M107" s="12" t="n">
        <v>1035.545</v>
      </c>
      <c r="N107" s="12" t="n">
        <v>6.436</v>
      </c>
      <c r="V107" s="12" t="n">
        <v>1571.179</v>
      </c>
      <c r="W107" s="12" t="n">
        <v>1438.404</v>
      </c>
      <c r="X107" s="12" t="n">
        <v>1035.545</v>
      </c>
    </row>
    <row r="108">
      <c r="A108" s="9" t="inlineStr">
        <is>
          <t>비지배주주 순이익</t>
        </is>
      </c>
      <c r="C108" s="12" t="n">
        <v>0</v>
      </c>
      <c r="D108" s="12" t="n">
        <v>0</v>
      </c>
      <c r="E108" s="12" t="n">
        <v>0</v>
      </c>
      <c r="F108" s="12" t="n">
        <v>0</v>
      </c>
      <c r="G108" s="12" t="n">
        <v>0</v>
      </c>
      <c r="H108" s="12" t="n">
        <v>0</v>
      </c>
      <c r="I108" s="12" t="n">
        <v>0</v>
      </c>
      <c r="J108" s="12" t="n">
        <v>0</v>
      </c>
      <c r="K108" s="12" t="n">
        <v>0</v>
      </c>
      <c r="L108" s="12" t="n">
        <v>0</v>
      </c>
      <c r="M108" s="12" t="n">
        <v>0</v>
      </c>
      <c r="N108" s="12" t="n">
        <v>0</v>
      </c>
      <c r="V108" s="12" t="n">
        <v>0</v>
      </c>
      <c r="W108" s="12" t="n">
        <v>0</v>
      </c>
      <c r="X108" s="12" t="n">
        <v>0</v>
      </c>
    </row>
    <row r="109">
      <c r="A109" s="9" t="inlineStr">
        <is>
          <t>지배주주 귀속 중간순이익(손실)</t>
        </is>
      </c>
      <c r="C109" s="12" t="n">
        <v>-38.298</v>
      </c>
      <c r="D109" s="12" t="n">
        <v>154.5</v>
      </c>
      <c r="E109" s="12" t="n">
        <v>1571.179</v>
      </c>
      <c r="F109" s="12" t="n">
        <v>39.29</v>
      </c>
      <c r="G109" s="12" t="n">
        <v>185.709</v>
      </c>
      <c r="H109" s="12" t="n">
        <v>543.147</v>
      </c>
      <c r="I109" s="12" t="n">
        <v>1438.404</v>
      </c>
      <c r="J109" s="12" t="n">
        <v>-138.921</v>
      </c>
      <c r="K109" s="12" t="n">
        <v>359.952</v>
      </c>
      <c r="L109" s="12" t="n">
        <v>261.656</v>
      </c>
      <c r="M109" s="12" t="n">
        <v>1035.545</v>
      </c>
      <c r="N109" s="12" t="n">
        <v>6.436</v>
      </c>
      <c r="V109" s="12" t="n">
        <v>1571.179</v>
      </c>
      <c r="W109" s="12" t="n">
        <v>1438.404</v>
      </c>
      <c r="X109" s="12" t="n">
        <v>1035.545</v>
      </c>
    </row>
    <row r="111">
      <c r="A111" s="18" t="inlineStr">
        <is>
          <t>포괄손익 · 전 항목</t>
        </is>
      </c>
      <c r="B111" s="44" t="inlineStr">
        <is>
          <t>분기 = 3개월 단독</t>
        </is>
      </c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</row>
    <row r="112">
      <c r="A112" s="5" t="inlineStr">
        <is>
          <t>항목</t>
        </is>
      </c>
      <c r="B112" s="5" t="inlineStr">
        <is>
          <t>참고</t>
        </is>
      </c>
      <c r="C112" s="5" t="inlineStr">
        <is>
          <t>2024.2Q</t>
        </is>
      </c>
      <c r="D112" s="5" t="inlineStr">
        <is>
          <t>2024.3Q</t>
        </is>
      </c>
      <c r="E112" s="5" t="inlineStr">
        <is>
          <t>2024.4Q</t>
        </is>
      </c>
      <c r="F112" s="5" t="inlineStr">
        <is>
          <t>2025.1Q</t>
        </is>
      </c>
      <c r="G112" s="5" t="inlineStr">
        <is>
          <t>2025.2Q</t>
        </is>
      </c>
      <c r="H112" s="5" t="inlineStr">
        <is>
          <t>2025.3Q</t>
        </is>
      </c>
      <c r="I112" s="5" t="inlineStr">
        <is>
          <t>2025.4Q</t>
        </is>
      </c>
      <c r="J112" s="5" t="inlineStr">
        <is>
          <t>2026.1Q</t>
        </is>
      </c>
      <c r="K112" s="5" t="inlineStr">
        <is>
          <t>2026.2Q</t>
        </is>
      </c>
      <c r="L112" s="5" t="inlineStr">
        <is>
          <t>2026.3Q</t>
        </is>
      </c>
      <c r="M112" s="5" t="inlineStr">
        <is>
          <t>2026.4Q</t>
        </is>
      </c>
      <c r="N112" s="5" t="inlineStr">
        <is>
          <t>2027.1Q</t>
        </is>
      </c>
      <c r="O112" s="5" t="inlineStr">
        <is>
          <t>2017</t>
        </is>
      </c>
      <c r="P112" s="5" t="inlineStr">
        <is>
          <t>2018</t>
        </is>
      </c>
      <c r="Q112" s="5" t="inlineStr">
        <is>
          <t>2019</t>
        </is>
      </c>
      <c r="R112" s="5" t="inlineStr">
        <is>
          <t>2020</t>
        </is>
      </c>
      <c r="S112" s="5" t="inlineStr">
        <is>
          <t>2021</t>
        </is>
      </c>
      <c r="T112" s="5" t="inlineStr">
        <is>
          <t>2022</t>
        </is>
      </c>
      <c r="U112" s="5" t="inlineStr">
        <is>
          <t>2023</t>
        </is>
      </c>
      <c r="V112" s="5" t="inlineStr">
        <is>
          <t>2024</t>
        </is>
      </c>
      <c r="W112" s="5" t="inlineStr">
        <is>
          <t>2025</t>
        </is>
      </c>
      <c r="X112" s="5" t="inlineStr">
        <is>
          <t>2026</t>
        </is>
      </c>
      <c r="Y112" s="5" t="inlineStr">
        <is>
          <t>2027(MW)</t>
        </is>
      </c>
      <c r="Z112" s="5" t="inlineStr">
        <is>
          <t>2028(MW)</t>
        </is>
      </c>
      <c r="AA112" s="5" t="inlineStr">
        <is>
          <t>2029(MW)</t>
        </is>
      </c>
      <c r="AB112" s="5" t="inlineStr">
        <is>
          <t>2030(MW)</t>
        </is>
      </c>
      <c r="AC112" s="5" t="inlineStr">
        <is>
          <t>2031(MW)</t>
        </is>
      </c>
    </row>
    <row r="113">
      <c r="A113" s="9" t="inlineStr">
        <is>
          <t>중간순이익(손실)</t>
        </is>
      </c>
      <c r="C113" s="12" t="n">
        <v>-38.298</v>
      </c>
      <c r="D113" s="12" t="n">
        <v>154.5</v>
      </c>
      <c r="E113" s="12" t="n">
        <v>1571.179</v>
      </c>
      <c r="F113" s="12" t="n">
        <v>39.29</v>
      </c>
      <c r="G113" s="12" t="n">
        <v>185.709</v>
      </c>
      <c r="H113" s="12" t="n">
        <v>543.147</v>
      </c>
      <c r="I113" s="12" t="n">
        <v>1438.404</v>
      </c>
      <c r="J113" s="12" t="n">
        <v>-138.921</v>
      </c>
      <c r="K113" s="12" t="n">
        <v>359.952</v>
      </c>
      <c r="L113" s="12" t="n">
        <v>261.656</v>
      </c>
      <c r="M113" s="12" t="n">
        <v>1035.545</v>
      </c>
      <c r="N113" s="12" t="n">
        <v>6.436</v>
      </c>
      <c r="V113" s="12" t="n">
        <v>1571.179</v>
      </c>
      <c r="W113" s="12" t="n">
        <v>1438.404</v>
      </c>
      <c r="X113" s="12" t="n">
        <v>1035.545</v>
      </c>
    </row>
    <row r="114">
      <c r="A114" s="20" t="inlineStr">
        <is>
          <t>기타유가증권 평가차액</t>
        </is>
      </c>
      <c r="C114" s="22" t="n">
        <v>46.829</v>
      </c>
      <c r="D114" s="22" t="n">
        <v>12.055</v>
      </c>
      <c r="E114" s="22" t="n">
        <v>109.992</v>
      </c>
      <c r="F114" s="22" t="n">
        <v>56.068</v>
      </c>
      <c r="G114" s="22" t="n">
        <v>-100.182</v>
      </c>
      <c r="H114" s="22" t="n">
        <v>-12.389</v>
      </c>
      <c r="I114" s="22" t="n">
        <v>-19.832</v>
      </c>
      <c r="J114" s="22" t="n">
        <v>39.547</v>
      </c>
      <c r="K114" s="22" t="n">
        <v>108.549</v>
      </c>
      <c r="L114" s="22" t="n">
        <v>65.111</v>
      </c>
      <c r="M114" s="22" t="n">
        <v>39.139</v>
      </c>
      <c r="N114" s="22" t="n">
        <v>111.699</v>
      </c>
      <c r="V114" s="22" t="n">
        <v>109.992</v>
      </c>
      <c r="W114" s="22" t="n">
        <v>-19.832</v>
      </c>
      <c r="X114" s="22" t="n">
        <v>39.139</v>
      </c>
    </row>
    <row r="115">
      <c r="A115" s="20" t="inlineStr">
        <is>
          <t>퇴직급여 조정액</t>
        </is>
      </c>
      <c r="C115" s="22" t="n">
        <v>-10.247</v>
      </c>
      <c r="D115" s="22" t="n">
        <v>-10.247</v>
      </c>
      <c r="E115" s="22" t="n">
        <v>303.63</v>
      </c>
      <c r="F115" s="22" t="n">
        <v>-14.186</v>
      </c>
      <c r="G115" s="22" t="n">
        <v>-14.186</v>
      </c>
      <c r="H115" s="22" t="n">
        <v>-14.186</v>
      </c>
      <c r="I115" s="22" t="n">
        <v>-57.225</v>
      </c>
      <c r="J115" s="22" t="n">
        <v>-7.902</v>
      </c>
      <c r="K115" s="22" t="n">
        <v>-7.902</v>
      </c>
      <c r="L115" s="22" t="n">
        <v>-7.902</v>
      </c>
      <c r="M115" s="22" t="n">
        <v>317.219</v>
      </c>
      <c r="N115" s="22" t="n">
        <v>-18.961</v>
      </c>
      <c r="V115" s="22" t="n">
        <v>303.63</v>
      </c>
      <c r="W115" s="22" t="n">
        <v>-57.225</v>
      </c>
      <c r="X115" s="22" t="n">
        <v>317.219</v>
      </c>
    </row>
    <row r="116">
      <c r="A116" s="20" t="inlineStr">
        <is>
          <t>기타포괄손익 합계</t>
        </is>
      </c>
      <c r="C116" s="22" t="n">
        <v>36.581</v>
      </c>
      <c r="D116" s="22" t="n">
        <v>1.809</v>
      </c>
      <c r="E116" s="22" t="n">
        <v>413.622</v>
      </c>
      <c r="F116" s="22" t="n">
        <v>41.882</v>
      </c>
      <c r="G116" s="22" t="n">
        <v>-114.368</v>
      </c>
      <c r="H116" s="22" t="n">
        <v>-26.575</v>
      </c>
      <c r="I116" s="22" t="n">
        <v>-77.057</v>
      </c>
      <c r="J116" s="22" t="n">
        <v>31.645</v>
      </c>
      <c r="K116" s="22" t="n">
        <v>100.646</v>
      </c>
      <c r="L116" s="22" t="n">
        <v>57.209</v>
      </c>
      <c r="M116" s="22" t="n">
        <v>356.359</v>
      </c>
      <c r="N116" s="22" t="n">
        <v>92.738</v>
      </c>
      <c r="V116" s="22" t="n">
        <v>413.622</v>
      </c>
      <c r="W116" s="22" t="n">
        <v>-77.057</v>
      </c>
      <c r="X116" s="22" t="n">
        <v>356.359</v>
      </c>
    </row>
    <row r="117">
      <c r="A117" s="9" t="inlineStr">
        <is>
          <t>포괄이익</t>
        </is>
      </c>
      <c r="C117" s="12" t="n">
        <v>-1.717</v>
      </c>
      <c r="D117" s="12" t="n">
        <v>156.31</v>
      </c>
      <c r="E117" s="12" t="n">
        <v>1984.801</v>
      </c>
      <c r="F117" s="12" t="n">
        <v>81.172</v>
      </c>
      <c r="G117" s="12" t="n">
        <v>71.34099999999999</v>
      </c>
      <c r="H117" s="12" t="n">
        <v>516.571</v>
      </c>
      <c r="I117" s="12" t="n">
        <v>1361.347</v>
      </c>
      <c r="J117" s="12" t="n">
        <v>-107.276</v>
      </c>
      <c r="K117" s="12" t="n">
        <v>460.599</v>
      </c>
      <c r="L117" s="12" t="n">
        <v>318.864</v>
      </c>
      <c r="M117" s="12" t="n">
        <v>1391.905</v>
      </c>
      <c r="N117" s="12" t="n">
        <v>99.175</v>
      </c>
      <c r="V117" s="12" t="n">
        <v>1984.801</v>
      </c>
      <c r="W117" s="12" t="n">
        <v>1361.347</v>
      </c>
      <c r="X117" s="12" t="n">
        <v>1391.905</v>
      </c>
    </row>
    <row r="118">
      <c r="A118" s="9" t="inlineStr">
        <is>
          <t>지배주주 포괄이익</t>
        </is>
      </c>
      <c r="C118" s="12" t="n">
        <v>-1.717</v>
      </c>
      <c r="D118" s="12" t="n">
        <v>156.31</v>
      </c>
      <c r="E118" s="12" t="n">
        <v>1984.801</v>
      </c>
      <c r="F118" s="12" t="n">
        <v>81.172</v>
      </c>
      <c r="G118" s="12" t="n">
        <v>71.34099999999999</v>
      </c>
      <c r="H118" s="12" t="n">
        <v>516.571</v>
      </c>
      <c r="I118" s="12" t="n">
        <v>1361.347</v>
      </c>
      <c r="J118" s="12" t="n">
        <v>-107.276</v>
      </c>
      <c r="K118" s="12" t="n">
        <v>460.599</v>
      </c>
      <c r="L118" s="12" t="n">
        <v>318.864</v>
      </c>
      <c r="M118" s="12" t="n">
        <v>1391.905</v>
      </c>
      <c r="N118" s="12" t="n">
        <v>99.175</v>
      </c>
      <c r="V118" s="12" t="n">
        <v>1984.801</v>
      </c>
      <c r="W118" s="12" t="n">
        <v>1361.347</v>
      </c>
      <c r="X118" s="12" t="n">
        <v>1391.905</v>
      </c>
    </row>
    <row r="119">
      <c r="A119" s="9" t="inlineStr">
        <is>
          <t>비지배주주 포괄이익</t>
        </is>
      </c>
      <c r="C119" s="12" t="n">
        <v>0</v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0</v>
      </c>
      <c r="J119" s="12" t="n">
        <v>0</v>
      </c>
      <c r="K119" s="12" t="n">
        <v>0</v>
      </c>
      <c r="L119" s="12" t="n">
        <v>0</v>
      </c>
      <c r="M119" s="12" t="n">
        <v>0</v>
      </c>
      <c r="N119" s="12" t="n">
        <v>0</v>
      </c>
      <c r="V119" s="12" t="n">
        <v>0</v>
      </c>
      <c r="W119" s="12" t="n">
        <v>0</v>
      </c>
      <c r="X119" s="12" t="n">
        <v>0</v>
      </c>
    </row>
    <row r="121">
      <c r="A121" s="18" t="inlineStr">
        <is>
          <t>현금흐름표 · 전 항목</t>
        </is>
      </c>
      <c r="B121" s="44" t="inlineStr">
        <is>
          <t>분기 = 결산기 첫날부터 누계(공시 그대로)</t>
        </is>
      </c>
      <c r="C121" s="18" t="n"/>
      <c r="D121" s="18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8" t="n"/>
      <c r="P121" s="18" t="n"/>
      <c r="Q121" s="18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</row>
    <row r="122">
      <c r="A122" s="5" t="inlineStr">
        <is>
          <t>항목</t>
        </is>
      </c>
      <c r="B122" s="5" t="inlineStr">
        <is>
          <t>참고</t>
        </is>
      </c>
      <c r="C122" s="5" t="inlineStr">
        <is>
          <t>2024.2Q</t>
        </is>
      </c>
      <c r="D122" s="5" t="inlineStr">
        <is>
          <t>2024.3Q</t>
        </is>
      </c>
      <c r="E122" s="5" t="inlineStr">
        <is>
          <t>2024.4Q</t>
        </is>
      </c>
      <c r="F122" s="5" t="inlineStr">
        <is>
          <t>2025.1Q</t>
        </is>
      </c>
      <c r="G122" s="5" t="inlineStr">
        <is>
          <t>2025.2Q</t>
        </is>
      </c>
      <c r="H122" s="5" t="inlineStr">
        <is>
          <t>2025.3Q</t>
        </is>
      </c>
      <c r="I122" s="5" t="inlineStr">
        <is>
          <t>2025.4Q</t>
        </is>
      </c>
      <c r="J122" s="5" t="inlineStr">
        <is>
          <t>2026.1Q</t>
        </is>
      </c>
      <c r="K122" s="5" t="inlineStr">
        <is>
          <t>2026.2Q</t>
        </is>
      </c>
      <c r="L122" s="5" t="inlineStr">
        <is>
          <t>2026.3Q</t>
        </is>
      </c>
      <c r="M122" s="5" t="inlineStr">
        <is>
          <t>2026.4Q</t>
        </is>
      </c>
      <c r="N122" s="5" t="inlineStr">
        <is>
          <t>2027.1Q</t>
        </is>
      </c>
      <c r="O122" s="5" t="inlineStr">
        <is>
          <t>2017</t>
        </is>
      </c>
      <c r="P122" s="5" t="inlineStr">
        <is>
          <t>2018</t>
        </is>
      </c>
      <c r="Q122" s="5" t="inlineStr">
        <is>
          <t>2019</t>
        </is>
      </c>
      <c r="R122" s="5" t="inlineStr">
        <is>
          <t>2020</t>
        </is>
      </c>
      <c r="S122" s="5" t="inlineStr">
        <is>
          <t>2021</t>
        </is>
      </c>
      <c r="T122" s="5" t="inlineStr">
        <is>
          <t>2022</t>
        </is>
      </c>
      <c r="U122" s="5" t="inlineStr">
        <is>
          <t>2023</t>
        </is>
      </c>
      <c r="V122" s="5" t="inlineStr">
        <is>
          <t>2024</t>
        </is>
      </c>
      <c r="W122" s="5" t="inlineStr">
        <is>
          <t>2025</t>
        </is>
      </c>
      <c r="X122" s="5" t="inlineStr">
        <is>
          <t>2026</t>
        </is>
      </c>
      <c r="Y122" s="5" t="inlineStr">
        <is>
          <t>2027(MW)</t>
        </is>
      </c>
      <c r="Z122" s="5" t="inlineStr">
        <is>
          <t>2028(MW)</t>
        </is>
      </c>
      <c r="AA122" s="5" t="inlineStr">
        <is>
          <t>2029(MW)</t>
        </is>
      </c>
      <c r="AB122" s="5" t="inlineStr">
        <is>
          <t>2030(MW)</t>
        </is>
      </c>
      <c r="AC122" s="5" t="inlineStr">
        <is>
          <t>2031(MW)</t>
        </is>
      </c>
    </row>
    <row r="123">
      <c r="A123" s="9" t="inlineStr">
        <is>
          <t>법인세차감전 순이익</t>
        </is>
      </c>
      <c r="C123" s="12" t="n">
        <v>-6.307</v>
      </c>
      <c r="E123" s="12" t="n">
        <v>2351.661</v>
      </c>
      <c r="G123" s="12" t="n">
        <v>349.339</v>
      </c>
      <c r="I123" s="12" t="n">
        <v>2888.574</v>
      </c>
      <c r="K123" s="12" t="n">
        <v>330.643</v>
      </c>
      <c r="M123" s="12" t="n">
        <v>2107.743</v>
      </c>
      <c r="U123" s="12" t="n">
        <v>2211.919</v>
      </c>
      <c r="V123" s="12" t="n">
        <v>2351.661</v>
      </c>
      <c r="W123" s="12" t="n">
        <v>2888.574</v>
      </c>
      <c r="X123" s="12" t="n">
        <v>2107.743</v>
      </c>
    </row>
    <row r="124">
      <c r="A124" s="20" t="inlineStr">
        <is>
          <t>감가상각비</t>
        </is>
      </c>
      <c r="C124" s="22" t="n">
        <v>185.204</v>
      </c>
      <c r="E124" s="22" t="n">
        <v>372.714</v>
      </c>
      <c r="G124" s="22" t="n">
        <v>175.168</v>
      </c>
      <c r="I124" s="22" t="n">
        <v>372.425</v>
      </c>
      <c r="K124" s="22" t="n">
        <v>184.374</v>
      </c>
      <c r="M124" s="22" t="n">
        <v>381.502</v>
      </c>
      <c r="U124" s="22" t="n">
        <v>326.133</v>
      </c>
      <c r="V124" s="22" t="n">
        <v>372.714</v>
      </c>
      <c r="W124" s="22" t="n">
        <v>372.425</v>
      </c>
      <c r="X124" s="22" t="n">
        <v>381.502</v>
      </c>
    </row>
    <row r="125">
      <c r="A125" s="20" t="inlineStr">
        <is>
          <t>영업권 상각</t>
        </is>
      </c>
      <c r="C125" s="22" t="n">
        <v>12.844</v>
      </c>
      <c r="E125" s="22" t="n">
        <v>19.267</v>
      </c>
      <c r="G125" s="22" t="n">
        <v>0</v>
      </c>
      <c r="I125" s="22" t="n">
        <v>0</v>
      </c>
      <c r="U125" s="22" t="n">
        <v>25.689</v>
      </c>
      <c r="V125" s="22" t="n">
        <v>19.267</v>
      </c>
      <c r="W125" s="22" t="n">
        <v>0</v>
      </c>
    </row>
    <row r="126">
      <c r="A126" s="20" t="inlineStr">
        <is>
          <t>대손충당금 증감</t>
        </is>
      </c>
      <c r="C126" s="22" t="n">
        <v>-0.423</v>
      </c>
      <c r="E126" s="22" t="n">
        <v>6.698</v>
      </c>
      <c r="G126" s="22" t="n">
        <v>-7.002</v>
      </c>
      <c r="I126" s="22" t="n">
        <v>-6.649</v>
      </c>
      <c r="K126" s="22" t="n">
        <v>-0.342</v>
      </c>
      <c r="M126" s="22" t="n">
        <v>69.428</v>
      </c>
      <c r="U126" s="22" t="n">
        <v>0.347</v>
      </c>
      <c r="V126" s="22" t="n">
        <v>6.698</v>
      </c>
      <c r="W126" s="22" t="n">
        <v>-6.649</v>
      </c>
      <c r="X126" s="22" t="n">
        <v>69.428</v>
      </c>
    </row>
    <row r="127">
      <c r="A127" s="20" t="inlineStr">
        <is>
          <t>상여충당금 증감</t>
        </is>
      </c>
      <c r="C127" s="22" t="n">
        <v>-0.168</v>
      </c>
      <c r="E127" s="22" t="n">
        <v>-35.673</v>
      </c>
      <c r="G127" s="22" t="n">
        <v>38.465</v>
      </c>
      <c r="I127" s="22" t="n">
        <v>83.639</v>
      </c>
      <c r="K127" s="22" t="n">
        <v>-50.188</v>
      </c>
      <c r="M127" s="22" t="n">
        <v>-73.75700000000001</v>
      </c>
      <c r="U127" s="22" t="n">
        <v>-79.036</v>
      </c>
      <c r="V127" s="22" t="n">
        <v>-35.673</v>
      </c>
      <c r="W127" s="22" t="n">
        <v>83.639</v>
      </c>
      <c r="X127" s="22" t="n">
        <v>-73.75700000000001</v>
      </c>
    </row>
    <row r="128">
      <c r="A128" s="20" t="inlineStr">
        <is>
          <t>임원 상여충당금 증감</t>
        </is>
      </c>
      <c r="C128" s="22" t="n">
        <v>-26.967</v>
      </c>
      <c r="E128" s="22" t="n">
        <v>-6.513</v>
      </c>
      <c r="G128" s="22" t="n">
        <v>-24.408</v>
      </c>
      <c r="I128" s="22" t="n">
        <v>5.086</v>
      </c>
      <c r="K128" s="22" t="n">
        <v>-23.026</v>
      </c>
      <c r="M128" s="22" t="n">
        <v>4.782</v>
      </c>
      <c r="U128" s="22" t="n">
        <v>7.171</v>
      </c>
      <c r="V128" s="22" t="n">
        <v>-6.513</v>
      </c>
      <c r="W128" s="22" t="n">
        <v>5.086</v>
      </c>
      <c r="X128" s="22" t="n">
        <v>4.782</v>
      </c>
    </row>
    <row r="129">
      <c r="A129" s="20" t="inlineStr">
        <is>
          <t>제품보증 충당금 증감</t>
        </is>
      </c>
      <c r="C129" s="22" t="n">
        <v>-4.265</v>
      </c>
      <c r="E129" s="22" t="n">
        <v>-38.442</v>
      </c>
      <c r="G129" s="22" t="n">
        <v>-0.641</v>
      </c>
      <c r="I129" s="22" t="n">
        <v>27.238</v>
      </c>
      <c r="K129" s="22" t="n">
        <v>-8.384</v>
      </c>
      <c r="M129" s="22" t="n">
        <v>-15.669</v>
      </c>
      <c r="U129" s="22" t="n">
        <v>26.743</v>
      </c>
      <c r="V129" s="22" t="n">
        <v>-38.442</v>
      </c>
      <c r="W129" s="22" t="n">
        <v>27.238</v>
      </c>
      <c r="X129" s="22" t="n">
        <v>-15.669</v>
      </c>
    </row>
    <row r="130">
      <c r="A130" s="20" t="inlineStr">
        <is>
          <t>Increase Decrease In Provision For Loss On Construction Contracts Ope CF</t>
        </is>
      </c>
      <c r="C130" s="22" t="n">
        <v>1.715</v>
      </c>
      <c r="E130" s="22" t="n">
        <v>-16.3</v>
      </c>
      <c r="G130" s="22" t="n">
        <v>14.224</v>
      </c>
      <c r="I130" s="22" t="n">
        <v>4.892</v>
      </c>
      <c r="K130" s="22" t="n">
        <v>-0.327</v>
      </c>
      <c r="M130" s="22" t="n">
        <v>45.595</v>
      </c>
      <c r="U130" s="22" t="n">
        <v>-31.897</v>
      </c>
      <c r="V130" s="22" t="n">
        <v>-16.3</v>
      </c>
      <c r="W130" s="22" t="n">
        <v>4.892</v>
      </c>
      <c r="X130" s="22" t="n">
        <v>45.595</v>
      </c>
    </row>
    <row r="131">
      <c r="A131" s="20" t="inlineStr">
        <is>
          <t>주식급여 충당금 증감</t>
        </is>
      </c>
      <c r="I131" s="22" t="n">
        <v>0</v>
      </c>
      <c r="M131" s="22" t="n">
        <v>39.933</v>
      </c>
      <c r="W131" s="22" t="n">
        <v>0</v>
      </c>
      <c r="X131" s="22" t="n">
        <v>39.933</v>
      </c>
    </row>
    <row r="132">
      <c r="A132" s="20" t="inlineStr">
        <is>
          <t>이자·배당금 수익</t>
        </is>
      </c>
      <c r="C132" s="22" t="n">
        <v>-11.816</v>
      </c>
      <c r="E132" s="22" t="n">
        <v>-25.472</v>
      </c>
      <c r="G132" s="22" t="n">
        <v>-13.515</v>
      </c>
      <c r="I132" s="22" t="n">
        <v>-31.282</v>
      </c>
      <c r="K132" s="22" t="n">
        <v>-18.053</v>
      </c>
      <c r="M132" s="22" t="n">
        <v>-43.128</v>
      </c>
      <c r="U132" s="22" t="n">
        <v>-22.098</v>
      </c>
      <c r="V132" s="22" t="n">
        <v>-25.472</v>
      </c>
      <c r="W132" s="22" t="n">
        <v>-31.282</v>
      </c>
      <c r="X132" s="22" t="n">
        <v>-43.128</v>
      </c>
    </row>
    <row r="133">
      <c r="A133" s="20" t="inlineStr">
        <is>
          <t>투자유가증권 매각손익</t>
        </is>
      </c>
      <c r="E133" s="22" t="n">
        <v>0.029</v>
      </c>
      <c r="G133" s="22" t="n">
        <v>0</v>
      </c>
      <c r="I133" s="22" t="n">
        <v>-105.726</v>
      </c>
      <c r="K133" s="22" t="n">
        <v>1.125</v>
      </c>
      <c r="M133" s="22" t="n">
        <v>1.125</v>
      </c>
      <c r="U133" s="22" t="n">
        <v>-0.2</v>
      </c>
      <c r="V133" s="22" t="n">
        <v>0.029</v>
      </c>
      <c r="W133" s="22" t="n">
        <v>-105.726</v>
      </c>
      <c r="X133" s="22" t="n">
        <v>1.125</v>
      </c>
    </row>
    <row r="134">
      <c r="A134" s="20" t="inlineStr">
        <is>
          <t>유형자산 매각손익</t>
        </is>
      </c>
      <c r="E134" s="22" t="n">
        <v>-0.209</v>
      </c>
      <c r="G134" s="22" t="n">
        <v>0</v>
      </c>
      <c r="I134" s="22" t="n">
        <v>0</v>
      </c>
      <c r="K134" s="22" t="n">
        <v>-314.526</v>
      </c>
      <c r="M134" s="22" t="n">
        <v>-314.876</v>
      </c>
      <c r="U134" s="22" t="n">
        <v>-45.94</v>
      </c>
      <c r="V134" s="22" t="n">
        <v>-0.209</v>
      </c>
      <c r="W134" s="22" t="n">
        <v>0</v>
      </c>
      <c r="X134" s="22" t="n">
        <v>-314.876</v>
      </c>
    </row>
    <row r="135">
      <c r="A135" s="20" t="inlineStr">
        <is>
          <t>고정자산 제각손실</t>
        </is>
      </c>
      <c r="C135" s="22" t="n">
        <v>0</v>
      </c>
      <c r="E135" s="22" t="n">
        <v>8.4</v>
      </c>
      <c r="G135" s="22" t="n">
        <v>6.011</v>
      </c>
      <c r="I135" s="22" t="n">
        <v>16.494</v>
      </c>
      <c r="K135" s="22" t="n">
        <v>-3.758</v>
      </c>
      <c r="M135" s="22" t="n">
        <v>5.133</v>
      </c>
      <c r="U135" s="22" t="n">
        <v>24.434</v>
      </c>
      <c r="V135" s="22" t="n">
        <v>8.4</v>
      </c>
      <c r="W135" s="22" t="n">
        <v>16.494</v>
      </c>
      <c r="X135" s="22" t="n">
        <v>5.133</v>
      </c>
    </row>
    <row r="136">
      <c r="A136" s="20" t="inlineStr">
        <is>
          <t>사업양도 손익</t>
        </is>
      </c>
      <c r="E136" s="22" t="n">
        <v>0</v>
      </c>
      <c r="U136" s="22" t="n">
        <v>273.206</v>
      </c>
      <c r="V136" s="22" t="n">
        <v>0</v>
      </c>
    </row>
    <row r="137">
      <c r="A137" s="20" t="inlineStr">
        <is>
          <t>매출채권 증감</t>
        </is>
      </c>
      <c r="C137" s="22" t="n">
        <v>4772.956</v>
      </c>
      <c r="E137" s="22" t="n">
        <v>-566.968</v>
      </c>
      <c r="G137" s="22" t="n">
        <v>2262.346</v>
      </c>
      <c r="I137" s="22" t="n">
        <v>-871.356</v>
      </c>
      <c r="K137" s="22" t="n">
        <v>3651.894</v>
      </c>
      <c r="M137" s="22" t="n">
        <v>2507.036</v>
      </c>
      <c r="U137" s="22" t="n">
        <v>-961.465</v>
      </c>
      <c r="V137" s="22" t="n">
        <v>-566.968</v>
      </c>
      <c r="W137" s="22" t="n">
        <v>-871.356</v>
      </c>
      <c r="X137" s="22" t="n">
        <v>2507.036</v>
      </c>
    </row>
    <row r="138">
      <c r="A138" s="20" t="inlineStr">
        <is>
          <t>재고자산 증감</t>
        </is>
      </c>
      <c r="C138" s="22" t="n">
        <v>-485.45</v>
      </c>
      <c r="E138" s="22" t="n">
        <v>136.332</v>
      </c>
      <c r="G138" s="22" t="n">
        <v>-1306.428</v>
      </c>
      <c r="I138" s="22" t="n">
        <v>77.098</v>
      </c>
      <c r="K138" s="22" t="n">
        <v>-1095.507</v>
      </c>
      <c r="M138" s="22" t="n">
        <v>796.4349999999999</v>
      </c>
      <c r="U138" s="22" t="n">
        <v>24.096</v>
      </c>
      <c r="V138" s="22" t="n">
        <v>136.332</v>
      </c>
      <c r="W138" s="22" t="n">
        <v>77.098</v>
      </c>
      <c r="X138" s="22" t="n">
        <v>796.4349999999999</v>
      </c>
    </row>
    <row r="139">
      <c r="A139" s="20" t="inlineStr">
        <is>
          <t>매입채무 증감</t>
        </is>
      </c>
      <c r="C139" s="22" t="n">
        <v>-1111.96</v>
      </c>
      <c r="E139" s="22" t="n">
        <v>-70.61</v>
      </c>
      <c r="G139" s="22" t="n">
        <v>-1566.271</v>
      </c>
      <c r="I139" s="22" t="n">
        <v>-1633.575</v>
      </c>
      <c r="K139" s="22" t="n">
        <v>-770.7430000000001</v>
      </c>
      <c r="M139" s="22" t="n">
        <v>-1019.221</v>
      </c>
      <c r="U139" s="22" t="n">
        <v>-456.919</v>
      </c>
      <c r="V139" s="22" t="n">
        <v>-70.61</v>
      </c>
      <c r="W139" s="22" t="n">
        <v>-1633.575</v>
      </c>
      <c r="X139" s="22" t="n">
        <v>-1019.221</v>
      </c>
    </row>
    <row r="140">
      <c r="A140" s="20" t="inlineStr">
        <is>
          <t>미지급 소비세 증감</t>
        </is>
      </c>
      <c r="C140" s="22" t="n">
        <v>-189.615</v>
      </c>
      <c r="E140" s="22" t="n">
        <v>-142.375</v>
      </c>
      <c r="G140" s="22" t="n">
        <v>9.497999999999999</v>
      </c>
      <c r="I140" s="22" t="n">
        <v>226.959</v>
      </c>
      <c r="K140" s="22" t="n">
        <v>-181.057</v>
      </c>
      <c r="M140" s="22" t="n">
        <v>464.953</v>
      </c>
      <c r="U140" s="22" t="n">
        <v>122.911</v>
      </c>
      <c r="V140" s="22" t="n">
        <v>-142.375</v>
      </c>
      <c r="W140" s="22" t="n">
        <v>226.959</v>
      </c>
      <c r="X140" s="22" t="n">
        <v>464.953</v>
      </c>
    </row>
    <row r="141">
      <c r="A141" s="20" t="inlineStr">
        <is>
          <t>기타</t>
        </is>
      </c>
      <c r="C141" s="22" t="n">
        <v>-322.208</v>
      </c>
      <c r="E141" s="22" t="n">
        <v>-209.358</v>
      </c>
      <c r="G141" s="22" t="n">
        <v>-46.889</v>
      </c>
      <c r="I141" s="22" t="n">
        <v>67.895</v>
      </c>
      <c r="K141" s="22" t="n">
        <v>-126.254</v>
      </c>
      <c r="M141" s="22" t="n">
        <v>-65.133</v>
      </c>
      <c r="U141" s="22" t="n">
        <v>-185.205</v>
      </c>
      <c r="V141" s="22" t="n">
        <v>-209.358</v>
      </c>
      <c r="W141" s="22" t="n">
        <v>67.895</v>
      </c>
      <c r="X141" s="22" t="n">
        <v>-65.133</v>
      </c>
    </row>
    <row r="142">
      <c r="A142" s="20" t="inlineStr">
        <is>
          <t>소계</t>
        </is>
      </c>
      <c r="C142" s="22" t="n">
        <v>2813.538</v>
      </c>
      <c r="E142" s="22" t="n">
        <v>1783.178</v>
      </c>
      <c r="G142" s="22" t="n">
        <v>-110.101</v>
      </c>
      <c r="I142" s="22" t="n">
        <v>1121.714</v>
      </c>
      <c r="K142" s="22" t="n">
        <v>1575.867</v>
      </c>
      <c r="M142" s="22" t="n">
        <v>4891.882</v>
      </c>
      <c r="U142" s="22" t="n">
        <v>1259.89</v>
      </c>
      <c r="V142" s="22" t="n">
        <v>1783.178</v>
      </c>
      <c r="W142" s="22" t="n">
        <v>1121.714</v>
      </c>
      <c r="X142" s="22" t="n">
        <v>4891.882</v>
      </c>
    </row>
    <row r="143">
      <c r="A143" s="20" t="inlineStr">
        <is>
          <t>이자·배당금 수취</t>
        </is>
      </c>
      <c r="C143" s="22" t="n">
        <v>11.816</v>
      </c>
      <c r="E143" s="22" t="n">
        <v>25.472</v>
      </c>
      <c r="G143" s="22" t="n">
        <v>13.515</v>
      </c>
      <c r="I143" s="22" t="n">
        <v>31.282</v>
      </c>
      <c r="K143" s="22" t="n">
        <v>18.053</v>
      </c>
      <c r="M143" s="22" t="n">
        <v>43.128</v>
      </c>
      <c r="U143" s="22" t="n">
        <v>22.098</v>
      </c>
      <c r="V143" s="22" t="n">
        <v>25.472</v>
      </c>
      <c r="W143" s="22" t="n">
        <v>31.282</v>
      </c>
      <c r="X143" s="22" t="n">
        <v>43.128</v>
      </c>
    </row>
    <row r="144">
      <c r="A144" s="20" t="inlineStr">
        <is>
          <t>보험금 수취</t>
        </is>
      </c>
      <c r="E144" s="22" t="n">
        <v>0.589</v>
      </c>
      <c r="I144" s="22" t="n">
        <v>0.355</v>
      </c>
      <c r="M144" s="22" t="n">
        <v>0.461</v>
      </c>
      <c r="U144" s="22" t="n">
        <v>0.591</v>
      </c>
      <c r="V144" s="22" t="n">
        <v>0.589</v>
      </c>
      <c r="W144" s="22" t="n">
        <v>0.355</v>
      </c>
      <c r="X144" s="22" t="n">
        <v>0.461</v>
      </c>
    </row>
    <row r="145">
      <c r="A145" s="20" t="inlineStr">
        <is>
          <t>법인세 납부</t>
        </is>
      </c>
      <c r="C145" s="22" t="n">
        <v>-343.074</v>
      </c>
      <c r="E145" s="22" t="n">
        <v>-398.944</v>
      </c>
      <c r="G145" s="22" t="n">
        <v>-601.643</v>
      </c>
      <c r="I145" s="22" t="n">
        <v>-719.941</v>
      </c>
      <c r="K145" s="22" t="n">
        <v>-663.987</v>
      </c>
      <c r="M145" s="22" t="n">
        <v>-1104.149</v>
      </c>
      <c r="U145" s="22" t="n">
        <v>-665.624</v>
      </c>
      <c r="V145" s="22" t="n">
        <v>-398.944</v>
      </c>
      <c r="W145" s="22" t="n">
        <v>-719.941</v>
      </c>
      <c r="X145" s="22" t="n">
        <v>-1104.149</v>
      </c>
    </row>
    <row r="146">
      <c r="A146" s="20" t="inlineStr">
        <is>
          <t>법인세 환급</t>
        </is>
      </c>
      <c r="G146" s="22" t="n">
        <v>0</v>
      </c>
      <c r="I146" s="22" t="n">
        <v>0</v>
      </c>
      <c r="K146" s="22" t="n">
        <v>40.716</v>
      </c>
      <c r="M146" s="22" t="n">
        <v>40.716</v>
      </c>
      <c r="W146" s="22" t="n">
        <v>0</v>
      </c>
      <c r="X146" s="22" t="n">
        <v>40.716</v>
      </c>
    </row>
    <row r="147">
      <c r="A147" s="9" t="inlineStr">
        <is>
          <t>영업활동 현금흐름</t>
        </is>
      </c>
      <c r="C147" s="12" t="n">
        <v>2482.281</v>
      </c>
      <c r="E147" s="12" t="n">
        <v>1410.295</v>
      </c>
      <c r="G147" s="12" t="n">
        <v>-698.229</v>
      </c>
      <c r="I147" s="12" t="n">
        <v>433.41</v>
      </c>
      <c r="K147" s="12" t="n">
        <v>970.65</v>
      </c>
      <c r="M147" s="12" t="n">
        <v>3872.038</v>
      </c>
      <c r="U147" s="12" t="n">
        <v>616.956</v>
      </c>
      <c r="V147" s="12" t="n">
        <v>1410.295</v>
      </c>
      <c r="W147" s="12" t="n">
        <v>433.41</v>
      </c>
      <c r="X147" s="12" t="n">
        <v>3872.038</v>
      </c>
    </row>
    <row r="148">
      <c r="A148" s="20" t="inlineStr">
        <is>
          <t>유형자산 취득(설비투자)</t>
        </is>
      </c>
      <c r="C148" s="22" t="n">
        <v>-60.162</v>
      </c>
      <c r="E148" s="22" t="n">
        <v>-176.198</v>
      </c>
      <c r="G148" s="22" t="n">
        <v>-149.6</v>
      </c>
      <c r="I148" s="22" t="n">
        <v>-402.524</v>
      </c>
      <c r="K148" s="22" t="n">
        <v>-136.941</v>
      </c>
      <c r="M148" s="22" t="n">
        <v>-270.762</v>
      </c>
      <c r="U148" s="22" t="n">
        <v>-3750.162</v>
      </c>
      <c r="V148" s="22" t="n">
        <v>-176.198</v>
      </c>
      <c r="W148" s="22" t="n">
        <v>-402.524</v>
      </c>
      <c r="X148" s="22" t="n">
        <v>-270.762</v>
      </c>
    </row>
    <row r="149">
      <c r="A149" s="20" t="inlineStr">
        <is>
          <t>유형자산 매각</t>
        </is>
      </c>
      <c r="E149" s="22" t="n">
        <v>0.209</v>
      </c>
      <c r="G149" s="22" t="n">
        <v>0</v>
      </c>
      <c r="I149" s="22" t="n">
        <v>0</v>
      </c>
      <c r="K149" s="22" t="n">
        <v>366.389</v>
      </c>
      <c r="M149" s="22" t="n">
        <v>370.457</v>
      </c>
      <c r="U149" s="22" t="n">
        <v>213.545</v>
      </c>
      <c r="V149" s="22" t="n">
        <v>0.209</v>
      </c>
      <c r="W149" s="22" t="n">
        <v>0</v>
      </c>
      <c r="X149" s="22" t="n">
        <v>370.457</v>
      </c>
    </row>
    <row r="150">
      <c r="A150" s="20" t="inlineStr">
        <is>
          <t>무형자산 취득</t>
        </is>
      </c>
      <c r="C150" s="22" t="n">
        <v>-15.526</v>
      </c>
      <c r="E150" s="22" t="n">
        <v>-35.692</v>
      </c>
      <c r="G150" s="22" t="n">
        <v>-23.737</v>
      </c>
      <c r="I150" s="22" t="n">
        <v>-55.13</v>
      </c>
      <c r="K150" s="22" t="n">
        <v>-17.76</v>
      </c>
      <c r="M150" s="22" t="n">
        <v>-89.03400000000001</v>
      </c>
      <c r="U150" s="22" t="n">
        <v>-25.316</v>
      </c>
      <c r="V150" s="22" t="n">
        <v>-35.692</v>
      </c>
      <c r="W150" s="22" t="n">
        <v>-55.13</v>
      </c>
      <c r="X150" s="22" t="n">
        <v>-89.03400000000001</v>
      </c>
    </row>
    <row r="151">
      <c r="A151" s="20" t="inlineStr">
        <is>
          <t>자산복구부채 이행 지출</t>
        </is>
      </c>
      <c r="E151" s="22" t="n">
        <v>0</v>
      </c>
      <c r="U151" s="22" t="n">
        <v>-5.852</v>
      </c>
      <c r="V151" s="22" t="n">
        <v>0</v>
      </c>
    </row>
    <row r="152">
      <c r="A152" s="20" t="inlineStr">
        <is>
          <t>투자유가증권 취득</t>
        </is>
      </c>
      <c r="C152" s="22" t="n">
        <v>0</v>
      </c>
      <c r="E152" s="22" t="n">
        <v>0</v>
      </c>
      <c r="G152" s="22" t="n">
        <v>-52.322</v>
      </c>
      <c r="I152" s="22" t="n">
        <v>-99.548</v>
      </c>
      <c r="K152" s="22" t="n">
        <v>-286.481</v>
      </c>
      <c r="M152" s="22" t="n">
        <v>-286.503</v>
      </c>
      <c r="V152" s="22" t="n">
        <v>0</v>
      </c>
      <c r="W152" s="22" t="n">
        <v>-99.548</v>
      </c>
      <c r="X152" s="22" t="n">
        <v>-286.503</v>
      </c>
    </row>
    <row r="153">
      <c r="A153" s="20" t="inlineStr">
        <is>
          <t>투자유가증권 매각</t>
        </is>
      </c>
      <c r="E153" s="22" t="n">
        <v>0.675</v>
      </c>
      <c r="I153" s="22" t="n">
        <v>176.369</v>
      </c>
      <c r="M153" s="22" t="n">
        <v>8.843999999999999</v>
      </c>
      <c r="U153" s="22" t="n">
        <v>0.4</v>
      </c>
      <c r="V153" s="22" t="n">
        <v>0.675</v>
      </c>
      <c r="W153" s="22" t="n">
        <v>176.369</v>
      </c>
      <c r="X153" s="22" t="n">
        <v>8.843999999999999</v>
      </c>
    </row>
    <row r="154">
      <c r="A154" s="20" t="inlineStr">
        <is>
          <t>사업양도 수입</t>
        </is>
      </c>
      <c r="E154" s="22" t="n">
        <v>0</v>
      </c>
      <c r="U154" s="22" t="n">
        <v>137.28</v>
      </c>
      <c r="V154" s="22" t="n">
        <v>0</v>
      </c>
    </row>
    <row r="155">
      <c r="A155" s="20" t="inlineStr">
        <is>
          <t>임차보증금·보증금 회수</t>
        </is>
      </c>
      <c r="E155" s="22" t="n">
        <v>0</v>
      </c>
      <c r="U155" s="22" t="n">
        <v>12.845</v>
      </c>
      <c r="V155" s="22" t="n">
        <v>0</v>
      </c>
    </row>
    <row r="156">
      <c r="A156" s="20" t="inlineStr">
        <is>
          <t>관계회사 주식 취득</t>
        </is>
      </c>
      <c r="E156" s="22" t="n">
        <v>0</v>
      </c>
      <c r="I156" s="22" t="n">
        <v>-124.412</v>
      </c>
      <c r="M156" s="22" t="n">
        <v>0</v>
      </c>
      <c r="V156" s="22" t="n">
        <v>0</v>
      </c>
      <c r="W156" s="22" t="n">
        <v>-124.412</v>
      </c>
      <c r="X156" s="22" t="n">
        <v>0</v>
      </c>
    </row>
    <row r="157">
      <c r="A157" s="20" t="inlineStr">
        <is>
          <t>임차보증금·보증금 납입</t>
        </is>
      </c>
      <c r="E157" s="22" t="n">
        <v>0</v>
      </c>
      <c r="I157" s="22" t="n">
        <v>-45.817</v>
      </c>
      <c r="M157" s="22" t="n">
        <v>0</v>
      </c>
      <c r="V157" s="22" t="n">
        <v>0</v>
      </c>
      <c r="W157" s="22" t="n">
        <v>-45.817</v>
      </c>
      <c r="X157" s="22" t="n">
        <v>0</v>
      </c>
    </row>
    <row r="158">
      <c r="A158" s="20" t="inlineStr">
        <is>
          <t>기타</t>
        </is>
      </c>
      <c r="C158" s="22" t="n">
        <v>-1.064</v>
      </c>
      <c r="E158" s="22" t="n">
        <v>-2.555</v>
      </c>
      <c r="G158" s="22" t="n">
        <v>-3.892</v>
      </c>
      <c r="I158" s="22" t="n">
        <v>-12.575</v>
      </c>
      <c r="K158" s="22" t="n">
        <v>14.132</v>
      </c>
      <c r="M158" s="22" t="n">
        <v>-3.4</v>
      </c>
      <c r="U158" s="22" t="n">
        <v>-6.537</v>
      </c>
      <c r="V158" s="22" t="n">
        <v>-2.555</v>
      </c>
      <c r="W158" s="22" t="n">
        <v>-12.575</v>
      </c>
      <c r="X158" s="22" t="n">
        <v>-3.4</v>
      </c>
    </row>
    <row r="159">
      <c r="A159" s="9" t="inlineStr">
        <is>
          <t>투자활동 현금흐름</t>
        </is>
      </c>
      <c r="C159" s="12" t="n">
        <v>-76.753</v>
      </c>
      <c r="E159" s="12" t="n">
        <v>-213.561</v>
      </c>
      <c r="G159" s="12" t="n">
        <v>-229.553</v>
      </c>
      <c r="I159" s="12" t="n">
        <v>-563.638</v>
      </c>
      <c r="K159" s="12" t="n">
        <v>-60.661</v>
      </c>
      <c r="M159" s="12" t="n">
        <v>-270.398</v>
      </c>
      <c r="U159" s="12" t="n">
        <v>-3423.798</v>
      </c>
      <c r="V159" s="12" t="n">
        <v>-213.561</v>
      </c>
      <c r="W159" s="12" t="n">
        <v>-563.638</v>
      </c>
      <c r="X159" s="12" t="n">
        <v>-270.398</v>
      </c>
    </row>
    <row r="160">
      <c r="A160" s="20" t="inlineStr">
        <is>
          <t>배당금 지급</t>
        </is>
      </c>
      <c r="C160" s="22" t="n">
        <v>-408.191</v>
      </c>
      <c r="E160" s="22" t="n">
        <v>-408.83</v>
      </c>
      <c r="G160" s="22" t="n">
        <v>-409.689</v>
      </c>
      <c r="I160" s="22" t="n">
        <v>-409.689</v>
      </c>
      <c r="K160" s="22" t="n">
        <v>-498.886</v>
      </c>
      <c r="M160" s="22" t="n">
        <v>-498.958</v>
      </c>
      <c r="U160" s="22" t="n">
        <v>-349.873</v>
      </c>
      <c r="V160" s="22" t="n">
        <v>-408.83</v>
      </c>
      <c r="W160" s="22" t="n">
        <v>-409.689</v>
      </c>
      <c r="X160" s="22" t="n">
        <v>-498.958</v>
      </c>
    </row>
    <row r="161">
      <c r="A161" s="20" t="inlineStr">
        <is>
          <t>기타</t>
        </is>
      </c>
      <c r="C161" s="22" t="n">
        <v>-0.442</v>
      </c>
      <c r="E161" s="22" t="n">
        <v>-0.442</v>
      </c>
      <c r="G161" s="22" t="n">
        <v>0</v>
      </c>
      <c r="I161" s="22" t="n">
        <v>0</v>
      </c>
      <c r="K161" s="22" t="n">
        <v>-0.264</v>
      </c>
      <c r="M161" s="22" t="n">
        <v>-1.127</v>
      </c>
      <c r="U161" s="22" t="n">
        <v>-0.884</v>
      </c>
      <c r="V161" s="22" t="n">
        <v>-0.442</v>
      </c>
      <c r="W161" s="22" t="n">
        <v>0</v>
      </c>
      <c r="X161" s="22" t="n">
        <v>-1.127</v>
      </c>
    </row>
    <row r="162">
      <c r="A162" s="9" t="inlineStr">
        <is>
          <t>재무활동 현금흐름</t>
        </is>
      </c>
      <c r="C162" s="12" t="n">
        <v>-408.633</v>
      </c>
      <c r="E162" s="12" t="n">
        <v>-409.272</v>
      </c>
      <c r="G162" s="12" t="n">
        <v>-409.689</v>
      </c>
      <c r="I162" s="12" t="n">
        <v>-409.689</v>
      </c>
      <c r="K162" s="12" t="n">
        <v>-499.15</v>
      </c>
      <c r="M162" s="12" t="n">
        <v>-500.085</v>
      </c>
      <c r="U162" s="12" t="n">
        <v>-350.757</v>
      </c>
      <c r="V162" s="12" t="n">
        <v>-409.272</v>
      </c>
      <c r="W162" s="12" t="n">
        <v>-409.689</v>
      </c>
      <c r="X162" s="12" t="n">
        <v>-500.085</v>
      </c>
    </row>
    <row r="163">
      <c r="A163" s="20" t="inlineStr">
        <is>
          <t>현금성자산 환산차이</t>
        </is>
      </c>
      <c r="C163" s="22" t="n">
        <v>0.953</v>
      </c>
      <c r="E163" s="22" t="n">
        <v>-1.289</v>
      </c>
      <c r="G163" s="22" t="n">
        <v>-11.964</v>
      </c>
      <c r="I163" s="22" t="n">
        <v>-9.989000000000001</v>
      </c>
      <c r="K163" s="22" t="n">
        <v>-6.798</v>
      </c>
      <c r="M163" s="22" t="n">
        <v>-4.916</v>
      </c>
      <c r="U163" s="22" t="n">
        <v>1.158</v>
      </c>
      <c r="V163" s="22" t="n">
        <v>-1.289</v>
      </c>
      <c r="W163" s="22" t="n">
        <v>-9.989000000000001</v>
      </c>
      <c r="X163" s="22" t="n">
        <v>-4.916</v>
      </c>
    </row>
    <row r="164">
      <c r="A164" s="20" t="inlineStr">
        <is>
          <t>현금성자산 증감</t>
        </is>
      </c>
      <c r="C164" s="22" t="n">
        <v>1997.848</v>
      </c>
      <c r="E164" s="22" t="n">
        <v>786.171</v>
      </c>
      <c r="G164" s="22" t="n">
        <v>-1349.436</v>
      </c>
      <c r="I164" s="22" t="n">
        <v>-549.907</v>
      </c>
      <c r="K164" s="22" t="n">
        <v>404.04</v>
      </c>
      <c r="M164" s="22" t="n">
        <v>3096.637</v>
      </c>
      <c r="U164" s="22" t="n">
        <v>-3156.44</v>
      </c>
      <c r="V164" s="22" t="n">
        <v>786.171</v>
      </c>
      <c r="W164" s="22" t="n">
        <v>-549.907</v>
      </c>
      <c r="X164" s="22" t="n">
        <v>3096.637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30" customHeight="1">
      <c r="A1" s="1" t="inlineStr">
        <is>
          <t>6797 재무상태표</t>
        </is>
      </c>
    </row>
    <row r="2">
      <c r="A2" s="45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2023</t>
        </is>
      </c>
      <c r="I3" s="5" t="inlineStr">
        <is>
          <t>2024</t>
        </is>
      </c>
      <c r="J3" s="5" t="inlineStr">
        <is>
          <t>2025</t>
        </is>
      </c>
      <c r="K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</row>
    <row r="5">
      <c r="A5" s="9" t="inlineStr">
        <is>
          <t>유동자산</t>
        </is>
      </c>
      <c r="B5" s="10" t="n"/>
      <c r="C5" s="11" t="n">
        <v>17334.858</v>
      </c>
      <c r="D5" s="12" t="n">
        <v>18346.719</v>
      </c>
      <c r="E5" s="12" t="n">
        <v>18149.259</v>
      </c>
      <c r="F5" s="12" t="n">
        <v>19800.849</v>
      </c>
      <c r="G5" s="12" t="n">
        <v>17999.935</v>
      </c>
      <c r="H5" s="11" t="n">
        <v>18033.693</v>
      </c>
      <c r="I5" s="12" t="n">
        <v>18973.72</v>
      </c>
      <c r="J5" s="12" t="n">
        <v>19146.575</v>
      </c>
      <c r="K5" s="12" t="n">
        <v>19800.849</v>
      </c>
    </row>
    <row r="6">
      <c r="A6" s="20" t="inlineStr">
        <is>
          <t>현금및현금성자산</t>
        </is>
      </c>
      <c r="B6" s="10" t="n"/>
      <c r="C6" s="21" t="n">
        <v>5015.178</v>
      </c>
      <c r="D6" s="22" t="n">
        <v>4846.901</v>
      </c>
      <c r="E6" s="22" t="n">
        <v>6970.028</v>
      </c>
      <c r="F6" s="22" t="n">
        <v>7539.499</v>
      </c>
      <c r="G6" s="22" t="n">
        <v>8553.119000000001</v>
      </c>
      <c r="H6" s="21" t="n">
        <v>4206.596</v>
      </c>
      <c r="I6" s="22" t="n">
        <v>4992.768</v>
      </c>
      <c r="J6" s="22" t="n">
        <v>4442.861</v>
      </c>
      <c r="K6" s="22" t="n">
        <v>7539.499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</row>
    <row r="8">
      <c r="A8" s="20" t="inlineStr">
        <is>
          <t>매출채권</t>
        </is>
      </c>
      <c r="B8" s="10" t="n"/>
      <c r="C8" s="21" t="n">
        <v>1008.393</v>
      </c>
      <c r="D8" s="22" t="n">
        <v>2932.223</v>
      </c>
      <c r="E8" s="22" t="n">
        <v>1592.791</v>
      </c>
      <c r="F8" s="22" t="n">
        <v>5952.826</v>
      </c>
      <c r="G8" s="22" t="n">
        <v>1000.17</v>
      </c>
      <c r="H8" s="21" t="n">
        <v>5268.125</v>
      </c>
      <c r="I8" s="22" t="n">
        <v>2855.068</v>
      </c>
      <c r="J8" s="22" t="n">
        <v>4200.608</v>
      </c>
      <c r="K8" s="22" t="n">
        <v>5952.826</v>
      </c>
    </row>
    <row r="9">
      <c r="A9" s="20" t="inlineStr">
        <is>
          <t>재고자산</t>
        </is>
      </c>
      <c r="B9" s="10" t="n"/>
      <c r="C9" s="21" t="n">
        <v>4401.387</v>
      </c>
      <c r="D9" s="22" t="n">
        <v>4407.199</v>
      </c>
      <c r="E9" s="22" t="n">
        <v>4030.145</v>
      </c>
      <c r="F9" s="22" t="n">
        <v>2515.257</v>
      </c>
      <c r="G9" s="22" t="n">
        <v>3100.352</v>
      </c>
      <c r="H9" s="21" t="n">
        <v>3525.122</v>
      </c>
      <c r="I9" s="22" t="n">
        <v>3388.79</v>
      </c>
      <c r="J9" s="22" t="n">
        <v>3311.692</v>
      </c>
      <c r="K9" s="22" t="n">
        <v>2515.257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</row>
    <row r="11">
      <c r="A11" s="9" t="inlineStr">
        <is>
          <t>비유동자산</t>
        </is>
      </c>
      <c r="B11" s="10" t="n"/>
      <c r="C11" s="11" t="n">
        <v>8451.974</v>
      </c>
      <c r="D11" s="12" t="n">
        <v>8799.712</v>
      </c>
      <c r="E11" s="12" t="n">
        <v>8953.413</v>
      </c>
      <c r="F11" s="12" t="n">
        <v>9436.366</v>
      </c>
      <c r="G11" s="12" t="n">
        <v>9836.119000000001</v>
      </c>
      <c r="H11" s="11" t="n">
        <v>7658.954</v>
      </c>
      <c r="I11" s="12" t="n">
        <v>8267.772000000001</v>
      </c>
      <c r="J11" s="12" t="n">
        <v>8390.913</v>
      </c>
      <c r="K11" s="12" t="n">
        <v>9436.366</v>
      </c>
    </row>
    <row r="12">
      <c r="A12" s="20" t="inlineStr">
        <is>
          <t>유형자산</t>
        </is>
      </c>
      <c r="B12" s="10" t="n"/>
      <c r="C12" s="21" t="n">
        <v>5734.794</v>
      </c>
      <c r="D12" s="22" t="n">
        <v>5643.41</v>
      </c>
      <c r="E12" s="22" t="n">
        <v>5686.483</v>
      </c>
      <c r="F12" s="22" t="n">
        <v>5619.167</v>
      </c>
      <c r="G12" s="22" t="n">
        <v>5558.7</v>
      </c>
      <c r="H12" s="21" t="n">
        <v>5843.668</v>
      </c>
      <c r="I12" s="22" t="n">
        <v>5680.771</v>
      </c>
      <c r="J12" s="22" t="n">
        <v>5739.518</v>
      </c>
      <c r="K12" s="22" t="n">
        <v>5619.167</v>
      </c>
    </row>
    <row r="13">
      <c r="A13" s="20" t="inlineStr">
        <is>
          <t>무형자산</t>
        </is>
      </c>
      <c r="B13" s="10" t="n"/>
      <c r="C13" s="21" t="n">
        <v>105.194</v>
      </c>
      <c r="D13" s="22" t="n">
        <v>106.937</v>
      </c>
      <c r="E13" s="22" t="n">
        <v>126.639</v>
      </c>
      <c r="F13" s="22" t="n">
        <v>158.44</v>
      </c>
      <c r="G13" s="22" t="n">
        <v>155.245</v>
      </c>
      <c r="H13" s="21" t="n">
        <v>108.33</v>
      </c>
      <c r="I13" s="22" t="n">
        <v>96.23999999999999</v>
      </c>
      <c r="J13" s="22" t="n">
        <v>110.986</v>
      </c>
      <c r="K13" s="22" t="n">
        <v>158.44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</row>
    <row r="16">
      <c r="A16" s="9" t="inlineStr">
        <is>
          <t>자산총계</t>
        </is>
      </c>
      <c r="B16" s="10" t="n"/>
      <c r="C16" s="11" t="n">
        <v>25786.833</v>
      </c>
      <c r="D16" s="12" t="n">
        <v>27146.432</v>
      </c>
      <c r="E16" s="12" t="n">
        <v>27102.673</v>
      </c>
      <c r="F16" s="12" t="n">
        <v>29237.215</v>
      </c>
      <c r="G16" s="12" t="n">
        <v>27836.055</v>
      </c>
      <c r="H16" s="11" t="n">
        <v>25692.648</v>
      </c>
      <c r="I16" s="12" t="n">
        <v>27241.492</v>
      </c>
      <c r="J16" s="12" t="n">
        <v>27537.488</v>
      </c>
      <c r="K16" s="12" t="n">
        <v>29237.215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</row>
    <row r="18">
      <c r="A18" s="9" t="inlineStr">
        <is>
          <t>유동부채</t>
        </is>
      </c>
      <c r="B18" s="10" t="n"/>
      <c r="C18" s="11" t="n">
        <v>3762.473</v>
      </c>
      <c r="D18" s="12" t="n">
        <v>4467.202</v>
      </c>
      <c r="E18" s="12" t="n">
        <v>3988.771</v>
      </c>
      <c r="F18" s="12" t="n">
        <v>4664.485</v>
      </c>
      <c r="G18" s="12" t="n">
        <v>3649.965</v>
      </c>
      <c r="H18" s="11" t="n">
        <v>6463.68</v>
      </c>
      <c r="I18" s="12" t="n">
        <v>6032.769</v>
      </c>
      <c r="J18" s="12" t="n">
        <v>4881.443</v>
      </c>
      <c r="K18" s="12" t="n">
        <v>4664.485</v>
      </c>
    </row>
    <row r="19">
      <c r="A19" s="20" t="inlineStr">
        <is>
          <t>매입채무</t>
        </is>
      </c>
      <c r="B19" s="10" t="n"/>
      <c r="C19" s="21" t="n">
        <v>210.539</v>
      </c>
      <c r="D19" s="22" t="n">
        <v>308.306</v>
      </c>
      <c r="E19" s="22" t="n">
        <v>397.395</v>
      </c>
      <c r="F19" s="22" t="n">
        <v>786.6420000000001</v>
      </c>
      <c r="G19" s="22" t="n">
        <v>302.685</v>
      </c>
      <c r="H19" s="21" t="n">
        <v>463.648</v>
      </c>
      <c r="I19" s="22" t="n">
        <v>670.292</v>
      </c>
      <c r="J19" s="22" t="n">
        <v>487.033</v>
      </c>
      <c r="K19" s="22" t="n">
        <v>786.6420000000001</v>
      </c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/>
      <c r="I20" s="22" t="n"/>
      <c r="J20" s="22" t="n"/>
      <c r="K20" s="22" t="n"/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/>
      <c r="I21" s="22" t="n"/>
      <c r="J21" s="22" t="n"/>
      <c r="K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</row>
    <row r="23">
      <c r="A23" s="9" t="inlineStr">
        <is>
          <t>비유동부채</t>
        </is>
      </c>
      <c r="B23" s="10" t="n"/>
      <c r="C23" s="11" t="n">
        <v>230.657</v>
      </c>
      <c r="D23" s="12" t="n">
        <v>399.032</v>
      </c>
      <c r="E23" s="12" t="n">
        <v>514.841</v>
      </c>
      <c r="F23" s="12" t="n">
        <v>581.765</v>
      </c>
      <c r="G23" s="12" t="n">
        <v>603.929</v>
      </c>
      <c r="H23" s="11" t="n">
        <v>238.901</v>
      </c>
      <c r="I23" s="12" t="n">
        <v>446.82</v>
      </c>
      <c r="J23" s="12" t="n">
        <v>256.501</v>
      </c>
      <c r="K23" s="12" t="n">
        <v>581.765</v>
      </c>
    </row>
    <row r="24">
      <c r="A24" s="20" t="inlineStr">
        <is>
          <t>장기차입금</t>
        </is>
      </c>
      <c r="B24" s="10" t="n"/>
      <c r="C24" s="21" t="n"/>
      <c r="D24" s="22" t="n"/>
      <c r="E24" s="22" t="n"/>
      <c r="F24" s="22" t="n"/>
      <c r="G24" s="22" t="n"/>
      <c r="H24" s="21" t="n"/>
      <c r="I24" s="22" t="n"/>
      <c r="J24" s="22" t="n"/>
      <c r="K24" s="22" t="n"/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</row>
    <row r="27">
      <c r="A27" s="9" t="inlineStr">
        <is>
          <t>부채총계</t>
        </is>
      </c>
      <c r="B27" s="10" t="n"/>
      <c r="C27" s="11" t="n">
        <v>3993.13</v>
      </c>
      <c r="D27" s="12" t="n">
        <v>4866.235</v>
      </c>
      <c r="E27" s="12" t="n">
        <v>4503.612</v>
      </c>
      <c r="F27" s="12" t="n">
        <v>5246.25</v>
      </c>
      <c r="G27" s="12" t="n">
        <v>4253.895</v>
      </c>
      <c r="H27" s="11" t="n">
        <v>6702.582</v>
      </c>
      <c r="I27" s="12" t="n">
        <v>6479.589</v>
      </c>
      <c r="J27" s="12" t="n">
        <v>5137.944</v>
      </c>
      <c r="K27" s="12" t="n">
        <v>5246.25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</row>
    <row r="31">
      <c r="A31" s="9" t="inlineStr">
        <is>
          <t>지배주주지분</t>
        </is>
      </c>
      <c r="B31" s="10" t="n"/>
      <c r="C31" s="11" t="n">
        <v>21793.702</v>
      </c>
      <c r="D31" s="12" t="n">
        <v>22280.196</v>
      </c>
      <c r="E31" s="12" t="n">
        <v>22599.06</v>
      </c>
      <c r="F31" s="12" t="n">
        <v>23990.965</v>
      </c>
      <c r="G31" s="12" t="n">
        <v>23582.16</v>
      </c>
      <c r="H31" s="11" t="n">
        <v>18990.066</v>
      </c>
      <c r="I31" s="12" t="n">
        <v>20761.902</v>
      </c>
      <c r="J31" s="12" t="n">
        <v>22399.544</v>
      </c>
      <c r="K31" s="12" t="n">
        <v>23990.965</v>
      </c>
    </row>
    <row r="32">
      <c r="A32" s="20" t="inlineStr">
        <is>
          <t>자본금</t>
        </is>
      </c>
      <c r="B32" s="10" t="n"/>
      <c r="C32" s="21" t="n">
        <v>1184.975</v>
      </c>
      <c r="D32" s="22" t="n">
        <v>1184.975</v>
      </c>
      <c r="E32" s="22" t="n">
        <v>1184.975</v>
      </c>
      <c r="F32" s="22" t="n">
        <v>1184.975</v>
      </c>
      <c r="G32" s="22" t="n">
        <v>1184.975</v>
      </c>
      <c r="H32" s="21" t="n">
        <v>1184.975</v>
      </c>
      <c r="I32" s="22" t="n">
        <v>1184.975</v>
      </c>
      <c r="J32" s="22" t="n">
        <v>1184.975</v>
      </c>
      <c r="K32" s="22" t="n">
        <v>1184.975</v>
      </c>
    </row>
    <row r="33">
      <c r="A33" s="20" t="inlineStr">
        <is>
          <t>이익잉여금</t>
        </is>
      </c>
      <c r="B33" s="10" t="n"/>
      <c r="C33" s="21" t="n">
        <v>19169.648</v>
      </c>
      <c r="D33" s="22" t="n">
        <v>19529.601</v>
      </c>
      <c r="E33" s="22" t="n">
        <v>19791.256</v>
      </c>
      <c r="F33" s="22" t="n">
        <v>20826.802</v>
      </c>
      <c r="G33" s="22" t="n">
        <v>20285.325</v>
      </c>
      <c r="H33" s="21" t="n">
        <v>16739.31</v>
      </c>
      <c r="I33" s="22" t="n">
        <v>18010.566</v>
      </c>
      <c r="J33" s="22" t="n">
        <v>19807.135</v>
      </c>
      <c r="K33" s="22" t="n">
        <v>20826.802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</row>
    <row r="35">
      <c r="A35" s="9" t="inlineStr">
        <is>
          <t>자본총계</t>
        </is>
      </c>
      <c r="B35" s="10" t="n"/>
      <c r="C35" s="11" t="n">
        <v>21793.702</v>
      </c>
      <c r="D35" s="12" t="n">
        <v>22280.196</v>
      </c>
      <c r="E35" s="12" t="n">
        <v>22599.06</v>
      </c>
      <c r="F35" s="12" t="n">
        <v>23990.965</v>
      </c>
      <c r="G35" s="12" t="n">
        <v>23582.16</v>
      </c>
      <c r="H35" s="11" t="n">
        <v>18990.066</v>
      </c>
      <c r="I35" s="12" t="n">
        <v>20761.902</v>
      </c>
      <c r="J35" s="12" t="n">
        <v>22399.544</v>
      </c>
      <c r="K35" s="12" t="n">
        <v>23990.965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</row>
    <row r="37">
      <c r="A37" s="9" t="inlineStr">
        <is>
          <t>영업활동현금흐름</t>
        </is>
      </c>
      <c r="B37" s="10" t="n"/>
      <c r="C37" s="11" t="n"/>
      <c r="D37" s="12" t="n">
        <v>2102.289</v>
      </c>
      <c r="E37" s="12" t="n"/>
      <c r="F37" s="12" t="n">
        <v>3872.038</v>
      </c>
      <c r="G37" s="12" t="n"/>
      <c r="H37" s="11" t="n">
        <v>616.956</v>
      </c>
      <c r="I37" s="12" t="n">
        <v>1410.295</v>
      </c>
      <c r="J37" s="12" t="n">
        <v>433.41</v>
      </c>
      <c r="K37" s="12" t="n">
        <v>3872.038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>
        <v>439.018</v>
      </c>
      <c r="E38" s="22" t="n"/>
      <c r="F38" s="22" t="n">
        <v>359.796</v>
      </c>
      <c r="G38" s="22" t="n"/>
      <c r="H38" s="21" t="n">
        <v>3775.478</v>
      </c>
      <c r="I38" s="22" t="n">
        <v>211.89</v>
      </c>
      <c r="J38" s="22" t="n">
        <v>457.654</v>
      </c>
      <c r="K38" s="22" t="n">
        <v>359.796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>
        <v>498.886</v>
      </c>
      <c r="E40" s="22" t="n"/>
      <c r="F40" s="22" t="n">
        <v>498.958</v>
      </c>
      <c r="G40" s="22" t="n"/>
      <c r="H40" s="21" t="n">
        <v>349.873</v>
      </c>
      <c r="I40" s="22" t="n">
        <v>408.83</v>
      </c>
      <c r="J40" s="22" t="n">
        <v>409.689</v>
      </c>
      <c r="K40" s="22" t="n">
        <v>498.958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</row>
    <row r="43">
      <c r="A43" s="46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</row>
    <row r="44">
      <c r="A44" s="46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</row>
    <row r="45">
      <c r="A45" s="46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</row>
    <row r="46">
      <c r="A46" s="46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</row>
    <row r="47">
      <c r="A47" s="46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</row>
    <row r="48">
      <c r="A48" s="46" t="inlineStr">
        <is>
          <t>이자보상배율</t>
        </is>
      </c>
      <c r="B48" s="10" t="inlineStr">
        <is>
          <t>5x↑ (금융원가 기준)</t>
        </is>
      </c>
      <c r="C48" s="32">
        <f>IFERROR((IF(COUNT('연간'!G16:J16)&lt;4,"",SUM('연간'!G16:J16)))/(IF(COUNT('연간'!G38:J38)&lt;4,"",SUM('연간'!G38:J38))),"")</f>
        <v/>
      </c>
      <c r="D48" s="33">
        <f>IFERROR((IF(COUNT('연간'!H16:K16)&lt;4,"",SUM('연간'!H16:K16)))/(IF(COUNT('연간'!H38:K38)&lt;4,"",SUM('연간'!H38:K38))),"")</f>
        <v/>
      </c>
      <c r="E48" s="33">
        <f>IFERROR((IF(COUNT('연간'!I16:L16)&lt;4,"",SUM('연간'!I16:L16)))/(IF(COUNT('연간'!I38:L38)&lt;4,"",SUM('연간'!I38:L38))),"")</f>
        <v/>
      </c>
      <c r="F48" s="33">
        <f>IFERROR((IF(COUNT('연간'!J16:M16)&lt;4,"",SUM('연간'!J16:M16)))/(IF(COUNT('연간'!J38:M38)&lt;4,"",SUM('연간'!J38:M38))),"")</f>
        <v/>
      </c>
      <c r="G48" s="33">
        <f>IFERROR((IF(COUNT('연간'!K16:N16)&lt;4,"",SUM('연간'!K16:N16)))/(IF(COUNT('연간'!K38:N38)&lt;4,"",SUM('연간'!K38:N38))),"")</f>
        <v/>
      </c>
      <c r="H48" s="32">
        <f>IFERROR(('연간'!U16)/('연간'!U38),"")</f>
        <v/>
      </c>
      <c r="I48" s="33">
        <f>IFERROR(('연간'!V16)/('연간'!V38),"")</f>
        <v/>
      </c>
      <c r="J48" s="33">
        <f>IFERROR(('연간'!W16)/('연간'!W38),"")</f>
        <v/>
      </c>
      <c r="K48" s="33">
        <f>IFERROR(('연간'!X16)/('연간'!X38),"")</f>
        <v/>
      </c>
    </row>
    <row r="49">
      <c r="A49" s="46" t="inlineStr">
        <is>
          <t>차입금 상환연수</t>
        </is>
      </c>
      <c r="B49" s="10" t="inlineStr">
        <is>
          <t>4년↓ (버핏)</t>
        </is>
      </c>
      <c r="C49" s="47">
        <f>IFERROR(IF((IF(COUNT('연간'!G44:J44)&lt;4,"",SUM('연간'!G44:J44)))&lt;=0,"적자",C28/(IF(COUNT('연간'!G44:J44)&lt;4,"",SUM('연간'!G44:J44)))),"")</f>
        <v/>
      </c>
      <c r="D49" s="48">
        <f>IFERROR(IF((IF(COUNT('연간'!H44:K44)&lt;4,"",SUM('연간'!H44:K44)))&lt;=0,"적자",D28/(IF(COUNT('연간'!H44:K44)&lt;4,"",SUM('연간'!H44:K44)))),"")</f>
        <v/>
      </c>
      <c r="E49" s="48">
        <f>IFERROR(IF((IF(COUNT('연간'!I44:L44)&lt;4,"",SUM('연간'!I44:L44)))&lt;=0,"적자",E28/(IF(COUNT('연간'!I44:L44)&lt;4,"",SUM('연간'!I44:L44)))),"")</f>
        <v/>
      </c>
      <c r="F49" s="48">
        <f>IFERROR(IF((IF(COUNT('연간'!J44:M44)&lt;4,"",SUM('연간'!J44:M44)))&lt;=0,"적자",F28/(IF(COUNT('연간'!J44:M44)&lt;4,"",SUM('연간'!J44:M44)))),"")</f>
        <v/>
      </c>
      <c r="G49" s="48">
        <f>IFERROR(IF((IF(COUNT('연간'!K44:N44)&lt;4,"",SUM('연간'!K44:N44)))&lt;=0,"적자",G28/(IF(COUNT('연간'!K44:N44)&lt;4,"",SUM('연간'!K44:N44)))),"")</f>
        <v/>
      </c>
      <c r="H49" s="47">
        <f>IFERROR(IF(('연간'!U44)&lt;=0,"적자",H28/('연간'!U44)),"")</f>
        <v/>
      </c>
      <c r="I49" s="48">
        <f>IFERROR(IF(('연간'!V44)&lt;=0,"적자",I28/('연간'!V44)),"")</f>
        <v/>
      </c>
      <c r="J49" s="48">
        <f>IFERROR(IF(('연간'!W44)&lt;=0,"적자",J28/('연간'!W44)),"")</f>
        <v/>
      </c>
      <c r="K49" s="48">
        <f>IFERROR(IF(('연간'!X44)&lt;=0,"적자",K28/('연간'!X44)),"")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</row>
    <row r="51">
      <c r="A51" s="46" t="inlineStr">
        <is>
          <t>ROE</t>
        </is>
      </c>
      <c r="B51" s="10" t="inlineStr">
        <is>
          <t>15%↑ (버핏)</t>
        </is>
      </c>
      <c r="C51" s="37">
        <f>IFERROR((IF(COUNT('연간'!G44:J44)&lt;4,"",SUM('연간'!G44:J44)))/C31,"")</f>
        <v/>
      </c>
      <c r="D51" s="38">
        <f>IFERROR((IF(COUNT('연간'!H44:K44)&lt;4,"",SUM('연간'!H44:K44)))/D31,"")</f>
        <v/>
      </c>
      <c r="E51" s="38">
        <f>IFERROR((IF(COUNT('연간'!I44:L44)&lt;4,"",SUM('연간'!I44:L44)))/E31,"")</f>
        <v/>
      </c>
      <c r="F51" s="38">
        <f>IFERROR((IF(COUNT('연간'!J44:M44)&lt;4,"",SUM('연간'!J44:M44)))/F31,"")</f>
        <v/>
      </c>
      <c r="G51" s="38">
        <f>IFERROR((IF(COUNT('연간'!K44:N44)&lt;4,"",SUM('연간'!K44:N44)))/G31,"")</f>
        <v/>
      </c>
      <c r="H51" s="37">
        <f>IFERROR(('연간'!U44)/H31,"")</f>
        <v/>
      </c>
      <c r="I51" s="38">
        <f>IFERROR(('연간'!V44)/I31,"")</f>
        <v/>
      </c>
      <c r="J51" s="38">
        <f>IFERROR(('연간'!W44)/J31,"")</f>
        <v/>
      </c>
      <c r="K51" s="38">
        <f>IFERROR(('연간'!X44)/K31,"")</f>
        <v/>
      </c>
    </row>
    <row r="52">
      <c r="A52" s="46" t="inlineStr">
        <is>
          <t>ROA</t>
        </is>
      </c>
      <c r="B52" s="10" t="inlineStr">
        <is>
          <t>5%↑</t>
        </is>
      </c>
      <c r="C52" s="37">
        <f>IFERROR((IF(COUNT('연간'!G43:J43)&lt;4,"",SUM('연간'!G43:J43)))/C16,"")</f>
        <v/>
      </c>
      <c r="D52" s="38">
        <f>IFERROR((IF(COUNT('연간'!H43:K43)&lt;4,"",SUM('연간'!H43:K43)))/D16,"")</f>
        <v/>
      </c>
      <c r="E52" s="38">
        <f>IFERROR((IF(COUNT('연간'!I43:L43)&lt;4,"",SUM('연간'!I43:L43)))/E16,"")</f>
        <v/>
      </c>
      <c r="F52" s="38">
        <f>IFERROR((IF(COUNT('연간'!J43:M43)&lt;4,"",SUM('연간'!J43:M43)))/F16,"")</f>
        <v/>
      </c>
      <c r="G52" s="38">
        <f>IFERROR((IF(COUNT('연간'!K43:N43)&lt;4,"",SUM('연간'!K43:N43)))/G16,"")</f>
        <v/>
      </c>
      <c r="H52" s="37">
        <f>IFERROR(('연간'!U43)/H16,"")</f>
        <v/>
      </c>
      <c r="I52" s="38">
        <f>IFERROR(('연간'!V43)/I16,"")</f>
        <v/>
      </c>
      <c r="J52" s="38">
        <f>IFERROR(('연간'!W43)/J16,"")</f>
        <v/>
      </c>
      <c r="K52" s="38">
        <f>IFERROR(('연간'!X43)/K16,"")</f>
        <v/>
      </c>
    </row>
    <row r="53">
      <c r="A53" s="46" t="inlineStr">
        <is>
          <t>ROIC</t>
        </is>
      </c>
      <c r="B53" s="10" t="inlineStr">
        <is>
          <t>10%↑ (세후영업이익 기준)</t>
        </is>
      </c>
      <c r="C53" s="37">
        <f>IFERROR((IF(COUNT('연간'!G16:J16)&lt;4,"",SUM('연간'!G16:J16)))*(1-0.3)/(C35+C29),"")</f>
        <v/>
      </c>
      <c r="D53" s="38">
        <f>IFERROR((IF(COUNT('연간'!H16:K16)&lt;4,"",SUM('연간'!H16:K16)))*(1-0.3)/(D35+D29),"")</f>
        <v/>
      </c>
      <c r="E53" s="38">
        <f>IFERROR((IF(COUNT('연간'!I16:L16)&lt;4,"",SUM('연간'!I16:L16)))*(1-0.3)/(E35+E29),"")</f>
        <v/>
      </c>
      <c r="F53" s="38">
        <f>IFERROR((IF(COUNT('연간'!J16:M16)&lt;4,"",SUM('연간'!J16:M16)))*(1-0.3)/(F35+F29),"")</f>
        <v/>
      </c>
      <c r="G53" s="38">
        <f>IFERROR((IF(COUNT('연간'!K16:N16)&lt;4,"",SUM('연간'!K16:N16)))*(1-0.3)/(G35+G29),"")</f>
        <v/>
      </c>
      <c r="H53" s="37">
        <f>IFERROR(('연간'!U16)*(1-0.3)/(H35+H29),"")</f>
        <v/>
      </c>
      <c r="I53" s="38">
        <f>IFERROR(('연간'!V16)*(1-0.3)/(I35+I29),"")</f>
        <v/>
      </c>
      <c r="J53" s="38">
        <f>IFERROR(('연간'!W16)*(1-0.3)/(J35+J29),"")</f>
        <v/>
      </c>
      <c r="K53" s="38">
        <f>IFERROR(('연간'!X16)*(1-0.3)/(K35+K29),"")</f>
        <v/>
      </c>
    </row>
    <row r="54">
      <c r="A54" s="46" t="inlineStr">
        <is>
          <t>매출총이익률 (GPM)</t>
        </is>
      </c>
      <c r="B54" s="10" t="inlineStr">
        <is>
          <t>40%↑ (해자 신호)</t>
        </is>
      </c>
      <c r="C54" s="37">
        <f>IFERROR((IF(COUNT('연간'!G12:J12)&lt;4,"",SUM('연간'!G12:J12)))/(IF(COUNT('연간'!G4:J4)&lt;4,"",SUM('연간'!G4:J4))),"")</f>
        <v/>
      </c>
      <c r="D54" s="38">
        <f>IFERROR((IF(COUNT('연간'!H12:K12)&lt;4,"",SUM('연간'!H12:K12)))/(IF(COUNT('연간'!H4:K4)&lt;4,"",SUM('연간'!H4:K4))),"")</f>
        <v/>
      </c>
      <c r="E54" s="38">
        <f>IFERROR((IF(COUNT('연간'!I12:L12)&lt;4,"",SUM('연간'!I12:L12)))/(IF(COUNT('연간'!I4:L4)&lt;4,"",SUM('연간'!I4:L4))),"")</f>
        <v/>
      </c>
      <c r="F54" s="38">
        <f>IFERROR((IF(COUNT('연간'!J12:M12)&lt;4,"",SUM('연간'!J12:M12)))/(IF(COUNT('연간'!J4:M4)&lt;4,"",SUM('연간'!J4:M4))),"")</f>
        <v/>
      </c>
      <c r="G54" s="38">
        <f>IFERROR((IF(COUNT('연간'!K12:N12)&lt;4,"",SUM('연간'!K12:N12)))/(IF(COUNT('연간'!K4:N4)&lt;4,"",SUM('연간'!K4:N4))),"")</f>
        <v/>
      </c>
      <c r="H54" s="37">
        <f>IFERROR(('연간'!U12)/('연간'!U4),"")</f>
        <v/>
      </c>
      <c r="I54" s="38">
        <f>IFERROR(('연간'!V12)/('연간'!V4),"")</f>
        <v/>
      </c>
      <c r="J54" s="38">
        <f>IFERROR(('연간'!W12)/('연간'!W4),"")</f>
        <v/>
      </c>
      <c r="K54" s="38">
        <f>IFERROR(('연간'!X12)/('연간'!X4),"")</f>
        <v/>
      </c>
    </row>
    <row r="55">
      <c r="A55" s="46" t="inlineStr">
        <is>
          <t>영업이익률 (OPM)</t>
        </is>
      </c>
      <c r="B55" s="10" t="inlineStr">
        <is>
          <t>15%↑</t>
        </is>
      </c>
      <c r="C55" s="37">
        <f>IFERROR((IF(COUNT('연간'!G16:J16)&lt;4,"",SUM('연간'!G16:J16)))/(IF(COUNT('연간'!G4:J4)&lt;4,"",SUM('연간'!G4:J4))),"")</f>
        <v/>
      </c>
      <c r="D55" s="38">
        <f>IFERROR((IF(COUNT('연간'!H16:K16)&lt;4,"",SUM('연간'!H16:K16)))/(IF(COUNT('연간'!H4:K4)&lt;4,"",SUM('연간'!H4:K4))),"")</f>
        <v/>
      </c>
      <c r="E55" s="38">
        <f>IFERROR((IF(COUNT('연간'!I16:L16)&lt;4,"",SUM('연간'!I16:L16)))/(IF(COUNT('연간'!I4:L4)&lt;4,"",SUM('연간'!I4:L4))),"")</f>
        <v/>
      </c>
      <c r="F55" s="38">
        <f>IFERROR((IF(COUNT('연간'!J16:M16)&lt;4,"",SUM('연간'!J16:M16)))/(IF(COUNT('연간'!J4:M4)&lt;4,"",SUM('연간'!J4:M4))),"")</f>
        <v/>
      </c>
      <c r="G55" s="38">
        <f>IFERROR((IF(COUNT('연간'!K16:N16)&lt;4,"",SUM('연간'!K16:N16)))/(IF(COUNT('연간'!K4:N4)&lt;4,"",SUM('연간'!K4:N4))),"")</f>
        <v/>
      </c>
      <c r="H55" s="37">
        <f>IFERROR(('연간'!U16)/('연간'!U4),"")</f>
        <v/>
      </c>
      <c r="I55" s="38">
        <f>IFERROR(('연간'!V16)/('연간'!V4),"")</f>
        <v/>
      </c>
      <c r="J55" s="38">
        <f>IFERROR(('연간'!W16)/('연간'!W4),"")</f>
        <v/>
      </c>
      <c r="K55" s="38">
        <f>IFERROR(('연간'!X16)/('연간'!X4),"")</f>
        <v/>
      </c>
    </row>
    <row r="56">
      <c r="A56" s="46" t="inlineStr">
        <is>
          <t>순이익률</t>
        </is>
      </c>
      <c r="B56" s="10" t="inlineStr">
        <is>
          <t>10%↑</t>
        </is>
      </c>
      <c r="C56" s="37">
        <f>IFERROR((IF(COUNT('연간'!G43:J43)&lt;4,"",SUM('연간'!G43:J43)))/(IF(COUNT('연간'!G4:J4)&lt;4,"",SUM('연간'!G4:J4))),"")</f>
        <v/>
      </c>
      <c r="D56" s="38">
        <f>IFERROR((IF(COUNT('연간'!H43:K43)&lt;4,"",SUM('연간'!H43:K43)))/(IF(COUNT('연간'!H4:K4)&lt;4,"",SUM('연간'!H4:K4))),"")</f>
        <v/>
      </c>
      <c r="E56" s="38">
        <f>IFERROR((IF(COUNT('연간'!I43:L43)&lt;4,"",SUM('연간'!I43:L43)))/(IF(COUNT('연간'!I4:L4)&lt;4,"",SUM('연간'!I4:L4))),"")</f>
        <v/>
      </c>
      <c r="F56" s="38">
        <f>IFERROR((IF(COUNT('연간'!J43:M43)&lt;4,"",SUM('연간'!J43:M43)))/(IF(COUNT('연간'!J4:M4)&lt;4,"",SUM('연간'!J4:M4))),"")</f>
        <v/>
      </c>
      <c r="G56" s="38">
        <f>IFERROR((IF(COUNT('연간'!K43:N43)&lt;4,"",SUM('연간'!K43:N43)))/(IF(COUNT('연간'!K4:N4)&lt;4,"",SUM('연간'!K4:N4))),"")</f>
        <v/>
      </c>
      <c r="H56" s="37">
        <f>IFERROR(('연간'!U43)/('연간'!U4),"")</f>
        <v/>
      </c>
      <c r="I56" s="38">
        <f>IFERROR(('연간'!V43)/('연간'!V4),"")</f>
        <v/>
      </c>
      <c r="J56" s="38">
        <f>IFERROR(('연간'!W43)/('연간'!W4),"")</f>
        <v/>
      </c>
      <c r="K56" s="38">
        <f>IFERROR(('연간'!X43)/('연간'!X4),"")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</row>
    <row r="58">
      <c r="A58" s="46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IFERROR(('연간'!U4)/H16,"")</f>
        <v/>
      </c>
      <c r="I58" s="33">
        <f>IFERROR(('연간'!V4)/I16,"")</f>
        <v/>
      </c>
      <c r="J58" s="33">
        <f>IFERROR(('연간'!W4)/J16,"")</f>
        <v/>
      </c>
      <c r="K58" s="33">
        <f>IFERROR(('연간'!X4)/K16,"")</f>
        <v/>
      </c>
    </row>
    <row r="59">
      <c r="A59" s="46" t="inlineStr">
        <is>
          <t>매출채권회전일수</t>
        </is>
      </c>
      <c r="B59" s="10" t="inlineStr">
        <is>
          <t>짧을수록↑</t>
        </is>
      </c>
      <c r="C59" s="49">
        <f>IFERROR(C8/(IF(COUNT('연간'!G4:J4)&lt;4,"",SUM('연간'!G4:J4)))*365,"")</f>
        <v/>
      </c>
      <c r="D59" s="50">
        <f>IFERROR(D8/(IF(COUNT('연간'!H4:K4)&lt;4,"",SUM('연간'!H4:K4)))*365,"")</f>
        <v/>
      </c>
      <c r="E59" s="50">
        <f>IFERROR(E8/(IF(COUNT('연간'!I4:L4)&lt;4,"",SUM('연간'!I4:L4)))*365,"")</f>
        <v/>
      </c>
      <c r="F59" s="50">
        <f>IFERROR(F8/(IF(COUNT('연간'!J4:M4)&lt;4,"",SUM('연간'!J4:M4)))*365,"")</f>
        <v/>
      </c>
      <c r="G59" s="50">
        <f>IFERROR(G8/(IF(COUNT('연간'!K4:N4)&lt;4,"",SUM('연간'!K4:N4)))*365,"")</f>
        <v/>
      </c>
      <c r="H59" s="49">
        <f>IFERROR(H8/('연간'!U4)*365,"")</f>
        <v/>
      </c>
      <c r="I59" s="50">
        <f>IFERROR(I8/('연간'!V4)*365,"")</f>
        <v/>
      </c>
      <c r="J59" s="50">
        <f>IFERROR(J8/('연간'!W4)*365,"")</f>
        <v/>
      </c>
      <c r="K59" s="50">
        <f>IFERROR(K8/('연간'!X4)*365,"")</f>
        <v/>
      </c>
    </row>
    <row r="60">
      <c r="A60" s="46" t="inlineStr">
        <is>
          <t>재고자산회전일수</t>
        </is>
      </c>
      <c r="B60" s="10" t="inlineStr">
        <is>
          <t>짧을수록↑</t>
        </is>
      </c>
      <c r="C60" s="49">
        <f>IFERROR(C9/(IF(COUNT('연간'!G11:J11)&lt;4,"",SUM('연간'!G11:J11)))*365,"")</f>
        <v/>
      </c>
      <c r="D60" s="50">
        <f>IFERROR(D9/(IF(COUNT('연간'!H11:K11)&lt;4,"",SUM('연간'!H11:K11)))*365,"")</f>
        <v/>
      </c>
      <c r="E60" s="50">
        <f>IFERROR(E9/(IF(COUNT('연간'!I11:L11)&lt;4,"",SUM('연간'!I11:L11)))*365,"")</f>
        <v/>
      </c>
      <c r="F60" s="50">
        <f>IFERROR(F9/(IF(COUNT('연간'!J11:M11)&lt;4,"",SUM('연간'!J11:M11)))*365,"")</f>
        <v/>
      </c>
      <c r="G60" s="50">
        <f>IFERROR(G9/(IF(COUNT('연간'!K11:N11)&lt;4,"",SUM('연간'!K11:N11)))*365,"")</f>
        <v/>
      </c>
      <c r="H60" s="49">
        <f>IFERROR(H9/('연간'!U11)*365,"")</f>
        <v/>
      </c>
      <c r="I60" s="50">
        <f>IFERROR(I9/('연간'!V11)*365,"")</f>
        <v/>
      </c>
      <c r="J60" s="50">
        <f>IFERROR(J9/('연간'!W11)*365,"")</f>
        <v/>
      </c>
      <c r="K60" s="50">
        <f>IFERROR(K9/('연간'!X11)*365,"")</f>
        <v/>
      </c>
    </row>
    <row r="61">
      <c r="A61" s="46" t="inlineStr">
        <is>
          <t>매입채무회전일수</t>
        </is>
      </c>
      <c r="B61" s="10" t="inlineStr">
        <is>
          <t>길수록 유리</t>
        </is>
      </c>
      <c r="C61" s="49">
        <f>IFERROR(C19/(IF(COUNT('연간'!G11:J11)&lt;4,"",SUM('연간'!G11:J11)))*365,"")</f>
        <v/>
      </c>
      <c r="D61" s="50">
        <f>IFERROR(D19/(IF(COUNT('연간'!H11:K11)&lt;4,"",SUM('연간'!H11:K11)))*365,"")</f>
        <v/>
      </c>
      <c r="E61" s="50">
        <f>IFERROR(E19/(IF(COUNT('연간'!I11:L11)&lt;4,"",SUM('연간'!I11:L11)))*365,"")</f>
        <v/>
      </c>
      <c r="F61" s="50">
        <f>IFERROR(F19/(IF(COUNT('연간'!J11:M11)&lt;4,"",SUM('연간'!J11:M11)))*365,"")</f>
        <v/>
      </c>
      <c r="G61" s="50">
        <f>IFERROR(G19/(IF(COUNT('연간'!K11:N11)&lt;4,"",SUM('연간'!K11:N11)))*365,"")</f>
        <v/>
      </c>
      <c r="H61" s="49">
        <f>IFERROR(H19/('연간'!U11)*365,"")</f>
        <v/>
      </c>
      <c r="I61" s="50">
        <f>IFERROR(I19/('연간'!V11)*365,"")</f>
        <v/>
      </c>
      <c r="J61" s="50">
        <f>IFERROR(J19/('연간'!W11)*365,"")</f>
        <v/>
      </c>
      <c r="K61" s="50">
        <f>IFERROR(K19/('연간'!X11)*365,"")</f>
        <v/>
      </c>
    </row>
    <row r="62">
      <c r="A62" s="46" t="inlineStr">
        <is>
          <t>현금전환주기 (CCC)</t>
        </is>
      </c>
      <c r="B62" s="10" t="inlineStr">
        <is>
          <t>짧을수록↑</t>
        </is>
      </c>
      <c r="C62" s="49">
        <f>IF(OR(C59="",C60="",C61=""),"",IFERROR(C59+C60-C61,""))</f>
        <v/>
      </c>
      <c r="D62" s="50">
        <f>IF(OR(D59="",D60="",D61=""),"",IFERROR(D59+D60-D61,""))</f>
        <v/>
      </c>
      <c r="E62" s="50">
        <f>IF(OR(E59="",E60="",E61=""),"",IFERROR(E59+E60-E61,""))</f>
        <v/>
      </c>
      <c r="F62" s="50">
        <f>IF(OR(F59="",F60="",F61=""),"",IFERROR(F59+F60-F61,""))</f>
        <v/>
      </c>
      <c r="G62" s="50">
        <f>IF(OR(G59="",G60="",G61=""),"",IFERROR(G59+G60-G61,""))</f>
        <v/>
      </c>
      <c r="H62" s="49">
        <f>IF(OR(H59="",H60="",H61=""),"",IFERROR(H59+H60-H61,""))</f>
        <v/>
      </c>
      <c r="I62" s="50">
        <f>IF(OR(I59="",I60="",I61=""),"",IFERROR(I59+I60-I61,""))</f>
        <v/>
      </c>
      <c r="J62" s="50">
        <f>IF(OR(J59="",J60="",J61=""),"",IFERROR(J59+J60-J61,""))</f>
        <v/>
      </c>
      <c r="K62" s="50">
        <f>IF(OR(K59="",K60="",K61=""),"",IFERROR(K59+K60-K61,""))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</row>
    <row r="64">
      <c r="A64" s="46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IF(C37="","",IFERROR(C37/(IF(COUNT('연간'!G43:J43)&lt;4,"",SUM('연간'!G43:J43))),""))</f>
        <v/>
      </c>
      <c r="D64" s="33">
        <f>IF(D37="","",IFERROR(D37/(IF(COUNT('연간'!H43:K43)&lt;4,"",SUM('연간'!H43:K43))),""))</f>
        <v/>
      </c>
      <c r="E64" s="33">
        <f>IF(E37="","",IFERROR(E37/(IF(COUNT('연간'!I43:L43)&lt;4,"",SUM('연간'!I43:L43))),""))</f>
        <v/>
      </c>
      <c r="F64" s="33">
        <f>IF(F37="","",IFERROR(F37/(IF(COUNT('연간'!J43:M43)&lt;4,"",SUM('연간'!J43:M43))),""))</f>
        <v/>
      </c>
      <c r="G64" s="33">
        <f>IF(G37="","",IFERROR(G37/(IF(COUNT('연간'!K43:N43)&lt;4,"",SUM('연간'!K43:N43))),""))</f>
        <v/>
      </c>
      <c r="H64" s="32">
        <f>IF(H37="","",IFERROR(H37/('연간'!U43),""))</f>
        <v/>
      </c>
      <c r="I64" s="33">
        <f>IF(I37="","",IFERROR(I37/('연간'!V43),""))</f>
        <v/>
      </c>
      <c r="J64" s="33">
        <f>IF(J37="","",IFERROR(J37/('연간'!W43),""))</f>
        <v/>
      </c>
      <c r="K64" s="33">
        <f>IF(K37="","",IFERROR(K37/('연간'!X43),""))</f>
        <v/>
      </c>
    </row>
    <row r="65">
      <c r="A65" s="46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IF(H39="","",IFERROR(H39/('연간'!U4),""))</f>
        <v/>
      </c>
      <c r="I65" s="38">
        <f>IF(I39="","",IFERROR(I39/('연간'!V4),""))</f>
        <v/>
      </c>
      <c r="J65" s="38">
        <f>IF(J39="","",IFERROR(J39/('연간'!W4),""))</f>
        <v/>
      </c>
      <c r="K65" s="38">
        <f>IF(K39="","",IFERROR(K39/('연간'!X4),""))</f>
        <v/>
      </c>
    </row>
    <row r="66">
      <c r="A66" s="46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IF(H38="","",IFERROR(H38/('연간'!U4),""))</f>
        <v/>
      </c>
      <c r="I66" s="38">
        <f>IF(I38="","",IFERROR(I38/('연간'!V4),""))</f>
        <v/>
      </c>
      <c r="J66" s="38">
        <f>IF(J38="","",IFERROR(J38/('연간'!W4),""))</f>
        <v/>
      </c>
      <c r="K66" s="38">
        <f>IF(K38="","",IFERROR(K38/('연간'!X4),""))</f>
        <v/>
      </c>
    </row>
    <row r="67">
      <c r="A67" s="46" t="inlineStr">
        <is>
          <t>배당성향</t>
        </is>
      </c>
      <c r="B67" s="10" t="inlineStr">
        <is>
          <t>참고</t>
        </is>
      </c>
      <c r="C67" s="37">
        <f>IF(C40="","",IFERROR(C40/(IF(COUNT('연간'!G44:J44)&lt;4,"",SUM('연간'!G44:J44))),""))</f>
        <v/>
      </c>
      <c r="D67" s="38">
        <f>IF(D40="","",IFERROR(D40/(IF(COUNT('연간'!H44:K44)&lt;4,"",SUM('연간'!H44:K44))),""))</f>
        <v/>
      </c>
      <c r="E67" s="38">
        <f>IF(E40="","",IFERROR(E40/(IF(COUNT('연간'!I44:L44)&lt;4,"",SUM('연간'!I44:L44))),""))</f>
        <v/>
      </c>
      <c r="F67" s="38">
        <f>IF(F40="","",IFERROR(F40/(IF(COUNT('연간'!J44:M44)&lt;4,"",SUM('연간'!J44:M44))),""))</f>
        <v/>
      </c>
      <c r="G67" s="38">
        <f>IF(G40="","",IFERROR(G40/(IF(COUNT('연간'!K44:N44)&lt;4,"",SUM('연간'!K44:N44))),""))</f>
        <v/>
      </c>
      <c r="H67" s="37">
        <f>IF(H40="","",IFERROR(H40/('연간'!U44),""))</f>
        <v/>
      </c>
      <c r="I67" s="38">
        <f>IF(I40="","",IFERROR(I40/('연간'!V44),""))</f>
        <v/>
      </c>
      <c r="J67" s="38">
        <f>IF(J40="","",IFERROR(J40/('연간'!W44),""))</f>
        <v/>
      </c>
      <c r="K67" s="38">
        <f>IF(K40="","",IFERROR(K40/('연간'!X44),""))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2023</t>
        </is>
      </c>
      <c r="I70" s="5" t="inlineStr">
        <is>
          <t>2024</t>
        </is>
      </c>
      <c r="J70" s="5" t="inlineStr">
        <is>
          <t>2025</t>
        </is>
      </c>
      <c r="K70" s="5" t="inlineStr">
        <is>
          <t>2026</t>
        </is>
      </c>
    </row>
    <row r="71">
      <c r="A71" s="20" t="inlineStr">
        <is>
          <t>현금 및 예금</t>
        </is>
      </c>
      <c r="C71" s="22" t="n">
        <v>5015.178</v>
      </c>
      <c r="D71" s="22" t="n">
        <v>4846.901</v>
      </c>
      <c r="E71" s="22" t="n">
        <v>6970.028</v>
      </c>
      <c r="F71" s="22" t="n">
        <v>7539.499</v>
      </c>
      <c r="G71" s="22" t="n">
        <v>8553.119000000001</v>
      </c>
      <c r="H71" s="22" t="n">
        <v>4206.596</v>
      </c>
      <c r="I71" s="22" t="n">
        <v>4992.768</v>
      </c>
      <c r="J71" s="22" t="n">
        <v>4442.861</v>
      </c>
      <c r="K71" s="22" t="n">
        <v>7539.499</v>
      </c>
    </row>
    <row r="72">
      <c r="A72" s="20" t="inlineStr">
        <is>
          <t>받을어음</t>
        </is>
      </c>
      <c r="C72" s="22" t="n">
        <v>275.629</v>
      </c>
      <c r="D72" s="22" t="n">
        <v>69.151</v>
      </c>
      <c r="E72" s="22" t="n">
        <v>146.329</v>
      </c>
      <c r="F72" s="22" t="n">
        <v>26.344</v>
      </c>
      <c r="G72" s="22" t="n">
        <v>18.201</v>
      </c>
      <c r="H72" s="22" t="n">
        <v>86.249</v>
      </c>
      <c r="I72" s="22" t="n">
        <v>178.332</v>
      </c>
      <c r="J72" s="22" t="n">
        <v>141.448</v>
      </c>
      <c r="K72" s="22" t="n">
        <v>26.344</v>
      </c>
    </row>
    <row r="73">
      <c r="A73" s="20" t="inlineStr">
        <is>
          <t>전자기록채권</t>
        </is>
      </c>
      <c r="C73" s="22" t="n">
        <v>531.884</v>
      </c>
      <c r="D73" s="22" t="n">
        <v>577.598</v>
      </c>
      <c r="E73" s="22" t="n">
        <v>740.478</v>
      </c>
      <c r="F73" s="22" t="n">
        <v>594.295</v>
      </c>
      <c r="G73" s="22" t="n">
        <v>887.338</v>
      </c>
      <c r="H73" s="22" t="n">
        <v>801.702</v>
      </c>
      <c r="I73" s="22" t="n">
        <v>1024.697</v>
      </c>
      <c r="J73" s="22" t="n">
        <v>853.022</v>
      </c>
      <c r="K73" s="22" t="n">
        <v>594.295</v>
      </c>
    </row>
    <row r="74">
      <c r="A74" s="20" t="inlineStr">
        <is>
          <t>매출채권</t>
        </is>
      </c>
      <c r="C74" s="22" t="n">
        <v>1008.393</v>
      </c>
      <c r="D74" s="22" t="n">
        <v>2932.223</v>
      </c>
      <c r="E74" s="22" t="n">
        <v>1592.791</v>
      </c>
      <c r="F74" s="22" t="n">
        <v>5952.826</v>
      </c>
      <c r="G74" s="22" t="n">
        <v>1000.17</v>
      </c>
      <c r="H74" s="22" t="n">
        <v>5268.125</v>
      </c>
      <c r="I74" s="22" t="n">
        <v>2855.068</v>
      </c>
      <c r="J74" s="22" t="n">
        <v>4200.608</v>
      </c>
      <c r="K74" s="22" t="n">
        <v>5952.826</v>
      </c>
    </row>
    <row r="75">
      <c r="A75" s="20" t="inlineStr">
        <is>
          <t>계약자산</t>
        </is>
      </c>
      <c r="C75" s="22" t="n">
        <v>5761.919</v>
      </c>
      <c r="D75" s="22" t="n">
        <v>5337.442</v>
      </c>
      <c r="E75" s="22" t="n">
        <v>4230.497</v>
      </c>
      <c r="F75" s="22" t="n">
        <v>3104.555</v>
      </c>
      <c r="G75" s="22" t="n">
        <v>4199.921</v>
      </c>
      <c r="H75" s="22" t="n">
        <v>3628.751</v>
      </c>
      <c r="I75" s="22" t="n">
        <v>6278.388</v>
      </c>
      <c r="J75" s="22" t="n">
        <v>6014.215</v>
      </c>
      <c r="K75" s="22" t="n">
        <v>3104.555</v>
      </c>
    </row>
    <row r="76">
      <c r="A76" s="20" t="inlineStr">
        <is>
          <t>상품·제품</t>
        </is>
      </c>
      <c r="C76" s="22" t="n">
        <v>120.106</v>
      </c>
      <c r="D76" s="22" t="n">
        <v>79.47499999999999</v>
      </c>
      <c r="E76" s="22" t="n">
        <v>73.117</v>
      </c>
      <c r="F76" s="22" t="n">
        <v>58.187</v>
      </c>
      <c r="G76" s="22" t="n">
        <v>80.931</v>
      </c>
      <c r="H76" s="22" t="n">
        <v>79.517</v>
      </c>
      <c r="I76" s="22" t="n">
        <v>84.699</v>
      </c>
      <c r="J76" s="22" t="n">
        <v>116.544</v>
      </c>
      <c r="K76" s="22" t="n">
        <v>58.187</v>
      </c>
    </row>
    <row r="77">
      <c r="A77" s="20" t="inlineStr">
        <is>
          <t>재공품</t>
        </is>
      </c>
      <c r="C77" s="22" t="n">
        <v>3371.38</v>
      </c>
      <c r="D77" s="22" t="n">
        <v>3515.858</v>
      </c>
      <c r="E77" s="22" t="n">
        <v>3145.281</v>
      </c>
      <c r="F77" s="22" t="n">
        <v>1659.916</v>
      </c>
      <c r="G77" s="22" t="n">
        <v>2237.676</v>
      </c>
      <c r="H77" s="22" t="n">
        <v>1949.437</v>
      </c>
      <c r="I77" s="22" t="n">
        <v>2057.142</v>
      </c>
      <c r="J77" s="22" t="n">
        <v>2324.153</v>
      </c>
      <c r="K77" s="22" t="n">
        <v>1659.916</v>
      </c>
    </row>
    <row r="78">
      <c r="A78" s="20" t="inlineStr">
        <is>
          <t>원재료·저장품</t>
        </is>
      </c>
      <c r="C78" s="22" t="n">
        <v>909.901</v>
      </c>
      <c r="D78" s="22" t="n">
        <v>811.866</v>
      </c>
      <c r="E78" s="22" t="n">
        <v>811.747</v>
      </c>
      <c r="F78" s="22" t="n">
        <v>797.154</v>
      </c>
      <c r="G78" s="22" t="n">
        <v>781.745</v>
      </c>
      <c r="H78" s="22" t="n">
        <v>1496.168</v>
      </c>
      <c r="I78" s="22" t="n">
        <v>1246.949</v>
      </c>
      <c r="J78" s="22" t="n">
        <v>870.995</v>
      </c>
      <c r="K78" s="22" t="n">
        <v>797.154</v>
      </c>
    </row>
    <row r="79">
      <c r="A79" s="20" t="inlineStr">
        <is>
          <t>기타</t>
        </is>
      </c>
      <c r="C79" s="22" t="n">
        <v>340.824</v>
      </c>
      <c r="D79" s="22" t="n">
        <v>176.522</v>
      </c>
      <c r="E79" s="22" t="n">
        <v>439.19</v>
      </c>
      <c r="F79" s="22" t="n">
        <v>138.112</v>
      </c>
      <c r="G79" s="22" t="n">
        <v>311.377</v>
      </c>
      <c r="H79" s="22" t="n">
        <v>517.758</v>
      </c>
      <c r="I79" s="22" t="n">
        <v>262.985</v>
      </c>
      <c r="J79" s="22" t="n">
        <v>183.39</v>
      </c>
      <c r="K79" s="22" t="n">
        <v>138.112</v>
      </c>
    </row>
    <row r="80">
      <c r="A80" s="20" t="inlineStr">
        <is>
          <t>대손충당금</t>
        </is>
      </c>
      <c r="C80" s="22" t="n">
        <v>-0.36</v>
      </c>
      <c r="D80" s="22" t="n">
        <v>-0.322</v>
      </c>
      <c r="E80" s="22" t="n">
        <v>-0.205</v>
      </c>
      <c r="F80" s="22" t="n">
        <v>-70.042</v>
      </c>
      <c r="G80" s="22" t="n">
        <v>-70.54600000000001</v>
      </c>
      <c r="H80" s="22" t="n">
        <v>-0.615</v>
      </c>
      <c r="I80" s="22" t="n">
        <v>-7.313</v>
      </c>
      <c r="J80" s="22" t="n">
        <v>-0.664</v>
      </c>
      <c r="K80" s="22" t="n">
        <v>-70.042</v>
      </c>
    </row>
    <row r="81">
      <c r="A81" s="9" t="inlineStr">
        <is>
          <t>유동자산 합계</t>
        </is>
      </c>
      <c r="C81" s="12" t="n">
        <v>17334.858</v>
      </c>
      <c r="D81" s="12" t="n">
        <v>18346.719</v>
      </c>
      <c r="E81" s="12" t="n">
        <v>18149.259</v>
      </c>
      <c r="F81" s="12" t="n">
        <v>19800.849</v>
      </c>
      <c r="G81" s="12" t="n">
        <v>17999.935</v>
      </c>
      <c r="H81" s="12" t="n">
        <v>18033.693</v>
      </c>
      <c r="I81" s="12" t="n">
        <v>18973.72</v>
      </c>
      <c r="J81" s="12" t="n">
        <v>19146.575</v>
      </c>
      <c r="K81" s="12" t="n">
        <v>19800.849</v>
      </c>
    </row>
    <row r="82">
      <c r="A82" s="20" t="inlineStr">
        <is>
          <t>건물·구축물</t>
        </is>
      </c>
      <c r="F82" s="22" t="n">
        <v>6233.44</v>
      </c>
      <c r="H82" s="22" t="n">
        <v>6168.292</v>
      </c>
      <c r="I82" s="22" t="n">
        <v>6144.161</v>
      </c>
      <c r="J82" s="22" t="n">
        <v>6263.401</v>
      </c>
      <c r="K82" s="22" t="n">
        <v>6233.44</v>
      </c>
    </row>
    <row r="83">
      <c r="A83" s="20" t="inlineStr">
        <is>
          <t>감가상각누계액</t>
        </is>
      </c>
      <c r="F83" s="22" t="n">
        <v>-2768.292</v>
      </c>
      <c r="H83" s="22" t="n">
        <v>-2375.148</v>
      </c>
      <c r="I83" s="22" t="n">
        <v>-2488.053</v>
      </c>
      <c r="J83" s="22" t="n">
        <v>-2650.351</v>
      </c>
      <c r="K83" s="22" t="n">
        <v>-2768.292</v>
      </c>
    </row>
    <row r="84">
      <c r="A84" s="20" t="inlineStr">
        <is>
          <t>건물·구축물(순액)</t>
        </is>
      </c>
      <c r="C84" s="22" t="n">
        <v>3595.368</v>
      </c>
      <c r="D84" s="22" t="n">
        <v>3544.228</v>
      </c>
      <c r="E84" s="22" t="n">
        <v>3515.883</v>
      </c>
      <c r="F84" s="22" t="n">
        <v>3465.148</v>
      </c>
      <c r="G84" s="22" t="n">
        <v>3414.772</v>
      </c>
      <c r="H84" s="22" t="n">
        <v>3793.143</v>
      </c>
      <c r="I84" s="22" t="n">
        <v>3656.108</v>
      </c>
      <c r="J84" s="22" t="n">
        <v>3613.049</v>
      </c>
      <c r="K84" s="22" t="n">
        <v>3465.148</v>
      </c>
    </row>
    <row r="85">
      <c r="A85" s="20" t="inlineStr">
        <is>
          <t>기계장치·운반구</t>
        </is>
      </c>
      <c r="F85" s="22" t="n">
        <v>603.739</v>
      </c>
      <c r="H85" s="22" t="n">
        <v>624.008</v>
      </c>
      <c r="I85" s="22" t="n">
        <v>622.002</v>
      </c>
      <c r="J85" s="22" t="n">
        <v>609.304</v>
      </c>
      <c r="K85" s="22" t="n">
        <v>603.739</v>
      </c>
    </row>
    <row r="86">
      <c r="A86" s="20" t="inlineStr">
        <is>
          <t>감가상각누계액</t>
        </is>
      </c>
      <c r="F86" s="22" t="n">
        <v>-552.294</v>
      </c>
      <c r="H86" s="22" t="n">
        <v>-549.479</v>
      </c>
      <c r="I86" s="22" t="n">
        <v>-551.405</v>
      </c>
      <c r="J86" s="22" t="n">
        <v>-551.759</v>
      </c>
      <c r="K86" s="22" t="n">
        <v>-552.294</v>
      </c>
    </row>
    <row r="87">
      <c r="A87" s="20" t="inlineStr">
        <is>
          <t>기계장치·운반구(순액)</t>
        </is>
      </c>
      <c r="F87" s="22" t="n">
        <v>51.445</v>
      </c>
      <c r="H87" s="22" t="n">
        <v>74.529</v>
      </c>
      <c r="I87" s="22" t="n">
        <v>70.596</v>
      </c>
      <c r="J87" s="22" t="n">
        <v>57.544</v>
      </c>
      <c r="K87" s="22" t="n">
        <v>51.445</v>
      </c>
    </row>
    <row r="88">
      <c r="A88" s="20" t="inlineStr">
        <is>
          <t>토지</t>
        </is>
      </c>
      <c r="C88" s="22" t="n">
        <v>1818.292</v>
      </c>
      <c r="D88" s="22" t="n">
        <v>1783.776</v>
      </c>
      <c r="E88" s="22" t="n">
        <v>1850.18</v>
      </c>
      <c r="F88" s="22" t="n">
        <v>1850.18</v>
      </c>
      <c r="G88" s="22" t="n">
        <v>1850.18</v>
      </c>
      <c r="H88" s="22" t="n">
        <v>1679.436</v>
      </c>
      <c r="I88" s="22" t="n">
        <v>1748.513</v>
      </c>
      <c r="J88" s="22" t="n">
        <v>1796.416</v>
      </c>
      <c r="K88" s="22" t="n">
        <v>1850.18</v>
      </c>
    </row>
    <row r="89">
      <c r="A89" s="20" t="inlineStr">
        <is>
          <t>리스자산</t>
        </is>
      </c>
      <c r="F89" s="22" t="n">
        <v>10.07</v>
      </c>
      <c r="H89" s="22" t="n">
        <v>7.236</v>
      </c>
      <c r="I89" s="22" t="n">
        <v>0</v>
      </c>
      <c r="J89" s="22" t="n">
        <v>0</v>
      </c>
      <c r="K89" s="22" t="n">
        <v>10.07</v>
      </c>
    </row>
    <row r="90">
      <c r="A90" s="20" t="inlineStr">
        <is>
          <t>감가상각누계액</t>
        </is>
      </c>
      <c r="F90" s="22" t="n">
        <v>-1.025</v>
      </c>
      <c r="H90" s="22" t="n">
        <v>-6.834</v>
      </c>
      <c r="I90" s="22" t="n">
        <v>0</v>
      </c>
      <c r="J90" s="22" t="n">
        <v>0</v>
      </c>
      <c r="K90" s="22" t="n">
        <v>-1.025</v>
      </c>
    </row>
    <row r="91">
      <c r="A91" s="20" t="inlineStr">
        <is>
          <t>리스자산(순액)</t>
        </is>
      </c>
      <c r="F91" s="22" t="n">
        <v>9.045</v>
      </c>
      <c r="H91" s="22" t="n">
        <v>0.402</v>
      </c>
      <c r="I91" s="22" t="n">
        <v>0</v>
      </c>
      <c r="J91" s="22" t="n">
        <v>0</v>
      </c>
      <c r="K91" s="22" t="n">
        <v>9.045</v>
      </c>
    </row>
    <row r="92">
      <c r="A92" s="20" t="inlineStr">
        <is>
          <t>기타</t>
        </is>
      </c>
      <c r="F92" s="22" t="n">
        <v>1294.297</v>
      </c>
      <c r="H92" s="22" t="n">
        <v>1382.642</v>
      </c>
      <c r="I92" s="22" t="n">
        <v>1286.985</v>
      </c>
      <c r="J92" s="22" t="n">
        <v>1386.437</v>
      </c>
      <c r="K92" s="22" t="n">
        <v>1294.297</v>
      </c>
    </row>
    <row r="93">
      <c r="A93" s="20" t="inlineStr">
        <is>
          <t>감가상각누계액</t>
        </is>
      </c>
      <c r="F93" s="22" t="n">
        <v>-1050.95</v>
      </c>
      <c r="H93" s="22" t="n">
        <v>-1086.486</v>
      </c>
      <c r="I93" s="22" t="n">
        <v>-1081.432</v>
      </c>
      <c r="J93" s="22" t="n">
        <v>-1113.93</v>
      </c>
      <c r="K93" s="22" t="n">
        <v>-1050.95</v>
      </c>
    </row>
    <row r="94">
      <c r="A94" s="20" t="inlineStr">
        <is>
          <t>기타(순액)</t>
        </is>
      </c>
      <c r="C94" s="22" t="n">
        <v>321.134</v>
      </c>
      <c r="D94" s="22" t="n">
        <v>315.405</v>
      </c>
      <c r="E94" s="22" t="n">
        <v>320.419</v>
      </c>
      <c r="F94" s="22" t="n">
        <v>303.838</v>
      </c>
      <c r="G94" s="22" t="n">
        <v>293.746</v>
      </c>
      <c r="H94" s="22" t="n">
        <v>296.156</v>
      </c>
      <c r="I94" s="22" t="n">
        <v>205.553</v>
      </c>
      <c r="J94" s="22" t="n">
        <v>272.507</v>
      </c>
      <c r="K94" s="22" t="n">
        <v>303.838</v>
      </c>
    </row>
    <row r="95">
      <c r="A95" s="20" t="inlineStr">
        <is>
          <t>유형자산 합계</t>
        </is>
      </c>
      <c r="C95" s="22" t="n">
        <v>5734.794</v>
      </c>
      <c r="D95" s="22" t="n">
        <v>5643.41</v>
      </c>
      <c r="E95" s="22" t="n">
        <v>5686.483</v>
      </c>
      <c r="F95" s="22" t="n">
        <v>5619.167</v>
      </c>
      <c r="G95" s="22" t="n">
        <v>5558.7</v>
      </c>
      <c r="H95" s="22" t="n">
        <v>5843.668</v>
      </c>
      <c r="I95" s="22" t="n">
        <v>5680.771</v>
      </c>
      <c r="J95" s="22" t="n">
        <v>5739.518</v>
      </c>
      <c r="K95" s="22" t="n">
        <v>5619.167</v>
      </c>
    </row>
    <row r="96">
      <c r="A96" s="20" t="inlineStr">
        <is>
          <t>영업권</t>
        </is>
      </c>
      <c r="H96" s="22" t="n">
        <v>19.267</v>
      </c>
      <c r="I96" s="22" t="n">
        <v>0</v>
      </c>
    </row>
    <row r="97">
      <c r="A97" s="20" t="inlineStr">
        <is>
          <t>기타</t>
        </is>
      </c>
      <c r="H97" s="22" t="n">
        <v>89.063</v>
      </c>
      <c r="I97" s="22" t="n">
        <v>96.23999999999999</v>
      </c>
    </row>
    <row r="98">
      <c r="A98" s="20" t="inlineStr">
        <is>
          <t>무형자산</t>
        </is>
      </c>
      <c r="C98" s="22" t="n">
        <v>105.194</v>
      </c>
      <c r="D98" s="22" t="n">
        <v>106.937</v>
      </c>
      <c r="E98" s="22" t="n">
        <v>126.639</v>
      </c>
      <c r="F98" s="22" t="n">
        <v>158.44</v>
      </c>
      <c r="G98" s="22" t="n">
        <v>155.245</v>
      </c>
      <c r="H98" s="22" t="n">
        <v>108.33</v>
      </c>
      <c r="I98" s="22" t="n">
        <v>96.23999999999999</v>
      </c>
      <c r="J98" s="22" t="n">
        <v>110.986</v>
      </c>
      <c r="K98" s="22" t="n">
        <v>158.44</v>
      </c>
    </row>
    <row r="99">
      <c r="A99" s="20" t="inlineStr">
        <is>
          <t>투자유가증권</t>
        </is>
      </c>
      <c r="C99" s="22" t="n">
        <v>1190.429</v>
      </c>
      <c r="D99" s="22" t="n">
        <v>1624.292</v>
      </c>
      <c r="E99" s="22" t="n">
        <v>1718.678</v>
      </c>
      <c r="F99" s="22" t="n">
        <v>1775.401</v>
      </c>
      <c r="G99" s="22" t="n">
        <v>2237.262</v>
      </c>
      <c r="H99" s="22" t="n">
        <v>909.6900000000001</v>
      </c>
      <c r="I99" s="22" t="n">
        <v>1208.145</v>
      </c>
      <c r="J99" s="22" t="n">
        <v>1133.113</v>
      </c>
      <c r="K99" s="22" t="n">
        <v>1775.401</v>
      </c>
    </row>
    <row r="100">
      <c r="A100" s="20" t="inlineStr">
        <is>
          <t>이연법인세자산</t>
        </is>
      </c>
      <c r="F100" s="22" t="n">
        <v>10.641</v>
      </c>
      <c r="H100" s="22" t="n">
        <v>0</v>
      </c>
      <c r="I100" s="22" t="n">
        <v>26.099</v>
      </c>
      <c r="J100" s="22" t="n">
        <v>8.537000000000001</v>
      </c>
      <c r="K100" s="22" t="n">
        <v>10.641</v>
      </c>
    </row>
    <row r="101">
      <c r="A101" s="20" t="inlineStr">
        <is>
          <t>퇴직급여자산</t>
        </is>
      </c>
      <c r="F101" s="22" t="n">
        <v>1644.428</v>
      </c>
      <c r="H101" s="22" t="n">
        <v>733.47</v>
      </c>
      <c r="I101" s="22" t="n">
        <v>1198.857</v>
      </c>
      <c r="J101" s="22" t="n">
        <v>1163.515</v>
      </c>
      <c r="K101" s="22" t="n">
        <v>1644.428</v>
      </c>
    </row>
    <row r="102">
      <c r="A102" s="20" t="inlineStr">
        <is>
          <t>기타</t>
        </is>
      </c>
      <c r="C102" s="22" t="n">
        <v>1421.555</v>
      </c>
      <c r="D102" s="22" t="n">
        <v>1425.071</v>
      </c>
      <c r="E102" s="22" t="n">
        <v>1421.611</v>
      </c>
      <c r="F102" s="22" t="n">
        <v>1883.356</v>
      </c>
      <c r="G102" s="22" t="n">
        <v>1884.912</v>
      </c>
      <c r="H102" s="22" t="n">
        <v>63.794</v>
      </c>
      <c r="I102" s="22" t="n">
        <v>57.657</v>
      </c>
      <c r="J102" s="22" t="n">
        <v>235.242</v>
      </c>
      <c r="K102" s="22" t="n">
        <v>1883.356</v>
      </c>
    </row>
    <row r="103">
      <c r="A103" s="20" t="inlineStr">
        <is>
          <t>투자 및 기타자산 합계</t>
        </is>
      </c>
      <c r="C103" s="22" t="n">
        <v>2611.985</v>
      </c>
      <c r="D103" s="22" t="n">
        <v>3049.364</v>
      </c>
      <c r="E103" s="22" t="n">
        <v>3140.29</v>
      </c>
      <c r="F103" s="22" t="n">
        <v>3658.758</v>
      </c>
      <c r="G103" s="22" t="n">
        <v>4122.174</v>
      </c>
      <c r="H103" s="22" t="n">
        <v>1706.955</v>
      </c>
      <c r="I103" s="22" t="n">
        <v>2490.76</v>
      </c>
      <c r="J103" s="22" t="n">
        <v>2540.408</v>
      </c>
      <c r="K103" s="22" t="n">
        <v>3658.758</v>
      </c>
    </row>
    <row r="104">
      <c r="A104" s="9" t="inlineStr">
        <is>
          <t>비유동자산 합계</t>
        </is>
      </c>
      <c r="C104" s="12" t="n">
        <v>8451.974</v>
      </c>
      <c r="D104" s="12" t="n">
        <v>8799.712</v>
      </c>
      <c r="E104" s="12" t="n">
        <v>8953.413</v>
      </c>
      <c r="F104" s="12" t="n">
        <v>9436.366</v>
      </c>
      <c r="G104" s="12" t="n">
        <v>9836.119000000001</v>
      </c>
      <c r="H104" s="12" t="n">
        <v>7658.954</v>
      </c>
      <c r="I104" s="12" t="n">
        <v>8267.772000000001</v>
      </c>
      <c r="J104" s="12" t="n">
        <v>8390.913</v>
      </c>
      <c r="K104" s="12" t="n">
        <v>9436.366</v>
      </c>
    </row>
    <row r="105">
      <c r="A105" s="9" t="inlineStr">
        <is>
          <t>자산 합계</t>
        </is>
      </c>
      <c r="C105" s="12" t="n">
        <v>25786.833</v>
      </c>
      <c r="D105" s="12" t="n">
        <v>27146.432</v>
      </c>
      <c r="E105" s="12" t="n">
        <v>27102.673</v>
      </c>
      <c r="F105" s="12" t="n">
        <v>29237.215</v>
      </c>
      <c r="G105" s="12" t="n">
        <v>27836.055</v>
      </c>
      <c r="H105" s="12" t="n">
        <v>25692.648</v>
      </c>
      <c r="I105" s="12" t="n">
        <v>27241.492</v>
      </c>
      <c r="J105" s="12" t="n">
        <v>27537.488</v>
      </c>
      <c r="K105" s="12" t="n">
        <v>29237.215</v>
      </c>
    </row>
    <row r="106">
      <c r="A106" s="20" t="inlineStr">
        <is>
          <t>지급어음·매입채무</t>
        </is>
      </c>
      <c r="C106" s="22" t="n">
        <v>210.539</v>
      </c>
      <c r="D106" s="22" t="n">
        <v>308.306</v>
      </c>
      <c r="E106" s="22" t="n">
        <v>397.395</v>
      </c>
      <c r="F106" s="22" t="n">
        <v>786.6420000000001</v>
      </c>
      <c r="G106" s="22" t="n">
        <v>302.685</v>
      </c>
      <c r="H106" s="22" t="n">
        <v>463.648</v>
      </c>
      <c r="I106" s="22" t="n">
        <v>670.292</v>
      </c>
      <c r="J106" s="22" t="n">
        <v>487.033</v>
      </c>
      <c r="K106" s="22" t="n">
        <v>786.6420000000001</v>
      </c>
    </row>
    <row r="107">
      <c r="A107" s="20" t="inlineStr">
        <is>
          <t>전자기록채무</t>
        </is>
      </c>
      <c r="C107" s="22" t="n">
        <v>884.444</v>
      </c>
      <c r="D107" s="22" t="n">
        <v>940.702</v>
      </c>
      <c r="E107" s="22" t="n">
        <v>853.8819999999999</v>
      </c>
      <c r="F107" s="22" t="n">
        <v>46.417</v>
      </c>
      <c r="G107" s="22" t="n">
        <v>2.41</v>
      </c>
      <c r="H107" s="22" t="n">
        <v>2832.794</v>
      </c>
      <c r="I107" s="22" t="n">
        <v>2783.37</v>
      </c>
      <c r="J107" s="22" t="n">
        <v>1213.189</v>
      </c>
      <c r="K107" s="22" t="n">
        <v>46.417</v>
      </c>
    </row>
    <row r="108">
      <c r="A108" s="20" t="inlineStr">
        <is>
          <t>미지급금</t>
        </is>
      </c>
      <c r="F108" s="22" t="n">
        <v>802.874</v>
      </c>
      <c r="H108" s="22" t="n">
        <v>1425.851</v>
      </c>
      <c r="I108" s="22" t="n">
        <v>865.809</v>
      </c>
      <c r="J108" s="22" t="n">
        <v>975.311</v>
      </c>
      <c r="K108" s="22" t="n">
        <v>802.874</v>
      </c>
    </row>
    <row r="109">
      <c r="A109" s="20" t="inlineStr">
        <is>
          <t>미지급법인세</t>
        </is>
      </c>
      <c r="C109" s="22" t="n">
        <v>11.85</v>
      </c>
      <c r="D109" s="22" t="n">
        <v>79.467</v>
      </c>
      <c r="E109" s="22" t="n">
        <v>0</v>
      </c>
      <c r="F109" s="22" t="n">
        <v>169</v>
      </c>
      <c r="G109" s="22" t="n">
        <v>69.423</v>
      </c>
      <c r="H109" s="22" t="n">
        <v>379.826</v>
      </c>
      <c r="I109" s="22" t="n">
        <v>648.409</v>
      </c>
      <c r="J109" s="22" t="n">
        <v>767</v>
      </c>
      <c r="K109" s="22" t="n">
        <v>169</v>
      </c>
    </row>
    <row r="110">
      <c r="A110" s="20" t="inlineStr">
        <is>
          <t>계약부채</t>
        </is>
      </c>
      <c r="C110" s="22" t="n">
        <v>1230.495</v>
      </c>
      <c r="D110" s="22" t="n">
        <v>1714.504</v>
      </c>
      <c r="E110" s="22" t="n">
        <v>1375.024</v>
      </c>
      <c r="F110" s="22" t="n">
        <v>1331.252</v>
      </c>
      <c r="G110" s="22" t="n">
        <v>1967.836</v>
      </c>
      <c r="H110" s="22" t="n">
        <v>369.348</v>
      </c>
      <c r="I110" s="22" t="n">
        <v>354.038</v>
      </c>
      <c r="J110" s="22" t="n">
        <v>355.488</v>
      </c>
      <c r="K110" s="22" t="n">
        <v>1331.252</v>
      </c>
    </row>
    <row r="111">
      <c r="A111" s="20" t="inlineStr">
        <is>
          <t>상여충당금</t>
        </is>
      </c>
      <c r="C111" s="22" t="n">
        <v>654.8200000000001</v>
      </c>
      <c r="D111" s="22" t="n">
        <v>420.565</v>
      </c>
      <c r="E111" s="22" t="n">
        <v>239.381</v>
      </c>
      <c r="F111" s="22" t="n">
        <v>396.996</v>
      </c>
      <c r="G111" s="22" t="n">
        <v>559.6799999999999</v>
      </c>
      <c r="H111" s="22" t="n">
        <v>422.787</v>
      </c>
      <c r="I111" s="22" t="n">
        <v>387.114</v>
      </c>
      <c r="J111" s="22" t="n">
        <v>470.753</v>
      </c>
      <c r="K111" s="22" t="n">
        <v>396.996</v>
      </c>
    </row>
    <row r="112">
      <c r="A112" s="20" t="inlineStr">
        <is>
          <t>임원 상여충당금</t>
        </is>
      </c>
      <c r="C112" s="22" t="n">
        <v>11.211</v>
      </c>
      <c r="D112" s="22" t="n">
        <v>22.422</v>
      </c>
      <c r="E112" s="22" t="n">
        <v>32.166</v>
      </c>
      <c r="F112" s="22" t="n">
        <v>50.23</v>
      </c>
      <c r="G112" s="22" t="n">
        <v>7.434</v>
      </c>
      <c r="H112" s="22" t="n">
        <v>46.875</v>
      </c>
      <c r="I112" s="22" t="n">
        <v>40.362</v>
      </c>
      <c r="J112" s="22" t="n">
        <v>45.448</v>
      </c>
      <c r="K112" s="22" t="n">
        <v>50.23</v>
      </c>
    </row>
    <row r="113">
      <c r="A113" s="20" t="inlineStr">
        <is>
          <t>제품보증 충당금</t>
        </is>
      </c>
      <c r="C113" s="22" t="n">
        <v>94.16200000000001</v>
      </c>
      <c r="D113" s="22" t="n">
        <v>93.125</v>
      </c>
      <c r="E113" s="22" t="n">
        <v>94.81100000000001</v>
      </c>
      <c r="F113" s="22" t="n">
        <v>85.84</v>
      </c>
      <c r="G113" s="22" t="n">
        <v>84.444</v>
      </c>
      <c r="H113" s="22" t="n">
        <v>112.714</v>
      </c>
      <c r="I113" s="22" t="n">
        <v>74.271</v>
      </c>
      <c r="J113" s="22" t="n">
        <v>101.509</v>
      </c>
      <c r="K113" s="22" t="n">
        <v>85.84</v>
      </c>
    </row>
    <row r="114">
      <c r="A114" s="20" t="inlineStr">
        <is>
          <t>Provision For Loss On Construction Contracts</t>
        </is>
      </c>
      <c r="C114" s="22" t="n">
        <v>14.614</v>
      </c>
      <c r="D114" s="22" t="n">
        <v>5.062</v>
      </c>
      <c r="E114" s="22" t="n">
        <v>18.582</v>
      </c>
      <c r="F114" s="22" t="n">
        <v>50.985</v>
      </c>
      <c r="G114" s="22" t="n">
        <v>47.307</v>
      </c>
      <c r="H114" s="22" t="n">
        <v>16.798</v>
      </c>
      <c r="I114" s="22" t="n">
        <v>0.497</v>
      </c>
      <c r="J114" s="22" t="n">
        <v>5.39</v>
      </c>
      <c r="K114" s="22" t="n">
        <v>50.985</v>
      </c>
    </row>
    <row r="115">
      <c r="A115" s="20" t="inlineStr">
        <is>
          <t>주식급여 충당금</t>
        </is>
      </c>
      <c r="F115" s="22" t="n">
        <v>39.933</v>
      </c>
      <c r="J115" s="22" t="n">
        <v>0</v>
      </c>
      <c r="K115" s="22" t="n">
        <v>39.933</v>
      </c>
    </row>
    <row r="116">
      <c r="A116" s="20" t="inlineStr">
        <is>
          <t>주식급여 충당금</t>
        </is>
      </c>
      <c r="F116" s="22" t="n">
        <v>39.933</v>
      </c>
      <c r="G116" s="22" t="n">
        <v>0</v>
      </c>
      <c r="K116" s="22" t="n">
        <v>39.933</v>
      </c>
    </row>
    <row r="117">
      <c r="A117" s="20" t="inlineStr">
        <is>
          <t>기타</t>
        </is>
      </c>
      <c r="C117" s="22" t="n">
        <v>650.335</v>
      </c>
      <c r="D117" s="22" t="n">
        <v>883.046</v>
      </c>
      <c r="E117" s="22" t="n">
        <v>977.527</v>
      </c>
      <c r="F117" s="22" t="n">
        <v>1707.187</v>
      </c>
      <c r="G117" s="22" t="n">
        <v>608.744</v>
      </c>
      <c r="H117" s="22" t="n">
        <v>393.037</v>
      </c>
      <c r="I117" s="22" t="n">
        <v>208.603</v>
      </c>
      <c r="J117" s="22" t="n">
        <v>460.318</v>
      </c>
      <c r="K117" s="22" t="n">
        <v>1707.187</v>
      </c>
    </row>
    <row r="118">
      <c r="A118" s="9" t="inlineStr">
        <is>
          <t>유동부채 합계</t>
        </is>
      </c>
      <c r="C118" s="12" t="n">
        <v>3762.473</v>
      </c>
      <c r="D118" s="12" t="n">
        <v>4467.202</v>
      </c>
      <c r="E118" s="12" t="n">
        <v>3988.771</v>
      </c>
      <c r="F118" s="12" t="n">
        <v>4664.485</v>
      </c>
      <c r="G118" s="12" t="n">
        <v>3649.965</v>
      </c>
      <c r="H118" s="12" t="n">
        <v>6463.68</v>
      </c>
      <c r="I118" s="12" t="n">
        <v>6032.769</v>
      </c>
      <c r="J118" s="12" t="n">
        <v>4881.443</v>
      </c>
      <c r="K118" s="12" t="n">
        <v>4664.485</v>
      </c>
    </row>
    <row r="119">
      <c r="A119" s="20" t="inlineStr">
        <is>
          <t>퇴직급여부채</t>
        </is>
      </c>
      <c r="C119" s="22" t="n">
        <v>3.797</v>
      </c>
      <c r="D119" s="22" t="n">
        <v>3.958</v>
      </c>
      <c r="E119" s="22" t="n">
        <v>3.326</v>
      </c>
      <c r="F119" s="22" t="n">
        <v>3.533</v>
      </c>
      <c r="G119" s="22" t="n">
        <v>3.856</v>
      </c>
      <c r="H119" s="22" t="n">
        <v>11.553</v>
      </c>
      <c r="I119" s="22" t="n">
        <v>6.865</v>
      </c>
      <c r="J119" s="22" t="n">
        <v>3.413</v>
      </c>
      <c r="K119" s="22" t="n">
        <v>3.533</v>
      </c>
    </row>
    <row r="120">
      <c r="A120" s="20" t="inlineStr">
        <is>
          <t>이연법인세부채</t>
        </is>
      </c>
      <c r="C120" s="22" t="n">
        <v>89.968</v>
      </c>
      <c r="D120" s="22" t="n">
        <v>260.772</v>
      </c>
      <c r="E120" s="22" t="n">
        <v>373.992</v>
      </c>
      <c r="F120" s="22" t="n">
        <v>440.673</v>
      </c>
      <c r="G120" s="22" t="n">
        <v>450.546</v>
      </c>
      <c r="H120" s="22" t="n">
        <v>78.479</v>
      </c>
      <c r="I120" s="22" t="n">
        <v>325.733</v>
      </c>
      <c r="J120" s="22" t="n">
        <v>134.966</v>
      </c>
      <c r="K120" s="22" t="n">
        <v>440.673</v>
      </c>
    </row>
    <row r="121">
      <c r="A121" s="20" t="inlineStr">
        <is>
          <t>기타</t>
        </is>
      </c>
      <c r="C121" s="22" t="n">
        <v>136.891</v>
      </c>
      <c r="D121" s="22" t="n">
        <v>134.301</v>
      </c>
      <c r="E121" s="22" t="n">
        <v>137.522</v>
      </c>
      <c r="F121" s="22" t="n">
        <v>137.559</v>
      </c>
      <c r="G121" s="22" t="n">
        <v>149.526</v>
      </c>
      <c r="H121" s="22" t="n">
        <v>148.868</v>
      </c>
      <c r="I121" s="22" t="n">
        <v>114.221</v>
      </c>
      <c r="J121" s="22" t="n">
        <v>118.121</v>
      </c>
      <c r="K121" s="22" t="n">
        <v>137.559</v>
      </c>
    </row>
    <row r="122">
      <c r="A122" s="9" t="inlineStr">
        <is>
          <t>비유동부채 합계</t>
        </is>
      </c>
      <c r="C122" s="12" t="n">
        <v>230.657</v>
      </c>
      <c r="D122" s="12" t="n">
        <v>399.032</v>
      </c>
      <c r="E122" s="12" t="n">
        <v>514.841</v>
      </c>
      <c r="F122" s="12" t="n">
        <v>581.765</v>
      </c>
      <c r="G122" s="12" t="n">
        <v>603.929</v>
      </c>
      <c r="H122" s="12" t="n">
        <v>238.901</v>
      </c>
      <c r="I122" s="12" t="n">
        <v>446.82</v>
      </c>
      <c r="J122" s="12" t="n">
        <v>256.501</v>
      </c>
      <c r="K122" s="12" t="n">
        <v>581.765</v>
      </c>
    </row>
    <row r="123">
      <c r="A123" s="9" t="inlineStr">
        <is>
          <t>부채 합계</t>
        </is>
      </c>
      <c r="C123" s="12" t="n">
        <v>3993.13</v>
      </c>
      <c r="D123" s="12" t="n">
        <v>4866.235</v>
      </c>
      <c r="E123" s="12" t="n">
        <v>4503.612</v>
      </c>
      <c r="F123" s="12" t="n">
        <v>5246.25</v>
      </c>
      <c r="G123" s="12" t="n">
        <v>4253.895</v>
      </c>
      <c r="H123" s="12" t="n">
        <v>6702.582</v>
      </c>
      <c r="I123" s="12" t="n">
        <v>6479.589</v>
      </c>
      <c r="J123" s="12" t="n">
        <v>5137.944</v>
      </c>
      <c r="K123" s="12" t="n">
        <v>5246.25</v>
      </c>
    </row>
    <row r="124">
      <c r="A124" s="20" t="inlineStr">
        <is>
          <t>자본금</t>
        </is>
      </c>
      <c r="C124" s="22" t="n">
        <v>1184.975</v>
      </c>
      <c r="D124" s="22" t="n">
        <v>1184.975</v>
      </c>
      <c r="E124" s="22" t="n">
        <v>1184.975</v>
      </c>
      <c r="F124" s="22" t="n">
        <v>1184.975</v>
      </c>
      <c r="G124" s="22" t="n">
        <v>1184.975</v>
      </c>
      <c r="H124" s="22" t="n">
        <v>1184.975</v>
      </c>
      <c r="I124" s="22" t="n">
        <v>1184.975</v>
      </c>
      <c r="J124" s="22" t="n">
        <v>1184.975</v>
      </c>
      <c r="K124" s="22" t="n">
        <v>1184.975</v>
      </c>
    </row>
    <row r="125">
      <c r="A125" s="20" t="inlineStr">
        <is>
          <t>자본잉여금</t>
        </is>
      </c>
      <c r="C125" s="22" t="n">
        <v>1150.15</v>
      </c>
      <c r="D125" s="22" t="n">
        <v>1507.233</v>
      </c>
      <c r="E125" s="22" t="n">
        <v>1507.233</v>
      </c>
      <c r="F125" s="22" t="n">
        <v>1507.233</v>
      </c>
      <c r="G125" s="22" t="n">
        <v>1507.233</v>
      </c>
      <c r="H125" s="22" t="n">
        <v>1128.979</v>
      </c>
      <c r="I125" s="22" t="n">
        <v>1139.202</v>
      </c>
      <c r="J125" s="22" t="n">
        <v>1150.15</v>
      </c>
      <c r="K125" s="22" t="n">
        <v>1507.233</v>
      </c>
    </row>
    <row r="126">
      <c r="A126" s="20" t="inlineStr">
        <is>
          <t>이익잉여금</t>
        </is>
      </c>
      <c r="C126" s="22" t="n">
        <v>19169.648</v>
      </c>
      <c r="D126" s="22" t="n">
        <v>19529.601</v>
      </c>
      <c r="E126" s="22" t="n">
        <v>19791.256</v>
      </c>
      <c r="F126" s="22" t="n">
        <v>20826.802</v>
      </c>
      <c r="G126" s="22" t="n">
        <v>20285.325</v>
      </c>
      <c r="H126" s="22" t="n">
        <v>16739.31</v>
      </c>
      <c r="I126" s="22" t="n">
        <v>18010.566</v>
      </c>
      <c r="J126" s="22" t="n">
        <v>19807.135</v>
      </c>
      <c r="K126" s="22" t="n">
        <v>20826.802</v>
      </c>
    </row>
    <row r="127">
      <c r="A127" s="20" t="inlineStr">
        <is>
          <t>자기주식</t>
        </is>
      </c>
      <c r="C127" s="22" t="n">
        <v>-404.524</v>
      </c>
      <c r="D127" s="22" t="n">
        <v>-735.713</v>
      </c>
      <c r="E127" s="22" t="n">
        <v>-735.713</v>
      </c>
      <c r="F127" s="22" t="n">
        <v>-735.713</v>
      </c>
      <c r="G127" s="22" t="n">
        <v>-695.779</v>
      </c>
      <c r="H127" s="22" t="n">
        <v>-419.117</v>
      </c>
      <c r="I127" s="22" t="n">
        <v>-410.768</v>
      </c>
      <c r="J127" s="22" t="n">
        <v>-404.524</v>
      </c>
      <c r="K127" s="22" t="n">
        <v>-735.713</v>
      </c>
    </row>
    <row r="128">
      <c r="A128" s="9" t="inlineStr">
        <is>
          <t>주주자본 합계</t>
        </is>
      </c>
      <c r="C128" s="12" t="n">
        <v>21100.249</v>
      </c>
      <c r="D128" s="12" t="n">
        <v>21486.096</v>
      </c>
      <c r="E128" s="12" t="n">
        <v>21747.752</v>
      </c>
      <c r="F128" s="12" t="n">
        <v>22783.297</v>
      </c>
      <c r="G128" s="12" t="n">
        <v>22281.754</v>
      </c>
      <c r="H128" s="12" t="n">
        <v>18634.147</v>
      </c>
      <c r="I128" s="12" t="n">
        <v>19923.976</v>
      </c>
      <c r="J128" s="12" t="n">
        <v>21737.736</v>
      </c>
      <c r="K128" s="12" t="n">
        <v>22783.297</v>
      </c>
    </row>
    <row r="129">
      <c r="A129" s="20" t="inlineStr">
        <is>
          <t>기타유가증권 평가차액</t>
        </is>
      </c>
      <c r="C129" s="22" t="n">
        <v>398.305</v>
      </c>
      <c r="D129" s="22" t="n">
        <v>506.853</v>
      </c>
      <c r="E129" s="22" t="n">
        <v>571.9640000000001</v>
      </c>
      <c r="F129" s="22" t="n">
        <v>611.103</v>
      </c>
      <c r="G129" s="22" t="n">
        <v>722.803</v>
      </c>
      <c r="H129" s="22" t="n">
        <v>225.975</v>
      </c>
      <c r="I129" s="22" t="n">
        <v>435.092</v>
      </c>
      <c r="J129" s="22" t="n">
        <v>358.757</v>
      </c>
      <c r="K129" s="22" t="n">
        <v>611.103</v>
      </c>
    </row>
    <row r="130">
      <c r="A130" s="20" t="inlineStr">
        <is>
          <t>퇴직급여 조정누계액</t>
        </is>
      </c>
      <c r="C130" s="22" t="n">
        <v>295.148</v>
      </c>
      <c r="D130" s="22" t="n">
        <v>287.245</v>
      </c>
      <c r="E130" s="22" t="n">
        <v>279.343</v>
      </c>
      <c r="F130" s="22" t="n">
        <v>596.563</v>
      </c>
      <c r="G130" s="22" t="n">
        <v>577.602</v>
      </c>
      <c r="H130" s="22" t="n">
        <v>129.943</v>
      </c>
      <c r="I130" s="22" t="n">
        <v>402.833</v>
      </c>
      <c r="J130" s="22" t="n">
        <v>303.05</v>
      </c>
      <c r="K130" s="22" t="n">
        <v>596.563</v>
      </c>
    </row>
    <row r="131">
      <c r="A131" s="20" t="inlineStr">
        <is>
          <t>기타포괄손익누계액 합계</t>
        </is>
      </c>
      <c r="C131" s="22" t="n">
        <v>693.453</v>
      </c>
      <c r="D131" s="22" t="n">
        <v>794.099</v>
      </c>
      <c r="E131" s="22" t="n">
        <v>851.308</v>
      </c>
      <c r="F131" s="22" t="n">
        <v>1207.667</v>
      </c>
      <c r="G131" s="22" t="n">
        <v>1300.405</v>
      </c>
      <c r="H131" s="22" t="n">
        <v>355.918</v>
      </c>
      <c r="I131" s="22" t="n">
        <v>837.926</v>
      </c>
      <c r="J131" s="22" t="n">
        <v>661.807</v>
      </c>
      <c r="K131" s="22" t="n">
        <v>1207.667</v>
      </c>
    </row>
    <row r="132">
      <c r="A132" s="9" t="inlineStr">
        <is>
          <t>순자산 합계</t>
        </is>
      </c>
      <c r="C132" s="12" t="n">
        <v>21793.702</v>
      </c>
      <c r="D132" s="12" t="n">
        <v>22280.196</v>
      </c>
      <c r="E132" s="12" t="n">
        <v>22599.06</v>
      </c>
      <c r="F132" s="12" t="n">
        <v>23990.965</v>
      </c>
      <c r="G132" s="12" t="n">
        <v>23582.16</v>
      </c>
      <c r="H132" s="12" t="n">
        <v>18990.066</v>
      </c>
      <c r="I132" s="12" t="n">
        <v>20761.902</v>
      </c>
      <c r="J132" s="12" t="n">
        <v>22399.544</v>
      </c>
      <c r="K132" s="12" t="n">
        <v>23990.965</v>
      </c>
    </row>
    <row r="133">
      <c r="A133" s="9" t="inlineStr">
        <is>
          <t>부채·순자산 합계</t>
        </is>
      </c>
      <c r="C133" s="12" t="n">
        <v>25786.833</v>
      </c>
      <c r="D133" s="12" t="n">
        <v>27146.432</v>
      </c>
      <c r="E133" s="12" t="n">
        <v>27102.673</v>
      </c>
      <c r="F133" s="12" t="n">
        <v>29237.215</v>
      </c>
      <c r="G133" s="12" t="n">
        <v>27836.055</v>
      </c>
      <c r="H133" s="12" t="n">
        <v>25692.648</v>
      </c>
      <c r="I133" s="12" t="n">
        <v>27241.492</v>
      </c>
      <c r="J133" s="12" t="n">
        <v>27537.488</v>
      </c>
      <c r="K133" s="12" t="n">
        <v>29237.215</v>
      </c>
    </row>
  </sheetData>
  <conditionalFormatting sqref="C43:K43">
    <cfRule type="expression" priority="1" dxfId="0">
      <formula>AND(ISNUMBER(C43),C43&gt;1.0)</formula>
    </cfRule>
  </conditionalFormatting>
  <conditionalFormatting sqref="C44:K44">
    <cfRule type="expression" priority="2" dxfId="0">
      <formula>AND(ISNUMBER(C44),C44&gt;0.5)</formula>
    </cfRule>
  </conditionalFormatting>
  <conditionalFormatting sqref="C45:K45">
    <cfRule type="expression" priority="3" dxfId="0">
      <formula>AND(ISNUMBER(C45),C45&lt;0.5)</formula>
    </cfRule>
  </conditionalFormatting>
  <conditionalFormatting sqref="C46:K46">
    <cfRule type="expression" priority="4" dxfId="0">
      <formula>AND(ISNUMBER(C46),C46&lt;1.5)</formula>
    </cfRule>
  </conditionalFormatting>
  <conditionalFormatting sqref="C47:K47">
    <cfRule type="expression" priority="5" dxfId="0">
      <formula>AND(ISNUMBER(C47),C47&lt;1.0)</formula>
    </cfRule>
  </conditionalFormatting>
  <conditionalFormatting sqref="C48:K48">
    <cfRule type="expression" priority="6" dxfId="0">
      <formula>AND(ISNUMBER(C48),C48&lt;5)</formula>
    </cfRule>
  </conditionalFormatting>
  <conditionalFormatting sqref="C49:K49">
    <cfRule type="expression" priority="7" dxfId="0">
      <formula>AND(ISNUMBER(C49),C49&gt;4)</formula>
    </cfRule>
  </conditionalFormatting>
  <conditionalFormatting sqref="C51:K51">
    <cfRule type="expression" priority="8" dxfId="0">
      <formula>AND(ISNUMBER(C51),C51&lt;0.15)</formula>
    </cfRule>
  </conditionalFormatting>
  <conditionalFormatting sqref="C52:K52">
    <cfRule type="expression" priority="9" dxfId="0">
      <formula>AND(ISNUMBER(C52),C52&lt;0.05)</formula>
    </cfRule>
  </conditionalFormatting>
  <conditionalFormatting sqref="C53:K53">
    <cfRule type="expression" priority="10" dxfId="0">
      <formula>AND(ISNUMBER(C53),C53&lt;0.1)</formula>
    </cfRule>
  </conditionalFormatting>
  <conditionalFormatting sqref="C54:K54">
    <cfRule type="expression" priority="11" dxfId="0">
      <formula>AND(ISNUMBER(C54),C54&lt;0.4)</formula>
    </cfRule>
  </conditionalFormatting>
  <conditionalFormatting sqref="C55:K55">
    <cfRule type="expression" priority="12" dxfId="0">
      <formula>AND(ISNUMBER(C55),C55&lt;0.15)</formula>
    </cfRule>
  </conditionalFormatting>
  <conditionalFormatting sqref="C56:K56">
    <cfRule type="expression" priority="13" dxfId="0">
      <formula>AND(ISNUMBER(C56),C56&lt;0.1)</formula>
    </cfRule>
  </conditionalFormatting>
  <conditionalFormatting sqref="C64:K64">
    <cfRule type="expression" priority="14" dxfId="0">
      <formula>AND(ISNUMBER(C64),C64&lt;1.0)</formula>
    </cfRule>
  </conditionalFormatting>
  <conditionalFormatting sqref="C65:K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1" t="inlineStr">
        <is>
          <t>출처 · 쓴 결산단신</t>
        </is>
      </c>
    </row>
    <row r="3">
      <c r="A3" s="52" t="inlineStr">
        <is>
          <t>공시일</t>
        </is>
      </c>
      <c r="B3" s="52" t="inlineStr">
        <is>
          <t>문서</t>
        </is>
      </c>
      <c r="C3" s="52" t="inlineStr">
        <is>
          <t>PDF</t>
        </is>
      </c>
    </row>
    <row r="4">
      <c r="A4" t="inlineStr">
        <is>
          <t>2026-07-31</t>
        </is>
      </c>
      <c r="B4" t="inlineStr">
        <is>
          <t>2027년 3월 결산기 １분기 결산단신</t>
        </is>
      </c>
      <c r="C4" t="inlineStr">
        <is>
          <t>https://www2.jpx.co.jp/disc/67970/140120260731505474.pdf</t>
        </is>
      </c>
    </row>
    <row r="5">
      <c r="A5" t="inlineStr">
        <is>
          <t>2026-05-12</t>
        </is>
      </c>
      <c r="B5" t="inlineStr">
        <is>
          <t>2026년 3월 결산기 연간 결산단신</t>
        </is>
      </c>
      <c r="C5" t="inlineStr">
        <is>
          <t>https://www2.jpx.co.jp/disc/67970/140120260512525860.pdf</t>
        </is>
      </c>
    </row>
    <row r="6">
      <c r="A6" t="inlineStr">
        <is>
          <t>2026-01-30</t>
        </is>
      </c>
      <c r="B6" t="inlineStr">
        <is>
          <t>2026년 3월 결산기 ３분기 결산단신</t>
        </is>
      </c>
      <c r="C6" t="inlineStr">
        <is>
          <t>https://www2.jpx.co.jp/disc/67970/140120260130543609.pdf</t>
        </is>
      </c>
    </row>
    <row r="7">
      <c r="A7" t="inlineStr">
        <is>
          <t>2025-10-31</t>
        </is>
      </c>
      <c r="B7" t="inlineStr">
        <is>
          <t>2026년 3월 결산기 2분기 결산단신</t>
        </is>
      </c>
      <c r="C7" t="inlineStr">
        <is>
          <t>https://www2.jpx.co.jp/disc/67970/140120251031585071.pdf</t>
        </is>
      </c>
    </row>
    <row r="8">
      <c r="A8" t="inlineStr">
        <is>
          <t>2025-07-31</t>
        </is>
      </c>
      <c r="B8" t="inlineStr">
        <is>
          <t>2026년 3월 결산기 １분기 결산단신</t>
        </is>
      </c>
      <c r="C8" t="inlineStr">
        <is>
          <t>https://www2.jpx.co.jp/disc/67970/140120250731525763.pdf</t>
        </is>
      </c>
    </row>
    <row r="9">
      <c r="A9" t="inlineStr">
        <is>
          <t>2025-05-13</t>
        </is>
      </c>
      <c r="B9" t="inlineStr">
        <is>
          <t>2025년 3월 결산기 연간 결산단신</t>
        </is>
      </c>
      <c r="C9" t="inlineStr">
        <is>
          <t>https://www2.jpx.co.jp/disc/67970/140120250513546181.pdf</t>
        </is>
      </c>
    </row>
    <row r="10">
      <c r="A10" t="inlineStr">
        <is>
          <t>2025-01-31</t>
        </is>
      </c>
      <c r="B10" t="inlineStr">
        <is>
          <t>2025년 3월 결산기 ３분기 결산단신</t>
        </is>
      </c>
      <c r="C10" t="inlineStr">
        <is>
          <t>https://www2.jpx.co.jp/disc/67970/140120250131560036.pdf</t>
        </is>
      </c>
    </row>
    <row r="11">
      <c r="A11" t="inlineStr">
        <is>
          <t>2024-10-31</t>
        </is>
      </c>
      <c r="B11" t="inlineStr">
        <is>
          <t>2025년 3월 결산기 ２분기 결산단신</t>
        </is>
      </c>
      <c r="C11" t="inlineStr">
        <is>
          <t>https://www2.jpx.co.jp/disc/67970/140120241031507759.pdf</t>
        </is>
      </c>
    </row>
    <row r="12">
      <c r="A12" t="inlineStr">
        <is>
          <t>2024-07-31</t>
        </is>
      </c>
      <c r="B12" t="inlineStr">
        <is>
          <t>2025년 3월 결산기 １분기 결산단신</t>
        </is>
      </c>
      <c r="C12" t="inlineStr">
        <is>
          <t>https://www2.jpx.co.jp/disc/67970/140120240731559225.pdf</t>
        </is>
      </c>
    </row>
    <row r="13">
      <c r="A13" t="inlineStr">
        <is>
          <t>2024-05-14</t>
        </is>
      </c>
      <c r="B13" t="inlineStr">
        <is>
          <t>2024년 3월 결산기 연간 결산단신</t>
        </is>
      </c>
      <c r="C13" t="inlineStr">
        <is>
          <t>https://www2.jpx.co.jp/disc/67970/140120240514596337.pdf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2026-10-25T16:09:32Z</dcterms:created>
  <dcterms:modified xmlns:dcterms="http://purl.org/dc/terms/" xmlns:xsi="http://www.w3.org/2001/XMLSchema-instance" xsi:type="dcterms:W3CDTF">2026-10-25T16:09:32Z</dcterms:modified>
</cp:coreProperties>
</file>