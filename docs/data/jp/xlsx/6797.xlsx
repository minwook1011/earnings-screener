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8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8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6797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3621.985</v>
      </c>
      <c r="D4" s="12" t="n">
        <v>3337.847</v>
      </c>
      <c r="E4" s="12" t="n">
        <v>7865.594</v>
      </c>
      <c r="F4" s="12" t="n">
        <v>2441.134</v>
      </c>
      <c r="G4" s="12" t="n">
        <v>3186.307</v>
      </c>
      <c r="H4" s="12" t="n">
        <v>4281.418</v>
      </c>
      <c r="I4" s="12" t="n">
        <v>7353.439</v>
      </c>
      <c r="J4" s="12" t="n">
        <v>1816.545</v>
      </c>
      <c r="K4" s="12" t="n">
        <v>3800.204</v>
      </c>
      <c r="L4" s="12" t="n">
        <v>4108.305</v>
      </c>
      <c r="M4" s="12" t="n">
        <v>7582.328</v>
      </c>
      <c r="N4" s="12" t="n">
        <v>2409.161</v>
      </c>
      <c r="O4" s="11" t="n"/>
      <c r="P4" s="12" t="n"/>
      <c r="Q4" s="12" t="n"/>
      <c r="R4" s="12" t="n"/>
      <c r="S4" s="12" t="n"/>
      <c r="T4" s="12" t="n"/>
      <c r="U4" s="12" t="n">
        <v>18009.293</v>
      </c>
      <c r="V4" s="12" t="n">
        <v>17582.489</v>
      </c>
      <c r="W4" s="12" t="n">
        <v>17262.298</v>
      </c>
      <c r="X4" s="12" t="n">
        <v>17307.382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2847.399</v>
      </c>
      <c r="D11" s="22" t="n">
        <v>2386.377</v>
      </c>
      <c r="E11" s="22" t="n">
        <v>4936.502</v>
      </c>
      <c r="F11" s="22" t="n">
        <v>1694.583</v>
      </c>
      <c r="G11" s="22" t="n">
        <v>2159.823</v>
      </c>
      <c r="H11" s="22" t="n">
        <v>2865.071</v>
      </c>
      <c r="I11" s="22" t="n">
        <v>4634.897</v>
      </c>
      <c r="J11" s="22" t="n">
        <v>1271.428</v>
      </c>
      <c r="K11" s="22" t="n">
        <v>2753.363</v>
      </c>
      <c r="L11" s="22" t="n">
        <v>3001.748</v>
      </c>
      <c r="M11" s="22" t="n">
        <v>5289.589</v>
      </c>
      <c r="N11" s="22" t="n">
        <v>1642.393</v>
      </c>
      <c r="O11" s="21" t="n"/>
      <c r="P11" s="22" t="n"/>
      <c r="Q11" s="22" t="n"/>
      <c r="R11" s="22" t="n"/>
      <c r="S11" s="22" t="n"/>
      <c r="T11" s="22" t="n"/>
      <c r="U11" s="22" t="n">
        <v>12320.782</v>
      </c>
      <c r="V11" s="22" t="n">
        <v>12210.727</v>
      </c>
      <c r="W11" s="22" t="n">
        <v>11354.374</v>
      </c>
      <c r="X11" s="22" t="n">
        <v>12316.128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>
        <v>774.543</v>
      </c>
      <c r="D17" s="22" t="n">
        <v>725.0359999999999</v>
      </c>
      <c r="E17" s="22" t="n">
        <v>818.567</v>
      </c>
      <c r="F17" s="22" t="n">
        <v>716.686</v>
      </c>
      <c r="G17" s="22" t="n">
        <v>712.561</v>
      </c>
      <c r="H17" s="22" t="n">
        <v>738.044</v>
      </c>
      <c r="I17" s="22" t="n">
        <v>988.535</v>
      </c>
      <c r="J17" s="22" t="n">
        <v>768.318</v>
      </c>
      <c r="K17" s="22" t="n">
        <v>822.4059999999999</v>
      </c>
      <c r="L17" s="22" t="n">
        <v>750.936</v>
      </c>
      <c r="M17" s="22" t="n">
        <v>900.235</v>
      </c>
      <c r="N17" s="22" t="n">
        <v>774.28</v>
      </c>
      <c r="O17" s="21" t="n"/>
      <c r="P17" s="22" t="n"/>
      <c r="Q17" s="22" t="n"/>
      <c r="R17" s="22" t="n"/>
      <c r="S17" s="22" t="n"/>
      <c r="T17" s="22" t="n"/>
      <c r="U17" s="22" t="n">
        <v>3191.69</v>
      </c>
      <c r="V17" s="22" t="n">
        <v>3027.03</v>
      </c>
      <c r="W17" s="22" t="n">
        <v>3155.826</v>
      </c>
      <c r="X17" s="22" t="n">
        <v>3241.895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>
        <v>0.043</v>
      </c>
      <c r="D19" s="12" t="n">
        <v>226.435</v>
      </c>
      <c r="E19" s="12" t="n">
        <v>2110.524</v>
      </c>
      <c r="F19" s="12" t="n">
        <v>29.863</v>
      </c>
      <c r="G19" s="12" t="n">
        <v>313.925</v>
      </c>
      <c r="H19" s="12" t="n">
        <v>678.302</v>
      </c>
      <c r="I19" s="12" t="n">
        <v>1730.007</v>
      </c>
      <c r="J19" s="12" t="n">
        <v>-223.201</v>
      </c>
      <c r="K19" s="12" t="n">
        <v>224.435</v>
      </c>
      <c r="L19" s="12" t="n">
        <v>355.621</v>
      </c>
      <c r="M19" s="12" t="n">
        <v>1392.503</v>
      </c>
      <c r="N19" s="12" t="n">
        <v>-7.512</v>
      </c>
      <c r="O19" s="11" t="n"/>
      <c r="P19" s="12" t="n"/>
      <c r="Q19" s="12" t="n"/>
      <c r="R19" s="12" t="n"/>
      <c r="S19" s="12" t="n"/>
      <c r="T19" s="12" t="n"/>
      <c r="U19" s="12" t="n">
        <v>2496.819</v>
      </c>
      <c r="V19" s="12" t="n">
        <v>2344.731</v>
      </c>
      <c r="W19" s="12" t="n">
        <v>2752.097</v>
      </c>
      <c r="X19" s="12" t="n">
        <v>1749.358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>
        <v>116.131</v>
      </c>
      <c r="V26" s="22" t="n">
        <v>143.581</v>
      </c>
      <c r="W26" s="22" t="n">
        <v>154.987</v>
      </c>
      <c r="X26" s="22" t="n">
        <v>166.941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>
        <v>735.984</v>
      </c>
      <c r="V30" s="22" t="n">
        <v>916.769</v>
      </c>
      <c r="W30" s="22" t="n">
        <v>960.713</v>
      </c>
      <c r="X30" s="22" t="n">
        <v>817.323</v>
      </c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>
        <v>0</v>
      </c>
      <c r="F35" s="22" t="n"/>
      <c r="G35" s="22" t="n"/>
      <c r="H35" s="22" t="n">
        <v>77.211</v>
      </c>
      <c r="I35" s="22" t="n">
        <v>28.515</v>
      </c>
      <c r="J35" s="22" t="n"/>
      <c r="K35" s="22" t="n"/>
      <c r="L35" s="22" t="n">
        <v>0.35</v>
      </c>
      <c r="M35" s="22" t="n">
        <v>0</v>
      </c>
      <c r="N35" s="22" t="n"/>
      <c r="O35" s="21" t="n"/>
      <c r="P35" s="22" t="n"/>
      <c r="Q35" s="22" t="n"/>
      <c r="R35" s="22" t="n"/>
      <c r="S35" s="22" t="n"/>
      <c r="T35" s="22" t="n"/>
      <c r="U35" s="22" t="n">
        <v>46.14</v>
      </c>
      <c r="V35" s="22" t="n">
        <v>0.209</v>
      </c>
      <c r="W35" s="22" t="n">
        <v>105.726</v>
      </c>
      <c r="X35" s="22" t="n">
        <v>314.876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>
        <v>0</v>
      </c>
      <c r="I37" s="22" t="n">
        <v>0</v>
      </c>
      <c r="J37" s="22" t="n"/>
      <c r="K37" s="22" t="n"/>
      <c r="L37" s="22" t="n">
        <v>0</v>
      </c>
      <c r="M37" s="22" t="n">
        <v>0.05</v>
      </c>
      <c r="N37" s="22" t="n"/>
      <c r="O37" s="21" t="n"/>
      <c r="P37" s="22" t="n"/>
      <c r="Q37" s="22" t="n"/>
      <c r="R37" s="22" t="n"/>
      <c r="S37" s="22" t="n"/>
      <c r="T37" s="22" t="n"/>
      <c r="U37" s="22" t="n">
        <v>273.406</v>
      </c>
      <c r="V37" s="22" t="n">
        <v>0.029</v>
      </c>
      <c r="W37" s="22" t="n">
        <v>0</v>
      </c>
      <c r="X37" s="22" t="n">
        <v>1.175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>
        <v>27.053</v>
      </c>
      <c r="D39" s="22" t="n">
        <v>49.53</v>
      </c>
      <c r="E39" s="22" t="n">
        <v>43.289</v>
      </c>
      <c r="F39" s="22" t="n">
        <v>70.258</v>
      </c>
      <c r="G39" s="22" t="n">
        <v>29.443</v>
      </c>
      <c r="H39" s="22" t="n">
        <v>58.688</v>
      </c>
      <c r="I39" s="22" t="n">
        <v>37.811</v>
      </c>
      <c r="J39" s="22" t="n">
        <v>60.84</v>
      </c>
      <c r="K39" s="22" t="n">
        <v>38.808</v>
      </c>
      <c r="L39" s="22" t="n">
        <v>53.109</v>
      </c>
      <c r="M39" s="22" t="n">
        <v>44.285</v>
      </c>
      <c r="N39" s="22" t="n">
        <v>67.419</v>
      </c>
      <c r="O39" s="21" t="n"/>
      <c r="P39" s="22" t="n"/>
      <c r="Q39" s="22" t="n"/>
      <c r="R39" s="22" t="n"/>
      <c r="S39" s="22" t="n"/>
      <c r="T39" s="22" t="n"/>
      <c r="U39" s="22" t="n">
        <v>89.23099999999999</v>
      </c>
      <c r="V39" s="22" t="n">
        <v>166.396</v>
      </c>
      <c r="W39" s="22" t="n">
        <v>196.2</v>
      </c>
      <c r="X39" s="22" t="n">
        <v>197.042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>
        <v>48.973</v>
      </c>
      <c r="D41" s="22" t="n">
        <v>33.967</v>
      </c>
      <c r="E41" s="22" t="n">
        <v>38.022</v>
      </c>
      <c r="F41" s="22" t="n">
        <v>34.15</v>
      </c>
      <c r="G41" s="22" t="n">
        <v>60</v>
      </c>
      <c r="H41" s="22" t="n">
        <v>15.043</v>
      </c>
      <c r="I41" s="22" t="n">
        <v>56.255</v>
      </c>
      <c r="J41" s="22" t="n">
        <v>44.589</v>
      </c>
      <c r="K41" s="22" t="n">
        <v>39.051</v>
      </c>
      <c r="L41" s="22" t="n">
        <v>24.217</v>
      </c>
      <c r="M41" s="22" t="n">
        <v>44.502</v>
      </c>
      <c r="N41" s="22" t="n">
        <v>31.842</v>
      </c>
      <c r="O41" s="21" t="n"/>
      <c r="P41" s="22" t="n"/>
      <c r="Q41" s="22" t="n"/>
      <c r="R41" s="22" t="n"/>
      <c r="S41" s="22" t="n"/>
      <c r="T41" s="22" t="n"/>
      <c r="U41" s="22" t="n">
        <v>146.865</v>
      </c>
      <c r="V41" s="22" t="n">
        <v>159.646</v>
      </c>
      <c r="W41" s="22" t="n">
        <v>165.448</v>
      </c>
      <c r="X41" s="22" t="n">
        <v>152.359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>
        <v>-21.876</v>
      </c>
      <c r="D43" s="12" t="n">
        <v>242.206</v>
      </c>
      <c r="E43" s="12" t="n">
        <v>2115.762</v>
      </c>
      <c r="F43" s="12" t="n">
        <v>65.971</v>
      </c>
      <c r="G43" s="12" t="n">
        <v>283.368</v>
      </c>
      <c r="H43" s="12" t="n">
        <v>799.158</v>
      </c>
      <c r="I43" s="12" t="n">
        <v>1740.077</v>
      </c>
      <c r="J43" s="12" t="n">
        <v>-206.95</v>
      </c>
      <c r="K43" s="12" t="n">
        <v>537.593</v>
      </c>
      <c r="L43" s="12" t="n">
        <v>384.863</v>
      </c>
      <c r="M43" s="12" t="n">
        <v>1392.237</v>
      </c>
      <c r="N43" s="12" t="n">
        <v>28.064</v>
      </c>
      <c r="O43" s="11" t="n"/>
      <c r="P43" s="12" t="n"/>
      <c r="Q43" s="12" t="n"/>
      <c r="R43" s="12" t="n"/>
      <c r="S43" s="12" t="n"/>
      <c r="T43" s="12" t="n"/>
      <c r="U43" s="12" t="n">
        <v>2211.919</v>
      </c>
      <c r="V43" s="12" t="n">
        <v>2351.661</v>
      </c>
      <c r="W43" s="12" t="n">
        <v>2888.574</v>
      </c>
      <c r="X43" s="12" t="n">
        <v>2107.743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>
        <v>16.422</v>
      </c>
      <c r="D45" s="22" t="n">
        <v>87.705</v>
      </c>
      <c r="E45" s="22" t="n">
        <v>544.583</v>
      </c>
      <c r="F45" s="22" t="n">
        <v>26.681</v>
      </c>
      <c r="G45" s="22" t="n">
        <v>97.658</v>
      </c>
      <c r="H45" s="22" t="n">
        <v>256.012</v>
      </c>
      <c r="I45" s="22" t="n">
        <v>301.673</v>
      </c>
      <c r="J45" s="22" t="n">
        <v>-68.02800000000001</v>
      </c>
      <c r="K45" s="22" t="n">
        <v>177.639</v>
      </c>
      <c r="L45" s="22" t="n">
        <v>123.208</v>
      </c>
      <c r="M45" s="22" t="n">
        <v>356.691</v>
      </c>
      <c r="N45" s="22" t="n">
        <v>21.627</v>
      </c>
      <c r="O45" s="21" t="n"/>
      <c r="P45" s="22" t="n"/>
      <c r="Q45" s="22" t="n"/>
      <c r="R45" s="22" t="n"/>
      <c r="S45" s="22" t="n"/>
      <c r="T45" s="22" t="n"/>
      <c r="U45" s="22" t="n">
        <v>614.766</v>
      </c>
      <c r="V45" s="22" t="n">
        <v>671.228</v>
      </c>
      <c r="W45" s="22" t="n">
        <v>682.024</v>
      </c>
      <c r="X45" s="22" t="n">
        <v>589.51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>
        <v>-38.298</v>
      </c>
      <c r="D47" s="12" t="n">
        <v>154.5</v>
      </c>
      <c r="E47" s="12" t="n">
        <v>1571.179</v>
      </c>
      <c r="F47" s="12" t="n">
        <v>39.29</v>
      </c>
      <c r="G47" s="12" t="n">
        <v>185.709</v>
      </c>
      <c r="H47" s="12" t="n">
        <v>543.147</v>
      </c>
      <c r="I47" s="12" t="n">
        <v>1438.404</v>
      </c>
      <c r="J47" s="12" t="n">
        <v>-138.921</v>
      </c>
      <c r="K47" s="12" t="n">
        <v>359.952</v>
      </c>
      <c r="L47" s="12" t="n">
        <v>261.656</v>
      </c>
      <c r="M47" s="12" t="n">
        <v>1035.545</v>
      </c>
      <c r="N47" s="12" t="n">
        <v>6.436</v>
      </c>
      <c r="O47" s="11" t="n"/>
      <c r="P47" s="12" t="n"/>
      <c r="Q47" s="12" t="n"/>
      <c r="R47" s="12" t="n"/>
      <c r="S47" s="12" t="n"/>
      <c r="T47" s="12" t="n"/>
      <c r="U47" s="12" t="n">
        <v>1597.153</v>
      </c>
      <c r="V47" s="12" t="n">
        <v>1680.432</v>
      </c>
      <c r="W47" s="12" t="n">
        <v>2206.55</v>
      </c>
      <c r="X47" s="12" t="n">
        <v>1518.232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>
        <v>-38.298</v>
      </c>
      <c r="D49" s="12" t="n">
        <v>154.5</v>
      </c>
      <c r="E49" s="12" t="n">
        <v>1571.179</v>
      </c>
      <c r="F49" s="12" t="n">
        <v>39.29</v>
      </c>
      <c r="G49" s="12" t="n">
        <v>185.709</v>
      </c>
      <c r="H49" s="12" t="n">
        <v>543.147</v>
      </c>
      <c r="I49" s="12" t="n">
        <v>1438.404</v>
      </c>
      <c r="J49" s="12" t="n">
        <v>-138.921</v>
      </c>
      <c r="K49" s="12" t="n">
        <v>359.952</v>
      </c>
      <c r="L49" s="12" t="n">
        <v>261.656</v>
      </c>
      <c r="M49" s="12" t="n">
        <v>1035.545</v>
      </c>
      <c r="N49" s="12" t="n">
        <v>6.436</v>
      </c>
      <c r="O49" s="11" t="n"/>
      <c r="P49" s="12" t="n"/>
      <c r="Q49" s="12" t="n"/>
      <c r="R49" s="12" t="n"/>
      <c r="S49" s="12" t="n"/>
      <c r="T49" s="12" t="n"/>
      <c r="U49" s="12" t="n">
        <v>1597.153</v>
      </c>
      <c r="V49" s="12" t="n">
        <v>1680.432</v>
      </c>
      <c r="W49" s="12" t="n">
        <v>2206.55</v>
      </c>
      <c r="X49" s="12" t="n">
        <v>1518.232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1172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12844000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2024.2Q</t>
        </is>
      </c>
      <c r="D83" s="5" t="inlineStr">
        <is>
          <t>2024.3Q</t>
        </is>
      </c>
      <c r="E83" s="5" t="inlineStr">
        <is>
          <t>2024.4Q</t>
        </is>
      </c>
      <c r="F83" s="5" t="inlineStr">
        <is>
          <t>2025.1Q</t>
        </is>
      </c>
      <c r="G83" s="5" t="inlineStr">
        <is>
          <t>2025.2Q</t>
        </is>
      </c>
      <c r="H83" s="5" t="inlineStr">
        <is>
          <t>2025.3Q</t>
        </is>
      </c>
      <c r="I83" s="5" t="inlineStr">
        <is>
          <t>2025.4Q</t>
        </is>
      </c>
      <c r="J83" s="5" t="inlineStr">
        <is>
          <t>2026.1Q</t>
        </is>
      </c>
      <c r="K83" s="5" t="inlineStr">
        <is>
          <t>2026.2Q</t>
        </is>
      </c>
      <c r="L83" s="5" t="inlineStr">
        <is>
          <t>2026.3Q</t>
        </is>
      </c>
      <c r="M83" s="5" t="inlineStr">
        <is>
          <t>2026.4Q</t>
        </is>
      </c>
      <c r="N83" s="5" t="inlineStr">
        <is>
          <t>2027.1Q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C84" s="12" t="n">
        <v>3621.985</v>
      </c>
      <c r="D84" s="12" t="n">
        <v>3337.847</v>
      </c>
      <c r="E84" s="12" t="n">
        <v>7865.594</v>
      </c>
      <c r="F84" s="12" t="n">
        <v>2441.134</v>
      </c>
      <c r="G84" s="12" t="n">
        <v>3186.307</v>
      </c>
      <c r="H84" s="12" t="n">
        <v>4281.418</v>
      </c>
      <c r="I84" s="12" t="n">
        <v>7353.439</v>
      </c>
      <c r="J84" s="12" t="n">
        <v>1816.545</v>
      </c>
      <c r="K84" s="12" t="n">
        <v>3800.204</v>
      </c>
      <c r="L84" s="12" t="n">
        <v>4108.305</v>
      </c>
      <c r="M84" s="12" t="n">
        <v>7582.328</v>
      </c>
      <c r="N84" s="12" t="n">
        <v>2409.161</v>
      </c>
      <c r="V84" s="12" t="n">
        <v>7865.594</v>
      </c>
      <c r="W84" s="12" t="n">
        <v>7353.439</v>
      </c>
      <c r="X84" s="12" t="n">
        <v>7582.328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G85" s="17">
        <f>IF(OR(G84="",C84=""),"",IF(C84&lt;=0,"",IFERROR(G84/C84-1,"")))</f>
        <v/>
      </c>
      <c r="H85" s="17">
        <f>IF(OR(H84="",D84=""),"",IF(D84&lt;=0,"",IFERROR(H84/D84-1,"")))</f>
        <v/>
      </c>
      <c r="I85" s="17">
        <f>IF(OR(I84="",E84=""),"",IF(E84&lt;=0,"",IFERROR(I84/E84-1,"")))</f>
        <v/>
      </c>
      <c r="J85" s="17">
        <f>IF(OR(J84="",F84=""),"",IF(F84&lt;=0,"",IFERROR(J84/F84-1,"")))</f>
        <v/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V85" s="17">
        <f>IF(OR(V84="",U84=""),"",IF(U84&lt;=0,"",IFERROR(V84/U84-1,"")))</f>
        <v/>
      </c>
      <c r="W85" s="17">
        <f>IF(OR(W84="",V84=""),"",IF(V84&lt;=0,"",IFERROR(W84/V84-1,"")))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C86" s="22" t="n">
        <v>2847.399</v>
      </c>
      <c r="D86" s="22" t="n">
        <v>2386.377</v>
      </c>
      <c r="E86" s="22" t="n">
        <v>4936.502</v>
      </c>
      <c r="F86" s="22" t="n">
        <v>1694.583</v>
      </c>
      <c r="G86" s="22" t="n">
        <v>2159.823</v>
      </c>
      <c r="H86" s="22" t="n">
        <v>2865.071</v>
      </c>
      <c r="I86" s="22" t="n">
        <v>4634.897</v>
      </c>
      <c r="J86" s="22" t="n">
        <v>1271.428</v>
      </c>
      <c r="K86" s="22" t="n">
        <v>2753.363</v>
      </c>
      <c r="L86" s="22" t="n">
        <v>3001.748</v>
      </c>
      <c r="M86" s="22" t="n">
        <v>5289.589</v>
      </c>
      <c r="N86" s="22" t="n">
        <v>1642.393</v>
      </c>
      <c r="V86" s="22" t="n">
        <v>4936.502</v>
      </c>
      <c r="W86" s="22" t="n">
        <v>4634.897</v>
      </c>
      <c r="X86" s="22" t="n">
        <v>5289.589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IF(OR(G86="",C86=""),"",IF(G86*C86&lt;=0,"",IFERROR(G86/C86-1,"")))</f>
        <v/>
      </c>
      <c r="H87" s="17">
        <f>IF(OR(H86="",D86=""),"",IF(H86*D86&lt;=0,"",IFERROR(H86/D86-1,"")))</f>
        <v/>
      </c>
      <c r="I87" s="17">
        <f>IF(OR(I86="",E86=""),"",IF(I86*E86&lt;=0,"",IFERROR(I86/E86-1,"")))</f>
        <v/>
      </c>
      <c r="J87" s="17">
        <f>IF(OR(J86="",F86=""),"",IF(J86*F86&lt;=0,"",IFERROR(J86/F86-1,"")))</f>
        <v/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V87" s="17">
        <f>IF(OR(V86="",U86=""),"",IF(V86*U86&lt;=0,"",IFERROR(V86/U86-1,"")))</f>
        <v/>
      </c>
      <c r="W87" s="17">
        <f>IF(OR(W86="",V86=""),"",IF(W86*V86&lt;=0,"",IFERROR(W86/V86-1,"")))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C88" s="12" t="n">
        <v>774.585</v>
      </c>
      <c r="D88" s="12" t="n">
        <v>951.471</v>
      </c>
      <c r="E88" s="12" t="n">
        <v>2929.092</v>
      </c>
      <c r="F88" s="12" t="n">
        <v>746.55</v>
      </c>
      <c r="G88" s="12" t="n">
        <v>1026.485</v>
      </c>
      <c r="H88" s="12" t="n">
        <v>1416.347</v>
      </c>
      <c r="I88" s="12" t="n">
        <v>2718.542</v>
      </c>
      <c r="J88" s="12" t="n">
        <v>545.117</v>
      </c>
      <c r="K88" s="12" t="n">
        <v>1046.841</v>
      </c>
      <c r="L88" s="12" t="n">
        <v>1106.557</v>
      </c>
      <c r="M88" s="12" t="n">
        <v>2292.738</v>
      </c>
      <c r="N88" s="12" t="n">
        <v>766.7670000000001</v>
      </c>
      <c r="V88" s="12" t="n">
        <v>2929.092</v>
      </c>
      <c r="W88" s="12" t="n">
        <v>2718.542</v>
      </c>
      <c r="X88" s="12" t="n">
        <v>2292.738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G89" s="17">
        <f>IF(OR(G88="",C88=""),"",IF(C88&lt;=0,"",IFERROR(G88/C88-1,"")))</f>
        <v/>
      </c>
      <c r="H89" s="17">
        <f>IF(OR(H88="",D88=""),"",IF(D88&lt;=0,"",IFERROR(H88/D88-1,"")))</f>
        <v/>
      </c>
      <c r="I89" s="17">
        <f>IF(OR(I88="",E88=""),"",IF(E88&lt;=0,"",IFERROR(I88/E88-1,"")))</f>
        <v/>
      </c>
      <c r="J89" s="17">
        <f>IF(OR(J88="",F88=""),"",IF(F88&lt;=0,"",IFERROR(J88/F88-1,"")))</f>
        <v/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V89" s="17">
        <f>IF(OR(V88="",U88=""),"",IF(U88&lt;=0,"",IFERROR(V88/U88-1,"")))</f>
        <v/>
      </c>
      <c r="W89" s="17">
        <f>IF(OR(W88="",V88=""),"",IF(V88&lt;=0,"",IFERROR(W88/V88-1,"")))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C90" s="22" t="n">
        <v>774.543</v>
      </c>
      <c r="D90" s="22" t="n">
        <v>725.0359999999999</v>
      </c>
      <c r="E90" s="22" t="n">
        <v>818.567</v>
      </c>
      <c r="F90" s="22" t="n">
        <v>716.686</v>
      </c>
      <c r="G90" s="22" t="n">
        <v>712.561</v>
      </c>
      <c r="H90" s="22" t="n">
        <v>738.044</v>
      </c>
      <c r="I90" s="22" t="n">
        <v>988.535</v>
      </c>
      <c r="J90" s="22" t="n">
        <v>768.318</v>
      </c>
      <c r="K90" s="22" t="n">
        <v>822.4059999999999</v>
      </c>
      <c r="L90" s="22" t="n">
        <v>750.936</v>
      </c>
      <c r="M90" s="22" t="n">
        <v>900.235</v>
      </c>
      <c r="N90" s="22" t="n">
        <v>774.28</v>
      </c>
      <c r="V90" s="22" t="n">
        <v>818.567</v>
      </c>
      <c r="W90" s="22" t="n">
        <v>988.535</v>
      </c>
      <c r="X90" s="22" t="n">
        <v>900.235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G91" s="17">
        <f>IF(OR(G90="",C90=""),"",IF(G90*C90&lt;=0,"",IFERROR(G90/C90-1,"")))</f>
        <v/>
      </c>
      <c r="H91" s="17">
        <f>IF(OR(H90="",D90=""),"",IF(H90*D90&lt;=0,"",IFERROR(H90/D90-1,"")))</f>
        <v/>
      </c>
      <c r="I91" s="17">
        <f>IF(OR(I90="",E90=""),"",IF(I90*E90&lt;=0,"",IFERROR(I90/E90-1,"")))</f>
        <v/>
      </c>
      <c r="J91" s="17">
        <f>IF(OR(J90="",F90=""),"",IF(J90*F90&lt;=0,"",IFERROR(J90/F90-1,"")))</f>
        <v/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V91" s="17">
        <f>IF(OR(V90="",U90=""),"",IF(V90*U90&lt;=0,"",IFERROR(V90/U90-1,"")))</f>
        <v/>
      </c>
      <c r="W91" s="17">
        <f>IF(OR(W90="",V90=""),"",IF(W90*V90&lt;=0,"",IFERROR(W90/V90-1,"")))</f>
        <v/>
      </c>
      <c r="X91" s="17">
        <f>IF(OR(X90="",W90=""),"",IF(X90*W90&lt;=0,"",IFERROR(X90/W90-1,"")))</f>
        <v/>
      </c>
    </row>
    <row r="92">
      <c r="A92" s="9" t="inlineStr">
        <is>
          <t>Operating Income</t>
        </is>
      </c>
      <c r="C92" s="12" t="n">
        <v>0.043</v>
      </c>
      <c r="D92" s="12" t="n">
        <v>226.435</v>
      </c>
      <c r="E92" s="12" t="n">
        <v>2110.524</v>
      </c>
      <c r="F92" s="12" t="n">
        <v>29.863</v>
      </c>
      <c r="G92" s="12" t="n">
        <v>313.925</v>
      </c>
      <c r="H92" s="12" t="n">
        <v>678.302</v>
      </c>
      <c r="I92" s="12" t="n">
        <v>1730.007</v>
      </c>
      <c r="J92" s="12" t="n">
        <v>-223.201</v>
      </c>
      <c r="K92" s="12" t="n">
        <v>224.435</v>
      </c>
      <c r="L92" s="12" t="n">
        <v>355.621</v>
      </c>
      <c r="M92" s="12" t="n">
        <v>1392.503</v>
      </c>
      <c r="N92" s="12" t="n">
        <v>-7.512</v>
      </c>
      <c r="V92" s="12" t="n">
        <v>2110.524</v>
      </c>
      <c r="W92" s="12" t="n">
        <v>1730.007</v>
      </c>
      <c r="X92" s="12" t="n">
        <v>1392.503</v>
      </c>
    </row>
    <row r="93">
      <c r="A93" s="45" t="inlineStr">
        <is>
          <t>OPM</t>
        </is>
      </c>
      <c r="B93" s="3" t="inlineStr">
        <is>
          <t>영업이익 ÷ 매출</t>
        </is>
      </c>
      <c r="C93" s="17">
        <f>IF(OR(C92="",C84=""),"",IF(C84&lt;=0,"",IFERROR(C92/C84,"")))</f>
        <v/>
      </c>
      <c r="D93" s="17">
        <f>IF(OR(D92="",D84=""),"",IF(D84&lt;=0,"",IFERROR(D92/D84,"")))</f>
        <v/>
      </c>
      <c r="E93" s="17">
        <f>IF(OR(E92="",E84=""),"",IF(E84&lt;=0,"",IFERROR(E92/E84,"")))</f>
        <v/>
      </c>
      <c r="F93" s="17">
        <f>IF(OR(F92="",F84=""),"",IF(F84&lt;=0,"",IFERROR(F92/F84,"")))</f>
        <v/>
      </c>
      <c r="G93" s="17">
        <f>IF(OR(G92="",G84=""),"",IF(G84&lt;=0,"",IFERROR(G92/G84,"")))</f>
        <v/>
      </c>
      <c r="H93" s="17">
        <f>IF(OR(H92="",H84=""),"",IF(H84&lt;=0,"",IFERROR(H92/H84,"")))</f>
        <v/>
      </c>
      <c r="I93" s="17">
        <f>IF(OR(I92="",I84=""),"",IF(I84&lt;=0,"",IFERROR(I92/I84,"")))</f>
        <v/>
      </c>
      <c r="J93" s="17">
        <f>IF(OR(J92="",J84=""),"",IF(J84&lt;=0,"",IFERROR(J92/J84,"")))</f>
        <v/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V93" s="17">
        <f>IF(OR(V92="",V84=""),"",IF(V84&lt;=0,"",IFERROR(V92/V84,"")))</f>
        <v/>
      </c>
      <c r="W93" s="17">
        <f>IF(OR(W92="",W84=""),"",IF(W84&lt;=0,"",IFERROR(W92/W84,"")))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G94" s="17">
        <f>IF(OR(G92="",C92=""),"",IF(C92&lt;=0,"",IFERROR(G92/C92-1,"")))</f>
        <v/>
      </c>
      <c r="H94" s="17">
        <f>IF(OR(H92="",D92=""),"",IF(D92&lt;=0,"",IFERROR(H92/D92-1,"")))</f>
        <v/>
      </c>
      <c r="I94" s="17">
        <f>IF(OR(I92="",E92=""),"",IF(E92&lt;=0,"",IFERROR(I92/E92-1,"")))</f>
        <v/>
      </c>
      <c r="J94" s="17">
        <f>IF(OR(J92="",F92=""),"",IF(F92&lt;=0,"",IFERROR(J92/F92-1,"")))</f>
        <v/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V94" s="17">
        <f>IF(OR(V92="",U92=""),"",IF(U92&lt;=0,"",IFERROR(V92/U92-1,"")))</f>
        <v/>
      </c>
      <c r="W94" s="17">
        <f>IF(OR(W92="",V92=""),"",IF(V92&lt;=0,"",IFERROR(W92/V92-1,"")))</f>
        <v/>
      </c>
      <c r="X94" s="17">
        <f>IF(OR(X92="",W92=""),"",IF(W92&lt;=0,"",IFERROR(X92/W92-1,"")))</f>
        <v/>
      </c>
    </row>
    <row r="95">
      <c r="A95" s="20" t="inlineStr">
        <is>
          <t>배당금수익</t>
        </is>
      </c>
      <c r="C95" s="22" t="n">
        <v>0.32</v>
      </c>
      <c r="D95" s="22" t="n">
        <v>13.36</v>
      </c>
      <c r="E95" s="22" t="n">
        <v>0</v>
      </c>
      <c r="F95" s="22" t="n">
        <v>12.702</v>
      </c>
      <c r="G95" s="22" t="n">
        <v>0.35</v>
      </c>
      <c r="H95" s="22" t="n">
        <v>16.558</v>
      </c>
      <c r="I95" s="22" t="n">
        <v>0</v>
      </c>
      <c r="J95" s="22" t="n">
        <v>14.505</v>
      </c>
      <c r="K95" s="22" t="n">
        <v>0</v>
      </c>
      <c r="L95" s="22" t="n">
        <v>19.807</v>
      </c>
      <c r="M95" s="22" t="n">
        <v>0</v>
      </c>
      <c r="N95" s="22" t="n">
        <v>22.734</v>
      </c>
      <c r="V95" s="22" t="n">
        <v>0</v>
      </c>
      <c r="W95" s="22" t="n">
        <v>0</v>
      </c>
      <c r="X95" s="22" t="n">
        <v>0</v>
      </c>
    </row>
    <row r="96">
      <c r="A96" s="20" t="inlineStr">
        <is>
          <t>부동산 임대료</t>
        </is>
      </c>
      <c r="C96" s="22" t="n">
        <v>23.917</v>
      </c>
      <c r="D96" s="22" t="n">
        <v>30.456</v>
      </c>
      <c r="E96" s="22" t="n">
        <v>31.056</v>
      </c>
      <c r="F96" s="22" t="n">
        <v>30.858</v>
      </c>
      <c r="G96" s="22" t="n">
        <v>30.771</v>
      </c>
      <c r="H96" s="22" t="n">
        <v>30.771</v>
      </c>
      <c r="I96" s="22" t="n">
        <v>30.772</v>
      </c>
      <c r="J96" s="22" t="n">
        <v>30.808</v>
      </c>
      <c r="K96" s="22" t="n">
        <v>30.767</v>
      </c>
      <c r="L96" s="22" t="n">
        <v>28.014</v>
      </c>
      <c r="M96" s="22" t="n">
        <v>28.017</v>
      </c>
      <c r="N96" s="22" t="n">
        <v>28.002</v>
      </c>
      <c r="V96" s="22" t="n">
        <v>31.056</v>
      </c>
      <c r="W96" s="22" t="n">
        <v>30.772</v>
      </c>
      <c r="X96" s="22" t="n">
        <v>28.017</v>
      </c>
    </row>
    <row r="97">
      <c r="A97" s="20" t="inlineStr">
        <is>
          <t>보상금 수취</t>
        </is>
      </c>
      <c r="D97" s="22" t="n">
        <v>0.575</v>
      </c>
      <c r="E97" s="22" t="n">
        <v>0.249</v>
      </c>
      <c r="H97" s="22" t="n">
        <v>0.166</v>
      </c>
      <c r="I97" s="22" t="n">
        <v>0.386</v>
      </c>
      <c r="L97" s="22" t="n">
        <v>0</v>
      </c>
      <c r="M97" s="22" t="n">
        <v>0.462</v>
      </c>
      <c r="V97" s="22" t="n">
        <v>0.249</v>
      </c>
      <c r="W97" s="22" t="n">
        <v>0.386</v>
      </c>
      <c r="X97" s="22" t="n">
        <v>0.462</v>
      </c>
    </row>
    <row r="98">
      <c r="A98" s="20" t="inlineStr">
        <is>
          <t>보조금 수입</t>
        </is>
      </c>
      <c r="C98" s="22" t="n">
        <v>0</v>
      </c>
      <c r="D98" s="22" t="n">
        <v>0.2</v>
      </c>
      <c r="E98" s="22" t="n">
        <v>0</v>
      </c>
      <c r="F98" s="22" t="n">
        <v>10.333</v>
      </c>
      <c r="G98" s="22" t="n">
        <v>0.126</v>
      </c>
      <c r="H98" s="22" t="n">
        <v>0</v>
      </c>
      <c r="I98" s="22" t="n">
        <v>0.348</v>
      </c>
      <c r="J98" s="22" t="n">
        <v>10.333</v>
      </c>
      <c r="K98" s="22" t="n">
        <v>0.289</v>
      </c>
      <c r="L98" s="22" t="n">
        <v>-0.289</v>
      </c>
      <c r="M98" s="22" t="n">
        <v>0.589</v>
      </c>
      <c r="N98" s="22" t="n">
        <v>0.221</v>
      </c>
      <c r="V98" s="22" t="n">
        <v>0</v>
      </c>
      <c r="W98" s="22" t="n">
        <v>0.348</v>
      </c>
      <c r="X98" s="22" t="n">
        <v>0.589</v>
      </c>
    </row>
    <row r="99">
      <c r="A99" s="20" t="inlineStr">
        <is>
          <t>Haizaishobunshunyu NOI</t>
        </is>
      </c>
      <c r="C99" s="22" t="n">
        <v>1.866</v>
      </c>
      <c r="D99" s="22" t="n">
        <v>2.175</v>
      </c>
      <c r="E99" s="22" t="n">
        <v>2.41</v>
      </c>
      <c r="F99" s="22" t="n">
        <v>6.063</v>
      </c>
      <c r="G99" s="22" t="n">
        <v>4.67</v>
      </c>
      <c r="H99" s="22" t="n">
        <v>7.036</v>
      </c>
      <c r="I99" s="22" t="n">
        <v>4.441</v>
      </c>
      <c r="J99" s="22" t="n">
        <v>3.802</v>
      </c>
      <c r="K99" s="22" t="n">
        <v>3.379</v>
      </c>
      <c r="L99" s="22" t="n">
        <v>2.309</v>
      </c>
      <c r="M99" s="22" t="n">
        <v>4.851</v>
      </c>
      <c r="N99" s="22" t="n">
        <v>4.871</v>
      </c>
      <c r="V99" s="22" t="n">
        <v>2.41</v>
      </c>
      <c r="W99" s="22" t="n">
        <v>4.441</v>
      </c>
      <c r="X99" s="22" t="n">
        <v>4.851</v>
      </c>
    </row>
    <row r="100">
      <c r="A100" s="20" t="inlineStr">
        <is>
          <t>기타</t>
        </is>
      </c>
      <c r="C100" s="22" t="n">
        <v>-2.963</v>
      </c>
      <c r="D100" s="22" t="n">
        <v>2.763</v>
      </c>
      <c r="F100" s="22" t="n">
        <v>10.3</v>
      </c>
      <c r="G100" s="22" t="n">
        <v>-8.019</v>
      </c>
      <c r="H100" s="22" t="n">
        <v>4.158</v>
      </c>
      <c r="J100" s="22" t="n">
        <v>1.391</v>
      </c>
      <c r="K100" s="22" t="n">
        <v>4.319</v>
      </c>
      <c r="L100" s="22" t="n">
        <v>3.271</v>
      </c>
      <c r="N100" s="22" t="n">
        <v>11.59</v>
      </c>
    </row>
    <row r="101">
      <c r="A101" s="20" t="inlineStr">
        <is>
          <t>영업외수익 합계</t>
        </is>
      </c>
      <c r="C101" s="22" t="n">
        <v>27.053</v>
      </c>
      <c r="D101" s="22" t="n">
        <v>49.53</v>
      </c>
      <c r="E101" s="22" t="n">
        <v>43.289</v>
      </c>
      <c r="F101" s="22" t="n">
        <v>70.258</v>
      </c>
      <c r="G101" s="22" t="n">
        <v>29.443</v>
      </c>
      <c r="H101" s="22" t="n">
        <v>58.688</v>
      </c>
      <c r="I101" s="22" t="n">
        <v>37.811</v>
      </c>
      <c r="J101" s="22" t="n">
        <v>60.84</v>
      </c>
      <c r="K101" s="22" t="n">
        <v>38.808</v>
      </c>
      <c r="L101" s="22" t="n">
        <v>53.109</v>
      </c>
      <c r="M101" s="22" t="n">
        <v>44.285</v>
      </c>
      <c r="N101" s="22" t="n">
        <v>67.419</v>
      </c>
      <c r="V101" s="22" t="n">
        <v>43.289</v>
      </c>
      <c r="W101" s="22" t="n">
        <v>37.811</v>
      </c>
      <c r="X101" s="22" t="n">
        <v>44.285</v>
      </c>
    </row>
    <row r="102">
      <c r="A102" s="45" t="inlineStr">
        <is>
          <t>YoY</t>
        </is>
      </c>
      <c r="B102" s="3" t="inlineStr">
        <is>
          <t>전년 같은 분기·전년 대비</t>
        </is>
      </c>
      <c r="G102" s="17">
        <f>IF(OR(G101="",C101=""),"",IF(G101*C101&lt;=0,"",IFERROR(G101/C101-1,"")))</f>
        <v/>
      </c>
      <c r="H102" s="17">
        <f>IF(OR(H101="",D101=""),"",IF(H101*D101&lt;=0,"",IFERROR(H101/D101-1,"")))</f>
        <v/>
      </c>
      <c r="I102" s="17">
        <f>IF(OR(I101="",E101=""),"",IF(I101*E101&lt;=0,"",IFERROR(I101/E101-1,"")))</f>
        <v/>
      </c>
      <c r="J102" s="17">
        <f>IF(OR(J101="",F101=""),"",IF(J101*F101&lt;=0,"",IFERROR(J101/F101-1,"")))</f>
        <v/>
      </c>
      <c r="K102" s="17">
        <f>IF(OR(K101="",G101=""),"",IF(K101*G101&lt;=0,"",IFERROR(K101/G101-1,"")))</f>
        <v/>
      </c>
      <c r="L102" s="17">
        <f>IF(OR(L101="",H101=""),"",IF(L101*H101&lt;=0,"",IFERROR(L101/H101-1,"")))</f>
        <v/>
      </c>
      <c r="M102" s="17">
        <f>IF(OR(M101="",I101=""),"",IF(M101*I101&lt;=0,"",IFERROR(M101/I101-1,"")))</f>
        <v/>
      </c>
      <c r="N102" s="17">
        <f>IF(OR(N101="",J101=""),"",IF(N101*J101&lt;=0,"",IFERROR(N101/J101-1,"")))</f>
        <v/>
      </c>
      <c r="V102" s="17">
        <f>IF(OR(V101="",U101=""),"",IF(V101*U101&lt;=0,"",IFERROR(V101/U101-1,"")))</f>
        <v/>
      </c>
      <c r="W102" s="17">
        <f>IF(OR(W101="",V101=""),"",IF(W101*V101&lt;=0,"",IFERROR(W101/V101-1,"")))</f>
        <v/>
      </c>
      <c r="X102" s="17">
        <f>IF(OR(X101="",W101=""),"",IF(X101*W101&lt;=0,"",IFERROR(X101/W101-1,"")))</f>
        <v/>
      </c>
    </row>
    <row r="103">
      <c r="A103" s="20" t="inlineStr">
        <is>
          <t>지급보증료</t>
        </is>
      </c>
      <c r="C103" s="22" t="n">
        <v>5.716</v>
      </c>
      <c r="D103" s="22" t="n">
        <v>1.962</v>
      </c>
      <c r="E103" s="22" t="n">
        <v>3.751</v>
      </c>
      <c r="F103" s="22" t="n">
        <v>2.636</v>
      </c>
      <c r="G103" s="22" t="n">
        <v>3.988</v>
      </c>
      <c r="H103" s="22" t="n">
        <v>0.737</v>
      </c>
      <c r="I103" s="22" t="n">
        <v>4.452</v>
      </c>
      <c r="J103" s="22" t="n">
        <v>5.875</v>
      </c>
      <c r="K103" s="22" t="n">
        <v>6.967</v>
      </c>
      <c r="L103" s="22" t="n">
        <v>3.148</v>
      </c>
      <c r="M103" s="22" t="n">
        <v>4.088</v>
      </c>
      <c r="N103" s="22" t="n">
        <v>2.802</v>
      </c>
      <c r="V103" s="22" t="n">
        <v>3.751</v>
      </c>
      <c r="W103" s="22" t="n">
        <v>4.452</v>
      </c>
      <c r="X103" s="22" t="n">
        <v>4.088</v>
      </c>
    </row>
    <row r="104">
      <c r="A104" s="20" t="inlineStr">
        <is>
          <t>고정자산 제각손실</t>
        </is>
      </c>
      <c r="F104" s="22" t="n">
        <v>2.172</v>
      </c>
      <c r="J104" s="22" t="n">
        <v>1.548</v>
      </c>
      <c r="N104" s="22" t="n">
        <v>0.556</v>
      </c>
    </row>
    <row r="105">
      <c r="A105" s="20" t="inlineStr">
        <is>
          <t>Rent Expenses On Real Estates NOE</t>
        </is>
      </c>
      <c r="C105" s="22" t="n">
        <v>28.229</v>
      </c>
      <c r="D105" s="22" t="n">
        <v>28.397</v>
      </c>
      <c r="E105" s="22" t="n">
        <v>28.48</v>
      </c>
      <c r="F105" s="22" t="n">
        <v>28.582</v>
      </c>
      <c r="G105" s="22" t="n">
        <v>29.353</v>
      </c>
      <c r="H105" s="22" t="n">
        <v>28.552</v>
      </c>
      <c r="I105" s="22" t="n">
        <v>28.669</v>
      </c>
      <c r="J105" s="22" t="n">
        <v>28.741</v>
      </c>
      <c r="K105" s="22" t="n">
        <v>29.145</v>
      </c>
      <c r="L105" s="22" t="n">
        <v>29.373</v>
      </c>
      <c r="M105" s="22" t="n">
        <v>28.509</v>
      </c>
      <c r="N105" s="22" t="n">
        <v>28.468</v>
      </c>
      <c r="V105" s="22" t="n">
        <v>28.48</v>
      </c>
      <c r="W105" s="22" t="n">
        <v>28.669</v>
      </c>
      <c r="X105" s="22" t="n">
        <v>28.509</v>
      </c>
    </row>
    <row r="106">
      <c r="A106" s="20" t="inlineStr">
        <is>
          <t>Accident Related Expenses NOE</t>
        </is>
      </c>
      <c r="D106" s="22" t="n">
        <v>0</v>
      </c>
      <c r="E106" s="22" t="n">
        <v>0.252</v>
      </c>
      <c r="H106" s="22" t="n">
        <v>0</v>
      </c>
      <c r="I106" s="22" t="n">
        <v>0.962</v>
      </c>
      <c r="L106" s="22" t="n">
        <v>0</v>
      </c>
      <c r="M106" s="22" t="n">
        <v>1.119</v>
      </c>
      <c r="V106" s="22" t="n">
        <v>0.252</v>
      </c>
      <c r="W106" s="22" t="n">
        <v>0.962</v>
      </c>
      <c r="X106" s="22" t="n">
        <v>1.119</v>
      </c>
    </row>
    <row r="107">
      <c r="A107" s="20" t="inlineStr">
        <is>
          <t>외환차손</t>
        </is>
      </c>
      <c r="D107" s="22" t="n">
        <v>0</v>
      </c>
      <c r="E107" s="22" t="n">
        <v>0</v>
      </c>
      <c r="F107" s="22" t="n">
        <v>0</v>
      </c>
      <c r="G107" s="22" t="n">
        <v>20.582</v>
      </c>
      <c r="H107" s="22" t="n">
        <v>-16.223</v>
      </c>
      <c r="I107" s="22" t="n">
        <v>12.664</v>
      </c>
      <c r="J107" s="22" t="n">
        <v>8.413</v>
      </c>
      <c r="K107" s="22" t="n">
        <v>1.602</v>
      </c>
      <c r="L107" s="22" t="n">
        <v>-8.757</v>
      </c>
      <c r="M107" s="22" t="n">
        <v>7.468</v>
      </c>
      <c r="N107" s="22" t="n">
        <v>0</v>
      </c>
      <c r="V107" s="22" t="n">
        <v>0</v>
      </c>
      <c r="W107" s="22" t="n">
        <v>12.664</v>
      </c>
      <c r="X107" s="22" t="n">
        <v>7.468</v>
      </c>
    </row>
    <row r="108">
      <c r="A108" s="20" t="inlineStr">
        <is>
          <t>기타</t>
        </is>
      </c>
      <c r="C108" s="22" t="n">
        <v>13.904</v>
      </c>
      <c r="D108" s="22" t="n">
        <v>3.609</v>
      </c>
      <c r="F108" s="22" t="n">
        <v>0.758</v>
      </c>
      <c r="G108" s="22" t="n">
        <v>5.578</v>
      </c>
      <c r="H108" s="22" t="n">
        <v>1.976</v>
      </c>
      <c r="J108" s="22" t="n">
        <v>0.01</v>
      </c>
      <c r="K108" s="22" t="n">
        <v>2.886</v>
      </c>
      <c r="L108" s="22" t="n">
        <v>0.453</v>
      </c>
      <c r="N108" s="22" t="n">
        <v>0.015</v>
      </c>
    </row>
    <row r="109">
      <c r="A109" s="20" t="inlineStr">
        <is>
          <t>영업외비용 합계</t>
        </is>
      </c>
      <c r="C109" s="22" t="n">
        <v>48.973</v>
      </c>
      <c r="D109" s="22" t="n">
        <v>33.967</v>
      </c>
      <c r="E109" s="22" t="n">
        <v>38.022</v>
      </c>
      <c r="F109" s="22" t="n">
        <v>34.15</v>
      </c>
      <c r="G109" s="22" t="n">
        <v>60</v>
      </c>
      <c r="H109" s="22" t="n">
        <v>15.043</v>
      </c>
      <c r="I109" s="22" t="n">
        <v>56.255</v>
      </c>
      <c r="J109" s="22" t="n">
        <v>44.589</v>
      </c>
      <c r="K109" s="22" t="n">
        <v>39.051</v>
      </c>
      <c r="L109" s="22" t="n">
        <v>24.217</v>
      </c>
      <c r="M109" s="22" t="n">
        <v>44.502</v>
      </c>
      <c r="N109" s="22" t="n">
        <v>31.842</v>
      </c>
      <c r="V109" s="22" t="n">
        <v>38.022</v>
      </c>
      <c r="W109" s="22" t="n">
        <v>56.255</v>
      </c>
      <c r="X109" s="22" t="n">
        <v>44.502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IF(OR(G109="",C109=""),"",IF(G109*C109&lt;=0,"",IFERROR(G109/C109-1,"")))</f>
        <v/>
      </c>
      <c r="H110" s="17">
        <f>IF(OR(H109="",D109=""),"",IF(H109*D109&lt;=0,"",IFERROR(H109/D109-1,"")))</f>
        <v/>
      </c>
      <c r="I110" s="17">
        <f>IF(OR(I109="",E109=""),"",IF(I109*E109&lt;=0,"",IFERROR(I109/E109-1,"")))</f>
        <v/>
      </c>
      <c r="J110" s="17">
        <f>IF(OR(J109="",F109=""),"",IF(J109*F109&lt;=0,"",IFERROR(J109/F109-1,"")))</f>
        <v/>
      </c>
      <c r="K110" s="17">
        <f>IF(OR(K109="",G109=""),"",IF(K109*G109&lt;=0,"",IFERROR(K109/G109-1,"")))</f>
        <v/>
      </c>
      <c r="L110" s="17">
        <f>IF(OR(L109="",H109=""),"",IF(L109*H109&lt;=0,"",IFERROR(L109/H109-1,"")))</f>
        <v/>
      </c>
      <c r="M110" s="17">
        <f>IF(OR(M109="",I109=""),"",IF(M109*I109&lt;=0,"",IFERROR(M109/I109-1,"")))</f>
        <v/>
      </c>
      <c r="N110" s="17">
        <f>IF(OR(N109="",J109=""),"",IF(N109*J109&lt;=0,"",IFERROR(N109/J109-1,"")))</f>
        <v/>
      </c>
      <c r="V110" s="17">
        <f>IF(OR(V109="",U109=""),"",IF(V109*U109&lt;=0,"",IFERROR(V109/U109-1,"")))</f>
        <v/>
      </c>
      <c r="W110" s="17">
        <f>IF(OR(W109="",V109=""),"",IF(W109*V109&lt;=0,"",IFERROR(W109/V109-1,"")))</f>
        <v/>
      </c>
      <c r="X110" s="17">
        <f>IF(OR(X109="",W109=""),"",IF(X109*W109&lt;=0,"",IFERROR(X109/W109-1,"")))</f>
        <v/>
      </c>
    </row>
    <row r="111">
      <c r="A111" s="9" t="inlineStr">
        <is>
          <t>경상이익(손실)</t>
        </is>
      </c>
      <c r="C111" s="12" t="n">
        <v>-21.876</v>
      </c>
      <c r="D111" s="12" t="n">
        <v>241.997</v>
      </c>
      <c r="E111" s="12" t="n">
        <v>2115.791</v>
      </c>
      <c r="F111" s="12" t="n">
        <v>65.971</v>
      </c>
      <c r="G111" s="12" t="n">
        <v>283.368</v>
      </c>
      <c r="H111" s="12" t="n">
        <v>721.947</v>
      </c>
      <c r="I111" s="12" t="n">
        <v>1711.562</v>
      </c>
      <c r="J111" s="12" t="n">
        <v>-206.95</v>
      </c>
      <c r="K111" s="12" t="n">
        <v>224.191</v>
      </c>
      <c r="L111" s="12" t="n">
        <v>384.514</v>
      </c>
      <c r="M111" s="12" t="n">
        <v>1392.286</v>
      </c>
      <c r="N111" s="12" t="n">
        <v>28.064</v>
      </c>
      <c r="V111" s="12" t="n">
        <v>2115.791</v>
      </c>
      <c r="W111" s="12" t="n">
        <v>1711.562</v>
      </c>
      <c r="X111" s="12" t="n">
        <v>1392.286</v>
      </c>
    </row>
    <row r="112">
      <c r="A112" s="45" t="inlineStr">
        <is>
          <t>YoY</t>
        </is>
      </c>
      <c r="B112" s="3" t="inlineStr">
        <is>
          <t>전년 같은 분기·전년 대비</t>
        </is>
      </c>
      <c r="G112" s="17">
        <f>IF(OR(G111="",C111=""),"",IF(C111&lt;=0,"",IFERROR(G111/C111-1,"")))</f>
        <v/>
      </c>
      <c r="H112" s="17">
        <f>IF(OR(H111="",D111=""),"",IF(D111&lt;=0,"",IFERROR(H111/D111-1,"")))</f>
        <v/>
      </c>
      <c r="I112" s="17">
        <f>IF(OR(I111="",E111=""),"",IF(E111&lt;=0,"",IFERROR(I111/E111-1,"")))</f>
        <v/>
      </c>
      <c r="J112" s="17">
        <f>IF(OR(J111="",F111=""),"",IF(F111&lt;=0,"",IFERROR(J111/F111-1,"")))</f>
        <v/>
      </c>
      <c r="K112" s="17">
        <f>IF(OR(K111="",G111=""),"",IF(G111&lt;=0,"",IFERROR(K111/G111-1,"")))</f>
        <v/>
      </c>
      <c r="L112" s="17">
        <f>IF(OR(L111="",H111=""),"",IF(H111&lt;=0,"",IFERROR(L111/H111-1,"")))</f>
        <v/>
      </c>
      <c r="M112" s="17">
        <f>IF(OR(M111="",I111=""),"",IF(I111&lt;=0,"",IFERROR(M111/I111-1,"")))</f>
        <v/>
      </c>
      <c r="N112" s="17">
        <f>IF(OR(N111="",J111=""),"",IF(J111&lt;=0,"",IFERROR(N111/J111-1,"")))</f>
        <v/>
      </c>
      <c r="V112" s="17">
        <f>IF(OR(V111="",U111=""),"",IF(U111&lt;=0,"",IFERROR(V111/U111-1,"")))</f>
        <v/>
      </c>
      <c r="W112" s="17">
        <f>IF(OR(W111="",V111=""),"",IF(V111&lt;=0,"",IFERROR(W111/V111-1,"")))</f>
        <v/>
      </c>
      <c r="X112" s="17">
        <f>IF(OR(X111="",W111=""),"",IF(W111&lt;=0,"",IFERROR(X111/W111-1,"")))</f>
        <v/>
      </c>
    </row>
    <row r="113">
      <c r="A113" s="20" t="inlineStr">
        <is>
          <t>고정자산 매각이익</t>
        </is>
      </c>
      <c r="E113" s="22" t="n">
        <v>0</v>
      </c>
      <c r="H113" s="22" t="n">
        <v>0</v>
      </c>
      <c r="I113" s="22" t="n">
        <v>0</v>
      </c>
      <c r="L113" s="22" t="n">
        <v>0.35</v>
      </c>
      <c r="M113" s="22" t="n">
        <v>0</v>
      </c>
      <c r="V113" s="22" t="n">
        <v>0</v>
      </c>
      <c r="W113" s="22" t="n">
        <v>0</v>
      </c>
      <c r="X113" s="22" t="n">
        <v>0</v>
      </c>
    </row>
    <row r="114">
      <c r="A114" s="20" t="inlineStr">
        <is>
          <t>투자유가증권 매각이익</t>
        </is>
      </c>
      <c r="E114" s="22" t="n">
        <v>0</v>
      </c>
      <c r="I114" s="22" t="n">
        <v>28.515</v>
      </c>
      <c r="M114" s="22" t="n">
        <v>0</v>
      </c>
      <c r="V114" s="22" t="n">
        <v>0</v>
      </c>
      <c r="W114" s="22" t="n">
        <v>28.515</v>
      </c>
      <c r="X114" s="22" t="n">
        <v>0</v>
      </c>
    </row>
    <row r="115">
      <c r="A115" s="20" t="inlineStr">
        <is>
          <t>특별이익 합계</t>
        </is>
      </c>
      <c r="E115" s="22" t="n">
        <v>0</v>
      </c>
      <c r="H115" s="22" t="n">
        <v>77.211</v>
      </c>
      <c r="I115" s="22" t="n">
        <v>28.515</v>
      </c>
      <c r="L115" s="22" t="n">
        <v>0.35</v>
      </c>
      <c r="M115" s="22" t="n">
        <v>0</v>
      </c>
      <c r="V115" s="22" t="n">
        <v>0</v>
      </c>
      <c r="W115" s="22" t="n">
        <v>28.515</v>
      </c>
      <c r="X115" s="22" t="n">
        <v>0</v>
      </c>
    </row>
    <row r="116">
      <c r="A116" s="45" t="inlineStr">
        <is>
          <t>YoY</t>
        </is>
      </c>
      <c r="B116" s="3" t="inlineStr">
        <is>
          <t>전년 같은 분기·전년 대비</t>
        </is>
      </c>
      <c r="H116" s="17">
        <f>IF(OR(H115="",D115=""),"",IF(H115*D115&lt;=0,"",IFERROR(H115/D115-1,"")))</f>
        <v/>
      </c>
      <c r="I116" s="17">
        <f>IF(OR(I115="",E115=""),"",IF(I115*E115&lt;=0,"",IFERROR(I115/E115-1,"")))</f>
        <v/>
      </c>
      <c r="L116" s="17">
        <f>IF(OR(L115="",H115=""),"",IF(L115*H115&lt;=0,"",IFERROR(L115/H115-1,"")))</f>
        <v/>
      </c>
      <c r="M116" s="17">
        <f>IF(OR(M115="",I115=""),"",IF(M115*I115&lt;=0,"",IFERROR(M115/I115-1,"")))</f>
        <v/>
      </c>
      <c r="V116" s="17">
        <f>IF(OR(V115="",U115=""),"",IF(V115*U115&lt;=0,"",IFERROR(V115/U115-1,"")))</f>
        <v/>
      </c>
      <c r="W116" s="17">
        <f>IF(OR(W115="",V115=""),"",IF(W115*V115&lt;=0,"",IFERROR(W115/V115-1,"")))</f>
        <v/>
      </c>
      <c r="X116" s="17">
        <f>IF(OR(X115="",W115=""),"",IF(X115*W115&lt;=0,"",IFERROR(X115/W115-1,"")))</f>
        <v/>
      </c>
    </row>
    <row r="117">
      <c r="A117" s="20" t="inlineStr">
        <is>
          <t>투자유가증권 매각손실</t>
        </is>
      </c>
      <c r="H117" s="22" t="n">
        <v>0</v>
      </c>
      <c r="I117" s="22" t="n">
        <v>0</v>
      </c>
      <c r="L117" s="22" t="n">
        <v>0</v>
      </c>
      <c r="M117" s="22" t="n">
        <v>0</v>
      </c>
      <c r="W117" s="22" t="n">
        <v>0</v>
      </c>
      <c r="X117" s="22" t="n">
        <v>0</v>
      </c>
    </row>
    <row r="118">
      <c r="A118" s="20" t="inlineStr">
        <is>
          <t>특별손실 합계</t>
        </is>
      </c>
      <c r="H118" s="22" t="n">
        <v>0</v>
      </c>
      <c r="I118" s="22" t="n">
        <v>0</v>
      </c>
      <c r="L118" s="22" t="n">
        <v>0</v>
      </c>
      <c r="M118" s="22" t="n">
        <v>0.05</v>
      </c>
      <c r="W118" s="22" t="n">
        <v>0</v>
      </c>
      <c r="X118" s="22" t="n">
        <v>0.05</v>
      </c>
    </row>
    <row r="119">
      <c r="A119" s="45" t="inlineStr">
        <is>
          <t>YoY</t>
        </is>
      </c>
      <c r="B119" s="3" t="inlineStr">
        <is>
          <t>전년 같은 분기·전년 대비</t>
        </is>
      </c>
      <c r="H119" s="17">
        <f>IF(OR(H118="",D118=""),"",IF(H118*D118&lt;=0,"",IFERROR(H118/D118-1,"")))</f>
        <v/>
      </c>
      <c r="I119" s="17">
        <f>IF(OR(I118="",E118=""),"",IF(I118*E118&lt;=0,"",IFERROR(I118/E118-1,"")))</f>
        <v/>
      </c>
      <c r="L119" s="17">
        <f>IF(OR(L118="",H118=""),"",IF(L118*H118&lt;=0,"",IFERROR(L118/H118-1,"")))</f>
        <v/>
      </c>
      <c r="M119" s="17">
        <f>IF(OR(M118="",I118=""),"",IF(M118*I118&lt;=0,"",IFERROR(M118/I118-1,"")))</f>
        <v/>
      </c>
      <c r="W119" s="17">
        <f>IF(OR(W118="",V118=""),"",IF(W118*V118&lt;=0,"",IFERROR(W118/V118-1,"")))</f>
        <v/>
      </c>
      <c r="X119" s="17">
        <f>IF(OR(X118="",W118=""),"",IF(X118*W118&lt;=0,"",IFERROR(X118/W118-1,"")))</f>
        <v/>
      </c>
    </row>
    <row r="120">
      <c r="A120" s="9" t="inlineStr">
        <is>
          <t>법인세차감전 중간순이익(손실)</t>
        </is>
      </c>
      <c r="C120" s="12" t="n">
        <v>-21.876</v>
      </c>
      <c r="D120" s="12" t="n">
        <v>242.206</v>
      </c>
      <c r="E120" s="12" t="n">
        <v>2115.762</v>
      </c>
      <c r="F120" s="12" t="n">
        <v>65.971</v>
      </c>
      <c r="G120" s="12" t="n">
        <v>283.368</v>
      </c>
      <c r="H120" s="12" t="n">
        <v>799.158</v>
      </c>
      <c r="I120" s="12" t="n">
        <v>1740.077</v>
      </c>
      <c r="J120" s="12" t="n">
        <v>-206.95</v>
      </c>
      <c r="K120" s="12" t="n">
        <v>537.593</v>
      </c>
      <c r="L120" s="12" t="n">
        <v>384.863</v>
      </c>
      <c r="M120" s="12" t="n">
        <v>1392.237</v>
      </c>
      <c r="N120" s="12" t="n">
        <v>28.064</v>
      </c>
      <c r="V120" s="12" t="n">
        <v>2115.762</v>
      </c>
      <c r="W120" s="12" t="n">
        <v>1740.077</v>
      </c>
      <c r="X120" s="12" t="n">
        <v>1392.237</v>
      </c>
    </row>
    <row r="121">
      <c r="A121" s="45" t="inlineStr">
        <is>
          <t>YoY</t>
        </is>
      </c>
      <c r="B121" s="3" t="inlineStr">
        <is>
          <t>전년 같은 분기·전년 대비</t>
        </is>
      </c>
      <c r="G121" s="17">
        <f>IF(OR(G120="",C120=""),"",IF(C120&lt;=0,"",IFERROR(G120/C120-1,"")))</f>
        <v/>
      </c>
      <c r="H121" s="17">
        <f>IF(OR(H120="",D120=""),"",IF(D120&lt;=0,"",IFERROR(H120/D120-1,"")))</f>
        <v/>
      </c>
      <c r="I121" s="17">
        <f>IF(OR(I120="",E120=""),"",IF(E120&lt;=0,"",IFERROR(I120/E120-1,"")))</f>
        <v/>
      </c>
      <c r="J121" s="17">
        <f>IF(OR(J120="",F120=""),"",IF(F120&lt;=0,"",IFERROR(J120/F120-1,"")))</f>
        <v/>
      </c>
      <c r="K121" s="17">
        <f>IF(OR(K120="",G120=""),"",IF(G120&lt;=0,"",IFERROR(K120/G120-1,"")))</f>
        <v/>
      </c>
      <c r="L121" s="17">
        <f>IF(OR(L120="",H120=""),"",IF(H120&lt;=0,"",IFERROR(L120/H120-1,"")))</f>
        <v/>
      </c>
      <c r="M121" s="17">
        <f>IF(OR(M120="",I120=""),"",IF(I120&lt;=0,"",IFERROR(M120/I120-1,"")))</f>
        <v/>
      </c>
      <c r="N121" s="17">
        <f>IF(OR(N120="",J120=""),"",IF(J120&lt;=0,"",IFERROR(N120/J120-1,"")))</f>
        <v/>
      </c>
      <c r="V121" s="17">
        <f>IF(OR(V120="",U120=""),"",IF(U120&lt;=0,"",IFERROR(V120/U120-1,"")))</f>
        <v/>
      </c>
      <c r="W121" s="17">
        <f>IF(OR(W120="",V120=""),"",IF(V120&lt;=0,"",IFERROR(W120/V120-1,"")))</f>
        <v/>
      </c>
      <c r="X121" s="17">
        <f>IF(OR(X120="",W120=""),"",IF(W120&lt;=0,"",IFERROR(X120/W120-1,"")))</f>
        <v/>
      </c>
    </row>
    <row r="122">
      <c r="A122" s="20" t="inlineStr">
        <is>
          <t>법인세·주민세·사업세</t>
        </is>
      </c>
      <c r="C122" s="22" t="n">
        <v>20.277</v>
      </c>
      <c r="D122" s="22" t="n">
        <v>35.279</v>
      </c>
      <c r="E122" s="22" t="n">
        <v>541.1180000000001</v>
      </c>
      <c r="F122" s="22" t="n">
        <v>49.728</v>
      </c>
      <c r="G122" s="22" t="n">
        <v>48.771</v>
      </c>
      <c r="H122" s="22" t="n">
        <v>187.492</v>
      </c>
      <c r="I122" s="22" t="n">
        <v>504.324</v>
      </c>
      <c r="J122" s="22" t="n">
        <v>3.532</v>
      </c>
      <c r="K122" s="22" t="n">
        <v>51.422</v>
      </c>
      <c r="L122" s="22" t="n">
        <v>29.504</v>
      </c>
      <c r="M122" s="22" t="n">
        <v>446.691</v>
      </c>
      <c r="N122" s="22" t="n">
        <v>56.472</v>
      </c>
      <c r="V122" s="22" t="n">
        <v>541.1180000000001</v>
      </c>
      <c r="W122" s="22" t="n">
        <v>504.324</v>
      </c>
      <c r="X122" s="22" t="n">
        <v>446.691</v>
      </c>
    </row>
    <row r="123">
      <c r="A123" s="20" t="inlineStr">
        <is>
          <t>법인세 조정액</t>
        </is>
      </c>
      <c r="C123" s="22" t="n">
        <v>-3.855</v>
      </c>
      <c r="D123" s="22" t="n">
        <v>52.426</v>
      </c>
      <c r="E123" s="22" t="n">
        <v>3.465</v>
      </c>
      <c r="F123" s="22" t="n">
        <v>-23.047</v>
      </c>
      <c r="G123" s="22" t="n">
        <v>48.886</v>
      </c>
      <c r="H123" s="22" t="n">
        <v>68.52</v>
      </c>
      <c r="I123" s="22" t="n">
        <v>-202.65</v>
      </c>
      <c r="J123" s="22" t="n">
        <v>-71.56100000000001</v>
      </c>
      <c r="K123" s="22" t="n">
        <v>126.218</v>
      </c>
      <c r="L123" s="22" t="n">
        <v>93.70399999999999</v>
      </c>
      <c r="M123" s="22" t="n">
        <v>-90.001</v>
      </c>
      <c r="N123" s="22" t="n">
        <v>-34.845</v>
      </c>
      <c r="V123" s="22" t="n">
        <v>3.465</v>
      </c>
      <c r="W123" s="22" t="n">
        <v>-202.65</v>
      </c>
      <c r="X123" s="22" t="n">
        <v>-90.001</v>
      </c>
    </row>
    <row r="124">
      <c r="A124" s="20" t="inlineStr">
        <is>
          <t>법인세 등 합계</t>
        </is>
      </c>
      <c r="C124" s="22" t="n">
        <v>16.422</v>
      </c>
      <c r="D124" s="22" t="n">
        <v>87.705</v>
      </c>
      <c r="E124" s="22" t="n">
        <v>544.583</v>
      </c>
      <c r="F124" s="22" t="n">
        <v>26.681</v>
      </c>
      <c r="G124" s="22" t="n">
        <v>97.658</v>
      </c>
      <c r="H124" s="22" t="n">
        <v>256.012</v>
      </c>
      <c r="I124" s="22" t="n">
        <v>301.673</v>
      </c>
      <c r="J124" s="22" t="n">
        <v>-68.02800000000001</v>
      </c>
      <c r="K124" s="22" t="n">
        <v>177.639</v>
      </c>
      <c r="L124" s="22" t="n">
        <v>123.208</v>
      </c>
      <c r="M124" s="22" t="n">
        <v>356.691</v>
      </c>
      <c r="N124" s="22" t="n">
        <v>21.627</v>
      </c>
      <c r="V124" s="22" t="n">
        <v>544.583</v>
      </c>
      <c r="W124" s="22" t="n">
        <v>301.673</v>
      </c>
      <c r="X124" s="22" t="n">
        <v>356.691</v>
      </c>
    </row>
    <row r="125">
      <c r="A125" s="45" t="inlineStr">
        <is>
          <t>YoY</t>
        </is>
      </c>
      <c r="B125" s="3" t="inlineStr">
        <is>
          <t>전년 같은 분기·전년 대비</t>
        </is>
      </c>
      <c r="G125" s="17">
        <f>IF(OR(G124="",C124=""),"",IF(G124*C124&lt;=0,"",IFERROR(G124/C124-1,"")))</f>
        <v/>
      </c>
      <c r="H125" s="17">
        <f>IF(OR(H124="",D124=""),"",IF(H124*D124&lt;=0,"",IFERROR(H124/D124-1,"")))</f>
        <v/>
      </c>
      <c r="I125" s="17">
        <f>IF(OR(I124="",E124=""),"",IF(I124*E124&lt;=0,"",IFERROR(I124/E124-1,"")))</f>
        <v/>
      </c>
      <c r="J125" s="17">
        <f>IF(OR(J124="",F124=""),"",IF(J124*F124&lt;=0,"",IFERROR(J124/F124-1,"")))</f>
        <v/>
      </c>
      <c r="K125" s="17">
        <f>IF(OR(K124="",G124=""),"",IF(K124*G124&lt;=0,"",IFERROR(K124/G124-1,"")))</f>
        <v/>
      </c>
      <c r="L125" s="17">
        <f>IF(OR(L124="",H124=""),"",IF(L124*H124&lt;=0,"",IFERROR(L124/H124-1,"")))</f>
        <v/>
      </c>
      <c r="M125" s="17">
        <f>IF(OR(M124="",I124=""),"",IF(M124*I124&lt;=0,"",IFERROR(M124/I124-1,"")))</f>
        <v/>
      </c>
      <c r="N125" s="17">
        <f>IF(OR(N124="",J124=""),"",IF(N124*J124&lt;=0,"",IFERROR(N124/J124-1,"")))</f>
        <v/>
      </c>
      <c r="V125" s="17">
        <f>IF(OR(V124="",U124=""),"",IF(V124*U124&lt;=0,"",IFERROR(V124/U124-1,"")))</f>
        <v/>
      </c>
      <c r="W125" s="17">
        <f>IF(OR(W124="",V124=""),"",IF(W124*V124&lt;=0,"",IFERROR(W124/V124-1,"")))</f>
        <v/>
      </c>
      <c r="X125" s="17">
        <f>IF(OR(X124="",W124=""),"",IF(X124*W124&lt;=0,"",IFERROR(X124/W124-1,"")))</f>
        <v/>
      </c>
    </row>
    <row r="126">
      <c r="A126" s="9" t="inlineStr">
        <is>
          <t>중간순이익(손실)</t>
        </is>
      </c>
      <c r="C126" s="12" t="n">
        <v>-38.298</v>
      </c>
      <c r="D126" s="12" t="n">
        <v>154.5</v>
      </c>
      <c r="E126" s="12" t="n">
        <v>1571.179</v>
      </c>
      <c r="F126" s="12" t="n">
        <v>39.29</v>
      </c>
      <c r="G126" s="12" t="n">
        <v>185.709</v>
      </c>
      <c r="H126" s="12" t="n">
        <v>543.147</v>
      </c>
      <c r="I126" s="12" t="n">
        <v>1438.404</v>
      </c>
      <c r="J126" s="12" t="n">
        <v>-138.921</v>
      </c>
      <c r="K126" s="12" t="n">
        <v>359.952</v>
      </c>
      <c r="L126" s="12" t="n">
        <v>261.656</v>
      </c>
      <c r="M126" s="12" t="n">
        <v>1035.545</v>
      </c>
      <c r="N126" s="12" t="n">
        <v>6.436</v>
      </c>
      <c r="V126" s="12" t="n">
        <v>1571.179</v>
      </c>
      <c r="W126" s="12" t="n">
        <v>1438.404</v>
      </c>
      <c r="X126" s="12" t="n">
        <v>1035.545</v>
      </c>
    </row>
    <row r="127">
      <c r="A127" s="45" t="inlineStr">
        <is>
          <t>YoY</t>
        </is>
      </c>
      <c r="B127" s="3" t="inlineStr">
        <is>
          <t>전년 같은 분기·전년 대비</t>
        </is>
      </c>
      <c r="G127" s="17">
        <f>IF(OR(G126="",C126=""),"",IF(C126&lt;=0,"",IFERROR(G126/C126-1,"")))</f>
        <v/>
      </c>
      <c r="H127" s="17">
        <f>IF(OR(H126="",D126=""),"",IF(D126&lt;=0,"",IFERROR(H126/D126-1,"")))</f>
        <v/>
      </c>
      <c r="I127" s="17">
        <f>IF(OR(I126="",E126=""),"",IF(E126&lt;=0,"",IFERROR(I126/E126-1,"")))</f>
        <v/>
      </c>
      <c r="J127" s="17">
        <f>IF(OR(J126="",F126=""),"",IF(F126&lt;=0,"",IFERROR(J126/F126-1,"")))</f>
        <v/>
      </c>
      <c r="K127" s="17">
        <f>IF(OR(K126="",G126=""),"",IF(G126&lt;=0,"",IFERROR(K126/G126-1,"")))</f>
        <v/>
      </c>
      <c r="L127" s="17">
        <f>IF(OR(L126="",H126=""),"",IF(H126&lt;=0,"",IFERROR(L126/H126-1,"")))</f>
        <v/>
      </c>
      <c r="M127" s="17">
        <f>IF(OR(M126="",I126=""),"",IF(I126&lt;=0,"",IFERROR(M126/I126-1,"")))</f>
        <v/>
      </c>
      <c r="N127" s="17">
        <f>IF(OR(N126="",J126=""),"",IF(J126&lt;=0,"",IFERROR(N126/J126-1,"")))</f>
        <v/>
      </c>
      <c r="V127" s="17">
        <f>IF(OR(V126="",U126=""),"",IF(U126&lt;=0,"",IFERROR(V126/U126-1,"")))</f>
        <v/>
      </c>
      <c r="W127" s="17">
        <f>IF(OR(W126="",V126=""),"",IF(V126&lt;=0,"",IFERROR(W126/V126-1,"")))</f>
        <v/>
      </c>
      <c r="X127" s="17">
        <f>IF(OR(X126="",W126=""),"",IF(W126&lt;=0,"",IFERROR(X126/W126-1,"")))</f>
        <v/>
      </c>
    </row>
    <row r="128">
      <c r="A128" s="9" t="inlineStr">
        <is>
          <t>비지배주주 순이익</t>
        </is>
      </c>
      <c r="C128" s="12" t="n">
        <v>0</v>
      </c>
      <c r="D128" s="12" t="n">
        <v>0</v>
      </c>
      <c r="E128" s="12" t="n">
        <v>0</v>
      </c>
      <c r="F128" s="12" t="n">
        <v>0</v>
      </c>
      <c r="G128" s="12" t="n">
        <v>0</v>
      </c>
      <c r="H128" s="12" t="n">
        <v>0</v>
      </c>
      <c r="I128" s="12" t="n">
        <v>0</v>
      </c>
      <c r="J128" s="12" t="n">
        <v>0</v>
      </c>
      <c r="K128" s="12" t="n">
        <v>0</v>
      </c>
      <c r="L128" s="12" t="n">
        <v>0</v>
      </c>
      <c r="M128" s="12" t="n">
        <v>0</v>
      </c>
      <c r="N128" s="12" t="n">
        <v>0</v>
      </c>
      <c r="V128" s="12" t="n">
        <v>0</v>
      </c>
      <c r="W128" s="12" t="n">
        <v>0</v>
      </c>
      <c r="X128" s="12" t="n">
        <v>0</v>
      </c>
    </row>
    <row r="129">
      <c r="A129" s="9" t="inlineStr">
        <is>
          <t>지배주주 귀속 중간순이익(손실)</t>
        </is>
      </c>
      <c r="C129" s="12" t="n">
        <v>-38.298</v>
      </c>
      <c r="D129" s="12" t="n">
        <v>154.5</v>
      </c>
      <c r="E129" s="12" t="n">
        <v>1571.179</v>
      </c>
      <c r="F129" s="12" t="n">
        <v>39.29</v>
      </c>
      <c r="G129" s="12" t="n">
        <v>185.709</v>
      </c>
      <c r="H129" s="12" t="n">
        <v>543.147</v>
      </c>
      <c r="I129" s="12" t="n">
        <v>1438.404</v>
      </c>
      <c r="J129" s="12" t="n">
        <v>-138.921</v>
      </c>
      <c r="K129" s="12" t="n">
        <v>359.952</v>
      </c>
      <c r="L129" s="12" t="n">
        <v>261.656</v>
      </c>
      <c r="M129" s="12" t="n">
        <v>1035.545</v>
      </c>
      <c r="N129" s="12" t="n">
        <v>6.436</v>
      </c>
      <c r="V129" s="12" t="n">
        <v>1571.179</v>
      </c>
      <c r="W129" s="12" t="n">
        <v>1438.404</v>
      </c>
      <c r="X129" s="12" t="n">
        <v>1035.545</v>
      </c>
    </row>
    <row r="130">
      <c r="A130" s="45" t="inlineStr">
        <is>
          <t>YoY</t>
        </is>
      </c>
      <c r="B130" s="3" t="inlineStr">
        <is>
          <t>전년 같은 분기·전년 대비</t>
        </is>
      </c>
      <c r="G130" s="17">
        <f>IF(OR(G129="",C129=""),"",IF(C129&lt;=0,"",IFERROR(G129/C129-1,"")))</f>
        <v/>
      </c>
      <c r="H130" s="17">
        <f>IF(OR(H129="",D129=""),"",IF(D129&lt;=0,"",IFERROR(H129/D129-1,"")))</f>
        <v/>
      </c>
      <c r="I130" s="17">
        <f>IF(OR(I129="",E129=""),"",IF(E129&lt;=0,"",IFERROR(I129/E129-1,"")))</f>
        <v/>
      </c>
      <c r="J130" s="17">
        <f>IF(OR(J129="",F129=""),"",IF(F129&lt;=0,"",IFERROR(J129/F129-1,"")))</f>
        <v/>
      </c>
      <c r="K130" s="17">
        <f>IF(OR(K129="",G129=""),"",IF(G129&lt;=0,"",IFERROR(K129/G129-1,"")))</f>
        <v/>
      </c>
      <c r="L130" s="17">
        <f>IF(OR(L129="",H129=""),"",IF(H129&lt;=0,"",IFERROR(L129/H129-1,"")))</f>
        <v/>
      </c>
      <c r="M130" s="17">
        <f>IF(OR(M129="",I129=""),"",IF(I129&lt;=0,"",IFERROR(M129/I129-1,"")))</f>
        <v/>
      </c>
      <c r="N130" s="17">
        <f>IF(OR(N129="",J129=""),"",IF(J129&lt;=0,"",IFERROR(N129/J129-1,"")))</f>
        <v/>
      </c>
      <c r="V130" s="17">
        <f>IF(OR(V129="",U129=""),"",IF(U129&lt;=0,"",IFERROR(V129/U129-1,"")))</f>
        <v/>
      </c>
      <c r="W130" s="17">
        <f>IF(OR(W129="",V129=""),"",IF(V129&lt;=0,"",IFERROR(W129/V129-1,"")))</f>
        <v/>
      </c>
      <c r="X130" s="17">
        <f>IF(OR(X129="",W129=""),"",IF(W129&lt;=0,"",IFERROR(X129/W129-1,"")))</f>
        <v/>
      </c>
    </row>
    <row r="132">
      <c r="A132" s="18" t="inlineStr">
        <is>
          <t>포괄손익 · 전 항목</t>
        </is>
      </c>
      <c r="B132" s="44" t="inlineStr">
        <is>
          <t>분기 = 3개월 단독</t>
        </is>
      </c>
      <c r="C132" s="18" t="n"/>
      <c r="D132" s="18" t="n"/>
      <c r="E132" s="18" t="n"/>
      <c r="F132" s="18" t="n"/>
      <c r="G132" s="18" t="n"/>
      <c r="H132" s="18" t="n"/>
      <c r="I132" s="18" t="n"/>
      <c r="J132" s="18" t="n"/>
      <c r="K132" s="18" t="n"/>
      <c r="L132" s="18" t="n"/>
      <c r="M132" s="18" t="n"/>
      <c r="N132" s="18" t="n"/>
      <c r="O132" s="18" t="n"/>
      <c r="P132" s="18" t="n"/>
      <c r="Q132" s="18" t="n"/>
      <c r="R132" s="18" t="n"/>
      <c r="S132" s="18" t="n"/>
      <c r="T132" s="18" t="n"/>
      <c r="U132" s="18" t="n"/>
      <c r="V132" s="18" t="n"/>
      <c r="W132" s="18" t="n"/>
      <c r="X132" s="18" t="n"/>
      <c r="Y132" s="18" t="n"/>
      <c r="Z132" s="18" t="n"/>
      <c r="AA132" s="18" t="n"/>
      <c r="AB132" s="18" t="n"/>
      <c r="AC132" s="18" t="n"/>
    </row>
    <row r="133">
      <c r="A133" s="5" t="inlineStr">
        <is>
          <t>항목</t>
        </is>
      </c>
      <c r="B133" s="5" t="inlineStr">
        <is>
          <t>참고</t>
        </is>
      </c>
      <c r="C133" s="5" t="inlineStr">
        <is>
          <t>2024.2Q</t>
        </is>
      </c>
      <c r="D133" s="5" t="inlineStr">
        <is>
          <t>2024.3Q</t>
        </is>
      </c>
      <c r="E133" s="5" t="inlineStr">
        <is>
          <t>2024.4Q</t>
        </is>
      </c>
      <c r="F133" s="5" t="inlineStr">
        <is>
          <t>2025.1Q</t>
        </is>
      </c>
      <c r="G133" s="5" t="inlineStr">
        <is>
          <t>2025.2Q</t>
        </is>
      </c>
      <c r="H133" s="5" t="inlineStr">
        <is>
          <t>2025.3Q</t>
        </is>
      </c>
      <c r="I133" s="5" t="inlineStr">
        <is>
          <t>2025.4Q</t>
        </is>
      </c>
      <c r="J133" s="5" t="inlineStr">
        <is>
          <t>2026.1Q</t>
        </is>
      </c>
      <c r="K133" s="5" t="inlineStr">
        <is>
          <t>2026.2Q</t>
        </is>
      </c>
      <c r="L133" s="5" t="inlineStr">
        <is>
          <t>2026.3Q</t>
        </is>
      </c>
      <c r="M133" s="5" t="inlineStr">
        <is>
          <t>2026.4Q</t>
        </is>
      </c>
      <c r="N133" s="5" t="inlineStr">
        <is>
          <t>2027.1Q</t>
        </is>
      </c>
      <c r="O133" s="5" t="inlineStr">
        <is>
          <t>2017</t>
        </is>
      </c>
      <c r="P133" s="5" t="inlineStr">
        <is>
          <t>2018</t>
        </is>
      </c>
      <c r="Q133" s="5" t="inlineStr">
        <is>
          <t>2019</t>
        </is>
      </c>
      <c r="R133" s="5" t="inlineStr">
        <is>
          <t>2020</t>
        </is>
      </c>
      <c r="S133" s="5" t="inlineStr">
        <is>
          <t>2021</t>
        </is>
      </c>
      <c r="T133" s="5" t="inlineStr">
        <is>
          <t>2022</t>
        </is>
      </c>
      <c r="U133" s="5" t="inlineStr">
        <is>
          <t>2023</t>
        </is>
      </c>
      <c r="V133" s="5" t="inlineStr">
        <is>
          <t>2024</t>
        </is>
      </c>
      <c r="W133" s="5" t="inlineStr">
        <is>
          <t>2025</t>
        </is>
      </c>
      <c r="X133" s="5" t="inlineStr">
        <is>
          <t>2026</t>
        </is>
      </c>
      <c r="Y133" s="5" t="inlineStr">
        <is>
          <t>2027(MW)</t>
        </is>
      </c>
      <c r="Z133" s="5" t="inlineStr">
        <is>
          <t>2028(MW)</t>
        </is>
      </c>
      <c r="AA133" s="5" t="inlineStr">
        <is>
          <t>2029(MW)</t>
        </is>
      </c>
      <c r="AB133" s="5" t="inlineStr">
        <is>
          <t>2030(MW)</t>
        </is>
      </c>
      <c r="AC133" s="5" t="inlineStr">
        <is>
          <t>2031(MW)</t>
        </is>
      </c>
    </row>
    <row r="134">
      <c r="A134" s="9" t="inlineStr">
        <is>
          <t>중간순이익(손실)</t>
        </is>
      </c>
      <c r="C134" s="12" t="n">
        <v>-38.298</v>
      </c>
      <c r="D134" s="12" t="n">
        <v>154.5</v>
      </c>
      <c r="E134" s="12" t="n">
        <v>1571.179</v>
      </c>
      <c r="F134" s="12" t="n">
        <v>39.29</v>
      </c>
      <c r="G134" s="12" t="n">
        <v>185.709</v>
      </c>
      <c r="H134" s="12" t="n">
        <v>543.147</v>
      </c>
      <c r="I134" s="12" t="n">
        <v>1438.404</v>
      </c>
      <c r="J134" s="12" t="n">
        <v>-138.921</v>
      </c>
      <c r="K134" s="12" t="n">
        <v>359.952</v>
      </c>
      <c r="L134" s="12" t="n">
        <v>261.656</v>
      </c>
      <c r="M134" s="12" t="n">
        <v>1035.545</v>
      </c>
      <c r="N134" s="12" t="n">
        <v>6.436</v>
      </c>
      <c r="V134" s="12" t="n">
        <v>1571.179</v>
      </c>
      <c r="W134" s="12" t="n">
        <v>1438.404</v>
      </c>
      <c r="X134" s="12" t="n">
        <v>1035.545</v>
      </c>
    </row>
    <row r="135">
      <c r="A135" s="20" t="inlineStr">
        <is>
          <t>기타유가증권 평가차액</t>
        </is>
      </c>
      <c r="C135" s="22" t="n">
        <v>46.829</v>
      </c>
      <c r="D135" s="22" t="n">
        <v>12.055</v>
      </c>
      <c r="E135" s="22" t="n">
        <v>109.992</v>
      </c>
      <c r="F135" s="22" t="n">
        <v>56.068</v>
      </c>
      <c r="G135" s="22" t="n">
        <v>-100.182</v>
      </c>
      <c r="H135" s="22" t="n">
        <v>-12.389</v>
      </c>
      <c r="I135" s="22" t="n">
        <v>-19.832</v>
      </c>
      <c r="J135" s="22" t="n">
        <v>39.547</v>
      </c>
      <c r="K135" s="22" t="n">
        <v>108.549</v>
      </c>
      <c r="L135" s="22" t="n">
        <v>65.111</v>
      </c>
      <c r="M135" s="22" t="n">
        <v>39.139</v>
      </c>
      <c r="N135" s="22" t="n">
        <v>111.699</v>
      </c>
      <c r="V135" s="22" t="n">
        <v>109.992</v>
      </c>
      <c r="W135" s="22" t="n">
        <v>-19.832</v>
      </c>
      <c r="X135" s="22" t="n">
        <v>39.139</v>
      </c>
    </row>
    <row r="136">
      <c r="A136" s="20" t="inlineStr">
        <is>
          <t>퇴직급여 조정액</t>
        </is>
      </c>
      <c r="C136" s="22" t="n">
        <v>-10.247</v>
      </c>
      <c r="D136" s="22" t="n">
        <v>-10.247</v>
      </c>
      <c r="E136" s="22" t="n">
        <v>303.63</v>
      </c>
      <c r="F136" s="22" t="n">
        <v>-14.186</v>
      </c>
      <c r="G136" s="22" t="n">
        <v>-14.186</v>
      </c>
      <c r="H136" s="22" t="n">
        <v>-14.186</v>
      </c>
      <c r="I136" s="22" t="n">
        <v>-57.225</v>
      </c>
      <c r="J136" s="22" t="n">
        <v>-7.902</v>
      </c>
      <c r="K136" s="22" t="n">
        <v>-7.902</v>
      </c>
      <c r="L136" s="22" t="n">
        <v>-7.902</v>
      </c>
      <c r="M136" s="22" t="n">
        <v>317.219</v>
      </c>
      <c r="N136" s="22" t="n">
        <v>-18.961</v>
      </c>
      <c r="V136" s="22" t="n">
        <v>303.63</v>
      </c>
      <c r="W136" s="22" t="n">
        <v>-57.225</v>
      </c>
      <c r="X136" s="22" t="n">
        <v>317.219</v>
      </c>
    </row>
    <row r="137">
      <c r="A137" s="20" t="inlineStr">
        <is>
          <t>기타포괄손익 합계</t>
        </is>
      </c>
      <c r="C137" s="22" t="n">
        <v>36.581</v>
      </c>
      <c r="D137" s="22" t="n">
        <v>1.809</v>
      </c>
      <c r="E137" s="22" t="n">
        <v>413.622</v>
      </c>
      <c r="F137" s="22" t="n">
        <v>41.882</v>
      </c>
      <c r="G137" s="22" t="n">
        <v>-114.368</v>
      </c>
      <c r="H137" s="22" t="n">
        <v>-26.575</v>
      </c>
      <c r="I137" s="22" t="n">
        <v>-77.057</v>
      </c>
      <c r="J137" s="22" t="n">
        <v>31.645</v>
      </c>
      <c r="K137" s="22" t="n">
        <v>100.646</v>
      </c>
      <c r="L137" s="22" t="n">
        <v>57.209</v>
      </c>
      <c r="M137" s="22" t="n">
        <v>356.359</v>
      </c>
      <c r="N137" s="22" t="n">
        <v>92.738</v>
      </c>
      <c r="V137" s="22" t="n">
        <v>413.622</v>
      </c>
      <c r="W137" s="22" t="n">
        <v>-77.057</v>
      </c>
      <c r="X137" s="22" t="n">
        <v>356.359</v>
      </c>
    </row>
    <row r="138">
      <c r="A138" s="9" t="inlineStr">
        <is>
          <t>포괄이익</t>
        </is>
      </c>
      <c r="C138" s="12" t="n">
        <v>-1.717</v>
      </c>
      <c r="D138" s="12" t="n">
        <v>156.31</v>
      </c>
      <c r="E138" s="12" t="n">
        <v>1984.801</v>
      </c>
      <c r="F138" s="12" t="n">
        <v>81.172</v>
      </c>
      <c r="G138" s="12" t="n">
        <v>71.34099999999999</v>
      </c>
      <c r="H138" s="12" t="n">
        <v>516.571</v>
      </c>
      <c r="I138" s="12" t="n">
        <v>1361.347</v>
      </c>
      <c r="J138" s="12" t="n">
        <v>-107.276</v>
      </c>
      <c r="K138" s="12" t="n">
        <v>460.599</v>
      </c>
      <c r="L138" s="12" t="n">
        <v>318.864</v>
      </c>
      <c r="M138" s="12" t="n">
        <v>1391.905</v>
      </c>
      <c r="N138" s="12" t="n">
        <v>99.175</v>
      </c>
      <c r="V138" s="12" t="n">
        <v>1984.801</v>
      </c>
      <c r="W138" s="12" t="n">
        <v>1361.347</v>
      </c>
      <c r="X138" s="12" t="n">
        <v>1391.905</v>
      </c>
    </row>
    <row r="139">
      <c r="A139" s="9" t="inlineStr">
        <is>
          <t>지배주주 포괄이익</t>
        </is>
      </c>
      <c r="C139" s="12" t="n">
        <v>-1.717</v>
      </c>
      <c r="D139" s="12" t="n">
        <v>156.31</v>
      </c>
      <c r="E139" s="12" t="n">
        <v>1984.801</v>
      </c>
      <c r="F139" s="12" t="n">
        <v>81.172</v>
      </c>
      <c r="G139" s="12" t="n">
        <v>71.34099999999999</v>
      </c>
      <c r="H139" s="12" t="n">
        <v>516.571</v>
      </c>
      <c r="I139" s="12" t="n">
        <v>1361.347</v>
      </c>
      <c r="J139" s="12" t="n">
        <v>-107.276</v>
      </c>
      <c r="K139" s="12" t="n">
        <v>460.599</v>
      </c>
      <c r="L139" s="12" t="n">
        <v>318.864</v>
      </c>
      <c r="M139" s="12" t="n">
        <v>1391.905</v>
      </c>
      <c r="N139" s="12" t="n">
        <v>99.175</v>
      </c>
      <c r="V139" s="12" t="n">
        <v>1984.801</v>
      </c>
      <c r="W139" s="12" t="n">
        <v>1361.347</v>
      </c>
      <c r="X139" s="12" t="n">
        <v>1391.905</v>
      </c>
    </row>
    <row r="140">
      <c r="A140" s="9" t="inlineStr">
        <is>
          <t>비지배주주 포괄이익</t>
        </is>
      </c>
      <c r="C140" s="12" t="n">
        <v>0</v>
      </c>
      <c r="D140" s="12" t="n">
        <v>0</v>
      </c>
      <c r="E140" s="12" t="n">
        <v>0</v>
      </c>
      <c r="F140" s="12" t="n">
        <v>0</v>
      </c>
      <c r="G140" s="12" t="n">
        <v>0</v>
      </c>
      <c r="H140" s="12" t="n">
        <v>0</v>
      </c>
      <c r="I140" s="12" t="n">
        <v>0</v>
      </c>
      <c r="J140" s="12" t="n">
        <v>0</v>
      </c>
      <c r="K140" s="12" t="n">
        <v>0</v>
      </c>
      <c r="L140" s="12" t="n">
        <v>0</v>
      </c>
      <c r="M140" s="12" t="n">
        <v>0</v>
      </c>
      <c r="N140" s="12" t="n">
        <v>0</v>
      </c>
      <c r="V140" s="12" t="n">
        <v>0</v>
      </c>
      <c r="W140" s="12" t="n">
        <v>0</v>
      </c>
      <c r="X140" s="12" t="n">
        <v>0</v>
      </c>
    </row>
    <row r="142">
      <c r="A142" s="18" t="inlineStr">
        <is>
          <t>현금흐름표 · 전 항목</t>
        </is>
      </c>
      <c r="B142" s="44" t="inlineStr">
        <is>
          <t>분기 = 결산기 첫날부터 누계(공시 그대로)</t>
        </is>
      </c>
      <c r="C142" s="18" t="n"/>
      <c r="D142" s="18" t="n"/>
      <c r="E142" s="18" t="n"/>
      <c r="F142" s="18" t="n"/>
      <c r="G142" s="18" t="n"/>
      <c r="H142" s="18" t="n"/>
      <c r="I142" s="18" t="n"/>
      <c r="J142" s="18" t="n"/>
      <c r="K142" s="18" t="n"/>
      <c r="L142" s="18" t="n"/>
      <c r="M142" s="18" t="n"/>
      <c r="N142" s="18" t="n"/>
      <c r="O142" s="18" t="n"/>
      <c r="P142" s="18" t="n"/>
      <c r="Q142" s="18" t="n"/>
      <c r="R142" s="18" t="n"/>
      <c r="S142" s="18" t="n"/>
      <c r="T142" s="18" t="n"/>
      <c r="U142" s="18" t="n"/>
      <c r="V142" s="18" t="n"/>
      <c r="W142" s="18" t="n"/>
      <c r="X142" s="18" t="n"/>
      <c r="Y142" s="18" t="n"/>
      <c r="Z142" s="18" t="n"/>
      <c r="AA142" s="18" t="n"/>
      <c r="AB142" s="18" t="n"/>
      <c r="AC142" s="18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9" t="inlineStr">
        <is>
          <t>법인세차감전 순이익</t>
        </is>
      </c>
      <c r="C144" s="12" t="n">
        <v>-6.307</v>
      </c>
      <c r="E144" s="12" t="n">
        <v>2351.661</v>
      </c>
      <c r="G144" s="12" t="n">
        <v>349.339</v>
      </c>
      <c r="I144" s="12" t="n">
        <v>2888.574</v>
      </c>
      <c r="K144" s="12" t="n">
        <v>330.643</v>
      </c>
      <c r="M144" s="12" t="n">
        <v>2107.743</v>
      </c>
      <c r="U144" s="12" t="n">
        <v>2211.919</v>
      </c>
      <c r="V144" s="12" t="n">
        <v>2351.661</v>
      </c>
      <c r="W144" s="12" t="n">
        <v>2888.574</v>
      </c>
      <c r="X144" s="12" t="n">
        <v>2107.743</v>
      </c>
    </row>
    <row r="145">
      <c r="A145" s="20" t="inlineStr">
        <is>
          <t>감가상각비</t>
        </is>
      </c>
      <c r="C145" s="22" t="n">
        <v>185.204</v>
      </c>
      <c r="E145" s="22" t="n">
        <v>372.714</v>
      </c>
      <c r="G145" s="22" t="n">
        <v>175.168</v>
      </c>
      <c r="I145" s="22" t="n">
        <v>372.425</v>
      </c>
      <c r="K145" s="22" t="n">
        <v>184.374</v>
      </c>
      <c r="M145" s="22" t="n">
        <v>381.502</v>
      </c>
      <c r="U145" s="22" t="n">
        <v>326.133</v>
      </c>
      <c r="V145" s="22" t="n">
        <v>372.714</v>
      </c>
      <c r="W145" s="22" t="n">
        <v>372.425</v>
      </c>
      <c r="X145" s="22" t="n">
        <v>381.502</v>
      </c>
    </row>
    <row r="146">
      <c r="A146" s="20" t="inlineStr">
        <is>
          <t>영업권 상각</t>
        </is>
      </c>
      <c r="C146" s="22" t="n">
        <v>12.844</v>
      </c>
      <c r="E146" s="22" t="n">
        <v>19.267</v>
      </c>
      <c r="G146" s="22" t="n">
        <v>0</v>
      </c>
      <c r="I146" s="22" t="n">
        <v>0</v>
      </c>
      <c r="U146" s="22" t="n">
        <v>25.689</v>
      </c>
      <c r="V146" s="22" t="n">
        <v>19.267</v>
      </c>
      <c r="W146" s="22" t="n">
        <v>0</v>
      </c>
    </row>
    <row r="147">
      <c r="A147" s="20" t="inlineStr">
        <is>
          <t>대손충당금 증감</t>
        </is>
      </c>
      <c r="C147" s="22" t="n">
        <v>-0.423</v>
      </c>
      <c r="E147" s="22" t="n">
        <v>6.698</v>
      </c>
      <c r="G147" s="22" t="n">
        <v>-7.002</v>
      </c>
      <c r="I147" s="22" t="n">
        <v>-6.649</v>
      </c>
      <c r="K147" s="22" t="n">
        <v>-0.342</v>
      </c>
      <c r="M147" s="22" t="n">
        <v>69.428</v>
      </c>
      <c r="U147" s="22" t="n">
        <v>0.347</v>
      </c>
      <c r="V147" s="22" t="n">
        <v>6.698</v>
      </c>
      <c r="W147" s="22" t="n">
        <v>-6.649</v>
      </c>
      <c r="X147" s="22" t="n">
        <v>69.428</v>
      </c>
    </row>
    <row r="148">
      <c r="A148" s="20" t="inlineStr">
        <is>
          <t>상여충당금 증감</t>
        </is>
      </c>
      <c r="C148" s="22" t="n">
        <v>-0.168</v>
      </c>
      <c r="E148" s="22" t="n">
        <v>-35.673</v>
      </c>
      <c r="G148" s="22" t="n">
        <v>38.465</v>
      </c>
      <c r="I148" s="22" t="n">
        <v>83.639</v>
      </c>
      <c r="K148" s="22" t="n">
        <v>-50.188</v>
      </c>
      <c r="M148" s="22" t="n">
        <v>-73.75700000000001</v>
      </c>
      <c r="U148" s="22" t="n">
        <v>-79.036</v>
      </c>
      <c r="V148" s="22" t="n">
        <v>-35.673</v>
      </c>
      <c r="W148" s="22" t="n">
        <v>83.639</v>
      </c>
      <c r="X148" s="22" t="n">
        <v>-73.75700000000001</v>
      </c>
    </row>
    <row r="149">
      <c r="A149" s="20" t="inlineStr">
        <is>
          <t>임원 상여충당금 증감</t>
        </is>
      </c>
      <c r="C149" s="22" t="n">
        <v>-26.967</v>
      </c>
      <c r="E149" s="22" t="n">
        <v>-6.513</v>
      </c>
      <c r="G149" s="22" t="n">
        <v>-24.408</v>
      </c>
      <c r="I149" s="22" t="n">
        <v>5.086</v>
      </c>
      <c r="K149" s="22" t="n">
        <v>-23.026</v>
      </c>
      <c r="M149" s="22" t="n">
        <v>4.782</v>
      </c>
      <c r="U149" s="22" t="n">
        <v>7.171</v>
      </c>
      <c r="V149" s="22" t="n">
        <v>-6.513</v>
      </c>
      <c r="W149" s="22" t="n">
        <v>5.086</v>
      </c>
      <c r="X149" s="22" t="n">
        <v>4.782</v>
      </c>
    </row>
    <row r="150">
      <c r="A150" s="20" t="inlineStr">
        <is>
          <t>제품보증 충당금 증감</t>
        </is>
      </c>
      <c r="C150" s="22" t="n">
        <v>-4.265</v>
      </c>
      <c r="E150" s="22" t="n">
        <v>-38.442</v>
      </c>
      <c r="G150" s="22" t="n">
        <v>-0.641</v>
      </c>
      <c r="I150" s="22" t="n">
        <v>27.238</v>
      </c>
      <c r="K150" s="22" t="n">
        <v>-8.384</v>
      </c>
      <c r="M150" s="22" t="n">
        <v>-15.669</v>
      </c>
      <c r="U150" s="22" t="n">
        <v>26.743</v>
      </c>
      <c r="V150" s="22" t="n">
        <v>-38.442</v>
      </c>
      <c r="W150" s="22" t="n">
        <v>27.238</v>
      </c>
      <c r="X150" s="22" t="n">
        <v>-15.669</v>
      </c>
    </row>
    <row r="151">
      <c r="A151" s="20" t="inlineStr">
        <is>
          <t>Increase Decrease In Provision For Loss On Construction Contracts Ope CF</t>
        </is>
      </c>
      <c r="C151" s="22" t="n">
        <v>1.715</v>
      </c>
      <c r="E151" s="22" t="n">
        <v>-16.3</v>
      </c>
      <c r="G151" s="22" t="n">
        <v>14.224</v>
      </c>
      <c r="I151" s="22" t="n">
        <v>4.892</v>
      </c>
      <c r="K151" s="22" t="n">
        <v>-0.327</v>
      </c>
      <c r="M151" s="22" t="n">
        <v>45.595</v>
      </c>
      <c r="U151" s="22" t="n">
        <v>-31.897</v>
      </c>
      <c r="V151" s="22" t="n">
        <v>-16.3</v>
      </c>
      <c r="W151" s="22" t="n">
        <v>4.892</v>
      </c>
      <c r="X151" s="22" t="n">
        <v>45.595</v>
      </c>
    </row>
    <row r="152">
      <c r="A152" s="20" t="inlineStr">
        <is>
          <t>주식급여 충당금 증감</t>
        </is>
      </c>
      <c r="I152" s="22" t="n">
        <v>0</v>
      </c>
      <c r="M152" s="22" t="n">
        <v>39.933</v>
      </c>
      <c r="W152" s="22" t="n">
        <v>0</v>
      </c>
      <c r="X152" s="22" t="n">
        <v>39.933</v>
      </c>
    </row>
    <row r="153">
      <c r="A153" s="20" t="inlineStr">
        <is>
          <t>이자·배당금 수익</t>
        </is>
      </c>
      <c r="C153" s="22" t="n">
        <v>-11.816</v>
      </c>
      <c r="E153" s="22" t="n">
        <v>-25.472</v>
      </c>
      <c r="G153" s="22" t="n">
        <v>-13.515</v>
      </c>
      <c r="I153" s="22" t="n">
        <v>-31.282</v>
      </c>
      <c r="K153" s="22" t="n">
        <v>-18.053</v>
      </c>
      <c r="M153" s="22" t="n">
        <v>-43.128</v>
      </c>
      <c r="U153" s="22" t="n">
        <v>-22.098</v>
      </c>
      <c r="V153" s="22" t="n">
        <v>-25.472</v>
      </c>
      <c r="W153" s="22" t="n">
        <v>-31.282</v>
      </c>
      <c r="X153" s="22" t="n">
        <v>-43.128</v>
      </c>
    </row>
    <row r="154">
      <c r="A154" s="20" t="inlineStr">
        <is>
          <t>투자유가증권 매각손익</t>
        </is>
      </c>
      <c r="E154" s="22" t="n">
        <v>0.029</v>
      </c>
      <c r="G154" s="22" t="n">
        <v>0</v>
      </c>
      <c r="I154" s="22" t="n">
        <v>-105.726</v>
      </c>
      <c r="K154" s="22" t="n">
        <v>1.125</v>
      </c>
      <c r="M154" s="22" t="n">
        <v>1.125</v>
      </c>
      <c r="U154" s="22" t="n">
        <v>-0.2</v>
      </c>
      <c r="V154" s="22" t="n">
        <v>0.029</v>
      </c>
      <c r="W154" s="22" t="n">
        <v>-105.726</v>
      </c>
      <c r="X154" s="22" t="n">
        <v>1.125</v>
      </c>
    </row>
    <row r="155">
      <c r="A155" s="20" t="inlineStr">
        <is>
          <t>유형자산 매각손익</t>
        </is>
      </c>
      <c r="E155" s="22" t="n">
        <v>-0.209</v>
      </c>
      <c r="G155" s="22" t="n">
        <v>0</v>
      </c>
      <c r="I155" s="22" t="n">
        <v>0</v>
      </c>
      <c r="K155" s="22" t="n">
        <v>-314.526</v>
      </c>
      <c r="M155" s="22" t="n">
        <v>-314.876</v>
      </c>
      <c r="U155" s="22" t="n">
        <v>-45.94</v>
      </c>
      <c r="V155" s="22" t="n">
        <v>-0.209</v>
      </c>
      <c r="W155" s="22" t="n">
        <v>0</v>
      </c>
      <c r="X155" s="22" t="n">
        <v>-314.876</v>
      </c>
    </row>
    <row r="156">
      <c r="A156" s="20" t="inlineStr">
        <is>
          <t>고정자산 제각손실</t>
        </is>
      </c>
      <c r="C156" s="22" t="n">
        <v>0</v>
      </c>
      <c r="E156" s="22" t="n">
        <v>8.4</v>
      </c>
      <c r="G156" s="22" t="n">
        <v>6.011</v>
      </c>
      <c r="I156" s="22" t="n">
        <v>16.494</v>
      </c>
      <c r="K156" s="22" t="n">
        <v>-3.758</v>
      </c>
      <c r="M156" s="22" t="n">
        <v>5.133</v>
      </c>
      <c r="U156" s="22" t="n">
        <v>24.434</v>
      </c>
      <c r="V156" s="22" t="n">
        <v>8.4</v>
      </c>
      <c r="W156" s="22" t="n">
        <v>16.494</v>
      </c>
      <c r="X156" s="22" t="n">
        <v>5.133</v>
      </c>
    </row>
    <row r="157">
      <c r="A157" s="20" t="inlineStr">
        <is>
          <t>사업양도 손익</t>
        </is>
      </c>
      <c r="E157" s="22" t="n">
        <v>0</v>
      </c>
      <c r="U157" s="22" t="n">
        <v>273.206</v>
      </c>
      <c r="V157" s="22" t="n">
        <v>0</v>
      </c>
    </row>
    <row r="158">
      <c r="A158" s="20" t="inlineStr">
        <is>
          <t>매출채권 증감</t>
        </is>
      </c>
      <c r="C158" s="22" t="n">
        <v>4772.956</v>
      </c>
      <c r="E158" s="22" t="n">
        <v>-566.968</v>
      </c>
      <c r="G158" s="22" t="n">
        <v>2262.346</v>
      </c>
      <c r="I158" s="22" t="n">
        <v>-871.356</v>
      </c>
      <c r="K158" s="22" t="n">
        <v>3651.894</v>
      </c>
      <c r="M158" s="22" t="n">
        <v>2507.036</v>
      </c>
      <c r="U158" s="22" t="n">
        <v>-961.465</v>
      </c>
      <c r="V158" s="22" t="n">
        <v>-566.968</v>
      </c>
      <c r="W158" s="22" t="n">
        <v>-871.356</v>
      </c>
      <c r="X158" s="22" t="n">
        <v>2507.036</v>
      </c>
    </row>
    <row r="159">
      <c r="A159" s="20" t="inlineStr">
        <is>
          <t>재고자산 증감</t>
        </is>
      </c>
      <c r="C159" s="22" t="n">
        <v>-485.45</v>
      </c>
      <c r="E159" s="22" t="n">
        <v>136.332</v>
      </c>
      <c r="G159" s="22" t="n">
        <v>-1306.428</v>
      </c>
      <c r="I159" s="22" t="n">
        <v>77.098</v>
      </c>
      <c r="K159" s="22" t="n">
        <v>-1095.507</v>
      </c>
      <c r="M159" s="22" t="n">
        <v>796.4349999999999</v>
      </c>
      <c r="U159" s="22" t="n">
        <v>24.096</v>
      </c>
      <c r="V159" s="22" t="n">
        <v>136.332</v>
      </c>
      <c r="W159" s="22" t="n">
        <v>77.098</v>
      </c>
      <c r="X159" s="22" t="n">
        <v>796.4349999999999</v>
      </c>
    </row>
    <row r="160">
      <c r="A160" s="20" t="inlineStr">
        <is>
          <t>매입채무 증감</t>
        </is>
      </c>
      <c r="C160" s="22" t="n">
        <v>-1111.96</v>
      </c>
      <c r="E160" s="22" t="n">
        <v>-70.61</v>
      </c>
      <c r="G160" s="22" t="n">
        <v>-1566.271</v>
      </c>
      <c r="I160" s="22" t="n">
        <v>-1633.575</v>
      </c>
      <c r="K160" s="22" t="n">
        <v>-770.7430000000001</v>
      </c>
      <c r="M160" s="22" t="n">
        <v>-1019.221</v>
      </c>
      <c r="U160" s="22" t="n">
        <v>-456.919</v>
      </c>
      <c r="V160" s="22" t="n">
        <v>-70.61</v>
      </c>
      <c r="W160" s="22" t="n">
        <v>-1633.575</v>
      </c>
      <c r="X160" s="22" t="n">
        <v>-1019.221</v>
      </c>
    </row>
    <row r="161">
      <c r="A161" s="20" t="inlineStr">
        <is>
          <t>미지급 소비세 증감</t>
        </is>
      </c>
      <c r="C161" s="22" t="n">
        <v>-189.615</v>
      </c>
      <c r="E161" s="22" t="n">
        <v>-142.375</v>
      </c>
      <c r="G161" s="22" t="n">
        <v>9.497999999999999</v>
      </c>
      <c r="I161" s="22" t="n">
        <v>226.959</v>
      </c>
      <c r="K161" s="22" t="n">
        <v>-181.057</v>
      </c>
      <c r="M161" s="22" t="n">
        <v>464.953</v>
      </c>
      <c r="U161" s="22" t="n">
        <v>122.911</v>
      </c>
      <c r="V161" s="22" t="n">
        <v>-142.375</v>
      </c>
      <c r="W161" s="22" t="n">
        <v>226.959</v>
      </c>
      <c r="X161" s="22" t="n">
        <v>464.953</v>
      </c>
    </row>
    <row r="162">
      <c r="A162" s="20" t="inlineStr">
        <is>
          <t>기타</t>
        </is>
      </c>
      <c r="C162" s="22" t="n">
        <v>-322.208</v>
      </c>
      <c r="E162" s="22" t="n">
        <v>-209.358</v>
      </c>
      <c r="G162" s="22" t="n">
        <v>-46.889</v>
      </c>
      <c r="I162" s="22" t="n">
        <v>67.895</v>
      </c>
      <c r="K162" s="22" t="n">
        <v>-126.254</v>
      </c>
      <c r="M162" s="22" t="n">
        <v>-65.133</v>
      </c>
      <c r="U162" s="22" t="n">
        <v>-185.205</v>
      </c>
      <c r="V162" s="22" t="n">
        <v>-209.358</v>
      </c>
      <c r="W162" s="22" t="n">
        <v>67.895</v>
      </c>
      <c r="X162" s="22" t="n">
        <v>-65.133</v>
      </c>
    </row>
    <row r="163">
      <c r="A163" s="20" t="inlineStr">
        <is>
          <t>소계</t>
        </is>
      </c>
      <c r="C163" s="22" t="n">
        <v>2813.538</v>
      </c>
      <c r="E163" s="22" t="n">
        <v>1783.178</v>
      </c>
      <c r="G163" s="22" t="n">
        <v>-110.101</v>
      </c>
      <c r="I163" s="22" t="n">
        <v>1121.714</v>
      </c>
      <c r="K163" s="22" t="n">
        <v>1575.867</v>
      </c>
      <c r="M163" s="22" t="n">
        <v>4891.882</v>
      </c>
      <c r="U163" s="22" t="n">
        <v>1259.89</v>
      </c>
      <c r="V163" s="22" t="n">
        <v>1783.178</v>
      </c>
      <c r="W163" s="22" t="n">
        <v>1121.714</v>
      </c>
      <c r="X163" s="22" t="n">
        <v>4891.882</v>
      </c>
    </row>
    <row r="164">
      <c r="A164" s="20" t="inlineStr">
        <is>
          <t>이자·배당금 수취</t>
        </is>
      </c>
      <c r="C164" s="22" t="n">
        <v>11.816</v>
      </c>
      <c r="E164" s="22" t="n">
        <v>25.472</v>
      </c>
      <c r="G164" s="22" t="n">
        <v>13.515</v>
      </c>
      <c r="I164" s="22" t="n">
        <v>31.282</v>
      </c>
      <c r="K164" s="22" t="n">
        <v>18.053</v>
      </c>
      <c r="M164" s="22" t="n">
        <v>43.128</v>
      </c>
      <c r="U164" s="22" t="n">
        <v>22.098</v>
      </c>
      <c r="V164" s="22" t="n">
        <v>25.472</v>
      </c>
      <c r="W164" s="22" t="n">
        <v>31.282</v>
      </c>
      <c r="X164" s="22" t="n">
        <v>43.128</v>
      </c>
    </row>
    <row r="165">
      <c r="A165" s="20" t="inlineStr">
        <is>
          <t>보험금 수취</t>
        </is>
      </c>
      <c r="E165" s="22" t="n">
        <v>0.589</v>
      </c>
      <c r="I165" s="22" t="n">
        <v>0.355</v>
      </c>
      <c r="M165" s="22" t="n">
        <v>0.461</v>
      </c>
      <c r="U165" s="22" t="n">
        <v>0.591</v>
      </c>
      <c r="V165" s="22" t="n">
        <v>0.589</v>
      </c>
      <c r="W165" s="22" t="n">
        <v>0.355</v>
      </c>
      <c r="X165" s="22" t="n">
        <v>0.461</v>
      </c>
    </row>
    <row r="166">
      <c r="A166" s="20" t="inlineStr">
        <is>
          <t>법인세 납부</t>
        </is>
      </c>
      <c r="C166" s="22" t="n">
        <v>-343.074</v>
      </c>
      <c r="E166" s="22" t="n">
        <v>-398.944</v>
      </c>
      <c r="G166" s="22" t="n">
        <v>-601.643</v>
      </c>
      <c r="I166" s="22" t="n">
        <v>-719.941</v>
      </c>
      <c r="K166" s="22" t="n">
        <v>-663.987</v>
      </c>
      <c r="M166" s="22" t="n">
        <v>-1104.149</v>
      </c>
      <c r="U166" s="22" t="n">
        <v>-665.624</v>
      </c>
      <c r="V166" s="22" t="n">
        <v>-398.944</v>
      </c>
      <c r="W166" s="22" t="n">
        <v>-719.941</v>
      </c>
      <c r="X166" s="22" t="n">
        <v>-1104.149</v>
      </c>
    </row>
    <row r="167">
      <c r="A167" s="20" t="inlineStr">
        <is>
          <t>법인세 환급</t>
        </is>
      </c>
      <c r="G167" s="22" t="n">
        <v>0</v>
      </c>
      <c r="I167" s="22" t="n">
        <v>0</v>
      </c>
      <c r="K167" s="22" t="n">
        <v>40.716</v>
      </c>
      <c r="M167" s="22" t="n">
        <v>40.716</v>
      </c>
      <c r="W167" s="22" t="n">
        <v>0</v>
      </c>
      <c r="X167" s="22" t="n">
        <v>40.716</v>
      </c>
    </row>
    <row r="168">
      <c r="A168" s="9" t="inlineStr">
        <is>
          <t>영업활동 현금흐름</t>
        </is>
      </c>
      <c r="C168" s="12" t="n">
        <v>2482.281</v>
      </c>
      <c r="E168" s="12" t="n">
        <v>1410.295</v>
      </c>
      <c r="G168" s="12" t="n">
        <v>-698.229</v>
      </c>
      <c r="I168" s="12" t="n">
        <v>433.41</v>
      </c>
      <c r="K168" s="12" t="n">
        <v>970.65</v>
      </c>
      <c r="M168" s="12" t="n">
        <v>3872.038</v>
      </c>
      <c r="U168" s="12" t="n">
        <v>616.956</v>
      </c>
      <c r="V168" s="12" t="n">
        <v>1410.295</v>
      </c>
      <c r="W168" s="12" t="n">
        <v>433.41</v>
      </c>
      <c r="X168" s="12" t="n">
        <v>3872.038</v>
      </c>
    </row>
    <row r="169">
      <c r="A169" s="20" t="inlineStr">
        <is>
          <t>유형자산 취득(설비투자)</t>
        </is>
      </c>
      <c r="C169" s="22" t="n">
        <v>-60.162</v>
      </c>
      <c r="E169" s="22" t="n">
        <v>-176.198</v>
      </c>
      <c r="G169" s="22" t="n">
        <v>-149.6</v>
      </c>
      <c r="I169" s="22" t="n">
        <v>-402.524</v>
      </c>
      <c r="K169" s="22" t="n">
        <v>-136.941</v>
      </c>
      <c r="M169" s="22" t="n">
        <v>-270.762</v>
      </c>
      <c r="U169" s="22" t="n">
        <v>-3750.162</v>
      </c>
      <c r="V169" s="22" t="n">
        <v>-176.198</v>
      </c>
      <c r="W169" s="22" t="n">
        <v>-402.524</v>
      </c>
      <c r="X169" s="22" t="n">
        <v>-270.762</v>
      </c>
    </row>
    <row r="170">
      <c r="A170" s="20" t="inlineStr">
        <is>
          <t>유형자산 매각</t>
        </is>
      </c>
      <c r="E170" s="22" t="n">
        <v>0.209</v>
      </c>
      <c r="G170" s="22" t="n">
        <v>0</v>
      </c>
      <c r="I170" s="22" t="n">
        <v>0</v>
      </c>
      <c r="K170" s="22" t="n">
        <v>366.389</v>
      </c>
      <c r="M170" s="22" t="n">
        <v>370.457</v>
      </c>
      <c r="U170" s="22" t="n">
        <v>213.545</v>
      </c>
      <c r="V170" s="22" t="n">
        <v>0.209</v>
      </c>
      <c r="W170" s="22" t="n">
        <v>0</v>
      </c>
      <c r="X170" s="22" t="n">
        <v>370.457</v>
      </c>
    </row>
    <row r="171">
      <c r="A171" s="20" t="inlineStr">
        <is>
          <t>무형자산 취득</t>
        </is>
      </c>
      <c r="C171" s="22" t="n">
        <v>-15.526</v>
      </c>
      <c r="E171" s="22" t="n">
        <v>-35.692</v>
      </c>
      <c r="G171" s="22" t="n">
        <v>-23.737</v>
      </c>
      <c r="I171" s="22" t="n">
        <v>-55.13</v>
      </c>
      <c r="K171" s="22" t="n">
        <v>-17.76</v>
      </c>
      <c r="M171" s="22" t="n">
        <v>-89.03400000000001</v>
      </c>
      <c r="U171" s="22" t="n">
        <v>-25.316</v>
      </c>
      <c r="V171" s="22" t="n">
        <v>-35.692</v>
      </c>
      <c r="W171" s="22" t="n">
        <v>-55.13</v>
      </c>
      <c r="X171" s="22" t="n">
        <v>-89.03400000000001</v>
      </c>
    </row>
    <row r="172">
      <c r="A172" s="20" t="inlineStr">
        <is>
          <t>자산복구부채 이행 지출</t>
        </is>
      </c>
      <c r="E172" s="22" t="n">
        <v>0</v>
      </c>
      <c r="U172" s="22" t="n">
        <v>-5.852</v>
      </c>
      <c r="V172" s="22" t="n">
        <v>0</v>
      </c>
    </row>
    <row r="173">
      <c r="A173" s="20" t="inlineStr">
        <is>
          <t>투자유가증권 취득</t>
        </is>
      </c>
      <c r="C173" s="22" t="n">
        <v>0</v>
      </c>
      <c r="E173" s="22" t="n">
        <v>0</v>
      </c>
      <c r="G173" s="22" t="n">
        <v>-52.322</v>
      </c>
      <c r="I173" s="22" t="n">
        <v>-99.548</v>
      </c>
      <c r="K173" s="22" t="n">
        <v>-286.481</v>
      </c>
      <c r="M173" s="22" t="n">
        <v>-286.503</v>
      </c>
      <c r="V173" s="22" t="n">
        <v>0</v>
      </c>
      <c r="W173" s="22" t="n">
        <v>-99.548</v>
      </c>
      <c r="X173" s="22" t="n">
        <v>-286.503</v>
      </c>
    </row>
    <row r="174">
      <c r="A174" s="20" t="inlineStr">
        <is>
          <t>투자유가증권 매각</t>
        </is>
      </c>
      <c r="E174" s="22" t="n">
        <v>0.675</v>
      </c>
      <c r="I174" s="22" t="n">
        <v>176.369</v>
      </c>
      <c r="M174" s="22" t="n">
        <v>8.843999999999999</v>
      </c>
      <c r="U174" s="22" t="n">
        <v>0.4</v>
      </c>
      <c r="V174" s="22" t="n">
        <v>0.675</v>
      </c>
      <c r="W174" s="22" t="n">
        <v>176.369</v>
      </c>
      <c r="X174" s="22" t="n">
        <v>8.843999999999999</v>
      </c>
    </row>
    <row r="175">
      <c r="A175" s="20" t="inlineStr">
        <is>
          <t>사업양도 수입</t>
        </is>
      </c>
      <c r="E175" s="22" t="n">
        <v>0</v>
      </c>
      <c r="U175" s="22" t="n">
        <v>137.28</v>
      </c>
      <c r="V175" s="22" t="n">
        <v>0</v>
      </c>
    </row>
    <row r="176">
      <c r="A176" s="20" t="inlineStr">
        <is>
          <t>임차보증금·보증금 회수</t>
        </is>
      </c>
      <c r="E176" s="22" t="n">
        <v>0</v>
      </c>
      <c r="U176" s="22" t="n">
        <v>12.845</v>
      </c>
      <c r="V176" s="22" t="n">
        <v>0</v>
      </c>
    </row>
    <row r="177">
      <c r="A177" s="20" t="inlineStr">
        <is>
          <t>관계회사 주식 취득</t>
        </is>
      </c>
      <c r="E177" s="22" t="n">
        <v>0</v>
      </c>
      <c r="I177" s="22" t="n">
        <v>-124.412</v>
      </c>
      <c r="M177" s="22" t="n">
        <v>0</v>
      </c>
      <c r="V177" s="22" t="n">
        <v>0</v>
      </c>
      <c r="W177" s="22" t="n">
        <v>-124.412</v>
      </c>
      <c r="X177" s="22" t="n">
        <v>0</v>
      </c>
    </row>
    <row r="178">
      <c r="A178" s="20" t="inlineStr">
        <is>
          <t>임차보증금·보증금 납입</t>
        </is>
      </c>
      <c r="E178" s="22" t="n">
        <v>0</v>
      </c>
      <c r="I178" s="22" t="n">
        <v>-45.817</v>
      </c>
      <c r="M178" s="22" t="n">
        <v>0</v>
      </c>
      <c r="V178" s="22" t="n">
        <v>0</v>
      </c>
      <c r="W178" s="22" t="n">
        <v>-45.817</v>
      </c>
      <c r="X178" s="22" t="n">
        <v>0</v>
      </c>
    </row>
    <row r="179">
      <c r="A179" s="20" t="inlineStr">
        <is>
          <t>기타</t>
        </is>
      </c>
      <c r="C179" s="22" t="n">
        <v>-1.064</v>
      </c>
      <c r="E179" s="22" t="n">
        <v>-2.555</v>
      </c>
      <c r="G179" s="22" t="n">
        <v>-3.892</v>
      </c>
      <c r="I179" s="22" t="n">
        <v>-12.575</v>
      </c>
      <c r="K179" s="22" t="n">
        <v>14.132</v>
      </c>
      <c r="M179" s="22" t="n">
        <v>-3.4</v>
      </c>
      <c r="U179" s="22" t="n">
        <v>-6.537</v>
      </c>
      <c r="V179" s="22" t="n">
        <v>-2.555</v>
      </c>
      <c r="W179" s="22" t="n">
        <v>-12.575</v>
      </c>
      <c r="X179" s="22" t="n">
        <v>-3.4</v>
      </c>
    </row>
    <row r="180">
      <c r="A180" s="9" t="inlineStr">
        <is>
          <t>투자활동 현금흐름</t>
        </is>
      </c>
      <c r="C180" s="12" t="n">
        <v>-76.753</v>
      </c>
      <c r="E180" s="12" t="n">
        <v>-213.561</v>
      </c>
      <c r="G180" s="12" t="n">
        <v>-229.553</v>
      </c>
      <c r="I180" s="12" t="n">
        <v>-563.638</v>
      </c>
      <c r="K180" s="12" t="n">
        <v>-60.661</v>
      </c>
      <c r="M180" s="12" t="n">
        <v>-270.398</v>
      </c>
      <c r="U180" s="12" t="n">
        <v>-3423.798</v>
      </c>
      <c r="V180" s="12" t="n">
        <v>-213.561</v>
      </c>
      <c r="W180" s="12" t="n">
        <v>-563.638</v>
      </c>
      <c r="X180" s="12" t="n">
        <v>-270.398</v>
      </c>
    </row>
    <row r="181">
      <c r="A181" s="20" t="inlineStr">
        <is>
          <t>배당금 지급</t>
        </is>
      </c>
      <c r="C181" s="22" t="n">
        <v>-408.191</v>
      </c>
      <c r="E181" s="22" t="n">
        <v>-408.83</v>
      </c>
      <c r="G181" s="22" t="n">
        <v>-409.689</v>
      </c>
      <c r="I181" s="22" t="n">
        <v>-409.689</v>
      </c>
      <c r="K181" s="22" t="n">
        <v>-498.886</v>
      </c>
      <c r="M181" s="22" t="n">
        <v>-498.958</v>
      </c>
      <c r="U181" s="22" t="n">
        <v>-349.873</v>
      </c>
      <c r="V181" s="22" t="n">
        <v>-408.83</v>
      </c>
      <c r="W181" s="22" t="n">
        <v>-409.689</v>
      </c>
      <c r="X181" s="22" t="n">
        <v>-498.958</v>
      </c>
    </row>
    <row r="182">
      <c r="A182" s="20" t="inlineStr">
        <is>
          <t>기타</t>
        </is>
      </c>
      <c r="C182" s="22" t="n">
        <v>-0.442</v>
      </c>
      <c r="E182" s="22" t="n">
        <v>-0.442</v>
      </c>
      <c r="G182" s="22" t="n">
        <v>0</v>
      </c>
      <c r="I182" s="22" t="n">
        <v>0</v>
      </c>
      <c r="K182" s="22" t="n">
        <v>-0.264</v>
      </c>
      <c r="M182" s="22" t="n">
        <v>-1.127</v>
      </c>
      <c r="U182" s="22" t="n">
        <v>-0.884</v>
      </c>
      <c r="V182" s="22" t="n">
        <v>-0.442</v>
      </c>
      <c r="W182" s="22" t="n">
        <v>0</v>
      </c>
      <c r="X182" s="22" t="n">
        <v>-1.127</v>
      </c>
    </row>
    <row r="183">
      <c r="A183" s="9" t="inlineStr">
        <is>
          <t>재무활동 현금흐름</t>
        </is>
      </c>
      <c r="C183" s="12" t="n">
        <v>-408.633</v>
      </c>
      <c r="E183" s="12" t="n">
        <v>-409.272</v>
      </c>
      <c r="G183" s="12" t="n">
        <v>-409.689</v>
      </c>
      <c r="I183" s="12" t="n">
        <v>-409.689</v>
      </c>
      <c r="K183" s="12" t="n">
        <v>-499.15</v>
      </c>
      <c r="M183" s="12" t="n">
        <v>-500.085</v>
      </c>
      <c r="U183" s="12" t="n">
        <v>-350.757</v>
      </c>
      <c r="V183" s="12" t="n">
        <v>-409.272</v>
      </c>
      <c r="W183" s="12" t="n">
        <v>-409.689</v>
      </c>
      <c r="X183" s="12" t="n">
        <v>-500.085</v>
      </c>
    </row>
    <row r="184">
      <c r="A184" s="20" t="inlineStr">
        <is>
          <t>현금성자산 환산차이</t>
        </is>
      </c>
      <c r="C184" s="22" t="n">
        <v>0.953</v>
      </c>
      <c r="E184" s="22" t="n">
        <v>-1.289</v>
      </c>
      <c r="G184" s="22" t="n">
        <v>-11.964</v>
      </c>
      <c r="I184" s="22" t="n">
        <v>-9.989000000000001</v>
      </c>
      <c r="K184" s="22" t="n">
        <v>-6.798</v>
      </c>
      <c r="M184" s="22" t="n">
        <v>-4.916</v>
      </c>
      <c r="U184" s="22" t="n">
        <v>1.158</v>
      </c>
      <c r="V184" s="22" t="n">
        <v>-1.289</v>
      </c>
      <c r="W184" s="22" t="n">
        <v>-9.989000000000001</v>
      </c>
      <c r="X184" s="22" t="n">
        <v>-4.916</v>
      </c>
    </row>
    <row r="185">
      <c r="A185" s="20" t="inlineStr">
        <is>
          <t>현금성자산 증감</t>
        </is>
      </c>
      <c r="C185" s="22" t="n">
        <v>1997.848</v>
      </c>
      <c r="E185" s="22" t="n">
        <v>786.171</v>
      </c>
      <c r="G185" s="22" t="n">
        <v>-1349.436</v>
      </c>
      <c r="I185" s="22" t="n">
        <v>-549.907</v>
      </c>
      <c r="K185" s="22" t="n">
        <v>404.04</v>
      </c>
      <c r="M185" s="22" t="n">
        <v>3096.637</v>
      </c>
      <c r="U185" s="22" t="n">
        <v>-3156.44</v>
      </c>
      <c r="V185" s="22" t="n">
        <v>786.171</v>
      </c>
      <c r="W185" s="22" t="n">
        <v>-549.907</v>
      </c>
      <c r="X185" s="22" t="n">
        <v>3096.637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6797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</row>
    <row r="5">
      <c r="A5" s="9" t="inlineStr">
        <is>
          <t>유동자산</t>
        </is>
      </c>
      <c r="B5" s="10" t="n"/>
      <c r="C5" s="11" t="n">
        <v>17334.858</v>
      </c>
      <c r="D5" s="12" t="n">
        <v>18346.719</v>
      </c>
      <c r="E5" s="12" t="n">
        <v>18149.259</v>
      </c>
      <c r="F5" s="12" t="n">
        <v>19800.849</v>
      </c>
      <c r="G5" s="12" t="n">
        <v>17999.935</v>
      </c>
      <c r="H5" s="11" t="n">
        <v>18033.693</v>
      </c>
      <c r="I5" s="12" t="n">
        <v>18973.72</v>
      </c>
      <c r="J5" s="12" t="n">
        <v>19146.575</v>
      </c>
      <c r="K5" s="12" t="n">
        <v>19800.849</v>
      </c>
    </row>
    <row r="6">
      <c r="A6" s="20" t="inlineStr">
        <is>
          <t>현금및현금성자산</t>
        </is>
      </c>
      <c r="B6" s="10" t="n"/>
      <c r="C6" s="21" t="n">
        <v>5015.178</v>
      </c>
      <c r="D6" s="22" t="n">
        <v>4846.901</v>
      </c>
      <c r="E6" s="22" t="n">
        <v>6970.028</v>
      </c>
      <c r="F6" s="22" t="n">
        <v>7539.499</v>
      </c>
      <c r="G6" s="22" t="n">
        <v>8553.119000000001</v>
      </c>
      <c r="H6" s="21" t="n">
        <v>4206.596</v>
      </c>
      <c r="I6" s="22" t="n">
        <v>4992.768</v>
      </c>
      <c r="J6" s="22" t="n">
        <v>4442.861</v>
      </c>
      <c r="K6" s="22" t="n">
        <v>7539.499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  <c r="J7" s="22" t="n"/>
      <c r="K7" s="22" t="n"/>
    </row>
    <row r="8">
      <c r="A8" s="20" t="inlineStr">
        <is>
          <t>매출채권</t>
        </is>
      </c>
      <c r="B8" s="10" t="n"/>
      <c r="C8" s="21" t="n">
        <v>1008.393</v>
      </c>
      <c r="D8" s="22" t="n">
        <v>2932.223</v>
      </c>
      <c r="E8" s="22" t="n">
        <v>1592.791</v>
      </c>
      <c r="F8" s="22" t="n">
        <v>5952.826</v>
      </c>
      <c r="G8" s="22" t="n">
        <v>1000.17</v>
      </c>
      <c r="H8" s="21" t="n">
        <v>5268.125</v>
      </c>
      <c r="I8" s="22" t="n">
        <v>2855.068</v>
      </c>
      <c r="J8" s="22" t="n">
        <v>4200.608</v>
      </c>
      <c r="K8" s="22" t="n">
        <v>5952.826</v>
      </c>
    </row>
    <row r="9">
      <c r="A9" s="20" t="inlineStr">
        <is>
          <t>재고자산</t>
        </is>
      </c>
      <c r="B9" s="10" t="n"/>
      <c r="C9" s="21" t="n">
        <v>4401.387</v>
      </c>
      <c r="D9" s="22" t="n">
        <v>4407.199</v>
      </c>
      <c r="E9" s="22" t="n">
        <v>4030.145</v>
      </c>
      <c r="F9" s="22" t="n">
        <v>2515.257</v>
      </c>
      <c r="G9" s="22" t="n">
        <v>3100.352</v>
      </c>
      <c r="H9" s="21" t="n">
        <v>3525.122</v>
      </c>
      <c r="I9" s="22" t="n">
        <v>3388.79</v>
      </c>
      <c r="J9" s="22" t="n">
        <v>3311.692</v>
      </c>
      <c r="K9" s="22" t="n">
        <v>2515.257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8451.974</v>
      </c>
      <c r="D11" s="12" t="n">
        <v>8799.712</v>
      </c>
      <c r="E11" s="12" t="n">
        <v>8953.413</v>
      </c>
      <c r="F11" s="12" t="n">
        <v>9436.366</v>
      </c>
      <c r="G11" s="12" t="n">
        <v>9836.119000000001</v>
      </c>
      <c r="H11" s="11" t="n">
        <v>7658.954</v>
      </c>
      <c r="I11" s="12" t="n">
        <v>8267.772000000001</v>
      </c>
      <c r="J11" s="12" t="n">
        <v>8390.913</v>
      </c>
      <c r="K11" s="12" t="n">
        <v>9436.366</v>
      </c>
    </row>
    <row r="12">
      <c r="A12" s="20" t="inlineStr">
        <is>
          <t>유형자산</t>
        </is>
      </c>
      <c r="B12" s="10" t="n"/>
      <c r="C12" s="21" t="n">
        <v>5734.794</v>
      </c>
      <c r="D12" s="22" t="n">
        <v>5643.41</v>
      </c>
      <c r="E12" s="22" t="n">
        <v>5686.483</v>
      </c>
      <c r="F12" s="22" t="n">
        <v>5619.167</v>
      </c>
      <c r="G12" s="22" t="n">
        <v>5558.7</v>
      </c>
      <c r="H12" s="21" t="n">
        <v>5843.668</v>
      </c>
      <c r="I12" s="22" t="n">
        <v>5680.771</v>
      </c>
      <c r="J12" s="22" t="n">
        <v>5739.518</v>
      </c>
      <c r="K12" s="22" t="n">
        <v>5619.167</v>
      </c>
    </row>
    <row r="13">
      <c r="A13" s="20" t="inlineStr">
        <is>
          <t>무형자산</t>
        </is>
      </c>
      <c r="B13" s="10" t="n"/>
      <c r="C13" s="21" t="n">
        <v>105.194</v>
      </c>
      <c r="D13" s="22" t="n">
        <v>106.937</v>
      </c>
      <c r="E13" s="22" t="n">
        <v>126.639</v>
      </c>
      <c r="F13" s="22" t="n">
        <v>158.44</v>
      </c>
      <c r="G13" s="22" t="n">
        <v>155.245</v>
      </c>
      <c r="H13" s="21" t="n">
        <v>108.33</v>
      </c>
      <c r="I13" s="22" t="n">
        <v>96.23999999999999</v>
      </c>
      <c r="J13" s="22" t="n">
        <v>110.986</v>
      </c>
      <c r="K13" s="22" t="n">
        <v>158.44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25786.833</v>
      </c>
      <c r="D16" s="12" t="n">
        <v>27146.432</v>
      </c>
      <c r="E16" s="12" t="n">
        <v>27102.673</v>
      </c>
      <c r="F16" s="12" t="n">
        <v>29237.215</v>
      </c>
      <c r="G16" s="12" t="n">
        <v>27836.055</v>
      </c>
      <c r="H16" s="11" t="n">
        <v>25692.648</v>
      </c>
      <c r="I16" s="12" t="n">
        <v>27241.492</v>
      </c>
      <c r="J16" s="12" t="n">
        <v>27537.488</v>
      </c>
      <c r="K16" s="12" t="n">
        <v>29237.215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</row>
    <row r="18">
      <c r="A18" s="9" t="inlineStr">
        <is>
          <t>유동부채</t>
        </is>
      </c>
      <c r="B18" s="10" t="n"/>
      <c r="C18" s="11" t="n">
        <v>3762.473</v>
      </c>
      <c r="D18" s="12" t="n">
        <v>4467.202</v>
      </c>
      <c r="E18" s="12" t="n">
        <v>3988.771</v>
      </c>
      <c r="F18" s="12" t="n">
        <v>4664.485</v>
      </c>
      <c r="G18" s="12" t="n">
        <v>3649.965</v>
      </c>
      <c r="H18" s="11" t="n">
        <v>6463.68</v>
      </c>
      <c r="I18" s="12" t="n">
        <v>6032.769</v>
      </c>
      <c r="J18" s="12" t="n">
        <v>4881.443</v>
      </c>
      <c r="K18" s="12" t="n">
        <v>4664.485</v>
      </c>
    </row>
    <row r="19">
      <c r="A19" s="20" t="inlineStr">
        <is>
          <t>매입채무</t>
        </is>
      </c>
      <c r="B19" s="10" t="n"/>
      <c r="C19" s="21" t="n">
        <v>210.539</v>
      </c>
      <c r="D19" s="22" t="n">
        <v>308.306</v>
      </c>
      <c r="E19" s="22" t="n">
        <v>397.395</v>
      </c>
      <c r="F19" s="22" t="n">
        <v>786.6420000000001</v>
      </c>
      <c r="G19" s="22" t="n">
        <v>302.685</v>
      </c>
      <c r="H19" s="21" t="n">
        <v>463.648</v>
      </c>
      <c r="I19" s="22" t="n">
        <v>670.292</v>
      </c>
      <c r="J19" s="22" t="n">
        <v>487.033</v>
      </c>
      <c r="K19" s="22" t="n">
        <v>786.6420000000001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230.657</v>
      </c>
      <c r="D23" s="12" t="n">
        <v>399.032</v>
      </c>
      <c r="E23" s="12" t="n">
        <v>514.841</v>
      </c>
      <c r="F23" s="12" t="n">
        <v>581.765</v>
      </c>
      <c r="G23" s="12" t="n">
        <v>603.929</v>
      </c>
      <c r="H23" s="11" t="n">
        <v>238.901</v>
      </c>
      <c r="I23" s="12" t="n">
        <v>446.82</v>
      </c>
      <c r="J23" s="12" t="n">
        <v>256.501</v>
      </c>
      <c r="K23" s="12" t="n">
        <v>581.765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3993.13</v>
      </c>
      <c r="D27" s="12" t="n">
        <v>4866.235</v>
      </c>
      <c r="E27" s="12" t="n">
        <v>4503.612</v>
      </c>
      <c r="F27" s="12" t="n">
        <v>5246.25</v>
      </c>
      <c r="G27" s="12" t="n">
        <v>4253.895</v>
      </c>
      <c r="H27" s="11" t="n">
        <v>6702.582</v>
      </c>
      <c r="I27" s="12" t="n">
        <v>6479.589</v>
      </c>
      <c r="J27" s="12" t="n">
        <v>5137.944</v>
      </c>
      <c r="K27" s="12" t="n">
        <v>5246.25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</row>
    <row r="31">
      <c r="A31" s="9" t="inlineStr">
        <is>
          <t>지배주주지분</t>
        </is>
      </c>
      <c r="B31" s="10" t="n"/>
      <c r="C31" s="11" t="n">
        <v>21793.702</v>
      </c>
      <c r="D31" s="12" t="n">
        <v>22280.196</v>
      </c>
      <c r="E31" s="12" t="n">
        <v>22599.06</v>
      </c>
      <c r="F31" s="12" t="n">
        <v>23990.965</v>
      </c>
      <c r="G31" s="12" t="n">
        <v>23582.16</v>
      </c>
      <c r="H31" s="11" t="n">
        <v>18990.066</v>
      </c>
      <c r="I31" s="12" t="n">
        <v>20761.902</v>
      </c>
      <c r="J31" s="12" t="n">
        <v>22399.544</v>
      </c>
      <c r="K31" s="12" t="n">
        <v>23990.965</v>
      </c>
    </row>
    <row r="32">
      <c r="A32" s="20" t="inlineStr">
        <is>
          <t>자본금</t>
        </is>
      </c>
      <c r="B32" s="10" t="n"/>
      <c r="C32" s="21" t="n">
        <v>1184.975</v>
      </c>
      <c r="D32" s="22" t="n">
        <v>1184.975</v>
      </c>
      <c r="E32" s="22" t="n">
        <v>1184.975</v>
      </c>
      <c r="F32" s="22" t="n">
        <v>1184.975</v>
      </c>
      <c r="G32" s="22" t="n">
        <v>1184.975</v>
      </c>
      <c r="H32" s="21" t="n">
        <v>1184.975</v>
      </c>
      <c r="I32" s="22" t="n">
        <v>1184.975</v>
      </c>
      <c r="J32" s="22" t="n">
        <v>1184.975</v>
      </c>
      <c r="K32" s="22" t="n">
        <v>1184.975</v>
      </c>
    </row>
    <row r="33">
      <c r="A33" s="20" t="inlineStr">
        <is>
          <t>이익잉여금</t>
        </is>
      </c>
      <c r="B33" s="10" t="n"/>
      <c r="C33" s="21" t="n">
        <v>19169.648</v>
      </c>
      <c r="D33" s="22" t="n">
        <v>19529.601</v>
      </c>
      <c r="E33" s="22" t="n">
        <v>19791.256</v>
      </c>
      <c r="F33" s="22" t="n">
        <v>20826.802</v>
      </c>
      <c r="G33" s="22" t="n">
        <v>20285.325</v>
      </c>
      <c r="H33" s="21" t="n">
        <v>16739.31</v>
      </c>
      <c r="I33" s="22" t="n">
        <v>18010.566</v>
      </c>
      <c r="J33" s="22" t="n">
        <v>19807.135</v>
      </c>
      <c r="K33" s="22" t="n">
        <v>20826.802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</row>
    <row r="35">
      <c r="A35" s="9" t="inlineStr">
        <is>
          <t>자본총계</t>
        </is>
      </c>
      <c r="B35" s="10" t="n"/>
      <c r="C35" s="11" t="n">
        <v>21793.702</v>
      </c>
      <c r="D35" s="12" t="n">
        <v>22280.196</v>
      </c>
      <c r="E35" s="12" t="n">
        <v>22599.06</v>
      </c>
      <c r="F35" s="12" t="n">
        <v>23990.965</v>
      </c>
      <c r="G35" s="12" t="n">
        <v>23582.16</v>
      </c>
      <c r="H35" s="11" t="n">
        <v>18990.066</v>
      </c>
      <c r="I35" s="12" t="n">
        <v>20761.902</v>
      </c>
      <c r="J35" s="12" t="n">
        <v>22399.544</v>
      </c>
      <c r="K35" s="12" t="n">
        <v>23990.965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</row>
    <row r="37">
      <c r="A37" s="9" t="inlineStr">
        <is>
          <t>영업활동현금흐름</t>
        </is>
      </c>
      <c r="B37" s="10" t="n"/>
      <c r="C37" s="11" t="n"/>
      <c r="D37" s="12" t="n">
        <v>2102.289</v>
      </c>
      <c r="E37" s="12" t="n"/>
      <c r="F37" s="12" t="n">
        <v>3872.038</v>
      </c>
      <c r="G37" s="12" t="n"/>
      <c r="H37" s="11" t="n">
        <v>616.956</v>
      </c>
      <c r="I37" s="12" t="n">
        <v>1410.295</v>
      </c>
      <c r="J37" s="12" t="n">
        <v>433.41</v>
      </c>
      <c r="K37" s="12" t="n">
        <v>3872.038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>
        <v>439.018</v>
      </c>
      <c r="E38" s="22" t="n"/>
      <c r="F38" s="22" t="n">
        <v>359.796</v>
      </c>
      <c r="G38" s="22" t="n"/>
      <c r="H38" s="21" t="n">
        <v>3775.478</v>
      </c>
      <c r="I38" s="22" t="n">
        <v>211.89</v>
      </c>
      <c r="J38" s="22" t="n">
        <v>457.654</v>
      </c>
      <c r="K38" s="22" t="n">
        <v>359.796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>
        <v>498.886</v>
      </c>
      <c r="E40" s="22" t="n"/>
      <c r="F40" s="22" t="n">
        <v>498.958</v>
      </c>
      <c r="G40" s="22" t="n"/>
      <c r="H40" s="21" t="n">
        <v>349.873</v>
      </c>
      <c r="I40" s="22" t="n">
        <v>408.83</v>
      </c>
      <c r="J40" s="22" t="n">
        <v>409.689</v>
      </c>
      <c r="K40" s="22" t="n">
        <v>498.958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IFERROR(('연간'!U19)/('연간'!U41),"")</f>
        <v/>
      </c>
      <c r="I48" s="33">
        <f>IFERROR(('연간'!V19)/('연간'!V41),"")</f>
        <v/>
      </c>
      <c r="J48" s="33">
        <f>IFERROR(('연간'!W19)/('연간'!W41),"")</f>
        <v/>
      </c>
      <c r="K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IFERROR(IF(('연간'!U49)&lt;=0,"적자",H28/('연간'!U49)),"")</f>
        <v/>
      </c>
      <c r="I49" s="49">
        <f>IFERROR(IF(('연간'!V49)&lt;=0,"적자",I28/('연간'!V49)),"")</f>
        <v/>
      </c>
      <c r="J49" s="49">
        <f>IFERROR(IF(('연간'!W49)&lt;=0,"적자",J28/('연간'!W49)),"")</f>
        <v/>
      </c>
      <c r="K49" s="49">
        <f>IFERROR(IF(('연간'!X49)&lt;=0,"적자",K28/('연간'!X49)),"")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IFERROR(('연간'!U49)/H31,"")</f>
        <v/>
      </c>
      <c r="I51" s="38">
        <f>IFERROR(('연간'!V49)/I31,"")</f>
        <v/>
      </c>
      <c r="J51" s="38">
        <f>IFERROR(('연간'!W49)/J31,"")</f>
        <v/>
      </c>
      <c r="K51" s="38">
        <f>IFERROR(('연간'!X49)/K31,"")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IFERROR(('연간'!U47)/H16,"")</f>
        <v/>
      </c>
      <c r="I52" s="38">
        <f>IFERROR(('연간'!V47)/I16,"")</f>
        <v/>
      </c>
      <c r="J52" s="38">
        <f>IFERROR(('연간'!W47)/J16,"")</f>
        <v/>
      </c>
      <c r="K52" s="38">
        <f>IFERROR(('연간'!X47)/K16,"")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IFERROR(('연간'!U19)*(1-0.3)/(H35+H29),"")</f>
        <v/>
      </c>
      <c r="I53" s="38">
        <f>IFERROR(('연간'!V19)*(1-0.3)/(I35+I29),"")</f>
        <v/>
      </c>
      <c r="J53" s="38">
        <f>IFERROR(('연간'!W19)*(1-0.3)/(J35+J29),"")</f>
        <v/>
      </c>
      <c r="K53" s="38">
        <f>IFERROR(('연간'!X19)*(1-0.3)/(K35+K29),"")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IFERROR(('연간'!U13)/('연간'!U4),"")</f>
        <v/>
      </c>
      <c r="I54" s="38">
        <f>IFERROR(('연간'!V13)/('연간'!V4),"")</f>
        <v/>
      </c>
      <c r="J54" s="38">
        <f>IFERROR(('연간'!W13)/('연간'!W4),"")</f>
        <v/>
      </c>
      <c r="K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IFERROR(('연간'!U19)/('연간'!U4),"")</f>
        <v/>
      </c>
      <c r="I55" s="38">
        <f>IFERROR(('연간'!V19)/('연간'!V4),"")</f>
        <v/>
      </c>
      <c r="J55" s="38">
        <f>IFERROR(('연간'!W19)/('연간'!W4),"")</f>
        <v/>
      </c>
      <c r="K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IFERROR(('연간'!U47)/('연간'!U4),"")</f>
        <v/>
      </c>
      <c r="I56" s="38">
        <f>IFERROR(('연간'!V47)/('연간'!V4),"")</f>
        <v/>
      </c>
      <c r="J56" s="38">
        <f>IFERROR(('연간'!W47)/('연간'!W4),"")</f>
        <v/>
      </c>
      <c r="K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IFERROR(('연간'!U4)/H16,"")</f>
        <v/>
      </c>
      <c r="I58" s="33">
        <f>IFERROR(('연간'!V4)/I16,"")</f>
        <v/>
      </c>
      <c r="J58" s="33">
        <f>IFERROR(('연간'!W4)/J16,"")</f>
        <v/>
      </c>
      <c r="K58" s="33">
        <f>IFERROR(('연간'!X4)/K16,"")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IFERROR(H8/('연간'!U4)*365,"")</f>
        <v/>
      </c>
      <c r="I59" s="51">
        <f>IFERROR(I8/('연간'!V4)*365,"")</f>
        <v/>
      </c>
      <c r="J59" s="51">
        <f>IFERROR(J8/('연간'!W4)*365,"")</f>
        <v/>
      </c>
      <c r="K59" s="51">
        <f>IFERROR(K8/('연간'!X4)*365,"")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IFERROR(H9/('연간'!U11)*365,"")</f>
        <v/>
      </c>
      <c r="I60" s="51">
        <f>IFERROR(I9/('연간'!V11)*365,"")</f>
        <v/>
      </c>
      <c r="J60" s="51">
        <f>IFERROR(J9/('연간'!W11)*365,"")</f>
        <v/>
      </c>
      <c r="K60" s="51">
        <f>IFERROR(K9/('연간'!X11)*365,"")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IFERROR(H19/('연간'!U11)*365,"")</f>
        <v/>
      </c>
      <c r="I61" s="51">
        <f>IFERROR(I19/('연간'!V11)*365,"")</f>
        <v/>
      </c>
      <c r="J61" s="51">
        <f>IFERROR(J19/('연간'!W11)*365,"")</f>
        <v/>
      </c>
      <c r="K61" s="51">
        <f>IFERROR(K19/('연간'!X11)*365,"")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IF(H37="","",IFERROR(H37/('연간'!U47),""))</f>
        <v/>
      </c>
      <c r="I64" s="33">
        <f>IF(I37="","",IFERROR(I37/('연간'!V47),""))</f>
        <v/>
      </c>
      <c r="J64" s="33">
        <f>IF(J37="","",IFERROR(J37/('연간'!W47),""))</f>
        <v/>
      </c>
      <c r="K64" s="33">
        <f>IF(K37="","",IFERROR(K37/('연간'!X47),""))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IF(H39="","",IFERROR(H39/('연간'!U4),""))</f>
        <v/>
      </c>
      <c r="I65" s="38">
        <f>IF(I39="","",IFERROR(I39/('연간'!V4),""))</f>
        <v/>
      </c>
      <c r="J65" s="38">
        <f>IF(J39="","",IFERROR(J39/('연간'!W4),""))</f>
        <v/>
      </c>
      <c r="K65" s="38">
        <f>IF(K39="","",IFERROR(K39/('연간'!X4),""))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IF(H38="","",IFERROR(H38/('연간'!U4),""))</f>
        <v/>
      </c>
      <c r="I66" s="38">
        <f>IF(I38="","",IFERROR(I38/('연간'!V4),""))</f>
        <v/>
      </c>
      <c r="J66" s="38">
        <f>IF(J38="","",IFERROR(J38/('연간'!W4),""))</f>
        <v/>
      </c>
      <c r="K66" s="38">
        <f>IF(K38="","",IFERROR(K38/('연간'!X4),""))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IF(H40="","",IFERROR(H40/('연간'!U49),""))</f>
        <v/>
      </c>
      <c r="I67" s="38">
        <f>IF(I40="","",IFERROR(I40/('연간'!V49),""))</f>
        <v/>
      </c>
      <c r="J67" s="38">
        <f>IF(J40="","",IFERROR(J40/('연간'!W49),""))</f>
        <v/>
      </c>
      <c r="K67" s="38">
        <f>IF(K40="","",IFERROR(K40/('연간'!X49),""))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20" t="inlineStr">
        <is>
          <t>현금 및 예금</t>
        </is>
      </c>
      <c r="C71" s="22" t="n">
        <v>5015.178</v>
      </c>
      <c r="D71" s="22" t="n">
        <v>4846.901</v>
      </c>
      <c r="E71" s="22" t="n">
        <v>6970.028</v>
      </c>
      <c r="F71" s="22" t="n">
        <v>7539.499</v>
      </c>
      <c r="G71" s="22" t="n">
        <v>8553.119000000001</v>
      </c>
      <c r="H71" s="22" t="n">
        <v>4206.596</v>
      </c>
      <c r="I71" s="22" t="n">
        <v>4992.768</v>
      </c>
      <c r="J71" s="22" t="n">
        <v>4442.861</v>
      </c>
      <c r="K71" s="22" t="n">
        <v>7539.499</v>
      </c>
    </row>
    <row r="72">
      <c r="A72" s="20" t="inlineStr">
        <is>
          <t>받을어음</t>
        </is>
      </c>
      <c r="C72" s="22" t="n">
        <v>275.629</v>
      </c>
      <c r="D72" s="22" t="n">
        <v>69.151</v>
      </c>
      <c r="E72" s="22" t="n">
        <v>146.329</v>
      </c>
      <c r="F72" s="22" t="n">
        <v>26.344</v>
      </c>
      <c r="G72" s="22" t="n">
        <v>18.201</v>
      </c>
      <c r="H72" s="22" t="n">
        <v>86.249</v>
      </c>
      <c r="I72" s="22" t="n">
        <v>178.332</v>
      </c>
      <c r="J72" s="22" t="n">
        <v>141.448</v>
      </c>
      <c r="K72" s="22" t="n">
        <v>26.344</v>
      </c>
    </row>
    <row r="73">
      <c r="A73" s="20" t="inlineStr">
        <is>
          <t>전자기록채권</t>
        </is>
      </c>
      <c r="C73" s="22" t="n">
        <v>531.884</v>
      </c>
      <c r="D73" s="22" t="n">
        <v>577.598</v>
      </c>
      <c r="E73" s="22" t="n">
        <v>740.478</v>
      </c>
      <c r="F73" s="22" t="n">
        <v>594.295</v>
      </c>
      <c r="G73" s="22" t="n">
        <v>887.338</v>
      </c>
      <c r="H73" s="22" t="n">
        <v>801.702</v>
      </c>
      <c r="I73" s="22" t="n">
        <v>1024.697</v>
      </c>
      <c r="J73" s="22" t="n">
        <v>853.022</v>
      </c>
      <c r="K73" s="22" t="n">
        <v>594.295</v>
      </c>
    </row>
    <row r="74">
      <c r="A74" s="20" t="inlineStr">
        <is>
          <t>매출채권</t>
        </is>
      </c>
      <c r="C74" s="22" t="n">
        <v>1008.393</v>
      </c>
      <c r="D74" s="22" t="n">
        <v>2932.223</v>
      </c>
      <c r="E74" s="22" t="n">
        <v>1592.791</v>
      </c>
      <c r="F74" s="22" t="n">
        <v>5952.826</v>
      </c>
      <c r="G74" s="22" t="n">
        <v>1000.17</v>
      </c>
      <c r="H74" s="22" t="n">
        <v>5268.125</v>
      </c>
      <c r="I74" s="22" t="n">
        <v>2855.068</v>
      </c>
      <c r="J74" s="22" t="n">
        <v>4200.608</v>
      </c>
      <c r="K74" s="22" t="n">
        <v>5952.826</v>
      </c>
    </row>
    <row r="75">
      <c r="A75" s="20" t="inlineStr">
        <is>
          <t>계약자산</t>
        </is>
      </c>
      <c r="C75" s="22" t="n">
        <v>5761.919</v>
      </c>
      <c r="D75" s="22" t="n">
        <v>5337.442</v>
      </c>
      <c r="E75" s="22" t="n">
        <v>4230.497</v>
      </c>
      <c r="F75" s="22" t="n">
        <v>3104.555</v>
      </c>
      <c r="G75" s="22" t="n">
        <v>4199.921</v>
      </c>
      <c r="H75" s="22" t="n">
        <v>3628.751</v>
      </c>
      <c r="I75" s="22" t="n">
        <v>6278.388</v>
      </c>
      <c r="J75" s="22" t="n">
        <v>6014.215</v>
      </c>
      <c r="K75" s="22" t="n">
        <v>3104.555</v>
      </c>
    </row>
    <row r="76">
      <c r="A76" s="20" t="inlineStr">
        <is>
          <t>상품·제품</t>
        </is>
      </c>
      <c r="C76" s="22" t="n">
        <v>120.106</v>
      </c>
      <c r="D76" s="22" t="n">
        <v>79.47499999999999</v>
      </c>
      <c r="E76" s="22" t="n">
        <v>73.117</v>
      </c>
      <c r="F76" s="22" t="n">
        <v>58.187</v>
      </c>
      <c r="G76" s="22" t="n">
        <v>80.931</v>
      </c>
      <c r="H76" s="22" t="n">
        <v>79.517</v>
      </c>
      <c r="I76" s="22" t="n">
        <v>84.699</v>
      </c>
      <c r="J76" s="22" t="n">
        <v>116.544</v>
      </c>
      <c r="K76" s="22" t="n">
        <v>58.187</v>
      </c>
    </row>
    <row r="77">
      <c r="A77" s="20" t="inlineStr">
        <is>
          <t>재공품</t>
        </is>
      </c>
      <c r="C77" s="22" t="n">
        <v>3371.38</v>
      </c>
      <c r="D77" s="22" t="n">
        <v>3515.858</v>
      </c>
      <c r="E77" s="22" t="n">
        <v>3145.281</v>
      </c>
      <c r="F77" s="22" t="n">
        <v>1659.916</v>
      </c>
      <c r="G77" s="22" t="n">
        <v>2237.676</v>
      </c>
      <c r="H77" s="22" t="n">
        <v>1949.437</v>
      </c>
      <c r="I77" s="22" t="n">
        <v>2057.142</v>
      </c>
      <c r="J77" s="22" t="n">
        <v>2324.153</v>
      </c>
      <c r="K77" s="22" t="n">
        <v>1659.916</v>
      </c>
    </row>
    <row r="78">
      <c r="A78" s="20" t="inlineStr">
        <is>
          <t>원재료·저장품</t>
        </is>
      </c>
      <c r="C78" s="22" t="n">
        <v>909.901</v>
      </c>
      <c r="D78" s="22" t="n">
        <v>811.866</v>
      </c>
      <c r="E78" s="22" t="n">
        <v>811.747</v>
      </c>
      <c r="F78" s="22" t="n">
        <v>797.154</v>
      </c>
      <c r="G78" s="22" t="n">
        <v>781.745</v>
      </c>
      <c r="H78" s="22" t="n">
        <v>1496.168</v>
      </c>
      <c r="I78" s="22" t="n">
        <v>1246.949</v>
      </c>
      <c r="J78" s="22" t="n">
        <v>870.995</v>
      </c>
      <c r="K78" s="22" t="n">
        <v>797.154</v>
      </c>
    </row>
    <row r="79">
      <c r="A79" s="20" t="inlineStr">
        <is>
          <t>기타</t>
        </is>
      </c>
      <c r="C79" s="22" t="n">
        <v>340.824</v>
      </c>
      <c r="D79" s="22" t="n">
        <v>176.522</v>
      </c>
      <c r="E79" s="22" t="n">
        <v>439.19</v>
      </c>
      <c r="F79" s="22" t="n">
        <v>138.112</v>
      </c>
      <c r="G79" s="22" t="n">
        <v>311.377</v>
      </c>
      <c r="H79" s="22" t="n">
        <v>517.758</v>
      </c>
      <c r="I79" s="22" t="n">
        <v>262.985</v>
      </c>
      <c r="J79" s="22" t="n">
        <v>183.39</v>
      </c>
      <c r="K79" s="22" t="n">
        <v>138.112</v>
      </c>
    </row>
    <row r="80">
      <c r="A80" s="20" t="inlineStr">
        <is>
          <t>대손충당금</t>
        </is>
      </c>
      <c r="C80" s="22" t="n">
        <v>-0.36</v>
      </c>
      <c r="D80" s="22" t="n">
        <v>-0.322</v>
      </c>
      <c r="E80" s="22" t="n">
        <v>-0.205</v>
      </c>
      <c r="F80" s="22" t="n">
        <v>-70.042</v>
      </c>
      <c r="G80" s="22" t="n">
        <v>-70.54600000000001</v>
      </c>
      <c r="H80" s="22" t="n">
        <v>-0.615</v>
      </c>
      <c r="I80" s="22" t="n">
        <v>-7.313</v>
      </c>
      <c r="J80" s="22" t="n">
        <v>-0.664</v>
      </c>
      <c r="K80" s="22" t="n">
        <v>-70.042</v>
      </c>
    </row>
    <row r="81">
      <c r="A81" s="9" t="inlineStr">
        <is>
          <t>유동자산 합계</t>
        </is>
      </c>
      <c r="C81" s="12" t="n">
        <v>17334.858</v>
      </c>
      <c r="D81" s="12" t="n">
        <v>18346.719</v>
      </c>
      <c r="E81" s="12" t="n">
        <v>18149.259</v>
      </c>
      <c r="F81" s="12" t="n">
        <v>19800.849</v>
      </c>
      <c r="G81" s="12" t="n">
        <v>17999.935</v>
      </c>
      <c r="H81" s="12" t="n">
        <v>18033.693</v>
      </c>
      <c r="I81" s="12" t="n">
        <v>18973.72</v>
      </c>
      <c r="J81" s="12" t="n">
        <v>19146.575</v>
      </c>
      <c r="K81" s="12" t="n">
        <v>19800.849</v>
      </c>
    </row>
    <row r="82">
      <c r="A82" s="20" t="inlineStr">
        <is>
          <t>건물·구축물</t>
        </is>
      </c>
      <c r="F82" s="22" t="n">
        <v>6233.44</v>
      </c>
      <c r="H82" s="22" t="n">
        <v>6168.292</v>
      </c>
      <c r="I82" s="22" t="n">
        <v>6144.161</v>
      </c>
      <c r="J82" s="22" t="n">
        <v>6263.401</v>
      </c>
      <c r="K82" s="22" t="n">
        <v>6233.44</v>
      </c>
    </row>
    <row r="83">
      <c r="A83" s="20" t="inlineStr">
        <is>
          <t>감가상각누계액</t>
        </is>
      </c>
      <c r="F83" s="22" t="n">
        <v>-2768.292</v>
      </c>
      <c r="H83" s="22" t="n">
        <v>-2375.148</v>
      </c>
      <c r="I83" s="22" t="n">
        <v>-2488.053</v>
      </c>
      <c r="J83" s="22" t="n">
        <v>-2650.351</v>
      </c>
      <c r="K83" s="22" t="n">
        <v>-2768.292</v>
      </c>
    </row>
    <row r="84">
      <c r="A84" s="20" t="inlineStr">
        <is>
          <t>건물·구축물(순액)</t>
        </is>
      </c>
      <c r="C84" s="22" t="n">
        <v>3595.368</v>
      </c>
      <c r="D84" s="22" t="n">
        <v>3544.228</v>
      </c>
      <c r="E84" s="22" t="n">
        <v>3515.883</v>
      </c>
      <c r="F84" s="22" t="n">
        <v>3465.148</v>
      </c>
      <c r="G84" s="22" t="n">
        <v>3414.772</v>
      </c>
      <c r="H84" s="22" t="n">
        <v>3793.143</v>
      </c>
      <c r="I84" s="22" t="n">
        <v>3656.108</v>
      </c>
      <c r="J84" s="22" t="n">
        <v>3613.049</v>
      </c>
      <c r="K84" s="22" t="n">
        <v>3465.148</v>
      </c>
    </row>
    <row r="85">
      <c r="A85" s="20" t="inlineStr">
        <is>
          <t>기계장치·운반구</t>
        </is>
      </c>
      <c r="F85" s="22" t="n">
        <v>603.739</v>
      </c>
      <c r="H85" s="22" t="n">
        <v>624.008</v>
      </c>
      <c r="I85" s="22" t="n">
        <v>622.002</v>
      </c>
      <c r="J85" s="22" t="n">
        <v>609.304</v>
      </c>
      <c r="K85" s="22" t="n">
        <v>603.739</v>
      </c>
    </row>
    <row r="86">
      <c r="A86" s="20" t="inlineStr">
        <is>
          <t>감가상각누계액</t>
        </is>
      </c>
      <c r="F86" s="22" t="n">
        <v>-552.294</v>
      </c>
      <c r="H86" s="22" t="n">
        <v>-549.479</v>
      </c>
      <c r="I86" s="22" t="n">
        <v>-551.405</v>
      </c>
      <c r="J86" s="22" t="n">
        <v>-551.759</v>
      </c>
      <c r="K86" s="22" t="n">
        <v>-552.294</v>
      </c>
    </row>
    <row r="87">
      <c r="A87" s="20" t="inlineStr">
        <is>
          <t>기계장치·운반구(순액)</t>
        </is>
      </c>
      <c r="F87" s="22" t="n">
        <v>51.445</v>
      </c>
      <c r="H87" s="22" t="n">
        <v>74.529</v>
      </c>
      <c r="I87" s="22" t="n">
        <v>70.596</v>
      </c>
      <c r="J87" s="22" t="n">
        <v>57.544</v>
      </c>
      <c r="K87" s="22" t="n">
        <v>51.445</v>
      </c>
    </row>
    <row r="88">
      <c r="A88" s="20" t="inlineStr">
        <is>
          <t>토지</t>
        </is>
      </c>
      <c r="C88" s="22" t="n">
        <v>1818.292</v>
      </c>
      <c r="D88" s="22" t="n">
        <v>1783.776</v>
      </c>
      <c r="E88" s="22" t="n">
        <v>1850.18</v>
      </c>
      <c r="F88" s="22" t="n">
        <v>1850.18</v>
      </c>
      <c r="G88" s="22" t="n">
        <v>1850.18</v>
      </c>
      <c r="H88" s="22" t="n">
        <v>1679.436</v>
      </c>
      <c r="I88" s="22" t="n">
        <v>1748.513</v>
      </c>
      <c r="J88" s="22" t="n">
        <v>1796.416</v>
      </c>
      <c r="K88" s="22" t="n">
        <v>1850.18</v>
      </c>
    </row>
    <row r="89">
      <c r="A89" s="20" t="inlineStr">
        <is>
          <t>리스자산</t>
        </is>
      </c>
      <c r="F89" s="22" t="n">
        <v>10.07</v>
      </c>
      <c r="H89" s="22" t="n">
        <v>7.236</v>
      </c>
      <c r="I89" s="22" t="n">
        <v>0</v>
      </c>
      <c r="J89" s="22" t="n">
        <v>0</v>
      </c>
      <c r="K89" s="22" t="n">
        <v>10.07</v>
      </c>
    </row>
    <row r="90">
      <c r="A90" s="20" t="inlineStr">
        <is>
          <t>감가상각누계액</t>
        </is>
      </c>
      <c r="F90" s="22" t="n">
        <v>-1.025</v>
      </c>
      <c r="H90" s="22" t="n">
        <v>-6.834</v>
      </c>
      <c r="I90" s="22" t="n">
        <v>0</v>
      </c>
      <c r="J90" s="22" t="n">
        <v>0</v>
      </c>
      <c r="K90" s="22" t="n">
        <v>-1.025</v>
      </c>
    </row>
    <row r="91">
      <c r="A91" s="20" t="inlineStr">
        <is>
          <t>리스자산(순액)</t>
        </is>
      </c>
      <c r="F91" s="22" t="n">
        <v>9.045</v>
      </c>
      <c r="H91" s="22" t="n">
        <v>0.402</v>
      </c>
      <c r="I91" s="22" t="n">
        <v>0</v>
      </c>
      <c r="J91" s="22" t="n">
        <v>0</v>
      </c>
      <c r="K91" s="22" t="n">
        <v>9.045</v>
      </c>
    </row>
    <row r="92">
      <c r="A92" s="20" t="inlineStr">
        <is>
          <t>기타</t>
        </is>
      </c>
      <c r="F92" s="22" t="n">
        <v>1294.297</v>
      </c>
      <c r="H92" s="22" t="n">
        <v>1382.642</v>
      </c>
      <c r="I92" s="22" t="n">
        <v>1286.985</v>
      </c>
      <c r="J92" s="22" t="n">
        <v>1386.437</v>
      </c>
      <c r="K92" s="22" t="n">
        <v>1294.297</v>
      </c>
    </row>
    <row r="93">
      <c r="A93" s="20" t="inlineStr">
        <is>
          <t>감가상각누계액</t>
        </is>
      </c>
      <c r="F93" s="22" t="n">
        <v>-1050.95</v>
      </c>
      <c r="H93" s="22" t="n">
        <v>-1086.486</v>
      </c>
      <c r="I93" s="22" t="n">
        <v>-1081.432</v>
      </c>
      <c r="J93" s="22" t="n">
        <v>-1113.93</v>
      </c>
      <c r="K93" s="22" t="n">
        <v>-1050.95</v>
      </c>
    </row>
    <row r="94">
      <c r="A94" s="20" t="inlineStr">
        <is>
          <t>기타(순액)</t>
        </is>
      </c>
      <c r="C94" s="22" t="n">
        <v>321.134</v>
      </c>
      <c r="D94" s="22" t="n">
        <v>315.405</v>
      </c>
      <c r="E94" s="22" t="n">
        <v>320.419</v>
      </c>
      <c r="F94" s="22" t="n">
        <v>303.838</v>
      </c>
      <c r="G94" s="22" t="n">
        <v>293.746</v>
      </c>
      <c r="H94" s="22" t="n">
        <v>296.156</v>
      </c>
      <c r="I94" s="22" t="n">
        <v>205.553</v>
      </c>
      <c r="J94" s="22" t="n">
        <v>272.507</v>
      </c>
      <c r="K94" s="22" t="n">
        <v>303.838</v>
      </c>
    </row>
    <row r="95">
      <c r="A95" s="20" t="inlineStr">
        <is>
          <t>유형자산 합계</t>
        </is>
      </c>
      <c r="C95" s="22" t="n">
        <v>5734.794</v>
      </c>
      <c r="D95" s="22" t="n">
        <v>5643.41</v>
      </c>
      <c r="E95" s="22" t="n">
        <v>5686.483</v>
      </c>
      <c r="F95" s="22" t="n">
        <v>5619.167</v>
      </c>
      <c r="G95" s="22" t="n">
        <v>5558.7</v>
      </c>
      <c r="H95" s="22" t="n">
        <v>5843.668</v>
      </c>
      <c r="I95" s="22" t="n">
        <v>5680.771</v>
      </c>
      <c r="J95" s="22" t="n">
        <v>5739.518</v>
      </c>
      <c r="K95" s="22" t="n">
        <v>5619.167</v>
      </c>
    </row>
    <row r="96">
      <c r="A96" s="20" t="inlineStr">
        <is>
          <t>영업권</t>
        </is>
      </c>
      <c r="H96" s="22" t="n">
        <v>19.267</v>
      </c>
      <c r="I96" s="22" t="n">
        <v>0</v>
      </c>
    </row>
    <row r="97">
      <c r="A97" s="20" t="inlineStr">
        <is>
          <t>기타</t>
        </is>
      </c>
      <c r="H97" s="22" t="n">
        <v>89.063</v>
      </c>
      <c r="I97" s="22" t="n">
        <v>96.23999999999999</v>
      </c>
    </row>
    <row r="98">
      <c r="A98" s="20" t="inlineStr">
        <is>
          <t>무형자산</t>
        </is>
      </c>
      <c r="C98" s="22" t="n">
        <v>105.194</v>
      </c>
      <c r="D98" s="22" t="n">
        <v>106.937</v>
      </c>
      <c r="E98" s="22" t="n">
        <v>126.639</v>
      </c>
      <c r="F98" s="22" t="n">
        <v>158.44</v>
      </c>
      <c r="G98" s="22" t="n">
        <v>155.245</v>
      </c>
      <c r="H98" s="22" t="n">
        <v>108.33</v>
      </c>
      <c r="I98" s="22" t="n">
        <v>96.23999999999999</v>
      </c>
      <c r="J98" s="22" t="n">
        <v>110.986</v>
      </c>
      <c r="K98" s="22" t="n">
        <v>158.44</v>
      </c>
    </row>
    <row r="99">
      <c r="A99" s="20" t="inlineStr">
        <is>
          <t>투자유가증권</t>
        </is>
      </c>
      <c r="C99" s="22" t="n">
        <v>1190.429</v>
      </c>
      <c r="D99" s="22" t="n">
        <v>1624.292</v>
      </c>
      <c r="E99" s="22" t="n">
        <v>1718.678</v>
      </c>
      <c r="F99" s="22" t="n">
        <v>1775.401</v>
      </c>
      <c r="G99" s="22" t="n">
        <v>2237.262</v>
      </c>
      <c r="H99" s="22" t="n">
        <v>909.6900000000001</v>
      </c>
      <c r="I99" s="22" t="n">
        <v>1208.145</v>
      </c>
      <c r="J99" s="22" t="n">
        <v>1133.113</v>
      </c>
      <c r="K99" s="22" t="n">
        <v>1775.401</v>
      </c>
    </row>
    <row r="100">
      <c r="A100" s="20" t="inlineStr">
        <is>
          <t>이연법인세자산</t>
        </is>
      </c>
      <c r="F100" s="22" t="n">
        <v>10.641</v>
      </c>
      <c r="H100" s="22" t="n">
        <v>0</v>
      </c>
      <c r="I100" s="22" t="n">
        <v>26.099</v>
      </c>
      <c r="J100" s="22" t="n">
        <v>8.537000000000001</v>
      </c>
      <c r="K100" s="22" t="n">
        <v>10.641</v>
      </c>
    </row>
    <row r="101">
      <c r="A101" s="20" t="inlineStr">
        <is>
          <t>퇴직급여자산</t>
        </is>
      </c>
      <c r="F101" s="22" t="n">
        <v>1644.428</v>
      </c>
      <c r="H101" s="22" t="n">
        <v>733.47</v>
      </c>
      <c r="I101" s="22" t="n">
        <v>1198.857</v>
      </c>
      <c r="J101" s="22" t="n">
        <v>1163.515</v>
      </c>
      <c r="K101" s="22" t="n">
        <v>1644.428</v>
      </c>
    </row>
    <row r="102">
      <c r="A102" s="20" t="inlineStr">
        <is>
          <t>기타</t>
        </is>
      </c>
      <c r="C102" s="22" t="n">
        <v>1421.555</v>
      </c>
      <c r="D102" s="22" t="n">
        <v>1425.071</v>
      </c>
      <c r="E102" s="22" t="n">
        <v>1421.611</v>
      </c>
      <c r="F102" s="22" t="n">
        <v>1883.356</v>
      </c>
      <c r="G102" s="22" t="n">
        <v>1884.912</v>
      </c>
      <c r="H102" s="22" t="n">
        <v>63.794</v>
      </c>
      <c r="I102" s="22" t="n">
        <v>57.657</v>
      </c>
      <c r="J102" s="22" t="n">
        <v>235.242</v>
      </c>
      <c r="K102" s="22" t="n">
        <v>1883.356</v>
      </c>
    </row>
    <row r="103">
      <c r="A103" s="20" t="inlineStr">
        <is>
          <t>투자 및 기타자산 합계</t>
        </is>
      </c>
      <c r="C103" s="22" t="n">
        <v>2611.985</v>
      </c>
      <c r="D103" s="22" t="n">
        <v>3049.364</v>
      </c>
      <c r="E103" s="22" t="n">
        <v>3140.29</v>
      </c>
      <c r="F103" s="22" t="n">
        <v>3658.758</v>
      </c>
      <c r="G103" s="22" t="n">
        <v>4122.174</v>
      </c>
      <c r="H103" s="22" t="n">
        <v>1706.955</v>
      </c>
      <c r="I103" s="22" t="n">
        <v>2490.76</v>
      </c>
      <c r="J103" s="22" t="n">
        <v>2540.408</v>
      </c>
      <c r="K103" s="22" t="n">
        <v>3658.758</v>
      </c>
    </row>
    <row r="104">
      <c r="A104" s="9" t="inlineStr">
        <is>
          <t>비유동자산 합계</t>
        </is>
      </c>
      <c r="C104" s="12" t="n">
        <v>8451.974</v>
      </c>
      <c r="D104" s="12" t="n">
        <v>8799.712</v>
      </c>
      <c r="E104" s="12" t="n">
        <v>8953.413</v>
      </c>
      <c r="F104" s="12" t="n">
        <v>9436.366</v>
      </c>
      <c r="G104" s="12" t="n">
        <v>9836.119000000001</v>
      </c>
      <c r="H104" s="12" t="n">
        <v>7658.954</v>
      </c>
      <c r="I104" s="12" t="n">
        <v>8267.772000000001</v>
      </c>
      <c r="J104" s="12" t="n">
        <v>8390.913</v>
      </c>
      <c r="K104" s="12" t="n">
        <v>9436.366</v>
      </c>
    </row>
    <row r="105">
      <c r="A105" s="9" t="inlineStr">
        <is>
          <t>자산 합계</t>
        </is>
      </c>
      <c r="C105" s="12" t="n">
        <v>25786.833</v>
      </c>
      <c r="D105" s="12" t="n">
        <v>27146.432</v>
      </c>
      <c r="E105" s="12" t="n">
        <v>27102.673</v>
      </c>
      <c r="F105" s="12" t="n">
        <v>29237.215</v>
      </c>
      <c r="G105" s="12" t="n">
        <v>27836.055</v>
      </c>
      <c r="H105" s="12" t="n">
        <v>25692.648</v>
      </c>
      <c r="I105" s="12" t="n">
        <v>27241.492</v>
      </c>
      <c r="J105" s="12" t="n">
        <v>27537.488</v>
      </c>
      <c r="K105" s="12" t="n">
        <v>29237.215</v>
      </c>
    </row>
    <row r="106">
      <c r="A106" s="20" t="inlineStr">
        <is>
          <t>지급어음·매입채무</t>
        </is>
      </c>
      <c r="C106" s="22" t="n">
        <v>210.539</v>
      </c>
      <c r="D106" s="22" t="n">
        <v>308.306</v>
      </c>
      <c r="E106" s="22" t="n">
        <v>397.395</v>
      </c>
      <c r="F106" s="22" t="n">
        <v>786.6420000000001</v>
      </c>
      <c r="G106" s="22" t="n">
        <v>302.685</v>
      </c>
      <c r="H106" s="22" t="n">
        <v>463.648</v>
      </c>
      <c r="I106" s="22" t="n">
        <v>670.292</v>
      </c>
      <c r="J106" s="22" t="n">
        <v>487.033</v>
      </c>
      <c r="K106" s="22" t="n">
        <v>786.6420000000001</v>
      </c>
    </row>
    <row r="107">
      <c r="A107" s="20" t="inlineStr">
        <is>
          <t>전자기록채무</t>
        </is>
      </c>
      <c r="C107" s="22" t="n">
        <v>884.444</v>
      </c>
      <c r="D107" s="22" t="n">
        <v>940.702</v>
      </c>
      <c r="E107" s="22" t="n">
        <v>853.8819999999999</v>
      </c>
      <c r="F107" s="22" t="n">
        <v>46.417</v>
      </c>
      <c r="G107" s="22" t="n">
        <v>2.41</v>
      </c>
      <c r="H107" s="22" t="n">
        <v>2832.794</v>
      </c>
      <c r="I107" s="22" t="n">
        <v>2783.37</v>
      </c>
      <c r="J107" s="22" t="n">
        <v>1213.189</v>
      </c>
      <c r="K107" s="22" t="n">
        <v>46.417</v>
      </c>
    </row>
    <row r="108">
      <c r="A108" s="20" t="inlineStr">
        <is>
          <t>미지급금</t>
        </is>
      </c>
      <c r="F108" s="22" t="n">
        <v>802.874</v>
      </c>
      <c r="H108" s="22" t="n">
        <v>1425.851</v>
      </c>
      <c r="I108" s="22" t="n">
        <v>865.809</v>
      </c>
      <c r="J108" s="22" t="n">
        <v>975.311</v>
      </c>
      <c r="K108" s="22" t="n">
        <v>802.874</v>
      </c>
    </row>
    <row r="109">
      <c r="A109" s="20" t="inlineStr">
        <is>
          <t>미지급법인세</t>
        </is>
      </c>
      <c r="C109" s="22" t="n">
        <v>11.85</v>
      </c>
      <c r="D109" s="22" t="n">
        <v>79.467</v>
      </c>
      <c r="E109" s="22" t="n">
        <v>0</v>
      </c>
      <c r="F109" s="22" t="n">
        <v>169</v>
      </c>
      <c r="G109" s="22" t="n">
        <v>69.423</v>
      </c>
      <c r="H109" s="22" t="n">
        <v>379.826</v>
      </c>
      <c r="I109" s="22" t="n">
        <v>648.409</v>
      </c>
      <c r="J109" s="22" t="n">
        <v>767</v>
      </c>
      <c r="K109" s="22" t="n">
        <v>169</v>
      </c>
    </row>
    <row r="110">
      <c r="A110" s="20" t="inlineStr">
        <is>
          <t>계약부채</t>
        </is>
      </c>
      <c r="C110" s="22" t="n">
        <v>1230.495</v>
      </c>
      <c r="D110" s="22" t="n">
        <v>1714.504</v>
      </c>
      <c r="E110" s="22" t="n">
        <v>1375.024</v>
      </c>
      <c r="F110" s="22" t="n">
        <v>1331.252</v>
      </c>
      <c r="G110" s="22" t="n">
        <v>1967.836</v>
      </c>
      <c r="H110" s="22" t="n">
        <v>369.348</v>
      </c>
      <c r="I110" s="22" t="n">
        <v>354.038</v>
      </c>
      <c r="J110" s="22" t="n">
        <v>355.488</v>
      </c>
      <c r="K110" s="22" t="n">
        <v>1331.252</v>
      </c>
    </row>
    <row r="111">
      <c r="A111" s="20" t="inlineStr">
        <is>
          <t>상여충당금</t>
        </is>
      </c>
      <c r="C111" s="22" t="n">
        <v>654.8200000000001</v>
      </c>
      <c r="D111" s="22" t="n">
        <v>420.565</v>
      </c>
      <c r="E111" s="22" t="n">
        <v>239.381</v>
      </c>
      <c r="F111" s="22" t="n">
        <v>396.996</v>
      </c>
      <c r="G111" s="22" t="n">
        <v>559.6799999999999</v>
      </c>
      <c r="H111" s="22" t="n">
        <v>422.787</v>
      </c>
      <c r="I111" s="22" t="n">
        <v>387.114</v>
      </c>
      <c r="J111" s="22" t="n">
        <v>470.753</v>
      </c>
      <c r="K111" s="22" t="n">
        <v>396.996</v>
      </c>
    </row>
    <row r="112">
      <c r="A112" s="20" t="inlineStr">
        <is>
          <t>임원 상여충당금</t>
        </is>
      </c>
      <c r="C112" s="22" t="n">
        <v>11.211</v>
      </c>
      <c r="D112" s="22" t="n">
        <v>22.422</v>
      </c>
      <c r="E112" s="22" t="n">
        <v>32.166</v>
      </c>
      <c r="F112" s="22" t="n">
        <v>50.23</v>
      </c>
      <c r="G112" s="22" t="n">
        <v>7.434</v>
      </c>
      <c r="H112" s="22" t="n">
        <v>46.875</v>
      </c>
      <c r="I112" s="22" t="n">
        <v>40.362</v>
      </c>
      <c r="J112" s="22" t="n">
        <v>45.448</v>
      </c>
      <c r="K112" s="22" t="n">
        <v>50.23</v>
      </c>
    </row>
    <row r="113">
      <c r="A113" s="20" t="inlineStr">
        <is>
          <t>제품보증 충당금</t>
        </is>
      </c>
      <c r="C113" s="22" t="n">
        <v>94.16200000000001</v>
      </c>
      <c r="D113" s="22" t="n">
        <v>93.125</v>
      </c>
      <c r="E113" s="22" t="n">
        <v>94.81100000000001</v>
      </c>
      <c r="F113" s="22" t="n">
        <v>85.84</v>
      </c>
      <c r="G113" s="22" t="n">
        <v>84.444</v>
      </c>
      <c r="H113" s="22" t="n">
        <v>112.714</v>
      </c>
      <c r="I113" s="22" t="n">
        <v>74.271</v>
      </c>
      <c r="J113" s="22" t="n">
        <v>101.509</v>
      </c>
      <c r="K113" s="22" t="n">
        <v>85.84</v>
      </c>
    </row>
    <row r="114">
      <c r="A114" s="20" t="inlineStr">
        <is>
          <t>Provision For Loss On Construction Contracts</t>
        </is>
      </c>
      <c r="C114" s="22" t="n">
        <v>14.614</v>
      </c>
      <c r="D114" s="22" t="n">
        <v>5.062</v>
      </c>
      <c r="E114" s="22" t="n">
        <v>18.582</v>
      </c>
      <c r="F114" s="22" t="n">
        <v>50.985</v>
      </c>
      <c r="G114" s="22" t="n">
        <v>47.307</v>
      </c>
      <c r="H114" s="22" t="n">
        <v>16.798</v>
      </c>
      <c r="I114" s="22" t="n">
        <v>0.497</v>
      </c>
      <c r="J114" s="22" t="n">
        <v>5.39</v>
      </c>
      <c r="K114" s="22" t="n">
        <v>50.985</v>
      </c>
    </row>
    <row r="115">
      <c r="A115" s="20" t="inlineStr">
        <is>
          <t>주식급여 충당금</t>
        </is>
      </c>
      <c r="F115" s="22" t="n">
        <v>39.933</v>
      </c>
      <c r="J115" s="22" t="n">
        <v>0</v>
      </c>
      <c r="K115" s="22" t="n">
        <v>39.933</v>
      </c>
    </row>
    <row r="116">
      <c r="A116" s="20" t="inlineStr">
        <is>
          <t>주식급여 충당금</t>
        </is>
      </c>
      <c r="F116" s="22" t="n">
        <v>39.933</v>
      </c>
      <c r="G116" s="22" t="n">
        <v>0</v>
      </c>
      <c r="K116" s="22" t="n">
        <v>39.933</v>
      </c>
    </row>
    <row r="117">
      <c r="A117" s="20" t="inlineStr">
        <is>
          <t>기타</t>
        </is>
      </c>
      <c r="C117" s="22" t="n">
        <v>650.335</v>
      </c>
      <c r="D117" s="22" t="n">
        <v>883.046</v>
      </c>
      <c r="E117" s="22" t="n">
        <v>977.527</v>
      </c>
      <c r="F117" s="22" t="n">
        <v>1707.187</v>
      </c>
      <c r="G117" s="22" t="n">
        <v>608.744</v>
      </c>
      <c r="H117" s="22" t="n">
        <v>393.037</v>
      </c>
      <c r="I117" s="22" t="n">
        <v>208.603</v>
      </c>
      <c r="J117" s="22" t="n">
        <v>460.318</v>
      </c>
      <c r="K117" s="22" t="n">
        <v>1707.187</v>
      </c>
    </row>
    <row r="118">
      <c r="A118" s="9" t="inlineStr">
        <is>
          <t>유동부채 합계</t>
        </is>
      </c>
      <c r="C118" s="12" t="n">
        <v>3762.473</v>
      </c>
      <c r="D118" s="12" t="n">
        <v>4467.202</v>
      </c>
      <c r="E118" s="12" t="n">
        <v>3988.771</v>
      </c>
      <c r="F118" s="12" t="n">
        <v>4664.485</v>
      </c>
      <c r="G118" s="12" t="n">
        <v>3649.965</v>
      </c>
      <c r="H118" s="12" t="n">
        <v>6463.68</v>
      </c>
      <c r="I118" s="12" t="n">
        <v>6032.769</v>
      </c>
      <c r="J118" s="12" t="n">
        <v>4881.443</v>
      </c>
      <c r="K118" s="12" t="n">
        <v>4664.485</v>
      </c>
    </row>
    <row r="119">
      <c r="A119" s="20" t="inlineStr">
        <is>
          <t>퇴직급여부채</t>
        </is>
      </c>
      <c r="C119" s="22" t="n">
        <v>3.797</v>
      </c>
      <c r="D119" s="22" t="n">
        <v>3.958</v>
      </c>
      <c r="E119" s="22" t="n">
        <v>3.326</v>
      </c>
      <c r="F119" s="22" t="n">
        <v>3.533</v>
      </c>
      <c r="G119" s="22" t="n">
        <v>3.856</v>
      </c>
      <c r="H119" s="22" t="n">
        <v>11.553</v>
      </c>
      <c r="I119" s="22" t="n">
        <v>6.865</v>
      </c>
      <c r="J119" s="22" t="n">
        <v>3.413</v>
      </c>
      <c r="K119" s="22" t="n">
        <v>3.533</v>
      </c>
    </row>
    <row r="120">
      <c r="A120" s="20" t="inlineStr">
        <is>
          <t>이연법인세부채</t>
        </is>
      </c>
      <c r="C120" s="22" t="n">
        <v>89.968</v>
      </c>
      <c r="D120" s="22" t="n">
        <v>260.772</v>
      </c>
      <c r="E120" s="22" t="n">
        <v>373.992</v>
      </c>
      <c r="F120" s="22" t="n">
        <v>440.673</v>
      </c>
      <c r="G120" s="22" t="n">
        <v>450.546</v>
      </c>
      <c r="H120" s="22" t="n">
        <v>78.479</v>
      </c>
      <c r="I120" s="22" t="n">
        <v>325.733</v>
      </c>
      <c r="J120" s="22" t="n">
        <v>134.966</v>
      </c>
      <c r="K120" s="22" t="n">
        <v>440.673</v>
      </c>
    </row>
    <row r="121">
      <c r="A121" s="20" t="inlineStr">
        <is>
          <t>기타</t>
        </is>
      </c>
      <c r="C121" s="22" t="n">
        <v>136.891</v>
      </c>
      <c r="D121" s="22" t="n">
        <v>134.301</v>
      </c>
      <c r="E121" s="22" t="n">
        <v>137.522</v>
      </c>
      <c r="F121" s="22" t="n">
        <v>137.559</v>
      </c>
      <c r="G121" s="22" t="n">
        <v>149.526</v>
      </c>
      <c r="H121" s="22" t="n">
        <v>148.868</v>
      </c>
      <c r="I121" s="22" t="n">
        <v>114.221</v>
      </c>
      <c r="J121" s="22" t="n">
        <v>118.121</v>
      </c>
      <c r="K121" s="22" t="n">
        <v>137.559</v>
      </c>
    </row>
    <row r="122">
      <c r="A122" s="9" t="inlineStr">
        <is>
          <t>비유동부채 합계</t>
        </is>
      </c>
      <c r="C122" s="12" t="n">
        <v>230.657</v>
      </c>
      <c r="D122" s="12" t="n">
        <v>399.032</v>
      </c>
      <c r="E122" s="12" t="n">
        <v>514.841</v>
      </c>
      <c r="F122" s="12" t="n">
        <v>581.765</v>
      </c>
      <c r="G122" s="12" t="n">
        <v>603.929</v>
      </c>
      <c r="H122" s="12" t="n">
        <v>238.901</v>
      </c>
      <c r="I122" s="12" t="n">
        <v>446.82</v>
      </c>
      <c r="J122" s="12" t="n">
        <v>256.501</v>
      </c>
      <c r="K122" s="12" t="n">
        <v>581.765</v>
      </c>
    </row>
    <row r="123">
      <c r="A123" s="9" t="inlineStr">
        <is>
          <t>부채 합계</t>
        </is>
      </c>
      <c r="C123" s="12" t="n">
        <v>3993.13</v>
      </c>
      <c r="D123" s="12" t="n">
        <v>4866.235</v>
      </c>
      <c r="E123" s="12" t="n">
        <v>4503.612</v>
      </c>
      <c r="F123" s="12" t="n">
        <v>5246.25</v>
      </c>
      <c r="G123" s="12" t="n">
        <v>4253.895</v>
      </c>
      <c r="H123" s="12" t="n">
        <v>6702.582</v>
      </c>
      <c r="I123" s="12" t="n">
        <v>6479.589</v>
      </c>
      <c r="J123" s="12" t="n">
        <v>5137.944</v>
      </c>
      <c r="K123" s="12" t="n">
        <v>5246.25</v>
      </c>
    </row>
    <row r="124">
      <c r="A124" s="20" t="inlineStr">
        <is>
          <t>자본금</t>
        </is>
      </c>
      <c r="C124" s="22" t="n">
        <v>1184.975</v>
      </c>
      <c r="D124" s="22" t="n">
        <v>1184.975</v>
      </c>
      <c r="E124" s="22" t="n">
        <v>1184.975</v>
      </c>
      <c r="F124" s="22" t="n">
        <v>1184.975</v>
      </c>
      <c r="G124" s="22" t="n">
        <v>1184.975</v>
      </c>
      <c r="H124" s="22" t="n">
        <v>1184.975</v>
      </c>
      <c r="I124" s="22" t="n">
        <v>1184.975</v>
      </c>
      <c r="J124" s="22" t="n">
        <v>1184.975</v>
      </c>
      <c r="K124" s="22" t="n">
        <v>1184.975</v>
      </c>
    </row>
    <row r="125">
      <c r="A125" s="20" t="inlineStr">
        <is>
          <t>자본잉여금</t>
        </is>
      </c>
      <c r="C125" s="22" t="n">
        <v>1150.15</v>
      </c>
      <c r="D125" s="22" t="n">
        <v>1507.233</v>
      </c>
      <c r="E125" s="22" t="n">
        <v>1507.233</v>
      </c>
      <c r="F125" s="22" t="n">
        <v>1507.233</v>
      </c>
      <c r="G125" s="22" t="n">
        <v>1507.233</v>
      </c>
      <c r="H125" s="22" t="n">
        <v>1128.979</v>
      </c>
      <c r="I125" s="22" t="n">
        <v>1139.202</v>
      </c>
      <c r="J125" s="22" t="n">
        <v>1150.15</v>
      </c>
      <c r="K125" s="22" t="n">
        <v>1507.233</v>
      </c>
    </row>
    <row r="126">
      <c r="A126" s="20" t="inlineStr">
        <is>
          <t>이익잉여금</t>
        </is>
      </c>
      <c r="C126" s="22" t="n">
        <v>19169.648</v>
      </c>
      <c r="D126" s="22" t="n">
        <v>19529.601</v>
      </c>
      <c r="E126" s="22" t="n">
        <v>19791.256</v>
      </c>
      <c r="F126" s="22" t="n">
        <v>20826.802</v>
      </c>
      <c r="G126" s="22" t="n">
        <v>20285.325</v>
      </c>
      <c r="H126" s="22" t="n">
        <v>16739.31</v>
      </c>
      <c r="I126" s="22" t="n">
        <v>18010.566</v>
      </c>
      <c r="J126" s="22" t="n">
        <v>19807.135</v>
      </c>
      <c r="K126" s="22" t="n">
        <v>20826.802</v>
      </c>
    </row>
    <row r="127">
      <c r="A127" s="20" t="inlineStr">
        <is>
          <t>자기주식</t>
        </is>
      </c>
      <c r="C127" s="22" t="n">
        <v>-404.524</v>
      </c>
      <c r="D127" s="22" t="n">
        <v>-735.713</v>
      </c>
      <c r="E127" s="22" t="n">
        <v>-735.713</v>
      </c>
      <c r="F127" s="22" t="n">
        <v>-735.713</v>
      </c>
      <c r="G127" s="22" t="n">
        <v>-695.779</v>
      </c>
      <c r="H127" s="22" t="n">
        <v>-419.117</v>
      </c>
      <c r="I127" s="22" t="n">
        <v>-410.768</v>
      </c>
      <c r="J127" s="22" t="n">
        <v>-404.524</v>
      </c>
      <c r="K127" s="22" t="n">
        <v>-735.713</v>
      </c>
    </row>
    <row r="128">
      <c r="A128" s="9" t="inlineStr">
        <is>
          <t>주주자본 합계</t>
        </is>
      </c>
      <c r="C128" s="12" t="n">
        <v>21100.249</v>
      </c>
      <c r="D128" s="12" t="n">
        <v>21486.096</v>
      </c>
      <c r="E128" s="12" t="n">
        <v>21747.752</v>
      </c>
      <c r="F128" s="12" t="n">
        <v>22783.297</v>
      </c>
      <c r="G128" s="12" t="n">
        <v>22281.754</v>
      </c>
      <c r="H128" s="12" t="n">
        <v>18634.147</v>
      </c>
      <c r="I128" s="12" t="n">
        <v>19923.976</v>
      </c>
      <c r="J128" s="12" t="n">
        <v>21737.736</v>
      </c>
      <c r="K128" s="12" t="n">
        <v>22783.297</v>
      </c>
    </row>
    <row r="129">
      <c r="A129" s="20" t="inlineStr">
        <is>
          <t>기타유가증권 평가차액</t>
        </is>
      </c>
      <c r="C129" s="22" t="n">
        <v>398.305</v>
      </c>
      <c r="D129" s="22" t="n">
        <v>506.853</v>
      </c>
      <c r="E129" s="22" t="n">
        <v>571.9640000000001</v>
      </c>
      <c r="F129" s="22" t="n">
        <v>611.103</v>
      </c>
      <c r="G129" s="22" t="n">
        <v>722.803</v>
      </c>
      <c r="H129" s="22" t="n">
        <v>225.975</v>
      </c>
      <c r="I129" s="22" t="n">
        <v>435.092</v>
      </c>
      <c r="J129" s="22" t="n">
        <v>358.757</v>
      </c>
      <c r="K129" s="22" t="n">
        <v>611.103</v>
      </c>
    </row>
    <row r="130">
      <c r="A130" s="20" t="inlineStr">
        <is>
          <t>퇴직급여 조정누계액</t>
        </is>
      </c>
      <c r="C130" s="22" t="n">
        <v>295.148</v>
      </c>
      <c r="D130" s="22" t="n">
        <v>287.245</v>
      </c>
      <c r="E130" s="22" t="n">
        <v>279.343</v>
      </c>
      <c r="F130" s="22" t="n">
        <v>596.563</v>
      </c>
      <c r="G130" s="22" t="n">
        <v>577.602</v>
      </c>
      <c r="H130" s="22" t="n">
        <v>129.943</v>
      </c>
      <c r="I130" s="22" t="n">
        <v>402.833</v>
      </c>
      <c r="J130" s="22" t="n">
        <v>303.05</v>
      </c>
      <c r="K130" s="22" t="n">
        <v>596.563</v>
      </c>
    </row>
    <row r="131">
      <c r="A131" s="20" t="inlineStr">
        <is>
          <t>기타포괄손익누계액 합계</t>
        </is>
      </c>
      <c r="C131" s="22" t="n">
        <v>693.453</v>
      </c>
      <c r="D131" s="22" t="n">
        <v>794.099</v>
      </c>
      <c r="E131" s="22" t="n">
        <v>851.308</v>
      </c>
      <c r="F131" s="22" t="n">
        <v>1207.667</v>
      </c>
      <c r="G131" s="22" t="n">
        <v>1300.405</v>
      </c>
      <c r="H131" s="22" t="n">
        <v>355.918</v>
      </c>
      <c r="I131" s="22" t="n">
        <v>837.926</v>
      </c>
      <c r="J131" s="22" t="n">
        <v>661.807</v>
      </c>
      <c r="K131" s="22" t="n">
        <v>1207.667</v>
      </c>
    </row>
    <row r="132">
      <c r="A132" s="9" t="inlineStr">
        <is>
          <t>순자산 합계</t>
        </is>
      </c>
      <c r="C132" s="12" t="n">
        <v>21793.702</v>
      </c>
      <c r="D132" s="12" t="n">
        <v>22280.196</v>
      </c>
      <c r="E132" s="12" t="n">
        <v>22599.06</v>
      </c>
      <c r="F132" s="12" t="n">
        <v>23990.965</v>
      </c>
      <c r="G132" s="12" t="n">
        <v>23582.16</v>
      </c>
      <c r="H132" s="12" t="n">
        <v>18990.066</v>
      </c>
      <c r="I132" s="12" t="n">
        <v>20761.902</v>
      </c>
      <c r="J132" s="12" t="n">
        <v>22399.544</v>
      </c>
      <c r="K132" s="12" t="n">
        <v>23990.965</v>
      </c>
    </row>
    <row r="133">
      <c r="A133" s="9" t="inlineStr">
        <is>
          <t>부채·순자산 합계</t>
        </is>
      </c>
      <c r="C133" s="12" t="n">
        <v>25786.833</v>
      </c>
      <c r="D133" s="12" t="n">
        <v>27146.432</v>
      </c>
      <c r="E133" s="12" t="n">
        <v>27102.673</v>
      </c>
      <c r="F133" s="12" t="n">
        <v>29237.215</v>
      </c>
      <c r="G133" s="12" t="n">
        <v>27836.055</v>
      </c>
      <c r="H133" s="12" t="n">
        <v>25692.648</v>
      </c>
      <c r="I133" s="12" t="n">
        <v>27241.492</v>
      </c>
      <c r="J133" s="12" t="n">
        <v>27537.488</v>
      </c>
      <c r="K133" s="12" t="n">
        <v>29237.215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53" t="inlineStr">
        <is>
          <t>공시일</t>
        </is>
      </c>
      <c r="B3" s="53" t="inlineStr">
        <is>
          <t>문서</t>
        </is>
      </c>
      <c r="C3" s="53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https://www2.jpx.co.jp/disc/67970/140120260731505474.pdf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https://www2.jpx.co.jp/disc/67970/140120260512525860.pdf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https://www2.jpx.co.jp/disc/67970/140120260130543609.pdf</t>
        </is>
      </c>
    </row>
    <row r="7">
      <c r="A7" t="inlineStr">
        <is>
          <t>2025-10-31</t>
        </is>
      </c>
      <c r="B7" t="inlineStr">
        <is>
          <t>2026년 3월 결산기 2분기 결산단신</t>
        </is>
      </c>
      <c r="C7" t="inlineStr">
        <is>
          <t>https://www2.jpx.co.jp/disc/67970/140120251031585071.pdf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https://www2.jpx.co.jp/disc/67970/140120250731525763.pdf</t>
        </is>
      </c>
    </row>
    <row r="9">
      <c r="A9" t="inlineStr">
        <is>
          <t>2025-05-13</t>
        </is>
      </c>
      <c r="B9" t="inlineStr">
        <is>
          <t>2025년 3월 결산기 연간 결산단신</t>
        </is>
      </c>
      <c r="C9" t="inlineStr">
        <is>
          <t>https://www2.jpx.co.jp/disc/67970/140120250513546181.pdf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https://www2.jpx.co.jp/disc/67970/140120250131560036.pdf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https://www2.jpx.co.jp/disc/67970/140120241031507759.pdf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https://www2.jpx.co.jp/disc/67970/140120240731559225.pdf</t>
        </is>
      </c>
    </row>
    <row r="13">
      <c r="A13" t="inlineStr">
        <is>
          <t>2024-05-14</t>
        </is>
      </c>
      <c r="B13" t="inlineStr">
        <is>
          <t>2024년 3월 결산기 연간 결산단신</t>
        </is>
      </c>
      <c r="C13" t="inlineStr">
        <is>
          <t>https://www2.jpx.co.jp/disc/67970/140120240514596337.pdf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2026-10-28T06:58:44Z</dcterms:created>
  <dcterms:modified xmlns:dcterms="http://purl.org/dc/terms/" xmlns:xsi="http://www.w3.org/2001/XMLSchema-instance" xsi:type="dcterms:W3CDTF">2026-10-28T06:58:45Z</dcterms:modified>
</cp:coreProperties>
</file>