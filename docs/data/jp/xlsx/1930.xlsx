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호쿠리쿠전기공사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12676</v>
      </c>
      <c r="D4" s="12" t="n">
        <v>15772</v>
      </c>
      <c r="E4" s="12" t="n">
        <v>13079</v>
      </c>
      <c r="F4" s="12" t="n">
        <v>13292</v>
      </c>
      <c r="G4" s="12" t="n">
        <v>15004</v>
      </c>
      <c r="H4" s="12" t="n">
        <v>14232</v>
      </c>
      <c r="I4" s="12" t="n">
        <v>12071</v>
      </c>
      <c r="J4" s="12" t="n">
        <v>14636</v>
      </c>
      <c r="K4" s="12" t="n">
        <v>17204</v>
      </c>
      <c r="L4" s="12" t="n">
        <v>17117</v>
      </c>
      <c r="M4" s="12" t="n">
        <v>14321</v>
      </c>
      <c r="N4" s="12" t="n">
        <v>18959</v>
      </c>
      <c r="O4" s="11" t="n">
        <v>43015</v>
      </c>
      <c r="P4" s="12" t="n">
        <v>42151</v>
      </c>
      <c r="Q4" s="12" t="n">
        <v>43727</v>
      </c>
      <c r="R4" s="12" t="n">
        <v>49932</v>
      </c>
      <c r="S4" s="12" t="n">
        <v>44744</v>
      </c>
      <c r="T4" s="12" t="n">
        <v>45928</v>
      </c>
      <c r="U4" s="12" t="n">
        <v>43835</v>
      </c>
      <c r="V4" s="12" t="n">
        <v>49076</v>
      </c>
      <c r="W4" s="12" t="n">
        <v>55607</v>
      </c>
      <c r="X4" s="12" t="n">
        <v>61028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10622</v>
      </c>
      <c r="D11" s="22" t="n">
        <v>12576</v>
      </c>
      <c r="E11" s="22" t="n">
        <v>11048</v>
      </c>
      <c r="F11" s="22" t="n">
        <v>11030</v>
      </c>
      <c r="G11" s="22" t="n">
        <v>11976</v>
      </c>
      <c r="H11" s="22" t="n">
        <v>11185</v>
      </c>
      <c r="I11" s="22" t="n">
        <v>10053</v>
      </c>
      <c r="J11" s="22" t="n">
        <v>12107</v>
      </c>
      <c r="K11" s="22" t="n">
        <v>13704</v>
      </c>
      <c r="L11" s="22" t="n">
        <v>13588</v>
      </c>
      <c r="M11" s="22" t="n">
        <v>11640</v>
      </c>
      <c r="N11" s="22" t="n">
        <v>14936</v>
      </c>
      <c r="O11" s="21" t="n">
        <v>35510</v>
      </c>
      <c r="P11" s="22" t="n">
        <v>34797</v>
      </c>
      <c r="Q11" s="22" t="n">
        <v>36560</v>
      </c>
      <c r="R11" s="22" t="n">
        <v>41434</v>
      </c>
      <c r="S11" s="22" t="n">
        <v>37084</v>
      </c>
      <c r="T11" s="22" t="n">
        <v>38985</v>
      </c>
      <c r="U11" s="22" t="n">
        <v>37048</v>
      </c>
      <c r="V11" s="22" t="n">
        <v>40841</v>
      </c>
      <c r="W11" s="22" t="n">
        <v>45239</v>
      </c>
      <c r="X11" s="22" t="n">
        <v>49452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1441</v>
      </c>
      <c r="D17" s="22" t="n">
        <v>668</v>
      </c>
      <c r="E17" s="22" t="n">
        <v>1549</v>
      </c>
      <c r="F17" s="22" t="n">
        <v>1487</v>
      </c>
      <c r="G17" s="22" t="n">
        <v>1526</v>
      </c>
      <c r="H17" s="22" t="n">
        <v>1454</v>
      </c>
      <c r="I17" s="22" t="n">
        <v>1632</v>
      </c>
      <c r="J17" s="22" t="n">
        <v>1653</v>
      </c>
      <c r="K17" s="22" t="n">
        <v>1552</v>
      </c>
      <c r="L17" s="22" t="n">
        <v>1618</v>
      </c>
      <c r="M17" s="22" t="n">
        <v>1874</v>
      </c>
      <c r="N17" s="22" t="n">
        <v>1721</v>
      </c>
      <c r="O17" s="21" t="n">
        <v>3006</v>
      </c>
      <c r="P17" s="22" t="n">
        <v>3059</v>
      </c>
      <c r="Q17" s="22" t="n">
        <v>3097</v>
      </c>
      <c r="R17" s="22" t="n">
        <v>3731</v>
      </c>
      <c r="S17" s="22" t="n">
        <v>3867</v>
      </c>
      <c r="T17" s="22" t="n">
        <v>3785</v>
      </c>
      <c r="U17" s="22" t="n">
        <v>4378</v>
      </c>
      <c r="V17" s="22" t="n">
        <v>4733</v>
      </c>
      <c r="W17" s="22" t="n">
        <v>6016</v>
      </c>
      <c r="X17" s="22" t="n">
        <v>6455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612</v>
      </c>
      <c r="D19" s="12" t="n">
        <v>2529</v>
      </c>
      <c r="E19" s="12" t="n">
        <v>481</v>
      </c>
      <c r="F19" s="12" t="n">
        <v>775</v>
      </c>
      <c r="G19" s="12" t="n">
        <v>1502</v>
      </c>
      <c r="H19" s="12" t="n">
        <v>1593</v>
      </c>
      <c r="I19" s="12" t="n">
        <v>386</v>
      </c>
      <c r="J19" s="12" t="n">
        <v>876</v>
      </c>
      <c r="K19" s="12" t="n">
        <v>1947</v>
      </c>
      <c r="L19" s="12" t="n">
        <v>1912</v>
      </c>
      <c r="M19" s="12" t="n">
        <v>806</v>
      </c>
      <c r="N19" s="12" t="n">
        <v>2302</v>
      </c>
      <c r="O19" s="11" t="n">
        <v>4498</v>
      </c>
      <c r="P19" s="12" t="n">
        <v>4293</v>
      </c>
      <c r="Q19" s="12" t="n">
        <v>4069</v>
      </c>
      <c r="R19" s="12" t="n">
        <v>4766</v>
      </c>
      <c r="S19" s="12" t="n">
        <v>3793</v>
      </c>
      <c r="T19" s="12" t="n">
        <v>3157</v>
      </c>
      <c r="U19" s="12" t="n">
        <v>2408</v>
      </c>
      <c r="V19" s="12" t="n">
        <v>3502</v>
      </c>
      <c r="W19" s="12" t="n">
        <v>4351</v>
      </c>
      <c r="X19" s="12" t="n">
        <v>5121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>
        <v>66</v>
      </c>
      <c r="P26" s="22" t="n">
        <v>74</v>
      </c>
      <c r="Q26" s="22" t="n">
        <v>87</v>
      </c>
      <c r="R26" s="22" t="n">
        <v>94</v>
      </c>
      <c r="S26" s="22" t="n">
        <v>125</v>
      </c>
      <c r="T26" s="22" t="n">
        <v>140</v>
      </c>
      <c r="U26" s="22" t="n">
        <v>190</v>
      </c>
      <c r="V26" s="22" t="n">
        <v>209</v>
      </c>
      <c r="W26" s="22" t="n">
        <v>211</v>
      </c>
      <c r="X26" s="22" t="n">
        <v>208</v>
      </c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3</v>
      </c>
      <c r="D35" s="22" t="n">
        <v>-1</v>
      </c>
      <c r="E35" s="22" t="n">
        <v>82</v>
      </c>
      <c r="F35" s="22" t="n">
        <v>6</v>
      </c>
      <c r="G35" s="22" t="n">
        <v>1</v>
      </c>
      <c r="H35" s="22" t="n">
        <v>1</v>
      </c>
      <c r="I35" s="22" t="n">
        <v>6</v>
      </c>
      <c r="J35" s="22" t="n">
        <v>3</v>
      </c>
      <c r="K35" s="22" t="n">
        <v>0</v>
      </c>
      <c r="L35" s="22" t="n">
        <v>2</v>
      </c>
      <c r="M35" s="22" t="n">
        <v>0</v>
      </c>
      <c r="N35" s="22" t="n">
        <v>170</v>
      </c>
      <c r="O35" s="21" t="n">
        <v>25</v>
      </c>
      <c r="P35" s="22" t="n">
        <v>183</v>
      </c>
      <c r="Q35" s="22" t="n">
        <v>2</v>
      </c>
      <c r="R35" s="22" t="n">
        <v>3</v>
      </c>
      <c r="S35" s="22" t="n">
        <v>543</v>
      </c>
      <c r="T35" s="22" t="n">
        <v>3</v>
      </c>
      <c r="U35" s="22" t="n">
        <v>1</v>
      </c>
      <c r="V35" s="22" t="n">
        <v>8</v>
      </c>
      <c r="W35" s="22" t="n">
        <v>90</v>
      </c>
      <c r="X35" s="22" t="n">
        <v>11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1</v>
      </c>
      <c r="D37" s="22" t="n">
        <v>82</v>
      </c>
      <c r="E37" s="22" t="n">
        <v>4</v>
      </c>
      <c r="F37" s="22" t="n">
        <v>1</v>
      </c>
      <c r="G37" s="22" t="n">
        <v>1</v>
      </c>
      <c r="H37" s="22" t="n">
        <v>23</v>
      </c>
      <c r="I37" s="22" t="n">
        <v>1</v>
      </c>
      <c r="J37" s="22" t="n">
        <v>15</v>
      </c>
      <c r="K37" s="22" t="n">
        <v>0</v>
      </c>
      <c r="L37" s="22" t="n">
        <v>1</v>
      </c>
      <c r="M37" s="22" t="n">
        <v>2</v>
      </c>
      <c r="N37" s="22" t="n">
        <v>0</v>
      </c>
      <c r="O37" s="21" t="n">
        <v>186</v>
      </c>
      <c r="P37" s="22" t="n">
        <v>257</v>
      </c>
      <c r="Q37" s="22" t="n">
        <v>84</v>
      </c>
      <c r="R37" s="22" t="n">
        <v>213</v>
      </c>
      <c r="S37" s="22" t="n">
        <v>9</v>
      </c>
      <c r="T37" s="22" t="n">
        <v>39</v>
      </c>
      <c r="U37" s="22" t="n">
        <v>37</v>
      </c>
      <c r="V37" s="22" t="n">
        <v>203</v>
      </c>
      <c r="W37" s="22" t="n">
        <v>29</v>
      </c>
      <c r="X37" s="22" t="n">
        <v>17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54</v>
      </c>
      <c r="D39" s="22" t="n">
        <v>23</v>
      </c>
      <c r="E39" s="22" t="n">
        <v>76</v>
      </c>
      <c r="F39" s="22" t="n">
        <v>105</v>
      </c>
      <c r="G39" s="22" t="n">
        <v>69</v>
      </c>
      <c r="H39" s="22" t="n">
        <v>29</v>
      </c>
      <c r="I39" s="22" t="n">
        <v>101</v>
      </c>
      <c r="J39" s="22" t="n">
        <v>104</v>
      </c>
      <c r="K39" s="22" t="n">
        <v>71</v>
      </c>
      <c r="L39" s="22" t="n">
        <v>72</v>
      </c>
      <c r="M39" s="22" t="n">
        <v>92</v>
      </c>
      <c r="N39" s="22" t="n">
        <v>101</v>
      </c>
      <c r="O39" s="21" t="n">
        <v>228</v>
      </c>
      <c r="P39" s="22" t="n">
        <v>277</v>
      </c>
      <c r="Q39" s="22" t="n">
        <v>134</v>
      </c>
      <c r="R39" s="22" t="n">
        <v>143</v>
      </c>
      <c r="S39" s="22" t="n">
        <v>230</v>
      </c>
      <c r="T39" s="22" t="n">
        <v>172</v>
      </c>
      <c r="U39" s="22" t="n">
        <v>177</v>
      </c>
      <c r="V39" s="22" t="n">
        <v>190</v>
      </c>
      <c r="W39" s="22" t="n">
        <v>279</v>
      </c>
      <c r="X39" s="22" t="n">
        <v>348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1</v>
      </c>
      <c r="D41" s="22" t="n">
        <v>0</v>
      </c>
      <c r="E41" s="22" t="n">
        <v>4</v>
      </c>
      <c r="F41" s="22" t="n">
        <v>19</v>
      </c>
      <c r="G41" s="22" t="n">
        <v>-9</v>
      </c>
      <c r="H41" s="22" t="n">
        <v>5</v>
      </c>
      <c r="I41" s="22" t="n">
        <v>4</v>
      </c>
      <c r="J41" s="22" t="n">
        <v>2</v>
      </c>
      <c r="K41" s="22" t="n">
        <v>2</v>
      </c>
      <c r="L41" s="22" t="n">
        <v>10</v>
      </c>
      <c r="M41" s="22" t="n">
        <v>3</v>
      </c>
      <c r="N41" s="22" t="n">
        <v>2</v>
      </c>
      <c r="O41" s="21" t="n">
        <v>14</v>
      </c>
      <c r="P41" s="22" t="n">
        <v>11</v>
      </c>
      <c r="Q41" s="22" t="n">
        <v>23</v>
      </c>
      <c r="R41" s="22" t="n">
        <v>74</v>
      </c>
      <c r="S41" s="22" t="n">
        <v>7</v>
      </c>
      <c r="T41" s="22" t="n">
        <v>2</v>
      </c>
      <c r="U41" s="22" t="n">
        <v>3</v>
      </c>
      <c r="V41" s="22" t="n">
        <v>6</v>
      </c>
      <c r="W41" s="22" t="n">
        <v>19</v>
      </c>
      <c r="X41" s="22" t="n">
        <v>18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669</v>
      </c>
      <c r="D43" s="12" t="n">
        <v>2467</v>
      </c>
      <c r="E43" s="12" t="n">
        <v>631</v>
      </c>
      <c r="F43" s="12" t="n">
        <v>866</v>
      </c>
      <c r="G43" s="12" t="n">
        <v>1580</v>
      </c>
      <c r="H43" s="12" t="n">
        <v>1595</v>
      </c>
      <c r="I43" s="12" t="n">
        <v>487</v>
      </c>
      <c r="J43" s="12" t="n">
        <v>967</v>
      </c>
      <c r="K43" s="12" t="n">
        <v>2017</v>
      </c>
      <c r="L43" s="12" t="n">
        <v>1973</v>
      </c>
      <c r="M43" s="12" t="n">
        <v>892</v>
      </c>
      <c r="N43" s="12" t="n">
        <v>2572</v>
      </c>
      <c r="O43" s="11" t="n">
        <v>4551</v>
      </c>
      <c r="P43" s="12" t="n">
        <v>4486</v>
      </c>
      <c r="Q43" s="12" t="n">
        <v>4099</v>
      </c>
      <c r="R43" s="12" t="n">
        <v>4626</v>
      </c>
      <c r="S43" s="12" t="n">
        <v>4550</v>
      </c>
      <c r="T43" s="12" t="n">
        <v>3291</v>
      </c>
      <c r="U43" s="12" t="n">
        <v>2545</v>
      </c>
      <c r="V43" s="12" t="n">
        <v>3490</v>
      </c>
      <c r="W43" s="12" t="n">
        <v>4672</v>
      </c>
      <c r="X43" s="12" t="n">
        <v>5444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291</v>
      </c>
      <c r="D45" s="22" t="n">
        <v>671</v>
      </c>
      <c r="E45" s="22" t="n">
        <v>241</v>
      </c>
      <c r="F45" s="22" t="n">
        <v>279</v>
      </c>
      <c r="G45" s="22" t="n">
        <v>534</v>
      </c>
      <c r="H45" s="22" t="n">
        <v>431</v>
      </c>
      <c r="I45" s="22" t="n">
        <v>173</v>
      </c>
      <c r="J45" s="22" t="n">
        <v>340</v>
      </c>
      <c r="K45" s="22" t="n">
        <v>640</v>
      </c>
      <c r="L45" s="22" t="n">
        <v>421</v>
      </c>
      <c r="M45" s="22" t="n">
        <v>314</v>
      </c>
      <c r="N45" s="22" t="n">
        <v>856</v>
      </c>
      <c r="O45" s="21" t="n">
        <v>1290</v>
      </c>
      <c r="P45" s="22" t="n">
        <v>1323</v>
      </c>
      <c r="Q45" s="22" t="n">
        <v>1312</v>
      </c>
      <c r="R45" s="22" t="n">
        <v>1499</v>
      </c>
      <c r="S45" s="22" t="n">
        <v>1412</v>
      </c>
      <c r="T45" s="22" t="n">
        <v>1045</v>
      </c>
      <c r="U45" s="22" t="n">
        <v>822</v>
      </c>
      <c r="V45" s="22" t="n">
        <v>1114</v>
      </c>
      <c r="W45" s="22" t="n">
        <v>1485</v>
      </c>
      <c r="X45" s="22" t="n">
        <v>1574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377</v>
      </c>
      <c r="D47" s="12" t="n">
        <v>1797</v>
      </c>
      <c r="E47" s="12" t="n">
        <v>390</v>
      </c>
      <c r="F47" s="12" t="n">
        <v>587</v>
      </c>
      <c r="G47" s="12" t="n">
        <v>1046</v>
      </c>
      <c r="H47" s="12" t="n">
        <v>1164</v>
      </c>
      <c r="I47" s="12" t="n">
        <v>313</v>
      </c>
      <c r="J47" s="12" t="n">
        <v>627</v>
      </c>
      <c r="K47" s="12" t="n">
        <v>1377</v>
      </c>
      <c r="L47" s="12" t="n">
        <v>1553</v>
      </c>
      <c r="M47" s="12" t="n">
        <v>578</v>
      </c>
      <c r="N47" s="12" t="n">
        <v>1715</v>
      </c>
      <c r="O47" s="11" t="n">
        <v>3260</v>
      </c>
      <c r="P47" s="12" t="n">
        <v>3163</v>
      </c>
      <c r="Q47" s="12" t="n">
        <v>2787</v>
      </c>
      <c r="R47" s="12" t="n">
        <v>3126</v>
      </c>
      <c r="S47" s="12" t="n">
        <v>3138</v>
      </c>
      <c r="T47" s="12" t="n">
        <v>2246</v>
      </c>
      <c r="U47" s="12" t="n">
        <v>1723</v>
      </c>
      <c r="V47" s="12" t="n">
        <v>2376</v>
      </c>
      <c r="W47" s="12" t="n">
        <v>3187</v>
      </c>
      <c r="X47" s="12" t="n">
        <v>3870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377</v>
      </c>
      <c r="D49" s="12" t="n">
        <v>1630</v>
      </c>
      <c r="E49" s="12" t="n">
        <v>390</v>
      </c>
      <c r="F49" s="12" t="n">
        <v>587</v>
      </c>
      <c r="G49" s="12" t="n">
        <v>1046</v>
      </c>
      <c r="H49" s="12" t="n">
        <v>1164</v>
      </c>
      <c r="I49" s="12" t="n">
        <v>313</v>
      </c>
      <c r="J49" s="12" t="n">
        <v>627</v>
      </c>
      <c r="K49" s="12" t="n">
        <v>1377</v>
      </c>
      <c r="L49" s="12" t="n">
        <v>1553</v>
      </c>
      <c r="M49" s="12" t="n">
        <v>578</v>
      </c>
      <c r="N49" s="12" t="n">
        <v>1715</v>
      </c>
      <c r="O49" s="11" t="n">
        <v>3204</v>
      </c>
      <c r="P49" s="12" t="n">
        <v>3284</v>
      </c>
      <c r="Q49" s="12" t="n">
        <v>2787</v>
      </c>
      <c r="R49" s="12" t="n">
        <v>3126</v>
      </c>
      <c r="S49" s="12" t="n">
        <v>3175</v>
      </c>
      <c r="T49" s="12" t="n">
        <v>2246</v>
      </c>
      <c r="U49" s="12" t="n">
        <v>1628</v>
      </c>
      <c r="V49" s="12" t="n">
        <v>2209</v>
      </c>
      <c r="W49" s="12" t="n">
        <v>3187</v>
      </c>
      <c r="X49" s="12" t="n">
        <v>3870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12676</v>
      </c>
      <c r="D84" s="12" t="n">
        <v>15772</v>
      </c>
      <c r="E84" s="12" t="n">
        <v>13079</v>
      </c>
      <c r="F84" s="12" t="n">
        <v>13292</v>
      </c>
      <c r="G84" s="12" t="n">
        <v>15004</v>
      </c>
      <c r="H84" s="12" t="n">
        <v>14232</v>
      </c>
      <c r="I84" s="12" t="n">
        <v>12071</v>
      </c>
      <c r="J84" s="12" t="n">
        <v>14636</v>
      </c>
      <c r="K84" s="12" t="n">
        <v>17204</v>
      </c>
      <c r="L84" s="12" t="n">
        <v>17117</v>
      </c>
      <c r="M84" s="12" t="n">
        <v>14321</v>
      </c>
      <c r="N84" s="12" t="n">
        <v>18959</v>
      </c>
      <c r="T84" s="12" t="n">
        <v>13121</v>
      </c>
      <c r="U84" s="12" t="n">
        <v>11915</v>
      </c>
      <c r="V84" s="12" t="n">
        <v>15772</v>
      </c>
      <c r="W84" s="12" t="n">
        <v>14232</v>
      </c>
      <c r="X84" s="12" t="n">
        <v>17117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10622</v>
      </c>
      <c r="D86" s="22" t="n">
        <v>12576</v>
      </c>
      <c r="E86" s="22" t="n">
        <v>11048</v>
      </c>
      <c r="F86" s="22" t="n">
        <v>11030</v>
      </c>
      <c r="G86" s="22" t="n">
        <v>11976</v>
      </c>
      <c r="H86" s="22" t="n">
        <v>11185</v>
      </c>
      <c r="I86" s="22" t="n">
        <v>10053</v>
      </c>
      <c r="J86" s="22" t="n">
        <v>12107</v>
      </c>
      <c r="K86" s="22" t="n">
        <v>13704</v>
      </c>
      <c r="L86" s="22" t="n">
        <v>13588</v>
      </c>
      <c r="M86" s="22" t="n">
        <v>11640</v>
      </c>
      <c r="N86" s="22" t="n">
        <v>14936</v>
      </c>
      <c r="T86" s="22" t="n">
        <v>10898</v>
      </c>
      <c r="U86" s="22" t="n">
        <v>9427</v>
      </c>
      <c r="V86" s="22" t="n">
        <v>12576</v>
      </c>
      <c r="W86" s="22" t="n">
        <v>11185</v>
      </c>
      <c r="X86" s="22" t="n">
        <v>13588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2054</v>
      </c>
      <c r="D88" s="12" t="n">
        <v>3196</v>
      </c>
      <c r="E88" s="12" t="n">
        <v>2031</v>
      </c>
      <c r="F88" s="12" t="n">
        <v>2262</v>
      </c>
      <c r="G88" s="12" t="n">
        <v>3027</v>
      </c>
      <c r="H88" s="12" t="n">
        <v>3048</v>
      </c>
      <c r="I88" s="12" t="n">
        <v>2018</v>
      </c>
      <c r="J88" s="12" t="n">
        <v>2529</v>
      </c>
      <c r="K88" s="12" t="n">
        <v>3499</v>
      </c>
      <c r="L88" s="12" t="n">
        <v>3530</v>
      </c>
      <c r="M88" s="12" t="n">
        <v>2680</v>
      </c>
      <c r="N88" s="12" t="n">
        <v>4024</v>
      </c>
      <c r="T88" s="12" t="n">
        <v>2224</v>
      </c>
      <c r="U88" s="12" t="n">
        <v>2487</v>
      </c>
      <c r="V88" s="12" t="n">
        <v>3196</v>
      </c>
      <c r="W88" s="12" t="n">
        <v>3048</v>
      </c>
      <c r="X88" s="12" t="n">
        <v>3530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1441</v>
      </c>
      <c r="D90" s="22" t="n">
        <v>668</v>
      </c>
      <c r="E90" s="22" t="n">
        <v>1549</v>
      </c>
      <c r="F90" s="22" t="n">
        <v>1487</v>
      </c>
      <c r="G90" s="22" t="n">
        <v>1526</v>
      </c>
      <c r="H90" s="22" t="n">
        <v>1454</v>
      </c>
      <c r="I90" s="22" t="n">
        <v>1632</v>
      </c>
      <c r="J90" s="22" t="n">
        <v>1653</v>
      </c>
      <c r="K90" s="22" t="n">
        <v>1552</v>
      </c>
      <c r="L90" s="22" t="n">
        <v>1618</v>
      </c>
      <c r="M90" s="22" t="n">
        <v>1874</v>
      </c>
      <c r="N90" s="22" t="n">
        <v>1721</v>
      </c>
      <c r="T90" s="22" t="n">
        <v>811</v>
      </c>
      <c r="U90" s="22" t="n">
        <v>729</v>
      </c>
      <c r="V90" s="22" t="n">
        <v>668</v>
      </c>
      <c r="W90" s="22" t="n">
        <v>1454</v>
      </c>
      <c r="X90" s="22" t="n">
        <v>1618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612</v>
      </c>
      <c r="D92" s="12" t="n">
        <v>2529</v>
      </c>
      <c r="E92" s="12" t="n">
        <v>481</v>
      </c>
      <c r="F92" s="12" t="n">
        <v>775</v>
      </c>
      <c r="G92" s="12" t="n">
        <v>1502</v>
      </c>
      <c r="H92" s="12" t="n">
        <v>1593</v>
      </c>
      <c r="I92" s="12" t="n">
        <v>386</v>
      </c>
      <c r="J92" s="12" t="n">
        <v>876</v>
      </c>
      <c r="K92" s="12" t="n">
        <v>1947</v>
      </c>
      <c r="L92" s="12" t="n">
        <v>1912</v>
      </c>
      <c r="M92" s="12" t="n">
        <v>806</v>
      </c>
      <c r="N92" s="12" t="n">
        <v>2302</v>
      </c>
      <c r="T92" s="12" t="n">
        <v>1412</v>
      </c>
      <c r="U92" s="12" t="n">
        <v>1758</v>
      </c>
      <c r="V92" s="12" t="n">
        <v>2529</v>
      </c>
      <c r="W92" s="12" t="n">
        <v>1593</v>
      </c>
      <c r="X92" s="12" t="n">
        <v>1912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배당금수익</t>
        </is>
      </c>
      <c r="C95" s="22" t="n">
        <v>8</v>
      </c>
      <c r="D95" s="22" t="n">
        <v>0</v>
      </c>
      <c r="E95" s="22" t="n">
        <v>13</v>
      </c>
      <c r="F95" s="22" t="n">
        <v>33</v>
      </c>
      <c r="G95" s="22" t="n">
        <v>10</v>
      </c>
      <c r="H95" s="22" t="n">
        <v>0</v>
      </c>
      <c r="I95" s="22" t="n">
        <v>17</v>
      </c>
      <c r="M95" s="22" t="n">
        <v>24</v>
      </c>
      <c r="V95" s="22" t="n">
        <v>0</v>
      </c>
      <c r="W95" s="22" t="n">
        <v>0</v>
      </c>
    </row>
    <row r="96">
      <c r="A96" s="20" t="inlineStr">
        <is>
          <t>수수료 수익</t>
        </is>
      </c>
      <c r="C96" s="22" t="n">
        <v>18</v>
      </c>
      <c r="D96" s="22" t="n">
        <v>15</v>
      </c>
      <c r="E96" s="22" t="n">
        <v>19</v>
      </c>
      <c r="F96" s="22" t="n">
        <v>20</v>
      </c>
      <c r="G96" s="22" t="n">
        <v>20</v>
      </c>
      <c r="H96" s="22" t="n">
        <v>17</v>
      </c>
      <c r="I96" s="22" t="n">
        <v>21</v>
      </c>
      <c r="J96" s="22" t="n">
        <v>18</v>
      </c>
      <c r="K96" s="22" t="n">
        <v>20</v>
      </c>
      <c r="L96" s="22" t="n">
        <v>16</v>
      </c>
      <c r="M96" s="22" t="n">
        <v>22</v>
      </c>
      <c r="N96" s="22" t="n">
        <v>18</v>
      </c>
      <c r="T96" s="22" t="n">
        <v>15</v>
      </c>
      <c r="U96" s="22" t="n">
        <v>16</v>
      </c>
      <c r="V96" s="22" t="n">
        <v>15</v>
      </c>
      <c r="W96" s="22" t="n">
        <v>17</v>
      </c>
      <c r="X96" s="22" t="n">
        <v>16</v>
      </c>
    </row>
    <row r="97">
      <c r="A97" s="20" t="inlineStr">
        <is>
          <t>유가증권 평가이익</t>
        </is>
      </c>
      <c r="E97" s="22" t="n">
        <v>0</v>
      </c>
      <c r="I97" s="22" t="n">
        <v>11</v>
      </c>
      <c r="M97" s="22" t="n">
        <v>0</v>
      </c>
    </row>
    <row r="98">
      <c r="A98" s="20" t="inlineStr">
        <is>
          <t>기타</t>
        </is>
      </c>
      <c r="C98" s="22" t="n">
        <v>27</v>
      </c>
      <c r="D98" s="22" t="n">
        <v>-18</v>
      </c>
      <c r="E98" s="22" t="n">
        <v>42</v>
      </c>
      <c r="F98" s="22" t="n">
        <v>139</v>
      </c>
      <c r="G98" s="22" t="n">
        <v>10</v>
      </c>
      <c r="H98" s="22" t="n">
        <v>-100</v>
      </c>
      <c r="I98" s="22" t="n">
        <v>52</v>
      </c>
      <c r="J98" s="22" t="n">
        <v>85</v>
      </c>
      <c r="K98" s="22" t="n">
        <v>80</v>
      </c>
      <c r="L98" s="22" t="n">
        <v>-120</v>
      </c>
      <c r="M98" s="22" t="n">
        <v>45</v>
      </c>
      <c r="N98" s="22" t="n">
        <v>54</v>
      </c>
      <c r="T98" s="22" t="n">
        <v>-16</v>
      </c>
      <c r="U98" s="22" t="n">
        <v>-23</v>
      </c>
      <c r="V98" s="22" t="n">
        <v>-18</v>
      </c>
      <c r="W98" s="22" t="n">
        <v>-100</v>
      </c>
      <c r="X98" s="22" t="n">
        <v>-120</v>
      </c>
    </row>
    <row r="99">
      <c r="A99" s="20" t="inlineStr">
        <is>
          <t>영업외수익 합계</t>
        </is>
      </c>
      <c r="C99" s="22" t="n">
        <v>54</v>
      </c>
      <c r="D99" s="22" t="n">
        <v>23</v>
      </c>
      <c r="E99" s="22" t="n">
        <v>76</v>
      </c>
      <c r="F99" s="22" t="n">
        <v>105</v>
      </c>
      <c r="G99" s="22" t="n">
        <v>69</v>
      </c>
      <c r="H99" s="22" t="n">
        <v>29</v>
      </c>
      <c r="I99" s="22" t="n">
        <v>101</v>
      </c>
      <c r="J99" s="22" t="n">
        <v>104</v>
      </c>
      <c r="K99" s="22" t="n">
        <v>71</v>
      </c>
      <c r="L99" s="22" t="n">
        <v>72</v>
      </c>
      <c r="M99" s="22" t="n">
        <v>92</v>
      </c>
      <c r="N99" s="22" t="n">
        <v>101</v>
      </c>
      <c r="T99" s="22" t="n">
        <v>42</v>
      </c>
      <c r="U99" s="22" t="n">
        <v>38</v>
      </c>
      <c r="V99" s="22" t="n">
        <v>23</v>
      </c>
      <c r="W99" s="22" t="n">
        <v>29</v>
      </c>
      <c r="X99" s="22" t="n">
        <v>72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IF(OR(G99="",C99=""),"",IF(G99*C99&lt;=0,"",IFERROR(G99/C99-1,"")))</f>
        <v/>
      </c>
      <c r="H100" s="17">
        <f>IF(OR(H99="",D99=""),"",IF(H99*D99&lt;=0,"",IFERROR(H99/D99-1,"")))</f>
        <v/>
      </c>
      <c r="I100" s="17">
        <f>IF(OR(I99="",E99=""),"",IF(I99*E99&lt;=0,"",IFERROR(I99/E99-1,"")))</f>
        <v/>
      </c>
      <c r="J100" s="17">
        <f>IF(OR(J99="",F99=""),"",IF(J99*F99&lt;=0,"",IFERROR(J99/F99-1,"")))</f>
        <v/>
      </c>
      <c r="K100" s="17">
        <f>IF(OR(K99="",G99=""),"",IF(K99*G99&lt;=0,"",IFERROR(K99/G99-1,"")))</f>
        <v/>
      </c>
      <c r="L100" s="17">
        <f>IF(OR(L99="",H99=""),"",IF(L99*H99&lt;=0,"",IFERROR(L99/H99-1,"")))</f>
        <v/>
      </c>
      <c r="M100" s="17">
        <f>IF(OR(M99="",I99=""),"",IF(M99*I99&lt;=0,"",IFERROR(M99/I99-1,"")))</f>
        <v/>
      </c>
      <c r="N100" s="17">
        <f>IF(OR(N99="",J99=""),"",IF(N99*J99&lt;=0,"",IFERROR(N99/J99-1,"")))</f>
        <v/>
      </c>
      <c r="T100" s="17">
        <f>IF(OR(T99="",S99=""),"",IF(T99*S99&lt;=0,"",IFERROR(T99/S99-1,"")))</f>
        <v/>
      </c>
      <c r="U100" s="17">
        <f>IF(OR(U99="",T99=""),"",IF(U99*T99&lt;=0,"",IFERROR(U99/T99-1,"")))</f>
        <v/>
      </c>
      <c r="V100" s="17">
        <f>IF(OR(V99="",U99=""),"",IF(V99*U99&lt;=0,"",IFERROR(V99/U99-1,"")))</f>
        <v/>
      </c>
      <c r="W100" s="17">
        <f>IF(OR(W99="",V99=""),"",IF(W99*V99&lt;=0,"",IFERROR(W99/V99-1,"")))</f>
        <v/>
      </c>
      <c r="X100" s="17">
        <f>IF(OR(X99="",W99=""),"",IF(X99*W99&lt;=0,"",IFERROR(X99/W99-1,"")))</f>
        <v/>
      </c>
    </row>
    <row r="101">
      <c r="A101" s="20" t="inlineStr">
        <is>
          <t>이자비용</t>
        </is>
      </c>
      <c r="C101" s="22" t="n">
        <v>0</v>
      </c>
      <c r="D101" s="22" t="n">
        <v>1</v>
      </c>
      <c r="E101" s="22" t="n">
        <v>1</v>
      </c>
      <c r="F101" s="22" t="n">
        <v>1</v>
      </c>
      <c r="G101" s="22" t="n">
        <v>0</v>
      </c>
      <c r="H101" s="22" t="n">
        <v>2</v>
      </c>
      <c r="I101" s="22" t="n">
        <v>1</v>
      </c>
      <c r="J101" s="22" t="n">
        <v>1</v>
      </c>
      <c r="K101" s="22" t="n">
        <v>2</v>
      </c>
      <c r="L101" s="22" t="n">
        <v>1</v>
      </c>
      <c r="M101" s="22" t="n">
        <v>1</v>
      </c>
      <c r="N101" s="22" t="n">
        <v>2</v>
      </c>
      <c r="T101" s="22" t="n">
        <v>0</v>
      </c>
      <c r="U101" s="22" t="n">
        <v>0</v>
      </c>
      <c r="V101" s="22" t="n">
        <v>1</v>
      </c>
      <c r="W101" s="22" t="n">
        <v>2</v>
      </c>
      <c r="X101" s="22" t="n">
        <v>1</v>
      </c>
    </row>
    <row r="102">
      <c r="A102" s="20" t="inlineStr">
        <is>
          <t>유가증권 평가손실</t>
        </is>
      </c>
      <c r="C102" s="22" t="n">
        <v>0</v>
      </c>
      <c r="D102" s="22" t="n">
        <v>0</v>
      </c>
      <c r="G102" s="22" t="n">
        <v>-11</v>
      </c>
      <c r="H102" s="22" t="n">
        <v>3</v>
      </c>
      <c r="L102" s="22" t="n">
        <v>0</v>
      </c>
      <c r="V102" s="22" t="n">
        <v>0</v>
      </c>
      <c r="W102" s="22" t="n">
        <v>3</v>
      </c>
      <c r="X102" s="22" t="n">
        <v>0</v>
      </c>
    </row>
    <row r="103">
      <c r="A103" s="20" t="inlineStr">
        <is>
          <t>기타</t>
        </is>
      </c>
      <c r="C103" s="22" t="n">
        <v>0</v>
      </c>
      <c r="D103" s="22" t="n">
        <v>-2</v>
      </c>
      <c r="E103" s="22" t="n">
        <v>3</v>
      </c>
      <c r="F103" s="22" t="n">
        <v>18</v>
      </c>
      <c r="G103" s="22" t="n">
        <v>-18</v>
      </c>
      <c r="H103" s="22" t="n">
        <v>-2</v>
      </c>
      <c r="I103" s="22" t="n">
        <v>3</v>
      </c>
      <c r="J103" s="22" t="n">
        <v>0</v>
      </c>
      <c r="K103" s="22" t="n">
        <v>1</v>
      </c>
      <c r="L103" s="22" t="n">
        <v>0</v>
      </c>
      <c r="M103" s="22" t="n">
        <v>1</v>
      </c>
      <c r="N103" s="22" t="n">
        <v>0</v>
      </c>
      <c r="T103" s="22" t="n">
        <v>0</v>
      </c>
      <c r="U103" s="22" t="n">
        <v>1</v>
      </c>
      <c r="V103" s="22" t="n">
        <v>-2</v>
      </c>
      <c r="W103" s="22" t="n">
        <v>-2</v>
      </c>
      <c r="X103" s="22" t="n">
        <v>0</v>
      </c>
    </row>
    <row r="104">
      <c r="A104" s="20" t="inlineStr">
        <is>
          <t>영업외비용 합계</t>
        </is>
      </c>
      <c r="C104" s="22" t="n">
        <v>1</v>
      </c>
      <c r="D104" s="22" t="n">
        <v>0</v>
      </c>
      <c r="E104" s="22" t="n">
        <v>4</v>
      </c>
      <c r="F104" s="22" t="n">
        <v>19</v>
      </c>
      <c r="G104" s="22" t="n">
        <v>-9</v>
      </c>
      <c r="H104" s="22" t="n">
        <v>5</v>
      </c>
      <c r="I104" s="22" t="n">
        <v>4</v>
      </c>
      <c r="J104" s="22" t="n">
        <v>2</v>
      </c>
      <c r="K104" s="22" t="n">
        <v>2</v>
      </c>
      <c r="L104" s="22" t="n">
        <v>10</v>
      </c>
      <c r="M104" s="22" t="n">
        <v>3</v>
      </c>
      <c r="N104" s="22" t="n">
        <v>2</v>
      </c>
      <c r="T104" s="22" t="n">
        <v>0</v>
      </c>
      <c r="U104" s="22" t="n">
        <v>0</v>
      </c>
      <c r="V104" s="22" t="n">
        <v>0</v>
      </c>
      <c r="W104" s="22" t="n">
        <v>5</v>
      </c>
      <c r="X104" s="22" t="n">
        <v>10</v>
      </c>
    </row>
    <row r="105">
      <c r="A105" s="45" t="inlineStr">
        <is>
          <t>YoY</t>
        </is>
      </c>
      <c r="B105" s="3" t="inlineStr">
        <is>
          <t>전년 같은 분기·전년 대비</t>
        </is>
      </c>
      <c r="G105" s="17">
        <f>IF(OR(G104="",C104=""),"",IF(G104*C104&lt;=0,"",IFERROR(G104/C104-1,"")))</f>
        <v/>
      </c>
      <c r="H105" s="17">
        <f>IF(OR(H104="",D104=""),"",IF(H104*D104&lt;=0,"",IFERROR(H104/D104-1,"")))</f>
        <v/>
      </c>
      <c r="I105" s="17">
        <f>IF(OR(I104="",E104=""),"",IF(I104*E104&lt;=0,"",IFERROR(I104/E104-1,"")))</f>
        <v/>
      </c>
      <c r="J105" s="17">
        <f>IF(OR(J104="",F104=""),"",IF(J104*F104&lt;=0,"",IFERROR(J104/F104-1,"")))</f>
        <v/>
      </c>
      <c r="K105" s="17">
        <f>IF(OR(K104="",G104=""),"",IF(K104*G104&lt;=0,"",IFERROR(K104/G104-1,"")))</f>
        <v/>
      </c>
      <c r="L105" s="17">
        <f>IF(OR(L104="",H104=""),"",IF(L104*H104&lt;=0,"",IFERROR(L104/H104-1,"")))</f>
        <v/>
      </c>
      <c r="M105" s="17">
        <f>IF(OR(M104="",I104=""),"",IF(M104*I104&lt;=0,"",IFERROR(M104/I104-1,"")))</f>
        <v/>
      </c>
      <c r="N105" s="17">
        <f>IF(OR(N104="",J104=""),"",IF(N104*J104&lt;=0,"",IFERROR(N104/J104-1,"")))</f>
        <v/>
      </c>
      <c r="T105" s="17">
        <f>IF(OR(T104="",S104=""),"",IF(T104*S104&lt;=0,"",IFERROR(T104/S104-1,"")))</f>
        <v/>
      </c>
      <c r="U105" s="17">
        <f>IF(OR(U104="",T104=""),"",IF(U104*T104&lt;=0,"",IFERROR(U104/T104-1,"")))</f>
        <v/>
      </c>
      <c r="V105" s="17">
        <f>IF(OR(V104="",U104=""),"",IF(V104*U104&lt;=0,"",IFERROR(V104/U104-1,"")))</f>
        <v/>
      </c>
      <c r="W105" s="17">
        <f>IF(OR(W104="",V104=""),"",IF(W104*V104&lt;=0,"",IFERROR(W104/V104-1,"")))</f>
        <v/>
      </c>
      <c r="X105" s="17">
        <f>IF(OR(X104="",W104=""),"",IF(X104*W104&lt;=0,"",IFERROR(X104/W104-1,"")))</f>
        <v/>
      </c>
    </row>
    <row r="106">
      <c r="A106" s="9" t="inlineStr">
        <is>
          <t>경상이익</t>
        </is>
      </c>
      <c r="C106" s="12" t="n">
        <v>667</v>
      </c>
      <c r="D106" s="12" t="n">
        <v>2551</v>
      </c>
      <c r="E106" s="12" t="n">
        <v>553</v>
      </c>
      <c r="F106" s="12" t="n">
        <v>862</v>
      </c>
      <c r="G106" s="12" t="n">
        <v>1579</v>
      </c>
      <c r="H106" s="12" t="n">
        <v>1617</v>
      </c>
      <c r="I106" s="12" t="n">
        <v>482</v>
      </c>
      <c r="J106" s="12" t="n">
        <v>979</v>
      </c>
      <c r="K106" s="12" t="n">
        <v>2017</v>
      </c>
      <c r="L106" s="12" t="n">
        <v>1973</v>
      </c>
      <c r="M106" s="12" t="n">
        <v>895</v>
      </c>
      <c r="N106" s="12" t="n">
        <v>2401</v>
      </c>
      <c r="T106" s="12" t="n">
        <v>1454</v>
      </c>
      <c r="U106" s="12" t="n">
        <v>1795</v>
      </c>
      <c r="V106" s="12" t="n">
        <v>2551</v>
      </c>
      <c r="W106" s="12" t="n">
        <v>1617</v>
      </c>
      <c r="X106" s="12" t="n">
        <v>1973</v>
      </c>
    </row>
    <row r="107">
      <c r="A107" s="45" t="inlineStr">
        <is>
          <t>YoY</t>
        </is>
      </c>
      <c r="B107" s="3" t="inlineStr">
        <is>
          <t>전년 같은 분기·전년 대비</t>
        </is>
      </c>
      <c r="G107" s="17">
        <f>IF(OR(G106="",C106=""),"",IF(C106&lt;=0,"",IFERROR(G106/C106-1,"")))</f>
        <v/>
      </c>
      <c r="H107" s="17">
        <f>IF(OR(H106="",D106=""),"",IF(D106&lt;=0,"",IFERROR(H106/D106-1,"")))</f>
        <v/>
      </c>
      <c r="I107" s="17">
        <f>IF(OR(I106="",E106=""),"",IF(E106&lt;=0,"",IFERROR(I106/E106-1,"")))</f>
        <v/>
      </c>
      <c r="J107" s="17">
        <f>IF(OR(J106="",F106=""),"",IF(F106&lt;=0,"",IFERROR(J106/F106-1,"")))</f>
        <v/>
      </c>
      <c r="K107" s="17">
        <f>IF(OR(K106="",G106=""),"",IF(G106&lt;=0,"",IFERROR(K106/G106-1,"")))</f>
        <v/>
      </c>
      <c r="L107" s="17">
        <f>IF(OR(L106="",H106=""),"",IF(H106&lt;=0,"",IFERROR(L106/H106-1,"")))</f>
        <v/>
      </c>
      <c r="M107" s="17">
        <f>IF(OR(M106="",I106=""),"",IF(I106&lt;=0,"",IFERROR(M106/I106-1,"")))</f>
        <v/>
      </c>
      <c r="N107" s="17">
        <f>IF(OR(N106="",J106=""),"",IF(J106&lt;=0,"",IFERROR(N106/J106-1,"")))</f>
        <v/>
      </c>
      <c r="T107" s="17">
        <f>IF(OR(T106="",S106=""),"",IF(S106&lt;=0,"",IFERROR(T106/S106-1,"")))</f>
        <v/>
      </c>
      <c r="U107" s="17">
        <f>IF(OR(U106="",T106=""),"",IF(T106&lt;=0,"",IFERROR(U106/T106-1,"")))</f>
        <v/>
      </c>
      <c r="V107" s="17">
        <f>IF(OR(V106="",U106=""),"",IF(U106&lt;=0,"",IFERROR(V106/U106-1,"")))</f>
        <v/>
      </c>
      <c r="W107" s="17">
        <f>IF(OR(W106="",V106=""),"",IF(V106&lt;=0,"",IFERROR(W106/V106-1,"")))</f>
        <v/>
      </c>
      <c r="X107" s="17">
        <f>IF(OR(X106="",W106=""),"",IF(W106&lt;=0,"",IFERROR(X106/W106-1,"")))</f>
        <v/>
      </c>
    </row>
    <row r="108">
      <c r="A108" s="20" t="inlineStr">
        <is>
          <t>고정자산 매각이익</t>
        </is>
      </c>
      <c r="C108" s="22" t="n">
        <v>3</v>
      </c>
      <c r="D108" s="22" t="n">
        <v>-1</v>
      </c>
      <c r="G108" s="22" t="n">
        <v>0</v>
      </c>
      <c r="H108" s="22" t="n">
        <v>2</v>
      </c>
      <c r="K108" s="22" t="n">
        <v>0</v>
      </c>
      <c r="L108" s="22" t="n">
        <v>1</v>
      </c>
      <c r="T108" s="22" t="n">
        <v>1</v>
      </c>
      <c r="U108" s="22" t="n">
        <v>0</v>
      </c>
      <c r="V108" s="22" t="n">
        <v>-1</v>
      </c>
      <c r="W108" s="22" t="n">
        <v>2</v>
      </c>
      <c r="X108" s="22" t="n">
        <v>1</v>
      </c>
    </row>
    <row r="109">
      <c r="A109" s="20" t="inlineStr">
        <is>
          <t>투자유가증권 매각이익</t>
        </is>
      </c>
      <c r="C109" s="22" t="n">
        <v>0</v>
      </c>
      <c r="D109" s="22" t="n">
        <v>0</v>
      </c>
      <c r="E109" s="22" t="n">
        <v>82</v>
      </c>
      <c r="F109" s="22" t="n">
        <v>5</v>
      </c>
      <c r="G109" s="22" t="n">
        <v>0</v>
      </c>
      <c r="H109" s="22" t="n">
        <v>0</v>
      </c>
      <c r="I109" s="22" t="n">
        <v>6</v>
      </c>
      <c r="J109" s="22" t="n">
        <v>0</v>
      </c>
      <c r="K109" s="22" t="n">
        <v>0</v>
      </c>
      <c r="L109" s="22" t="n">
        <v>0</v>
      </c>
      <c r="M109" s="22" t="n">
        <v>0</v>
      </c>
      <c r="V109" s="22" t="n">
        <v>0</v>
      </c>
      <c r="W109" s="22" t="n">
        <v>0</v>
      </c>
      <c r="X109" s="22" t="n">
        <v>0</v>
      </c>
    </row>
    <row r="110">
      <c r="A110" s="20" t="inlineStr">
        <is>
          <t>기타</t>
        </is>
      </c>
      <c r="C110" s="22" t="n">
        <v>3</v>
      </c>
      <c r="D110" s="22" t="n">
        <v>-1</v>
      </c>
      <c r="E110" s="22" t="n">
        <v>0</v>
      </c>
      <c r="F110" s="22" t="n">
        <v>1</v>
      </c>
      <c r="G110" s="22" t="n">
        <v>-1</v>
      </c>
      <c r="H110" s="22" t="n">
        <v>0</v>
      </c>
      <c r="I110" s="22" t="n">
        <v>0</v>
      </c>
      <c r="J110" s="22" t="n">
        <v>9</v>
      </c>
      <c r="K110" s="22" t="n">
        <v>-9</v>
      </c>
      <c r="L110" s="22" t="n">
        <v>0</v>
      </c>
      <c r="T110" s="22" t="n">
        <v>0</v>
      </c>
      <c r="U110" s="22" t="n">
        <v>0</v>
      </c>
      <c r="V110" s="22" t="n">
        <v>-1</v>
      </c>
      <c r="W110" s="22" t="n">
        <v>0</v>
      </c>
      <c r="X110" s="22" t="n">
        <v>0</v>
      </c>
    </row>
    <row r="111">
      <c r="A111" s="20" t="inlineStr">
        <is>
          <t>특별이익 합계</t>
        </is>
      </c>
      <c r="C111" s="22" t="n">
        <v>3</v>
      </c>
      <c r="D111" s="22" t="n">
        <v>-1</v>
      </c>
      <c r="E111" s="22" t="n">
        <v>82</v>
      </c>
      <c r="F111" s="22" t="n">
        <v>6</v>
      </c>
      <c r="G111" s="22" t="n">
        <v>1</v>
      </c>
      <c r="H111" s="22" t="n">
        <v>1</v>
      </c>
      <c r="I111" s="22" t="n">
        <v>6</v>
      </c>
      <c r="J111" s="22" t="n">
        <v>3</v>
      </c>
      <c r="K111" s="22" t="n">
        <v>0</v>
      </c>
      <c r="L111" s="22" t="n">
        <v>2</v>
      </c>
      <c r="M111" s="22" t="n">
        <v>0</v>
      </c>
      <c r="N111" s="22" t="n">
        <v>170</v>
      </c>
      <c r="T111" s="22" t="n">
        <v>1</v>
      </c>
      <c r="U111" s="22" t="n">
        <v>0</v>
      </c>
      <c r="V111" s="22" t="n">
        <v>-1</v>
      </c>
      <c r="W111" s="22" t="n">
        <v>1</v>
      </c>
      <c r="X111" s="22" t="n">
        <v>2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IF(OR(G111="",C111=""),"",IF(G111*C111&lt;=0,"",IFERROR(G111/C111-1,"")))</f>
        <v/>
      </c>
      <c r="H112" s="17">
        <f>IF(OR(H111="",D111=""),"",IF(H111*D111&lt;=0,"",IFERROR(H111/D111-1,"")))</f>
        <v/>
      </c>
      <c r="I112" s="17">
        <f>IF(OR(I111="",E111=""),"",IF(I111*E111&lt;=0,"",IFERROR(I111/E111-1,"")))</f>
        <v/>
      </c>
      <c r="J112" s="17">
        <f>IF(OR(J111="",F111=""),"",IF(J111*F111&lt;=0,"",IFERROR(J111/F111-1,"")))</f>
        <v/>
      </c>
      <c r="K112" s="17">
        <f>IF(OR(K111="",G111=""),"",IF(K111*G111&lt;=0,"",IFERROR(K111/G111-1,"")))</f>
        <v/>
      </c>
      <c r="L112" s="17">
        <f>IF(OR(L111="",H111=""),"",IF(L111*H111&lt;=0,"",IFERROR(L111/H111-1,"")))</f>
        <v/>
      </c>
      <c r="M112" s="17">
        <f>IF(OR(M111="",I111=""),"",IF(M111*I111&lt;=0,"",IFERROR(M111/I111-1,"")))</f>
        <v/>
      </c>
      <c r="N112" s="17">
        <f>IF(OR(N111="",J111=""),"",IF(N111*J111&lt;=0,"",IFERROR(N111/J111-1,"")))</f>
        <v/>
      </c>
      <c r="T112" s="17">
        <f>IF(OR(T111="",S111=""),"",IF(T111*S111&lt;=0,"",IFERROR(T111/S111-1,"")))</f>
        <v/>
      </c>
      <c r="U112" s="17">
        <f>IF(OR(U111="",T111=""),"",IF(U111*T111&lt;=0,"",IFERROR(U111/T111-1,"")))</f>
        <v/>
      </c>
      <c r="V112" s="17">
        <f>IF(OR(V111="",U111=""),"",IF(V111*U111&lt;=0,"",IFERROR(V111/U111-1,"")))</f>
        <v/>
      </c>
      <c r="W112" s="17">
        <f>IF(OR(W111="",V111=""),"",IF(W111*V111&lt;=0,"",IFERROR(W111/V111-1,"")))</f>
        <v/>
      </c>
      <c r="X112" s="17">
        <f>IF(OR(X111="",W111=""),"",IF(X111*W111&lt;=0,"",IFERROR(X111/W111-1,"")))</f>
        <v/>
      </c>
    </row>
    <row r="113">
      <c r="A113" s="20" t="inlineStr">
        <is>
          <t>투자유가증권 평가손실</t>
        </is>
      </c>
      <c r="C113" s="22" t="n">
        <v>0</v>
      </c>
      <c r="D113" s="22" t="n">
        <v>0</v>
      </c>
      <c r="T113" s="22" t="n">
        <v>0</v>
      </c>
      <c r="U113" s="22" t="n">
        <v>0</v>
      </c>
      <c r="V113" s="22" t="n">
        <v>0</v>
      </c>
    </row>
    <row r="114">
      <c r="A114" s="20" t="inlineStr">
        <is>
          <t>고정자산 제각손실</t>
        </is>
      </c>
      <c r="C114" s="22" t="n">
        <v>0</v>
      </c>
      <c r="D114" s="22" t="n">
        <v>5</v>
      </c>
      <c r="E114" s="22" t="n">
        <v>0</v>
      </c>
      <c r="F114" s="22" t="n">
        <v>1</v>
      </c>
      <c r="G114" s="22" t="n">
        <v>0</v>
      </c>
      <c r="H114" s="22" t="n">
        <v>2</v>
      </c>
      <c r="I114" s="22" t="n">
        <v>1</v>
      </c>
      <c r="J114" s="22" t="n">
        <v>13</v>
      </c>
      <c r="K114" s="22" t="n">
        <v>0</v>
      </c>
      <c r="L114" s="22" t="n">
        <v>2</v>
      </c>
      <c r="M114" s="22" t="n">
        <v>2</v>
      </c>
      <c r="N114" s="22" t="n">
        <v>0</v>
      </c>
      <c r="T114" s="22" t="n">
        <v>0</v>
      </c>
      <c r="U114" s="22" t="n">
        <v>0</v>
      </c>
      <c r="V114" s="22" t="n">
        <v>5</v>
      </c>
      <c r="W114" s="22" t="n">
        <v>2</v>
      </c>
      <c r="X114" s="22" t="n">
        <v>2</v>
      </c>
    </row>
    <row r="115">
      <c r="A115" s="20" t="inlineStr">
        <is>
          <t>손상차손</t>
        </is>
      </c>
      <c r="C115" s="22" t="n">
        <v>0</v>
      </c>
      <c r="D115" s="22" t="n">
        <v>0</v>
      </c>
      <c r="E115" s="22" t="n">
        <v>3</v>
      </c>
      <c r="F115" s="22" t="n">
        <v>0</v>
      </c>
      <c r="G115" s="22" t="n">
        <v>0</v>
      </c>
      <c r="H115" s="22" t="n">
        <v>0</v>
      </c>
      <c r="I115" s="22" t="n">
        <v>0</v>
      </c>
      <c r="T115" s="22" t="n">
        <v>3</v>
      </c>
      <c r="U115" s="22" t="n">
        <v>0</v>
      </c>
      <c r="V115" s="22" t="n">
        <v>0</v>
      </c>
      <c r="W115" s="22" t="n">
        <v>0</v>
      </c>
    </row>
    <row r="116">
      <c r="A116" s="20" t="inlineStr">
        <is>
          <t>기타</t>
        </is>
      </c>
      <c r="C116" s="22" t="n">
        <v>0</v>
      </c>
      <c r="D116" s="22" t="n">
        <v>1</v>
      </c>
      <c r="E116" s="22" t="n">
        <v>0</v>
      </c>
      <c r="F116" s="22" t="n">
        <v>3</v>
      </c>
      <c r="G116" s="22" t="n">
        <v>-3</v>
      </c>
      <c r="H116" s="22" t="n">
        <v>4</v>
      </c>
      <c r="I116" s="22" t="n">
        <v>0</v>
      </c>
      <c r="J116" s="22" t="n">
        <v>1</v>
      </c>
      <c r="K116" s="22" t="n">
        <v>0</v>
      </c>
      <c r="L116" s="22" t="n">
        <v>0</v>
      </c>
      <c r="U116" s="22" t="n">
        <v>8</v>
      </c>
      <c r="V116" s="22" t="n">
        <v>1</v>
      </c>
      <c r="W116" s="22" t="n">
        <v>4</v>
      </c>
      <c r="X116" s="22" t="n">
        <v>0</v>
      </c>
    </row>
    <row r="117">
      <c r="A117" s="20" t="inlineStr">
        <is>
          <t>특별손실 합계</t>
        </is>
      </c>
      <c r="C117" s="22" t="n">
        <v>1</v>
      </c>
      <c r="D117" s="22" t="n">
        <v>82</v>
      </c>
      <c r="E117" s="22" t="n">
        <v>4</v>
      </c>
      <c r="F117" s="22" t="n">
        <v>1</v>
      </c>
      <c r="G117" s="22" t="n">
        <v>1</v>
      </c>
      <c r="H117" s="22" t="n">
        <v>23</v>
      </c>
      <c r="I117" s="22" t="n">
        <v>1</v>
      </c>
      <c r="J117" s="22" t="n">
        <v>15</v>
      </c>
      <c r="K117" s="22" t="n">
        <v>0</v>
      </c>
      <c r="L117" s="22" t="n">
        <v>1</v>
      </c>
      <c r="M117" s="22" t="n">
        <v>2</v>
      </c>
      <c r="N117" s="22" t="n">
        <v>0</v>
      </c>
      <c r="T117" s="22" t="n">
        <v>3</v>
      </c>
      <c r="U117" s="22" t="n">
        <v>8</v>
      </c>
      <c r="V117" s="22" t="n">
        <v>82</v>
      </c>
      <c r="W117" s="22" t="n">
        <v>23</v>
      </c>
      <c r="X117" s="22" t="n">
        <v>1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IF(OR(G117="",C117=""),"",IF(G117*C117&lt;=0,"",IFERROR(G117/C117-1,"")))</f>
        <v/>
      </c>
      <c r="H118" s="17">
        <f>IF(OR(H117="",D117=""),"",IF(H117*D117&lt;=0,"",IFERROR(H117/D117-1,"")))</f>
        <v/>
      </c>
      <c r="I118" s="17">
        <f>IF(OR(I117="",E117=""),"",IF(I117*E117&lt;=0,"",IFERROR(I117/E117-1,"")))</f>
        <v/>
      </c>
      <c r="J118" s="17">
        <f>IF(OR(J117="",F117=""),"",IF(J117*F117&lt;=0,"",IFERROR(J117/F117-1,"")))</f>
        <v/>
      </c>
      <c r="K118" s="17">
        <f>IF(OR(K117="",G117=""),"",IF(K117*G117&lt;=0,"",IFERROR(K117/G117-1,"")))</f>
        <v/>
      </c>
      <c r="L118" s="17">
        <f>IF(OR(L117="",H117=""),"",IF(L117*H117&lt;=0,"",IFERROR(L117/H117-1,"")))</f>
        <v/>
      </c>
      <c r="M118" s="17">
        <f>IF(OR(M117="",I117=""),"",IF(M117*I117&lt;=0,"",IFERROR(M117/I117-1,"")))</f>
        <v/>
      </c>
      <c r="N118" s="17">
        <f>IF(OR(N117="",J117=""),"",IF(N117*J117&lt;=0,"",IFERROR(N117/J117-1,"")))</f>
        <v/>
      </c>
      <c r="T118" s="17">
        <f>IF(OR(T117="",S117=""),"",IF(T117*S117&lt;=0,"",IFERROR(T117/S117-1,"")))</f>
        <v/>
      </c>
      <c r="U118" s="17">
        <f>IF(OR(U117="",T117=""),"",IF(U117*T117&lt;=0,"",IFERROR(U117/T117-1,"")))</f>
        <v/>
      </c>
      <c r="V118" s="17">
        <f>IF(OR(V117="",U117=""),"",IF(V117*U117&lt;=0,"",IFERROR(V117/U117-1,"")))</f>
        <v/>
      </c>
      <c r="W118" s="17">
        <f>IF(OR(W117="",V117=""),"",IF(W117*V117&lt;=0,"",IFERROR(W117/V117-1,"")))</f>
        <v/>
      </c>
      <c r="X118" s="17">
        <f>IF(OR(X117="",W117=""),"",IF(X117*W117&lt;=0,"",IFERROR(X117/W117-1,"")))</f>
        <v/>
      </c>
    </row>
    <row r="119">
      <c r="A119" s="9" t="inlineStr">
        <is>
          <t>법인세차감전 순이익</t>
        </is>
      </c>
      <c r="C119" s="12" t="n">
        <v>669</v>
      </c>
      <c r="D119" s="12" t="n">
        <v>2467</v>
      </c>
      <c r="E119" s="12" t="n">
        <v>631</v>
      </c>
      <c r="F119" s="12" t="n">
        <v>866</v>
      </c>
      <c r="G119" s="12" t="n">
        <v>1580</v>
      </c>
      <c r="H119" s="12" t="n">
        <v>1595</v>
      </c>
      <c r="I119" s="12" t="n">
        <v>487</v>
      </c>
      <c r="J119" s="12" t="n">
        <v>967</v>
      </c>
      <c r="K119" s="12" t="n">
        <v>2017</v>
      </c>
      <c r="L119" s="12" t="n">
        <v>1973</v>
      </c>
      <c r="M119" s="12" t="n">
        <v>892</v>
      </c>
      <c r="N119" s="12" t="n">
        <v>2572</v>
      </c>
      <c r="T119" s="12" t="n">
        <v>1451</v>
      </c>
      <c r="U119" s="12" t="n">
        <v>1788</v>
      </c>
      <c r="V119" s="12" t="n">
        <v>2467</v>
      </c>
      <c r="W119" s="12" t="n">
        <v>1595</v>
      </c>
      <c r="X119" s="12" t="n">
        <v>1973</v>
      </c>
    </row>
    <row r="120">
      <c r="A120" s="45" t="inlineStr">
        <is>
          <t>YoY</t>
        </is>
      </c>
      <c r="B120" s="3" t="inlineStr">
        <is>
          <t>전년 같은 분기·전년 대비</t>
        </is>
      </c>
      <c r="G120" s="17">
        <f>IF(OR(G119="",C119=""),"",IF(C119&lt;=0,"",IFERROR(G119/C119-1,"")))</f>
        <v/>
      </c>
      <c r="H120" s="17">
        <f>IF(OR(H119="",D119=""),"",IF(D119&lt;=0,"",IFERROR(H119/D119-1,"")))</f>
        <v/>
      </c>
      <c r="I120" s="17">
        <f>IF(OR(I119="",E119=""),"",IF(E119&lt;=0,"",IFERROR(I119/E119-1,"")))</f>
        <v/>
      </c>
      <c r="J120" s="17">
        <f>IF(OR(J119="",F119=""),"",IF(F119&lt;=0,"",IFERROR(J119/F119-1,"")))</f>
        <v/>
      </c>
      <c r="K120" s="17">
        <f>IF(OR(K119="",G119=""),"",IF(G119&lt;=0,"",IFERROR(K119/G119-1,"")))</f>
        <v/>
      </c>
      <c r="L120" s="17">
        <f>IF(OR(L119="",H119=""),"",IF(H119&lt;=0,"",IFERROR(L119/H119-1,"")))</f>
        <v/>
      </c>
      <c r="M120" s="17">
        <f>IF(OR(M119="",I119=""),"",IF(I119&lt;=0,"",IFERROR(M119/I119-1,"")))</f>
        <v/>
      </c>
      <c r="N120" s="17">
        <f>IF(OR(N119="",J119=""),"",IF(J119&lt;=0,"",IFERROR(N119/J119-1,"")))</f>
        <v/>
      </c>
      <c r="T120" s="17">
        <f>IF(OR(T119="",S119=""),"",IF(S119&lt;=0,"",IFERROR(T119/S119-1,"")))</f>
        <v/>
      </c>
      <c r="U120" s="17">
        <f>IF(OR(U119="",T119=""),"",IF(T119&lt;=0,"",IFERROR(U119/T119-1,"")))</f>
        <v/>
      </c>
      <c r="V120" s="17">
        <f>IF(OR(V119="",U119=""),"",IF(U119&lt;=0,"",IFERROR(V119/U119-1,"")))</f>
        <v/>
      </c>
      <c r="W120" s="17">
        <f>IF(OR(W119="",V119=""),"",IF(V119&lt;=0,"",IFERROR(W119/V119-1,"")))</f>
        <v/>
      </c>
      <c r="X120" s="17">
        <f>IF(OR(X119="",W119=""),"",IF(W119&lt;=0,"",IFERROR(X119/W119-1,"")))</f>
        <v/>
      </c>
    </row>
    <row r="121">
      <c r="A121" s="20" t="inlineStr">
        <is>
          <t>법인세·주민세·사업세</t>
        </is>
      </c>
      <c r="C121" s="22" t="n">
        <v>196</v>
      </c>
      <c r="D121" s="22" t="n">
        <v>838</v>
      </c>
      <c r="E121" s="22" t="n">
        <v>37</v>
      </c>
      <c r="F121" s="22" t="n">
        <v>481</v>
      </c>
      <c r="G121" s="22" t="n">
        <v>393</v>
      </c>
      <c r="H121" s="22" t="n">
        <v>617</v>
      </c>
      <c r="I121" s="22" t="n">
        <v>13</v>
      </c>
      <c r="J121" s="22" t="n">
        <v>464</v>
      </c>
      <c r="K121" s="22" t="n">
        <v>606</v>
      </c>
      <c r="L121" s="22" t="n">
        <v>790</v>
      </c>
      <c r="M121" s="22" t="n">
        <v>19</v>
      </c>
      <c r="N121" s="22" t="n">
        <v>987</v>
      </c>
      <c r="T121" s="22" t="n">
        <v>382</v>
      </c>
      <c r="U121" s="22" t="n">
        <v>508</v>
      </c>
      <c r="V121" s="22" t="n">
        <v>838</v>
      </c>
      <c r="W121" s="22" t="n">
        <v>617</v>
      </c>
      <c r="X121" s="22" t="n">
        <v>790</v>
      </c>
    </row>
    <row r="122">
      <c r="A122" s="20" t="inlineStr">
        <is>
          <t>법인세 조정액</t>
        </is>
      </c>
      <c r="C122" s="22" t="n">
        <v>95</v>
      </c>
      <c r="D122" s="22" t="n">
        <v>-167</v>
      </c>
      <c r="E122" s="22" t="n">
        <v>203</v>
      </c>
      <c r="F122" s="22" t="n">
        <v>-202</v>
      </c>
      <c r="G122" s="22" t="n">
        <v>141</v>
      </c>
      <c r="H122" s="22" t="n">
        <v>-185</v>
      </c>
      <c r="I122" s="22" t="n">
        <v>159</v>
      </c>
      <c r="J122" s="22" t="n">
        <v>-124</v>
      </c>
      <c r="K122" s="22" t="n">
        <v>35</v>
      </c>
      <c r="L122" s="22" t="n">
        <v>-369</v>
      </c>
      <c r="M122" s="22" t="n">
        <v>294</v>
      </c>
      <c r="N122" s="22" t="n">
        <v>-131</v>
      </c>
      <c r="T122" s="22" t="n">
        <v>69</v>
      </c>
      <c r="U122" s="22" t="n">
        <v>-3</v>
      </c>
      <c r="V122" s="22" t="n">
        <v>-167</v>
      </c>
      <c r="W122" s="22" t="n">
        <v>-185</v>
      </c>
      <c r="X122" s="22" t="n">
        <v>-369</v>
      </c>
    </row>
    <row r="123">
      <c r="A123" s="20" t="inlineStr">
        <is>
          <t>법인세 등 합계</t>
        </is>
      </c>
      <c r="C123" s="22" t="n">
        <v>291</v>
      </c>
      <c r="D123" s="22" t="n">
        <v>671</v>
      </c>
      <c r="E123" s="22" t="n">
        <v>241</v>
      </c>
      <c r="F123" s="22" t="n">
        <v>279</v>
      </c>
      <c r="G123" s="22" t="n">
        <v>534</v>
      </c>
      <c r="H123" s="22" t="n">
        <v>431</v>
      </c>
      <c r="I123" s="22" t="n">
        <v>173</v>
      </c>
      <c r="J123" s="22" t="n">
        <v>340</v>
      </c>
      <c r="K123" s="22" t="n">
        <v>640</v>
      </c>
      <c r="L123" s="22" t="n">
        <v>421</v>
      </c>
      <c r="M123" s="22" t="n">
        <v>314</v>
      </c>
      <c r="N123" s="22" t="n">
        <v>856</v>
      </c>
      <c r="T123" s="22" t="n">
        <v>451</v>
      </c>
      <c r="U123" s="22" t="n">
        <v>505</v>
      </c>
      <c r="V123" s="22" t="n">
        <v>671</v>
      </c>
      <c r="W123" s="22" t="n">
        <v>431</v>
      </c>
      <c r="X123" s="22" t="n">
        <v>421</v>
      </c>
    </row>
    <row r="124">
      <c r="A124" s="45" t="inlineStr">
        <is>
          <t>YoY</t>
        </is>
      </c>
      <c r="B124" s="3" t="inlineStr">
        <is>
          <t>전년 같은 분기·전년 대비</t>
        </is>
      </c>
      <c r="G124" s="17">
        <f>IF(OR(G123="",C123=""),"",IF(G123*C123&lt;=0,"",IFERROR(G123/C123-1,"")))</f>
        <v/>
      </c>
      <c r="H124" s="17">
        <f>IF(OR(H123="",D123=""),"",IF(H123*D123&lt;=0,"",IFERROR(H123/D123-1,"")))</f>
        <v/>
      </c>
      <c r="I124" s="17">
        <f>IF(OR(I123="",E123=""),"",IF(I123*E123&lt;=0,"",IFERROR(I123/E123-1,"")))</f>
        <v/>
      </c>
      <c r="J124" s="17">
        <f>IF(OR(J123="",F123=""),"",IF(J123*F123&lt;=0,"",IFERROR(J123/F123-1,"")))</f>
        <v/>
      </c>
      <c r="K124" s="17">
        <f>IF(OR(K123="",G123=""),"",IF(K123*G123&lt;=0,"",IFERROR(K123/G123-1,"")))</f>
        <v/>
      </c>
      <c r="L124" s="17">
        <f>IF(OR(L123="",H123=""),"",IF(L123*H123&lt;=0,"",IFERROR(L123/H123-1,"")))</f>
        <v/>
      </c>
      <c r="M124" s="17">
        <f>IF(OR(M123="",I123=""),"",IF(M123*I123&lt;=0,"",IFERROR(M123/I123-1,"")))</f>
        <v/>
      </c>
      <c r="N124" s="17">
        <f>IF(OR(N123="",J123=""),"",IF(N123*J123&lt;=0,"",IFERROR(N123/J123-1,"")))</f>
        <v/>
      </c>
      <c r="T124" s="17">
        <f>IF(OR(T123="",S123=""),"",IF(T123*S123&lt;=0,"",IFERROR(T123/S123-1,"")))</f>
        <v/>
      </c>
      <c r="U124" s="17">
        <f>IF(OR(U123="",T123=""),"",IF(U123*T123&lt;=0,"",IFERROR(U123/T123-1,"")))</f>
        <v/>
      </c>
      <c r="V124" s="17">
        <f>IF(OR(V123="",U123=""),"",IF(V123*U123&lt;=0,"",IFERROR(V123/U123-1,"")))</f>
        <v/>
      </c>
      <c r="W124" s="17">
        <f>IF(OR(W123="",V123=""),"",IF(W123*V123&lt;=0,"",IFERROR(W123/V123-1,"")))</f>
        <v/>
      </c>
      <c r="X124" s="17">
        <f>IF(OR(X123="",W123=""),"",IF(X123*W123&lt;=0,"",IFERROR(X123/W123-1,"")))</f>
        <v/>
      </c>
    </row>
    <row r="125">
      <c r="A125" s="9" t="inlineStr">
        <is>
          <t>순이익</t>
        </is>
      </c>
      <c r="C125" s="12" t="n">
        <v>377</v>
      </c>
      <c r="D125" s="12" t="n">
        <v>1797</v>
      </c>
      <c r="E125" s="12" t="n">
        <v>390</v>
      </c>
      <c r="F125" s="12" t="n">
        <v>587</v>
      </c>
      <c r="G125" s="12" t="n">
        <v>1046</v>
      </c>
      <c r="H125" s="12" t="n">
        <v>1164</v>
      </c>
      <c r="I125" s="12" t="n">
        <v>313</v>
      </c>
      <c r="J125" s="12" t="n">
        <v>627</v>
      </c>
      <c r="K125" s="12" t="n">
        <v>1377</v>
      </c>
      <c r="L125" s="12" t="n">
        <v>1553</v>
      </c>
      <c r="M125" s="12" t="n">
        <v>578</v>
      </c>
      <c r="N125" s="12" t="n">
        <v>1715</v>
      </c>
      <c r="T125" s="12" t="n">
        <v>1000</v>
      </c>
      <c r="U125" s="12" t="n">
        <v>1283</v>
      </c>
      <c r="V125" s="12" t="n">
        <v>1797</v>
      </c>
      <c r="W125" s="12" t="n">
        <v>1164</v>
      </c>
      <c r="X125" s="12" t="n">
        <v>1553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G126" s="17">
        <f>IF(OR(G125="",C125=""),"",IF(C125&lt;=0,"",IFERROR(G125/C125-1,"")))</f>
        <v/>
      </c>
      <c r="H126" s="17">
        <f>IF(OR(H125="",D125=""),"",IF(D125&lt;=0,"",IFERROR(H125/D125-1,"")))</f>
        <v/>
      </c>
      <c r="I126" s="17">
        <f>IF(OR(I125="",E125=""),"",IF(E125&lt;=0,"",IFERROR(I125/E125-1,"")))</f>
        <v/>
      </c>
      <c r="J126" s="17">
        <f>IF(OR(J125="",F125=""),"",IF(F125&lt;=0,"",IFERROR(J125/F125-1,"")))</f>
        <v/>
      </c>
      <c r="K126" s="17">
        <f>IF(OR(K125="",G125=""),"",IF(G125&lt;=0,"",IFERROR(K125/G125-1,"")))</f>
        <v/>
      </c>
      <c r="L126" s="17">
        <f>IF(OR(L125="",H125=""),"",IF(H125&lt;=0,"",IFERROR(L125/H125-1,"")))</f>
        <v/>
      </c>
      <c r="M126" s="17">
        <f>IF(OR(M125="",I125=""),"",IF(I125&lt;=0,"",IFERROR(M125/I125-1,"")))</f>
        <v/>
      </c>
      <c r="N126" s="17">
        <f>IF(OR(N125="",J125=""),"",IF(J125&lt;=0,"",IFERROR(N125/J125-1,"")))</f>
        <v/>
      </c>
      <c r="T126" s="17">
        <f>IF(OR(T125="",S125=""),"",IF(S125&lt;=0,"",IFERROR(T125/S125-1,"")))</f>
        <v/>
      </c>
      <c r="U126" s="17">
        <f>IF(OR(U125="",T125=""),"",IF(T125&lt;=0,"",IFERROR(U125/T125-1,"")))</f>
        <v/>
      </c>
      <c r="V126" s="17">
        <f>IF(OR(V125="",U125=""),"",IF(U125&lt;=0,"",IFERROR(V125/U125-1,"")))</f>
        <v/>
      </c>
      <c r="W126" s="17">
        <f>IF(OR(W125="",V125=""),"",IF(V125&lt;=0,"",IFERROR(W125/V125-1,"")))</f>
        <v/>
      </c>
      <c r="X126" s="17">
        <f>IF(OR(X125="",W125=""),"",IF(W125&lt;=0,"",IFERROR(X125/W125-1,"")))</f>
        <v/>
      </c>
    </row>
    <row r="127">
      <c r="A127" s="9" t="inlineStr">
        <is>
          <t>지배주주 순이익</t>
        </is>
      </c>
      <c r="C127" s="12" t="n">
        <v>377</v>
      </c>
      <c r="D127" s="12" t="n">
        <v>1630</v>
      </c>
      <c r="E127" s="12" t="n">
        <v>390</v>
      </c>
      <c r="F127" s="12" t="n">
        <v>587</v>
      </c>
      <c r="G127" s="12" t="n">
        <v>1046</v>
      </c>
      <c r="H127" s="12" t="n">
        <v>1164</v>
      </c>
      <c r="I127" s="12" t="n">
        <v>313</v>
      </c>
      <c r="J127" s="12" t="n">
        <v>627</v>
      </c>
      <c r="K127" s="12" t="n">
        <v>1377</v>
      </c>
      <c r="L127" s="12" t="n">
        <v>1553</v>
      </c>
      <c r="M127" s="12" t="n">
        <v>578</v>
      </c>
      <c r="N127" s="12" t="n">
        <v>1715</v>
      </c>
      <c r="T127" s="12" t="n">
        <v>1000</v>
      </c>
      <c r="U127" s="12" t="n">
        <v>1188</v>
      </c>
      <c r="V127" s="12" t="n">
        <v>1630</v>
      </c>
      <c r="W127" s="12" t="n">
        <v>1164</v>
      </c>
      <c r="X127" s="12" t="n">
        <v>1553</v>
      </c>
    </row>
    <row r="128">
      <c r="A128" s="45" t="inlineStr">
        <is>
          <t>YoY</t>
        </is>
      </c>
      <c r="B128" s="3" t="inlineStr">
        <is>
          <t>전년 같은 분기·전년 대비</t>
        </is>
      </c>
      <c r="G128" s="17">
        <f>IF(OR(G127="",C127=""),"",IF(C127&lt;=0,"",IFERROR(G127/C127-1,"")))</f>
        <v/>
      </c>
      <c r="H128" s="17">
        <f>IF(OR(H127="",D127=""),"",IF(D127&lt;=0,"",IFERROR(H127/D127-1,"")))</f>
        <v/>
      </c>
      <c r="I128" s="17">
        <f>IF(OR(I127="",E127=""),"",IF(E127&lt;=0,"",IFERROR(I127/E127-1,"")))</f>
        <v/>
      </c>
      <c r="J128" s="17">
        <f>IF(OR(J127="",F127=""),"",IF(F127&lt;=0,"",IFERROR(J127/F127-1,"")))</f>
        <v/>
      </c>
      <c r="K128" s="17">
        <f>IF(OR(K127="",G127=""),"",IF(G127&lt;=0,"",IFERROR(K127/G127-1,"")))</f>
        <v/>
      </c>
      <c r="L128" s="17">
        <f>IF(OR(L127="",H127=""),"",IF(H127&lt;=0,"",IFERROR(L127/H127-1,"")))</f>
        <v/>
      </c>
      <c r="M128" s="17">
        <f>IF(OR(M127="",I127=""),"",IF(I127&lt;=0,"",IFERROR(M127/I127-1,"")))</f>
        <v/>
      </c>
      <c r="N128" s="17">
        <f>IF(OR(N127="",J127=""),"",IF(J127&lt;=0,"",IFERROR(N127/J127-1,"")))</f>
        <v/>
      </c>
      <c r="T128" s="17">
        <f>IF(OR(T127="",S127=""),"",IF(S127&lt;=0,"",IFERROR(T127/S127-1,"")))</f>
        <v/>
      </c>
      <c r="U128" s="17">
        <f>IF(OR(U127="",T127=""),"",IF(T127&lt;=0,"",IFERROR(U127/T127-1,"")))</f>
        <v/>
      </c>
      <c r="V128" s="17">
        <f>IF(OR(V127="",U127=""),"",IF(U127&lt;=0,"",IFERROR(V127/U127-1,"")))</f>
        <v/>
      </c>
      <c r="W128" s="17">
        <f>IF(OR(W127="",V127=""),"",IF(V127&lt;=0,"",IFERROR(W127/V127-1,"")))</f>
        <v/>
      </c>
      <c r="X128" s="17">
        <f>IF(OR(X127="",W127=""),"",IF(W127&lt;=0,"",IFERROR(X127/W127-1,"")))</f>
        <v/>
      </c>
    </row>
    <row r="130">
      <c r="A130" s="18" t="inlineStr">
        <is>
          <t>포괄손익 · 전 항목</t>
        </is>
      </c>
      <c r="B130" s="44" t="inlineStr">
        <is>
          <t>분기 = 3개월 단독</t>
        </is>
      </c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</row>
    <row r="131">
      <c r="A131" s="5" t="inlineStr">
        <is>
          <t>항목</t>
        </is>
      </c>
      <c r="B131" s="5" t="inlineStr">
        <is>
          <t>참고</t>
        </is>
      </c>
      <c r="C131" s="5" t="inlineStr">
        <is>
          <t>2024.3Q</t>
        </is>
      </c>
      <c r="D131" s="5" t="inlineStr">
        <is>
          <t>2024.4Q</t>
        </is>
      </c>
      <c r="E131" s="5" t="inlineStr">
        <is>
          <t>2025.1Q</t>
        </is>
      </c>
      <c r="F131" s="5" t="inlineStr">
        <is>
          <t>2025.2Q</t>
        </is>
      </c>
      <c r="G131" s="5" t="inlineStr">
        <is>
          <t>2025.3Q</t>
        </is>
      </c>
      <c r="H131" s="5" t="inlineStr">
        <is>
          <t>2025.4Q</t>
        </is>
      </c>
      <c r="I131" s="5" t="inlineStr">
        <is>
          <t>2026.1Q</t>
        </is>
      </c>
      <c r="J131" s="5" t="inlineStr">
        <is>
          <t>2026.2Q</t>
        </is>
      </c>
      <c r="K131" s="5" t="inlineStr">
        <is>
          <t>2026.3Q</t>
        </is>
      </c>
      <c r="L131" s="5" t="inlineStr">
        <is>
          <t>2026.4Q</t>
        </is>
      </c>
      <c r="M131" s="5" t="inlineStr">
        <is>
          <t>2027.1Q</t>
        </is>
      </c>
      <c r="N131" s="5" t="inlineStr">
        <is>
          <t>2027.2Q</t>
        </is>
      </c>
      <c r="O131" s="5" t="inlineStr">
        <is>
          <t>2017</t>
        </is>
      </c>
      <c r="P131" s="5" t="inlineStr">
        <is>
          <t>2018</t>
        </is>
      </c>
      <c r="Q131" s="5" t="inlineStr">
        <is>
          <t>2019</t>
        </is>
      </c>
      <c r="R131" s="5" t="inlineStr">
        <is>
          <t>2020</t>
        </is>
      </c>
      <c r="S131" s="5" t="inlineStr">
        <is>
          <t>2021</t>
        </is>
      </c>
      <c r="T131" s="5" t="inlineStr">
        <is>
          <t>2022</t>
        </is>
      </c>
      <c r="U131" s="5" t="inlineStr">
        <is>
          <t>2023</t>
        </is>
      </c>
      <c r="V131" s="5" t="inlineStr">
        <is>
          <t>2024</t>
        </is>
      </c>
      <c r="W131" s="5" t="inlineStr">
        <is>
          <t>2025</t>
        </is>
      </c>
      <c r="X131" s="5" t="inlineStr">
        <is>
          <t>2026</t>
        </is>
      </c>
      <c r="Y131" s="5" t="inlineStr">
        <is>
          <t>2027(MW)</t>
        </is>
      </c>
      <c r="Z131" s="5" t="inlineStr">
        <is>
          <t>2028(MW)</t>
        </is>
      </c>
      <c r="AA131" s="5" t="inlineStr">
        <is>
          <t>2029(MW)</t>
        </is>
      </c>
      <c r="AB131" s="5" t="inlineStr">
        <is>
          <t>2030(MW)</t>
        </is>
      </c>
      <c r="AC131" s="5" t="inlineStr">
        <is>
          <t>2031(MW)</t>
        </is>
      </c>
    </row>
    <row r="132">
      <c r="A132" s="9" t="inlineStr">
        <is>
          <t>순이익</t>
        </is>
      </c>
      <c r="C132" s="12" t="n">
        <v>377</v>
      </c>
      <c r="D132" s="12" t="n">
        <v>1630</v>
      </c>
      <c r="E132" s="12" t="n">
        <v>390</v>
      </c>
      <c r="F132" s="12" t="n">
        <v>587</v>
      </c>
      <c r="G132" s="12" t="n">
        <v>1046</v>
      </c>
      <c r="H132" s="12" t="n">
        <v>1164</v>
      </c>
      <c r="I132" s="12" t="n">
        <v>313</v>
      </c>
      <c r="J132" s="12" t="n">
        <v>627</v>
      </c>
      <c r="K132" s="12" t="n">
        <v>1377</v>
      </c>
      <c r="L132" s="12" t="n">
        <v>1553</v>
      </c>
      <c r="M132" s="12" t="n">
        <v>578</v>
      </c>
      <c r="N132" s="12" t="n">
        <v>1715</v>
      </c>
      <c r="T132" s="12" t="n">
        <v>1000</v>
      </c>
      <c r="U132" s="12" t="n">
        <v>1188</v>
      </c>
      <c r="V132" s="12" t="n">
        <v>1630</v>
      </c>
      <c r="W132" s="12" t="n">
        <v>1164</v>
      </c>
      <c r="X132" s="12" t="n">
        <v>1553</v>
      </c>
    </row>
    <row r="133">
      <c r="A133" s="20" t="inlineStr">
        <is>
          <t>기타유가증권 평가차액</t>
        </is>
      </c>
      <c r="C133" s="22" t="n">
        <v>-30</v>
      </c>
      <c r="D133" s="22" t="n">
        <v>64</v>
      </c>
      <c r="E133" s="22" t="n">
        <v>-45</v>
      </c>
      <c r="F133" s="22" t="n">
        <v>-65</v>
      </c>
      <c r="G133" s="22" t="n">
        <v>54</v>
      </c>
      <c r="H133" s="22" t="n">
        <v>38</v>
      </c>
      <c r="I133" s="22" t="n">
        <v>-11</v>
      </c>
      <c r="J133" s="22" t="n">
        <v>155</v>
      </c>
      <c r="K133" s="22" t="n">
        <v>106</v>
      </c>
      <c r="L133" s="22" t="n">
        <v>106</v>
      </c>
      <c r="M133" s="22" t="n">
        <v>194</v>
      </c>
      <c r="N133" s="22" t="n">
        <v>239</v>
      </c>
      <c r="T133" s="22" t="n">
        <v>-4</v>
      </c>
      <c r="U133" s="22" t="n">
        <v>-1</v>
      </c>
      <c r="V133" s="22" t="n">
        <v>64</v>
      </c>
      <c r="W133" s="22" t="n">
        <v>38</v>
      </c>
      <c r="X133" s="22" t="n">
        <v>106</v>
      </c>
    </row>
    <row r="134">
      <c r="A134" s="20" t="inlineStr">
        <is>
          <t>퇴직급여 조정액</t>
        </is>
      </c>
      <c r="C134" s="22" t="n">
        <v>9</v>
      </c>
      <c r="D134" s="22" t="n">
        <v>9</v>
      </c>
      <c r="E134" s="22" t="n">
        <v>8</v>
      </c>
      <c r="F134" s="22" t="n">
        <v>9</v>
      </c>
      <c r="G134" s="22" t="n">
        <v>9</v>
      </c>
      <c r="H134" s="22" t="n">
        <v>9</v>
      </c>
      <c r="I134" s="22" t="n">
        <v>8</v>
      </c>
      <c r="J134" s="22" t="n">
        <v>9</v>
      </c>
      <c r="K134" s="22" t="n">
        <v>0</v>
      </c>
      <c r="L134" s="22" t="n">
        <v>-39</v>
      </c>
      <c r="M134" s="22" t="n">
        <v>2</v>
      </c>
      <c r="N134" s="22" t="n">
        <v>2</v>
      </c>
      <c r="T134" s="22" t="n">
        <v>9</v>
      </c>
      <c r="U134" s="22" t="n">
        <v>9</v>
      </c>
      <c r="V134" s="22" t="n">
        <v>9</v>
      </c>
      <c r="W134" s="22" t="n">
        <v>9</v>
      </c>
      <c r="X134" s="22" t="n">
        <v>-39</v>
      </c>
    </row>
    <row r="135">
      <c r="A135" s="20" t="inlineStr">
        <is>
          <t>기타포괄손익 합계</t>
        </is>
      </c>
      <c r="C135" s="22" t="n">
        <v>-21</v>
      </c>
      <c r="D135" s="22" t="n">
        <v>72</v>
      </c>
      <c r="E135" s="22" t="n">
        <v>-36</v>
      </c>
      <c r="F135" s="22" t="n">
        <v>-57</v>
      </c>
      <c r="G135" s="22" t="n">
        <v>63</v>
      </c>
      <c r="H135" s="22" t="n">
        <v>46</v>
      </c>
      <c r="I135" s="22" t="n">
        <v>-3</v>
      </c>
      <c r="J135" s="22" t="n">
        <v>165</v>
      </c>
      <c r="K135" s="22" t="n">
        <v>105</v>
      </c>
      <c r="L135" s="22" t="n">
        <v>67</v>
      </c>
      <c r="M135" s="22" t="n">
        <v>196</v>
      </c>
      <c r="N135" s="22" t="n">
        <v>241</v>
      </c>
      <c r="T135" s="22" t="n">
        <v>5</v>
      </c>
      <c r="U135" s="22" t="n">
        <v>8</v>
      </c>
      <c r="V135" s="22" t="n">
        <v>72</v>
      </c>
      <c r="W135" s="22" t="n">
        <v>46</v>
      </c>
      <c r="X135" s="22" t="n">
        <v>67</v>
      </c>
    </row>
    <row r="136">
      <c r="A136" s="9" t="inlineStr">
        <is>
          <t>포괄이익</t>
        </is>
      </c>
      <c r="C136" s="12" t="n">
        <v>355</v>
      </c>
      <c r="D136" s="12" t="n">
        <v>1702</v>
      </c>
      <c r="E136" s="12" t="n">
        <v>353</v>
      </c>
      <c r="F136" s="12" t="n">
        <v>531</v>
      </c>
      <c r="G136" s="12" t="n">
        <v>1109</v>
      </c>
      <c r="H136" s="12" t="n">
        <v>1211</v>
      </c>
      <c r="I136" s="12" t="n">
        <v>310</v>
      </c>
      <c r="J136" s="12" t="n">
        <v>793</v>
      </c>
      <c r="K136" s="12" t="n">
        <v>1482</v>
      </c>
      <c r="L136" s="12" t="n">
        <v>1619</v>
      </c>
      <c r="M136" s="12" t="n">
        <v>774</v>
      </c>
      <c r="N136" s="12" t="n">
        <v>1957</v>
      </c>
      <c r="T136" s="12" t="n">
        <v>1005</v>
      </c>
      <c r="U136" s="12" t="n">
        <v>1196</v>
      </c>
      <c r="V136" s="12" t="n">
        <v>1702</v>
      </c>
      <c r="W136" s="12" t="n">
        <v>1211</v>
      </c>
      <c r="X136" s="12" t="n">
        <v>1619</v>
      </c>
    </row>
    <row r="137">
      <c r="A137" s="9" t="inlineStr">
        <is>
          <t>지배주주 포괄이익</t>
        </is>
      </c>
      <c r="C137" s="12" t="n">
        <v>355</v>
      </c>
      <c r="D137" s="12" t="n">
        <v>1702</v>
      </c>
      <c r="E137" s="12" t="n">
        <v>353</v>
      </c>
      <c r="F137" s="12" t="n">
        <v>531</v>
      </c>
      <c r="G137" s="12" t="n">
        <v>1109</v>
      </c>
      <c r="H137" s="12" t="n">
        <v>1211</v>
      </c>
      <c r="I137" s="12" t="n">
        <v>310</v>
      </c>
      <c r="J137" s="12" t="n">
        <v>793</v>
      </c>
      <c r="K137" s="12" t="n">
        <v>1482</v>
      </c>
      <c r="L137" s="12" t="n">
        <v>1619</v>
      </c>
      <c r="M137" s="12" t="n">
        <v>774</v>
      </c>
      <c r="N137" s="12" t="n">
        <v>1957</v>
      </c>
      <c r="T137" s="12" t="n">
        <v>1005</v>
      </c>
      <c r="U137" s="12" t="n">
        <v>1196</v>
      </c>
      <c r="V137" s="12" t="n">
        <v>1702</v>
      </c>
      <c r="W137" s="12" t="n">
        <v>1211</v>
      </c>
      <c r="X137" s="12" t="n">
        <v>1619</v>
      </c>
    </row>
    <row r="139">
      <c r="A139" s="18" t="inlineStr">
        <is>
          <t>현금흐름표 · 전 항목</t>
        </is>
      </c>
      <c r="B139" s="44" t="inlineStr">
        <is>
          <t>분기 = 결산기 첫날부터 누계(공시 그대로)</t>
        </is>
      </c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</row>
    <row r="140">
      <c r="A140" s="5" t="inlineStr">
        <is>
          <t>항목</t>
        </is>
      </c>
      <c r="B140" s="5" t="inlineStr">
        <is>
          <t>참고</t>
        </is>
      </c>
      <c r="C140" s="5" t="inlineStr">
        <is>
          <t>2024.3Q</t>
        </is>
      </c>
      <c r="D140" s="5" t="inlineStr">
        <is>
          <t>2024.4Q</t>
        </is>
      </c>
      <c r="E140" s="5" t="inlineStr">
        <is>
          <t>2025.1Q</t>
        </is>
      </c>
      <c r="F140" s="5" t="inlineStr">
        <is>
          <t>2025.2Q</t>
        </is>
      </c>
      <c r="G140" s="5" t="inlineStr">
        <is>
          <t>2025.3Q</t>
        </is>
      </c>
      <c r="H140" s="5" t="inlineStr">
        <is>
          <t>2025.4Q</t>
        </is>
      </c>
      <c r="I140" s="5" t="inlineStr">
        <is>
          <t>2026.1Q</t>
        </is>
      </c>
      <c r="J140" s="5" t="inlineStr">
        <is>
          <t>2026.2Q</t>
        </is>
      </c>
      <c r="K140" s="5" t="inlineStr">
        <is>
          <t>2026.3Q</t>
        </is>
      </c>
      <c r="L140" s="5" t="inlineStr">
        <is>
          <t>2026.4Q</t>
        </is>
      </c>
      <c r="M140" s="5" t="inlineStr">
        <is>
          <t>2027.1Q</t>
        </is>
      </c>
      <c r="N140" s="5" t="inlineStr">
        <is>
          <t>2027.2Q</t>
        </is>
      </c>
      <c r="O140" s="5" t="inlineStr">
        <is>
          <t>2017</t>
        </is>
      </c>
      <c r="P140" s="5" t="inlineStr">
        <is>
          <t>2018</t>
        </is>
      </c>
      <c r="Q140" s="5" t="inlineStr">
        <is>
          <t>2019</t>
        </is>
      </c>
      <c r="R140" s="5" t="inlineStr">
        <is>
          <t>2020</t>
        </is>
      </c>
      <c r="S140" s="5" t="inlineStr">
        <is>
          <t>2021</t>
        </is>
      </c>
      <c r="T140" s="5" t="inlineStr">
        <is>
          <t>2022</t>
        </is>
      </c>
      <c r="U140" s="5" t="inlineStr">
        <is>
          <t>2023</t>
        </is>
      </c>
      <c r="V140" s="5" t="inlineStr">
        <is>
          <t>2024</t>
        </is>
      </c>
      <c r="W140" s="5" t="inlineStr">
        <is>
          <t>2025</t>
        </is>
      </c>
      <c r="X140" s="5" t="inlineStr">
        <is>
          <t>2026</t>
        </is>
      </c>
      <c r="Y140" s="5" t="inlineStr">
        <is>
          <t>2027(MW)</t>
        </is>
      </c>
      <c r="Z140" s="5" t="inlineStr">
        <is>
          <t>2028(MW)</t>
        </is>
      </c>
      <c r="AA140" s="5" t="inlineStr">
        <is>
          <t>2029(MW)</t>
        </is>
      </c>
      <c r="AB140" s="5" t="inlineStr">
        <is>
          <t>2030(MW)</t>
        </is>
      </c>
      <c r="AC140" s="5" t="inlineStr">
        <is>
          <t>2031(MW)</t>
        </is>
      </c>
    </row>
    <row r="141">
      <c r="A141" s="9" t="inlineStr">
        <is>
          <t>법인세차감전 순이익</t>
        </is>
      </c>
      <c r="D141" s="12" t="n">
        <v>3439</v>
      </c>
      <c r="H141" s="12" t="n">
        <v>4672</v>
      </c>
      <c r="L141" s="12" t="n">
        <v>5444</v>
      </c>
      <c r="O141" s="12" t="n">
        <v>4506</v>
      </c>
      <c r="P141" s="12" t="n">
        <v>4608</v>
      </c>
      <c r="Q141" s="12" t="n">
        <v>4099</v>
      </c>
      <c r="R141" s="12" t="n">
        <v>4626</v>
      </c>
      <c r="S141" s="12" t="n">
        <v>4606</v>
      </c>
      <c r="T141" s="12" t="n">
        <v>3291</v>
      </c>
      <c r="U141" s="12" t="n">
        <v>2498</v>
      </c>
      <c r="V141" s="12" t="n">
        <v>3439</v>
      </c>
      <c r="W141" s="12" t="n">
        <v>4672</v>
      </c>
      <c r="X141" s="12" t="n">
        <v>5444</v>
      </c>
    </row>
    <row r="142">
      <c r="A142" s="20" t="inlineStr">
        <is>
          <t>감가상각비</t>
        </is>
      </c>
      <c r="D142" s="22" t="n">
        <v>1057</v>
      </c>
      <c r="H142" s="22" t="n">
        <v>1024</v>
      </c>
      <c r="L142" s="22" t="n">
        <v>987</v>
      </c>
      <c r="O142" s="22" t="n">
        <v>783</v>
      </c>
      <c r="P142" s="22" t="n">
        <v>826</v>
      </c>
      <c r="Q142" s="22" t="n">
        <v>878</v>
      </c>
      <c r="R142" s="22" t="n">
        <v>847</v>
      </c>
      <c r="S142" s="22" t="n">
        <v>895</v>
      </c>
      <c r="T142" s="22" t="n">
        <v>927</v>
      </c>
      <c r="U142" s="22" t="n">
        <v>970</v>
      </c>
      <c r="V142" s="22" t="n">
        <v>1057</v>
      </c>
      <c r="W142" s="22" t="n">
        <v>1024</v>
      </c>
      <c r="X142" s="22" t="n">
        <v>987</v>
      </c>
    </row>
    <row r="143">
      <c r="A143" s="20" t="inlineStr">
        <is>
          <t>손상차손</t>
        </is>
      </c>
      <c r="D143" s="22" t="n">
        <v>0</v>
      </c>
      <c r="H143" s="22" t="n">
        <v>3</v>
      </c>
      <c r="O143" s="22" t="n">
        <v>29</v>
      </c>
      <c r="P143" s="22" t="n">
        <v>18</v>
      </c>
      <c r="Q143" s="22" t="n">
        <v>39</v>
      </c>
      <c r="S143" s="22" t="n">
        <v>0</v>
      </c>
      <c r="T143" s="22" t="n">
        <v>26</v>
      </c>
      <c r="U143" s="22" t="n">
        <v>0</v>
      </c>
      <c r="V143" s="22" t="n">
        <v>0</v>
      </c>
      <c r="W143" s="22" t="n">
        <v>3</v>
      </c>
    </row>
    <row r="144">
      <c r="A144" s="20" t="inlineStr">
        <is>
          <t>영업권 상각</t>
        </is>
      </c>
      <c r="D144" s="22" t="n">
        <v>149</v>
      </c>
      <c r="H144" s="22" t="n">
        <v>254</v>
      </c>
      <c r="L144" s="22" t="n">
        <v>254</v>
      </c>
      <c r="T144" s="22" t="n">
        <v>0</v>
      </c>
      <c r="U144" s="22" t="n">
        <v>41</v>
      </c>
      <c r="V144" s="22" t="n">
        <v>149</v>
      </c>
      <c r="W144" s="22" t="n">
        <v>254</v>
      </c>
      <c r="X144" s="22" t="n">
        <v>254</v>
      </c>
    </row>
    <row r="145">
      <c r="A145" s="20" t="inlineStr">
        <is>
          <t>손해배상 손실</t>
        </is>
      </c>
      <c r="D145" s="22" t="n">
        <v>0</v>
      </c>
      <c r="H145" s="22" t="n">
        <v>22</v>
      </c>
      <c r="L145" s="22" t="n">
        <v>0</v>
      </c>
      <c r="V145" s="22" t="n">
        <v>0</v>
      </c>
      <c r="W145" s="22" t="n">
        <v>22</v>
      </c>
      <c r="X145" s="22" t="n">
        <v>0</v>
      </c>
    </row>
    <row r="146">
      <c r="A146" s="20" t="inlineStr">
        <is>
          <t>재고자산 처분손익(△는 이익)</t>
        </is>
      </c>
      <c r="H146" s="22" t="n">
        <v>0</v>
      </c>
      <c r="L146" s="22" t="n">
        <v>6</v>
      </c>
      <c r="W146" s="22" t="n">
        <v>0</v>
      </c>
      <c r="X146" s="22" t="n">
        <v>6</v>
      </c>
    </row>
    <row r="147">
      <c r="A147" s="20" t="inlineStr">
        <is>
          <t>대손충당금 증감</t>
        </is>
      </c>
      <c r="D147" s="22" t="n">
        <v>3</v>
      </c>
      <c r="H147" s="22" t="n">
        <v>-24</v>
      </c>
      <c r="L147" s="22" t="n">
        <v>-3</v>
      </c>
      <c r="O147" s="22" t="n">
        <v>-9</v>
      </c>
      <c r="P147" s="22" t="n">
        <v>-3</v>
      </c>
      <c r="Q147" s="22" t="n">
        <v>-0</v>
      </c>
      <c r="R147" s="22" t="n">
        <v>1</v>
      </c>
      <c r="S147" s="22" t="n">
        <v>-7</v>
      </c>
      <c r="T147" s="22" t="n">
        <v>4</v>
      </c>
      <c r="U147" s="22" t="n">
        <v>21</v>
      </c>
      <c r="V147" s="22" t="n">
        <v>3</v>
      </c>
      <c r="W147" s="22" t="n">
        <v>-24</v>
      </c>
      <c r="X147" s="22" t="n">
        <v>-3</v>
      </c>
    </row>
    <row r="148">
      <c r="A148" s="20" t="inlineStr">
        <is>
          <t>공사손실충당금 증감(△는 감소)</t>
        </is>
      </c>
      <c r="D148" s="22" t="n">
        <v>-15</v>
      </c>
      <c r="H148" s="22" t="n">
        <v>-0</v>
      </c>
      <c r="L148" s="22" t="n">
        <v>-3</v>
      </c>
      <c r="O148" s="22" t="n">
        <v>-80</v>
      </c>
      <c r="P148" s="22" t="n">
        <v>3</v>
      </c>
      <c r="Q148" s="22" t="n">
        <v>8</v>
      </c>
      <c r="R148" s="22" t="n">
        <v>-10</v>
      </c>
      <c r="S148" s="22" t="n">
        <v>45</v>
      </c>
      <c r="T148" s="22" t="n">
        <v>-22</v>
      </c>
      <c r="U148" s="22" t="n">
        <v>-11</v>
      </c>
      <c r="V148" s="22" t="n">
        <v>-15</v>
      </c>
      <c r="W148" s="22" t="n">
        <v>-0</v>
      </c>
      <c r="X148" s="22" t="n">
        <v>-3</v>
      </c>
    </row>
    <row r="149">
      <c r="A149" s="20" t="inlineStr">
        <is>
          <t>고정자산 해체비용 충당금 증감(△는 감소)</t>
        </is>
      </c>
      <c r="O149" s="22" t="n">
        <v>49</v>
      </c>
      <c r="P149" s="22" t="n">
        <v>-49</v>
      </c>
      <c r="Q149" s="22" t="n">
        <v>0</v>
      </c>
    </row>
    <row r="150">
      <c r="A150" s="20" t="inlineStr">
        <is>
          <t>재해손실 충당금 증감액</t>
        </is>
      </c>
      <c r="D150" s="22" t="n">
        <v>24</v>
      </c>
      <c r="H150" s="22" t="n">
        <v>-24</v>
      </c>
      <c r="L150" s="22" t="n">
        <v>0</v>
      </c>
      <c r="U150" s="22" t="n">
        <v>0</v>
      </c>
      <c r="V150" s="22" t="n">
        <v>24</v>
      </c>
      <c r="W150" s="22" t="n">
        <v>-24</v>
      </c>
      <c r="X150" s="22" t="n">
        <v>0</v>
      </c>
    </row>
    <row r="151">
      <c r="A151" s="20" t="inlineStr">
        <is>
          <t>임원 주식급여 충당금 증감</t>
        </is>
      </c>
      <c r="D151" s="22" t="n">
        <v>0</v>
      </c>
      <c r="H151" s="22" t="n">
        <v>10</v>
      </c>
      <c r="L151" s="22" t="n">
        <v>23</v>
      </c>
      <c r="V151" s="22" t="n">
        <v>0</v>
      </c>
      <c r="W151" s="22" t="n">
        <v>10</v>
      </c>
      <c r="X151" s="22" t="n">
        <v>23</v>
      </c>
    </row>
    <row r="152">
      <c r="A152" s="20" t="inlineStr">
        <is>
          <t>직원 주식급여 충당금 증감</t>
        </is>
      </c>
      <c r="H152" s="22" t="n">
        <v>0</v>
      </c>
      <c r="L152" s="22" t="n">
        <v>231</v>
      </c>
      <c r="W152" s="22" t="n">
        <v>0</v>
      </c>
      <c r="X152" s="22" t="n">
        <v>231</v>
      </c>
    </row>
    <row r="153">
      <c r="A153" s="20" t="inlineStr">
        <is>
          <t>퇴직급여부채 증감</t>
        </is>
      </c>
      <c r="D153" s="22" t="n">
        <v>111</v>
      </c>
      <c r="H153" s="22" t="n">
        <v>-641</v>
      </c>
      <c r="L153" s="22" t="n">
        <v>149</v>
      </c>
      <c r="O153" s="22" t="n">
        <v>489</v>
      </c>
      <c r="P153" s="22" t="n">
        <v>103</v>
      </c>
      <c r="Q153" s="22" t="n">
        <v>-20</v>
      </c>
      <c r="R153" s="22" t="n">
        <v>-4</v>
      </c>
      <c r="S153" s="22" t="n">
        <v>-163</v>
      </c>
      <c r="T153" s="22" t="n">
        <v>-73</v>
      </c>
      <c r="U153" s="22" t="n">
        <v>5</v>
      </c>
      <c r="V153" s="22" t="n">
        <v>111</v>
      </c>
      <c r="W153" s="22" t="n">
        <v>-641</v>
      </c>
      <c r="X153" s="22" t="n">
        <v>149</v>
      </c>
    </row>
    <row r="154">
      <c r="A154" s="20" t="inlineStr">
        <is>
          <t>퇴직급여제도 종료이익</t>
        </is>
      </c>
      <c r="R154" s="22" t="n">
        <v>0</v>
      </c>
      <c r="S154" s="22" t="n">
        <v>-532</v>
      </c>
      <c r="T154" s="22" t="n">
        <v>0</v>
      </c>
    </row>
    <row r="155">
      <c r="A155" s="20" t="inlineStr">
        <is>
          <t>유가증권 평가손익(△는 이익)</t>
        </is>
      </c>
      <c r="D155" s="22" t="n">
        <v>0</v>
      </c>
      <c r="H155" s="22" t="n">
        <v>10</v>
      </c>
      <c r="L155" s="22" t="n">
        <v>-10</v>
      </c>
      <c r="V155" s="22" t="n">
        <v>0</v>
      </c>
      <c r="W155" s="22" t="n">
        <v>10</v>
      </c>
      <c r="X155" s="22" t="n">
        <v>-10</v>
      </c>
    </row>
    <row r="156">
      <c r="A156" s="20" t="inlineStr">
        <is>
          <t>이자·배당금 수익</t>
        </is>
      </c>
      <c r="D156" s="22" t="n">
        <v>-34</v>
      </c>
      <c r="H156" s="22" t="n">
        <v>-84</v>
      </c>
      <c r="L156" s="22" t="n">
        <v>-104</v>
      </c>
      <c r="O156" s="22" t="n">
        <v>-30</v>
      </c>
      <c r="P156" s="22" t="n">
        <v>-30</v>
      </c>
      <c r="Q156" s="22" t="n">
        <v>-33</v>
      </c>
      <c r="R156" s="22" t="n">
        <v>-36</v>
      </c>
      <c r="S156" s="22" t="n">
        <v>-34</v>
      </c>
      <c r="T156" s="22" t="n">
        <v>-30</v>
      </c>
      <c r="U156" s="22" t="n">
        <v>-40</v>
      </c>
      <c r="V156" s="22" t="n">
        <v>-34</v>
      </c>
      <c r="W156" s="22" t="n">
        <v>-84</v>
      </c>
      <c r="X156" s="22" t="n">
        <v>-104</v>
      </c>
    </row>
    <row r="157">
      <c r="A157" s="20" t="inlineStr">
        <is>
          <t>이자비용</t>
        </is>
      </c>
      <c r="D157" s="22" t="n">
        <v>1</v>
      </c>
      <c r="H157" s="22" t="n">
        <v>4</v>
      </c>
      <c r="L157" s="22" t="n">
        <v>5</v>
      </c>
      <c r="O157" s="22" t="n">
        <v>6</v>
      </c>
      <c r="P157" s="22" t="n">
        <v>4</v>
      </c>
      <c r="Q157" s="22" t="n">
        <v>1</v>
      </c>
      <c r="R157" s="22" t="n">
        <v>1</v>
      </c>
      <c r="S157" s="22" t="n">
        <v>1</v>
      </c>
      <c r="T157" s="22" t="n">
        <v>0</v>
      </c>
      <c r="U157" s="22" t="n">
        <v>0</v>
      </c>
      <c r="V157" s="22" t="n">
        <v>1</v>
      </c>
      <c r="W157" s="22" t="n">
        <v>4</v>
      </c>
      <c r="X157" s="22" t="n">
        <v>5</v>
      </c>
    </row>
    <row r="158">
      <c r="A158" s="20" t="inlineStr">
        <is>
          <t>유가증권 상환손익</t>
        </is>
      </c>
      <c r="R158" s="22" t="n">
        <v>0</v>
      </c>
      <c r="S158" s="22" t="n">
        <v>-78</v>
      </c>
      <c r="T158" s="22" t="n">
        <v>0</v>
      </c>
    </row>
    <row r="159">
      <c r="A159" s="20" t="inlineStr">
        <is>
          <t>유형자산 매각손익</t>
        </is>
      </c>
      <c r="D159" s="22" t="n">
        <v>-10</v>
      </c>
      <c r="H159" s="22" t="n">
        <v>-3</v>
      </c>
      <c r="L159" s="22" t="n">
        <v>-4</v>
      </c>
      <c r="O159" s="22" t="n">
        <v>20</v>
      </c>
      <c r="P159" s="22" t="n">
        <v>40</v>
      </c>
      <c r="Q159" s="22" t="n">
        <v>-1</v>
      </c>
      <c r="R159" s="22" t="n">
        <v>94</v>
      </c>
      <c r="S159" s="22" t="n">
        <v>-2</v>
      </c>
      <c r="T159" s="22" t="n">
        <v>-3</v>
      </c>
      <c r="U159" s="22" t="n">
        <v>-4</v>
      </c>
      <c r="V159" s="22" t="n">
        <v>-10</v>
      </c>
      <c r="W159" s="22" t="n">
        <v>-3</v>
      </c>
      <c r="X159" s="22" t="n">
        <v>-4</v>
      </c>
    </row>
    <row r="160">
      <c r="A160" s="20" t="inlineStr">
        <is>
          <t>유형자산 제각손실</t>
        </is>
      </c>
      <c r="D160" s="22" t="n">
        <v>25</v>
      </c>
      <c r="H160" s="22" t="n">
        <v>3</v>
      </c>
      <c r="L160" s="22" t="n">
        <v>16</v>
      </c>
      <c r="P160" s="22" t="n">
        <v>8</v>
      </c>
      <c r="Q160" s="22" t="n">
        <v>32</v>
      </c>
      <c r="R160" s="22" t="n">
        <v>16</v>
      </c>
      <c r="S160" s="22" t="n">
        <v>4</v>
      </c>
      <c r="T160" s="22" t="n">
        <v>0</v>
      </c>
      <c r="U160" s="22" t="n">
        <v>29</v>
      </c>
      <c r="V160" s="22" t="n">
        <v>25</v>
      </c>
      <c r="W160" s="22" t="n">
        <v>3</v>
      </c>
      <c r="X160" s="22" t="n">
        <v>16</v>
      </c>
    </row>
    <row r="161">
      <c r="A161" s="20" t="inlineStr">
        <is>
          <t>무형자산 제각손실</t>
        </is>
      </c>
      <c r="D161" s="22" t="n">
        <v>2</v>
      </c>
      <c r="U161" s="22" t="n">
        <v>0</v>
      </c>
      <c r="V161" s="22" t="n">
        <v>2</v>
      </c>
    </row>
    <row r="162">
      <c r="A162" s="20" t="inlineStr">
        <is>
          <t>투자유가증권 평가손익</t>
        </is>
      </c>
      <c r="D162" s="22" t="n">
        <v>111</v>
      </c>
      <c r="P162" s="22" t="n">
        <v>-1</v>
      </c>
      <c r="Q162" s="22" t="n">
        <v>24</v>
      </c>
      <c r="R162" s="22" t="n">
        <v>127</v>
      </c>
      <c r="S162" s="22" t="n">
        <v>0</v>
      </c>
      <c r="T162" s="22" t="n">
        <v>11</v>
      </c>
      <c r="U162" s="22" t="n">
        <v>6</v>
      </c>
      <c r="V162" s="22" t="n">
        <v>111</v>
      </c>
    </row>
    <row r="163">
      <c r="A163" s="20" t="inlineStr">
        <is>
          <t>투자유가증권 매각손익</t>
        </is>
      </c>
      <c r="D163" s="22" t="n">
        <v>-1</v>
      </c>
      <c r="H163" s="22" t="n">
        <v>-86</v>
      </c>
      <c r="L163" s="22" t="n">
        <v>-6</v>
      </c>
      <c r="V163" s="22" t="n">
        <v>-1</v>
      </c>
      <c r="W163" s="22" t="n">
        <v>-86</v>
      </c>
      <c r="X163" s="22" t="n">
        <v>-6</v>
      </c>
    </row>
    <row r="164">
      <c r="A164" s="20" t="inlineStr">
        <is>
          <t>매출채권 증감</t>
        </is>
      </c>
      <c r="D164" s="22" t="n">
        <v>-5561</v>
      </c>
      <c r="H164" s="22" t="n">
        <v>7289</v>
      </c>
      <c r="L164" s="22" t="n">
        <v>-3555</v>
      </c>
      <c r="O164" s="22" t="n">
        <v>342</v>
      </c>
      <c r="P164" s="22" t="n">
        <v>-550</v>
      </c>
      <c r="Q164" s="22" t="n">
        <v>189</v>
      </c>
      <c r="R164" s="22" t="n">
        <v>-373</v>
      </c>
      <c r="S164" s="22" t="n">
        <v>1416</v>
      </c>
      <c r="T164" s="22" t="n">
        <v>-3348</v>
      </c>
      <c r="U164" s="22" t="n">
        <v>2743</v>
      </c>
      <c r="V164" s="22" t="n">
        <v>-5561</v>
      </c>
      <c r="W164" s="22" t="n">
        <v>7289</v>
      </c>
      <c r="X164" s="22" t="n">
        <v>-3555</v>
      </c>
    </row>
    <row r="165">
      <c r="A165" s="20" t="inlineStr">
        <is>
          <t>미성공사 지출금 증감액</t>
        </is>
      </c>
      <c r="D165" s="22" t="n">
        <v>98</v>
      </c>
      <c r="H165" s="22" t="n">
        <v>-162</v>
      </c>
      <c r="L165" s="22" t="n">
        <v>5</v>
      </c>
      <c r="O165" s="22" t="n">
        <v>195</v>
      </c>
      <c r="P165" s="22" t="n">
        <v>-311</v>
      </c>
      <c r="Q165" s="22" t="n">
        <v>208</v>
      </c>
      <c r="R165" s="22" t="n">
        <v>97</v>
      </c>
      <c r="S165" s="22" t="n">
        <v>262</v>
      </c>
      <c r="T165" s="22" t="n">
        <v>33</v>
      </c>
      <c r="U165" s="22" t="n">
        <v>-19</v>
      </c>
      <c r="V165" s="22" t="n">
        <v>98</v>
      </c>
      <c r="W165" s="22" t="n">
        <v>-162</v>
      </c>
      <c r="X165" s="22" t="n">
        <v>5</v>
      </c>
    </row>
    <row r="166">
      <c r="A166" s="20" t="inlineStr">
        <is>
          <t>매입채무 증감</t>
        </is>
      </c>
      <c r="D166" s="22" t="n">
        <v>2706</v>
      </c>
      <c r="H166" s="22" t="n">
        <v>-3791</v>
      </c>
      <c r="L166" s="22" t="n">
        <v>-886</v>
      </c>
      <c r="O166" s="22" t="n">
        <v>-648</v>
      </c>
      <c r="P166" s="22" t="n">
        <v>-196</v>
      </c>
      <c r="Q166" s="22" t="n">
        <v>285</v>
      </c>
      <c r="R166" s="22" t="n">
        <v>1072</v>
      </c>
      <c r="S166" s="22" t="n">
        <v>-702</v>
      </c>
      <c r="T166" s="22" t="n">
        <v>493</v>
      </c>
      <c r="U166" s="22" t="n">
        <v>-1217</v>
      </c>
      <c r="V166" s="22" t="n">
        <v>2706</v>
      </c>
      <c r="W166" s="22" t="n">
        <v>-3791</v>
      </c>
      <c r="X166" s="22" t="n">
        <v>-886</v>
      </c>
    </row>
    <row r="167">
      <c r="A167" s="20" t="inlineStr">
        <is>
          <t>미지급 소비세 증감</t>
        </is>
      </c>
      <c r="D167" s="22" t="n">
        <v>-560</v>
      </c>
      <c r="H167" s="22" t="n">
        <v>1256</v>
      </c>
      <c r="L167" s="22" t="n">
        <v>-985</v>
      </c>
      <c r="V167" s="22" t="n">
        <v>-560</v>
      </c>
      <c r="W167" s="22" t="n">
        <v>1256</v>
      </c>
      <c r="X167" s="22" t="n">
        <v>-985</v>
      </c>
    </row>
    <row r="168">
      <c r="A168" s="20" t="inlineStr">
        <is>
          <t>미성공사 선수금 증감(△는 감소)</t>
        </is>
      </c>
      <c r="D168" s="22" t="n">
        <v>517</v>
      </c>
      <c r="H168" s="22" t="n">
        <v>-355</v>
      </c>
      <c r="L168" s="22" t="n">
        <v>318</v>
      </c>
      <c r="O168" s="22" t="n">
        <v>-407</v>
      </c>
      <c r="P168" s="22" t="n">
        <v>658</v>
      </c>
      <c r="Q168" s="22" t="n">
        <v>252</v>
      </c>
      <c r="R168" s="22" t="n">
        <v>-571</v>
      </c>
      <c r="S168" s="22" t="n">
        <v>-446</v>
      </c>
      <c r="T168" s="22" t="n">
        <v>626</v>
      </c>
      <c r="U168" s="22" t="n">
        <v>-926</v>
      </c>
      <c r="V168" s="22" t="n">
        <v>517</v>
      </c>
      <c r="W168" s="22" t="n">
        <v>-355</v>
      </c>
      <c r="X168" s="22" t="n">
        <v>318</v>
      </c>
    </row>
    <row r="169">
      <c r="A169" s="20" t="inlineStr">
        <is>
          <t>기타</t>
        </is>
      </c>
      <c r="D169" s="22" t="n">
        <v>1113</v>
      </c>
      <c r="H169" s="22" t="n">
        <v>-186</v>
      </c>
      <c r="L169" s="22" t="n">
        <v>84</v>
      </c>
      <c r="O169" s="22" t="n">
        <v>589</v>
      </c>
      <c r="P169" s="22" t="n">
        <v>-286</v>
      </c>
      <c r="Q169" s="22" t="n">
        <v>556</v>
      </c>
      <c r="R169" s="22" t="n">
        <v>-286</v>
      </c>
      <c r="S169" s="22" t="n">
        <v>303</v>
      </c>
      <c r="T169" s="22" t="n">
        <v>-647</v>
      </c>
      <c r="U169" s="22" t="n">
        <v>-104</v>
      </c>
      <c r="V169" s="22" t="n">
        <v>1113</v>
      </c>
      <c r="W169" s="22" t="n">
        <v>-186</v>
      </c>
      <c r="X169" s="22" t="n">
        <v>84</v>
      </c>
    </row>
    <row r="170">
      <c r="A170" s="20" t="inlineStr">
        <is>
          <t>소계</t>
        </is>
      </c>
      <c r="D170" s="22" t="n">
        <v>3077</v>
      </c>
      <c r="H170" s="22" t="n">
        <v>9186</v>
      </c>
      <c r="L170" s="22" t="n">
        <v>1967</v>
      </c>
      <c r="O170" s="22" t="n">
        <v>5837</v>
      </c>
      <c r="P170" s="22" t="n">
        <v>4841</v>
      </c>
      <c r="Q170" s="22" t="n">
        <v>6449</v>
      </c>
      <c r="R170" s="22" t="n">
        <v>5603</v>
      </c>
      <c r="S170" s="22" t="n">
        <v>5564</v>
      </c>
      <c r="T170" s="22" t="n">
        <v>1290</v>
      </c>
      <c r="U170" s="22" t="n">
        <v>3993</v>
      </c>
      <c r="V170" s="22" t="n">
        <v>3077</v>
      </c>
      <c r="W170" s="22" t="n">
        <v>9186</v>
      </c>
      <c r="X170" s="22" t="n">
        <v>1967</v>
      </c>
    </row>
    <row r="171">
      <c r="A171" s="20" t="inlineStr">
        <is>
          <t>이자·배당금 수취</t>
        </is>
      </c>
      <c r="D171" s="22" t="n">
        <v>36</v>
      </c>
      <c r="H171" s="22" t="n">
        <v>80</v>
      </c>
      <c r="L171" s="22" t="n">
        <v>104</v>
      </c>
      <c r="O171" s="22" t="n">
        <v>30</v>
      </c>
      <c r="P171" s="22" t="n">
        <v>30</v>
      </c>
      <c r="Q171" s="22" t="n">
        <v>32</v>
      </c>
      <c r="R171" s="22" t="n">
        <v>40</v>
      </c>
      <c r="S171" s="22" t="n">
        <v>35</v>
      </c>
      <c r="T171" s="22" t="n">
        <v>30</v>
      </c>
      <c r="U171" s="22" t="n">
        <v>37</v>
      </c>
      <c r="V171" s="22" t="n">
        <v>36</v>
      </c>
      <c r="W171" s="22" t="n">
        <v>80</v>
      </c>
      <c r="X171" s="22" t="n">
        <v>104</v>
      </c>
    </row>
    <row r="172">
      <c r="A172" s="20" t="inlineStr">
        <is>
          <t>이자 지급</t>
        </is>
      </c>
      <c r="D172" s="22" t="n">
        <v>-1</v>
      </c>
      <c r="H172" s="22" t="n">
        <v>-4</v>
      </c>
      <c r="L172" s="22" t="n">
        <v>-5</v>
      </c>
      <c r="O172" s="22" t="n">
        <v>-6</v>
      </c>
      <c r="P172" s="22" t="n">
        <v>-4</v>
      </c>
      <c r="Q172" s="22" t="n">
        <v>-1</v>
      </c>
      <c r="R172" s="22" t="n">
        <v>-1</v>
      </c>
      <c r="S172" s="22" t="n">
        <v>-1</v>
      </c>
      <c r="T172" s="22" t="n">
        <v>-0</v>
      </c>
      <c r="U172" s="22" t="n">
        <v>-0</v>
      </c>
      <c r="V172" s="22" t="n">
        <v>-1</v>
      </c>
      <c r="W172" s="22" t="n">
        <v>-4</v>
      </c>
      <c r="X172" s="22" t="n">
        <v>-5</v>
      </c>
    </row>
    <row r="173">
      <c r="A173" s="20" t="inlineStr">
        <is>
          <t>법인세 납부</t>
        </is>
      </c>
      <c r="D173" s="22" t="n">
        <v>-857</v>
      </c>
      <c r="H173" s="22" t="n">
        <v>-1659</v>
      </c>
      <c r="L173" s="22" t="n">
        <v>-1511</v>
      </c>
      <c r="O173" s="22" t="n">
        <v>-1675</v>
      </c>
      <c r="P173" s="22" t="n">
        <v>-1333</v>
      </c>
      <c r="Q173" s="22" t="n">
        <v>-1188</v>
      </c>
      <c r="R173" s="22" t="n">
        <v>-1447</v>
      </c>
      <c r="S173" s="22" t="n">
        <v>-1592</v>
      </c>
      <c r="T173" s="22" t="n">
        <v>-1121</v>
      </c>
      <c r="U173" s="22" t="n">
        <v>-734</v>
      </c>
      <c r="V173" s="22" t="n">
        <v>-857</v>
      </c>
      <c r="W173" s="22" t="n">
        <v>-1659</v>
      </c>
      <c r="X173" s="22" t="n">
        <v>-1511</v>
      </c>
    </row>
    <row r="174">
      <c r="A174" s="20" t="inlineStr">
        <is>
          <t>법인세 환급</t>
        </is>
      </c>
      <c r="D174" s="22" t="n">
        <v>0</v>
      </c>
      <c r="T174" s="22" t="n">
        <v>0</v>
      </c>
      <c r="U174" s="22" t="n">
        <v>18</v>
      </c>
      <c r="V174" s="22" t="n">
        <v>0</v>
      </c>
    </row>
    <row r="175">
      <c r="A175" s="9" t="inlineStr">
        <is>
          <t>영업활동 현금흐름</t>
        </is>
      </c>
      <c r="D175" s="12" t="n">
        <v>2255</v>
      </c>
      <c r="H175" s="12" t="n">
        <v>7603</v>
      </c>
      <c r="L175" s="12" t="n">
        <v>554</v>
      </c>
      <c r="O175" s="12" t="n">
        <v>4186</v>
      </c>
      <c r="P175" s="12" t="n">
        <v>3533</v>
      </c>
      <c r="Q175" s="12" t="n">
        <v>5291</v>
      </c>
      <c r="R175" s="12" t="n">
        <v>4193</v>
      </c>
      <c r="S175" s="12" t="n">
        <v>4005</v>
      </c>
      <c r="T175" s="12" t="n">
        <v>199</v>
      </c>
      <c r="U175" s="12" t="n">
        <v>3314</v>
      </c>
      <c r="V175" s="12" t="n">
        <v>2255</v>
      </c>
      <c r="W175" s="12" t="n">
        <v>7603</v>
      </c>
      <c r="X175" s="12" t="n">
        <v>554</v>
      </c>
    </row>
    <row r="176">
      <c r="A176" s="20" t="inlineStr">
        <is>
          <t>정기예금 예입</t>
        </is>
      </c>
      <c r="D176" s="22" t="n">
        <v>-4225</v>
      </c>
      <c r="H176" s="22" t="n">
        <v>-8600</v>
      </c>
      <c r="L176" s="22" t="n">
        <v>-3620</v>
      </c>
      <c r="Q176" s="22" t="n">
        <v>-100</v>
      </c>
      <c r="R176" s="22" t="n">
        <v>-5200</v>
      </c>
      <c r="S176" s="22" t="n">
        <v>-4800</v>
      </c>
      <c r="T176" s="22" t="n">
        <v>-4800</v>
      </c>
      <c r="U176" s="22" t="n">
        <v>-5300</v>
      </c>
      <c r="V176" s="22" t="n">
        <v>-4225</v>
      </c>
      <c r="W176" s="22" t="n">
        <v>-8600</v>
      </c>
      <c r="X176" s="22" t="n">
        <v>-3620</v>
      </c>
    </row>
    <row r="177">
      <c r="A177" s="20" t="inlineStr">
        <is>
          <t>정기예금 인출</t>
        </is>
      </c>
      <c r="D177" s="22" t="n">
        <v>4941</v>
      </c>
      <c r="H177" s="22" t="n">
        <v>5825</v>
      </c>
      <c r="L177" s="22" t="n">
        <v>500</v>
      </c>
      <c r="Q177" s="22" t="n">
        <v>0</v>
      </c>
      <c r="R177" s="22" t="n">
        <v>4800</v>
      </c>
      <c r="S177" s="22" t="n">
        <v>5200</v>
      </c>
      <c r="T177" s="22" t="n">
        <v>4200</v>
      </c>
      <c r="U177" s="22" t="n">
        <v>4800</v>
      </c>
      <c r="V177" s="22" t="n">
        <v>4941</v>
      </c>
      <c r="W177" s="22" t="n">
        <v>5825</v>
      </c>
      <c r="X177" s="22" t="n">
        <v>500</v>
      </c>
    </row>
    <row r="178">
      <c r="A178" s="20" t="inlineStr">
        <is>
          <t>유가증권 상환 수입</t>
        </is>
      </c>
      <c r="H178" s="22" t="n">
        <v>0</v>
      </c>
      <c r="L178" s="22" t="n">
        <v>600</v>
      </c>
      <c r="R178" s="22" t="n">
        <v>300</v>
      </c>
      <c r="S178" s="22" t="n">
        <v>600</v>
      </c>
      <c r="T178" s="22" t="n">
        <v>110</v>
      </c>
      <c r="U178" s="22" t="n">
        <v>1100</v>
      </c>
      <c r="W178" s="22" t="n">
        <v>0</v>
      </c>
      <c r="X178" s="22" t="n">
        <v>600</v>
      </c>
    </row>
    <row r="179">
      <c r="A179" s="20" t="inlineStr">
        <is>
          <t>유형자산 취득(설비투자)</t>
        </is>
      </c>
      <c r="D179" s="22" t="n">
        <v>-762</v>
      </c>
      <c r="H179" s="22" t="n">
        <v>-411</v>
      </c>
      <c r="L179" s="22" t="n">
        <v>-515</v>
      </c>
      <c r="O179" s="22" t="n">
        <v>-753</v>
      </c>
      <c r="P179" s="22" t="n">
        <v>-1118</v>
      </c>
      <c r="Q179" s="22" t="n">
        <v>-2155</v>
      </c>
      <c r="R179" s="22" t="n">
        <v>-983</v>
      </c>
      <c r="S179" s="22" t="n">
        <v>-1001</v>
      </c>
      <c r="T179" s="22" t="n">
        <v>-1771</v>
      </c>
      <c r="U179" s="22" t="n">
        <v>-1435</v>
      </c>
      <c r="V179" s="22" t="n">
        <v>-762</v>
      </c>
      <c r="W179" s="22" t="n">
        <v>-411</v>
      </c>
      <c r="X179" s="22" t="n">
        <v>-515</v>
      </c>
    </row>
    <row r="180">
      <c r="A180" s="20" t="inlineStr">
        <is>
          <t>유형자산 매각</t>
        </is>
      </c>
      <c r="D180" s="22" t="n">
        <v>35</v>
      </c>
      <c r="H180" s="22" t="n">
        <v>266</v>
      </c>
      <c r="L180" s="22" t="n">
        <v>4</v>
      </c>
      <c r="O180" s="22" t="n">
        <v>158</v>
      </c>
      <c r="P180" s="22" t="n">
        <v>0</v>
      </c>
      <c r="Q180" s="22" t="n">
        <v>13</v>
      </c>
      <c r="R180" s="22" t="n">
        <v>4</v>
      </c>
      <c r="S180" s="22" t="n">
        <v>178</v>
      </c>
      <c r="T180" s="22" t="n">
        <v>3</v>
      </c>
      <c r="U180" s="22" t="n">
        <v>12</v>
      </c>
      <c r="V180" s="22" t="n">
        <v>35</v>
      </c>
      <c r="W180" s="22" t="n">
        <v>266</v>
      </c>
      <c r="X180" s="22" t="n">
        <v>4</v>
      </c>
    </row>
    <row r="181">
      <c r="A181" s="20" t="inlineStr">
        <is>
          <t>유형자산 제각 지출</t>
        </is>
      </c>
      <c r="D181" s="22" t="n">
        <v>-19</v>
      </c>
      <c r="H181" s="22" t="n">
        <v>-2</v>
      </c>
      <c r="L181" s="22" t="n">
        <v>-10</v>
      </c>
      <c r="R181" s="22" t="n">
        <v>-24</v>
      </c>
      <c r="S181" s="22" t="n">
        <v>-4</v>
      </c>
      <c r="T181" s="22" t="n">
        <v>0</v>
      </c>
      <c r="U181" s="22" t="n">
        <v>-26</v>
      </c>
      <c r="V181" s="22" t="n">
        <v>-19</v>
      </c>
      <c r="W181" s="22" t="n">
        <v>-2</v>
      </c>
      <c r="X181" s="22" t="n">
        <v>-10</v>
      </c>
    </row>
    <row r="182">
      <c r="A182" s="20" t="inlineStr">
        <is>
          <t>투자유가증권 매각</t>
        </is>
      </c>
      <c r="D182" s="22" t="n">
        <v>10</v>
      </c>
      <c r="H182" s="22" t="n">
        <v>117</v>
      </c>
      <c r="L182" s="22" t="n">
        <v>10</v>
      </c>
      <c r="V182" s="22" t="n">
        <v>10</v>
      </c>
      <c r="W182" s="22" t="n">
        <v>117</v>
      </c>
      <c r="X182" s="22" t="n">
        <v>10</v>
      </c>
    </row>
    <row r="183">
      <c r="A183" s="20" t="inlineStr">
        <is>
          <t>연결범위 변경 자회사 주식 취득</t>
        </is>
      </c>
      <c r="D183" s="22" t="n">
        <v>-1560</v>
      </c>
      <c r="H183" s="22" t="n">
        <v>0</v>
      </c>
      <c r="T183" s="22" t="n">
        <v>0</v>
      </c>
      <c r="U183" s="22" t="n">
        <v>-1165</v>
      </c>
      <c r="V183" s="22" t="n">
        <v>-1560</v>
      </c>
      <c r="W183" s="22" t="n">
        <v>0</v>
      </c>
    </row>
    <row r="184">
      <c r="A184" s="20" t="inlineStr">
        <is>
          <t>자회사 주식 취득</t>
        </is>
      </c>
      <c r="H184" s="22" t="n">
        <v>0</v>
      </c>
      <c r="L184" s="22" t="n">
        <v>-209</v>
      </c>
      <c r="W184" s="22" t="n">
        <v>0</v>
      </c>
      <c r="X184" s="22" t="n">
        <v>-209</v>
      </c>
    </row>
    <row r="185">
      <c r="A185" s="20" t="inlineStr">
        <is>
          <t>기타</t>
        </is>
      </c>
      <c r="D185" s="22" t="n">
        <v>169</v>
      </c>
      <c r="H185" s="22" t="n">
        <v>-613</v>
      </c>
      <c r="L185" s="22" t="n">
        <v>-64</v>
      </c>
      <c r="O185" s="22" t="n">
        <v>-44</v>
      </c>
      <c r="P185" s="22" t="n">
        <v>31</v>
      </c>
      <c r="Q185" s="22" t="n">
        <v>-479</v>
      </c>
      <c r="R185" s="22" t="n">
        <v>-269</v>
      </c>
      <c r="S185" s="22" t="n">
        <v>-154</v>
      </c>
      <c r="T185" s="22" t="n">
        <v>-777</v>
      </c>
      <c r="U185" s="22" t="n">
        <v>180</v>
      </c>
      <c r="V185" s="22" t="n">
        <v>169</v>
      </c>
      <c r="W185" s="22" t="n">
        <v>-613</v>
      </c>
      <c r="X185" s="22" t="n">
        <v>-64</v>
      </c>
    </row>
    <row r="186">
      <c r="A186" s="9" t="inlineStr">
        <is>
          <t>투자활동 현금흐름</t>
        </is>
      </c>
      <c r="D186" s="12" t="n">
        <v>-1444</v>
      </c>
      <c r="H186" s="12" t="n">
        <v>-3418</v>
      </c>
      <c r="L186" s="12" t="n">
        <v>-3304</v>
      </c>
      <c r="O186" s="12" t="n">
        <v>-639</v>
      </c>
      <c r="P186" s="12" t="n">
        <v>-1086</v>
      </c>
      <c r="Q186" s="12" t="n">
        <v>-2721</v>
      </c>
      <c r="R186" s="12" t="n">
        <v>-1373</v>
      </c>
      <c r="S186" s="12" t="n">
        <v>17</v>
      </c>
      <c r="T186" s="12" t="n">
        <v>-3035</v>
      </c>
      <c r="U186" s="12" t="n">
        <v>-2935</v>
      </c>
      <c r="V186" s="12" t="n">
        <v>-1444</v>
      </c>
      <c r="W186" s="12" t="n">
        <v>-3418</v>
      </c>
      <c r="X186" s="12" t="n">
        <v>-3304</v>
      </c>
    </row>
    <row r="187">
      <c r="A187" s="20" t="inlineStr">
        <is>
          <t>자기주식 취득</t>
        </is>
      </c>
      <c r="O187" s="22" t="n">
        <v>-0</v>
      </c>
      <c r="P187" s="22" t="n">
        <v>-0</v>
      </c>
      <c r="Q187" s="22" t="n">
        <v>-0</v>
      </c>
    </row>
    <row r="188">
      <c r="A188" s="20" t="inlineStr">
        <is>
          <t>장기차입금 상환</t>
        </is>
      </c>
      <c r="D188" s="22" t="n">
        <v>-52</v>
      </c>
      <c r="H188" s="22" t="n">
        <v>-187</v>
      </c>
      <c r="L188" s="22" t="n">
        <v>-57</v>
      </c>
      <c r="U188" s="22" t="n">
        <v>0</v>
      </c>
      <c r="V188" s="22" t="n">
        <v>-52</v>
      </c>
      <c r="W188" s="22" t="n">
        <v>-187</v>
      </c>
      <c r="X188" s="22" t="n">
        <v>-57</v>
      </c>
    </row>
    <row r="189">
      <c r="A189" s="20" t="inlineStr">
        <is>
          <t>배당금 지급</t>
        </is>
      </c>
      <c r="D189" s="22" t="n">
        <v>-1222</v>
      </c>
      <c r="H189" s="22" t="n">
        <v>-1178</v>
      </c>
      <c r="L189" s="22" t="n">
        <v>-1296</v>
      </c>
      <c r="O189" s="22" t="n">
        <v>-324</v>
      </c>
      <c r="P189" s="22" t="n">
        <v>-371</v>
      </c>
      <c r="Q189" s="22" t="n">
        <v>-417</v>
      </c>
      <c r="R189" s="22" t="n">
        <v>-556</v>
      </c>
      <c r="S189" s="22" t="n">
        <v>-580</v>
      </c>
      <c r="T189" s="22" t="n">
        <v>-927</v>
      </c>
      <c r="U189" s="22" t="n">
        <v>-834</v>
      </c>
      <c r="V189" s="22" t="n">
        <v>-1222</v>
      </c>
      <c r="W189" s="22" t="n">
        <v>-1178</v>
      </c>
      <c r="X189" s="22" t="n">
        <v>-1296</v>
      </c>
    </row>
    <row r="190">
      <c r="A190" s="20" t="inlineStr">
        <is>
          <t>금융리스부채 상환</t>
        </is>
      </c>
      <c r="D190" s="22" t="n">
        <v>-14</v>
      </c>
      <c r="H190" s="22" t="n">
        <v>-27</v>
      </c>
      <c r="L190" s="22" t="n">
        <v>-51</v>
      </c>
      <c r="O190" s="22" t="n">
        <v>-167</v>
      </c>
      <c r="P190" s="22" t="n">
        <v>-126</v>
      </c>
      <c r="Q190" s="22" t="n">
        <v>-95</v>
      </c>
      <c r="R190" s="22" t="n">
        <v>-18</v>
      </c>
      <c r="S190" s="22" t="n">
        <v>-12</v>
      </c>
      <c r="T190" s="22" t="n">
        <v>-14</v>
      </c>
      <c r="U190" s="22" t="n">
        <v>-14</v>
      </c>
      <c r="V190" s="22" t="n">
        <v>-14</v>
      </c>
      <c r="W190" s="22" t="n">
        <v>-27</v>
      </c>
      <c r="X190" s="22" t="n">
        <v>-51</v>
      </c>
    </row>
    <row r="191">
      <c r="A191" s="20" t="inlineStr">
        <is>
          <t>기타</t>
        </is>
      </c>
      <c r="D191" s="22" t="n">
        <v>-0</v>
      </c>
      <c r="H191" s="22" t="n">
        <v>-0</v>
      </c>
      <c r="L191" s="22" t="n">
        <v>-713</v>
      </c>
      <c r="Q191" s="22" t="n">
        <v>-0</v>
      </c>
      <c r="R191" s="22" t="n">
        <v>0</v>
      </c>
      <c r="S191" s="22" t="n">
        <v>-0</v>
      </c>
      <c r="T191" s="22" t="n">
        <v>-1</v>
      </c>
      <c r="U191" s="22" t="n">
        <v>-50</v>
      </c>
      <c r="V191" s="22" t="n">
        <v>-0</v>
      </c>
      <c r="W191" s="22" t="n">
        <v>-0</v>
      </c>
      <c r="X191" s="22" t="n">
        <v>-713</v>
      </c>
    </row>
    <row r="192">
      <c r="A192" s="9" t="inlineStr">
        <is>
          <t>재무활동 현금흐름</t>
        </is>
      </c>
      <c r="D192" s="12" t="n">
        <v>-1289</v>
      </c>
      <c r="H192" s="12" t="n">
        <v>-1393</v>
      </c>
      <c r="L192" s="12" t="n">
        <v>-2118</v>
      </c>
      <c r="O192" s="12" t="n">
        <v>-491</v>
      </c>
      <c r="P192" s="12" t="n">
        <v>-497</v>
      </c>
      <c r="Q192" s="12" t="n">
        <v>-513</v>
      </c>
      <c r="R192" s="12" t="n">
        <v>-575</v>
      </c>
      <c r="S192" s="12" t="n">
        <v>-593</v>
      </c>
      <c r="T192" s="12" t="n">
        <v>-943</v>
      </c>
      <c r="U192" s="12" t="n">
        <v>-900</v>
      </c>
      <c r="V192" s="12" t="n">
        <v>-1289</v>
      </c>
      <c r="W192" s="12" t="n">
        <v>-1393</v>
      </c>
      <c r="X192" s="12" t="n">
        <v>-2118</v>
      </c>
    </row>
    <row r="193">
      <c r="A193" s="20" t="inlineStr">
        <is>
          <t>현금성자산 증감</t>
        </is>
      </c>
      <c r="D193" s="22" t="n">
        <v>-478</v>
      </c>
      <c r="H193" s="22" t="n">
        <v>2790</v>
      </c>
      <c r="L193" s="22" t="n">
        <v>-4869</v>
      </c>
      <c r="O193" s="22" t="n">
        <v>3055</v>
      </c>
      <c r="P193" s="22" t="n">
        <v>1949</v>
      </c>
      <c r="Q193" s="22" t="n">
        <v>2056</v>
      </c>
      <c r="R193" s="22" t="n">
        <v>2245</v>
      </c>
      <c r="S193" s="22" t="n">
        <v>3430</v>
      </c>
      <c r="T193" s="22" t="n">
        <v>-3780</v>
      </c>
      <c r="U193" s="22" t="n">
        <v>-521</v>
      </c>
      <c r="V193" s="22" t="n">
        <v>-478</v>
      </c>
      <c r="W193" s="22" t="n">
        <v>2790</v>
      </c>
      <c r="X193" s="22" t="n">
        <v>-4869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호쿠리쿠전기공사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34606</v>
      </c>
      <c r="D5" s="12" t="n">
        <v>36180</v>
      </c>
      <c r="E5" s="12" t="n">
        <v>39788</v>
      </c>
      <c r="F5" s="12" t="n">
        <v>35975</v>
      </c>
      <c r="G5" s="12" t="n">
        <v>39707</v>
      </c>
      <c r="H5" s="11" t="n">
        <v>38893</v>
      </c>
      <c r="I5" s="12" t="n">
        <v>36526</v>
      </c>
      <c r="J5" s="12" t="n">
        <v>37343</v>
      </c>
      <c r="K5" s="12" t="n">
        <v>39658</v>
      </c>
      <c r="L5" s="12" t="n">
        <v>39788</v>
      </c>
    </row>
    <row r="6">
      <c r="A6" s="20" t="inlineStr">
        <is>
          <t>현금및현금성자산</t>
        </is>
      </c>
      <c r="B6" s="10" t="n"/>
      <c r="C6" s="21" t="n">
        <v>16280</v>
      </c>
      <c r="D6" s="22" t="n">
        <v>15889</v>
      </c>
      <c r="E6" s="22" t="n">
        <v>20012</v>
      </c>
      <c r="F6" s="22" t="n">
        <v>20450</v>
      </c>
      <c r="G6" s="22" t="n">
        <v>18359</v>
      </c>
      <c r="H6" s="21" t="n">
        <v>20796</v>
      </c>
      <c r="I6" s="22" t="n">
        <v>20549</v>
      </c>
      <c r="J6" s="22" t="n">
        <v>16948</v>
      </c>
      <c r="K6" s="22" t="n">
        <v>22761</v>
      </c>
      <c r="L6" s="22" t="n">
        <v>20012</v>
      </c>
    </row>
    <row r="7">
      <c r="A7" s="20" t="inlineStr">
        <is>
          <t>단기금융상품</t>
        </is>
      </c>
      <c r="B7" s="10" t="n"/>
      <c r="C7" s="21" t="n">
        <v>5</v>
      </c>
      <c r="D7" s="22" t="n">
        <v>5</v>
      </c>
      <c r="E7" s="22" t="n">
        <v>5</v>
      </c>
      <c r="F7" s="22" t="n">
        <v>0</v>
      </c>
      <c r="G7" s="22" t="n">
        <v>198</v>
      </c>
      <c r="H7" s="21" t="n">
        <v>499</v>
      </c>
      <c r="I7" s="22" t="n">
        <v>105</v>
      </c>
      <c r="J7" s="22" t="n">
        <v>1</v>
      </c>
      <c r="K7" s="22" t="n">
        <v>589</v>
      </c>
      <c r="L7" s="22" t="n">
        <v>5</v>
      </c>
    </row>
    <row r="8">
      <c r="A8" s="20" t="inlineStr">
        <is>
          <t>매출채권</t>
        </is>
      </c>
      <c r="B8" s="10" t="n"/>
      <c r="C8" s="21" t="n"/>
      <c r="D8" s="22" t="n"/>
      <c r="E8" s="22" t="n"/>
      <c r="F8" s="22" t="n"/>
      <c r="G8" s="22" t="n"/>
      <c r="H8" s="21" t="n"/>
      <c r="I8" s="22" t="n"/>
      <c r="J8" s="22" t="n"/>
      <c r="K8" s="22" t="n"/>
      <c r="L8" s="22" t="n"/>
    </row>
    <row r="9">
      <c r="A9" s="20" t="inlineStr">
        <is>
          <t>재고자산</t>
        </is>
      </c>
      <c r="B9" s="10" t="n"/>
      <c r="C9" s="21" t="n"/>
      <c r="D9" s="22" t="n"/>
      <c r="E9" s="22" t="n"/>
      <c r="F9" s="22" t="n"/>
      <c r="G9" s="22" t="n"/>
      <c r="H9" s="21" t="n"/>
      <c r="I9" s="22" t="n"/>
      <c r="J9" s="22" t="n"/>
      <c r="K9" s="22" t="n"/>
      <c r="L9" s="22" t="n"/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20756</v>
      </c>
      <c r="D11" s="12" t="n">
        <v>20571</v>
      </c>
      <c r="E11" s="12" t="n">
        <v>22203</v>
      </c>
      <c r="F11" s="12" t="n">
        <v>23236</v>
      </c>
      <c r="G11" s="12" t="n">
        <v>23251</v>
      </c>
      <c r="H11" s="11" t="n">
        <v>16288</v>
      </c>
      <c r="I11" s="12" t="n">
        <v>18276</v>
      </c>
      <c r="J11" s="12" t="n">
        <v>21635</v>
      </c>
      <c r="K11" s="12" t="n">
        <v>21048</v>
      </c>
      <c r="L11" s="12" t="n">
        <v>22203</v>
      </c>
    </row>
    <row r="12">
      <c r="A12" s="20" t="inlineStr">
        <is>
          <t>유형자산</t>
        </is>
      </c>
      <c r="B12" s="10" t="n"/>
      <c r="C12" s="21" t="n">
        <v>12745</v>
      </c>
      <c r="D12" s="22" t="n">
        <v>12566</v>
      </c>
      <c r="E12" s="22" t="n">
        <v>12565</v>
      </c>
      <c r="F12" s="22" t="n">
        <v>12787</v>
      </c>
      <c r="G12" s="22" t="n">
        <v>12846</v>
      </c>
      <c r="H12" s="21" t="n">
        <v>12121</v>
      </c>
      <c r="I12" s="22" t="n">
        <v>13938</v>
      </c>
      <c r="J12" s="22" t="n">
        <v>11987</v>
      </c>
      <c r="K12" s="22" t="n">
        <v>12942</v>
      </c>
      <c r="L12" s="22" t="n">
        <v>12565</v>
      </c>
    </row>
    <row r="13">
      <c r="A13" s="20" t="inlineStr">
        <is>
          <t>무형자산</t>
        </is>
      </c>
      <c r="B13" s="10" t="n"/>
      <c r="C13" s="21" t="n">
        <v>1771</v>
      </c>
      <c r="D13" s="22" t="n">
        <v>1678</v>
      </c>
      <c r="E13" s="22" t="n">
        <v>1589</v>
      </c>
      <c r="F13" s="22" t="n">
        <v>1506</v>
      </c>
      <c r="G13" s="22" t="n">
        <v>1422</v>
      </c>
      <c r="H13" s="21" t="n">
        <v>88</v>
      </c>
      <c r="I13" s="22" t="n">
        <v>579</v>
      </c>
      <c r="J13" s="22" t="n">
        <v>115</v>
      </c>
      <c r="K13" s="22" t="n">
        <v>1934</v>
      </c>
      <c r="L13" s="22" t="n">
        <v>1589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55362</v>
      </c>
      <c r="D16" s="12" t="n">
        <v>56751</v>
      </c>
      <c r="E16" s="12" t="n">
        <v>61992</v>
      </c>
      <c r="F16" s="12" t="n">
        <v>59211</v>
      </c>
      <c r="G16" s="12" t="n">
        <v>62958</v>
      </c>
      <c r="H16" s="11" t="n">
        <v>55182</v>
      </c>
      <c r="I16" s="12" t="n">
        <v>54803</v>
      </c>
      <c r="J16" s="12" t="n">
        <v>58979</v>
      </c>
      <c r="K16" s="12" t="n">
        <v>60707</v>
      </c>
      <c r="L16" s="12" t="n">
        <v>61992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8121</v>
      </c>
      <c r="D18" s="12" t="n">
        <v>8508</v>
      </c>
      <c r="E18" s="12" t="n">
        <v>12006</v>
      </c>
      <c r="F18" s="12" t="n">
        <v>9149</v>
      </c>
      <c r="G18" s="12" t="n">
        <v>10872</v>
      </c>
      <c r="H18" s="11" t="n">
        <v>11820</v>
      </c>
      <c r="I18" s="12" t="n">
        <v>10455</v>
      </c>
      <c r="J18" s="12" t="n">
        <v>13419</v>
      </c>
      <c r="K18" s="12" t="n">
        <v>13308</v>
      </c>
      <c r="L18" s="12" t="n">
        <v>12006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  <c r="L19" s="22" t="n"/>
    </row>
    <row r="20">
      <c r="A20" s="20" t="inlineStr">
        <is>
          <t>단기차입금</t>
        </is>
      </c>
      <c r="B20" s="10" t="n"/>
      <c r="C20" s="21" t="n">
        <v>25</v>
      </c>
      <c r="D20" s="22" t="n">
        <v>25</v>
      </c>
      <c r="E20" s="22" t="n">
        <v>0</v>
      </c>
      <c r="F20" s="22" t="n"/>
      <c r="G20" s="22" t="n"/>
      <c r="H20" s="21" t="n">
        <v>0</v>
      </c>
      <c r="I20" s="22" t="n">
        <v>0</v>
      </c>
      <c r="J20" s="22" t="n">
        <v>176</v>
      </c>
      <c r="K20" s="22" t="n">
        <v>57</v>
      </c>
      <c r="L20" s="22" t="n">
        <v>0</v>
      </c>
    </row>
    <row r="21">
      <c r="A21" s="20" t="inlineStr">
        <is>
          <t>유동성장기부채</t>
        </is>
      </c>
      <c r="B21" s="10" t="n"/>
      <c r="C21" s="21" t="n"/>
      <c r="D21" s="22" t="n">
        <v>25</v>
      </c>
      <c r="E21" s="22" t="n">
        <v>50</v>
      </c>
      <c r="F21" s="22" t="n"/>
      <c r="G21" s="22" t="n"/>
      <c r="H21" s="21" t="n"/>
      <c r="I21" s="22" t="n"/>
      <c r="J21" s="22" t="n"/>
      <c r="K21" s="22" t="n">
        <v>0</v>
      </c>
      <c r="L21" s="22" t="n">
        <v>50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3631</v>
      </c>
      <c r="D23" s="12" t="n">
        <v>3776</v>
      </c>
      <c r="E23" s="12" t="n">
        <v>3899</v>
      </c>
      <c r="F23" s="12" t="n">
        <v>3935</v>
      </c>
      <c r="G23" s="12" t="n">
        <v>3988</v>
      </c>
      <c r="H23" s="11" t="n">
        <v>3589</v>
      </c>
      <c r="I23" s="12" t="n">
        <v>3629</v>
      </c>
      <c r="J23" s="12" t="n">
        <v>3591</v>
      </c>
      <c r="K23" s="12" t="n">
        <v>3505</v>
      </c>
      <c r="L23" s="12" t="n">
        <v>3899</v>
      </c>
    </row>
    <row r="24">
      <c r="A24" s="20" t="inlineStr">
        <is>
          <t>장기차입금</t>
        </is>
      </c>
      <c r="B24" s="10" t="n"/>
      <c r="C24" s="21" t="n">
        <v>49</v>
      </c>
      <c r="D24" s="22" t="n">
        <v>39</v>
      </c>
      <c r="E24" s="22" t="n">
        <v>24</v>
      </c>
      <c r="F24" s="22" t="n">
        <v>12</v>
      </c>
      <c r="G24" s="22" t="n">
        <v>0</v>
      </c>
      <c r="H24" s="21" t="n"/>
      <c r="I24" s="22" t="n">
        <v>0</v>
      </c>
      <c r="J24" s="22" t="n">
        <v>143</v>
      </c>
      <c r="K24" s="22" t="n">
        <v>74</v>
      </c>
      <c r="L24" s="22" t="n">
        <v>24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11752</v>
      </c>
      <c r="D27" s="12" t="n">
        <v>12284</v>
      </c>
      <c r="E27" s="12" t="n">
        <v>15906</v>
      </c>
      <c r="F27" s="12" t="n">
        <v>13085</v>
      </c>
      <c r="G27" s="12" t="n">
        <v>14860</v>
      </c>
      <c r="H27" s="11" t="n">
        <v>15409</v>
      </c>
      <c r="I27" s="12" t="n">
        <v>14085</v>
      </c>
      <c r="J27" s="12" t="n">
        <v>17010</v>
      </c>
      <c r="K27" s="12" t="n">
        <v>16814</v>
      </c>
      <c r="L27" s="12" t="n">
        <v>15906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43609</v>
      </c>
      <c r="D31" s="12" t="n">
        <v>44466</v>
      </c>
      <c r="E31" s="12" t="n">
        <v>46085</v>
      </c>
      <c r="F31" s="12" t="n">
        <v>46126</v>
      </c>
      <c r="G31" s="12" t="n">
        <v>48098</v>
      </c>
      <c r="H31" s="11" t="n">
        <v>39772</v>
      </c>
      <c r="I31" s="12" t="n">
        <v>40717</v>
      </c>
      <c r="J31" s="12" t="n">
        <v>41968</v>
      </c>
      <c r="K31" s="12" t="n">
        <v>43893</v>
      </c>
      <c r="L31" s="12" t="n">
        <v>46085</v>
      </c>
    </row>
    <row r="32">
      <c r="A32" s="20" t="inlineStr">
        <is>
          <t>자본금</t>
        </is>
      </c>
      <c r="B32" s="10" t="n"/>
      <c r="C32" s="21" t="n">
        <v>3328</v>
      </c>
      <c r="D32" s="22" t="n">
        <v>3328</v>
      </c>
      <c r="E32" s="22" t="n">
        <v>3328</v>
      </c>
      <c r="F32" s="22" t="n">
        <v>3328</v>
      </c>
      <c r="G32" s="22" t="n">
        <v>3328</v>
      </c>
      <c r="H32" s="21" t="n">
        <v>3328</v>
      </c>
      <c r="I32" s="22" t="n">
        <v>3328</v>
      </c>
      <c r="J32" s="22" t="n">
        <v>3328</v>
      </c>
      <c r="K32" s="22" t="n">
        <v>3328</v>
      </c>
      <c r="L32" s="22" t="n">
        <v>3328</v>
      </c>
    </row>
    <row r="33">
      <c r="A33" s="20" t="inlineStr">
        <is>
          <t>이익잉여금</t>
        </is>
      </c>
      <c r="B33" s="10" t="n"/>
      <c r="C33" s="21" t="n">
        <v>38378</v>
      </c>
      <c r="D33" s="22" t="n">
        <v>39130</v>
      </c>
      <c r="E33" s="22" t="n">
        <v>40682</v>
      </c>
      <c r="F33" s="22" t="n">
        <v>40522</v>
      </c>
      <c r="G33" s="22" t="n">
        <v>42237</v>
      </c>
      <c r="H33" s="21" t="n">
        <v>34121</v>
      </c>
      <c r="I33" s="22" t="n">
        <v>35122</v>
      </c>
      <c r="J33" s="22" t="n">
        <v>36150</v>
      </c>
      <c r="K33" s="22" t="n">
        <v>38110</v>
      </c>
      <c r="L33" s="22" t="n">
        <v>40682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43609</v>
      </c>
      <c r="D35" s="12" t="n">
        <v>44466</v>
      </c>
      <c r="E35" s="12" t="n">
        <v>46085</v>
      </c>
      <c r="F35" s="12" t="n">
        <v>46126</v>
      </c>
      <c r="G35" s="12" t="n">
        <v>48098</v>
      </c>
      <c r="H35" s="11" t="n">
        <v>39772</v>
      </c>
      <c r="I35" s="12" t="n">
        <v>40717</v>
      </c>
      <c r="J35" s="12" t="n">
        <v>41968</v>
      </c>
      <c r="K35" s="12" t="n">
        <v>43893</v>
      </c>
      <c r="L35" s="12" t="n">
        <v>46085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554</v>
      </c>
      <c r="F37" s="12" t="n"/>
      <c r="G37" s="12" t="n"/>
      <c r="H37" s="11" t="n">
        <v>199</v>
      </c>
      <c r="I37" s="12" t="n">
        <v>3314</v>
      </c>
      <c r="J37" s="12" t="n">
        <v>2255</v>
      </c>
      <c r="K37" s="12" t="n">
        <v>7603</v>
      </c>
      <c r="L37" s="12" t="n">
        <v>554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>
        <v>515</v>
      </c>
      <c r="F38" s="22" t="n"/>
      <c r="G38" s="22" t="n"/>
      <c r="H38" s="21" t="n">
        <v>1771</v>
      </c>
      <c r="I38" s="22" t="n">
        <v>1435</v>
      </c>
      <c r="J38" s="22" t="n">
        <v>762</v>
      </c>
      <c r="K38" s="22" t="n">
        <v>411</v>
      </c>
      <c r="L38" s="22" t="n">
        <v>515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>
        <v>1296</v>
      </c>
      <c r="F40" s="22" t="n"/>
      <c r="G40" s="22" t="n"/>
      <c r="H40" s="21" t="n">
        <v>927</v>
      </c>
      <c r="I40" s="22" t="n">
        <v>834</v>
      </c>
      <c r="J40" s="22" t="n">
        <v>1222</v>
      </c>
      <c r="K40" s="22" t="n">
        <v>1178</v>
      </c>
      <c r="L40" s="22" t="n">
        <v>1296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현금예금</t>
        </is>
      </c>
      <c r="C71" s="22" t="n">
        <v>16280</v>
      </c>
      <c r="D71" s="22" t="n">
        <v>15889</v>
      </c>
      <c r="E71" s="22" t="n">
        <v>20012</v>
      </c>
      <c r="F71" s="22" t="n">
        <v>20450</v>
      </c>
      <c r="G71" s="22" t="n">
        <v>18359</v>
      </c>
      <c r="H71" s="22" t="n">
        <v>20796</v>
      </c>
      <c r="I71" s="22" t="n">
        <v>20549</v>
      </c>
      <c r="J71" s="22" t="n">
        <v>16948</v>
      </c>
      <c r="K71" s="22" t="n">
        <v>22761</v>
      </c>
      <c r="L71" s="22" t="n">
        <v>20012</v>
      </c>
    </row>
    <row r="72">
      <c r="A72" s="20" t="inlineStr">
        <is>
          <t>받을어음</t>
        </is>
      </c>
      <c r="E72" s="22" t="n">
        <v>84</v>
      </c>
      <c r="H72" s="22" t="n">
        <v>593</v>
      </c>
      <c r="I72" s="22" t="n">
        <v>636</v>
      </c>
      <c r="J72" s="22" t="n">
        <v>424</v>
      </c>
      <c r="K72" s="22" t="n">
        <v>181</v>
      </c>
      <c r="L72" s="22" t="n">
        <v>84</v>
      </c>
    </row>
    <row r="73">
      <c r="A73" s="20" t="inlineStr">
        <is>
          <t>전자기록채권</t>
        </is>
      </c>
      <c r="E73" s="22" t="n">
        <v>1443</v>
      </c>
      <c r="H73" s="22" t="n">
        <v>1866</v>
      </c>
      <c r="I73" s="22" t="n">
        <v>1681</v>
      </c>
      <c r="J73" s="22" t="n">
        <v>2334</v>
      </c>
      <c r="K73" s="22" t="n">
        <v>1233</v>
      </c>
      <c r="L73" s="22" t="n">
        <v>1443</v>
      </c>
    </row>
    <row r="74">
      <c r="A74" s="20" t="inlineStr">
        <is>
          <t>완성공사 미수금</t>
        </is>
      </c>
      <c r="E74" s="22" t="n">
        <v>14898</v>
      </c>
      <c r="H74" s="22" t="n">
        <v>13916</v>
      </c>
      <c r="I74" s="22" t="n">
        <v>11487</v>
      </c>
      <c r="J74" s="22" t="n">
        <v>16079</v>
      </c>
      <c r="K74" s="22" t="n">
        <v>11520</v>
      </c>
      <c r="L74" s="22" t="n">
        <v>14898</v>
      </c>
    </row>
    <row r="75">
      <c r="A75" s="20" t="inlineStr">
        <is>
          <t>받을어음·완성공사 미수금 등</t>
        </is>
      </c>
      <c r="C75" s="22" t="n">
        <v>16310</v>
      </c>
      <c r="D75" s="22" t="n">
        <v>18697</v>
      </c>
      <c r="E75" s="22" t="n">
        <v>18503</v>
      </c>
      <c r="F75" s="22" t="n">
        <v>13916</v>
      </c>
      <c r="G75" s="22" t="n">
        <v>19235</v>
      </c>
      <c r="H75" s="22" t="n">
        <v>16676</v>
      </c>
      <c r="I75" s="22" t="n">
        <v>14614</v>
      </c>
      <c r="J75" s="22" t="n">
        <v>22237</v>
      </c>
      <c r="K75" s="22" t="n">
        <v>14948</v>
      </c>
      <c r="L75" s="22" t="n">
        <v>18503</v>
      </c>
    </row>
    <row r="76">
      <c r="A76" s="20" t="inlineStr">
        <is>
          <t>유가증권</t>
        </is>
      </c>
      <c r="C76" s="22" t="n">
        <v>5</v>
      </c>
      <c r="D76" s="22" t="n">
        <v>5</v>
      </c>
      <c r="E76" s="22" t="n">
        <v>5</v>
      </c>
      <c r="F76" s="22" t="n">
        <v>0</v>
      </c>
      <c r="G76" s="22" t="n">
        <v>198</v>
      </c>
      <c r="H76" s="22" t="n">
        <v>499</v>
      </c>
      <c r="I76" s="22" t="n">
        <v>105</v>
      </c>
      <c r="J76" s="22" t="n">
        <v>1</v>
      </c>
      <c r="K76" s="22" t="n">
        <v>589</v>
      </c>
      <c r="L76" s="22" t="n">
        <v>5</v>
      </c>
    </row>
    <row r="77">
      <c r="A77" s="20" t="inlineStr">
        <is>
          <t>미성공사 지출금</t>
        </is>
      </c>
      <c r="C77" s="22" t="n">
        <v>723</v>
      </c>
      <c r="D77" s="22" t="n">
        <v>800</v>
      </c>
      <c r="E77" s="22" t="n">
        <v>565</v>
      </c>
      <c r="F77" s="22" t="n">
        <v>795</v>
      </c>
      <c r="G77" s="22" t="n">
        <v>714</v>
      </c>
      <c r="H77" s="22" t="n">
        <v>297</v>
      </c>
      <c r="I77" s="22" t="n">
        <v>477</v>
      </c>
      <c r="J77" s="22" t="n">
        <v>404</v>
      </c>
      <c r="K77" s="22" t="n">
        <v>571</v>
      </c>
      <c r="L77" s="22" t="n">
        <v>565</v>
      </c>
    </row>
    <row r="78">
      <c r="A78" s="20" t="inlineStr">
        <is>
          <t>재료·저장품</t>
        </is>
      </c>
      <c r="C78" s="22" t="n">
        <v>515</v>
      </c>
      <c r="D78" s="22" t="n">
        <v>523</v>
      </c>
      <c r="E78" s="22" t="n">
        <v>497</v>
      </c>
      <c r="F78" s="22" t="n">
        <v>509</v>
      </c>
      <c r="G78" s="22" t="n">
        <v>531</v>
      </c>
      <c r="H78" s="22" t="n">
        <v>337</v>
      </c>
      <c r="I78" s="22" t="n">
        <v>409</v>
      </c>
      <c r="J78" s="22" t="n">
        <v>429</v>
      </c>
      <c r="K78" s="22" t="n">
        <v>510</v>
      </c>
      <c r="L78" s="22" t="n">
        <v>497</v>
      </c>
    </row>
    <row r="79">
      <c r="A79" s="20" t="inlineStr">
        <is>
          <t>기타</t>
        </is>
      </c>
      <c r="C79" s="22" t="n">
        <v>778</v>
      </c>
      <c r="D79" s="22" t="n">
        <v>271</v>
      </c>
      <c r="E79" s="22" t="n">
        <v>206</v>
      </c>
      <c r="F79" s="22" t="n">
        <v>304</v>
      </c>
      <c r="G79" s="22" t="n">
        <v>668</v>
      </c>
      <c r="H79" s="22" t="n">
        <v>586</v>
      </c>
      <c r="I79" s="22" t="n">
        <v>377</v>
      </c>
      <c r="J79" s="22" t="n">
        <v>730</v>
      </c>
      <c r="K79" s="22" t="n">
        <v>282</v>
      </c>
      <c r="L79" s="22" t="n">
        <v>206</v>
      </c>
    </row>
    <row r="80">
      <c r="A80" s="20" t="inlineStr">
        <is>
          <t>대손충당금</t>
        </is>
      </c>
      <c r="C80" s="22" t="n">
        <v>-6</v>
      </c>
      <c r="D80" s="22" t="n">
        <v>-7</v>
      </c>
      <c r="E80" s="22" t="n">
        <v>-1</v>
      </c>
      <c r="F80" s="22" t="n">
        <v>-0</v>
      </c>
      <c r="G80" s="22" t="n">
        <v>-1</v>
      </c>
      <c r="H80" s="22" t="n">
        <v>0</v>
      </c>
      <c r="I80" s="22" t="n">
        <v>-7</v>
      </c>
      <c r="J80" s="22" t="n">
        <v>-9</v>
      </c>
      <c r="K80" s="22" t="n">
        <v>-5</v>
      </c>
      <c r="L80" s="22" t="n">
        <v>-1</v>
      </c>
    </row>
    <row r="81">
      <c r="A81" s="9" t="inlineStr">
        <is>
          <t>유동자산 합계</t>
        </is>
      </c>
      <c r="C81" s="12" t="n">
        <v>34606</v>
      </c>
      <c r="D81" s="12" t="n">
        <v>36180</v>
      </c>
      <c r="E81" s="12" t="n">
        <v>39788</v>
      </c>
      <c r="F81" s="12" t="n">
        <v>35975</v>
      </c>
      <c r="G81" s="12" t="n">
        <v>39707</v>
      </c>
      <c r="H81" s="12" t="n">
        <v>38893</v>
      </c>
      <c r="I81" s="12" t="n">
        <v>36526</v>
      </c>
      <c r="J81" s="12" t="n">
        <v>37343</v>
      </c>
      <c r="K81" s="12" t="n">
        <v>39658</v>
      </c>
      <c r="L81" s="12" t="n">
        <v>39788</v>
      </c>
    </row>
    <row r="82">
      <c r="A82" s="20" t="inlineStr">
        <is>
          <t>건물</t>
        </is>
      </c>
      <c r="E82" s="22" t="n">
        <v>5657</v>
      </c>
      <c r="H82" s="22" t="n">
        <v>5277</v>
      </c>
      <c r="I82" s="22" t="n">
        <v>5605</v>
      </c>
      <c r="J82" s="22" t="n">
        <v>5761</v>
      </c>
      <c r="K82" s="22" t="n">
        <v>5801</v>
      </c>
      <c r="L82" s="22" t="n">
        <v>5657</v>
      </c>
    </row>
    <row r="83">
      <c r="A83" s="20" t="inlineStr">
        <is>
          <t>감가상각누계액</t>
        </is>
      </c>
      <c r="E83" s="22" t="n">
        <v>-2053</v>
      </c>
      <c r="H83" s="22" t="n">
        <v>-1494</v>
      </c>
      <c r="I83" s="22" t="n">
        <v>-1638</v>
      </c>
      <c r="J83" s="22" t="n">
        <v>-1814</v>
      </c>
      <c r="K83" s="22" t="n">
        <v>-2026</v>
      </c>
      <c r="L83" s="22" t="n">
        <v>-2053</v>
      </c>
    </row>
    <row r="84">
      <c r="A84" s="20" t="inlineStr">
        <is>
          <t>건물(순액)</t>
        </is>
      </c>
      <c r="E84" s="22" t="n">
        <v>3604</v>
      </c>
      <c r="H84" s="22" t="n">
        <v>3783</v>
      </c>
      <c r="I84" s="22" t="n">
        <v>3967</v>
      </c>
      <c r="J84" s="22" t="n">
        <v>3947</v>
      </c>
      <c r="K84" s="22" t="n">
        <v>3775</v>
      </c>
      <c r="L84" s="22" t="n">
        <v>3604</v>
      </c>
    </row>
    <row r="85">
      <c r="A85" s="20" t="inlineStr">
        <is>
          <t>구축물</t>
        </is>
      </c>
      <c r="E85" s="22" t="n">
        <v>1708</v>
      </c>
      <c r="H85" s="22" t="n">
        <v>855</v>
      </c>
      <c r="I85" s="22" t="n">
        <v>1039</v>
      </c>
      <c r="J85" s="22" t="n">
        <v>1689</v>
      </c>
      <c r="K85" s="22" t="n">
        <v>1705</v>
      </c>
      <c r="L85" s="22" t="n">
        <v>1708</v>
      </c>
    </row>
    <row r="86">
      <c r="A86" s="20" t="inlineStr">
        <is>
          <t>감가상각누계액</t>
        </is>
      </c>
      <c r="E86" s="22" t="n">
        <v>-784</v>
      </c>
      <c r="H86" s="22" t="n">
        <v>-506</v>
      </c>
      <c r="I86" s="22" t="n">
        <v>-569</v>
      </c>
      <c r="J86" s="22" t="n">
        <v>-638</v>
      </c>
      <c r="K86" s="22" t="n">
        <v>-716</v>
      </c>
      <c r="L86" s="22" t="n">
        <v>-784</v>
      </c>
    </row>
    <row r="87">
      <c r="A87" s="20" t="inlineStr">
        <is>
          <t>구축물(순액)</t>
        </is>
      </c>
      <c r="E87" s="22" t="n">
        <v>924</v>
      </c>
      <c r="H87" s="22" t="n">
        <v>348</v>
      </c>
      <c r="I87" s="22" t="n">
        <v>470</v>
      </c>
      <c r="J87" s="22" t="n">
        <v>1050</v>
      </c>
      <c r="K87" s="22" t="n">
        <v>989</v>
      </c>
      <c r="L87" s="22" t="n">
        <v>924</v>
      </c>
    </row>
    <row r="88">
      <c r="A88" s="20" t="inlineStr">
        <is>
          <t>기계장치</t>
        </is>
      </c>
      <c r="E88" s="22" t="n">
        <v>2653</v>
      </c>
      <c r="H88" s="22" t="n">
        <v>2314</v>
      </c>
      <c r="I88" s="22" t="n">
        <v>2332</v>
      </c>
      <c r="J88" s="22" t="n">
        <v>2624</v>
      </c>
      <c r="K88" s="22" t="n">
        <v>2642</v>
      </c>
      <c r="L88" s="22" t="n">
        <v>2653</v>
      </c>
    </row>
    <row r="89">
      <c r="A89" s="20" t="inlineStr">
        <is>
          <t>감가상각누계액</t>
        </is>
      </c>
      <c r="E89" s="22" t="n">
        <v>-1763</v>
      </c>
      <c r="H89" s="22" t="n">
        <v>-1174</v>
      </c>
      <c r="I89" s="22" t="n">
        <v>-1318</v>
      </c>
      <c r="J89" s="22" t="n">
        <v>-1453</v>
      </c>
      <c r="K89" s="22" t="n">
        <v>-1611</v>
      </c>
      <c r="L89" s="22" t="n">
        <v>-1763</v>
      </c>
    </row>
    <row r="90">
      <c r="A90" s="20" t="inlineStr">
        <is>
          <t>기계장치(순액)</t>
        </is>
      </c>
      <c r="E90" s="22" t="n">
        <v>889</v>
      </c>
      <c r="H90" s="22" t="n">
        <v>1140</v>
      </c>
      <c r="I90" s="22" t="n">
        <v>1013</v>
      </c>
      <c r="J90" s="22" t="n">
        <v>1170</v>
      </c>
      <c r="K90" s="22" t="n">
        <v>1031</v>
      </c>
      <c r="L90" s="22" t="n">
        <v>889</v>
      </c>
    </row>
    <row r="91">
      <c r="A91" s="20" t="inlineStr">
        <is>
          <t>차량운반구</t>
        </is>
      </c>
      <c r="E91" s="22" t="n">
        <v>2031</v>
      </c>
      <c r="H91" s="22" t="n">
        <v>2720</v>
      </c>
      <c r="I91" s="22" t="n">
        <v>2975</v>
      </c>
      <c r="J91" s="22" t="n">
        <v>3065</v>
      </c>
      <c r="K91" s="22" t="n">
        <v>2030</v>
      </c>
      <c r="L91" s="22" t="n">
        <v>2031</v>
      </c>
    </row>
    <row r="92">
      <c r="A92" s="20" t="inlineStr">
        <is>
          <t>감가상각누계액</t>
        </is>
      </c>
      <c r="E92" s="22" t="n">
        <v>-1728</v>
      </c>
      <c r="H92" s="22" t="n">
        <v>-2054</v>
      </c>
      <c r="I92" s="22" t="n">
        <v>-2281</v>
      </c>
      <c r="J92" s="22" t="n">
        <v>-2484</v>
      </c>
      <c r="K92" s="22" t="n">
        <v>-1681</v>
      </c>
      <c r="L92" s="22" t="n">
        <v>-1728</v>
      </c>
    </row>
    <row r="93">
      <c r="A93" s="20" t="inlineStr">
        <is>
          <t>차량운반구(순액)</t>
        </is>
      </c>
      <c r="E93" s="22" t="n">
        <v>302</v>
      </c>
      <c r="H93" s="22" t="n">
        <v>666</v>
      </c>
      <c r="I93" s="22" t="n">
        <v>693</v>
      </c>
      <c r="J93" s="22" t="n">
        <v>580</v>
      </c>
      <c r="K93" s="22" t="n">
        <v>348</v>
      </c>
      <c r="L93" s="22" t="n">
        <v>302</v>
      </c>
    </row>
    <row r="94">
      <c r="A94" s="20" t="inlineStr">
        <is>
          <t>공구·기구·비품</t>
        </is>
      </c>
      <c r="E94" s="22" t="n">
        <v>2098</v>
      </c>
      <c r="H94" s="22" t="n">
        <v>1887</v>
      </c>
      <c r="I94" s="22" t="n">
        <v>1982</v>
      </c>
      <c r="J94" s="22" t="n">
        <v>2052</v>
      </c>
      <c r="K94" s="22" t="n">
        <v>2067</v>
      </c>
      <c r="L94" s="22" t="n">
        <v>2098</v>
      </c>
    </row>
    <row r="95">
      <c r="A95" s="20" t="inlineStr">
        <is>
          <t>감가상각누계액</t>
        </is>
      </c>
      <c r="E95" s="22" t="n">
        <v>-1843</v>
      </c>
      <c r="H95" s="22" t="n">
        <v>-1519</v>
      </c>
      <c r="I95" s="22" t="n">
        <v>-1615</v>
      </c>
      <c r="J95" s="22" t="n">
        <v>-1708</v>
      </c>
      <c r="K95" s="22" t="n">
        <v>-1791</v>
      </c>
      <c r="L95" s="22" t="n">
        <v>-1843</v>
      </c>
    </row>
    <row r="96">
      <c r="A96" s="20" t="inlineStr">
        <is>
          <t>공구·기구·비품(순액)</t>
        </is>
      </c>
      <c r="E96" s="22" t="n">
        <v>254</v>
      </c>
      <c r="H96" s="22" t="n">
        <v>368</v>
      </c>
      <c r="I96" s="22" t="n">
        <v>367</v>
      </c>
      <c r="J96" s="22" t="n">
        <v>344</v>
      </c>
      <c r="K96" s="22" t="n">
        <v>276</v>
      </c>
      <c r="L96" s="22" t="n">
        <v>254</v>
      </c>
    </row>
    <row r="97">
      <c r="A97" s="20" t="inlineStr">
        <is>
          <t>건물·구축물</t>
        </is>
      </c>
      <c r="E97" s="22" t="n">
        <v>8974</v>
      </c>
      <c r="H97" s="22" t="n">
        <v>7293</v>
      </c>
      <c r="I97" s="22" t="n">
        <v>8011</v>
      </c>
      <c r="J97" s="22" t="n">
        <v>9022</v>
      </c>
      <c r="K97" s="22" t="n">
        <v>9114</v>
      </c>
      <c r="L97" s="22" t="n">
        <v>8974</v>
      </c>
    </row>
    <row r="98">
      <c r="A98" s="20" t="inlineStr">
        <is>
          <t>기계·운반구·공구기구비품</t>
        </is>
      </c>
      <c r="E98" s="22" t="n">
        <v>6961</v>
      </c>
      <c r="H98" s="22" t="n">
        <v>6954</v>
      </c>
      <c r="I98" s="22" t="n">
        <v>7392</v>
      </c>
      <c r="J98" s="22" t="n">
        <v>7912</v>
      </c>
      <c r="K98" s="22" t="n">
        <v>6919</v>
      </c>
      <c r="L98" s="22" t="n">
        <v>6961</v>
      </c>
    </row>
    <row r="99">
      <c r="A99" s="20" t="inlineStr">
        <is>
          <t>토지</t>
        </is>
      </c>
      <c r="E99" s="22" t="n">
        <v>5113</v>
      </c>
      <c r="H99" s="22" t="n">
        <v>4814</v>
      </c>
      <c r="I99" s="22" t="n">
        <v>5123</v>
      </c>
      <c r="J99" s="22" t="n">
        <v>4796</v>
      </c>
      <c r="K99" s="22" t="n">
        <v>5114</v>
      </c>
      <c r="L99" s="22" t="n">
        <v>5113</v>
      </c>
    </row>
    <row r="100">
      <c r="A100" s="20" t="inlineStr">
        <is>
          <t>리스자산</t>
        </is>
      </c>
      <c r="E100" s="22" t="n">
        <v>290</v>
      </c>
      <c r="H100" s="22" t="n">
        <v>61</v>
      </c>
      <c r="I100" s="22" t="n">
        <v>30</v>
      </c>
      <c r="J100" s="22" t="n">
        <v>77</v>
      </c>
      <c r="K100" s="22" t="n">
        <v>219</v>
      </c>
      <c r="L100" s="22" t="n">
        <v>290</v>
      </c>
    </row>
    <row r="101">
      <c r="A101" s="20" t="inlineStr">
        <is>
          <t>감가상각누계액</t>
        </is>
      </c>
      <c r="E101" s="22" t="n">
        <v>-72</v>
      </c>
      <c r="H101" s="22" t="n">
        <v>-36</v>
      </c>
      <c r="I101" s="22" t="n">
        <v>-18</v>
      </c>
      <c r="J101" s="22" t="n">
        <v>-31</v>
      </c>
      <c r="K101" s="22" t="n">
        <v>-42</v>
      </c>
      <c r="L101" s="22" t="n">
        <v>-72</v>
      </c>
    </row>
    <row r="102">
      <c r="A102" s="20" t="inlineStr">
        <is>
          <t>리스자산(순액)</t>
        </is>
      </c>
      <c r="E102" s="22" t="n">
        <v>217</v>
      </c>
      <c r="H102" s="22" t="n">
        <v>25</v>
      </c>
      <c r="I102" s="22" t="n">
        <v>12</v>
      </c>
      <c r="J102" s="22" t="n">
        <v>46</v>
      </c>
      <c r="K102" s="22" t="n">
        <v>177</v>
      </c>
      <c r="L102" s="22" t="n">
        <v>217</v>
      </c>
    </row>
    <row r="103">
      <c r="A103" s="20" t="inlineStr">
        <is>
          <t>건설중인자산</t>
        </is>
      </c>
      <c r="E103" s="22" t="n">
        <v>102</v>
      </c>
      <c r="H103" s="22" t="n">
        <v>974</v>
      </c>
      <c r="I103" s="22" t="n">
        <v>1231</v>
      </c>
      <c r="J103" s="22" t="n">
        <v>52</v>
      </c>
      <c r="K103" s="22" t="n">
        <v>27</v>
      </c>
      <c r="L103" s="22" t="n">
        <v>102</v>
      </c>
    </row>
    <row r="104">
      <c r="A104" s="20" t="inlineStr">
        <is>
          <t>감가상각누계액</t>
        </is>
      </c>
      <c r="E104" s="22" t="n">
        <v>-8875</v>
      </c>
      <c r="H104" s="22" t="n">
        <v>-7105</v>
      </c>
      <c r="I104" s="22" t="n">
        <v>-7850</v>
      </c>
      <c r="J104" s="22" t="n">
        <v>-8661</v>
      </c>
      <c r="K104" s="22" t="n">
        <v>-8453</v>
      </c>
      <c r="L104" s="22" t="n">
        <v>-8875</v>
      </c>
    </row>
    <row r="105">
      <c r="A105" s="20" t="inlineStr">
        <is>
          <t>유형자산</t>
        </is>
      </c>
      <c r="C105" s="22" t="n">
        <v>12745</v>
      </c>
      <c r="D105" s="22" t="n">
        <v>12566</v>
      </c>
      <c r="E105" s="22" t="n">
        <v>12565</v>
      </c>
      <c r="F105" s="22" t="n">
        <v>12787</v>
      </c>
      <c r="G105" s="22" t="n">
        <v>12846</v>
      </c>
      <c r="H105" s="22" t="n">
        <v>12121</v>
      </c>
      <c r="I105" s="22" t="n">
        <v>13938</v>
      </c>
      <c r="J105" s="22" t="n">
        <v>11987</v>
      </c>
      <c r="K105" s="22" t="n">
        <v>12942</v>
      </c>
      <c r="L105" s="22" t="n">
        <v>12565</v>
      </c>
    </row>
    <row r="106">
      <c r="A106" s="20" t="inlineStr">
        <is>
          <t>영업권</t>
        </is>
      </c>
      <c r="C106" s="22" t="n">
        <v>940</v>
      </c>
      <c r="D106" s="22" t="n">
        <v>877</v>
      </c>
      <c r="E106" s="22" t="n">
        <v>813</v>
      </c>
      <c r="F106" s="22" t="n">
        <v>749</v>
      </c>
      <c r="G106" s="22" t="n">
        <v>686</v>
      </c>
      <c r="H106" s="22" t="n">
        <v>0</v>
      </c>
      <c r="I106" s="22" t="n">
        <v>494</v>
      </c>
      <c r="J106" s="22" t="n">
        <v>1322</v>
      </c>
      <c r="K106" s="22" t="n">
        <v>1068</v>
      </c>
      <c r="L106" s="22" t="n">
        <v>813</v>
      </c>
    </row>
    <row r="107">
      <c r="A107" s="20" t="inlineStr">
        <is>
          <t>기타</t>
        </is>
      </c>
      <c r="C107" s="22" t="n">
        <v>830</v>
      </c>
      <c r="D107" s="22" t="n">
        <v>801</v>
      </c>
      <c r="E107" s="22" t="n">
        <v>776</v>
      </c>
      <c r="F107" s="22" t="n">
        <v>757</v>
      </c>
      <c r="G107" s="22" t="n">
        <v>736</v>
      </c>
      <c r="H107" s="22" t="n">
        <v>91</v>
      </c>
      <c r="I107" s="22" t="n">
        <v>85</v>
      </c>
      <c r="J107" s="22" t="n">
        <v>975</v>
      </c>
      <c r="K107" s="22" t="n">
        <v>866</v>
      </c>
      <c r="L107" s="22" t="n">
        <v>776</v>
      </c>
    </row>
    <row r="108">
      <c r="A108" s="20" t="inlineStr">
        <is>
          <t>무형자산 합계</t>
        </is>
      </c>
      <c r="C108" s="22" t="n">
        <v>1771</v>
      </c>
      <c r="D108" s="22" t="n">
        <v>1678</v>
      </c>
      <c r="E108" s="22" t="n">
        <v>1589</v>
      </c>
      <c r="F108" s="22" t="n">
        <v>1506</v>
      </c>
      <c r="G108" s="22" t="n">
        <v>1422</v>
      </c>
      <c r="H108" s="22" t="n">
        <v>88</v>
      </c>
      <c r="I108" s="22" t="n">
        <v>579</v>
      </c>
      <c r="J108" s="22" t="n">
        <v>115</v>
      </c>
      <c r="K108" s="22" t="n">
        <v>1934</v>
      </c>
      <c r="L108" s="22" t="n">
        <v>1589</v>
      </c>
    </row>
    <row r="109">
      <c r="A109" s="20" t="inlineStr">
        <is>
          <t>투자유가증권</t>
        </is>
      </c>
      <c r="E109" s="22" t="n">
        <v>2122</v>
      </c>
      <c r="H109" s="22" t="n">
        <v>1262</v>
      </c>
      <c r="I109" s="22" t="n">
        <v>1533</v>
      </c>
      <c r="J109" s="22" t="n">
        <v>1269</v>
      </c>
      <c r="K109" s="22" t="n">
        <v>1366</v>
      </c>
      <c r="L109" s="22" t="n">
        <v>2122</v>
      </c>
    </row>
    <row r="110">
      <c r="A110" s="20" t="inlineStr">
        <is>
          <t>관계회사 주식</t>
        </is>
      </c>
      <c r="E110" s="22" t="n">
        <v>5356</v>
      </c>
      <c r="H110" s="22" t="n">
        <v>210</v>
      </c>
      <c r="I110" s="22" t="n">
        <v>1849</v>
      </c>
      <c r="J110" s="22" t="n">
        <v>5167</v>
      </c>
      <c r="K110" s="22" t="n">
        <v>5147</v>
      </c>
      <c r="L110" s="22" t="n">
        <v>5356</v>
      </c>
    </row>
    <row r="111">
      <c r="A111" s="20" t="inlineStr">
        <is>
          <t>장기대여금</t>
        </is>
      </c>
      <c r="E111" s="22" t="n">
        <v>84</v>
      </c>
      <c r="H111" s="22" t="n">
        <v>1</v>
      </c>
      <c r="I111" s="22" t="n">
        <v>114</v>
      </c>
      <c r="J111" s="22" t="n">
        <v>0</v>
      </c>
      <c r="K111" s="22" t="n">
        <v>88</v>
      </c>
      <c r="L111" s="22" t="n">
        <v>84</v>
      </c>
    </row>
    <row r="112">
      <c r="A112" s="20" t="inlineStr">
        <is>
          <t>종업원 장기대여금</t>
        </is>
      </c>
      <c r="E112" s="22" t="n">
        <v>5</v>
      </c>
      <c r="H112" s="22" t="n">
        <v>6</v>
      </c>
      <c r="I112" s="22" t="n">
        <v>6</v>
      </c>
      <c r="J112" s="22" t="n">
        <v>6</v>
      </c>
      <c r="K112" s="22" t="n">
        <v>4</v>
      </c>
      <c r="L112" s="22" t="n">
        <v>5</v>
      </c>
    </row>
    <row r="113">
      <c r="A113" s="20" t="inlineStr">
        <is>
          <t>관계회사 장기대여금</t>
        </is>
      </c>
      <c r="E113" s="22" t="n">
        <v>778</v>
      </c>
      <c r="H113" s="22" t="n">
        <v>1010</v>
      </c>
      <c r="I113" s="22" t="n">
        <v>955</v>
      </c>
      <c r="J113" s="22" t="n">
        <v>888</v>
      </c>
      <c r="K113" s="22" t="n">
        <v>833</v>
      </c>
      <c r="L113" s="22" t="n">
        <v>778</v>
      </c>
    </row>
    <row r="114">
      <c r="A114" s="20" t="inlineStr">
        <is>
          <t>파산갱생채권 등</t>
        </is>
      </c>
      <c r="E114" s="22" t="n">
        <v>0</v>
      </c>
      <c r="H114" s="22" t="n">
        <v>4</v>
      </c>
      <c r="I114" s="22" t="n">
        <v>19</v>
      </c>
      <c r="J114" s="22" t="n">
        <v>19</v>
      </c>
      <c r="K114" s="22" t="n">
        <v>0</v>
      </c>
      <c r="L114" s="22" t="n">
        <v>0</v>
      </c>
    </row>
    <row r="115">
      <c r="A115" s="20" t="inlineStr">
        <is>
          <t>장기선급비용</t>
        </is>
      </c>
      <c r="E115" s="22" t="n">
        <v>63</v>
      </c>
      <c r="H115" s="22" t="n">
        <v>4</v>
      </c>
      <c r="I115" s="22" t="n">
        <v>3</v>
      </c>
      <c r="J115" s="22" t="n">
        <v>107</v>
      </c>
      <c r="K115" s="22" t="n">
        <v>84</v>
      </c>
      <c r="L115" s="22" t="n">
        <v>63</v>
      </c>
    </row>
    <row r="116">
      <c r="A116" s="20" t="inlineStr">
        <is>
          <t>이연법인세자산</t>
        </is>
      </c>
      <c r="E116" s="22" t="n">
        <v>1627</v>
      </c>
      <c r="H116" s="22" t="n">
        <v>1395</v>
      </c>
      <c r="I116" s="22" t="n">
        <v>1392</v>
      </c>
      <c r="J116" s="22" t="n">
        <v>1404</v>
      </c>
      <c r="K116" s="22" t="n">
        <v>1485</v>
      </c>
      <c r="L116" s="22" t="n">
        <v>1627</v>
      </c>
    </row>
    <row r="117">
      <c r="A117" s="20" t="inlineStr">
        <is>
          <t>장기예금</t>
        </is>
      </c>
      <c r="E117" s="22" t="n">
        <v>3900</v>
      </c>
      <c r="K117" s="22" t="n">
        <v>2900</v>
      </c>
      <c r="L117" s="22" t="n">
        <v>3900</v>
      </c>
    </row>
    <row r="118">
      <c r="A118" s="20" t="inlineStr">
        <is>
          <t>기타</t>
        </is>
      </c>
      <c r="C118" s="22" t="n">
        <v>6245</v>
      </c>
      <c r="D118" s="22" t="n">
        <v>6333</v>
      </c>
      <c r="E118" s="22" t="n">
        <v>8055</v>
      </c>
      <c r="F118" s="22" t="n">
        <v>8949</v>
      </c>
      <c r="G118" s="22" t="n">
        <v>8990</v>
      </c>
      <c r="H118" s="22" t="n">
        <v>192</v>
      </c>
      <c r="I118" s="22" t="n">
        <v>743</v>
      </c>
      <c r="J118" s="22" t="n">
        <v>695</v>
      </c>
      <c r="K118" s="22" t="n">
        <v>336</v>
      </c>
      <c r="L118" s="22" t="n">
        <v>8055</v>
      </c>
    </row>
    <row r="119">
      <c r="A119" s="20" t="inlineStr">
        <is>
          <t>대손충당금</t>
        </is>
      </c>
      <c r="C119" s="22" t="n">
        <v>-6</v>
      </c>
      <c r="D119" s="22" t="n">
        <v>-6</v>
      </c>
      <c r="E119" s="22" t="n">
        <v>-6</v>
      </c>
      <c r="F119" s="22" t="n">
        <v>-6</v>
      </c>
      <c r="G119" s="22" t="n">
        <v>-6</v>
      </c>
      <c r="H119" s="22" t="n">
        <v>-10</v>
      </c>
      <c r="I119" s="22" t="n">
        <v>-25</v>
      </c>
      <c r="J119" s="22" t="n">
        <v>-25</v>
      </c>
      <c r="K119" s="22" t="n">
        <v>-6</v>
      </c>
      <c r="L119" s="22" t="n">
        <v>-6</v>
      </c>
    </row>
    <row r="120">
      <c r="A120" s="20" t="inlineStr">
        <is>
          <t>투자 및 기타자산 합계</t>
        </is>
      </c>
      <c r="C120" s="22" t="n">
        <v>6239</v>
      </c>
      <c r="D120" s="22" t="n">
        <v>6326</v>
      </c>
      <c r="E120" s="22" t="n">
        <v>8048</v>
      </c>
      <c r="F120" s="22" t="n">
        <v>8942</v>
      </c>
      <c r="G120" s="22" t="n">
        <v>8983</v>
      </c>
      <c r="H120" s="22" t="n">
        <v>4078</v>
      </c>
      <c r="I120" s="22" t="n">
        <v>3758</v>
      </c>
      <c r="J120" s="22" t="n">
        <v>9533</v>
      </c>
      <c r="K120" s="22" t="n">
        <v>6171</v>
      </c>
      <c r="L120" s="22" t="n">
        <v>8048</v>
      </c>
    </row>
    <row r="121">
      <c r="A121" s="9" t="inlineStr">
        <is>
          <t>비유동자산 합계</t>
        </is>
      </c>
      <c r="C121" s="12" t="n">
        <v>20756</v>
      </c>
      <c r="D121" s="12" t="n">
        <v>20571</v>
      </c>
      <c r="E121" s="12" t="n">
        <v>22203</v>
      </c>
      <c r="F121" s="12" t="n">
        <v>23236</v>
      </c>
      <c r="G121" s="12" t="n">
        <v>23251</v>
      </c>
      <c r="H121" s="12" t="n">
        <v>16288</v>
      </c>
      <c r="I121" s="12" t="n">
        <v>18276</v>
      </c>
      <c r="J121" s="12" t="n">
        <v>21635</v>
      </c>
      <c r="K121" s="12" t="n">
        <v>21048</v>
      </c>
      <c r="L121" s="12" t="n">
        <v>22203</v>
      </c>
    </row>
    <row r="122">
      <c r="A122" s="9" t="inlineStr">
        <is>
          <t>자산 합계</t>
        </is>
      </c>
      <c r="C122" s="12" t="n">
        <v>55362</v>
      </c>
      <c r="D122" s="12" t="n">
        <v>56751</v>
      </c>
      <c r="E122" s="12" t="n">
        <v>61992</v>
      </c>
      <c r="F122" s="12" t="n">
        <v>59211</v>
      </c>
      <c r="G122" s="12" t="n">
        <v>62958</v>
      </c>
      <c r="H122" s="12" t="n">
        <v>55182</v>
      </c>
      <c r="I122" s="12" t="n">
        <v>54803</v>
      </c>
      <c r="J122" s="12" t="n">
        <v>58979</v>
      </c>
      <c r="K122" s="12" t="n">
        <v>60707</v>
      </c>
      <c r="L122" s="12" t="n">
        <v>61992</v>
      </c>
    </row>
    <row r="123">
      <c r="A123" s="20" t="inlineStr">
        <is>
          <t>공사 미지급금</t>
        </is>
      </c>
      <c r="E123" s="22" t="n">
        <v>5909</v>
      </c>
      <c r="H123" s="22" t="n">
        <v>7735</v>
      </c>
      <c r="I123" s="22" t="n">
        <v>6651</v>
      </c>
      <c r="J123" s="22" t="n">
        <v>9085</v>
      </c>
      <c r="K123" s="22" t="n">
        <v>6848</v>
      </c>
      <c r="L123" s="22" t="n">
        <v>5909</v>
      </c>
    </row>
    <row r="124">
      <c r="A124" s="20" t="inlineStr">
        <is>
          <t>지급어음·공사 미지급금 등</t>
        </is>
      </c>
      <c r="C124" s="22" t="n">
        <v>5833</v>
      </c>
      <c r="D124" s="22" t="n">
        <v>6245</v>
      </c>
      <c r="E124" s="22" t="n">
        <v>7202</v>
      </c>
      <c r="F124" s="22" t="n">
        <v>5411</v>
      </c>
      <c r="G124" s="22" t="n">
        <v>7105</v>
      </c>
      <c r="H124" s="22" t="n">
        <v>7740</v>
      </c>
      <c r="I124" s="22" t="n">
        <v>6978</v>
      </c>
      <c r="J124" s="22" t="n">
        <v>11880</v>
      </c>
      <c r="K124" s="22" t="n">
        <v>8088</v>
      </c>
      <c r="L124" s="22" t="n">
        <v>7202</v>
      </c>
    </row>
    <row r="125">
      <c r="A125" s="20" t="inlineStr">
        <is>
          <t>단기차입금</t>
        </is>
      </c>
      <c r="C125" s="22" t="n">
        <v>25</v>
      </c>
      <c r="D125" s="22" t="n">
        <v>25</v>
      </c>
      <c r="E125" s="22" t="n">
        <v>0</v>
      </c>
      <c r="H125" s="22" t="n">
        <v>0</v>
      </c>
      <c r="I125" s="22" t="n">
        <v>0</v>
      </c>
      <c r="J125" s="22" t="n">
        <v>176</v>
      </c>
      <c r="K125" s="22" t="n">
        <v>57</v>
      </c>
      <c r="L125" s="22" t="n">
        <v>0</v>
      </c>
    </row>
    <row r="126">
      <c r="A126" s="20" t="inlineStr">
        <is>
          <t>1년 내 상환 장기차입금</t>
        </is>
      </c>
      <c r="D126" s="22" t="n">
        <v>25</v>
      </c>
      <c r="E126" s="22" t="n">
        <v>50</v>
      </c>
      <c r="K126" s="22" t="n">
        <v>0</v>
      </c>
      <c r="L126" s="22" t="n">
        <v>50</v>
      </c>
    </row>
    <row r="127">
      <c r="A127" s="20" t="inlineStr">
        <is>
          <t>리스부채</t>
        </is>
      </c>
      <c r="E127" s="22" t="n">
        <v>56</v>
      </c>
      <c r="H127" s="22" t="n">
        <v>14</v>
      </c>
      <c r="I127" s="22" t="n">
        <v>8</v>
      </c>
      <c r="J127" s="22" t="n">
        <v>16</v>
      </c>
      <c r="K127" s="22" t="n">
        <v>41</v>
      </c>
      <c r="L127" s="22" t="n">
        <v>56</v>
      </c>
    </row>
    <row r="128">
      <c r="A128" s="20" t="inlineStr">
        <is>
          <t>미지급금</t>
        </is>
      </c>
      <c r="E128" s="22" t="n">
        <v>1274</v>
      </c>
      <c r="H128" s="22" t="n">
        <v>1797</v>
      </c>
      <c r="I128" s="22" t="n">
        <v>1875</v>
      </c>
      <c r="J128" s="22" t="n">
        <v>1606</v>
      </c>
      <c r="K128" s="22" t="n">
        <v>2453</v>
      </c>
      <c r="L128" s="22" t="n">
        <v>1274</v>
      </c>
    </row>
    <row r="129">
      <c r="A129" s="20" t="inlineStr">
        <is>
          <t>1년 내 상환 장기차입금</t>
        </is>
      </c>
      <c r="C129" s="22" t="n">
        <v>25</v>
      </c>
      <c r="E129" s="22" t="n">
        <v>50</v>
      </c>
      <c r="F129" s="22" t="n">
        <v>50</v>
      </c>
      <c r="G129" s="22" t="n">
        <v>49</v>
      </c>
      <c r="K129" s="22" t="n">
        <v>0</v>
      </c>
      <c r="L129" s="22" t="n">
        <v>50</v>
      </c>
    </row>
    <row r="130">
      <c r="A130" s="20" t="inlineStr">
        <is>
          <t>미지급법인세</t>
        </is>
      </c>
      <c r="C130" s="22" t="n">
        <v>544</v>
      </c>
      <c r="D130" s="22" t="n">
        <v>648</v>
      </c>
      <c r="E130" s="22" t="n">
        <v>1475</v>
      </c>
      <c r="F130" s="22" t="n">
        <v>57</v>
      </c>
      <c r="G130" s="22" t="n">
        <v>1076</v>
      </c>
      <c r="H130" s="22" t="n">
        <v>657</v>
      </c>
      <c r="I130" s="22" t="n">
        <v>747</v>
      </c>
      <c r="J130" s="22" t="n">
        <v>1129</v>
      </c>
      <c r="K130" s="22" t="n">
        <v>1115</v>
      </c>
      <c r="L130" s="22" t="n">
        <v>1475</v>
      </c>
    </row>
    <row r="131">
      <c r="A131" s="20" t="inlineStr">
        <is>
          <t>미성공사 선수금</t>
        </is>
      </c>
      <c r="E131" s="22" t="n">
        <v>1095</v>
      </c>
      <c r="H131" s="22" t="n">
        <v>1161</v>
      </c>
      <c r="I131" s="22" t="n">
        <v>455</v>
      </c>
      <c r="J131" s="22" t="n">
        <v>942</v>
      </c>
      <c r="K131" s="22" t="n">
        <v>777</v>
      </c>
      <c r="L131" s="22" t="n">
        <v>1095</v>
      </c>
    </row>
    <row r="132">
      <c r="A132" s="20" t="inlineStr">
        <is>
          <t>공사손실충당금</t>
        </is>
      </c>
      <c r="C132" s="22" t="n">
        <v>3</v>
      </c>
      <c r="D132" s="22" t="n">
        <v>0</v>
      </c>
      <c r="E132" s="22" t="n">
        <v>2</v>
      </c>
      <c r="F132" s="22" t="n">
        <v>0</v>
      </c>
      <c r="G132" s="22" t="n">
        <v>1</v>
      </c>
      <c r="H132" s="22" t="n">
        <v>32</v>
      </c>
      <c r="I132" s="22" t="n">
        <v>20</v>
      </c>
      <c r="J132" s="22" t="n">
        <v>5</v>
      </c>
      <c r="K132" s="22" t="n">
        <v>5</v>
      </c>
      <c r="L132" s="22" t="n">
        <v>2</v>
      </c>
    </row>
    <row r="133">
      <c r="A133" s="20" t="inlineStr">
        <is>
          <t>재해손실 충당금</t>
        </is>
      </c>
      <c r="I133" s="22" t="n">
        <v>0</v>
      </c>
      <c r="J133" s="22" t="n">
        <v>24</v>
      </c>
      <c r="K133" s="22" t="n">
        <v>0</v>
      </c>
    </row>
    <row r="134">
      <c r="A134" s="20" t="inlineStr">
        <is>
          <t>기타</t>
        </is>
      </c>
      <c r="C134" s="22" t="n">
        <v>1689</v>
      </c>
      <c r="D134" s="22" t="n">
        <v>1565</v>
      </c>
      <c r="E134" s="22" t="n">
        <v>3276</v>
      </c>
      <c r="F134" s="22" t="n">
        <v>3630</v>
      </c>
      <c r="G134" s="22" t="n">
        <v>2638</v>
      </c>
      <c r="H134" s="22" t="n">
        <v>2219</v>
      </c>
      <c r="I134" s="22" t="n">
        <v>369</v>
      </c>
      <c r="J134" s="22" t="n">
        <v>2215</v>
      </c>
      <c r="K134" s="22" t="n">
        <v>769</v>
      </c>
      <c r="L134" s="22" t="n">
        <v>3276</v>
      </c>
    </row>
    <row r="135">
      <c r="A135" s="9" t="inlineStr">
        <is>
          <t>유동부채 합계</t>
        </is>
      </c>
      <c r="C135" s="12" t="n">
        <v>8121</v>
      </c>
      <c r="D135" s="12" t="n">
        <v>8508</v>
      </c>
      <c r="E135" s="12" t="n">
        <v>12006</v>
      </c>
      <c r="F135" s="12" t="n">
        <v>9149</v>
      </c>
      <c r="G135" s="12" t="n">
        <v>10872</v>
      </c>
      <c r="H135" s="12" t="n">
        <v>11820</v>
      </c>
      <c r="I135" s="12" t="n">
        <v>10455</v>
      </c>
      <c r="J135" s="12" t="n">
        <v>13419</v>
      </c>
      <c r="K135" s="12" t="n">
        <v>13308</v>
      </c>
      <c r="L135" s="12" t="n">
        <v>12006</v>
      </c>
    </row>
    <row r="136">
      <c r="A136" s="20" t="inlineStr">
        <is>
          <t>장기차입금</t>
        </is>
      </c>
      <c r="C136" s="22" t="n">
        <v>49</v>
      </c>
      <c r="D136" s="22" t="n">
        <v>39</v>
      </c>
      <c r="E136" s="22" t="n">
        <v>24</v>
      </c>
      <c r="F136" s="22" t="n">
        <v>12</v>
      </c>
      <c r="G136" s="22" t="n">
        <v>0</v>
      </c>
      <c r="I136" s="22" t="n">
        <v>0</v>
      </c>
      <c r="J136" s="22" t="n">
        <v>143</v>
      </c>
      <c r="K136" s="22" t="n">
        <v>74</v>
      </c>
      <c r="L136" s="22" t="n">
        <v>24</v>
      </c>
    </row>
    <row r="137">
      <c r="A137" s="20" t="inlineStr">
        <is>
          <t>리스부채</t>
        </is>
      </c>
      <c r="E137" s="22" t="n">
        <v>189</v>
      </c>
      <c r="H137" s="22" t="n">
        <v>14</v>
      </c>
      <c r="I137" s="22" t="n">
        <v>6</v>
      </c>
      <c r="J137" s="22" t="n">
        <v>36</v>
      </c>
      <c r="K137" s="22" t="n">
        <v>158</v>
      </c>
      <c r="L137" s="22" t="n">
        <v>189</v>
      </c>
    </row>
    <row r="138">
      <c r="A138" s="20" t="inlineStr">
        <is>
          <t>퇴직급여충당금</t>
        </is>
      </c>
      <c r="E138" s="22" t="n">
        <v>2869</v>
      </c>
      <c r="H138" s="22" t="n">
        <v>3141</v>
      </c>
      <c r="I138" s="22" t="n">
        <v>3184</v>
      </c>
      <c r="J138" s="22" t="n">
        <v>3344</v>
      </c>
      <c r="K138" s="22" t="n">
        <v>2758</v>
      </c>
      <c r="L138" s="22" t="n">
        <v>2869</v>
      </c>
    </row>
    <row r="139">
      <c r="A139" s="20" t="inlineStr">
        <is>
          <t>이연법인세부채</t>
        </is>
      </c>
      <c r="E139" s="22" t="n">
        <v>194</v>
      </c>
      <c r="I139" s="22" t="n">
        <v>0</v>
      </c>
      <c r="J139" s="22" t="n">
        <v>222</v>
      </c>
      <c r="K139" s="22" t="n">
        <v>201</v>
      </c>
      <c r="L139" s="22" t="n">
        <v>194</v>
      </c>
    </row>
    <row r="140">
      <c r="A140" s="20" t="inlineStr">
        <is>
          <t>임원 퇴직위로 충당금</t>
        </is>
      </c>
      <c r="C140" s="22" t="n">
        <v>30</v>
      </c>
      <c r="D140" s="22" t="n">
        <v>30</v>
      </c>
      <c r="E140" s="22" t="n">
        <v>31</v>
      </c>
      <c r="F140" s="22" t="n">
        <v>31</v>
      </c>
      <c r="G140" s="22" t="n">
        <v>31</v>
      </c>
      <c r="H140" s="22" t="n">
        <v>66</v>
      </c>
      <c r="I140" s="22" t="n">
        <v>130</v>
      </c>
      <c r="J140" s="22" t="n">
        <v>66</v>
      </c>
      <c r="K140" s="22" t="n">
        <v>30</v>
      </c>
      <c r="L140" s="22" t="n">
        <v>31</v>
      </c>
    </row>
    <row r="141">
      <c r="A141" s="20" t="inlineStr">
        <is>
          <t>임원 주식급여 충당금</t>
        </is>
      </c>
      <c r="C141" s="22" t="n">
        <v>23</v>
      </c>
      <c r="D141" s="22" t="n">
        <v>29</v>
      </c>
      <c r="E141" s="22" t="n">
        <v>33</v>
      </c>
      <c r="F141" s="22" t="n">
        <v>25</v>
      </c>
      <c r="G141" s="22" t="n">
        <v>31</v>
      </c>
      <c r="J141" s="22" t="n">
        <v>0</v>
      </c>
      <c r="K141" s="22" t="n">
        <v>10</v>
      </c>
      <c r="L141" s="22" t="n">
        <v>33</v>
      </c>
    </row>
    <row r="142">
      <c r="A142" s="20" t="inlineStr">
        <is>
          <t>직원 주식급여 충당금</t>
        </is>
      </c>
      <c r="C142" s="22" t="n">
        <v>117</v>
      </c>
      <c r="D142" s="22" t="n">
        <v>177</v>
      </c>
      <c r="E142" s="22" t="n">
        <v>231</v>
      </c>
      <c r="F142" s="22" t="n">
        <v>286</v>
      </c>
      <c r="G142" s="22" t="n">
        <v>344</v>
      </c>
      <c r="K142" s="22" t="n">
        <v>0</v>
      </c>
      <c r="L142" s="22" t="n">
        <v>231</v>
      </c>
    </row>
    <row r="143">
      <c r="A143" s="20" t="inlineStr">
        <is>
          <t>퇴직급여부채</t>
        </is>
      </c>
      <c r="C143" s="22" t="n">
        <v>2895</v>
      </c>
      <c r="D143" s="22" t="n">
        <v>2945</v>
      </c>
      <c r="E143" s="22" t="n">
        <v>2982</v>
      </c>
      <c r="F143" s="22" t="n">
        <v>2993</v>
      </c>
      <c r="G143" s="22" t="n">
        <v>3029</v>
      </c>
      <c r="H143" s="22" t="n">
        <v>3319</v>
      </c>
      <c r="I143" s="22" t="n">
        <v>3347</v>
      </c>
      <c r="J143" s="22" t="n">
        <v>3474</v>
      </c>
      <c r="K143" s="22" t="n">
        <v>2833</v>
      </c>
      <c r="L143" s="22" t="n">
        <v>2982</v>
      </c>
    </row>
    <row r="144">
      <c r="A144" s="20" t="inlineStr">
        <is>
          <t>자산복구부채</t>
        </is>
      </c>
      <c r="C144" s="22" t="n">
        <v>128</v>
      </c>
      <c r="D144" s="22" t="n">
        <v>128</v>
      </c>
      <c r="E144" s="22" t="n">
        <v>128</v>
      </c>
      <c r="F144" s="22" t="n">
        <v>128</v>
      </c>
      <c r="G144" s="22" t="n">
        <v>128</v>
      </c>
      <c r="H144" s="22" t="n">
        <v>127</v>
      </c>
      <c r="I144" s="22" t="n">
        <v>127</v>
      </c>
      <c r="J144" s="22" t="n">
        <v>127</v>
      </c>
      <c r="K144" s="22" t="n">
        <v>128</v>
      </c>
      <c r="L144" s="22" t="n">
        <v>128</v>
      </c>
    </row>
    <row r="145">
      <c r="A145" s="20" t="inlineStr">
        <is>
          <t>기타</t>
        </is>
      </c>
      <c r="C145" s="22" t="n">
        <v>386</v>
      </c>
      <c r="D145" s="22" t="n">
        <v>425</v>
      </c>
      <c r="E145" s="22" t="n">
        <v>467</v>
      </c>
      <c r="F145" s="22" t="n">
        <v>456</v>
      </c>
      <c r="G145" s="22" t="n">
        <v>421</v>
      </c>
      <c r="H145" s="22" t="n">
        <v>366</v>
      </c>
      <c r="I145" s="22" t="n">
        <v>18</v>
      </c>
      <c r="J145" s="22" t="n">
        <v>143</v>
      </c>
      <c r="K145" s="22" t="n">
        <v>69</v>
      </c>
      <c r="L145" s="22" t="n">
        <v>467</v>
      </c>
    </row>
    <row r="146">
      <c r="A146" s="9" t="inlineStr">
        <is>
          <t>비유동부채 합계</t>
        </is>
      </c>
      <c r="C146" s="12" t="n">
        <v>3631</v>
      </c>
      <c r="D146" s="12" t="n">
        <v>3776</v>
      </c>
      <c r="E146" s="12" t="n">
        <v>3899</v>
      </c>
      <c r="F146" s="12" t="n">
        <v>3935</v>
      </c>
      <c r="G146" s="12" t="n">
        <v>3988</v>
      </c>
      <c r="H146" s="12" t="n">
        <v>3589</v>
      </c>
      <c r="I146" s="12" t="n">
        <v>3629</v>
      </c>
      <c r="J146" s="12" t="n">
        <v>3591</v>
      </c>
      <c r="K146" s="12" t="n">
        <v>3505</v>
      </c>
      <c r="L146" s="12" t="n">
        <v>3899</v>
      </c>
    </row>
    <row r="147">
      <c r="A147" s="9" t="inlineStr">
        <is>
          <t>부채 합계</t>
        </is>
      </c>
      <c r="C147" s="12" t="n">
        <v>11752</v>
      </c>
      <c r="D147" s="12" t="n">
        <v>12284</v>
      </c>
      <c r="E147" s="12" t="n">
        <v>15906</v>
      </c>
      <c r="F147" s="12" t="n">
        <v>13085</v>
      </c>
      <c r="G147" s="12" t="n">
        <v>14860</v>
      </c>
      <c r="H147" s="12" t="n">
        <v>15409</v>
      </c>
      <c r="I147" s="12" t="n">
        <v>14085</v>
      </c>
      <c r="J147" s="12" t="n">
        <v>17010</v>
      </c>
      <c r="K147" s="12" t="n">
        <v>16814</v>
      </c>
      <c r="L147" s="12" t="n">
        <v>15906</v>
      </c>
    </row>
    <row r="148">
      <c r="A148" s="20" t="inlineStr">
        <is>
          <t>자본금</t>
        </is>
      </c>
      <c r="C148" s="22" t="n">
        <v>3328</v>
      </c>
      <c r="D148" s="22" t="n">
        <v>3328</v>
      </c>
      <c r="E148" s="22" t="n">
        <v>3328</v>
      </c>
      <c r="F148" s="22" t="n">
        <v>3328</v>
      </c>
      <c r="G148" s="22" t="n">
        <v>3328</v>
      </c>
      <c r="H148" s="22" t="n">
        <v>3328</v>
      </c>
      <c r="I148" s="22" t="n">
        <v>3328</v>
      </c>
      <c r="J148" s="22" t="n">
        <v>3328</v>
      </c>
      <c r="K148" s="22" t="n">
        <v>3328</v>
      </c>
      <c r="L148" s="22" t="n">
        <v>3328</v>
      </c>
    </row>
    <row r="149">
      <c r="A149" s="20" t="inlineStr">
        <is>
          <t>자본준비금</t>
        </is>
      </c>
      <c r="E149" s="22" t="n">
        <v>2803</v>
      </c>
      <c r="H149" s="22" t="n">
        <v>2803</v>
      </c>
      <c r="I149" s="22" t="n">
        <v>2803</v>
      </c>
      <c r="J149" s="22" t="n">
        <v>2803</v>
      </c>
      <c r="K149" s="22" t="n">
        <v>2803</v>
      </c>
      <c r="L149" s="22" t="n">
        <v>2803</v>
      </c>
    </row>
    <row r="150">
      <c r="A150" s="20" t="inlineStr">
        <is>
          <t>기타자본잉여금</t>
        </is>
      </c>
      <c r="E150" s="22" t="n">
        <v>378</v>
      </c>
      <c r="H150" s="22" t="n">
        <v>0</v>
      </c>
      <c r="I150" s="22" t="n">
        <v>0</v>
      </c>
      <c r="J150" s="22" t="n">
        <v>0</v>
      </c>
      <c r="K150" s="22" t="n">
        <v>48</v>
      </c>
      <c r="L150" s="22" t="n">
        <v>378</v>
      </c>
    </row>
    <row r="151">
      <c r="A151" s="20" t="inlineStr">
        <is>
          <t>자본잉여금</t>
        </is>
      </c>
      <c r="C151" s="22" t="n">
        <v>3182</v>
      </c>
      <c r="D151" s="22" t="n">
        <v>3182</v>
      </c>
      <c r="E151" s="22" t="n">
        <v>3182</v>
      </c>
      <c r="F151" s="22" t="n">
        <v>3182</v>
      </c>
      <c r="G151" s="22" t="n">
        <v>3182</v>
      </c>
      <c r="H151" s="22" t="n">
        <v>2803</v>
      </c>
      <c r="I151" s="22" t="n">
        <v>2803</v>
      </c>
      <c r="J151" s="22" t="n">
        <v>2803</v>
      </c>
      <c r="K151" s="22" t="n">
        <v>2852</v>
      </c>
      <c r="L151" s="22" t="n">
        <v>3182</v>
      </c>
    </row>
    <row r="152">
      <c r="A152" s="20" t="inlineStr">
        <is>
          <t>이익준비금</t>
        </is>
      </c>
      <c r="E152" s="22" t="n">
        <v>360</v>
      </c>
      <c r="H152" s="22" t="n">
        <v>360</v>
      </c>
      <c r="I152" s="22" t="n">
        <v>360</v>
      </c>
      <c r="J152" s="22" t="n">
        <v>360</v>
      </c>
      <c r="K152" s="22" t="n">
        <v>360</v>
      </c>
      <c r="L152" s="22" t="n">
        <v>360</v>
      </c>
    </row>
    <row r="153">
      <c r="A153" s="20" t="inlineStr">
        <is>
          <t>별도적립금</t>
        </is>
      </c>
      <c r="E153" s="22" t="n">
        <v>26934</v>
      </c>
      <c r="H153" s="22" t="n">
        <v>26934</v>
      </c>
      <c r="I153" s="22" t="n">
        <v>26934</v>
      </c>
      <c r="J153" s="22" t="n">
        <v>26934</v>
      </c>
      <c r="K153" s="22" t="n">
        <v>26934</v>
      </c>
      <c r="L153" s="22" t="n">
        <v>26934</v>
      </c>
    </row>
    <row r="154">
      <c r="A154" s="20" t="inlineStr">
        <is>
          <t>이월이익잉여금</t>
        </is>
      </c>
      <c r="E154" s="22" t="n">
        <v>13507</v>
      </c>
      <c r="H154" s="22" t="n">
        <v>6826</v>
      </c>
      <c r="I154" s="22" t="n">
        <v>7710</v>
      </c>
      <c r="J154" s="22" t="n">
        <v>8855</v>
      </c>
      <c r="K154" s="22" t="n">
        <v>10958</v>
      </c>
      <c r="L154" s="22" t="n">
        <v>13507</v>
      </c>
    </row>
    <row r="155">
      <c r="A155" s="20" t="inlineStr">
        <is>
          <t>이익잉여금</t>
        </is>
      </c>
      <c r="C155" s="22" t="n">
        <v>38378</v>
      </c>
      <c r="D155" s="22" t="n">
        <v>39130</v>
      </c>
      <c r="E155" s="22" t="n">
        <v>40682</v>
      </c>
      <c r="F155" s="22" t="n">
        <v>40522</v>
      </c>
      <c r="G155" s="22" t="n">
        <v>42237</v>
      </c>
      <c r="H155" s="22" t="n">
        <v>34121</v>
      </c>
      <c r="I155" s="22" t="n">
        <v>35122</v>
      </c>
      <c r="J155" s="22" t="n">
        <v>36150</v>
      </c>
      <c r="K155" s="22" t="n">
        <v>38110</v>
      </c>
      <c r="L155" s="22" t="n">
        <v>40682</v>
      </c>
    </row>
    <row r="156">
      <c r="A156" s="20" t="inlineStr">
        <is>
          <t>자기주식</t>
        </is>
      </c>
      <c r="C156" s="22" t="n">
        <v>-1800</v>
      </c>
      <c r="D156" s="22" t="n">
        <v>-1800</v>
      </c>
      <c r="E156" s="22" t="n">
        <v>-1800</v>
      </c>
      <c r="F156" s="22" t="n">
        <v>-1795</v>
      </c>
      <c r="G156" s="22" t="n">
        <v>-1780</v>
      </c>
      <c r="H156" s="22" t="n">
        <v>-707</v>
      </c>
      <c r="I156" s="22" t="n">
        <v>-707</v>
      </c>
      <c r="J156" s="22" t="n">
        <v>-708</v>
      </c>
      <c r="K156" s="22" t="n">
        <v>-756</v>
      </c>
      <c r="L156" s="22" t="n">
        <v>-1800</v>
      </c>
    </row>
    <row r="157">
      <c r="A157" s="9" t="inlineStr">
        <is>
          <t>주주자본 합계</t>
        </is>
      </c>
      <c r="C157" s="12" t="n">
        <v>43089</v>
      </c>
      <c r="D157" s="12" t="n">
        <v>43841</v>
      </c>
      <c r="E157" s="12" t="n">
        <v>45393</v>
      </c>
      <c r="F157" s="12" t="n">
        <v>45238</v>
      </c>
      <c r="G157" s="12" t="n">
        <v>46968</v>
      </c>
      <c r="H157" s="12" t="n">
        <v>39546</v>
      </c>
      <c r="I157" s="12" t="n">
        <v>40547</v>
      </c>
      <c r="J157" s="12" t="n">
        <v>41574</v>
      </c>
      <c r="K157" s="12" t="n">
        <v>43535</v>
      </c>
      <c r="L157" s="12" t="n">
        <v>45393</v>
      </c>
    </row>
    <row r="158">
      <c r="A158" s="20" t="inlineStr">
        <is>
          <t>기타유가증권 평가차액</t>
        </is>
      </c>
      <c r="C158" s="22" t="n">
        <v>520</v>
      </c>
      <c r="D158" s="22" t="n">
        <v>625</v>
      </c>
      <c r="E158" s="22" t="n">
        <v>731</v>
      </c>
      <c r="F158" s="22" t="n">
        <v>926</v>
      </c>
      <c r="G158" s="22" t="n">
        <v>1165</v>
      </c>
      <c r="H158" s="22" t="n">
        <v>225</v>
      </c>
      <c r="I158" s="22" t="n">
        <v>258</v>
      </c>
      <c r="J158" s="22" t="n">
        <v>393</v>
      </c>
      <c r="K158" s="22" t="n">
        <v>375</v>
      </c>
      <c r="L158" s="22" t="n">
        <v>731</v>
      </c>
    </row>
    <row r="159">
      <c r="A159" s="20" t="inlineStr">
        <is>
          <t>퇴직급여 조정누계액</t>
        </is>
      </c>
      <c r="C159" s="22" t="n">
        <v>0</v>
      </c>
      <c r="D159" s="22" t="n">
        <v>0</v>
      </c>
      <c r="E159" s="22" t="n">
        <v>-39</v>
      </c>
      <c r="F159" s="22" t="n">
        <v>-37</v>
      </c>
      <c r="G159" s="22" t="n">
        <v>-35</v>
      </c>
      <c r="H159" s="22" t="n">
        <v>-123</v>
      </c>
      <c r="I159" s="22" t="n">
        <v>-87</v>
      </c>
      <c r="J159" s="22" t="n">
        <v>-52</v>
      </c>
      <c r="K159" s="22" t="n">
        <v>-17</v>
      </c>
      <c r="L159" s="22" t="n">
        <v>-39</v>
      </c>
    </row>
    <row r="160">
      <c r="A160" s="20" t="inlineStr">
        <is>
          <t>기타포괄손익누계액 합계</t>
        </is>
      </c>
      <c r="C160" s="22" t="n">
        <v>520</v>
      </c>
      <c r="D160" s="22" t="n">
        <v>625</v>
      </c>
      <c r="E160" s="22" t="n">
        <v>692</v>
      </c>
      <c r="F160" s="22" t="n">
        <v>888</v>
      </c>
      <c r="G160" s="22" t="n">
        <v>1129</v>
      </c>
      <c r="H160" s="22" t="n">
        <v>225</v>
      </c>
      <c r="I160" s="22" t="n">
        <v>170</v>
      </c>
      <c r="J160" s="22" t="n">
        <v>393</v>
      </c>
      <c r="K160" s="22" t="n">
        <v>358</v>
      </c>
      <c r="L160" s="22" t="n">
        <v>692</v>
      </c>
    </row>
    <row r="161">
      <c r="A161" s="9" t="inlineStr">
        <is>
          <t>순자산 합계</t>
        </is>
      </c>
      <c r="C161" s="12" t="n">
        <v>43609</v>
      </c>
      <c r="D161" s="12" t="n">
        <v>44466</v>
      </c>
      <c r="E161" s="12" t="n">
        <v>46085</v>
      </c>
      <c r="F161" s="12" t="n">
        <v>46126</v>
      </c>
      <c r="G161" s="12" t="n">
        <v>48098</v>
      </c>
      <c r="H161" s="12" t="n">
        <v>39772</v>
      </c>
      <c r="I161" s="12" t="n">
        <v>40717</v>
      </c>
      <c r="J161" s="12" t="n">
        <v>41968</v>
      </c>
      <c r="K161" s="12" t="n">
        <v>43893</v>
      </c>
      <c r="L161" s="12" t="n">
        <v>46085</v>
      </c>
    </row>
    <row r="162">
      <c r="A162" s="9" t="inlineStr">
        <is>
          <t>부채·순자산 합계</t>
        </is>
      </c>
      <c r="C162" s="12" t="n">
        <v>55362</v>
      </c>
      <c r="D162" s="12" t="n">
        <v>56751</v>
      </c>
      <c r="E162" s="12" t="n">
        <v>61992</v>
      </c>
      <c r="F162" s="12" t="n">
        <v>59211</v>
      </c>
      <c r="G162" s="12" t="n">
        <v>62958</v>
      </c>
      <c r="H162" s="12" t="n">
        <v>55182</v>
      </c>
      <c r="I162" s="12" t="n">
        <v>54803</v>
      </c>
      <c r="J162" s="12" t="n">
        <v>58979</v>
      </c>
      <c r="K162" s="12" t="n">
        <v>60707</v>
      </c>
      <c r="L162" s="12" t="n">
        <v>61992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2" t="inlineStr">
        <is>
          <t>호쿠리쿠전기공사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bs annual</t>
        </is>
      </c>
      <c r="B4" s="54" t="n"/>
      <c r="C4" s="54" t="n"/>
      <c r="D4" s="54" t="n"/>
      <c r="E4" s="54" t="n"/>
      <c r="F4" s="54" t="n"/>
      <c r="G4" s="54" t="n"/>
    </row>
    <row r="5">
      <c r="A5" s="55" t="inlineStr">
        <is>
          <t>항목</t>
        </is>
      </c>
      <c r="B5" s="55" t="inlineStr">
        <is>
          <t>2022</t>
        </is>
      </c>
      <c r="C5" s="55" t="inlineStr">
        <is>
          <t>2023</t>
        </is>
      </c>
      <c r="D5" s="55" t="inlineStr">
        <is>
          <t>2024</t>
        </is>
      </c>
      <c r="E5" s="55" t="inlineStr">
        <is>
          <t>2025</t>
        </is>
      </c>
      <c r="F5" s="55" t="inlineStr">
        <is>
          <t>2026</t>
        </is>
      </c>
      <c r="G5" s="55" t="inlineStr">
        <is>
          <t>출처</t>
        </is>
      </c>
    </row>
    <row r="6">
      <c r="A6" s="56" t="inlineStr">
        <is>
          <t>labels</t>
        </is>
      </c>
      <c r="B6" s="57" t="n">
        <v>2022</v>
      </c>
      <c r="C6" s="57" t="n">
        <v>2023</v>
      </c>
      <c r="D6" s="57" t="n">
        <v>2024</v>
      </c>
      <c r="E6" s="57" t="n">
        <v>2025</v>
      </c>
      <c r="F6" s="57" t="n">
        <v>2026</v>
      </c>
      <c r="G6" s="58" t="inlineStr">
        <is>
          <t>2단계 보고서 자료(회사 설명회 자료·공시)</t>
        </is>
      </c>
    </row>
    <row r="7">
      <c r="A7" s="56" t="inlineStr">
        <is>
          <t>current assets</t>
        </is>
      </c>
      <c r="B7" s="59" t="n">
        <v>388.9</v>
      </c>
      <c r="C7" s="59" t="n">
        <v>365.3</v>
      </c>
      <c r="D7" s="59" t="n">
        <v>373.4</v>
      </c>
      <c r="E7" s="59" t="n">
        <v>396.6</v>
      </c>
      <c r="F7" s="59" t="n">
        <v>397.9</v>
      </c>
    </row>
    <row r="8">
      <c r="A8" s="56" t="inlineStr">
        <is>
          <t>cash</t>
        </is>
      </c>
      <c r="B8" s="59" t="n">
        <v>208</v>
      </c>
      <c r="C8" s="59" t="n">
        <v>205.5</v>
      </c>
      <c r="D8" s="59" t="n">
        <v>169.5</v>
      </c>
      <c r="E8" s="59" t="n">
        <v>227.6</v>
      </c>
      <c r="F8" s="59" t="n">
        <v>200.1</v>
      </c>
    </row>
    <row r="9">
      <c r="A9" s="56" t="inlineStr">
        <is>
          <t>st fin</t>
        </is>
      </c>
      <c r="B9" s="59" t="n">
        <v>5</v>
      </c>
      <c r="C9" s="59" t="n">
        <v>1.1</v>
      </c>
      <c r="D9" s="59" t="n">
        <v>0</v>
      </c>
      <c r="E9" s="59" t="n">
        <v>5.9</v>
      </c>
      <c r="F9" s="59" t="n">
        <v>0.1</v>
      </c>
    </row>
    <row r="10">
      <c r="A10" s="56" t="inlineStr">
        <is>
          <t>receivables</t>
        </is>
      </c>
      <c r="B10" s="60" t="n"/>
      <c r="C10" s="60" t="n"/>
      <c r="D10" s="60" t="n"/>
      <c r="E10" s="60" t="n"/>
      <c r="F10" s="60" t="n"/>
    </row>
    <row r="11">
      <c r="A11" s="56" t="inlineStr">
        <is>
          <t>inventory</t>
        </is>
      </c>
      <c r="B11" s="60" t="n"/>
      <c r="C11" s="60" t="n"/>
      <c r="D11" s="60" t="n"/>
      <c r="E11" s="60" t="n"/>
      <c r="F11" s="60" t="n"/>
    </row>
    <row r="12">
      <c r="A12" s="56" t="inlineStr">
        <is>
          <t>noncurrent assets</t>
        </is>
      </c>
      <c r="B12" s="59" t="n">
        <v>162.9</v>
      </c>
      <c r="C12" s="59" t="n">
        <v>182.8</v>
      </c>
      <c r="D12" s="59" t="n">
        <v>216.3</v>
      </c>
      <c r="E12" s="59" t="n">
        <v>210.5</v>
      </c>
      <c r="F12" s="59" t="n">
        <v>222</v>
      </c>
    </row>
    <row r="13">
      <c r="A13" s="56" t="inlineStr">
        <is>
          <t>ppe</t>
        </is>
      </c>
      <c r="B13" s="59" t="n">
        <v>121.2</v>
      </c>
      <c r="C13" s="59" t="n">
        <v>139.4</v>
      </c>
      <c r="D13" s="59" t="n">
        <v>119.9</v>
      </c>
      <c r="E13" s="59" t="n">
        <v>129.4</v>
      </c>
      <c r="F13" s="59" t="n">
        <v>125.7</v>
      </c>
    </row>
    <row r="14">
      <c r="A14" s="56" t="inlineStr">
        <is>
          <t>intangibles</t>
        </is>
      </c>
      <c r="B14" s="59" t="n">
        <v>0.9</v>
      </c>
      <c r="C14" s="59" t="n">
        <v>5.8</v>
      </c>
      <c r="D14" s="59" t="n">
        <v>1.1</v>
      </c>
      <c r="E14" s="59" t="n">
        <v>19.3</v>
      </c>
      <c r="F14" s="59" t="n">
        <v>15.9</v>
      </c>
    </row>
    <row r="15">
      <c r="A15" s="56" t="inlineStr">
        <is>
          <t>inv property</t>
        </is>
      </c>
      <c r="B15" s="60" t="n"/>
      <c r="C15" s="60" t="n"/>
      <c r="D15" s="60" t="n"/>
      <c r="E15" s="60" t="n"/>
      <c r="F15" s="60" t="n"/>
    </row>
    <row r="16">
      <c r="A16" s="56" t="inlineStr">
        <is>
          <t>합계 assets</t>
        </is>
      </c>
      <c r="B16" s="59" t="n">
        <v>551.8</v>
      </c>
      <c r="C16" s="59" t="n">
        <v>548</v>
      </c>
      <c r="D16" s="59" t="n">
        <v>589.8</v>
      </c>
      <c r="E16" s="59" t="n">
        <v>607.1</v>
      </c>
      <c r="F16" s="59" t="n">
        <v>619.9</v>
      </c>
    </row>
    <row r="17">
      <c r="A17" s="56" t="inlineStr">
        <is>
          <t>current liab</t>
        </is>
      </c>
      <c r="B17" s="59" t="n">
        <v>118.2</v>
      </c>
      <c r="C17" s="59" t="n">
        <v>104.5</v>
      </c>
      <c r="D17" s="59" t="n">
        <v>134.2</v>
      </c>
      <c r="E17" s="59" t="n">
        <v>133.1</v>
      </c>
      <c r="F17" s="59" t="n">
        <v>120.1</v>
      </c>
    </row>
    <row r="18">
      <c r="A18" s="56" t="inlineStr">
        <is>
          <t>payables</t>
        </is>
      </c>
      <c r="B18" s="60" t="n"/>
      <c r="C18" s="60" t="n"/>
      <c r="D18" s="60" t="n"/>
      <c r="E18" s="60" t="n"/>
      <c r="F18" s="60" t="n"/>
    </row>
    <row r="19">
      <c r="A19" s="56" t="inlineStr">
        <is>
          <t>st debt</t>
        </is>
      </c>
      <c r="B19" s="59" t="n">
        <v>0</v>
      </c>
      <c r="C19" s="59" t="n">
        <v>0</v>
      </c>
      <c r="D19" s="59" t="n">
        <v>1.8</v>
      </c>
      <c r="E19" s="59" t="n">
        <v>0.6</v>
      </c>
      <c r="F19" s="59" t="n">
        <v>0</v>
      </c>
    </row>
    <row r="20">
      <c r="A20" s="56" t="inlineStr">
        <is>
          <t>noncurrent liab</t>
        </is>
      </c>
      <c r="B20" s="59" t="n">
        <v>35.9</v>
      </c>
      <c r="C20" s="59" t="n">
        <v>36.3</v>
      </c>
      <c r="D20" s="59" t="n">
        <v>35.9</v>
      </c>
      <c r="E20" s="59" t="n">
        <v>35</v>
      </c>
      <c r="F20" s="59" t="n">
        <v>39</v>
      </c>
    </row>
    <row r="21">
      <c r="A21" s="56" t="inlineStr">
        <is>
          <t>lt debt</t>
        </is>
      </c>
      <c r="B21" s="60" t="n"/>
      <c r="C21" s="59" t="n">
        <v>0</v>
      </c>
      <c r="D21" s="59" t="n">
        <v>1.4</v>
      </c>
      <c r="E21" s="59" t="n">
        <v>0.7</v>
      </c>
      <c r="F21" s="59" t="n">
        <v>0.2</v>
      </c>
    </row>
    <row r="22">
      <c r="A22" s="56" t="inlineStr">
        <is>
          <t>bonds</t>
        </is>
      </c>
      <c r="B22" s="60" t="n"/>
      <c r="C22" s="60" t="n"/>
      <c r="D22" s="60" t="n"/>
      <c r="E22" s="60" t="n"/>
      <c r="F22" s="60" t="n"/>
    </row>
    <row r="23">
      <c r="A23" s="56" t="inlineStr">
        <is>
          <t>합계 liab</t>
        </is>
      </c>
      <c r="B23" s="59" t="n">
        <v>154.1</v>
      </c>
      <c r="C23" s="59" t="n">
        <v>140.8</v>
      </c>
      <c r="D23" s="59" t="n">
        <v>170.1</v>
      </c>
      <c r="E23" s="59" t="n">
        <v>168.1</v>
      </c>
      <c r="F23" s="59" t="n">
        <v>159.1</v>
      </c>
    </row>
    <row r="24">
      <c r="A24" s="56" t="inlineStr">
        <is>
          <t>capital stock</t>
        </is>
      </c>
      <c r="B24" s="59" t="n">
        <v>33.3</v>
      </c>
      <c r="C24" s="59" t="n">
        <v>33.3</v>
      </c>
      <c r="D24" s="59" t="n">
        <v>33.3</v>
      </c>
      <c r="E24" s="59" t="n">
        <v>33.3</v>
      </c>
      <c r="F24" s="59" t="n">
        <v>33.3</v>
      </c>
    </row>
    <row r="25">
      <c r="A25" s="56" t="inlineStr">
        <is>
          <t>retained</t>
        </is>
      </c>
      <c r="B25" s="59" t="n">
        <v>341.2</v>
      </c>
      <c r="C25" s="59" t="n">
        <v>351.2</v>
      </c>
      <c r="D25" s="59" t="n">
        <v>361.5</v>
      </c>
      <c r="E25" s="59" t="n">
        <v>381.1</v>
      </c>
      <c r="F25" s="59" t="n">
        <v>406.8</v>
      </c>
    </row>
    <row r="26">
      <c r="A26" s="56" t="inlineStr">
        <is>
          <t>nci</t>
        </is>
      </c>
      <c r="B26" s="60" t="n"/>
      <c r="C26" s="60" t="n"/>
      <c r="D26" s="60" t="n"/>
      <c r="E26" s="60" t="n"/>
      <c r="F26" s="60" t="n"/>
    </row>
    <row r="27">
      <c r="A27" s="56" t="inlineStr">
        <is>
          <t>합계 equity</t>
        </is>
      </c>
      <c r="B27" s="59" t="n">
        <v>397.7</v>
      </c>
      <c r="C27" s="59" t="n">
        <v>407.2</v>
      </c>
      <c r="D27" s="59" t="n">
        <v>419.7</v>
      </c>
      <c r="E27" s="59" t="n">
        <v>438.9</v>
      </c>
      <c r="F27" s="59" t="n">
        <v>460.9</v>
      </c>
    </row>
    <row r="28">
      <c r="A28" s="56" t="inlineStr">
        <is>
          <t>current ltd</t>
        </is>
      </c>
      <c r="B28" s="60" t="n"/>
      <c r="C28" s="60" t="n"/>
      <c r="D28" s="60" t="n"/>
      <c r="E28" s="59" t="n">
        <v>0</v>
      </c>
      <c r="F28" s="59" t="n">
        <v>0.5</v>
      </c>
    </row>
    <row r="29">
      <c r="A29" s="56" t="inlineStr">
        <is>
          <t>equity owner</t>
        </is>
      </c>
      <c r="B29" s="59" t="n">
        <v>397.7</v>
      </c>
      <c r="C29" s="59" t="n">
        <v>407.2</v>
      </c>
      <c r="D29" s="59" t="n">
        <v>419.7</v>
      </c>
      <c r="E29" s="59" t="n">
        <v>438.9</v>
      </c>
      <c r="F29" s="59" t="n">
        <v>460.9</v>
      </c>
    </row>
    <row r="31">
      <c r="A31" s="54" t="inlineStr">
        <is>
          <t>cf annual</t>
        </is>
      </c>
      <c r="B31" s="54" t="n"/>
      <c r="C31" s="54" t="n"/>
      <c r="D31" s="54" t="n"/>
      <c r="E31" s="54" t="n"/>
      <c r="F31" s="54" t="n"/>
      <c r="G31" s="54" t="n"/>
    </row>
    <row r="32">
      <c r="A32" s="55" t="inlineStr">
        <is>
          <t>항목</t>
        </is>
      </c>
      <c r="B32" s="55" t="inlineStr">
        <is>
          <t>2022</t>
        </is>
      </c>
      <c r="C32" s="55" t="inlineStr">
        <is>
          <t>2023</t>
        </is>
      </c>
      <c r="D32" s="55" t="inlineStr">
        <is>
          <t>2024</t>
        </is>
      </c>
      <c r="E32" s="55" t="inlineStr">
        <is>
          <t>2025</t>
        </is>
      </c>
      <c r="F32" s="55" t="inlineStr">
        <is>
          <t>2026</t>
        </is>
      </c>
      <c r="G32" s="55" t="inlineStr">
        <is>
          <t>출처</t>
        </is>
      </c>
    </row>
    <row r="33">
      <c r="A33" s="56" t="inlineStr">
        <is>
          <t>labels</t>
        </is>
      </c>
      <c r="B33" s="57" t="n">
        <v>2022</v>
      </c>
      <c r="C33" s="57" t="n">
        <v>2023</v>
      </c>
      <c r="D33" s="57" t="n">
        <v>2024</v>
      </c>
      <c r="E33" s="57" t="n">
        <v>2025</v>
      </c>
      <c r="F33" s="57" t="n">
        <v>2026</v>
      </c>
      <c r="G33" s="58" t="inlineStr">
        <is>
          <t>2단계 보고서 자료(회사 설명회 자료·공시)</t>
        </is>
      </c>
    </row>
    <row r="34">
      <c r="A34" s="56" t="inlineStr">
        <is>
          <t>ocf</t>
        </is>
      </c>
      <c r="B34" s="59" t="n">
        <v>2</v>
      </c>
      <c r="C34" s="59" t="n">
        <v>33.1</v>
      </c>
      <c r="D34" s="59" t="n">
        <v>22.6</v>
      </c>
      <c r="E34" s="59" t="n">
        <v>76</v>
      </c>
      <c r="F34" s="59" t="n">
        <v>5.5</v>
      </c>
    </row>
    <row r="35">
      <c r="A35" s="56" t="inlineStr">
        <is>
          <t>설비투자</t>
        </is>
      </c>
      <c r="B35" s="59" t="n">
        <v>17.7</v>
      </c>
      <c r="C35" s="59" t="n">
        <v>14.3</v>
      </c>
      <c r="D35" s="59" t="n">
        <v>7.6</v>
      </c>
      <c r="E35" s="59" t="n">
        <v>4.1</v>
      </c>
      <c r="F35" s="59" t="n">
        <v>5.2</v>
      </c>
    </row>
    <row r="36">
      <c r="A36" s="56" t="inlineStr">
        <is>
          <t>dividends</t>
        </is>
      </c>
      <c r="B36" s="59" t="n">
        <v>9.300000000000001</v>
      </c>
      <c r="C36" s="59" t="n">
        <v>8.300000000000001</v>
      </c>
      <c r="D36" s="59" t="n">
        <v>12.2</v>
      </c>
      <c r="E36" s="59" t="n">
        <v>11.8</v>
      </c>
      <c r="F36" s="59" t="n">
        <v>13</v>
      </c>
    </row>
    <row r="38">
      <c r="A38" s="54" t="inlineStr">
        <is>
          <t>company 예상</t>
        </is>
      </c>
      <c r="B38" s="54" t="n"/>
      <c r="C38" s="54" t="n"/>
      <c r="D38" s="54" t="n"/>
      <c r="E38" s="54" t="n"/>
      <c r="F38" s="54" t="n"/>
      <c r="G38" s="54" t="n"/>
    </row>
    <row r="39">
      <c r="A39" s="55" t="inlineStr">
        <is>
          <t>항목</t>
        </is>
      </c>
      <c r="B39" s="55" t="inlineStr">
        <is>
          <t>값</t>
        </is>
      </c>
      <c r="G39" s="55" t="inlineStr">
        <is>
          <t>출처</t>
        </is>
      </c>
    </row>
    <row r="40">
      <c r="A40" s="56" t="inlineStr">
        <is>
          <t>매출</t>
        </is>
      </c>
      <c r="B40" s="59" t="n">
        <v>700</v>
      </c>
      <c r="G40" s="58" t="inlineStr">
        <is>
          <t>2단계 보고서 자료(회사 설명회 자료·공시)</t>
        </is>
      </c>
    </row>
    <row r="41">
      <c r="A41" s="56" t="inlineStr">
        <is>
          <t>영업이익</t>
        </is>
      </c>
      <c r="B41" s="59" t="n">
        <v>60</v>
      </c>
    </row>
    <row r="42">
      <c r="A42" s="56" t="inlineStr">
        <is>
          <t>경상이익</t>
        </is>
      </c>
      <c r="B42" s="59" t="n">
        <v>62</v>
      </c>
    </row>
    <row r="43">
      <c r="A43" s="56" t="inlineStr">
        <is>
          <t>순이익</t>
        </is>
      </c>
      <c r="B43" s="59" t="n">
        <v>41</v>
      </c>
    </row>
    <row r="44">
      <c r="A44" s="56" t="inlineStr">
        <is>
          <t>EPS</t>
        </is>
      </c>
      <c r="B44" s="59" t="n">
        <v>149</v>
      </c>
    </row>
    <row r="46">
      <c r="A46" s="54" t="inlineStr">
        <is>
          <t>latest filing</t>
        </is>
      </c>
      <c r="B46" s="54" t="n"/>
      <c r="C46" s="54" t="n"/>
      <c r="D46" s="54" t="n"/>
      <c r="E46" s="54" t="n"/>
      <c r="F46" s="54" t="n"/>
      <c r="G46" s="54" t="n"/>
    </row>
    <row r="47">
      <c r="A47" s="55" t="inlineStr">
        <is>
          <t>항목</t>
        </is>
      </c>
      <c r="B47" s="55" t="inlineStr">
        <is>
          <t>값</t>
        </is>
      </c>
      <c r="G47" s="55" t="inlineStr">
        <is>
          <t>출처</t>
        </is>
      </c>
    </row>
    <row r="48">
      <c r="A48" s="56" t="inlineStr">
        <is>
          <t>1Q sga</t>
        </is>
      </c>
      <c r="B48" s="59" t="n">
        <v>18.74</v>
      </c>
      <c r="G48" s="58" t="inlineStr">
        <is>
          <t>2단계 보고서 자료(회사 설명회 자료·공시)</t>
        </is>
      </c>
    </row>
    <row r="49">
      <c r="A49" s="56" t="inlineStr">
        <is>
          <t>1Q sga prior</t>
        </is>
      </c>
      <c r="B49" s="59" t="n">
        <v>16.32</v>
      </c>
    </row>
    <row r="51">
      <c r="A51" s="54" t="inlineStr">
        <is>
          <t>latest filing · 상반기 cum</t>
        </is>
      </c>
      <c r="B51" s="54" t="n"/>
      <c r="C51" s="54" t="n"/>
      <c r="D51" s="54" t="n"/>
      <c r="E51" s="54" t="n"/>
      <c r="F51" s="54" t="n"/>
      <c r="G51" s="54" t="n"/>
    </row>
    <row r="52">
      <c r="A52" s="55" t="inlineStr">
        <is>
          <t>항목</t>
        </is>
      </c>
      <c r="B52" s="55" t="inlineStr">
        <is>
          <t>값</t>
        </is>
      </c>
      <c r="G52" s="55" t="inlineStr">
        <is>
          <t>출처</t>
        </is>
      </c>
    </row>
    <row r="53">
      <c r="A53" s="56" t="inlineStr">
        <is>
          <t>매출</t>
        </is>
      </c>
      <c r="B53" s="59" t="n">
        <v>332.8</v>
      </c>
      <c r="G53" s="58" t="inlineStr">
        <is>
          <t>2단계 보고서 자료(회사 설명회 자료·공시)</t>
        </is>
      </c>
    </row>
    <row r="54">
      <c r="A54" s="56" t="inlineStr">
        <is>
          <t>매출 YoY</t>
        </is>
      </c>
      <c r="B54" s="59" t="n">
        <v>24.6</v>
      </c>
    </row>
    <row r="55">
      <c r="A55" s="56" t="inlineStr">
        <is>
          <t>cogs</t>
        </is>
      </c>
      <c r="B55" s="59" t="n">
        <v>265.76</v>
      </c>
    </row>
    <row r="56">
      <c r="A56" s="56" t="inlineStr">
        <is>
          <t>gp</t>
        </is>
      </c>
      <c r="B56" s="59" t="n">
        <v>67.04000000000001</v>
      </c>
    </row>
    <row r="57">
      <c r="A57" s="56" t="inlineStr">
        <is>
          <t>sga</t>
        </is>
      </c>
      <c r="B57" s="59" t="n">
        <v>35.95</v>
      </c>
    </row>
    <row r="58">
      <c r="A58" s="56" t="inlineStr">
        <is>
          <t>영업이익</t>
        </is>
      </c>
      <c r="B58" s="59" t="n">
        <v>31.08</v>
      </c>
    </row>
    <row r="59">
      <c r="A59" s="56" t="inlineStr">
        <is>
          <t>영업이익 YoY</t>
        </is>
      </c>
      <c r="B59" s="59" t="n">
        <v>146.3</v>
      </c>
    </row>
    <row r="60">
      <c r="A60" s="56" t="inlineStr">
        <is>
          <t>ordinary</t>
        </is>
      </c>
      <c r="B60" s="59" t="n">
        <v>32.96</v>
      </c>
    </row>
    <row r="61">
      <c r="A61" s="56" t="inlineStr">
        <is>
          <t>순이익</t>
        </is>
      </c>
      <c r="B61" s="59" t="n">
        <v>22.93</v>
      </c>
    </row>
    <row r="62">
      <c r="A62" s="56" t="inlineStr">
        <is>
          <t>EPS</t>
        </is>
      </c>
      <c r="B62" s="59" t="n">
        <v>83.38</v>
      </c>
    </row>
    <row r="64">
      <c r="A64" s="54" t="inlineStr">
        <is>
          <t>latest filing · 상반기 prior</t>
        </is>
      </c>
      <c r="B64" s="54" t="n"/>
      <c r="C64" s="54" t="n"/>
      <c r="D64" s="54" t="n"/>
      <c r="E64" s="54" t="n"/>
      <c r="F64" s="54" t="n"/>
      <c r="G64" s="54" t="n"/>
    </row>
    <row r="65">
      <c r="A65" s="55" t="inlineStr">
        <is>
          <t>항목</t>
        </is>
      </c>
      <c r="B65" s="55" t="inlineStr">
        <is>
          <t>값</t>
        </is>
      </c>
      <c r="G65" s="55" t="inlineStr">
        <is>
          <t>출처</t>
        </is>
      </c>
    </row>
    <row r="66">
      <c r="A66" s="56" t="inlineStr">
        <is>
          <t>매출</t>
        </is>
      </c>
      <c r="B66" s="59" t="n">
        <v>267.07</v>
      </c>
      <c r="G66" s="58" t="inlineStr">
        <is>
          <t>2단계 보고서 자료(회사 설명회 자료·공시)</t>
        </is>
      </c>
    </row>
    <row r="67">
      <c r="A67" s="56" t="inlineStr">
        <is>
          <t>cogs</t>
        </is>
      </c>
      <c r="B67" s="59" t="n">
        <v>221.6</v>
      </c>
    </row>
    <row r="68">
      <c r="A68" s="56" t="inlineStr">
        <is>
          <t>gp</t>
        </is>
      </c>
      <c r="B68" s="59" t="n">
        <v>45.47</v>
      </c>
    </row>
    <row r="69">
      <c r="A69" s="56" t="inlineStr">
        <is>
          <t>sga</t>
        </is>
      </c>
      <c r="B69" s="59" t="n">
        <v>32.85</v>
      </c>
    </row>
    <row r="70">
      <c r="A70" s="56" t="inlineStr">
        <is>
          <t>영업이익</t>
        </is>
      </c>
      <c r="B70" s="59" t="n">
        <v>12.62</v>
      </c>
    </row>
    <row r="71">
      <c r="A71" s="56" t="inlineStr">
        <is>
          <t>ordinary</t>
        </is>
      </c>
      <c r="B71" s="59" t="n">
        <v>14.61</v>
      </c>
    </row>
    <row r="72">
      <c r="A72" s="56" t="inlineStr">
        <is>
          <t>순이익</t>
        </is>
      </c>
      <c r="B72" s="59" t="n">
        <v>9.4</v>
      </c>
    </row>
    <row r="73">
      <c r="A73" s="56" t="inlineStr">
        <is>
          <t>EPS</t>
        </is>
      </c>
      <c r="B73" s="59" t="n">
        <v>33.74</v>
      </c>
    </row>
    <row r="75">
      <c r="A75" s="54" t="inlineStr">
        <is>
          <t>latest filing · 2Q standalone</t>
        </is>
      </c>
      <c r="B75" s="54" t="n"/>
      <c r="C75" s="54" t="n"/>
      <c r="D75" s="54" t="n"/>
      <c r="E75" s="54" t="n"/>
      <c r="F75" s="54" t="n"/>
      <c r="G75" s="54" t="n"/>
    </row>
    <row r="76">
      <c r="A76" s="55" t="inlineStr">
        <is>
          <t>항목</t>
        </is>
      </c>
      <c r="B76" s="55" t="inlineStr">
        <is>
          <t>값</t>
        </is>
      </c>
      <c r="G76" s="55" t="inlineStr">
        <is>
          <t>출처</t>
        </is>
      </c>
    </row>
    <row r="77">
      <c r="A77" s="56" t="inlineStr">
        <is>
          <t>매출</t>
        </is>
      </c>
      <c r="B77" s="59" t="n">
        <v>189.6</v>
      </c>
      <c r="G77" s="58" t="inlineStr">
        <is>
          <t>2단계 보고서 자료(회사 설명회 자료·공시)</t>
        </is>
      </c>
    </row>
    <row r="78">
      <c r="A78" s="56" t="inlineStr">
        <is>
          <t>gp</t>
        </is>
      </c>
      <c r="B78" s="59" t="n">
        <v>40.2</v>
      </c>
    </row>
    <row r="79">
      <c r="A79" s="56" t="inlineStr">
        <is>
          <t>sga</t>
        </is>
      </c>
      <c r="B79" s="59" t="n">
        <v>17.2</v>
      </c>
    </row>
    <row r="80">
      <c r="A80" s="56" t="inlineStr">
        <is>
          <t>영업이익</t>
        </is>
      </c>
      <c r="B80" s="59" t="n">
        <v>23</v>
      </c>
    </row>
    <row r="81">
      <c r="A81" s="56" t="inlineStr">
        <is>
          <t>pbt</t>
        </is>
      </c>
      <c r="B81" s="59" t="n">
        <v>25.7</v>
      </c>
    </row>
    <row r="82">
      <c r="A82" s="56" t="inlineStr">
        <is>
          <t>순이익</t>
        </is>
      </c>
      <c r="B82" s="59" t="n">
        <v>17.1</v>
      </c>
    </row>
    <row r="84">
      <c r="A84" s="54" t="inlineStr">
        <is>
          <t>latest filing · nonop 상반기</t>
        </is>
      </c>
      <c r="B84" s="54" t="n"/>
      <c r="C84" s="54" t="n"/>
      <c r="D84" s="54" t="n"/>
      <c r="E84" s="54" t="n"/>
      <c r="F84" s="54" t="n"/>
      <c r="G84" s="54" t="n"/>
    </row>
    <row r="85">
      <c r="A85" s="55" t="inlineStr">
        <is>
          <t>항목</t>
        </is>
      </c>
      <c r="B85" s="55" t="inlineStr">
        <is>
          <t>값</t>
        </is>
      </c>
      <c r="G85" s="55" t="inlineStr">
        <is>
          <t>출처</t>
        </is>
      </c>
    </row>
    <row r="86">
      <c r="A86" s="56" t="inlineStr">
        <is>
          <t>영업외수익</t>
        </is>
      </c>
      <c r="B86" s="59" t="n">
        <v>1.93</v>
      </c>
      <c r="G86" s="58" t="inlineStr">
        <is>
          <t>2단계 보고서 자료(회사 설명회 자료·공시)</t>
        </is>
      </c>
    </row>
    <row r="87">
      <c r="A87" s="56" t="inlineStr">
        <is>
          <t>이자수익</t>
        </is>
      </c>
      <c r="B87" s="59" t="n">
        <v>0.53</v>
      </c>
    </row>
    <row r="88">
      <c r="A88" s="56" t="inlineStr">
        <is>
          <t>수수료수익</t>
        </is>
      </c>
      <c r="B88" s="59" t="n">
        <v>0.4</v>
      </c>
    </row>
    <row r="89">
      <c r="A89" s="56" t="inlineStr">
        <is>
          <t>기타 영업외수익</t>
        </is>
      </c>
      <c r="B89" s="59" t="n">
        <v>0.99</v>
      </c>
    </row>
    <row r="90">
      <c r="A90" s="56" t="inlineStr">
        <is>
          <t>영업외비용</t>
        </is>
      </c>
      <c r="B90" s="59" t="n">
        <v>0.05</v>
      </c>
    </row>
    <row r="91">
      <c r="A91" s="56" t="inlineStr">
        <is>
          <t>지급이자</t>
        </is>
      </c>
      <c r="B91" s="59" t="n">
        <v>0.03</v>
      </c>
    </row>
    <row r="92">
      <c r="A92" s="56" t="inlineStr">
        <is>
          <t>경상이익</t>
        </is>
      </c>
      <c r="B92" s="59" t="n">
        <v>32.96</v>
      </c>
    </row>
    <row r="93">
      <c r="A93" s="56" t="inlineStr">
        <is>
          <t>특별이익</t>
        </is>
      </c>
      <c r="B93" s="59" t="n">
        <v>1.7</v>
      </c>
    </row>
    <row r="94">
      <c r="A94" s="56" t="inlineStr">
        <is>
          <t>보험금 수입</t>
        </is>
      </c>
      <c r="B94" s="59" t="n">
        <v>1.67</v>
      </c>
    </row>
    <row r="95">
      <c r="A95" s="56" t="inlineStr">
        <is>
          <t>특별손실</t>
        </is>
      </c>
      <c r="B95" s="59" t="n">
        <v>0.02</v>
      </c>
    </row>
    <row r="96">
      <c r="A96" s="56" t="inlineStr">
        <is>
          <t>고정자산 제각손</t>
        </is>
      </c>
      <c r="B96" s="59" t="n">
        <v>0.02</v>
      </c>
    </row>
    <row r="97">
      <c r="A97" s="56" t="inlineStr">
        <is>
          <t>세전이익</t>
        </is>
      </c>
      <c r="B97" s="59" t="n">
        <v>34.64</v>
      </c>
    </row>
    <row r="98">
      <c r="A98" s="56" t="inlineStr">
        <is>
          <t>법인세 등</t>
        </is>
      </c>
      <c r="B98" s="59" t="n">
        <v>11.7</v>
      </c>
    </row>
    <row r="100">
      <c r="A100" s="54" t="inlineStr">
        <is>
          <t>latest filing · nonop 상반기 prior</t>
        </is>
      </c>
      <c r="B100" s="54" t="n"/>
      <c r="C100" s="54" t="n"/>
      <c r="D100" s="54" t="n"/>
      <c r="E100" s="54" t="n"/>
      <c r="F100" s="54" t="n"/>
      <c r="G100" s="54" t="n"/>
    </row>
    <row r="101">
      <c r="A101" s="55" t="inlineStr">
        <is>
          <t>항목</t>
        </is>
      </c>
      <c r="B101" s="55" t="inlineStr">
        <is>
          <t>값</t>
        </is>
      </c>
      <c r="G101" s="55" t="inlineStr">
        <is>
          <t>출처</t>
        </is>
      </c>
    </row>
    <row r="102">
      <c r="A102" s="56" t="inlineStr">
        <is>
          <t>영업외수익</t>
        </is>
      </c>
      <c r="B102" s="59" t="n">
        <v>2.05</v>
      </c>
      <c r="G102" s="58" t="inlineStr">
        <is>
          <t>2단계 보고서 자료(회사 설명회 자료·공시)</t>
        </is>
      </c>
    </row>
    <row r="103">
      <c r="A103" s="56" t="inlineStr">
        <is>
          <t>이자수익</t>
        </is>
      </c>
      <c r="B103" s="59" t="n">
        <v>0.28</v>
      </c>
    </row>
    <row r="104">
      <c r="A104" s="56" t="inlineStr">
        <is>
          <t>수수료수익</t>
        </is>
      </c>
      <c r="B104" s="59" t="n">
        <v>0.39</v>
      </c>
    </row>
    <row r="105">
      <c r="A105" s="56" t="inlineStr">
        <is>
          <t>기타 영업외수익</t>
        </is>
      </c>
      <c r="B105" s="59" t="n">
        <v>1.37</v>
      </c>
    </row>
    <row r="106">
      <c r="A106" s="56" t="inlineStr">
        <is>
          <t>영업외비용</t>
        </is>
      </c>
      <c r="B106" s="59" t="n">
        <v>0.06</v>
      </c>
    </row>
    <row r="107">
      <c r="A107" s="56" t="inlineStr">
        <is>
          <t>지급이자</t>
        </is>
      </c>
      <c r="B107" s="59" t="n">
        <v>0.02</v>
      </c>
    </row>
    <row r="108">
      <c r="A108" s="56" t="inlineStr">
        <is>
          <t>경상이익</t>
        </is>
      </c>
      <c r="B108" s="59" t="n">
        <v>14.61</v>
      </c>
    </row>
    <row r="109">
      <c r="A109" s="56" t="inlineStr">
        <is>
          <t>특별이익</t>
        </is>
      </c>
      <c r="B109" s="59" t="n">
        <v>0.09</v>
      </c>
    </row>
    <row r="110">
      <c r="A110" s="56" t="inlineStr">
        <is>
          <t>특별손실</t>
        </is>
      </c>
      <c r="B110" s="59" t="n">
        <v>0.16</v>
      </c>
    </row>
    <row r="111">
      <c r="A111" s="56" t="inlineStr">
        <is>
          <t>고정자산 제각손</t>
        </is>
      </c>
      <c r="B111" s="59" t="n">
        <v>0.14</v>
      </c>
    </row>
    <row r="112">
      <c r="A112" s="56" t="inlineStr">
        <is>
          <t>세전이익</t>
        </is>
      </c>
      <c r="B112" s="59" t="n">
        <v>14.54</v>
      </c>
    </row>
    <row r="113">
      <c r="A113" s="56" t="inlineStr">
        <is>
          <t>법인세 등</t>
        </is>
      </c>
      <c r="B113" s="59" t="n">
        <v>5.13</v>
      </c>
    </row>
    <row r="115">
      <c r="A115" s="54" t="inlineStr">
        <is>
          <t>latest filing · 상반기 예상 0728</t>
        </is>
      </c>
      <c r="B115" s="54" t="n"/>
      <c r="C115" s="54" t="n"/>
      <c r="D115" s="54" t="n"/>
      <c r="E115" s="54" t="n"/>
      <c r="F115" s="54" t="n"/>
      <c r="G115" s="54" t="n"/>
    </row>
    <row r="116">
      <c r="A116" s="55" t="inlineStr">
        <is>
          <t>항목</t>
        </is>
      </c>
      <c r="B116" s="55" t="inlineStr">
        <is>
          <t>값</t>
        </is>
      </c>
      <c r="G116" s="55" t="inlineStr">
        <is>
          <t>출처</t>
        </is>
      </c>
    </row>
    <row r="117">
      <c r="A117" s="56" t="inlineStr">
        <is>
          <t>매출</t>
        </is>
      </c>
      <c r="B117" s="57" t="n">
        <v>300</v>
      </c>
      <c r="G117" s="58" t="inlineStr">
        <is>
          <t>2단계 보고서 자료(회사 설명회 자료·공시)</t>
        </is>
      </c>
    </row>
    <row r="118">
      <c r="A118" s="56" t="inlineStr">
        <is>
          <t>영업이익</t>
        </is>
      </c>
      <c r="B118" s="57" t="n">
        <v>20</v>
      </c>
    </row>
    <row r="119">
      <c r="A119" s="56" t="inlineStr">
        <is>
          <t>ordinary</t>
        </is>
      </c>
      <c r="B119" s="57" t="n">
        <v>22</v>
      </c>
    </row>
    <row r="120">
      <c r="A120" s="56" t="inlineStr">
        <is>
          <t>순이익</t>
        </is>
      </c>
      <c r="B120" s="57" t="n">
        <v>15</v>
      </c>
    </row>
    <row r="121">
      <c r="A121" s="56" t="inlineStr">
        <is>
          <t>EPS</t>
        </is>
      </c>
      <c r="B121" s="59" t="n">
        <v>54.54</v>
      </c>
    </row>
    <row r="123">
      <c r="A123" s="54" t="inlineStr">
        <is>
          <t>latest filing · FY 가이던스</t>
        </is>
      </c>
      <c r="B123" s="54" t="n"/>
      <c r="C123" s="54" t="n"/>
      <c r="D123" s="54" t="n"/>
      <c r="E123" s="54" t="n"/>
      <c r="F123" s="54" t="n"/>
      <c r="G123" s="54" t="n"/>
    </row>
    <row r="124">
      <c r="A124" s="55" t="inlineStr">
        <is>
          <t>항목</t>
        </is>
      </c>
      <c r="B124" s="55" t="inlineStr">
        <is>
          <t>값</t>
        </is>
      </c>
      <c r="G124" s="55" t="inlineStr">
        <is>
          <t>출처</t>
        </is>
      </c>
    </row>
    <row r="125">
      <c r="A125" s="56" t="inlineStr">
        <is>
          <t>매출</t>
        </is>
      </c>
      <c r="B125" s="57" t="n">
        <v>700</v>
      </c>
      <c r="G125" s="58" t="inlineStr">
        <is>
          <t>2단계 보고서 자료(회사 설명회 자료·공시)</t>
        </is>
      </c>
    </row>
    <row r="126">
      <c r="A126" s="56" t="inlineStr">
        <is>
          <t>영업이익</t>
        </is>
      </c>
      <c r="B126" s="57" t="n">
        <v>60</v>
      </c>
    </row>
    <row r="127">
      <c r="A127" s="56" t="inlineStr">
        <is>
          <t>ordinary</t>
        </is>
      </c>
      <c r="B127" s="57" t="n">
        <v>62</v>
      </c>
    </row>
    <row r="128">
      <c r="A128" s="56" t="inlineStr">
        <is>
          <t>순이익</t>
        </is>
      </c>
      <c r="B128" s="57" t="n">
        <v>41</v>
      </c>
    </row>
    <row r="129">
      <c r="A129" s="56" t="inlineStr">
        <is>
          <t>EPS</t>
        </is>
      </c>
      <c r="B129" s="59" t="n">
        <v>149.04</v>
      </c>
    </row>
    <row r="130">
      <c r="A130" s="56" t="inlineStr">
        <is>
          <t>dps</t>
        </is>
      </c>
      <c r="B130" s="57" t="n">
        <v>48</v>
      </c>
    </row>
    <row r="132">
      <c r="A132" s="54" t="inlineStr">
        <is>
          <t>latest filing · bs 0930</t>
        </is>
      </c>
      <c r="B132" s="54" t="n"/>
      <c r="C132" s="54" t="n"/>
      <c r="D132" s="54" t="n"/>
      <c r="E132" s="54" t="n"/>
      <c r="F132" s="54" t="n"/>
      <c r="G132" s="54" t="n"/>
    </row>
    <row r="133">
      <c r="A133" s="55" t="inlineStr">
        <is>
          <t>항목</t>
        </is>
      </c>
      <c r="B133" s="55" t="inlineStr">
        <is>
          <t>값</t>
        </is>
      </c>
      <c r="G133" s="55" t="inlineStr">
        <is>
          <t>출처</t>
        </is>
      </c>
    </row>
    <row r="134">
      <c r="A134" s="56" t="inlineStr">
        <is>
          <t>합계 assets</t>
        </is>
      </c>
      <c r="B134" s="59" t="n">
        <v>629.58</v>
      </c>
      <c r="G134" s="58" t="inlineStr">
        <is>
          <t>2단계 보고서 자료(회사 설명회 자료·공시)</t>
        </is>
      </c>
    </row>
    <row r="135">
      <c r="A135" s="56" t="inlineStr">
        <is>
          <t>net assets</t>
        </is>
      </c>
      <c r="B135" s="59" t="n">
        <v>480.98</v>
      </c>
    </row>
    <row r="136">
      <c r="A136" s="56" t="inlineStr">
        <is>
          <t>equity ratio</t>
        </is>
      </c>
      <c r="B136" s="59" t="n">
        <v>76.40000000000001</v>
      </c>
    </row>
    <row r="137">
      <c r="A137" s="56" t="inlineStr">
        <is>
          <t>cash</t>
        </is>
      </c>
      <c r="B137" s="59" t="n">
        <v>183.59</v>
      </c>
    </row>
    <row r="138">
      <c r="A138" s="56" t="inlineStr">
        <is>
          <t>receivables</t>
        </is>
      </c>
      <c r="B138" s="59" t="n">
        <v>192.35</v>
      </c>
    </row>
    <row r="139">
      <c r="A139" s="56" t="inlineStr">
        <is>
          <t>goodwill</t>
        </is>
      </c>
      <c r="B139" s="59" t="n">
        <v>6.86</v>
      </c>
    </row>
    <row r="140">
      <c r="A140" s="56" t="inlineStr">
        <is>
          <t>shares issued</t>
        </is>
      </c>
      <c r="B140" s="57" t="n">
        <v>29963991</v>
      </c>
    </row>
    <row r="141">
      <c r="A141" s="56" t="inlineStr">
        <is>
          <t>treasury</t>
        </is>
      </c>
      <c r="B141" s="57" t="n">
        <v>2446103</v>
      </c>
    </row>
    <row r="142">
      <c r="A142" s="56" t="inlineStr">
        <is>
          <t>avg shares 상반기</t>
        </is>
      </c>
      <c r="B142" s="57" t="n">
        <v>27509475</v>
      </c>
    </row>
    <row r="144">
      <c r="A144" s="54" t="inlineStr">
        <is>
          <t>latest filing · nonconsol 상반기</t>
        </is>
      </c>
      <c r="B144" s="54" t="n"/>
      <c r="C144" s="54" t="n"/>
      <c r="D144" s="54" t="n"/>
      <c r="E144" s="54" t="n"/>
      <c r="F144" s="54" t="n"/>
      <c r="G144" s="54" t="n"/>
    </row>
    <row r="145">
      <c r="A145" s="55" t="inlineStr">
        <is>
          <t>항목</t>
        </is>
      </c>
      <c r="B145" s="55" t="inlineStr">
        <is>
          <t>값</t>
        </is>
      </c>
      <c r="G145" s="55" t="inlineStr">
        <is>
          <t>출처</t>
        </is>
      </c>
    </row>
    <row r="146">
      <c r="A146" s="56" t="inlineStr">
        <is>
          <t>매출</t>
        </is>
      </c>
      <c r="B146" s="59" t="n">
        <v>287.76</v>
      </c>
      <c r="G146" s="58" t="inlineStr">
        <is>
          <t>2단계 보고서 자료(회사 설명회 자료·공시)</t>
        </is>
      </c>
    </row>
    <row r="147">
      <c r="A147" s="56" t="inlineStr">
        <is>
          <t>매출 YoY</t>
        </is>
      </c>
      <c r="B147" s="59" t="n">
        <v>18.5</v>
      </c>
    </row>
    <row r="148">
      <c r="A148" s="56" t="inlineStr">
        <is>
          <t>영업이익</t>
        </is>
      </c>
      <c r="B148" s="59" t="n">
        <v>29.1</v>
      </c>
    </row>
    <row r="149">
      <c r="A149" s="56" t="inlineStr">
        <is>
          <t>영업이익 YoY</t>
        </is>
      </c>
      <c r="B149" s="59" t="n">
        <v>99.2</v>
      </c>
    </row>
    <row r="151">
      <c r="A151" s="54" t="inlineStr">
        <is>
          <t>latest filing · dividend</t>
        </is>
      </c>
      <c r="B151" s="54" t="n"/>
      <c r="C151" s="54" t="n"/>
      <c r="D151" s="54" t="n"/>
      <c r="E151" s="54" t="n"/>
      <c r="F151" s="54" t="n"/>
      <c r="G151" s="54" t="n"/>
    </row>
    <row r="152">
      <c r="A152" s="55" t="inlineStr">
        <is>
          <t>항목</t>
        </is>
      </c>
      <c r="B152" s="55" t="inlineStr">
        <is>
          <t>값</t>
        </is>
      </c>
      <c r="G152" s="55" t="inlineStr">
        <is>
          <t>출처</t>
        </is>
      </c>
    </row>
    <row r="153">
      <c r="A153" s="56" t="inlineStr">
        <is>
          <t>FY26</t>
        </is>
      </c>
      <c r="B153" s="57" t="n">
        <v>48</v>
      </c>
      <c r="G153" s="58" t="inlineStr">
        <is>
          <t>2단계 보고서 자료(회사 설명회 자료·공시)</t>
        </is>
      </c>
    </row>
    <row r="154">
      <c r="A154" s="56" t="inlineStr">
        <is>
          <t>FY27 계획</t>
        </is>
      </c>
      <c r="B154" s="57" t="n">
        <v>48</v>
      </c>
    </row>
    <row r="155">
      <c r="A155" s="56" t="inlineStr">
        <is>
          <t>interim FY27</t>
        </is>
      </c>
      <c r="B155" s="57" t="n">
        <v>24</v>
      </c>
    </row>
    <row r="157">
      <c r="A157" s="54" t="inlineStr">
        <is>
          <t>비교 기업 fc EPS now</t>
        </is>
      </c>
      <c r="B157" s="54" t="n"/>
      <c r="C157" s="54" t="n"/>
      <c r="D157" s="54" t="n"/>
      <c r="E157" s="54" t="n"/>
      <c r="F157" s="54" t="n"/>
      <c r="G157" s="54" t="n"/>
    </row>
    <row r="158">
      <c r="A158" s="55" t="inlineStr">
        <is>
          <t>항목</t>
        </is>
      </c>
      <c r="B158" s="55" t="inlineStr">
        <is>
          <t>값</t>
        </is>
      </c>
      <c r="G158" s="55" t="inlineStr">
        <is>
          <t>출처</t>
        </is>
      </c>
    </row>
    <row r="159">
      <c r="A159" s="56" t="inlineStr">
        <is>
          <t>1942</t>
        </is>
      </c>
      <c r="B159" s="59" t="n">
        <v>326.61</v>
      </c>
      <c r="G159" s="58" t="inlineStr">
        <is>
          <t>2단계 보고서 자료(회사 설명회 자료·공시)</t>
        </is>
      </c>
    </row>
    <row r="160">
      <c r="A160" s="56" t="inlineStr">
        <is>
          <t>1944</t>
        </is>
      </c>
      <c r="B160" s="59" t="n">
        <v>406.46</v>
      </c>
    </row>
    <row r="161">
      <c r="A161" s="56" t="inlineStr">
        <is>
          <t>1959</t>
        </is>
      </c>
      <c r="B161" s="59" t="n">
        <v>572.54</v>
      </c>
    </row>
    <row r="162">
      <c r="A162" s="56" t="inlineStr">
        <is>
          <t>1941</t>
        </is>
      </c>
      <c r="B162" s="59" t="n">
        <v>372.12</v>
      </c>
    </row>
    <row r="164">
      <c r="A164" s="54" t="inlineStr">
        <is>
          <t>mcap</t>
        </is>
      </c>
      <c r="B164" s="54" t="n"/>
      <c r="C164" s="54" t="n"/>
      <c r="D164" s="54" t="n"/>
      <c r="E164" s="54" t="n"/>
      <c r="F164" s="54" t="n"/>
      <c r="G164" s="54" t="n"/>
    </row>
    <row r="165">
      <c r="A165" s="55" t="inlineStr">
        <is>
          <t>항목</t>
        </is>
      </c>
      <c r="B165" s="55" t="inlineStr">
        <is>
          <t>값</t>
        </is>
      </c>
      <c r="G165" s="55" t="inlineStr">
        <is>
          <t>출처</t>
        </is>
      </c>
    </row>
    <row r="166">
      <c r="A166" s="56" t="inlineStr">
        <is>
          <t>가격</t>
        </is>
      </c>
      <c r="B166" s="57" t="n">
        <v>1492</v>
      </c>
      <c r="G166" s="58" t="inlineStr">
        <is>
          <t>2단계 보고서 자료(회사 설명회 자료·공시)</t>
        </is>
      </c>
    </row>
    <row r="167">
      <c r="A167" s="56" t="inlineStr">
        <is>
          <t>shares ex treasury</t>
        </is>
      </c>
      <c r="B167" s="57" t="n">
        <v>27517888</v>
      </c>
    </row>
    <row r="168">
      <c r="A168" s="56" t="inlineStr">
        <is>
          <t>mcap oku</t>
        </is>
      </c>
      <c r="B168" s="59" t="n">
        <v>410.6</v>
      </c>
    </row>
    <row r="169">
      <c r="A169" s="56" t="inlineStr">
        <is>
          <t>PER guid</t>
        </is>
      </c>
      <c r="B169" s="59" t="n">
        <v>10</v>
      </c>
    </row>
    <row r="170">
      <c r="A170" s="56" t="inlineStr">
        <is>
          <t>div yield</t>
        </is>
      </c>
      <c r="B170" s="59" t="n">
        <v>3.22</v>
      </c>
    </row>
    <row r="172">
      <c r="A172" s="54" t="inlineStr">
        <is>
          <t>filings</t>
        </is>
      </c>
      <c r="B172" s="54" t="n"/>
      <c r="C172" s="54" t="n"/>
      <c r="D172" s="54" t="n"/>
      <c r="E172" s="54" t="n"/>
      <c r="F172" s="54" t="n"/>
      <c r="G172" s="54" t="n"/>
    </row>
    <row r="173">
      <c r="A173" s="55" t="inlineStr">
        <is>
          <t>항목</t>
        </is>
      </c>
      <c r="B173" s="55" t="inlineStr">
        <is>
          <t>title</t>
        </is>
      </c>
      <c r="C173" s="55" t="inlineStr">
        <is>
          <t>doc</t>
        </is>
      </c>
      <c r="G173" s="55" t="inlineStr">
        <is>
          <t>출처</t>
        </is>
      </c>
    </row>
    <row r="174">
      <c r="A174" s="56" t="inlineStr">
        <is>
          <t>2026-10-28</t>
        </is>
      </c>
      <c r="B174" s="60" t="inlineStr">
        <is>
          <t>2027年3月期 第2四半期（中間期）決算短信〔日本基準〕(連結)</t>
        </is>
      </c>
      <c r="C174" s="60" t="inlineStr">
        <is>
          <t>140120261019552738</t>
        </is>
      </c>
      <c r="G174" s="58" t="inlineStr">
        <is>
          <t>2단계 보고서 자료(회사 설명회 자료·공시)</t>
        </is>
      </c>
    </row>
    <row r="175">
      <c r="A175" s="56" t="inlineStr">
        <is>
          <t>2026-07-28</t>
        </is>
      </c>
      <c r="B175" s="60" t="inlineStr">
        <is>
          <t>2027年3月期 第1四半期決算短信〔日本基準〕（連結）</t>
        </is>
      </c>
      <c r="C175" s="60" t="inlineStr">
        <is>
          <t>140120260724598854</t>
        </is>
      </c>
    </row>
    <row r="176">
      <c r="A176" s="56" t="inlineStr">
        <is>
          <t>2026-04-28</t>
        </is>
      </c>
      <c r="B176" s="60" t="inlineStr">
        <is>
          <t>2026年3月期 決算短信〔日本基準〕（連結）</t>
        </is>
      </c>
      <c r="C176" s="60" t="inlineStr">
        <is>
          <t>140120260423509614</t>
        </is>
      </c>
    </row>
    <row r="177">
      <c r="A177" s="56" t="inlineStr">
        <is>
          <t>2026-01-28</t>
        </is>
      </c>
      <c r="B177" s="60" t="inlineStr">
        <is>
          <t>2026年3月期 第3四半期決算短信〔日本基準〕(連結)</t>
        </is>
      </c>
      <c r="C177" s="60" t="inlineStr">
        <is>
          <t>140120260119535675</t>
        </is>
      </c>
    </row>
    <row r="178">
      <c r="A178" s="56" t="inlineStr">
        <is>
          <t>2025-10-29</t>
        </is>
      </c>
      <c r="B178" s="60" t="inlineStr">
        <is>
          <t>2026年3月期 第2四半期（中間期）決算短信〔日本基準〕(連結)</t>
        </is>
      </c>
      <c r="C178" s="60" t="inlineStr">
        <is>
          <t>140120251023577426</t>
        </is>
      </c>
    </row>
    <row r="179">
      <c r="A179" s="56" t="inlineStr">
        <is>
          <t>2025-07-29</t>
        </is>
      </c>
      <c r="B179" s="60" t="inlineStr">
        <is>
          <t>2026年3月期 第1四半期決算短信〔日本基準〕（連結）</t>
        </is>
      </c>
      <c r="C179" s="60" t="inlineStr">
        <is>
          <t>140120250718517257</t>
        </is>
      </c>
    </row>
    <row r="180">
      <c r="A180" s="56" t="inlineStr">
        <is>
          <t>2025-04-28</t>
        </is>
      </c>
      <c r="B180" s="60" t="inlineStr">
        <is>
          <t>2025年3月期 決算短信〔日本基準〕（連結）</t>
        </is>
      </c>
      <c r="C180" s="60" t="inlineStr">
        <is>
          <t>140120250425525035</t>
        </is>
      </c>
    </row>
    <row r="181">
      <c r="A181" s="56" t="inlineStr">
        <is>
          <t>2025-01-29</t>
        </is>
      </c>
      <c r="B181" s="60" t="inlineStr">
        <is>
          <t>2025年3月期 第3四半期決算短信〔日本基準〕(連結)</t>
        </is>
      </c>
      <c r="C181" s="60" t="inlineStr">
        <is>
          <t>140120250127555287</t>
        </is>
      </c>
    </row>
    <row r="182">
      <c r="A182" s="56" t="inlineStr">
        <is>
          <t>2024-10-29</t>
        </is>
      </c>
      <c r="B182" s="60" t="inlineStr">
        <is>
          <t>2025年3月期 第2四半期（中間期）決算短信〔日本基準〕(連結)</t>
        </is>
      </c>
      <c r="C182" s="60" t="inlineStr">
        <is>
          <t>140120241028504002</t>
        </is>
      </c>
    </row>
    <row r="183">
      <c r="A183" s="56" t="inlineStr">
        <is>
          <t>2024-07-29</t>
        </is>
      </c>
      <c r="B183" s="60" t="inlineStr">
        <is>
          <t>2025年3月期 第1四半期決算短信〔日本基準〕（連結）</t>
        </is>
      </c>
      <c r="C183" s="60" t="inlineStr">
        <is>
          <t>140120240711548014</t>
        </is>
      </c>
    </row>
    <row r="184">
      <c r="A184" s="56" t="inlineStr">
        <is>
          <t>2024-04-30</t>
        </is>
      </c>
      <c r="B184" s="60" t="inlineStr">
        <is>
          <t>2024年3月期 決算短信〔日本基準〕（連結）</t>
        </is>
      </c>
      <c r="C184" s="60" t="inlineStr">
        <is>
          <t>140120240415571331</t>
        </is>
      </c>
    </row>
    <row r="185">
      <c r="A185" s="56" t="inlineStr">
        <is>
          <t>2024-01-30</t>
        </is>
      </c>
      <c r="B185" s="60" t="inlineStr">
        <is>
          <t>2024年3月期 第3四半期決算短信〔日本基準〕（連結）</t>
        </is>
      </c>
      <c r="C185" s="60" t="inlineStr">
        <is>
          <t>140120240119517150</t>
        </is>
      </c>
    </row>
    <row r="186">
      <c r="A186" s="56" t="inlineStr">
        <is>
          <t>2023-10-27</t>
        </is>
      </c>
      <c r="B186" s="60" t="inlineStr">
        <is>
          <t>2024年3月期 第2四半期決算短信［日本基準］（連結）</t>
        </is>
      </c>
      <c r="C186" s="60" t="inlineStr">
        <is>
          <t>140120231013566977</t>
        </is>
      </c>
    </row>
    <row r="187">
      <c r="A187" s="56" t="inlineStr">
        <is>
          <t>2023-07-27</t>
        </is>
      </c>
      <c r="B187" s="60" t="inlineStr">
        <is>
          <t>2024年3月期 第1四半期決算短信［日本基準］（連結）</t>
        </is>
      </c>
      <c r="C187" s="60" t="inlineStr">
        <is>
          <t>140120230714522439</t>
        </is>
      </c>
    </row>
    <row r="188">
      <c r="A188" s="56" t="inlineStr">
        <is>
          <t>2023-04-27</t>
        </is>
      </c>
      <c r="B188" s="60" t="inlineStr">
        <is>
          <t>2023年3月期　決算短信[日本基準](連結)</t>
        </is>
      </c>
      <c r="C188" s="60" t="inlineStr">
        <is>
          <t>140120230417548125</t>
        </is>
      </c>
    </row>
    <row r="189">
      <c r="A189" s="56" t="inlineStr">
        <is>
          <t>2023-01-27</t>
        </is>
      </c>
      <c r="B189" s="60" t="inlineStr">
        <is>
          <t>2023年3月期　第3四半期決算短信〔日本基準〕（連結）</t>
        </is>
      </c>
      <c r="C189" s="60" t="inlineStr">
        <is>
          <t>140120230117590374</t>
        </is>
      </c>
    </row>
    <row r="190">
      <c r="A190" s="56" t="inlineStr">
        <is>
          <t>2022-04-27</t>
        </is>
      </c>
      <c r="B190" s="60" t="inlineStr">
        <is>
          <t>2022年3月期　決算短信［日本基準］（連結）</t>
        </is>
      </c>
      <c r="C190" s="60" t="inlineStr">
        <is>
          <t>140120220413520799</t>
        </is>
      </c>
    </row>
    <row r="191">
      <c r="A191" s="56" t="inlineStr">
        <is>
          <t>2021-04-28</t>
        </is>
      </c>
      <c r="B191" s="60" t="inlineStr">
        <is>
          <t>2021年3月期 決算短信〔日本基準〕(連結)</t>
        </is>
      </c>
      <c r="C191" s="60" t="inlineStr">
        <is>
          <t>140120210414494128</t>
        </is>
      </c>
    </row>
    <row r="192">
      <c r="A192" s="56" t="inlineStr">
        <is>
          <t>2020-04-30</t>
        </is>
      </c>
      <c r="B192" s="60" t="inlineStr">
        <is>
          <t>2020年3月期　決算短信〔日本基準〕(連結)</t>
        </is>
      </c>
      <c r="C192" s="60" t="inlineStr">
        <is>
          <t>140120200416494944</t>
        </is>
      </c>
    </row>
    <row r="193">
      <c r="A193" s="56" t="inlineStr">
        <is>
          <t>2019-04-25</t>
        </is>
      </c>
      <c r="B193" s="60" t="inlineStr">
        <is>
          <t>2019年3月期　決算短信〔日本基準〕(連結)</t>
        </is>
      </c>
      <c r="C193" s="60" t="inlineStr">
        <is>
          <t>140120190415404911</t>
        </is>
      </c>
    </row>
    <row r="194">
      <c r="A194" s="56" t="inlineStr">
        <is>
          <t>2018-04-25</t>
        </is>
      </c>
      <c r="B194" s="60" t="inlineStr">
        <is>
          <t>平成30年3月期　決算短信〔日本基準〕(連結)</t>
        </is>
      </c>
      <c r="C194" s="60" t="inlineStr">
        <is>
          <t>140120180414411728</t>
        </is>
      </c>
    </row>
    <row r="196">
      <c r="A196" s="54" t="inlineStr">
        <is>
          <t>reactions</t>
        </is>
      </c>
      <c r="B196" s="54" t="n"/>
      <c r="C196" s="54" t="n"/>
      <c r="D196" s="54" t="n"/>
      <c r="E196" s="54" t="n"/>
      <c r="F196" s="54" t="n"/>
      <c r="G196" s="54" t="n"/>
    </row>
    <row r="197">
      <c r="A197" s="55" t="inlineStr">
        <is>
          <t>항목</t>
        </is>
      </c>
      <c r="B197" s="55" t="inlineStr">
        <is>
          <t>기준일</t>
        </is>
      </c>
      <c r="C197" s="55" t="inlineStr">
        <is>
          <t>다음날</t>
        </is>
      </c>
      <c r="D197" s="55" t="inlineStr">
        <is>
          <t>등락%</t>
        </is>
      </c>
      <c r="G197" s="55" t="inlineStr">
        <is>
          <t>출처</t>
        </is>
      </c>
    </row>
    <row r="198">
      <c r="A198" s="56" t="inlineStr">
        <is>
          <t>2025-01-29</t>
        </is>
      </c>
      <c r="B198" s="60" t="inlineStr">
        <is>
          <t>2025-01-29</t>
        </is>
      </c>
      <c r="C198" s="60" t="inlineStr">
        <is>
          <t>2025-01-30</t>
        </is>
      </c>
      <c r="D198" s="59" t="n">
        <v>-1.1</v>
      </c>
      <c r="G198" s="58" t="inlineStr">
        <is>
          <t>2단계 보고서 자료(회사 설명회 자료·공시)</t>
        </is>
      </c>
    </row>
    <row r="199">
      <c r="A199" s="56" t="inlineStr">
        <is>
          <t>2025-04-28</t>
        </is>
      </c>
      <c r="B199" s="60" t="inlineStr">
        <is>
          <t>2025-04-28</t>
        </is>
      </c>
      <c r="C199" s="60" t="inlineStr">
        <is>
          <t>2025-04-30</t>
        </is>
      </c>
      <c r="D199" s="59" t="n">
        <v>-5.1</v>
      </c>
    </row>
    <row r="200">
      <c r="A200" s="56" t="inlineStr">
        <is>
          <t>2025-07-29</t>
        </is>
      </c>
      <c r="B200" s="60" t="inlineStr">
        <is>
          <t>2025-07-29</t>
        </is>
      </c>
      <c r="C200" s="60" t="inlineStr">
        <is>
          <t>2025-07-30</t>
        </is>
      </c>
      <c r="D200" s="59" t="n">
        <v>3.2</v>
      </c>
    </row>
    <row r="201">
      <c r="A201" s="56" t="inlineStr">
        <is>
          <t>2025-10-29</t>
        </is>
      </c>
      <c r="B201" s="60" t="inlineStr">
        <is>
          <t>2025-10-29</t>
        </is>
      </c>
      <c r="C201" s="60" t="inlineStr">
        <is>
          <t>2025-10-30</t>
        </is>
      </c>
      <c r="D201" s="59" t="n">
        <v>1.2</v>
      </c>
    </row>
    <row r="202">
      <c r="A202" s="56" t="inlineStr">
        <is>
          <t>2026-01-28</t>
        </is>
      </c>
      <c r="B202" s="60" t="inlineStr">
        <is>
          <t>2026-01-28</t>
        </is>
      </c>
      <c r="C202" s="60" t="inlineStr">
        <is>
          <t>2026-01-29</t>
        </is>
      </c>
      <c r="D202" s="59" t="n">
        <v>-2.8</v>
      </c>
    </row>
    <row r="203">
      <c r="A203" s="56" t="inlineStr">
        <is>
          <t>2026-04-28</t>
        </is>
      </c>
      <c r="B203" s="60" t="inlineStr">
        <is>
          <t>2026-04-28</t>
        </is>
      </c>
      <c r="C203" s="60" t="inlineStr">
        <is>
          <t>2026-04-30</t>
        </is>
      </c>
      <c r="D203" s="59" t="n">
        <v>12</v>
      </c>
    </row>
    <row r="204">
      <c r="A204" s="56" t="inlineStr">
        <is>
          <t>2026-07-28</t>
        </is>
      </c>
      <c r="B204" s="60" t="inlineStr">
        <is>
          <t>2026-07-28</t>
        </is>
      </c>
      <c r="C204" s="60" t="inlineStr">
        <is>
          <t>2026-07-29</t>
        </is>
      </c>
      <c r="D204" s="59" t="n">
        <v>-0.6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2026-10-28</t>
        </is>
      </c>
      <c r="B4" t="inlineStr">
        <is>
          <t>2027년 3월 결산기 2분기 결산단신</t>
        </is>
      </c>
      <c r="C4" t="inlineStr">
        <is>
          <t>https://www2.jpx.co.jp/disc/19300/140120261019552738.pdf</t>
        </is>
      </c>
    </row>
    <row r="5">
      <c r="A5" t="inlineStr">
        <is>
          <t>2026-07-28</t>
        </is>
      </c>
      <c r="B5" t="inlineStr">
        <is>
          <t>2027년 3월 결산기 1분기 결산단신</t>
        </is>
      </c>
      <c r="C5" t="inlineStr">
        <is>
          <t>https://www2.jpx.co.jp/disc/19300/140120260724598854.pdf</t>
        </is>
      </c>
    </row>
    <row r="6">
      <c r="A6" t="inlineStr">
        <is>
          <t>2026-04-28</t>
        </is>
      </c>
      <c r="B6" t="inlineStr">
        <is>
          <t>2026년 3월 결산기 연간 결산단신</t>
        </is>
      </c>
      <c r="C6" t="inlineStr">
        <is>
          <t>https://www2.jpx.co.jp/disc/19300/140120260423509614.pdf</t>
        </is>
      </c>
    </row>
    <row r="7">
      <c r="A7" t="inlineStr">
        <is>
          <t>2026-01-28</t>
        </is>
      </c>
      <c r="B7" t="inlineStr">
        <is>
          <t>2026년 3월 결산기 3분기 결산단신</t>
        </is>
      </c>
      <c r="C7" t="inlineStr">
        <is>
          <t>https://www2.jpx.co.jp/disc/19300/140120260119535675.pdf</t>
        </is>
      </c>
    </row>
    <row r="8">
      <c r="A8" t="inlineStr">
        <is>
          <t>2025-10-29</t>
        </is>
      </c>
      <c r="B8" t="inlineStr">
        <is>
          <t>2026년 3월 결산기 2분기 결산단신</t>
        </is>
      </c>
      <c r="C8" t="inlineStr">
        <is>
          <t>https://www2.jpx.co.jp/disc/19300/140120251023577426.pdf</t>
        </is>
      </c>
    </row>
    <row r="9">
      <c r="A9" t="inlineStr">
        <is>
          <t>2025-07-29</t>
        </is>
      </c>
      <c r="B9" t="inlineStr">
        <is>
          <t>2026년 3월 결산기 1분기 결산단신</t>
        </is>
      </c>
      <c r="C9" t="inlineStr">
        <is>
          <t>https://www2.jpx.co.jp/disc/19300/140120250718517257.pdf</t>
        </is>
      </c>
    </row>
    <row r="10">
      <c r="A10" t="inlineStr">
        <is>
          <t>2025-04-28</t>
        </is>
      </c>
      <c r="B10" t="inlineStr">
        <is>
          <t>2025년 3월 결산기 연간 결산단신</t>
        </is>
      </c>
      <c r="C10" t="inlineStr">
        <is>
          <t>https://www2.jpx.co.jp/disc/19300/140120250425525035.pdf</t>
        </is>
      </c>
    </row>
    <row r="11">
      <c r="A11" t="inlineStr">
        <is>
          <t>2025-01-29</t>
        </is>
      </c>
      <c r="B11" t="inlineStr">
        <is>
          <t>2025년 3월 결산기 3분기 결산단신</t>
        </is>
      </c>
      <c r="C11" t="inlineStr">
        <is>
          <t>https://www2.jpx.co.jp/disc/19300/140120250127555287.pdf</t>
        </is>
      </c>
    </row>
    <row r="12">
      <c r="A12" t="inlineStr">
        <is>
          <t>2024-10-29</t>
        </is>
      </c>
      <c r="B12" t="inlineStr">
        <is>
          <t>2025년 3월 결산기 2분기 결산단신</t>
        </is>
      </c>
      <c r="C12" t="inlineStr">
        <is>
          <t>https://www2.jpx.co.jp/disc/19300/140120241028504002.pdf</t>
        </is>
      </c>
    </row>
    <row r="13">
      <c r="A13" t="inlineStr">
        <is>
          <t>2024-07-29</t>
        </is>
      </c>
      <c r="B13" t="inlineStr">
        <is>
          <t>2025년 3월 결산기 1분기 결산단신</t>
        </is>
      </c>
      <c r="C13" t="inlineStr">
        <is>
          <t>https://www2.jpx.co.jp/disc/19300/140120240711548014.pdf</t>
        </is>
      </c>
    </row>
    <row r="14">
      <c r="A14" t="inlineStr">
        <is>
          <t>2024-04-30</t>
        </is>
      </c>
      <c r="B14" t="inlineStr">
        <is>
          <t>2024년 3월 결산기 연간 결산단신</t>
        </is>
      </c>
      <c r="C14" t="inlineStr">
        <is>
          <t>https://www2.jpx.co.jp/disc/19300/140120240415571331.pdf</t>
        </is>
      </c>
    </row>
    <row r="15">
      <c r="A15" t="inlineStr">
        <is>
          <t>2024-01-30</t>
        </is>
      </c>
      <c r="B15" t="inlineStr">
        <is>
          <t>2024년 3월 결산기 3분기 결산단신</t>
        </is>
      </c>
      <c r="C15" t="inlineStr">
        <is>
          <t>https://www2.jpx.co.jp/disc/19300/140120240119517150.pdf</t>
        </is>
      </c>
    </row>
    <row r="16">
      <c r="A16" t="inlineStr">
        <is>
          <t>2023-10-27</t>
        </is>
      </c>
      <c r="B16" t="inlineStr">
        <is>
          <t>2024년 3월 결산기 2분기 결산단신</t>
        </is>
      </c>
      <c r="C16" t="inlineStr">
        <is>
          <t>https://www2.jpx.co.jp/disc/19300/140120231013566977.pdf</t>
        </is>
      </c>
    </row>
    <row r="17">
      <c r="A17" t="inlineStr">
        <is>
          <t>2023-07-27</t>
        </is>
      </c>
      <c r="B17" t="inlineStr">
        <is>
          <t>2024년 3월 결산기 1분기 결산단신</t>
        </is>
      </c>
      <c r="C17" t="inlineStr">
        <is>
          <t>https://www2.jpx.co.jp/disc/19300/140120230714522439.pdf</t>
        </is>
      </c>
    </row>
    <row r="18">
      <c r="A18" t="inlineStr">
        <is>
          <t>2023-04-27</t>
        </is>
      </c>
      <c r="B18" t="inlineStr">
        <is>
          <t>2023년 3월 결산기 연간 결산단신</t>
        </is>
      </c>
      <c r="C18" t="inlineStr">
        <is>
          <t>https://www2.jpx.co.jp/disc/19300/140120230417548125.pdf</t>
        </is>
      </c>
    </row>
    <row r="19">
      <c r="A19" t="inlineStr">
        <is>
          <t>2023-01-27</t>
        </is>
      </c>
      <c r="B19" t="inlineStr">
        <is>
          <t>2023년 3월 결산기 3분기 결산단신</t>
        </is>
      </c>
      <c r="C19" t="inlineStr">
        <is>
          <t>https://www2.jpx.co.jp/disc/19300/140120230117590374.pdf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https://www2.jpx.co.jp/disc/19300/140120220413520799.pdf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https://www2.jpx.co.jp/disc/19300/140120210414494128.pdf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https://www2.jpx.co.jp/disc/19300/140120200416494944.pdf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https://www2.jpx.co.jp/disc/19300/140120190415404911.pdf</t>
        </is>
      </c>
    </row>
    <row r="24">
      <c r="A24" t="inlineStr">
        <is>
          <t>2018-04-25</t>
        </is>
      </c>
      <c r="B24" t="inlineStr">
        <is>
          <t>연간 결산단신</t>
        </is>
      </c>
      <c r="C24" t="inlineStr">
        <is>
          <t>https://www2.jpx.co.jp/disc/19300/140120180414411728.pdf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2026-10-28T09:18:15Z</dcterms:created>
  <dcterms:modified xmlns:dcterms="http://purl.org/dc/terms/" xmlns:xsi="http://www.w3.org/2001/XMLSchema-instance" xsi:type="dcterms:W3CDTF">2026-10-28T09:18:15Z</dcterms:modified>
</cp:coreProperties>
</file>