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5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3003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12월 결산 · 일본 기준 · 2026.2Q = 2026년 12월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2023.3Q</t>
        </is>
      </c>
      <c r="D3" s="5" t="inlineStr">
        <is>
          <t>2023.4Q</t>
        </is>
      </c>
      <c r="E3" s="5" t="inlineStr">
        <is>
          <t>2024.1Q</t>
        </is>
      </c>
      <c r="F3" s="5" t="inlineStr">
        <is>
          <t>2024.2Q</t>
        </is>
      </c>
      <c r="G3" s="5" t="inlineStr">
        <is>
          <t>2024.3Q</t>
        </is>
      </c>
      <c r="H3" s="5" t="inlineStr">
        <is>
          <t>2024.4Q</t>
        </is>
      </c>
      <c r="I3" s="5" t="inlineStr">
        <is>
          <t>2025.1Q</t>
        </is>
      </c>
      <c r="J3" s="5" t="inlineStr">
        <is>
          <t>2025.2Q</t>
        </is>
      </c>
      <c r="K3" s="5" t="inlineStr">
        <is>
          <t>2025.3Q</t>
        </is>
      </c>
      <c r="L3" s="5" t="inlineStr">
        <is>
          <t>2025.4Q</t>
        </is>
      </c>
      <c r="M3" s="5" t="inlineStr">
        <is>
          <t>2026.1Q</t>
        </is>
      </c>
      <c r="N3" s="5" t="inlineStr">
        <is>
          <t>2026.2Q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94579</v>
      </c>
      <c r="D4" s="12" t="n">
        <v>167854</v>
      </c>
      <c r="E4" s="12" t="n">
        <v>107593</v>
      </c>
      <c r="F4" s="12" t="n">
        <v>97259</v>
      </c>
      <c r="G4" s="12" t="n">
        <v>110133</v>
      </c>
      <c r="H4" s="12" t="n">
        <v>276630</v>
      </c>
      <c r="I4" s="12" t="n">
        <v>156644</v>
      </c>
      <c r="J4" s="12" t="n">
        <v>143437</v>
      </c>
      <c r="K4" s="12" t="n">
        <v>124137</v>
      </c>
      <c r="L4" s="12" t="n">
        <v>303229</v>
      </c>
      <c r="M4" s="12" t="n">
        <v>226841</v>
      </c>
      <c r="N4" s="12" t="n">
        <v>189755</v>
      </c>
      <c r="O4" s="11" t="n">
        <v>215780</v>
      </c>
      <c r="P4" s="12" t="n">
        <v>289618</v>
      </c>
      <c r="Q4" s="12" t="n">
        <v>287513</v>
      </c>
      <c r="R4" s="12" t="n">
        <v>357272</v>
      </c>
      <c r="S4" s="12" t="n">
        <v>339645</v>
      </c>
      <c r="T4" s="12" t="n">
        <v>447077</v>
      </c>
      <c r="U4" s="12" t="n">
        <v>523424</v>
      </c>
      <c r="V4" s="12" t="n">
        <v>446383</v>
      </c>
      <c r="W4" s="12" t="n">
        <v>591615</v>
      </c>
      <c r="X4" s="12" t="n">
        <v>727447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부문</t>
        </is>
      </c>
      <c r="B7" s="10" t="n"/>
      <c r="C7" s="19" t="n">
        <v>81872</v>
      </c>
      <c r="D7" s="20" t="n">
        <v>159619</v>
      </c>
      <c r="E7" s="20" t="n">
        <v>92339</v>
      </c>
      <c r="F7" s="20" t="n">
        <v>83513</v>
      </c>
      <c r="G7" s="20" t="n">
        <v>86582</v>
      </c>
      <c r="H7" s="20" t="n">
        <v>254828</v>
      </c>
      <c r="I7" s="20" t="n">
        <v>131249</v>
      </c>
      <c r="J7" s="20" t="n">
        <v>121510</v>
      </c>
      <c r="K7" s="20" t="n">
        <v>98174</v>
      </c>
      <c r="L7" s="20" t="n">
        <v>277116</v>
      </c>
      <c r="M7" s="20" t="n">
        <v>189746</v>
      </c>
      <c r="N7" s="20" t="n">
        <v>156370</v>
      </c>
      <c r="O7" s="19" t="n"/>
      <c r="P7" s="20" t="n"/>
      <c r="Q7" s="20" t="n"/>
      <c r="R7" s="20" t="n"/>
      <c r="S7" s="20" t="n"/>
      <c r="T7" s="20" t="n"/>
      <c r="U7" s="20" t="n"/>
      <c r="V7" s="20" t="n">
        <v>401428</v>
      </c>
      <c r="W7" s="20" t="n">
        <v>517262</v>
      </c>
      <c r="X7" s="20" t="n">
        <v>628049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부문</t>
        </is>
      </c>
      <c r="B10" s="10" t="n"/>
      <c r="C10" s="19" t="n">
        <v>908</v>
      </c>
      <c r="D10" s="20" t="n">
        <v>920</v>
      </c>
      <c r="E10" s="20" t="n">
        <v>1070</v>
      </c>
      <c r="F10" s="20" t="n">
        <v>822</v>
      </c>
      <c r="G10" s="20" t="n">
        <v>1046</v>
      </c>
      <c r="H10" s="20" t="n">
        <v>761</v>
      </c>
      <c r="I10" s="20" t="n">
        <v>1065</v>
      </c>
      <c r="J10" s="20" t="n">
        <v>901</v>
      </c>
      <c r="K10" s="20" t="n">
        <v>1078</v>
      </c>
      <c r="L10" s="20" t="n">
        <v>885</v>
      </c>
      <c r="M10" s="20" t="n">
        <v>1185</v>
      </c>
      <c r="N10" s="20" t="n">
        <v>873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3646</v>
      </c>
      <c r="W10" s="20" t="n">
        <v>3699</v>
      </c>
      <c r="X10" s="20" t="n">
        <v>3929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부문</t>
        </is>
      </c>
      <c r="B13" s="10" t="n"/>
      <c r="C13" s="19" t="n">
        <v>10988</v>
      </c>
      <c r="D13" s="20" t="n">
        <v>6446</v>
      </c>
      <c r="E13" s="20" t="n">
        <v>13129</v>
      </c>
      <c r="F13" s="20" t="n">
        <v>11714</v>
      </c>
      <c r="G13" s="20" t="n">
        <v>11853</v>
      </c>
      <c r="H13" s="20" t="n">
        <v>12074</v>
      </c>
      <c r="I13" s="20" t="n">
        <v>14749</v>
      </c>
      <c r="J13" s="20" t="n">
        <v>13011</v>
      </c>
      <c r="K13" s="20" t="n">
        <v>13487</v>
      </c>
      <c r="L13" s="20" t="n">
        <v>12607</v>
      </c>
      <c r="M13" s="20" t="n">
        <v>16747</v>
      </c>
      <c r="N13" s="20" t="n">
        <v>14622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37127</v>
      </c>
      <c r="W13" s="20" t="n">
        <v>48770</v>
      </c>
      <c r="X13" s="20" t="n">
        <v>53854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>
        <v>811</v>
      </c>
      <c r="D16" s="20" t="n">
        <v>870</v>
      </c>
      <c r="E16" s="20" t="n">
        <v>1053</v>
      </c>
      <c r="F16" s="20" t="n">
        <v>1210</v>
      </c>
      <c r="G16" s="20" t="n">
        <v>10652</v>
      </c>
      <c r="H16" s="20" t="n">
        <v>8968</v>
      </c>
      <c r="I16" s="20" t="n">
        <v>9579</v>
      </c>
      <c r="J16" s="20" t="n">
        <v>8015</v>
      </c>
      <c r="K16" s="20" t="n">
        <v>11398</v>
      </c>
      <c r="L16" s="20" t="n">
        <v>12620</v>
      </c>
      <c r="M16" s="20" t="n">
        <v>19162</v>
      </c>
      <c r="N16" s="20" t="n">
        <v>17890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4182</v>
      </c>
      <c r="W16" s="20" t="n">
        <v>21883</v>
      </c>
      <c r="X16" s="20" t="n">
        <v>41612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56968</v>
      </c>
      <c r="D20" s="20" t="n">
        <v>101715</v>
      </c>
      <c r="E20" s="20" t="n">
        <v>68300</v>
      </c>
      <c r="F20" s="20" t="n">
        <v>38291</v>
      </c>
      <c r="G20" s="20" t="n">
        <v>74244</v>
      </c>
      <c r="H20" s="20" t="n">
        <v>179846</v>
      </c>
      <c r="I20" s="20" t="n">
        <v>102071</v>
      </c>
      <c r="J20" s="20" t="n">
        <v>77869</v>
      </c>
      <c r="K20" s="20" t="n">
        <v>71068</v>
      </c>
      <c r="L20" s="20" t="n">
        <v>199636</v>
      </c>
      <c r="M20" s="20" t="n">
        <v>160106</v>
      </c>
      <c r="N20" s="20" t="n">
        <v>115507</v>
      </c>
      <c r="O20" s="19" t="n">
        <v>145509</v>
      </c>
      <c r="P20" s="20" t="n">
        <v>204970</v>
      </c>
      <c r="Q20" s="20" t="n">
        <v>189118</v>
      </c>
      <c r="R20" s="20" t="n">
        <v>237882</v>
      </c>
      <c r="S20" s="20" t="n">
        <v>199765</v>
      </c>
      <c r="T20" s="20" t="n">
        <v>291668</v>
      </c>
      <c r="U20" s="20" t="n">
        <v>350854</v>
      </c>
      <c r="V20" s="20" t="n">
        <v>249875</v>
      </c>
      <c r="W20" s="20" t="n">
        <v>360681</v>
      </c>
      <c r="X20" s="20" t="n">
        <v>450644</v>
      </c>
      <c r="Y20" s="19" t="n"/>
      <c r="Z20" s="20" t="n"/>
      <c r="AA20" s="20" t="n"/>
      <c r="AB20" s="20" t="n"/>
      <c r="AC20" s="20" t="n"/>
    </row>
    <row r="21">
      <c r="A21" s="18" t="inlineStr">
        <is>
          <t>매출총이익</t>
        </is>
      </c>
      <c r="B21" s="10" t="n"/>
      <c r="C21" s="19">
        <f>IF(OR(C4="",C20=""),"",IFERROR(C4-C20,""))</f>
        <v/>
      </c>
      <c r="D21" s="20">
        <f>IF(OR(D4="",D20=""),"",IFERROR(D4-D20,""))</f>
        <v/>
      </c>
      <c r="E21" s="20">
        <f>IF(OR(E4="",E20=""),"",IFERROR(E4-E20,""))</f>
        <v/>
      </c>
      <c r="F21" s="20">
        <f>IF(OR(F4="",F20=""),"",IFERROR(F4-F20,""))</f>
        <v/>
      </c>
      <c r="G21" s="20">
        <f>IF(OR(G4="",G20=""),"",IFERROR(G4-G20,""))</f>
        <v/>
      </c>
      <c r="H21" s="20">
        <f>IF(OR(H4="",H20=""),"",IFERROR(H4-H20,""))</f>
        <v/>
      </c>
      <c r="I21" s="20">
        <f>IF(OR(I4="",I20=""),"",IFERROR(I4-I20,""))</f>
        <v/>
      </c>
      <c r="J21" s="20">
        <f>IF(OR(J4="",J20=""),"",IFERROR(J4-J20,""))</f>
        <v/>
      </c>
      <c r="K21" s="20">
        <f>IF(OR(K4="",K20=""),"",IFERROR(K4-K20,""))</f>
        <v/>
      </c>
      <c r="L21" s="20">
        <f>IF(OR(L4="",L20=""),"",IFERROR(L4-L20,""))</f>
        <v/>
      </c>
      <c r="M21" s="20">
        <f>IF(OR(M4="",M20=""),"",IFERROR(M4-M20,""))</f>
        <v/>
      </c>
      <c r="N21" s="20">
        <f>IF(OR(N4="",N20=""),"",IFERROR(N4-N20,""))</f>
        <v/>
      </c>
      <c r="O21" s="19">
        <f>IF(OR(O4="",O20=""),"",IFERROR(O4-O20,""))</f>
        <v/>
      </c>
      <c r="P21" s="20">
        <f>IF(OR(P4="",P20=""),"",IFERROR(P4-P20,""))</f>
        <v/>
      </c>
      <c r="Q21" s="20">
        <f>IF(OR(Q4="",Q20=""),"",IFERROR(Q4-Q20,""))</f>
        <v/>
      </c>
      <c r="R21" s="20">
        <f>IF(OR(R4="",R20=""),"",IFERROR(R4-R20,""))</f>
        <v/>
      </c>
      <c r="S21" s="20">
        <f>IF(OR(S4="",S20=""),"",IFERROR(S4-S20,""))</f>
        <v/>
      </c>
      <c r="T21" s="20">
        <f>IF(OR(T4="",T20=""),"",IFERROR(T4-T20,""))</f>
        <v/>
      </c>
      <c r="U21" s="20">
        <f>IF(OR(U4="",U20=""),"",IFERROR(U4-U20,""))</f>
        <v/>
      </c>
      <c r="V21" s="20">
        <f>IF(OR(V4="",V20=""),"",IFERROR(V4-V20,""))</f>
        <v/>
      </c>
      <c r="W21" s="20">
        <f>IF(OR(W4="",W20=""),"",IFERROR(W4-W20,""))</f>
        <v/>
      </c>
      <c r="X21" s="20">
        <f>IF(OR(X4="",X20=""),"",IFERROR(X4-X20,""))</f>
        <v/>
      </c>
      <c r="Y21" s="19" t="n"/>
      <c r="Z21" s="20" t="n"/>
      <c r="AA21" s="20" t="n"/>
      <c r="AB21" s="20" t="n"/>
      <c r="AC21" s="20" t="n"/>
    </row>
    <row r="22">
      <c r="A22" s="13" t="inlineStr">
        <is>
          <t>GPM</t>
        </is>
      </c>
      <c r="B22" s="10" t="n"/>
      <c r="C22" s="14">
        <f>IF(OR(C21="",C4=""),"",IFERROR(C21/C4,""))</f>
        <v/>
      </c>
      <c r="D22" s="15">
        <f>IF(OR(D21="",D4=""),"",IFERROR(D21/D4,""))</f>
        <v/>
      </c>
      <c r="E22" s="15">
        <f>IF(OR(E21="",E4=""),"",IFERROR(E21/E4,""))</f>
        <v/>
      </c>
      <c r="F22" s="15">
        <f>IF(OR(F21="",F4=""),"",IFERROR(F21/F4,""))</f>
        <v/>
      </c>
      <c r="G22" s="15">
        <f>IF(OR(G21="",G4=""),"",IFERROR(G21/G4,""))</f>
        <v/>
      </c>
      <c r="H22" s="15">
        <f>IF(OR(H21="",H4=""),"",IFERROR(H21/H4,""))</f>
        <v/>
      </c>
      <c r="I22" s="15">
        <f>IF(OR(I21="",I4=""),"",IFERROR(I21/I4,""))</f>
        <v/>
      </c>
      <c r="J22" s="15">
        <f>IF(OR(J21="",J4=""),"",IFERROR(J21/J4,""))</f>
        <v/>
      </c>
      <c r="K22" s="15">
        <f>IF(OR(K21="",K4=""),"",IFERROR(K21/K4,""))</f>
        <v/>
      </c>
      <c r="L22" s="15">
        <f>IF(OR(L21="",L4=""),"",IFERROR(L21/L4,""))</f>
        <v/>
      </c>
      <c r="M22" s="15">
        <f>IF(OR(M21="",M4=""),"",IFERROR(M21/M4,""))</f>
        <v/>
      </c>
      <c r="N22" s="15">
        <f>IF(OR(N21="",N4=""),"",IFERROR(N21/N4,""))</f>
        <v/>
      </c>
      <c r="O22" s="14">
        <f>IF(OR(O21="",O4=""),"",IFERROR(O21/O4,""))</f>
        <v/>
      </c>
      <c r="P22" s="15">
        <f>IF(OR(P21="",P4=""),"",IFERROR(P21/P4,""))</f>
        <v/>
      </c>
      <c r="Q22" s="15">
        <f>IF(OR(Q21="",Q4=""),"",IFERROR(Q21/Q4,""))</f>
        <v/>
      </c>
      <c r="R22" s="15">
        <f>IF(OR(R21="",R4=""),"",IFERROR(R21/R4,""))</f>
        <v/>
      </c>
      <c r="S22" s="15">
        <f>IF(OR(S21="",S4=""),"",IFERROR(S21/S4,""))</f>
        <v/>
      </c>
      <c r="T22" s="15">
        <f>IF(OR(T21="",T4=""),"",IFERROR(T21/T4,""))</f>
        <v/>
      </c>
      <c r="U22" s="15">
        <f>IF(OR(U21="",U4=""),"",IFERROR(U21/U4,""))</f>
        <v/>
      </c>
      <c r="V22" s="15">
        <f>IF(OR(V21="",V4=""),"",IFERROR(V21/V4,""))</f>
        <v/>
      </c>
      <c r="W22" s="15">
        <f>IF(OR(W21="",W4=""),"",IFERROR(W21/W4,""))</f>
        <v/>
      </c>
      <c r="X22" s="15">
        <f>IF(OR(X21="",X4=""),"",IFERROR(X21/X4,""))</f>
        <v/>
      </c>
      <c r="Y22" s="14">
        <f>IF(OR(Y21="",Y4=""),"",IFERROR(Y21/Y4,""))</f>
        <v/>
      </c>
      <c r="Z22" s="15">
        <f>IF(OR(Z21="",Z4=""),"",IFERROR(Z21/Z4,""))</f>
        <v/>
      </c>
      <c r="AA22" s="15">
        <f>IF(OR(AA21="",AA4=""),"",IFERROR(AA21/AA4,""))</f>
        <v/>
      </c>
      <c r="AB22" s="15">
        <f>IF(OR(AB21="",AB4=""),"",IFERROR(AB21/AB4,""))</f>
        <v/>
      </c>
      <c r="AC22" s="15">
        <f>IF(OR(AC21="",AC4=""),"",IFERROR(AC21/AC4,""))</f>
        <v/>
      </c>
    </row>
    <row r="23">
      <c r="A23" s="23" t="inlineStr">
        <is>
          <t>판매관리비</t>
        </is>
      </c>
      <c r="B23" s="23" t="n"/>
      <c r="C23" s="24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</row>
    <row r="24">
      <c r="A24" s="18" t="inlineStr">
        <is>
          <t>전체 판관비</t>
        </is>
      </c>
      <c r="B24" s="10" t="n"/>
      <c r="C24" s="19" t="n">
        <v>13311</v>
      </c>
      <c r="D24" s="20" t="n">
        <v>10911</v>
      </c>
      <c r="E24" s="20" t="n">
        <v>15563</v>
      </c>
      <c r="F24" s="20" t="n">
        <v>13774</v>
      </c>
      <c r="G24" s="20" t="n">
        <v>16002</v>
      </c>
      <c r="H24" s="20" t="n">
        <v>22234</v>
      </c>
      <c r="I24" s="20" t="n">
        <v>22755</v>
      </c>
      <c r="J24" s="20" t="n">
        <v>22331</v>
      </c>
      <c r="K24" s="20" t="n">
        <v>21752</v>
      </c>
      <c r="L24" s="20" t="n">
        <v>23138</v>
      </c>
      <c r="M24" s="20" t="n">
        <v>35564</v>
      </c>
      <c r="N24" s="20" t="n">
        <v>25106</v>
      </c>
      <c r="O24" s="19" t="n">
        <v>16893</v>
      </c>
      <c r="P24" s="20" t="n">
        <v>20398</v>
      </c>
      <c r="Q24" s="20" t="n">
        <v>22830</v>
      </c>
      <c r="R24" s="20" t="n">
        <v>31037</v>
      </c>
      <c r="S24" s="20" t="n">
        <v>39283</v>
      </c>
      <c r="T24" s="20" t="n">
        <v>40902</v>
      </c>
      <c r="U24" s="20" t="n">
        <v>46422</v>
      </c>
      <c r="V24" s="20" t="n">
        <v>50329</v>
      </c>
      <c r="W24" s="20" t="n">
        <v>67573</v>
      </c>
      <c r="X24" s="20" t="n">
        <v>89976</v>
      </c>
      <c r="Y24" s="19" t="n"/>
      <c r="Z24" s="20" t="n"/>
      <c r="AA24" s="20" t="n"/>
      <c r="AB24" s="20" t="n"/>
      <c r="AC24" s="20" t="n"/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24300</v>
      </c>
      <c r="D25" s="12" t="n">
        <v>55228</v>
      </c>
      <c r="E25" s="12" t="n">
        <v>23728</v>
      </c>
      <c r="F25" s="12" t="n">
        <v>45195</v>
      </c>
      <c r="G25" s="12" t="n">
        <v>19887</v>
      </c>
      <c r="H25" s="12" t="n">
        <v>74550</v>
      </c>
      <c r="I25" s="12" t="n">
        <v>31816</v>
      </c>
      <c r="J25" s="12" t="n">
        <v>43239</v>
      </c>
      <c r="K25" s="12" t="n">
        <v>31316</v>
      </c>
      <c r="L25" s="12" t="n">
        <v>80455</v>
      </c>
      <c r="M25" s="12" t="n">
        <v>31171</v>
      </c>
      <c r="N25" s="12" t="n">
        <v>49142</v>
      </c>
      <c r="O25" s="11" t="n">
        <v>53377</v>
      </c>
      <c r="P25" s="12" t="n">
        <v>64249</v>
      </c>
      <c r="Q25" s="12" t="n">
        <v>75564</v>
      </c>
      <c r="R25" s="12" t="n">
        <v>88353</v>
      </c>
      <c r="S25" s="12" t="n">
        <v>100596</v>
      </c>
      <c r="T25" s="12" t="n">
        <v>114507</v>
      </c>
      <c r="U25" s="12" t="n">
        <v>126147</v>
      </c>
      <c r="V25" s="12" t="n">
        <v>146178</v>
      </c>
      <c r="W25" s="12" t="n">
        <v>163360</v>
      </c>
      <c r="X25" s="12" t="n">
        <v>186826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IF(O24="","",O24)</f>
        <v/>
      </c>
      <c r="P29" s="12">
        <f>IF(P24="","",P24)</f>
        <v/>
      </c>
      <c r="Q29" s="12">
        <f>IF(Q24="","",Q24)</f>
        <v/>
      </c>
      <c r="R29" s="12">
        <f>IF(R24="","",R24)</f>
        <v/>
      </c>
      <c r="S29" s="12">
        <f>IF(S24="","",S24)</f>
        <v/>
      </c>
      <c r="T29" s="12">
        <f>IF(T24="","",T24)</f>
        <v/>
      </c>
      <c r="U29" s="12">
        <f>IF(U24="","",U24)</f>
        <v/>
      </c>
      <c r="V29" s="12">
        <f>IF(V24="","",V24)</f>
        <v/>
      </c>
      <c r="W29" s="12">
        <f>IF(W24="","",W24)</f>
        <v/>
      </c>
      <c r="X29" s="12">
        <f>IF(X24="","",X24)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>
        <v>-5</v>
      </c>
      <c r="D41" s="20" t="n">
        <v>133</v>
      </c>
      <c r="E41" s="20" t="n">
        <v>3511</v>
      </c>
      <c r="F41" s="20" t="n">
        <v>2034</v>
      </c>
      <c r="G41" s="20" t="n">
        <v>0</v>
      </c>
      <c r="H41" s="20" t="n">
        <v>788</v>
      </c>
      <c r="I41" s="20" t="n">
        <v>1005</v>
      </c>
      <c r="J41" s="20" t="n">
        <v>3115</v>
      </c>
      <c r="K41" s="20" t="n">
        <v>73</v>
      </c>
      <c r="L41" s="20" t="n">
        <v>274</v>
      </c>
      <c r="M41" s="20" t="n">
        <v>2637</v>
      </c>
      <c r="N41" s="20" t="n">
        <v>2910</v>
      </c>
      <c r="O41" s="19" t="n">
        <v>1215</v>
      </c>
      <c r="P41" s="20" t="n">
        <v>241</v>
      </c>
      <c r="Q41" s="20" t="n">
        <v>352</v>
      </c>
      <c r="R41" s="20" t="n">
        <v>3894</v>
      </c>
      <c r="S41" s="20" t="n">
        <v>2007</v>
      </c>
      <c r="T41" s="20" t="n">
        <v>755</v>
      </c>
      <c r="U41" s="20" t="n">
        <v>2552</v>
      </c>
      <c r="V41" s="20" t="n">
        <v>3727</v>
      </c>
      <c r="W41" s="20" t="n">
        <v>6333</v>
      </c>
      <c r="X41" s="20" t="n">
        <v>4467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>
        <v>321</v>
      </c>
      <c r="D43" s="20" t="n">
        <v>2556</v>
      </c>
      <c r="E43" s="20" t="n">
        <v>1325</v>
      </c>
      <c r="F43" s="20" t="n">
        <v>3675</v>
      </c>
      <c r="G43" s="20" t="n">
        <v>932</v>
      </c>
      <c r="H43" s="20" t="n">
        <v>3595</v>
      </c>
      <c r="I43" s="20" t="n">
        <v>1242</v>
      </c>
      <c r="J43" s="20" t="n">
        <v>777</v>
      </c>
      <c r="K43" s="20" t="n">
        <v>627</v>
      </c>
      <c r="L43" s="20" t="n">
        <v>3406</v>
      </c>
      <c r="M43" s="20" t="n">
        <v>2169</v>
      </c>
      <c r="N43" s="20" t="n">
        <v>2311</v>
      </c>
      <c r="O43" s="19" t="n">
        <v>2448</v>
      </c>
      <c r="P43" s="20" t="n">
        <v>963</v>
      </c>
      <c r="Q43" s="20" t="n">
        <v>865</v>
      </c>
      <c r="R43" s="20" t="n">
        <v>4241</v>
      </c>
      <c r="S43" s="20" t="n">
        <v>6355</v>
      </c>
      <c r="T43" s="20" t="n">
        <v>4675</v>
      </c>
      <c r="U43" s="20" t="n">
        <v>8296</v>
      </c>
      <c r="V43" s="20" t="n">
        <v>4466</v>
      </c>
      <c r="W43" s="20" t="n">
        <v>9527</v>
      </c>
      <c r="X43" s="20" t="n">
        <v>6052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344</v>
      </c>
      <c r="D45" s="20" t="n">
        <v>1993</v>
      </c>
      <c r="E45" s="20" t="n">
        <v>1033</v>
      </c>
      <c r="F45" s="20" t="n">
        <v>2285</v>
      </c>
      <c r="G45" s="20" t="n">
        <v>1004</v>
      </c>
      <c r="H45" s="20" t="n">
        <v>2469</v>
      </c>
      <c r="I45" s="20" t="n">
        <v>1428</v>
      </c>
      <c r="J45" s="20" t="n">
        <v>3006</v>
      </c>
      <c r="K45" s="20" t="n">
        <v>771</v>
      </c>
      <c r="L45" s="20" t="n">
        <v>8434</v>
      </c>
      <c r="M45" s="20" t="n">
        <v>3784</v>
      </c>
      <c r="N45" s="20" t="n">
        <v>3655</v>
      </c>
      <c r="O45" s="19" t="n">
        <v>2933</v>
      </c>
      <c r="P45" s="20" t="n">
        <v>2411</v>
      </c>
      <c r="Q45" s="20" t="n">
        <v>3258</v>
      </c>
      <c r="R45" s="20" t="n">
        <v>3536</v>
      </c>
      <c r="S45" s="20" t="n">
        <v>4932</v>
      </c>
      <c r="T45" s="20" t="n">
        <v>6539</v>
      </c>
      <c r="U45" s="20" t="n">
        <v>9301</v>
      </c>
      <c r="V45" s="20" t="n">
        <v>4858</v>
      </c>
      <c r="W45" s="20" t="n">
        <v>6791</v>
      </c>
      <c r="X45" s="20" t="n">
        <v>13639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3255</v>
      </c>
      <c r="D47" s="20" t="n">
        <v>3373</v>
      </c>
      <c r="E47" s="20" t="n">
        <v>3520</v>
      </c>
      <c r="F47" s="20" t="n">
        <v>3865</v>
      </c>
      <c r="G47" s="20" t="n">
        <v>4106</v>
      </c>
      <c r="H47" s="20" t="n">
        <v>4331</v>
      </c>
      <c r="I47" s="20" t="n">
        <v>5233</v>
      </c>
      <c r="J47" s="20" t="n">
        <v>7709</v>
      </c>
      <c r="K47" s="20" t="n">
        <v>7082</v>
      </c>
      <c r="L47" s="20" t="n">
        <v>7514</v>
      </c>
      <c r="M47" s="20" t="n">
        <v>7969</v>
      </c>
      <c r="N47" s="20" t="n">
        <v>8922</v>
      </c>
      <c r="O47" s="19" t="n">
        <v>4878</v>
      </c>
      <c r="P47" s="20" t="n">
        <v>4790</v>
      </c>
      <c r="Q47" s="20" t="n">
        <v>6292</v>
      </c>
      <c r="R47" s="20" t="n">
        <v>7245</v>
      </c>
      <c r="S47" s="20" t="n">
        <v>9901</v>
      </c>
      <c r="T47" s="20" t="n">
        <v>11464</v>
      </c>
      <c r="U47" s="20" t="n">
        <v>12225</v>
      </c>
      <c r="V47" s="20" t="n">
        <v>13599</v>
      </c>
      <c r="W47" s="20" t="n">
        <v>15822</v>
      </c>
      <c r="X47" s="20" t="n">
        <v>27538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21062</v>
      </c>
      <c r="D49" s="12" t="n">
        <v>51425</v>
      </c>
      <c r="E49" s="12" t="n">
        <v>23427</v>
      </c>
      <c r="F49" s="12" t="n">
        <v>41973</v>
      </c>
      <c r="G49" s="12" t="n">
        <v>15854</v>
      </c>
      <c r="H49" s="12" t="n">
        <v>69882</v>
      </c>
      <c r="I49" s="12" t="n">
        <v>27774</v>
      </c>
      <c r="J49" s="12" t="n">
        <v>40874</v>
      </c>
      <c r="K49" s="12" t="n">
        <v>24452</v>
      </c>
      <c r="L49" s="12" t="n">
        <v>78243</v>
      </c>
      <c r="M49" s="12" t="n">
        <v>27454</v>
      </c>
      <c r="N49" s="12" t="n">
        <v>44474</v>
      </c>
      <c r="O49" s="11" t="n">
        <v>50199</v>
      </c>
      <c r="P49" s="12" t="n">
        <v>61148</v>
      </c>
      <c r="Q49" s="12" t="n">
        <v>72018</v>
      </c>
      <c r="R49" s="12" t="n">
        <v>84298</v>
      </c>
      <c r="S49" s="12" t="n">
        <v>91280</v>
      </c>
      <c r="T49" s="12" t="n">
        <v>105662</v>
      </c>
      <c r="U49" s="12" t="n">
        <v>117478</v>
      </c>
      <c r="V49" s="12" t="n">
        <v>136698</v>
      </c>
      <c r="W49" s="12" t="n">
        <v>151136</v>
      </c>
      <c r="X49" s="12" t="n">
        <v>171343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8" t="inlineStr">
        <is>
          <t>법인세비용(수익)</t>
        </is>
      </c>
      <c r="B50" s="10" t="n"/>
      <c r="C50" s="19" t="n">
        <v>6474</v>
      </c>
      <c r="D50" s="20" t="n">
        <v>15421</v>
      </c>
      <c r="E50" s="20" t="n">
        <v>7483</v>
      </c>
      <c r="F50" s="20" t="n">
        <v>13600</v>
      </c>
      <c r="G50" s="20" t="n">
        <v>4821</v>
      </c>
      <c r="H50" s="20" t="n">
        <v>21941</v>
      </c>
      <c r="I50" s="20" t="n">
        <v>10390</v>
      </c>
      <c r="J50" s="20" t="n">
        <v>13178</v>
      </c>
      <c r="K50" s="20" t="n">
        <v>8266</v>
      </c>
      <c r="L50" s="20" t="n">
        <v>24247</v>
      </c>
      <c r="M50" s="20" t="n">
        <v>8847</v>
      </c>
      <c r="N50" s="20" t="n">
        <v>12495</v>
      </c>
      <c r="O50" s="19" t="n">
        <v>15038</v>
      </c>
      <c r="P50" s="20" t="n">
        <v>18446</v>
      </c>
      <c r="Q50" s="20" t="n">
        <v>22222</v>
      </c>
      <c r="R50" s="20" t="n">
        <v>25288</v>
      </c>
      <c r="S50" s="20" t="n">
        <v>27540</v>
      </c>
      <c r="T50" s="20" t="n">
        <v>35204</v>
      </c>
      <c r="U50" s="20" t="n">
        <v>38328</v>
      </c>
      <c r="V50" s="20" t="n">
        <v>41978</v>
      </c>
      <c r="W50" s="20" t="n">
        <v>47845</v>
      </c>
      <c r="X50" s="20" t="n">
        <v>56081</v>
      </c>
      <c r="Y50" s="19">
        <f>IF(OR(Y49="",Y51=""),"",IFERROR(MAX(Y49,0)*Y51,""))</f>
        <v/>
      </c>
      <c r="Z50" s="20">
        <f>IF(OR(Z49="",Z51=""),"",IFERROR(MAX(Z49,0)*Z51,""))</f>
        <v/>
      </c>
      <c r="AA50" s="20">
        <f>IF(OR(AA49="",AA51=""),"",IFERROR(MAX(AA49,0)*AA51,""))</f>
        <v/>
      </c>
      <c r="AB50" s="20">
        <f>IF(OR(AB49="",AB51=""),"",IFERROR(MAX(AB49,0)*AB51,""))</f>
        <v/>
      </c>
      <c r="AC50" s="20">
        <f>IF(OR(AC49="",AC51=""),"",IFERROR(MAX(AC49,0)*AC51,""))</f>
        <v/>
      </c>
    </row>
    <row r="51">
      <c r="A51" s="13" t="inlineStr">
        <is>
          <t>법인세율</t>
        </is>
      </c>
      <c r="B51" s="10" t="inlineStr">
        <is>
          <t>MW 기본 30%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0.3</v>
      </c>
      <c r="Z51" s="26" t="n">
        <v>0.3</v>
      </c>
      <c r="AA51" s="26" t="n">
        <v>0.3</v>
      </c>
      <c r="AB51" s="26" t="n">
        <v>0.3</v>
      </c>
      <c r="AC51" s="26" t="n">
        <v>0.3</v>
      </c>
    </row>
    <row r="52">
      <c r="A52" s="9" t="inlineStr">
        <is>
          <t>당기순이익(손실)</t>
        </is>
      </c>
      <c r="B52" s="10" t="n"/>
      <c r="C52" s="11" t="n">
        <v>14588</v>
      </c>
      <c r="D52" s="12" t="n">
        <v>36004</v>
      </c>
      <c r="E52" s="12" t="n">
        <v>15944</v>
      </c>
      <c r="F52" s="12" t="n">
        <v>28373</v>
      </c>
      <c r="G52" s="12" t="n">
        <v>11032</v>
      </c>
      <c r="H52" s="12" t="n">
        <v>47941</v>
      </c>
      <c r="I52" s="12" t="n">
        <v>17383</v>
      </c>
      <c r="J52" s="12" t="n">
        <v>27696</v>
      </c>
      <c r="K52" s="12" t="n">
        <v>16186</v>
      </c>
      <c r="L52" s="12" t="n">
        <v>53996</v>
      </c>
      <c r="M52" s="12" t="n">
        <v>18606</v>
      </c>
      <c r="N52" s="12" t="n">
        <v>31980</v>
      </c>
      <c r="O52" s="11" t="n">
        <v>35161</v>
      </c>
      <c r="P52" s="12" t="n">
        <v>42701</v>
      </c>
      <c r="Q52" s="12" t="n">
        <v>49795</v>
      </c>
      <c r="R52" s="12" t="n">
        <v>59010</v>
      </c>
      <c r="S52" s="12" t="n">
        <v>63739</v>
      </c>
      <c r="T52" s="12" t="n">
        <v>70457</v>
      </c>
      <c r="U52" s="12" t="n">
        <v>79150</v>
      </c>
      <c r="V52" s="12" t="n">
        <v>94719</v>
      </c>
      <c r="W52" s="12" t="n">
        <v>103290</v>
      </c>
      <c r="X52" s="12" t="n">
        <v>115261</v>
      </c>
      <c r="Y52" s="11">
        <f>IF(OR(Y49=""),"",IFERROR(Y49-Y50,""))</f>
        <v/>
      </c>
      <c r="Z52" s="12">
        <f>IF(OR(Z49=""),"",IFERROR(Z49-Z50,""))</f>
        <v/>
      </c>
      <c r="AA52" s="12">
        <f>IF(OR(AA49=""),"",IFERROR(AA49-AA50,""))</f>
        <v/>
      </c>
      <c r="AB52" s="12">
        <f>IF(OR(AB49=""),"",IFERROR(AB49-AB50,""))</f>
        <v/>
      </c>
      <c r="AC52" s="12">
        <f>IF(OR(AC49=""),"",IFERROR(AC49-AC50,""))</f>
        <v/>
      </c>
    </row>
    <row r="53">
      <c r="A53" s="9" t="inlineStr">
        <is>
          <t>지배주주 순이익</t>
        </is>
      </c>
      <c r="B53" s="10" t="n"/>
      <c r="C53" s="11" t="n">
        <v>14580</v>
      </c>
      <c r="D53" s="12" t="n">
        <v>35928</v>
      </c>
      <c r="E53" s="12" t="n">
        <v>15858</v>
      </c>
      <c r="F53" s="12" t="n">
        <v>28272</v>
      </c>
      <c r="G53" s="12" t="n">
        <v>10466</v>
      </c>
      <c r="H53" s="12" t="n">
        <v>47745</v>
      </c>
      <c r="I53" s="12" t="n">
        <v>17175</v>
      </c>
      <c r="J53" s="12" t="n">
        <v>27718</v>
      </c>
      <c r="K53" s="12" t="n">
        <v>15731</v>
      </c>
      <c r="L53" s="12" t="n">
        <v>53710</v>
      </c>
      <c r="M53" s="12" t="n">
        <v>18141</v>
      </c>
      <c r="N53" s="12" t="n">
        <v>31837</v>
      </c>
      <c r="O53" s="11" t="n">
        <v>34897</v>
      </c>
      <c r="P53" s="12" t="n">
        <v>42402</v>
      </c>
      <c r="Q53" s="12" t="n">
        <v>49515</v>
      </c>
      <c r="R53" s="12" t="n">
        <v>58805</v>
      </c>
      <c r="S53" s="12" t="n">
        <v>63619</v>
      </c>
      <c r="T53" s="12" t="n">
        <v>69564</v>
      </c>
      <c r="U53" s="12" t="n">
        <v>79150</v>
      </c>
      <c r="V53" s="12" t="n">
        <v>94625</v>
      </c>
      <c r="W53" s="12" t="n">
        <v>102341</v>
      </c>
      <c r="X53" s="12" t="n">
        <v>114334</v>
      </c>
      <c r="Y53" s="11">
        <f>IF(OR(Y52="",Y54=""),"",IFERROR(Y52*Y54,""))</f>
        <v/>
      </c>
      <c r="Z53" s="12">
        <f>IF(OR(Z52="",Z54=""),"",IFERROR(Z52*Z54,""))</f>
        <v/>
      </c>
      <c r="AA53" s="12">
        <f>IF(OR(AA52="",AA54=""),"",IFERROR(AA52*AA54,""))</f>
        <v/>
      </c>
      <c r="AB53" s="12">
        <f>IF(OR(AB52="",AB54=""),"",IFERROR(AB52*AB54,""))</f>
        <v/>
      </c>
      <c r="AC53" s="12">
        <f>IF(OR(AC52="",AC54=""),"",IFERROR(AC52*AC54,""))</f>
        <v/>
      </c>
    </row>
    <row r="54">
      <c r="A54" s="13" t="inlineStr">
        <is>
          <t>지배주주 순이익률</t>
        </is>
      </c>
      <c r="B54" s="10" t="inlineStr">
        <is>
          <t>MW 기본 100%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1</v>
      </c>
      <c r="Z54" s="26" t="n">
        <v>1</v>
      </c>
      <c r="AA54" s="26" t="n">
        <v>1</v>
      </c>
      <c r="AB54" s="26" t="n">
        <v>1</v>
      </c>
      <c r="AC54" s="26" t="n">
        <v>1</v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()</t>
        </is>
      </c>
      <c r="B56" s="27" t="n"/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/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IF(O26="","",O26)</f>
        <v/>
      </c>
      <c r="P59" s="15">
        <f>IF(P26="","",P26)</f>
        <v/>
      </c>
      <c r="Q59" s="15">
        <f>IF(Q26="","",Q26)</f>
        <v/>
      </c>
      <c r="R59" s="15">
        <f>IF(R26="","",R26)</f>
        <v/>
      </c>
      <c r="S59" s="15">
        <f>IF(S26="","",S26)</f>
        <v/>
      </c>
      <c r="T59" s="15">
        <f>IF(T26="","",T26)</f>
        <v/>
      </c>
      <c r="U59" s="15">
        <f>IF(U26="","",U26)</f>
        <v/>
      </c>
      <c r="V59" s="15">
        <f>IF(V26="","",V26)</f>
        <v/>
      </c>
      <c r="W59" s="15">
        <f>IF(W26="","",W26)</f>
        <v/>
      </c>
      <c r="X59" s="15">
        <f>IF(X26="","",X26)</f>
        <v/>
      </c>
      <c r="Y59" s="14">
        <f>IF(Y26="","",Y26)</f>
        <v/>
      </c>
      <c r="Z59" s="15">
        <f>IF(Z26="","",Z26)</f>
        <v/>
      </c>
      <c r="AA59" s="15">
        <f>IF(AA26="","",AA26)</f>
        <v/>
      </c>
      <c r="AB59" s="15">
        <f>IF(AB26="","",AB26)</f>
        <v/>
      </c>
      <c r="AC59" s="15">
        <f>IF(AC26="","",AC26)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IF(OR(P53="",O53=""),"",IFERROR(P53/O53-1,""))</f>
        <v/>
      </c>
      <c r="Q60" s="15">
        <f>IF(OR(Q53="",P53=""),"",IFERROR(Q53/P53-1,""))</f>
        <v/>
      </c>
      <c r="R60" s="15">
        <f>IF(OR(R53="",Q53=""),"",IFERROR(R53/Q53-1,""))</f>
        <v/>
      </c>
      <c r="S60" s="15">
        <f>IF(OR(S53="",R53=""),"",IFERROR(S53/R53-1,""))</f>
        <v/>
      </c>
      <c r="T60" s="15">
        <f>IF(OR(T53="",S53=""),"",IFERROR(T53/S53-1,""))</f>
        <v/>
      </c>
      <c r="U60" s="15">
        <f>IF(OR(U53="",T53=""),"",IFERROR(U53/T53-1,""))</f>
        <v/>
      </c>
      <c r="V60" s="15">
        <f>IF(OR(V53="",U53=""),"",IFERROR(V53/U53-1,""))</f>
        <v/>
      </c>
      <c r="W60" s="15">
        <f>IF(OR(W53="",V53=""),"",IFERROR(W53/V53-1,""))</f>
        <v/>
      </c>
      <c r="X60" s="15">
        <f>IF(OR(X53="",W53=""),"",IFERROR(X53/W53-1,""))</f>
        <v/>
      </c>
      <c r="Y60" s="14">
        <f>IF(OR(Y53="",X53=""),"",IFERROR(Y53/X53-1,""))</f>
        <v/>
      </c>
      <c r="Z60" s="15">
        <f>IF(OR(Z53="",Y53=""),"",IFERROR(Z53/Y53-1,""))</f>
        <v/>
      </c>
      <c r="AA60" s="15">
        <f>IF(OR(AA53="",Z53=""),"",IFERROR(AA53/Z53-1,""))</f>
        <v/>
      </c>
      <c r="AB60" s="15">
        <f>IF(OR(AB53="",AA53=""),"",IFERROR(AB53/AA53-1,""))</f>
        <v/>
      </c>
      <c r="AC60" s="15">
        <f>IF(OR(AC53="",AB53=""),"",IFERROR(AC53/AB53-1,""))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IF(OR($B$58="",X53=""),"",IFERROR($B$58/X53,""))</f>
        <v/>
      </c>
      <c r="Y61" s="30">
        <f>IF(OR($B$58="",Y53=""),"",IFERROR($B$58/Y53,""))</f>
        <v/>
      </c>
      <c r="Z61" s="31">
        <f>IF(OR($B$58="",Z53=""),"",IFERROR($B$58/Z53,""))</f>
        <v/>
      </c>
      <c r="AA61" s="31">
        <f>IF(OR($B$58="",AA53=""),"",IFERROR($B$58/AA53,""))</f>
        <v/>
      </c>
      <c r="AB61" s="31">
        <f>IF(OR($B$58="",AB53=""),"",IFERROR($B$58/AB53,""))</f>
        <v/>
      </c>
      <c r="AC61" s="31">
        <f>IF(OR($B$58="",AC53=""),"",IFERROR($B$58/AC53,""))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IF(OR(O53="",$B$57=""),"",IFERROR(O53*1000000.0/$B$57,""))</f>
        <v/>
      </c>
      <c r="P63" s="29">
        <f>IF(OR(P53="",$B$57=""),"",IFERROR(P53*1000000.0/$B$57,""))</f>
        <v/>
      </c>
      <c r="Q63" s="29">
        <f>IF(OR(Q53="",$B$57=""),"",IFERROR(Q53*1000000.0/$B$57,""))</f>
        <v/>
      </c>
      <c r="R63" s="29">
        <f>IF(OR(R53="",$B$57=""),"",IFERROR(R53*1000000.0/$B$57,""))</f>
        <v/>
      </c>
      <c r="S63" s="29">
        <f>IF(OR(S53="",$B$57=""),"",IFERROR(S53*1000000.0/$B$57,""))</f>
        <v/>
      </c>
      <c r="T63" s="29">
        <f>IF(OR(T53="",$B$57=""),"",IFERROR(T53*1000000.0/$B$57,""))</f>
        <v/>
      </c>
      <c r="U63" s="29">
        <f>IF(OR(U53="",$B$57=""),"",IFERROR(U53*1000000.0/$B$57,""))</f>
        <v/>
      </c>
      <c r="V63" s="29">
        <f>IF(OR(V53="",$B$57=""),"",IFERROR(V53*1000000.0/$B$57,""))</f>
        <v/>
      </c>
      <c r="W63" s="29">
        <f>IF(OR(W53="",$B$57=""),"",IFERROR(W53*1000000.0/$B$57,""))</f>
        <v/>
      </c>
      <c r="X63" s="29">
        <f>IF(OR(X53="",$B$57=""),"",IFERROR(X53*1000000.0/$B$57,""))</f>
        <v/>
      </c>
      <c r="Y63" s="28">
        <f>IF(OR(Y53="",$B$57=""),"",IFERROR(Y53*1000000.0/$B$57,""))</f>
        <v/>
      </c>
      <c r="Z63" s="29">
        <f>IF(OR(Z53="",$B$57=""),"",IFERROR(Z53*1000000.0/$B$57,""))</f>
        <v/>
      </c>
      <c r="AA63" s="29">
        <f>IF(OR(AA53="",$B$57=""),"",IFERROR(AA53*1000000.0/$B$57,""))</f>
        <v/>
      </c>
      <c r="AB63" s="29">
        <f>IF(OR(AB53="",$B$57=""),"",IFERROR(AB53*1000000.0/$B$57,""))</f>
        <v/>
      </c>
      <c r="AC63" s="29">
        <f>IF(OR(AC53="",$B$57=""),"",IFERROR(AC53*1000000.0/$B$57,""))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IF(OR(Y53="",Y62=""),"",IFERROR(Y53*Y62,""))</f>
        <v/>
      </c>
      <c r="Z75" s="20">
        <f>IF(OR(Z53="",Z62=""),"",IFERROR(Z53*Z62,""))</f>
        <v/>
      </c>
      <c r="AA75" s="20">
        <f>IF(OR(AA53="",AA62=""),"",IFERROR(AA53*AA62,""))</f>
        <v/>
      </c>
      <c r="AB75" s="20">
        <f>IF(OR(AB53="",AB62=""),"",IFERROR(AB53*AB62,""))</f>
        <v/>
      </c>
      <c r="AC75" s="20">
        <f>IF(OR(AC53="",AC62=""),"",IFERROR(AC53*AC62,""))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</t>
        </is>
      </c>
      <c r="C83" s="39" t="n"/>
      <c r="O83" s="39" t="n"/>
      <c r="Y83" s="39" t="n"/>
    </row>
    <row r="85">
      <c r="A85" s="16" t="inlineStr">
        <is>
          <t>손익계산서 · 전 항목</t>
        </is>
      </c>
      <c r="B85" s="42" t="inlineStr">
        <is>
          <t>분기 = 3개월 단독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2023.3Q</t>
        </is>
      </c>
      <c r="D86" s="5" t="inlineStr">
        <is>
          <t>2023.4Q</t>
        </is>
      </c>
      <c r="E86" s="5" t="inlineStr">
        <is>
          <t>2024.1Q</t>
        </is>
      </c>
      <c r="F86" s="5" t="inlineStr">
        <is>
          <t>2024.2Q</t>
        </is>
      </c>
      <c r="G86" s="5" t="inlineStr">
        <is>
          <t>2024.3Q</t>
        </is>
      </c>
      <c r="H86" s="5" t="inlineStr">
        <is>
          <t>2024.4Q</t>
        </is>
      </c>
      <c r="I86" s="5" t="inlineStr">
        <is>
          <t>2025.1Q</t>
        </is>
      </c>
      <c r="J86" s="5" t="inlineStr">
        <is>
          <t>2025.2Q</t>
        </is>
      </c>
      <c r="K86" s="5" t="inlineStr">
        <is>
          <t>2025.3Q</t>
        </is>
      </c>
      <c r="L86" s="5" t="inlineStr">
        <is>
          <t>2025.4Q</t>
        </is>
      </c>
      <c r="M86" s="5" t="inlineStr">
        <is>
          <t>2026.1Q</t>
        </is>
      </c>
      <c r="N86" s="5" t="inlineStr">
        <is>
          <t>2026.2Q</t>
        </is>
      </c>
      <c r="O86" s="5" t="inlineStr">
        <is>
          <t>2016</t>
        </is>
      </c>
      <c r="P86" s="5" t="inlineStr">
        <is>
          <t>2017</t>
        </is>
      </c>
      <c r="Q86" s="5" t="inlineStr">
        <is>
          <t>2018</t>
        </is>
      </c>
      <c r="R86" s="5" t="inlineStr">
        <is>
          <t>2019</t>
        </is>
      </c>
      <c r="S86" s="5" t="inlineStr">
        <is>
          <t>2020</t>
        </is>
      </c>
      <c r="T86" s="5" t="inlineStr">
        <is>
          <t>2021</t>
        </is>
      </c>
      <c r="U86" s="5" t="inlineStr">
        <is>
          <t>2022</t>
        </is>
      </c>
      <c r="V86" s="5" t="inlineStr">
        <is>
          <t>2023</t>
        </is>
      </c>
      <c r="W86" s="5" t="inlineStr">
        <is>
          <t>2024</t>
        </is>
      </c>
      <c r="X86" s="5" t="inlineStr">
        <is>
          <t>2025</t>
        </is>
      </c>
      <c r="Y86" s="5" t="inlineStr">
        <is>
          <t>2026(MW)</t>
        </is>
      </c>
      <c r="Z86" s="5" t="inlineStr">
        <is>
          <t>2027(MW)</t>
        </is>
      </c>
      <c r="AA86" s="5" t="inlineStr">
        <is>
          <t>2028(MW)</t>
        </is>
      </c>
      <c r="AB86" s="5" t="inlineStr">
        <is>
          <t>2029(MW)</t>
        </is>
      </c>
      <c r="AC86" s="5" t="inlineStr">
        <is>
          <t>2030(MW)</t>
        </is>
      </c>
    </row>
    <row r="87">
      <c r="A87" s="18" t="inlineStr">
        <is>
          <t>영업수익</t>
        </is>
      </c>
      <c r="C87" s="20" t="n">
        <v>94579</v>
      </c>
      <c r="D87" s="20" t="n">
        <v>167854</v>
      </c>
      <c r="E87" s="20" t="n">
        <v>107593</v>
      </c>
      <c r="F87" s="20" t="n">
        <v>97259</v>
      </c>
      <c r="G87" s="20" t="n">
        <v>110133</v>
      </c>
      <c r="H87" s="20" t="n">
        <v>276630</v>
      </c>
      <c r="I87" s="20" t="n">
        <v>156644</v>
      </c>
      <c r="J87" s="20" t="n">
        <v>143437</v>
      </c>
      <c r="K87" s="20" t="n">
        <v>124137</v>
      </c>
      <c r="L87" s="20" t="n">
        <v>303229</v>
      </c>
      <c r="M87" s="20" t="n">
        <v>226841</v>
      </c>
      <c r="N87" s="20" t="n">
        <v>189755</v>
      </c>
      <c r="U87" s="20" t="n">
        <v>124216</v>
      </c>
      <c r="V87" s="20" t="n">
        <v>167854</v>
      </c>
      <c r="W87" s="20" t="n">
        <v>276630</v>
      </c>
      <c r="X87" s="20" t="n">
        <v>303229</v>
      </c>
    </row>
    <row r="88">
      <c r="A88" s="18" t="inlineStr">
        <is>
          <t>영업원가</t>
        </is>
      </c>
      <c r="C88" s="20" t="n">
        <v>56968</v>
      </c>
      <c r="D88" s="20" t="n">
        <v>101715</v>
      </c>
      <c r="E88" s="20" t="n">
        <v>68300</v>
      </c>
      <c r="F88" s="20" t="n">
        <v>38291</v>
      </c>
      <c r="G88" s="20" t="n">
        <v>74244</v>
      </c>
      <c r="H88" s="20" t="n">
        <v>179846</v>
      </c>
      <c r="I88" s="20" t="n">
        <v>102071</v>
      </c>
      <c r="J88" s="20" t="n">
        <v>77869</v>
      </c>
      <c r="K88" s="20" t="n">
        <v>71068</v>
      </c>
      <c r="L88" s="20" t="n">
        <v>199636</v>
      </c>
      <c r="M88" s="20" t="n">
        <v>160106</v>
      </c>
      <c r="N88" s="20" t="n">
        <v>115507</v>
      </c>
      <c r="U88" s="20" t="n">
        <v>63164</v>
      </c>
      <c r="V88" s="20" t="n">
        <v>101715</v>
      </c>
      <c r="W88" s="20" t="n">
        <v>179846</v>
      </c>
      <c r="X88" s="20" t="n">
        <v>199636</v>
      </c>
    </row>
    <row r="89">
      <c r="A89" s="18" t="inlineStr">
        <is>
          <t>영업총이익</t>
        </is>
      </c>
      <c r="C89" s="20" t="n">
        <v>37610</v>
      </c>
      <c r="D89" s="20" t="n">
        <v>66140</v>
      </c>
      <c r="E89" s="20" t="n">
        <v>39292</v>
      </c>
      <c r="F89" s="20" t="n">
        <v>58969</v>
      </c>
      <c r="G89" s="20" t="n">
        <v>35889</v>
      </c>
      <c r="H89" s="20" t="n">
        <v>96784</v>
      </c>
      <c r="I89" s="20" t="n">
        <v>54572</v>
      </c>
      <c r="J89" s="20" t="n">
        <v>65569</v>
      </c>
      <c r="K89" s="20" t="n">
        <v>53069</v>
      </c>
      <c r="L89" s="20" t="n">
        <v>103592</v>
      </c>
      <c r="M89" s="20" t="n">
        <v>66735</v>
      </c>
      <c r="N89" s="20" t="n">
        <v>74248</v>
      </c>
      <c r="U89" s="20" t="n">
        <v>61051</v>
      </c>
      <c r="V89" s="20" t="n">
        <v>66140</v>
      </c>
      <c r="W89" s="20" t="n">
        <v>96784</v>
      </c>
      <c r="X89" s="20" t="n">
        <v>103592</v>
      </c>
    </row>
    <row r="90">
      <c r="A90" s="18" t="inlineStr">
        <is>
          <t>판매비와 관리비</t>
        </is>
      </c>
      <c r="C90" s="20" t="n">
        <v>13311</v>
      </c>
      <c r="D90" s="20" t="n">
        <v>10911</v>
      </c>
      <c r="E90" s="20" t="n">
        <v>15563</v>
      </c>
      <c r="F90" s="20" t="n">
        <v>13774</v>
      </c>
      <c r="G90" s="20" t="n">
        <v>16002</v>
      </c>
      <c r="H90" s="20" t="n">
        <v>22234</v>
      </c>
      <c r="I90" s="20" t="n">
        <v>22755</v>
      </c>
      <c r="J90" s="20" t="n">
        <v>22331</v>
      </c>
      <c r="K90" s="20" t="n">
        <v>21752</v>
      </c>
      <c r="L90" s="20" t="n">
        <v>23138</v>
      </c>
      <c r="M90" s="20" t="n">
        <v>35564</v>
      </c>
      <c r="N90" s="20" t="n">
        <v>25106</v>
      </c>
      <c r="U90" s="20" t="n">
        <v>12161</v>
      </c>
      <c r="V90" s="20" t="n">
        <v>10911</v>
      </c>
      <c r="W90" s="20" t="n">
        <v>22234</v>
      </c>
      <c r="X90" s="20" t="n">
        <v>23138</v>
      </c>
    </row>
    <row r="91">
      <c r="A91" s="9" t="inlineStr">
        <is>
          <t>영업이익</t>
        </is>
      </c>
      <c r="C91" s="12" t="n">
        <v>24300</v>
      </c>
      <c r="D91" s="12" t="n">
        <v>55228</v>
      </c>
      <c r="E91" s="12" t="n">
        <v>23728</v>
      </c>
      <c r="F91" s="12" t="n">
        <v>45195</v>
      </c>
      <c r="G91" s="12" t="n">
        <v>19887</v>
      </c>
      <c r="H91" s="12" t="n">
        <v>74550</v>
      </c>
      <c r="I91" s="12" t="n">
        <v>31816</v>
      </c>
      <c r="J91" s="12" t="n">
        <v>43239</v>
      </c>
      <c r="K91" s="12" t="n">
        <v>31316</v>
      </c>
      <c r="L91" s="12" t="n">
        <v>80455</v>
      </c>
      <c r="M91" s="12" t="n">
        <v>31171</v>
      </c>
      <c r="N91" s="12" t="n">
        <v>49142</v>
      </c>
      <c r="U91" s="12" t="n">
        <v>48890</v>
      </c>
      <c r="V91" s="12" t="n">
        <v>55228</v>
      </c>
      <c r="W91" s="12" t="n">
        <v>74550</v>
      </c>
      <c r="X91" s="12" t="n">
        <v>80455</v>
      </c>
    </row>
    <row r="92">
      <c r="A92" s="18" t="inlineStr">
        <is>
          <t>이자수익</t>
        </is>
      </c>
      <c r="C92" s="20" t="n">
        <v>15</v>
      </c>
      <c r="D92" s="20" t="n">
        <v>29</v>
      </c>
      <c r="E92" s="20" t="n">
        <v>15</v>
      </c>
      <c r="F92" s="20" t="n">
        <v>15</v>
      </c>
      <c r="G92" s="20" t="n">
        <v>22</v>
      </c>
      <c r="H92" s="20" t="n">
        <v>22</v>
      </c>
      <c r="I92" s="20" t="n">
        <v>149</v>
      </c>
      <c r="J92" s="20" t="n">
        <v>114</v>
      </c>
      <c r="K92" s="20" t="n">
        <v>220</v>
      </c>
      <c r="L92" s="20" t="n">
        <v>78</v>
      </c>
      <c r="M92" s="20" t="n">
        <v>211</v>
      </c>
      <c r="N92" s="20" t="n">
        <v>356</v>
      </c>
      <c r="U92" s="20" t="n">
        <v>2</v>
      </c>
      <c r="V92" s="20" t="n">
        <v>29</v>
      </c>
      <c r="W92" s="20" t="n">
        <v>22</v>
      </c>
      <c r="X92" s="20" t="n">
        <v>78</v>
      </c>
    </row>
    <row r="93">
      <c r="A93" s="18" t="inlineStr">
        <is>
          <t>배당금수익</t>
        </is>
      </c>
      <c r="C93" s="20" t="n">
        <v>115</v>
      </c>
      <c r="D93" s="20" t="n">
        <v>1567</v>
      </c>
      <c r="E93" s="20" t="n">
        <v>234</v>
      </c>
      <c r="F93" s="20" t="n">
        <v>1933</v>
      </c>
      <c r="G93" s="20" t="n">
        <v>123</v>
      </c>
      <c r="H93" s="20" t="n">
        <v>1735</v>
      </c>
      <c r="I93" s="20" t="n">
        <v>266</v>
      </c>
      <c r="J93" s="20" t="n">
        <v>2101</v>
      </c>
      <c r="K93" s="20" t="n">
        <v>145</v>
      </c>
      <c r="L93" s="20" t="n">
        <v>2666</v>
      </c>
      <c r="M93" s="20" t="n">
        <v>276</v>
      </c>
      <c r="N93" s="20" t="n">
        <v>2276</v>
      </c>
      <c r="U93" s="20" t="n">
        <v>1298</v>
      </c>
      <c r="V93" s="20" t="n">
        <v>1567</v>
      </c>
      <c r="W93" s="20" t="n">
        <v>1735</v>
      </c>
      <c r="X93" s="20" t="n">
        <v>2666</v>
      </c>
    </row>
    <row r="94">
      <c r="A94" s="18" t="inlineStr">
        <is>
          <t>지분법이익</t>
        </is>
      </c>
      <c r="C94" s="20" t="n">
        <v>0</v>
      </c>
      <c r="D94" s="20" t="n">
        <v>0</v>
      </c>
      <c r="E94" s="20" t="n">
        <v>84</v>
      </c>
      <c r="F94" s="20" t="n">
        <v>-32</v>
      </c>
      <c r="G94" s="20" t="n">
        <v>31</v>
      </c>
      <c r="H94" s="20" t="n">
        <v>153</v>
      </c>
      <c r="I94" s="20" t="n">
        <v>383</v>
      </c>
      <c r="J94" s="20" t="n">
        <v>699</v>
      </c>
      <c r="K94" s="20" t="n">
        <v>101</v>
      </c>
      <c r="L94" s="20" t="n">
        <v>64</v>
      </c>
      <c r="M94" s="20" t="n">
        <v>549</v>
      </c>
      <c r="N94" s="20" t="n">
        <v>530</v>
      </c>
      <c r="U94" s="20" t="n">
        <v>52</v>
      </c>
      <c r="V94" s="20" t="n">
        <v>0</v>
      </c>
      <c r="W94" s="20" t="n">
        <v>153</v>
      </c>
      <c r="X94" s="20" t="n">
        <v>64</v>
      </c>
    </row>
    <row r="95">
      <c r="A95" s="18" t="inlineStr">
        <is>
          <t>Income Arising From Cancellation Of Leasing Contracts NOI</t>
        </is>
      </c>
      <c r="C95" s="20" t="n">
        <v>52</v>
      </c>
      <c r="D95" s="20" t="n">
        <v>236</v>
      </c>
      <c r="E95" s="20" t="n">
        <v>467</v>
      </c>
      <c r="F95" s="20" t="n">
        <v>210</v>
      </c>
      <c r="G95" s="20" t="n">
        <v>398</v>
      </c>
      <c r="H95" s="20" t="n">
        <v>282</v>
      </c>
      <c r="I95" s="20" t="n">
        <v>139</v>
      </c>
      <c r="J95" s="20" t="n">
        <v>32</v>
      </c>
      <c r="K95" s="20" t="n">
        <v>234</v>
      </c>
      <c r="L95" s="20" t="n">
        <v>5366</v>
      </c>
      <c r="M95" s="20" t="n">
        <v>2468</v>
      </c>
      <c r="N95" s="20" t="n">
        <v>20</v>
      </c>
      <c r="U95" s="20" t="n">
        <v>-15</v>
      </c>
      <c r="V95" s="20" t="n">
        <v>236</v>
      </c>
      <c r="W95" s="20" t="n">
        <v>282</v>
      </c>
      <c r="X95" s="20" t="n">
        <v>5366</v>
      </c>
    </row>
    <row r="96">
      <c r="A96" s="18" t="inlineStr">
        <is>
          <t>Cooperation Fee NOI</t>
        </is>
      </c>
      <c r="E96" s="20" t="n">
        <v>0</v>
      </c>
    </row>
    <row r="97">
      <c r="A97" s="18" t="inlineStr">
        <is>
          <t>외환차익</t>
        </is>
      </c>
      <c r="E97" s="20" t="n">
        <v>0</v>
      </c>
      <c r="I97" s="20" t="n">
        <v>305</v>
      </c>
      <c r="M97" s="20" t="n">
        <v>72</v>
      </c>
    </row>
    <row r="98">
      <c r="A98" s="18" t="inlineStr">
        <is>
          <t>기타</t>
        </is>
      </c>
      <c r="C98" s="20" t="n">
        <v>162</v>
      </c>
      <c r="D98" s="20" t="n">
        <v>148</v>
      </c>
      <c r="E98" s="20" t="n">
        <v>231</v>
      </c>
      <c r="F98" s="20" t="n">
        <v>159</v>
      </c>
      <c r="G98" s="20" t="n">
        <v>430</v>
      </c>
      <c r="H98" s="20" t="n">
        <v>276</v>
      </c>
      <c r="I98" s="20" t="n">
        <v>184</v>
      </c>
      <c r="J98" s="20" t="n">
        <v>365</v>
      </c>
      <c r="K98" s="20" t="n">
        <v>72</v>
      </c>
      <c r="L98" s="20" t="n">
        <v>259</v>
      </c>
      <c r="M98" s="20" t="n">
        <v>205</v>
      </c>
      <c r="N98" s="20" t="n">
        <v>546</v>
      </c>
      <c r="U98" s="20" t="n">
        <v>-205</v>
      </c>
      <c r="V98" s="20" t="n">
        <v>148</v>
      </c>
      <c r="W98" s="20" t="n">
        <v>276</v>
      </c>
      <c r="X98" s="20" t="n">
        <v>259</v>
      </c>
    </row>
    <row r="99">
      <c r="A99" s="18" t="inlineStr">
        <is>
          <t>영업외수익 합계</t>
        </is>
      </c>
      <c r="C99" s="20" t="n">
        <v>344</v>
      </c>
      <c r="D99" s="20" t="n">
        <v>1993</v>
      </c>
      <c r="E99" s="20" t="n">
        <v>1033</v>
      </c>
      <c r="F99" s="20" t="n">
        <v>2285</v>
      </c>
      <c r="G99" s="20" t="n">
        <v>1004</v>
      </c>
      <c r="H99" s="20" t="n">
        <v>2469</v>
      </c>
      <c r="I99" s="20" t="n">
        <v>1428</v>
      </c>
      <c r="J99" s="20" t="n">
        <v>3006</v>
      </c>
      <c r="K99" s="20" t="n">
        <v>771</v>
      </c>
      <c r="L99" s="20" t="n">
        <v>8434</v>
      </c>
      <c r="M99" s="20" t="n">
        <v>3784</v>
      </c>
      <c r="N99" s="20" t="n">
        <v>3655</v>
      </c>
      <c r="U99" s="20" t="n">
        <v>1485</v>
      </c>
      <c r="V99" s="20" t="n">
        <v>1993</v>
      </c>
      <c r="W99" s="20" t="n">
        <v>2469</v>
      </c>
      <c r="X99" s="20" t="n">
        <v>8434</v>
      </c>
    </row>
    <row r="100">
      <c r="A100" s="18" t="inlineStr">
        <is>
          <t>이자비용</t>
        </is>
      </c>
      <c r="C100" s="20" t="n">
        <v>2923</v>
      </c>
      <c r="D100" s="20" t="n">
        <v>2971</v>
      </c>
      <c r="E100" s="20" t="n">
        <v>2965</v>
      </c>
      <c r="F100" s="20" t="n">
        <v>3242</v>
      </c>
      <c r="G100" s="20" t="n">
        <v>3377</v>
      </c>
      <c r="H100" s="20" t="n">
        <v>3588</v>
      </c>
      <c r="I100" s="20" t="n">
        <v>4306</v>
      </c>
      <c r="J100" s="20" t="n">
        <v>5145</v>
      </c>
      <c r="K100" s="20" t="n">
        <v>5879</v>
      </c>
      <c r="L100" s="20" t="n">
        <v>6429</v>
      </c>
      <c r="M100" s="20" t="n">
        <v>6617</v>
      </c>
      <c r="N100" s="20" t="n">
        <v>7632</v>
      </c>
      <c r="U100" s="20" t="n">
        <v>2803</v>
      </c>
      <c r="V100" s="20" t="n">
        <v>2971</v>
      </c>
      <c r="W100" s="20" t="n">
        <v>3588</v>
      </c>
      <c r="X100" s="20" t="n">
        <v>6429</v>
      </c>
    </row>
    <row r="101">
      <c r="A101" s="18" t="inlineStr">
        <is>
          <t>지분법손실</t>
        </is>
      </c>
      <c r="C101" s="20" t="n">
        <v>-156</v>
      </c>
      <c r="D101" s="20" t="n">
        <v>-113</v>
      </c>
      <c r="G101" s="20" t="n">
        <v>0</v>
      </c>
      <c r="H101" s="20" t="n">
        <v>0</v>
      </c>
      <c r="U101" s="20" t="n">
        <v>0</v>
      </c>
      <c r="V101" s="20" t="n">
        <v>-113</v>
      </c>
      <c r="W101" s="20" t="n">
        <v>0</v>
      </c>
    </row>
    <row r="102">
      <c r="A102" s="18" t="inlineStr">
        <is>
          <t>기타</t>
        </is>
      </c>
      <c r="C102" s="20" t="n">
        <v>489</v>
      </c>
      <c r="D102" s="20" t="n">
        <v>515</v>
      </c>
      <c r="E102" s="20" t="n">
        <v>554</v>
      </c>
      <c r="F102" s="20" t="n">
        <v>623</v>
      </c>
      <c r="G102" s="20" t="n">
        <v>729</v>
      </c>
      <c r="H102" s="20" t="n">
        <v>743</v>
      </c>
      <c r="I102" s="20" t="n">
        <v>927</v>
      </c>
      <c r="J102" s="20" t="n">
        <v>2563</v>
      </c>
      <c r="K102" s="20" t="n">
        <v>1204</v>
      </c>
      <c r="L102" s="20" t="n">
        <v>1084</v>
      </c>
      <c r="M102" s="20" t="n">
        <v>1351</v>
      </c>
      <c r="N102" s="20" t="n">
        <v>1291</v>
      </c>
      <c r="U102" s="20" t="n">
        <v>428</v>
      </c>
      <c r="V102" s="20" t="n">
        <v>515</v>
      </c>
      <c r="W102" s="20" t="n">
        <v>743</v>
      </c>
      <c r="X102" s="20" t="n">
        <v>1084</v>
      </c>
    </row>
    <row r="103">
      <c r="A103" s="18" t="inlineStr">
        <is>
          <t>영업외비용 합계</t>
        </is>
      </c>
      <c r="C103" s="20" t="n">
        <v>3255</v>
      </c>
      <c r="D103" s="20" t="n">
        <v>3373</v>
      </c>
      <c r="E103" s="20" t="n">
        <v>3520</v>
      </c>
      <c r="F103" s="20" t="n">
        <v>3865</v>
      </c>
      <c r="G103" s="20" t="n">
        <v>4106</v>
      </c>
      <c r="H103" s="20" t="n">
        <v>4331</v>
      </c>
      <c r="I103" s="20" t="n">
        <v>5233</v>
      </c>
      <c r="J103" s="20" t="n">
        <v>7709</v>
      </c>
      <c r="K103" s="20" t="n">
        <v>7082</v>
      </c>
      <c r="L103" s="20" t="n">
        <v>7514</v>
      </c>
      <c r="M103" s="20" t="n">
        <v>7969</v>
      </c>
      <c r="N103" s="20" t="n">
        <v>8922</v>
      </c>
      <c r="U103" s="20" t="n">
        <v>3231</v>
      </c>
      <c r="V103" s="20" t="n">
        <v>3373</v>
      </c>
      <c r="W103" s="20" t="n">
        <v>4331</v>
      </c>
      <c r="X103" s="20" t="n">
        <v>7514</v>
      </c>
    </row>
    <row r="104">
      <c r="A104" s="9" t="inlineStr">
        <is>
          <t>경상이익</t>
        </is>
      </c>
      <c r="C104" s="12" t="n">
        <v>21388</v>
      </c>
      <c r="D104" s="12" t="n">
        <v>53849</v>
      </c>
      <c r="E104" s="12" t="n">
        <v>21241</v>
      </c>
      <c r="F104" s="12" t="n">
        <v>43615</v>
      </c>
      <c r="G104" s="12" t="n">
        <v>16785</v>
      </c>
      <c r="H104" s="12" t="n">
        <v>72688</v>
      </c>
      <c r="I104" s="12" t="n">
        <v>28010</v>
      </c>
      <c r="J104" s="12" t="n">
        <v>38537</v>
      </c>
      <c r="K104" s="12" t="n">
        <v>25006</v>
      </c>
      <c r="L104" s="12" t="n">
        <v>81374</v>
      </c>
      <c r="M104" s="12" t="n">
        <v>26986</v>
      </c>
      <c r="N104" s="12" t="n">
        <v>43875</v>
      </c>
      <c r="U104" s="12" t="n">
        <v>47144</v>
      </c>
      <c r="V104" s="12" t="n">
        <v>53849</v>
      </c>
      <c r="W104" s="12" t="n">
        <v>72688</v>
      </c>
      <c r="X104" s="12" t="n">
        <v>81374</v>
      </c>
    </row>
    <row r="105">
      <c r="A105" s="18" t="inlineStr">
        <is>
          <t>고정자산 매각이익</t>
        </is>
      </c>
      <c r="E105" s="20" t="n">
        <v>0</v>
      </c>
    </row>
    <row r="106">
      <c r="A106" s="18" t="inlineStr">
        <is>
          <t>투자유가증권 매각이익</t>
        </is>
      </c>
      <c r="C106" s="20" t="n">
        <v>0</v>
      </c>
      <c r="D106" s="20" t="n">
        <v>0</v>
      </c>
      <c r="E106" s="20" t="n">
        <v>3486</v>
      </c>
      <c r="F106" s="20" t="n">
        <v>1959</v>
      </c>
      <c r="G106" s="20" t="n">
        <v>0</v>
      </c>
      <c r="H106" s="20" t="n">
        <v>652</v>
      </c>
      <c r="I106" s="20" t="n">
        <v>829</v>
      </c>
      <c r="J106" s="20" t="n">
        <v>2876</v>
      </c>
      <c r="K106" s="20" t="n">
        <v>54</v>
      </c>
      <c r="L106" s="20" t="n">
        <v>82</v>
      </c>
      <c r="M106" s="20" t="n">
        <v>2491</v>
      </c>
      <c r="N106" s="20" t="n">
        <v>2183</v>
      </c>
      <c r="U106" s="20" t="n">
        <v>2010</v>
      </c>
      <c r="V106" s="20" t="n">
        <v>0</v>
      </c>
      <c r="W106" s="20" t="n">
        <v>652</v>
      </c>
      <c r="X106" s="20" t="n">
        <v>82</v>
      </c>
    </row>
    <row r="107">
      <c r="A107" s="18" t="inlineStr">
        <is>
          <t>Gain On Investments In Silent Partnership And Other EI</t>
        </is>
      </c>
      <c r="C107" s="20" t="n">
        <v>0</v>
      </c>
      <c r="D107" s="20" t="n">
        <v>38</v>
      </c>
      <c r="G107" s="20" t="n">
        <v>0</v>
      </c>
      <c r="H107" s="20" t="n">
        <v>53</v>
      </c>
      <c r="K107" s="20" t="n">
        <v>0</v>
      </c>
      <c r="L107" s="20" t="n">
        <v>187</v>
      </c>
      <c r="U107" s="20" t="n">
        <v>66</v>
      </c>
      <c r="V107" s="20" t="n">
        <v>38</v>
      </c>
      <c r="W107" s="20" t="n">
        <v>53</v>
      </c>
      <c r="X107" s="20" t="n">
        <v>187</v>
      </c>
    </row>
    <row r="108">
      <c r="A108" s="18" t="inlineStr">
        <is>
          <t>Subsidies For Employment Adjustment Etc EI</t>
        </is>
      </c>
      <c r="C108" s="20" t="n">
        <v>0</v>
      </c>
      <c r="D108" s="20" t="n">
        <v>0</v>
      </c>
      <c r="U108" s="20" t="n">
        <v>0</v>
      </c>
      <c r="V108" s="20" t="n">
        <v>0</v>
      </c>
    </row>
    <row r="109">
      <c r="A109" s="18" t="inlineStr">
        <is>
          <t>보상금 수취</t>
        </is>
      </c>
      <c r="C109" s="20" t="n">
        <v>0</v>
      </c>
      <c r="D109" s="20" t="n">
        <v>0</v>
      </c>
      <c r="E109" s="20" t="n">
        <v>0</v>
      </c>
      <c r="F109" s="20" t="n">
        <v>0</v>
      </c>
      <c r="G109" s="20" t="n">
        <v>0</v>
      </c>
      <c r="H109" s="20" t="n">
        <v>0</v>
      </c>
      <c r="U109" s="20" t="n">
        <v>0</v>
      </c>
      <c r="V109" s="20" t="n">
        <v>0</v>
      </c>
      <c r="W109" s="20" t="n">
        <v>0</v>
      </c>
    </row>
    <row r="110">
      <c r="A110" s="18" t="inlineStr">
        <is>
          <t>기타</t>
        </is>
      </c>
      <c r="C110" s="20" t="n">
        <v>-6</v>
      </c>
      <c r="D110" s="20" t="n">
        <v>95</v>
      </c>
      <c r="E110" s="20" t="n">
        <v>24</v>
      </c>
      <c r="F110" s="20" t="n">
        <v>29</v>
      </c>
      <c r="G110" s="20" t="n">
        <v>0</v>
      </c>
      <c r="H110" s="20" t="n">
        <v>83</v>
      </c>
      <c r="I110" s="20" t="n">
        <v>176</v>
      </c>
      <c r="J110" s="20" t="n">
        <v>-80</v>
      </c>
      <c r="K110" s="20" t="n">
        <v>19</v>
      </c>
      <c r="L110" s="20" t="n">
        <v>5</v>
      </c>
      <c r="M110" s="20" t="n">
        <v>146</v>
      </c>
      <c r="N110" s="20" t="n">
        <v>-4</v>
      </c>
      <c r="U110" s="20" t="n">
        <v>-1</v>
      </c>
      <c r="V110" s="20" t="n">
        <v>95</v>
      </c>
      <c r="W110" s="20" t="n">
        <v>83</v>
      </c>
      <c r="X110" s="20" t="n">
        <v>5</v>
      </c>
    </row>
    <row r="111">
      <c r="A111" s="18" t="inlineStr">
        <is>
          <t>특별이익 합계</t>
        </is>
      </c>
      <c r="C111" s="20" t="n">
        <v>-5</v>
      </c>
      <c r="D111" s="20" t="n">
        <v>133</v>
      </c>
      <c r="E111" s="20" t="n">
        <v>3511</v>
      </c>
      <c r="F111" s="20" t="n">
        <v>2034</v>
      </c>
      <c r="G111" s="20" t="n">
        <v>0</v>
      </c>
      <c r="H111" s="20" t="n">
        <v>788</v>
      </c>
      <c r="I111" s="20" t="n">
        <v>1005</v>
      </c>
      <c r="J111" s="20" t="n">
        <v>3115</v>
      </c>
      <c r="K111" s="20" t="n">
        <v>73</v>
      </c>
      <c r="L111" s="20" t="n">
        <v>274</v>
      </c>
      <c r="M111" s="20" t="n">
        <v>2637</v>
      </c>
      <c r="N111" s="20" t="n">
        <v>2910</v>
      </c>
      <c r="U111" s="20" t="n">
        <v>2083</v>
      </c>
      <c r="V111" s="20" t="n">
        <v>133</v>
      </c>
      <c r="W111" s="20" t="n">
        <v>788</v>
      </c>
      <c r="X111" s="20" t="n">
        <v>274</v>
      </c>
    </row>
    <row r="112">
      <c r="A112" s="18" t="inlineStr">
        <is>
          <t>고정자산 매각손실</t>
        </is>
      </c>
      <c r="E112" s="20" t="n">
        <v>0</v>
      </c>
    </row>
    <row r="113">
      <c r="A113" s="18" t="inlineStr">
        <is>
          <t>고정자산 제각손실</t>
        </is>
      </c>
      <c r="C113" s="20" t="n">
        <v>199</v>
      </c>
      <c r="D113" s="20" t="n">
        <v>1340</v>
      </c>
      <c r="E113" s="20" t="n">
        <v>1304</v>
      </c>
      <c r="F113" s="20" t="n">
        <v>694</v>
      </c>
      <c r="G113" s="20" t="n">
        <v>384</v>
      </c>
      <c r="H113" s="20" t="n">
        <v>184</v>
      </c>
      <c r="I113" s="20" t="n">
        <v>608</v>
      </c>
      <c r="J113" s="20" t="n">
        <v>609</v>
      </c>
      <c r="K113" s="20" t="n">
        <v>104</v>
      </c>
      <c r="L113" s="20" t="n">
        <v>304</v>
      </c>
      <c r="M113" s="20" t="n">
        <v>176</v>
      </c>
      <c r="N113" s="20" t="n">
        <v>658</v>
      </c>
      <c r="U113" s="20" t="n">
        <v>1314</v>
      </c>
      <c r="V113" s="20" t="n">
        <v>1340</v>
      </c>
      <c r="W113" s="20" t="n">
        <v>184</v>
      </c>
      <c r="X113" s="20" t="n">
        <v>304</v>
      </c>
    </row>
    <row r="114">
      <c r="A114" s="18" t="inlineStr">
        <is>
          <t>Loss Arising From Building Reconstruction EL</t>
        </is>
      </c>
      <c r="C114" s="20" t="n">
        <v>122</v>
      </c>
      <c r="D114" s="20" t="n">
        <v>61</v>
      </c>
      <c r="E114" s="20" t="n">
        <v>9</v>
      </c>
      <c r="F114" s="20" t="n">
        <v>138</v>
      </c>
      <c r="G114" s="20" t="n">
        <v>455</v>
      </c>
      <c r="H114" s="20" t="n">
        <v>1619</v>
      </c>
      <c r="I114" s="20" t="n">
        <v>218</v>
      </c>
      <c r="J114" s="20" t="n">
        <v>10</v>
      </c>
      <c r="K114" s="20" t="n">
        <v>508</v>
      </c>
      <c r="L114" s="20" t="n">
        <v>42</v>
      </c>
      <c r="M114" s="20" t="n">
        <v>408</v>
      </c>
      <c r="N114" s="20" t="n">
        <v>1401</v>
      </c>
      <c r="U114" s="20" t="n">
        <v>1937</v>
      </c>
      <c r="V114" s="20" t="n">
        <v>61</v>
      </c>
      <c r="W114" s="20" t="n">
        <v>1619</v>
      </c>
      <c r="X114" s="20" t="n">
        <v>42</v>
      </c>
    </row>
    <row r="115">
      <c r="A115" s="18" t="inlineStr">
        <is>
          <t>손상차손</t>
        </is>
      </c>
      <c r="C115" s="20" t="n">
        <v>0</v>
      </c>
      <c r="D115" s="20" t="n">
        <v>1153</v>
      </c>
      <c r="E115" s="20" t="n">
        <v>0</v>
      </c>
      <c r="F115" s="20" t="n">
        <v>31</v>
      </c>
      <c r="G115" s="20" t="n">
        <v>85</v>
      </c>
      <c r="H115" s="20" t="n">
        <v>1760</v>
      </c>
      <c r="I115" s="20" t="n">
        <v>415</v>
      </c>
      <c r="J115" s="20" t="n">
        <v>155</v>
      </c>
      <c r="K115" s="20" t="n">
        <v>5</v>
      </c>
      <c r="L115" s="20" t="n">
        <v>3058</v>
      </c>
      <c r="M115" s="20" t="n">
        <v>1564</v>
      </c>
      <c r="N115" s="20" t="n">
        <v>234</v>
      </c>
      <c r="U115" s="20" t="n">
        <v>430</v>
      </c>
      <c r="V115" s="20" t="n">
        <v>1153</v>
      </c>
      <c r="W115" s="20" t="n">
        <v>1760</v>
      </c>
      <c r="X115" s="20" t="n">
        <v>3058</v>
      </c>
    </row>
    <row r="116">
      <c r="A116" s="18" t="inlineStr">
        <is>
          <t>단계적 취득 차손</t>
        </is>
      </c>
      <c r="C116" s="20" t="n">
        <v>0</v>
      </c>
      <c r="D116" s="20" t="n">
        <v>0</v>
      </c>
      <c r="G116" s="20" t="n">
        <v>0</v>
      </c>
      <c r="H116" s="20" t="n">
        <v>0</v>
      </c>
      <c r="K116" s="20" t="n">
        <v>0</v>
      </c>
      <c r="L116" s="20" t="n">
        <v>0</v>
      </c>
      <c r="V116" s="20" t="n">
        <v>0</v>
      </c>
      <c r="W116" s="20" t="n">
        <v>0</v>
      </c>
      <c r="X116" s="20" t="n">
        <v>0</v>
      </c>
    </row>
    <row r="117">
      <c r="A117" s="18" t="inlineStr">
        <is>
          <t>기타</t>
        </is>
      </c>
      <c r="C117" s="20" t="n">
        <v>0</v>
      </c>
      <c r="D117" s="20" t="n">
        <v>2</v>
      </c>
      <c r="E117" s="20" t="n">
        <v>10</v>
      </c>
      <c r="F117" s="20" t="n">
        <v>20</v>
      </c>
      <c r="G117" s="20" t="n">
        <v>8</v>
      </c>
      <c r="H117" s="20" t="n">
        <v>31</v>
      </c>
      <c r="I117" s="20" t="n">
        <v>0</v>
      </c>
      <c r="J117" s="20" t="n">
        <v>3</v>
      </c>
      <c r="K117" s="20" t="n">
        <v>9</v>
      </c>
      <c r="L117" s="20" t="n">
        <v>2</v>
      </c>
      <c r="M117" s="20" t="n">
        <v>20</v>
      </c>
      <c r="N117" s="20" t="n">
        <v>18</v>
      </c>
      <c r="U117" s="20" t="n">
        <v>358</v>
      </c>
      <c r="V117" s="20" t="n">
        <v>2</v>
      </c>
      <c r="W117" s="20" t="n">
        <v>31</v>
      </c>
      <c r="X117" s="20" t="n">
        <v>2</v>
      </c>
    </row>
    <row r="118">
      <c r="A118" s="18" t="inlineStr">
        <is>
          <t>특별손실 합계</t>
        </is>
      </c>
      <c r="C118" s="20" t="n">
        <v>321</v>
      </c>
      <c r="D118" s="20" t="n">
        <v>2556</v>
      </c>
      <c r="E118" s="20" t="n">
        <v>1325</v>
      </c>
      <c r="F118" s="20" t="n">
        <v>3675</v>
      </c>
      <c r="G118" s="20" t="n">
        <v>932</v>
      </c>
      <c r="H118" s="20" t="n">
        <v>3595</v>
      </c>
      <c r="I118" s="20" t="n">
        <v>1242</v>
      </c>
      <c r="J118" s="20" t="n">
        <v>777</v>
      </c>
      <c r="K118" s="20" t="n">
        <v>627</v>
      </c>
      <c r="L118" s="20" t="n">
        <v>3406</v>
      </c>
      <c r="M118" s="20" t="n">
        <v>2169</v>
      </c>
      <c r="N118" s="20" t="n">
        <v>2311</v>
      </c>
      <c r="U118" s="20" t="n">
        <v>4050</v>
      </c>
      <c r="V118" s="20" t="n">
        <v>2556</v>
      </c>
      <c r="W118" s="20" t="n">
        <v>3595</v>
      </c>
      <c r="X118" s="20" t="n">
        <v>3406</v>
      </c>
    </row>
    <row r="119">
      <c r="A119" s="9" t="inlineStr">
        <is>
          <t>법인세차감전 순이익</t>
        </is>
      </c>
      <c r="C119" s="12" t="n">
        <v>21062</v>
      </c>
      <c r="D119" s="12" t="n">
        <v>51425</v>
      </c>
      <c r="E119" s="12" t="n">
        <v>23427</v>
      </c>
      <c r="F119" s="12" t="n">
        <v>41973</v>
      </c>
      <c r="G119" s="12" t="n">
        <v>15854</v>
      </c>
      <c r="H119" s="12" t="n">
        <v>69882</v>
      </c>
      <c r="I119" s="12" t="n">
        <v>27774</v>
      </c>
      <c r="J119" s="12" t="n">
        <v>40874</v>
      </c>
      <c r="K119" s="12" t="n">
        <v>24452</v>
      </c>
      <c r="L119" s="12" t="n">
        <v>78243</v>
      </c>
      <c r="M119" s="12" t="n">
        <v>27454</v>
      </c>
      <c r="N119" s="12" t="n">
        <v>44474</v>
      </c>
      <c r="U119" s="12" t="n">
        <v>45177</v>
      </c>
      <c r="V119" s="12" t="n">
        <v>51425</v>
      </c>
      <c r="W119" s="12" t="n">
        <v>69882</v>
      </c>
      <c r="X119" s="12" t="n">
        <v>78243</v>
      </c>
    </row>
    <row r="120">
      <c r="A120" s="18" t="inlineStr">
        <is>
          <t>법인세·주민세·사업세</t>
        </is>
      </c>
      <c r="C120" s="20" t="n">
        <v>6688</v>
      </c>
      <c r="D120" s="20" t="n">
        <v>3111</v>
      </c>
      <c r="E120" s="20" t="n">
        <v>7954</v>
      </c>
      <c r="F120" s="20" t="n">
        <v>13379</v>
      </c>
      <c r="G120" s="20" t="n">
        <v>5387</v>
      </c>
      <c r="H120" s="20" t="n">
        <v>14703</v>
      </c>
      <c r="I120" s="20" t="n">
        <v>9672</v>
      </c>
      <c r="J120" s="20" t="n">
        <v>14000</v>
      </c>
      <c r="K120" s="20" t="n">
        <v>11095</v>
      </c>
      <c r="L120" s="20" t="n">
        <v>18528</v>
      </c>
      <c r="M120" s="20" t="n">
        <v>15991</v>
      </c>
      <c r="N120" s="20" t="n">
        <v>13129</v>
      </c>
      <c r="U120" s="20" t="n">
        <v>1720</v>
      </c>
      <c r="V120" s="20" t="n">
        <v>3111</v>
      </c>
      <c r="W120" s="20" t="n">
        <v>14703</v>
      </c>
      <c r="X120" s="20" t="n">
        <v>18528</v>
      </c>
    </row>
    <row r="121">
      <c r="A121" s="18" t="inlineStr">
        <is>
          <t>법인세 조정액</t>
        </is>
      </c>
      <c r="C121" s="20" t="n">
        <v>-213</v>
      </c>
      <c r="D121" s="20" t="n">
        <v>12308</v>
      </c>
      <c r="E121" s="20" t="n">
        <v>-471</v>
      </c>
      <c r="F121" s="20" t="n">
        <v>222</v>
      </c>
      <c r="G121" s="20" t="n">
        <v>-566</v>
      </c>
      <c r="H121" s="20" t="n">
        <v>7237</v>
      </c>
      <c r="I121" s="20" t="n">
        <v>717</v>
      </c>
      <c r="J121" s="20" t="n">
        <v>-821</v>
      </c>
      <c r="K121" s="20" t="n">
        <v>-2829</v>
      </c>
      <c r="L121" s="20" t="n">
        <v>5718</v>
      </c>
      <c r="M121" s="20" t="n">
        <v>-7144</v>
      </c>
      <c r="N121" s="20" t="n">
        <v>-634</v>
      </c>
      <c r="U121" s="20" t="n">
        <v>12963</v>
      </c>
      <c r="V121" s="20" t="n">
        <v>12308</v>
      </c>
      <c r="W121" s="20" t="n">
        <v>7237</v>
      </c>
      <c r="X121" s="20" t="n">
        <v>5718</v>
      </c>
    </row>
    <row r="122">
      <c r="A122" s="18" t="inlineStr">
        <is>
          <t>법인세 등 합계</t>
        </is>
      </c>
      <c r="C122" s="20" t="n">
        <v>6474</v>
      </c>
      <c r="D122" s="20" t="n">
        <v>15421</v>
      </c>
      <c r="E122" s="20" t="n">
        <v>7483</v>
      </c>
      <c r="F122" s="20" t="n">
        <v>13600</v>
      </c>
      <c r="G122" s="20" t="n">
        <v>4821</v>
      </c>
      <c r="H122" s="20" t="n">
        <v>21941</v>
      </c>
      <c r="I122" s="20" t="n">
        <v>10390</v>
      </c>
      <c r="J122" s="20" t="n">
        <v>13178</v>
      </c>
      <c r="K122" s="20" t="n">
        <v>8266</v>
      </c>
      <c r="L122" s="20" t="n">
        <v>24247</v>
      </c>
      <c r="M122" s="20" t="n">
        <v>8847</v>
      </c>
      <c r="N122" s="20" t="n">
        <v>12495</v>
      </c>
      <c r="U122" s="20" t="n">
        <v>14685</v>
      </c>
      <c r="V122" s="20" t="n">
        <v>15421</v>
      </c>
      <c r="W122" s="20" t="n">
        <v>21941</v>
      </c>
      <c r="X122" s="20" t="n">
        <v>24247</v>
      </c>
    </row>
    <row r="123">
      <c r="A123" s="9" t="inlineStr">
        <is>
          <t>순이익</t>
        </is>
      </c>
      <c r="C123" s="12" t="n">
        <v>14588</v>
      </c>
      <c r="D123" s="12" t="n">
        <v>36004</v>
      </c>
      <c r="E123" s="12" t="n">
        <v>15944</v>
      </c>
      <c r="F123" s="12" t="n">
        <v>28373</v>
      </c>
      <c r="G123" s="12" t="n">
        <v>11032</v>
      </c>
      <c r="H123" s="12" t="n">
        <v>47941</v>
      </c>
      <c r="I123" s="12" t="n">
        <v>17383</v>
      </c>
      <c r="J123" s="12" t="n">
        <v>27696</v>
      </c>
      <c r="K123" s="12" t="n">
        <v>16186</v>
      </c>
      <c r="L123" s="12" t="n">
        <v>53996</v>
      </c>
      <c r="M123" s="12" t="n">
        <v>18606</v>
      </c>
      <c r="N123" s="12" t="n">
        <v>31980</v>
      </c>
      <c r="U123" s="12" t="n">
        <v>30492</v>
      </c>
      <c r="V123" s="12" t="n">
        <v>36004</v>
      </c>
      <c r="W123" s="12" t="n">
        <v>47941</v>
      </c>
      <c r="X123" s="12" t="n">
        <v>53996</v>
      </c>
    </row>
    <row r="124">
      <c r="A124" s="9" t="inlineStr">
        <is>
          <t>비지배주주 순이익</t>
        </is>
      </c>
      <c r="C124" s="12" t="n">
        <v>9</v>
      </c>
      <c r="D124" s="12" t="n">
        <v>76</v>
      </c>
      <c r="E124" s="12" t="n">
        <v>85</v>
      </c>
      <c r="F124" s="12" t="n">
        <v>101</v>
      </c>
      <c r="G124" s="12" t="n">
        <v>566</v>
      </c>
      <c r="H124" s="12" t="n">
        <v>197</v>
      </c>
      <c r="I124" s="12" t="n">
        <v>208</v>
      </c>
      <c r="J124" s="12" t="n">
        <v>-22</v>
      </c>
      <c r="K124" s="12" t="n">
        <v>455</v>
      </c>
      <c r="L124" s="12" t="n">
        <v>286</v>
      </c>
      <c r="M124" s="12" t="n">
        <v>465</v>
      </c>
      <c r="N124" s="12" t="n">
        <v>143</v>
      </c>
      <c r="U124" s="12" t="n">
        <v>9</v>
      </c>
      <c r="V124" s="12" t="n">
        <v>76</v>
      </c>
      <c r="W124" s="12" t="n">
        <v>197</v>
      </c>
      <c r="X124" s="12" t="n">
        <v>286</v>
      </c>
    </row>
    <row r="125">
      <c r="A125" s="9" t="inlineStr">
        <is>
          <t>지배주주 순이익</t>
        </is>
      </c>
      <c r="C125" s="12" t="n">
        <v>14580</v>
      </c>
      <c r="D125" s="12" t="n">
        <v>35928</v>
      </c>
      <c r="E125" s="12" t="n">
        <v>15858</v>
      </c>
      <c r="F125" s="12" t="n">
        <v>28272</v>
      </c>
      <c r="G125" s="12" t="n">
        <v>10466</v>
      </c>
      <c r="H125" s="12" t="n">
        <v>47745</v>
      </c>
      <c r="I125" s="12" t="n">
        <v>17175</v>
      </c>
      <c r="J125" s="12" t="n">
        <v>27718</v>
      </c>
      <c r="K125" s="12" t="n">
        <v>15731</v>
      </c>
      <c r="L125" s="12" t="n">
        <v>53710</v>
      </c>
      <c r="M125" s="12" t="n">
        <v>18141</v>
      </c>
      <c r="N125" s="12" t="n">
        <v>31837</v>
      </c>
      <c r="U125" s="12" t="n">
        <v>30483</v>
      </c>
      <c r="V125" s="12" t="n">
        <v>35928</v>
      </c>
      <c r="W125" s="12" t="n">
        <v>47745</v>
      </c>
      <c r="X125" s="12" t="n">
        <v>53710</v>
      </c>
    </row>
    <row r="127">
      <c r="A127" s="16" t="inlineStr">
        <is>
          <t>포괄손익 · 전 항목</t>
        </is>
      </c>
      <c r="B127" s="42" t="inlineStr">
        <is>
          <t>분기 = 3개월 단독</t>
        </is>
      </c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</row>
    <row r="128">
      <c r="A128" s="5" t="inlineStr">
        <is>
          <t>항목</t>
        </is>
      </c>
      <c r="B128" s="5" t="inlineStr">
        <is>
          <t>참고</t>
        </is>
      </c>
      <c r="C128" s="5" t="inlineStr">
        <is>
          <t>2023.3Q</t>
        </is>
      </c>
      <c r="D128" s="5" t="inlineStr">
        <is>
          <t>2023.4Q</t>
        </is>
      </c>
      <c r="E128" s="5" t="inlineStr">
        <is>
          <t>2024.1Q</t>
        </is>
      </c>
      <c r="F128" s="5" t="inlineStr">
        <is>
          <t>2024.2Q</t>
        </is>
      </c>
      <c r="G128" s="5" t="inlineStr">
        <is>
          <t>2024.3Q</t>
        </is>
      </c>
      <c r="H128" s="5" t="inlineStr">
        <is>
          <t>2024.4Q</t>
        </is>
      </c>
      <c r="I128" s="5" t="inlineStr">
        <is>
          <t>2025.1Q</t>
        </is>
      </c>
      <c r="J128" s="5" t="inlineStr">
        <is>
          <t>2025.2Q</t>
        </is>
      </c>
      <c r="K128" s="5" t="inlineStr">
        <is>
          <t>2025.3Q</t>
        </is>
      </c>
      <c r="L128" s="5" t="inlineStr">
        <is>
          <t>2025.4Q</t>
        </is>
      </c>
      <c r="M128" s="5" t="inlineStr">
        <is>
          <t>2026.1Q</t>
        </is>
      </c>
      <c r="N128" s="5" t="inlineStr">
        <is>
          <t>2026.2Q</t>
        </is>
      </c>
      <c r="O128" s="5" t="inlineStr">
        <is>
          <t>2016</t>
        </is>
      </c>
      <c r="P128" s="5" t="inlineStr">
        <is>
          <t>2017</t>
        </is>
      </c>
      <c r="Q128" s="5" t="inlineStr">
        <is>
          <t>2018</t>
        </is>
      </c>
      <c r="R128" s="5" t="inlineStr">
        <is>
          <t>2019</t>
        </is>
      </c>
      <c r="S128" s="5" t="inlineStr">
        <is>
          <t>2020</t>
        </is>
      </c>
      <c r="T128" s="5" t="inlineStr">
        <is>
          <t>2021</t>
        </is>
      </c>
      <c r="U128" s="5" t="inlineStr">
        <is>
          <t>2022</t>
        </is>
      </c>
      <c r="V128" s="5" t="inlineStr">
        <is>
          <t>2023</t>
        </is>
      </c>
      <c r="W128" s="5" t="inlineStr">
        <is>
          <t>2024</t>
        </is>
      </c>
      <c r="X128" s="5" t="inlineStr">
        <is>
          <t>2025</t>
        </is>
      </c>
      <c r="Y128" s="5" t="inlineStr">
        <is>
          <t>2026(MW)</t>
        </is>
      </c>
      <c r="Z128" s="5" t="inlineStr">
        <is>
          <t>2027(MW)</t>
        </is>
      </c>
      <c r="AA128" s="5" t="inlineStr">
        <is>
          <t>2028(MW)</t>
        </is>
      </c>
      <c r="AB128" s="5" t="inlineStr">
        <is>
          <t>2029(MW)</t>
        </is>
      </c>
      <c r="AC128" s="5" t="inlineStr">
        <is>
          <t>2030(MW)</t>
        </is>
      </c>
    </row>
    <row r="129">
      <c r="A129" s="9" t="inlineStr">
        <is>
          <t>순이익</t>
        </is>
      </c>
      <c r="C129" s="12" t="n">
        <v>14588</v>
      </c>
      <c r="D129" s="12" t="n">
        <v>36004</v>
      </c>
      <c r="E129" s="12" t="n">
        <v>15944</v>
      </c>
      <c r="F129" s="12" t="n">
        <v>28373</v>
      </c>
      <c r="G129" s="12" t="n">
        <v>11032</v>
      </c>
      <c r="H129" s="12" t="n">
        <v>47941</v>
      </c>
      <c r="I129" s="12" t="n">
        <v>17383</v>
      </c>
      <c r="J129" s="12" t="n">
        <v>27696</v>
      </c>
      <c r="K129" s="12" t="n">
        <v>16186</v>
      </c>
      <c r="L129" s="12" t="n">
        <v>53996</v>
      </c>
      <c r="M129" s="12" t="n">
        <v>18606</v>
      </c>
      <c r="N129" s="12" t="n">
        <v>31980</v>
      </c>
      <c r="U129" s="12" t="n">
        <v>30492</v>
      </c>
      <c r="V129" s="12" t="n">
        <v>36004</v>
      </c>
      <c r="W129" s="12" t="n">
        <v>47941</v>
      </c>
      <c r="X129" s="12" t="n">
        <v>53996</v>
      </c>
    </row>
    <row r="130">
      <c r="A130" s="18" t="inlineStr">
        <is>
          <t>기타유가증권 평가차액</t>
        </is>
      </c>
      <c r="C130" s="20" t="n">
        <v>5200</v>
      </c>
      <c r="D130" s="20" t="n">
        <v>-1156</v>
      </c>
      <c r="E130" s="20" t="n">
        <v>11163</v>
      </c>
      <c r="F130" s="20" t="n">
        <v>-2679</v>
      </c>
      <c r="G130" s="20" t="n">
        <v>-8214</v>
      </c>
      <c r="H130" s="20" t="n">
        <v>6540</v>
      </c>
      <c r="I130" s="20" t="n">
        <v>765</v>
      </c>
      <c r="J130" s="20" t="n">
        <v>2096</v>
      </c>
      <c r="K130" s="20" t="n">
        <v>10258</v>
      </c>
      <c r="L130" s="20" t="n">
        <v>6649</v>
      </c>
      <c r="M130" s="20" t="n">
        <v>507</v>
      </c>
      <c r="N130" s="20" t="n">
        <v>4624</v>
      </c>
      <c r="U130" s="20" t="n">
        <v>353</v>
      </c>
      <c r="V130" s="20" t="n">
        <v>-1156</v>
      </c>
      <c r="W130" s="20" t="n">
        <v>6540</v>
      </c>
      <c r="X130" s="20" t="n">
        <v>6649</v>
      </c>
    </row>
    <row r="131">
      <c r="A131" s="18" t="inlineStr">
        <is>
          <t>이연헤지손익</t>
        </is>
      </c>
      <c r="C131" s="20" t="n">
        <v>-68</v>
      </c>
      <c r="D131" s="20" t="n">
        <v>57</v>
      </c>
      <c r="E131" s="20" t="n">
        <v>-120</v>
      </c>
      <c r="F131" s="20" t="n">
        <v>-123</v>
      </c>
      <c r="G131" s="20" t="n">
        <v>162</v>
      </c>
      <c r="H131" s="20" t="n">
        <v>0</v>
      </c>
      <c r="I131" s="20" t="n">
        <v>7</v>
      </c>
      <c r="J131" s="20" t="n">
        <v>-527</v>
      </c>
      <c r="K131" s="20" t="n">
        <v>19</v>
      </c>
      <c r="L131" s="20" t="n">
        <v>19</v>
      </c>
      <c r="M131" s="20" t="n">
        <v>18</v>
      </c>
      <c r="N131" s="20" t="n">
        <v>20</v>
      </c>
      <c r="U131" s="20" t="n">
        <v>111</v>
      </c>
      <c r="V131" s="20" t="n">
        <v>57</v>
      </c>
      <c r="W131" s="20" t="n">
        <v>0</v>
      </c>
      <c r="X131" s="20" t="n">
        <v>19</v>
      </c>
    </row>
    <row r="132">
      <c r="A132" s="18" t="inlineStr">
        <is>
          <t>해외사업환산조정</t>
        </is>
      </c>
      <c r="C132" s="20" t="n">
        <v>0</v>
      </c>
      <c r="D132" s="20" t="n">
        <v>0</v>
      </c>
      <c r="E132" s="20" t="n">
        <v>0</v>
      </c>
      <c r="F132" s="20" t="n">
        <v>0</v>
      </c>
      <c r="G132" s="20" t="n">
        <v>171</v>
      </c>
      <c r="H132" s="20" t="n">
        <v>-1234</v>
      </c>
      <c r="I132" s="20" t="n">
        <v>1468</v>
      </c>
      <c r="J132" s="20" t="n">
        <v>-1138</v>
      </c>
      <c r="K132" s="20" t="n">
        <v>-624</v>
      </c>
      <c r="L132" s="20" t="n">
        <v>1028</v>
      </c>
      <c r="M132" s="20" t="n">
        <v>2769</v>
      </c>
      <c r="N132" s="20" t="n">
        <v>1811</v>
      </c>
      <c r="V132" s="20" t="n">
        <v>0</v>
      </c>
      <c r="W132" s="20" t="n">
        <v>-1234</v>
      </c>
      <c r="X132" s="20" t="n">
        <v>1028</v>
      </c>
    </row>
    <row r="133">
      <c r="A133" s="18" t="inlineStr">
        <is>
          <t>퇴직급여 조정액</t>
        </is>
      </c>
      <c r="C133" s="20" t="n">
        <v>-16</v>
      </c>
      <c r="D133" s="20" t="n">
        <v>28</v>
      </c>
      <c r="E133" s="20" t="n">
        <v>-71</v>
      </c>
      <c r="F133" s="20" t="n">
        <v>-13</v>
      </c>
      <c r="G133" s="20" t="n">
        <v>-12</v>
      </c>
      <c r="H133" s="20" t="n">
        <v>-383</v>
      </c>
      <c r="I133" s="20" t="n">
        <v>-56</v>
      </c>
      <c r="J133" s="20" t="n">
        <v>11</v>
      </c>
      <c r="K133" s="20" t="n">
        <v>12</v>
      </c>
      <c r="L133" s="20" t="n">
        <v>203</v>
      </c>
      <c r="M133" s="20" t="n">
        <v>248</v>
      </c>
      <c r="N133" s="20" t="n">
        <v>8</v>
      </c>
      <c r="U133" s="20" t="n">
        <v>-40</v>
      </c>
      <c r="V133" s="20" t="n">
        <v>28</v>
      </c>
      <c r="W133" s="20" t="n">
        <v>-383</v>
      </c>
      <c r="X133" s="20" t="n">
        <v>203</v>
      </c>
    </row>
    <row r="134">
      <c r="A134" s="18" t="inlineStr">
        <is>
          <t>지분법 적용회사 지분 해당액</t>
        </is>
      </c>
      <c r="C134" s="20" t="n">
        <v>118</v>
      </c>
      <c r="D134" s="20" t="n">
        <v>76</v>
      </c>
      <c r="E134" s="20" t="n">
        <v>-45</v>
      </c>
      <c r="F134" s="20" t="n">
        <v>-132</v>
      </c>
      <c r="G134" s="20" t="n">
        <v>-25</v>
      </c>
      <c r="H134" s="20" t="n">
        <v>-34</v>
      </c>
      <c r="I134" s="20" t="n">
        <v>24</v>
      </c>
      <c r="J134" s="20" t="n">
        <v>-166</v>
      </c>
      <c r="K134" s="20" t="n">
        <v>-3</v>
      </c>
      <c r="L134" s="20" t="n">
        <v>34</v>
      </c>
      <c r="M134" s="20" t="n">
        <v>33</v>
      </c>
      <c r="N134" s="20" t="n">
        <v>32</v>
      </c>
      <c r="U134" s="20" t="n">
        <v>16</v>
      </c>
      <c r="V134" s="20" t="n">
        <v>76</v>
      </c>
      <c r="W134" s="20" t="n">
        <v>-34</v>
      </c>
      <c r="X134" s="20" t="n">
        <v>34</v>
      </c>
    </row>
    <row r="135">
      <c r="A135" s="18" t="inlineStr">
        <is>
          <t>기타포괄손익 합계</t>
        </is>
      </c>
      <c r="C135" s="20" t="n">
        <v>5235</v>
      </c>
      <c r="D135" s="20" t="n">
        <v>-994</v>
      </c>
      <c r="E135" s="20" t="n">
        <v>10926</v>
      </c>
      <c r="F135" s="20" t="n">
        <v>-2948</v>
      </c>
      <c r="G135" s="20" t="n">
        <v>-7917</v>
      </c>
      <c r="H135" s="20" t="n">
        <v>4889</v>
      </c>
      <c r="I135" s="20" t="n">
        <v>2209</v>
      </c>
      <c r="J135" s="20" t="n">
        <v>273</v>
      </c>
      <c r="K135" s="20" t="n">
        <v>9662</v>
      </c>
      <c r="L135" s="20" t="n">
        <v>7935</v>
      </c>
      <c r="M135" s="20" t="n">
        <v>3578</v>
      </c>
      <c r="N135" s="20" t="n">
        <v>6494</v>
      </c>
      <c r="U135" s="20" t="n">
        <v>440</v>
      </c>
      <c r="V135" s="20" t="n">
        <v>-994</v>
      </c>
      <c r="W135" s="20" t="n">
        <v>4889</v>
      </c>
      <c r="X135" s="20" t="n">
        <v>7935</v>
      </c>
    </row>
    <row r="136">
      <c r="A136" s="9" t="inlineStr">
        <is>
          <t>포괄이익</t>
        </is>
      </c>
      <c r="C136" s="12" t="n">
        <v>19824</v>
      </c>
      <c r="D136" s="12" t="n">
        <v>35010</v>
      </c>
      <c r="E136" s="12" t="n">
        <v>26870</v>
      </c>
      <c r="F136" s="12" t="n">
        <v>25426</v>
      </c>
      <c r="G136" s="12" t="n">
        <v>3114</v>
      </c>
      <c r="H136" s="12" t="n">
        <v>52831</v>
      </c>
      <c r="I136" s="12" t="n">
        <v>19593</v>
      </c>
      <c r="J136" s="12" t="n">
        <v>27968</v>
      </c>
      <c r="K136" s="12" t="n">
        <v>25849</v>
      </c>
      <c r="L136" s="12" t="n">
        <v>61930</v>
      </c>
      <c r="M136" s="12" t="n">
        <v>22185</v>
      </c>
      <c r="N136" s="12" t="n">
        <v>38474</v>
      </c>
      <c r="U136" s="12" t="n">
        <v>30932</v>
      </c>
      <c r="V136" s="12" t="n">
        <v>35010</v>
      </c>
      <c r="W136" s="12" t="n">
        <v>52831</v>
      </c>
      <c r="X136" s="12" t="n">
        <v>61930</v>
      </c>
    </row>
    <row r="137">
      <c r="A137" s="9" t="inlineStr">
        <is>
          <t>지배주주 포괄이익</t>
        </is>
      </c>
      <c r="C137" s="12" t="n">
        <v>19815</v>
      </c>
      <c r="D137" s="12" t="n">
        <v>34933</v>
      </c>
      <c r="E137" s="12" t="n">
        <v>26785</v>
      </c>
      <c r="F137" s="12" t="n">
        <v>25324</v>
      </c>
      <c r="G137" s="12" t="n">
        <v>2550</v>
      </c>
      <c r="H137" s="12" t="n">
        <v>52634</v>
      </c>
      <c r="I137" s="12" t="n">
        <v>19395</v>
      </c>
      <c r="J137" s="12" t="n">
        <v>27994</v>
      </c>
      <c r="K137" s="12" t="n">
        <v>25402</v>
      </c>
      <c r="L137" s="12" t="n">
        <v>61644</v>
      </c>
      <c r="M137" s="12" t="n">
        <v>21596</v>
      </c>
      <c r="N137" s="12" t="n">
        <v>38338</v>
      </c>
      <c r="U137" s="12" t="n">
        <v>30923</v>
      </c>
      <c r="V137" s="12" t="n">
        <v>34933</v>
      </c>
      <c r="W137" s="12" t="n">
        <v>52634</v>
      </c>
      <c r="X137" s="12" t="n">
        <v>61644</v>
      </c>
    </row>
    <row r="138">
      <c r="A138" s="9" t="inlineStr">
        <is>
          <t>비지배주주 포괄이익</t>
        </is>
      </c>
      <c r="C138" s="12" t="n">
        <v>9</v>
      </c>
      <c r="D138" s="12" t="n">
        <v>76</v>
      </c>
      <c r="E138" s="12" t="n">
        <v>85</v>
      </c>
      <c r="F138" s="12" t="n">
        <v>101</v>
      </c>
      <c r="G138" s="12" t="n">
        <v>565</v>
      </c>
      <c r="H138" s="12" t="n">
        <v>197</v>
      </c>
      <c r="I138" s="12" t="n">
        <v>197</v>
      </c>
      <c r="J138" s="12" t="n">
        <v>-25</v>
      </c>
      <c r="K138" s="12" t="n">
        <v>446</v>
      </c>
      <c r="L138" s="12" t="n">
        <v>287</v>
      </c>
      <c r="M138" s="12" t="n">
        <v>588</v>
      </c>
      <c r="N138" s="12" t="n">
        <v>137</v>
      </c>
      <c r="U138" s="12" t="n">
        <v>9</v>
      </c>
      <c r="V138" s="12" t="n">
        <v>76</v>
      </c>
      <c r="W138" s="12" t="n">
        <v>197</v>
      </c>
      <c r="X138" s="12" t="n">
        <v>287</v>
      </c>
    </row>
    <row r="140">
      <c r="A140" s="16" t="inlineStr">
        <is>
          <t>부문 · 전 항목</t>
        </is>
      </c>
      <c r="B140" s="42" t="inlineStr">
        <is>
          <t>부문 · 항목</t>
        </is>
      </c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</row>
    <row r="141">
      <c r="A141" s="5" t="inlineStr">
        <is>
          <t>항목</t>
        </is>
      </c>
      <c r="B141" s="5" t="inlineStr">
        <is>
          <t>참고</t>
        </is>
      </c>
      <c r="C141" s="5" t="inlineStr">
        <is>
          <t>2023.3Q</t>
        </is>
      </c>
      <c r="D141" s="5" t="inlineStr">
        <is>
          <t>2023.4Q</t>
        </is>
      </c>
      <c r="E141" s="5" t="inlineStr">
        <is>
          <t>2024.1Q</t>
        </is>
      </c>
      <c r="F141" s="5" t="inlineStr">
        <is>
          <t>2024.2Q</t>
        </is>
      </c>
      <c r="G141" s="5" t="inlineStr">
        <is>
          <t>2024.3Q</t>
        </is>
      </c>
      <c r="H141" s="5" t="inlineStr">
        <is>
          <t>2024.4Q</t>
        </is>
      </c>
      <c r="I141" s="5" t="inlineStr">
        <is>
          <t>2025.1Q</t>
        </is>
      </c>
      <c r="J141" s="5" t="inlineStr">
        <is>
          <t>2025.2Q</t>
        </is>
      </c>
      <c r="K141" s="5" t="inlineStr">
        <is>
          <t>2025.3Q</t>
        </is>
      </c>
      <c r="L141" s="5" t="inlineStr">
        <is>
          <t>2025.4Q</t>
        </is>
      </c>
      <c r="M141" s="5" t="inlineStr">
        <is>
          <t>2026.1Q</t>
        </is>
      </c>
      <c r="N141" s="5" t="inlineStr">
        <is>
          <t>2026.2Q</t>
        </is>
      </c>
      <c r="O141" s="5" t="inlineStr">
        <is>
          <t>2016</t>
        </is>
      </c>
      <c r="P141" s="5" t="inlineStr">
        <is>
          <t>2017</t>
        </is>
      </c>
      <c r="Q141" s="5" t="inlineStr">
        <is>
          <t>2018</t>
        </is>
      </c>
      <c r="R141" s="5" t="inlineStr">
        <is>
          <t>2019</t>
        </is>
      </c>
      <c r="S141" s="5" t="inlineStr">
        <is>
          <t>2020</t>
        </is>
      </c>
      <c r="T141" s="5" t="inlineStr">
        <is>
          <t>2021</t>
        </is>
      </c>
      <c r="U141" s="5" t="inlineStr">
        <is>
          <t>2022</t>
        </is>
      </c>
      <c r="V141" s="5" t="inlineStr">
        <is>
          <t>2023</t>
        </is>
      </c>
      <c r="W141" s="5" t="inlineStr">
        <is>
          <t>2024</t>
        </is>
      </c>
      <c r="X141" s="5" t="inlineStr">
        <is>
          <t>2025</t>
        </is>
      </c>
      <c r="Y141" s="5" t="inlineStr">
        <is>
          <t>2026(MW)</t>
        </is>
      </c>
      <c r="Z141" s="5" t="inlineStr">
        <is>
          <t>2027(MW)</t>
        </is>
      </c>
      <c r="AA141" s="5" t="inlineStr">
        <is>
          <t>2028(MW)</t>
        </is>
      </c>
      <c r="AB141" s="5" t="inlineStr">
        <is>
          <t>2029(MW)</t>
        </is>
      </c>
      <c r="AC141" s="5" t="inlineStr">
        <is>
          <t>2030(MW)</t>
        </is>
      </c>
    </row>
    <row r="142">
      <c r="A142" s="18" t="inlineStr">
        <is>
          <t>부문 · Revenues From External Customers</t>
        </is>
      </c>
      <c r="C142" s="20" t="n">
        <v>81872</v>
      </c>
      <c r="D142" s="20" t="n">
        <v>159619</v>
      </c>
      <c r="E142" s="20" t="n">
        <v>92339</v>
      </c>
      <c r="F142" s="20" t="n">
        <v>83513</v>
      </c>
      <c r="G142" s="20" t="n">
        <v>86582</v>
      </c>
      <c r="H142" s="20" t="n">
        <v>254828</v>
      </c>
      <c r="I142" s="20" t="n">
        <v>131249</v>
      </c>
      <c r="J142" s="20" t="n">
        <v>121510</v>
      </c>
      <c r="K142" s="20" t="n">
        <v>98174</v>
      </c>
      <c r="L142" s="20" t="n">
        <v>277116</v>
      </c>
      <c r="M142" s="20" t="n">
        <v>189746</v>
      </c>
      <c r="N142" s="20" t="n">
        <v>156370</v>
      </c>
      <c r="V142" s="20" t="n">
        <v>159619</v>
      </c>
      <c r="W142" s="20" t="n">
        <v>254828</v>
      </c>
      <c r="X142" s="20" t="n">
        <v>277116</v>
      </c>
    </row>
    <row r="143">
      <c r="A143" s="18" t="inlineStr">
        <is>
          <t>부문 · Revenues From External Customers</t>
        </is>
      </c>
      <c r="C143" s="20" t="n">
        <v>908</v>
      </c>
      <c r="D143" s="20" t="n">
        <v>920</v>
      </c>
      <c r="E143" s="20" t="n">
        <v>1070</v>
      </c>
      <c r="F143" s="20" t="n">
        <v>822</v>
      </c>
      <c r="G143" s="20" t="n">
        <v>1046</v>
      </c>
      <c r="H143" s="20" t="n">
        <v>761</v>
      </c>
      <c r="I143" s="20" t="n">
        <v>1065</v>
      </c>
      <c r="J143" s="20" t="n">
        <v>901</v>
      </c>
      <c r="K143" s="20" t="n">
        <v>1078</v>
      </c>
      <c r="L143" s="20" t="n">
        <v>885</v>
      </c>
      <c r="M143" s="20" t="n">
        <v>1185</v>
      </c>
      <c r="N143" s="20" t="n">
        <v>873</v>
      </c>
      <c r="V143" s="20" t="n">
        <v>920</v>
      </c>
      <c r="W143" s="20" t="n">
        <v>761</v>
      </c>
      <c r="X143" s="20" t="n">
        <v>885</v>
      </c>
    </row>
    <row r="144">
      <c r="A144" s="18" t="inlineStr">
        <is>
          <t>부문 · Revenues From External Customers</t>
        </is>
      </c>
      <c r="C144" s="20" t="n">
        <v>10988</v>
      </c>
      <c r="D144" s="20" t="n">
        <v>6446</v>
      </c>
      <c r="E144" s="20" t="n">
        <v>13129</v>
      </c>
      <c r="F144" s="20" t="n">
        <v>11714</v>
      </c>
      <c r="G144" s="20" t="n">
        <v>11853</v>
      </c>
      <c r="H144" s="20" t="n">
        <v>12074</v>
      </c>
      <c r="I144" s="20" t="n">
        <v>14749</v>
      </c>
      <c r="J144" s="20" t="n">
        <v>13011</v>
      </c>
      <c r="K144" s="20" t="n">
        <v>13487</v>
      </c>
      <c r="L144" s="20" t="n">
        <v>12607</v>
      </c>
      <c r="M144" s="20" t="n">
        <v>16747</v>
      </c>
      <c r="N144" s="20" t="n">
        <v>14622</v>
      </c>
      <c r="V144" s="20" t="n">
        <v>6446</v>
      </c>
      <c r="W144" s="20" t="n">
        <v>12074</v>
      </c>
      <c r="X144" s="20" t="n">
        <v>12607</v>
      </c>
    </row>
    <row r="145">
      <c r="A145" s="18" t="inlineStr">
        <is>
          <t>보고부문 합계 · Revenues From External Customers</t>
        </is>
      </c>
      <c r="C145" s="20" t="n">
        <v>93768</v>
      </c>
      <c r="D145" s="20" t="n">
        <v>166984</v>
      </c>
      <c r="E145" s="20" t="n">
        <v>106539</v>
      </c>
      <c r="F145" s="20" t="n">
        <v>96049</v>
      </c>
      <c r="G145" s="20" t="n">
        <v>99482</v>
      </c>
      <c r="H145" s="20" t="n">
        <v>267662</v>
      </c>
      <c r="I145" s="20" t="n">
        <v>147064</v>
      </c>
      <c r="J145" s="20" t="n">
        <v>135422</v>
      </c>
      <c r="K145" s="20" t="n">
        <v>112739</v>
      </c>
      <c r="L145" s="20" t="n">
        <v>290609</v>
      </c>
      <c r="M145" s="20" t="n">
        <v>207679</v>
      </c>
      <c r="N145" s="20" t="n">
        <v>171865</v>
      </c>
      <c r="V145" s="20" t="n">
        <v>166984</v>
      </c>
      <c r="W145" s="20" t="n">
        <v>267662</v>
      </c>
      <c r="X145" s="20" t="n">
        <v>290609</v>
      </c>
    </row>
    <row r="146">
      <c r="A146" s="18" t="inlineStr">
        <is>
          <t>기타 · Revenues From External Customers</t>
        </is>
      </c>
      <c r="C146" s="20" t="n">
        <v>811</v>
      </c>
      <c r="D146" s="20" t="n">
        <v>870</v>
      </c>
      <c r="E146" s="20" t="n">
        <v>1053</v>
      </c>
      <c r="F146" s="20" t="n">
        <v>1210</v>
      </c>
      <c r="G146" s="20" t="n">
        <v>10652</v>
      </c>
      <c r="H146" s="20" t="n">
        <v>8968</v>
      </c>
      <c r="I146" s="20" t="n">
        <v>9579</v>
      </c>
      <c r="J146" s="20" t="n">
        <v>8015</v>
      </c>
      <c r="K146" s="20" t="n">
        <v>11398</v>
      </c>
      <c r="L146" s="20" t="n">
        <v>12620</v>
      </c>
      <c r="M146" s="20" t="n">
        <v>19162</v>
      </c>
      <c r="N146" s="20" t="n">
        <v>17890</v>
      </c>
      <c r="V146" s="20" t="n">
        <v>870</v>
      </c>
      <c r="W146" s="20" t="n">
        <v>8968</v>
      </c>
      <c r="X146" s="20" t="n">
        <v>12620</v>
      </c>
    </row>
    <row r="147">
      <c r="A147" s="18" t="inlineStr">
        <is>
          <t>합계 · Revenues From External Customers</t>
        </is>
      </c>
      <c r="C147" s="20" t="n">
        <v>94579</v>
      </c>
      <c r="D147" s="20" t="n">
        <v>167854</v>
      </c>
      <c r="E147" s="20" t="n">
        <v>107593</v>
      </c>
      <c r="F147" s="20" t="n">
        <v>97259</v>
      </c>
      <c r="G147" s="20" t="n">
        <v>110133</v>
      </c>
      <c r="H147" s="20" t="n">
        <v>276630</v>
      </c>
      <c r="I147" s="20" t="n">
        <v>156644</v>
      </c>
      <c r="J147" s="20" t="n">
        <v>143437</v>
      </c>
      <c r="K147" s="20" t="n">
        <v>124137</v>
      </c>
      <c r="L147" s="20" t="n">
        <v>303229</v>
      </c>
      <c r="M147" s="20" t="n">
        <v>226841</v>
      </c>
      <c r="N147" s="20" t="n">
        <v>189755</v>
      </c>
      <c r="V147" s="20" t="n">
        <v>167854</v>
      </c>
      <c r="W147" s="20" t="n">
        <v>276630</v>
      </c>
      <c r="X147" s="20" t="n">
        <v>303229</v>
      </c>
    </row>
    <row r="148">
      <c r="A148" s="18" t="inlineStr">
        <is>
          <t>조정액 · Revenues From External Customers</t>
        </is>
      </c>
      <c r="C148" s="20" t="n">
        <v>0</v>
      </c>
      <c r="D148" s="20" t="n">
        <v>0</v>
      </c>
      <c r="E148" s="20" t="n">
        <v>0</v>
      </c>
      <c r="F148" s="20" t="n">
        <v>0</v>
      </c>
      <c r="G148" s="20" t="n">
        <v>0</v>
      </c>
      <c r="H148" s="20" t="n">
        <v>0</v>
      </c>
      <c r="I148" s="20" t="n">
        <v>0</v>
      </c>
      <c r="J148" s="20" t="n">
        <v>0</v>
      </c>
      <c r="K148" s="20" t="n">
        <v>0</v>
      </c>
      <c r="L148" s="20" t="n">
        <v>0</v>
      </c>
      <c r="M148" s="20" t="n">
        <v>0</v>
      </c>
      <c r="N148" s="20" t="n">
        <v>0</v>
      </c>
      <c r="V148" s="20" t="n">
        <v>0</v>
      </c>
      <c r="W148" s="20" t="n">
        <v>0</v>
      </c>
      <c r="X148" s="20" t="n">
        <v>0</v>
      </c>
    </row>
    <row r="149">
      <c r="A149" s="9" t="inlineStr">
        <is>
          <t>Revenues From External Customers</t>
        </is>
      </c>
      <c r="C149" s="12" t="n">
        <v>94579</v>
      </c>
      <c r="D149" s="12" t="n">
        <v>167854</v>
      </c>
      <c r="E149" s="12" t="n">
        <v>107593</v>
      </c>
      <c r="F149" s="12" t="n">
        <v>97259</v>
      </c>
      <c r="G149" s="12" t="n">
        <v>110133</v>
      </c>
      <c r="H149" s="12" t="n">
        <v>276630</v>
      </c>
      <c r="I149" s="12" t="n">
        <v>156644</v>
      </c>
      <c r="J149" s="12" t="n">
        <v>143437</v>
      </c>
      <c r="K149" s="12" t="n">
        <v>124137</v>
      </c>
      <c r="L149" s="12" t="n">
        <v>303229</v>
      </c>
      <c r="M149" s="12" t="n">
        <v>226841</v>
      </c>
      <c r="N149" s="12" t="n">
        <v>189755</v>
      </c>
      <c r="V149" s="12" t="n">
        <v>167854</v>
      </c>
      <c r="W149" s="12" t="n">
        <v>276630</v>
      </c>
      <c r="X149" s="12" t="n">
        <v>303229</v>
      </c>
    </row>
    <row r="150">
      <c r="A150" s="18" t="inlineStr">
        <is>
          <t>부문 · Transactions With Other Segments</t>
        </is>
      </c>
      <c r="C150" s="20" t="n">
        <v>1979</v>
      </c>
      <c r="D150" s="20" t="n">
        <v>1519</v>
      </c>
      <c r="E150" s="20" t="n">
        <v>2162</v>
      </c>
      <c r="F150" s="20" t="n">
        <v>2525</v>
      </c>
      <c r="G150" s="20" t="n">
        <v>2265</v>
      </c>
      <c r="H150" s="20" t="n">
        <v>2990</v>
      </c>
      <c r="I150" s="20" t="n">
        <v>2136</v>
      </c>
      <c r="J150" s="20" t="n">
        <v>2439</v>
      </c>
      <c r="K150" s="20" t="n">
        <v>2017</v>
      </c>
      <c r="L150" s="20" t="n">
        <v>2816</v>
      </c>
      <c r="M150" s="20" t="n">
        <v>1614</v>
      </c>
      <c r="N150" s="20" t="n">
        <v>1900</v>
      </c>
      <c r="V150" s="20" t="n">
        <v>1519</v>
      </c>
      <c r="W150" s="20" t="n">
        <v>2990</v>
      </c>
      <c r="X150" s="20" t="n">
        <v>2816</v>
      </c>
    </row>
    <row r="151">
      <c r="A151" s="18" t="inlineStr">
        <is>
          <t>부문 · Transactions With Other Segments</t>
        </is>
      </c>
      <c r="C151" s="20" t="n">
        <v>0</v>
      </c>
      <c r="D151" s="20" t="n">
        <v>0</v>
      </c>
      <c r="E151" s="20" t="n">
        <v>0</v>
      </c>
      <c r="F151" s="20" t="n">
        <v>0</v>
      </c>
      <c r="G151" s="20" t="n">
        <v>0</v>
      </c>
      <c r="H151" s="20" t="n">
        <v>0</v>
      </c>
      <c r="I151" s="20" t="n">
        <v>0</v>
      </c>
      <c r="J151" s="20" t="n">
        <v>0</v>
      </c>
      <c r="K151" s="20" t="n">
        <v>0</v>
      </c>
      <c r="L151" s="20" t="n">
        <v>0</v>
      </c>
      <c r="M151" s="20" t="n">
        <v>0</v>
      </c>
      <c r="N151" s="20" t="n">
        <v>0</v>
      </c>
      <c r="V151" s="20" t="n">
        <v>0</v>
      </c>
      <c r="W151" s="20" t="n">
        <v>0</v>
      </c>
      <c r="X151" s="20" t="n">
        <v>0</v>
      </c>
    </row>
    <row r="152">
      <c r="A152" s="18" t="inlineStr">
        <is>
          <t>부문 · Transactions With Other Segments</t>
        </is>
      </c>
      <c r="C152" s="20" t="n">
        <v>73</v>
      </c>
      <c r="D152" s="20" t="n">
        <v>8</v>
      </c>
      <c r="E152" s="20" t="n">
        <v>69</v>
      </c>
      <c r="F152" s="20" t="n">
        <v>72</v>
      </c>
      <c r="G152" s="20" t="n">
        <v>74</v>
      </c>
      <c r="H152" s="20" t="n">
        <v>107</v>
      </c>
      <c r="I152" s="20" t="n">
        <v>89</v>
      </c>
      <c r="J152" s="20" t="n">
        <v>94</v>
      </c>
      <c r="K152" s="20" t="n">
        <v>106</v>
      </c>
      <c r="L152" s="20" t="n">
        <v>112</v>
      </c>
      <c r="M152" s="20" t="n">
        <v>98</v>
      </c>
      <c r="N152" s="20" t="n">
        <v>111</v>
      </c>
      <c r="V152" s="20" t="n">
        <v>8</v>
      </c>
      <c r="W152" s="20" t="n">
        <v>107</v>
      </c>
      <c r="X152" s="20" t="n">
        <v>112</v>
      </c>
    </row>
    <row r="153">
      <c r="A153" s="18" t="inlineStr">
        <is>
          <t>보고부문 합계 · Transactions With Other Segments</t>
        </is>
      </c>
      <c r="C153" s="20" t="n">
        <v>2052</v>
      </c>
      <c r="D153" s="20" t="n">
        <v>1527</v>
      </c>
      <c r="E153" s="20" t="n">
        <v>2231</v>
      </c>
      <c r="F153" s="20" t="n">
        <v>2598</v>
      </c>
      <c r="G153" s="20" t="n">
        <v>2339</v>
      </c>
      <c r="H153" s="20" t="n">
        <v>3096</v>
      </c>
      <c r="I153" s="20" t="n">
        <v>2225</v>
      </c>
      <c r="J153" s="20" t="n">
        <v>2533</v>
      </c>
      <c r="K153" s="20" t="n">
        <v>2124</v>
      </c>
      <c r="L153" s="20" t="n">
        <v>2928</v>
      </c>
      <c r="M153" s="20" t="n">
        <v>1712</v>
      </c>
      <c r="N153" s="20" t="n">
        <v>2011</v>
      </c>
      <c r="V153" s="20" t="n">
        <v>1527</v>
      </c>
      <c r="W153" s="20" t="n">
        <v>3096</v>
      </c>
      <c r="X153" s="20" t="n">
        <v>2928</v>
      </c>
    </row>
    <row r="154">
      <c r="A154" s="18" t="inlineStr">
        <is>
          <t>기타 · Transactions With Other Segments</t>
        </is>
      </c>
      <c r="C154" s="20" t="n">
        <v>878</v>
      </c>
      <c r="D154" s="20" t="n">
        <v>927</v>
      </c>
      <c r="E154" s="20" t="n">
        <v>457</v>
      </c>
      <c r="F154" s="20" t="n">
        <v>1761</v>
      </c>
      <c r="G154" s="20" t="n">
        <v>368</v>
      </c>
      <c r="H154" s="20" t="n">
        <v>1344</v>
      </c>
      <c r="I154" s="20" t="n">
        <v>820</v>
      </c>
      <c r="J154" s="20" t="n">
        <v>604</v>
      </c>
      <c r="K154" s="20" t="n">
        <v>1122</v>
      </c>
      <c r="L154" s="20" t="n">
        <v>1484</v>
      </c>
      <c r="M154" s="20" t="n">
        <v>1379</v>
      </c>
      <c r="N154" s="20" t="n">
        <v>958</v>
      </c>
      <c r="V154" s="20" t="n">
        <v>927</v>
      </c>
      <c r="W154" s="20" t="n">
        <v>1344</v>
      </c>
      <c r="X154" s="20" t="n">
        <v>1484</v>
      </c>
    </row>
    <row r="155">
      <c r="A155" s="18" t="inlineStr">
        <is>
          <t>합계 · Transactions With Other Segments</t>
        </is>
      </c>
      <c r="C155" s="20" t="n">
        <v>2931</v>
      </c>
      <c r="D155" s="20" t="n">
        <v>2454</v>
      </c>
      <c r="E155" s="20" t="n">
        <v>2689</v>
      </c>
      <c r="F155" s="20" t="n">
        <v>4358</v>
      </c>
      <c r="G155" s="20" t="n">
        <v>2707</v>
      </c>
      <c r="H155" s="20" t="n">
        <v>4441</v>
      </c>
      <c r="I155" s="20" t="n">
        <v>3045</v>
      </c>
      <c r="J155" s="20" t="n">
        <v>3137</v>
      </c>
      <c r="K155" s="20" t="n">
        <v>3247</v>
      </c>
      <c r="L155" s="20" t="n">
        <v>4411</v>
      </c>
      <c r="M155" s="20" t="n">
        <v>3091</v>
      </c>
      <c r="N155" s="20" t="n">
        <v>2970</v>
      </c>
      <c r="V155" s="20" t="n">
        <v>2454</v>
      </c>
      <c r="W155" s="20" t="n">
        <v>4441</v>
      </c>
      <c r="X155" s="20" t="n">
        <v>4411</v>
      </c>
    </row>
    <row r="156">
      <c r="A156" s="18" t="inlineStr">
        <is>
          <t>조정액 · Transactions With Other Segments</t>
        </is>
      </c>
      <c r="C156" s="20" t="n">
        <v>-2931</v>
      </c>
      <c r="D156" s="20" t="n">
        <v>-2454</v>
      </c>
      <c r="E156" s="20" t="n">
        <v>-2689</v>
      </c>
      <c r="F156" s="20" t="n">
        <v>-4358</v>
      </c>
      <c r="G156" s="20" t="n">
        <v>-2707</v>
      </c>
      <c r="H156" s="20" t="n">
        <v>-4441</v>
      </c>
      <c r="I156" s="20" t="n">
        <v>-3045</v>
      </c>
      <c r="J156" s="20" t="n">
        <v>-3137</v>
      </c>
      <c r="K156" s="20" t="n">
        <v>-3247</v>
      </c>
      <c r="L156" s="20" t="n">
        <v>-4411</v>
      </c>
      <c r="M156" s="20" t="n">
        <v>-3091</v>
      </c>
      <c r="N156" s="20" t="n">
        <v>-2970</v>
      </c>
      <c r="V156" s="20" t="n">
        <v>-2454</v>
      </c>
      <c r="W156" s="20" t="n">
        <v>-4441</v>
      </c>
      <c r="X156" s="20" t="n">
        <v>-4411</v>
      </c>
    </row>
    <row r="157">
      <c r="A157" s="18" t="inlineStr">
        <is>
          <t>Transactions With Other Segments</t>
        </is>
      </c>
      <c r="C157" s="20" t="n">
        <v>0</v>
      </c>
      <c r="D157" s="20" t="n">
        <v>0</v>
      </c>
      <c r="E157" s="20" t="n">
        <v>0</v>
      </c>
      <c r="F157" s="20" t="n">
        <v>0</v>
      </c>
      <c r="G157" s="20" t="n">
        <v>0</v>
      </c>
      <c r="H157" s="20" t="n">
        <v>0</v>
      </c>
      <c r="I157" s="20" t="n">
        <v>0</v>
      </c>
      <c r="J157" s="20" t="n">
        <v>0</v>
      </c>
      <c r="K157" s="20" t="n">
        <v>0</v>
      </c>
      <c r="L157" s="20" t="n">
        <v>0</v>
      </c>
      <c r="M157" s="20" t="n">
        <v>0</v>
      </c>
      <c r="N157" s="20" t="n">
        <v>0</v>
      </c>
      <c r="V157" s="20" t="n">
        <v>0</v>
      </c>
      <c r="W157" s="20" t="n">
        <v>0</v>
      </c>
      <c r="X157" s="20" t="n">
        <v>0</v>
      </c>
    </row>
    <row r="158">
      <c r="A158" s="18" t="inlineStr">
        <is>
          <t>부문 · 계</t>
        </is>
      </c>
      <c r="C158" s="20" t="n">
        <v>83851</v>
      </c>
      <c r="D158" s="20" t="n">
        <v>161138</v>
      </c>
      <c r="E158" s="20" t="n">
        <v>94502</v>
      </c>
      <c r="F158" s="20" t="n">
        <v>86037</v>
      </c>
      <c r="G158" s="20" t="n">
        <v>88848</v>
      </c>
      <c r="H158" s="20" t="n">
        <v>257817</v>
      </c>
      <c r="I158" s="20" t="n">
        <v>133385</v>
      </c>
      <c r="J158" s="20" t="n">
        <v>123950</v>
      </c>
      <c r="K158" s="20" t="n">
        <v>100190</v>
      </c>
      <c r="L158" s="20" t="n">
        <v>279933</v>
      </c>
      <c r="M158" s="20" t="n">
        <v>191360</v>
      </c>
      <c r="N158" s="20" t="n">
        <v>158270</v>
      </c>
      <c r="V158" s="20" t="n">
        <v>161138</v>
      </c>
      <c r="W158" s="20" t="n">
        <v>257817</v>
      </c>
      <c r="X158" s="20" t="n">
        <v>279933</v>
      </c>
    </row>
    <row r="159">
      <c r="A159" s="18" t="inlineStr">
        <is>
          <t>부문 · 계</t>
        </is>
      </c>
      <c r="C159" s="20" t="n">
        <v>908</v>
      </c>
      <c r="D159" s="20" t="n">
        <v>920</v>
      </c>
      <c r="E159" s="20" t="n">
        <v>1070</v>
      </c>
      <c r="F159" s="20" t="n">
        <v>822</v>
      </c>
      <c r="G159" s="20" t="n">
        <v>1046</v>
      </c>
      <c r="H159" s="20" t="n">
        <v>761</v>
      </c>
      <c r="I159" s="20" t="n">
        <v>1065</v>
      </c>
      <c r="J159" s="20" t="n">
        <v>901</v>
      </c>
      <c r="K159" s="20" t="n">
        <v>1078</v>
      </c>
      <c r="L159" s="20" t="n">
        <v>885</v>
      </c>
      <c r="M159" s="20" t="n">
        <v>1185</v>
      </c>
      <c r="N159" s="20" t="n">
        <v>873</v>
      </c>
      <c r="V159" s="20" t="n">
        <v>920</v>
      </c>
      <c r="W159" s="20" t="n">
        <v>761</v>
      </c>
      <c r="X159" s="20" t="n">
        <v>885</v>
      </c>
    </row>
    <row r="160">
      <c r="A160" s="18" t="inlineStr">
        <is>
          <t>부문 · 계</t>
        </is>
      </c>
      <c r="C160" s="20" t="n">
        <v>11061</v>
      </c>
      <c r="D160" s="20" t="n">
        <v>6453</v>
      </c>
      <c r="E160" s="20" t="n">
        <v>13198</v>
      </c>
      <c r="F160" s="20" t="n">
        <v>11786</v>
      </c>
      <c r="G160" s="20" t="n">
        <v>11928</v>
      </c>
      <c r="H160" s="20" t="n">
        <v>12180</v>
      </c>
      <c r="I160" s="20" t="n">
        <v>14839</v>
      </c>
      <c r="J160" s="20" t="n">
        <v>13104</v>
      </c>
      <c r="K160" s="20" t="n">
        <v>13594</v>
      </c>
      <c r="L160" s="20" t="n">
        <v>12719</v>
      </c>
      <c r="M160" s="20" t="n">
        <v>16846</v>
      </c>
      <c r="N160" s="20" t="n">
        <v>14733</v>
      </c>
      <c r="V160" s="20" t="n">
        <v>6453</v>
      </c>
      <c r="W160" s="20" t="n">
        <v>12180</v>
      </c>
      <c r="X160" s="20" t="n">
        <v>12719</v>
      </c>
    </row>
    <row r="161">
      <c r="A161" s="18" t="inlineStr">
        <is>
          <t>보고부문 합계 · 계</t>
        </is>
      </c>
      <c r="C161" s="20" t="n">
        <v>95820</v>
      </c>
      <c r="D161" s="20" t="n">
        <v>168511</v>
      </c>
      <c r="E161" s="20" t="n">
        <v>108771</v>
      </c>
      <c r="F161" s="20" t="n">
        <v>98646</v>
      </c>
      <c r="G161" s="20" t="n">
        <v>101821</v>
      </c>
      <c r="H161" s="20" t="n">
        <v>270758</v>
      </c>
      <c r="I161" s="20" t="n">
        <v>149289</v>
      </c>
      <c r="J161" s="20" t="n">
        <v>137956</v>
      </c>
      <c r="K161" s="20" t="n">
        <v>114862</v>
      </c>
      <c r="L161" s="20" t="n">
        <v>293537</v>
      </c>
      <c r="M161" s="20" t="n">
        <v>209392</v>
      </c>
      <c r="N161" s="20" t="n">
        <v>173876</v>
      </c>
      <c r="V161" s="20" t="n">
        <v>168511</v>
      </c>
      <c r="W161" s="20" t="n">
        <v>270758</v>
      </c>
      <c r="X161" s="20" t="n">
        <v>293537</v>
      </c>
    </row>
    <row r="162">
      <c r="A162" s="18" t="inlineStr">
        <is>
          <t>기타 · 계</t>
        </is>
      </c>
      <c r="C162" s="20" t="n">
        <v>1690</v>
      </c>
      <c r="D162" s="20" t="n">
        <v>1796</v>
      </c>
      <c r="E162" s="20" t="n">
        <v>1510</v>
      </c>
      <c r="F162" s="20" t="n">
        <v>2972</v>
      </c>
      <c r="G162" s="20" t="n">
        <v>11019</v>
      </c>
      <c r="H162" s="20" t="n">
        <v>10313</v>
      </c>
      <c r="I162" s="20" t="n">
        <v>10400</v>
      </c>
      <c r="J162" s="20" t="n">
        <v>8619</v>
      </c>
      <c r="K162" s="20" t="n">
        <v>12520</v>
      </c>
      <c r="L162" s="20" t="n">
        <v>14104</v>
      </c>
      <c r="M162" s="20" t="n">
        <v>20541</v>
      </c>
      <c r="N162" s="20" t="n">
        <v>18848</v>
      </c>
      <c r="V162" s="20" t="n">
        <v>1796</v>
      </c>
      <c r="W162" s="20" t="n">
        <v>10313</v>
      </c>
      <c r="X162" s="20" t="n">
        <v>14104</v>
      </c>
    </row>
    <row r="163">
      <c r="A163" s="18" t="inlineStr">
        <is>
          <t>합계 · 계</t>
        </is>
      </c>
      <c r="C163" s="20" t="n">
        <v>97510</v>
      </c>
      <c r="D163" s="20" t="n">
        <v>170308</v>
      </c>
      <c r="E163" s="20" t="n">
        <v>110282</v>
      </c>
      <c r="F163" s="20" t="n">
        <v>101617</v>
      </c>
      <c r="G163" s="20" t="n">
        <v>112841</v>
      </c>
      <c r="H163" s="20" t="n">
        <v>281070</v>
      </c>
      <c r="I163" s="20" t="n">
        <v>159689</v>
      </c>
      <c r="J163" s="20" t="n">
        <v>146575</v>
      </c>
      <c r="K163" s="20" t="n">
        <v>127383</v>
      </c>
      <c r="L163" s="20" t="n">
        <v>307640</v>
      </c>
      <c r="M163" s="20" t="n">
        <v>229933</v>
      </c>
      <c r="N163" s="20" t="n">
        <v>192724</v>
      </c>
      <c r="V163" s="20" t="n">
        <v>170308</v>
      </c>
      <c r="W163" s="20" t="n">
        <v>281070</v>
      </c>
      <c r="X163" s="20" t="n">
        <v>307640</v>
      </c>
    </row>
    <row r="164">
      <c r="A164" s="18" t="inlineStr">
        <is>
          <t>조정액 · 계</t>
        </is>
      </c>
      <c r="C164" s="20" t="n">
        <v>-2931</v>
      </c>
      <c r="D164" s="20" t="n">
        <v>-2454</v>
      </c>
      <c r="E164" s="20" t="n">
        <v>-2689</v>
      </c>
      <c r="F164" s="20" t="n">
        <v>-4358</v>
      </c>
      <c r="G164" s="20" t="n">
        <v>-2707</v>
      </c>
      <c r="H164" s="20" t="n">
        <v>-4441</v>
      </c>
      <c r="I164" s="20" t="n">
        <v>-3045</v>
      </c>
      <c r="J164" s="20" t="n">
        <v>-3137</v>
      </c>
      <c r="K164" s="20" t="n">
        <v>-3247</v>
      </c>
      <c r="L164" s="20" t="n">
        <v>-4411</v>
      </c>
      <c r="M164" s="20" t="n">
        <v>-3091</v>
      </c>
      <c r="N164" s="20" t="n">
        <v>-2970</v>
      </c>
      <c r="V164" s="20" t="n">
        <v>-2454</v>
      </c>
      <c r="W164" s="20" t="n">
        <v>-4441</v>
      </c>
      <c r="X164" s="20" t="n">
        <v>-4411</v>
      </c>
    </row>
    <row r="165">
      <c r="A165" s="18" t="inlineStr">
        <is>
          <t>계</t>
        </is>
      </c>
      <c r="C165" s="20" t="n">
        <v>94579</v>
      </c>
      <c r="D165" s="20" t="n">
        <v>167854</v>
      </c>
      <c r="E165" s="20" t="n">
        <v>107593</v>
      </c>
      <c r="F165" s="20" t="n">
        <v>97259</v>
      </c>
      <c r="G165" s="20" t="n">
        <v>110133</v>
      </c>
      <c r="H165" s="20" t="n">
        <v>276630</v>
      </c>
      <c r="I165" s="20" t="n">
        <v>156644</v>
      </c>
      <c r="J165" s="20" t="n">
        <v>143437</v>
      </c>
      <c r="K165" s="20" t="n">
        <v>124137</v>
      </c>
      <c r="L165" s="20" t="n">
        <v>303229</v>
      </c>
      <c r="M165" s="20" t="n">
        <v>226841</v>
      </c>
      <c r="N165" s="20" t="n">
        <v>189755</v>
      </c>
      <c r="V165" s="20" t="n">
        <v>167854</v>
      </c>
      <c r="W165" s="20" t="n">
        <v>276630</v>
      </c>
      <c r="X165" s="20" t="n">
        <v>303229</v>
      </c>
    </row>
    <row r="166">
      <c r="A166" s="18" t="inlineStr">
        <is>
          <t>부문 · 부문 이익(손실)</t>
        </is>
      </c>
      <c r="C166" s="20" t="n">
        <v>26185</v>
      </c>
      <c r="D166" s="20" t="n">
        <v>57008</v>
      </c>
      <c r="E166" s="20" t="n">
        <v>26007</v>
      </c>
      <c r="F166" s="20" t="n">
        <v>46832</v>
      </c>
      <c r="G166" s="20" t="n">
        <v>20448</v>
      </c>
      <c r="H166" s="20" t="n">
        <v>77141</v>
      </c>
      <c r="I166" s="20" t="n">
        <v>33381</v>
      </c>
      <c r="J166" s="20" t="n">
        <v>46332</v>
      </c>
      <c r="K166" s="20" t="n">
        <v>34511</v>
      </c>
      <c r="L166" s="20" t="n">
        <v>83887</v>
      </c>
      <c r="M166" s="20" t="n">
        <v>38534</v>
      </c>
      <c r="N166" s="20" t="n">
        <v>48719</v>
      </c>
      <c r="V166" s="20" t="n">
        <v>57008</v>
      </c>
      <c r="W166" s="20" t="n">
        <v>77141</v>
      </c>
      <c r="X166" s="20" t="n">
        <v>83887</v>
      </c>
    </row>
    <row r="167">
      <c r="A167" s="18" t="inlineStr">
        <is>
          <t>부문 · 부문 이익(손실)</t>
        </is>
      </c>
      <c r="C167" s="20" t="n">
        <v>294</v>
      </c>
      <c r="D167" s="20" t="n">
        <v>215</v>
      </c>
      <c r="E167" s="20" t="n">
        <v>444</v>
      </c>
      <c r="F167" s="20" t="n">
        <v>143</v>
      </c>
      <c r="G167" s="20" t="n">
        <v>366</v>
      </c>
      <c r="H167" s="20" t="n">
        <v>44</v>
      </c>
      <c r="I167" s="20" t="n">
        <v>372</v>
      </c>
      <c r="J167" s="20" t="n">
        <v>185</v>
      </c>
      <c r="K167" s="20" t="n">
        <v>383</v>
      </c>
      <c r="L167" s="20" t="n">
        <v>150</v>
      </c>
      <c r="M167" s="20" t="n">
        <v>498</v>
      </c>
      <c r="N167" s="20" t="n">
        <v>164</v>
      </c>
      <c r="V167" s="20" t="n">
        <v>215</v>
      </c>
      <c r="W167" s="20" t="n">
        <v>44</v>
      </c>
      <c r="X167" s="20" t="n">
        <v>150</v>
      </c>
    </row>
    <row r="168">
      <c r="A168" s="18" t="inlineStr">
        <is>
          <t>부문 · 부문 이익(손실)</t>
        </is>
      </c>
      <c r="C168" s="20" t="n">
        <v>554</v>
      </c>
      <c r="D168" s="20" t="n">
        <v>248</v>
      </c>
      <c r="E168" s="20" t="n">
        <v>844</v>
      </c>
      <c r="F168" s="20" t="n">
        <v>688</v>
      </c>
      <c r="G168" s="20" t="n">
        <v>456</v>
      </c>
      <c r="H168" s="20" t="n">
        <v>-313</v>
      </c>
      <c r="I168" s="20" t="n">
        <v>1848</v>
      </c>
      <c r="J168" s="20" t="n">
        <v>804</v>
      </c>
      <c r="K168" s="20" t="n">
        <v>418</v>
      </c>
      <c r="L168" s="20" t="n">
        <v>-1400</v>
      </c>
      <c r="M168" s="20" t="n">
        <v>2047</v>
      </c>
      <c r="N168" s="20" t="n">
        <v>653</v>
      </c>
      <c r="V168" s="20" t="n">
        <v>248</v>
      </c>
      <c r="W168" s="20" t="n">
        <v>-313</v>
      </c>
      <c r="X168" s="20" t="n">
        <v>-1400</v>
      </c>
    </row>
    <row r="169">
      <c r="A169" s="18" t="inlineStr">
        <is>
          <t>보고부문 합계 · 부문 이익(손실)</t>
        </is>
      </c>
      <c r="C169" s="20" t="n">
        <v>27034</v>
      </c>
      <c r="D169" s="20" t="n">
        <v>57471</v>
      </c>
      <c r="E169" s="20" t="n">
        <v>27296</v>
      </c>
      <c r="F169" s="20" t="n">
        <v>47663</v>
      </c>
      <c r="G169" s="20" t="n">
        <v>21270</v>
      </c>
      <c r="H169" s="20" t="n">
        <v>76872</v>
      </c>
      <c r="I169" s="20" t="n">
        <v>35602</v>
      </c>
      <c r="J169" s="20" t="n">
        <v>47321</v>
      </c>
      <c r="K169" s="20" t="n">
        <v>35312</v>
      </c>
      <c r="L169" s="20" t="n">
        <v>82637</v>
      </c>
      <c r="M169" s="20" t="n">
        <v>41079</v>
      </c>
      <c r="N169" s="20" t="n">
        <v>49537</v>
      </c>
      <c r="V169" s="20" t="n">
        <v>57471</v>
      </c>
      <c r="W169" s="20" t="n">
        <v>76872</v>
      </c>
      <c r="X169" s="20" t="n">
        <v>82637</v>
      </c>
    </row>
    <row r="170">
      <c r="A170" s="18" t="inlineStr">
        <is>
          <t>기타 · 부문 이익(손실)</t>
        </is>
      </c>
      <c r="C170" s="20" t="n">
        <v>91</v>
      </c>
      <c r="D170" s="20" t="n">
        <v>107</v>
      </c>
      <c r="E170" s="20" t="n">
        <v>115</v>
      </c>
      <c r="F170" s="20" t="n">
        <v>72</v>
      </c>
      <c r="G170" s="20" t="n">
        <v>1432</v>
      </c>
      <c r="H170" s="20" t="n">
        <v>614</v>
      </c>
      <c r="I170" s="20" t="n">
        <v>743</v>
      </c>
      <c r="J170" s="20" t="n">
        <v>-795</v>
      </c>
      <c r="K170" s="20" t="n">
        <v>1262</v>
      </c>
      <c r="L170" s="20" t="n">
        <v>927</v>
      </c>
      <c r="M170" s="20" t="n">
        <v>-4808</v>
      </c>
      <c r="N170" s="20" t="n">
        <v>2349</v>
      </c>
      <c r="V170" s="20" t="n">
        <v>107</v>
      </c>
      <c r="W170" s="20" t="n">
        <v>614</v>
      </c>
      <c r="X170" s="20" t="n">
        <v>927</v>
      </c>
    </row>
    <row r="171">
      <c r="A171" s="18" t="inlineStr">
        <is>
          <t>합계 · 부문 이익(손실)</t>
        </is>
      </c>
      <c r="C171" s="20" t="n">
        <v>27126</v>
      </c>
      <c r="D171" s="20" t="n">
        <v>57577</v>
      </c>
      <c r="E171" s="20" t="n">
        <v>27412</v>
      </c>
      <c r="F171" s="20" t="n">
        <v>47734</v>
      </c>
      <c r="G171" s="20" t="n">
        <v>22702</v>
      </c>
      <c r="H171" s="20" t="n">
        <v>77487</v>
      </c>
      <c r="I171" s="20" t="n">
        <v>36345</v>
      </c>
      <c r="J171" s="20" t="n">
        <v>46526</v>
      </c>
      <c r="K171" s="20" t="n">
        <v>36575</v>
      </c>
      <c r="L171" s="20" t="n">
        <v>83564</v>
      </c>
      <c r="M171" s="20" t="n">
        <v>36270</v>
      </c>
      <c r="N171" s="20" t="n">
        <v>51886</v>
      </c>
      <c r="V171" s="20" t="n">
        <v>57577</v>
      </c>
      <c r="W171" s="20" t="n">
        <v>77487</v>
      </c>
      <c r="X171" s="20" t="n">
        <v>83564</v>
      </c>
    </row>
    <row r="172">
      <c r="A172" s="18" t="inlineStr">
        <is>
          <t>조정액 · 부문 이익(손실)</t>
        </is>
      </c>
      <c r="C172" s="20" t="n">
        <v>-2826</v>
      </c>
      <c r="D172" s="20" t="n">
        <v>-2349</v>
      </c>
      <c r="E172" s="20" t="n">
        <v>-3683</v>
      </c>
      <c r="F172" s="20" t="n">
        <v>-2540</v>
      </c>
      <c r="G172" s="20" t="n">
        <v>-2815</v>
      </c>
      <c r="H172" s="20" t="n">
        <v>-2936</v>
      </c>
      <c r="I172" s="20" t="n">
        <v>-4529</v>
      </c>
      <c r="J172" s="20" t="n">
        <v>-3287</v>
      </c>
      <c r="K172" s="20" t="n">
        <v>-5258</v>
      </c>
      <c r="L172" s="20" t="n">
        <v>-3110</v>
      </c>
      <c r="M172" s="20" t="n">
        <v>-5099</v>
      </c>
      <c r="N172" s="20" t="n">
        <v>-2744</v>
      </c>
      <c r="V172" s="20" t="n">
        <v>-2349</v>
      </c>
      <c r="W172" s="20" t="n">
        <v>-2936</v>
      </c>
      <c r="X172" s="20" t="n">
        <v>-3110</v>
      </c>
    </row>
    <row r="173">
      <c r="A173" s="9" t="inlineStr">
        <is>
          <t>부문 이익(손실)</t>
        </is>
      </c>
      <c r="C173" s="12" t="n">
        <v>24300</v>
      </c>
      <c r="D173" s="12" t="n">
        <v>55228</v>
      </c>
      <c r="E173" s="12" t="n">
        <v>23728</v>
      </c>
      <c r="F173" s="12" t="n">
        <v>45195</v>
      </c>
      <c r="G173" s="12" t="n">
        <v>19887</v>
      </c>
      <c r="H173" s="12" t="n">
        <v>74550</v>
      </c>
      <c r="I173" s="12" t="n">
        <v>31816</v>
      </c>
      <c r="J173" s="12" t="n">
        <v>43239</v>
      </c>
      <c r="K173" s="12" t="n">
        <v>31316</v>
      </c>
      <c r="L173" s="12" t="n">
        <v>80455</v>
      </c>
      <c r="M173" s="12" t="n">
        <v>31171</v>
      </c>
      <c r="N173" s="12" t="n">
        <v>49142</v>
      </c>
      <c r="V173" s="12" t="n">
        <v>55228</v>
      </c>
      <c r="W173" s="12" t="n">
        <v>74550</v>
      </c>
      <c r="X173" s="12" t="n">
        <v>80455</v>
      </c>
    </row>
    <row r="175">
      <c r="A175" s="16" t="inlineStr">
        <is>
          <t>현금흐름표 · 전 항목</t>
        </is>
      </c>
      <c r="B175" s="42" t="inlineStr">
        <is>
          <t>분기 = 결산기 첫날부터 누계(공시 그대로)</t>
        </is>
      </c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</row>
    <row r="176">
      <c r="A176" s="5" t="inlineStr">
        <is>
          <t>항목</t>
        </is>
      </c>
      <c r="B176" s="5" t="inlineStr">
        <is>
          <t>참고</t>
        </is>
      </c>
      <c r="C176" s="5" t="inlineStr">
        <is>
          <t>2023.3Q</t>
        </is>
      </c>
      <c r="D176" s="5" t="inlineStr">
        <is>
          <t>2023.4Q</t>
        </is>
      </c>
      <c r="E176" s="5" t="inlineStr">
        <is>
          <t>2024.1Q</t>
        </is>
      </c>
      <c r="F176" s="5" t="inlineStr">
        <is>
          <t>2024.2Q</t>
        </is>
      </c>
      <c r="G176" s="5" t="inlineStr">
        <is>
          <t>2024.3Q</t>
        </is>
      </c>
      <c r="H176" s="5" t="inlineStr">
        <is>
          <t>2024.4Q</t>
        </is>
      </c>
      <c r="I176" s="5" t="inlineStr">
        <is>
          <t>2025.1Q</t>
        </is>
      </c>
      <c r="J176" s="5" t="inlineStr">
        <is>
          <t>2025.2Q</t>
        </is>
      </c>
      <c r="K176" s="5" t="inlineStr">
        <is>
          <t>2025.3Q</t>
        </is>
      </c>
      <c r="L176" s="5" t="inlineStr">
        <is>
          <t>2025.4Q</t>
        </is>
      </c>
      <c r="M176" s="5" t="inlineStr">
        <is>
          <t>2026.1Q</t>
        </is>
      </c>
      <c r="N176" s="5" t="inlineStr">
        <is>
          <t>2026.2Q</t>
        </is>
      </c>
      <c r="O176" s="5" t="inlineStr">
        <is>
          <t>2016</t>
        </is>
      </c>
      <c r="P176" s="5" t="inlineStr">
        <is>
          <t>2017</t>
        </is>
      </c>
      <c r="Q176" s="5" t="inlineStr">
        <is>
          <t>2018</t>
        </is>
      </c>
      <c r="R176" s="5" t="inlineStr">
        <is>
          <t>2019</t>
        </is>
      </c>
      <c r="S176" s="5" t="inlineStr">
        <is>
          <t>2020</t>
        </is>
      </c>
      <c r="T176" s="5" t="inlineStr">
        <is>
          <t>2021</t>
        </is>
      </c>
      <c r="U176" s="5" t="inlineStr">
        <is>
          <t>2022</t>
        </is>
      </c>
      <c r="V176" s="5" t="inlineStr">
        <is>
          <t>2023</t>
        </is>
      </c>
      <c r="W176" s="5" t="inlineStr">
        <is>
          <t>2024</t>
        </is>
      </c>
      <c r="X176" s="5" t="inlineStr">
        <is>
          <t>2025</t>
        </is>
      </c>
      <c r="Y176" s="5" t="inlineStr">
        <is>
          <t>2026(MW)</t>
        </is>
      </c>
      <c r="Z176" s="5" t="inlineStr">
        <is>
          <t>2027(MW)</t>
        </is>
      </c>
      <c r="AA176" s="5" t="inlineStr">
        <is>
          <t>2028(MW)</t>
        </is>
      </c>
      <c r="AB176" s="5" t="inlineStr">
        <is>
          <t>2029(MW)</t>
        </is>
      </c>
      <c r="AC176" s="5" t="inlineStr">
        <is>
          <t>2030(MW)</t>
        </is>
      </c>
    </row>
    <row r="177">
      <c r="A177" s="9" t="inlineStr">
        <is>
          <t>법인세차감전 순이익</t>
        </is>
      </c>
      <c r="D177" s="12" t="n">
        <v>136698</v>
      </c>
      <c r="F177" s="12" t="n">
        <v>65400</v>
      </c>
      <c r="H177" s="12" t="n">
        <v>151136</v>
      </c>
      <c r="J177" s="12" t="n">
        <v>68648</v>
      </c>
      <c r="L177" s="12" t="n">
        <v>171343</v>
      </c>
      <c r="N177" s="12" t="n">
        <v>71928</v>
      </c>
      <c r="O177" s="12" t="n">
        <v>50199</v>
      </c>
      <c r="P177" s="12" t="n">
        <v>61148</v>
      </c>
      <c r="Q177" s="12" t="n">
        <v>72018</v>
      </c>
      <c r="R177" s="12" t="n">
        <v>84298</v>
      </c>
      <c r="S177" s="12" t="n">
        <v>91280</v>
      </c>
      <c r="T177" s="12" t="n">
        <v>105662</v>
      </c>
      <c r="U177" s="12" t="n">
        <v>117478</v>
      </c>
      <c r="V177" s="12" t="n">
        <v>136698</v>
      </c>
      <c r="W177" s="12" t="n">
        <v>151136</v>
      </c>
      <c r="X177" s="12" t="n">
        <v>171343</v>
      </c>
    </row>
    <row r="178">
      <c r="A178" s="18" t="inlineStr">
        <is>
          <t>감가상각비</t>
        </is>
      </c>
      <c r="D178" s="20" t="n">
        <v>16307</v>
      </c>
      <c r="F178" s="20" t="n">
        <v>8503</v>
      </c>
      <c r="H178" s="20" t="n">
        <v>17881</v>
      </c>
      <c r="J178" s="20" t="n">
        <v>9385</v>
      </c>
      <c r="L178" s="20" t="n">
        <v>19913</v>
      </c>
      <c r="N178" s="20" t="n">
        <v>11037</v>
      </c>
      <c r="O178" s="20" t="n">
        <v>11299</v>
      </c>
      <c r="P178" s="20" t="n">
        <v>11736</v>
      </c>
      <c r="Q178" s="20" t="n">
        <v>11942</v>
      </c>
      <c r="R178" s="20" t="n">
        <v>14172</v>
      </c>
      <c r="S178" s="20" t="n">
        <v>15866</v>
      </c>
      <c r="T178" s="20" t="n">
        <v>15939</v>
      </c>
      <c r="U178" s="20" t="n">
        <v>16253</v>
      </c>
      <c r="V178" s="20" t="n">
        <v>16307</v>
      </c>
      <c r="W178" s="20" t="n">
        <v>17881</v>
      </c>
      <c r="X178" s="20" t="n">
        <v>19913</v>
      </c>
    </row>
    <row r="179">
      <c r="A179" s="18" t="inlineStr">
        <is>
          <t>손상차손</t>
        </is>
      </c>
      <c r="O179" s="20" t="n">
        <v>193</v>
      </c>
      <c r="P179" s="20" t="n">
        <v>11</v>
      </c>
      <c r="Q179" s="20" t="n">
        <v>0</v>
      </c>
    </row>
    <row r="180">
      <c r="A180" s="18" t="inlineStr">
        <is>
          <t>부의 영업권 발생이익</t>
        </is>
      </c>
      <c r="O180" s="20" t="n">
        <v>0</v>
      </c>
      <c r="P180" s="20" t="n">
        <v>-24</v>
      </c>
      <c r="Q180" s="20" t="n">
        <v>-62</v>
      </c>
      <c r="R180" s="20" t="n">
        <v>-2360</v>
      </c>
      <c r="S180" s="20" t="n">
        <v>0</v>
      </c>
    </row>
    <row r="181">
      <c r="A181" s="18" t="inlineStr">
        <is>
          <t>영업권 상각</t>
        </is>
      </c>
      <c r="J181" s="20" t="n">
        <v>3518</v>
      </c>
      <c r="N181" s="20" t="n">
        <v>9116</v>
      </c>
    </row>
    <row r="182">
      <c r="A182" s="18" t="inlineStr">
        <is>
          <t>대손충당금 증감</t>
        </is>
      </c>
      <c r="D182" s="20" t="n">
        <v>-33</v>
      </c>
      <c r="F182" s="20" t="n">
        <v>14</v>
      </c>
      <c r="H182" s="20" t="n">
        <v>9</v>
      </c>
      <c r="J182" s="20" t="n">
        <v>5</v>
      </c>
      <c r="L182" s="20" t="n">
        <v>3</v>
      </c>
      <c r="N182" s="20" t="n">
        <v>7</v>
      </c>
      <c r="O182" s="20" t="n">
        <v>0</v>
      </c>
      <c r="P182" s="20" t="n">
        <v>-2</v>
      </c>
      <c r="Q182" s="20" t="n">
        <v>0</v>
      </c>
      <c r="R182" s="20" t="n">
        <v>1</v>
      </c>
      <c r="S182" s="20" t="n">
        <v>14</v>
      </c>
      <c r="T182" s="20" t="n">
        <v>227</v>
      </c>
      <c r="U182" s="20" t="n">
        <v>214</v>
      </c>
      <c r="V182" s="20" t="n">
        <v>-33</v>
      </c>
      <c r="W182" s="20" t="n">
        <v>9</v>
      </c>
      <c r="X182" s="20" t="n">
        <v>3</v>
      </c>
    </row>
    <row r="183">
      <c r="A183" s="18" t="inlineStr">
        <is>
          <t>상여충당금 증감</t>
        </is>
      </c>
      <c r="D183" s="20" t="n">
        <v>154</v>
      </c>
      <c r="F183" s="20" t="n">
        <v>-31</v>
      </c>
      <c r="H183" s="20" t="n">
        <v>-59</v>
      </c>
      <c r="J183" s="20" t="n">
        <v>234</v>
      </c>
      <c r="L183" s="20" t="n">
        <v>363</v>
      </c>
      <c r="N183" s="20" t="n">
        <v>139</v>
      </c>
      <c r="O183" s="20" t="n">
        <v>42</v>
      </c>
      <c r="P183" s="20" t="n">
        <v>36</v>
      </c>
      <c r="Q183" s="20" t="n">
        <v>75</v>
      </c>
      <c r="R183" s="20" t="n">
        <v>192</v>
      </c>
      <c r="S183" s="20" t="n">
        <v>-324</v>
      </c>
      <c r="T183" s="20" t="n">
        <v>9</v>
      </c>
      <c r="U183" s="20" t="n">
        <v>25</v>
      </c>
      <c r="V183" s="20" t="n">
        <v>154</v>
      </c>
      <c r="W183" s="20" t="n">
        <v>-59</v>
      </c>
      <c r="X183" s="20" t="n">
        <v>363</v>
      </c>
    </row>
    <row r="184">
      <c r="A184" s="18" t="inlineStr">
        <is>
          <t>임원 상여충당금 증감</t>
        </is>
      </c>
      <c r="D184" s="20" t="n">
        <v>41</v>
      </c>
      <c r="F184" s="20" t="n">
        <v>-194</v>
      </c>
      <c r="H184" s="20" t="n">
        <v>-0</v>
      </c>
      <c r="J184" s="20" t="n">
        <v>-193</v>
      </c>
      <c r="L184" s="20" t="n">
        <v>155</v>
      </c>
      <c r="N184" s="20" t="n">
        <v>-298</v>
      </c>
      <c r="O184" s="20" t="n">
        <v>19</v>
      </c>
      <c r="P184" s="20" t="n">
        <v>32</v>
      </c>
      <c r="Q184" s="20" t="n">
        <v>50</v>
      </c>
      <c r="R184" s="20" t="n">
        <v>22</v>
      </c>
      <c r="S184" s="20" t="n">
        <v>56</v>
      </c>
      <c r="T184" s="20" t="n">
        <v>25</v>
      </c>
      <c r="U184" s="20" t="n">
        <v>-10</v>
      </c>
      <c r="V184" s="20" t="n">
        <v>41</v>
      </c>
      <c r="W184" s="20" t="n">
        <v>-0</v>
      </c>
      <c r="X184" s="20" t="n">
        <v>155</v>
      </c>
    </row>
    <row r="185">
      <c r="A185" s="18" t="inlineStr">
        <is>
          <t>임원 퇴직위로 충당금 증감</t>
        </is>
      </c>
      <c r="O185" s="20" t="n">
        <v>7</v>
      </c>
      <c r="P185" s="20" t="n">
        <v>19</v>
      </c>
      <c r="Q185" s="20" t="n">
        <v>9</v>
      </c>
      <c r="R185" s="20" t="n">
        <v>0</v>
      </c>
    </row>
    <row r="186">
      <c r="A186" s="18" t="inlineStr">
        <is>
          <t>주식급여 충당금 증감</t>
        </is>
      </c>
      <c r="O186" s="20" t="n">
        <v>454</v>
      </c>
      <c r="P186" s="20" t="n">
        <v>300</v>
      </c>
      <c r="Q186" s="20" t="n">
        <v>393</v>
      </c>
      <c r="R186" s="20" t="n">
        <v>420</v>
      </c>
    </row>
    <row r="187">
      <c r="A187" s="18" t="inlineStr">
        <is>
          <t>주식급여 충당금 증감</t>
        </is>
      </c>
      <c r="D187" s="20" t="n">
        <v>603</v>
      </c>
      <c r="F187" s="20" t="n">
        <v>178</v>
      </c>
      <c r="H187" s="20" t="n">
        <v>557</v>
      </c>
      <c r="J187" s="20" t="n">
        <v>691</v>
      </c>
      <c r="L187" s="20" t="n">
        <v>1226</v>
      </c>
      <c r="N187" s="20" t="n">
        <v>258</v>
      </c>
      <c r="R187" s="20" t="n">
        <v>420</v>
      </c>
      <c r="S187" s="20" t="n">
        <v>480</v>
      </c>
      <c r="T187" s="20" t="n">
        <v>493</v>
      </c>
      <c r="U187" s="20" t="n">
        <v>637</v>
      </c>
      <c r="V187" s="20" t="n">
        <v>603</v>
      </c>
      <c r="W187" s="20" t="n">
        <v>557</v>
      </c>
      <c r="X187" s="20" t="n">
        <v>1226</v>
      </c>
    </row>
    <row r="188">
      <c r="A188" s="18" t="inlineStr">
        <is>
          <t>기타 충당금 증감</t>
        </is>
      </c>
      <c r="H188" s="20" t="n">
        <v>0</v>
      </c>
      <c r="J188" s="20" t="n">
        <v>0</v>
      </c>
      <c r="L188" s="20" t="n">
        <v>-8</v>
      </c>
      <c r="N188" s="20" t="n">
        <v>-28</v>
      </c>
      <c r="W188" s="20" t="n">
        <v>0</v>
      </c>
      <c r="X188" s="20" t="n">
        <v>-8</v>
      </c>
    </row>
    <row r="189">
      <c r="A189" s="18" t="inlineStr">
        <is>
          <t>퇴직급여 자산·부채 증감</t>
        </is>
      </c>
      <c r="D189" s="20" t="n">
        <v>11</v>
      </c>
      <c r="F189" s="20" t="n">
        <v>57</v>
      </c>
      <c r="H189" s="20" t="n">
        <v>159</v>
      </c>
      <c r="J189" s="20" t="n">
        <v>136</v>
      </c>
      <c r="L189" s="20" t="n">
        <v>239</v>
      </c>
      <c r="N189" s="20" t="n">
        <v>140</v>
      </c>
      <c r="O189" s="20" t="n">
        <v>106</v>
      </c>
      <c r="P189" s="20" t="n">
        <v>126</v>
      </c>
      <c r="Q189" s="20" t="n">
        <v>87</v>
      </c>
      <c r="R189" s="20" t="n">
        <v>118</v>
      </c>
      <c r="S189" s="20" t="n">
        <v>110</v>
      </c>
      <c r="T189" s="20" t="n">
        <v>70</v>
      </c>
      <c r="U189" s="20" t="n">
        <v>114</v>
      </c>
      <c r="V189" s="20" t="n">
        <v>11</v>
      </c>
      <c r="W189" s="20" t="n">
        <v>159</v>
      </c>
      <c r="X189" s="20" t="n">
        <v>239</v>
      </c>
    </row>
    <row r="190">
      <c r="A190" s="18" t="inlineStr">
        <is>
          <t>이자·배당금 수익</t>
        </is>
      </c>
      <c r="D190" s="20" t="n">
        <v>-3583</v>
      </c>
      <c r="F190" s="20" t="n">
        <v>-2198</v>
      </c>
      <c r="H190" s="20" t="n">
        <v>-4100</v>
      </c>
      <c r="J190" s="20" t="n">
        <v>-2630</v>
      </c>
      <c r="L190" s="20" t="n">
        <v>-5740</v>
      </c>
      <c r="N190" s="20" t="n">
        <v>-3119</v>
      </c>
      <c r="O190" s="20" t="n">
        <v>-1556</v>
      </c>
      <c r="P190" s="20" t="n">
        <v>-1771</v>
      </c>
      <c r="Q190" s="20" t="n">
        <v>-1994</v>
      </c>
      <c r="R190" s="20" t="n">
        <v>-2317</v>
      </c>
      <c r="S190" s="20" t="n">
        <v>-2460</v>
      </c>
      <c r="T190" s="20" t="n">
        <v>-2569</v>
      </c>
      <c r="U190" s="20" t="n">
        <v>-3141</v>
      </c>
      <c r="V190" s="20" t="n">
        <v>-3583</v>
      </c>
      <c r="W190" s="20" t="n">
        <v>-4100</v>
      </c>
      <c r="X190" s="20" t="n">
        <v>-5740</v>
      </c>
    </row>
    <row r="191">
      <c r="A191" s="18" t="inlineStr">
        <is>
          <t>이자비용</t>
        </is>
      </c>
      <c r="D191" s="20" t="n">
        <v>11576</v>
      </c>
      <c r="F191" s="20" t="n">
        <v>6207</v>
      </c>
      <c r="H191" s="20" t="n">
        <v>13172</v>
      </c>
      <c r="J191" s="20" t="n">
        <v>9451</v>
      </c>
      <c r="L191" s="20" t="n">
        <v>21759</v>
      </c>
      <c r="N191" s="20" t="n">
        <v>14249</v>
      </c>
      <c r="O191" s="20" t="n">
        <v>4516</v>
      </c>
      <c r="P191" s="20" t="n">
        <v>4468</v>
      </c>
      <c r="Q191" s="20" t="n">
        <v>5629</v>
      </c>
      <c r="R191" s="20" t="n">
        <v>6615</v>
      </c>
      <c r="S191" s="20" t="n">
        <v>8652</v>
      </c>
      <c r="T191" s="20" t="n">
        <v>10208</v>
      </c>
      <c r="U191" s="20" t="n">
        <v>10415</v>
      </c>
      <c r="V191" s="20" t="n">
        <v>11576</v>
      </c>
      <c r="W191" s="20" t="n">
        <v>13172</v>
      </c>
      <c r="X191" s="20" t="n">
        <v>21759</v>
      </c>
    </row>
    <row r="192">
      <c r="A192" s="18" t="inlineStr">
        <is>
          <t>지분법손익</t>
        </is>
      </c>
      <c r="D192" s="20" t="n">
        <v>136</v>
      </c>
      <c r="F192" s="20" t="n">
        <v>-52</v>
      </c>
      <c r="H192" s="20" t="n">
        <v>-236</v>
      </c>
      <c r="J192" s="20" t="n">
        <v>-1082</v>
      </c>
      <c r="L192" s="20" t="n">
        <v>-1247</v>
      </c>
      <c r="N192" s="20" t="n">
        <v>-1079</v>
      </c>
      <c r="O192" s="20" t="n">
        <v>-844</v>
      </c>
      <c r="P192" s="20" t="n">
        <v>-289</v>
      </c>
      <c r="Q192" s="20" t="n">
        <v>-639</v>
      </c>
      <c r="R192" s="20" t="n">
        <v>22</v>
      </c>
      <c r="S192" s="20" t="n">
        <v>-895</v>
      </c>
      <c r="T192" s="20" t="n">
        <v>-458</v>
      </c>
      <c r="U192" s="20" t="n">
        <v>-1033</v>
      </c>
      <c r="V192" s="20" t="n">
        <v>136</v>
      </c>
      <c r="W192" s="20" t="n">
        <v>-236</v>
      </c>
      <c r="X192" s="20" t="n">
        <v>-1247</v>
      </c>
    </row>
    <row r="193">
      <c r="A193" s="18" t="inlineStr">
        <is>
          <t>고정자산 제각손실</t>
        </is>
      </c>
      <c r="D193" s="20" t="n">
        <v>1880</v>
      </c>
      <c r="F193" s="20" t="n">
        <v>1998</v>
      </c>
      <c r="H193" s="20" t="n">
        <v>2566</v>
      </c>
      <c r="J193" s="20" t="n">
        <v>1217</v>
      </c>
      <c r="L193" s="20" t="n">
        <v>1625</v>
      </c>
      <c r="N193" s="20" t="n">
        <v>834</v>
      </c>
      <c r="O193" s="20" t="n">
        <v>1578</v>
      </c>
      <c r="P193" s="20" t="n">
        <v>370</v>
      </c>
      <c r="Q193" s="20" t="n">
        <v>436</v>
      </c>
      <c r="R193" s="20" t="n">
        <v>1536</v>
      </c>
      <c r="S193" s="20" t="n">
        <v>1683</v>
      </c>
      <c r="T193" s="20" t="n">
        <v>1260</v>
      </c>
      <c r="U193" s="20" t="n">
        <v>3387</v>
      </c>
      <c r="V193" s="20" t="n">
        <v>1880</v>
      </c>
      <c r="W193" s="20" t="n">
        <v>2566</v>
      </c>
      <c r="X193" s="20" t="n">
        <v>1625</v>
      </c>
    </row>
    <row r="194">
      <c r="A194" s="18" t="inlineStr">
        <is>
          <t>유형자산 매각손익</t>
        </is>
      </c>
      <c r="O194" s="20" t="n">
        <v>-180</v>
      </c>
      <c r="P194" s="20" t="n">
        <v>-209</v>
      </c>
      <c r="Q194" s="20" t="n">
        <v>-19</v>
      </c>
      <c r="R194" s="20" t="n">
        <v>0</v>
      </c>
      <c r="S194" s="20" t="n">
        <v>-88</v>
      </c>
      <c r="T194" s="20" t="n">
        <v>0</v>
      </c>
    </row>
    <row r="195">
      <c r="A195" s="18" t="inlineStr">
        <is>
          <t>Loss Gain On Sales Of Intangible Assets Ope CF</t>
        </is>
      </c>
      <c r="O195" s="20" t="n">
        <v>-66</v>
      </c>
      <c r="P195" s="20" t="n">
        <v>0</v>
      </c>
      <c r="R195" s="20" t="n">
        <v>0</v>
      </c>
      <c r="S195" s="20" t="n">
        <v>-473</v>
      </c>
      <c r="T195" s="20" t="n">
        <v>0</v>
      </c>
    </row>
    <row r="196">
      <c r="A196" s="18" t="inlineStr">
        <is>
          <t>고정자산 매각손익</t>
        </is>
      </c>
      <c r="D196" s="20" t="n">
        <v>-127</v>
      </c>
      <c r="F196" s="20" t="n">
        <v>-0</v>
      </c>
      <c r="H196" s="20" t="n">
        <v>-82</v>
      </c>
      <c r="J196" s="20" t="n">
        <v>-59</v>
      </c>
      <c r="L196" s="20" t="n">
        <v>-61</v>
      </c>
      <c r="N196" s="20" t="n">
        <v>-127</v>
      </c>
      <c r="T196" s="20" t="n">
        <v>0</v>
      </c>
      <c r="U196" s="20" t="n">
        <v>-2</v>
      </c>
      <c r="V196" s="20" t="n">
        <v>-127</v>
      </c>
      <c r="W196" s="20" t="n">
        <v>-82</v>
      </c>
      <c r="X196" s="20" t="n">
        <v>-61</v>
      </c>
    </row>
    <row r="197">
      <c r="A197" s="18" t="inlineStr">
        <is>
          <t>투자유가증권 매각손익</t>
        </is>
      </c>
      <c r="D197" s="20" t="n">
        <v>-21</v>
      </c>
      <c r="F197" s="20" t="n">
        <v>-5445</v>
      </c>
      <c r="H197" s="20" t="n">
        <v>-6097</v>
      </c>
      <c r="J197" s="20" t="n">
        <v>-3705</v>
      </c>
      <c r="L197" s="20" t="n">
        <v>-3841</v>
      </c>
      <c r="N197" s="20" t="n">
        <v>-4673</v>
      </c>
      <c r="O197" s="20" t="n">
        <v>-837</v>
      </c>
      <c r="P197" s="20" t="n">
        <v>-0</v>
      </c>
      <c r="Q197" s="20" t="n">
        <v>-42</v>
      </c>
      <c r="R197" s="20" t="n">
        <v>-1486</v>
      </c>
      <c r="S197" s="20" t="n">
        <v>592</v>
      </c>
      <c r="T197" s="20" t="n">
        <v>-255</v>
      </c>
      <c r="U197" s="20" t="n">
        <v>-2368</v>
      </c>
      <c r="V197" s="20" t="n">
        <v>-21</v>
      </c>
      <c r="W197" s="20" t="n">
        <v>-6097</v>
      </c>
      <c r="X197" s="20" t="n">
        <v>-3841</v>
      </c>
    </row>
    <row r="198">
      <c r="A198" s="18" t="inlineStr">
        <is>
          <t>Loss Gain On Investments In Silent Partnership And Other Ope CF</t>
        </is>
      </c>
      <c r="D198" s="20" t="n">
        <v>-58</v>
      </c>
      <c r="F198" s="20" t="n">
        <v>-46</v>
      </c>
      <c r="H198" s="20" t="n">
        <v>-99</v>
      </c>
      <c r="J198" s="20" t="n">
        <v>-318</v>
      </c>
      <c r="L198" s="20" t="n">
        <v>-505</v>
      </c>
      <c r="N198" s="20" t="n">
        <v>-731</v>
      </c>
      <c r="O198" s="20" t="n">
        <v>-88</v>
      </c>
      <c r="P198" s="20" t="n">
        <v>0</v>
      </c>
      <c r="Q198" s="20" t="n">
        <v>-126</v>
      </c>
      <c r="R198" s="20" t="n">
        <v>-21</v>
      </c>
      <c r="S198" s="20" t="n">
        <v>-58</v>
      </c>
      <c r="T198" s="20" t="n">
        <v>-107</v>
      </c>
      <c r="U198" s="20" t="n">
        <v>-132</v>
      </c>
      <c r="V198" s="20" t="n">
        <v>-58</v>
      </c>
      <c r="W198" s="20" t="n">
        <v>-99</v>
      </c>
      <c r="X198" s="20" t="n">
        <v>-505</v>
      </c>
    </row>
    <row r="199">
      <c r="A199" s="18" t="inlineStr">
        <is>
          <t>단계적 취득 차손익</t>
        </is>
      </c>
      <c r="D199" s="20" t="n">
        <v>0</v>
      </c>
      <c r="F199" s="20" t="n">
        <v>2792</v>
      </c>
      <c r="H199" s="20" t="n">
        <v>2792</v>
      </c>
      <c r="J199" s="20" t="n">
        <v>0</v>
      </c>
      <c r="L199" s="20" t="n">
        <v>0</v>
      </c>
      <c r="Q199" s="20" t="n">
        <v>13</v>
      </c>
      <c r="R199" s="20" t="n">
        <v>1482</v>
      </c>
      <c r="S199" s="20" t="n">
        <v>0</v>
      </c>
      <c r="V199" s="20" t="n">
        <v>0</v>
      </c>
      <c r="W199" s="20" t="n">
        <v>2792</v>
      </c>
      <c r="X199" s="20" t="n">
        <v>0</v>
      </c>
    </row>
    <row r="200">
      <c r="A200" s="18" t="inlineStr">
        <is>
          <t>매출채권 증감</t>
        </is>
      </c>
      <c r="D200" s="20" t="n">
        <v>-1869</v>
      </c>
      <c r="F200" s="20" t="n">
        <v>-1658</v>
      </c>
      <c r="H200" s="20" t="n">
        <v>-3979</v>
      </c>
      <c r="J200" s="20" t="n">
        <v>1038</v>
      </c>
      <c r="L200" s="20" t="n">
        <v>-3187</v>
      </c>
      <c r="N200" s="20" t="n">
        <v>-2934</v>
      </c>
      <c r="O200" s="20" t="n">
        <v>-426</v>
      </c>
      <c r="P200" s="20" t="n">
        <v>-946</v>
      </c>
      <c r="Q200" s="20" t="n">
        <v>1264</v>
      </c>
      <c r="R200" s="20" t="n">
        <v>-132</v>
      </c>
      <c r="S200" s="20" t="n">
        <v>-788</v>
      </c>
      <c r="T200" s="20" t="n">
        <v>-366</v>
      </c>
      <c r="U200" s="20" t="n">
        <v>-1203</v>
      </c>
      <c r="V200" s="20" t="n">
        <v>-1869</v>
      </c>
      <c r="W200" s="20" t="n">
        <v>-3979</v>
      </c>
      <c r="X200" s="20" t="n">
        <v>-3187</v>
      </c>
    </row>
    <row r="201">
      <c r="A201" s="18" t="inlineStr">
        <is>
          <t>재고자산 증감</t>
        </is>
      </c>
      <c r="D201" s="20" t="n">
        <v>145984</v>
      </c>
      <c r="F201" s="20" t="n">
        <v>21817</v>
      </c>
      <c r="H201" s="20" t="n">
        <v>212081</v>
      </c>
      <c r="J201" s="20" t="n">
        <v>25029</v>
      </c>
      <c r="L201" s="20" t="n">
        <v>164868</v>
      </c>
      <c r="N201" s="20" t="n">
        <v>56912</v>
      </c>
      <c r="O201" s="20" t="n">
        <v>39974</v>
      </c>
      <c r="P201" s="20" t="n">
        <v>-20334</v>
      </c>
      <c r="Q201" s="20" t="n">
        <v>62399</v>
      </c>
      <c r="R201" s="20" t="n">
        <v>152290</v>
      </c>
      <c r="S201" s="20" t="n">
        <v>116937</v>
      </c>
      <c r="T201" s="20" t="n">
        <v>206353</v>
      </c>
      <c r="U201" s="20" t="n">
        <v>166066</v>
      </c>
      <c r="V201" s="20" t="n">
        <v>145984</v>
      </c>
      <c r="W201" s="20" t="n">
        <v>212081</v>
      </c>
      <c r="X201" s="20" t="n">
        <v>164868</v>
      </c>
    </row>
    <row r="202">
      <c r="A202" s="18" t="inlineStr">
        <is>
          <t>영업투자유가증권 증감액</t>
        </is>
      </c>
      <c r="F202" s="20" t="n">
        <v>0</v>
      </c>
      <c r="H202" s="20" t="n">
        <v>-10035</v>
      </c>
      <c r="J202" s="20" t="n">
        <v>-21580</v>
      </c>
      <c r="L202" s="20" t="n">
        <v>-57468</v>
      </c>
      <c r="N202" s="20" t="n">
        <v>37140</v>
      </c>
      <c r="O202" s="20" t="n">
        <v>1224</v>
      </c>
      <c r="P202" s="20" t="n">
        <v>590</v>
      </c>
      <c r="Q202" s="20" t="n">
        <v>442</v>
      </c>
      <c r="R202" s="20" t="n">
        <v>-2595</v>
      </c>
      <c r="S202" s="20" t="n">
        <v>3789</v>
      </c>
      <c r="T202" s="20" t="n">
        <v>2712</v>
      </c>
      <c r="U202" s="20" t="n">
        <v>0</v>
      </c>
      <c r="W202" s="20" t="n">
        <v>-10035</v>
      </c>
      <c r="X202" s="20" t="n">
        <v>-57468</v>
      </c>
    </row>
    <row r="203">
      <c r="A203" s="18" t="inlineStr">
        <is>
          <t>Decrease Increase In Guarantee Deposits Ope CF</t>
        </is>
      </c>
      <c r="D203" s="20" t="n">
        <v>-8585</v>
      </c>
      <c r="F203" s="20" t="n">
        <v>-1037</v>
      </c>
      <c r="H203" s="20" t="n">
        <v>-2605</v>
      </c>
      <c r="J203" s="20" t="n">
        <v>-3984</v>
      </c>
      <c r="L203" s="20" t="n">
        <v>-2185</v>
      </c>
      <c r="N203" s="20" t="n">
        <v>5825</v>
      </c>
      <c r="O203" s="20" t="n">
        <v>-2201</v>
      </c>
      <c r="P203" s="20" t="n">
        <v>-3889</v>
      </c>
      <c r="Q203" s="20" t="n">
        <v>-2630</v>
      </c>
      <c r="R203" s="20" t="n">
        <v>-1755</v>
      </c>
      <c r="S203" s="20" t="n">
        <v>-1214</v>
      </c>
      <c r="T203" s="20" t="n">
        <v>-9134</v>
      </c>
      <c r="U203" s="20" t="n">
        <v>-8651</v>
      </c>
      <c r="V203" s="20" t="n">
        <v>-8585</v>
      </c>
      <c r="W203" s="20" t="n">
        <v>-2605</v>
      </c>
      <c r="X203" s="20" t="n">
        <v>-2185</v>
      </c>
    </row>
    <row r="204">
      <c r="A204" s="18" t="inlineStr">
        <is>
          <t>예수보증금 증감액</t>
        </is>
      </c>
      <c r="D204" s="20" t="n">
        <v>4662</v>
      </c>
      <c r="F204" s="20" t="n">
        <v>5033</v>
      </c>
      <c r="H204" s="20" t="n">
        <v>5220</v>
      </c>
      <c r="J204" s="20" t="n">
        <v>9055</v>
      </c>
      <c r="L204" s="20" t="n">
        <v>15469</v>
      </c>
      <c r="N204" s="20" t="n">
        <v>-10570</v>
      </c>
      <c r="O204" s="20" t="n">
        <v>4295</v>
      </c>
      <c r="P204" s="20" t="n">
        <v>8706</v>
      </c>
      <c r="Q204" s="20" t="n">
        <v>6167</v>
      </c>
      <c r="R204" s="20" t="n">
        <v>9295</v>
      </c>
      <c r="S204" s="20" t="n">
        <v>2786</v>
      </c>
      <c r="T204" s="20" t="n">
        <v>-18</v>
      </c>
      <c r="U204" s="20" t="n">
        <v>5714</v>
      </c>
      <c r="V204" s="20" t="n">
        <v>4662</v>
      </c>
      <c r="W204" s="20" t="n">
        <v>5220</v>
      </c>
      <c r="X204" s="20" t="n">
        <v>15469</v>
      </c>
    </row>
    <row r="205">
      <c r="A205" s="18" t="inlineStr">
        <is>
          <t>기타 자산 증감</t>
        </is>
      </c>
      <c r="D205" s="20" t="n">
        <v>-4929</v>
      </c>
      <c r="F205" s="20" t="n">
        <v>4279</v>
      </c>
      <c r="H205" s="20" t="n">
        <v>9378</v>
      </c>
      <c r="J205" s="20" t="n">
        <v>-8377</v>
      </c>
      <c r="L205" s="20" t="n">
        <v>-396</v>
      </c>
      <c r="N205" s="20" t="n">
        <v>13657</v>
      </c>
      <c r="O205" s="20" t="n">
        <v>1326</v>
      </c>
      <c r="P205" s="20" t="n">
        <v>-406</v>
      </c>
      <c r="Q205" s="20" t="n">
        <v>2578</v>
      </c>
      <c r="R205" s="20" t="n">
        <v>1536</v>
      </c>
      <c r="S205" s="20" t="n">
        <v>2044</v>
      </c>
      <c r="T205" s="20" t="n">
        <v>3479</v>
      </c>
      <c r="U205" s="20" t="n">
        <v>-804</v>
      </c>
      <c r="V205" s="20" t="n">
        <v>-4929</v>
      </c>
      <c r="W205" s="20" t="n">
        <v>9378</v>
      </c>
      <c r="X205" s="20" t="n">
        <v>-396</v>
      </c>
    </row>
    <row r="206">
      <c r="A206" s="18" t="inlineStr">
        <is>
          <t>기타 부채 증감</t>
        </is>
      </c>
      <c r="D206" s="20" t="n">
        <v>2045</v>
      </c>
      <c r="F206" s="20" t="n">
        <v>666</v>
      </c>
      <c r="H206" s="20" t="n">
        <v>6749</v>
      </c>
      <c r="J206" s="20" t="n">
        <v>-4726</v>
      </c>
      <c r="L206" s="20" t="n">
        <v>8269</v>
      </c>
      <c r="N206" s="20" t="n">
        <v>42</v>
      </c>
      <c r="O206" s="20" t="n">
        <v>4398</v>
      </c>
      <c r="P206" s="20" t="n">
        <v>-530</v>
      </c>
      <c r="Q206" s="20" t="n">
        <v>-1150</v>
      </c>
      <c r="R206" s="20" t="n">
        <v>3470</v>
      </c>
      <c r="S206" s="20" t="n">
        <v>2800</v>
      </c>
      <c r="T206" s="20" t="n">
        <v>200</v>
      </c>
      <c r="U206" s="20" t="n">
        <v>-4780</v>
      </c>
      <c r="V206" s="20" t="n">
        <v>2045</v>
      </c>
      <c r="W206" s="20" t="n">
        <v>6749</v>
      </c>
      <c r="X206" s="20" t="n">
        <v>8269</v>
      </c>
    </row>
    <row r="207">
      <c r="A207" s="18" t="inlineStr">
        <is>
          <t>소계</t>
        </is>
      </c>
      <c r="D207" s="20" t="n">
        <v>300893</v>
      </c>
      <c r="F207" s="20" t="n">
        <v>106283</v>
      </c>
      <c r="H207" s="20" t="n">
        <v>394407</v>
      </c>
      <c r="J207" s="20" t="n">
        <v>81751</v>
      </c>
      <c r="L207" s="20" t="n">
        <v>330596</v>
      </c>
      <c r="N207" s="20" t="n">
        <v>197728</v>
      </c>
      <c r="O207" s="20" t="n">
        <v>113434</v>
      </c>
      <c r="P207" s="20" t="n">
        <v>59140</v>
      </c>
      <c r="Q207" s="20" t="n">
        <v>156842</v>
      </c>
      <c r="R207" s="20" t="n">
        <v>264808</v>
      </c>
      <c r="S207" s="20" t="n">
        <v>240793</v>
      </c>
      <c r="T207" s="20" t="n">
        <v>333732</v>
      </c>
      <c r="U207" s="20" t="n">
        <v>298178</v>
      </c>
      <c r="V207" s="20" t="n">
        <v>300893</v>
      </c>
      <c r="W207" s="20" t="n">
        <v>394407</v>
      </c>
      <c r="X207" s="20" t="n">
        <v>330596</v>
      </c>
    </row>
    <row r="208">
      <c r="A208" s="18" t="inlineStr">
        <is>
          <t>이자·배당금 수취</t>
        </is>
      </c>
      <c r="D208" s="20" t="n">
        <v>5323</v>
      </c>
      <c r="F208" s="20" t="n">
        <v>3431</v>
      </c>
      <c r="H208" s="20" t="n">
        <v>6237</v>
      </c>
      <c r="J208" s="20" t="n">
        <v>4210</v>
      </c>
      <c r="L208" s="20" t="n">
        <v>8013</v>
      </c>
      <c r="N208" s="20" t="n">
        <v>3883</v>
      </c>
      <c r="O208" s="20" t="n">
        <v>1662</v>
      </c>
      <c r="P208" s="20" t="n">
        <v>1866</v>
      </c>
      <c r="Q208" s="20" t="n">
        <v>4895</v>
      </c>
      <c r="R208" s="20" t="n">
        <v>2403</v>
      </c>
      <c r="S208" s="20" t="n">
        <v>2577</v>
      </c>
      <c r="T208" s="20" t="n">
        <v>2613</v>
      </c>
      <c r="U208" s="20" t="n">
        <v>4053</v>
      </c>
      <c r="V208" s="20" t="n">
        <v>5323</v>
      </c>
      <c r="W208" s="20" t="n">
        <v>6237</v>
      </c>
      <c r="X208" s="20" t="n">
        <v>8013</v>
      </c>
    </row>
    <row r="209">
      <c r="A209" s="18" t="inlineStr">
        <is>
          <t>이자 지급</t>
        </is>
      </c>
      <c r="D209" s="20" t="n">
        <v>-11613</v>
      </c>
      <c r="F209" s="20" t="n">
        <v>-6095</v>
      </c>
      <c r="H209" s="20" t="n">
        <v>-12880</v>
      </c>
      <c r="J209" s="20" t="n">
        <v>-8766</v>
      </c>
      <c r="L209" s="20" t="n">
        <v>-19832</v>
      </c>
      <c r="N209" s="20" t="n">
        <v>-12914</v>
      </c>
      <c r="O209" s="20" t="n">
        <v>-4566</v>
      </c>
      <c r="P209" s="20" t="n">
        <v>-4343</v>
      </c>
      <c r="Q209" s="20" t="n">
        <v>-5395</v>
      </c>
      <c r="R209" s="20" t="n">
        <v>-6581</v>
      </c>
      <c r="S209" s="20" t="n">
        <v>-8632</v>
      </c>
      <c r="T209" s="20" t="n">
        <v>-10217</v>
      </c>
      <c r="U209" s="20" t="n">
        <v>-10195</v>
      </c>
      <c r="V209" s="20" t="n">
        <v>-11613</v>
      </c>
      <c r="W209" s="20" t="n">
        <v>-12880</v>
      </c>
      <c r="X209" s="20" t="n">
        <v>-19832</v>
      </c>
    </row>
    <row r="210">
      <c r="A210" s="18" t="inlineStr">
        <is>
          <t>법인세 납부</t>
        </is>
      </c>
      <c r="D210" s="20" t="n">
        <v>-23864</v>
      </c>
      <c r="F210" s="20" t="n">
        <v>-18384</v>
      </c>
      <c r="H210" s="20" t="n">
        <v>-34376</v>
      </c>
      <c r="J210" s="20" t="n">
        <v>-30000</v>
      </c>
      <c r="L210" s="20" t="n">
        <v>-49538</v>
      </c>
      <c r="O210" s="20" t="n">
        <v>-3250</v>
      </c>
      <c r="P210" s="20" t="n">
        <v>-10937</v>
      </c>
      <c r="Q210" s="20" t="n">
        <v>-25368</v>
      </c>
      <c r="R210" s="20" t="n">
        <v>-29491</v>
      </c>
      <c r="S210" s="20" t="n">
        <v>-32547</v>
      </c>
      <c r="T210" s="20" t="n">
        <v>-34393</v>
      </c>
      <c r="U210" s="20" t="n">
        <v>-26020</v>
      </c>
      <c r="V210" s="20" t="n">
        <v>-23864</v>
      </c>
      <c r="W210" s="20" t="n">
        <v>-34376</v>
      </c>
      <c r="X210" s="20" t="n">
        <v>-49538</v>
      </c>
    </row>
    <row r="211">
      <c r="A211" s="18" t="inlineStr">
        <is>
          <t>법인세 환급</t>
        </is>
      </c>
      <c r="D211" s="20" t="n">
        <v>80</v>
      </c>
      <c r="F211" s="20" t="n">
        <v>0</v>
      </c>
      <c r="H211" s="20" t="n">
        <v>0</v>
      </c>
      <c r="J211" s="20" t="n">
        <v>0</v>
      </c>
      <c r="O211" s="20" t="n">
        <v>1127</v>
      </c>
      <c r="P211" s="20" t="n">
        <v>0</v>
      </c>
      <c r="Q211" s="20" t="n">
        <v>0</v>
      </c>
      <c r="R211" s="20" t="n">
        <v>41</v>
      </c>
      <c r="S211" s="20" t="n">
        <v>112</v>
      </c>
      <c r="T211" s="20" t="n">
        <v>1</v>
      </c>
      <c r="U211" s="20" t="n">
        <v>92</v>
      </c>
      <c r="V211" s="20" t="n">
        <v>80</v>
      </c>
      <c r="W211" s="20" t="n">
        <v>0</v>
      </c>
    </row>
    <row r="212">
      <c r="A212" s="18" t="inlineStr">
        <is>
          <t>법인세 납부·환급</t>
        </is>
      </c>
      <c r="J212" s="20" t="n">
        <v>-30000</v>
      </c>
      <c r="N212" s="20" t="n">
        <v>-32945</v>
      </c>
    </row>
    <row r="213">
      <c r="A213" s="9" t="inlineStr">
        <is>
          <t>영업활동 현금흐름</t>
        </is>
      </c>
      <c r="D213" s="12" t="n">
        <v>270819</v>
      </c>
      <c r="F213" s="12" t="n">
        <v>85234</v>
      </c>
      <c r="H213" s="12" t="n">
        <v>353388</v>
      </c>
      <c r="J213" s="12" t="n">
        <v>47195</v>
      </c>
      <c r="L213" s="12" t="n">
        <v>269239</v>
      </c>
      <c r="N213" s="12" t="n">
        <v>155752</v>
      </c>
      <c r="O213" s="12" t="n">
        <v>108407</v>
      </c>
      <c r="P213" s="12" t="n">
        <v>45724</v>
      </c>
      <c r="Q213" s="12" t="n">
        <v>130973</v>
      </c>
      <c r="R213" s="12" t="n">
        <v>231180</v>
      </c>
      <c r="S213" s="12" t="n">
        <v>202304</v>
      </c>
      <c r="T213" s="12" t="n">
        <v>291736</v>
      </c>
      <c r="U213" s="12" t="n">
        <v>266108</v>
      </c>
      <c r="V213" s="12" t="n">
        <v>270819</v>
      </c>
      <c r="W213" s="12" t="n">
        <v>353388</v>
      </c>
      <c r="X213" s="12" t="n">
        <v>269239</v>
      </c>
    </row>
    <row r="214">
      <c r="A214" s="18" t="inlineStr">
        <is>
          <t>정기예금 예입</t>
        </is>
      </c>
      <c r="D214" s="20" t="n">
        <v>-115</v>
      </c>
      <c r="F214" s="20" t="n">
        <v>-2232</v>
      </c>
      <c r="H214" s="20" t="n">
        <v>-2337</v>
      </c>
      <c r="J214" s="20" t="n">
        <v>-12</v>
      </c>
      <c r="L214" s="20" t="n">
        <v>-515</v>
      </c>
      <c r="N214" s="20" t="n">
        <v>-210</v>
      </c>
      <c r="P214" s="20" t="n">
        <v>0</v>
      </c>
      <c r="Q214" s="20" t="n">
        <v>-153</v>
      </c>
      <c r="R214" s="20" t="n">
        <v>0</v>
      </c>
      <c r="S214" s="20" t="n">
        <v>-120</v>
      </c>
      <c r="T214" s="20" t="n">
        <v>-120</v>
      </c>
      <c r="U214" s="20" t="n">
        <v>-100</v>
      </c>
      <c r="V214" s="20" t="n">
        <v>-115</v>
      </c>
      <c r="W214" s="20" t="n">
        <v>-2337</v>
      </c>
      <c r="X214" s="20" t="n">
        <v>-515</v>
      </c>
    </row>
    <row r="215">
      <c r="A215" s="18" t="inlineStr">
        <is>
          <t>정기예금 인출</t>
        </is>
      </c>
      <c r="D215" s="20" t="n">
        <v>100</v>
      </c>
      <c r="F215" s="20" t="n">
        <v>10</v>
      </c>
      <c r="H215" s="20" t="n">
        <v>115</v>
      </c>
      <c r="J215" s="20" t="n">
        <v>33</v>
      </c>
      <c r="L215" s="20" t="n">
        <v>215</v>
      </c>
      <c r="N215" s="20" t="n">
        <v>310</v>
      </c>
      <c r="P215" s="20" t="n">
        <v>0</v>
      </c>
      <c r="Q215" s="20" t="n">
        <v>60</v>
      </c>
      <c r="R215" s="20" t="n">
        <v>193</v>
      </c>
      <c r="S215" s="20" t="n">
        <v>120</v>
      </c>
      <c r="T215" s="20" t="n">
        <v>346</v>
      </c>
      <c r="U215" s="20" t="n">
        <v>120</v>
      </c>
      <c r="V215" s="20" t="n">
        <v>100</v>
      </c>
      <c r="W215" s="20" t="n">
        <v>115</v>
      </c>
      <c r="X215" s="20" t="n">
        <v>215</v>
      </c>
    </row>
    <row r="216">
      <c r="A216" s="18" t="inlineStr">
        <is>
          <t>유형자산 취득(설비투자)</t>
        </is>
      </c>
      <c r="D216" s="20" t="n">
        <v>-257237</v>
      </c>
      <c r="F216" s="20" t="n">
        <v>-244711</v>
      </c>
      <c r="H216" s="20" t="n">
        <v>-364708</v>
      </c>
      <c r="J216" s="20" t="n">
        <v>-165038</v>
      </c>
      <c r="L216" s="20" t="n">
        <v>-426254</v>
      </c>
      <c r="N216" s="20" t="n">
        <v>-137138</v>
      </c>
      <c r="O216" s="20" t="n">
        <v>-106729</v>
      </c>
      <c r="P216" s="20" t="n">
        <v>-196128</v>
      </c>
      <c r="Q216" s="20" t="n">
        <v>-247082</v>
      </c>
      <c r="R216" s="20" t="n">
        <v>-289762</v>
      </c>
      <c r="S216" s="20" t="n">
        <v>-320637</v>
      </c>
      <c r="T216" s="20" t="n">
        <v>-211688</v>
      </c>
      <c r="U216" s="20" t="n">
        <v>-291108</v>
      </c>
      <c r="V216" s="20" t="n">
        <v>-257237</v>
      </c>
      <c r="W216" s="20" t="n">
        <v>-364708</v>
      </c>
      <c r="X216" s="20" t="n">
        <v>-426254</v>
      </c>
    </row>
    <row r="217">
      <c r="A217" s="18" t="inlineStr">
        <is>
          <t>유형자산 매각</t>
        </is>
      </c>
      <c r="O217" s="20" t="n">
        <v>1679</v>
      </c>
      <c r="P217" s="20" t="n">
        <v>11458</v>
      </c>
      <c r="Q217" s="20" t="n">
        <v>24</v>
      </c>
      <c r="R217" s="20" t="n">
        <v>0</v>
      </c>
      <c r="S217" s="20" t="n">
        <v>37</v>
      </c>
      <c r="T217" s="20" t="n">
        <v>0</v>
      </c>
    </row>
    <row r="218">
      <c r="A218" s="18" t="inlineStr">
        <is>
          <t>무형자산 취득</t>
        </is>
      </c>
      <c r="D218" s="20" t="n">
        <v>-7397</v>
      </c>
      <c r="F218" s="20" t="n">
        <v>-4723</v>
      </c>
      <c r="H218" s="20" t="n">
        <v>-10059</v>
      </c>
      <c r="J218" s="20" t="n">
        <v>-10210</v>
      </c>
      <c r="L218" s="20" t="n">
        <v>-19810</v>
      </c>
      <c r="N218" s="20" t="n">
        <v>-1055</v>
      </c>
      <c r="O218" s="20" t="n">
        <v>-2427</v>
      </c>
      <c r="P218" s="20" t="n">
        <v>-1003</v>
      </c>
      <c r="Q218" s="20" t="n">
        <v>-7068</v>
      </c>
      <c r="R218" s="20" t="n">
        <v>-64505</v>
      </c>
      <c r="S218" s="20" t="n">
        <v>-856</v>
      </c>
      <c r="T218" s="20" t="n">
        <v>-1991</v>
      </c>
      <c r="U218" s="20" t="n">
        <v>-2125</v>
      </c>
      <c r="V218" s="20" t="n">
        <v>-7397</v>
      </c>
      <c r="W218" s="20" t="n">
        <v>-10059</v>
      </c>
      <c r="X218" s="20" t="n">
        <v>-19810</v>
      </c>
    </row>
    <row r="219">
      <c r="A219" s="18" t="inlineStr">
        <is>
          <t>무형자산 매각 수입</t>
        </is>
      </c>
      <c r="O219" s="20" t="n">
        <v>408</v>
      </c>
      <c r="P219" s="20" t="n">
        <v>0</v>
      </c>
    </row>
    <row r="220">
      <c r="A220" s="18" t="inlineStr">
        <is>
          <t>고정자산 매각</t>
        </is>
      </c>
      <c r="D220" s="20" t="n">
        <v>1034</v>
      </c>
      <c r="F220" s="20" t="n">
        <v>0</v>
      </c>
      <c r="H220" s="20" t="n">
        <v>166</v>
      </c>
      <c r="J220" s="20" t="n">
        <v>155</v>
      </c>
      <c r="L220" s="20" t="n">
        <v>177</v>
      </c>
      <c r="N220" s="20" t="n">
        <v>234</v>
      </c>
      <c r="T220" s="20" t="n">
        <v>0</v>
      </c>
      <c r="U220" s="20" t="n">
        <v>16</v>
      </c>
      <c r="V220" s="20" t="n">
        <v>1034</v>
      </c>
      <c r="W220" s="20" t="n">
        <v>166</v>
      </c>
      <c r="X220" s="20" t="n">
        <v>177</v>
      </c>
    </row>
    <row r="221">
      <c r="A221" s="18" t="inlineStr">
        <is>
          <t>투자유가증권 취득</t>
        </is>
      </c>
      <c r="D221" s="20" t="n">
        <v>-17025</v>
      </c>
      <c r="F221" s="20" t="n">
        <v>-53195</v>
      </c>
      <c r="H221" s="20" t="n">
        <v>-118553</v>
      </c>
      <c r="J221" s="20" t="n">
        <v>-82281</v>
      </c>
      <c r="L221" s="20" t="n">
        <v>-105630</v>
      </c>
      <c r="N221" s="20" t="n">
        <v>-43392</v>
      </c>
      <c r="O221" s="20" t="n">
        <v>-5396</v>
      </c>
      <c r="P221" s="20" t="n">
        <v>-4104</v>
      </c>
      <c r="Q221" s="20" t="n">
        <v>-3549</v>
      </c>
      <c r="R221" s="20" t="n">
        <v>-7776</v>
      </c>
      <c r="S221" s="20" t="n">
        <v>-23663</v>
      </c>
      <c r="T221" s="20" t="n">
        <v>-75927</v>
      </c>
      <c r="U221" s="20" t="n">
        <v>-71594</v>
      </c>
      <c r="V221" s="20" t="n">
        <v>-17025</v>
      </c>
      <c r="W221" s="20" t="n">
        <v>-118553</v>
      </c>
      <c r="X221" s="20" t="n">
        <v>-105630</v>
      </c>
    </row>
    <row r="222">
      <c r="A222" s="18" t="inlineStr">
        <is>
          <t>투자유가증권 매각</t>
        </is>
      </c>
      <c r="D222" s="20" t="n">
        <v>169</v>
      </c>
      <c r="F222" s="20" t="n">
        <v>6603</v>
      </c>
      <c r="H222" s="20" t="n">
        <v>7578</v>
      </c>
      <c r="J222" s="20" t="n">
        <v>4292</v>
      </c>
      <c r="L222" s="20" t="n">
        <v>4546</v>
      </c>
      <c r="N222" s="20" t="n">
        <v>5745</v>
      </c>
      <c r="O222" s="20" t="n">
        <v>888</v>
      </c>
      <c r="P222" s="20" t="n">
        <v>1</v>
      </c>
      <c r="Q222" s="20" t="n">
        <v>47</v>
      </c>
      <c r="R222" s="20" t="n">
        <v>124</v>
      </c>
      <c r="S222" s="20" t="n">
        <v>1927</v>
      </c>
      <c r="T222" s="20" t="n">
        <v>1894</v>
      </c>
      <c r="U222" s="20" t="n">
        <v>5943</v>
      </c>
      <c r="V222" s="20" t="n">
        <v>169</v>
      </c>
      <c r="W222" s="20" t="n">
        <v>7578</v>
      </c>
      <c r="X222" s="20" t="n">
        <v>4546</v>
      </c>
    </row>
    <row r="223">
      <c r="A223" s="18" t="inlineStr">
        <is>
          <t>Pay Out In Additional Newly Consolidated Subsidiary Inv CF</t>
        </is>
      </c>
      <c r="P223" s="20" t="n">
        <v>0</v>
      </c>
      <c r="Q223" s="20" t="n">
        <v>-971</v>
      </c>
      <c r="R223" s="20" t="n">
        <v>0</v>
      </c>
    </row>
    <row r="224">
      <c r="A224" s="18" t="inlineStr">
        <is>
          <t>Proceeds From Additional Newly Consolidated Subsidiary Inv CF</t>
        </is>
      </c>
      <c r="O224" s="20" t="n">
        <v>0</v>
      </c>
      <c r="P224" s="20" t="n">
        <v>0</v>
      </c>
      <c r="Q224" s="20" t="n">
        <v>514</v>
      </c>
      <c r="R224" s="20" t="n">
        <v>0</v>
      </c>
    </row>
    <row r="225">
      <c r="A225" s="18" t="inlineStr">
        <is>
          <t>연결범위 변경 자회사 주식 매각(지출)</t>
        </is>
      </c>
      <c r="R225" s="20" t="n">
        <v>0</v>
      </c>
      <c r="S225" s="20" t="n">
        <v>-56</v>
      </c>
      <c r="T225" s="20" t="n">
        <v>0</v>
      </c>
    </row>
    <row r="226">
      <c r="A226" s="18" t="inlineStr">
        <is>
          <t>투자유가증권 상환</t>
        </is>
      </c>
      <c r="D226" s="20" t="n">
        <v>602</v>
      </c>
      <c r="F226" s="20" t="n">
        <v>8982</v>
      </c>
      <c r="H226" s="20" t="n">
        <v>26312</v>
      </c>
      <c r="J226" s="20" t="n">
        <v>44293</v>
      </c>
      <c r="L226" s="20" t="n">
        <v>45156</v>
      </c>
      <c r="N226" s="20" t="n">
        <v>624</v>
      </c>
      <c r="T226" s="20" t="n">
        <v>383</v>
      </c>
      <c r="U226" s="20" t="n">
        <v>13289</v>
      </c>
      <c r="V226" s="20" t="n">
        <v>602</v>
      </c>
      <c r="W226" s="20" t="n">
        <v>26312</v>
      </c>
      <c r="X226" s="20" t="n">
        <v>45156</v>
      </c>
    </row>
    <row r="227">
      <c r="A227" s="18" t="inlineStr">
        <is>
          <t>연결범위 변경 자회사 주식 취득(수입)</t>
        </is>
      </c>
      <c r="D227" s="20" t="n">
        <v>0</v>
      </c>
      <c r="T227" s="20" t="n">
        <v>0</v>
      </c>
      <c r="U227" s="20" t="n">
        <v>574</v>
      </c>
      <c r="V227" s="20" t="n">
        <v>0</v>
      </c>
    </row>
    <row r="228">
      <c r="A228" s="18" t="inlineStr">
        <is>
          <t>연결범위 변경 자회사 주식 취득</t>
        </is>
      </c>
      <c r="D228" s="20" t="n">
        <v>-1228</v>
      </c>
      <c r="F228" s="20" t="n">
        <v>-8508</v>
      </c>
      <c r="H228" s="20" t="n">
        <v>-131847</v>
      </c>
      <c r="J228" s="20" t="n">
        <v>-232</v>
      </c>
      <c r="L228" s="20" t="n">
        <v>-22395</v>
      </c>
      <c r="N228" s="20" t="n">
        <v>-16188</v>
      </c>
      <c r="U228" s="20" t="n">
        <v>0</v>
      </c>
      <c r="V228" s="20" t="n">
        <v>-1228</v>
      </c>
      <c r="W228" s="20" t="n">
        <v>-131847</v>
      </c>
      <c r="X228" s="20" t="n">
        <v>-22395</v>
      </c>
    </row>
    <row r="229">
      <c r="A229" s="18" t="inlineStr">
        <is>
          <t>연결범위 변경 자회사 주식 매각</t>
        </is>
      </c>
      <c r="D229" s="20" t="n">
        <v>0</v>
      </c>
      <c r="F229" s="20" t="n">
        <v>168</v>
      </c>
      <c r="H229" s="20" t="n">
        <v>168</v>
      </c>
      <c r="J229" s="20" t="n">
        <v>0</v>
      </c>
      <c r="L229" s="20" t="n">
        <v>0</v>
      </c>
      <c r="N229" s="20" t="n">
        <v>1831</v>
      </c>
      <c r="Q229" s="20" t="n">
        <v>0</v>
      </c>
      <c r="R229" s="20" t="n">
        <v>629</v>
      </c>
      <c r="S229" s="20" t="n">
        <v>0</v>
      </c>
      <c r="V229" s="20" t="n">
        <v>0</v>
      </c>
      <c r="W229" s="20" t="n">
        <v>168</v>
      </c>
      <c r="X229" s="20" t="n">
        <v>0</v>
      </c>
    </row>
    <row r="230">
      <c r="A230" s="18" t="inlineStr">
        <is>
          <t>대여</t>
        </is>
      </c>
      <c r="D230" s="20" t="n">
        <v>-104</v>
      </c>
      <c r="F230" s="20" t="n">
        <v>-47</v>
      </c>
      <c r="H230" s="20" t="n">
        <v>-3739</v>
      </c>
      <c r="J230" s="20" t="n">
        <v>-2580</v>
      </c>
      <c r="L230" s="20" t="n">
        <v>-6742</v>
      </c>
      <c r="N230" s="20" t="n">
        <v>-4408</v>
      </c>
      <c r="O230" s="20" t="n">
        <v>-143</v>
      </c>
      <c r="P230" s="20" t="n">
        <v>-125</v>
      </c>
      <c r="Q230" s="20" t="n">
        <v>0</v>
      </c>
      <c r="R230" s="20" t="n">
        <v>-1</v>
      </c>
      <c r="S230" s="20" t="n">
        <v>-7</v>
      </c>
      <c r="T230" s="20" t="n">
        <v>-5</v>
      </c>
      <c r="U230" s="20" t="n">
        <v>-3</v>
      </c>
      <c r="V230" s="20" t="n">
        <v>-104</v>
      </c>
      <c r="W230" s="20" t="n">
        <v>-3739</v>
      </c>
      <c r="X230" s="20" t="n">
        <v>-6742</v>
      </c>
    </row>
    <row r="231">
      <c r="A231" s="18" t="inlineStr">
        <is>
          <t>대여금 회수</t>
        </is>
      </c>
      <c r="D231" s="20" t="n">
        <v>4</v>
      </c>
      <c r="F231" s="20" t="n">
        <v>0</v>
      </c>
      <c r="H231" s="20" t="n">
        <v>0</v>
      </c>
      <c r="J231" s="20" t="n">
        <v>2</v>
      </c>
      <c r="L231" s="20" t="n">
        <v>2</v>
      </c>
      <c r="N231" s="20" t="n">
        <v>379</v>
      </c>
      <c r="O231" s="20" t="n">
        <v>0</v>
      </c>
      <c r="P231" s="20" t="n">
        <v>500</v>
      </c>
      <c r="Q231" s="20" t="n">
        <v>0</v>
      </c>
      <c r="R231" s="20" t="n">
        <v>9</v>
      </c>
      <c r="S231" s="20" t="n">
        <v>1</v>
      </c>
      <c r="T231" s="20" t="n">
        <v>8</v>
      </c>
      <c r="U231" s="20" t="n">
        <v>4</v>
      </c>
      <c r="V231" s="20" t="n">
        <v>4</v>
      </c>
      <c r="W231" s="20" t="n">
        <v>0</v>
      </c>
      <c r="X231" s="20" t="n">
        <v>2</v>
      </c>
    </row>
    <row r="232">
      <c r="A232" s="18" t="inlineStr">
        <is>
          <t>기타</t>
        </is>
      </c>
      <c r="D232" s="20" t="n">
        <v>-17133</v>
      </c>
      <c r="F232" s="20" t="n">
        <v>-545</v>
      </c>
      <c r="H232" s="20" t="n">
        <v>-5115</v>
      </c>
      <c r="J232" s="20" t="n">
        <v>-9003</v>
      </c>
      <c r="L232" s="20" t="n">
        <v>-13249</v>
      </c>
      <c r="N232" s="20" t="n">
        <v>-6895</v>
      </c>
      <c r="O232" s="20" t="n">
        <v>702</v>
      </c>
      <c r="P232" s="20" t="n">
        <v>312</v>
      </c>
      <c r="Q232" s="20" t="n">
        <v>52</v>
      </c>
      <c r="R232" s="20" t="n">
        <v>2753</v>
      </c>
      <c r="S232" s="20" t="n">
        <v>114</v>
      </c>
      <c r="T232" s="20" t="n">
        <v>157</v>
      </c>
      <c r="U232" s="20" t="n">
        <v>-350</v>
      </c>
      <c r="V232" s="20" t="n">
        <v>-17133</v>
      </c>
      <c r="W232" s="20" t="n">
        <v>-5115</v>
      </c>
      <c r="X232" s="20" t="n">
        <v>-13249</v>
      </c>
    </row>
    <row r="233">
      <c r="A233" s="9" t="inlineStr">
        <is>
          <t>투자활동 현금흐름</t>
        </is>
      </c>
      <c r="D233" s="12" t="n">
        <v>-298330</v>
      </c>
      <c r="F233" s="12" t="n">
        <v>-298199</v>
      </c>
      <c r="H233" s="12" t="n">
        <v>-602020</v>
      </c>
      <c r="J233" s="12" t="n">
        <v>-220580</v>
      </c>
      <c r="L233" s="12" t="n">
        <v>-544500</v>
      </c>
      <c r="N233" s="12" t="n">
        <v>-200165</v>
      </c>
      <c r="O233" s="12" t="n">
        <v>-111018</v>
      </c>
      <c r="P233" s="12" t="n">
        <v>-189088</v>
      </c>
      <c r="Q233" s="12" t="n">
        <v>-258127</v>
      </c>
      <c r="R233" s="12" t="n">
        <v>-358334</v>
      </c>
      <c r="S233" s="12" t="n">
        <v>-343137</v>
      </c>
      <c r="T233" s="12" t="n">
        <v>-286943</v>
      </c>
      <c r="U233" s="12" t="n">
        <v>-345335</v>
      </c>
      <c r="V233" s="12" t="n">
        <v>-298330</v>
      </c>
      <c r="W233" s="12" t="n">
        <v>-602020</v>
      </c>
      <c r="X233" s="12" t="n">
        <v>-544500</v>
      </c>
    </row>
    <row r="234">
      <c r="A234" s="18" t="inlineStr">
        <is>
          <t>단기차입금 순증감</t>
        </is>
      </c>
      <c r="D234" s="20" t="n">
        <v>1114</v>
      </c>
      <c r="F234" s="20" t="n">
        <v>13856</v>
      </c>
      <c r="H234" s="20" t="n">
        <v>160461</v>
      </c>
      <c r="J234" s="20" t="n">
        <v>-164451</v>
      </c>
      <c r="L234" s="20" t="n">
        <v>-165542</v>
      </c>
      <c r="N234" s="20" t="n">
        <v>-2785</v>
      </c>
      <c r="O234" s="20" t="n">
        <v>-77000</v>
      </c>
      <c r="P234" s="20" t="n">
        <v>2065</v>
      </c>
      <c r="Q234" s="20" t="n">
        <v>-30066</v>
      </c>
      <c r="R234" s="20" t="n">
        <v>162</v>
      </c>
      <c r="S234" s="20" t="n">
        <v>600</v>
      </c>
      <c r="T234" s="20" t="n">
        <v>-380</v>
      </c>
      <c r="U234" s="20" t="n">
        <v>0</v>
      </c>
      <c r="V234" s="20" t="n">
        <v>1114</v>
      </c>
      <c r="W234" s="20" t="n">
        <v>160461</v>
      </c>
      <c r="X234" s="20" t="n">
        <v>-165542</v>
      </c>
    </row>
    <row r="235">
      <c r="A235" s="18" t="inlineStr">
        <is>
          <t>Net Increase Decrease In Short Term Bonds Payable Fin CF</t>
        </is>
      </c>
      <c r="D235" s="20" t="n">
        <v>-63</v>
      </c>
      <c r="F235" s="20" t="n">
        <v>154821</v>
      </c>
      <c r="H235" s="20" t="n">
        <v>29510</v>
      </c>
      <c r="J235" s="20" t="n">
        <v>129315</v>
      </c>
      <c r="L235" s="20" t="n">
        <v>88850</v>
      </c>
      <c r="N235" s="20" t="n">
        <v>-19761</v>
      </c>
      <c r="O235" s="20" t="n">
        <v>-2</v>
      </c>
      <c r="P235" s="20" t="n">
        <v>11997</v>
      </c>
      <c r="Q235" s="20" t="n">
        <v>-2000</v>
      </c>
      <c r="R235" s="20" t="n">
        <v>9999</v>
      </c>
      <c r="S235" s="20" t="n">
        <v>-20117</v>
      </c>
      <c r="T235" s="20" t="n">
        <v>4</v>
      </c>
      <c r="U235" s="20" t="n">
        <v>7</v>
      </c>
      <c r="V235" s="20" t="n">
        <v>-63</v>
      </c>
      <c r="W235" s="20" t="n">
        <v>29510</v>
      </c>
      <c r="X235" s="20" t="n">
        <v>88850</v>
      </c>
    </row>
    <row r="236">
      <c r="A236" s="18" t="inlineStr">
        <is>
          <t>장기차입</t>
        </is>
      </c>
      <c r="D236" s="20" t="n">
        <v>174500</v>
      </c>
      <c r="F236" s="20" t="n">
        <v>121000</v>
      </c>
      <c r="H236" s="20" t="n">
        <v>223000</v>
      </c>
      <c r="J236" s="20" t="n">
        <v>440392</v>
      </c>
      <c r="L236" s="20" t="n">
        <v>654862</v>
      </c>
      <c r="N236" s="20" t="n">
        <v>242760</v>
      </c>
      <c r="O236" s="20" t="n">
        <v>225400</v>
      </c>
      <c r="P236" s="20" t="n">
        <v>232800</v>
      </c>
      <c r="Q236" s="20" t="n">
        <v>195000</v>
      </c>
      <c r="R236" s="20" t="n">
        <v>140000</v>
      </c>
      <c r="S236" s="20" t="n">
        <v>70000</v>
      </c>
      <c r="T236" s="20" t="n">
        <v>94000</v>
      </c>
      <c r="U236" s="20" t="n">
        <v>42000</v>
      </c>
      <c r="V236" s="20" t="n">
        <v>174500</v>
      </c>
      <c r="W236" s="20" t="n">
        <v>223000</v>
      </c>
      <c r="X236" s="20" t="n">
        <v>654862</v>
      </c>
    </row>
    <row r="237">
      <c r="A237" s="18" t="inlineStr">
        <is>
          <t>장기차입금 상환</t>
        </is>
      </c>
      <c r="D237" s="20" t="n">
        <v>-161570</v>
      </c>
      <c r="F237" s="20" t="n">
        <v>-60763</v>
      </c>
      <c r="H237" s="20" t="n">
        <v>-103484</v>
      </c>
      <c r="J237" s="20" t="n">
        <v>-110622</v>
      </c>
      <c r="L237" s="20" t="n">
        <v>-285012</v>
      </c>
      <c r="N237" s="20" t="n">
        <v>-157879</v>
      </c>
      <c r="O237" s="20" t="n">
        <v>-141137</v>
      </c>
      <c r="P237" s="20" t="n">
        <v>-85544</v>
      </c>
      <c r="Q237" s="20" t="n">
        <v>-70000</v>
      </c>
      <c r="R237" s="20" t="n">
        <v>-35311</v>
      </c>
      <c r="S237" s="20" t="n">
        <v>-41379</v>
      </c>
      <c r="T237" s="20" t="n">
        <v>-55956</v>
      </c>
      <c r="U237" s="20" t="n">
        <v>-73076</v>
      </c>
      <c r="V237" s="20" t="n">
        <v>-161570</v>
      </c>
      <c r="W237" s="20" t="n">
        <v>-103484</v>
      </c>
      <c r="X237" s="20" t="n">
        <v>-285012</v>
      </c>
    </row>
    <row r="238">
      <c r="A238" s="18" t="inlineStr">
        <is>
          <t>사채 발행</t>
        </is>
      </c>
      <c r="D238" s="20" t="n">
        <v>39855</v>
      </c>
      <c r="F238" s="20" t="n">
        <v>62604</v>
      </c>
      <c r="H238" s="20" t="n">
        <v>62604</v>
      </c>
      <c r="J238" s="20" t="n">
        <v>59521</v>
      </c>
      <c r="L238" s="20" t="n">
        <v>159135</v>
      </c>
      <c r="N238" s="20" t="n">
        <v>84678</v>
      </c>
      <c r="P238" s="20" t="n">
        <v>0</v>
      </c>
      <c r="Q238" s="20" t="n">
        <v>69457</v>
      </c>
      <c r="R238" s="20" t="n">
        <v>54726</v>
      </c>
      <c r="S238" s="20" t="n">
        <v>208182</v>
      </c>
      <c r="T238" s="20" t="n">
        <v>0</v>
      </c>
      <c r="U238" s="20" t="n">
        <v>75346</v>
      </c>
      <c r="V238" s="20" t="n">
        <v>39855</v>
      </c>
      <c r="W238" s="20" t="n">
        <v>62604</v>
      </c>
      <c r="X238" s="20" t="n">
        <v>159135</v>
      </c>
    </row>
    <row r="239">
      <c r="A239" s="18" t="inlineStr">
        <is>
          <t>주식 발행</t>
        </is>
      </c>
      <c r="S239" s="20" t="n">
        <v>0</v>
      </c>
      <c r="T239" s="20" t="n">
        <v>97120</v>
      </c>
      <c r="U239" s="20" t="n">
        <v>0</v>
      </c>
    </row>
    <row r="240">
      <c r="A240" s="18" t="inlineStr">
        <is>
          <t>사채 상환</t>
        </is>
      </c>
      <c r="D240" s="20" t="n">
        <v>-50000</v>
      </c>
      <c r="F240" s="20" t="n">
        <v>-30000</v>
      </c>
      <c r="H240" s="20" t="n">
        <v>-30000</v>
      </c>
      <c r="J240" s="20" t="n">
        <v>-120000</v>
      </c>
      <c r="L240" s="20" t="n">
        <v>-120000</v>
      </c>
      <c r="N240" s="20" t="n">
        <v>-60030</v>
      </c>
      <c r="O240" s="20" t="n">
        <v>-100</v>
      </c>
      <c r="P240" s="20" t="n">
        <v>0</v>
      </c>
      <c r="Q240" s="20" t="n">
        <v>-15000</v>
      </c>
      <c r="R240" s="20" t="n">
        <v>-8049</v>
      </c>
      <c r="S240" s="20" t="n">
        <v>-5038</v>
      </c>
      <c r="T240" s="20" t="n">
        <v>0</v>
      </c>
      <c r="U240" s="20" t="n">
        <v>0</v>
      </c>
      <c r="V240" s="20" t="n">
        <v>-50000</v>
      </c>
      <c r="W240" s="20" t="n">
        <v>-30000</v>
      </c>
      <c r="X240" s="20" t="n">
        <v>-120000</v>
      </c>
    </row>
    <row r="241">
      <c r="A241" s="18" t="inlineStr">
        <is>
          <t>스톡옵션 행사 수입</t>
        </is>
      </c>
      <c r="O241" s="20" t="n">
        <v>108</v>
      </c>
      <c r="P241" s="20" t="n">
        <v>45</v>
      </c>
      <c r="Q241" s="20" t="n">
        <v>0</v>
      </c>
    </row>
    <row r="242">
      <c r="A242" s="18" t="inlineStr">
        <is>
          <t>자기주식 취득</t>
        </is>
      </c>
      <c r="D242" s="20" t="n">
        <v>-0</v>
      </c>
      <c r="F242" s="20" t="n">
        <v>-0</v>
      </c>
      <c r="H242" s="20" t="n">
        <v>-0</v>
      </c>
      <c r="J242" s="20" t="n">
        <v>-3121</v>
      </c>
      <c r="L242" s="20" t="n">
        <v>-3121</v>
      </c>
      <c r="N242" s="20" t="n">
        <v>-704</v>
      </c>
      <c r="O242" s="20" t="n">
        <v>-947</v>
      </c>
      <c r="P242" s="20" t="n">
        <v>-0</v>
      </c>
      <c r="Q242" s="20" t="n">
        <v>-0</v>
      </c>
      <c r="R242" s="20" t="n">
        <v>-1182</v>
      </c>
      <c r="S242" s="20" t="n">
        <v>-425</v>
      </c>
      <c r="T242" s="20" t="n">
        <v>-2</v>
      </c>
      <c r="U242" s="20" t="n">
        <v>-1530</v>
      </c>
      <c r="V242" s="20" t="n">
        <v>-0</v>
      </c>
      <c r="W242" s="20" t="n">
        <v>-0</v>
      </c>
      <c r="X242" s="20" t="n">
        <v>-3121</v>
      </c>
    </row>
    <row r="243">
      <c r="A243" s="18" t="inlineStr">
        <is>
          <t>자기주식 매각</t>
        </is>
      </c>
      <c r="D243" s="20" t="n">
        <v>0</v>
      </c>
      <c r="F243" s="20" t="n">
        <v>0</v>
      </c>
      <c r="H243" s="20" t="n">
        <v>0</v>
      </c>
      <c r="J243" s="20" t="n">
        <v>0</v>
      </c>
      <c r="L243" s="20" t="n">
        <v>0</v>
      </c>
      <c r="N243" s="20" t="n">
        <v>0</v>
      </c>
      <c r="Q243" s="20" t="n">
        <v>0</v>
      </c>
      <c r="R243" s="20" t="n">
        <v>0</v>
      </c>
      <c r="S243" s="20" t="n">
        <v>0</v>
      </c>
      <c r="T243" s="20" t="n">
        <v>0</v>
      </c>
      <c r="U243" s="20" t="n">
        <v>0</v>
      </c>
      <c r="V243" s="20" t="n">
        <v>0</v>
      </c>
      <c r="W243" s="20" t="n">
        <v>0</v>
      </c>
      <c r="X243" s="20" t="n">
        <v>0</v>
      </c>
    </row>
    <row r="244">
      <c r="A244" s="18" t="inlineStr">
        <is>
          <t>배당금 지급</t>
        </is>
      </c>
      <c r="D244" s="20" t="n">
        <v>-34499</v>
      </c>
      <c r="F244" s="20" t="n">
        <v>-20699</v>
      </c>
      <c r="H244" s="20" t="n">
        <v>-40632</v>
      </c>
      <c r="J244" s="20" t="n">
        <v>-21466</v>
      </c>
      <c r="L244" s="20" t="n">
        <v>-43316</v>
      </c>
      <c r="N244" s="20" t="n">
        <v>-25683</v>
      </c>
      <c r="O244" s="20" t="n">
        <v>-11904</v>
      </c>
      <c r="P244" s="20" t="n">
        <v>-11911</v>
      </c>
      <c r="Q244" s="20" t="n">
        <v>-15552</v>
      </c>
      <c r="R244" s="20" t="n">
        <v>-18531</v>
      </c>
      <c r="S244" s="20" t="n">
        <v>-23543</v>
      </c>
      <c r="T244" s="20" t="n">
        <v>-25224</v>
      </c>
      <c r="U244" s="20" t="n">
        <v>-30666</v>
      </c>
      <c r="V244" s="20" t="n">
        <v>-34499</v>
      </c>
      <c r="W244" s="20" t="n">
        <v>-40632</v>
      </c>
      <c r="X244" s="20" t="n">
        <v>-43316</v>
      </c>
    </row>
    <row r="245">
      <c r="A245" s="18" t="inlineStr">
        <is>
          <t>비지배주주 납입</t>
        </is>
      </c>
      <c r="D245" s="20" t="n">
        <v>3125</v>
      </c>
      <c r="F245" s="20" t="n">
        <v>0</v>
      </c>
      <c r="H245" s="20" t="n">
        <v>0</v>
      </c>
      <c r="J245" s="20" t="n">
        <v>1487</v>
      </c>
      <c r="L245" s="20" t="n">
        <v>1996</v>
      </c>
      <c r="N245" s="20" t="n">
        <v>10073</v>
      </c>
      <c r="O245" s="20" t="n">
        <v>0</v>
      </c>
      <c r="P245" s="20" t="n">
        <v>100</v>
      </c>
      <c r="Q245" s="20" t="n">
        <v>20</v>
      </c>
      <c r="R245" s="20" t="n">
        <v>0</v>
      </c>
      <c r="S245" s="20" t="n">
        <v>0</v>
      </c>
      <c r="T245" s="20" t="n">
        <v>100</v>
      </c>
      <c r="U245" s="20" t="n">
        <v>0</v>
      </c>
      <c r="V245" s="20" t="n">
        <v>3125</v>
      </c>
      <c r="W245" s="20" t="n">
        <v>0</v>
      </c>
      <c r="X245" s="20" t="n">
        <v>1996</v>
      </c>
    </row>
    <row r="246">
      <c r="A246" s="18" t="inlineStr">
        <is>
          <t>비지배주주 배당금 지급</t>
        </is>
      </c>
      <c r="D246" s="20" t="n">
        <v>0</v>
      </c>
      <c r="F246" s="20" t="n">
        <v>-120</v>
      </c>
      <c r="H246" s="20" t="n">
        <v>-335</v>
      </c>
      <c r="J246" s="20" t="n">
        <v>-1017</v>
      </c>
      <c r="L246" s="20" t="n">
        <v>-1128</v>
      </c>
      <c r="N246" s="20" t="n">
        <v>-834</v>
      </c>
      <c r="O246" s="20" t="n">
        <v>-117</v>
      </c>
      <c r="P246" s="20" t="n">
        <v>-130</v>
      </c>
      <c r="Q246" s="20" t="n">
        <v>-834</v>
      </c>
      <c r="R246" s="20" t="n">
        <v>-169</v>
      </c>
      <c r="S246" s="20" t="n">
        <v>-177</v>
      </c>
      <c r="T246" s="20" t="n">
        <v>-855</v>
      </c>
      <c r="U246" s="20" t="n">
        <v>-4</v>
      </c>
      <c r="V246" s="20" t="n">
        <v>0</v>
      </c>
      <c r="W246" s="20" t="n">
        <v>-335</v>
      </c>
      <c r="X246" s="20" t="n">
        <v>-1128</v>
      </c>
    </row>
    <row r="247">
      <c r="A247" s="18" t="inlineStr">
        <is>
          <t>기타</t>
        </is>
      </c>
      <c r="D247" s="20" t="n">
        <v>-484</v>
      </c>
      <c r="F247" s="20" t="n">
        <v>-265</v>
      </c>
      <c r="H247" s="20" t="n">
        <v>-532</v>
      </c>
      <c r="J247" s="20" t="n">
        <v>-1315</v>
      </c>
      <c r="L247" s="20" t="n">
        <v>-14459</v>
      </c>
      <c r="N247" s="20" t="n">
        <v>-325</v>
      </c>
      <c r="O247" s="20" t="n">
        <v>-14</v>
      </c>
      <c r="P247" s="20" t="n">
        <v>-938</v>
      </c>
      <c r="Q247" s="20" t="n">
        <v>-11</v>
      </c>
      <c r="R247" s="20" t="n">
        <v>-121</v>
      </c>
      <c r="S247" s="20" t="n">
        <v>-711</v>
      </c>
      <c r="T247" s="20" t="n">
        <v>-2216</v>
      </c>
      <c r="U247" s="20" t="n">
        <v>-635</v>
      </c>
      <c r="V247" s="20" t="n">
        <v>-484</v>
      </c>
      <c r="W247" s="20" t="n">
        <v>-532</v>
      </c>
      <c r="X247" s="20" t="n">
        <v>-14459</v>
      </c>
    </row>
    <row r="248">
      <c r="A248" s="9" t="inlineStr">
        <is>
          <t>재무활동 현금흐름</t>
        </is>
      </c>
      <c r="D248" s="12" t="n">
        <v>-28024</v>
      </c>
      <c r="F248" s="12" t="n">
        <v>240431</v>
      </c>
      <c r="H248" s="12" t="n">
        <v>300589</v>
      </c>
      <c r="J248" s="12" t="n">
        <v>208721</v>
      </c>
      <c r="L248" s="12" t="n">
        <v>272264</v>
      </c>
      <c r="N248" s="12" t="n">
        <v>69509</v>
      </c>
      <c r="O248" s="12" t="n">
        <v>-5715</v>
      </c>
      <c r="P248" s="12" t="n">
        <v>148483</v>
      </c>
      <c r="Q248" s="12" t="n">
        <v>131010</v>
      </c>
      <c r="R248" s="12" t="n">
        <v>141523</v>
      </c>
      <c r="S248" s="12" t="n">
        <v>187388</v>
      </c>
      <c r="T248" s="12" t="n">
        <v>106588</v>
      </c>
      <c r="U248" s="12" t="n">
        <v>11441</v>
      </c>
      <c r="V248" s="12" t="n">
        <v>-28024</v>
      </c>
      <c r="W248" s="12" t="n">
        <v>300589</v>
      </c>
      <c r="X248" s="12" t="n">
        <v>272264</v>
      </c>
    </row>
    <row r="249">
      <c r="A249" s="18" t="inlineStr">
        <is>
          <t>현금성자산 환산차이</t>
        </is>
      </c>
      <c r="D249" s="20" t="n">
        <v>0</v>
      </c>
      <c r="F249" s="20" t="n">
        <v>0</v>
      </c>
      <c r="H249" s="20" t="n">
        <v>-395</v>
      </c>
      <c r="J249" s="20" t="n">
        <v>-76</v>
      </c>
      <c r="L249" s="20" t="n">
        <v>123</v>
      </c>
      <c r="N249" s="20" t="n">
        <v>116</v>
      </c>
      <c r="V249" s="20" t="n">
        <v>0</v>
      </c>
      <c r="W249" s="20" t="n">
        <v>-395</v>
      </c>
      <c r="X249" s="20" t="n">
        <v>123</v>
      </c>
    </row>
    <row r="250">
      <c r="A250" s="18" t="inlineStr">
        <is>
          <t>현금성자산 증감</t>
        </is>
      </c>
      <c r="D250" s="20" t="n">
        <v>-55535</v>
      </c>
      <c r="F250" s="20" t="n">
        <v>27466</v>
      </c>
      <c r="H250" s="20" t="n">
        <v>51562</v>
      </c>
      <c r="J250" s="20" t="n">
        <v>35260</v>
      </c>
      <c r="L250" s="20" t="n">
        <v>-2872</v>
      </c>
      <c r="N250" s="20" t="n">
        <v>25212</v>
      </c>
      <c r="O250" s="20" t="n">
        <v>-8326</v>
      </c>
      <c r="P250" s="20" t="n">
        <v>5119</v>
      </c>
      <c r="Q250" s="20" t="n">
        <v>3856</v>
      </c>
      <c r="R250" s="20" t="n">
        <v>14369</v>
      </c>
      <c r="S250" s="20" t="n">
        <v>46555</v>
      </c>
      <c r="T250" s="20" t="n">
        <v>111381</v>
      </c>
      <c r="U250" s="20" t="n">
        <v>-67785</v>
      </c>
      <c r="V250" s="20" t="n">
        <v>-55535</v>
      </c>
      <c r="W250" s="20" t="n">
        <v>51562</v>
      </c>
      <c r="X250" s="20" t="n">
        <v>-2872</v>
      </c>
    </row>
    <row r="251">
      <c r="A251" s="18" t="inlineStr">
        <is>
          <t>Increase In Cash And Cash Equivalents Due To Share Exchange</t>
        </is>
      </c>
      <c r="Q251" s="20" t="n">
        <v>0</v>
      </c>
      <c r="R251" s="20" t="n">
        <v>2164</v>
      </c>
      <c r="S251" s="20" t="n">
        <v>0</v>
      </c>
    </row>
    <row r="252">
      <c r="A252" s="18" t="inlineStr">
        <is>
          <t>신규 연결 현금성자산 증가</t>
        </is>
      </c>
      <c r="H252" s="20" t="n">
        <v>0</v>
      </c>
      <c r="L252" s="20" t="n">
        <v>52</v>
      </c>
      <c r="O252" s="20" t="n">
        <v>0</v>
      </c>
      <c r="P252" s="20" t="n">
        <v>200</v>
      </c>
      <c r="Q252" s="20" t="n">
        <v>0</v>
      </c>
      <c r="W252" s="20" t="n">
        <v>0</v>
      </c>
      <c r="X252" s="20" t="n">
        <v>52</v>
      </c>
    </row>
    <row r="253">
      <c r="A253" s="18" t="inlineStr">
        <is>
          <t>연결 제외 현금성자산 감소</t>
        </is>
      </c>
      <c r="D253" s="20" t="n">
        <v>-1</v>
      </c>
      <c r="F253" s="20" t="n">
        <v>0</v>
      </c>
      <c r="H253" s="20" t="n">
        <v>0</v>
      </c>
      <c r="J253" s="20" t="n">
        <v>-1</v>
      </c>
      <c r="L253" s="20" t="n">
        <v>-851</v>
      </c>
      <c r="N253" s="20" t="n">
        <v>0</v>
      </c>
      <c r="R253" s="20" t="n">
        <v>0</v>
      </c>
      <c r="S253" s="20" t="n">
        <v>-231</v>
      </c>
      <c r="T253" s="20" t="n">
        <v>0</v>
      </c>
      <c r="U253" s="20" t="n">
        <v>0</v>
      </c>
      <c r="V253" s="20" t="n">
        <v>-1</v>
      </c>
      <c r="W253" s="20" t="n">
        <v>0</v>
      </c>
      <c r="X253" s="20" t="n">
        <v>-851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3003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2025.2Q</t>
        </is>
      </c>
      <c r="D3" s="5" t="inlineStr">
        <is>
          <t>2025.3Q</t>
        </is>
      </c>
      <c r="E3" s="5" t="inlineStr">
        <is>
          <t>2025.4Q</t>
        </is>
      </c>
      <c r="F3" s="5" t="inlineStr">
        <is>
          <t>2026.1Q</t>
        </is>
      </c>
      <c r="G3" s="5" t="inlineStr">
        <is>
          <t>2026.2Q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780806</v>
      </c>
      <c r="D5" s="12" t="n">
        <v>646225</v>
      </c>
      <c r="E5" s="12" t="n">
        <v>686528</v>
      </c>
      <c r="F5" s="12" t="n">
        <v>801691</v>
      </c>
      <c r="G5" s="12" t="n">
        <v>743139</v>
      </c>
      <c r="H5" s="11" t="n">
        <v>328931</v>
      </c>
      <c r="I5" s="12" t="n">
        <v>250901</v>
      </c>
      <c r="J5" s="12" t="n">
        <v>372973</v>
      </c>
      <c r="K5" s="12" t="n">
        <v>583864</v>
      </c>
      <c r="L5" s="12" t="n">
        <v>686528</v>
      </c>
    </row>
    <row r="6">
      <c r="A6" s="18" t="inlineStr">
        <is>
          <t>현금및현금성자산</t>
        </is>
      </c>
      <c r="B6" s="10" t="n"/>
      <c r="C6" s="19" t="n">
        <v>169700</v>
      </c>
      <c r="D6" s="20" t="n">
        <v>83892</v>
      </c>
      <c r="E6" s="20" t="n">
        <v>131083</v>
      </c>
      <c r="F6" s="20" t="n">
        <v>230691</v>
      </c>
      <c r="G6" s="20" t="n">
        <v>156197</v>
      </c>
      <c r="H6" s="19" t="n">
        <v>206206</v>
      </c>
      <c r="I6" s="20" t="n">
        <v>138400</v>
      </c>
      <c r="J6" s="20" t="n">
        <v>82878</v>
      </c>
      <c r="K6" s="20" t="n">
        <v>134462</v>
      </c>
      <c r="L6" s="20" t="n">
        <v>131083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/>
      <c r="D8" s="20" t="n"/>
      <c r="E8" s="20" t="n"/>
      <c r="F8" s="20" t="n"/>
      <c r="G8" s="20" t="n"/>
      <c r="H8" s="19" t="n"/>
      <c r="I8" s="20" t="n"/>
      <c r="J8" s="20" t="n"/>
      <c r="K8" s="20" t="n"/>
      <c r="L8" s="20" t="n"/>
    </row>
    <row r="9">
      <c r="A9" s="18" t="inlineStr">
        <is>
          <t>재고자산</t>
        </is>
      </c>
      <c r="B9" s="10" t="n"/>
      <c r="C9" s="19" t="n">
        <v>365989</v>
      </c>
      <c r="D9" s="20" t="n">
        <v>395711</v>
      </c>
      <c r="E9" s="20" t="n">
        <v>379220</v>
      </c>
      <c r="F9" s="20" t="n">
        <v>325127</v>
      </c>
      <c r="G9" s="20" t="n">
        <v>387666</v>
      </c>
      <c r="H9" s="19" t="n">
        <v>110118</v>
      </c>
      <c r="I9" s="20" t="n">
        <v>91162</v>
      </c>
      <c r="J9" s="20" t="n">
        <v>263486</v>
      </c>
      <c r="K9" s="20" t="n">
        <v>356355</v>
      </c>
      <c r="L9" s="20" t="n">
        <v>379220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2641938</v>
      </c>
      <c r="D11" s="12" t="n">
        <v>2763595</v>
      </c>
      <c r="E11" s="12" t="n">
        <v>2817797</v>
      </c>
      <c r="F11" s="12" t="n">
        <v>2749322</v>
      </c>
      <c r="G11" s="12" t="n">
        <v>2847545</v>
      </c>
      <c r="H11" s="11" t="n">
        <v>1876031</v>
      </c>
      <c r="I11" s="12" t="n">
        <v>2067114</v>
      </c>
      <c r="J11" s="12" t="n">
        <v>2105731</v>
      </c>
      <c r="K11" s="12" t="n">
        <v>2463680</v>
      </c>
      <c r="L11" s="12" t="n">
        <v>2817797</v>
      </c>
    </row>
    <row r="12">
      <c r="A12" s="18" t="inlineStr">
        <is>
          <t>유형자산</t>
        </is>
      </c>
      <c r="B12" s="10" t="n"/>
      <c r="C12" s="19" t="n">
        <v>1834165</v>
      </c>
      <c r="D12" s="20" t="n">
        <v>1931958</v>
      </c>
      <c r="E12" s="20" t="n">
        <v>1927374</v>
      </c>
      <c r="F12" s="20" t="n">
        <v>1907198</v>
      </c>
      <c r="G12" s="20" t="n">
        <v>1946428</v>
      </c>
      <c r="H12" s="19" t="n">
        <v>1527466</v>
      </c>
      <c r="I12" s="20" t="n">
        <v>1644449</v>
      </c>
      <c r="J12" s="20" t="n">
        <v>1617405</v>
      </c>
      <c r="K12" s="20" t="n">
        <v>1723825</v>
      </c>
      <c r="L12" s="20" t="n">
        <v>1927374</v>
      </c>
    </row>
    <row r="13">
      <c r="A13" s="18" t="inlineStr">
        <is>
          <t>무형자산</t>
        </is>
      </c>
      <c r="B13" s="10" t="n"/>
      <c r="C13" s="19" t="n">
        <v>224201</v>
      </c>
      <c r="D13" s="20" t="n">
        <v>233960</v>
      </c>
      <c r="E13" s="20" t="n">
        <v>258822</v>
      </c>
      <c r="F13" s="20" t="n">
        <v>249480</v>
      </c>
      <c r="G13" s="20" t="n">
        <v>267045</v>
      </c>
      <c r="H13" s="19" t="n">
        <v>84691</v>
      </c>
      <c r="I13" s="20" t="n">
        <v>88228</v>
      </c>
      <c r="J13" s="20" t="n">
        <v>77938</v>
      </c>
      <c r="K13" s="20" t="n">
        <v>216886</v>
      </c>
      <c r="L13" s="20" t="n">
        <v>258822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3424321</v>
      </c>
      <c r="D16" s="12" t="n">
        <v>3411686</v>
      </c>
      <c r="E16" s="12" t="n">
        <v>3506068</v>
      </c>
      <c r="F16" s="12" t="n">
        <v>3552936</v>
      </c>
      <c r="G16" s="12" t="n">
        <v>3592508</v>
      </c>
      <c r="H16" s="11" t="n">
        <v>2207325</v>
      </c>
      <c r="I16" s="12" t="n">
        <v>2320337</v>
      </c>
      <c r="J16" s="12" t="n">
        <v>2480472</v>
      </c>
      <c r="K16" s="12" t="n">
        <v>3048935</v>
      </c>
      <c r="L16" s="12" t="n">
        <v>3506068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688111</v>
      </c>
      <c r="D18" s="12" t="n">
        <v>516623</v>
      </c>
      <c r="E18" s="12" t="n">
        <v>490711</v>
      </c>
      <c r="F18" s="12" t="n">
        <v>471558</v>
      </c>
      <c r="G18" s="12" t="n">
        <v>410475</v>
      </c>
      <c r="H18" s="11" t="n">
        <v>107052</v>
      </c>
      <c r="I18" s="12" t="n">
        <v>245757</v>
      </c>
      <c r="J18" s="12" t="n">
        <v>185306</v>
      </c>
      <c r="K18" s="12" t="n">
        <v>462754</v>
      </c>
      <c r="L18" s="12" t="n">
        <v>490711</v>
      </c>
    </row>
    <row r="19">
      <c r="A19" s="18" t="inlineStr">
        <is>
          <t>매입채무</t>
        </is>
      </c>
      <c r="B19" s="10" t="n"/>
      <c r="C19" s="19" t="n"/>
      <c r="D19" s="20" t="n"/>
      <c r="E19" s="20" t="n"/>
      <c r="F19" s="20" t="n"/>
      <c r="G19" s="20" t="n"/>
      <c r="H19" s="19" t="n"/>
      <c r="I19" s="20" t="n"/>
      <c r="J19" s="20" t="n"/>
      <c r="K19" s="20" t="n"/>
      <c r="L19" s="20" t="n"/>
    </row>
    <row r="20">
      <c r="A20" s="18" t="inlineStr">
        <is>
          <t>단기차입금</t>
        </is>
      </c>
      <c r="B20" s="10" t="n"/>
      <c r="C20" s="19" t="n">
        <v>279045</v>
      </c>
      <c r="D20" s="20" t="n">
        <v>256831</v>
      </c>
      <c r="E20" s="20" t="n">
        <v>209304</v>
      </c>
      <c r="F20" s="20" t="n">
        <v>186473</v>
      </c>
      <c r="G20" s="20" t="n">
        <v>179250</v>
      </c>
      <c r="H20" s="19" t="n">
        <v>660</v>
      </c>
      <c r="I20" s="20" t="n">
        <v>660</v>
      </c>
      <c r="J20" s="20" t="n">
        <v>1774</v>
      </c>
      <c r="K20" s="20" t="n">
        <v>166957</v>
      </c>
      <c r="L20" s="20" t="n">
        <v>209304</v>
      </c>
    </row>
    <row r="21">
      <c r="A21" s="18" t="inlineStr">
        <is>
          <t>유동성장기부채</t>
        </is>
      </c>
      <c r="B21" s="10" t="n"/>
      <c r="C21" s="19" t="n">
        <v>180000</v>
      </c>
      <c r="D21" s="20" t="n">
        <v>60000</v>
      </c>
      <c r="E21" s="20" t="n">
        <v>266069</v>
      </c>
      <c r="F21" s="20" t="n">
        <v>60060</v>
      </c>
      <c r="G21" s="20" t="n">
        <v>30060</v>
      </c>
      <c r="H21" s="19" t="n">
        <v>71500</v>
      </c>
      <c r="I21" s="20" t="n">
        <v>211577</v>
      </c>
      <c r="J21" s="20" t="n">
        <v>133109</v>
      </c>
      <c r="K21" s="20" t="n">
        <v>192762</v>
      </c>
      <c r="L21" s="20" t="n">
        <v>266069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1868517</v>
      </c>
      <c r="D23" s="12" t="n">
        <v>2022526</v>
      </c>
      <c r="E23" s="12" t="n">
        <v>2076176</v>
      </c>
      <c r="F23" s="12" t="n">
        <v>2139976</v>
      </c>
      <c r="G23" s="12" t="n">
        <v>2201686</v>
      </c>
      <c r="H23" s="11" t="n">
        <v>1461940</v>
      </c>
      <c r="I23" s="12" t="n">
        <v>1387426</v>
      </c>
      <c r="J23" s="12" t="n">
        <v>1525865</v>
      </c>
      <c r="K23" s="12" t="n">
        <v>1729837</v>
      </c>
      <c r="L23" s="12" t="n">
        <v>2076176</v>
      </c>
    </row>
    <row r="24">
      <c r="A24" s="18" t="inlineStr">
        <is>
          <t>장기차입금</t>
        </is>
      </c>
      <c r="B24" s="10" t="n"/>
      <c r="C24" s="19" t="n">
        <v>1283361</v>
      </c>
      <c r="D24" s="20" t="n">
        <v>1340154</v>
      </c>
      <c r="E24" s="20" t="n">
        <v>1398092</v>
      </c>
      <c r="F24" s="20" t="n">
        <v>1395859</v>
      </c>
      <c r="G24" s="20" t="n">
        <v>1485986</v>
      </c>
      <c r="H24" s="19" t="n">
        <v>977326</v>
      </c>
      <c r="I24" s="20" t="n">
        <v>857748</v>
      </c>
      <c r="J24" s="20" t="n">
        <v>929145</v>
      </c>
      <c r="K24" s="20" t="n">
        <v>1037369</v>
      </c>
      <c r="L24" s="20" t="n">
        <v>1398092</v>
      </c>
    </row>
    <row r="25">
      <c r="A25" s="18" t="inlineStr">
        <is>
          <t>사채</t>
        </is>
      </c>
      <c r="B25" s="10" t="n"/>
      <c r="C25" s="19" t="n">
        <v>324010</v>
      </c>
      <c r="D25" s="20" t="n">
        <v>424010</v>
      </c>
      <c r="E25" s="20" t="n">
        <v>424070</v>
      </c>
      <c r="F25" s="20" t="n">
        <v>509050</v>
      </c>
      <c r="G25" s="20" t="n">
        <v>479194</v>
      </c>
      <c r="H25" s="19" t="n">
        <v>345000</v>
      </c>
      <c r="I25" s="20" t="n">
        <v>371000</v>
      </c>
      <c r="J25" s="20" t="n">
        <v>381000</v>
      </c>
      <c r="K25" s="20" t="n">
        <v>444000</v>
      </c>
      <c r="L25" s="20" t="n">
        <v>424070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2556629</v>
      </c>
      <c r="D27" s="12" t="n">
        <v>2539149</v>
      </c>
      <c r="E27" s="12" t="n">
        <v>2566887</v>
      </c>
      <c r="F27" s="12" t="n">
        <v>2611534</v>
      </c>
      <c r="G27" s="12" t="n">
        <v>2612162</v>
      </c>
      <c r="H27" s="11" t="n">
        <v>1568993</v>
      </c>
      <c r="I27" s="12" t="n">
        <v>1633183</v>
      </c>
      <c r="J27" s="12" t="n">
        <v>1711172</v>
      </c>
      <c r="K27" s="12" t="n">
        <v>2192591</v>
      </c>
      <c r="L27" s="12" t="n">
        <v>2566887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848220</v>
      </c>
      <c r="D31" s="12" t="n">
        <v>851779</v>
      </c>
      <c r="E31" s="12" t="n">
        <v>913280</v>
      </c>
      <c r="F31" s="12" t="n">
        <v>908489</v>
      </c>
      <c r="G31" s="12" t="n">
        <v>947432</v>
      </c>
      <c r="H31" s="11" t="n">
        <v>637799</v>
      </c>
      <c r="I31" s="12" t="n">
        <v>686729</v>
      </c>
      <c r="J31" s="12" t="n">
        <v>765657</v>
      </c>
      <c r="K31" s="12" t="n">
        <v>832991</v>
      </c>
      <c r="L31" s="12" t="n">
        <v>913280</v>
      </c>
    </row>
    <row r="32">
      <c r="A32" s="18" t="inlineStr">
        <is>
          <t>자본금</t>
        </is>
      </c>
      <c r="B32" s="10" t="n"/>
      <c r="C32" s="19" t="n">
        <v>111609</v>
      </c>
      <c r="D32" s="20" t="n">
        <v>111609</v>
      </c>
      <c r="E32" s="20" t="n">
        <v>111609</v>
      </c>
      <c r="F32" s="20" t="n">
        <v>111609</v>
      </c>
      <c r="G32" s="20" t="n">
        <v>111609</v>
      </c>
      <c r="H32" s="19" t="n">
        <v>111609</v>
      </c>
      <c r="I32" s="20" t="n">
        <v>111609</v>
      </c>
      <c r="J32" s="20" t="n">
        <v>111609</v>
      </c>
      <c r="K32" s="20" t="n">
        <v>111609</v>
      </c>
      <c r="L32" s="20" t="n">
        <v>111609</v>
      </c>
    </row>
    <row r="33">
      <c r="A33" s="18" t="inlineStr">
        <is>
          <t>이익잉여금</t>
        </is>
      </c>
      <c r="B33" s="10" t="n"/>
      <c r="C33" s="19" t="n">
        <v>546349</v>
      </c>
      <c r="D33" s="20" t="n">
        <v>540230</v>
      </c>
      <c r="E33" s="20" t="n">
        <v>593937</v>
      </c>
      <c r="F33" s="20" t="n">
        <v>586395</v>
      </c>
      <c r="G33" s="20" t="n">
        <v>618233</v>
      </c>
      <c r="H33" s="19" t="n">
        <v>352351</v>
      </c>
      <c r="I33" s="20" t="n">
        <v>401090</v>
      </c>
      <c r="J33" s="20" t="n">
        <v>461214</v>
      </c>
      <c r="K33" s="20" t="n">
        <v>522922</v>
      </c>
      <c r="L33" s="20" t="n">
        <v>593937</v>
      </c>
    </row>
    <row r="34">
      <c r="A34" s="18" t="inlineStr">
        <is>
          <t>비지배지분</t>
        </is>
      </c>
      <c r="B34" s="10" t="n"/>
      <c r="C34" s="19" t="n">
        <v>19396</v>
      </c>
      <c r="D34" s="20" t="n">
        <v>20682</v>
      </c>
      <c r="E34" s="20" t="n">
        <v>25825</v>
      </c>
      <c r="F34" s="20" t="n">
        <v>32837</v>
      </c>
      <c r="G34" s="20" t="n">
        <v>32839</v>
      </c>
      <c r="H34" s="19" t="n">
        <v>533</v>
      </c>
      <c r="I34" s="20" t="n">
        <v>424</v>
      </c>
      <c r="J34" s="20" t="n">
        <v>3643</v>
      </c>
      <c r="K34" s="20" t="n">
        <v>23278</v>
      </c>
      <c r="L34" s="20" t="n">
        <v>25825</v>
      </c>
    </row>
    <row r="35">
      <c r="A35" s="9" t="inlineStr">
        <is>
          <t>자본총계</t>
        </is>
      </c>
      <c r="B35" s="10" t="n"/>
      <c r="C35" s="11" t="n">
        <v>867691</v>
      </c>
      <c r="D35" s="12" t="n">
        <v>872536</v>
      </c>
      <c r="E35" s="12" t="n">
        <v>939180</v>
      </c>
      <c r="F35" s="12" t="n">
        <v>941401</v>
      </c>
      <c r="G35" s="12" t="n">
        <v>980346</v>
      </c>
      <c r="H35" s="11" t="n">
        <v>638332</v>
      </c>
      <c r="I35" s="12" t="n">
        <v>687153</v>
      </c>
      <c r="J35" s="12" t="n">
        <v>769300</v>
      </c>
      <c r="K35" s="12" t="n">
        <v>856344</v>
      </c>
      <c r="L35" s="12" t="n">
        <v>939180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315349</v>
      </c>
      <c r="D37" s="12" t="n"/>
      <c r="E37" s="12" t="n">
        <v>269239</v>
      </c>
      <c r="F37" s="12" t="n"/>
      <c r="G37" s="12" t="n">
        <v>377796</v>
      </c>
      <c r="H37" s="11" t="n">
        <v>291736</v>
      </c>
      <c r="I37" s="12" t="n">
        <v>266108</v>
      </c>
      <c r="J37" s="12" t="n">
        <v>270819</v>
      </c>
      <c r="K37" s="12" t="n">
        <v>353388</v>
      </c>
      <c r="L37" s="12" t="n">
        <v>269239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300581</v>
      </c>
      <c r="D38" s="20" t="n"/>
      <c r="E38" s="20" t="n">
        <v>446064</v>
      </c>
      <c r="F38" s="20" t="n"/>
      <c r="G38" s="20" t="n">
        <v>409009</v>
      </c>
      <c r="H38" s="19" t="n">
        <v>213679</v>
      </c>
      <c r="I38" s="20" t="n">
        <v>293233</v>
      </c>
      <c r="J38" s="20" t="n">
        <v>264634</v>
      </c>
      <c r="K38" s="20" t="n">
        <v>374767</v>
      </c>
      <c r="L38" s="20" t="n">
        <v>446064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41399</v>
      </c>
      <c r="D40" s="20" t="n"/>
      <c r="E40" s="20" t="n">
        <v>43316</v>
      </c>
      <c r="F40" s="20" t="n"/>
      <c r="G40" s="20" t="n">
        <v>47533</v>
      </c>
      <c r="H40" s="19" t="n">
        <v>25224</v>
      </c>
      <c r="I40" s="20" t="n">
        <v>30666</v>
      </c>
      <c r="J40" s="20" t="n">
        <v>34499</v>
      </c>
      <c r="K40" s="20" t="n">
        <v>40632</v>
      </c>
      <c r="L40" s="20" t="n">
        <v>43316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IFERROR(IF((IF(COUNT('연간'!G53:J53)&lt;4,"",SUM('연간'!G53:J53)))&lt;=0,"적자",C28/(IF(COUNT('연간'!G53:J53)&lt;4,"",SUM('연간'!G53:J53)))),"")</f>
        <v/>
      </c>
      <c r="D49" s="46">
        <f>IFERROR(IF((IF(COUNT('연간'!H53:K53)&lt;4,"",SUM('연간'!H53:K53)))&lt;=0,"적자",D28/(IF(COUNT('연간'!H53:K53)&lt;4,"",SUM('연간'!H53:K53)))),"")</f>
        <v/>
      </c>
      <c r="E49" s="46">
        <f>IFERROR(IF((IF(COUNT('연간'!I53:L53)&lt;4,"",SUM('연간'!I53:L53)))&lt;=0,"적자",E28/(IF(COUNT('연간'!I53:L53)&lt;4,"",SUM('연간'!I53:L53)))),"")</f>
        <v/>
      </c>
      <c r="F49" s="46">
        <f>IFERROR(IF((IF(COUNT('연간'!J53:M53)&lt;4,"",SUM('연간'!J53:M53)))&lt;=0,"적자",F28/(IF(COUNT('연간'!J53:M53)&lt;4,"",SUM('연간'!J53:M53)))),"")</f>
        <v/>
      </c>
      <c r="G49" s="46">
        <f>IFERROR(IF((IF(COUNT('연간'!K53:N53)&lt;4,"",SUM('연간'!K53:N53)))&lt;=0,"적자",G28/(IF(COUNT('연간'!K53:N53)&lt;4,"",SUM('연간'!K53:N53)))),"")</f>
        <v/>
      </c>
      <c r="H49" s="45">
        <f>IFERROR(IF(('연간'!T53)&lt;=0,"적자",H28/('연간'!T53)),"")</f>
        <v/>
      </c>
      <c r="I49" s="46">
        <f>IFERROR(IF(('연간'!U53)&lt;=0,"적자",I28/('연간'!U53)),"")</f>
        <v/>
      </c>
      <c r="J49" s="46">
        <f>IFERROR(IF(('연간'!V53)&lt;=0,"적자",J28/('연간'!V53)),"")</f>
        <v/>
      </c>
      <c r="K49" s="46">
        <f>IFERROR(IF(('연간'!W53)&lt;=0,"적자",K28/('연간'!W53)),"")</f>
        <v/>
      </c>
      <c r="L49" s="46">
        <f>IFERROR(IF(('연간'!X53)&lt;=0,"적자",L28/('연간'!X53)),"")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IFERROR((IF(COUNT('연간'!G53:J53)&lt;4,"",SUM('연간'!G53:J53)))/C31,"")</f>
        <v/>
      </c>
      <c r="D51" s="36">
        <f>IFERROR((IF(COUNT('연간'!H53:K53)&lt;4,"",SUM('연간'!H53:K53)))/D31,"")</f>
        <v/>
      </c>
      <c r="E51" s="36">
        <f>IFERROR((IF(COUNT('연간'!I53:L53)&lt;4,"",SUM('연간'!I53:L53)))/E31,"")</f>
        <v/>
      </c>
      <c r="F51" s="36">
        <f>IFERROR((IF(COUNT('연간'!J53:M53)&lt;4,"",SUM('연간'!J53:M53)))/F31,"")</f>
        <v/>
      </c>
      <c r="G51" s="36">
        <f>IFERROR((IF(COUNT('연간'!K53:N53)&lt;4,"",SUM('연간'!K53:N53)))/G31,"")</f>
        <v/>
      </c>
      <c r="H51" s="35">
        <f>IFERROR(('연간'!T53)/H31,"")</f>
        <v/>
      </c>
      <c r="I51" s="36">
        <f>IFERROR(('연간'!U53)/I31,"")</f>
        <v/>
      </c>
      <c r="J51" s="36">
        <f>IFERROR(('연간'!V53)/J31,"")</f>
        <v/>
      </c>
      <c r="K51" s="36">
        <f>IFERROR(('연간'!W53)/K31,"")</f>
        <v/>
      </c>
      <c r="L51" s="36">
        <f>IFERROR(('연간'!X53)/L31,"")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IFERROR((IF(COUNT('연간'!G52:J52)&lt;4,"",SUM('연간'!G52:J52)))/C16,"")</f>
        <v/>
      </c>
      <c r="D52" s="36">
        <f>IFERROR((IF(COUNT('연간'!H52:K52)&lt;4,"",SUM('연간'!H52:K52)))/D16,"")</f>
        <v/>
      </c>
      <c r="E52" s="36">
        <f>IFERROR((IF(COUNT('연간'!I52:L52)&lt;4,"",SUM('연간'!I52:L52)))/E16,"")</f>
        <v/>
      </c>
      <c r="F52" s="36">
        <f>IFERROR((IF(COUNT('연간'!J52:M52)&lt;4,"",SUM('연간'!J52:M52)))/F16,"")</f>
        <v/>
      </c>
      <c r="G52" s="36">
        <f>IFERROR((IF(COUNT('연간'!K52:N52)&lt;4,"",SUM('연간'!K52:N52)))/G16,"")</f>
        <v/>
      </c>
      <c r="H52" s="35">
        <f>IFERROR(('연간'!T52)/H16,"")</f>
        <v/>
      </c>
      <c r="I52" s="36">
        <f>IFERROR(('연간'!U52)/I16,"")</f>
        <v/>
      </c>
      <c r="J52" s="36">
        <f>IFERROR(('연간'!V52)/J16,"")</f>
        <v/>
      </c>
      <c r="K52" s="36">
        <f>IFERROR(('연간'!W52)/K16,"")</f>
        <v/>
      </c>
      <c r="L52" s="36">
        <f>IFERROR(('연간'!X52)/L16,"")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IFERROR((IF(COUNT('연간'!G21:J21)&lt;4,"",SUM('연간'!G21:J21)))/(IF(COUNT('연간'!G4:J4)&lt;4,"",SUM('연간'!G4:J4))),"")</f>
        <v/>
      </c>
      <c r="D54" s="36">
        <f>IFERROR((IF(COUNT('연간'!H21:K21)&lt;4,"",SUM('연간'!H21:K21)))/(IF(COUNT('연간'!H4:K4)&lt;4,"",SUM('연간'!H4:K4))),"")</f>
        <v/>
      </c>
      <c r="E54" s="36">
        <f>IFERROR((IF(COUNT('연간'!I21:L21)&lt;4,"",SUM('연간'!I21:L21)))/(IF(COUNT('연간'!I4:L4)&lt;4,"",SUM('연간'!I4:L4))),"")</f>
        <v/>
      </c>
      <c r="F54" s="36">
        <f>IFERROR((IF(COUNT('연간'!J21:M21)&lt;4,"",SUM('연간'!J21:M21)))/(IF(COUNT('연간'!J4:M4)&lt;4,"",SUM('연간'!J4:M4))),"")</f>
        <v/>
      </c>
      <c r="G54" s="36">
        <f>IFERROR((IF(COUNT('연간'!K21:N21)&lt;4,"",SUM('연간'!K21:N21)))/(IF(COUNT('연간'!K4:N4)&lt;4,"",SUM('연간'!K4:N4))),"")</f>
        <v/>
      </c>
      <c r="H54" s="35">
        <f>IFERROR(('연간'!T21)/('연간'!T4),"")</f>
        <v/>
      </c>
      <c r="I54" s="36">
        <f>IFERROR(('연간'!U21)/('연간'!U4),"")</f>
        <v/>
      </c>
      <c r="J54" s="36">
        <f>IFERROR(('연간'!V21)/('연간'!V4),"")</f>
        <v/>
      </c>
      <c r="K54" s="36">
        <f>IFERROR(('연간'!W21)/('연간'!W4),"")</f>
        <v/>
      </c>
      <c r="L54" s="36">
        <f>IFERROR(('연간'!X21)/('연간'!X4),"")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IFERROR((IF(COUNT('연간'!G52:J52)&lt;4,"",SUM('연간'!G52:J52)))/(IF(COUNT('연간'!G4:J4)&lt;4,"",SUM('연간'!G4:J4))),"")</f>
        <v/>
      </c>
      <c r="D56" s="36">
        <f>IFERROR((IF(COUNT('연간'!H52:K52)&lt;4,"",SUM('연간'!H52:K52)))/(IF(COUNT('연간'!H4:K4)&lt;4,"",SUM('연간'!H4:K4))),"")</f>
        <v/>
      </c>
      <c r="E56" s="36">
        <f>IFERROR((IF(COUNT('연간'!I52:L52)&lt;4,"",SUM('연간'!I52:L52)))/(IF(COUNT('연간'!I4:L4)&lt;4,"",SUM('연간'!I4:L4))),"")</f>
        <v/>
      </c>
      <c r="F56" s="36">
        <f>IFERROR((IF(COUNT('연간'!J52:M52)&lt;4,"",SUM('연간'!J52:M52)))/(IF(COUNT('연간'!J4:M4)&lt;4,"",SUM('연간'!J4:M4))),"")</f>
        <v/>
      </c>
      <c r="G56" s="36">
        <f>IFERROR((IF(COUNT('연간'!K52:N52)&lt;4,"",SUM('연간'!K52:N52)))/(IF(COUNT('연간'!K4:N4)&lt;4,"",SUM('연간'!K4:N4))),"")</f>
        <v/>
      </c>
      <c r="H56" s="35">
        <f>IFERROR(('연간'!T52)/('연간'!T4),"")</f>
        <v/>
      </c>
      <c r="I56" s="36">
        <f>IFERROR(('연간'!U52)/('연간'!U4),"")</f>
        <v/>
      </c>
      <c r="J56" s="36">
        <f>IFERROR(('연간'!V52)/('연간'!V4),"")</f>
        <v/>
      </c>
      <c r="K56" s="36">
        <f>IFERROR(('연간'!W52)/('연간'!W4),"")</f>
        <v/>
      </c>
      <c r="L56" s="36">
        <f>IFERROR(('연간'!X52)/('연간'!X4),"")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IFERROR(C9/(IF(COUNT('연간'!G20:J20)&lt;4,"",SUM('연간'!G20:J20)))*365,"")</f>
        <v/>
      </c>
      <c r="D60" s="48">
        <f>IFERROR(D9/(IF(COUNT('연간'!H20:K20)&lt;4,"",SUM('연간'!H20:K20)))*365,"")</f>
        <v/>
      </c>
      <c r="E60" s="48">
        <f>IFERROR(E9/(IF(COUNT('연간'!I20:L20)&lt;4,"",SUM('연간'!I20:L20)))*365,"")</f>
        <v/>
      </c>
      <c r="F60" s="48">
        <f>IFERROR(F9/(IF(COUNT('연간'!J20:M20)&lt;4,"",SUM('연간'!J20:M20)))*365,"")</f>
        <v/>
      </c>
      <c r="G60" s="48">
        <f>IFERROR(G9/(IF(COUNT('연간'!K20:N20)&lt;4,"",SUM('연간'!K20:N20)))*365,"")</f>
        <v/>
      </c>
      <c r="H60" s="47">
        <f>IFERROR(H9/('연간'!T20)*365,"")</f>
        <v/>
      </c>
      <c r="I60" s="48">
        <f>IFERROR(I9/('연간'!U20)*365,"")</f>
        <v/>
      </c>
      <c r="J60" s="48">
        <f>IFERROR(J9/('연간'!V20)*365,"")</f>
        <v/>
      </c>
      <c r="K60" s="48">
        <f>IFERROR(K9/('연간'!W20)*365,"")</f>
        <v/>
      </c>
      <c r="L60" s="48">
        <f>IFERROR(L9/('연간'!X20)*365,"")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IFERROR(C19/(IF(COUNT('연간'!G20:J20)&lt;4,"",SUM('연간'!G20:J20)))*365,"")</f>
        <v/>
      </c>
      <c r="D61" s="48">
        <f>IFERROR(D19/(IF(COUNT('연간'!H20:K20)&lt;4,"",SUM('연간'!H20:K20)))*365,"")</f>
        <v/>
      </c>
      <c r="E61" s="48">
        <f>IFERROR(E19/(IF(COUNT('연간'!I20:L20)&lt;4,"",SUM('연간'!I20:L20)))*365,"")</f>
        <v/>
      </c>
      <c r="F61" s="48">
        <f>IFERROR(F19/(IF(COUNT('연간'!J20:M20)&lt;4,"",SUM('연간'!J20:M20)))*365,"")</f>
        <v/>
      </c>
      <c r="G61" s="48">
        <f>IFERROR(G19/(IF(COUNT('연간'!K20:N20)&lt;4,"",SUM('연간'!K20:N20)))*365,"")</f>
        <v/>
      </c>
      <c r="H61" s="47">
        <f>IFERROR(H19/('연간'!T20)*365,"")</f>
        <v/>
      </c>
      <c r="I61" s="48">
        <f>IFERROR(I19/('연간'!U20)*365,"")</f>
        <v/>
      </c>
      <c r="J61" s="48">
        <f>IFERROR(J19/('연간'!V20)*365,"")</f>
        <v/>
      </c>
      <c r="K61" s="48">
        <f>IFERROR(K19/('연간'!W20)*365,"")</f>
        <v/>
      </c>
      <c r="L61" s="48">
        <f>IFERROR(L19/('연간'!X20)*365,"")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IF(C37="","",IFERROR(C37/(IF(COUNT('연간'!G52:J52)&lt;4,"",SUM('연간'!G52:J52))),""))</f>
        <v/>
      </c>
      <c r="D64" s="31">
        <f>IF(D37="","",IFERROR(D37/(IF(COUNT('연간'!H52:K52)&lt;4,"",SUM('연간'!H52:K52))),""))</f>
        <v/>
      </c>
      <c r="E64" s="31">
        <f>IF(E37="","",IFERROR(E37/(IF(COUNT('연간'!I52:L52)&lt;4,"",SUM('연간'!I52:L52))),""))</f>
        <v/>
      </c>
      <c r="F64" s="31">
        <f>IF(F37="","",IFERROR(F37/(IF(COUNT('연간'!J52:M52)&lt;4,"",SUM('연간'!J52:M52))),""))</f>
        <v/>
      </c>
      <c r="G64" s="31">
        <f>IF(G37="","",IFERROR(G37/(IF(COUNT('연간'!K52:N52)&lt;4,"",SUM('연간'!K52:N52))),""))</f>
        <v/>
      </c>
      <c r="H64" s="30">
        <f>IF(H37="","",IFERROR(H37/('연간'!T52),""))</f>
        <v/>
      </c>
      <c r="I64" s="31">
        <f>IF(I37="","",IFERROR(I37/('연간'!U52),""))</f>
        <v/>
      </c>
      <c r="J64" s="31">
        <f>IF(J37="","",IFERROR(J37/('연간'!V52),""))</f>
        <v/>
      </c>
      <c r="K64" s="31">
        <f>IF(K37="","",IFERROR(K37/('연간'!W52),""))</f>
        <v/>
      </c>
      <c r="L64" s="31">
        <f>IF(L37="","",IFERROR(L37/('연간'!X52),""))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IF(C40="","",IFERROR(C40/(IF(COUNT('연간'!G53:J53)&lt;4,"",SUM('연간'!G53:J53))),""))</f>
        <v/>
      </c>
      <c r="D67" s="36">
        <f>IF(D40="","",IFERROR(D40/(IF(COUNT('연간'!H53:K53)&lt;4,"",SUM('연간'!H53:K53))),""))</f>
        <v/>
      </c>
      <c r="E67" s="36">
        <f>IF(E40="","",IFERROR(E40/(IF(COUNT('연간'!I53:L53)&lt;4,"",SUM('연간'!I53:L53))),""))</f>
        <v/>
      </c>
      <c r="F67" s="36">
        <f>IF(F40="","",IFERROR(F40/(IF(COUNT('연간'!J53:M53)&lt;4,"",SUM('연간'!J53:M53))),""))</f>
        <v/>
      </c>
      <c r="G67" s="36">
        <f>IF(G40="","",IFERROR(G40/(IF(COUNT('연간'!K53:N53)&lt;4,"",SUM('연간'!K53:N53))),""))</f>
        <v/>
      </c>
      <c r="H67" s="35">
        <f>IF(H40="","",IFERROR(H40/('연간'!T53),""))</f>
        <v/>
      </c>
      <c r="I67" s="36">
        <f>IF(I40="","",IFERROR(I40/('연간'!U53),""))</f>
        <v/>
      </c>
      <c r="J67" s="36">
        <f>IF(J40="","",IFERROR(J40/('연간'!V53),""))</f>
        <v/>
      </c>
      <c r="K67" s="36">
        <f>IF(K40="","",IFERROR(K40/('연간'!W53),""))</f>
        <v/>
      </c>
      <c r="L67" s="36">
        <f>IF(L40="","",IFERROR(L40/('연간'!X53),""))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2025.2Q</t>
        </is>
      </c>
      <c r="D70" s="5" t="inlineStr">
        <is>
          <t>2025.3Q</t>
        </is>
      </c>
      <c r="E70" s="5" t="inlineStr">
        <is>
          <t>2025.4Q</t>
        </is>
      </c>
      <c r="F70" s="5" t="inlineStr">
        <is>
          <t>2026.1Q</t>
        </is>
      </c>
      <c r="G70" s="5" t="inlineStr">
        <is>
          <t>2026.2Q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18" t="inlineStr">
        <is>
          <t>현금 및 예금</t>
        </is>
      </c>
      <c r="C71" s="20" t="n">
        <v>169700</v>
      </c>
      <c r="D71" s="20" t="n">
        <v>83892</v>
      </c>
      <c r="E71" s="20" t="n">
        <v>131083</v>
      </c>
      <c r="F71" s="20" t="n">
        <v>230691</v>
      </c>
      <c r="G71" s="20" t="n">
        <v>156197</v>
      </c>
      <c r="H71" s="20" t="n">
        <v>206206</v>
      </c>
      <c r="I71" s="20" t="n">
        <v>138400</v>
      </c>
      <c r="J71" s="20" t="n">
        <v>82878</v>
      </c>
      <c r="K71" s="20" t="n">
        <v>134462</v>
      </c>
      <c r="L71" s="20" t="n">
        <v>131083</v>
      </c>
    </row>
    <row r="72">
      <c r="A72" s="18" t="inlineStr">
        <is>
          <t>Notes And Operating Accounts Receivable CA</t>
        </is>
      </c>
      <c r="H72" s="20" t="n">
        <v>4876</v>
      </c>
      <c r="I72" s="20" t="n">
        <v>0</v>
      </c>
    </row>
    <row r="73">
      <c r="A73" s="18" t="inlineStr">
        <is>
          <t>Trade Accounts Receivable And Contract Assets CA</t>
        </is>
      </c>
      <c r="E73" s="20" t="n">
        <v>22057</v>
      </c>
      <c r="H73" s="20" t="n">
        <v>0</v>
      </c>
      <c r="I73" s="20" t="n">
        <v>7097</v>
      </c>
      <c r="J73" s="20" t="n">
        <v>8992</v>
      </c>
      <c r="K73" s="20" t="n">
        <v>14194</v>
      </c>
      <c r="L73" s="20" t="n">
        <v>22057</v>
      </c>
    </row>
    <row r="74">
      <c r="A74" s="18" t="inlineStr">
        <is>
          <t>받을어음</t>
        </is>
      </c>
      <c r="E74" s="20" t="n">
        <v>687</v>
      </c>
      <c r="K74" s="20" t="n">
        <v>0</v>
      </c>
      <c r="L74" s="20" t="n">
        <v>687</v>
      </c>
    </row>
    <row r="75">
      <c r="A75" s="18" t="inlineStr">
        <is>
          <t>Trade Notes And Accounts Receivable And Contract Assets CA</t>
        </is>
      </c>
      <c r="C75" s="20" t="n">
        <v>13156</v>
      </c>
      <c r="D75" s="20" t="n">
        <v>19251</v>
      </c>
      <c r="E75" s="20" t="n">
        <v>22745</v>
      </c>
      <c r="F75" s="20" t="n">
        <v>24971</v>
      </c>
      <c r="G75" s="20" t="n">
        <v>25081</v>
      </c>
      <c r="I75" s="20" t="n">
        <v>7097</v>
      </c>
      <c r="J75" s="20" t="n">
        <v>8992</v>
      </c>
      <c r="K75" s="20" t="n">
        <v>14194</v>
      </c>
      <c r="L75" s="20" t="n">
        <v>22745</v>
      </c>
    </row>
    <row r="76">
      <c r="A76" s="18" t="inlineStr">
        <is>
          <t>상품</t>
        </is>
      </c>
      <c r="C76" s="20" t="n">
        <v>218</v>
      </c>
      <c r="H76" s="20" t="n">
        <v>20</v>
      </c>
      <c r="I76" s="20" t="n">
        <v>21</v>
      </c>
      <c r="J76" s="20" t="n">
        <v>24</v>
      </c>
      <c r="K76" s="20" t="n">
        <v>225</v>
      </c>
    </row>
    <row r="77">
      <c r="A77" s="18" t="inlineStr">
        <is>
          <t>영업투자유가증권</t>
        </is>
      </c>
      <c r="E77" s="20" t="n">
        <v>78280</v>
      </c>
      <c r="F77" s="20" t="n">
        <v>149408</v>
      </c>
      <c r="G77" s="20" t="n">
        <v>109556</v>
      </c>
      <c r="H77" s="20" t="n">
        <v>0</v>
      </c>
      <c r="K77" s="20" t="n">
        <v>9740</v>
      </c>
      <c r="L77" s="20" t="n">
        <v>78280</v>
      </c>
    </row>
    <row r="78">
      <c r="A78" s="18" t="inlineStr">
        <is>
          <t>상품·제품</t>
        </is>
      </c>
      <c r="D78" s="20" t="n">
        <v>2465</v>
      </c>
      <c r="E78" s="20" t="n">
        <v>3489</v>
      </c>
      <c r="F78" s="20" t="n">
        <v>3524</v>
      </c>
      <c r="G78" s="20" t="n">
        <v>3295</v>
      </c>
      <c r="K78" s="20" t="n">
        <v>225</v>
      </c>
      <c r="L78" s="20" t="n">
        <v>3489</v>
      </c>
    </row>
    <row r="79">
      <c r="A79" s="18" t="inlineStr">
        <is>
          <t>재공품</t>
        </is>
      </c>
      <c r="D79" s="20" t="n">
        <v>705</v>
      </c>
      <c r="E79" s="20" t="n">
        <v>453</v>
      </c>
      <c r="F79" s="20" t="n">
        <v>466</v>
      </c>
      <c r="G79" s="20" t="n">
        <v>409</v>
      </c>
      <c r="K79" s="20" t="n">
        <v>0</v>
      </c>
      <c r="L79" s="20" t="n">
        <v>453</v>
      </c>
    </row>
    <row r="80">
      <c r="A80" s="18" t="inlineStr">
        <is>
          <t>판매용 부동산</t>
        </is>
      </c>
      <c r="C80" s="20" t="n">
        <v>365294</v>
      </c>
      <c r="D80" s="20" t="n">
        <v>391599</v>
      </c>
      <c r="E80" s="20" t="n">
        <v>374322</v>
      </c>
      <c r="F80" s="20" t="n">
        <v>320016</v>
      </c>
      <c r="G80" s="20" t="n">
        <v>382954</v>
      </c>
      <c r="H80" s="20" t="n">
        <v>109777</v>
      </c>
      <c r="I80" s="20" t="n">
        <v>90770</v>
      </c>
      <c r="J80" s="20" t="n">
        <v>263089</v>
      </c>
      <c r="K80" s="20" t="n">
        <v>354961</v>
      </c>
      <c r="L80" s="20" t="n">
        <v>374322</v>
      </c>
    </row>
    <row r="81">
      <c r="A81" s="18" t="inlineStr">
        <is>
          <t>개발 중 판매용 부동산</t>
        </is>
      </c>
      <c r="C81" s="20" t="n">
        <v>54992</v>
      </c>
      <c r="D81" s="20" t="n">
        <v>58533</v>
      </c>
      <c r="E81" s="20" t="n">
        <v>46683</v>
      </c>
      <c r="F81" s="20" t="n">
        <v>50723</v>
      </c>
      <c r="G81" s="20" t="n">
        <v>45951</v>
      </c>
      <c r="H81" s="20" t="n">
        <v>0</v>
      </c>
      <c r="I81" s="20" t="n">
        <v>4355</v>
      </c>
      <c r="J81" s="20" t="n">
        <v>2871</v>
      </c>
      <c r="K81" s="20" t="n">
        <v>49425</v>
      </c>
      <c r="L81" s="20" t="n">
        <v>46683</v>
      </c>
    </row>
    <row r="82">
      <c r="A82" s="18" t="inlineStr">
        <is>
          <t>미성공사 지출금</t>
        </is>
      </c>
      <c r="C82" s="20" t="n">
        <v>62</v>
      </c>
      <c r="D82" s="20" t="n">
        <v>6</v>
      </c>
      <c r="E82" s="20" t="n">
        <v>47</v>
      </c>
      <c r="F82" s="20" t="n">
        <v>6</v>
      </c>
      <c r="G82" s="20" t="n">
        <v>0</v>
      </c>
      <c r="H82" s="20" t="n">
        <v>581</v>
      </c>
      <c r="I82" s="20" t="n">
        <v>21</v>
      </c>
      <c r="J82" s="20" t="n">
        <v>39</v>
      </c>
      <c r="K82" s="20" t="n">
        <v>26</v>
      </c>
      <c r="L82" s="20" t="n">
        <v>47</v>
      </c>
    </row>
    <row r="83">
      <c r="A83" s="18" t="inlineStr">
        <is>
          <t>저장품</t>
        </is>
      </c>
      <c r="C83" s="20" t="n">
        <v>477</v>
      </c>
      <c r="H83" s="20" t="n">
        <v>321</v>
      </c>
      <c r="I83" s="20" t="n">
        <v>371</v>
      </c>
      <c r="J83" s="20" t="n">
        <v>373</v>
      </c>
      <c r="K83" s="20" t="n">
        <v>472</v>
      </c>
    </row>
    <row r="84">
      <c r="A84" s="18" t="inlineStr">
        <is>
          <t>원재료·저장품</t>
        </is>
      </c>
      <c r="D84" s="20" t="n">
        <v>942</v>
      </c>
      <c r="E84" s="20" t="n">
        <v>956</v>
      </c>
      <c r="F84" s="20" t="n">
        <v>1121</v>
      </c>
      <c r="G84" s="20" t="n">
        <v>1008</v>
      </c>
      <c r="K84" s="20" t="n">
        <v>472</v>
      </c>
      <c r="L84" s="20" t="n">
        <v>956</v>
      </c>
    </row>
    <row r="85">
      <c r="A85" s="18" t="inlineStr">
        <is>
          <t>기타</t>
        </is>
      </c>
      <c r="C85" s="20" t="n">
        <v>176928</v>
      </c>
      <c r="D85" s="20" t="n">
        <v>88853</v>
      </c>
      <c r="E85" s="20" t="n">
        <v>28515</v>
      </c>
      <c r="F85" s="20" t="n">
        <v>20814</v>
      </c>
      <c r="G85" s="20" t="n">
        <v>18749</v>
      </c>
      <c r="H85" s="20" t="n">
        <v>7381</v>
      </c>
      <c r="I85" s="20" t="n">
        <v>9870</v>
      </c>
      <c r="J85" s="20" t="n">
        <v>14707</v>
      </c>
      <c r="K85" s="20" t="n">
        <v>20374</v>
      </c>
      <c r="L85" s="20" t="n">
        <v>28515</v>
      </c>
    </row>
    <row r="86">
      <c r="A86" s="18" t="inlineStr">
        <is>
          <t>대손충당금</t>
        </is>
      </c>
      <c r="C86" s="20" t="n">
        <v>-25</v>
      </c>
      <c r="D86" s="20" t="n">
        <v>-26</v>
      </c>
      <c r="E86" s="20" t="n">
        <v>-50</v>
      </c>
      <c r="F86" s="20" t="n">
        <v>-53</v>
      </c>
      <c r="G86" s="20" t="n">
        <v>-65</v>
      </c>
      <c r="H86" s="20" t="n">
        <v>-232</v>
      </c>
      <c r="I86" s="20" t="n">
        <v>-7</v>
      </c>
      <c r="J86" s="20" t="n">
        <v>-4</v>
      </c>
      <c r="K86" s="20" t="n">
        <v>-19</v>
      </c>
      <c r="L86" s="20" t="n">
        <v>-50</v>
      </c>
    </row>
    <row r="87">
      <c r="A87" s="9" t="inlineStr">
        <is>
          <t>유동자산 합계</t>
        </is>
      </c>
      <c r="C87" s="12" t="n">
        <v>780806</v>
      </c>
      <c r="D87" s="12" t="n">
        <v>646225</v>
      </c>
      <c r="E87" s="12" t="n">
        <v>686528</v>
      </c>
      <c r="F87" s="12" t="n">
        <v>801691</v>
      </c>
      <c r="G87" s="12" t="n">
        <v>743139</v>
      </c>
      <c r="H87" s="12" t="n">
        <v>328931</v>
      </c>
      <c r="I87" s="12" t="n">
        <v>250901</v>
      </c>
      <c r="J87" s="12" t="n">
        <v>372973</v>
      </c>
      <c r="K87" s="12" t="n">
        <v>583864</v>
      </c>
      <c r="L87" s="12" t="n">
        <v>686528</v>
      </c>
    </row>
    <row r="88">
      <c r="A88" s="18" t="inlineStr">
        <is>
          <t>건물·구축물</t>
        </is>
      </c>
      <c r="E88" s="20" t="n">
        <v>359230</v>
      </c>
      <c r="H88" s="20" t="n">
        <v>304136</v>
      </c>
      <c r="I88" s="20" t="n">
        <v>303251</v>
      </c>
      <c r="J88" s="20" t="n">
        <v>305967</v>
      </c>
      <c r="K88" s="20" t="n">
        <v>317407</v>
      </c>
      <c r="L88" s="20" t="n">
        <v>359230</v>
      </c>
    </row>
    <row r="89">
      <c r="A89" s="18" t="inlineStr">
        <is>
          <t>감가상각누계액</t>
        </is>
      </c>
      <c r="E89" s="20" t="n">
        <v>-81910</v>
      </c>
      <c r="H89" s="20" t="n">
        <v>-70460</v>
      </c>
      <c r="I89" s="20" t="n">
        <v>-69776</v>
      </c>
      <c r="J89" s="20" t="n">
        <v>-70638</v>
      </c>
      <c r="K89" s="20" t="n">
        <v>-73917</v>
      </c>
      <c r="L89" s="20" t="n">
        <v>-81910</v>
      </c>
    </row>
    <row r="90">
      <c r="A90" s="18" t="inlineStr">
        <is>
          <t>건물·구축물(순액)</t>
        </is>
      </c>
      <c r="C90" s="20" t="n">
        <v>242160</v>
      </c>
      <c r="D90" s="20" t="n">
        <v>284570</v>
      </c>
      <c r="E90" s="20" t="n">
        <v>277319</v>
      </c>
      <c r="F90" s="20" t="n">
        <v>273793</v>
      </c>
      <c r="G90" s="20" t="n">
        <v>281737</v>
      </c>
      <c r="H90" s="20" t="n">
        <v>233675</v>
      </c>
      <c r="I90" s="20" t="n">
        <v>233474</v>
      </c>
      <c r="J90" s="20" t="n">
        <v>235329</v>
      </c>
      <c r="K90" s="20" t="n">
        <v>243489</v>
      </c>
      <c r="L90" s="20" t="n">
        <v>277319</v>
      </c>
    </row>
    <row r="91">
      <c r="A91" s="18" t="inlineStr">
        <is>
          <t>기계장치·운반구</t>
        </is>
      </c>
      <c r="E91" s="20" t="n">
        <v>28173</v>
      </c>
      <c r="H91" s="20" t="n">
        <v>7668</v>
      </c>
      <c r="I91" s="20" t="n">
        <v>11373</v>
      </c>
      <c r="J91" s="20" t="n">
        <v>14894</v>
      </c>
      <c r="K91" s="20" t="n">
        <v>21936</v>
      </c>
      <c r="L91" s="20" t="n">
        <v>28173</v>
      </c>
    </row>
    <row r="92">
      <c r="A92" s="18" t="inlineStr">
        <is>
          <t>감가상각누계액</t>
        </is>
      </c>
      <c r="E92" s="20" t="n">
        <v>-7241</v>
      </c>
      <c r="H92" s="20" t="n">
        <v>-2043</v>
      </c>
      <c r="I92" s="20" t="n">
        <v>-2483</v>
      </c>
      <c r="J92" s="20" t="n">
        <v>-2902</v>
      </c>
      <c r="K92" s="20" t="n">
        <v>-4088</v>
      </c>
      <c r="L92" s="20" t="n">
        <v>-7241</v>
      </c>
    </row>
    <row r="93">
      <c r="A93" s="18" t="inlineStr">
        <is>
          <t>기계장치·운반구(순액)</t>
        </is>
      </c>
      <c r="C93" s="20" t="n">
        <v>19852</v>
      </c>
      <c r="D93" s="20" t="n">
        <v>20646</v>
      </c>
      <c r="E93" s="20" t="n">
        <v>20931</v>
      </c>
      <c r="F93" s="20" t="n">
        <v>20446</v>
      </c>
      <c r="G93" s="20" t="n">
        <v>25433</v>
      </c>
      <c r="H93" s="20" t="n">
        <v>5624</v>
      </c>
      <c r="I93" s="20" t="n">
        <v>8890</v>
      </c>
      <c r="J93" s="20" t="n">
        <v>11991</v>
      </c>
      <c r="K93" s="20" t="n">
        <v>17848</v>
      </c>
      <c r="L93" s="20" t="n">
        <v>20931</v>
      </c>
    </row>
    <row r="94">
      <c r="A94" s="18" t="inlineStr">
        <is>
          <t>토지</t>
        </is>
      </c>
      <c r="C94" s="20" t="n">
        <v>1492676</v>
      </c>
      <c r="D94" s="20" t="n">
        <v>1563207</v>
      </c>
      <c r="E94" s="20" t="n">
        <v>1546139</v>
      </c>
      <c r="F94" s="20" t="n">
        <v>1525834</v>
      </c>
      <c r="G94" s="20" t="n">
        <v>1530261</v>
      </c>
      <c r="H94" s="20" t="n">
        <v>1266859</v>
      </c>
      <c r="I94" s="20" t="n">
        <v>1374904</v>
      </c>
      <c r="J94" s="20" t="n">
        <v>1316801</v>
      </c>
      <c r="K94" s="20" t="n">
        <v>1405359</v>
      </c>
      <c r="L94" s="20" t="n">
        <v>1546139</v>
      </c>
    </row>
    <row r="95">
      <c r="A95" s="18" t="inlineStr">
        <is>
          <t>건설중인자산</t>
        </is>
      </c>
      <c r="C95" s="20" t="n">
        <v>68150</v>
      </c>
      <c r="D95" s="20" t="n">
        <v>51888</v>
      </c>
      <c r="E95" s="20" t="n">
        <v>71494</v>
      </c>
      <c r="F95" s="20" t="n">
        <v>75637</v>
      </c>
      <c r="G95" s="20" t="n">
        <v>96744</v>
      </c>
      <c r="H95" s="20" t="n">
        <v>9630</v>
      </c>
      <c r="I95" s="20" t="n">
        <v>16207</v>
      </c>
      <c r="J95" s="20" t="n">
        <v>42755</v>
      </c>
      <c r="K95" s="20" t="n">
        <v>45782</v>
      </c>
      <c r="L95" s="20" t="n">
        <v>71494</v>
      </c>
    </row>
    <row r="96">
      <c r="A96" s="18" t="inlineStr">
        <is>
          <t>기타</t>
        </is>
      </c>
      <c r="E96" s="20" t="n">
        <v>22109</v>
      </c>
      <c r="H96" s="20" t="n">
        <v>15200</v>
      </c>
      <c r="I96" s="20" t="n">
        <v>15669</v>
      </c>
      <c r="J96" s="20" t="n">
        <v>16228</v>
      </c>
      <c r="K96" s="20" t="n">
        <v>20672</v>
      </c>
      <c r="L96" s="20" t="n">
        <v>22109</v>
      </c>
    </row>
    <row r="97">
      <c r="A97" s="18" t="inlineStr">
        <is>
          <t>감가상각누계액</t>
        </is>
      </c>
      <c r="E97" s="20" t="n">
        <v>-10620</v>
      </c>
      <c r="H97" s="20" t="n">
        <v>-3524</v>
      </c>
      <c r="I97" s="20" t="n">
        <v>-4696</v>
      </c>
      <c r="J97" s="20" t="n">
        <v>-5701</v>
      </c>
      <c r="K97" s="20" t="n">
        <v>-9327</v>
      </c>
      <c r="L97" s="20" t="n">
        <v>-10620</v>
      </c>
    </row>
    <row r="98">
      <c r="A98" s="18" t="inlineStr">
        <is>
          <t>기타(순액)</t>
        </is>
      </c>
      <c r="C98" s="20" t="n">
        <v>11325</v>
      </c>
      <c r="D98" s="20" t="n">
        <v>11644</v>
      </c>
      <c r="E98" s="20" t="n">
        <v>11489</v>
      </c>
      <c r="F98" s="20" t="n">
        <v>11488</v>
      </c>
      <c r="G98" s="20" t="n">
        <v>12251</v>
      </c>
      <c r="H98" s="20" t="n">
        <v>11676</v>
      </c>
      <c r="I98" s="20" t="n">
        <v>10972</v>
      </c>
      <c r="J98" s="20" t="n">
        <v>10527</v>
      </c>
      <c r="K98" s="20" t="n">
        <v>11344</v>
      </c>
      <c r="L98" s="20" t="n">
        <v>11489</v>
      </c>
    </row>
    <row r="99">
      <c r="A99" s="18" t="inlineStr">
        <is>
          <t>유형자산 합계</t>
        </is>
      </c>
      <c r="C99" s="20" t="n">
        <v>1834165</v>
      </c>
      <c r="D99" s="20" t="n">
        <v>1931958</v>
      </c>
      <c r="E99" s="20" t="n">
        <v>1927374</v>
      </c>
      <c r="F99" s="20" t="n">
        <v>1907198</v>
      </c>
      <c r="G99" s="20" t="n">
        <v>1946428</v>
      </c>
      <c r="H99" s="20" t="n">
        <v>1527466</v>
      </c>
      <c r="I99" s="20" t="n">
        <v>1644449</v>
      </c>
      <c r="J99" s="20" t="n">
        <v>1617405</v>
      </c>
      <c r="K99" s="20" t="n">
        <v>1723825</v>
      </c>
      <c r="L99" s="20" t="n">
        <v>1927374</v>
      </c>
    </row>
    <row r="100">
      <c r="A100" s="18" t="inlineStr">
        <is>
          <t>영업권</t>
        </is>
      </c>
      <c r="C100" s="20" t="n">
        <v>113762</v>
      </c>
      <c r="D100" s="20" t="n">
        <v>113061</v>
      </c>
      <c r="E100" s="20" t="n">
        <v>126209</v>
      </c>
      <c r="F100" s="20" t="n">
        <v>117227</v>
      </c>
      <c r="G100" s="20" t="n">
        <v>131060</v>
      </c>
      <c r="H100" s="20" t="n">
        <v>3711</v>
      </c>
      <c r="I100" s="20" t="n">
        <v>4795</v>
      </c>
      <c r="J100" s="20" t="n">
        <v>4164</v>
      </c>
      <c r="K100" s="20" t="n">
        <v>117160</v>
      </c>
      <c r="L100" s="20" t="n">
        <v>126209</v>
      </c>
    </row>
    <row r="101">
      <c r="A101" s="18" t="inlineStr">
        <is>
          <t>차지권</t>
        </is>
      </c>
      <c r="C101" s="20" t="n">
        <v>81330</v>
      </c>
      <c r="D101" s="20" t="n">
        <v>91250</v>
      </c>
      <c r="E101" s="20" t="n">
        <v>91250</v>
      </c>
      <c r="F101" s="20" t="n">
        <v>91434</v>
      </c>
      <c r="G101" s="20" t="n">
        <v>91676</v>
      </c>
      <c r="H101" s="20" t="n">
        <v>79420</v>
      </c>
      <c r="I101" s="20" t="n">
        <v>81233</v>
      </c>
      <c r="J101" s="20" t="n">
        <v>70695</v>
      </c>
      <c r="K101" s="20" t="n">
        <v>70843</v>
      </c>
      <c r="L101" s="20" t="n">
        <v>91250</v>
      </c>
    </row>
    <row r="102">
      <c r="A102" s="18" t="inlineStr">
        <is>
          <t>기타</t>
        </is>
      </c>
      <c r="C102" s="20" t="n">
        <v>29108</v>
      </c>
      <c r="D102" s="20" t="n">
        <v>29648</v>
      </c>
      <c r="E102" s="20" t="n">
        <v>41362</v>
      </c>
      <c r="F102" s="20" t="n">
        <v>40817</v>
      </c>
      <c r="G102" s="20" t="n">
        <v>44308</v>
      </c>
      <c r="H102" s="20" t="n">
        <v>1559</v>
      </c>
      <c r="I102" s="20" t="n">
        <v>2199</v>
      </c>
      <c r="J102" s="20" t="n">
        <v>3079</v>
      </c>
      <c r="K102" s="20" t="n">
        <v>28881</v>
      </c>
      <c r="L102" s="20" t="n">
        <v>41362</v>
      </c>
    </row>
    <row r="103">
      <c r="A103" s="18" t="inlineStr">
        <is>
          <t>무형자산 합계</t>
        </is>
      </c>
      <c r="C103" s="20" t="n">
        <v>224201</v>
      </c>
      <c r="D103" s="20" t="n">
        <v>233960</v>
      </c>
      <c r="E103" s="20" t="n">
        <v>258822</v>
      </c>
      <c r="F103" s="20" t="n">
        <v>249480</v>
      </c>
      <c r="G103" s="20" t="n">
        <v>267045</v>
      </c>
      <c r="H103" s="20" t="n">
        <v>84691</v>
      </c>
      <c r="I103" s="20" t="n">
        <v>88228</v>
      </c>
      <c r="J103" s="20" t="n">
        <v>77938</v>
      </c>
      <c r="K103" s="20" t="n">
        <v>216886</v>
      </c>
      <c r="L103" s="20" t="n">
        <v>258822</v>
      </c>
    </row>
    <row r="104">
      <c r="A104" s="18" t="inlineStr">
        <is>
          <t>투자유가증권</t>
        </is>
      </c>
      <c r="C104" s="20" t="n">
        <v>463499</v>
      </c>
      <c r="D104" s="20" t="n">
        <v>474371</v>
      </c>
      <c r="E104" s="20" t="n">
        <v>499499</v>
      </c>
      <c r="F104" s="20" t="n">
        <v>457779</v>
      </c>
      <c r="G104" s="20" t="n">
        <v>495637</v>
      </c>
      <c r="H104" s="20" t="n">
        <v>225547</v>
      </c>
      <c r="I104" s="20" t="n">
        <v>284706</v>
      </c>
      <c r="J104" s="20" t="n">
        <v>328463</v>
      </c>
      <c r="K104" s="20" t="n">
        <v>420487</v>
      </c>
      <c r="L104" s="20" t="n">
        <v>499499</v>
      </c>
    </row>
    <row r="105">
      <c r="A105" s="18" t="inlineStr">
        <is>
          <t>보증금</t>
        </is>
      </c>
      <c r="C105" s="20" t="n">
        <v>57970</v>
      </c>
      <c r="D105" s="20" t="n">
        <v>56272</v>
      </c>
      <c r="E105" s="20" t="n">
        <v>56411</v>
      </c>
      <c r="F105" s="20" t="n">
        <v>49105</v>
      </c>
      <c r="G105" s="20" t="n">
        <v>51224</v>
      </c>
      <c r="H105" s="20" t="n">
        <v>28894</v>
      </c>
      <c r="I105" s="20" t="n">
        <v>37545</v>
      </c>
      <c r="J105" s="20" t="n">
        <v>47384</v>
      </c>
      <c r="K105" s="20" t="n">
        <v>53986</v>
      </c>
      <c r="L105" s="20" t="n">
        <v>56411</v>
      </c>
    </row>
    <row r="106">
      <c r="A106" s="18" t="inlineStr">
        <is>
          <t>이연법인세자산</t>
        </is>
      </c>
      <c r="C106" s="20" t="n">
        <v>3920</v>
      </c>
      <c r="D106" s="20" t="n">
        <v>4083</v>
      </c>
      <c r="E106" s="20" t="n">
        <v>4116</v>
      </c>
      <c r="F106" s="20" t="n">
        <v>3906</v>
      </c>
      <c r="G106" s="20" t="n">
        <v>4245</v>
      </c>
      <c r="H106" s="20" t="n">
        <v>951</v>
      </c>
      <c r="I106" s="20" t="n">
        <v>856</v>
      </c>
      <c r="J106" s="20" t="n">
        <v>947</v>
      </c>
      <c r="K106" s="20" t="n">
        <v>3867</v>
      </c>
      <c r="L106" s="20" t="n">
        <v>4116</v>
      </c>
    </row>
    <row r="107">
      <c r="A107" s="18" t="inlineStr">
        <is>
          <t>퇴직급여자산</t>
        </is>
      </c>
      <c r="C107" s="20" t="n">
        <v>209</v>
      </c>
      <c r="D107" s="20" t="n">
        <v>215</v>
      </c>
      <c r="E107" s="20" t="n">
        <v>295</v>
      </c>
      <c r="F107" s="20" t="n">
        <v>302</v>
      </c>
      <c r="G107" s="20" t="n">
        <v>309</v>
      </c>
      <c r="H107" s="20" t="n">
        <v>326</v>
      </c>
      <c r="I107" s="20" t="n">
        <v>493</v>
      </c>
      <c r="J107" s="20" t="n">
        <v>752</v>
      </c>
      <c r="K107" s="20" t="n">
        <v>197</v>
      </c>
      <c r="L107" s="20" t="n">
        <v>295</v>
      </c>
    </row>
    <row r="108">
      <c r="A108" s="18" t="inlineStr">
        <is>
          <t>기타</t>
        </is>
      </c>
      <c r="C108" s="20" t="n">
        <v>57978</v>
      </c>
      <c r="D108" s="20" t="n">
        <v>62735</v>
      </c>
      <c r="E108" s="20" t="n">
        <v>71284</v>
      </c>
      <c r="F108" s="20" t="n">
        <v>81556</v>
      </c>
      <c r="G108" s="20" t="n">
        <v>82665</v>
      </c>
      <c r="H108" s="20" t="n">
        <v>8168</v>
      </c>
      <c r="I108" s="20" t="n">
        <v>10865</v>
      </c>
      <c r="J108" s="20" t="n">
        <v>32838</v>
      </c>
      <c r="K108" s="20" t="n">
        <v>44436</v>
      </c>
      <c r="L108" s="20" t="n">
        <v>71284</v>
      </c>
    </row>
    <row r="109">
      <c r="A109" s="18" t="inlineStr">
        <is>
          <t>대손충당금</t>
        </is>
      </c>
      <c r="C109" s="20" t="n">
        <v>-7</v>
      </c>
      <c r="D109" s="20" t="n">
        <v>-1</v>
      </c>
      <c r="E109" s="20" t="n">
        <v>-7</v>
      </c>
      <c r="F109" s="20" t="n">
        <v>-6</v>
      </c>
      <c r="G109" s="20" t="n">
        <v>-10</v>
      </c>
      <c r="H109" s="20" t="n">
        <v>-14</v>
      </c>
      <c r="I109" s="20" t="n">
        <v>-31</v>
      </c>
      <c r="J109" s="20" t="n">
        <v>-0</v>
      </c>
      <c r="K109" s="20" t="n">
        <v>-7</v>
      </c>
      <c r="L109" s="20" t="n">
        <v>-7</v>
      </c>
    </row>
    <row r="110">
      <c r="A110" s="18" t="inlineStr">
        <is>
          <t>투자 및 기타자산 합계</t>
        </is>
      </c>
      <c r="C110" s="20" t="n">
        <v>583571</v>
      </c>
      <c r="D110" s="20" t="n">
        <v>597676</v>
      </c>
      <c r="E110" s="20" t="n">
        <v>631600</v>
      </c>
      <c r="F110" s="20" t="n">
        <v>592643</v>
      </c>
      <c r="G110" s="20" t="n">
        <v>634071</v>
      </c>
      <c r="H110" s="20" t="n">
        <v>263873</v>
      </c>
      <c r="I110" s="20" t="n">
        <v>334436</v>
      </c>
      <c r="J110" s="20" t="n">
        <v>410387</v>
      </c>
      <c r="K110" s="20" t="n">
        <v>522967</v>
      </c>
      <c r="L110" s="20" t="n">
        <v>631600</v>
      </c>
    </row>
    <row r="111">
      <c r="A111" s="9" t="inlineStr">
        <is>
          <t>비유동자산 합계</t>
        </is>
      </c>
      <c r="C111" s="12" t="n">
        <v>2641938</v>
      </c>
      <c r="D111" s="12" t="n">
        <v>2763595</v>
      </c>
      <c r="E111" s="12" t="n">
        <v>2817797</v>
      </c>
      <c r="F111" s="12" t="n">
        <v>2749322</v>
      </c>
      <c r="G111" s="12" t="n">
        <v>2847545</v>
      </c>
      <c r="H111" s="12" t="n">
        <v>1876031</v>
      </c>
      <c r="I111" s="12" t="n">
        <v>2067114</v>
      </c>
      <c r="J111" s="12" t="n">
        <v>2105731</v>
      </c>
      <c r="K111" s="12" t="n">
        <v>2463680</v>
      </c>
      <c r="L111" s="12" t="n">
        <v>2817797</v>
      </c>
    </row>
    <row r="112">
      <c r="A112" s="18" t="inlineStr">
        <is>
          <t>개업비</t>
        </is>
      </c>
      <c r="E112" s="20" t="n">
        <v>46</v>
      </c>
      <c r="H112" s="20" t="n">
        <v>30</v>
      </c>
      <c r="I112" s="20" t="n">
        <v>22</v>
      </c>
      <c r="J112" s="20" t="n">
        <v>15</v>
      </c>
      <c r="K112" s="20" t="n">
        <v>6</v>
      </c>
      <c r="L112" s="20" t="n">
        <v>46</v>
      </c>
    </row>
    <row r="113">
      <c r="A113" s="18" t="inlineStr">
        <is>
          <t>Deferred Organization Expenses DA</t>
        </is>
      </c>
      <c r="E113" s="20" t="n">
        <v>1</v>
      </c>
      <c r="K113" s="20" t="n">
        <v>0</v>
      </c>
      <c r="L113" s="20" t="n">
        <v>1</v>
      </c>
    </row>
    <row r="114">
      <c r="A114" s="18" t="inlineStr">
        <is>
          <t>주식교부비</t>
        </is>
      </c>
      <c r="E114" s="20" t="n">
        <v>45</v>
      </c>
      <c r="H114" s="20" t="n">
        <v>626</v>
      </c>
      <c r="I114" s="20" t="n">
        <v>404</v>
      </c>
      <c r="J114" s="20" t="n">
        <v>210</v>
      </c>
      <c r="K114" s="20" t="n">
        <v>15</v>
      </c>
      <c r="L114" s="20" t="n">
        <v>45</v>
      </c>
    </row>
    <row r="115">
      <c r="A115" s="18" t="inlineStr">
        <is>
          <t>사채발행비</t>
        </is>
      </c>
      <c r="E115" s="20" t="n">
        <v>1649</v>
      </c>
      <c r="H115" s="20" t="n">
        <v>1705</v>
      </c>
      <c r="I115" s="20" t="n">
        <v>1895</v>
      </c>
      <c r="J115" s="20" t="n">
        <v>1542</v>
      </c>
      <c r="K115" s="20" t="n">
        <v>1369</v>
      </c>
      <c r="L115" s="20" t="n">
        <v>1649</v>
      </c>
    </row>
    <row r="116">
      <c r="A116" s="18" t="inlineStr">
        <is>
          <t>이연자산 합계</t>
        </is>
      </c>
      <c r="C116" s="20" t="n">
        <v>1576</v>
      </c>
      <c r="D116" s="20" t="n">
        <v>1864</v>
      </c>
      <c r="E116" s="20" t="n">
        <v>1741</v>
      </c>
      <c r="F116" s="20" t="n">
        <v>1922</v>
      </c>
      <c r="G116" s="20" t="n">
        <v>1824</v>
      </c>
      <c r="H116" s="20" t="n">
        <v>2362</v>
      </c>
      <c r="I116" s="20" t="n">
        <v>2321</v>
      </c>
      <c r="J116" s="20" t="n">
        <v>1768</v>
      </c>
      <c r="K116" s="20" t="n">
        <v>1391</v>
      </c>
      <c r="L116" s="20" t="n">
        <v>1741</v>
      </c>
    </row>
    <row r="117">
      <c r="A117" s="9" t="inlineStr">
        <is>
          <t>자산 합계</t>
        </is>
      </c>
      <c r="C117" s="12" t="n">
        <v>3424321</v>
      </c>
      <c r="D117" s="12" t="n">
        <v>3411686</v>
      </c>
      <c r="E117" s="12" t="n">
        <v>3506068</v>
      </c>
      <c r="F117" s="12" t="n">
        <v>3552936</v>
      </c>
      <c r="G117" s="12" t="n">
        <v>3592508</v>
      </c>
      <c r="H117" s="12" t="n">
        <v>2207325</v>
      </c>
      <c r="I117" s="12" t="n">
        <v>2320337</v>
      </c>
      <c r="J117" s="12" t="n">
        <v>2480472</v>
      </c>
      <c r="K117" s="12" t="n">
        <v>3048935</v>
      </c>
      <c r="L117" s="12" t="n">
        <v>3506068</v>
      </c>
    </row>
    <row r="118">
      <c r="A118" s="18" t="inlineStr">
        <is>
          <t>단기차입금</t>
        </is>
      </c>
      <c r="C118" s="20" t="n">
        <v>279045</v>
      </c>
      <c r="D118" s="20" t="n">
        <v>256831</v>
      </c>
      <c r="E118" s="20" t="n">
        <v>209304</v>
      </c>
      <c r="F118" s="20" t="n">
        <v>186473</v>
      </c>
      <c r="G118" s="20" t="n">
        <v>179250</v>
      </c>
      <c r="H118" s="20" t="n">
        <v>660</v>
      </c>
      <c r="I118" s="20" t="n">
        <v>660</v>
      </c>
      <c r="J118" s="20" t="n">
        <v>1774</v>
      </c>
      <c r="K118" s="20" t="n">
        <v>166957</v>
      </c>
      <c r="L118" s="20" t="n">
        <v>209304</v>
      </c>
    </row>
    <row r="119">
      <c r="A119" s="18" t="inlineStr">
        <is>
          <t>1년 내 상환 장기차입금</t>
        </is>
      </c>
      <c r="E119" s="20" t="n">
        <v>206009</v>
      </c>
      <c r="H119" s="20" t="n">
        <v>71500</v>
      </c>
      <c r="I119" s="20" t="n">
        <v>161577</v>
      </c>
      <c r="J119" s="20" t="n">
        <v>103109</v>
      </c>
      <c r="K119" s="20" t="n">
        <v>192762</v>
      </c>
      <c r="L119" s="20" t="n">
        <v>206009</v>
      </c>
    </row>
    <row r="120">
      <c r="A120" s="18" t="inlineStr">
        <is>
          <t>Short Term Bonds Payable</t>
        </is>
      </c>
      <c r="C120" s="20" t="n">
        <v>159613</v>
      </c>
      <c r="D120" s="20" t="n">
        <v>129763</v>
      </c>
      <c r="E120" s="20" t="n">
        <v>119726</v>
      </c>
      <c r="F120" s="20" t="n">
        <v>139683</v>
      </c>
      <c r="G120" s="20" t="n">
        <v>100817</v>
      </c>
      <c r="I120" s="20" t="n">
        <v>0</v>
      </c>
      <c r="J120" s="20" t="n">
        <v>0</v>
      </c>
      <c r="K120" s="20" t="n">
        <v>29909</v>
      </c>
      <c r="L120" s="20" t="n">
        <v>119726</v>
      </c>
    </row>
    <row r="121">
      <c r="A121" s="18" t="inlineStr">
        <is>
          <t>1년 내 상환 사채</t>
        </is>
      </c>
      <c r="C121" s="20" t="n">
        <v>180000</v>
      </c>
      <c r="D121" s="20" t="n">
        <v>60000</v>
      </c>
      <c r="E121" s="20" t="n">
        <v>60060</v>
      </c>
      <c r="F121" s="20" t="n">
        <v>60060</v>
      </c>
      <c r="G121" s="20" t="n">
        <v>30060</v>
      </c>
      <c r="H121" s="20" t="n">
        <v>0</v>
      </c>
      <c r="I121" s="20" t="n">
        <v>50000</v>
      </c>
      <c r="J121" s="20" t="n">
        <v>30000</v>
      </c>
      <c r="K121" s="20" t="n">
        <v>0</v>
      </c>
      <c r="L121" s="20" t="n">
        <v>60060</v>
      </c>
    </row>
    <row r="122">
      <c r="A122" s="18" t="inlineStr">
        <is>
          <t>미지급비용</t>
        </is>
      </c>
      <c r="C122" s="20" t="n">
        <v>7120</v>
      </c>
      <c r="D122" s="20" t="n">
        <v>8952</v>
      </c>
      <c r="E122" s="20" t="n">
        <v>8193</v>
      </c>
      <c r="F122" s="20" t="n">
        <v>11332</v>
      </c>
      <c r="G122" s="20" t="n">
        <v>10648</v>
      </c>
      <c r="H122" s="20" t="n">
        <v>3704</v>
      </c>
      <c r="I122" s="20" t="n">
        <v>3843</v>
      </c>
      <c r="J122" s="20" t="n">
        <v>4523</v>
      </c>
      <c r="K122" s="20" t="n">
        <v>5867</v>
      </c>
      <c r="L122" s="20" t="n">
        <v>8193</v>
      </c>
    </row>
    <row r="123">
      <c r="A123" s="18" t="inlineStr">
        <is>
          <t>미지급법인세</t>
        </is>
      </c>
      <c r="C123" s="20" t="n">
        <v>23130</v>
      </c>
      <c r="D123" s="20" t="n">
        <v>13841</v>
      </c>
      <c r="E123" s="20" t="n">
        <v>32518</v>
      </c>
      <c r="F123" s="20" t="n">
        <v>17262</v>
      </c>
      <c r="G123" s="20" t="n">
        <v>28621</v>
      </c>
      <c r="H123" s="20" t="n">
        <v>10773</v>
      </c>
      <c r="I123" s="20" t="n">
        <v>11531</v>
      </c>
      <c r="J123" s="20" t="n">
        <v>18760</v>
      </c>
      <c r="K123" s="20" t="n">
        <v>27725</v>
      </c>
      <c r="L123" s="20" t="n">
        <v>32518</v>
      </c>
    </row>
    <row r="124">
      <c r="A124" s="18" t="inlineStr">
        <is>
          <t>선수금</t>
        </is>
      </c>
      <c r="C124" s="20" t="n">
        <v>11037</v>
      </c>
      <c r="D124" s="20" t="n">
        <v>11560</v>
      </c>
      <c r="E124" s="20" t="n">
        <v>12509</v>
      </c>
      <c r="F124" s="20" t="n">
        <v>11348</v>
      </c>
      <c r="G124" s="20" t="n">
        <v>11514</v>
      </c>
      <c r="H124" s="20" t="n">
        <v>6720</v>
      </c>
      <c r="I124" s="20" t="n">
        <v>6543</v>
      </c>
      <c r="J124" s="20" t="n">
        <v>6510</v>
      </c>
      <c r="K124" s="20" t="n">
        <v>10464</v>
      </c>
      <c r="L124" s="20" t="n">
        <v>12509</v>
      </c>
    </row>
    <row r="125">
      <c r="A125" s="18" t="inlineStr">
        <is>
          <t>상여충당금</t>
        </is>
      </c>
      <c r="C125" s="20" t="n">
        <v>1197</v>
      </c>
      <c r="D125" s="20" t="n">
        <v>2053</v>
      </c>
      <c r="E125" s="20" t="n">
        <v>1690</v>
      </c>
      <c r="F125" s="20" t="n">
        <v>1921</v>
      </c>
      <c r="G125" s="20" t="n">
        <v>1830</v>
      </c>
      <c r="H125" s="20" t="n">
        <v>352</v>
      </c>
      <c r="I125" s="20" t="n">
        <v>377</v>
      </c>
      <c r="J125" s="20" t="n">
        <v>532</v>
      </c>
      <c r="K125" s="20" t="n">
        <v>962</v>
      </c>
      <c r="L125" s="20" t="n">
        <v>1690</v>
      </c>
    </row>
    <row r="126">
      <c r="A126" s="18" t="inlineStr">
        <is>
          <t>임원 상여충당금</t>
        </is>
      </c>
      <c r="C126" s="20" t="n">
        <v>188</v>
      </c>
      <c r="D126" s="20" t="n">
        <v>295</v>
      </c>
      <c r="E126" s="20" t="n">
        <v>537</v>
      </c>
      <c r="F126" s="20" t="n">
        <v>156</v>
      </c>
      <c r="G126" s="20" t="n">
        <v>239</v>
      </c>
      <c r="H126" s="20" t="n">
        <v>351</v>
      </c>
      <c r="I126" s="20" t="n">
        <v>340</v>
      </c>
      <c r="J126" s="20" t="n">
        <v>382</v>
      </c>
      <c r="K126" s="20" t="n">
        <v>382</v>
      </c>
      <c r="L126" s="20" t="n">
        <v>537</v>
      </c>
    </row>
    <row r="127">
      <c r="A127" s="18" t="inlineStr">
        <is>
          <t>기타 충당금</t>
        </is>
      </c>
      <c r="D127" s="20" t="n">
        <v>51</v>
      </c>
      <c r="E127" s="20" t="n">
        <v>48</v>
      </c>
      <c r="F127" s="20" t="n">
        <v>36</v>
      </c>
      <c r="G127" s="20" t="n">
        <v>17</v>
      </c>
      <c r="K127" s="20" t="n">
        <v>0</v>
      </c>
      <c r="L127" s="20" t="n">
        <v>48</v>
      </c>
    </row>
    <row r="128">
      <c r="A128" s="18" t="inlineStr">
        <is>
          <t>기타</t>
        </is>
      </c>
      <c r="C128" s="20" t="n">
        <v>26779</v>
      </c>
      <c r="D128" s="20" t="n">
        <v>33271</v>
      </c>
      <c r="E128" s="20" t="n">
        <v>46122</v>
      </c>
      <c r="F128" s="20" t="n">
        <v>43282</v>
      </c>
      <c r="G128" s="20" t="n">
        <v>47475</v>
      </c>
      <c r="H128" s="20" t="n">
        <v>12988</v>
      </c>
      <c r="I128" s="20" t="n">
        <v>10883</v>
      </c>
      <c r="J128" s="20" t="n">
        <v>19715</v>
      </c>
      <c r="K128" s="20" t="n">
        <v>27721</v>
      </c>
      <c r="L128" s="20" t="n">
        <v>46122</v>
      </c>
    </row>
    <row r="129">
      <c r="A129" s="9" t="inlineStr">
        <is>
          <t>유동부채 합계</t>
        </is>
      </c>
      <c r="C129" s="12" t="n">
        <v>688111</v>
      </c>
      <c r="D129" s="12" t="n">
        <v>516623</v>
      </c>
      <c r="E129" s="12" t="n">
        <v>490711</v>
      </c>
      <c r="F129" s="12" t="n">
        <v>471558</v>
      </c>
      <c r="G129" s="12" t="n">
        <v>410475</v>
      </c>
      <c r="H129" s="12" t="n">
        <v>107052</v>
      </c>
      <c r="I129" s="12" t="n">
        <v>245757</v>
      </c>
      <c r="J129" s="12" t="n">
        <v>185306</v>
      </c>
      <c r="K129" s="12" t="n">
        <v>462754</v>
      </c>
      <c r="L129" s="12" t="n">
        <v>490711</v>
      </c>
    </row>
    <row r="130">
      <c r="A130" s="18" t="inlineStr">
        <is>
          <t>사채</t>
        </is>
      </c>
      <c r="C130" s="20" t="n">
        <v>324010</v>
      </c>
      <c r="D130" s="20" t="n">
        <v>424010</v>
      </c>
      <c r="E130" s="20" t="n">
        <v>424070</v>
      </c>
      <c r="F130" s="20" t="n">
        <v>509050</v>
      </c>
      <c r="G130" s="20" t="n">
        <v>479194</v>
      </c>
      <c r="H130" s="20" t="n">
        <v>345000</v>
      </c>
      <c r="I130" s="20" t="n">
        <v>371000</v>
      </c>
      <c r="J130" s="20" t="n">
        <v>381000</v>
      </c>
      <c r="K130" s="20" t="n">
        <v>444000</v>
      </c>
      <c r="L130" s="20" t="n">
        <v>424070</v>
      </c>
    </row>
    <row r="131">
      <c r="A131" s="18" t="inlineStr">
        <is>
          <t>장기차입금</t>
        </is>
      </c>
      <c r="C131" s="20" t="n">
        <v>1283361</v>
      </c>
      <c r="D131" s="20" t="n">
        <v>1340154</v>
      </c>
      <c r="E131" s="20" t="n">
        <v>1398092</v>
      </c>
      <c r="F131" s="20" t="n">
        <v>1395859</v>
      </c>
      <c r="G131" s="20" t="n">
        <v>1485986</v>
      </c>
      <c r="H131" s="20" t="n">
        <v>977326</v>
      </c>
      <c r="I131" s="20" t="n">
        <v>857748</v>
      </c>
      <c r="J131" s="20" t="n">
        <v>929145</v>
      </c>
      <c r="K131" s="20" t="n">
        <v>1037369</v>
      </c>
      <c r="L131" s="20" t="n">
        <v>1398092</v>
      </c>
    </row>
    <row r="132">
      <c r="A132" s="18" t="inlineStr">
        <is>
          <t>이연법인세부채</t>
        </is>
      </c>
      <c r="C132" s="20" t="n">
        <v>92199</v>
      </c>
      <c r="D132" s="20" t="n">
        <v>94332</v>
      </c>
      <c r="E132" s="20" t="n">
        <v>107248</v>
      </c>
      <c r="F132" s="20" t="n">
        <v>100216</v>
      </c>
      <c r="G132" s="20" t="n">
        <v>102850</v>
      </c>
      <c r="H132" s="20" t="n">
        <v>40499</v>
      </c>
      <c r="I132" s="20" t="n">
        <v>53532</v>
      </c>
      <c r="J132" s="20" t="n">
        <v>73210</v>
      </c>
      <c r="K132" s="20" t="n">
        <v>89978</v>
      </c>
      <c r="L132" s="20" t="n">
        <v>107248</v>
      </c>
    </row>
    <row r="133">
      <c r="A133" s="18" t="inlineStr">
        <is>
          <t>주식급여 충당금</t>
        </is>
      </c>
      <c r="C133" s="20" t="n">
        <v>3842</v>
      </c>
      <c r="D133" s="20" t="n">
        <v>4024</v>
      </c>
      <c r="E133" s="20" t="n">
        <v>4378</v>
      </c>
      <c r="F133" s="20" t="n">
        <v>4637</v>
      </c>
      <c r="G133" s="20" t="n">
        <v>4031</v>
      </c>
      <c r="H133" s="20" t="n">
        <v>2232</v>
      </c>
      <c r="I133" s="20" t="n">
        <v>2846</v>
      </c>
      <c r="J133" s="20" t="n">
        <v>3238</v>
      </c>
      <c r="K133" s="20" t="n">
        <v>3151</v>
      </c>
      <c r="L133" s="20" t="n">
        <v>4378</v>
      </c>
    </row>
    <row r="134">
      <c r="A134" s="18" t="inlineStr">
        <is>
          <t>퇴직급여부채</t>
        </is>
      </c>
      <c r="C134" s="20" t="n">
        <v>4870</v>
      </c>
      <c r="D134" s="20" t="n">
        <v>5452</v>
      </c>
      <c r="E134" s="20" t="n">
        <v>5311</v>
      </c>
      <c r="F134" s="20" t="n">
        <v>5023</v>
      </c>
      <c r="G134" s="20" t="n">
        <v>5083</v>
      </c>
      <c r="H134" s="20" t="n">
        <v>1457</v>
      </c>
      <c r="I134" s="20" t="n">
        <v>1634</v>
      </c>
      <c r="J134" s="20" t="n">
        <v>1706</v>
      </c>
      <c r="K134" s="20" t="n">
        <v>4652</v>
      </c>
      <c r="L134" s="20" t="n">
        <v>5311</v>
      </c>
    </row>
    <row r="135">
      <c r="A135" s="18" t="inlineStr">
        <is>
          <t>장기 예수보증금</t>
        </is>
      </c>
      <c r="C135" s="20" t="n">
        <v>114002</v>
      </c>
      <c r="D135" s="20" t="n">
        <v>118524</v>
      </c>
      <c r="E135" s="20" t="n">
        <v>120417</v>
      </c>
      <c r="F135" s="20" t="n">
        <v>109169</v>
      </c>
      <c r="G135" s="20" t="n">
        <v>108413</v>
      </c>
      <c r="H135" s="20" t="n">
        <v>82573</v>
      </c>
      <c r="I135" s="20" t="n">
        <v>88287</v>
      </c>
      <c r="J135" s="20" t="n">
        <v>93307</v>
      </c>
      <c r="K135" s="20" t="n">
        <v>104947</v>
      </c>
      <c r="L135" s="20" t="n">
        <v>120417</v>
      </c>
    </row>
    <row r="136">
      <c r="A136" s="18" t="inlineStr">
        <is>
          <t>기타 충당금</t>
        </is>
      </c>
      <c r="D136" s="20" t="n">
        <v>61</v>
      </c>
      <c r="E136" s="20" t="n">
        <v>56</v>
      </c>
      <c r="F136" s="20" t="n">
        <v>58</v>
      </c>
      <c r="G136" s="20" t="n">
        <v>60</v>
      </c>
      <c r="K136" s="20" t="n">
        <v>0</v>
      </c>
      <c r="L136" s="20" t="n">
        <v>56</v>
      </c>
    </row>
    <row r="137">
      <c r="A137" s="18" t="inlineStr">
        <is>
          <t>기타</t>
        </is>
      </c>
      <c r="C137" s="20" t="n">
        <v>46229</v>
      </c>
      <c r="D137" s="20" t="n">
        <v>35965</v>
      </c>
      <c r="E137" s="20" t="n">
        <v>16602</v>
      </c>
      <c r="F137" s="20" t="n">
        <v>15961</v>
      </c>
      <c r="G137" s="20" t="n">
        <v>16067</v>
      </c>
      <c r="H137" s="20" t="n">
        <v>12852</v>
      </c>
      <c r="I137" s="20" t="n">
        <v>12376</v>
      </c>
      <c r="J137" s="20" t="n">
        <v>44257</v>
      </c>
      <c r="K137" s="20" t="n">
        <v>45737</v>
      </c>
      <c r="L137" s="20" t="n">
        <v>16602</v>
      </c>
    </row>
    <row r="138">
      <c r="A138" s="9" t="inlineStr">
        <is>
          <t>비유동부채 합계</t>
        </is>
      </c>
      <c r="C138" s="12" t="n">
        <v>1868517</v>
      </c>
      <c r="D138" s="12" t="n">
        <v>2022526</v>
      </c>
      <c r="E138" s="12" t="n">
        <v>2076176</v>
      </c>
      <c r="F138" s="12" t="n">
        <v>2139976</v>
      </c>
      <c r="G138" s="12" t="n">
        <v>2201686</v>
      </c>
      <c r="H138" s="12" t="n">
        <v>1461940</v>
      </c>
      <c r="I138" s="12" t="n">
        <v>1387426</v>
      </c>
      <c r="J138" s="12" t="n">
        <v>1525865</v>
      </c>
      <c r="K138" s="12" t="n">
        <v>1729837</v>
      </c>
      <c r="L138" s="12" t="n">
        <v>2076176</v>
      </c>
    </row>
    <row r="139">
      <c r="A139" s="9" t="inlineStr">
        <is>
          <t>부채 합계</t>
        </is>
      </c>
      <c r="C139" s="12" t="n">
        <v>2556629</v>
      </c>
      <c r="D139" s="12" t="n">
        <v>2539149</v>
      </c>
      <c r="E139" s="12" t="n">
        <v>2566887</v>
      </c>
      <c r="F139" s="12" t="n">
        <v>2611534</v>
      </c>
      <c r="G139" s="12" t="n">
        <v>2612162</v>
      </c>
      <c r="H139" s="12" t="n">
        <v>1568993</v>
      </c>
      <c r="I139" s="12" t="n">
        <v>1633183</v>
      </c>
      <c r="J139" s="12" t="n">
        <v>1711172</v>
      </c>
      <c r="K139" s="12" t="n">
        <v>2192591</v>
      </c>
      <c r="L139" s="12" t="n">
        <v>2566887</v>
      </c>
    </row>
    <row r="140">
      <c r="A140" s="18" t="inlineStr">
        <is>
          <t>자본금</t>
        </is>
      </c>
      <c r="C140" s="20" t="n">
        <v>111609</v>
      </c>
      <c r="D140" s="20" t="n">
        <v>111609</v>
      </c>
      <c r="E140" s="20" t="n">
        <v>111609</v>
      </c>
      <c r="F140" s="20" t="n">
        <v>111609</v>
      </c>
      <c r="G140" s="20" t="n">
        <v>111609</v>
      </c>
      <c r="H140" s="20" t="n">
        <v>111609</v>
      </c>
      <c r="I140" s="20" t="n">
        <v>111609</v>
      </c>
      <c r="J140" s="20" t="n">
        <v>111609</v>
      </c>
      <c r="K140" s="20" t="n">
        <v>111609</v>
      </c>
      <c r="L140" s="20" t="n">
        <v>111609</v>
      </c>
    </row>
    <row r="141">
      <c r="A141" s="18" t="inlineStr">
        <is>
          <t>자본잉여금</t>
        </is>
      </c>
      <c r="C141" s="20" t="n">
        <v>130165</v>
      </c>
      <c r="D141" s="20" t="n">
        <v>130172</v>
      </c>
      <c r="E141" s="20" t="n">
        <v>130033</v>
      </c>
      <c r="F141" s="20" t="n">
        <v>130033</v>
      </c>
      <c r="G141" s="20" t="n">
        <v>130033</v>
      </c>
      <c r="H141" s="20" t="n">
        <v>137759</v>
      </c>
      <c r="I141" s="20" t="n">
        <v>137741</v>
      </c>
      <c r="J141" s="20" t="n">
        <v>137731</v>
      </c>
      <c r="K141" s="20" t="n">
        <v>137738</v>
      </c>
      <c r="L141" s="20" t="n">
        <v>130033</v>
      </c>
    </row>
    <row r="142">
      <c r="A142" s="18" t="inlineStr">
        <is>
          <t>이익잉여금</t>
        </is>
      </c>
      <c r="C142" s="20" t="n">
        <v>546349</v>
      </c>
      <c r="D142" s="20" t="n">
        <v>540230</v>
      </c>
      <c r="E142" s="20" t="n">
        <v>593937</v>
      </c>
      <c r="F142" s="20" t="n">
        <v>586395</v>
      </c>
      <c r="G142" s="20" t="n">
        <v>618233</v>
      </c>
      <c r="H142" s="20" t="n">
        <v>352351</v>
      </c>
      <c r="I142" s="20" t="n">
        <v>401090</v>
      </c>
      <c r="J142" s="20" t="n">
        <v>461214</v>
      </c>
      <c r="K142" s="20" t="n">
        <v>522922</v>
      </c>
      <c r="L142" s="20" t="n">
        <v>593937</v>
      </c>
    </row>
    <row r="143">
      <c r="A143" s="18" t="inlineStr">
        <is>
          <t>자기주식</t>
        </is>
      </c>
      <c r="C143" s="20" t="n">
        <v>-6215</v>
      </c>
      <c r="D143" s="20" t="n">
        <v>-6215</v>
      </c>
      <c r="E143" s="20" t="n">
        <v>-6215</v>
      </c>
      <c r="F143" s="20" t="n">
        <v>-6920</v>
      </c>
      <c r="G143" s="20" t="n">
        <v>-6314</v>
      </c>
      <c r="H143" s="20" t="n">
        <v>-2464</v>
      </c>
      <c r="I143" s="20" t="n">
        <v>-3971</v>
      </c>
      <c r="J143" s="20" t="n">
        <v>-3760</v>
      </c>
      <c r="K143" s="20" t="n">
        <v>-3094</v>
      </c>
      <c r="L143" s="20" t="n">
        <v>-6215</v>
      </c>
    </row>
    <row r="144">
      <c r="A144" s="9" t="inlineStr">
        <is>
          <t>주주자본 합계</t>
        </is>
      </c>
      <c r="C144" s="12" t="n">
        <v>781909</v>
      </c>
      <c r="D144" s="12" t="n">
        <v>775797</v>
      </c>
      <c r="E144" s="12" t="n">
        <v>829364</v>
      </c>
      <c r="F144" s="12" t="n">
        <v>821118</v>
      </c>
      <c r="G144" s="12" t="n">
        <v>853561</v>
      </c>
      <c r="H144" s="12" t="n">
        <v>599256</v>
      </c>
      <c r="I144" s="12" t="n">
        <v>646469</v>
      </c>
      <c r="J144" s="12" t="n">
        <v>706794</v>
      </c>
      <c r="K144" s="12" t="n">
        <v>769176</v>
      </c>
      <c r="L144" s="12" t="n">
        <v>829364</v>
      </c>
    </row>
    <row r="145">
      <c r="A145" s="18" t="inlineStr">
        <is>
          <t>기타유가증권 평가차액</t>
        </is>
      </c>
      <c r="C145" s="20" t="n">
        <v>68208</v>
      </c>
      <c r="D145" s="20" t="n">
        <v>78490</v>
      </c>
      <c r="E145" s="20" t="n">
        <v>85176</v>
      </c>
      <c r="F145" s="20" t="n">
        <v>85728</v>
      </c>
      <c r="G145" s="20" t="n">
        <v>90347</v>
      </c>
      <c r="H145" s="20" t="n">
        <v>38401</v>
      </c>
      <c r="I145" s="20" t="n">
        <v>40267</v>
      </c>
      <c r="J145" s="20" t="n">
        <v>58943</v>
      </c>
      <c r="K145" s="20" t="n">
        <v>65506</v>
      </c>
      <c r="L145" s="20" t="n">
        <v>85176</v>
      </c>
    </row>
    <row r="146">
      <c r="A146" s="18" t="inlineStr">
        <is>
          <t>이연헤지손익</t>
        </is>
      </c>
      <c r="C146" s="20" t="n">
        <v>-1038</v>
      </c>
      <c r="D146" s="20" t="n">
        <v>-1019</v>
      </c>
      <c r="E146" s="20" t="n">
        <v>-1000</v>
      </c>
      <c r="F146" s="20" t="n">
        <v>-981</v>
      </c>
      <c r="G146" s="20" t="n">
        <v>-962</v>
      </c>
      <c r="H146" s="20" t="n">
        <v>-54</v>
      </c>
      <c r="I146" s="20" t="n">
        <v>-261</v>
      </c>
      <c r="J146" s="20" t="n">
        <v>-436</v>
      </c>
      <c r="K146" s="20" t="n">
        <v>-517</v>
      </c>
      <c r="L146" s="20" t="n">
        <v>-1000</v>
      </c>
    </row>
    <row r="147">
      <c r="A147" s="18" t="inlineStr">
        <is>
          <t>해외사업환산조정</t>
        </is>
      </c>
      <c r="C147" s="20" t="n">
        <v>-743</v>
      </c>
      <c r="D147" s="20" t="n">
        <v>-1383</v>
      </c>
      <c r="E147" s="20" t="n">
        <v>-357</v>
      </c>
      <c r="F147" s="20" t="n">
        <v>2399</v>
      </c>
      <c r="G147" s="20" t="n">
        <v>4248</v>
      </c>
      <c r="H147" s="20" t="n">
        <v>0</v>
      </c>
      <c r="I147" s="20" t="n">
        <v>0</v>
      </c>
      <c r="J147" s="20" t="n">
        <v>0</v>
      </c>
      <c r="K147" s="20" t="n">
        <v>-1063</v>
      </c>
      <c r="L147" s="20" t="n">
        <v>-357</v>
      </c>
    </row>
    <row r="148">
      <c r="A148" s="18" t="inlineStr">
        <is>
          <t>퇴직급여 조정누계액</t>
        </is>
      </c>
      <c r="C148" s="20" t="n">
        <v>-115</v>
      </c>
      <c r="D148" s="20" t="n">
        <v>-106</v>
      </c>
      <c r="E148" s="20" t="n">
        <v>96</v>
      </c>
      <c r="F148" s="20" t="n">
        <v>224</v>
      </c>
      <c r="G148" s="20" t="n">
        <v>236</v>
      </c>
      <c r="H148" s="20" t="n">
        <v>195</v>
      </c>
      <c r="I148" s="20" t="n">
        <v>252</v>
      </c>
      <c r="J148" s="20" t="n">
        <v>355</v>
      </c>
      <c r="K148" s="20" t="n">
        <v>-111</v>
      </c>
      <c r="L148" s="20" t="n">
        <v>96</v>
      </c>
    </row>
    <row r="149">
      <c r="A149" s="18" t="inlineStr">
        <is>
          <t>기타포괄손익누계액 합계</t>
        </is>
      </c>
      <c r="C149" s="20" t="n">
        <v>66309</v>
      </c>
      <c r="D149" s="20" t="n">
        <v>75982</v>
      </c>
      <c r="E149" s="20" t="n">
        <v>83915</v>
      </c>
      <c r="F149" s="20" t="n">
        <v>87370</v>
      </c>
      <c r="G149" s="20" t="n">
        <v>93870</v>
      </c>
      <c r="H149" s="20" t="n">
        <v>38542</v>
      </c>
      <c r="I149" s="20" t="n">
        <v>40258</v>
      </c>
      <c r="J149" s="20" t="n">
        <v>58862</v>
      </c>
      <c r="K149" s="20" t="n">
        <v>63814</v>
      </c>
      <c r="L149" s="20" t="n">
        <v>83915</v>
      </c>
    </row>
    <row r="150">
      <c r="A150" s="18" t="inlineStr">
        <is>
          <t>신주예약권</t>
        </is>
      </c>
      <c r="C150" s="20" t="n">
        <v>75</v>
      </c>
      <c r="D150" s="20" t="n">
        <v>75</v>
      </c>
      <c r="E150" s="20" t="n">
        <v>75</v>
      </c>
      <c r="F150" s="20" t="n">
        <v>75</v>
      </c>
      <c r="G150" s="20" t="n">
        <v>75</v>
      </c>
      <c r="J150" s="20" t="n">
        <v>0</v>
      </c>
      <c r="K150" s="20" t="n">
        <v>75</v>
      </c>
      <c r="L150" s="20" t="n">
        <v>75</v>
      </c>
    </row>
    <row r="151">
      <c r="A151" s="18" t="inlineStr">
        <is>
          <t>비지배지분</t>
        </is>
      </c>
      <c r="C151" s="20" t="n">
        <v>19396</v>
      </c>
      <c r="D151" s="20" t="n">
        <v>20682</v>
      </c>
      <c r="E151" s="20" t="n">
        <v>25825</v>
      </c>
      <c r="F151" s="20" t="n">
        <v>32837</v>
      </c>
      <c r="G151" s="20" t="n">
        <v>32839</v>
      </c>
      <c r="H151" s="20" t="n">
        <v>533</v>
      </c>
      <c r="I151" s="20" t="n">
        <v>424</v>
      </c>
      <c r="J151" s="20" t="n">
        <v>3643</v>
      </c>
      <c r="K151" s="20" t="n">
        <v>23278</v>
      </c>
      <c r="L151" s="20" t="n">
        <v>25825</v>
      </c>
    </row>
    <row r="152">
      <c r="A152" s="9" t="inlineStr">
        <is>
          <t>순자산 합계</t>
        </is>
      </c>
      <c r="C152" s="12" t="n">
        <v>867691</v>
      </c>
      <c r="D152" s="12" t="n">
        <v>872536</v>
      </c>
      <c r="E152" s="12" t="n">
        <v>939180</v>
      </c>
      <c r="F152" s="12" t="n">
        <v>941401</v>
      </c>
      <c r="G152" s="12" t="n">
        <v>980346</v>
      </c>
      <c r="H152" s="12" t="n">
        <v>638332</v>
      </c>
      <c r="I152" s="12" t="n">
        <v>687153</v>
      </c>
      <c r="J152" s="12" t="n">
        <v>769300</v>
      </c>
      <c r="K152" s="12" t="n">
        <v>856344</v>
      </c>
      <c r="L152" s="12" t="n">
        <v>939180</v>
      </c>
    </row>
    <row r="153">
      <c r="A153" s="9" t="inlineStr">
        <is>
          <t>부채·순자산 합계</t>
        </is>
      </c>
      <c r="C153" s="12" t="n">
        <v>3424321</v>
      </c>
      <c r="D153" s="12" t="n">
        <v>3411686</v>
      </c>
      <c r="E153" s="12" t="n">
        <v>3506068</v>
      </c>
      <c r="F153" s="12" t="n">
        <v>3552936</v>
      </c>
      <c r="G153" s="12" t="n">
        <v>3592508</v>
      </c>
      <c r="H153" s="12" t="n">
        <v>2207325</v>
      </c>
      <c r="I153" s="12" t="n">
        <v>2320337</v>
      </c>
      <c r="J153" s="12" t="n">
        <v>2480472</v>
      </c>
      <c r="K153" s="12" t="n">
        <v>3048935</v>
      </c>
      <c r="L153" s="12" t="n">
        <v>3506068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2026-07-28</t>
        </is>
      </c>
      <c r="B4" t="inlineStr">
        <is>
          <t>2026년 12월 결산기 ２분기 결산단신</t>
        </is>
      </c>
      <c r="C4" t="inlineStr">
        <is>
          <t>https://www2.jpx.co.jp/disc/30030/140120260727500129.pdf</t>
        </is>
      </c>
    </row>
    <row r="5">
      <c r="A5" t="inlineStr">
        <is>
          <t>2026-04-27</t>
        </is>
      </c>
      <c r="B5" t="inlineStr">
        <is>
          <t>2026년 12월 결산기 １분기 결산단신</t>
        </is>
      </c>
      <c r="C5" t="inlineStr">
        <is>
          <t>https://www2.jpx.co.jp/disc/30030/140120260423509097.pdf</t>
        </is>
      </c>
    </row>
    <row r="6">
      <c r="A6" t="inlineStr">
        <is>
          <t>2026-01-29</t>
        </is>
      </c>
      <c r="B6" t="inlineStr">
        <is>
          <t>2025년 12월 결산기 연간 결산단신</t>
        </is>
      </c>
      <c r="C6" t="inlineStr">
        <is>
          <t>https://www2.jpx.co.jp/disc/30030/140120260128539955.pdf</t>
        </is>
      </c>
    </row>
    <row r="7">
      <c r="A7" t="inlineStr">
        <is>
          <t>2025-10-28</t>
        </is>
      </c>
      <c r="B7" t="inlineStr">
        <is>
          <t>2025년 12월 결산기 ３분기 결산단신</t>
        </is>
      </c>
      <c r="C7" t="inlineStr">
        <is>
          <t>https://www2.jpx.co.jp/disc/30030/140120251027579610.pdf</t>
        </is>
      </c>
    </row>
    <row r="8">
      <c r="A8" t="inlineStr">
        <is>
          <t>2025-07-28</t>
        </is>
      </c>
      <c r="B8" t="inlineStr">
        <is>
          <t>2025년 12월 결산기 ２분기 결산단신</t>
        </is>
      </c>
      <c r="C8" t="inlineStr">
        <is>
          <t>https://www2.jpx.co.jp/disc/30030/140120250725520946.pdf</t>
        </is>
      </c>
    </row>
    <row r="9">
      <c r="A9" t="inlineStr">
        <is>
          <t>2025-04-25</t>
        </is>
      </c>
      <c r="B9" t="inlineStr">
        <is>
          <t>2025년 12월 결산기 １분기 결산단신</t>
        </is>
      </c>
      <c r="C9" t="inlineStr">
        <is>
          <t>https://www2.jpx.co.jp/disc/30030/140120250422520311.pdf</t>
        </is>
      </c>
    </row>
    <row r="10">
      <c r="A10" t="inlineStr">
        <is>
          <t>2025-01-30</t>
        </is>
      </c>
      <c r="B10" t="inlineStr">
        <is>
          <t>2024년 12월 결산기 연간 결산단신</t>
        </is>
      </c>
      <c r="C10" t="inlineStr">
        <is>
          <t>https://www2.jpx.co.jp/disc/30030/140120250129557228.pdf</t>
        </is>
      </c>
    </row>
    <row r="11">
      <c r="A11" t="inlineStr">
        <is>
          <t>2024-11-27</t>
        </is>
      </c>
      <c r="B11" t="inlineStr">
        <is>
          <t>2024년 12월 결산기 ３분기 결산단신</t>
        </is>
      </c>
      <c r="C11" t="inlineStr">
        <is>
          <t>https://www2.jpx.co.jp/disc/30030/140120241125528872.pdf</t>
        </is>
      </c>
    </row>
    <row r="12">
      <c r="A12" t="inlineStr">
        <is>
          <t>2024-10-28</t>
        </is>
      </c>
      <c r="B12" t="inlineStr">
        <is>
          <t>2024년 12월 결산기 ３분기 결산단신</t>
        </is>
      </c>
      <c r="C12" t="inlineStr">
        <is>
          <t>https://www2.jpx.co.jp/disc/30030/140120241024502088.pdf</t>
        </is>
      </c>
    </row>
    <row r="13">
      <c r="A13" t="inlineStr">
        <is>
          <t>2024-07-26</t>
        </is>
      </c>
      <c r="B13" t="inlineStr">
        <is>
          <t>2024년 12월 결산기 ２분기 결산단신</t>
        </is>
      </c>
      <c r="C13" t="inlineStr">
        <is>
          <t>https://www2.jpx.co.jp/disc/30030/140120240725554586.pdf</t>
        </is>
      </c>
    </row>
    <row r="14">
      <c r="A14" t="inlineStr">
        <is>
          <t>2024-04-25</t>
        </is>
      </c>
      <c r="B14" t="inlineStr">
        <is>
          <t>2024년 12월 결산기 １분기 결산단신</t>
        </is>
      </c>
      <c r="C14" t="inlineStr">
        <is>
          <t>https://www2.jpx.co.jp/disc/30030/140120240424575553.pdf</t>
        </is>
      </c>
    </row>
    <row r="15">
      <c r="A15" t="inlineStr">
        <is>
          <t>2024-01-30</t>
        </is>
      </c>
      <c r="B15" t="inlineStr">
        <is>
          <t>2023년 12월 결산기 연간 결산단신</t>
        </is>
      </c>
      <c r="C15" t="inlineStr">
        <is>
          <t>https://www2.jpx.co.jp/disc/30030/140120240129520385.pdf</t>
        </is>
      </c>
    </row>
    <row r="16">
      <c r="A16" t="inlineStr">
        <is>
          <t>2023-10-27</t>
        </is>
      </c>
      <c r="B16" t="inlineStr">
        <is>
          <t>2023년 12월 결산기 ３분기 결산단신</t>
        </is>
      </c>
      <c r="C16" t="inlineStr">
        <is>
          <t>https://www2.jpx.co.jp/disc/30030/140120231026571919.pdf</t>
        </is>
      </c>
    </row>
    <row r="17">
      <c r="A17" t="inlineStr">
        <is>
          <t>2023-07-28</t>
        </is>
      </c>
      <c r="B17" t="inlineStr">
        <is>
          <t>2023년 12월 결산기 ２분기 결산단신</t>
        </is>
      </c>
      <c r="C17" t="inlineStr">
        <is>
          <t>https://www2.jpx.co.jp/disc/30030/140120230725526281.pdf</t>
        </is>
      </c>
    </row>
    <row r="18">
      <c r="A18" t="inlineStr">
        <is>
          <t>2023-04-27</t>
        </is>
      </c>
      <c r="B18" t="inlineStr">
        <is>
          <t>2023년 12월 결산기 １분기 결산단신</t>
        </is>
      </c>
      <c r="C18" t="inlineStr">
        <is>
          <t>https://www2.jpx.co.jp/disc/30030/140120230424551290.pdf</t>
        </is>
      </c>
    </row>
    <row r="19">
      <c r="A19" t="inlineStr">
        <is>
          <t>2023-01-30</t>
        </is>
      </c>
      <c r="B19" t="inlineStr">
        <is>
          <t>2022년 12월 결산기 연간 결산단신</t>
        </is>
      </c>
      <c r="C19" t="inlineStr">
        <is>
          <t>https://www2.jpx.co.jp/disc/30030/140120230126593953.pdf</t>
        </is>
      </c>
    </row>
    <row r="20">
      <c r="A20" t="inlineStr">
        <is>
          <t>2022-01-28</t>
        </is>
      </c>
      <c r="B20" t="inlineStr">
        <is>
          <t>2021년 12월 결산기 연간 결산단신</t>
        </is>
      </c>
      <c r="C20" t="inlineStr">
        <is>
          <t>https://www2.jpx.co.jp/disc/30030/140120220127574226.pdf</t>
        </is>
      </c>
    </row>
    <row r="21">
      <c r="A21" t="inlineStr">
        <is>
          <t>2021-01-28</t>
        </is>
      </c>
      <c r="B21" t="inlineStr">
        <is>
          <t>2020년 12월 결산기 연간 결산단신</t>
        </is>
      </c>
      <c r="C21" t="inlineStr">
        <is>
          <t>https://www2.jpx.co.jp/disc/30030/140120210127450175.pdf</t>
        </is>
      </c>
    </row>
    <row r="22">
      <c r="A22" t="inlineStr">
        <is>
          <t>2020-01-30</t>
        </is>
      </c>
      <c r="B22" t="inlineStr">
        <is>
          <t>2019년 12월 결산기 연간 결산단신</t>
        </is>
      </c>
      <c r="C22" t="inlineStr">
        <is>
          <t>https://www2.jpx.co.jp/disc/30030/140120200129453043.pdf</t>
        </is>
      </c>
    </row>
    <row r="23">
      <c r="A23" t="inlineStr">
        <is>
          <t>2019-01-30</t>
        </is>
      </c>
      <c r="B23" t="inlineStr">
        <is>
          <t>연간 결산단신</t>
        </is>
      </c>
      <c r="C23" t="inlineStr">
        <is>
          <t>https://www2.jpx.co.jp/disc/30030/140120190129465457.pdf</t>
        </is>
      </c>
    </row>
    <row r="24">
      <c r="A24" t="inlineStr">
        <is>
          <t>2018-01-30</t>
        </is>
      </c>
      <c r="B24" t="inlineStr">
        <is>
          <t>연간 결산단신</t>
        </is>
      </c>
      <c r="C24" t="inlineStr">
        <is>
          <t>https://www2.jpx.co.jp/disc/30030/140120180129458547.pdf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2026-10-25T13:07:13Z</dcterms:created>
  <dcterms:modified xmlns:dcterms="http://purl.org/dc/terms/" xmlns:xsi="http://www.w3.org/2001/XMLSchema-instance" xsi:type="dcterms:W3CDTF">2026-10-25T13:07:13Z</dcterms:modified>
</cp:coreProperties>
</file>