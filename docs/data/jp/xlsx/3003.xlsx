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0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3003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일본 기준 · 2026.3Q = 2026년 12월 결산기 3분기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2023.4Q</t>
        </is>
      </c>
      <c r="D3" s="5" t="inlineStr">
        <is>
          <t>2024.1Q</t>
        </is>
      </c>
      <c r="E3" s="5" t="inlineStr">
        <is>
          <t>2024.2Q</t>
        </is>
      </c>
      <c r="F3" s="5" t="inlineStr">
        <is>
          <t>2024.3Q</t>
        </is>
      </c>
      <c r="G3" s="5" t="inlineStr">
        <is>
          <t>2024.4Q</t>
        </is>
      </c>
      <c r="H3" s="5" t="inlineStr">
        <is>
          <t>2025.1Q</t>
        </is>
      </c>
      <c r="I3" s="5" t="inlineStr">
        <is>
          <t>2025.2Q</t>
        </is>
      </c>
      <c r="J3" s="5" t="inlineStr">
        <is>
          <t>2025.3Q</t>
        </is>
      </c>
      <c r="K3" s="5" t="inlineStr">
        <is>
          <t>2025.4Q</t>
        </is>
      </c>
      <c r="L3" s="5" t="inlineStr">
        <is>
          <t>2026.1Q</t>
        </is>
      </c>
      <c r="M3" s="5" t="inlineStr">
        <is>
          <t>2026.2Q</t>
        </is>
      </c>
      <c r="N3" s="5" t="inlineStr">
        <is>
          <t>2026.3Q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167854</v>
      </c>
      <c r="D4" s="12" t="n">
        <v>107593</v>
      </c>
      <c r="E4" s="12" t="n">
        <v>97259</v>
      </c>
      <c r="F4" s="12" t="n">
        <v>110133</v>
      </c>
      <c r="G4" s="12" t="n">
        <v>276630</v>
      </c>
      <c r="H4" s="12" t="n">
        <v>156644</v>
      </c>
      <c r="I4" s="12" t="n">
        <v>143437</v>
      </c>
      <c r="J4" s="12" t="n">
        <v>124137</v>
      </c>
      <c r="K4" s="12" t="n">
        <v>303229</v>
      </c>
      <c r="L4" s="12" t="n">
        <v>226841</v>
      </c>
      <c r="M4" s="12" t="n">
        <v>189755</v>
      </c>
      <c r="N4" s="12" t="n">
        <v>158129</v>
      </c>
      <c r="O4" s="11" t="n">
        <v>215780</v>
      </c>
      <c r="P4" s="12" t="n">
        <v>289618</v>
      </c>
      <c r="Q4" s="12" t="n">
        <v>287513</v>
      </c>
      <c r="R4" s="12" t="n">
        <v>357272</v>
      </c>
      <c r="S4" s="12" t="n">
        <v>339645</v>
      </c>
      <c r="T4" s="12" t="n">
        <v>447077</v>
      </c>
      <c r="U4" s="12" t="n">
        <v>523424</v>
      </c>
      <c r="V4" s="12" t="n">
        <v>446383</v>
      </c>
      <c r="W4" s="12" t="n">
        <v>591615</v>
      </c>
      <c r="X4" s="12" t="n">
        <v>727447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Real Estate Business Reportable Segments</t>
        </is>
      </c>
      <c r="B7" s="10" t="n"/>
      <c r="C7" s="19" t="n">
        <v>159619</v>
      </c>
      <c r="D7" s="20" t="n">
        <v>92339</v>
      </c>
      <c r="E7" s="20" t="n">
        <v>83513</v>
      </c>
      <c r="F7" s="20" t="n">
        <v>86582</v>
      </c>
      <c r="G7" s="20" t="n">
        <v>254828</v>
      </c>
      <c r="H7" s="20" t="n">
        <v>131249</v>
      </c>
      <c r="I7" s="20" t="n">
        <v>121510</v>
      </c>
      <c r="J7" s="20" t="n">
        <v>98174</v>
      </c>
      <c r="K7" s="20" t="n">
        <v>277116</v>
      </c>
      <c r="L7" s="20" t="n">
        <v>189746</v>
      </c>
      <c r="M7" s="20" t="n">
        <v>156370</v>
      </c>
      <c r="N7" s="20" t="n">
        <v>119065</v>
      </c>
      <c r="O7" s="19" t="n"/>
      <c r="P7" s="20" t="n"/>
      <c r="Q7" s="20" t="n"/>
      <c r="R7" s="20" t="n"/>
      <c r="S7" s="20" t="n"/>
      <c r="T7" s="20" t="n"/>
      <c r="U7" s="20" t="n"/>
      <c r="V7" s="20" t="n">
        <v>401428</v>
      </c>
      <c r="W7" s="20" t="n">
        <v>517262</v>
      </c>
      <c r="X7" s="20" t="n">
        <v>628049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Insurance Agency Business Reportable Segments</t>
        </is>
      </c>
      <c r="B10" s="10" t="n"/>
      <c r="C10" s="19" t="n">
        <v>920</v>
      </c>
      <c r="D10" s="20" t="n">
        <v>1070</v>
      </c>
      <c r="E10" s="20" t="n">
        <v>822</v>
      </c>
      <c r="F10" s="20" t="n">
        <v>1046</v>
      </c>
      <c r="G10" s="20" t="n">
        <v>761</v>
      </c>
      <c r="H10" s="20" t="n">
        <v>1065</v>
      </c>
      <c r="I10" s="20" t="n">
        <v>901</v>
      </c>
      <c r="J10" s="20" t="n">
        <v>1078</v>
      </c>
      <c r="K10" s="20" t="n">
        <v>885</v>
      </c>
      <c r="L10" s="20" t="n">
        <v>1185</v>
      </c>
      <c r="M10" s="20" t="n">
        <v>873</v>
      </c>
      <c r="N10" s="20" t="n">
        <v>1049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3646</v>
      </c>
      <c r="W10" s="20" t="n">
        <v>3699</v>
      </c>
      <c r="X10" s="20" t="n">
        <v>3929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Hotel Ryokan Business Reportable Segments</t>
        </is>
      </c>
      <c r="B13" s="10" t="n"/>
      <c r="C13" s="19" t="n">
        <v>6446</v>
      </c>
      <c r="D13" s="20" t="n">
        <v>13129</v>
      </c>
      <c r="E13" s="20" t="n">
        <v>11714</v>
      </c>
      <c r="F13" s="20" t="n">
        <v>11853</v>
      </c>
      <c r="G13" s="20" t="n">
        <v>12074</v>
      </c>
      <c r="H13" s="20" t="n">
        <v>14749</v>
      </c>
      <c r="I13" s="20" t="n">
        <v>13011</v>
      </c>
      <c r="J13" s="20" t="n">
        <v>13487</v>
      </c>
      <c r="K13" s="20" t="n">
        <v>12607</v>
      </c>
      <c r="L13" s="20" t="n">
        <v>16747</v>
      </c>
      <c r="M13" s="20" t="n">
        <v>14622</v>
      </c>
      <c r="N13" s="20" t="n">
        <v>15728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37127</v>
      </c>
      <c r="W13" s="20" t="n">
        <v>48770</v>
      </c>
      <c r="X13" s="20" t="n">
        <v>53854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870</v>
      </c>
      <c r="D16" s="20" t="n">
        <v>1053</v>
      </c>
      <c r="E16" s="20" t="n">
        <v>1210</v>
      </c>
      <c r="F16" s="20" t="n">
        <v>10652</v>
      </c>
      <c r="G16" s="20" t="n">
        <v>8968</v>
      </c>
      <c r="H16" s="20" t="n">
        <v>9579</v>
      </c>
      <c r="I16" s="20" t="n">
        <v>8015</v>
      </c>
      <c r="J16" s="20" t="n">
        <v>11398</v>
      </c>
      <c r="K16" s="20" t="n">
        <v>12620</v>
      </c>
      <c r="L16" s="20" t="n">
        <v>19162</v>
      </c>
      <c r="M16" s="20" t="n">
        <v>17890</v>
      </c>
      <c r="N16" s="20" t="n">
        <v>22286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4182</v>
      </c>
      <c r="W16" s="20" t="n">
        <v>21883</v>
      </c>
      <c r="X16" s="20" t="n">
        <v>41612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101715</v>
      </c>
      <c r="D20" s="20" t="n">
        <v>68300</v>
      </c>
      <c r="E20" s="20" t="n">
        <v>38291</v>
      </c>
      <c r="F20" s="20" t="n">
        <v>74244</v>
      </c>
      <c r="G20" s="20" t="n">
        <v>179846</v>
      </c>
      <c r="H20" s="20" t="n">
        <v>102071</v>
      </c>
      <c r="I20" s="20" t="n">
        <v>77869</v>
      </c>
      <c r="J20" s="20" t="n">
        <v>71068</v>
      </c>
      <c r="K20" s="20" t="n">
        <v>199636</v>
      </c>
      <c r="L20" s="20" t="n">
        <v>160106</v>
      </c>
      <c r="M20" s="20" t="n">
        <v>115507</v>
      </c>
      <c r="N20" s="20" t="n">
        <v>88701</v>
      </c>
      <c r="O20" s="19" t="n">
        <v>145509</v>
      </c>
      <c r="P20" s="20" t="n">
        <v>204970</v>
      </c>
      <c r="Q20" s="20" t="n">
        <v>189118</v>
      </c>
      <c r="R20" s="20" t="n">
        <v>237882</v>
      </c>
      <c r="S20" s="20" t="n">
        <v>199765</v>
      </c>
      <c r="T20" s="20" t="n">
        <v>291668</v>
      </c>
      <c r="U20" s="20" t="n">
        <v>350854</v>
      </c>
      <c r="V20" s="20" t="n">
        <v>249875</v>
      </c>
      <c r="W20" s="20" t="n">
        <v>360681</v>
      </c>
      <c r="X20" s="20" t="n">
        <v>450644</v>
      </c>
      <c r="Y20" s="19" t="n"/>
      <c r="Z20" s="20" t="n"/>
      <c r="AA20" s="20" t="n"/>
      <c r="AB20" s="20" t="n"/>
      <c r="AC20" s="20" t="n"/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IF(OR(G20="",C20=""),"",IF(C20&lt;=0,"",IFERROR(G20/C20-1,"")))</f>
        <v/>
      </c>
      <c r="H21" s="15">
        <f>IF(OR(H20="",D20=""),"",IF(D20&lt;=0,"",IFERROR(H20/D20-1,"")))</f>
        <v/>
      </c>
      <c r="I21" s="15">
        <f>IF(OR(I20="",E20=""),"",IF(E20&lt;=0,"",IFERROR(I20/E20-1,"")))</f>
        <v/>
      </c>
      <c r="J21" s="15">
        <f>IF(OR(J20="",F20=""),"",IF(F20&lt;=0,"",IFERROR(J20/F20-1,"")))</f>
        <v/>
      </c>
      <c r="K21" s="15">
        <f>IF(OR(K20="",G20=""),"",IF(G20&lt;=0,"",IFERROR(K20/G20-1,"")))</f>
        <v/>
      </c>
      <c r="L21" s="15">
        <f>IF(OR(L20="",H20=""),"",IF(H20&lt;=0,"",IFERROR(L20/H20-1,"")))</f>
        <v/>
      </c>
      <c r="M21" s="15">
        <f>IF(OR(M20="",I20=""),"",IF(I20&lt;=0,"",IFERROR(M20/I20-1,"")))</f>
        <v/>
      </c>
      <c r="N21" s="15">
        <f>IF(OR(N20="",J20=""),"",IF(J20&lt;=0,"",IFERROR(N20/J20-1,"")))</f>
        <v/>
      </c>
      <c r="O21" s="14" t="n"/>
      <c r="P21" s="15">
        <f>IF(OR(P20="",O20=""),"",IF(O20&lt;=0,"",IFERROR(P20/O20-1,"")))</f>
        <v/>
      </c>
      <c r="Q21" s="15">
        <f>IF(OR(Q20="",P20=""),"",IF(P20&lt;=0,"",IFERROR(Q20/P20-1,"")))</f>
        <v/>
      </c>
      <c r="R21" s="15">
        <f>IF(OR(R20="",Q20=""),"",IF(Q20&lt;=0,"",IFERROR(R20/Q20-1,"")))</f>
        <v/>
      </c>
      <c r="S21" s="15">
        <f>IF(OR(S20="",R20=""),"",IF(R20&lt;=0,"",IFERROR(S20/R20-1,"")))</f>
        <v/>
      </c>
      <c r="T21" s="15">
        <f>IF(OR(T20="",S20=""),"",IF(S20&lt;=0,"",IFERROR(T20/S20-1,"")))</f>
        <v/>
      </c>
      <c r="U21" s="15">
        <f>IF(OR(U20="",T20=""),"",IF(T20&lt;=0,"",IFERROR(U20/T20-1,"")))</f>
        <v/>
      </c>
      <c r="V21" s="15">
        <f>IF(OR(V20="",U20=""),"",IF(U20&lt;=0,"",IFERROR(V20/U20-1,"")))</f>
        <v/>
      </c>
      <c r="W21" s="15">
        <f>IF(OR(W20="",V20=""),"",IF(V20&lt;=0,"",IFERROR(W20/V20-1,"")))</f>
        <v/>
      </c>
      <c r="X21" s="15">
        <f>IF(OR(X20="",W20=""),"",IF(W20&lt;=0,"",IFERROR(X20/W20-1,"")))</f>
        <v/>
      </c>
      <c r="Y21" s="14">
        <f>IF(OR(Y20="",X20=""),"",IF(X20&lt;=0,"",IFERROR(Y20/X20-1,"")))</f>
        <v/>
      </c>
      <c r="Z21" s="15">
        <f>IF(OR(Z20="",Y20=""),"",IF(Y20&lt;=0,"",IFERROR(Z20/Y20-1,"")))</f>
        <v/>
      </c>
      <c r="AA21" s="15">
        <f>IF(OR(AA20="",Z20=""),"",IF(Z20&lt;=0,"",IFERROR(AA20/Z20-1,"")))</f>
        <v/>
      </c>
      <c r="AB21" s="15">
        <f>IF(OR(AB20="",AA20=""),"",IF(AA20&lt;=0,"",IFERROR(AB20/AA20-1,"")))</f>
        <v/>
      </c>
      <c r="AC21" s="15">
        <f>IF(OR(AC20="",AB20=""),"",IF(AB20&lt;=0,"",IFERROR(AC20/AB20-1,"")))</f>
        <v/>
      </c>
    </row>
    <row r="22">
      <c r="A22" s="18" t="inlineStr">
        <is>
          <t>매출총이익</t>
        </is>
      </c>
      <c r="B22" s="10" t="n"/>
      <c r="C22" s="19">
        <f>IF(OR(C4="",C20=""),"",IFERROR(C4-C20,""))</f>
        <v/>
      </c>
      <c r="D22" s="20">
        <f>IF(OR(D4="",D20=""),"",IFERROR(D4-D20,""))</f>
        <v/>
      </c>
      <c r="E22" s="20">
        <f>IF(OR(E4="",E20=""),"",IFERROR(E4-E20,""))</f>
        <v/>
      </c>
      <c r="F22" s="20">
        <f>IF(OR(F4="",F20=""),"",IFERROR(F4-F20,""))</f>
        <v/>
      </c>
      <c r="G22" s="20">
        <f>IF(OR(G4="",G20=""),"",IFERROR(G4-G20,""))</f>
        <v/>
      </c>
      <c r="H22" s="20">
        <f>IF(OR(H4="",H20=""),"",IFERROR(H4-H20,""))</f>
        <v/>
      </c>
      <c r="I22" s="20">
        <f>IF(OR(I4="",I20=""),"",IFERROR(I4-I20,""))</f>
        <v/>
      </c>
      <c r="J22" s="20">
        <f>IF(OR(J4="",J20=""),"",IFERROR(J4-J20,""))</f>
        <v/>
      </c>
      <c r="K22" s="20">
        <f>IF(OR(K4="",K20=""),"",IFERROR(K4-K20,""))</f>
        <v/>
      </c>
      <c r="L22" s="20">
        <f>IF(OR(L4="",L20=""),"",IFERROR(L4-L20,""))</f>
        <v/>
      </c>
      <c r="M22" s="20">
        <f>IF(OR(M4="",M20=""),"",IFERROR(M4-M20,""))</f>
        <v/>
      </c>
      <c r="N22" s="20">
        <f>IF(OR(N4="",N20=""),"",IFERROR(N4-N20,""))</f>
        <v/>
      </c>
      <c r="O22" s="19">
        <f>IF(OR(O4="",O20=""),"",IFERROR(O4-O20,""))</f>
        <v/>
      </c>
      <c r="P22" s="20">
        <f>IF(OR(P4="",P20=""),"",IFERROR(P4-P20,""))</f>
        <v/>
      </c>
      <c r="Q22" s="20">
        <f>IF(OR(Q4="",Q20=""),"",IFERROR(Q4-Q20,""))</f>
        <v/>
      </c>
      <c r="R22" s="20">
        <f>IF(OR(R4="",R20=""),"",IFERROR(R4-R20,""))</f>
        <v/>
      </c>
      <c r="S22" s="20">
        <f>IF(OR(S4="",S20=""),"",IFERROR(S4-S20,""))</f>
        <v/>
      </c>
      <c r="T22" s="20">
        <f>IF(OR(T4="",T20=""),"",IFERROR(T4-T20,""))</f>
        <v/>
      </c>
      <c r="U22" s="20">
        <f>IF(OR(U4="",U20=""),"",IFERROR(U4-U20,""))</f>
        <v/>
      </c>
      <c r="V22" s="20">
        <f>IF(OR(V4="",V20=""),"",IFERROR(V4-V20,""))</f>
        <v/>
      </c>
      <c r="W22" s="20">
        <f>IF(OR(W4="",W20=""),"",IFERROR(W4-W20,""))</f>
        <v/>
      </c>
      <c r="X22" s="20">
        <f>IF(OR(X4="",X20=""),"",IFERROR(X4-X20,""))</f>
        <v/>
      </c>
      <c r="Y22" s="19" t="n"/>
      <c r="Z22" s="20" t="n"/>
      <c r="AA22" s="20" t="n"/>
      <c r="AB22" s="20" t="n"/>
      <c r="AC22" s="20" t="n"/>
    </row>
    <row r="23">
      <c r="A23" s="13" t="inlineStr">
        <is>
          <t>GPM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IF(OR(G22="",C22=""),"",IF(C22&lt;=0,"",IFERROR(G22/C22-1,"")))</f>
        <v/>
      </c>
      <c r="H24" s="15">
        <f>IF(OR(H22="",D22=""),"",IF(D22&lt;=0,"",IFERROR(H22/D22-1,"")))</f>
        <v/>
      </c>
      <c r="I24" s="15">
        <f>IF(OR(I22="",E22=""),"",IF(E22&lt;=0,"",IFERROR(I22/E22-1,"")))</f>
        <v/>
      </c>
      <c r="J24" s="15">
        <f>IF(OR(J22="",F22=""),"",IF(F22&lt;=0,"",IFERROR(J22/F22-1,"")))</f>
        <v/>
      </c>
      <c r="K24" s="15">
        <f>IF(OR(K22="",G22=""),"",IF(G22&lt;=0,"",IFERROR(K22/G22-1,"")))</f>
        <v/>
      </c>
      <c r="L24" s="15">
        <f>IF(OR(L22="",H22=""),"",IF(H22&lt;=0,"",IFERROR(L22/H22-1,"")))</f>
        <v/>
      </c>
      <c r="M24" s="15">
        <f>IF(OR(M22="",I22=""),"",IF(I22&lt;=0,"",IFERROR(M22/I22-1,"")))</f>
        <v/>
      </c>
      <c r="N24" s="15">
        <f>IF(OR(N22="",J22=""),"",IF(J22&lt;=0,"",IFERROR(N22/J22-1,"")))</f>
        <v/>
      </c>
      <c r="O24" s="14" t="n"/>
      <c r="P24" s="15">
        <f>IF(OR(P22="",O22=""),"",IF(O22&lt;=0,"",IFERROR(P22/O22-1,"")))</f>
        <v/>
      </c>
      <c r="Q24" s="15">
        <f>IF(OR(Q22="",P22=""),"",IF(P22&lt;=0,"",IFERROR(Q22/P22-1,"")))</f>
        <v/>
      </c>
      <c r="R24" s="15">
        <f>IF(OR(R22="",Q22=""),"",IF(Q22&lt;=0,"",IFERROR(R22/Q22-1,"")))</f>
        <v/>
      </c>
      <c r="S24" s="15">
        <f>IF(OR(S22="",R22=""),"",IF(R22&lt;=0,"",IFERROR(S22/R22-1,"")))</f>
        <v/>
      </c>
      <c r="T24" s="15">
        <f>IF(OR(T22="",S22=""),"",IF(S22&lt;=0,"",IFERROR(T22/S22-1,"")))</f>
        <v/>
      </c>
      <c r="U24" s="15">
        <f>IF(OR(U22="",T22=""),"",IF(T22&lt;=0,"",IFERROR(U22/T22-1,"")))</f>
        <v/>
      </c>
      <c r="V24" s="15">
        <f>IF(OR(V22="",U22=""),"",IF(U22&lt;=0,"",IFERROR(V22/U22-1,"")))</f>
        <v/>
      </c>
      <c r="W24" s="15">
        <f>IF(OR(W22="",V22=""),"",IF(V22&lt;=0,"",IFERROR(W22/V22-1,"")))</f>
        <v/>
      </c>
      <c r="X24" s="15">
        <f>IF(OR(X22="",W22=""),"",IF(W22&lt;=0,"",IFERROR(X22/W22-1,"")))</f>
        <v/>
      </c>
      <c r="Y24" s="14">
        <f>IF(OR(Y22="",X22=""),"",IF(X22&lt;=0,"",IFERROR(Y22/X22-1,"")))</f>
        <v/>
      </c>
      <c r="Z24" s="15">
        <f>IF(OR(Z22="",Y22=""),"",IF(Y22&lt;=0,"",IFERROR(Z22/Y22-1,"")))</f>
        <v/>
      </c>
      <c r="AA24" s="15">
        <f>IF(OR(AA22="",Z22=""),"",IF(Z22&lt;=0,"",IFERROR(AA22/Z22-1,"")))</f>
        <v/>
      </c>
      <c r="AB24" s="15">
        <f>IF(OR(AB22="",AA22=""),"",IF(AA22&lt;=0,"",IFERROR(AB22/AA22-1,"")))</f>
        <v/>
      </c>
      <c r="AC24" s="15">
        <f>IF(OR(AC22="",AB22=""),"",IF(AB22&lt;=0,"",IFERROR(AC22/AB22-1,"")))</f>
        <v/>
      </c>
    </row>
    <row r="25">
      <c r="A25" s="23" t="inlineStr">
        <is>
          <t>판매관리비</t>
        </is>
      </c>
      <c r="B25" s="23" t="n"/>
      <c r="C25" s="24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4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4" t="n"/>
      <c r="Z25" s="23" t="n"/>
      <c r="AA25" s="23" t="n"/>
      <c r="AB25" s="23" t="n"/>
      <c r="AC25" s="23" t="n"/>
    </row>
    <row r="26">
      <c r="A26" s="18" t="inlineStr">
        <is>
          <t>전체 판관비</t>
        </is>
      </c>
      <c r="B26" s="10" t="n"/>
      <c r="C26" s="19" t="n">
        <v>10911</v>
      </c>
      <c r="D26" s="20" t="n">
        <v>15563</v>
      </c>
      <c r="E26" s="20" t="n">
        <v>13774</v>
      </c>
      <c r="F26" s="20" t="n">
        <v>16002</v>
      </c>
      <c r="G26" s="20" t="n">
        <v>22234</v>
      </c>
      <c r="H26" s="20" t="n">
        <v>22755</v>
      </c>
      <c r="I26" s="20" t="n">
        <v>22331</v>
      </c>
      <c r="J26" s="20" t="n">
        <v>21752</v>
      </c>
      <c r="K26" s="20" t="n">
        <v>23138</v>
      </c>
      <c r="L26" s="20" t="n">
        <v>35564</v>
      </c>
      <c r="M26" s="20" t="n">
        <v>25106</v>
      </c>
      <c r="N26" s="20" t="n">
        <v>29237</v>
      </c>
      <c r="O26" s="19" t="n">
        <v>16893</v>
      </c>
      <c r="P26" s="20" t="n">
        <v>20398</v>
      </c>
      <c r="Q26" s="20" t="n">
        <v>22830</v>
      </c>
      <c r="R26" s="20" t="n">
        <v>31037</v>
      </c>
      <c r="S26" s="20" t="n">
        <v>39283</v>
      </c>
      <c r="T26" s="20" t="n">
        <v>40902</v>
      </c>
      <c r="U26" s="20" t="n">
        <v>46422</v>
      </c>
      <c r="V26" s="20" t="n">
        <v>50329</v>
      </c>
      <c r="W26" s="20" t="n">
        <v>67573</v>
      </c>
      <c r="X26" s="20" t="n">
        <v>89976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55228</v>
      </c>
      <c r="D28" s="12" t="n">
        <v>23728</v>
      </c>
      <c r="E28" s="12" t="n">
        <v>45195</v>
      </c>
      <c r="F28" s="12" t="n">
        <v>19887</v>
      </c>
      <c r="G28" s="12" t="n">
        <v>74550</v>
      </c>
      <c r="H28" s="12" t="n">
        <v>31816</v>
      </c>
      <c r="I28" s="12" t="n">
        <v>43239</v>
      </c>
      <c r="J28" s="12" t="n">
        <v>31316</v>
      </c>
      <c r="K28" s="12" t="n">
        <v>80455</v>
      </c>
      <c r="L28" s="12" t="n">
        <v>31171</v>
      </c>
      <c r="M28" s="12" t="n">
        <v>49142</v>
      </c>
      <c r="N28" s="12" t="n">
        <v>40190</v>
      </c>
      <c r="O28" s="11" t="n">
        <v>53377</v>
      </c>
      <c r="P28" s="12" t="n">
        <v>64249</v>
      </c>
      <c r="Q28" s="12" t="n">
        <v>75564</v>
      </c>
      <c r="R28" s="12" t="n">
        <v>88353</v>
      </c>
      <c r="S28" s="12" t="n">
        <v>100596</v>
      </c>
      <c r="T28" s="12" t="n">
        <v>114507</v>
      </c>
      <c r="U28" s="12" t="n">
        <v>126147</v>
      </c>
      <c r="V28" s="12" t="n">
        <v>146178</v>
      </c>
      <c r="W28" s="12" t="n">
        <v>163360</v>
      </c>
      <c r="X28" s="12" t="n">
        <v>186826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IF(O26="","",O26)</f>
        <v/>
      </c>
      <c r="P32" s="12">
        <f>IF(P26="","",P26)</f>
        <v/>
      </c>
      <c r="Q32" s="12">
        <f>IF(Q26="","",Q26)</f>
        <v/>
      </c>
      <c r="R32" s="12">
        <f>IF(R26="","",R26)</f>
        <v/>
      </c>
      <c r="S32" s="12">
        <f>IF(S26="","",S26)</f>
        <v/>
      </c>
      <c r="T32" s="12">
        <f>IF(T26="","",T26)</f>
        <v/>
      </c>
      <c r="U32" s="12">
        <f>IF(U26="","",U26)</f>
        <v/>
      </c>
      <c r="V32" s="12">
        <f>IF(V26="","",V26)</f>
        <v/>
      </c>
      <c r="W32" s="12">
        <f>IF(W26="","",W26)</f>
        <v/>
      </c>
      <c r="X32" s="12">
        <f>IF(X26="","",X26)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133</v>
      </c>
      <c r="D44" s="20" t="n">
        <v>3511</v>
      </c>
      <c r="E44" s="20" t="n">
        <v>2034</v>
      </c>
      <c r="F44" s="20" t="n">
        <v>0</v>
      </c>
      <c r="G44" s="20" t="n">
        <v>788</v>
      </c>
      <c r="H44" s="20" t="n">
        <v>1005</v>
      </c>
      <c r="I44" s="20" t="n">
        <v>3115</v>
      </c>
      <c r="J44" s="20" t="n">
        <v>73</v>
      </c>
      <c r="K44" s="20" t="n">
        <v>274</v>
      </c>
      <c r="L44" s="20" t="n">
        <v>2637</v>
      </c>
      <c r="M44" s="20" t="n">
        <v>2910</v>
      </c>
      <c r="N44" s="20" t="n">
        <v>1410</v>
      </c>
      <c r="O44" s="19" t="n">
        <v>1215</v>
      </c>
      <c r="P44" s="20" t="n">
        <v>241</v>
      </c>
      <c r="Q44" s="20" t="n">
        <v>352</v>
      </c>
      <c r="R44" s="20" t="n">
        <v>3894</v>
      </c>
      <c r="S44" s="20" t="n">
        <v>2007</v>
      </c>
      <c r="T44" s="20" t="n">
        <v>755</v>
      </c>
      <c r="U44" s="20" t="n">
        <v>2552</v>
      </c>
      <c r="V44" s="20" t="n">
        <v>3727</v>
      </c>
      <c r="W44" s="20" t="n">
        <v>6333</v>
      </c>
      <c r="X44" s="20" t="n">
        <v>4467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2556</v>
      </c>
      <c r="D46" s="20" t="n">
        <v>1325</v>
      </c>
      <c r="E46" s="20" t="n">
        <v>3675</v>
      </c>
      <c r="F46" s="20" t="n">
        <v>932</v>
      </c>
      <c r="G46" s="20" t="n">
        <v>3595</v>
      </c>
      <c r="H46" s="20" t="n">
        <v>1242</v>
      </c>
      <c r="I46" s="20" t="n">
        <v>777</v>
      </c>
      <c r="J46" s="20" t="n">
        <v>627</v>
      </c>
      <c r="K46" s="20" t="n">
        <v>3406</v>
      </c>
      <c r="L46" s="20" t="n">
        <v>2169</v>
      </c>
      <c r="M46" s="20" t="n">
        <v>2311</v>
      </c>
      <c r="N46" s="20" t="n">
        <v>1504</v>
      </c>
      <c r="O46" s="19" t="n">
        <v>2448</v>
      </c>
      <c r="P46" s="20" t="n">
        <v>963</v>
      </c>
      <c r="Q46" s="20" t="n">
        <v>865</v>
      </c>
      <c r="R46" s="20" t="n">
        <v>4241</v>
      </c>
      <c r="S46" s="20" t="n">
        <v>6355</v>
      </c>
      <c r="T46" s="20" t="n">
        <v>4675</v>
      </c>
      <c r="U46" s="20" t="n">
        <v>8296</v>
      </c>
      <c r="V46" s="20" t="n">
        <v>4466</v>
      </c>
      <c r="W46" s="20" t="n">
        <v>9527</v>
      </c>
      <c r="X46" s="20" t="n">
        <v>6052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1993</v>
      </c>
      <c r="D48" s="20" t="n">
        <v>1033</v>
      </c>
      <c r="E48" s="20" t="n">
        <v>2285</v>
      </c>
      <c r="F48" s="20" t="n">
        <v>1004</v>
      </c>
      <c r="G48" s="20" t="n">
        <v>2469</v>
      </c>
      <c r="H48" s="20" t="n">
        <v>1428</v>
      </c>
      <c r="I48" s="20" t="n">
        <v>3006</v>
      </c>
      <c r="J48" s="20" t="n">
        <v>771</v>
      </c>
      <c r="K48" s="20" t="n">
        <v>8434</v>
      </c>
      <c r="L48" s="20" t="n">
        <v>3784</v>
      </c>
      <c r="M48" s="20" t="n">
        <v>3655</v>
      </c>
      <c r="N48" s="20" t="n">
        <v>578</v>
      </c>
      <c r="O48" s="19" t="n">
        <v>2933</v>
      </c>
      <c r="P48" s="20" t="n">
        <v>2411</v>
      </c>
      <c r="Q48" s="20" t="n">
        <v>3258</v>
      </c>
      <c r="R48" s="20" t="n">
        <v>3536</v>
      </c>
      <c r="S48" s="20" t="n">
        <v>4932</v>
      </c>
      <c r="T48" s="20" t="n">
        <v>6539</v>
      </c>
      <c r="U48" s="20" t="n">
        <v>9301</v>
      </c>
      <c r="V48" s="20" t="n">
        <v>4858</v>
      </c>
      <c r="W48" s="20" t="n">
        <v>6791</v>
      </c>
      <c r="X48" s="20" t="n">
        <v>13639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3373</v>
      </c>
      <c r="D50" s="20" t="n">
        <v>3520</v>
      </c>
      <c r="E50" s="20" t="n">
        <v>3865</v>
      </c>
      <c r="F50" s="20" t="n">
        <v>4106</v>
      </c>
      <c r="G50" s="20" t="n">
        <v>4331</v>
      </c>
      <c r="H50" s="20" t="n">
        <v>5233</v>
      </c>
      <c r="I50" s="20" t="n">
        <v>7709</v>
      </c>
      <c r="J50" s="20" t="n">
        <v>7082</v>
      </c>
      <c r="K50" s="20" t="n">
        <v>7514</v>
      </c>
      <c r="L50" s="20" t="n">
        <v>7969</v>
      </c>
      <c r="M50" s="20" t="n">
        <v>8922</v>
      </c>
      <c r="N50" s="20" t="n">
        <v>10531</v>
      </c>
      <c r="O50" s="19" t="n">
        <v>4878</v>
      </c>
      <c r="P50" s="20" t="n">
        <v>4790</v>
      </c>
      <c r="Q50" s="20" t="n">
        <v>6292</v>
      </c>
      <c r="R50" s="20" t="n">
        <v>7245</v>
      </c>
      <c r="S50" s="20" t="n">
        <v>9901</v>
      </c>
      <c r="T50" s="20" t="n">
        <v>11464</v>
      </c>
      <c r="U50" s="20" t="n">
        <v>12225</v>
      </c>
      <c r="V50" s="20" t="n">
        <v>13599</v>
      </c>
      <c r="W50" s="20" t="n">
        <v>15822</v>
      </c>
      <c r="X50" s="20" t="n">
        <v>27538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51425</v>
      </c>
      <c r="D52" s="12" t="n">
        <v>23427</v>
      </c>
      <c r="E52" s="12" t="n">
        <v>41973</v>
      </c>
      <c r="F52" s="12" t="n">
        <v>15854</v>
      </c>
      <c r="G52" s="12" t="n">
        <v>69882</v>
      </c>
      <c r="H52" s="12" t="n">
        <v>27774</v>
      </c>
      <c r="I52" s="12" t="n">
        <v>40874</v>
      </c>
      <c r="J52" s="12" t="n">
        <v>24452</v>
      </c>
      <c r="K52" s="12" t="n">
        <v>78243</v>
      </c>
      <c r="L52" s="12" t="n">
        <v>27454</v>
      </c>
      <c r="M52" s="12" t="n">
        <v>44474</v>
      </c>
      <c r="N52" s="12" t="n">
        <v>30143</v>
      </c>
      <c r="O52" s="11" t="n">
        <v>50199</v>
      </c>
      <c r="P52" s="12" t="n">
        <v>61148</v>
      </c>
      <c r="Q52" s="12" t="n">
        <v>72018</v>
      </c>
      <c r="R52" s="12" t="n">
        <v>84298</v>
      </c>
      <c r="S52" s="12" t="n">
        <v>91280</v>
      </c>
      <c r="T52" s="12" t="n">
        <v>105662</v>
      </c>
      <c r="U52" s="12" t="n">
        <v>117478</v>
      </c>
      <c r="V52" s="12" t="n">
        <v>136698</v>
      </c>
      <c r="W52" s="12" t="n">
        <v>151136</v>
      </c>
      <c r="X52" s="12" t="n">
        <v>171343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3" t="inlineStr">
        <is>
          <t>YoY</t>
        </is>
      </c>
      <c r="B53" s="10" t="n"/>
      <c r="C53" s="14" t="n"/>
      <c r="D53" s="15" t="n"/>
      <c r="E53" s="15" t="n"/>
      <c r="F53" s="15" t="n"/>
      <c r="G53" s="15">
        <f>IF(OR(G52="",C52=""),"",IF(C52&lt;=0,"",IFERROR(G52/C52-1,"")))</f>
        <v/>
      </c>
      <c r="H53" s="15">
        <f>IF(OR(H52="",D52=""),"",IF(D52&lt;=0,"",IFERROR(H52/D52-1,"")))</f>
        <v/>
      </c>
      <c r="I53" s="15">
        <f>IF(OR(I52="",E52=""),"",IF(E52&lt;=0,"",IFERROR(I52/E52-1,"")))</f>
        <v/>
      </c>
      <c r="J53" s="15">
        <f>IF(OR(J52="",F52=""),"",IF(F52&lt;=0,"",IFERROR(J52/F52-1,"")))</f>
        <v/>
      </c>
      <c r="K53" s="15">
        <f>IF(OR(K52="",G52=""),"",IF(G52&lt;=0,"",IFERROR(K52/G52-1,"")))</f>
        <v/>
      </c>
      <c r="L53" s="15">
        <f>IF(OR(L52="",H52=""),"",IF(H52&lt;=0,"",IFERROR(L52/H52-1,"")))</f>
        <v/>
      </c>
      <c r="M53" s="15">
        <f>IF(OR(M52="",I52=""),"",IF(I52&lt;=0,"",IFERROR(M52/I52-1,"")))</f>
        <v/>
      </c>
      <c r="N53" s="15">
        <f>IF(OR(N52="",J52=""),"",IF(J52&lt;=0,"",IFERROR(N52/J52-1,"")))</f>
        <v/>
      </c>
      <c r="O53" s="14" t="n"/>
      <c r="P53" s="15">
        <f>IF(OR(P52="",O52=""),"",IF(O52&lt;=0,"",IFERROR(P52/O52-1,"")))</f>
        <v/>
      </c>
      <c r="Q53" s="15">
        <f>IF(OR(Q52="",P52=""),"",IF(P52&lt;=0,"",IFERROR(Q52/P52-1,"")))</f>
        <v/>
      </c>
      <c r="R53" s="15">
        <f>IF(OR(R52="",Q52=""),"",IF(Q52&lt;=0,"",IFERROR(R52/Q52-1,"")))</f>
        <v/>
      </c>
      <c r="S53" s="15">
        <f>IF(OR(S52="",R52=""),"",IF(R52&lt;=0,"",IFERROR(S52/R52-1,"")))</f>
        <v/>
      </c>
      <c r="T53" s="15">
        <f>IF(OR(T52="",S52=""),"",IF(S52&lt;=0,"",IFERROR(T52/S52-1,"")))</f>
        <v/>
      </c>
      <c r="U53" s="15">
        <f>IF(OR(U52="",T52=""),"",IF(T52&lt;=0,"",IFERROR(U52/T52-1,"")))</f>
        <v/>
      </c>
      <c r="V53" s="15">
        <f>IF(OR(V52="",U52=""),"",IF(U52&lt;=0,"",IFERROR(V52/U52-1,"")))</f>
        <v/>
      </c>
      <c r="W53" s="15">
        <f>IF(OR(W52="",V52=""),"",IF(V52&lt;=0,"",IFERROR(W52/V52-1,"")))</f>
        <v/>
      </c>
      <c r="X53" s="15">
        <f>IF(OR(X52="",W52=""),"",IF(W52&lt;=0,"",IFERROR(X52/W52-1,"")))</f>
        <v/>
      </c>
      <c r="Y53" s="14">
        <f>IF(OR(Y52="",X52=""),"",IF(X52&lt;=0,"",IFERROR(Y52/X52-1,"")))</f>
        <v/>
      </c>
      <c r="Z53" s="15">
        <f>IF(OR(Z52="",Y52=""),"",IF(Y52&lt;=0,"",IFERROR(Z52/Y52-1,"")))</f>
        <v/>
      </c>
      <c r="AA53" s="15">
        <f>IF(OR(AA52="",Z52=""),"",IF(Z52&lt;=0,"",IFERROR(AA52/Z52-1,"")))</f>
        <v/>
      </c>
      <c r="AB53" s="15">
        <f>IF(OR(AB52="",AA52=""),"",IF(AA52&lt;=0,"",IFERROR(AB52/AA52-1,"")))</f>
        <v/>
      </c>
      <c r="AC53" s="15">
        <f>IF(OR(AC52="",AB52=""),"",IF(AB52&lt;=0,"",IFERROR(AC52/AB52-1,"")))</f>
        <v/>
      </c>
    </row>
    <row r="54">
      <c r="A54" s="18" t="inlineStr">
        <is>
          <t>법인세비용(수익)</t>
        </is>
      </c>
      <c r="B54" s="10" t="n"/>
      <c r="C54" s="19" t="n">
        <v>15421</v>
      </c>
      <c r="D54" s="20" t="n">
        <v>7483</v>
      </c>
      <c r="E54" s="20" t="n">
        <v>13600</v>
      </c>
      <c r="F54" s="20" t="n">
        <v>4821</v>
      </c>
      <c r="G54" s="20" t="n">
        <v>21941</v>
      </c>
      <c r="H54" s="20" t="n">
        <v>10390</v>
      </c>
      <c r="I54" s="20" t="n">
        <v>13178</v>
      </c>
      <c r="J54" s="20" t="n">
        <v>8266</v>
      </c>
      <c r="K54" s="20" t="n">
        <v>24247</v>
      </c>
      <c r="L54" s="20" t="n">
        <v>8847</v>
      </c>
      <c r="M54" s="20" t="n">
        <v>12495</v>
      </c>
      <c r="N54" s="20" t="n">
        <v>9780</v>
      </c>
      <c r="O54" s="19" t="n">
        <v>15038</v>
      </c>
      <c r="P54" s="20" t="n">
        <v>18446</v>
      </c>
      <c r="Q54" s="20" t="n">
        <v>22222</v>
      </c>
      <c r="R54" s="20" t="n">
        <v>25288</v>
      </c>
      <c r="S54" s="20" t="n">
        <v>27540</v>
      </c>
      <c r="T54" s="20" t="n">
        <v>35204</v>
      </c>
      <c r="U54" s="20" t="n">
        <v>38328</v>
      </c>
      <c r="V54" s="20" t="n">
        <v>41978</v>
      </c>
      <c r="W54" s="20" t="n">
        <v>47845</v>
      </c>
      <c r="X54" s="20" t="n">
        <v>56081</v>
      </c>
      <c r="Y54" s="19">
        <f>IF(OR(Y52="",Y55=""),"",IFERROR(MAX(Y52,0)*Y55,""))</f>
        <v/>
      </c>
      <c r="Z54" s="20">
        <f>IF(OR(Z52="",Z55=""),"",IFERROR(MAX(Z52,0)*Z55,""))</f>
        <v/>
      </c>
      <c r="AA54" s="20">
        <f>IF(OR(AA52="",AA55=""),"",IFERROR(MAX(AA52,0)*AA55,""))</f>
        <v/>
      </c>
      <c r="AB54" s="20">
        <f>IF(OR(AB52="",AB55=""),"",IFERROR(MAX(AB52,0)*AB55,""))</f>
        <v/>
      </c>
      <c r="AC54" s="20">
        <f>IF(OR(AC52="",AC55=""),"",IFERROR(MAX(AC52,0)*AC55,""))</f>
        <v/>
      </c>
    </row>
    <row r="55">
      <c r="A55" s="13" t="inlineStr">
        <is>
          <t>법인세율</t>
        </is>
      </c>
      <c r="B55" s="10" t="inlineStr">
        <is>
          <t>MW 기본 30%</t>
        </is>
      </c>
      <c r="C55" s="14">
        <f>IF(OR(C54="",C52=""),"",IFERROR(C54/C52,""))</f>
        <v/>
      </c>
      <c r="D55" s="15">
        <f>IF(OR(D54="",D52=""),"",IFERROR(D54/D52,""))</f>
        <v/>
      </c>
      <c r="E55" s="15">
        <f>IF(OR(E54="",E52=""),"",IFERROR(E54/E52,""))</f>
        <v/>
      </c>
      <c r="F55" s="15">
        <f>IF(OR(F54="",F52=""),"",IFERROR(F54/F52,""))</f>
        <v/>
      </c>
      <c r="G55" s="15">
        <f>IF(OR(G54="",G52=""),"",IFERROR(G54/G52,""))</f>
        <v/>
      </c>
      <c r="H55" s="15">
        <f>IF(OR(H54="",H52=""),"",IFERROR(H54/H52,""))</f>
        <v/>
      </c>
      <c r="I55" s="15">
        <f>IF(OR(I54="",I52=""),"",IFERROR(I54/I52,""))</f>
        <v/>
      </c>
      <c r="J55" s="15">
        <f>IF(OR(J54="",J52=""),"",IFERROR(J54/J52,""))</f>
        <v/>
      </c>
      <c r="K55" s="15">
        <f>IF(OR(K54="",K52=""),"",IFERROR(K54/K52,""))</f>
        <v/>
      </c>
      <c r="L55" s="15">
        <f>IF(OR(L54="",L52=""),"",IFERROR(L54/L52,""))</f>
        <v/>
      </c>
      <c r="M55" s="15">
        <f>IF(OR(M54="",M52=""),"",IFERROR(M54/M52,""))</f>
        <v/>
      </c>
      <c r="N55" s="15">
        <f>IF(OR(N54="",N52=""),"",IFERROR(N54/N52,""))</f>
        <v/>
      </c>
      <c r="O55" s="14">
        <f>IF(OR(O54="",O52=""),"",IFERROR(O54/O52,""))</f>
        <v/>
      </c>
      <c r="P55" s="15">
        <f>IF(OR(P54="",P52=""),"",IFERROR(P54/P52,""))</f>
        <v/>
      </c>
      <c r="Q55" s="15">
        <f>IF(OR(Q54="",Q52=""),"",IFERROR(Q54/Q52,""))</f>
        <v/>
      </c>
      <c r="R55" s="15">
        <f>IF(OR(R54="",R52=""),"",IFERROR(R54/R52,""))</f>
        <v/>
      </c>
      <c r="S55" s="15">
        <f>IF(OR(S54="",S52=""),"",IFERROR(S54/S52,""))</f>
        <v/>
      </c>
      <c r="T55" s="15">
        <f>IF(OR(T54="",T52=""),"",IFERROR(T54/T52,""))</f>
        <v/>
      </c>
      <c r="U55" s="15">
        <f>IF(OR(U54="",U52=""),"",IFERROR(U54/U52,""))</f>
        <v/>
      </c>
      <c r="V55" s="15">
        <f>IF(OR(V54="",V52=""),"",IFERROR(V54/V52,""))</f>
        <v/>
      </c>
      <c r="W55" s="15">
        <f>IF(OR(W54="",W52=""),"",IFERROR(W54/W52,""))</f>
        <v/>
      </c>
      <c r="X55" s="15">
        <f>IF(OR(X54="",X52=""),"",IFERROR(X54/X52,""))</f>
        <v/>
      </c>
      <c r="Y55" s="25" t="n">
        <v>0.3</v>
      </c>
      <c r="Z55" s="26" t="n">
        <v>0.3</v>
      </c>
      <c r="AA55" s="26" t="n">
        <v>0.3</v>
      </c>
      <c r="AB55" s="26" t="n">
        <v>0.3</v>
      </c>
      <c r="AC55" s="26" t="n">
        <v>0.3</v>
      </c>
    </row>
    <row r="56">
      <c r="A56" s="9" t="inlineStr">
        <is>
          <t>당기순이익(손실)</t>
        </is>
      </c>
      <c r="B56" s="10" t="n"/>
      <c r="C56" s="11" t="n">
        <v>36004</v>
      </c>
      <c r="D56" s="12" t="n">
        <v>15944</v>
      </c>
      <c r="E56" s="12" t="n">
        <v>28373</v>
      </c>
      <c r="F56" s="12" t="n">
        <v>11032</v>
      </c>
      <c r="G56" s="12" t="n">
        <v>47941</v>
      </c>
      <c r="H56" s="12" t="n">
        <v>17383</v>
      </c>
      <c r="I56" s="12" t="n">
        <v>27696</v>
      </c>
      <c r="J56" s="12" t="n">
        <v>16186</v>
      </c>
      <c r="K56" s="12" t="n">
        <v>53996</v>
      </c>
      <c r="L56" s="12" t="n">
        <v>18606</v>
      </c>
      <c r="M56" s="12" t="n">
        <v>31980</v>
      </c>
      <c r="N56" s="12" t="n">
        <v>20363</v>
      </c>
      <c r="O56" s="11" t="n">
        <v>35161</v>
      </c>
      <c r="P56" s="12" t="n">
        <v>42701</v>
      </c>
      <c r="Q56" s="12" t="n">
        <v>49795</v>
      </c>
      <c r="R56" s="12" t="n">
        <v>59010</v>
      </c>
      <c r="S56" s="12" t="n">
        <v>63739</v>
      </c>
      <c r="T56" s="12" t="n">
        <v>70457</v>
      </c>
      <c r="U56" s="12" t="n">
        <v>79150</v>
      </c>
      <c r="V56" s="12" t="n">
        <v>94719</v>
      </c>
      <c r="W56" s="12" t="n">
        <v>103290</v>
      </c>
      <c r="X56" s="12" t="n">
        <v>115261</v>
      </c>
      <c r="Y56" s="11">
        <f>IF(OR(Y52=""),"",IFERROR(Y52-Y54,""))</f>
        <v/>
      </c>
      <c r="Z56" s="12">
        <f>IF(OR(Z52=""),"",IFERROR(Z52-Z54,""))</f>
        <v/>
      </c>
      <c r="AA56" s="12">
        <f>IF(OR(AA52=""),"",IFERROR(AA52-AA54,""))</f>
        <v/>
      </c>
      <c r="AB56" s="12">
        <f>IF(OR(AB52=""),"",IFERROR(AB52-AB54,""))</f>
        <v/>
      </c>
      <c r="AC56" s="12">
        <f>IF(OR(AC52=""),"",IFERROR(AC52-AC54,""))</f>
        <v/>
      </c>
    </row>
    <row r="57">
      <c r="A57" s="13" t="inlineStr">
        <is>
          <t>YoY</t>
        </is>
      </c>
      <c r="B57" s="10" t="n"/>
      <c r="C57" s="14" t="n"/>
      <c r="D57" s="15" t="n"/>
      <c r="E57" s="15" t="n"/>
      <c r="F57" s="15" t="n"/>
      <c r="G57" s="15">
        <f>IF(OR(G56="",C56=""),"",IF(C56&lt;=0,"",IFERROR(G56/C56-1,"")))</f>
        <v/>
      </c>
      <c r="H57" s="15">
        <f>IF(OR(H56="",D56=""),"",IF(D56&lt;=0,"",IFERROR(H56/D56-1,"")))</f>
        <v/>
      </c>
      <c r="I57" s="15">
        <f>IF(OR(I56="",E56=""),"",IF(E56&lt;=0,"",IFERROR(I56/E56-1,"")))</f>
        <v/>
      </c>
      <c r="J57" s="15">
        <f>IF(OR(J56="",F56=""),"",IF(F56&lt;=0,"",IFERROR(J56/F56-1,"")))</f>
        <v/>
      </c>
      <c r="K57" s="15">
        <f>IF(OR(K56="",G56=""),"",IF(G56&lt;=0,"",IFERROR(K56/G56-1,"")))</f>
        <v/>
      </c>
      <c r="L57" s="15">
        <f>IF(OR(L56="",H56=""),"",IF(H56&lt;=0,"",IFERROR(L56/H56-1,"")))</f>
        <v/>
      </c>
      <c r="M57" s="15">
        <f>IF(OR(M56="",I56=""),"",IF(I56&lt;=0,"",IFERROR(M56/I56-1,"")))</f>
        <v/>
      </c>
      <c r="N57" s="15">
        <f>IF(OR(N56="",J56=""),"",IF(J56&lt;=0,"",IFERROR(N56/J56-1,"")))</f>
        <v/>
      </c>
      <c r="O57" s="14" t="n"/>
      <c r="P57" s="15">
        <f>IF(OR(P56="",O56=""),"",IF(O56&lt;=0,"",IFERROR(P56/O56-1,"")))</f>
        <v/>
      </c>
      <c r="Q57" s="15">
        <f>IF(OR(Q56="",P56=""),"",IF(P56&lt;=0,"",IFERROR(Q56/P56-1,"")))</f>
        <v/>
      </c>
      <c r="R57" s="15">
        <f>IF(OR(R56="",Q56=""),"",IF(Q56&lt;=0,"",IFERROR(R56/Q56-1,"")))</f>
        <v/>
      </c>
      <c r="S57" s="15">
        <f>IF(OR(S56="",R56=""),"",IF(R56&lt;=0,"",IFERROR(S56/R56-1,"")))</f>
        <v/>
      </c>
      <c r="T57" s="15">
        <f>IF(OR(T56="",S56=""),"",IF(S56&lt;=0,"",IFERROR(T56/S56-1,"")))</f>
        <v/>
      </c>
      <c r="U57" s="15">
        <f>IF(OR(U56="",T56=""),"",IF(T56&lt;=0,"",IFERROR(U56/T56-1,"")))</f>
        <v/>
      </c>
      <c r="V57" s="15">
        <f>IF(OR(V56="",U56=""),"",IF(U56&lt;=0,"",IFERROR(V56/U56-1,"")))</f>
        <v/>
      </c>
      <c r="W57" s="15">
        <f>IF(OR(W56="",V56=""),"",IF(V56&lt;=0,"",IFERROR(W56/V56-1,"")))</f>
        <v/>
      </c>
      <c r="X57" s="15">
        <f>IF(OR(X56="",W56=""),"",IF(W56&lt;=0,"",IFERROR(X56/W56-1,"")))</f>
        <v/>
      </c>
      <c r="Y57" s="14">
        <f>IF(OR(Y56="",X56=""),"",IF(X56&lt;=0,"",IFERROR(Y56/X56-1,"")))</f>
        <v/>
      </c>
      <c r="Z57" s="15">
        <f>IF(OR(Z56="",Y56=""),"",IF(Y56&lt;=0,"",IFERROR(Z56/Y56-1,"")))</f>
        <v/>
      </c>
      <c r="AA57" s="15">
        <f>IF(OR(AA56="",Z56=""),"",IF(Z56&lt;=0,"",IFERROR(AA56/Z56-1,"")))</f>
        <v/>
      </c>
      <c r="AB57" s="15">
        <f>IF(OR(AB56="",AA56=""),"",IF(AA56&lt;=0,"",IFERROR(AB56/AA56-1,"")))</f>
        <v/>
      </c>
      <c r="AC57" s="15">
        <f>IF(OR(AC56="",AB56=""),"",IF(AB56&lt;=0,"",IFERROR(AC56/AB56-1,"")))</f>
        <v/>
      </c>
    </row>
    <row r="58">
      <c r="A58" s="9" t="inlineStr">
        <is>
          <t>지배주주 순이익</t>
        </is>
      </c>
      <c r="B58" s="10" t="n"/>
      <c r="C58" s="11" t="n">
        <v>35928</v>
      </c>
      <c r="D58" s="12" t="n">
        <v>15858</v>
      </c>
      <c r="E58" s="12" t="n">
        <v>28272</v>
      </c>
      <c r="F58" s="12" t="n">
        <v>10466</v>
      </c>
      <c r="G58" s="12" t="n">
        <v>47745</v>
      </c>
      <c r="H58" s="12" t="n">
        <v>17175</v>
      </c>
      <c r="I58" s="12" t="n">
        <v>27718</v>
      </c>
      <c r="J58" s="12" t="n">
        <v>15731</v>
      </c>
      <c r="K58" s="12" t="n">
        <v>53710</v>
      </c>
      <c r="L58" s="12" t="n">
        <v>18141</v>
      </c>
      <c r="M58" s="12" t="n">
        <v>31837</v>
      </c>
      <c r="N58" s="12" t="n">
        <v>19492</v>
      </c>
      <c r="O58" s="11" t="n">
        <v>34897</v>
      </c>
      <c r="P58" s="12" t="n">
        <v>42402</v>
      </c>
      <c r="Q58" s="12" t="n">
        <v>49515</v>
      </c>
      <c r="R58" s="12" t="n">
        <v>58805</v>
      </c>
      <c r="S58" s="12" t="n">
        <v>63619</v>
      </c>
      <c r="T58" s="12" t="n">
        <v>69564</v>
      </c>
      <c r="U58" s="12" t="n">
        <v>79150</v>
      </c>
      <c r="V58" s="12" t="n">
        <v>94625</v>
      </c>
      <c r="W58" s="12" t="n">
        <v>102341</v>
      </c>
      <c r="X58" s="12" t="n">
        <v>114334</v>
      </c>
      <c r="Y58" s="11">
        <f>IF(OR(Y56="",Y59=""),"",IFERROR(Y56*Y59,""))</f>
        <v/>
      </c>
      <c r="Z58" s="12">
        <f>IF(OR(Z56="",Z59=""),"",IFERROR(Z56*Z59,""))</f>
        <v/>
      </c>
      <c r="AA58" s="12">
        <f>IF(OR(AA56="",AA59=""),"",IFERROR(AA56*AA59,""))</f>
        <v/>
      </c>
      <c r="AB58" s="12">
        <f>IF(OR(AB56="",AB59=""),"",IFERROR(AB56*AB59,""))</f>
        <v/>
      </c>
      <c r="AC58" s="12">
        <f>IF(OR(AC56="",AC59=""),"",IFERROR(AC56*AC59,""))</f>
        <v/>
      </c>
    </row>
    <row r="59">
      <c r="A59" s="13" t="inlineStr">
        <is>
          <t>지배주주 순이익률</t>
        </is>
      </c>
      <c r="B59" s="10" t="inlineStr">
        <is>
          <t>MW 기본 100%</t>
        </is>
      </c>
      <c r="C59" s="14">
        <f>IF(OR(C58="",C56=""),"",IFERROR(C58/C56,""))</f>
        <v/>
      </c>
      <c r="D59" s="15">
        <f>IF(OR(D58="",D56=""),"",IFERROR(D58/D56,""))</f>
        <v/>
      </c>
      <c r="E59" s="15">
        <f>IF(OR(E58="",E56=""),"",IFERROR(E58/E56,""))</f>
        <v/>
      </c>
      <c r="F59" s="15">
        <f>IF(OR(F58="",F56=""),"",IFERROR(F58/F56,""))</f>
        <v/>
      </c>
      <c r="G59" s="15">
        <f>IF(OR(G58="",G56=""),"",IFERROR(G58/G56,""))</f>
        <v/>
      </c>
      <c r="H59" s="15">
        <f>IF(OR(H58="",H56=""),"",IFERROR(H58/H56,""))</f>
        <v/>
      </c>
      <c r="I59" s="15">
        <f>IF(OR(I58="",I56=""),"",IFERROR(I58/I56,""))</f>
        <v/>
      </c>
      <c r="J59" s="15">
        <f>IF(OR(J58="",J56=""),"",IFERROR(J58/J56,""))</f>
        <v/>
      </c>
      <c r="K59" s="15">
        <f>IF(OR(K58="",K56=""),"",IFERROR(K58/K56,""))</f>
        <v/>
      </c>
      <c r="L59" s="15">
        <f>IF(OR(L58="",L56=""),"",IFERROR(L58/L56,""))</f>
        <v/>
      </c>
      <c r="M59" s="15">
        <f>IF(OR(M58="",M56=""),"",IFERROR(M58/M56,""))</f>
        <v/>
      </c>
      <c r="N59" s="15">
        <f>IF(OR(N58="",N56=""),"",IFERROR(N58/N56,""))</f>
        <v/>
      </c>
      <c r="O59" s="14">
        <f>IF(OR(O58="",O56=""),"",IFERROR(O58/O56,""))</f>
        <v/>
      </c>
      <c r="P59" s="15">
        <f>IF(OR(P58="",P56=""),"",IFERROR(P58/P56,""))</f>
        <v/>
      </c>
      <c r="Q59" s="15">
        <f>IF(OR(Q58="",Q56=""),"",IFERROR(Q58/Q56,""))</f>
        <v/>
      </c>
      <c r="R59" s="15">
        <f>IF(OR(R58="",R56=""),"",IFERROR(R58/R56,""))</f>
        <v/>
      </c>
      <c r="S59" s="15">
        <f>IF(OR(S58="",S56=""),"",IFERROR(S58/S56,""))</f>
        <v/>
      </c>
      <c r="T59" s="15">
        <f>IF(OR(T58="",T56=""),"",IFERROR(T58/T56,""))</f>
        <v/>
      </c>
      <c r="U59" s="15">
        <f>IF(OR(U58="",U56=""),"",IFERROR(U58/U56,""))</f>
        <v/>
      </c>
      <c r="V59" s="15">
        <f>IF(OR(V58="",V56=""),"",IFERROR(V58/V56,""))</f>
        <v/>
      </c>
      <c r="W59" s="15">
        <f>IF(OR(W58="",W56=""),"",IFERROR(W58/W56,""))</f>
        <v/>
      </c>
      <c r="X59" s="15">
        <f>IF(OR(X58="",X56=""),"",IFERROR(X58/X56,""))</f>
        <v/>
      </c>
      <c r="Y59" s="25" t="n">
        <v>1</v>
      </c>
      <c r="Z59" s="26" t="n">
        <v>1</v>
      </c>
      <c r="AA59" s="26" t="n">
        <v>1</v>
      </c>
      <c r="AB59" s="26" t="n">
        <v>1</v>
      </c>
      <c r="AC59" s="26" t="n">
        <v>1</v>
      </c>
    </row>
    <row r="60">
      <c r="A60" s="13" t="inlineStr">
        <is>
          <t>지배주주 순이익 YoY</t>
        </is>
      </c>
      <c r="B60" s="10" t="n"/>
      <c r="C60" s="14" t="n"/>
      <c r="D60" s="15" t="n"/>
      <c r="E60" s="15" t="n"/>
      <c r="F60" s="15" t="n"/>
      <c r="G60" s="15">
        <f>IF(OR(G58="",C58=""),"",IF(C58&lt;=0,"",IFERROR(G58/C58-1,"")))</f>
        <v/>
      </c>
      <c r="H60" s="15">
        <f>IF(OR(H58="",D58=""),"",IF(D58&lt;=0,"",IFERROR(H58/D58-1,"")))</f>
        <v/>
      </c>
      <c r="I60" s="15">
        <f>IF(OR(I58="",E58=""),"",IF(E58&lt;=0,"",IFERROR(I58/E58-1,"")))</f>
        <v/>
      </c>
      <c r="J60" s="15">
        <f>IF(OR(J58="",F58=""),"",IF(F58&lt;=0,"",IFERROR(J58/F58-1,"")))</f>
        <v/>
      </c>
      <c r="K60" s="15">
        <f>IF(OR(K58="",G58=""),"",IF(G58&lt;=0,"",IFERROR(K58/G58-1,"")))</f>
        <v/>
      </c>
      <c r="L60" s="15">
        <f>IF(OR(L58="",H58=""),"",IF(H58&lt;=0,"",IFERROR(L58/H58-1,"")))</f>
        <v/>
      </c>
      <c r="M60" s="15">
        <f>IF(OR(M58="",I58=""),"",IF(I58&lt;=0,"",IFERROR(M58/I58-1,"")))</f>
        <v/>
      </c>
      <c r="N60" s="15">
        <f>IF(OR(N58="",J58=""),"",IF(J58&lt;=0,"",IFERROR(N58/J58-1,"")))</f>
        <v/>
      </c>
      <c r="O60" s="14" t="n"/>
      <c r="P60" s="15">
        <f>IF(OR(P58="",O58=""),"",IF(O58&lt;=0,"",IFERROR(P58/O58-1,"")))</f>
        <v/>
      </c>
      <c r="Q60" s="15">
        <f>IF(OR(Q58="",P58=""),"",IF(P58&lt;=0,"",IFERROR(Q58/P58-1,"")))</f>
        <v/>
      </c>
      <c r="R60" s="15">
        <f>IF(OR(R58="",Q58=""),"",IF(Q58&lt;=0,"",IFERROR(R58/Q58-1,"")))</f>
        <v/>
      </c>
      <c r="S60" s="15">
        <f>IF(OR(S58="",R58=""),"",IF(R58&lt;=0,"",IFERROR(S58/R58-1,"")))</f>
        <v/>
      </c>
      <c r="T60" s="15">
        <f>IF(OR(T58="",S58=""),"",IF(S58&lt;=0,"",IFERROR(T58/S58-1,"")))</f>
        <v/>
      </c>
      <c r="U60" s="15">
        <f>IF(OR(U58="",T58=""),"",IF(T58&lt;=0,"",IFERROR(U58/T58-1,"")))</f>
        <v/>
      </c>
      <c r="V60" s="15">
        <f>IF(OR(V58="",U58=""),"",IF(U58&lt;=0,"",IFERROR(V58/U58-1,"")))</f>
        <v/>
      </c>
      <c r="W60" s="15">
        <f>IF(OR(W58="",V58=""),"",IF(V58&lt;=0,"",IFERROR(W58/V58-1,"")))</f>
        <v/>
      </c>
      <c r="X60" s="15">
        <f>IF(OR(X58="",W58=""),"",IF(W58&lt;=0,"",IFERROR(X58/W58-1,"")))</f>
        <v/>
      </c>
      <c r="Y60" s="14">
        <f>IF(OR(Y58="",X58=""),"",IF(X58&lt;=0,"",IFERROR(Y58/X58-1,"")))</f>
        <v/>
      </c>
      <c r="Z60" s="15">
        <f>IF(OR(Z58="",Y58=""),"",IF(Y58&lt;=0,"",IFERROR(Z58/Y58-1,"")))</f>
        <v/>
      </c>
      <c r="AA60" s="15">
        <f>IF(OR(AA58="",Z58=""),"",IF(Z58&lt;=0,"",IFERROR(AA58/Z58-1,"")))</f>
        <v/>
      </c>
      <c r="AB60" s="15">
        <f>IF(OR(AB58="",AA58=""),"",IF(AA58&lt;=0,"",IFERROR(AB58/AA58-1,"")))</f>
        <v/>
      </c>
      <c r="AC60" s="15">
        <f>IF(OR(AC58="",AB58=""),"",IF(AB58&lt;=0,"",IFERROR(AC58/AB58-1,"")))</f>
        <v/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(2026.10.28)</t>
        </is>
      </c>
      <c r="B62" s="27" t="n">
        <v>1746.5</v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>
        <v>767907735</v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IF(O29="","",O29)</f>
        <v/>
      </c>
      <c r="P65" s="15">
        <f>IF(P29="","",P29)</f>
        <v/>
      </c>
      <c r="Q65" s="15">
        <f>IF(Q29="","",Q29)</f>
        <v/>
      </c>
      <c r="R65" s="15">
        <f>IF(R29="","",R29)</f>
        <v/>
      </c>
      <c r="S65" s="15">
        <f>IF(S29="","",S29)</f>
        <v/>
      </c>
      <c r="T65" s="15">
        <f>IF(T29="","",T29)</f>
        <v/>
      </c>
      <c r="U65" s="15">
        <f>IF(U29="","",U29)</f>
        <v/>
      </c>
      <c r="V65" s="15">
        <f>IF(V29="","",V29)</f>
        <v/>
      </c>
      <c r="W65" s="15">
        <f>IF(W29="","",W29)</f>
        <v/>
      </c>
      <c r="X65" s="15">
        <f>IF(X29="","",X29)</f>
        <v/>
      </c>
      <c r="Y65" s="14">
        <f>IF(Y29="","",Y29)</f>
        <v/>
      </c>
      <c r="Z65" s="15">
        <f>IF(Z29="","",Z29)</f>
        <v/>
      </c>
      <c r="AA65" s="15">
        <f>IF(AA29="","",AA29)</f>
        <v/>
      </c>
      <c r="AB65" s="15">
        <f>IF(AB29="","",AB29)</f>
        <v/>
      </c>
      <c r="AC65" s="15">
        <f>IF(AC29="","",AC29)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IF(OR(P58="",O58=""),"",IFERROR(P58/O58-1,""))</f>
        <v/>
      </c>
      <c r="Q66" s="15">
        <f>IF(OR(Q58="",P58=""),"",IFERROR(Q58/P58-1,""))</f>
        <v/>
      </c>
      <c r="R66" s="15">
        <f>IF(OR(R58="",Q58=""),"",IFERROR(R58/Q58-1,""))</f>
        <v/>
      </c>
      <c r="S66" s="15">
        <f>IF(OR(S58="",R58=""),"",IFERROR(S58/R58-1,""))</f>
        <v/>
      </c>
      <c r="T66" s="15">
        <f>IF(OR(T58="",S58=""),"",IFERROR(T58/S58-1,""))</f>
        <v/>
      </c>
      <c r="U66" s="15">
        <f>IF(OR(U58="",T58=""),"",IFERROR(U58/T58-1,""))</f>
        <v/>
      </c>
      <c r="V66" s="15">
        <f>IF(OR(V58="",U58=""),"",IFERROR(V58/U58-1,""))</f>
        <v/>
      </c>
      <c r="W66" s="15">
        <f>IF(OR(W58="",V58=""),"",IFERROR(W58/V58-1,""))</f>
        <v/>
      </c>
      <c r="X66" s="15">
        <f>IF(OR(X58="",W58=""),"",IFERROR(X58/W58-1,""))</f>
        <v/>
      </c>
      <c r="Y66" s="14">
        <f>IF(OR(Y58="",X58=""),"",IFERROR(Y58/X58-1,""))</f>
        <v/>
      </c>
      <c r="Z66" s="15">
        <f>IF(OR(Z58="",Y58=""),"",IFERROR(Z58/Y58-1,""))</f>
        <v/>
      </c>
      <c r="AA66" s="15">
        <f>IF(OR(AA58="",Z58=""),"",IFERROR(AA58/Z58-1,""))</f>
        <v/>
      </c>
      <c r="AB66" s="15">
        <f>IF(OR(AB58="",AA58=""),"",IFERROR(AB58/AA58-1,""))</f>
        <v/>
      </c>
      <c r="AC66" s="15">
        <f>IF(OR(AC58="",AB58=""),"",IFERROR(AC58/AB58-1,""))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IF(OR($B$64="",X58=""),"",IFERROR($B$64/X58,""))</f>
        <v/>
      </c>
      <c r="Y67" s="30">
        <f>IF(OR($B$64="",Y58=""),"",IFERROR($B$64/Y58,""))</f>
        <v/>
      </c>
      <c r="Z67" s="31">
        <f>IF(OR($B$64="",Z58=""),"",IFERROR($B$64/Z58,""))</f>
        <v/>
      </c>
      <c r="AA67" s="31">
        <f>IF(OR($B$64="",AA58=""),"",IFERROR($B$64/AA58,""))</f>
        <v/>
      </c>
      <c r="AB67" s="31">
        <f>IF(OR($B$64="",AB58=""),"",IFERROR($B$64/AB58,""))</f>
        <v/>
      </c>
      <c r="AC67" s="31">
        <f>IF(OR($B$64="",AC58=""),"",IFERROR($B$64/AC58,""))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IF(OR(O58="",$B$63=""),"",IFERROR(O58*1000000.0/$B$63,""))</f>
        <v/>
      </c>
      <c r="P69" s="29">
        <f>IF(OR(P58="",$B$63=""),"",IFERROR(P58*1000000.0/$B$63,""))</f>
        <v/>
      </c>
      <c r="Q69" s="29">
        <f>IF(OR(Q58="",$B$63=""),"",IFERROR(Q58*1000000.0/$B$63,""))</f>
        <v/>
      </c>
      <c r="R69" s="29">
        <f>IF(OR(R58="",$B$63=""),"",IFERROR(R58*1000000.0/$B$63,""))</f>
        <v/>
      </c>
      <c r="S69" s="29">
        <f>IF(OR(S58="",$B$63=""),"",IFERROR(S58*1000000.0/$B$63,""))</f>
        <v/>
      </c>
      <c r="T69" s="29">
        <f>IF(OR(T58="",$B$63=""),"",IFERROR(T58*1000000.0/$B$63,""))</f>
        <v/>
      </c>
      <c r="U69" s="29">
        <f>IF(OR(U58="",$B$63=""),"",IFERROR(U58*1000000.0/$B$63,""))</f>
        <v/>
      </c>
      <c r="V69" s="29">
        <f>IF(OR(V58="",$B$63=""),"",IFERROR(V58*1000000.0/$B$63,""))</f>
        <v/>
      </c>
      <c r="W69" s="29">
        <f>IF(OR(W58="",$B$63=""),"",IFERROR(W58*1000000.0/$B$63,""))</f>
        <v/>
      </c>
      <c r="X69" s="29">
        <f>IF(OR(X58="",$B$63=""),"",IFERROR(X58*1000000.0/$B$63,""))</f>
        <v/>
      </c>
      <c r="Y69" s="28">
        <f>IF(OR(Y58="",$B$63=""),"",IFERROR(Y58*1000000.0/$B$63,""))</f>
        <v/>
      </c>
      <c r="Z69" s="29">
        <f>IF(OR(Z58="",$B$63=""),"",IFERROR(Z58*1000000.0/$B$63,""))</f>
        <v/>
      </c>
      <c r="AA69" s="29">
        <f>IF(OR(AA58="",$B$63=""),"",IFERROR(AA58*1000000.0/$B$63,""))</f>
        <v/>
      </c>
      <c r="AB69" s="29">
        <f>IF(OR(AB58="",$B$63=""),"",IFERROR(AB58*1000000.0/$B$63,""))</f>
        <v/>
      </c>
      <c r="AC69" s="29">
        <f>IF(OR(AC58="",$B$63=""),"",IFERROR(AC58*1000000.0/$B$63,""))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IF(OR(Y58="",Y68=""),"",IFERROR(Y58*Y68,""))</f>
        <v/>
      </c>
      <c r="Z81" s="20">
        <f>IF(OR(Z58="",Z68=""),"",IFERROR(Z58*Z68,""))</f>
        <v/>
      </c>
      <c r="AA81" s="20">
        <f>IF(OR(AA58="",AA68=""),"",IFERROR(AA58*AA68,""))</f>
        <v/>
      </c>
      <c r="AB81" s="20">
        <f>IF(OR(AB58="",AB68=""),"",IFERROR(AB58*AB68,""))</f>
        <v/>
      </c>
      <c r="AC81" s="20">
        <f>IF(OR(AC58="",AC68=""),"",IFERROR(AC58*AC68,""))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 2026.10.28</t>
        </is>
      </c>
      <c r="C89" s="39" t="n"/>
      <c r="O89" s="39" t="n"/>
      <c r="Y89" s="39" t="n"/>
    </row>
    <row r="91">
      <c r="A91" s="16" t="inlineStr">
        <is>
          <t>손익계산서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2023.4Q</t>
        </is>
      </c>
      <c r="D92" s="5" t="inlineStr">
        <is>
          <t>2024.1Q</t>
        </is>
      </c>
      <c r="E92" s="5" t="inlineStr">
        <is>
          <t>2024.2Q</t>
        </is>
      </c>
      <c r="F92" s="5" t="inlineStr">
        <is>
          <t>2024.3Q</t>
        </is>
      </c>
      <c r="G92" s="5" t="inlineStr">
        <is>
          <t>2024.4Q</t>
        </is>
      </c>
      <c r="H92" s="5" t="inlineStr">
        <is>
          <t>2025.1Q</t>
        </is>
      </c>
      <c r="I92" s="5" t="inlineStr">
        <is>
          <t>2025.2Q</t>
        </is>
      </c>
      <c r="J92" s="5" t="inlineStr">
        <is>
          <t>2025.3Q</t>
        </is>
      </c>
      <c r="K92" s="5" t="inlineStr">
        <is>
          <t>2025.4Q</t>
        </is>
      </c>
      <c r="L92" s="5" t="inlineStr">
        <is>
          <t>2026.1Q</t>
        </is>
      </c>
      <c r="M92" s="5" t="inlineStr">
        <is>
          <t>2026.2Q</t>
        </is>
      </c>
      <c r="N92" s="5" t="inlineStr">
        <is>
          <t>2026.3Q</t>
        </is>
      </c>
      <c r="O92" s="5" t="inlineStr">
        <is>
          <t>2016</t>
        </is>
      </c>
      <c r="P92" s="5" t="inlineStr">
        <is>
          <t>2017</t>
        </is>
      </c>
      <c r="Q92" s="5" t="inlineStr">
        <is>
          <t>2018</t>
        </is>
      </c>
      <c r="R92" s="5" t="inlineStr">
        <is>
          <t>2019</t>
        </is>
      </c>
      <c r="S92" s="5" t="inlineStr">
        <is>
          <t>2020</t>
        </is>
      </c>
      <c r="T92" s="5" t="inlineStr">
        <is>
          <t>2021</t>
        </is>
      </c>
      <c r="U92" s="5" t="inlineStr">
        <is>
          <t>2022</t>
        </is>
      </c>
      <c r="V92" s="5" t="inlineStr">
        <is>
          <t>2023</t>
        </is>
      </c>
      <c r="W92" s="5" t="inlineStr">
        <is>
          <t>2024</t>
        </is>
      </c>
      <c r="X92" s="5" t="inlineStr">
        <is>
          <t>2025</t>
        </is>
      </c>
      <c r="Y92" s="5" t="inlineStr">
        <is>
          <t>2026(MW)</t>
        </is>
      </c>
      <c r="Z92" s="5" t="inlineStr">
        <is>
          <t>2027(MW)</t>
        </is>
      </c>
      <c r="AA92" s="5" t="inlineStr">
        <is>
          <t>2028(MW)</t>
        </is>
      </c>
      <c r="AB92" s="5" t="inlineStr">
        <is>
          <t>2029(MW)</t>
        </is>
      </c>
      <c r="AC92" s="5" t="inlineStr">
        <is>
          <t>2030(MW)</t>
        </is>
      </c>
    </row>
    <row r="93">
      <c r="A93" s="18" t="inlineStr">
        <is>
          <t>영업수익</t>
        </is>
      </c>
      <c r="C93" s="20" t="n">
        <v>167854</v>
      </c>
      <c r="D93" s="20" t="n">
        <v>107593</v>
      </c>
      <c r="E93" s="20" t="n">
        <v>97259</v>
      </c>
      <c r="F93" s="20" t="n">
        <v>110133</v>
      </c>
      <c r="G93" s="20" t="n">
        <v>276630</v>
      </c>
      <c r="H93" s="20" t="n">
        <v>156644</v>
      </c>
      <c r="I93" s="20" t="n">
        <v>143437</v>
      </c>
      <c r="J93" s="20" t="n">
        <v>124137</v>
      </c>
      <c r="K93" s="20" t="n">
        <v>303229</v>
      </c>
      <c r="L93" s="20" t="n">
        <v>226841</v>
      </c>
      <c r="M93" s="20" t="n">
        <v>189755</v>
      </c>
      <c r="N93" s="20" t="n">
        <v>158129</v>
      </c>
      <c r="U93" s="20" t="n">
        <v>124216</v>
      </c>
      <c r="V93" s="20" t="n">
        <v>167854</v>
      </c>
      <c r="W93" s="20" t="n">
        <v>276630</v>
      </c>
      <c r="X93" s="20" t="n">
        <v>303229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영업원가</t>
        </is>
      </c>
      <c r="C95" s="20" t="n">
        <v>101715</v>
      </c>
      <c r="D95" s="20" t="n">
        <v>68300</v>
      </c>
      <c r="E95" s="20" t="n">
        <v>38291</v>
      </c>
      <c r="F95" s="20" t="n">
        <v>74244</v>
      </c>
      <c r="G95" s="20" t="n">
        <v>179846</v>
      </c>
      <c r="H95" s="20" t="n">
        <v>102071</v>
      </c>
      <c r="I95" s="20" t="n">
        <v>77869</v>
      </c>
      <c r="J95" s="20" t="n">
        <v>71068</v>
      </c>
      <c r="K95" s="20" t="n">
        <v>199636</v>
      </c>
      <c r="L95" s="20" t="n">
        <v>160106</v>
      </c>
      <c r="M95" s="20" t="n">
        <v>115507</v>
      </c>
      <c r="N95" s="20" t="n">
        <v>88701</v>
      </c>
      <c r="U95" s="20" t="n">
        <v>63164</v>
      </c>
      <c r="V95" s="20" t="n">
        <v>101715</v>
      </c>
      <c r="W95" s="20" t="n">
        <v>179846</v>
      </c>
      <c r="X95" s="20" t="n">
        <v>199636</v>
      </c>
    </row>
    <row r="96">
      <c r="A96" s="18" t="inlineStr">
        <is>
          <t>영업총이익</t>
        </is>
      </c>
      <c r="C96" s="20" t="n">
        <v>66140</v>
      </c>
      <c r="D96" s="20" t="n">
        <v>39292</v>
      </c>
      <c r="E96" s="20" t="n">
        <v>58969</v>
      </c>
      <c r="F96" s="20" t="n">
        <v>35889</v>
      </c>
      <c r="G96" s="20" t="n">
        <v>96784</v>
      </c>
      <c r="H96" s="20" t="n">
        <v>54572</v>
      </c>
      <c r="I96" s="20" t="n">
        <v>65569</v>
      </c>
      <c r="J96" s="20" t="n">
        <v>53069</v>
      </c>
      <c r="K96" s="20" t="n">
        <v>103592</v>
      </c>
      <c r="L96" s="20" t="n">
        <v>66735</v>
      </c>
      <c r="M96" s="20" t="n">
        <v>74248</v>
      </c>
      <c r="N96" s="20" t="n">
        <v>69428</v>
      </c>
      <c r="U96" s="20" t="n">
        <v>61051</v>
      </c>
      <c r="V96" s="20" t="n">
        <v>66140</v>
      </c>
      <c r="W96" s="20" t="n">
        <v>96784</v>
      </c>
      <c r="X96" s="20" t="n">
        <v>103592</v>
      </c>
    </row>
    <row r="97">
      <c r="A97" s="18" t="inlineStr">
        <is>
          <t>판매비와 관리비</t>
        </is>
      </c>
      <c r="C97" s="20" t="n">
        <v>10911</v>
      </c>
      <c r="D97" s="20" t="n">
        <v>15563</v>
      </c>
      <c r="E97" s="20" t="n">
        <v>13774</v>
      </c>
      <c r="F97" s="20" t="n">
        <v>16002</v>
      </c>
      <c r="G97" s="20" t="n">
        <v>22234</v>
      </c>
      <c r="H97" s="20" t="n">
        <v>22755</v>
      </c>
      <c r="I97" s="20" t="n">
        <v>22331</v>
      </c>
      <c r="J97" s="20" t="n">
        <v>21752</v>
      </c>
      <c r="K97" s="20" t="n">
        <v>23138</v>
      </c>
      <c r="L97" s="20" t="n">
        <v>35564</v>
      </c>
      <c r="M97" s="20" t="n">
        <v>25106</v>
      </c>
      <c r="N97" s="20" t="n">
        <v>29237</v>
      </c>
      <c r="U97" s="20" t="n">
        <v>12161</v>
      </c>
      <c r="V97" s="20" t="n">
        <v>10911</v>
      </c>
      <c r="W97" s="20" t="n">
        <v>22234</v>
      </c>
      <c r="X97" s="20" t="n">
        <v>23138</v>
      </c>
    </row>
    <row r="98">
      <c r="A98" s="43" t="inlineStr">
        <is>
          <t>YoY</t>
        </is>
      </c>
      <c r="B98" s="3" t="inlineStr">
        <is>
          <t>전년 같은 분기·전년 대비</t>
        </is>
      </c>
      <c r="G98" s="15">
        <f>IF(OR(G97="",C97=""),"",IF(G97*C97&lt;=0,"",IFERROR(G97/C97-1,"")))</f>
        <v/>
      </c>
      <c r="H98" s="15">
        <f>IF(OR(H97="",D97=""),"",IF(H97*D97&lt;=0,"",IFERROR(H97/D97-1,"")))</f>
        <v/>
      </c>
      <c r="I98" s="15">
        <f>IF(OR(I97="",E97=""),"",IF(I97*E97&lt;=0,"",IFERROR(I97/E97-1,"")))</f>
        <v/>
      </c>
      <c r="J98" s="15">
        <f>IF(OR(J97="",F97=""),"",IF(J97*F97&lt;=0,"",IFERROR(J97/F97-1,"")))</f>
        <v/>
      </c>
      <c r="K98" s="15">
        <f>IF(OR(K97="",G97=""),"",IF(K97*G97&lt;=0,"",IFERROR(K97/G97-1,"")))</f>
        <v/>
      </c>
      <c r="L98" s="15">
        <f>IF(OR(L97="",H97=""),"",IF(L97*H97&lt;=0,"",IFERROR(L97/H97-1,"")))</f>
        <v/>
      </c>
      <c r="M98" s="15">
        <f>IF(OR(M97="",I97=""),"",IF(M97*I97&lt;=0,"",IFERROR(M97/I97-1,"")))</f>
        <v/>
      </c>
      <c r="N98" s="15">
        <f>IF(OR(N97="",J97=""),"",IF(N97*J97&lt;=0,"",IFERROR(N97/J97-1,"")))</f>
        <v/>
      </c>
      <c r="U98" s="15">
        <f>IF(OR(U97="",T97=""),"",IF(U97*T97&lt;=0,"",IFERROR(U97/T97-1,"")))</f>
        <v/>
      </c>
      <c r="V98" s="15">
        <f>IF(OR(V97="",U97=""),"",IF(V97*U97&lt;=0,"",IFERROR(V97/U97-1,"")))</f>
        <v/>
      </c>
      <c r="W98" s="15">
        <f>IF(OR(W97="",V97=""),"",IF(W97*V97&lt;=0,"",IFERROR(W97/V97-1,"")))</f>
        <v/>
      </c>
      <c r="X98" s="15">
        <f>IF(OR(X97="",W97=""),"",IF(X97*W97&lt;=0,"",IFERROR(X97/W97-1,"")))</f>
        <v/>
      </c>
    </row>
    <row r="99">
      <c r="A99" s="9" t="inlineStr">
        <is>
          <t>영업이익</t>
        </is>
      </c>
      <c r="C99" s="12" t="n">
        <v>55228</v>
      </c>
      <c r="D99" s="12" t="n">
        <v>23728</v>
      </c>
      <c r="E99" s="12" t="n">
        <v>45195</v>
      </c>
      <c r="F99" s="12" t="n">
        <v>19887</v>
      </c>
      <c r="G99" s="12" t="n">
        <v>74550</v>
      </c>
      <c r="H99" s="12" t="n">
        <v>31816</v>
      </c>
      <c r="I99" s="12" t="n">
        <v>43239</v>
      </c>
      <c r="J99" s="12" t="n">
        <v>31316</v>
      </c>
      <c r="K99" s="12" t="n">
        <v>80455</v>
      </c>
      <c r="L99" s="12" t="n">
        <v>31171</v>
      </c>
      <c r="M99" s="12" t="n">
        <v>49142</v>
      </c>
      <c r="N99" s="12" t="n">
        <v>40190</v>
      </c>
      <c r="U99" s="12" t="n">
        <v>48890</v>
      </c>
      <c r="V99" s="12" t="n">
        <v>55228</v>
      </c>
      <c r="W99" s="12" t="n">
        <v>74550</v>
      </c>
      <c r="X99" s="12" t="n">
        <v>80455</v>
      </c>
    </row>
    <row r="100">
      <c r="A100" s="43" t="inlineStr">
        <is>
          <t>OPM</t>
        </is>
      </c>
      <c r="B100" s="3" t="inlineStr">
        <is>
          <t>영업이익 ÷ 매출</t>
        </is>
      </c>
      <c r="C100" s="15">
        <f>IF(OR(C99="",C93=""),"",IF(C93&lt;=0,"",IFERROR(C99/C93,"")))</f>
        <v/>
      </c>
      <c r="D100" s="15">
        <f>IF(OR(D99="",D93=""),"",IF(D93&lt;=0,"",IFERROR(D99/D93,"")))</f>
        <v/>
      </c>
      <c r="E100" s="15">
        <f>IF(OR(E99="",E93=""),"",IF(E93&lt;=0,"",IFERROR(E99/E93,"")))</f>
        <v/>
      </c>
      <c r="F100" s="15">
        <f>IF(OR(F99="",F93=""),"",IF(F93&lt;=0,"",IFERROR(F99/F93,"")))</f>
        <v/>
      </c>
      <c r="G100" s="15">
        <f>IF(OR(G99="",G93=""),"",IF(G93&lt;=0,"",IFERROR(G99/G93,"")))</f>
        <v/>
      </c>
      <c r="H100" s="15">
        <f>IF(OR(H99="",H93=""),"",IF(H93&lt;=0,"",IFERROR(H99/H93,"")))</f>
        <v/>
      </c>
      <c r="I100" s="15">
        <f>IF(OR(I99="",I93=""),"",IF(I93&lt;=0,"",IFERROR(I99/I93,"")))</f>
        <v/>
      </c>
      <c r="J100" s="15">
        <f>IF(OR(J99="",J93=""),"",IF(J93&lt;=0,"",IFERROR(J99/J93,"")))</f>
        <v/>
      </c>
      <c r="K100" s="15">
        <f>IF(OR(K99="",K93=""),"",IF(K93&lt;=0,"",IFERROR(K99/K93,"")))</f>
        <v/>
      </c>
      <c r="L100" s="15">
        <f>IF(OR(L99="",L93=""),"",IF(L93&lt;=0,"",IFERROR(L99/L93,"")))</f>
        <v/>
      </c>
      <c r="M100" s="15">
        <f>IF(OR(M99="",M93=""),"",IF(M93&lt;=0,"",IFERROR(M99/M93,"")))</f>
        <v/>
      </c>
      <c r="N100" s="15">
        <f>IF(OR(N99="",N93=""),"",IF(N93&lt;=0,"",IFERROR(N99/N93,"")))</f>
        <v/>
      </c>
      <c r="U100" s="15">
        <f>IF(OR(U99="",U93=""),"",IF(U93&lt;=0,"",IFERROR(U99/U93,"")))</f>
        <v/>
      </c>
      <c r="V100" s="15">
        <f>IF(OR(V99="",V93=""),"",IF(V93&lt;=0,"",IFERROR(V99/V93,"")))</f>
        <v/>
      </c>
      <c r="W100" s="15">
        <f>IF(OR(W99="",W93=""),"",IF(W93&lt;=0,"",IFERROR(W99/W93,"")))</f>
        <v/>
      </c>
      <c r="X100" s="15">
        <f>IF(OR(X99="",X93=""),"",IF(X93&lt;=0,"",IFERROR(X99/X93,"")))</f>
        <v/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IF(OR(G99="",C99=""),"",IF(C99&lt;=0,"",IFERROR(G99/C99-1,"")))</f>
        <v/>
      </c>
      <c r="H101" s="15">
        <f>IF(OR(H99="",D99=""),"",IF(D99&lt;=0,"",IFERROR(H99/D99-1,"")))</f>
        <v/>
      </c>
      <c r="I101" s="15">
        <f>IF(OR(I99="",E99=""),"",IF(E99&lt;=0,"",IFERROR(I99/E99-1,"")))</f>
        <v/>
      </c>
      <c r="J101" s="15">
        <f>IF(OR(J99="",F99=""),"",IF(F99&lt;=0,"",IFERROR(J99/F99-1,"")))</f>
        <v/>
      </c>
      <c r="K101" s="15">
        <f>IF(OR(K99="",G99=""),"",IF(G99&lt;=0,"",IFERROR(K99/G99-1,"")))</f>
        <v/>
      </c>
      <c r="L101" s="15">
        <f>IF(OR(L99="",H99=""),"",IF(H99&lt;=0,"",IFERROR(L99/H99-1,"")))</f>
        <v/>
      </c>
      <c r="M101" s="15">
        <f>IF(OR(M99="",I99=""),"",IF(I99&lt;=0,"",IFERROR(M99/I99-1,"")))</f>
        <v/>
      </c>
      <c r="N101" s="15">
        <f>IF(OR(N99="",J99=""),"",IF(J99&lt;=0,"",IFERROR(N99/J99-1,"")))</f>
        <v/>
      </c>
      <c r="U101" s="15">
        <f>IF(OR(U99="",T99=""),"",IF(T99&lt;=0,"",IFERROR(U99/T99-1,"")))</f>
        <v/>
      </c>
      <c r="V101" s="15">
        <f>IF(OR(V99="",U99=""),"",IF(U99&lt;=0,"",IFERROR(V99/U99-1,"")))</f>
        <v/>
      </c>
      <c r="W101" s="15">
        <f>IF(OR(W99="",V99=""),"",IF(V99&lt;=0,"",IFERROR(W99/V99-1,"")))</f>
        <v/>
      </c>
      <c r="X101" s="15">
        <f>IF(OR(X99="",W99=""),"",IF(W99&lt;=0,"",IFERROR(X99/W99-1,"")))</f>
        <v/>
      </c>
    </row>
    <row r="102">
      <c r="A102" s="18" t="inlineStr">
        <is>
          <t>이자수익</t>
        </is>
      </c>
      <c r="C102" s="20" t="n">
        <v>29</v>
      </c>
      <c r="D102" s="20" t="n">
        <v>15</v>
      </c>
      <c r="E102" s="20" t="n">
        <v>15</v>
      </c>
      <c r="F102" s="20" t="n">
        <v>22</v>
      </c>
      <c r="G102" s="20" t="n">
        <v>22</v>
      </c>
      <c r="H102" s="20" t="n">
        <v>149</v>
      </c>
      <c r="I102" s="20" t="n">
        <v>114</v>
      </c>
      <c r="J102" s="20" t="n">
        <v>220</v>
      </c>
      <c r="K102" s="20" t="n">
        <v>78</v>
      </c>
      <c r="L102" s="20" t="n">
        <v>211</v>
      </c>
      <c r="M102" s="20" t="n">
        <v>356</v>
      </c>
      <c r="N102" s="20" t="n">
        <v>336</v>
      </c>
      <c r="U102" s="20" t="n">
        <v>2</v>
      </c>
      <c r="V102" s="20" t="n">
        <v>29</v>
      </c>
      <c r="W102" s="20" t="n">
        <v>22</v>
      </c>
      <c r="X102" s="20" t="n">
        <v>78</v>
      </c>
    </row>
    <row r="103">
      <c r="A103" s="18" t="inlineStr">
        <is>
          <t>배당금수익</t>
        </is>
      </c>
      <c r="C103" s="20" t="n">
        <v>1567</v>
      </c>
      <c r="D103" s="20" t="n">
        <v>234</v>
      </c>
      <c r="E103" s="20" t="n">
        <v>1933</v>
      </c>
      <c r="F103" s="20" t="n">
        <v>123</v>
      </c>
      <c r="G103" s="20" t="n">
        <v>1735</v>
      </c>
      <c r="H103" s="20" t="n">
        <v>266</v>
      </c>
      <c r="I103" s="20" t="n">
        <v>2101</v>
      </c>
      <c r="J103" s="20" t="n">
        <v>145</v>
      </c>
      <c r="K103" s="20" t="n">
        <v>2666</v>
      </c>
      <c r="L103" s="20" t="n">
        <v>276</v>
      </c>
      <c r="M103" s="20" t="n">
        <v>2276</v>
      </c>
      <c r="N103" s="20" t="n">
        <v>158</v>
      </c>
      <c r="U103" s="20" t="n">
        <v>1298</v>
      </c>
      <c r="V103" s="20" t="n">
        <v>1567</v>
      </c>
      <c r="W103" s="20" t="n">
        <v>1735</v>
      </c>
      <c r="X103" s="20" t="n">
        <v>2666</v>
      </c>
    </row>
    <row r="104">
      <c r="A104" s="18" t="inlineStr">
        <is>
          <t>지분법이익</t>
        </is>
      </c>
      <c r="C104" s="20" t="n">
        <v>0</v>
      </c>
      <c r="D104" s="20" t="n">
        <v>84</v>
      </c>
      <c r="E104" s="20" t="n">
        <v>-32</v>
      </c>
      <c r="F104" s="20" t="n">
        <v>31</v>
      </c>
      <c r="G104" s="20" t="n">
        <v>153</v>
      </c>
      <c r="H104" s="20" t="n">
        <v>383</v>
      </c>
      <c r="I104" s="20" t="n">
        <v>699</v>
      </c>
      <c r="J104" s="20" t="n">
        <v>101</v>
      </c>
      <c r="K104" s="20" t="n">
        <v>64</v>
      </c>
      <c r="L104" s="20" t="n">
        <v>549</v>
      </c>
      <c r="M104" s="20" t="n">
        <v>530</v>
      </c>
      <c r="N104" s="20" t="n">
        <v>-39</v>
      </c>
      <c r="U104" s="20" t="n">
        <v>52</v>
      </c>
      <c r="V104" s="20" t="n">
        <v>0</v>
      </c>
      <c r="W104" s="20" t="n">
        <v>153</v>
      </c>
      <c r="X104" s="20" t="n">
        <v>64</v>
      </c>
    </row>
    <row r="105">
      <c r="A105" s="18" t="inlineStr">
        <is>
          <t>Income Arising From Cancellation Of Leasing Contracts NOI</t>
        </is>
      </c>
      <c r="C105" s="20" t="n">
        <v>236</v>
      </c>
      <c r="D105" s="20" t="n">
        <v>467</v>
      </c>
      <c r="E105" s="20" t="n">
        <v>210</v>
      </c>
      <c r="F105" s="20" t="n">
        <v>398</v>
      </c>
      <c r="G105" s="20" t="n">
        <v>282</v>
      </c>
      <c r="H105" s="20" t="n">
        <v>139</v>
      </c>
      <c r="I105" s="20" t="n">
        <v>32</v>
      </c>
      <c r="J105" s="20" t="n">
        <v>234</v>
      </c>
      <c r="K105" s="20" t="n">
        <v>5366</v>
      </c>
      <c r="L105" s="20" t="n">
        <v>2468</v>
      </c>
      <c r="M105" s="20" t="n">
        <v>20</v>
      </c>
      <c r="N105" s="20" t="n">
        <v>78</v>
      </c>
      <c r="U105" s="20" t="n">
        <v>-15</v>
      </c>
      <c r="V105" s="20" t="n">
        <v>236</v>
      </c>
      <c r="W105" s="20" t="n">
        <v>282</v>
      </c>
      <c r="X105" s="20" t="n">
        <v>5366</v>
      </c>
    </row>
    <row r="106">
      <c r="A106" s="18" t="inlineStr">
        <is>
          <t>Cooperation Fee NOI</t>
        </is>
      </c>
      <c r="D106" s="20" t="n">
        <v>0</v>
      </c>
    </row>
    <row r="107">
      <c r="A107" s="18" t="inlineStr">
        <is>
          <t>외환차익</t>
        </is>
      </c>
      <c r="D107" s="20" t="n">
        <v>0</v>
      </c>
      <c r="H107" s="20" t="n">
        <v>305</v>
      </c>
      <c r="L107" s="20" t="n">
        <v>72</v>
      </c>
    </row>
    <row r="108">
      <c r="A108" s="18" t="inlineStr">
        <is>
          <t>기타</t>
        </is>
      </c>
      <c r="C108" s="20" t="n">
        <v>148</v>
      </c>
      <c r="D108" s="20" t="n">
        <v>231</v>
      </c>
      <c r="E108" s="20" t="n">
        <v>159</v>
      </c>
      <c r="F108" s="20" t="n">
        <v>430</v>
      </c>
      <c r="G108" s="20" t="n">
        <v>276</v>
      </c>
      <c r="H108" s="20" t="n">
        <v>184</v>
      </c>
      <c r="I108" s="20" t="n">
        <v>365</v>
      </c>
      <c r="J108" s="20" t="n">
        <v>72</v>
      </c>
      <c r="K108" s="20" t="n">
        <v>259</v>
      </c>
      <c r="L108" s="20" t="n">
        <v>205</v>
      </c>
      <c r="M108" s="20" t="n">
        <v>546</v>
      </c>
      <c r="N108" s="20" t="n">
        <v>44</v>
      </c>
      <c r="U108" s="20" t="n">
        <v>-205</v>
      </c>
      <c r="V108" s="20" t="n">
        <v>148</v>
      </c>
      <c r="W108" s="20" t="n">
        <v>276</v>
      </c>
      <c r="X108" s="20" t="n">
        <v>259</v>
      </c>
    </row>
    <row r="109">
      <c r="A109" s="18" t="inlineStr">
        <is>
          <t>영업외수익 합계</t>
        </is>
      </c>
      <c r="C109" s="20" t="n">
        <v>1993</v>
      </c>
      <c r="D109" s="20" t="n">
        <v>1033</v>
      </c>
      <c r="E109" s="20" t="n">
        <v>2285</v>
      </c>
      <c r="F109" s="20" t="n">
        <v>1004</v>
      </c>
      <c r="G109" s="20" t="n">
        <v>2469</v>
      </c>
      <c r="H109" s="20" t="n">
        <v>1428</v>
      </c>
      <c r="I109" s="20" t="n">
        <v>3006</v>
      </c>
      <c r="J109" s="20" t="n">
        <v>771</v>
      </c>
      <c r="K109" s="20" t="n">
        <v>8434</v>
      </c>
      <c r="L109" s="20" t="n">
        <v>3784</v>
      </c>
      <c r="M109" s="20" t="n">
        <v>3655</v>
      </c>
      <c r="N109" s="20" t="n">
        <v>578</v>
      </c>
      <c r="U109" s="20" t="n">
        <v>1485</v>
      </c>
      <c r="V109" s="20" t="n">
        <v>1993</v>
      </c>
      <c r="W109" s="20" t="n">
        <v>2469</v>
      </c>
      <c r="X109" s="20" t="n">
        <v>8434</v>
      </c>
    </row>
    <row r="110">
      <c r="A110" s="43" t="inlineStr">
        <is>
          <t>YoY</t>
        </is>
      </c>
      <c r="B110" s="3" t="inlineStr">
        <is>
          <t>전년 같은 분기·전년 대비</t>
        </is>
      </c>
      <c r="G110" s="15">
        <f>IF(OR(G109="",C109=""),"",IF(G109*C109&lt;=0,"",IFERROR(G109/C109-1,"")))</f>
        <v/>
      </c>
      <c r="H110" s="15">
        <f>IF(OR(H109="",D109=""),"",IF(H109*D109&lt;=0,"",IFERROR(H109/D109-1,"")))</f>
        <v/>
      </c>
      <c r="I110" s="15">
        <f>IF(OR(I109="",E109=""),"",IF(I109*E109&lt;=0,"",IFERROR(I109/E109-1,"")))</f>
        <v/>
      </c>
      <c r="J110" s="15">
        <f>IF(OR(J109="",F109=""),"",IF(J109*F109&lt;=0,"",IFERROR(J109/F109-1,"")))</f>
        <v/>
      </c>
      <c r="K110" s="15">
        <f>IF(OR(K109="",G109=""),"",IF(K109*G109&lt;=0,"",IFERROR(K109/G109-1,"")))</f>
        <v/>
      </c>
      <c r="L110" s="15">
        <f>IF(OR(L109="",H109=""),"",IF(L109*H109&lt;=0,"",IFERROR(L109/H109-1,"")))</f>
        <v/>
      </c>
      <c r="M110" s="15">
        <f>IF(OR(M109="",I109=""),"",IF(M109*I109&lt;=0,"",IFERROR(M109/I109-1,"")))</f>
        <v/>
      </c>
      <c r="N110" s="15">
        <f>IF(OR(N109="",J109=""),"",IF(N109*J109&lt;=0,"",IFERROR(N109/J109-1,"")))</f>
        <v/>
      </c>
      <c r="U110" s="15">
        <f>IF(OR(U109="",T109=""),"",IF(U109*T109&lt;=0,"",IFERROR(U109/T109-1,"")))</f>
        <v/>
      </c>
      <c r="V110" s="15">
        <f>IF(OR(V109="",U109=""),"",IF(V109*U109&lt;=0,"",IFERROR(V109/U109-1,"")))</f>
        <v/>
      </c>
      <c r="W110" s="15">
        <f>IF(OR(W109="",V109=""),"",IF(W109*V109&lt;=0,"",IFERROR(W109/V109-1,"")))</f>
        <v/>
      </c>
      <c r="X110" s="15">
        <f>IF(OR(X109="",W109=""),"",IF(X109*W109&lt;=0,"",IFERROR(X109/W109-1,"")))</f>
        <v/>
      </c>
    </row>
    <row r="111">
      <c r="A111" s="18" t="inlineStr">
        <is>
          <t>이자비용</t>
        </is>
      </c>
      <c r="C111" s="20" t="n">
        <v>2971</v>
      </c>
      <c r="D111" s="20" t="n">
        <v>2965</v>
      </c>
      <c r="E111" s="20" t="n">
        <v>3242</v>
      </c>
      <c r="F111" s="20" t="n">
        <v>3377</v>
      </c>
      <c r="G111" s="20" t="n">
        <v>3588</v>
      </c>
      <c r="H111" s="20" t="n">
        <v>4306</v>
      </c>
      <c r="I111" s="20" t="n">
        <v>5145</v>
      </c>
      <c r="J111" s="20" t="n">
        <v>5879</v>
      </c>
      <c r="K111" s="20" t="n">
        <v>6429</v>
      </c>
      <c r="L111" s="20" t="n">
        <v>6617</v>
      </c>
      <c r="M111" s="20" t="n">
        <v>7632</v>
      </c>
      <c r="N111" s="20" t="n">
        <v>8723</v>
      </c>
      <c r="U111" s="20" t="n">
        <v>2803</v>
      </c>
      <c r="V111" s="20" t="n">
        <v>2971</v>
      </c>
      <c r="W111" s="20" t="n">
        <v>3588</v>
      </c>
      <c r="X111" s="20" t="n">
        <v>6429</v>
      </c>
    </row>
    <row r="112">
      <c r="A112" s="18" t="inlineStr">
        <is>
          <t>지분법손실</t>
        </is>
      </c>
      <c r="C112" s="20" t="n">
        <v>-113</v>
      </c>
      <c r="F112" s="20" t="n">
        <v>0</v>
      </c>
      <c r="G112" s="20" t="n">
        <v>0</v>
      </c>
      <c r="U112" s="20" t="n">
        <v>0</v>
      </c>
      <c r="V112" s="20" t="n">
        <v>-113</v>
      </c>
      <c r="W112" s="20" t="n">
        <v>0</v>
      </c>
    </row>
    <row r="113">
      <c r="A113" s="18" t="inlineStr">
        <is>
          <t>기타</t>
        </is>
      </c>
      <c r="C113" s="20" t="n">
        <v>515</v>
      </c>
      <c r="D113" s="20" t="n">
        <v>554</v>
      </c>
      <c r="E113" s="20" t="n">
        <v>623</v>
      </c>
      <c r="F113" s="20" t="n">
        <v>729</v>
      </c>
      <c r="G113" s="20" t="n">
        <v>743</v>
      </c>
      <c r="H113" s="20" t="n">
        <v>927</v>
      </c>
      <c r="I113" s="20" t="n">
        <v>2563</v>
      </c>
      <c r="J113" s="20" t="n">
        <v>1204</v>
      </c>
      <c r="K113" s="20" t="n">
        <v>1084</v>
      </c>
      <c r="L113" s="20" t="n">
        <v>1351</v>
      </c>
      <c r="M113" s="20" t="n">
        <v>1291</v>
      </c>
      <c r="N113" s="20" t="n">
        <v>1807</v>
      </c>
      <c r="U113" s="20" t="n">
        <v>428</v>
      </c>
      <c r="V113" s="20" t="n">
        <v>515</v>
      </c>
      <c r="W113" s="20" t="n">
        <v>743</v>
      </c>
      <c r="X113" s="20" t="n">
        <v>1084</v>
      </c>
    </row>
    <row r="114">
      <c r="A114" s="18" t="inlineStr">
        <is>
          <t>영업외비용 합계</t>
        </is>
      </c>
      <c r="C114" s="20" t="n">
        <v>3373</v>
      </c>
      <c r="D114" s="20" t="n">
        <v>3520</v>
      </c>
      <c r="E114" s="20" t="n">
        <v>3865</v>
      </c>
      <c r="F114" s="20" t="n">
        <v>4106</v>
      </c>
      <c r="G114" s="20" t="n">
        <v>4331</v>
      </c>
      <c r="H114" s="20" t="n">
        <v>5233</v>
      </c>
      <c r="I114" s="20" t="n">
        <v>7709</v>
      </c>
      <c r="J114" s="20" t="n">
        <v>7082</v>
      </c>
      <c r="K114" s="20" t="n">
        <v>7514</v>
      </c>
      <c r="L114" s="20" t="n">
        <v>7969</v>
      </c>
      <c r="M114" s="20" t="n">
        <v>8922</v>
      </c>
      <c r="N114" s="20" t="n">
        <v>10531</v>
      </c>
      <c r="U114" s="20" t="n">
        <v>3231</v>
      </c>
      <c r="V114" s="20" t="n">
        <v>3373</v>
      </c>
      <c r="W114" s="20" t="n">
        <v>4331</v>
      </c>
      <c r="X114" s="20" t="n">
        <v>7514</v>
      </c>
    </row>
    <row r="115">
      <c r="A115" s="43" t="inlineStr">
        <is>
          <t>YoY</t>
        </is>
      </c>
      <c r="B115" s="3" t="inlineStr">
        <is>
          <t>전년 같은 분기·전년 대비</t>
        </is>
      </c>
      <c r="G115" s="15">
        <f>IF(OR(G114="",C114=""),"",IF(G114*C114&lt;=0,"",IFERROR(G114/C114-1,"")))</f>
        <v/>
      </c>
      <c r="H115" s="15">
        <f>IF(OR(H114="",D114=""),"",IF(H114*D114&lt;=0,"",IFERROR(H114/D114-1,"")))</f>
        <v/>
      </c>
      <c r="I115" s="15">
        <f>IF(OR(I114="",E114=""),"",IF(I114*E114&lt;=0,"",IFERROR(I114/E114-1,"")))</f>
        <v/>
      </c>
      <c r="J115" s="15">
        <f>IF(OR(J114="",F114=""),"",IF(J114*F114&lt;=0,"",IFERROR(J114/F114-1,"")))</f>
        <v/>
      </c>
      <c r="K115" s="15">
        <f>IF(OR(K114="",G114=""),"",IF(K114*G114&lt;=0,"",IFERROR(K114/G114-1,"")))</f>
        <v/>
      </c>
      <c r="L115" s="15">
        <f>IF(OR(L114="",H114=""),"",IF(L114*H114&lt;=0,"",IFERROR(L114/H114-1,"")))</f>
        <v/>
      </c>
      <c r="M115" s="15">
        <f>IF(OR(M114="",I114=""),"",IF(M114*I114&lt;=0,"",IFERROR(M114/I114-1,"")))</f>
        <v/>
      </c>
      <c r="N115" s="15">
        <f>IF(OR(N114="",J114=""),"",IF(N114*J114&lt;=0,"",IFERROR(N114/J114-1,"")))</f>
        <v/>
      </c>
      <c r="U115" s="15">
        <f>IF(OR(U114="",T114=""),"",IF(U114*T114&lt;=0,"",IFERROR(U114/T114-1,"")))</f>
        <v/>
      </c>
      <c r="V115" s="15">
        <f>IF(OR(V114="",U114=""),"",IF(V114*U114&lt;=0,"",IFERROR(V114/U114-1,"")))</f>
        <v/>
      </c>
      <c r="W115" s="15">
        <f>IF(OR(W114="",V114=""),"",IF(W114*V114&lt;=0,"",IFERROR(W114/V114-1,"")))</f>
        <v/>
      </c>
      <c r="X115" s="15">
        <f>IF(OR(X114="",W114=""),"",IF(X114*W114&lt;=0,"",IFERROR(X114/W114-1,"")))</f>
        <v/>
      </c>
    </row>
    <row r="116">
      <c r="A116" s="9" t="inlineStr">
        <is>
          <t>경상이익</t>
        </is>
      </c>
      <c r="C116" s="12" t="n">
        <v>53849</v>
      </c>
      <c r="D116" s="12" t="n">
        <v>21241</v>
      </c>
      <c r="E116" s="12" t="n">
        <v>43615</v>
      </c>
      <c r="F116" s="12" t="n">
        <v>16785</v>
      </c>
      <c r="G116" s="12" t="n">
        <v>72688</v>
      </c>
      <c r="H116" s="12" t="n">
        <v>28010</v>
      </c>
      <c r="I116" s="12" t="n">
        <v>38537</v>
      </c>
      <c r="J116" s="12" t="n">
        <v>25006</v>
      </c>
      <c r="K116" s="12" t="n">
        <v>81374</v>
      </c>
      <c r="L116" s="12" t="n">
        <v>26986</v>
      </c>
      <c r="M116" s="12" t="n">
        <v>43875</v>
      </c>
      <c r="N116" s="12" t="n">
        <v>30237</v>
      </c>
      <c r="U116" s="12" t="n">
        <v>47144</v>
      </c>
      <c r="V116" s="12" t="n">
        <v>53849</v>
      </c>
      <c r="W116" s="12" t="n">
        <v>72688</v>
      </c>
      <c r="X116" s="12" t="n">
        <v>81374</v>
      </c>
    </row>
    <row r="117">
      <c r="A117" s="43" t="inlineStr">
        <is>
          <t>YoY</t>
        </is>
      </c>
      <c r="B117" s="3" t="inlineStr">
        <is>
          <t>전년 같은 분기·전년 대비</t>
        </is>
      </c>
      <c r="G117" s="15">
        <f>IF(OR(G116="",C116=""),"",IF(C116&lt;=0,"",IFERROR(G116/C116-1,"")))</f>
        <v/>
      </c>
      <c r="H117" s="15">
        <f>IF(OR(H116="",D116=""),"",IF(D116&lt;=0,"",IFERROR(H116/D116-1,"")))</f>
        <v/>
      </c>
      <c r="I117" s="15">
        <f>IF(OR(I116="",E116=""),"",IF(E116&lt;=0,"",IFERROR(I116/E116-1,"")))</f>
        <v/>
      </c>
      <c r="J117" s="15">
        <f>IF(OR(J116="",F116=""),"",IF(F116&lt;=0,"",IFERROR(J116/F116-1,"")))</f>
        <v/>
      </c>
      <c r="K117" s="15">
        <f>IF(OR(K116="",G116=""),"",IF(G116&lt;=0,"",IFERROR(K116/G116-1,"")))</f>
        <v/>
      </c>
      <c r="L117" s="15">
        <f>IF(OR(L116="",H116=""),"",IF(H116&lt;=0,"",IFERROR(L116/H116-1,"")))</f>
        <v/>
      </c>
      <c r="M117" s="15">
        <f>IF(OR(M116="",I116=""),"",IF(I116&lt;=0,"",IFERROR(M116/I116-1,"")))</f>
        <v/>
      </c>
      <c r="N117" s="15">
        <f>IF(OR(N116="",J116=""),"",IF(J116&lt;=0,"",IFERROR(N116/J116-1,"")))</f>
        <v/>
      </c>
      <c r="U117" s="15">
        <f>IF(OR(U116="",T116=""),"",IF(T116&lt;=0,"",IFERROR(U116/T116-1,"")))</f>
        <v/>
      </c>
      <c r="V117" s="15">
        <f>IF(OR(V116="",U116=""),"",IF(U116&lt;=0,"",IFERROR(V116/U116-1,"")))</f>
        <v/>
      </c>
      <c r="W117" s="15">
        <f>IF(OR(W116="",V116=""),"",IF(V116&lt;=0,"",IFERROR(W116/V116-1,"")))</f>
        <v/>
      </c>
      <c r="X117" s="15">
        <f>IF(OR(X116="",W116=""),"",IF(W116&lt;=0,"",IFERROR(X116/W116-1,"")))</f>
        <v/>
      </c>
    </row>
    <row r="118">
      <c r="A118" s="18" t="inlineStr">
        <is>
          <t>고정자산 매각이익</t>
        </is>
      </c>
      <c r="D118" s="20" t="n">
        <v>0</v>
      </c>
    </row>
    <row r="119">
      <c r="A119" s="18" t="inlineStr">
        <is>
          <t>투자유가증권 매각이익</t>
        </is>
      </c>
      <c r="C119" s="20" t="n">
        <v>0</v>
      </c>
      <c r="D119" s="20" t="n">
        <v>3486</v>
      </c>
      <c r="E119" s="20" t="n">
        <v>1959</v>
      </c>
      <c r="F119" s="20" t="n">
        <v>0</v>
      </c>
      <c r="G119" s="20" t="n">
        <v>652</v>
      </c>
      <c r="H119" s="20" t="n">
        <v>829</v>
      </c>
      <c r="I119" s="20" t="n">
        <v>2876</v>
      </c>
      <c r="J119" s="20" t="n">
        <v>54</v>
      </c>
      <c r="K119" s="20" t="n">
        <v>82</v>
      </c>
      <c r="L119" s="20" t="n">
        <v>2491</v>
      </c>
      <c r="M119" s="20" t="n">
        <v>2183</v>
      </c>
      <c r="N119" s="20" t="n">
        <v>-332</v>
      </c>
      <c r="U119" s="20" t="n">
        <v>2010</v>
      </c>
      <c r="V119" s="20" t="n">
        <v>0</v>
      </c>
      <c r="W119" s="20" t="n">
        <v>652</v>
      </c>
      <c r="X119" s="20" t="n">
        <v>82</v>
      </c>
    </row>
    <row r="120">
      <c r="A120" s="18" t="inlineStr">
        <is>
          <t>Gain On Investments In Silent Partnership And Other EI</t>
        </is>
      </c>
      <c r="C120" s="20" t="n">
        <v>38</v>
      </c>
      <c r="F120" s="20" t="n">
        <v>0</v>
      </c>
      <c r="G120" s="20" t="n">
        <v>53</v>
      </c>
      <c r="J120" s="20" t="n">
        <v>0</v>
      </c>
      <c r="K120" s="20" t="n">
        <v>187</v>
      </c>
      <c r="N120" s="20" t="n">
        <v>1</v>
      </c>
      <c r="U120" s="20" t="n">
        <v>66</v>
      </c>
      <c r="V120" s="20" t="n">
        <v>38</v>
      </c>
      <c r="W120" s="20" t="n">
        <v>53</v>
      </c>
      <c r="X120" s="20" t="n">
        <v>187</v>
      </c>
    </row>
    <row r="121">
      <c r="A121" s="18" t="inlineStr">
        <is>
          <t>Subsidies For Employment Adjustment Etc EI</t>
        </is>
      </c>
      <c r="C121" s="20" t="n">
        <v>0</v>
      </c>
      <c r="U121" s="20" t="n">
        <v>0</v>
      </c>
      <c r="V121" s="20" t="n">
        <v>0</v>
      </c>
    </row>
    <row r="122">
      <c r="A122" s="18" t="inlineStr">
        <is>
          <t>보상금 수취</t>
        </is>
      </c>
      <c r="C122" s="20" t="n">
        <v>0</v>
      </c>
      <c r="D122" s="20" t="n">
        <v>0</v>
      </c>
      <c r="E122" s="20" t="n">
        <v>0</v>
      </c>
      <c r="F122" s="20" t="n">
        <v>0</v>
      </c>
      <c r="G122" s="20" t="n">
        <v>0</v>
      </c>
      <c r="U122" s="20" t="n">
        <v>0</v>
      </c>
      <c r="V122" s="20" t="n">
        <v>0</v>
      </c>
      <c r="W122" s="20" t="n">
        <v>0</v>
      </c>
    </row>
    <row r="123">
      <c r="A123" s="18" t="inlineStr">
        <is>
          <t>기타</t>
        </is>
      </c>
      <c r="C123" s="20" t="n">
        <v>95</v>
      </c>
      <c r="D123" s="20" t="n">
        <v>24</v>
      </c>
      <c r="E123" s="20" t="n">
        <v>29</v>
      </c>
      <c r="F123" s="20" t="n">
        <v>0</v>
      </c>
      <c r="G123" s="20" t="n">
        <v>83</v>
      </c>
      <c r="H123" s="20" t="n">
        <v>176</v>
      </c>
      <c r="I123" s="20" t="n">
        <v>-80</v>
      </c>
      <c r="J123" s="20" t="n">
        <v>19</v>
      </c>
      <c r="K123" s="20" t="n">
        <v>5</v>
      </c>
      <c r="L123" s="20" t="n">
        <v>146</v>
      </c>
      <c r="M123" s="20" t="n">
        <v>-4</v>
      </c>
      <c r="N123" s="20" t="n">
        <v>1741</v>
      </c>
      <c r="U123" s="20" t="n">
        <v>-1</v>
      </c>
      <c r="V123" s="20" t="n">
        <v>95</v>
      </c>
      <c r="W123" s="20" t="n">
        <v>83</v>
      </c>
      <c r="X123" s="20" t="n">
        <v>5</v>
      </c>
    </row>
    <row r="124">
      <c r="A124" s="18" t="inlineStr">
        <is>
          <t>특별이익 합계</t>
        </is>
      </c>
      <c r="C124" s="20" t="n">
        <v>133</v>
      </c>
      <c r="D124" s="20" t="n">
        <v>3511</v>
      </c>
      <c r="E124" s="20" t="n">
        <v>2034</v>
      </c>
      <c r="F124" s="20" t="n">
        <v>0</v>
      </c>
      <c r="G124" s="20" t="n">
        <v>788</v>
      </c>
      <c r="H124" s="20" t="n">
        <v>1005</v>
      </c>
      <c r="I124" s="20" t="n">
        <v>3115</v>
      </c>
      <c r="J124" s="20" t="n">
        <v>73</v>
      </c>
      <c r="K124" s="20" t="n">
        <v>274</v>
      </c>
      <c r="L124" s="20" t="n">
        <v>2637</v>
      </c>
      <c r="M124" s="20" t="n">
        <v>2910</v>
      </c>
      <c r="N124" s="20" t="n">
        <v>1410</v>
      </c>
      <c r="U124" s="20" t="n">
        <v>2083</v>
      </c>
      <c r="V124" s="20" t="n">
        <v>133</v>
      </c>
      <c r="W124" s="20" t="n">
        <v>788</v>
      </c>
      <c r="X124" s="20" t="n">
        <v>274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IF(OR(G124="",C124=""),"",IF(G124*C124&lt;=0,"",IFERROR(G124/C124-1,"")))</f>
        <v/>
      </c>
      <c r="H125" s="15">
        <f>IF(OR(H124="",D124=""),"",IF(H124*D124&lt;=0,"",IFERROR(H124/D124-1,"")))</f>
        <v/>
      </c>
      <c r="I125" s="15">
        <f>IF(OR(I124="",E124=""),"",IF(I124*E124&lt;=0,"",IFERROR(I124/E124-1,"")))</f>
        <v/>
      </c>
      <c r="J125" s="15">
        <f>IF(OR(J124="",F124=""),"",IF(J124*F124&lt;=0,"",IFERROR(J124/F124-1,"")))</f>
        <v/>
      </c>
      <c r="K125" s="15">
        <f>IF(OR(K124="",G124=""),"",IF(K124*G124&lt;=0,"",IFERROR(K124/G124-1,"")))</f>
        <v/>
      </c>
      <c r="L125" s="15">
        <f>IF(OR(L124="",H124=""),"",IF(L124*H124&lt;=0,"",IFERROR(L124/H124-1,"")))</f>
        <v/>
      </c>
      <c r="M125" s="15">
        <f>IF(OR(M124="",I124=""),"",IF(M124*I124&lt;=0,"",IFERROR(M124/I124-1,"")))</f>
        <v/>
      </c>
      <c r="N125" s="15">
        <f>IF(OR(N124="",J124=""),"",IF(N124*J124&lt;=0,"",IFERROR(N124/J124-1,"")))</f>
        <v/>
      </c>
      <c r="U125" s="15">
        <f>IF(OR(U124="",T124=""),"",IF(U124*T124&lt;=0,"",IFERROR(U124/T124-1,"")))</f>
        <v/>
      </c>
      <c r="V125" s="15">
        <f>IF(OR(V124="",U124=""),"",IF(V124*U124&lt;=0,"",IFERROR(V124/U124-1,"")))</f>
        <v/>
      </c>
      <c r="W125" s="15">
        <f>IF(OR(W124="",V124=""),"",IF(W124*V124&lt;=0,"",IFERROR(W124/V124-1,"")))</f>
        <v/>
      </c>
      <c r="X125" s="15">
        <f>IF(OR(X124="",W124=""),"",IF(X124*W124&lt;=0,"",IFERROR(X124/W124-1,"")))</f>
        <v/>
      </c>
    </row>
    <row r="126">
      <c r="A126" s="18" t="inlineStr">
        <is>
          <t>고정자산 매각손실</t>
        </is>
      </c>
      <c r="D126" s="20" t="n">
        <v>0</v>
      </c>
    </row>
    <row r="127">
      <c r="A127" s="18" t="inlineStr">
        <is>
          <t>고정자산 제각손실</t>
        </is>
      </c>
      <c r="C127" s="20" t="n">
        <v>1340</v>
      </c>
      <c r="D127" s="20" t="n">
        <v>1304</v>
      </c>
      <c r="E127" s="20" t="n">
        <v>694</v>
      </c>
      <c r="F127" s="20" t="n">
        <v>384</v>
      </c>
      <c r="G127" s="20" t="n">
        <v>184</v>
      </c>
      <c r="H127" s="20" t="n">
        <v>608</v>
      </c>
      <c r="I127" s="20" t="n">
        <v>609</v>
      </c>
      <c r="J127" s="20" t="n">
        <v>104</v>
      </c>
      <c r="K127" s="20" t="n">
        <v>304</v>
      </c>
      <c r="L127" s="20" t="n">
        <v>176</v>
      </c>
      <c r="M127" s="20" t="n">
        <v>658</v>
      </c>
      <c r="N127" s="20" t="n">
        <v>1435</v>
      </c>
      <c r="U127" s="20" t="n">
        <v>1314</v>
      </c>
      <c r="V127" s="20" t="n">
        <v>1340</v>
      </c>
      <c r="W127" s="20" t="n">
        <v>184</v>
      </c>
      <c r="X127" s="20" t="n">
        <v>304</v>
      </c>
    </row>
    <row r="128">
      <c r="A128" s="18" t="inlineStr">
        <is>
          <t>Loss Arising From Building Reconstruction EL</t>
        </is>
      </c>
      <c r="C128" s="20" t="n">
        <v>61</v>
      </c>
      <c r="D128" s="20" t="n">
        <v>9</v>
      </c>
      <c r="E128" s="20" t="n">
        <v>138</v>
      </c>
      <c r="F128" s="20" t="n">
        <v>455</v>
      </c>
      <c r="G128" s="20" t="n">
        <v>1619</v>
      </c>
      <c r="H128" s="20" t="n">
        <v>218</v>
      </c>
      <c r="I128" s="20" t="n">
        <v>10</v>
      </c>
      <c r="J128" s="20" t="n">
        <v>508</v>
      </c>
      <c r="K128" s="20" t="n">
        <v>42</v>
      </c>
      <c r="L128" s="20" t="n">
        <v>408</v>
      </c>
      <c r="M128" s="20" t="n">
        <v>1401</v>
      </c>
      <c r="N128" s="20" t="n">
        <v>1</v>
      </c>
      <c r="U128" s="20" t="n">
        <v>1937</v>
      </c>
      <c r="V128" s="20" t="n">
        <v>61</v>
      </c>
      <c r="W128" s="20" t="n">
        <v>1619</v>
      </c>
      <c r="X128" s="20" t="n">
        <v>42</v>
      </c>
    </row>
    <row r="129">
      <c r="A129" s="18" t="inlineStr">
        <is>
          <t>손상차손</t>
        </is>
      </c>
      <c r="C129" s="20" t="n">
        <v>1153</v>
      </c>
      <c r="D129" s="20" t="n">
        <v>0</v>
      </c>
      <c r="E129" s="20" t="n">
        <v>31</v>
      </c>
      <c r="F129" s="20" t="n">
        <v>85</v>
      </c>
      <c r="G129" s="20" t="n">
        <v>1760</v>
      </c>
      <c r="H129" s="20" t="n">
        <v>415</v>
      </c>
      <c r="I129" s="20" t="n">
        <v>155</v>
      </c>
      <c r="J129" s="20" t="n">
        <v>5</v>
      </c>
      <c r="K129" s="20" t="n">
        <v>3058</v>
      </c>
      <c r="L129" s="20" t="n">
        <v>1564</v>
      </c>
      <c r="M129" s="20" t="n">
        <v>234</v>
      </c>
      <c r="N129" s="20" t="n">
        <v>54</v>
      </c>
      <c r="U129" s="20" t="n">
        <v>430</v>
      </c>
      <c r="V129" s="20" t="n">
        <v>1153</v>
      </c>
      <c r="W129" s="20" t="n">
        <v>1760</v>
      </c>
      <c r="X129" s="20" t="n">
        <v>3058</v>
      </c>
    </row>
    <row r="130">
      <c r="A130" s="18" t="inlineStr">
        <is>
          <t>단계적 취득 차손</t>
        </is>
      </c>
      <c r="C130" s="20" t="n">
        <v>0</v>
      </c>
      <c r="F130" s="20" t="n">
        <v>0</v>
      </c>
      <c r="G130" s="20" t="n">
        <v>0</v>
      </c>
      <c r="J130" s="20" t="n">
        <v>0</v>
      </c>
      <c r="K130" s="20" t="n">
        <v>0</v>
      </c>
      <c r="V130" s="20" t="n">
        <v>0</v>
      </c>
      <c r="W130" s="20" t="n">
        <v>0</v>
      </c>
      <c r="X130" s="20" t="n">
        <v>0</v>
      </c>
    </row>
    <row r="131">
      <c r="A131" s="18" t="inlineStr">
        <is>
          <t>기타</t>
        </is>
      </c>
      <c r="C131" s="20" t="n">
        <v>2</v>
      </c>
      <c r="D131" s="20" t="n">
        <v>10</v>
      </c>
      <c r="E131" s="20" t="n">
        <v>20</v>
      </c>
      <c r="F131" s="20" t="n">
        <v>8</v>
      </c>
      <c r="G131" s="20" t="n">
        <v>31</v>
      </c>
      <c r="H131" s="20" t="n">
        <v>0</v>
      </c>
      <c r="I131" s="20" t="n">
        <v>3</v>
      </c>
      <c r="J131" s="20" t="n">
        <v>9</v>
      </c>
      <c r="K131" s="20" t="n">
        <v>2</v>
      </c>
      <c r="L131" s="20" t="n">
        <v>20</v>
      </c>
      <c r="M131" s="20" t="n">
        <v>18</v>
      </c>
      <c r="N131" s="20" t="n">
        <v>15</v>
      </c>
      <c r="U131" s="20" t="n">
        <v>358</v>
      </c>
      <c r="V131" s="20" t="n">
        <v>2</v>
      </c>
      <c r="W131" s="20" t="n">
        <v>31</v>
      </c>
      <c r="X131" s="20" t="n">
        <v>2</v>
      </c>
    </row>
    <row r="132">
      <c r="A132" s="18" t="inlineStr">
        <is>
          <t>특별손실 합계</t>
        </is>
      </c>
      <c r="C132" s="20" t="n">
        <v>2556</v>
      </c>
      <c r="D132" s="20" t="n">
        <v>1325</v>
      </c>
      <c r="E132" s="20" t="n">
        <v>3675</v>
      </c>
      <c r="F132" s="20" t="n">
        <v>932</v>
      </c>
      <c r="G132" s="20" t="n">
        <v>3595</v>
      </c>
      <c r="H132" s="20" t="n">
        <v>1242</v>
      </c>
      <c r="I132" s="20" t="n">
        <v>777</v>
      </c>
      <c r="J132" s="20" t="n">
        <v>627</v>
      </c>
      <c r="K132" s="20" t="n">
        <v>3406</v>
      </c>
      <c r="L132" s="20" t="n">
        <v>2169</v>
      </c>
      <c r="M132" s="20" t="n">
        <v>2311</v>
      </c>
      <c r="N132" s="20" t="n">
        <v>1504</v>
      </c>
      <c r="U132" s="20" t="n">
        <v>4050</v>
      </c>
      <c r="V132" s="20" t="n">
        <v>2556</v>
      </c>
      <c r="W132" s="20" t="n">
        <v>3595</v>
      </c>
      <c r="X132" s="20" t="n">
        <v>3406</v>
      </c>
    </row>
    <row r="133">
      <c r="A133" s="43" t="inlineStr">
        <is>
          <t>YoY</t>
        </is>
      </c>
      <c r="B133" s="3" t="inlineStr">
        <is>
          <t>전년 같은 분기·전년 대비</t>
        </is>
      </c>
      <c r="G133" s="15">
        <f>IF(OR(G132="",C132=""),"",IF(G132*C132&lt;=0,"",IFERROR(G132/C132-1,"")))</f>
        <v/>
      </c>
      <c r="H133" s="15">
        <f>IF(OR(H132="",D132=""),"",IF(H132*D132&lt;=0,"",IFERROR(H132/D132-1,"")))</f>
        <v/>
      </c>
      <c r="I133" s="15">
        <f>IF(OR(I132="",E132=""),"",IF(I132*E132&lt;=0,"",IFERROR(I132/E132-1,"")))</f>
        <v/>
      </c>
      <c r="J133" s="15">
        <f>IF(OR(J132="",F132=""),"",IF(J132*F132&lt;=0,"",IFERROR(J132/F132-1,"")))</f>
        <v/>
      </c>
      <c r="K133" s="15">
        <f>IF(OR(K132="",G132=""),"",IF(K132*G132&lt;=0,"",IFERROR(K132/G132-1,"")))</f>
        <v/>
      </c>
      <c r="L133" s="15">
        <f>IF(OR(L132="",H132=""),"",IF(L132*H132&lt;=0,"",IFERROR(L132/H132-1,"")))</f>
        <v/>
      </c>
      <c r="M133" s="15">
        <f>IF(OR(M132="",I132=""),"",IF(M132*I132&lt;=0,"",IFERROR(M132/I132-1,"")))</f>
        <v/>
      </c>
      <c r="N133" s="15">
        <f>IF(OR(N132="",J132=""),"",IF(N132*J132&lt;=0,"",IFERROR(N132/J132-1,"")))</f>
        <v/>
      </c>
      <c r="U133" s="15">
        <f>IF(OR(U132="",T132=""),"",IF(U132*T132&lt;=0,"",IFERROR(U132/T132-1,"")))</f>
        <v/>
      </c>
      <c r="V133" s="15">
        <f>IF(OR(V132="",U132=""),"",IF(V132*U132&lt;=0,"",IFERROR(V132/U132-1,"")))</f>
        <v/>
      </c>
      <c r="W133" s="15">
        <f>IF(OR(W132="",V132=""),"",IF(W132*V132&lt;=0,"",IFERROR(W132/V132-1,"")))</f>
        <v/>
      </c>
      <c r="X133" s="15">
        <f>IF(OR(X132="",W132=""),"",IF(X132*W132&lt;=0,"",IFERROR(X132/W132-1,"")))</f>
        <v/>
      </c>
    </row>
    <row r="134">
      <c r="A134" s="9" t="inlineStr">
        <is>
          <t>법인세차감전 순이익</t>
        </is>
      </c>
      <c r="C134" s="12" t="n">
        <v>51425</v>
      </c>
      <c r="D134" s="12" t="n">
        <v>23427</v>
      </c>
      <c r="E134" s="12" t="n">
        <v>41973</v>
      </c>
      <c r="F134" s="12" t="n">
        <v>15854</v>
      </c>
      <c r="G134" s="12" t="n">
        <v>69882</v>
      </c>
      <c r="H134" s="12" t="n">
        <v>27774</v>
      </c>
      <c r="I134" s="12" t="n">
        <v>40874</v>
      </c>
      <c r="J134" s="12" t="n">
        <v>24452</v>
      </c>
      <c r="K134" s="12" t="n">
        <v>78243</v>
      </c>
      <c r="L134" s="12" t="n">
        <v>27454</v>
      </c>
      <c r="M134" s="12" t="n">
        <v>44474</v>
      </c>
      <c r="N134" s="12" t="n">
        <v>30143</v>
      </c>
      <c r="U134" s="12" t="n">
        <v>45177</v>
      </c>
      <c r="V134" s="12" t="n">
        <v>51425</v>
      </c>
      <c r="W134" s="12" t="n">
        <v>69882</v>
      </c>
      <c r="X134" s="12" t="n">
        <v>78243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IF(OR(G134="",C134=""),"",IF(C134&lt;=0,"",IFERROR(G134/C134-1,"")))</f>
        <v/>
      </c>
      <c r="H135" s="15">
        <f>IF(OR(H134="",D134=""),"",IF(D134&lt;=0,"",IFERROR(H134/D134-1,"")))</f>
        <v/>
      </c>
      <c r="I135" s="15">
        <f>IF(OR(I134="",E134=""),"",IF(E134&lt;=0,"",IFERROR(I134/E134-1,"")))</f>
        <v/>
      </c>
      <c r="J135" s="15">
        <f>IF(OR(J134="",F134=""),"",IF(F134&lt;=0,"",IFERROR(J134/F134-1,"")))</f>
        <v/>
      </c>
      <c r="K135" s="15">
        <f>IF(OR(K134="",G134=""),"",IF(G134&lt;=0,"",IFERROR(K134/G134-1,"")))</f>
        <v/>
      </c>
      <c r="L135" s="15">
        <f>IF(OR(L134="",H134=""),"",IF(H134&lt;=0,"",IFERROR(L134/H134-1,"")))</f>
        <v/>
      </c>
      <c r="M135" s="15">
        <f>IF(OR(M134="",I134=""),"",IF(I134&lt;=0,"",IFERROR(M134/I134-1,"")))</f>
        <v/>
      </c>
      <c r="N135" s="15">
        <f>IF(OR(N134="",J134=""),"",IF(J134&lt;=0,"",IFERROR(N134/J134-1,"")))</f>
        <v/>
      </c>
      <c r="U135" s="15">
        <f>IF(OR(U134="",T134=""),"",IF(T134&lt;=0,"",IFERROR(U134/T134-1,"")))</f>
        <v/>
      </c>
      <c r="V135" s="15">
        <f>IF(OR(V134="",U134=""),"",IF(U134&lt;=0,"",IFERROR(V134/U134-1,"")))</f>
        <v/>
      </c>
      <c r="W135" s="15">
        <f>IF(OR(W134="",V134=""),"",IF(V134&lt;=0,"",IFERROR(W134/V134-1,"")))</f>
        <v/>
      </c>
      <c r="X135" s="15">
        <f>IF(OR(X134="",W134=""),"",IF(W134&lt;=0,"",IFERROR(X134/W134-1,"")))</f>
        <v/>
      </c>
    </row>
    <row r="136">
      <c r="A136" s="18" t="inlineStr">
        <is>
          <t>법인세·주민세·사업세</t>
        </is>
      </c>
      <c r="C136" s="20" t="n">
        <v>3111</v>
      </c>
      <c r="D136" s="20" t="n">
        <v>7954</v>
      </c>
      <c r="E136" s="20" t="n">
        <v>13379</v>
      </c>
      <c r="F136" s="20" t="n">
        <v>5387</v>
      </c>
      <c r="G136" s="20" t="n">
        <v>14703</v>
      </c>
      <c r="H136" s="20" t="n">
        <v>9672</v>
      </c>
      <c r="I136" s="20" t="n">
        <v>14000</v>
      </c>
      <c r="J136" s="20" t="n">
        <v>11095</v>
      </c>
      <c r="K136" s="20" t="n">
        <v>18528</v>
      </c>
      <c r="L136" s="20" t="n">
        <v>15991</v>
      </c>
      <c r="M136" s="20" t="n">
        <v>13129</v>
      </c>
      <c r="N136" s="20" t="n">
        <v>9976</v>
      </c>
      <c r="U136" s="20" t="n">
        <v>1720</v>
      </c>
      <c r="V136" s="20" t="n">
        <v>3111</v>
      </c>
      <c r="W136" s="20" t="n">
        <v>14703</v>
      </c>
      <c r="X136" s="20" t="n">
        <v>18528</v>
      </c>
    </row>
    <row r="137">
      <c r="A137" s="18" t="inlineStr">
        <is>
          <t>법인세 조정액</t>
        </is>
      </c>
      <c r="C137" s="20" t="n">
        <v>12308</v>
      </c>
      <c r="D137" s="20" t="n">
        <v>-471</v>
      </c>
      <c r="E137" s="20" t="n">
        <v>222</v>
      </c>
      <c r="F137" s="20" t="n">
        <v>-566</v>
      </c>
      <c r="G137" s="20" t="n">
        <v>7237</v>
      </c>
      <c r="H137" s="20" t="n">
        <v>717</v>
      </c>
      <c r="I137" s="20" t="n">
        <v>-821</v>
      </c>
      <c r="J137" s="20" t="n">
        <v>-2829</v>
      </c>
      <c r="K137" s="20" t="n">
        <v>5718</v>
      </c>
      <c r="L137" s="20" t="n">
        <v>-7144</v>
      </c>
      <c r="M137" s="20" t="n">
        <v>-634</v>
      </c>
      <c r="N137" s="20" t="n">
        <v>-196</v>
      </c>
      <c r="U137" s="20" t="n">
        <v>12963</v>
      </c>
      <c r="V137" s="20" t="n">
        <v>12308</v>
      </c>
      <c r="W137" s="20" t="n">
        <v>7237</v>
      </c>
      <c r="X137" s="20" t="n">
        <v>5718</v>
      </c>
    </row>
    <row r="138">
      <c r="A138" s="18" t="inlineStr">
        <is>
          <t>법인세 등 합계</t>
        </is>
      </c>
      <c r="C138" s="20" t="n">
        <v>15421</v>
      </c>
      <c r="D138" s="20" t="n">
        <v>7483</v>
      </c>
      <c r="E138" s="20" t="n">
        <v>13600</v>
      </c>
      <c r="F138" s="20" t="n">
        <v>4821</v>
      </c>
      <c r="G138" s="20" t="n">
        <v>21941</v>
      </c>
      <c r="H138" s="20" t="n">
        <v>10390</v>
      </c>
      <c r="I138" s="20" t="n">
        <v>13178</v>
      </c>
      <c r="J138" s="20" t="n">
        <v>8266</v>
      </c>
      <c r="K138" s="20" t="n">
        <v>24247</v>
      </c>
      <c r="L138" s="20" t="n">
        <v>8847</v>
      </c>
      <c r="M138" s="20" t="n">
        <v>12495</v>
      </c>
      <c r="N138" s="20" t="n">
        <v>9780</v>
      </c>
      <c r="U138" s="20" t="n">
        <v>14685</v>
      </c>
      <c r="V138" s="20" t="n">
        <v>15421</v>
      </c>
      <c r="W138" s="20" t="n">
        <v>21941</v>
      </c>
      <c r="X138" s="20" t="n">
        <v>24247</v>
      </c>
    </row>
    <row r="139">
      <c r="A139" s="43" t="inlineStr">
        <is>
          <t>YoY</t>
        </is>
      </c>
      <c r="B139" s="3" t="inlineStr">
        <is>
          <t>전년 같은 분기·전년 대비</t>
        </is>
      </c>
      <c r="G139" s="15">
        <f>IF(OR(G138="",C138=""),"",IF(G138*C138&lt;=0,"",IFERROR(G138/C138-1,"")))</f>
        <v/>
      </c>
      <c r="H139" s="15">
        <f>IF(OR(H138="",D138=""),"",IF(H138*D138&lt;=0,"",IFERROR(H138/D138-1,"")))</f>
        <v/>
      </c>
      <c r="I139" s="15">
        <f>IF(OR(I138="",E138=""),"",IF(I138*E138&lt;=0,"",IFERROR(I138/E138-1,"")))</f>
        <v/>
      </c>
      <c r="J139" s="15">
        <f>IF(OR(J138="",F138=""),"",IF(J138*F138&lt;=0,"",IFERROR(J138/F138-1,"")))</f>
        <v/>
      </c>
      <c r="K139" s="15">
        <f>IF(OR(K138="",G138=""),"",IF(K138*G138&lt;=0,"",IFERROR(K138/G138-1,"")))</f>
        <v/>
      </c>
      <c r="L139" s="15">
        <f>IF(OR(L138="",H138=""),"",IF(L138*H138&lt;=0,"",IFERROR(L138/H138-1,"")))</f>
        <v/>
      </c>
      <c r="M139" s="15">
        <f>IF(OR(M138="",I138=""),"",IF(M138*I138&lt;=0,"",IFERROR(M138/I138-1,"")))</f>
        <v/>
      </c>
      <c r="N139" s="15">
        <f>IF(OR(N138="",J138=""),"",IF(N138*J138&lt;=0,"",IFERROR(N138/J138-1,"")))</f>
        <v/>
      </c>
      <c r="U139" s="15">
        <f>IF(OR(U138="",T138=""),"",IF(U138*T138&lt;=0,"",IFERROR(U138/T138-1,"")))</f>
        <v/>
      </c>
      <c r="V139" s="15">
        <f>IF(OR(V138="",U138=""),"",IF(V138*U138&lt;=0,"",IFERROR(V138/U138-1,"")))</f>
        <v/>
      </c>
      <c r="W139" s="15">
        <f>IF(OR(W138="",V138=""),"",IF(W138*V138&lt;=0,"",IFERROR(W138/V138-1,"")))</f>
        <v/>
      </c>
      <c r="X139" s="15">
        <f>IF(OR(X138="",W138=""),"",IF(X138*W138&lt;=0,"",IFERROR(X138/W138-1,"")))</f>
        <v/>
      </c>
    </row>
    <row r="140">
      <c r="A140" s="9" t="inlineStr">
        <is>
          <t>순이익</t>
        </is>
      </c>
      <c r="C140" s="12" t="n">
        <v>36004</v>
      </c>
      <c r="D140" s="12" t="n">
        <v>15944</v>
      </c>
      <c r="E140" s="12" t="n">
        <v>28373</v>
      </c>
      <c r="F140" s="12" t="n">
        <v>11032</v>
      </c>
      <c r="G140" s="12" t="n">
        <v>47941</v>
      </c>
      <c r="H140" s="12" t="n">
        <v>17383</v>
      </c>
      <c r="I140" s="12" t="n">
        <v>27696</v>
      </c>
      <c r="J140" s="12" t="n">
        <v>16186</v>
      </c>
      <c r="K140" s="12" t="n">
        <v>53996</v>
      </c>
      <c r="L140" s="12" t="n">
        <v>18606</v>
      </c>
      <c r="M140" s="12" t="n">
        <v>31980</v>
      </c>
      <c r="N140" s="12" t="n">
        <v>20363</v>
      </c>
      <c r="U140" s="12" t="n">
        <v>30492</v>
      </c>
      <c r="V140" s="12" t="n">
        <v>36004</v>
      </c>
      <c r="W140" s="12" t="n">
        <v>47941</v>
      </c>
      <c r="X140" s="12" t="n">
        <v>53996</v>
      </c>
    </row>
    <row r="141">
      <c r="A141" s="43" t="inlineStr">
        <is>
          <t>YoY</t>
        </is>
      </c>
      <c r="B141" s="3" t="inlineStr">
        <is>
          <t>전년 같은 분기·전년 대비</t>
        </is>
      </c>
      <c r="G141" s="15">
        <f>IF(OR(G140="",C140=""),"",IF(C140&lt;=0,"",IFERROR(G140/C140-1,"")))</f>
        <v/>
      </c>
      <c r="H141" s="15">
        <f>IF(OR(H140="",D140=""),"",IF(D140&lt;=0,"",IFERROR(H140/D140-1,"")))</f>
        <v/>
      </c>
      <c r="I141" s="15">
        <f>IF(OR(I140="",E140=""),"",IF(E140&lt;=0,"",IFERROR(I140/E140-1,"")))</f>
        <v/>
      </c>
      <c r="J141" s="15">
        <f>IF(OR(J140="",F140=""),"",IF(F140&lt;=0,"",IFERROR(J140/F140-1,"")))</f>
        <v/>
      </c>
      <c r="K141" s="15">
        <f>IF(OR(K140="",G140=""),"",IF(G140&lt;=0,"",IFERROR(K140/G140-1,"")))</f>
        <v/>
      </c>
      <c r="L141" s="15">
        <f>IF(OR(L140="",H140=""),"",IF(H140&lt;=0,"",IFERROR(L140/H140-1,"")))</f>
        <v/>
      </c>
      <c r="M141" s="15">
        <f>IF(OR(M140="",I140=""),"",IF(I140&lt;=0,"",IFERROR(M140/I140-1,"")))</f>
        <v/>
      </c>
      <c r="N141" s="15">
        <f>IF(OR(N140="",J140=""),"",IF(J140&lt;=0,"",IFERROR(N140/J140-1,"")))</f>
        <v/>
      </c>
      <c r="U141" s="15">
        <f>IF(OR(U140="",T140=""),"",IF(T140&lt;=0,"",IFERROR(U140/T140-1,"")))</f>
        <v/>
      </c>
      <c r="V141" s="15">
        <f>IF(OR(V140="",U140=""),"",IF(U140&lt;=0,"",IFERROR(V140/U140-1,"")))</f>
        <v/>
      </c>
      <c r="W141" s="15">
        <f>IF(OR(W140="",V140=""),"",IF(V140&lt;=0,"",IFERROR(W140/V140-1,"")))</f>
        <v/>
      </c>
      <c r="X141" s="15">
        <f>IF(OR(X140="",W140=""),"",IF(W140&lt;=0,"",IFERROR(X140/W140-1,"")))</f>
        <v/>
      </c>
    </row>
    <row r="142">
      <c r="A142" s="9" t="inlineStr">
        <is>
          <t>비지배주주 순이익</t>
        </is>
      </c>
      <c r="C142" s="12" t="n">
        <v>76</v>
      </c>
      <c r="D142" s="12" t="n">
        <v>85</v>
      </c>
      <c r="E142" s="12" t="n">
        <v>101</v>
      </c>
      <c r="F142" s="12" t="n">
        <v>566</v>
      </c>
      <c r="G142" s="12" t="n">
        <v>197</v>
      </c>
      <c r="H142" s="12" t="n">
        <v>208</v>
      </c>
      <c r="I142" s="12" t="n">
        <v>-22</v>
      </c>
      <c r="J142" s="12" t="n">
        <v>455</v>
      </c>
      <c r="K142" s="12" t="n">
        <v>286</v>
      </c>
      <c r="L142" s="12" t="n">
        <v>465</v>
      </c>
      <c r="M142" s="12" t="n">
        <v>143</v>
      </c>
      <c r="N142" s="12" t="n">
        <v>870</v>
      </c>
      <c r="U142" s="12" t="n">
        <v>9</v>
      </c>
      <c r="V142" s="12" t="n">
        <v>76</v>
      </c>
      <c r="W142" s="12" t="n">
        <v>197</v>
      </c>
      <c r="X142" s="12" t="n">
        <v>286</v>
      </c>
    </row>
    <row r="143">
      <c r="A143" s="9" t="inlineStr">
        <is>
          <t>지배주주 순이익</t>
        </is>
      </c>
      <c r="C143" s="12" t="n">
        <v>35928</v>
      </c>
      <c r="D143" s="12" t="n">
        <v>15858</v>
      </c>
      <c r="E143" s="12" t="n">
        <v>28272</v>
      </c>
      <c r="F143" s="12" t="n">
        <v>10466</v>
      </c>
      <c r="G143" s="12" t="n">
        <v>47745</v>
      </c>
      <c r="H143" s="12" t="n">
        <v>17175</v>
      </c>
      <c r="I143" s="12" t="n">
        <v>27718</v>
      </c>
      <c r="J143" s="12" t="n">
        <v>15731</v>
      </c>
      <c r="K143" s="12" t="n">
        <v>53710</v>
      </c>
      <c r="L143" s="12" t="n">
        <v>18141</v>
      </c>
      <c r="M143" s="12" t="n">
        <v>31837</v>
      </c>
      <c r="N143" s="12" t="n">
        <v>19492</v>
      </c>
      <c r="U143" s="12" t="n">
        <v>30483</v>
      </c>
      <c r="V143" s="12" t="n">
        <v>35928</v>
      </c>
      <c r="W143" s="12" t="n">
        <v>47745</v>
      </c>
      <c r="X143" s="12" t="n">
        <v>53710</v>
      </c>
    </row>
    <row r="144">
      <c r="A144" s="43" t="inlineStr">
        <is>
          <t>YoY</t>
        </is>
      </c>
      <c r="B144" s="3" t="inlineStr">
        <is>
          <t>전년 같은 분기·전년 대비</t>
        </is>
      </c>
      <c r="G144" s="15">
        <f>IF(OR(G143="",C143=""),"",IF(C143&lt;=0,"",IFERROR(G143/C143-1,"")))</f>
        <v/>
      </c>
      <c r="H144" s="15">
        <f>IF(OR(H143="",D143=""),"",IF(D143&lt;=0,"",IFERROR(H143/D143-1,"")))</f>
        <v/>
      </c>
      <c r="I144" s="15">
        <f>IF(OR(I143="",E143=""),"",IF(E143&lt;=0,"",IFERROR(I143/E143-1,"")))</f>
        <v/>
      </c>
      <c r="J144" s="15">
        <f>IF(OR(J143="",F143=""),"",IF(F143&lt;=0,"",IFERROR(J143/F143-1,"")))</f>
        <v/>
      </c>
      <c r="K144" s="15">
        <f>IF(OR(K143="",G143=""),"",IF(G143&lt;=0,"",IFERROR(K143/G143-1,"")))</f>
        <v/>
      </c>
      <c r="L144" s="15">
        <f>IF(OR(L143="",H143=""),"",IF(H143&lt;=0,"",IFERROR(L143/H143-1,"")))</f>
        <v/>
      </c>
      <c r="M144" s="15">
        <f>IF(OR(M143="",I143=""),"",IF(I143&lt;=0,"",IFERROR(M143/I143-1,"")))</f>
        <v/>
      </c>
      <c r="N144" s="15">
        <f>IF(OR(N143="",J143=""),"",IF(J143&lt;=0,"",IFERROR(N143/J143-1,"")))</f>
        <v/>
      </c>
      <c r="U144" s="15">
        <f>IF(OR(U143="",T143=""),"",IF(T143&lt;=0,"",IFERROR(U143/T143-1,"")))</f>
        <v/>
      </c>
      <c r="V144" s="15">
        <f>IF(OR(V143="",U143=""),"",IF(U143&lt;=0,"",IFERROR(V143/U143-1,"")))</f>
        <v/>
      </c>
      <c r="W144" s="15">
        <f>IF(OR(W143="",V143=""),"",IF(V143&lt;=0,"",IFERROR(W143/V143-1,"")))</f>
        <v/>
      </c>
      <c r="X144" s="15">
        <f>IF(OR(X143="",W143=""),"",IF(W143&lt;=0,"",IFERROR(X143/W143-1,"")))</f>
        <v/>
      </c>
    </row>
    <row r="146">
      <c r="A146" s="16" t="inlineStr">
        <is>
          <t>포괄손익 · 전 항목</t>
        </is>
      </c>
      <c r="B146" s="42" t="inlineStr">
        <is>
          <t>분기 = 3개월 단독</t>
        </is>
      </c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  <c r="AA146" s="16" t="n"/>
      <c r="AB146" s="16" t="n"/>
      <c r="AC146" s="16" t="n"/>
    </row>
    <row r="147">
      <c r="A147" s="5" t="inlineStr">
        <is>
          <t>항목</t>
        </is>
      </c>
      <c r="B147" s="5" t="inlineStr">
        <is>
          <t>참고</t>
        </is>
      </c>
      <c r="C147" s="5" t="inlineStr">
        <is>
          <t>2023.4Q</t>
        </is>
      </c>
      <c r="D147" s="5" t="inlineStr">
        <is>
          <t>2024.1Q</t>
        </is>
      </c>
      <c r="E147" s="5" t="inlineStr">
        <is>
          <t>2024.2Q</t>
        </is>
      </c>
      <c r="F147" s="5" t="inlineStr">
        <is>
          <t>2024.3Q</t>
        </is>
      </c>
      <c r="G147" s="5" t="inlineStr">
        <is>
          <t>2024.4Q</t>
        </is>
      </c>
      <c r="H147" s="5" t="inlineStr">
        <is>
          <t>2025.1Q</t>
        </is>
      </c>
      <c r="I147" s="5" t="inlineStr">
        <is>
          <t>2025.2Q</t>
        </is>
      </c>
      <c r="J147" s="5" t="inlineStr">
        <is>
          <t>2025.3Q</t>
        </is>
      </c>
      <c r="K147" s="5" t="inlineStr">
        <is>
          <t>2025.4Q</t>
        </is>
      </c>
      <c r="L147" s="5" t="inlineStr">
        <is>
          <t>2026.1Q</t>
        </is>
      </c>
      <c r="M147" s="5" t="inlineStr">
        <is>
          <t>2026.2Q</t>
        </is>
      </c>
      <c r="N147" s="5" t="inlineStr">
        <is>
          <t>2026.3Q</t>
        </is>
      </c>
      <c r="O147" s="5" t="inlineStr">
        <is>
          <t>2016</t>
        </is>
      </c>
      <c r="P147" s="5" t="inlineStr">
        <is>
          <t>2017</t>
        </is>
      </c>
      <c r="Q147" s="5" t="inlineStr">
        <is>
          <t>2018</t>
        </is>
      </c>
      <c r="R147" s="5" t="inlineStr">
        <is>
          <t>2019</t>
        </is>
      </c>
      <c r="S147" s="5" t="inlineStr">
        <is>
          <t>2020</t>
        </is>
      </c>
      <c r="T147" s="5" t="inlineStr">
        <is>
          <t>2021</t>
        </is>
      </c>
      <c r="U147" s="5" t="inlineStr">
        <is>
          <t>2022</t>
        </is>
      </c>
      <c r="V147" s="5" t="inlineStr">
        <is>
          <t>2023</t>
        </is>
      </c>
      <c r="W147" s="5" t="inlineStr">
        <is>
          <t>2024</t>
        </is>
      </c>
      <c r="X147" s="5" t="inlineStr">
        <is>
          <t>2025</t>
        </is>
      </c>
      <c r="Y147" s="5" t="inlineStr">
        <is>
          <t>2026(MW)</t>
        </is>
      </c>
      <c r="Z147" s="5" t="inlineStr">
        <is>
          <t>2027(MW)</t>
        </is>
      </c>
      <c r="AA147" s="5" t="inlineStr">
        <is>
          <t>2028(MW)</t>
        </is>
      </c>
      <c r="AB147" s="5" t="inlineStr">
        <is>
          <t>2029(MW)</t>
        </is>
      </c>
      <c r="AC147" s="5" t="inlineStr">
        <is>
          <t>2030(MW)</t>
        </is>
      </c>
    </row>
    <row r="148">
      <c r="A148" s="9" t="inlineStr">
        <is>
          <t>순이익</t>
        </is>
      </c>
      <c r="C148" s="12" t="n">
        <v>36004</v>
      </c>
      <c r="D148" s="12" t="n">
        <v>15944</v>
      </c>
      <c r="E148" s="12" t="n">
        <v>28373</v>
      </c>
      <c r="F148" s="12" t="n">
        <v>11032</v>
      </c>
      <c r="G148" s="12" t="n">
        <v>47941</v>
      </c>
      <c r="H148" s="12" t="n">
        <v>17383</v>
      </c>
      <c r="I148" s="12" t="n">
        <v>27696</v>
      </c>
      <c r="J148" s="12" t="n">
        <v>16186</v>
      </c>
      <c r="K148" s="12" t="n">
        <v>53996</v>
      </c>
      <c r="L148" s="12" t="n">
        <v>18606</v>
      </c>
      <c r="M148" s="12" t="n">
        <v>31980</v>
      </c>
      <c r="N148" s="12" t="n">
        <v>20363</v>
      </c>
      <c r="U148" s="12" t="n">
        <v>30492</v>
      </c>
      <c r="V148" s="12" t="n">
        <v>36004</v>
      </c>
      <c r="W148" s="12" t="n">
        <v>47941</v>
      </c>
      <c r="X148" s="12" t="n">
        <v>53996</v>
      </c>
    </row>
    <row r="149">
      <c r="A149" s="18" t="inlineStr">
        <is>
          <t>기타유가증권 평가차액</t>
        </is>
      </c>
      <c r="C149" s="20" t="n">
        <v>-1156</v>
      </c>
      <c r="D149" s="20" t="n">
        <v>11163</v>
      </c>
      <c r="E149" s="20" t="n">
        <v>-2679</v>
      </c>
      <c r="F149" s="20" t="n">
        <v>-8214</v>
      </c>
      <c r="G149" s="20" t="n">
        <v>6540</v>
      </c>
      <c r="H149" s="20" t="n">
        <v>765</v>
      </c>
      <c r="I149" s="20" t="n">
        <v>2096</v>
      </c>
      <c r="J149" s="20" t="n">
        <v>10258</v>
      </c>
      <c r="K149" s="20" t="n">
        <v>6649</v>
      </c>
      <c r="L149" s="20" t="n">
        <v>507</v>
      </c>
      <c r="M149" s="20" t="n">
        <v>4624</v>
      </c>
      <c r="N149" s="20" t="n">
        <v>7861</v>
      </c>
      <c r="U149" s="20" t="n">
        <v>353</v>
      </c>
      <c r="V149" s="20" t="n">
        <v>-1156</v>
      </c>
      <c r="W149" s="20" t="n">
        <v>6540</v>
      </c>
      <c r="X149" s="20" t="n">
        <v>6649</v>
      </c>
    </row>
    <row r="150">
      <c r="A150" s="18" t="inlineStr">
        <is>
          <t>이연헤지손익</t>
        </is>
      </c>
      <c r="C150" s="20" t="n">
        <v>57</v>
      </c>
      <c r="D150" s="20" t="n">
        <v>-120</v>
      </c>
      <c r="E150" s="20" t="n">
        <v>-123</v>
      </c>
      <c r="F150" s="20" t="n">
        <v>162</v>
      </c>
      <c r="G150" s="20" t="n">
        <v>0</v>
      </c>
      <c r="H150" s="20" t="n">
        <v>7</v>
      </c>
      <c r="I150" s="20" t="n">
        <v>-527</v>
      </c>
      <c r="J150" s="20" t="n">
        <v>19</v>
      </c>
      <c r="K150" s="20" t="n">
        <v>19</v>
      </c>
      <c r="L150" s="20" t="n">
        <v>18</v>
      </c>
      <c r="M150" s="20" t="n">
        <v>20</v>
      </c>
      <c r="N150" s="20" t="n">
        <v>19</v>
      </c>
      <c r="U150" s="20" t="n">
        <v>111</v>
      </c>
      <c r="V150" s="20" t="n">
        <v>57</v>
      </c>
      <c r="W150" s="20" t="n">
        <v>0</v>
      </c>
      <c r="X150" s="20" t="n">
        <v>19</v>
      </c>
    </row>
    <row r="151">
      <c r="A151" s="18" t="inlineStr">
        <is>
          <t>해외사업환산조정</t>
        </is>
      </c>
      <c r="C151" s="20" t="n">
        <v>0</v>
      </c>
      <c r="D151" s="20" t="n">
        <v>0</v>
      </c>
      <c r="E151" s="20" t="n">
        <v>0</v>
      </c>
      <c r="F151" s="20" t="n">
        <v>171</v>
      </c>
      <c r="G151" s="20" t="n">
        <v>-1234</v>
      </c>
      <c r="H151" s="20" t="n">
        <v>1468</v>
      </c>
      <c r="I151" s="20" t="n">
        <v>-1138</v>
      </c>
      <c r="J151" s="20" t="n">
        <v>-624</v>
      </c>
      <c r="K151" s="20" t="n">
        <v>1028</v>
      </c>
      <c r="L151" s="20" t="n">
        <v>2769</v>
      </c>
      <c r="M151" s="20" t="n">
        <v>1811</v>
      </c>
      <c r="N151" s="20" t="n">
        <v>1747</v>
      </c>
      <c r="V151" s="20" t="n">
        <v>0</v>
      </c>
      <c r="W151" s="20" t="n">
        <v>-1234</v>
      </c>
      <c r="X151" s="20" t="n">
        <v>1028</v>
      </c>
    </row>
    <row r="152">
      <c r="A152" s="18" t="inlineStr">
        <is>
          <t>퇴직급여 조정액</t>
        </is>
      </c>
      <c r="C152" s="20" t="n">
        <v>28</v>
      </c>
      <c r="D152" s="20" t="n">
        <v>-71</v>
      </c>
      <c r="E152" s="20" t="n">
        <v>-13</v>
      </c>
      <c r="F152" s="20" t="n">
        <v>-12</v>
      </c>
      <c r="G152" s="20" t="n">
        <v>-383</v>
      </c>
      <c r="H152" s="20" t="n">
        <v>-56</v>
      </c>
      <c r="I152" s="20" t="n">
        <v>11</v>
      </c>
      <c r="J152" s="20" t="n">
        <v>12</v>
      </c>
      <c r="K152" s="20" t="n">
        <v>203</v>
      </c>
      <c r="L152" s="20" t="n">
        <v>248</v>
      </c>
      <c r="M152" s="20" t="n">
        <v>8</v>
      </c>
      <c r="N152" s="20" t="n">
        <v>-20</v>
      </c>
      <c r="U152" s="20" t="n">
        <v>-40</v>
      </c>
      <c r="V152" s="20" t="n">
        <v>28</v>
      </c>
      <c r="W152" s="20" t="n">
        <v>-383</v>
      </c>
      <c r="X152" s="20" t="n">
        <v>203</v>
      </c>
    </row>
    <row r="153">
      <c r="A153" s="18" t="inlineStr">
        <is>
          <t>지분법 적용회사 지분 해당액</t>
        </is>
      </c>
      <c r="C153" s="20" t="n">
        <v>76</v>
      </c>
      <c r="D153" s="20" t="n">
        <v>-45</v>
      </c>
      <c r="E153" s="20" t="n">
        <v>-132</v>
      </c>
      <c r="F153" s="20" t="n">
        <v>-25</v>
      </c>
      <c r="G153" s="20" t="n">
        <v>-34</v>
      </c>
      <c r="H153" s="20" t="n">
        <v>24</v>
      </c>
      <c r="I153" s="20" t="n">
        <v>-166</v>
      </c>
      <c r="J153" s="20" t="n">
        <v>-3</v>
      </c>
      <c r="K153" s="20" t="n">
        <v>34</v>
      </c>
      <c r="L153" s="20" t="n">
        <v>33</v>
      </c>
      <c r="M153" s="20" t="n">
        <v>32</v>
      </c>
      <c r="N153" s="20" t="n">
        <v>-31</v>
      </c>
      <c r="U153" s="20" t="n">
        <v>16</v>
      </c>
      <c r="V153" s="20" t="n">
        <v>76</v>
      </c>
      <c r="W153" s="20" t="n">
        <v>-34</v>
      </c>
      <c r="X153" s="20" t="n">
        <v>34</v>
      </c>
    </row>
    <row r="154">
      <c r="A154" s="18" t="inlineStr">
        <is>
          <t>기타포괄손익 합계</t>
        </is>
      </c>
      <c r="C154" s="20" t="n">
        <v>-994</v>
      </c>
      <c r="D154" s="20" t="n">
        <v>10926</v>
      </c>
      <c r="E154" s="20" t="n">
        <v>-2948</v>
      </c>
      <c r="F154" s="20" t="n">
        <v>-7917</v>
      </c>
      <c r="G154" s="20" t="n">
        <v>4889</v>
      </c>
      <c r="H154" s="20" t="n">
        <v>2209</v>
      </c>
      <c r="I154" s="20" t="n">
        <v>273</v>
      </c>
      <c r="J154" s="20" t="n">
        <v>9662</v>
      </c>
      <c r="K154" s="20" t="n">
        <v>7935</v>
      </c>
      <c r="L154" s="20" t="n">
        <v>3578</v>
      </c>
      <c r="M154" s="20" t="n">
        <v>6494</v>
      </c>
      <c r="N154" s="20" t="n">
        <v>9576</v>
      </c>
      <c r="U154" s="20" t="n">
        <v>440</v>
      </c>
      <c r="V154" s="20" t="n">
        <v>-994</v>
      </c>
      <c r="W154" s="20" t="n">
        <v>4889</v>
      </c>
      <c r="X154" s="20" t="n">
        <v>7935</v>
      </c>
    </row>
    <row r="155">
      <c r="A155" s="9" t="inlineStr">
        <is>
          <t>포괄이익</t>
        </is>
      </c>
      <c r="C155" s="12" t="n">
        <v>35010</v>
      </c>
      <c r="D155" s="12" t="n">
        <v>26870</v>
      </c>
      <c r="E155" s="12" t="n">
        <v>25426</v>
      </c>
      <c r="F155" s="12" t="n">
        <v>3114</v>
      </c>
      <c r="G155" s="12" t="n">
        <v>52831</v>
      </c>
      <c r="H155" s="12" t="n">
        <v>19593</v>
      </c>
      <c r="I155" s="12" t="n">
        <v>27968</v>
      </c>
      <c r="J155" s="12" t="n">
        <v>25849</v>
      </c>
      <c r="K155" s="12" t="n">
        <v>61930</v>
      </c>
      <c r="L155" s="12" t="n">
        <v>22185</v>
      </c>
      <c r="M155" s="12" t="n">
        <v>38474</v>
      </c>
      <c r="N155" s="12" t="n">
        <v>29938</v>
      </c>
      <c r="U155" s="12" t="n">
        <v>30932</v>
      </c>
      <c r="V155" s="12" t="n">
        <v>35010</v>
      </c>
      <c r="W155" s="12" t="n">
        <v>52831</v>
      </c>
      <c r="X155" s="12" t="n">
        <v>61930</v>
      </c>
    </row>
    <row r="156">
      <c r="A156" s="9" t="inlineStr">
        <is>
          <t>지배주주 포괄이익</t>
        </is>
      </c>
      <c r="C156" s="12" t="n">
        <v>34933</v>
      </c>
      <c r="D156" s="12" t="n">
        <v>26785</v>
      </c>
      <c r="E156" s="12" t="n">
        <v>25324</v>
      </c>
      <c r="F156" s="12" t="n">
        <v>2550</v>
      </c>
      <c r="G156" s="12" t="n">
        <v>52634</v>
      </c>
      <c r="H156" s="12" t="n">
        <v>19395</v>
      </c>
      <c r="I156" s="12" t="n">
        <v>27994</v>
      </c>
      <c r="J156" s="12" t="n">
        <v>25402</v>
      </c>
      <c r="K156" s="12" t="n">
        <v>61644</v>
      </c>
      <c r="L156" s="12" t="n">
        <v>21596</v>
      </c>
      <c r="M156" s="12" t="n">
        <v>38338</v>
      </c>
      <c r="N156" s="12" t="n">
        <v>29067</v>
      </c>
      <c r="U156" s="12" t="n">
        <v>30923</v>
      </c>
      <c r="V156" s="12" t="n">
        <v>34933</v>
      </c>
      <c r="W156" s="12" t="n">
        <v>52634</v>
      </c>
      <c r="X156" s="12" t="n">
        <v>61644</v>
      </c>
    </row>
    <row r="157">
      <c r="A157" s="9" t="inlineStr">
        <is>
          <t>비지배주주 포괄이익</t>
        </is>
      </c>
      <c r="C157" s="12" t="n">
        <v>76</v>
      </c>
      <c r="D157" s="12" t="n">
        <v>85</v>
      </c>
      <c r="E157" s="12" t="n">
        <v>101</v>
      </c>
      <c r="F157" s="12" t="n">
        <v>565</v>
      </c>
      <c r="G157" s="12" t="n">
        <v>197</v>
      </c>
      <c r="H157" s="12" t="n">
        <v>197</v>
      </c>
      <c r="I157" s="12" t="n">
        <v>-25</v>
      </c>
      <c r="J157" s="12" t="n">
        <v>446</v>
      </c>
      <c r="K157" s="12" t="n">
        <v>287</v>
      </c>
      <c r="L157" s="12" t="n">
        <v>588</v>
      </c>
      <c r="M157" s="12" t="n">
        <v>137</v>
      </c>
      <c r="N157" s="12" t="n">
        <v>871</v>
      </c>
      <c r="U157" s="12" t="n">
        <v>9</v>
      </c>
      <c r="V157" s="12" t="n">
        <v>76</v>
      </c>
      <c r="W157" s="12" t="n">
        <v>197</v>
      </c>
      <c r="X157" s="12" t="n">
        <v>287</v>
      </c>
    </row>
    <row r="159">
      <c r="A159" s="16" t="inlineStr">
        <is>
          <t>부문 · 전 항목</t>
        </is>
      </c>
      <c r="B159" s="42" t="inlineStr">
        <is>
          <t>부문 · 항목</t>
        </is>
      </c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  <c r="AA159" s="16" t="n"/>
      <c r="AB159" s="16" t="n"/>
      <c r="AC159" s="16" t="n"/>
    </row>
    <row r="160">
      <c r="A160" s="5" t="inlineStr">
        <is>
          <t>항목</t>
        </is>
      </c>
      <c r="B160" s="5" t="inlineStr">
        <is>
          <t>참고</t>
        </is>
      </c>
      <c r="C160" s="5" t="inlineStr">
        <is>
          <t>2023.4Q</t>
        </is>
      </c>
      <c r="D160" s="5" t="inlineStr">
        <is>
          <t>2024.1Q</t>
        </is>
      </c>
      <c r="E160" s="5" t="inlineStr">
        <is>
          <t>2024.2Q</t>
        </is>
      </c>
      <c r="F160" s="5" t="inlineStr">
        <is>
          <t>2024.3Q</t>
        </is>
      </c>
      <c r="G160" s="5" t="inlineStr">
        <is>
          <t>2024.4Q</t>
        </is>
      </c>
      <c r="H160" s="5" t="inlineStr">
        <is>
          <t>2025.1Q</t>
        </is>
      </c>
      <c r="I160" s="5" t="inlineStr">
        <is>
          <t>2025.2Q</t>
        </is>
      </c>
      <c r="J160" s="5" t="inlineStr">
        <is>
          <t>2025.3Q</t>
        </is>
      </c>
      <c r="K160" s="5" t="inlineStr">
        <is>
          <t>2025.4Q</t>
        </is>
      </c>
      <c r="L160" s="5" t="inlineStr">
        <is>
          <t>2026.1Q</t>
        </is>
      </c>
      <c r="M160" s="5" t="inlineStr">
        <is>
          <t>2026.2Q</t>
        </is>
      </c>
      <c r="N160" s="5" t="inlineStr">
        <is>
          <t>2026.3Q</t>
        </is>
      </c>
      <c r="O160" s="5" t="inlineStr">
        <is>
          <t>2016</t>
        </is>
      </c>
      <c r="P160" s="5" t="inlineStr">
        <is>
          <t>2017</t>
        </is>
      </c>
      <c r="Q160" s="5" t="inlineStr">
        <is>
          <t>2018</t>
        </is>
      </c>
      <c r="R160" s="5" t="inlineStr">
        <is>
          <t>2019</t>
        </is>
      </c>
      <c r="S160" s="5" t="inlineStr">
        <is>
          <t>2020</t>
        </is>
      </c>
      <c r="T160" s="5" t="inlineStr">
        <is>
          <t>2021</t>
        </is>
      </c>
      <c r="U160" s="5" t="inlineStr">
        <is>
          <t>2022</t>
        </is>
      </c>
      <c r="V160" s="5" t="inlineStr">
        <is>
          <t>2023</t>
        </is>
      </c>
      <c r="W160" s="5" t="inlineStr">
        <is>
          <t>2024</t>
        </is>
      </c>
      <c r="X160" s="5" t="inlineStr">
        <is>
          <t>2025</t>
        </is>
      </c>
      <c r="Y160" s="5" t="inlineStr">
        <is>
          <t>2026(MW)</t>
        </is>
      </c>
      <c r="Z160" s="5" t="inlineStr">
        <is>
          <t>2027(MW)</t>
        </is>
      </c>
      <c r="AA160" s="5" t="inlineStr">
        <is>
          <t>2028(MW)</t>
        </is>
      </c>
      <c r="AB160" s="5" t="inlineStr">
        <is>
          <t>2029(MW)</t>
        </is>
      </c>
      <c r="AC160" s="5" t="inlineStr">
        <is>
          <t>2030(MW)</t>
        </is>
      </c>
    </row>
    <row r="161">
      <c r="A161" s="18" t="inlineStr">
        <is>
          <t>부문 · Revenues From External Customers</t>
        </is>
      </c>
      <c r="C161" s="20" t="n">
        <v>159619</v>
      </c>
      <c r="D161" s="20" t="n">
        <v>92339</v>
      </c>
      <c r="E161" s="20" t="n">
        <v>83513</v>
      </c>
      <c r="F161" s="20" t="n">
        <v>86582</v>
      </c>
      <c r="G161" s="20" t="n">
        <v>254828</v>
      </c>
      <c r="H161" s="20" t="n">
        <v>131249</v>
      </c>
      <c r="I161" s="20" t="n">
        <v>121510</v>
      </c>
      <c r="J161" s="20" t="n">
        <v>98174</v>
      </c>
      <c r="K161" s="20" t="n">
        <v>277116</v>
      </c>
      <c r="L161" s="20" t="n">
        <v>189746</v>
      </c>
      <c r="M161" s="20" t="n">
        <v>156370</v>
      </c>
      <c r="N161" s="20" t="n">
        <v>119065</v>
      </c>
      <c r="V161" s="20" t="n">
        <v>159619</v>
      </c>
      <c r="W161" s="20" t="n">
        <v>254828</v>
      </c>
      <c r="X161" s="20" t="n">
        <v>277116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부문 · Revenues From External Customers</t>
        </is>
      </c>
      <c r="C163" s="20" t="n">
        <v>920</v>
      </c>
      <c r="D163" s="20" t="n">
        <v>1070</v>
      </c>
      <c r="E163" s="20" t="n">
        <v>822</v>
      </c>
      <c r="F163" s="20" t="n">
        <v>1046</v>
      </c>
      <c r="G163" s="20" t="n">
        <v>761</v>
      </c>
      <c r="H163" s="20" t="n">
        <v>1065</v>
      </c>
      <c r="I163" s="20" t="n">
        <v>901</v>
      </c>
      <c r="J163" s="20" t="n">
        <v>1078</v>
      </c>
      <c r="K163" s="20" t="n">
        <v>885</v>
      </c>
      <c r="L163" s="20" t="n">
        <v>1185</v>
      </c>
      <c r="M163" s="20" t="n">
        <v>873</v>
      </c>
      <c r="N163" s="20" t="n">
        <v>1049</v>
      </c>
      <c r="V163" s="20" t="n">
        <v>920</v>
      </c>
      <c r="W163" s="20" t="n">
        <v>761</v>
      </c>
      <c r="X163" s="20" t="n">
        <v>885</v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G164" s="15">
        <f>IF(OR(G163="",C163=""),"",IF(C163&lt;=0,"",IFERROR(G163/C163-1,"")))</f>
        <v/>
      </c>
      <c r="H164" s="15">
        <f>IF(OR(H163="",D163=""),"",IF(D163&lt;=0,"",IFERROR(H163/D163-1,"")))</f>
        <v/>
      </c>
      <c r="I164" s="15">
        <f>IF(OR(I163="",E163=""),"",IF(E163&lt;=0,"",IFERROR(I163/E163-1,"")))</f>
        <v/>
      </c>
      <c r="J164" s="15">
        <f>IF(OR(J163="",F163=""),"",IF(F163&lt;=0,"",IFERROR(J163/F163-1,"")))</f>
        <v/>
      </c>
      <c r="K164" s="15">
        <f>IF(OR(K163="",G163=""),"",IF(G163&lt;=0,"",IFERROR(K163/G163-1,"")))</f>
        <v/>
      </c>
      <c r="L164" s="15">
        <f>IF(OR(L163="",H163=""),"",IF(H163&lt;=0,"",IFERROR(L163/H163-1,"")))</f>
        <v/>
      </c>
      <c r="M164" s="15">
        <f>IF(OR(M163="",I163=""),"",IF(I163&lt;=0,"",IFERROR(M163/I163-1,"")))</f>
        <v/>
      </c>
      <c r="N164" s="15">
        <f>IF(OR(N163="",J163=""),"",IF(J163&lt;=0,"",IFERROR(N163/J163-1,"")))</f>
        <v/>
      </c>
      <c r="V164" s="15">
        <f>IF(OR(V163="",U163=""),"",IF(U163&lt;=0,"",IFERROR(V163/U163-1,"")))</f>
        <v/>
      </c>
      <c r="W164" s="15">
        <f>IF(OR(W163="",V163=""),"",IF(V163&lt;=0,"",IFERROR(W163/V163-1,"")))</f>
        <v/>
      </c>
      <c r="X164" s="15">
        <f>IF(OR(X163="",W163=""),"",IF(W163&lt;=0,"",IFERROR(X163/W163-1,"")))</f>
        <v/>
      </c>
    </row>
    <row r="165">
      <c r="A165" s="18" t="inlineStr">
        <is>
          <t>부문 · Revenues From External Customers</t>
        </is>
      </c>
      <c r="C165" s="20" t="n">
        <v>6446</v>
      </c>
      <c r="D165" s="20" t="n">
        <v>13129</v>
      </c>
      <c r="E165" s="20" t="n">
        <v>11714</v>
      </c>
      <c r="F165" s="20" t="n">
        <v>11853</v>
      </c>
      <c r="G165" s="20" t="n">
        <v>12074</v>
      </c>
      <c r="H165" s="20" t="n">
        <v>14749</v>
      </c>
      <c r="I165" s="20" t="n">
        <v>13011</v>
      </c>
      <c r="J165" s="20" t="n">
        <v>13487</v>
      </c>
      <c r="K165" s="20" t="n">
        <v>12607</v>
      </c>
      <c r="L165" s="20" t="n">
        <v>16747</v>
      </c>
      <c r="M165" s="20" t="n">
        <v>14622</v>
      </c>
      <c r="N165" s="20" t="n">
        <v>15728</v>
      </c>
      <c r="V165" s="20" t="n">
        <v>6446</v>
      </c>
      <c r="W165" s="20" t="n">
        <v>12074</v>
      </c>
      <c r="X165" s="20" t="n">
        <v>12607</v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IF(OR(G165="",C165=""),"",IF(C165&lt;=0,"",IFERROR(G165/C165-1,"")))</f>
        <v/>
      </c>
      <c r="H166" s="15">
        <f>IF(OR(H165="",D165=""),"",IF(D165&lt;=0,"",IFERROR(H165/D165-1,"")))</f>
        <v/>
      </c>
      <c r="I166" s="15">
        <f>IF(OR(I165="",E165=""),"",IF(E165&lt;=0,"",IFERROR(I165/E165-1,"")))</f>
        <v/>
      </c>
      <c r="J166" s="15">
        <f>IF(OR(J165="",F165=""),"",IF(F165&lt;=0,"",IFERROR(J165/F165-1,"")))</f>
        <v/>
      </c>
      <c r="K166" s="15">
        <f>IF(OR(K165="",G165=""),"",IF(G165&lt;=0,"",IFERROR(K165/G165-1,"")))</f>
        <v/>
      </c>
      <c r="L166" s="15">
        <f>IF(OR(L165="",H165=""),"",IF(H165&lt;=0,"",IFERROR(L165/H165-1,"")))</f>
        <v/>
      </c>
      <c r="M166" s="15">
        <f>IF(OR(M165="",I165=""),"",IF(I165&lt;=0,"",IFERROR(M165/I165-1,"")))</f>
        <v/>
      </c>
      <c r="N166" s="15">
        <f>IF(OR(N165="",J165=""),"",IF(J165&lt;=0,"",IFERROR(N165/J165-1,"")))</f>
        <v/>
      </c>
      <c r="V166" s="15">
        <f>IF(OR(V165="",U165=""),"",IF(U165&lt;=0,"",IFERROR(V165/U165-1,"")))</f>
        <v/>
      </c>
      <c r="W166" s="15">
        <f>IF(OR(W165="",V165=""),"",IF(V165&lt;=0,"",IFERROR(W165/V165-1,"")))</f>
        <v/>
      </c>
      <c r="X166" s="15">
        <f>IF(OR(X165="",W165=""),"",IF(W165&lt;=0,"",IFERROR(X165/W165-1,"")))</f>
        <v/>
      </c>
    </row>
    <row r="167">
      <c r="A167" s="18" t="inlineStr">
        <is>
          <t>보고부문 합계 · Revenues From External Customers</t>
        </is>
      </c>
      <c r="C167" s="20" t="n">
        <v>166984</v>
      </c>
      <c r="D167" s="20" t="n">
        <v>106539</v>
      </c>
      <c r="E167" s="20" t="n">
        <v>96049</v>
      </c>
      <c r="F167" s="20" t="n">
        <v>99482</v>
      </c>
      <c r="G167" s="20" t="n">
        <v>267662</v>
      </c>
      <c r="H167" s="20" t="n">
        <v>147064</v>
      </c>
      <c r="I167" s="20" t="n">
        <v>135422</v>
      </c>
      <c r="J167" s="20" t="n">
        <v>112739</v>
      </c>
      <c r="K167" s="20" t="n">
        <v>290609</v>
      </c>
      <c r="L167" s="20" t="n">
        <v>207679</v>
      </c>
      <c r="M167" s="20" t="n">
        <v>171865</v>
      </c>
      <c r="N167" s="20" t="n">
        <v>135842</v>
      </c>
      <c r="V167" s="20" t="n">
        <v>166984</v>
      </c>
      <c r="W167" s="20" t="n">
        <v>267662</v>
      </c>
      <c r="X167" s="20" t="n">
        <v>290609</v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IF(OR(G167="",C167=""),"",IF(C167&lt;=0,"",IFERROR(G167/C167-1,"")))</f>
        <v/>
      </c>
      <c r="H168" s="15">
        <f>IF(OR(H167="",D167=""),"",IF(D167&lt;=0,"",IFERROR(H167/D167-1,"")))</f>
        <v/>
      </c>
      <c r="I168" s="15">
        <f>IF(OR(I167="",E167=""),"",IF(E167&lt;=0,"",IFERROR(I167/E167-1,"")))</f>
        <v/>
      </c>
      <c r="J168" s="15">
        <f>IF(OR(J167="",F167=""),"",IF(F167&lt;=0,"",IFERROR(J167/F167-1,"")))</f>
        <v/>
      </c>
      <c r="K168" s="15">
        <f>IF(OR(K167="",G167=""),"",IF(G167&lt;=0,"",IFERROR(K167/G167-1,"")))</f>
        <v/>
      </c>
      <c r="L168" s="15">
        <f>IF(OR(L167="",H167=""),"",IF(H167&lt;=0,"",IFERROR(L167/H167-1,"")))</f>
        <v/>
      </c>
      <c r="M168" s="15">
        <f>IF(OR(M167="",I167=""),"",IF(I167&lt;=0,"",IFERROR(M167/I167-1,"")))</f>
        <v/>
      </c>
      <c r="N168" s="15">
        <f>IF(OR(N167="",J167=""),"",IF(J167&lt;=0,"",IFERROR(N167/J167-1,"")))</f>
        <v/>
      </c>
      <c r="V168" s="15">
        <f>IF(OR(V167="",U167=""),"",IF(U167&lt;=0,"",IFERROR(V167/U167-1,"")))</f>
        <v/>
      </c>
      <c r="W168" s="15">
        <f>IF(OR(W167="",V167=""),"",IF(V167&lt;=0,"",IFERROR(W167/V167-1,"")))</f>
        <v/>
      </c>
      <c r="X168" s="15">
        <f>IF(OR(X167="",W167=""),"",IF(W167&lt;=0,"",IFERROR(X167/W167-1,"")))</f>
        <v/>
      </c>
    </row>
    <row r="169">
      <c r="A169" s="18" t="inlineStr">
        <is>
          <t>기타 · Revenues From External Customers</t>
        </is>
      </c>
      <c r="C169" s="20" t="n">
        <v>870</v>
      </c>
      <c r="D169" s="20" t="n">
        <v>1053</v>
      </c>
      <c r="E169" s="20" t="n">
        <v>1210</v>
      </c>
      <c r="F169" s="20" t="n">
        <v>10652</v>
      </c>
      <c r="G169" s="20" t="n">
        <v>8968</v>
      </c>
      <c r="H169" s="20" t="n">
        <v>9579</v>
      </c>
      <c r="I169" s="20" t="n">
        <v>8015</v>
      </c>
      <c r="J169" s="20" t="n">
        <v>11398</v>
      </c>
      <c r="K169" s="20" t="n">
        <v>12620</v>
      </c>
      <c r="L169" s="20" t="n">
        <v>19162</v>
      </c>
      <c r="M169" s="20" t="n">
        <v>17890</v>
      </c>
      <c r="N169" s="20" t="n">
        <v>22286</v>
      </c>
      <c r="V169" s="20" t="n">
        <v>870</v>
      </c>
      <c r="W169" s="20" t="n">
        <v>8968</v>
      </c>
      <c r="X169" s="20" t="n">
        <v>12620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IF(OR(G169="",C169=""),"",IF(C169&lt;=0,"",IFERROR(G169/C169-1,"")))</f>
        <v/>
      </c>
      <c r="H170" s="15">
        <f>IF(OR(H169="",D169=""),"",IF(D169&lt;=0,"",IFERROR(H169/D169-1,"")))</f>
        <v/>
      </c>
      <c r="I170" s="15">
        <f>IF(OR(I169="",E169=""),"",IF(E169&lt;=0,"",IFERROR(I169/E169-1,"")))</f>
        <v/>
      </c>
      <c r="J170" s="15">
        <f>IF(OR(J169="",F169=""),"",IF(F169&lt;=0,"",IFERROR(J169/F169-1,"")))</f>
        <v/>
      </c>
      <c r="K170" s="15">
        <f>IF(OR(K169="",G169=""),"",IF(G169&lt;=0,"",IFERROR(K169/G169-1,"")))</f>
        <v/>
      </c>
      <c r="L170" s="15">
        <f>IF(OR(L169="",H169=""),"",IF(H169&lt;=0,"",IFERROR(L169/H169-1,"")))</f>
        <v/>
      </c>
      <c r="M170" s="15">
        <f>IF(OR(M169="",I169=""),"",IF(I169&lt;=0,"",IFERROR(M169/I169-1,"")))</f>
        <v/>
      </c>
      <c r="N170" s="15">
        <f>IF(OR(N169="",J169=""),"",IF(J169&lt;=0,"",IFERROR(N169/J169-1,"")))</f>
        <v/>
      </c>
      <c r="V170" s="15">
        <f>IF(OR(V169="",U169=""),"",IF(U169&lt;=0,"",IFERROR(V169/U169-1,"")))</f>
        <v/>
      </c>
      <c r="W170" s="15">
        <f>IF(OR(W169="",V169=""),"",IF(V169&lt;=0,"",IFERROR(W169/V169-1,"")))</f>
        <v/>
      </c>
      <c r="X170" s="15">
        <f>IF(OR(X169="",W169=""),"",IF(W169&lt;=0,"",IFERROR(X169/W169-1,"")))</f>
        <v/>
      </c>
    </row>
    <row r="171">
      <c r="A171" s="18" t="inlineStr">
        <is>
          <t>합계 · Revenues From External Customers</t>
        </is>
      </c>
      <c r="C171" s="20" t="n">
        <v>167854</v>
      </c>
      <c r="D171" s="20" t="n">
        <v>107593</v>
      </c>
      <c r="E171" s="20" t="n">
        <v>97259</v>
      </c>
      <c r="F171" s="20" t="n">
        <v>110133</v>
      </c>
      <c r="G171" s="20" t="n">
        <v>276630</v>
      </c>
      <c r="H171" s="20" t="n">
        <v>156644</v>
      </c>
      <c r="I171" s="20" t="n">
        <v>143437</v>
      </c>
      <c r="J171" s="20" t="n">
        <v>124137</v>
      </c>
      <c r="K171" s="20" t="n">
        <v>303229</v>
      </c>
      <c r="L171" s="20" t="n">
        <v>226841</v>
      </c>
      <c r="M171" s="20" t="n">
        <v>189755</v>
      </c>
      <c r="N171" s="20" t="n">
        <v>158129</v>
      </c>
      <c r="V171" s="20" t="n">
        <v>167854</v>
      </c>
      <c r="W171" s="20" t="n">
        <v>276630</v>
      </c>
      <c r="X171" s="20" t="n">
        <v>303229</v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IF(OR(G171="",C171=""),"",IF(C171&lt;=0,"",IFERROR(G171/C171-1,"")))</f>
        <v/>
      </c>
      <c r="H172" s="15">
        <f>IF(OR(H171="",D171=""),"",IF(D171&lt;=0,"",IFERROR(H171/D171-1,"")))</f>
        <v/>
      </c>
      <c r="I172" s="15">
        <f>IF(OR(I171="",E171=""),"",IF(E171&lt;=0,"",IFERROR(I171/E171-1,"")))</f>
        <v/>
      </c>
      <c r="J172" s="15">
        <f>IF(OR(J171="",F171=""),"",IF(F171&lt;=0,"",IFERROR(J171/F171-1,"")))</f>
        <v/>
      </c>
      <c r="K172" s="15">
        <f>IF(OR(K171="",G171=""),"",IF(G171&lt;=0,"",IFERROR(K171/G171-1,"")))</f>
        <v/>
      </c>
      <c r="L172" s="15">
        <f>IF(OR(L171="",H171=""),"",IF(H171&lt;=0,"",IFERROR(L171/H171-1,"")))</f>
        <v/>
      </c>
      <c r="M172" s="15">
        <f>IF(OR(M171="",I171=""),"",IF(I171&lt;=0,"",IFERROR(M171/I171-1,"")))</f>
        <v/>
      </c>
      <c r="N172" s="15">
        <f>IF(OR(N171="",J171=""),"",IF(J171&lt;=0,"",IFERROR(N171/J171-1,"")))</f>
        <v/>
      </c>
      <c r="V172" s="15">
        <f>IF(OR(V171="",U171=""),"",IF(U171&lt;=0,"",IFERROR(V171/U171-1,"")))</f>
        <v/>
      </c>
      <c r="W172" s="15">
        <f>IF(OR(W171="",V171=""),"",IF(V171&lt;=0,"",IFERROR(W171/V171-1,"")))</f>
        <v/>
      </c>
      <c r="X172" s="15">
        <f>IF(OR(X171="",W171=""),"",IF(W171&lt;=0,"",IFERROR(X171/W171-1,"")))</f>
        <v/>
      </c>
    </row>
    <row r="173">
      <c r="A173" s="18" t="inlineStr">
        <is>
          <t>조정액 · Revenues From External Customers</t>
        </is>
      </c>
      <c r="C173" s="20" t="n">
        <v>0</v>
      </c>
      <c r="D173" s="20" t="n">
        <v>0</v>
      </c>
      <c r="E173" s="20" t="n">
        <v>0</v>
      </c>
      <c r="F173" s="20" t="n">
        <v>0</v>
      </c>
      <c r="G173" s="20" t="n">
        <v>0</v>
      </c>
      <c r="H173" s="20" t="n">
        <v>0</v>
      </c>
      <c r="I173" s="20" t="n">
        <v>0</v>
      </c>
      <c r="J173" s="20" t="n">
        <v>0</v>
      </c>
      <c r="K173" s="20" t="n">
        <v>0</v>
      </c>
      <c r="L173" s="20" t="n">
        <v>0</v>
      </c>
      <c r="M173" s="20" t="n">
        <v>0</v>
      </c>
      <c r="N173" s="20" t="n">
        <v>0</v>
      </c>
      <c r="V173" s="20" t="n">
        <v>0</v>
      </c>
      <c r="W173" s="20" t="n">
        <v>0</v>
      </c>
      <c r="X173" s="20" t="n">
        <v>0</v>
      </c>
    </row>
    <row r="174">
      <c r="A174" s="9" t="inlineStr">
        <is>
          <t>Revenues From External Customers</t>
        </is>
      </c>
      <c r="C174" s="12" t="n">
        <v>167854</v>
      </c>
      <c r="D174" s="12" t="n">
        <v>107593</v>
      </c>
      <c r="E174" s="12" t="n">
        <v>97259</v>
      </c>
      <c r="F174" s="12" t="n">
        <v>110133</v>
      </c>
      <c r="G174" s="12" t="n">
        <v>276630</v>
      </c>
      <c r="H174" s="12" t="n">
        <v>156644</v>
      </c>
      <c r="I174" s="12" t="n">
        <v>143437</v>
      </c>
      <c r="J174" s="12" t="n">
        <v>124137</v>
      </c>
      <c r="K174" s="12" t="n">
        <v>303229</v>
      </c>
      <c r="L174" s="12" t="n">
        <v>226841</v>
      </c>
      <c r="M174" s="12" t="n">
        <v>189755</v>
      </c>
      <c r="N174" s="12" t="n">
        <v>158129</v>
      </c>
      <c r="V174" s="12" t="n">
        <v>167854</v>
      </c>
      <c r="W174" s="12" t="n">
        <v>276630</v>
      </c>
      <c r="X174" s="12" t="n">
        <v>303229</v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IF(OR(G174="",C174=""),"",IF(C174&lt;=0,"",IFERROR(G174/C174-1,"")))</f>
        <v/>
      </c>
      <c r="H175" s="15">
        <f>IF(OR(H174="",D174=""),"",IF(D174&lt;=0,"",IFERROR(H174/D174-1,"")))</f>
        <v/>
      </c>
      <c r="I175" s="15">
        <f>IF(OR(I174="",E174=""),"",IF(E174&lt;=0,"",IFERROR(I174/E174-1,"")))</f>
        <v/>
      </c>
      <c r="J175" s="15">
        <f>IF(OR(J174="",F174=""),"",IF(F174&lt;=0,"",IFERROR(J174/F174-1,"")))</f>
        <v/>
      </c>
      <c r="K175" s="15">
        <f>IF(OR(K174="",G174=""),"",IF(G174&lt;=0,"",IFERROR(K174/G174-1,"")))</f>
        <v/>
      </c>
      <c r="L175" s="15">
        <f>IF(OR(L174="",H174=""),"",IF(H174&lt;=0,"",IFERROR(L174/H174-1,"")))</f>
        <v/>
      </c>
      <c r="M175" s="15">
        <f>IF(OR(M174="",I174=""),"",IF(I174&lt;=0,"",IFERROR(M174/I174-1,"")))</f>
        <v/>
      </c>
      <c r="N175" s="15">
        <f>IF(OR(N174="",J174=""),"",IF(J174&lt;=0,"",IFERROR(N174/J174-1,"")))</f>
        <v/>
      </c>
      <c r="V175" s="15">
        <f>IF(OR(V174="",U174=""),"",IF(U174&lt;=0,"",IFERROR(V174/U174-1,"")))</f>
        <v/>
      </c>
      <c r="W175" s="15">
        <f>IF(OR(W174="",V174=""),"",IF(V174&lt;=0,"",IFERROR(W174/V174-1,"")))</f>
        <v/>
      </c>
      <c r="X175" s="15">
        <f>IF(OR(X174="",W174=""),"",IF(W174&lt;=0,"",IFERROR(X174/W174-1,"")))</f>
        <v/>
      </c>
    </row>
    <row r="176">
      <c r="A176" s="18" t="inlineStr">
        <is>
          <t>부문 · Transactions With Other Segments</t>
        </is>
      </c>
      <c r="C176" s="20" t="n">
        <v>1519</v>
      </c>
      <c r="D176" s="20" t="n">
        <v>2162</v>
      </c>
      <c r="E176" s="20" t="n">
        <v>2525</v>
      </c>
      <c r="F176" s="20" t="n">
        <v>2265</v>
      </c>
      <c r="G176" s="20" t="n">
        <v>2990</v>
      </c>
      <c r="H176" s="20" t="n">
        <v>2136</v>
      </c>
      <c r="I176" s="20" t="n">
        <v>2439</v>
      </c>
      <c r="J176" s="20" t="n">
        <v>2017</v>
      </c>
      <c r="K176" s="20" t="n">
        <v>2816</v>
      </c>
      <c r="L176" s="20" t="n">
        <v>1614</v>
      </c>
      <c r="M176" s="20" t="n">
        <v>1900</v>
      </c>
      <c r="N176" s="20" t="n">
        <v>1921</v>
      </c>
      <c r="V176" s="20" t="n">
        <v>1519</v>
      </c>
      <c r="W176" s="20" t="n">
        <v>2990</v>
      </c>
      <c r="X176" s="20" t="n">
        <v>2816</v>
      </c>
    </row>
    <row r="177">
      <c r="A177" s="18" t="inlineStr">
        <is>
          <t>부문 · Transactions With Other Segments</t>
        </is>
      </c>
      <c r="C177" s="20" t="n">
        <v>0</v>
      </c>
      <c r="D177" s="20" t="n">
        <v>0</v>
      </c>
      <c r="E177" s="20" t="n">
        <v>0</v>
      </c>
      <c r="F177" s="20" t="n">
        <v>0</v>
      </c>
      <c r="G177" s="20" t="n">
        <v>0</v>
      </c>
      <c r="H177" s="20" t="n">
        <v>0</v>
      </c>
      <c r="I177" s="20" t="n">
        <v>0</v>
      </c>
      <c r="J177" s="20" t="n">
        <v>0</v>
      </c>
      <c r="K177" s="20" t="n">
        <v>0</v>
      </c>
      <c r="L177" s="20" t="n">
        <v>0</v>
      </c>
      <c r="M177" s="20" t="n">
        <v>0</v>
      </c>
      <c r="N177" s="20" t="n">
        <v>0</v>
      </c>
      <c r="V177" s="20" t="n">
        <v>0</v>
      </c>
      <c r="W177" s="20" t="n">
        <v>0</v>
      </c>
      <c r="X177" s="20" t="n">
        <v>0</v>
      </c>
    </row>
    <row r="178">
      <c r="A178" s="18" t="inlineStr">
        <is>
          <t>부문 · Transactions With Other Segments</t>
        </is>
      </c>
      <c r="C178" s="20" t="n">
        <v>8</v>
      </c>
      <c r="D178" s="20" t="n">
        <v>69</v>
      </c>
      <c r="E178" s="20" t="n">
        <v>72</v>
      </c>
      <c r="F178" s="20" t="n">
        <v>74</v>
      </c>
      <c r="G178" s="20" t="n">
        <v>107</v>
      </c>
      <c r="H178" s="20" t="n">
        <v>89</v>
      </c>
      <c r="I178" s="20" t="n">
        <v>94</v>
      </c>
      <c r="J178" s="20" t="n">
        <v>106</v>
      </c>
      <c r="K178" s="20" t="n">
        <v>112</v>
      </c>
      <c r="L178" s="20" t="n">
        <v>98</v>
      </c>
      <c r="M178" s="20" t="n">
        <v>111</v>
      </c>
      <c r="N178" s="20" t="n">
        <v>110</v>
      </c>
      <c r="V178" s="20" t="n">
        <v>8</v>
      </c>
      <c r="W178" s="20" t="n">
        <v>107</v>
      </c>
      <c r="X178" s="20" t="n">
        <v>112</v>
      </c>
    </row>
    <row r="179">
      <c r="A179" s="18" t="inlineStr">
        <is>
          <t>보고부문 합계 · Transactions With Other Segments</t>
        </is>
      </c>
      <c r="C179" s="20" t="n">
        <v>1527</v>
      </c>
      <c r="D179" s="20" t="n">
        <v>2231</v>
      </c>
      <c r="E179" s="20" t="n">
        <v>2598</v>
      </c>
      <c r="F179" s="20" t="n">
        <v>2339</v>
      </c>
      <c r="G179" s="20" t="n">
        <v>3096</v>
      </c>
      <c r="H179" s="20" t="n">
        <v>2225</v>
      </c>
      <c r="I179" s="20" t="n">
        <v>2533</v>
      </c>
      <c r="J179" s="20" t="n">
        <v>2124</v>
      </c>
      <c r="K179" s="20" t="n">
        <v>2928</v>
      </c>
      <c r="L179" s="20" t="n">
        <v>1712</v>
      </c>
      <c r="M179" s="20" t="n">
        <v>2011</v>
      </c>
      <c r="N179" s="20" t="n">
        <v>2032</v>
      </c>
      <c r="V179" s="20" t="n">
        <v>1527</v>
      </c>
      <c r="W179" s="20" t="n">
        <v>3096</v>
      </c>
      <c r="X179" s="20" t="n">
        <v>2928</v>
      </c>
    </row>
    <row r="180">
      <c r="A180" s="18" t="inlineStr">
        <is>
          <t>기타 · Transactions With Other Segments</t>
        </is>
      </c>
      <c r="C180" s="20" t="n">
        <v>927</v>
      </c>
      <c r="D180" s="20" t="n">
        <v>457</v>
      </c>
      <c r="E180" s="20" t="n">
        <v>1761</v>
      </c>
      <c r="F180" s="20" t="n">
        <v>368</v>
      </c>
      <c r="G180" s="20" t="n">
        <v>1344</v>
      </c>
      <c r="H180" s="20" t="n">
        <v>820</v>
      </c>
      <c r="I180" s="20" t="n">
        <v>604</v>
      </c>
      <c r="J180" s="20" t="n">
        <v>1122</v>
      </c>
      <c r="K180" s="20" t="n">
        <v>1484</v>
      </c>
      <c r="L180" s="20" t="n">
        <v>1379</v>
      </c>
      <c r="M180" s="20" t="n">
        <v>958</v>
      </c>
      <c r="N180" s="20" t="n">
        <v>709</v>
      </c>
      <c r="V180" s="20" t="n">
        <v>927</v>
      </c>
      <c r="W180" s="20" t="n">
        <v>1344</v>
      </c>
      <c r="X180" s="20" t="n">
        <v>1484</v>
      </c>
    </row>
    <row r="181">
      <c r="A181" s="18" t="inlineStr">
        <is>
          <t>합계 · Transactions With Other Segments</t>
        </is>
      </c>
      <c r="C181" s="20" t="n">
        <v>2454</v>
      </c>
      <c r="D181" s="20" t="n">
        <v>2689</v>
      </c>
      <c r="E181" s="20" t="n">
        <v>4358</v>
      </c>
      <c r="F181" s="20" t="n">
        <v>2707</v>
      </c>
      <c r="G181" s="20" t="n">
        <v>4441</v>
      </c>
      <c r="H181" s="20" t="n">
        <v>3045</v>
      </c>
      <c r="I181" s="20" t="n">
        <v>3137</v>
      </c>
      <c r="J181" s="20" t="n">
        <v>3247</v>
      </c>
      <c r="K181" s="20" t="n">
        <v>4411</v>
      </c>
      <c r="L181" s="20" t="n">
        <v>3091</v>
      </c>
      <c r="M181" s="20" t="n">
        <v>2970</v>
      </c>
      <c r="N181" s="20" t="n">
        <v>2740</v>
      </c>
      <c r="V181" s="20" t="n">
        <v>2454</v>
      </c>
      <c r="W181" s="20" t="n">
        <v>4441</v>
      </c>
      <c r="X181" s="20" t="n">
        <v>4411</v>
      </c>
    </row>
    <row r="182">
      <c r="A182" s="18" t="inlineStr">
        <is>
          <t>조정액 · Transactions With Other Segments</t>
        </is>
      </c>
      <c r="C182" s="20" t="n">
        <v>-2454</v>
      </c>
      <c r="D182" s="20" t="n">
        <v>-2689</v>
      </c>
      <c r="E182" s="20" t="n">
        <v>-4358</v>
      </c>
      <c r="F182" s="20" t="n">
        <v>-2707</v>
      </c>
      <c r="G182" s="20" t="n">
        <v>-4441</v>
      </c>
      <c r="H182" s="20" t="n">
        <v>-3045</v>
      </c>
      <c r="I182" s="20" t="n">
        <v>-3137</v>
      </c>
      <c r="J182" s="20" t="n">
        <v>-3247</v>
      </c>
      <c r="K182" s="20" t="n">
        <v>-4411</v>
      </c>
      <c r="L182" s="20" t="n">
        <v>-3091</v>
      </c>
      <c r="M182" s="20" t="n">
        <v>-2970</v>
      </c>
      <c r="N182" s="20" t="n">
        <v>-2740</v>
      </c>
      <c r="V182" s="20" t="n">
        <v>-2454</v>
      </c>
      <c r="W182" s="20" t="n">
        <v>-4441</v>
      </c>
      <c r="X182" s="20" t="n">
        <v>-4411</v>
      </c>
    </row>
    <row r="183">
      <c r="A183" s="18" t="inlineStr">
        <is>
          <t>Transactions With Other Segments</t>
        </is>
      </c>
      <c r="C183" s="20" t="n">
        <v>0</v>
      </c>
      <c r="D183" s="20" t="n">
        <v>0</v>
      </c>
      <c r="E183" s="20" t="n">
        <v>0</v>
      </c>
      <c r="F183" s="20" t="n">
        <v>0</v>
      </c>
      <c r="G183" s="20" t="n">
        <v>0</v>
      </c>
      <c r="H183" s="20" t="n">
        <v>0</v>
      </c>
      <c r="I183" s="20" t="n">
        <v>0</v>
      </c>
      <c r="J183" s="20" t="n">
        <v>0</v>
      </c>
      <c r="K183" s="20" t="n">
        <v>0</v>
      </c>
      <c r="L183" s="20" t="n">
        <v>0</v>
      </c>
      <c r="M183" s="20" t="n">
        <v>0</v>
      </c>
      <c r="N183" s="20" t="n">
        <v>0</v>
      </c>
      <c r="V183" s="20" t="n">
        <v>0</v>
      </c>
      <c r="W183" s="20" t="n">
        <v>0</v>
      </c>
      <c r="X183" s="20" t="n">
        <v>0</v>
      </c>
    </row>
    <row r="184">
      <c r="A184" s="18" t="inlineStr">
        <is>
          <t>부문 · 계</t>
        </is>
      </c>
      <c r="C184" s="20" t="n">
        <v>161138</v>
      </c>
      <c r="D184" s="20" t="n">
        <v>94502</v>
      </c>
      <c r="E184" s="20" t="n">
        <v>86037</v>
      </c>
      <c r="F184" s="20" t="n">
        <v>88848</v>
      </c>
      <c r="G184" s="20" t="n">
        <v>257817</v>
      </c>
      <c r="H184" s="20" t="n">
        <v>133385</v>
      </c>
      <c r="I184" s="20" t="n">
        <v>123950</v>
      </c>
      <c r="J184" s="20" t="n">
        <v>100190</v>
      </c>
      <c r="K184" s="20" t="n">
        <v>279933</v>
      </c>
      <c r="L184" s="20" t="n">
        <v>191360</v>
      </c>
      <c r="M184" s="20" t="n">
        <v>158270</v>
      </c>
      <c r="N184" s="20" t="n">
        <v>120987</v>
      </c>
      <c r="V184" s="20" t="n">
        <v>161138</v>
      </c>
      <c r="W184" s="20" t="n">
        <v>257817</v>
      </c>
      <c r="X184" s="20" t="n">
        <v>279933</v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IF(OR(G184="",C184=""),"",IF(C184&lt;=0,"",IFERROR(G184/C184-1,"")))</f>
        <v/>
      </c>
      <c r="H185" s="15">
        <f>IF(OR(H184="",D184=""),"",IF(D184&lt;=0,"",IFERROR(H184/D184-1,"")))</f>
        <v/>
      </c>
      <c r="I185" s="15">
        <f>IF(OR(I184="",E184=""),"",IF(E184&lt;=0,"",IFERROR(I184/E184-1,"")))</f>
        <v/>
      </c>
      <c r="J185" s="15">
        <f>IF(OR(J184="",F184=""),"",IF(F184&lt;=0,"",IFERROR(J184/F184-1,"")))</f>
        <v/>
      </c>
      <c r="K185" s="15">
        <f>IF(OR(K184="",G184=""),"",IF(G184&lt;=0,"",IFERROR(K184/G184-1,"")))</f>
        <v/>
      </c>
      <c r="L185" s="15">
        <f>IF(OR(L184="",H184=""),"",IF(H184&lt;=0,"",IFERROR(L184/H184-1,"")))</f>
        <v/>
      </c>
      <c r="M185" s="15">
        <f>IF(OR(M184="",I184=""),"",IF(I184&lt;=0,"",IFERROR(M184/I184-1,"")))</f>
        <v/>
      </c>
      <c r="N185" s="15">
        <f>IF(OR(N184="",J184=""),"",IF(J184&lt;=0,"",IFERROR(N184/J184-1,"")))</f>
        <v/>
      </c>
      <c r="V185" s="15">
        <f>IF(OR(V184="",U184=""),"",IF(U184&lt;=0,"",IFERROR(V184/U184-1,"")))</f>
        <v/>
      </c>
      <c r="W185" s="15">
        <f>IF(OR(W184="",V184=""),"",IF(V184&lt;=0,"",IFERROR(W184/V184-1,"")))</f>
        <v/>
      </c>
      <c r="X185" s="15">
        <f>IF(OR(X184="",W184=""),"",IF(W184&lt;=0,"",IFERROR(X184/W184-1,"")))</f>
        <v/>
      </c>
    </row>
    <row r="186">
      <c r="A186" s="18" t="inlineStr">
        <is>
          <t>부문 · 계</t>
        </is>
      </c>
      <c r="C186" s="20" t="n">
        <v>920</v>
      </c>
      <c r="D186" s="20" t="n">
        <v>1070</v>
      </c>
      <c r="E186" s="20" t="n">
        <v>822</v>
      </c>
      <c r="F186" s="20" t="n">
        <v>1046</v>
      </c>
      <c r="G186" s="20" t="n">
        <v>761</v>
      </c>
      <c r="H186" s="20" t="n">
        <v>1065</v>
      </c>
      <c r="I186" s="20" t="n">
        <v>901</v>
      </c>
      <c r="J186" s="20" t="n">
        <v>1078</v>
      </c>
      <c r="K186" s="20" t="n">
        <v>885</v>
      </c>
      <c r="L186" s="20" t="n">
        <v>1185</v>
      </c>
      <c r="M186" s="20" t="n">
        <v>873</v>
      </c>
      <c r="N186" s="20" t="n">
        <v>1049</v>
      </c>
      <c r="V186" s="20" t="n">
        <v>920</v>
      </c>
      <c r="W186" s="20" t="n">
        <v>761</v>
      </c>
      <c r="X186" s="20" t="n">
        <v>885</v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G187" s="15">
        <f>IF(OR(G186="",C186=""),"",IF(C186&lt;=0,"",IFERROR(G186/C186-1,"")))</f>
        <v/>
      </c>
      <c r="H187" s="15">
        <f>IF(OR(H186="",D186=""),"",IF(D186&lt;=0,"",IFERROR(H186/D186-1,"")))</f>
        <v/>
      </c>
      <c r="I187" s="15">
        <f>IF(OR(I186="",E186=""),"",IF(E186&lt;=0,"",IFERROR(I186/E186-1,"")))</f>
        <v/>
      </c>
      <c r="J187" s="15">
        <f>IF(OR(J186="",F186=""),"",IF(F186&lt;=0,"",IFERROR(J186/F186-1,"")))</f>
        <v/>
      </c>
      <c r="K187" s="15">
        <f>IF(OR(K186="",G186=""),"",IF(G186&lt;=0,"",IFERROR(K186/G186-1,"")))</f>
        <v/>
      </c>
      <c r="L187" s="15">
        <f>IF(OR(L186="",H186=""),"",IF(H186&lt;=0,"",IFERROR(L186/H186-1,"")))</f>
        <v/>
      </c>
      <c r="M187" s="15">
        <f>IF(OR(M186="",I186=""),"",IF(I186&lt;=0,"",IFERROR(M186/I186-1,"")))</f>
        <v/>
      </c>
      <c r="N187" s="15">
        <f>IF(OR(N186="",J186=""),"",IF(J186&lt;=0,"",IFERROR(N186/J186-1,"")))</f>
        <v/>
      </c>
      <c r="V187" s="15">
        <f>IF(OR(V186="",U186=""),"",IF(U186&lt;=0,"",IFERROR(V186/U186-1,"")))</f>
        <v/>
      </c>
      <c r="W187" s="15">
        <f>IF(OR(W186="",V186=""),"",IF(V186&lt;=0,"",IFERROR(W186/V186-1,"")))</f>
        <v/>
      </c>
      <c r="X187" s="15">
        <f>IF(OR(X186="",W186=""),"",IF(W186&lt;=0,"",IFERROR(X186/W186-1,"")))</f>
        <v/>
      </c>
    </row>
    <row r="188">
      <c r="A188" s="18" t="inlineStr">
        <is>
          <t>부문 · 계</t>
        </is>
      </c>
      <c r="C188" s="20" t="n">
        <v>6453</v>
      </c>
      <c r="D188" s="20" t="n">
        <v>13198</v>
      </c>
      <c r="E188" s="20" t="n">
        <v>11786</v>
      </c>
      <c r="F188" s="20" t="n">
        <v>11928</v>
      </c>
      <c r="G188" s="20" t="n">
        <v>12180</v>
      </c>
      <c r="H188" s="20" t="n">
        <v>14839</v>
      </c>
      <c r="I188" s="20" t="n">
        <v>13104</v>
      </c>
      <c r="J188" s="20" t="n">
        <v>13594</v>
      </c>
      <c r="K188" s="20" t="n">
        <v>12719</v>
      </c>
      <c r="L188" s="20" t="n">
        <v>16846</v>
      </c>
      <c r="M188" s="20" t="n">
        <v>14733</v>
      </c>
      <c r="N188" s="20" t="n">
        <v>15838</v>
      </c>
      <c r="V188" s="20" t="n">
        <v>6453</v>
      </c>
      <c r="W188" s="20" t="n">
        <v>12180</v>
      </c>
      <c r="X188" s="20" t="n">
        <v>12719</v>
      </c>
    </row>
    <row r="189">
      <c r="A189" s="43" t="inlineStr">
        <is>
          <t>YoY</t>
        </is>
      </c>
      <c r="B189" s="3" t="inlineStr">
        <is>
          <t>전년 같은 분기·전년 대비</t>
        </is>
      </c>
      <c r="G189" s="15">
        <f>IF(OR(G188="",C188=""),"",IF(C188&lt;=0,"",IFERROR(G188/C188-1,"")))</f>
        <v/>
      </c>
      <c r="H189" s="15">
        <f>IF(OR(H188="",D188=""),"",IF(D188&lt;=0,"",IFERROR(H188/D188-1,"")))</f>
        <v/>
      </c>
      <c r="I189" s="15">
        <f>IF(OR(I188="",E188=""),"",IF(E188&lt;=0,"",IFERROR(I188/E188-1,"")))</f>
        <v/>
      </c>
      <c r="J189" s="15">
        <f>IF(OR(J188="",F188=""),"",IF(F188&lt;=0,"",IFERROR(J188/F188-1,"")))</f>
        <v/>
      </c>
      <c r="K189" s="15">
        <f>IF(OR(K188="",G188=""),"",IF(G188&lt;=0,"",IFERROR(K188/G188-1,"")))</f>
        <v/>
      </c>
      <c r="L189" s="15">
        <f>IF(OR(L188="",H188=""),"",IF(H188&lt;=0,"",IFERROR(L188/H188-1,"")))</f>
        <v/>
      </c>
      <c r="M189" s="15">
        <f>IF(OR(M188="",I188=""),"",IF(I188&lt;=0,"",IFERROR(M188/I188-1,"")))</f>
        <v/>
      </c>
      <c r="N189" s="15">
        <f>IF(OR(N188="",J188=""),"",IF(J188&lt;=0,"",IFERROR(N188/J188-1,"")))</f>
        <v/>
      </c>
      <c r="V189" s="15">
        <f>IF(OR(V188="",U188=""),"",IF(U188&lt;=0,"",IFERROR(V188/U188-1,"")))</f>
        <v/>
      </c>
      <c r="W189" s="15">
        <f>IF(OR(W188="",V188=""),"",IF(V188&lt;=0,"",IFERROR(W188/V188-1,"")))</f>
        <v/>
      </c>
      <c r="X189" s="15">
        <f>IF(OR(X188="",W188=""),"",IF(W188&lt;=0,"",IFERROR(X188/W188-1,"")))</f>
        <v/>
      </c>
    </row>
    <row r="190">
      <c r="A190" s="18" t="inlineStr">
        <is>
          <t>보고부문 합계 · 계</t>
        </is>
      </c>
      <c r="C190" s="20" t="n">
        <v>168511</v>
      </c>
      <c r="D190" s="20" t="n">
        <v>108771</v>
      </c>
      <c r="E190" s="20" t="n">
        <v>98646</v>
      </c>
      <c r="F190" s="20" t="n">
        <v>101821</v>
      </c>
      <c r="G190" s="20" t="n">
        <v>270758</v>
      </c>
      <c r="H190" s="20" t="n">
        <v>149289</v>
      </c>
      <c r="I190" s="20" t="n">
        <v>137956</v>
      </c>
      <c r="J190" s="20" t="n">
        <v>114862</v>
      </c>
      <c r="K190" s="20" t="n">
        <v>293537</v>
      </c>
      <c r="L190" s="20" t="n">
        <v>209392</v>
      </c>
      <c r="M190" s="20" t="n">
        <v>173876</v>
      </c>
      <c r="N190" s="20" t="n">
        <v>137873</v>
      </c>
      <c r="V190" s="20" t="n">
        <v>168511</v>
      </c>
      <c r="W190" s="20" t="n">
        <v>270758</v>
      </c>
      <c r="X190" s="20" t="n">
        <v>293537</v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IF(OR(G190="",C190=""),"",IF(C190&lt;=0,"",IFERROR(G190/C190-1,"")))</f>
        <v/>
      </c>
      <c r="H191" s="15">
        <f>IF(OR(H190="",D190=""),"",IF(D190&lt;=0,"",IFERROR(H190/D190-1,"")))</f>
        <v/>
      </c>
      <c r="I191" s="15">
        <f>IF(OR(I190="",E190=""),"",IF(E190&lt;=0,"",IFERROR(I190/E190-1,"")))</f>
        <v/>
      </c>
      <c r="J191" s="15">
        <f>IF(OR(J190="",F190=""),"",IF(F190&lt;=0,"",IFERROR(J190/F190-1,"")))</f>
        <v/>
      </c>
      <c r="K191" s="15">
        <f>IF(OR(K190="",G190=""),"",IF(G190&lt;=0,"",IFERROR(K190/G190-1,"")))</f>
        <v/>
      </c>
      <c r="L191" s="15">
        <f>IF(OR(L190="",H190=""),"",IF(H190&lt;=0,"",IFERROR(L190/H190-1,"")))</f>
        <v/>
      </c>
      <c r="M191" s="15">
        <f>IF(OR(M190="",I190=""),"",IF(I190&lt;=0,"",IFERROR(M190/I190-1,"")))</f>
        <v/>
      </c>
      <c r="N191" s="15">
        <f>IF(OR(N190="",J190=""),"",IF(J190&lt;=0,"",IFERROR(N190/J190-1,"")))</f>
        <v/>
      </c>
      <c r="V191" s="15">
        <f>IF(OR(V190="",U190=""),"",IF(U190&lt;=0,"",IFERROR(V190/U190-1,"")))</f>
        <v/>
      </c>
      <c r="W191" s="15">
        <f>IF(OR(W190="",V190=""),"",IF(V190&lt;=0,"",IFERROR(W190/V190-1,"")))</f>
        <v/>
      </c>
      <c r="X191" s="15">
        <f>IF(OR(X190="",W190=""),"",IF(W190&lt;=0,"",IFERROR(X190/W190-1,"")))</f>
        <v/>
      </c>
    </row>
    <row r="192">
      <c r="A192" s="18" t="inlineStr">
        <is>
          <t>기타 · 계</t>
        </is>
      </c>
      <c r="C192" s="20" t="n">
        <v>1796</v>
      </c>
      <c r="D192" s="20" t="n">
        <v>1510</v>
      </c>
      <c r="E192" s="20" t="n">
        <v>2972</v>
      </c>
      <c r="F192" s="20" t="n">
        <v>11019</v>
      </c>
      <c r="G192" s="20" t="n">
        <v>10313</v>
      </c>
      <c r="H192" s="20" t="n">
        <v>10400</v>
      </c>
      <c r="I192" s="20" t="n">
        <v>8619</v>
      </c>
      <c r="J192" s="20" t="n">
        <v>12520</v>
      </c>
      <c r="K192" s="20" t="n">
        <v>14104</v>
      </c>
      <c r="L192" s="20" t="n">
        <v>20541</v>
      </c>
      <c r="M192" s="20" t="n">
        <v>18848</v>
      </c>
      <c r="N192" s="20" t="n">
        <v>22996</v>
      </c>
      <c r="V192" s="20" t="n">
        <v>1796</v>
      </c>
      <c r="W192" s="20" t="n">
        <v>10313</v>
      </c>
      <c r="X192" s="20" t="n">
        <v>14104</v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G193" s="15">
        <f>IF(OR(G192="",C192=""),"",IF(C192&lt;=0,"",IFERROR(G192/C192-1,"")))</f>
        <v/>
      </c>
      <c r="H193" s="15">
        <f>IF(OR(H192="",D192=""),"",IF(D192&lt;=0,"",IFERROR(H192/D192-1,"")))</f>
        <v/>
      </c>
      <c r="I193" s="15">
        <f>IF(OR(I192="",E192=""),"",IF(E192&lt;=0,"",IFERROR(I192/E192-1,"")))</f>
        <v/>
      </c>
      <c r="J193" s="15">
        <f>IF(OR(J192="",F192=""),"",IF(F192&lt;=0,"",IFERROR(J192/F192-1,"")))</f>
        <v/>
      </c>
      <c r="K193" s="15">
        <f>IF(OR(K192="",G192=""),"",IF(G192&lt;=0,"",IFERROR(K192/G192-1,"")))</f>
        <v/>
      </c>
      <c r="L193" s="15">
        <f>IF(OR(L192="",H192=""),"",IF(H192&lt;=0,"",IFERROR(L192/H192-1,"")))</f>
        <v/>
      </c>
      <c r="M193" s="15">
        <f>IF(OR(M192="",I192=""),"",IF(I192&lt;=0,"",IFERROR(M192/I192-1,"")))</f>
        <v/>
      </c>
      <c r="N193" s="15">
        <f>IF(OR(N192="",J192=""),"",IF(J192&lt;=0,"",IFERROR(N192/J192-1,"")))</f>
        <v/>
      </c>
      <c r="V193" s="15">
        <f>IF(OR(V192="",U192=""),"",IF(U192&lt;=0,"",IFERROR(V192/U192-1,"")))</f>
        <v/>
      </c>
      <c r="W193" s="15">
        <f>IF(OR(W192="",V192=""),"",IF(V192&lt;=0,"",IFERROR(W192/V192-1,"")))</f>
        <v/>
      </c>
      <c r="X193" s="15">
        <f>IF(OR(X192="",W192=""),"",IF(W192&lt;=0,"",IFERROR(X192/W192-1,"")))</f>
        <v/>
      </c>
    </row>
    <row r="194">
      <c r="A194" s="18" t="inlineStr">
        <is>
          <t>합계 · 계</t>
        </is>
      </c>
      <c r="C194" s="20" t="n">
        <v>170308</v>
      </c>
      <c r="D194" s="20" t="n">
        <v>110282</v>
      </c>
      <c r="E194" s="20" t="n">
        <v>101617</v>
      </c>
      <c r="F194" s="20" t="n">
        <v>112841</v>
      </c>
      <c r="G194" s="20" t="n">
        <v>281070</v>
      </c>
      <c r="H194" s="20" t="n">
        <v>159689</v>
      </c>
      <c r="I194" s="20" t="n">
        <v>146575</v>
      </c>
      <c r="J194" s="20" t="n">
        <v>127383</v>
      </c>
      <c r="K194" s="20" t="n">
        <v>307640</v>
      </c>
      <c r="L194" s="20" t="n">
        <v>229933</v>
      </c>
      <c r="M194" s="20" t="n">
        <v>192724</v>
      </c>
      <c r="N194" s="20" t="n">
        <v>160870</v>
      </c>
      <c r="V194" s="20" t="n">
        <v>170308</v>
      </c>
      <c r="W194" s="20" t="n">
        <v>281070</v>
      </c>
      <c r="X194" s="20" t="n">
        <v>307640</v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IF(OR(G194="",C194=""),"",IF(C194&lt;=0,"",IFERROR(G194/C194-1,"")))</f>
        <v/>
      </c>
      <c r="H195" s="15">
        <f>IF(OR(H194="",D194=""),"",IF(D194&lt;=0,"",IFERROR(H194/D194-1,"")))</f>
        <v/>
      </c>
      <c r="I195" s="15">
        <f>IF(OR(I194="",E194=""),"",IF(E194&lt;=0,"",IFERROR(I194/E194-1,"")))</f>
        <v/>
      </c>
      <c r="J195" s="15">
        <f>IF(OR(J194="",F194=""),"",IF(F194&lt;=0,"",IFERROR(J194/F194-1,"")))</f>
        <v/>
      </c>
      <c r="K195" s="15">
        <f>IF(OR(K194="",G194=""),"",IF(G194&lt;=0,"",IFERROR(K194/G194-1,"")))</f>
        <v/>
      </c>
      <c r="L195" s="15">
        <f>IF(OR(L194="",H194=""),"",IF(H194&lt;=0,"",IFERROR(L194/H194-1,"")))</f>
        <v/>
      </c>
      <c r="M195" s="15">
        <f>IF(OR(M194="",I194=""),"",IF(I194&lt;=0,"",IFERROR(M194/I194-1,"")))</f>
        <v/>
      </c>
      <c r="N195" s="15">
        <f>IF(OR(N194="",J194=""),"",IF(J194&lt;=0,"",IFERROR(N194/J194-1,"")))</f>
        <v/>
      </c>
      <c r="V195" s="15">
        <f>IF(OR(V194="",U194=""),"",IF(U194&lt;=0,"",IFERROR(V194/U194-1,"")))</f>
        <v/>
      </c>
      <c r="W195" s="15">
        <f>IF(OR(W194="",V194=""),"",IF(V194&lt;=0,"",IFERROR(W194/V194-1,"")))</f>
        <v/>
      </c>
      <c r="X195" s="15">
        <f>IF(OR(X194="",W194=""),"",IF(W194&lt;=0,"",IFERROR(X194/W194-1,"")))</f>
        <v/>
      </c>
    </row>
    <row r="196">
      <c r="A196" s="18" t="inlineStr">
        <is>
          <t>조정액 · 계</t>
        </is>
      </c>
      <c r="C196" s="20" t="n">
        <v>-2454</v>
      </c>
      <c r="D196" s="20" t="n">
        <v>-2689</v>
      </c>
      <c r="E196" s="20" t="n">
        <v>-4358</v>
      </c>
      <c r="F196" s="20" t="n">
        <v>-2707</v>
      </c>
      <c r="G196" s="20" t="n">
        <v>-4441</v>
      </c>
      <c r="H196" s="20" t="n">
        <v>-3045</v>
      </c>
      <c r="I196" s="20" t="n">
        <v>-3137</v>
      </c>
      <c r="J196" s="20" t="n">
        <v>-3247</v>
      </c>
      <c r="K196" s="20" t="n">
        <v>-4411</v>
      </c>
      <c r="L196" s="20" t="n">
        <v>-3091</v>
      </c>
      <c r="M196" s="20" t="n">
        <v>-2970</v>
      </c>
      <c r="N196" s="20" t="n">
        <v>-2740</v>
      </c>
      <c r="V196" s="20" t="n">
        <v>-2454</v>
      </c>
      <c r="W196" s="20" t="n">
        <v>-4441</v>
      </c>
      <c r="X196" s="20" t="n">
        <v>-4411</v>
      </c>
    </row>
    <row r="197">
      <c r="A197" s="18" t="inlineStr">
        <is>
          <t>계</t>
        </is>
      </c>
      <c r="C197" s="20" t="n">
        <v>167854</v>
      </c>
      <c r="D197" s="20" t="n">
        <v>107593</v>
      </c>
      <c r="E197" s="20" t="n">
        <v>97259</v>
      </c>
      <c r="F197" s="20" t="n">
        <v>110133</v>
      </c>
      <c r="G197" s="20" t="n">
        <v>276630</v>
      </c>
      <c r="H197" s="20" t="n">
        <v>156644</v>
      </c>
      <c r="I197" s="20" t="n">
        <v>143437</v>
      </c>
      <c r="J197" s="20" t="n">
        <v>124137</v>
      </c>
      <c r="K197" s="20" t="n">
        <v>303229</v>
      </c>
      <c r="L197" s="20" t="n">
        <v>226841</v>
      </c>
      <c r="M197" s="20" t="n">
        <v>189755</v>
      </c>
      <c r="N197" s="20" t="n">
        <v>158129</v>
      </c>
      <c r="V197" s="20" t="n">
        <v>167854</v>
      </c>
      <c r="W197" s="20" t="n">
        <v>276630</v>
      </c>
      <c r="X197" s="20" t="n">
        <v>303229</v>
      </c>
    </row>
    <row r="198">
      <c r="A198" s="43" t="inlineStr">
        <is>
          <t>YoY</t>
        </is>
      </c>
      <c r="B198" s="3" t="inlineStr">
        <is>
          <t>전년 같은 분기·전년 대비</t>
        </is>
      </c>
      <c r="G198" s="15">
        <f>IF(OR(G197="",C197=""),"",IF(C197&lt;=0,"",IFERROR(G197/C197-1,"")))</f>
        <v/>
      </c>
      <c r="H198" s="15">
        <f>IF(OR(H197="",D197=""),"",IF(D197&lt;=0,"",IFERROR(H197/D197-1,"")))</f>
        <v/>
      </c>
      <c r="I198" s="15">
        <f>IF(OR(I197="",E197=""),"",IF(E197&lt;=0,"",IFERROR(I197/E197-1,"")))</f>
        <v/>
      </c>
      <c r="J198" s="15">
        <f>IF(OR(J197="",F197=""),"",IF(F197&lt;=0,"",IFERROR(J197/F197-1,"")))</f>
        <v/>
      </c>
      <c r="K198" s="15">
        <f>IF(OR(K197="",G197=""),"",IF(G197&lt;=0,"",IFERROR(K197/G197-1,"")))</f>
        <v/>
      </c>
      <c r="L198" s="15">
        <f>IF(OR(L197="",H197=""),"",IF(H197&lt;=0,"",IFERROR(L197/H197-1,"")))</f>
        <v/>
      </c>
      <c r="M198" s="15">
        <f>IF(OR(M197="",I197=""),"",IF(I197&lt;=0,"",IFERROR(M197/I197-1,"")))</f>
        <v/>
      </c>
      <c r="N198" s="15">
        <f>IF(OR(N197="",J197=""),"",IF(J197&lt;=0,"",IFERROR(N197/J197-1,"")))</f>
        <v/>
      </c>
      <c r="V198" s="15">
        <f>IF(OR(V197="",U197=""),"",IF(U197&lt;=0,"",IFERROR(V197/U197-1,"")))</f>
        <v/>
      </c>
      <c r="W198" s="15">
        <f>IF(OR(W197="",V197=""),"",IF(V197&lt;=0,"",IFERROR(W197/V197-1,"")))</f>
        <v/>
      </c>
      <c r="X198" s="15">
        <f>IF(OR(X197="",W197=""),"",IF(W197&lt;=0,"",IFERROR(X197/W197-1,"")))</f>
        <v/>
      </c>
    </row>
    <row r="199">
      <c r="A199" s="18" t="inlineStr">
        <is>
          <t>부문 · 부문 이익</t>
        </is>
      </c>
      <c r="C199" s="20" t="n">
        <v>57008</v>
      </c>
      <c r="D199" s="20" t="n">
        <v>26007</v>
      </c>
      <c r="E199" s="20" t="n">
        <v>46832</v>
      </c>
      <c r="F199" s="20" t="n">
        <v>20448</v>
      </c>
      <c r="G199" s="20" t="n">
        <v>77141</v>
      </c>
      <c r="H199" s="20" t="n">
        <v>33381</v>
      </c>
      <c r="I199" s="20" t="n">
        <v>46332</v>
      </c>
      <c r="J199" s="20" t="n">
        <v>34511</v>
      </c>
      <c r="K199" s="20" t="n">
        <v>83887</v>
      </c>
      <c r="L199" s="20" t="n">
        <v>38534</v>
      </c>
      <c r="M199" s="20" t="n">
        <v>48719</v>
      </c>
      <c r="N199" s="20" t="n">
        <v>40098</v>
      </c>
      <c r="V199" s="20" t="n">
        <v>57008</v>
      </c>
      <c r="W199" s="20" t="n">
        <v>77141</v>
      </c>
      <c r="X199" s="20" t="n">
        <v>83887</v>
      </c>
    </row>
    <row r="200">
      <c r="A200" s="43" t="inlineStr">
        <is>
          <t>OPM</t>
        </is>
      </c>
      <c r="B200" s="3" t="inlineStr">
        <is>
          <t>영업이익 ÷ 매출</t>
        </is>
      </c>
      <c r="C200" s="15">
        <f>IF(OR(C199="",C184=""),"",IF(C184&lt;=0,"",IFERROR(C199/C184,"")))</f>
        <v/>
      </c>
      <c r="D200" s="15">
        <f>IF(OR(D199="",D184=""),"",IF(D184&lt;=0,"",IFERROR(D199/D184,"")))</f>
        <v/>
      </c>
      <c r="E200" s="15">
        <f>IF(OR(E199="",E184=""),"",IF(E184&lt;=0,"",IFERROR(E199/E184,"")))</f>
        <v/>
      </c>
      <c r="F200" s="15">
        <f>IF(OR(F199="",F184=""),"",IF(F184&lt;=0,"",IFERROR(F199/F184,"")))</f>
        <v/>
      </c>
      <c r="G200" s="15">
        <f>IF(OR(G199="",G184=""),"",IF(G184&lt;=0,"",IFERROR(G199/G184,"")))</f>
        <v/>
      </c>
      <c r="H200" s="15">
        <f>IF(OR(H199="",H184=""),"",IF(H184&lt;=0,"",IFERROR(H199/H184,"")))</f>
        <v/>
      </c>
      <c r="I200" s="15">
        <f>IF(OR(I199="",I184=""),"",IF(I184&lt;=0,"",IFERROR(I199/I184,"")))</f>
        <v/>
      </c>
      <c r="J200" s="15">
        <f>IF(OR(J199="",J184=""),"",IF(J184&lt;=0,"",IFERROR(J199/J184,"")))</f>
        <v/>
      </c>
      <c r="K200" s="15">
        <f>IF(OR(K199="",K184=""),"",IF(K184&lt;=0,"",IFERROR(K199/K184,"")))</f>
        <v/>
      </c>
      <c r="L200" s="15">
        <f>IF(OR(L199="",L184=""),"",IF(L184&lt;=0,"",IFERROR(L199/L184,"")))</f>
        <v/>
      </c>
      <c r="M200" s="15">
        <f>IF(OR(M199="",M184=""),"",IF(M184&lt;=0,"",IFERROR(M199/M184,"")))</f>
        <v/>
      </c>
      <c r="N200" s="15">
        <f>IF(OR(N199="",N184=""),"",IF(N184&lt;=0,"",IFERROR(N199/N184,"")))</f>
        <v/>
      </c>
      <c r="V200" s="15">
        <f>IF(OR(V199="",V184=""),"",IF(V184&lt;=0,"",IFERROR(V199/V184,"")))</f>
        <v/>
      </c>
      <c r="W200" s="15">
        <f>IF(OR(W199="",W184=""),"",IF(W184&lt;=0,"",IFERROR(W199/W184,"")))</f>
        <v/>
      </c>
      <c r="X200" s="15">
        <f>IF(OR(X199="",X184=""),"",IF(X184&lt;=0,"",IFERROR(X199/X184,"")))</f>
        <v/>
      </c>
    </row>
    <row r="201">
      <c r="A201" s="43" t="inlineStr">
        <is>
          <t>YoY</t>
        </is>
      </c>
      <c r="B201" s="3" t="inlineStr">
        <is>
          <t>전년 같은 분기·전년 대비</t>
        </is>
      </c>
      <c r="G201" s="15">
        <f>IF(OR(G199="",C199=""),"",IF(C199&lt;=0,"",IFERROR(G199/C199-1,"")))</f>
        <v/>
      </c>
      <c r="H201" s="15">
        <f>IF(OR(H199="",D199=""),"",IF(D199&lt;=0,"",IFERROR(H199/D199-1,"")))</f>
        <v/>
      </c>
      <c r="I201" s="15">
        <f>IF(OR(I199="",E199=""),"",IF(E199&lt;=0,"",IFERROR(I199/E199-1,"")))</f>
        <v/>
      </c>
      <c r="J201" s="15">
        <f>IF(OR(J199="",F199=""),"",IF(F199&lt;=0,"",IFERROR(J199/F199-1,"")))</f>
        <v/>
      </c>
      <c r="K201" s="15">
        <f>IF(OR(K199="",G199=""),"",IF(G199&lt;=0,"",IFERROR(K199/G199-1,"")))</f>
        <v/>
      </c>
      <c r="L201" s="15">
        <f>IF(OR(L199="",H199=""),"",IF(H199&lt;=0,"",IFERROR(L199/H199-1,"")))</f>
        <v/>
      </c>
      <c r="M201" s="15">
        <f>IF(OR(M199="",I199=""),"",IF(I199&lt;=0,"",IFERROR(M199/I199-1,"")))</f>
        <v/>
      </c>
      <c r="N201" s="15">
        <f>IF(OR(N199="",J199=""),"",IF(J199&lt;=0,"",IFERROR(N199/J199-1,"")))</f>
        <v/>
      </c>
      <c r="V201" s="15">
        <f>IF(OR(V199="",U199=""),"",IF(U199&lt;=0,"",IFERROR(V199/U199-1,"")))</f>
        <v/>
      </c>
      <c r="W201" s="15">
        <f>IF(OR(W199="",V199=""),"",IF(V199&lt;=0,"",IFERROR(W199/V199-1,"")))</f>
        <v/>
      </c>
      <c r="X201" s="15">
        <f>IF(OR(X199="",W199=""),"",IF(W199&lt;=0,"",IFERROR(X199/W199-1,"")))</f>
        <v/>
      </c>
    </row>
    <row r="202">
      <c r="A202" s="18" t="inlineStr">
        <is>
          <t>부문 · 부문 이익</t>
        </is>
      </c>
      <c r="C202" s="20" t="n">
        <v>215</v>
      </c>
      <c r="D202" s="20" t="n">
        <v>444</v>
      </c>
      <c r="E202" s="20" t="n">
        <v>143</v>
      </c>
      <c r="F202" s="20" t="n">
        <v>366</v>
      </c>
      <c r="G202" s="20" t="n">
        <v>44</v>
      </c>
      <c r="H202" s="20" t="n">
        <v>372</v>
      </c>
      <c r="I202" s="20" t="n">
        <v>185</v>
      </c>
      <c r="J202" s="20" t="n">
        <v>383</v>
      </c>
      <c r="K202" s="20" t="n">
        <v>150</v>
      </c>
      <c r="L202" s="20" t="n">
        <v>498</v>
      </c>
      <c r="M202" s="20" t="n">
        <v>164</v>
      </c>
      <c r="N202" s="20" t="n">
        <v>364</v>
      </c>
      <c r="V202" s="20" t="n">
        <v>215</v>
      </c>
      <c r="W202" s="20" t="n">
        <v>44</v>
      </c>
      <c r="X202" s="20" t="n">
        <v>150</v>
      </c>
    </row>
    <row r="203">
      <c r="A203" s="43" t="inlineStr">
        <is>
          <t>OPM</t>
        </is>
      </c>
      <c r="B203" s="3" t="inlineStr">
        <is>
          <t>영업이익 ÷ 매출</t>
        </is>
      </c>
      <c r="C203" s="15">
        <f>IF(OR(C202="",C186=""),"",IF(C186&lt;=0,"",IFERROR(C202/C186,"")))</f>
        <v/>
      </c>
      <c r="D203" s="15">
        <f>IF(OR(D202="",D186=""),"",IF(D186&lt;=0,"",IFERROR(D202/D186,"")))</f>
        <v/>
      </c>
      <c r="E203" s="15">
        <f>IF(OR(E202="",E186=""),"",IF(E186&lt;=0,"",IFERROR(E202/E186,"")))</f>
        <v/>
      </c>
      <c r="F203" s="15">
        <f>IF(OR(F202="",F186=""),"",IF(F186&lt;=0,"",IFERROR(F202/F186,"")))</f>
        <v/>
      </c>
      <c r="G203" s="15">
        <f>IF(OR(G202="",G186=""),"",IF(G186&lt;=0,"",IFERROR(G202/G186,"")))</f>
        <v/>
      </c>
      <c r="H203" s="15">
        <f>IF(OR(H202="",H186=""),"",IF(H186&lt;=0,"",IFERROR(H202/H186,"")))</f>
        <v/>
      </c>
      <c r="I203" s="15">
        <f>IF(OR(I202="",I186=""),"",IF(I186&lt;=0,"",IFERROR(I202/I186,"")))</f>
        <v/>
      </c>
      <c r="J203" s="15">
        <f>IF(OR(J202="",J186=""),"",IF(J186&lt;=0,"",IFERROR(J202/J186,"")))</f>
        <v/>
      </c>
      <c r="K203" s="15">
        <f>IF(OR(K202="",K186=""),"",IF(K186&lt;=0,"",IFERROR(K202/K186,"")))</f>
        <v/>
      </c>
      <c r="L203" s="15">
        <f>IF(OR(L202="",L186=""),"",IF(L186&lt;=0,"",IFERROR(L202/L186,"")))</f>
        <v/>
      </c>
      <c r="M203" s="15">
        <f>IF(OR(M202="",M186=""),"",IF(M186&lt;=0,"",IFERROR(M202/M186,"")))</f>
        <v/>
      </c>
      <c r="N203" s="15">
        <f>IF(OR(N202="",N186=""),"",IF(N186&lt;=0,"",IFERROR(N202/N186,"")))</f>
        <v/>
      </c>
      <c r="V203" s="15">
        <f>IF(OR(V202="",V186=""),"",IF(V186&lt;=0,"",IFERROR(V202/V186,"")))</f>
        <v/>
      </c>
      <c r="W203" s="15">
        <f>IF(OR(W202="",W186=""),"",IF(W186&lt;=0,"",IFERROR(W202/W186,"")))</f>
        <v/>
      </c>
      <c r="X203" s="15">
        <f>IF(OR(X202="",X186=""),"",IF(X186&lt;=0,"",IFERROR(X202/X186,"")))</f>
        <v/>
      </c>
    </row>
    <row r="204">
      <c r="A204" s="43" t="inlineStr">
        <is>
          <t>YoY</t>
        </is>
      </c>
      <c r="B204" s="3" t="inlineStr">
        <is>
          <t>전년 같은 분기·전년 대비</t>
        </is>
      </c>
      <c r="G204" s="15">
        <f>IF(OR(G202="",C202=""),"",IF(C202&lt;=0,"",IFERROR(G202/C202-1,"")))</f>
        <v/>
      </c>
      <c r="H204" s="15">
        <f>IF(OR(H202="",D202=""),"",IF(D202&lt;=0,"",IFERROR(H202/D202-1,"")))</f>
        <v/>
      </c>
      <c r="I204" s="15">
        <f>IF(OR(I202="",E202=""),"",IF(E202&lt;=0,"",IFERROR(I202/E202-1,"")))</f>
        <v/>
      </c>
      <c r="J204" s="15">
        <f>IF(OR(J202="",F202=""),"",IF(F202&lt;=0,"",IFERROR(J202/F202-1,"")))</f>
        <v/>
      </c>
      <c r="K204" s="15">
        <f>IF(OR(K202="",G202=""),"",IF(G202&lt;=0,"",IFERROR(K202/G202-1,"")))</f>
        <v/>
      </c>
      <c r="L204" s="15">
        <f>IF(OR(L202="",H202=""),"",IF(H202&lt;=0,"",IFERROR(L202/H202-1,"")))</f>
        <v/>
      </c>
      <c r="M204" s="15">
        <f>IF(OR(M202="",I202=""),"",IF(I202&lt;=0,"",IFERROR(M202/I202-1,"")))</f>
        <v/>
      </c>
      <c r="N204" s="15">
        <f>IF(OR(N202="",J202=""),"",IF(J202&lt;=0,"",IFERROR(N202/J202-1,"")))</f>
        <v/>
      </c>
      <c r="V204" s="15">
        <f>IF(OR(V202="",U202=""),"",IF(U202&lt;=0,"",IFERROR(V202/U202-1,"")))</f>
        <v/>
      </c>
      <c r="W204" s="15">
        <f>IF(OR(W202="",V202=""),"",IF(V202&lt;=0,"",IFERROR(W202/V202-1,"")))</f>
        <v/>
      </c>
      <c r="X204" s="15">
        <f>IF(OR(X202="",W202=""),"",IF(W202&lt;=0,"",IFERROR(X202/W202-1,"")))</f>
        <v/>
      </c>
    </row>
    <row r="205">
      <c r="A205" s="18" t="inlineStr">
        <is>
          <t>부문 · 부문 이익</t>
        </is>
      </c>
      <c r="C205" s="20" t="n">
        <v>248</v>
      </c>
      <c r="D205" s="20" t="n">
        <v>844</v>
      </c>
      <c r="E205" s="20" t="n">
        <v>688</v>
      </c>
      <c r="F205" s="20" t="n">
        <v>456</v>
      </c>
      <c r="G205" s="20" t="n">
        <v>-313</v>
      </c>
      <c r="H205" s="20" t="n">
        <v>1848</v>
      </c>
      <c r="I205" s="20" t="n">
        <v>804</v>
      </c>
      <c r="J205" s="20" t="n">
        <v>418</v>
      </c>
      <c r="K205" s="20" t="n">
        <v>-1400</v>
      </c>
      <c r="L205" s="20" t="n">
        <v>2047</v>
      </c>
      <c r="M205" s="20" t="n">
        <v>653</v>
      </c>
      <c r="N205" s="20" t="n">
        <v>613</v>
      </c>
      <c r="V205" s="20" t="n">
        <v>248</v>
      </c>
      <c r="W205" s="20" t="n">
        <v>-313</v>
      </c>
      <c r="X205" s="20" t="n">
        <v>-1400</v>
      </c>
    </row>
    <row r="206">
      <c r="A206" s="43" t="inlineStr">
        <is>
          <t>OPM</t>
        </is>
      </c>
      <c r="B206" s="3" t="inlineStr">
        <is>
          <t>영업이익 ÷ 매출</t>
        </is>
      </c>
      <c r="C206" s="15">
        <f>IF(OR(C205="",C188=""),"",IF(C188&lt;=0,"",IFERROR(C205/C188,"")))</f>
        <v/>
      </c>
      <c r="D206" s="15">
        <f>IF(OR(D205="",D188=""),"",IF(D188&lt;=0,"",IFERROR(D205/D188,"")))</f>
        <v/>
      </c>
      <c r="E206" s="15">
        <f>IF(OR(E205="",E188=""),"",IF(E188&lt;=0,"",IFERROR(E205/E188,"")))</f>
        <v/>
      </c>
      <c r="F206" s="15">
        <f>IF(OR(F205="",F188=""),"",IF(F188&lt;=0,"",IFERROR(F205/F188,"")))</f>
        <v/>
      </c>
      <c r="G206" s="15">
        <f>IF(OR(G205="",G188=""),"",IF(G188&lt;=0,"",IFERROR(G205/G188,"")))</f>
        <v/>
      </c>
      <c r="H206" s="15">
        <f>IF(OR(H205="",H188=""),"",IF(H188&lt;=0,"",IFERROR(H205/H188,"")))</f>
        <v/>
      </c>
      <c r="I206" s="15">
        <f>IF(OR(I205="",I188=""),"",IF(I188&lt;=0,"",IFERROR(I205/I188,"")))</f>
        <v/>
      </c>
      <c r="J206" s="15">
        <f>IF(OR(J205="",J188=""),"",IF(J188&lt;=0,"",IFERROR(J205/J188,"")))</f>
        <v/>
      </c>
      <c r="K206" s="15">
        <f>IF(OR(K205="",K188=""),"",IF(K188&lt;=0,"",IFERROR(K205/K188,"")))</f>
        <v/>
      </c>
      <c r="L206" s="15">
        <f>IF(OR(L205="",L188=""),"",IF(L188&lt;=0,"",IFERROR(L205/L188,"")))</f>
        <v/>
      </c>
      <c r="M206" s="15">
        <f>IF(OR(M205="",M188=""),"",IF(M188&lt;=0,"",IFERROR(M205/M188,"")))</f>
        <v/>
      </c>
      <c r="N206" s="15">
        <f>IF(OR(N205="",N188=""),"",IF(N188&lt;=0,"",IFERROR(N205/N188,"")))</f>
        <v/>
      </c>
      <c r="V206" s="15">
        <f>IF(OR(V205="",V188=""),"",IF(V188&lt;=0,"",IFERROR(V205/V188,"")))</f>
        <v/>
      </c>
      <c r="W206" s="15">
        <f>IF(OR(W205="",W188=""),"",IF(W188&lt;=0,"",IFERROR(W205/W188,"")))</f>
        <v/>
      </c>
      <c r="X206" s="15">
        <f>IF(OR(X205="",X188=""),"",IF(X188&lt;=0,"",IFERROR(X205/X188,"")))</f>
        <v/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G207" s="15">
        <f>IF(OR(G205="",C205=""),"",IF(C205&lt;=0,"",IFERROR(G205/C205-1,"")))</f>
        <v/>
      </c>
      <c r="H207" s="15">
        <f>IF(OR(H205="",D205=""),"",IF(D205&lt;=0,"",IFERROR(H205/D205-1,"")))</f>
        <v/>
      </c>
      <c r="I207" s="15">
        <f>IF(OR(I205="",E205=""),"",IF(E205&lt;=0,"",IFERROR(I205/E205-1,"")))</f>
        <v/>
      </c>
      <c r="J207" s="15">
        <f>IF(OR(J205="",F205=""),"",IF(F205&lt;=0,"",IFERROR(J205/F205-1,"")))</f>
        <v/>
      </c>
      <c r="K207" s="15">
        <f>IF(OR(K205="",G205=""),"",IF(G205&lt;=0,"",IFERROR(K205/G205-1,"")))</f>
        <v/>
      </c>
      <c r="L207" s="15">
        <f>IF(OR(L205="",H205=""),"",IF(H205&lt;=0,"",IFERROR(L205/H205-1,"")))</f>
        <v/>
      </c>
      <c r="M207" s="15">
        <f>IF(OR(M205="",I205=""),"",IF(I205&lt;=0,"",IFERROR(M205/I205-1,"")))</f>
        <v/>
      </c>
      <c r="N207" s="15">
        <f>IF(OR(N205="",J205=""),"",IF(J205&lt;=0,"",IFERROR(N205/J205-1,"")))</f>
        <v/>
      </c>
      <c r="V207" s="15">
        <f>IF(OR(V205="",U205=""),"",IF(U205&lt;=0,"",IFERROR(V205/U205-1,"")))</f>
        <v/>
      </c>
      <c r="W207" s="15">
        <f>IF(OR(W205="",V205=""),"",IF(V205&lt;=0,"",IFERROR(W205/V205-1,"")))</f>
        <v/>
      </c>
      <c r="X207" s="15">
        <f>IF(OR(X205="",W205=""),"",IF(W205&lt;=0,"",IFERROR(X205/W205-1,"")))</f>
        <v/>
      </c>
    </row>
    <row r="208">
      <c r="A208" s="18" t="inlineStr">
        <is>
          <t>보고부문 합계 · 부문 이익</t>
        </is>
      </c>
      <c r="C208" s="20" t="n">
        <v>57471</v>
      </c>
      <c r="D208" s="20" t="n">
        <v>27296</v>
      </c>
      <c r="E208" s="20" t="n">
        <v>47663</v>
      </c>
      <c r="F208" s="20" t="n">
        <v>21270</v>
      </c>
      <c r="G208" s="20" t="n">
        <v>76872</v>
      </c>
      <c r="H208" s="20" t="n">
        <v>35602</v>
      </c>
      <c r="I208" s="20" t="n">
        <v>47321</v>
      </c>
      <c r="J208" s="20" t="n">
        <v>35312</v>
      </c>
      <c r="K208" s="20" t="n">
        <v>82637</v>
      </c>
      <c r="L208" s="20" t="n">
        <v>41079</v>
      </c>
      <c r="M208" s="20" t="n">
        <v>49537</v>
      </c>
      <c r="N208" s="20" t="n">
        <v>41075</v>
      </c>
      <c r="V208" s="20" t="n">
        <v>57471</v>
      </c>
      <c r="W208" s="20" t="n">
        <v>76872</v>
      </c>
      <c r="X208" s="20" t="n">
        <v>82637</v>
      </c>
    </row>
    <row r="209">
      <c r="A209" s="43" t="inlineStr">
        <is>
          <t>OPM</t>
        </is>
      </c>
      <c r="B209" s="3" t="inlineStr">
        <is>
          <t>영업이익 ÷ 매출</t>
        </is>
      </c>
      <c r="C209" s="15">
        <f>IF(OR(C208="",C190=""),"",IF(C190&lt;=0,"",IFERROR(C208/C190,"")))</f>
        <v/>
      </c>
      <c r="D209" s="15">
        <f>IF(OR(D208="",D190=""),"",IF(D190&lt;=0,"",IFERROR(D208/D190,"")))</f>
        <v/>
      </c>
      <c r="E209" s="15">
        <f>IF(OR(E208="",E190=""),"",IF(E190&lt;=0,"",IFERROR(E208/E190,"")))</f>
        <v/>
      </c>
      <c r="F209" s="15">
        <f>IF(OR(F208="",F190=""),"",IF(F190&lt;=0,"",IFERROR(F208/F190,"")))</f>
        <v/>
      </c>
      <c r="G209" s="15">
        <f>IF(OR(G208="",G190=""),"",IF(G190&lt;=0,"",IFERROR(G208/G190,"")))</f>
        <v/>
      </c>
      <c r="H209" s="15">
        <f>IF(OR(H208="",H190=""),"",IF(H190&lt;=0,"",IFERROR(H208/H190,"")))</f>
        <v/>
      </c>
      <c r="I209" s="15">
        <f>IF(OR(I208="",I190=""),"",IF(I190&lt;=0,"",IFERROR(I208/I190,"")))</f>
        <v/>
      </c>
      <c r="J209" s="15">
        <f>IF(OR(J208="",J190=""),"",IF(J190&lt;=0,"",IFERROR(J208/J190,"")))</f>
        <v/>
      </c>
      <c r="K209" s="15">
        <f>IF(OR(K208="",K190=""),"",IF(K190&lt;=0,"",IFERROR(K208/K190,"")))</f>
        <v/>
      </c>
      <c r="L209" s="15">
        <f>IF(OR(L208="",L190=""),"",IF(L190&lt;=0,"",IFERROR(L208/L190,"")))</f>
        <v/>
      </c>
      <c r="M209" s="15">
        <f>IF(OR(M208="",M190=""),"",IF(M190&lt;=0,"",IFERROR(M208/M190,"")))</f>
        <v/>
      </c>
      <c r="N209" s="15">
        <f>IF(OR(N208="",N190=""),"",IF(N190&lt;=0,"",IFERROR(N208/N190,"")))</f>
        <v/>
      </c>
      <c r="V209" s="15">
        <f>IF(OR(V208="",V190=""),"",IF(V190&lt;=0,"",IFERROR(V208/V190,"")))</f>
        <v/>
      </c>
      <c r="W209" s="15">
        <f>IF(OR(W208="",W190=""),"",IF(W190&lt;=0,"",IFERROR(W208/W190,"")))</f>
        <v/>
      </c>
      <c r="X209" s="15">
        <f>IF(OR(X208="",X190=""),"",IF(X190&lt;=0,"",IFERROR(X208/X190,"")))</f>
        <v/>
      </c>
    </row>
    <row r="210">
      <c r="A210" s="43" t="inlineStr">
        <is>
          <t>YoY</t>
        </is>
      </c>
      <c r="B210" s="3" t="inlineStr">
        <is>
          <t>전년 같은 분기·전년 대비</t>
        </is>
      </c>
      <c r="G210" s="15">
        <f>IF(OR(G208="",C208=""),"",IF(C208&lt;=0,"",IFERROR(G208/C208-1,"")))</f>
        <v/>
      </c>
      <c r="H210" s="15">
        <f>IF(OR(H208="",D208=""),"",IF(D208&lt;=0,"",IFERROR(H208/D208-1,"")))</f>
        <v/>
      </c>
      <c r="I210" s="15">
        <f>IF(OR(I208="",E208=""),"",IF(E208&lt;=0,"",IFERROR(I208/E208-1,"")))</f>
        <v/>
      </c>
      <c r="J210" s="15">
        <f>IF(OR(J208="",F208=""),"",IF(F208&lt;=0,"",IFERROR(J208/F208-1,"")))</f>
        <v/>
      </c>
      <c r="K210" s="15">
        <f>IF(OR(K208="",G208=""),"",IF(G208&lt;=0,"",IFERROR(K208/G208-1,"")))</f>
        <v/>
      </c>
      <c r="L210" s="15">
        <f>IF(OR(L208="",H208=""),"",IF(H208&lt;=0,"",IFERROR(L208/H208-1,"")))</f>
        <v/>
      </c>
      <c r="M210" s="15">
        <f>IF(OR(M208="",I208=""),"",IF(I208&lt;=0,"",IFERROR(M208/I208-1,"")))</f>
        <v/>
      </c>
      <c r="N210" s="15">
        <f>IF(OR(N208="",J208=""),"",IF(J208&lt;=0,"",IFERROR(N208/J208-1,"")))</f>
        <v/>
      </c>
      <c r="V210" s="15">
        <f>IF(OR(V208="",U208=""),"",IF(U208&lt;=0,"",IFERROR(V208/U208-1,"")))</f>
        <v/>
      </c>
      <c r="W210" s="15">
        <f>IF(OR(W208="",V208=""),"",IF(V208&lt;=0,"",IFERROR(W208/V208-1,"")))</f>
        <v/>
      </c>
      <c r="X210" s="15">
        <f>IF(OR(X208="",W208=""),"",IF(W208&lt;=0,"",IFERROR(X208/W208-1,"")))</f>
        <v/>
      </c>
    </row>
    <row r="211">
      <c r="A211" s="18" t="inlineStr">
        <is>
          <t>기타 · 부문 이익</t>
        </is>
      </c>
      <c r="C211" s="20" t="n">
        <v>107</v>
      </c>
      <c r="D211" s="20" t="n">
        <v>115</v>
      </c>
      <c r="E211" s="20" t="n">
        <v>72</v>
      </c>
      <c r="F211" s="20" t="n">
        <v>1432</v>
      </c>
      <c r="G211" s="20" t="n">
        <v>614</v>
      </c>
      <c r="H211" s="20" t="n">
        <v>743</v>
      </c>
      <c r="I211" s="20" t="n">
        <v>-795</v>
      </c>
      <c r="J211" s="20" t="n">
        <v>1262</v>
      </c>
      <c r="K211" s="20" t="n">
        <v>927</v>
      </c>
      <c r="L211" s="20" t="n">
        <v>-4808</v>
      </c>
      <c r="M211" s="20" t="n">
        <v>2349</v>
      </c>
      <c r="N211" s="20" t="n">
        <v>2973</v>
      </c>
      <c r="V211" s="20" t="n">
        <v>107</v>
      </c>
      <c r="W211" s="20" t="n">
        <v>614</v>
      </c>
      <c r="X211" s="20" t="n">
        <v>927</v>
      </c>
    </row>
    <row r="212">
      <c r="A212" s="43" t="inlineStr">
        <is>
          <t>OPM</t>
        </is>
      </c>
      <c r="B212" s="3" t="inlineStr">
        <is>
          <t>영업이익 ÷ 매출</t>
        </is>
      </c>
      <c r="C212" s="15">
        <f>IF(OR(C211="",C192=""),"",IF(C192&lt;=0,"",IFERROR(C211/C192,"")))</f>
        <v/>
      </c>
      <c r="D212" s="15">
        <f>IF(OR(D211="",D192=""),"",IF(D192&lt;=0,"",IFERROR(D211/D192,"")))</f>
        <v/>
      </c>
      <c r="E212" s="15">
        <f>IF(OR(E211="",E192=""),"",IF(E192&lt;=0,"",IFERROR(E211/E192,"")))</f>
        <v/>
      </c>
      <c r="F212" s="15">
        <f>IF(OR(F211="",F192=""),"",IF(F192&lt;=0,"",IFERROR(F211/F192,"")))</f>
        <v/>
      </c>
      <c r="G212" s="15">
        <f>IF(OR(G211="",G192=""),"",IF(G192&lt;=0,"",IFERROR(G211/G192,"")))</f>
        <v/>
      </c>
      <c r="H212" s="15">
        <f>IF(OR(H211="",H192=""),"",IF(H192&lt;=0,"",IFERROR(H211/H192,"")))</f>
        <v/>
      </c>
      <c r="I212" s="15">
        <f>IF(OR(I211="",I192=""),"",IF(I192&lt;=0,"",IFERROR(I211/I192,"")))</f>
        <v/>
      </c>
      <c r="J212" s="15">
        <f>IF(OR(J211="",J192=""),"",IF(J192&lt;=0,"",IFERROR(J211/J192,"")))</f>
        <v/>
      </c>
      <c r="K212" s="15">
        <f>IF(OR(K211="",K192=""),"",IF(K192&lt;=0,"",IFERROR(K211/K192,"")))</f>
        <v/>
      </c>
      <c r="L212" s="15">
        <f>IF(OR(L211="",L192=""),"",IF(L192&lt;=0,"",IFERROR(L211/L192,"")))</f>
        <v/>
      </c>
      <c r="M212" s="15">
        <f>IF(OR(M211="",M192=""),"",IF(M192&lt;=0,"",IFERROR(M211/M192,"")))</f>
        <v/>
      </c>
      <c r="N212" s="15">
        <f>IF(OR(N211="",N192=""),"",IF(N192&lt;=0,"",IFERROR(N211/N192,"")))</f>
        <v/>
      </c>
      <c r="V212" s="15">
        <f>IF(OR(V211="",V192=""),"",IF(V192&lt;=0,"",IFERROR(V211/V192,"")))</f>
        <v/>
      </c>
      <c r="W212" s="15">
        <f>IF(OR(W211="",W192=""),"",IF(W192&lt;=0,"",IFERROR(W211/W192,"")))</f>
        <v/>
      </c>
      <c r="X212" s="15">
        <f>IF(OR(X211="",X192=""),"",IF(X192&lt;=0,"",IFERROR(X211/X192,"")))</f>
        <v/>
      </c>
    </row>
    <row r="213">
      <c r="A213" s="43" t="inlineStr">
        <is>
          <t>YoY</t>
        </is>
      </c>
      <c r="B213" s="3" t="inlineStr">
        <is>
          <t>전년 같은 분기·전년 대비</t>
        </is>
      </c>
      <c r="G213" s="15">
        <f>IF(OR(G211="",C211=""),"",IF(C211&lt;=0,"",IFERROR(G211/C211-1,"")))</f>
        <v/>
      </c>
      <c r="H213" s="15">
        <f>IF(OR(H211="",D211=""),"",IF(D211&lt;=0,"",IFERROR(H211/D211-1,"")))</f>
        <v/>
      </c>
      <c r="I213" s="15">
        <f>IF(OR(I211="",E211=""),"",IF(E211&lt;=0,"",IFERROR(I211/E211-1,"")))</f>
        <v/>
      </c>
      <c r="J213" s="15">
        <f>IF(OR(J211="",F211=""),"",IF(F211&lt;=0,"",IFERROR(J211/F211-1,"")))</f>
        <v/>
      </c>
      <c r="K213" s="15">
        <f>IF(OR(K211="",G211=""),"",IF(G211&lt;=0,"",IFERROR(K211/G211-1,"")))</f>
        <v/>
      </c>
      <c r="L213" s="15">
        <f>IF(OR(L211="",H211=""),"",IF(H211&lt;=0,"",IFERROR(L211/H211-1,"")))</f>
        <v/>
      </c>
      <c r="M213" s="15">
        <f>IF(OR(M211="",I211=""),"",IF(I211&lt;=0,"",IFERROR(M211/I211-1,"")))</f>
        <v/>
      </c>
      <c r="N213" s="15">
        <f>IF(OR(N211="",J211=""),"",IF(J211&lt;=0,"",IFERROR(N211/J211-1,"")))</f>
        <v/>
      </c>
      <c r="V213" s="15">
        <f>IF(OR(V211="",U211=""),"",IF(U211&lt;=0,"",IFERROR(V211/U211-1,"")))</f>
        <v/>
      </c>
      <c r="W213" s="15">
        <f>IF(OR(W211="",V211=""),"",IF(V211&lt;=0,"",IFERROR(W211/V211-1,"")))</f>
        <v/>
      </c>
      <c r="X213" s="15">
        <f>IF(OR(X211="",W211=""),"",IF(W211&lt;=0,"",IFERROR(X211/W211-1,"")))</f>
        <v/>
      </c>
    </row>
    <row r="214">
      <c r="A214" s="18" t="inlineStr">
        <is>
          <t>합계 · 부문 이익</t>
        </is>
      </c>
      <c r="C214" s="20" t="n">
        <v>57577</v>
      </c>
      <c r="D214" s="20" t="n">
        <v>27412</v>
      </c>
      <c r="E214" s="20" t="n">
        <v>47734</v>
      </c>
      <c r="F214" s="20" t="n">
        <v>22702</v>
      </c>
      <c r="G214" s="20" t="n">
        <v>77487</v>
      </c>
      <c r="H214" s="20" t="n">
        <v>36345</v>
      </c>
      <c r="I214" s="20" t="n">
        <v>46526</v>
      </c>
      <c r="J214" s="20" t="n">
        <v>36575</v>
      </c>
      <c r="K214" s="20" t="n">
        <v>83564</v>
      </c>
      <c r="L214" s="20" t="n">
        <v>36270</v>
      </c>
      <c r="M214" s="20" t="n">
        <v>51886</v>
      </c>
      <c r="N214" s="20" t="n">
        <v>44050</v>
      </c>
      <c r="V214" s="20" t="n">
        <v>57577</v>
      </c>
      <c r="W214" s="20" t="n">
        <v>77487</v>
      </c>
      <c r="X214" s="20" t="n">
        <v>83564</v>
      </c>
    </row>
    <row r="215">
      <c r="A215" s="43" t="inlineStr">
        <is>
          <t>OPM</t>
        </is>
      </c>
      <c r="B215" s="3" t="inlineStr">
        <is>
          <t>영업이익 ÷ 매출</t>
        </is>
      </c>
      <c r="C215" s="15">
        <f>IF(OR(C214="",C194=""),"",IF(C194&lt;=0,"",IFERROR(C214/C194,"")))</f>
        <v/>
      </c>
      <c r="D215" s="15">
        <f>IF(OR(D214="",D194=""),"",IF(D194&lt;=0,"",IFERROR(D214/D194,"")))</f>
        <v/>
      </c>
      <c r="E215" s="15">
        <f>IF(OR(E214="",E194=""),"",IF(E194&lt;=0,"",IFERROR(E214/E194,"")))</f>
        <v/>
      </c>
      <c r="F215" s="15">
        <f>IF(OR(F214="",F194=""),"",IF(F194&lt;=0,"",IFERROR(F214/F194,"")))</f>
        <v/>
      </c>
      <c r="G215" s="15">
        <f>IF(OR(G214="",G194=""),"",IF(G194&lt;=0,"",IFERROR(G214/G194,"")))</f>
        <v/>
      </c>
      <c r="H215" s="15">
        <f>IF(OR(H214="",H194=""),"",IF(H194&lt;=0,"",IFERROR(H214/H194,"")))</f>
        <v/>
      </c>
      <c r="I215" s="15">
        <f>IF(OR(I214="",I194=""),"",IF(I194&lt;=0,"",IFERROR(I214/I194,"")))</f>
        <v/>
      </c>
      <c r="J215" s="15">
        <f>IF(OR(J214="",J194=""),"",IF(J194&lt;=0,"",IFERROR(J214/J194,"")))</f>
        <v/>
      </c>
      <c r="K215" s="15">
        <f>IF(OR(K214="",K194=""),"",IF(K194&lt;=0,"",IFERROR(K214/K194,"")))</f>
        <v/>
      </c>
      <c r="L215" s="15">
        <f>IF(OR(L214="",L194=""),"",IF(L194&lt;=0,"",IFERROR(L214/L194,"")))</f>
        <v/>
      </c>
      <c r="M215" s="15">
        <f>IF(OR(M214="",M194=""),"",IF(M194&lt;=0,"",IFERROR(M214/M194,"")))</f>
        <v/>
      </c>
      <c r="N215" s="15">
        <f>IF(OR(N214="",N194=""),"",IF(N194&lt;=0,"",IFERROR(N214/N194,"")))</f>
        <v/>
      </c>
      <c r="V215" s="15">
        <f>IF(OR(V214="",V194=""),"",IF(V194&lt;=0,"",IFERROR(V214/V194,"")))</f>
        <v/>
      </c>
      <c r="W215" s="15">
        <f>IF(OR(W214="",W194=""),"",IF(W194&lt;=0,"",IFERROR(W214/W194,"")))</f>
        <v/>
      </c>
      <c r="X215" s="15">
        <f>IF(OR(X214="",X194=""),"",IF(X194&lt;=0,"",IFERROR(X214/X194,"")))</f>
        <v/>
      </c>
    </row>
    <row r="216">
      <c r="A216" s="43" t="inlineStr">
        <is>
          <t>YoY</t>
        </is>
      </c>
      <c r="B216" s="3" t="inlineStr">
        <is>
          <t>전년 같은 분기·전년 대비</t>
        </is>
      </c>
      <c r="G216" s="15">
        <f>IF(OR(G214="",C214=""),"",IF(C214&lt;=0,"",IFERROR(G214/C214-1,"")))</f>
        <v/>
      </c>
      <c r="H216" s="15">
        <f>IF(OR(H214="",D214=""),"",IF(D214&lt;=0,"",IFERROR(H214/D214-1,"")))</f>
        <v/>
      </c>
      <c r="I216" s="15">
        <f>IF(OR(I214="",E214=""),"",IF(E214&lt;=0,"",IFERROR(I214/E214-1,"")))</f>
        <v/>
      </c>
      <c r="J216" s="15">
        <f>IF(OR(J214="",F214=""),"",IF(F214&lt;=0,"",IFERROR(J214/F214-1,"")))</f>
        <v/>
      </c>
      <c r="K216" s="15">
        <f>IF(OR(K214="",G214=""),"",IF(G214&lt;=0,"",IFERROR(K214/G214-1,"")))</f>
        <v/>
      </c>
      <c r="L216" s="15">
        <f>IF(OR(L214="",H214=""),"",IF(H214&lt;=0,"",IFERROR(L214/H214-1,"")))</f>
        <v/>
      </c>
      <c r="M216" s="15">
        <f>IF(OR(M214="",I214=""),"",IF(I214&lt;=0,"",IFERROR(M214/I214-1,"")))</f>
        <v/>
      </c>
      <c r="N216" s="15">
        <f>IF(OR(N214="",J214=""),"",IF(J214&lt;=0,"",IFERROR(N214/J214-1,"")))</f>
        <v/>
      </c>
      <c r="V216" s="15">
        <f>IF(OR(V214="",U214=""),"",IF(U214&lt;=0,"",IFERROR(V214/U214-1,"")))</f>
        <v/>
      </c>
      <c r="W216" s="15">
        <f>IF(OR(W214="",V214=""),"",IF(V214&lt;=0,"",IFERROR(W214/V214-1,"")))</f>
        <v/>
      </c>
      <c r="X216" s="15">
        <f>IF(OR(X214="",W214=""),"",IF(W214&lt;=0,"",IFERROR(X214/W214-1,"")))</f>
        <v/>
      </c>
    </row>
    <row r="217">
      <c r="A217" s="18" t="inlineStr">
        <is>
          <t>조정액 · 부문 이익</t>
        </is>
      </c>
      <c r="C217" s="20" t="n">
        <v>-2349</v>
      </c>
      <c r="D217" s="20" t="n">
        <v>-3683</v>
      </c>
      <c r="E217" s="20" t="n">
        <v>-2540</v>
      </c>
      <c r="F217" s="20" t="n">
        <v>-2815</v>
      </c>
      <c r="G217" s="20" t="n">
        <v>-2936</v>
      </c>
      <c r="H217" s="20" t="n">
        <v>-4529</v>
      </c>
      <c r="I217" s="20" t="n">
        <v>-3287</v>
      </c>
      <c r="J217" s="20" t="n">
        <v>-5258</v>
      </c>
      <c r="K217" s="20" t="n">
        <v>-3110</v>
      </c>
      <c r="L217" s="20" t="n">
        <v>-5099</v>
      </c>
      <c r="M217" s="20" t="n">
        <v>-2744</v>
      </c>
      <c r="N217" s="20" t="n">
        <v>-3859</v>
      </c>
      <c r="V217" s="20" t="n">
        <v>-2349</v>
      </c>
      <c r="W217" s="20" t="n">
        <v>-2936</v>
      </c>
      <c r="X217" s="20" t="n">
        <v>-3110</v>
      </c>
    </row>
    <row r="218">
      <c r="A218" s="9" t="inlineStr">
        <is>
          <t>부문 이익</t>
        </is>
      </c>
      <c r="C218" s="12" t="n">
        <v>55228</v>
      </c>
      <c r="D218" s="12" t="n">
        <v>23728</v>
      </c>
      <c r="E218" s="12" t="n">
        <v>45195</v>
      </c>
      <c r="F218" s="12" t="n">
        <v>19887</v>
      </c>
      <c r="G218" s="12" t="n">
        <v>74550</v>
      </c>
      <c r="H218" s="12" t="n">
        <v>31816</v>
      </c>
      <c r="I218" s="12" t="n">
        <v>43239</v>
      </c>
      <c r="J218" s="12" t="n">
        <v>31316</v>
      </c>
      <c r="K218" s="12" t="n">
        <v>80455</v>
      </c>
      <c r="L218" s="12" t="n">
        <v>31171</v>
      </c>
      <c r="M218" s="12" t="n">
        <v>49142</v>
      </c>
      <c r="N218" s="12" t="n">
        <v>40190</v>
      </c>
      <c r="V218" s="12" t="n">
        <v>55228</v>
      </c>
      <c r="W218" s="12" t="n">
        <v>74550</v>
      </c>
      <c r="X218" s="12" t="n">
        <v>80455</v>
      </c>
    </row>
    <row r="219">
      <c r="A219" s="43" t="inlineStr">
        <is>
          <t>OPM</t>
        </is>
      </c>
      <c r="B219" s="3" t="inlineStr">
        <is>
          <t>영업이익 ÷ 매출</t>
        </is>
      </c>
      <c r="C219" s="15">
        <f>IF(OR(C218="",C174=""),"",IF(C174&lt;=0,"",IFERROR(C218/C174,"")))</f>
        <v/>
      </c>
      <c r="D219" s="15">
        <f>IF(OR(D218="",D174=""),"",IF(D174&lt;=0,"",IFERROR(D218/D174,"")))</f>
        <v/>
      </c>
      <c r="E219" s="15">
        <f>IF(OR(E218="",E174=""),"",IF(E174&lt;=0,"",IFERROR(E218/E174,"")))</f>
        <v/>
      </c>
      <c r="F219" s="15">
        <f>IF(OR(F218="",F174=""),"",IF(F174&lt;=0,"",IFERROR(F218/F174,"")))</f>
        <v/>
      </c>
      <c r="G219" s="15">
        <f>IF(OR(G218="",G174=""),"",IF(G174&lt;=0,"",IFERROR(G218/G174,"")))</f>
        <v/>
      </c>
      <c r="H219" s="15">
        <f>IF(OR(H218="",H174=""),"",IF(H174&lt;=0,"",IFERROR(H218/H174,"")))</f>
        <v/>
      </c>
      <c r="I219" s="15">
        <f>IF(OR(I218="",I174=""),"",IF(I174&lt;=0,"",IFERROR(I218/I174,"")))</f>
        <v/>
      </c>
      <c r="J219" s="15">
        <f>IF(OR(J218="",J174=""),"",IF(J174&lt;=0,"",IFERROR(J218/J174,"")))</f>
        <v/>
      </c>
      <c r="K219" s="15">
        <f>IF(OR(K218="",K174=""),"",IF(K174&lt;=0,"",IFERROR(K218/K174,"")))</f>
        <v/>
      </c>
      <c r="L219" s="15">
        <f>IF(OR(L218="",L174=""),"",IF(L174&lt;=0,"",IFERROR(L218/L174,"")))</f>
        <v/>
      </c>
      <c r="M219" s="15">
        <f>IF(OR(M218="",M174=""),"",IF(M174&lt;=0,"",IFERROR(M218/M174,"")))</f>
        <v/>
      </c>
      <c r="N219" s="15">
        <f>IF(OR(N218="",N174=""),"",IF(N174&lt;=0,"",IFERROR(N218/N174,"")))</f>
        <v/>
      </c>
      <c r="V219" s="15">
        <f>IF(OR(V218="",V174=""),"",IF(V174&lt;=0,"",IFERROR(V218/V174,"")))</f>
        <v/>
      </c>
      <c r="W219" s="15">
        <f>IF(OR(W218="",W174=""),"",IF(W174&lt;=0,"",IFERROR(W218/W174,"")))</f>
        <v/>
      </c>
      <c r="X219" s="15">
        <f>IF(OR(X218="",X174=""),"",IF(X174&lt;=0,"",IFERROR(X218/X174,"")))</f>
        <v/>
      </c>
    </row>
    <row r="220">
      <c r="A220" s="43" t="inlineStr">
        <is>
          <t>YoY</t>
        </is>
      </c>
      <c r="B220" s="3" t="inlineStr">
        <is>
          <t>전년 같은 분기·전년 대비</t>
        </is>
      </c>
      <c r="G220" s="15">
        <f>IF(OR(G218="",C218=""),"",IF(C218&lt;=0,"",IFERROR(G218/C218-1,"")))</f>
        <v/>
      </c>
      <c r="H220" s="15">
        <f>IF(OR(H218="",D218=""),"",IF(D218&lt;=0,"",IFERROR(H218/D218-1,"")))</f>
        <v/>
      </c>
      <c r="I220" s="15">
        <f>IF(OR(I218="",E218=""),"",IF(E218&lt;=0,"",IFERROR(I218/E218-1,"")))</f>
        <v/>
      </c>
      <c r="J220" s="15">
        <f>IF(OR(J218="",F218=""),"",IF(F218&lt;=0,"",IFERROR(J218/F218-1,"")))</f>
        <v/>
      </c>
      <c r="K220" s="15">
        <f>IF(OR(K218="",G218=""),"",IF(G218&lt;=0,"",IFERROR(K218/G218-1,"")))</f>
        <v/>
      </c>
      <c r="L220" s="15">
        <f>IF(OR(L218="",H218=""),"",IF(H218&lt;=0,"",IFERROR(L218/H218-1,"")))</f>
        <v/>
      </c>
      <c r="M220" s="15">
        <f>IF(OR(M218="",I218=""),"",IF(I218&lt;=0,"",IFERROR(M218/I218-1,"")))</f>
        <v/>
      </c>
      <c r="N220" s="15">
        <f>IF(OR(N218="",J218=""),"",IF(J218&lt;=0,"",IFERROR(N218/J218-1,"")))</f>
        <v/>
      </c>
      <c r="V220" s="15">
        <f>IF(OR(V218="",U218=""),"",IF(U218&lt;=0,"",IFERROR(V218/U218-1,"")))</f>
        <v/>
      </c>
      <c r="W220" s="15">
        <f>IF(OR(W218="",V218=""),"",IF(V218&lt;=0,"",IFERROR(W218/V218-1,"")))</f>
        <v/>
      </c>
      <c r="X220" s="15">
        <f>IF(OR(X218="",W218=""),"",IF(W218&lt;=0,"",IFERROR(X218/W218-1,"")))</f>
        <v/>
      </c>
    </row>
    <row r="222">
      <c r="A222" s="16" t="inlineStr">
        <is>
          <t>현금흐름표 · 전 항목</t>
        </is>
      </c>
      <c r="B222" s="42" t="inlineStr">
        <is>
          <t>분기 = 결산기 첫날부터 누계(공시 그대로)</t>
        </is>
      </c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  <c r="AA222" s="16" t="n"/>
      <c r="AB222" s="16" t="n"/>
      <c r="AC222" s="16" t="n"/>
    </row>
    <row r="223">
      <c r="A223" s="5" t="inlineStr">
        <is>
          <t>항목</t>
        </is>
      </c>
      <c r="B223" s="5" t="inlineStr">
        <is>
          <t>참고</t>
        </is>
      </c>
      <c r="C223" s="5" t="inlineStr">
        <is>
          <t>2023.4Q</t>
        </is>
      </c>
      <c r="D223" s="5" t="inlineStr">
        <is>
          <t>2024.1Q</t>
        </is>
      </c>
      <c r="E223" s="5" t="inlineStr">
        <is>
          <t>2024.2Q</t>
        </is>
      </c>
      <c r="F223" s="5" t="inlineStr">
        <is>
          <t>2024.3Q</t>
        </is>
      </c>
      <c r="G223" s="5" t="inlineStr">
        <is>
          <t>2024.4Q</t>
        </is>
      </c>
      <c r="H223" s="5" t="inlineStr">
        <is>
          <t>2025.1Q</t>
        </is>
      </c>
      <c r="I223" s="5" t="inlineStr">
        <is>
          <t>2025.2Q</t>
        </is>
      </c>
      <c r="J223" s="5" t="inlineStr">
        <is>
          <t>2025.3Q</t>
        </is>
      </c>
      <c r="K223" s="5" t="inlineStr">
        <is>
          <t>2025.4Q</t>
        </is>
      </c>
      <c r="L223" s="5" t="inlineStr">
        <is>
          <t>2026.1Q</t>
        </is>
      </c>
      <c r="M223" s="5" t="inlineStr">
        <is>
          <t>2026.2Q</t>
        </is>
      </c>
      <c r="N223" s="5" t="inlineStr">
        <is>
          <t>2026.3Q</t>
        </is>
      </c>
      <c r="O223" s="5" t="inlineStr">
        <is>
          <t>2016</t>
        </is>
      </c>
      <c r="P223" s="5" t="inlineStr">
        <is>
          <t>2017</t>
        </is>
      </c>
      <c r="Q223" s="5" t="inlineStr">
        <is>
          <t>2018</t>
        </is>
      </c>
      <c r="R223" s="5" t="inlineStr">
        <is>
          <t>2019</t>
        </is>
      </c>
      <c r="S223" s="5" t="inlineStr">
        <is>
          <t>2020</t>
        </is>
      </c>
      <c r="T223" s="5" t="inlineStr">
        <is>
          <t>2021</t>
        </is>
      </c>
      <c r="U223" s="5" t="inlineStr">
        <is>
          <t>2022</t>
        </is>
      </c>
      <c r="V223" s="5" t="inlineStr">
        <is>
          <t>2023</t>
        </is>
      </c>
      <c r="W223" s="5" t="inlineStr">
        <is>
          <t>2024</t>
        </is>
      </c>
      <c r="X223" s="5" t="inlineStr">
        <is>
          <t>2025</t>
        </is>
      </c>
      <c r="Y223" s="5" t="inlineStr">
        <is>
          <t>2026(MW)</t>
        </is>
      </c>
      <c r="Z223" s="5" t="inlineStr">
        <is>
          <t>2027(MW)</t>
        </is>
      </c>
      <c r="AA223" s="5" t="inlineStr">
        <is>
          <t>2028(MW)</t>
        </is>
      </c>
      <c r="AB223" s="5" t="inlineStr">
        <is>
          <t>2029(MW)</t>
        </is>
      </c>
      <c r="AC223" s="5" t="inlineStr">
        <is>
          <t>2030(MW)</t>
        </is>
      </c>
    </row>
    <row r="224">
      <c r="A224" s="9" t="inlineStr">
        <is>
          <t>법인세차감전 순이익</t>
        </is>
      </c>
      <c r="C224" s="12" t="n">
        <v>136698</v>
      </c>
      <c r="E224" s="12" t="n">
        <v>65400</v>
      </c>
      <c r="G224" s="12" t="n">
        <v>151136</v>
      </c>
      <c r="I224" s="12" t="n">
        <v>68648</v>
      </c>
      <c r="K224" s="12" t="n">
        <v>171343</v>
      </c>
      <c r="M224" s="12" t="n">
        <v>71928</v>
      </c>
      <c r="O224" s="12" t="n">
        <v>50199</v>
      </c>
      <c r="P224" s="12" t="n">
        <v>61148</v>
      </c>
      <c r="Q224" s="12" t="n">
        <v>72018</v>
      </c>
      <c r="R224" s="12" t="n">
        <v>84298</v>
      </c>
      <c r="S224" s="12" t="n">
        <v>91280</v>
      </c>
      <c r="T224" s="12" t="n">
        <v>105662</v>
      </c>
      <c r="U224" s="12" t="n">
        <v>117478</v>
      </c>
      <c r="V224" s="12" t="n">
        <v>136698</v>
      </c>
      <c r="W224" s="12" t="n">
        <v>151136</v>
      </c>
      <c r="X224" s="12" t="n">
        <v>171343</v>
      </c>
    </row>
    <row r="225">
      <c r="A225" s="18" t="inlineStr">
        <is>
          <t>감가상각비</t>
        </is>
      </c>
      <c r="C225" s="20" t="n">
        <v>16307</v>
      </c>
      <c r="E225" s="20" t="n">
        <v>8503</v>
      </c>
      <c r="G225" s="20" t="n">
        <v>17881</v>
      </c>
      <c r="I225" s="20" t="n">
        <v>9385</v>
      </c>
      <c r="K225" s="20" t="n">
        <v>19913</v>
      </c>
      <c r="M225" s="20" t="n">
        <v>11037</v>
      </c>
      <c r="O225" s="20" t="n">
        <v>11299</v>
      </c>
      <c r="P225" s="20" t="n">
        <v>11736</v>
      </c>
      <c r="Q225" s="20" t="n">
        <v>11942</v>
      </c>
      <c r="R225" s="20" t="n">
        <v>14172</v>
      </c>
      <c r="S225" s="20" t="n">
        <v>15866</v>
      </c>
      <c r="T225" s="20" t="n">
        <v>15939</v>
      </c>
      <c r="U225" s="20" t="n">
        <v>16253</v>
      </c>
      <c r="V225" s="20" t="n">
        <v>16307</v>
      </c>
      <c r="W225" s="20" t="n">
        <v>17881</v>
      </c>
      <c r="X225" s="20" t="n">
        <v>19913</v>
      </c>
    </row>
    <row r="226">
      <c r="A226" s="18" t="inlineStr">
        <is>
          <t>손상차손</t>
        </is>
      </c>
      <c r="O226" s="20" t="n">
        <v>193</v>
      </c>
      <c r="P226" s="20" t="n">
        <v>11</v>
      </c>
      <c r="Q226" s="20" t="n">
        <v>0</v>
      </c>
    </row>
    <row r="227">
      <c r="A227" s="18" t="inlineStr">
        <is>
          <t>부의 영업권 발생이익</t>
        </is>
      </c>
      <c r="O227" s="20" t="n">
        <v>0</v>
      </c>
      <c r="P227" s="20" t="n">
        <v>-24</v>
      </c>
      <c r="Q227" s="20" t="n">
        <v>-62</v>
      </c>
      <c r="R227" s="20" t="n">
        <v>-2360</v>
      </c>
      <c r="S227" s="20" t="n">
        <v>0</v>
      </c>
    </row>
    <row r="228">
      <c r="A228" s="18" t="inlineStr">
        <is>
          <t>영업권 상각</t>
        </is>
      </c>
      <c r="I228" s="20" t="n">
        <v>3518</v>
      </c>
      <c r="M228" s="20" t="n">
        <v>9116</v>
      </c>
    </row>
    <row r="229">
      <c r="A229" s="18" t="inlineStr">
        <is>
          <t>대손충당금 증감</t>
        </is>
      </c>
      <c r="C229" s="20" t="n">
        <v>-33</v>
      </c>
      <c r="E229" s="20" t="n">
        <v>14</v>
      </c>
      <c r="G229" s="20" t="n">
        <v>9</v>
      </c>
      <c r="I229" s="20" t="n">
        <v>5</v>
      </c>
      <c r="K229" s="20" t="n">
        <v>3</v>
      </c>
      <c r="M229" s="20" t="n">
        <v>7</v>
      </c>
      <c r="O229" s="20" t="n">
        <v>0</v>
      </c>
      <c r="P229" s="20" t="n">
        <v>-2</v>
      </c>
      <c r="Q229" s="20" t="n">
        <v>0</v>
      </c>
      <c r="R229" s="20" t="n">
        <v>1</v>
      </c>
      <c r="S229" s="20" t="n">
        <v>14</v>
      </c>
      <c r="T229" s="20" t="n">
        <v>227</v>
      </c>
      <c r="U229" s="20" t="n">
        <v>214</v>
      </c>
      <c r="V229" s="20" t="n">
        <v>-33</v>
      </c>
      <c r="W229" s="20" t="n">
        <v>9</v>
      </c>
      <c r="X229" s="20" t="n">
        <v>3</v>
      </c>
    </row>
    <row r="230">
      <c r="A230" s="18" t="inlineStr">
        <is>
          <t>상여충당금 증감</t>
        </is>
      </c>
      <c r="C230" s="20" t="n">
        <v>154</v>
      </c>
      <c r="E230" s="20" t="n">
        <v>-31</v>
      </c>
      <c r="G230" s="20" t="n">
        <v>-59</v>
      </c>
      <c r="I230" s="20" t="n">
        <v>234</v>
      </c>
      <c r="K230" s="20" t="n">
        <v>363</v>
      </c>
      <c r="M230" s="20" t="n">
        <v>139</v>
      </c>
      <c r="O230" s="20" t="n">
        <v>42</v>
      </c>
      <c r="P230" s="20" t="n">
        <v>36</v>
      </c>
      <c r="Q230" s="20" t="n">
        <v>75</v>
      </c>
      <c r="R230" s="20" t="n">
        <v>192</v>
      </c>
      <c r="S230" s="20" t="n">
        <v>-324</v>
      </c>
      <c r="T230" s="20" t="n">
        <v>9</v>
      </c>
      <c r="U230" s="20" t="n">
        <v>25</v>
      </c>
      <c r="V230" s="20" t="n">
        <v>154</v>
      </c>
      <c r="W230" s="20" t="n">
        <v>-59</v>
      </c>
      <c r="X230" s="20" t="n">
        <v>363</v>
      </c>
    </row>
    <row r="231">
      <c r="A231" s="18" t="inlineStr">
        <is>
          <t>임원 상여충당금 증감</t>
        </is>
      </c>
      <c r="C231" s="20" t="n">
        <v>41</v>
      </c>
      <c r="E231" s="20" t="n">
        <v>-194</v>
      </c>
      <c r="G231" s="20" t="n">
        <v>-0</v>
      </c>
      <c r="I231" s="20" t="n">
        <v>-193</v>
      </c>
      <c r="K231" s="20" t="n">
        <v>155</v>
      </c>
      <c r="M231" s="20" t="n">
        <v>-298</v>
      </c>
      <c r="O231" s="20" t="n">
        <v>19</v>
      </c>
      <c r="P231" s="20" t="n">
        <v>32</v>
      </c>
      <c r="Q231" s="20" t="n">
        <v>50</v>
      </c>
      <c r="R231" s="20" t="n">
        <v>22</v>
      </c>
      <c r="S231" s="20" t="n">
        <v>56</v>
      </c>
      <c r="T231" s="20" t="n">
        <v>25</v>
      </c>
      <c r="U231" s="20" t="n">
        <v>-10</v>
      </c>
      <c r="V231" s="20" t="n">
        <v>41</v>
      </c>
      <c r="W231" s="20" t="n">
        <v>-0</v>
      </c>
      <c r="X231" s="20" t="n">
        <v>155</v>
      </c>
    </row>
    <row r="232">
      <c r="A232" s="18" t="inlineStr">
        <is>
          <t>임원 퇴직위로 충당금 증감</t>
        </is>
      </c>
      <c r="O232" s="20" t="n">
        <v>7</v>
      </c>
      <c r="P232" s="20" t="n">
        <v>19</v>
      </c>
      <c r="Q232" s="20" t="n">
        <v>9</v>
      </c>
      <c r="R232" s="20" t="n">
        <v>0</v>
      </c>
    </row>
    <row r="233">
      <c r="A233" s="18" t="inlineStr">
        <is>
          <t>주식급여 충당금 증감</t>
        </is>
      </c>
      <c r="O233" s="20" t="n">
        <v>454</v>
      </c>
      <c r="P233" s="20" t="n">
        <v>300</v>
      </c>
      <c r="Q233" s="20" t="n">
        <v>393</v>
      </c>
      <c r="R233" s="20" t="n">
        <v>420</v>
      </c>
    </row>
    <row r="234">
      <c r="A234" s="18" t="inlineStr">
        <is>
          <t>주식급여 충당금 증감</t>
        </is>
      </c>
      <c r="C234" s="20" t="n">
        <v>603</v>
      </c>
      <c r="E234" s="20" t="n">
        <v>178</v>
      </c>
      <c r="G234" s="20" t="n">
        <v>557</v>
      </c>
      <c r="I234" s="20" t="n">
        <v>691</v>
      </c>
      <c r="K234" s="20" t="n">
        <v>1226</v>
      </c>
      <c r="M234" s="20" t="n">
        <v>258</v>
      </c>
      <c r="R234" s="20" t="n">
        <v>420</v>
      </c>
      <c r="S234" s="20" t="n">
        <v>480</v>
      </c>
      <c r="T234" s="20" t="n">
        <v>493</v>
      </c>
      <c r="U234" s="20" t="n">
        <v>637</v>
      </c>
      <c r="V234" s="20" t="n">
        <v>603</v>
      </c>
      <c r="W234" s="20" t="n">
        <v>557</v>
      </c>
      <c r="X234" s="20" t="n">
        <v>1226</v>
      </c>
    </row>
    <row r="235">
      <c r="A235" s="18" t="inlineStr">
        <is>
          <t>기타 충당금 증감</t>
        </is>
      </c>
      <c r="G235" s="20" t="n">
        <v>0</v>
      </c>
      <c r="I235" s="20" t="n">
        <v>0</v>
      </c>
      <c r="K235" s="20" t="n">
        <v>-8</v>
      </c>
      <c r="M235" s="20" t="n">
        <v>-28</v>
      </c>
      <c r="W235" s="20" t="n">
        <v>0</v>
      </c>
      <c r="X235" s="20" t="n">
        <v>-8</v>
      </c>
    </row>
    <row r="236">
      <c r="A236" s="18" t="inlineStr">
        <is>
          <t>퇴직급여 자산·부채 증감</t>
        </is>
      </c>
      <c r="C236" s="20" t="n">
        <v>11</v>
      </c>
      <c r="E236" s="20" t="n">
        <v>57</v>
      </c>
      <c r="G236" s="20" t="n">
        <v>159</v>
      </c>
      <c r="I236" s="20" t="n">
        <v>136</v>
      </c>
      <c r="K236" s="20" t="n">
        <v>239</v>
      </c>
      <c r="M236" s="20" t="n">
        <v>140</v>
      </c>
      <c r="O236" s="20" t="n">
        <v>106</v>
      </c>
      <c r="P236" s="20" t="n">
        <v>126</v>
      </c>
      <c r="Q236" s="20" t="n">
        <v>87</v>
      </c>
      <c r="R236" s="20" t="n">
        <v>118</v>
      </c>
      <c r="S236" s="20" t="n">
        <v>110</v>
      </c>
      <c r="T236" s="20" t="n">
        <v>70</v>
      </c>
      <c r="U236" s="20" t="n">
        <v>114</v>
      </c>
      <c r="V236" s="20" t="n">
        <v>11</v>
      </c>
      <c r="W236" s="20" t="n">
        <v>159</v>
      </c>
      <c r="X236" s="20" t="n">
        <v>239</v>
      </c>
    </row>
    <row r="237">
      <c r="A237" s="18" t="inlineStr">
        <is>
          <t>이자·배당금 수익</t>
        </is>
      </c>
      <c r="C237" s="20" t="n">
        <v>-3583</v>
      </c>
      <c r="E237" s="20" t="n">
        <v>-2198</v>
      </c>
      <c r="G237" s="20" t="n">
        <v>-4100</v>
      </c>
      <c r="I237" s="20" t="n">
        <v>-2630</v>
      </c>
      <c r="K237" s="20" t="n">
        <v>-5740</v>
      </c>
      <c r="M237" s="20" t="n">
        <v>-3119</v>
      </c>
      <c r="O237" s="20" t="n">
        <v>-1556</v>
      </c>
      <c r="P237" s="20" t="n">
        <v>-1771</v>
      </c>
      <c r="Q237" s="20" t="n">
        <v>-1994</v>
      </c>
      <c r="R237" s="20" t="n">
        <v>-2317</v>
      </c>
      <c r="S237" s="20" t="n">
        <v>-2460</v>
      </c>
      <c r="T237" s="20" t="n">
        <v>-2569</v>
      </c>
      <c r="U237" s="20" t="n">
        <v>-3141</v>
      </c>
      <c r="V237" s="20" t="n">
        <v>-3583</v>
      </c>
      <c r="W237" s="20" t="n">
        <v>-4100</v>
      </c>
      <c r="X237" s="20" t="n">
        <v>-5740</v>
      </c>
    </row>
    <row r="238">
      <c r="A238" s="18" t="inlineStr">
        <is>
          <t>이자비용</t>
        </is>
      </c>
      <c r="C238" s="20" t="n">
        <v>11576</v>
      </c>
      <c r="E238" s="20" t="n">
        <v>6207</v>
      </c>
      <c r="G238" s="20" t="n">
        <v>13172</v>
      </c>
      <c r="I238" s="20" t="n">
        <v>9451</v>
      </c>
      <c r="K238" s="20" t="n">
        <v>21759</v>
      </c>
      <c r="M238" s="20" t="n">
        <v>14249</v>
      </c>
      <c r="O238" s="20" t="n">
        <v>4516</v>
      </c>
      <c r="P238" s="20" t="n">
        <v>4468</v>
      </c>
      <c r="Q238" s="20" t="n">
        <v>5629</v>
      </c>
      <c r="R238" s="20" t="n">
        <v>6615</v>
      </c>
      <c r="S238" s="20" t="n">
        <v>8652</v>
      </c>
      <c r="T238" s="20" t="n">
        <v>10208</v>
      </c>
      <c r="U238" s="20" t="n">
        <v>10415</v>
      </c>
      <c r="V238" s="20" t="n">
        <v>11576</v>
      </c>
      <c r="W238" s="20" t="n">
        <v>13172</v>
      </c>
      <c r="X238" s="20" t="n">
        <v>21759</v>
      </c>
    </row>
    <row r="239">
      <c r="A239" s="18" t="inlineStr">
        <is>
          <t>지분법손익</t>
        </is>
      </c>
      <c r="C239" s="20" t="n">
        <v>136</v>
      </c>
      <c r="E239" s="20" t="n">
        <v>-52</v>
      </c>
      <c r="G239" s="20" t="n">
        <v>-236</v>
      </c>
      <c r="I239" s="20" t="n">
        <v>-1082</v>
      </c>
      <c r="K239" s="20" t="n">
        <v>-1247</v>
      </c>
      <c r="M239" s="20" t="n">
        <v>-1079</v>
      </c>
      <c r="O239" s="20" t="n">
        <v>-844</v>
      </c>
      <c r="P239" s="20" t="n">
        <v>-289</v>
      </c>
      <c r="Q239" s="20" t="n">
        <v>-639</v>
      </c>
      <c r="R239" s="20" t="n">
        <v>22</v>
      </c>
      <c r="S239" s="20" t="n">
        <v>-895</v>
      </c>
      <c r="T239" s="20" t="n">
        <v>-458</v>
      </c>
      <c r="U239" s="20" t="n">
        <v>-1033</v>
      </c>
      <c r="V239" s="20" t="n">
        <v>136</v>
      </c>
      <c r="W239" s="20" t="n">
        <v>-236</v>
      </c>
      <c r="X239" s="20" t="n">
        <v>-1247</v>
      </c>
    </row>
    <row r="240">
      <c r="A240" s="18" t="inlineStr">
        <is>
          <t>고정자산 제각손실</t>
        </is>
      </c>
      <c r="C240" s="20" t="n">
        <v>1880</v>
      </c>
      <c r="E240" s="20" t="n">
        <v>1998</v>
      </c>
      <c r="G240" s="20" t="n">
        <v>2566</v>
      </c>
      <c r="I240" s="20" t="n">
        <v>1217</v>
      </c>
      <c r="K240" s="20" t="n">
        <v>1625</v>
      </c>
      <c r="M240" s="20" t="n">
        <v>834</v>
      </c>
      <c r="O240" s="20" t="n">
        <v>1578</v>
      </c>
      <c r="P240" s="20" t="n">
        <v>370</v>
      </c>
      <c r="Q240" s="20" t="n">
        <v>436</v>
      </c>
      <c r="R240" s="20" t="n">
        <v>1536</v>
      </c>
      <c r="S240" s="20" t="n">
        <v>1683</v>
      </c>
      <c r="T240" s="20" t="n">
        <v>1260</v>
      </c>
      <c r="U240" s="20" t="n">
        <v>3387</v>
      </c>
      <c r="V240" s="20" t="n">
        <v>1880</v>
      </c>
      <c r="W240" s="20" t="n">
        <v>2566</v>
      </c>
      <c r="X240" s="20" t="n">
        <v>1625</v>
      </c>
    </row>
    <row r="241">
      <c r="A241" s="18" t="inlineStr">
        <is>
          <t>유형자산 매각손익</t>
        </is>
      </c>
      <c r="O241" s="20" t="n">
        <v>-180</v>
      </c>
      <c r="P241" s="20" t="n">
        <v>-209</v>
      </c>
      <c r="Q241" s="20" t="n">
        <v>-19</v>
      </c>
      <c r="R241" s="20" t="n">
        <v>0</v>
      </c>
      <c r="S241" s="20" t="n">
        <v>-88</v>
      </c>
      <c r="T241" s="20" t="n">
        <v>0</v>
      </c>
    </row>
    <row r="242">
      <c r="A242" s="18" t="inlineStr">
        <is>
          <t>Loss Gain On Sales Of Intangible Assets Ope CF</t>
        </is>
      </c>
      <c r="O242" s="20" t="n">
        <v>-66</v>
      </c>
      <c r="P242" s="20" t="n">
        <v>0</v>
      </c>
      <c r="R242" s="20" t="n">
        <v>0</v>
      </c>
      <c r="S242" s="20" t="n">
        <v>-473</v>
      </c>
      <c r="T242" s="20" t="n">
        <v>0</v>
      </c>
    </row>
    <row r="243">
      <c r="A243" s="18" t="inlineStr">
        <is>
          <t>고정자산 매각손익</t>
        </is>
      </c>
      <c r="C243" s="20" t="n">
        <v>-127</v>
      </c>
      <c r="E243" s="20" t="n">
        <v>-0</v>
      </c>
      <c r="G243" s="20" t="n">
        <v>-82</v>
      </c>
      <c r="I243" s="20" t="n">
        <v>-59</v>
      </c>
      <c r="K243" s="20" t="n">
        <v>-61</v>
      </c>
      <c r="M243" s="20" t="n">
        <v>-127</v>
      </c>
      <c r="T243" s="20" t="n">
        <v>0</v>
      </c>
      <c r="U243" s="20" t="n">
        <v>-2</v>
      </c>
      <c r="V243" s="20" t="n">
        <v>-127</v>
      </c>
      <c r="W243" s="20" t="n">
        <v>-82</v>
      </c>
      <c r="X243" s="20" t="n">
        <v>-61</v>
      </c>
    </row>
    <row r="244">
      <c r="A244" s="18" t="inlineStr">
        <is>
          <t>투자유가증권 매각손익</t>
        </is>
      </c>
      <c r="C244" s="20" t="n">
        <v>-21</v>
      </c>
      <c r="E244" s="20" t="n">
        <v>-5445</v>
      </c>
      <c r="G244" s="20" t="n">
        <v>-6097</v>
      </c>
      <c r="I244" s="20" t="n">
        <v>-3705</v>
      </c>
      <c r="K244" s="20" t="n">
        <v>-3841</v>
      </c>
      <c r="M244" s="20" t="n">
        <v>-4673</v>
      </c>
      <c r="O244" s="20" t="n">
        <v>-837</v>
      </c>
      <c r="P244" s="20" t="n">
        <v>-0</v>
      </c>
      <c r="Q244" s="20" t="n">
        <v>-42</v>
      </c>
      <c r="R244" s="20" t="n">
        <v>-1486</v>
      </c>
      <c r="S244" s="20" t="n">
        <v>592</v>
      </c>
      <c r="T244" s="20" t="n">
        <v>-255</v>
      </c>
      <c r="U244" s="20" t="n">
        <v>-2368</v>
      </c>
      <c r="V244" s="20" t="n">
        <v>-21</v>
      </c>
      <c r="W244" s="20" t="n">
        <v>-6097</v>
      </c>
      <c r="X244" s="20" t="n">
        <v>-3841</v>
      </c>
    </row>
    <row r="245">
      <c r="A245" s="18" t="inlineStr">
        <is>
          <t>Loss Gain On Investments In Silent Partnership And Other Ope CF</t>
        </is>
      </c>
      <c r="C245" s="20" t="n">
        <v>-58</v>
      </c>
      <c r="E245" s="20" t="n">
        <v>-46</v>
      </c>
      <c r="G245" s="20" t="n">
        <v>-99</v>
      </c>
      <c r="I245" s="20" t="n">
        <v>-318</v>
      </c>
      <c r="K245" s="20" t="n">
        <v>-505</v>
      </c>
      <c r="M245" s="20" t="n">
        <v>-731</v>
      </c>
      <c r="O245" s="20" t="n">
        <v>-88</v>
      </c>
      <c r="P245" s="20" t="n">
        <v>0</v>
      </c>
      <c r="Q245" s="20" t="n">
        <v>-126</v>
      </c>
      <c r="R245" s="20" t="n">
        <v>-21</v>
      </c>
      <c r="S245" s="20" t="n">
        <v>-58</v>
      </c>
      <c r="T245" s="20" t="n">
        <v>-107</v>
      </c>
      <c r="U245" s="20" t="n">
        <v>-132</v>
      </c>
      <c r="V245" s="20" t="n">
        <v>-58</v>
      </c>
      <c r="W245" s="20" t="n">
        <v>-99</v>
      </c>
      <c r="X245" s="20" t="n">
        <v>-505</v>
      </c>
    </row>
    <row r="246">
      <c r="A246" s="18" t="inlineStr">
        <is>
          <t>단계적 취득 차손익</t>
        </is>
      </c>
      <c r="C246" s="20" t="n">
        <v>0</v>
      </c>
      <c r="E246" s="20" t="n">
        <v>2792</v>
      </c>
      <c r="G246" s="20" t="n">
        <v>2792</v>
      </c>
      <c r="I246" s="20" t="n">
        <v>0</v>
      </c>
      <c r="K246" s="20" t="n">
        <v>0</v>
      </c>
      <c r="Q246" s="20" t="n">
        <v>13</v>
      </c>
      <c r="R246" s="20" t="n">
        <v>1482</v>
      </c>
      <c r="S246" s="20" t="n">
        <v>0</v>
      </c>
      <c r="V246" s="20" t="n">
        <v>0</v>
      </c>
      <c r="W246" s="20" t="n">
        <v>2792</v>
      </c>
      <c r="X246" s="20" t="n">
        <v>0</v>
      </c>
    </row>
    <row r="247">
      <c r="A247" s="18" t="inlineStr">
        <is>
          <t>매출채권 증감</t>
        </is>
      </c>
      <c r="C247" s="20" t="n">
        <v>-1869</v>
      </c>
      <c r="E247" s="20" t="n">
        <v>-1658</v>
      </c>
      <c r="G247" s="20" t="n">
        <v>-3979</v>
      </c>
      <c r="I247" s="20" t="n">
        <v>1038</v>
      </c>
      <c r="K247" s="20" t="n">
        <v>-3187</v>
      </c>
      <c r="M247" s="20" t="n">
        <v>-2934</v>
      </c>
      <c r="O247" s="20" t="n">
        <v>-426</v>
      </c>
      <c r="P247" s="20" t="n">
        <v>-946</v>
      </c>
      <c r="Q247" s="20" t="n">
        <v>1264</v>
      </c>
      <c r="R247" s="20" t="n">
        <v>-132</v>
      </c>
      <c r="S247" s="20" t="n">
        <v>-788</v>
      </c>
      <c r="T247" s="20" t="n">
        <v>-366</v>
      </c>
      <c r="U247" s="20" t="n">
        <v>-1203</v>
      </c>
      <c r="V247" s="20" t="n">
        <v>-1869</v>
      </c>
      <c r="W247" s="20" t="n">
        <v>-3979</v>
      </c>
      <c r="X247" s="20" t="n">
        <v>-3187</v>
      </c>
    </row>
    <row r="248">
      <c r="A248" s="18" t="inlineStr">
        <is>
          <t>재고자산 증감</t>
        </is>
      </c>
      <c r="C248" s="20" t="n">
        <v>145984</v>
      </c>
      <c r="E248" s="20" t="n">
        <v>21817</v>
      </c>
      <c r="G248" s="20" t="n">
        <v>212081</v>
      </c>
      <c r="I248" s="20" t="n">
        <v>25029</v>
      </c>
      <c r="K248" s="20" t="n">
        <v>164868</v>
      </c>
      <c r="M248" s="20" t="n">
        <v>56912</v>
      </c>
      <c r="O248" s="20" t="n">
        <v>39974</v>
      </c>
      <c r="P248" s="20" t="n">
        <v>-20334</v>
      </c>
      <c r="Q248" s="20" t="n">
        <v>62399</v>
      </c>
      <c r="R248" s="20" t="n">
        <v>152290</v>
      </c>
      <c r="S248" s="20" t="n">
        <v>116937</v>
      </c>
      <c r="T248" s="20" t="n">
        <v>206353</v>
      </c>
      <c r="U248" s="20" t="n">
        <v>166066</v>
      </c>
      <c r="V248" s="20" t="n">
        <v>145984</v>
      </c>
      <c r="W248" s="20" t="n">
        <v>212081</v>
      </c>
      <c r="X248" s="20" t="n">
        <v>164868</v>
      </c>
    </row>
    <row r="249">
      <c r="A249" s="18" t="inlineStr">
        <is>
          <t>영업투자유가증권 증감액</t>
        </is>
      </c>
      <c r="E249" s="20" t="n">
        <v>0</v>
      </c>
      <c r="G249" s="20" t="n">
        <v>-10035</v>
      </c>
      <c r="I249" s="20" t="n">
        <v>-21580</v>
      </c>
      <c r="K249" s="20" t="n">
        <v>-57468</v>
      </c>
      <c r="M249" s="20" t="n">
        <v>37140</v>
      </c>
      <c r="O249" s="20" t="n">
        <v>1224</v>
      </c>
      <c r="P249" s="20" t="n">
        <v>590</v>
      </c>
      <c r="Q249" s="20" t="n">
        <v>442</v>
      </c>
      <c r="R249" s="20" t="n">
        <v>-2595</v>
      </c>
      <c r="S249" s="20" t="n">
        <v>3789</v>
      </c>
      <c r="T249" s="20" t="n">
        <v>2712</v>
      </c>
      <c r="U249" s="20" t="n">
        <v>0</v>
      </c>
      <c r="W249" s="20" t="n">
        <v>-10035</v>
      </c>
      <c r="X249" s="20" t="n">
        <v>-57468</v>
      </c>
    </row>
    <row r="250">
      <c r="A250" s="18" t="inlineStr">
        <is>
          <t>Decrease Increase In Guarantee Deposits Ope CF</t>
        </is>
      </c>
      <c r="C250" s="20" t="n">
        <v>-8585</v>
      </c>
      <c r="E250" s="20" t="n">
        <v>-1037</v>
      </c>
      <c r="G250" s="20" t="n">
        <v>-2605</v>
      </c>
      <c r="I250" s="20" t="n">
        <v>-3984</v>
      </c>
      <c r="K250" s="20" t="n">
        <v>-2185</v>
      </c>
      <c r="M250" s="20" t="n">
        <v>5825</v>
      </c>
      <c r="O250" s="20" t="n">
        <v>-2201</v>
      </c>
      <c r="P250" s="20" t="n">
        <v>-3889</v>
      </c>
      <c r="Q250" s="20" t="n">
        <v>-2630</v>
      </c>
      <c r="R250" s="20" t="n">
        <v>-1755</v>
      </c>
      <c r="S250" s="20" t="n">
        <v>-1214</v>
      </c>
      <c r="T250" s="20" t="n">
        <v>-9134</v>
      </c>
      <c r="U250" s="20" t="n">
        <v>-8651</v>
      </c>
      <c r="V250" s="20" t="n">
        <v>-8585</v>
      </c>
      <c r="W250" s="20" t="n">
        <v>-2605</v>
      </c>
      <c r="X250" s="20" t="n">
        <v>-2185</v>
      </c>
    </row>
    <row r="251">
      <c r="A251" s="18" t="inlineStr">
        <is>
          <t>예수보증금 증감액</t>
        </is>
      </c>
      <c r="C251" s="20" t="n">
        <v>4662</v>
      </c>
      <c r="E251" s="20" t="n">
        <v>5033</v>
      </c>
      <c r="G251" s="20" t="n">
        <v>5220</v>
      </c>
      <c r="I251" s="20" t="n">
        <v>9055</v>
      </c>
      <c r="K251" s="20" t="n">
        <v>15469</v>
      </c>
      <c r="M251" s="20" t="n">
        <v>-10570</v>
      </c>
      <c r="O251" s="20" t="n">
        <v>4295</v>
      </c>
      <c r="P251" s="20" t="n">
        <v>8706</v>
      </c>
      <c r="Q251" s="20" t="n">
        <v>6167</v>
      </c>
      <c r="R251" s="20" t="n">
        <v>9295</v>
      </c>
      <c r="S251" s="20" t="n">
        <v>2786</v>
      </c>
      <c r="T251" s="20" t="n">
        <v>-18</v>
      </c>
      <c r="U251" s="20" t="n">
        <v>5714</v>
      </c>
      <c r="V251" s="20" t="n">
        <v>4662</v>
      </c>
      <c r="W251" s="20" t="n">
        <v>5220</v>
      </c>
      <c r="X251" s="20" t="n">
        <v>15469</v>
      </c>
    </row>
    <row r="252">
      <c r="A252" s="18" t="inlineStr">
        <is>
          <t>기타 자산 증감</t>
        </is>
      </c>
      <c r="C252" s="20" t="n">
        <v>-4929</v>
      </c>
      <c r="E252" s="20" t="n">
        <v>4279</v>
      </c>
      <c r="G252" s="20" t="n">
        <v>9378</v>
      </c>
      <c r="I252" s="20" t="n">
        <v>-8377</v>
      </c>
      <c r="K252" s="20" t="n">
        <v>-396</v>
      </c>
      <c r="M252" s="20" t="n">
        <v>13657</v>
      </c>
      <c r="O252" s="20" t="n">
        <v>1326</v>
      </c>
      <c r="P252" s="20" t="n">
        <v>-406</v>
      </c>
      <c r="Q252" s="20" t="n">
        <v>2578</v>
      </c>
      <c r="R252" s="20" t="n">
        <v>1536</v>
      </c>
      <c r="S252" s="20" t="n">
        <v>2044</v>
      </c>
      <c r="T252" s="20" t="n">
        <v>3479</v>
      </c>
      <c r="U252" s="20" t="n">
        <v>-804</v>
      </c>
      <c r="V252" s="20" t="n">
        <v>-4929</v>
      </c>
      <c r="W252" s="20" t="n">
        <v>9378</v>
      </c>
      <c r="X252" s="20" t="n">
        <v>-396</v>
      </c>
    </row>
    <row r="253">
      <c r="A253" s="18" t="inlineStr">
        <is>
          <t>기타 부채 증감</t>
        </is>
      </c>
      <c r="C253" s="20" t="n">
        <v>2045</v>
      </c>
      <c r="E253" s="20" t="n">
        <v>666</v>
      </c>
      <c r="G253" s="20" t="n">
        <v>6749</v>
      </c>
      <c r="I253" s="20" t="n">
        <v>-4726</v>
      </c>
      <c r="K253" s="20" t="n">
        <v>8269</v>
      </c>
      <c r="M253" s="20" t="n">
        <v>42</v>
      </c>
      <c r="O253" s="20" t="n">
        <v>4398</v>
      </c>
      <c r="P253" s="20" t="n">
        <v>-530</v>
      </c>
      <c r="Q253" s="20" t="n">
        <v>-1150</v>
      </c>
      <c r="R253" s="20" t="n">
        <v>3470</v>
      </c>
      <c r="S253" s="20" t="n">
        <v>2800</v>
      </c>
      <c r="T253" s="20" t="n">
        <v>200</v>
      </c>
      <c r="U253" s="20" t="n">
        <v>-4780</v>
      </c>
      <c r="V253" s="20" t="n">
        <v>2045</v>
      </c>
      <c r="W253" s="20" t="n">
        <v>6749</v>
      </c>
      <c r="X253" s="20" t="n">
        <v>8269</v>
      </c>
    </row>
    <row r="254">
      <c r="A254" s="18" t="inlineStr">
        <is>
          <t>소계</t>
        </is>
      </c>
      <c r="C254" s="20" t="n">
        <v>300893</v>
      </c>
      <c r="E254" s="20" t="n">
        <v>106283</v>
      </c>
      <c r="G254" s="20" t="n">
        <v>394407</v>
      </c>
      <c r="I254" s="20" t="n">
        <v>81751</v>
      </c>
      <c r="K254" s="20" t="n">
        <v>330596</v>
      </c>
      <c r="M254" s="20" t="n">
        <v>197728</v>
      </c>
      <c r="O254" s="20" t="n">
        <v>113434</v>
      </c>
      <c r="P254" s="20" t="n">
        <v>59140</v>
      </c>
      <c r="Q254" s="20" t="n">
        <v>156842</v>
      </c>
      <c r="R254" s="20" t="n">
        <v>264808</v>
      </c>
      <c r="S254" s="20" t="n">
        <v>240793</v>
      </c>
      <c r="T254" s="20" t="n">
        <v>333732</v>
      </c>
      <c r="U254" s="20" t="n">
        <v>298178</v>
      </c>
      <c r="V254" s="20" t="n">
        <v>300893</v>
      </c>
      <c r="W254" s="20" t="n">
        <v>394407</v>
      </c>
      <c r="X254" s="20" t="n">
        <v>330596</v>
      </c>
    </row>
    <row r="255">
      <c r="A255" s="18" t="inlineStr">
        <is>
          <t>이자·배당금 수취</t>
        </is>
      </c>
      <c r="C255" s="20" t="n">
        <v>5323</v>
      </c>
      <c r="E255" s="20" t="n">
        <v>3431</v>
      </c>
      <c r="G255" s="20" t="n">
        <v>6237</v>
      </c>
      <c r="I255" s="20" t="n">
        <v>4210</v>
      </c>
      <c r="K255" s="20" t="n">
        <v>8013</v>
      </c>
      <c r="M255" s="20" t="n">
        <v>3883</v>
      </c>
      <c r="O255" s="20" t="n">
        <v>1662</v>
      </c>
      <c r="P255" s="20" t="n">
        <v>1866</v>
      </c>
      <c r="Q255" s="20" t="n">
        <v>4895</v>
      </c>
      <c r="R255" s="20" t="n">
        <v>2403</v>
      </c>
      <c r="S255" s="20" t="n">
        <v>2577</v>
      </c>
      <c r="T255" s="20" t="n">
        <v>2613</v>
      </c>
      <c r="U255" s="20" t="n">
        <v>4053</v>
      </c>
      <c r="V255" s="20" t="n">
        <v>5323</v>
      </c>
      <c r="W255" s="20" t="n">
        <v>6237</v>
      </c>
      <c r="X255" s="20" t="n">
        <v>8013</v>
      </c>
    </row>
    <row r="256">
      <c r="A256" s="18" t="inlineStr">
        <is>
          <t>이자 지급</t>
        </is>
      </c>
      <c r="C256" s="20" t="n">
        <v>-11613</v>
      </c>
      <c r="E256" s="20" t="n">
        <v>-6095</v>
      </c>
      <c r="G256" s="20" t="n">
        <v>-12880</v>
      </c>
      <c r="I256" s="20" t="n">
        <v>-8766</v>
      </c>
      <c r="K256" s="20" t="n">
        <v>-19832</v>
      </c>
      <c r="M256" s="20" t="n">
        <v>-12914</v>
      </c>
      <c r="O256" s="20" t="n">
        <v>-4566</v>
      </c>
      <c r="P256" s="20" t="n">
        <v>-4343</v>
      </c>
      <c r="Q256" s="20" t="n">
        <v>-5395</v>
      </c>
      <c r="R256" s="20" t="n">
        <v>-6581</v>
      </c>
      <c r="S256" s="20" t="n">
        <v>-8632</v>
      </c>
      <c r="T256" s="20" t="n">
        <v>-10217</v>
      </c>
      <c r="U256" s="20" t="n">
        <v>-10195</v>
      </c>
      <c r="V256" s="20" t="n">
        <v>-11613</v>
      </c>
      <c r="W256" s="20" t="n">
        <v>-12880</v>
      </c>
      <c r="X256" s="20" t="n">
        <v>-19832</v>
      </c>
    </row>
    <row r="257">
      <c r="A257" s="18" t="inlineStr">
        <is>
          <t>법인세 납부</t>
        </is>
      </c>
      <c r="C257" s="20" t="n">
        <v>-23864</v>
      </c>
      <c r="E257" s="20" t="n">
        <v>-18384</v>
      </c>
      <c r="G257" s="20" t="n">
        <v>-34376</v>
      </c>
      <c r="I257" s="20" t="n">
        <v>-30000</v>
      </c>
      <c r="K257" s="20" t="n">
        <v>-49538</v>
      </c>
      <c r="O257" s="20" t="n">
        <v>-3250</v>
      </c>
      <c r="P257" s="20" t="n">
        <v>-10937</v>
      </c>
      <c r="Q257" s="20" t="n">
        <v>-25368</v>
      </c>
      <c r="R257" s="20" t="n">
        <v>-29491</v>
      </c>
      <c r="S257" s="20" t="n">
        <v>-32547</v>
      </c>
      <c r="T257" s="20" t="n">
        <v>-34393</v>
      </c>
      <c r="U257" s="20" t="n">
        <v>-26020</v>
      </c>
      <c r="V257" s="20" t="n">
        <v>-23864</v>
      </c>
      <c r="W257" s="20" t="n">
        <v>-34376</v>
      </c>
      <c r="X257" s="20" t="n">
        <v>-49538</v>
      </c>
    </row>
    <row r="258">
      <c r="A258" s="18" t="inlineStr">
        <is>
          <t>법인세 환급</t>
        </is>
      </c>
      <c r="C258" s="20" t="n">
        <v>80</v>
      </c>
      <c r="E258" s="20" t="n">
        <v>0</v>
      </c>
      <c r="G258" s="20" t="n">
        <v>0</v>
      </c>
      <c r="I258" s="20" t="n">
        <v>0</v>
      </c>
      <c r="O258" s="20" t="n">
        <v>1127</v>
      </c>
      <c r="P258" s="20" t="n">
        <v>0</v>
      </c>
      <c r="Q258" s="20" t="n">
        <v>0</v>
      </c>
      <c r="R258" s="20" t="n">
        <v>41</v>
      </c>
      <c r="S258" s="20" t="n">
        <v>112</v>
      </c>
      <c r="T258" s="20" t="n">
        <v>1</v>
      </c>
      <c r="U258" s="20" t="n">
        <v>92</v>
      </c>
      <c r="V258" s="20" t="n">
        <v>80</v>
      </c>
      <c r="W258" s="20" t="n">
        <v>0</v>
      </c>
    </row>
    <row r="259">
      <c r="A259" s="18" t="inlineStr">
        <is>
          <t>법인세 납부·환급</t>
        </is>
      </c>
      <c r="I259" s="20" t="n">
        <v>-30000</v>
      </c>
      <c r="M259" s="20" t="n">
        <v>-32945</v>
      </c>
    </row>
    <row r="260">
      <c r="A260" s="9" t="inlineStr">
        <is>
          <t>영업활동 현금흐름</t>
        </is>
      </c>
      <c r="C260" s="12" t="n">
        <v>270819</v>
      </c>
      <c r="E260" s="12" t="n">
        <v>85234</v>
      </c>
      <c r="G260" s="12" t="n">
        <v>353388</v>
      </c>
      <c r="I260" s="12" t="n">
        <v>47195</v>
      </c>
      <c r="K260" s="12" t="n">
        <v>269239</v>
      </c>
      <c r="M260" s="12" t="n">
        <v>155752</v>
      </c>
      <c r="O260" s="12" t="n">
        <v>108407</v>
      </c>
      <c r="P260" s="12" t="n">
        <v>45724</v>
      </c>
      <c r="Q260" s="12" t="n">
        <v>130973</v>
      </c>
      <c r="R260" s="12" t="n">
        <v>231180</v>
      </c>
      <c r="S260" s="12" t="n">
        <v>202304</v>
      </c>
      <c r="T260" s="12" t="n">
        <v>291736</v>
      </c>
      <c r="U260" s="12" t="n">
        <v>266108</v>
      </c>
      <c r="V260" s="12" t="n">
        <v>270819</v>
      </c>
      <c r="W260" s="12" t="n">
        <v>353388</v>
      </c>
      <c r="X260" s="12" t="n">
        <v>269239</v>
      </c>
    </row>
    <row r="261">
      <c r="A261" s="18" t="inlineStr">
        <is>
          <t>정기예금 예입</t>
        </is>
      </c>
      <c r="C261" s="20" t="n">
        <v>-115</v>
      </c>
      <c r="E261" s="20" t="n">
        <v>-2232</v>
      </c>
      <c r="G261" s="20" t="n">
        <v>-2337</v>
      </c>
      <c r="I261" s="20" t="n">
        <v>-12</v>
      </c>
      <c r="K261" s="20" t="n">
        <v>-515</v>
      </c>
      <c r="M261" s="20" t="n">
        <v>-210</v>
      </c>
      <c r="P261" s="20" t="n">
        <v>0</v>
      </c>
      <c r="Q261" s="20" t="n">
        <v>-153</v>
      </c>
      <c r="R261" s="20" t="n">
        <v>0</v>
      </c>
      <c r="S261" s="20" t="n">
        <v>-120</v>
      </c>
      <c r="T261" s="20" t="n">
        <v>-120</v>
      </c>
      <c r="U261" s="20" t="n">
        <v>-100</v>
      </c>
      <c r="V261" s="20" t="n">
        <v>-115</v>
      </c>
      <c r="W261" s="20" t="n">
        <v>-2337</v>
      </c>
      <c r="X261" s="20" t="n">
        <v>-515</v>
      </c>
    </row>
    <row r="262">
      <c r="A262" s="18" t="inlineStr">
        <is>
          <t>정기예금 인출</t>
        </is>
      </c>
      <c r="C262" s="20" t="n">
        <v>100</v>
      </c>
      <c r="E262" s="20" t="n">
        <v>10</v>
      </c>
      <c r="G262" s="20" t="n">
        <v>115</v>
      </c>
      <c r="I262" s="20" t="n">
        <v>33</v>
      </c>
      <c r="K262" s="20" t="n">
        <v>215</v>
      </c>
      <c r="M262" s="20" t="n">
        <v>310</v>
      </c>
      <c r="P262" s="20" t="n">
        <v>0</v>
      </c>
      <c r="Q262" s="20" t="n">
        <v>60</v>
      </c>
      <c r="R262" s="20" t="n">
        <v>193</v>
      </c>
      <c r="S262" s="20" t="n">
        <v>120</v>
      </c>
      <c r="T262" s="20" t="n">
        <v>346</v>
      </c>
      <c r="U262" s="20" t="n">
        <v>120</v>
      </c>
      <c r="V262" s="20" t="n">
        <v>100</v>
      </c>
      <c r="W262" s="20" t="n">
        <v>115</v>
      </c>
      <c r="X262" s="20" t="n">
        <v>215</v>
      </c>
    </row>
    <row r="263">
      <c r="A263" s="18" t="inlineStr">
        <is>
          <t>유형자산 취득(설비투자)</t>
        </is>
      </c>
      <c r="C263" s="20" t="n">
        <v>-257237</v>
      </c>
      <c r="E263" s="20" t="n">
        <v>-244711</v>
      </c>
      <c r="G263" s="20" t="n">
        <v>-364708</v>
      </c>
      <c r="I263" s="20" t="n">
        <v>-165038</v>
      </c>
      <c r="K263" s="20" t="n">
        <v>-426254</v>
      </c>
      <c r="M263" s="20" t="n">
        <v>-137138</v>
      </c>
      <c r="O263" s="20" t="n">
        <v>-106729</v>
      </c>
      <c r="P263" s="20" t="n">
        <v>-196128</v>
      </c>
      <c r="Q263" s="20" t="n">
        <v>-247082</v>
      </c>
      <c r="R263" s="20" t="n">
        <v>-289762</v>
      </c>
      <c r="S263" s="20" t="n">
        <v>-320637</v>
      </c>
      <c r="T263" s="20" t="n">
        <v>-211688</v>
      </c>
      <c r="U263" s="20" t="n">
        <v>-291108</v>
      </c>
      <c r="V263" s="20" t="n">
        <v>-257237</v>
      </c>
      <c r="W263" s="20" t="n">
        <v>-364708</v>
      </c>
      <c r="X263" s="20" t="n">
        <v>-426254</v>
      </c>
    </row>
    <row r="264">
      <c r="A264" s="18" t="inlineStr">
        <is>
          <t>유형자산 매각</t>
        </is>
      </c>
      <c r="O264" s="20" t="n">
        <v>1679</v>
      </c>
      <c r="P264" s="20" t="n">
        <v>11458</v>
      </c>
      <c r="Q264" s="20" t="n">
        <v>24</v>
      </c>
      <c r="R264" s="20" t="n">
        <v>0</v>
      </c>
      <c r="S264" s="20" t="n">
        <v>37</v>
      </c>
      <c r="T264" s="20" t="n">
        <v>0</v>
      </c>
    </row>
    <row r="265">
      <c r="A265" s="18" t="inlineStr">
        <is>
          <t>무형자산 취득</t>
        </is>
      </c>
      <c r="C265" s="20" t="n">
        <v>-7397</v>
      </c>
      <c r="E265" s="20" t="n">
        <v>-4723</v>
      </c>
      <c r="G265" s="20" t="n">
        <v>-10059</v>
      </c>
      <c r="I265" s="20" t="n">
        <v>-10210</v>
      </c>
      <c r="K265" s="20" t="n">
        <v>-19810</v>
      </c>
      <c r="M265" s="20" t="n">
        <v>-1055</v>
      </c>
      <c r="O265" s="20" t="n">
        <v>-2427</v>
      </c>
      <c r="P265" s="20" t="n">
        <v>-1003</v>
      </c>
      <c r="Q265" s="20" t="n">
        <v>-7068</v>
      </c>
      <c r="R265" s="20" t="n">
        <v>-64505</v>
      </c>
      <c r="S265" s="20" t="n">
        <v>-856</v>
      </c>
      <c r="T265" s="20" t="n">
        <v>-1991</v>
      </c>
      <c r="U265" s="20" t="n">
        <v>-2125</v>
      </c>
      <c r="V265" s="20" t="n">
        <v>-7397</v>
      </c>
      <c r="W265" s="20" t="n">
        <v>-10059</v>
      </c>
      <c r="X265" s="20" t="n">
        <v>-19810</v>
      </c>
    </row>
    <row r="266">
      <c r="A266" s="18" t="inlineStr">
        <is>
          <t>무형자산 매각 수입</t>
        </is>
      </c>
      <c r="O266" s="20" t="n">
        <v>408</v>
      </c>
      <c r="P266" s="20" t="n">
        <v>0</v>
      </c>
    </row>
    <row r="267">
      <c r="A267" s="18" t="inlineStr">
        <is>
          <t>고정자산 매각</t>
        </is>
      </c>
      <c r="C267" s="20" t="n">
        <v>1034</v>
      </c>
      <c r="E267" s="20" t="n">
        <v>0</v>
      </c>
      <c r="G267" s="20" t="n">
        <v>166</v>
      </c>
      <c r="I267" s="20" t="n">
        <v>155</v>
      </c>
      <c r="K267" s="20" t="n">
        <v>177</v>
      </c>
      <c r="M267" s="20" t="n">
        <v>234</v>
      </c>
      <c r="T267" s="20" t="n">
        <v>0</v>
      </c>
      <c r="U267" s="20" t="n">
        <v>16</v>
      </c>
      <c r="V267" s="20" t="n">
        <v>1034</v>
      </c>
      <c r="W267" s="20" t="n">
        <v>166</v>
      </c>
      <c r="X267" s="20" t="n">
        <v>177</v>
      </c>
    </row>
    <row r="268">
      <c r="A268" s="18" t="inlineStr">
        <is>
          <t>투자유가증권 취득</t>
        </is>
      </c>
      <c r="C268" s="20" t="n">
        <v>-17025</v>
      </c>
      <c r="E268" s="20" t="n">
        <v>-53195</v>
      </c>
      <c r="G268" s="20" t="n">
        <v>-118553</v>
      </c>
      <c r="I268" s="20" t="n">
        <v>-82281</v>
      </c>
      <c r="K268" s="20" t="n">
        <v>-105630</v>
      </c>
      <c r="M268" s="20" t="n">
        <v>-43392</v>
      </c>
      <c r="O268" s="20" t="n">
        <v>-5396</v>
      </c>
      <c r="P268" s="20" t="n">
        <v>-4104</v>
      </c>
      <c r="Q268" s="20" t="n">
        <v>-3549</v>
      </c>
      <c r="R268" s="20" t="n">
        <v>-7776</v>
      </c>
      <c r="S268" s="20" t="n">
        <v>-23663</v>
      </c>
      <c r="T268" s="20" t="n">
        <v>-75927</v>
      </c>
      <c r="U268" s="20" t="n">
        <v>-71594</v>
      </c>
      <c r="V268" s="20" t="n">
        <v>-17025</v>
      </c>
      <c r="W268" s="20" t="n">
        <v>-118553</v>
      </c>
      <c r="X268" s="20" t="n">
        <v>-105630</v>
      </c>
    </row>
    <row r="269">
      <c r="A269" s="18" t="inlineStr">
        <is>
          <t>투자유가증권 매각</t>
        </is>
      </c>
      <c r="C269" s="20" t="n">
        <v>169</v>
      </c>
      <c r="E269" s="20" t="n">
        <v>6603</v>
      </c>
      <c r="G269" s="20" t="n">
        <v>7578</v>
      </c>
      <c r="I269" s="20" t="n">
        <v>4292</v>
      </c>
      <c r="K269" s="20" t="n">
        <v>4546</v>
      </c>
      <c r="M269" s="20" t="n">
        <v>5745</v>
      </c>
      <c r="O269" s="20" t="n">
        <v>888</v>
      </c>
      <c r="P269" s="20" t="n">
        <v>1</v>
      </c>
      <c r="Q269" s="20" t="n">
        <v>47</v>
      </c>
      <c r="R269" s="20" t="n">
        <v>124</v>
      </c>
      <c r="S269" s="20" t="n">
        <v>1927</v>
      </c>
      <c r="T269" s="20" t="n">
        <v>1894</v>
      </c>
      <c r="U269" s="20" t="n">
        <v>5943</v>
      </c>
      <c r="V269" s="20" t="n">
        <v>169</v>
      </c>
      <c r="W269" s="20" t="n">
        <v>7578</v>
      </c>
      <c r="X269" s="20" t="n">
        <v>4546</v>
      </c>
    </row>
    <row r="270">
      <c r="A270" s="18" t="inlineStr">
        <is>
          <t>Pay Out In Additional Newly Consolidated Subsidiary Inv CF</t>
        </is>
      </c>
      <c r="P270" s="20" t="n">
        <v>0</v>
      </c>
      <c r="Q270" s="20" t="n">
        <v>-971</v>
      </c>
      <c r="R270" s="20" t="n">
        <v>0</v>
      </c>
    </row>
    <row r="271">
      <c r="A271" s="18" t="inlineStr">
        <is>
          <t>Proceeds From Additional Newly Consolidated Subsidiary Inv CF</t>
        </is>
      </c>
      <c r="O271" s="20" t="n">
        <v>0</v>
      </c>
      <c r="P271" s="20" t="n">
        <v>0</v>
      </c>
      <c r="Q271" s="20" t="n">
        <v>514</v>
      </c>
      <c r="R271" s="20" t="n">
        <v>0</v>
      </c>
    </row>
    <row r="272">
      <c r="A272" s="18" t="inlineStr">
        <is>
          <t>연결범위 변경 자회사 주식 매각(지출)</t>
        </is>
      </c>
      <c r="R272" s="20" t="n">
        <v>0</v>
      </c>
      <c r="S272" s="20" t="n">
        <v>-56</v>
      </c>
      <c r="T272" s="20" t="n">
        <v>0</v>
      </c>
    </row>
    <row r="273">
      <c r="A273" s="18" t="inlineStr">
        <is>
          <t>투자유가증권 상환</t>
        </is>
      </c>
      <c r="C273" s="20" t="n">
        <v>602</v>
      </c>
      <c r="E273" s="20" t="n">
        <v>8982</v>
      </c>
      <c r="G273" s="20" t="n">
        <v>26312</v>
      </c>
      <c r="I273" s="20" t="n">
        <v>44293</v>
      </c>
      <c r="K273" s="20" t="n">
        <v>45156</v>
      </c>
      <c r="M273" s="20" t="n">
        <v>624</v>
      </c>
      <c r="T273" s="20" t="n">
        <v>383</v>
      </c>
      <c r="U273" s="20" t="n">
        <v>13289</v>
      </c>
      <c r="V273" s="20" t="n">
        <v>602</v>
      </c>
      <c r="W273" s="20" t="n">
        <v>26312</v>
      </c>
      <c r="X273" s="20" t="n">
        <v>45156</v>
      </c>
    </row>
    <row r="274">
      <c r="A274" s="18" t="inlineStr">
        <is>
          <t>연결범위 변경 자회사 주식 취득(수입)</t>
        </is>
      </c>
      <c r="C274" s="20" t="n">
        <v>0</v>
      </c>
      <c r="T274" s="20" t="n">
        <v>0</v>
      </c>
      <c r="U274" s="20" t="n">
        <v>574</v>
      </c>
      <c r="V274" s="20" t="n">
        <v>0</v>
      </c>
    </row>
    <row r="275">
      <c r="A275" s="18" t="inlineStr">
        <is>
          <t>연결범위 변경 자회사 주식 취득</t>
        </is>
      </c>
      <c r="C275" s="20" t="n">
        <v>-1228</v>
      </c>
      <c r="E275" s="20" t="n">
        <v>-8508</v>
      </c>
      <c r="G275" s="20" t="n">
        <v>-131847</v>
      </c>
      <c r="I275" s="20" t="n">
        <v>-232</v>
      </c>
      <c r="K275" s="20" t="n">
        <v>-22395</v>
      </c>
      <c r="M275" s="20" t="n">
        <v>-16188</v>
      </c>
      <c r="U275" s="20" t="n">
        <v>0</v>
      </c>
      <c r="V275" s="20" t="n">
        <v>-1228</v>
      </c>
      <c r="W275" s="20" t="n">
        <v>-131847</v>
      </c>
      <c r="X275" s="20" t="n">
        <v>-22395</v>
      </c>
    </row>
    <row r="276">
      <c r="A276" s="18" t="inlineStr">
        <is>
          <t>연결범위 변경 자회사 주식 매각</t>
        </is>
      </c>
      <c r="C276" s="20" t="n">
        <v>0</v>
      </c>
      <c r="E276" s="20" t="n">
        <v>168</v>
      </c>
      <c r="G276" s="20" t="n">
        <v>168</v>
      </c>
      <c r="I276" s="20" t="n">
        <v>0</v>
      </c>
      <c r="K276" s="20" t="n">
        <v>0</v>
      </c>
      <c r="M276" s="20" t="n">
        <v>1831</v>
      </c>
      <c r="Q276" s="20" t="n">
        <v>0</v>
      </c>
      <c r="R276" s="20" t="n">
        <v>629</v>
      </c>
      <c r="S276" s="20" t="n">
        <v>0</v>
      </c>
      <c r="V276" s="20" t="n">
        <v>0</v>
      </c>
      <c r="W276" s="20" t="n">
        <v>168</v>
      </c>
      <c r="X276" s="20" t="n">
        <v>0</v>
      </c>
    </row>
    <row r="277">
      <c r="A277" s="18" t="inlineStr">
        <is>
          <t>대여</t>
        </is>
      </c>
      <c r="C277" s="20" t="n">
        <v>-104</v>
      </c>
      <c r="E277" s="20" t="n">
        <v>-47</v>
      </c>
      <c r="G277" s="20" t="n">
        <v>-3739</v>
      </c>
      <c r="I277" s="20" t="n">
        <v>-2580</v>
      </c>
      <c r="K277" s="20" t="n">
        <v>-6742</v>
      </c>
      <c r="M277" s="20" t="n">
        <v>-4408</v>
      </c>
      <c r="O277" s="20" t="n">
        <v>-143</v>
      </c>
      <c r="P277" s="20" t="n">
        <v>-125</v>
      </c>
      <c r="Q277" s="20" t="n">
        <v>0</v>
      </c>
      <c r="R277" s="20" t="n">
        <v>-1</v>
      </c>
      <c r="S277" s="20" t="n">
        <v>-7</v>
      </c>
      <c r="T277" s="20" t="n">
        <v>-5</v>
      </c>
      <c r="U277" s="20" t="n">
        <v>-3</v>
      </c>
      <c r="V277" s="20" t="n">
        <v>-104</v>
      </c>
      <c r="W277" s="20" t="n">
        <v>-3739</v>
      </c>
      <c r="X277" s="20" t="n">
        <v>-6742</v>
      </c>
    </row>
    <row r="278">
      <c r="A278" s="18" t="inlineStr">
        <is>
          <t>대여금 회수</t>
        </is>
      </c>
      <c r="C278" s="20" t="n">
        <v>4</v>
      </c>
      <c r="E278" s="20" t="n">
        <v>0</v>
      </c>
      <c r="G278" s="20" t="n">
        <v>0</v>
      </c>
      <c r="I278" s="20" t="n">
        <v>2</v>
      </c>
      <c r="K278" s="20" t="n">
        <v>2</v>
      </c>
      <c r="M278" s="20" t="n">
        <v>379</v>
      </c>
      <c r="O278" s="20" t="n">
        <v>0</v>
      </c>
      <c r="P278" s="20" t="n">
        <v>500</v>
      </c>
      <c r="Q278" s="20" t="n">
        <v>0</v>
      </c>
      <c r="R278" s="20" t="n">
        <v>9</v>
      </c>
      <c r="S278" s="20" t="n">
        <v>1</v>
      </c>
      <c r="T278" s="20" t="n">
        <v>8</v>
      </c>
      <c r="U278" s="20" t="n">
        <v>4</v>
      </c>
      <c r="V278" s="20" t="n">
        <v>4</v>
      </c>
      <c r="W278" s="20" t="n">
        <v>0</v>
      </c>
      <c r="X278" s="20" t="n">
        <v>2</v>
      </c>
    </row>
    <row r="279">
      <c r="A279" s="18" t="inlineStr">
        <is>
          <t>기타</t>
        </is>
      </c>
      <c r="C279" s="20" t="n">
        <v>-17133</v>
      </c>
      <c r="E279" s="20" t="n">
        <v>-545</v>
      </c>
      <c r="G279" s="20" t="n">
        <v>-5115</v>
      </c>
      <c r="I279" s="20" t="n">
        <v>-9003</v>
      </c>
      <c r="K279" s="20" t="n">
        <v>-13249</v>
      </c>
      <c r="M279" s="20" t="n">
        <v>-6895</v>
      </c>
      <c r="O279" s="20" t="n">
        <v>702</v>
      </c>
      <c r="P279" s="20" t="n">
        <v>312</v>
      </c>
      <c r="Q279" s="20" t="n">
        <v>52</v>
      </c>
      <c r="R279" s="20" t="n">
        <v>2753</v>
      </c>
      <c r="S279" s="20" t="n">
        <v>114</v>
      </c>
      <c r="T279" s="20" t="n">
        <v>157</v>
      </c>
      <c r="U279" s="20" t="n">
        <v>-350</v>
      </c>
      <c r="V279" s="20" t="n">
        <v>-17133</v>
      </c>
      <c r="W279" s="20" t="n">
        <v>-5115</v>
      </c>
      <c r="X279" s="20" t="n">
        <v>-13249</v>
      </c>
    </row>
    <row r="280">
      <c r="A280" s="9" t="inlineStr">
        <is>
          <t>투자활동 현금흐름</t>
        </is>
      </c>
      <c r="C280" s="12" t="n">
        <v>-298330</v>
      </c>
      <c r="E280" s="12" t="n">
        <v>-298199</v>
      </c>
      <c r="G280" s="12" t="n">
        <v>-602020</v>
      </c>
      <c r="I280" s="12" t="n">
        <v>-220580</v>
      </c>
      <c r="K280" s="12" t="n">
        <v>-544500</v>
      </c>
      <c r="M280" s="12" t="n">
        <v>-200165</v>
      </c>
      <c r="O280" s="12" t="n">
        <v>-111018</v>
      </c>
      <c r="P280" s="12" t="n">
        <v>-189088</v>
      </c>
      <c r="Q280" s="12" t="n">
        <v>-258127</v>
      </c>
      <c r="R280" s="12" t="n">
        <v>-358334</v>
      </c>
      <c r="S280" s="12" t="n">
        <v>-343137</v>
      </c>
      <c r="T280" s="12" t="n">
        <v>-286943</v>
      </c>
      <c r="U280" s="12" t="n">
        <v>-345335</v>
      </c>
      <c r="V280" s="12" t="n">
        <v>-298330</v>
      </c>
      <c r="W280" s="12" t="n">
        <v>-602020</v>
      </c>
      <c r="X280" s="12" t="n">
        <v>-544500</v>
      </c>
    </row>
    <row r="281">
      <c r="A281" s="18" t="inlineStr">
        <is>
          <t>단기차입금 순증감</t>
        </is>
      </c>
      <c r="C281" s="20" t="n">
        <v>1114</v>
      </c>
      <c r="E281" s="20" t="n">
        <v>13856</v>
      </c>
      <c r="G281" s="20" t="n">
        <v>160461</v>
      </c>
      <c r="I281" s="20" t="n">
        <v>-164451</v>
      </c>
      <c r="K281" s="20" t="n">
        <v>-165542</v>
      </c>
      <c r="M281" s="20" t="n">
        <v>-2785</v>
      </c>
      <c r="O281" s="20" t="n">
        <v>-77000</v>
      </c>
      <c r="P281" s="20" t="n">
        <v>2065</v>
      </c>
      <c r="Q281" s="20" t="n">
        <v>-30066</v>
      </c>
      <c r="R281" s="20" t="n">
        <v>162</v>
      </c>
      <c r="S281" s="20" t="n">
        <v>600</v>
      </c>
      <c r="T281" s="20" t="n">
        <v>-380</v>
      </c>
      <c r="U281" s="20" t="n">
        <v>0</v>
      </c>
      <c r="V281" s="20" t="n">
        <v>1114</v>
      </c>
      <c r="W281" s="20" t="n">
        <v>160461</v>
      </c>
      <c r="X281" s="20" t="n">
        <v>-165542</v>
      </c>
    </row>
    <row r="282">
      <c r="A282" s="18" t="inlineStr">
        <is>
          <t>Net Increase Decrease In Short Term Bonds Payable Fin CF</t>
        </is>
      </c>
      <c r="C282" s="20" t="n">
        <v>-63</v>
      </c>
      <c r="E282" s="20" t="n">
        <v>154821</v>
      </c>
      <c r="G282" s="20" t="n">
        <v>29510</v>
      </c>
      <c r="I282" s="20" t="n">
        <v>129315</v>
      </c>
      <c r="K282" s="20" t="n">
        <v>88850</v>
      </c>
      <c r="M282" s="20" t="n">
        <v>-19761</v>
      </c>
      <c r="O282" s="20" t="n">
        <v>-2</v>
      </c>
      <c r="P282" s="20" t="n">
        <v>11997</v>
      </c>
      <c r="Q282" s="20" t="n">
        <v>-2000</v>
      </c>
      <c r="R282" s="20" t="n">
        <v>9999</v>
      </c>
      <c r="S282" s="20" t="n">
        <v>-20117</v>
      </c>
      <c r="T282" s="20" t="n">
        <v>4</v>
      </c>
      <c r="U282" s="20" t="n">
        <v>7</v>
      </c>
      <c r="V282" s="20" t="n">
        <v>-63</v>
      </c>
      <c r="W282" s="20" t="n">
        <v>29510</v>
      </c>
      <c r="X282" s="20" t="n">
        <v>88850</v>
      </c>
    </row>
    <row r="283">
      <c r="A283" s="18" t="inlineStr">
        <is>
          <t>장기차입</t>
        </is>
      </c>
      <c r="C283" s="20" t="n">
        <v>174500</v>
      </c>
      <c r="E283" s="20" t="n">
        <v>121000</v>
      </c>
      <c r="G283" s="20" t="n">
        <v>223000</v>
      </c>
      <c r="I283" s="20" t="n">
        <v>440392</v>
      </c>
      <c r="K283" s="20" t="n">
        <v>654862</v>
      </c>
      <c r="M283" s="20" t="n">
        <v>242760</v>
      </c>
      <c r="O283" s="20" t="n">
        <v>225400</v>
      </c>
      <c r="P283" s="20" t="n">
        <v>232800</v>
      </c>
      <c r="Q283" s="20" t="n">
        <v>195000</v>
      </c>
      <c r="R283" s="20" t="n">
        <v>140000</v>
      </c>
      <c r="S283" s="20" t="n">
        <v>70000</v>
      </c>
      <c r="T283" s="20" t="n">
        <v>94000</v>
      </c>
      <c r="U283" s="20" t="n">
        <v>42000</v>
      </c>
      <c r="V283" s="20" t="n">
        <v>174500</v>
      </c>
      <c r="W283" s="20" t="n">
        <v>223000</v>
      </c>
      <c r="X283" s="20" t="n">
        <v>654862</v>
      </c>
    </row>
    <row r="284">
      <c r="A284" s="18" t="inlineStr">
        <is>
          <t>장기차입금 상환</t>
        </is>
      </c>
      <c r="C284" s="20" t="n">
        <v>-161570</v>
      </c>
      <c r="E284" s="20" t="n">
        <v>-60763</v>
      </c>
      <c r="G284" s="20" t="n">
        <v>-103484</v>
      </c>
      <c r="I284" s="20" t="n">
        <v>-110622</v>
      </c>
      <c r="K284" s="20" t="n">
        <v>-285012</v>
      </c>
      <c r="M284" s="20" t="n">
        <v>-157879</v>
      </c>
      <c r="O284" s="20" t="n">
        <v>-141137</v>
      </c>
      <c r="P284" s="20" t="n">
        <v>-85544</v>
      </c>
      <c r="Q284" s="20" t="n">
        <v>-70000</v>
      </c>
      <c r="R284" s="20" t="n">
        <v>-35311</v>
      </c>
      <c r="S284" s="20" t="n">
        <v>-41379</v>
      </c>
      <c r="T284" s="20" t="n">
        <v>-55956</v>
      </c>
      <c r="U284" s="20" t="n">
        <v>-73076</v>
      </c>
      <c r="V284" s="20" t="n">
        <v>-161570</v>
      </c>
      <c r="W284" s="20" t="n">
        <v>-103484</v>
      </c>
      <c r="X284" s="20" t="n">
        <v>-285012</v>
      </c>
    </row>
    <row r="285">
      <c r="A285" s="18" t="inlineStr">
        <is>
          <t>사채 발행</t>
        </is>
      </c>
      <c r="C285" s="20" t="n">
        <v>39855</v>
      </c>
      <c r="E285" s="20" t="n">
        <v>62604</v>
      </c>
      <c r="G285" s="20" t="n">
        <v>62604</v>
      </c>
      <c r="I285" s="20" t="n">
        <v>59521</v>
      </c>
      <c r="K285" s="20" t="n">
        <v>159135</v>
      </c>
      <c r="M285" s="20" t="n">
        <v>84678</v>
      </c>
      <c r="P285" s="20" t="n">
        <v>0</v>
      </c>
      <c r="Q285" s="20" t="n">
        <v>69457</v>
      </c>
      <c r="R285" s="20" t="n">
        <v>54726</v>
      </c>
      <c r="S285" s="20" t="n">
        <v>208182</v>
      </c>
      <c r="T285" s="20" t="n">
        <v>0</v>
      </c>
      <c r="U285" s="20" t="n">
        <v>75346</v>
      </c>
      <c r="V285" s="20" t="n">
        <v>39855</v>
      </c>
      <c r="W285" s="20" t="n">
        <v>62604</v>
      </c>
      <c r="X285" s="20" t="n">
        <v>159135</v>
      </c>
    </row>
    <row r="286">
      <c r="A286" s="18" t="inlineStr">
        <is>
          <t>주식 발행</t>
        </is>
      </c>
      <c r="S286" s="20" t="n">
        <v>0</v>
      </c>
      <c r="T286" s="20" t="n">
        <v>97120</v>
      </c>
      <c r="U286" s="20" t="n">
        <v>0</v>
      </c>
    </row>
    <row r="287">
      <c r="A287" s="18" t="inlineStr">
        <is>
          <t>사채 상환</t>
        </is>
      </c>
      <c r="C287" s="20" t="n">
        <v>-50000</v>
      </c>
      <c r="E287" s="20" t="n">
        <v>-30000</v>
      </c>
      <c r="G287" s="20" t="n">
        <v>-30000</v>
      </c>
      <c r="I287" s="20" t="n">
        <v>-120000</v>
      </c>
      <c r="K287" s="20" t="n">
        <v>-120000</v>
      </c>
      <c r="M287" s="20" t="n">
        <v>-60030</v>
      </c>
      <c r="O287" s="20" t="n">
        <v>-100</v>
      </c>
      <c r="P287" s="20" t="n">
        <v>0</v>
      </c>
      <c r="Q287" s="20" t="n">
        <v>-15000</v>
      </c>
      <c r="R287" s="20" t="n">
        <v>-8049</v>
      </c>
      <c r="S287" s="20" t="n">
        <v>-5038</v>
      </c>
      <c r="T287" s="20" t="n">
        <v>0</v>
      </c>
      <c r="U287" s="20" t="n">
        <v>0</v>
      </c>
      <c r="V287" s="20" t="n">
        <v>-50000</v>
      </c>
      <c r="W287" s="20" t="n">
        <v>-30000</v>
      </c>
      <c r="X287" s="20" t="n">
        <v>-120000</v>
      </c>
    </row>
    <row r="288">
      <c r="A288" s="18" t="inlineStr">
        <is>
          <t>스톡옵션 행사 수입</t>
        </is>
      </c>
      <c r="O288" s="20" t="n">
        <v>108</v>
      </c>
      <c r="P288" s="20" t="n">
        <v>45</v>
      </c>
      <c r="Q288" s="20" t="n">
        <v>0</v>
      </c>
    </row>
    <row r="289">
      <c r="A289" s="18" t="inlineStr">
        <is>
          <t>자기주식 취득</t>
        </is>
      </c>
      <c r="C289" s="20" t="n">
        <v>-0</v>
      </c>
      <c r="E289" s="20" t="n">
        <v>-0</v>
      </c>
      <c r="G289" s="20" t="n">
        <v>-0</v>
      </c>
      <c r="I289" s="20" t="n">
        <v>-3121</v>
      </c>
      <c r="K289" s="20" t="n">
        <v>-3121</v>
      </c>
      <c r="M289" s="20" t="n">
        <v>-704</v>
      </c>
      <c r="O289" s="20" t="n">
        <v>-947</v>
      </c>
      <c r="P289" s="20" t="n">
        <v>-0</v>
      </c>
      <c r="Q289" s="20" t="n">
        <v>-0</v>
      </c>
      <c r="R289" s="20" t="n">
        <v>-1182</v>
      </c>
      <c r="S289" s="20" t="n">
        <v>-425</v>
      </c>
      <c r="T289" s="20" t="n">
        <v>-2</v>
      </c>
      <c r="U289" s="20" t="n">
        <v>-1530</v>
      </c>
      <c r="V289" s="20" t="n">
        <v>-0</v>
      </c>
      <c r="W289" s="20" t="n">
        <v>-0</v>
      </c>
      <c r="X289" s="20" t="n">
        <v>-3121</v>
      </c>
    </row>
    <row r="290">
      <c r="A290" s="18" t="inlineStr">
        <is>
          <t>자기주식 매각</t>
        </is>
      </c>
      <c r="C290" s="20" t="n">
        <v>0</v>
      </c>
      <c r="E290" s="20" t="n">
        <v>0</v>
      </c>
      <c r="G290" s="20" t="n">
        <v>0</v>
      </c>
      <c r="I290" s="20" t="n">
        <v>0</v>
      </c>
      <c r="K290" s="20" t="n">
        <v>0</v>
      </c>
      <c r="M290" s="20" t="n">
        <v>0</v>
      </c>
      <c r="Q290" s="20" t="n">
        <v>0</v>
      </c>
      <c r="R290" s="20" t="n">
        <v>0</v>
      </c>
      <c r="S290" s="20" t="n">
        <v>0</v>
      </c>
      <c r="T290" s="20" t="n">
        <v>0</v>
      </c>
      <c r="U290" s="20" t="n">
        <v>0</v>
      </c>
      <c r="V290" s="20" t="n">
        <v>0</v>
      </c>
      <c r="W290" s="20" t="n">
        <v>0</v>
      </c>
      <c r="X290" s="20" t="n">
        <v>0</v>
      </c>
    </row>
    <row r="291">
      <c r="A291" s="18" t="inlineStr">
        <is>
          <t>배당금 지급</t>
        </is>
      </c>
      <c r="C291" s="20" t="n">
        <v>-34499</v>
      </c>
      <c r="E291" s="20" t="n">
        <v>-20699</v>
      </c>
      <c r="G291" s="20" t="n">
        <v>-40632</v>
      </c>
      <c r="I291" s="20" t="n">
        <v>-21466</v>
      </c>
      <c r="K291" s="20" t="n">
        <v>-43316</v>
      </c>
      <c r="M291" s="20" t="n">
        <v>-25683</v>
      </c>
      <c r="O291" s="20" t="n">
        <v>-11904</v>
      </c>
      <c r="P291" s="20" t="n">
        <v>-11911</v>
      </c>
      <c r="Q291" s="20" t="n">
        <v>-15552</v>
      </c>
      <c r="R291" s="20" t="n">
        <v>-18531</v>
      </c>
      <c r="S291" s="20" t="n">
        <v>-23543</v>
      </c>
      <c r="T291" s="20" t="n">
        <v>-25224</v>
      </c>
      <c r="U291" s="20" t="n">
        <v>-30666</v>
      </c>
      <c r="V291" s="20" t="n">
        <v>-34499</v>
      </c>
      <c r="W291" s="20" t="n">
        <v>-40632</v>
      </c>
      <c r="X291" s="20" t="n">
        <v>-43316</v>
      </c>
    </row>
    <row r="292">
      <c r="A292" s="18" t="inlineStr">
        <is>
          <t>비지배주주 납입</t>
        </is>
      </c>
      <c r="C292" s="20" t="n">
        <v>3125</v>
      </c>
      <c r="E292" s="20" t="n">
        <v>0</v>
      </c>
      <c r="G292" s="20" t="n">
        <v>0</v>
      </c>
      <c r="I292" s="20" t="n">
        <v>1487</v>
      </c>
      <c r="K292" s="20" t="n">
        <v>1996</v>
      </c>
      <c r="M292" s="20" t="n">
        <v>10073</v>
      </c>
      <c r="O292" s="20" t="n">
        <v>0</v>
      </c>
      <c r="P292" s="20" t="n">
        <v>100</v>
      </c>
      <c r="Q292" s="20" t="n">
        <v>20</v>
      </c>
      <c r="R292" s="20" t="n">
        <v>0</v>
      </c>
      <c r="S292" s="20" t="n">
        <v>0</v>
      </c>
      <c r="T292" s="20" t="n">
        <v>100</v>
      </c>
      <c r="U292" s="20" t="n">
        <v>0</v>
      </c>
      <c r="V292" s="20" t="n">
        <v>3125</v>
      </c>
      <c r="W292" s="20" t="n">
        <v>0</v>
      </c>
      <c r="X292" s="20" t="n">
        <v>1996</v>
      </c>
    </row>
    <row r="293">
      <c r="A293" s="18" t="inlineStr">
        <is>
          <t>비지배주주 배당금 지급</t>
        </is>
      </c>
      <c r="C293" s="20" t="n">
        <v>0</v>
      </c>
      <c r="E293" s="20" t="n">
        <v>-120</v>
      </c>
      <c r="G293" s="20" t="n">
        <v>-335</v>
      </c>
      <c r="I293" s="20" t="n">
        <v>-1017</v>
      </c>
      <c r="K293" s="20" t="n">
        <v>-1128</v>
      </c>
      <c r="M293" s="20" t="n">
        <v>-834</v>
      </c>
      <c r="O293" s="20" t="n">
        <v>-117</v>
      </c>
      <c r="P293" s="20" t="n">
        <v>-130</v>
      </c>
      <c r="Q293" s="20" t="n">
        <v>-834</v>
      </c>
      <c r="R293" s="20" t="n">
        <v>-169</v>
      </c>
      <c r="S293" s="20" t="n">
        <v>-177</v>
      </c>
      <c r="T293" s="20" t="n">
        <v>-855</v>
      </c>
      <c r="U293" s="20" t="n">
        <v>-4</v>
      </c>
      <c r="V293" s="20" t="n">
        <v>0</v>
      </c>
      <c r="W293" s="20" t="n">
        <v>-335</v>
      </c>
      <c r="X293" s="20" t="n">
        <v>-1128</v>
      </c>
    </row>
    <row r="294">
      <c r="A294" s="18" t="inlineStr">
        <is>
          <t>기타</t>
        </is>
      </c>
      <c r="C294" s="20" t="n">
        <v>-484</v>
      </c>
      <c r="E294" s="20" t="n">
        <v>-265</v>
      </c>
      <c r="G294" s="20" t="n">
        <v>-532</v>
      </c>
      <c r="I294" s="20" t="n">
        <v>-1315</v>
      </c>
      <c r="K294" s="20" t="n">
        <v>-14459</v>
      </c>
      <c r="M294" s="20" t="n">
        <v>-325</v>
      </c>
      <c r="O294" s="20" t="n">
        <v>-14</v>
      </c>
      <c r="P294" s="20" t="n">
        <v>-938</v>
      </c>
      <c r="Q294" s="20" t="n">
        <v>-11</v>
      </c>
      <c r="R294" s="20" t="n">
        <v>-121</v>
      </c>
      <c r="S294" s="20" t="n">
        <v>-711</v>
      </c>
      <c r="T294" s="20" t="n">
        <v>-2216</v>
      </c>
      <c r="U294" s="20" t="n">
        <v>-635</v>
      </c>
      <c r="V294" s="20" t="n">
        <v>-484</v>
      </c>
      <c r="W294" s="20" t="n">
        <v>-532</v>
      </c>
      <c r="X294" s="20" t="n">
        <v>-14459</v>
      </c>
    </row>
    <row r="295">
      <c r="A295" s="9" t="inlineStr">
        <is>
          <t>재무활동 현금흐름</t>
        </is>
      </c>
      <c r="C295" s="12" t="n">
        <v>-28024</v>
      </c>
      <c r="E295" s="12" t="n">
        <v>240431</v>
      </c>
      <c r="G295" s="12" t="n">
        <v>300589</v>
      </c>
      <c r="I295" s="12" t="n">
        <v>208721</v>
      </c>
      <c r="K295" s="12" t="n">
        <v>272264</v>
      </c>
      <c r="M295" s="12" t="n">
        <v>69509</v>
      </c>
      <c r="O295" s="12" t="n">
        <v>-5715</v>
      </c>
      <c r="P295" s="12" t="n">
        <v>148483</v>
      </c>
      <c r="Q295" s="12" t="n">
        <v>131010</v>
      </c>
      <c r="R295" s="12" t="n">
        <v>141523</v>
      </c>
      <c r="S295" s="12" t="n">
        <v>187388</v>
      </c>
      <c r="T295" s="12" t="n">
        <v>106588</v>
      </c>
      <c r="U295" s="12" t="n">
        <v>11441</v>
      </c>
      <c r="V295" s="12" t="n">
        <v>-28024</v>
      </c>
      <c r="W295" s="12" t="n">
        <v>300589</v>
      </c>
      <c r="X295" s="12" t="n">
        <v>272264</v>
      </c>
    </row>
    <row r="296">
      <c r="A296" s="18" t="inlineStr">
        <is>
          <t>현금성자산 환산차이</t>
        </is>
      </c>
      <c r="C296" s="20" t="n">
        <v>0</v>
      </c>
      <c r="E296" s="20" t="n">
        <v>0</v>
      </c>
      <c r="G296" s="20" t="n">
        <v>-395</v>
      </c>
      <c r="I296" s="20" t="n">
        <v>-76</v>
      </c>
      <c r="K296" s="20" t="n">
        <v>123</v>
      </c>
      <c r="M296" s="20" t="n">
        <v>116</v>
      </c>
      <c r="V296" s="20" t="n">
        <v>0</v>
      </c>
      <c r="W296" s="20" t="n">
        <v>-395</v>
      </c>
      <c r="X296" s="20" t="n">
        <v>123</v>
      </c>
    </row>
    <row r="297">
      <c r="A297" s="18" t="inlineStr">
        <is>
          <t>현금성자산 증감</t>
        </is>
      </c>
      <c r="C297" s="20" t="n">
        <v>-55535</v>
      </c>
      <c r="E297" s="20" t="n">
        <v>27466</v>
      </c>
      <c r="G297" s="20" t="n">
        <v>51562</v>
      </c>
      <c r="I297" s="20" t="n">
        <v>35260</v>
      </c>
      <c r="K297" s="20" t="n">
        <v>-2872</v>
      </c>
      <c r="M297" s="20" t="n">
        <v>25212</v>
      </c>
      <c r="O297" s="20" t="n">
        <v>-8326</v>
      </c>
      <c r="P297" s="20" t="n">
        <v>5119</v>
      </c>
      <c r="Q297" s="20" t="n">
        <v>3856</v>
      </c>
      <c r="R297" s="20" t="n">
        <v>14369</v>
      </c>
      <c r="S297" s="20" t="n">
        <v>46555</v>
      </c>
      <c r="T297" s="20" t="n">
        <v>111381</v>
      </c>
      <c r="U297" s="20" t="n">
        <v>-67785</v>
      </c>
      <c r="V297" s="20" t="n">
        <v>-55535</v>
      </c>
      <c r="W297" s="20" t="n">
        <v>51562</v>
      </c>
      <c r="X297" s="20" t="n">
        <v>-2872</v>
      </c>
    </row>
    <row r="298">
      <c r="A298" s="18" t="inlineStr">
        <is>
          <t>Increase In Cash And Cash Equivalents Due To Share Exchange</t>
        </is>
      </c>
      <c r="Q298" s="20" t="n">
        <v>0</v>
      </c>
      <c r="R298" s="20" t="n">
        <v>2164</v>
      </c>
      <c r="S298" s="20" t="n">
        <v>0</v>
      </c>
    </row>
    <row r="299">
      <c r="A299" s="18" t="inlineStr">
        <is>
          <t>신규 연결 현금성자산 증가</t>
        </is>
      </c>
      <c r="G299" s="20" t="n">
        <v>0</v>
      </c>
      <c r="K299" s="20" t="n">
        <v>52</v>
      </c>
      <c r="O299" s="20" t="n">
        <v>0</v>
      </c>
      <c r="P299" s="20" t="n">
        <v>200</v>
      </c>
      <c r="Q299" s="20" t="n">
        <v>0</v>
      </c>
      <c r="W299" s="20" t="n">
        <v>0</v>
      </c>
      <c r="X299" s="20" t="n">
        <v>52</v>
      </c>
    </row>
    <row r="300">
      <c r="A300" s="18" t="inlineStr">
        <is>
          <t>연결 제외 현금성자산 감소</t>
        </is>
      </c>
      <c r="C300" s="20" t="n">
        <v>-1</v>
      </c>
      <c r="E300" s="20" t="n">
        <v>0</v>
      </c>
      <c r="G300" s="20" t="n">
        <v>0</v>
      </c>
      <c r="I300" s="20" t="n">
        <v>-1</v>
      </c>
      <c r="K300" s="20" t="n">
        <v>-851</v>
      </c>
      <c r="M300" s="20" t="n">
        <v>0</v>
      </c>
      <c r="R300" s="20" t="n">
        <v>0</v>
      </c>
      <c r="S300" s="20" t="n">
        <v>-231</v>
      </c>
      <c r="T300" s="20" t="n">
        <v>0</v>
      </c>
      <c r="U300" s="20" t="n">
        <v>0</v>
      </c>
      <c r="V300" s="20" t="n">
        <v>-1</v>
      </c>
      <c r="W300" s="20" t="n">
        <v>0</v>
      </c>
      <c r="X300" s="20" t="n">
        <v>-851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5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3003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2025.3Q</t>
        </is>
      </c>
      <c r="D3" s="5" t="inlineStr">
        <is>
          <t>2025.4Q</t>
        </is>
      </c>
      <c r="E3" s="5" t="inlineStr">
        <is>
          <t>2026.1Q</t>
        </is>
      </c>
      <c r="F3" s="5" t="inlineStr">
        <is>
          <t>2026.2Q</t>
        </is>
      </c>
      <c r="G3" s="5" t="inlineStr">
        <is>
          <t>2026.3Q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646225</v>
      </c>
      <c r="D5" s="12" t="n">
        <v>686528</v>
      </c>
      <c r="E5" s="12" t="n">
        <v>801691</v>
      </c>
      <c r="F5" s="12" t="n">
        <v>743139</v>
      </c>
      <c r="G5" s="12" t="n">
        <v>990626</v>
      </c>
      <c r="H5" s="11" t="n">
        <v>328931</v>
      </c>
      <c r="I5" s="12" t="n">
        <v>250901</v>
      </c>
      <c r="J5" s="12" t="n">
        <v>372973</v>
      </c>
      <c r="K5" s="12" t="n">
        <v>583864</v>
      </c>
      <c r="L5" s="12" t="n">
        <v>686528</v>
      </c>
    </row>
    <row r="6">
      <c r="A6" s="18" t="inlineStr">
        <is>
          <t>현금및현금성자산</t>
        </is>
      </c>
      <c r="B6" s="10" t="n"/>
      <c r="C6" s="19" t="n">
        <v>83892</v>
      </c>
      <c r="D6" s="20" t="n">
        <v>131083</v>
      </c>
      <c r="E6" s="20" t="n">
        <v>230691</v>
      </c>
      <c r="F6" s="20" t="n">
        <v>156197</v>
      </c>
      <c r="G6" s="20" t="n">
        <v>143037</v>
      </c>
      <c r="H6" s="19" t="n">
        <v>206206</v>
      </c>
      <c r="I6" s="20" t="n">
        <v>138400</v>
      </c>
      <c r="J6" s="20" t="n">
        <v>82878</v>
      </c>
      <c r="K6" s="20" t="n">
        <v>134462</v>
      </c>
      <c r="L6" s="20" t="n">
        <v>131083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/>
      <c r="D8" s="20" t="n"/>
      <c r="E8" s="20" t="n"/>
      <c r="F8" s="20" t="n"/>
      <c r="G8" s="20" t="n"/>
      <c r="H8" s="19" t="n"/>
      <c r="I8" s="20" t="n"/>
      <c r="J8" s="20" t="n"/>
      <c r="K8" s="20" t="n"/>
      <c r="L8" s="20" t="n"/>
    </row>
    <row r="9">
      <c r="A9" s="18" t="inlineStr">
        <is>
          <t>재고자산</t>
        </is>
      </c>
      <c r="B9" s="10" t="n"/>
      <c r="C9" s="19" t="n">
        <v>395711</v>
      </c>
      <c r="D9" s="20" t="n">
        <v>379220</v>
      </c>
      <c r="E9" s="20" t="n">
        <v>325127</v>
      </c>
      <c r="F9" s="20" t="n">
        <v>387666</v>
      </c>
      <c r="G9" s="20" t="n">
        <v>500862</v>
      </c>
      <c r="H9" s="19" t="n">
        <v>110118</v>
      </c>
      <c r="I9" s="20" t="n">
        <v>91162</v>
      </c>
      <c r="J9" s="20" t="n">
        <v>263486</v>
      </c>
      <c r="K9" s="20" t="n">
        <v>356355</v>
      </c>
      <c r="L9" s="20" t="n">
        <v>379220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2763595</v>
      </c>
      <c r="D11" s="12" t="n">
        <v>2817797</v>
      </c>
      <c r="E11" s="12" t="n">
        <v>2749322</v>
      </c>
      <c r="F11" s="12" t="n">
        <v>2847545</v>
      </c>
      <c r="G11" s="12" t="n">
        <v>2795762</v>
      </c>
      <c r="H11" s="11" t="n">
        <v>1876031</v>
      </c>
      <c r="I11" s="12" t="n">
        <v>2067114</v>
      </c>
      <c r="J11" s="12" t="n">
        <v>2105731</v>
      </c>
      <c r="K11" s="12" t="n">
        <v>2463680</v>
      </c>
      <c r="L11" s="12" t="n">
        <v>2817797</v>
      </c>
    </row>
    <row r="12">
      <c r="A12" s="18" t="inlineStr">
        <is>
          <t>유형자산</t>
        </is>
      </c>
      <c r="B12" s="10" t="n"/>
      <c r="C12" s="19" t="n">
        <v>1931958</v>
      </c>
      <c r="D12" s="20" t="n">
        <v>1927374</v>
      </c>
      <c r="E12" s="20" t="n">
        <v>1907198</v>
      </c>
      <c r="F12" s="20" t="n">
        <v>1946428</v>
      </c>
      <c r="G12" s="20" t="n">
        <v>1872626</v>
      </c>
      <c r="H12" s="19" t="n">
        <v>1527466</v>
      </c>
      <c r="I12" s="20" t="n">
        <v>1644449</v>
      </c>
      <c r="J12" s="20" t="n">
        <v>1617405</v>
      </c>
      <c r="K12" s="20" t="n">
        <v>1723825</v>
      </c>
      <c r="L12" s="20" t="n">
        <v>1927374</v>
      </c>
    </row>
    <row r="13">
      <c r="A13" s="18" t="inlineStr">
        <is>
          <t>무형자산</t>
        </is>
      </c>
      <c r="B13" s="10" t="n"/>
      <c r="C13" s="19" t="n">
        <v>233960</v>
      </c>
      <c r="D13" s="20" t="n">
        <v>258822</v>
      </c>
      <c r="E13" s="20" t="n">
        <v>249480</v>
      </c>
      <c r="F13" s="20" t="n">
        <v>267045</v>
      </c>
      <c r="G13" s="20" t="n">
        <v>324853</v>
      </c>
      <c r="H13" s="19" t="n">
        <v>84691</v>
      </c>
      <c r="I13" s="20" t="n">
        <v>88228</v>
      </c>
      <c r="J13" s="20" t="n">
        <v>77938</v>
      </c>
      <c r="K13" s="20" t="n">
        <v>216886</v>
      </c>
      <c r="L13" s="20" t="n">
        <v>258822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3411686</v>
      </c>
      <c r="D16" s="12" t="n">
        <v>3506068</v>
      </c>
      <c r="E16" s="12" t="n">
        <v>3552936</v>
      </c>
      <c r="F16" s="12" t="n">
        <v>3592508</v>
      </c>
      <c r="G16" s="12" t="n">
        <v>3788049</v>
      </c>
      <c r="H16" s="11" t="n">
        <v>2207325</v>
      </c>
      <c r="I16" s="12" t="n">
        <v>2320337</v>
      </c>
      <c r="J16" s="12" t="n">
        <v>2480472</v>
      </c>
      <c r="K16" s="12" t="n">
        <v>3048935</v>
      </c>
      <c r="L16" s="12" t="n">
        <v>3506068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516623</v>
      </c>
      <c r="D18" s="12" t="n">
        <v>490711</v>
      </c>
      <c r="E18" s="12" t="n">
        <v>471558</v>
      </c>
      <c r="F18" s="12" t="n">
        <v>410475</v>
      </c>
      <c r="G18" s="12" t="n">
        <v>480283</v>
      </c>
      <c r="H18" s="11" t="n">
        <v>107052</v>
      </c>
      <c r="I18" s="12" t="n">
        <v>245757</v>
      </c>
      <c r="J18" s="12" t="n">
        <v>185306</v>
      </c>
      <c r="K18" s="12" t="n">
        <v>462754</v>
      </c>
      <c r="L18" s="12" t="n">
        <v>490711</v>
      </c>
    </row>
    <row r="19">
      <c r="A19" s="18" t="inlineStr">
        <is>
          <t>매입채무</t>
        </is>
      </c>
      <c r="B19" s="10" t="n"/>
      <c r="C19" s="19" t="n"/>
      <c r="D19" s="20" t="n"/>
      <c r="E19" s="20" t="n"/>
      <c r="F19" s="20" t="n"/>
      <c r="G19" s="20" t="n"/>
      <c r="H19" s="19" t="n"/>
      <c r="I19" s="20" t="n"/>
      <c r="J19" s="20" t="n"/>
      <c r="K19" s="20" t="n"/>
      <c r="L19" s="20" t="n"/>
    </row>
    <row r="20">
      <c r="A20" s="18" t="inlineStr">
        <is>
          <t>단기차입금</t>
        </is>
      </c>
      <c r="B20" s="10" t="n"/>
      <c r="C20" s="19" t="n">
        <v>256831</v>
      </c>
      <c r="D20" s="20" t="n">
        <v>209304</v>
      </c>
      <c r="E20" s="20" t="n">
        <v>186473</v>
      </c>
      <c r="F20" s="20" t="n">
        <v>179250</v>
      </c>
      <c r="G20" s="20" t="n">
        <v>187373</v>
      </c>
      <c r="H20" s="19" t="n">
        <v>660</v>
      </c>
      <c r="I20" s="20" t="n">
        <v>660</v>
      </c>
      <c r="J20" s="20" t="n">
        <v>1774</v>
      </c>
      <c r="K20" s="20" t="n">
        <v>166957</v>
      </c>
      <c r="L20" s="20" t="n">
        <v>209304</v>
      </c>
    </row>
    <row r="21">
      <c r="A21" s="18" t="inlineStr">
        <is>
          <t>유동성장기부채</t>
        </is>
      </c>
      <c r="B21" s="10" t="n"/>
      <c r="C21" s="19" t="n">
        <v>60000</v>
      </c>
      <c r="D21" s="20" t="n">
        <v>266069</v>
      </c>
      <c r="E21" s="20" t="n">
        <v>60060</v>
      </c>
      <c r="F21" s="20" t="n">
        <v>30060</v>
      </c>
      <c r="G21" s="20" t="n">
        <v>33454</v>
      </c>
      <c r="H21" s="19" t="n">
        <v>71500</v>
      </c>
      <c r="I21" s="20" t="n">
        <v>211577</v>
      </c>
      <c r="J21" s="20" t="n">
        <v>133109</v>
      </c>
      <c r="K21" s="20" t="n">
        <v>192762</v>
      </c>
      <c r="L21" s="20" t="n">
        <v>266069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2022526</v>
      </c>
      <c r="D23" s="12" t="n">
        <v>2076176</v>
      </c>
      <c r="E23" s="12" t="n">
        <v>2139976</v>
      </c>
      <c r="F23" s="12" t="n">
        <v>2201686</v>
      </c>
      <c r="G23" s="12" t="n">
        <v>2322232</v>
      </c>
      <c r="H23" s="11" t="n">
        <v>1461940</v>
      </c>
      <c r="I23" s="12" t="n">
        <v>1387426</v>
      </c>
      <c r="J23" s="12" t="n">
        <v>1525865</v>
      </c>
      <c r="K23" s="12" t="n">
        <v>1729837</v>
      </c>
      <c r="L23" s="12" t="n">
        <v>2076176</v>
      </c>
    </row>
    <row r="24">
      <c r="A24" s="18" t="inlineStr">
        <is>
          <t>장기차입금</t>
        </is>
      </c>
      <c r="B24" s="10" t="n"/>
      <c r="C24" s="19" t="n">
        <v>1340154</v>
      </c>
      <c r="D24" s="20" t="n">
        <v>1398092</v>
      </c>
      <c r="E24" s="20" t="n">
        <v>1395859</v>
      </c>
      <c r="F24" s="20" t="n">
        <v>1485986</v>
      </c>
      <c r="G24" s="20" t="n">
        <v>1593936</v>
      </c>
      <c r="H24" s="19" t="n">
        <v>977326</v>
      </c>
      <c r="I24" s="20" t="n">
        <v>857748</v>
      </c>
      <c r="J24" s="20" t="n">
        <v>929145</v>
      </c>
      <c r="K24" s="20" t="n">
        <v>1037369</v>
      </c>
      <c r="L24" s="20" t="n">
        <v>1398092</v>
      </c>
    </row>
    <row r="25">
      <c r="A25" s="18" t="inlineStr">
        <is>
          <t>사채</t>
        </is>
      </c>
      <c r="B25" s="10" t="n"/>
      <c r="C25" s="19" t="n">
        <v>424010</v>
      </c>
      <c r="D25" s="20" t="n">
        <v>424070</v>
      </c>
      <c r="E25" s="20" t="n">
        <v>509050</v>
      </c>
      <c r="F25" s="20" t="n">
        <v>479194</v>
      </c>
      <c r="G25" s="20" t="n">
        <v>475770</v>
      </c>
      <c r="H25" s="19" t="n">
        <v>345000</v>
      </c>
      <c r="I25" s="20" t="n">
        <v>371000</v>
      </c>
      <c r="J25" s="20" t="n">
        <v>381000</v>
      </c>
      <c r="K25" s="20" t="n">
        <v>444000</v>
      </c>
      <c r="L25" s="20" t="n">
        <v>424070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2539149</v>
      </c>
      <c r="D27" s="12" t="n">
        <v>2566887</v>
      </c>
      <c r="E27" s="12" t="n">
        <v>2611534</v>
      </c>
      <c r="F27" s="12" t="n">
        <v>2612162</v>
      </c>
      <c r="G27" s="12" t="n">
        <v>2802515</v>
      </c>
      <c r="H27" s="11" t="n">
        <v>1568993</v>
      </c>
      <c r="I27" s="12" t="n">
        <v>1633183</v>
      </c>
      <c r="J27" s="12" t="n">
        <v>1711172</v>
      </c>
      <c r="K27" s="12" t="n">
        <v>2192591</v>
      </c>
      <c r="L27" s="12" t="n">
        <v>2566887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851779</v>
      </c>
      <c r="D31" s="12" t="n">
        <v>913280</v>
      </c>
      <c r="E31" s="12" t="n">
        <v>908489</v>
      </c>
      <c r="F31" s="12" t="n">
        <v>947432</v>
      </c>
      <c r="G31" s="12" t="n">
        <v>950819</v>
      </c>
      <c r="H31" s="11" t="n">
        <v>637799</v>
      </c>
      <c r="I31" s="12" t="n">
        <v>686729</v>
      </c>
      <c r="J31" s="12" t="n">
        <v>765657</v>
      </c>
      <c r="K31" s="12" t="n">
        <v>832991</v>
      </c>
      <c r="L31" s="12" t="n">
        <v>913280</v>
      </c>
    </row>
    <row r="32">
      <c r="A32" s="18" t="inlineStr">
        <is>
          <t>자본금</t>
        </is>
      </c>
      <c r="B32" s="10" t="n"/>
      <c r="C32" s="19" t="n">
        <v>111609</v>
      </c>
      <c r="D32" s="20" t="n">
        <v>111609</v>
      </c>
      <c r="E32" s="20" t="n">
        <v>111609</v>
      </c>
      <c r="F32" s="20" t="n">
        <v>111609</v>
      </c>
      <c r="G32" s="20" t="n">
        <v>111609</v>
      </c>
      <c r="H32" s="19" t="n">
        <v>111609</v>
      </c>
      <c r="I32" s="20" t="n">
        <v>111609</v>
      </c>
      <c r="J32" s="20" t="n">
        <v>111609</v>
      </c>
      <c r="K32" s="20" t="n">
        <v>111609</v>
      </c>
      <c r="L32" s="20" t="n">
        <v>111609</v>
      </c>
    </row>
    <row r="33">
      <c r="A33" s="18" t="inlineStr">
        <is>
          <t>이익잉여금</t>
        </is>
      </c>
      <c r="B33" s="10" t="n"/>
      <c r="C33" s="19" t="n">
        <v>540230</v>
      </c>
      <c r="D33" s="20" t="n">
        <v>593937</v>
      </c>
      <c r="E33" s="20" t="n">
        <v>586395</v>
      </c>
      <c r="F33" s="20" t="n">
        <v>618233</v>
      </c>
      <c r="G33" s="20" t="n">
        <v>612042</v>
      </c>
      <c r="H33" s="19" t="n">
        <v>352351</v>
      </c>
      <c r="I33" s="20" t="n">
        <v>401090</v>
      </c>
      <c r="J33" s="20" t="n">
        <v>461214</v>
      </c>
      <c r="K33" s="20" t="n">
        <v>522922</v>
      </c>
      <c r="L33" s="20" t="n">
        <v>593937</v>
      </c>
    </row>
    <row r="34">
      <c r="A34" s="18" t="inlineStr">
        <is>
          <t>비지배지분</t>
        </is>
      </c>
      <c r="B34" s="10" t="n"/>
      <c r="C34" s="19" t="n">
        <v>20682</v>
      </c>
      <c r="D34" s="20" t="n">
        <v>25825</v>
      </c>
      <c r="E34" s="20" t="n">
        <v>32837</v>
      </c>
      <c r="F34" s="20" t="n">
        <v>32839</v>
      </c>
      <c r="G34" s="20" t="n">
        <v>34640</v>
      </c>
      <c r="H34" s="19" t="n">
        <v>533</v>
      </c>
      <c r="I34" s="20" t="n">
        <v>424</v>
      </c>
      <c r="J34" s="20" t="n">
        <v>3643</v>
      </c>
      <c r="K34" s="20" t="n">
        <v>23278</v>
      </c>
      <c r="L34" s="20" t="n">
        <v>25825</v>
      </c>
    </row>
    <row r="35">
      <c r="A35" s="9" t="inlineStr">
        <is>
          <t>자본총계</t>
        </is>
      </c>
      <c r="B35" s="10" t="n"/>
      <c r="C35" s="11" t="n">
        <v>872536</v>
      </c>
      <c r="D35" s="12" t="n">
        <v>939180</v>
      </c>
      <c r="E35" s="12" t="n">
        <v>941401</v>
      </c>
      <c r="F35" s="12" t="n">
        <v>980346</v>
      </c>
      <c r="G35" s="12" t="n">
        <v>985534</v>
      </c>
      <c r="H35" s="11" t="n">
        <v>638332</v>
      </c>
      <c r="I35" s="12" t="n">
        <v>687153</v>
      </c>
      <c r="J35" s="12" t="n">
        <v>769300</v>
      </c>
      <c r="K35" s="12" t="n">
        <v>856344</v>
      </c>
      <c r="L35" s="12" t="n">
        <v>939180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269239</v>
      </c>
      <c r="E37" s="12" t="n"/>
      <c r="F37" s="12" t="n">
        <v>377796</v>
      </c>
      <c r="G37" s="12" t="n"/>
      <c r="H37" s="11" t="n">
        <v>291736</v>
      </c>
      <c r="I37" s="12" t="n">
        <v>266108</v>
      </c>
      <c r="J37" s="12" t="n">
        <v>270819</v>
      </c>
      <c r="K37" s="12" t="n">
        <v>353388</v>
      </c>
      <c r="L37" s="12" t="n">
        <v>269239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446064</v>
      </c>
      <c r="E38" s="20" t="n"/>
      <c r="F38" s="20" t="n">
        <v>409009</v>
      </c>
      <c r="G38" s="20" t="n"/>
      <c r="H38" s="19" t="n">
        <v>213679</v>
      </c>
      <c r="I38" s="20" t="n">
        <v>293233</v>
      </c>
      <c r="J38" s="20" t="n">
        <v>264634</v>
      </c>
      <c r="K38" s="20" t="n">
        <v>374767</v>
      </c>
      <c r="L38" s="20" t="n">
        <v>446064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43316</v>
      </c>
      <c r="E40" s="20" t="n"/>
      <c r="F40" s="20" t="n">
        <v>47533</v>
      </c>
      <c r="G40" s="20" t="n"/>
      <c r="H40" s="19" t="n">
        <v>25224</v>
      </c>
      <c r="I40" s="20" t="n">
        <v>30666</v>
      </c>
      <c r="J40" s="20" t="n">
        <v>34499</v>
      </c>
      <c r="K40" s="20" t="n">
        <v>40632</v>
      </c>
      <c r="L40" s="20" t="n">
        <v>43316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IFERROR(IF((IF(COUNT('연간'!G58:J58)&lt;4,"",SUM('연간'!G58:J58)))&lt;=0,"적자",C28/(IF(COUNT('연간'!G58:J58)&lt;4,"",SUM('연간'!G58:J58)))),"")</f>
        <v/>
      </c>
      <c r="D49" s="47">
        <f>IFERROR(IF((IF(COUNT('연간'!H58:K58)&lt;4,"",SUM('연간'!H58:K58)))&lt;=0,"적자",D28/(IF(COUNT('연간'!H58:K58)&lt;4,"",SUM('연간'!H58:K58)))),"")</f>
        <v/>
      </c>
      <c r="E49" s="47">
        <f>IFERROR(IF((IF(COUNT('연간'!I58:L58)&lt;4,"",SUM('연간'!I58:L58)))&lt;=0,"적자",E28/(IF(COUNT('연간'!I58:L58)&lt;4,"",SUM('연간'!I58:L58)))),"")</f>
        <v/>
      </c>
      <c r="F49" s="47">
        <f>IFERROR(IF((IF(COUNT('연간'!J58:M58)&lt;4,"",SUM('연간'!J58:M58)))&lt;=0,"적자",F28/(IF(COUNT('연간'!J58:M58)&lt;4,"",SUM('연간'!J58:M58)))),"")</f>
        <v/>
      </c>
      <c r="G49" s="47">
        <f>IFERROR(IF((IF(COUNT('연간'!K58:N58)&lt;4,"",SUM('연간'!K58:N58)))&lt;=0,"적자",G28/(IF(COUNT('연간'!K58:N58)&lt;4,"",SUM('연간'!K58:N58)))),"")</f>
        <v/>
      </c>
      <c r="H49" s="46">
        <f>IFERROR(IF(('연간'!T58)&lt;=0,"적자",H28/('연간'!T58)),"")</f>
        <v/>
      </c>
      <c r="I49" s="47">
        <f>IFERROR(IF(('연간'!U58)&lt;=0,"적자",I28/('연간'!U58)),"")</f>
        <v/>
      </c>
      <c r="J49" s="47">
        <f>IFERROR(IF(('연간'!V58)&lt;=0,"적자",J28/('연간'!V58)),"")</f>
        <v/>
      </c>
      <c r="K49" s="47">
        <f>IFERROR(IF(('연간'!W58)&lt;=0,"적자",K28/('연간'!W58)),"")</f>
        <v/>
      </c>
      <c r="L49" s="47">
        <f>IFERROR(IF(('연간'!X58)&lt;=0,"적자",L28/('연간'!X58)),"")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IFERROR((IF(COUNT('연간'!G58:J58)&lt;4,"",SUM('연간'!G58:J58)))/C31,"")</f>
        <v/>
      </c>
      <c r="D51" s="36">
        <f>IFERROR((IF(COUNT('연간'!H58:K58)&lt;4,"",SUM('연간'!H58:K58)))/D31,"")</f>
        <v/>
      </c>
      <c r="E51" s="36">
        <f>IFERROR((IF(COUNT('연간'!I58:L58)&lt;4,"",SUM('연간'!I58:L58)))/E31,"")</f>
        <v/>
      </c>
      <c r="F51" s="36">
        <f>IFERROR((IF(COUNT('연간'!J58:M58)&lt;4,"",SUM('연간'!J58:M58)))/F31,"")</f>
        <v/>
      </c>
      <c r="G51" s="36">
        <f>IFERROR((IF(COUNT('연간'!K58:N58)&lt;4,"",SUM('연간'!K58:N58)))/G31,"")</f>
        <v/>
      </c>
      <c r="H51" s="35">
        <f>IFERROR(('연간'!T58)/H31,"")</f>
        <v/>
      </c>
      <c r="I51" s="36">
        <f>IFERROR(('연간'!U58)/I31,"")</f>
        <v/>
      </c>
      <c r="J51" s="36">
        <f>IFERROR(('연간'!V58)/J31,"")</f>
        <v/>
      </c>
      <c r="K51" s="36">
        <f>IFERROR(('연간'!W58)/K31,"")</f>
        <v/>
      </c>
      <c r="L51" s="36">
        <f>IFERROR(('연간'!X58)/L31,"")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IFERROR((IF(COUNT('연간'!G56:J56)&lt;4,"",SUM('연간'!G56:J56)))/C16,"")</f>
        <v/>
      </c>
      <c r="D52" s="36">
        <f>IFERROR((IF(COUNT('연간'!H56:K56)&lt;4,"",SUM('연간'!H56:K56)))/D16,"")</f>
        <v/>
      </c>
      <c r="E52" s="36">
        <f>IFERROR((IF(COUNT('연간'!I56:L56)&lt;4,"",SUM('연간'!I56:L56)))/E16,"")</f>
        <v/>
      </c>
      <c r="F52" s="36">
        <f>IFERROR((IF(COUNT('연간'!J56:M56)&lt;4,"",SUM('연간'!J56:M56)))/F16,"")</f>
        <v/>
      </c>
      <c r="G52" s="36">
        <f>IFERROR((IF(COUNT('연간'!K56:N56)&lt;4,"",SUM('연간'!K56:N56)))/G16,"")</f>
        <v/>
      </c>
      <c r="H52" s="35">
        <f>IFERROR(('연간'!T56)/H16,"")</f>
        <v/>
      </c>
      <c r="I52" s="36">
        <f>IFERROR(('연간'!U56)/I16,"")</f>
        <v/>
      </c>
      <c r="J52" s="36">
        <f>IFERROR(('연간'!V56)/J16,"")</f>
        <v/>
      </c>
      <c r="K52" s="36">
        <f>IFERROR(('연간'!W56)/K16,"")</f>
        <v/>
      </c>
      <c r="L52" s="36">
        <f>IFERROR(('연간'!X56)/L16,"")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IFERROR((IF(COUNT('연간'!G22:J22)&lt;4,"",SUM('연간'!G22:J22)))/(IF(COUNT('연간'!G4:J4)&lt;4,"",SUM('연간'!G4:J4))),"")</f>
        <v/>
      </c>
      <c r="D54" s="36">
        <f>IFERROR((IF(COUNT('연간'!H22:K22)&lt;4,"",SUM('연간'!H22:K22)))/(IF(COUNT('연간'!H4:K4)&lt;4,"",SUM('연간'!H4:K4))),"")</f>
        <v/>
      </c>
      <c r="E54" s="36">
        <f>IFERROR((IF(COUNT('연간'!I22:L22)&lt;4,"",SUM('연간'!I22:L22)))/(IF(COUNT('연간'!I4:L4)&lt;4,"",SUM('연간'!I4:L4))),"")</f>
        <v/>
      </c>
      <c r="F54" s="36">
        <f>IFERROR((IF(COUNT('연간'!J22:M22)&lt;4,"",SUM('연간'!J22:M22)))/(IF(COUNT('연간'!J4:M4)&lt;4,"",SUM('연간'!J4:M4))),"")</f>
        <v/>
      </c>
      <c r="G54" s="36">
        <f>IFERROR((IF(COUNT('연간'!K22:N22)&lt;4,"",SUM('연간'!K22:N22)))/(IF(COUNT('연간'!K4:N4)&lt;4,"",SUM('연간'!K4:N4))),"")</f>
        <v/>
      </c>
      <c r="H54" s="35">
        <f>IFERROR(('연간'!T22)/('연간'!T4),"")</f>
        <v/>
      </c>
      <c r="I54" s="36">
        <f>IFERROR(('연간'!U22)/('연간'!U4),"")</f>
        <v/>
      </c>
      <c r="J54" s="36">
        <f>IFERROR(('연간'!V22)/('연간'!V4),"")</f>
        <v/>
      </c>
      <c r="K54" s="36">
        <f>IFERROR(('연간'!W22)/('연간'!W4),"")</f>
        <v/>
      </c>
      <c r="L54" s="36">
        <f>IFERROR(('연간'!X22)/('연간'!X4),"")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IFERROR((IF(COUNT('연간'!G56:J56)&lt;4,"",SUM('연간'!G56:J56)))/(IF(COUNT('연간'!G4:J4)&lt;4,"",SUM('연간'!G4:J4))),"")</f>
        <v/>
      </c>
      <c r="D56" s="36">
        <f>IFERROR((IF(COUNT('연간'!H56:K56)&lt;4,"",SUM('연간'!H56:K56)))/(IF(COUNT('연간'!H4:K4)&lt;4,"",SUM('연간'!H4:K4))),"")</f>
        <v/>
      </c>
      <c r="E56" s="36">
        <f>IFERROR((IF(COUNT('연간'!I56:L56)&lt;4,"",SUM('연간'!I56:L56)))/(IF(COUNT('연간'!I4:L4)&lt;4,"",SUM('연간'!I4:L4))),"")</f>
        <v/>
      </c>
      <c r="F56" s="36">
        <f>IFERROR((IF(COUNT('연간'!J56:M56)&lt;4,"",SUM('연간'!J56:M56)))/(IF(COUNT('연간'!J4:M4)&lt;4,"",SUM('연간'!J4:M4))),"")</f>
        <v/>
      </c>
      <c r="G56" s="36">
        <f>IFERROR((IF(COUNT('연간'!K56:N56)&lt;4,"",SUM('연간'!K56:N56)))/(IF(COUNT('연간'!K4:N4)&lt;4,"",SUM('연간'!K4:N4))),"")</f>
        <v/>
      </c>
      <c r="H56" s="35">
        <f>IFERROR(('연간'!T56)/('연간'!T4),"")</f>
        <v/>
      </c>
      <c r="I56" s="36">
        <f>IFERROR(('연간'!U56)/('연간'!U4),"")</f>
        <v/>
      </c>
      <c r="J56" s="36">
        <f>IFERROR(('연간'!V56)/('연간'!V4),"")</f>
        <v/>
      </c>
      <c r="K56" s="36">
        <f>IFERROR(('연간'!W56)/('연간'!W4),"")</f>
        <v/>
      </c>
      <c r="L56" s="36">
        <f>IFERROR(('연간'!X56)/('연간'!X4),"")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IF(C37="","",IFERROR(C37/(IF(COUNT('연간'!G56:J56)&lt;4,"",SUM('연간'!G56:J56))),""))</f>
        <v/>
      </c>
      <c r="D64" s="31">
        <f>IF(D37="","",IFERROR(D37/(IF(COUNT('연간'!H56:K56)&lt;4,"",SUM('연간'!H56:K56))),""))</f>
        <v/>
      </c>
      <c r="E64" s="31">
        <f>IF(E37="","",IFERROR(E37/(IF(COUNT('연간'!I56:L56)&lt;4,"",SUM('연간'!I56:L56))),""))</f>
        <v/>
      </c>
      <c r="F64" s="31">
        <f>IF(F37="","",IFERROR(F37/(IF(COUNT('연간'!J56:M56)&lt;4,"",SUM('연간'!J56:M56))),""))</f>
        <v/>
      </c>
      <c r="G64" s="31">
        <f>IF(G37="","",IFERROR(G37/(IF(COUNT('연간'!K56:N56)&lt;4,"",SUM('연간'!K56:N56))),""))</f>
        <v/>
      </c>
      <c r="H64" s="30">
        <f>IF(H37="","",IFERROR(H37/('연간'!T56),""))</f>
        <v/>
      </c>
      <c r="I64" s="31">
        <f>IF(I37="","",IFERROR(I37/('연간'!U56),""))</f>
        <v/>
      </c>
      <c r="J64" s="31">
        <f>IF(J37="","",IFERROR(J37/('연간'!V56),""))</f>
        <v/>
      </c>
      <c r="K64" s="31">
        <f>IF(K37="","",IFERROR(K37/('연간'!W56),""))</f>
        <v/>
      </c>
      <c r="L64" s="31">
        <f>IF(L37="","",IFERROR(L37/('연간'!X56),""))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IF(C40="","",IFERROR(C40/(IF(COUNT('연간'!G58:J58)&lt;4,"",SUM('연간'!G58:J58))),""))</f>
        <v/>
      </c>
      <c r="D67" s="36">
        <f>IF(D40="","",IFERROR(D40/(IF(COUNT('연간'!H58:K58)&lt;4,"",SUM('연간'!H58:K58))),""))</f>
        <v/>
      </c>
      <c r="E67" s="36">
        <f>IF(E40="","",IFERROR(E40/(IF(COUNT('연간'!I58:L58)&lt;4,"",SUM('연간'!I58:L58))),""))</f>
        <v/>
      </c>
      <c r="F67" s="36">
        <f>IF(F40="","",IFERROR(F40/(IF(COUNT('연간'!J58:M58)&lt;4,"",SUM('연간'!J58:M58))),""))</f>
        <v/>
      </c>
      <c r="G67" s="36">
        <f>IF(G40="","",IFERROR(G40/(IF(COUNT('연간'!K58:N58)&lt;4,"",SUM('연간'!K58:N58))),""))</f>
        <v/>
      </c>
      <c r="H67" s="35">
        <f>IF(H40="","",IFERROR(H40/('연간'!T58),""))</f>
        <v/>
      </c>
      <c r="I67" s="36">
        <f>IF(I40="","",IFERROR(I40/('연간'!U58),""))</f>
        <v/>
      </c>
      <c r="J67" s="36">
        <f>IF(J40="","",IFERROR(J40/('연간'!V58),""))</f>
        <v/>
      </c>
      <c r="K67" s="36">
        <f>IF(K40="","",IFERROR(K40/('연간'!W58),""))</f>
        <v/>
      </c>
      <c r="L67" s="36">
        <f>IF(L40="","",IFERROR(L40/('연간'!X58),""))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2025.3Q</t>
        </is>
      </c>
      <c r="D70" s="5" t="inlineStr">
        <is>
          <t>2025.4Q</t>
        </is>
      </c>
      <c r="E70" s="5" t="inlineStr">
        <is>
          <t>2026.1Q</t>
        </is>
      </c>
      <c r="F70" s="5" t="inlineStr">
        <is>
          <t>2026.2Q</t>
        </is>
      </c>
      <c r="G70" s="5" t="inlineStr">
        <is>
          <t>2026.3Q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18" t="inlineStr">
        <is>
          <t>현금 및 예금</t>
        </is>
      </c>
      <c r="C71" s="20" t="n">
        <v>83892</v>
      </c>
      <c r="D71" s="20" t="n">
        <v>131083</v>
      </c>
      <c r="E71" s="20" t="n">
        <v>230691</v>
      </c>
      <c r="F71" s="20" t="n">
        <v>156197</v>
      </c>
      <c r="G71" s="20" t="n">
        <v>143037</v>
      </c>
      <c r="H71" s="20" t="n">
        <v>206206</v>
      </c>
      <c r="I71" s="20" t="n">
        <v>138400</v>
      </c>
      <c r="J71" s="20" t="n">
        <v>82878</v>
      </c>
      <c r="K71" s="20" t="n">
        <v>134462</v>
      </c>
      <c r="L71" s="20" t="n">
        <v>131083</v>
      </c>
    </row>
    <row r="72">
      <c r="A72" s="18" t="inlineStr">
        <is>
          <t>Notes And Operating Accounts Receivable CA</t>
        </is>
      </c>
      <c r="H72" s="20" t="n">
        <v>4876</v>
      </c>
      <c r="I72" s="20" t="n">
        <v>0</v>
      </c>
    </row>
    <row r="73">
      <c r="A73" s="18" t="inlineStr">
        <is>
          <t>Trade Accounts Receivable And Contract Assets CA</t>
        </is>
      </c>
      <c r="D73" s="20" t="n">
        <v>22057</v>
      </c>
      <c r="H73" s="20" t="n">
        <v>0</v>
      </c>
      <c r="I73" s="20" t="n">
        <v>7097</v>
      </c>
      <c r="J73" s="20" t="n">
        <v>8992</v>
      </c>
      <c r="K73" s="20" t="n">
        <v>14194</v>
      </c>
      <c r="L73" s="20" t="n">
        <v>22057</v>
      </c>
    </row>
    <row r="74">
      <c r="A74" s="18" t="inlineStr">
        <is>
          <t>받을어음</t>
        </is>
      </c>
      <c r="D74" s="20" t="n">
        <v>687</v>
      </c>
      <c r="K74" s="20" t="n">
        <v>0</v>
      </c>
      <c r="L74" s="20" t="n">
        <v>687</v>
      </c>
    </row>
    <row r="75">
      <c r="A75" s="18" t="inlineStr">
        <is>
          <t>Trade Notes And Accounts Receivable And Contract Assets CA</t>
        </is>
      </c>
      <c r="C75" s="20" t="n">
        <v>19251</v>
      </c>
      <c r="D75" s="20" t="n">
        <v>22745</v>
      </c>
      <c r="E75" s="20" t="n">
        <v>24971</v>
      </c>
      <c r="F75" s="20" t="n">
        <v>25081</v>
      </c>
      <c r="G75" s="20" t="n">
        <v>24803</v>
      </c>
      <c r="I75" s="20" t="n">
        <v>7097</v>
      </c>
      <c r="J75" s="20" t="n">
        <v>8992</v>
      </c>
      <c r="K75" s="20" t="n">
        <v>14194</v>
      </c>
      <c r="L75" s="20" t="n">
        <v>22745</v>
      </c>
    </row>
    <row r="76">
      <c r="A76" s="18" t="inlineStr">
        <is>
          <t>상품</t>
        </is>
      </c>
      <c r="H76" s="20" t="n">
        <v>20</v>
      </c>
      <c r="I76" s="20" t="n">
        <v>21</v>
      </c>
      <c r="J76" s="20" t="n">
        <v>24</v>
      </c>
      <c r="K76" s="20" t="n">
        <v>225</v>
      </c>
    </row>
    <row r="77">
      <c r="A77" s="18" t="inlineStr">
        <is>
          <t>영업투자유가증권</t>
        </is>
      </c>
      <c r="D77" s="20" t="n">
        <v>78280</v>
      </c>
      <c r="E77" s="20" t="n">
        <v>149408</v>
      </c>
      <c r="F77" s="20" t="n">
        <v>109556</v>
      </c>
      <c r="G77" s="20" t="n">
        <v>247937</v>
      </c>
      <c r="H77" s="20" t="n">
        <v>0</v>
      </c>
      <c r="K77" s="20" t="n">
        <v>9740</v>
      </c>
      <c r="L77" s="20" t="n">
        <v>78280</v>
      </c>
    </row>
    <row r="78">
      <c r="A78" s="18" t="inlineStr">
        <is>
          <t>상품·제품</t>
        </is>
      </c>
      <c r="C78" s="20" t="n">
        <v>2465</v>
      </c>
      <c r="D78" s="20" t="n">
        <v>3489</v>
      </c>
      <c r="E78" s="20" t="n">
        <v>3524</v>
      </c>
      <c r="F78" s="20" t="n">
        <v>3295</v>
      </c>
      <c r="G78" s="20" t="n">
        <v>3741</v>
      </c>
      <c r="K78" s="20" t="n">
        <v>225</v>
      </c>
      <c r="L78" s="20" t="n">
        <v>3489</v>
      </c>
    </row>
    <row r="79">
      <c r="A79" s="18" t="inlineStr">
        <is>
          <t>재공품</t>
        </is>
      </c>
      <c r="C79" s="20" t="n">
        <v>705</v>
      </c>
      <c r="D79" s="20" t="n">
        <v>453</v>
      </c>
      <c r="E79" s="20" t="n">
        <v>466</v>
      </c>
      <c r="F79" s="20" t="n">
        <v>409</v>
      </c>
      <c r="G79" s="20" t="n">
        <v>497</v>
      </c>
      <c r="K79" s="20" t="n">
        <v>0</v>
      </c>
      <c r="L79" s="20" t="n">
        <v>453</v>
      </c>
    </row>
    <row r="80">
      <c r="A80" s="18" t="inlineStr">
        <is>
          <t>판매용 부동산</t>
        </is>
      </c>
      <c r="C80" s="20" t="n">
        <v>391599</v>
      </c>
      <c r="D80" s="20" t="n">
        <v>374322</v>
      </c>
      <c r="E80" s="20" t="n">
        <v>320016</v>
      </c>
      <c r="F80" s="20" t="n">
        <v>382954</v>
      </c>
      <c r="G80" s="20" t="n">
        <v>495573</v>
      </c>
      <c r="H80" s="20" t="n">
        <v>109777</v>
      </c>
      <c r="I80" s="20" t="n">
        <v>90770</v>
      </c>
      <c r="J80" s="20" t="n">
        <v>263089</v>
      </c>
      <c r="K80" s="20" t="n">
        <v>354961</v>
      </c>
      <c r="L80" s="20" t="n">
        <v>374322</v>
      </c>
    </row>
    <row r="81">
      <c r="A81" s="18" t="inlineStr">
        <is>
          <t>개발 중 판매용 부동산</t>
        </is>
      </c>
      <c r="C81" s="20" t="n">
        <v>58533</v>
      </c>
      <c r="D81" s="20" t="n">
        <v>46683</v>
      </c>
      <c r="E81" s="20" t="n">
        <v>50723</v>
      </c>
      <c r="F81" s="20" t="n">
        <v>45951</v>
      </c>
      <c r="G81" s="20" t="n">
        <v>51011</v>
      </c>
      <c r="H81" s="20" t="n">
        <v>0</v>
      </c>
      <c r="I81" s="20" t="n">
        <v>4355</v>
      </c>
      <c r="J81" s="20" t="n">
        <v>2871</v>
      </c>
      <c r="K81" s="20" t="n">
        <v>49425</v>
      </c>
      <c r="L81" s="20" t="n">
        <v>46683</v>
      </c>
    </row>
    <row r="82">
      <c r="A82" s="18" t="inlineStr">
        <is>
          <t>미성공사 지출금</t>
        </is>
      </c>
      <c r="C82" s="20" t="n">
        <v>6</v>
      </c>
      <c r="D82" s="20" t="n">
        <v>47</v>
      </c>
      <c r="E82" s="20" t="n">
        <v>6</v>
      </c>
      <c r="F82" s="20" t="n">
        <v>0</v>
      </c>
      <c r="G82" s="20" t="n">
        <v>28</v>
      </c>
      <c r="H82" s="20" t="n">
        <v>581</v>
      </c>
      <c r="I82" s="20" t="n">
        <v>21</v>
      </c>
      <c r="J82" s="20" t="n">
        <v>39</v>
      </c>
      <c r="K82" s="20" t="n">
        <v>26</v>
      </c>
      <c r="L82" s="20" t="n">
        <v>47</v>
      </c>
    </row>
    <row r="83">
      <c r="A83" s="18" t="inlineStr">
        <is>
          <t>저장품</t>
        </is>
      </c>
      <c r="H83" s="20" t="n">
        <v>321</v>
      </c>
      <c r="I83" s="20" t="n">
        <v>371</v>
      </c>
      <c r="J83" s="20" t="n">
        <v>373</v>
      </c>
      <c r="K83" s="20" t="n">
        <v>472</v>
      </c>
    </row>
    <row r="84">
      <c r="A84" s="18" t="inlineStr">
        <is>
          <t>원재료·저장품</t>
        </is>
      </c>
      <c r="C84" s="20" t="n">
        <v>942</v>
      </c>
      <c r="D84" s="20" t="n">
        <v>956</v>
      </c>
      <c r="E84" s="20" t="n">
        <v>1121</v>
      </c>
      <c r="F84" s="20" t="n">
        <v>1008</v>
      </c>
      <c r="G84" s="20" t="n">
        <v>1051</v>
      </c>
      <c r="K84" s="20" t="n">
        <v>472</v>
      </c>
      <c r="L84" s="20" t="n">
        <v>956</v>
      </c>
    </row>
    <row r="85">
      <c r="A85" s="18" t="inlineStr">
        <is>
          <t>기타</t>
        </is>
      </c>
      <c r="C85" s="20" t="n">
        <v>88853</v>
      </c>
      <c r="D85" s="20" t="n">
        <v>28515</v>
      </c>
      <c r="E85" s="20" t="n">
        <v>20814</v>
      </c>
      <c r="F85" s="20" t="n">
        <v>18749</v>
      </c>
      <c r="G85" s="20" t="n">
        <v>23017</v>
      </c>
      <c r="H85" s="20" t="n">
        <v>7381</v>
      </c>
      <c r="I85" s="20" t="n">
        <v>9870</v>
      </c>
      <c r="J85" s="20" t="n">
        <v>14707</v>
      </c>
      <c r="K85" s="20" t="n">
        <v>20374</v>
      </c>
      <c r="L85" s="20" t="n">
        <v>28515</v>
      </c>
    </row>
    <row r="86">
      <c r="A86" s="18" t="inlineStr">
        <is>
          <t>대손충당금</t>
        </is>
      </c>
      <c r="C86" s="20" t="n">
        <v>-26</v>
      </c>
      <c r="D86" s="20" t="n">
        <v>-50</v>
      </c>
      <c r="E86" s="20" t="n">
        <v>-53</v>
      </c>
      <c r="F86" s="20" t="n">
        <v>-65</v>
      </c>
      <c r="G86" s="20" t="n">
        <v>-72</v>
      </c>
      <c r="H86" s="20" t="n">
        <v>-232</v>
      </c>
      <c r="I86" s="20" t="n">
        <v>-7</v>
      </c>
      <c r="J86" s="20" t="n">
        <v>-4</v>
      </c>
      <c r="K86" s="20" t="n">
        <v>-19</v>
      </c>
      <c r="L86" s="20" t="n">
        <v>-50</v>
      </c>
    </row>
    <row r="87">
      <c r="A87" s="9" t="inlineStr">
        <is>
          <t>유동자산 합계</t>
        </is>
      </c>
      <c r="C87" s="12" t="n">
        <v>646225</v>
      </c>
      <c r="D87" s="12" t="n">
        <v>686528</v>
      </c>
      <c r="E87" s="12" t="n">
        <v>801691</v>
      </c>
      <c r="F87" s="12" t="n">
        <v>743139</v>
      </c>
      <c r="G87" s="12" t="n">
        <v>990626</v>
      </c>
      <c r="H87" s="12" t="n">
        <v>328931</v>
      </c>
      <c r="I87" s="12" t="n">
        <v>250901</v>
      </c>
      <c r="J87" s="12" t="n">
        <v>372973</v>
      </c>
      <c r="K87" s="12" t="n">
        <v>583864</v>
      </c>
      <c r="L87" s="12" t="n">
        <v>686528</v>
      </c>
    </row>
    <row r="88">
      <c r="A88" s="18" t="inlineStr">
        <is>
          <t>건물·구축물</t>
        </is>
      </c>
      <c r="D88" s="20" t="n">
        <v>359230</v>
      </c>
      <c r="H88" s="20" t="n">
        <v>304136</v>
      </c>
      <c r="I88" s="20" t="n">
        <v>303251</v>
      </c>
      <c r="J88" s="20" t="n">
        <v>305967</v>
      </c>
      <c r="K88" s="20" t="n">
        <v>317407</v>
      </c>
      <c r="L88" s="20" t="n">
        <v>359230</v>
      </c>
    </row>
    <row r="89">
      <c r="A89" s="18" t="inlineStr">
        <is>
          <t>감가상각누계액</t>
        </is>
      </c>
      <c r="D89" s="20" t="n">
        <v>-81910</v>
      </c>
      <c r="H89" s="20" t="n">
        <v>-70460</v>
      </c>
      <c r="I89" s="20" t="n">
        <v>-69776</v>
      </c>
      <c r="J89" s="20" t="n">
        <v>-70638</v>
      </c>
      <c r="K89" s="20" t="n">
        <v>-73917</v>
      </c>
      <c r="L89" s="20" t="n">
        <v>-81910</v>
      </c>
    </row>
    <row r="90">
      <c r="A90" s="18" t="inlineStr">
        <is>
          <t>건물·구축물(순액)</t>
        </is>
      </c>
      <c r="C90" s="20" t="n">
        <v>284570</v>
      </c>
      <c r="D90" s="20" t="n">
        <v>277319</v>
      </c>
      <c r="E90" s="20" t="n">
        <v>273793</v>
      </c>
      <c r="F90" s="20" t="n">
        <v>281737</v>
      </c>
      <c r="G90" s="20" t="n">
        <v>276211</v>
      </c>
      <c r="H90" s="20" t="n">
        <v>233675</v>
      </c>
      <c r="I90" s="20" t="n">
        <v>233474</v>
      </c>
      <c r="J90" s="20" t="n">
        <v>235329</v>
      </c>
      <c r="K90" s="20" t="n">
        <v>243489</v>
      </c>
      <c r="L90" s="20" t="n">
        <v>277319</v>
      </c>
    </row>
    <row r="91">
      <c r="A91" s="18" t="inlineStr">
        <is>
          <t>기계장치·운반구</t>
        </is>
      </c>
      <c r="D91" s="20" t="n">
        <v>28173</v>
      </c>
      <c r="H91" s="20" t="n">
        <v>7668</v>
      </c>
      <c r="I91" s="20" t="n">
        <v>11373</v>
      </c>
      <c r="J91" s="20" t="n">
        <v>14894</v>
      </c>
      <c r="K91" s="20" t="n">
        <v>21936</v>
      </c>
      <c r="L91" s="20" t="n">
        <v>28173</v>
      </c>
    </row>
    <row r="92">
      <c r="A92" s="18" t="inlineStr">
        <is>
          <t>감가상각누계액</t>
        </is>
      </c>
      <c r="D92" s="20" t="n">
        <v>-7241</v>
      </c>
      <c r="H92" s="20" t="n">
        <v>-2043</v>
      </c>
      <c r="I92" s="20" t="n">
        <v>-2483</v>
      </c>
      <c r="J92" s="20" t="n">
        <v>-2902</v>
      </c>
      <c r="K92" s="20" t="n">
        <v>-4088</v>
      </c>
      <c r="L92" s="20" t="n">
        <v>-7241</v>
      </c>
    </row>
    <row r="93">
      <c r="A93" s="18" t="inlineStr">
        <is>
          <t>기계장치·운반구(순액)</t>
        </is>
      </c>
      <c r="C93" s="20" t="n">
        <v>20646</v>
      </c>
      <c r="D93" s="20" t="n">
        <v>20931</v>
      </c>
      <c r="E93" s="20" t="n">
        <v>20446</v>
      </c>
      <c r="F93" s="20" t="n">
        <v>25433</v>
      </c>
      <c r="G93" s="20" t="n">
        <v>29211</v>
      </c>
      <c r="H93" s="20" t="n">
        <v>5624</v>
      </c>
      <c r="I93" s="20" t="n">
        <v>8890</v>
      </c>
      <c r="J93" s="20" t="n">
        <v>11991</v>
      </c>
      <c r="K93" s="20" t="n">
        <v>17848</v>
      </c>
      <c r="L93" s="20" t="n">
        <v>20931</v>
      </c>
    </row>
    <row r="94">
      <c r="A94" s="18" t="inlineStr">
        <is>
          <t>토지</t>
        </is>
      </c>
      <c r="C94" s="20" t="n">
        <v>1563207</v>
      </c>
      <c r="D94" s="20" t="n">
        <v>1546139</v>
      </c>
      <c r="E94" s="20" t="n">
        <v>1525834</v>
      </c>
      <c r="F94" s="20" t="n">
        <v>1530261</v>
      </c>
      <c r="G94" s="20" t="n">
        <v>1462585</v>
      </c>
      <c r="H94" s="20" t="n">
        <v>1266859</v>
      </c>
      <c r="I94" s="20" t="n">
        <v>1374904</v>
      </c>
      <c r="J94" s="20" t="n">
        <v>1316801</v>
      </c>
      <c r="K94" s="20" t="n">
        <v>1405359</v>
      </c>
      <c r="L94" s="20" t="n">
        <v>1546139</v>
      </c>
    </row>
    <row r="95">
      <c r="A95" s="18" t="inlineStr">
        <is>
          <t>건설중인자산</t>
        </is>
      </c>
      <c r="C95" s="20" t="n">
        <v>51888</v>
      </c>
      <c r="D95" s="20" t="n">
        <v>71494</v>
      </c>
      <c r="E95" s="20" t="n">
        <v>75637</v>
      </c>
      <c r="F95" s="20" t="n">
        <v>96744</v>
      </c>
      <c r="G95" s="20" t="n">
        <v>91280</v>
      </c>
      <c r="H95" s="20" t="n">
        <v>9630</v>
      </c>
      <c r="I95" s="20" t="n">
        <v>16207</v>
      </c>
      <c r="J95" s="20" t="n">
        <v>42755</v>
      </c>
      <c r="K95" s="20" t="n">
        <v>45782</v>
      </c>
      <c r="L95" s="20" t="n">
        <v>71494</v>
      </c>
    </row>
    <row r="96">
      <c r="A96" s="18" t="inlineStr">
        <is>
          <t>기타</t>
        </is>
      </c>
      <c r="D96" s="20" t="n">
        <v>22109</v>
      </c>
      <c r="H96" s="20" t="n">
        <v>15200</v>
      </c>
      <c r="I96" s="20" t="n">
        <v>15669</v>
      </c>
      <c r="J96" s="20" t="n">
        <v>16228</v>
      </c>
      <c r="K96" s="20" t="n">
        <v>20672</v>
      </c>
      <c r="L96" s="20" t="n">
        <v>22109</v>
      </c>
    </row>
    <row r="97">
      <c r="A97" s="18" t="inlineStr">
        <is>
          <t>감가상각누계액</t>
        </is>
      </c>
      <c r="D97" s="20" t="n">
        <v>-10620</v>
      </c>
      <c r="H97" s="20" t="n">
        <v>-3524</v>
      </c>
      <c r="I97" s="20" t="n">
        <v>-4696</v>
      </c>
      <c r="J97" s="20" t="n">
        <v>-5701</v>
      </c>
      <c r="K97" s="20" t="n">
        <v>-9327</v>
      </c>
      <c r="L97" s="20" t="n">
        <v>-10620</v>
      </c>
    </row>
    <row r="98">
      <c r="A98" s="18" t="inlineStr">
        <is>
          <t>기타(순액)</t>
        </is>
      </c>
      <c r="C98" s="20" t="n">
        <v>11644</v>
      </c>
      <c r="D98" s="20" t="n">
        <v>11489</v>
      </c>
      <c r="E98" s="20" t="n">
        <v>11488</v>
      </c>
      <c r="F98" s="20" t="n">
        <v>12251</v>
      </c>
      <c r="G98" s="20" t="n">
        <v>13336</v>
      </c>
      <c r="H98" s="20" t="n">
        <v>11676</v>
      </c>
      <c r="I98" s="20" t="n">
        <v>10972</v>
      </c>
      <c r="J98" s="20" t="n">
        <v>10527</v>
      </c>
      <c r="K98" s="20" t="n">
        <v>11344</v>
      </c>
      <c r="L98" s="20" t="n">
        <v>11489</v>
      </c>
    </row>
    <row r="99">
      <c r="A99" s="18" t="inlineStr">
        <is>
          <t>유형자산 합계</t>
        </is>
      </c>
      <c r="C99" s="20" t="n">
        <v>1931958</v>
      </c>
      <c r="D99" s="20" t="n">
        <v>1927374</v>
      </c>
      <c r="E99" s="20" t="n">
        <v>1907198</v>
      </c>
      <c r="F99" s="20" t="n">
        <v>1946428</v>
      </c>
      <c r="G99" s="20" t="n">
        <v>1872626</v>
      </c>
      <c r="H99" s="20" t="n">
        <v>1527466</v>
      </c>
      <c r="I99" s="20" t="n">
        <v>1644449</v>
      </c>
      <c r="J99" s="20" t="n">
        <v>1617405</v>
      </c>
      <c r="K99" s="20" t="n">
        <v>1723825</v>
      </c>
      <c r="L99" s="20" t="n">
        <v>1927374</v>
      </c>
    </row>
    <row r="100">
      <c r="A100" s="18" t="inlineStr">
        <is>
          <t>영업권</t>
        </is>
      </c>
      <c r="C100" s="20" t="n">
        <v>113061</v>
      </c>
      <c r="D100" s="20" t="n">
        <v>126209</v>
      </c>
      <c r="E100" s="20" t="n">
        <v>117227</v>
      </c>
      <c r="F100" s="20" t="n">
        <v>131060</v>
      </c>
      <c r="G100" s="20" t="n">
        <v>169489</v>
      </c>
      <c r="H100" s="20" t="n">
        <v>3711</v>
      </c>
      <c r="I100" s="20" t="n">
        <v>4795</v>
      </c>
      <c r="J100" s="20" t="n">
        <v>4164</v>
      </c>
      <c r="K100" s="20" t="n">
        <v>117160</v>
      </c>
      <c r="L100" s="20" t="n">
        <v>126209</v>
      </c>
    </row>
    <row r="101">
      <c r="A101" s="18" t="inlineStr">
        <is>
          <t>차지권</t>
        </is>
      </c>
      <c r="C101" s="20" t="n">
        <v>91250</v>
      </c>
      <c r="D101" s="20" t="n">
        <v>91250</v>
      </c>
      <c r="E101" s="20" t="n">
        <v>91434</v>
      </c>
      <c r="F101" s="20" t="n">
        <v>91676</v>
      </c>
      <c r="G101" s="20" t="n">
        <v>91789</v>
      </c>
      <c r="H101" s="20" t="n">
        <v>79420</v>
      </c>
      <c r="I101" s="20" t="n">
        <v>81233</v>
      </c>
      <c r="J101" s="20" t="n">
        <v>70695</v>
      </c>
      <c r="K101" s="20" t="n">
        <v>70843</v>
      </c>
      <c r="L101" s="20" t="n">
        <v>91250</v>
      </c>
    </row>
    <row r="102">
      <c r="A102" s="18" t="inlineStr">
        <is>
          <t>기타</t>
        </is>
      </c>
      <c r="C102" s="20" t="n">
        <v>29648</v>
      </c>
      <c r="D102" s="20" t="n">
        <v>41362</v>
      </c>
      <c r="E102" s="20" t="n">
        <v>40817</v>
      </c>
      <c r="F102" s="20" t="n">
        <v>44308</v>
      </c>
      <c r="G102" s="20" t="n">
        <v>63574</v>
      </c>
      <c r="H102" s="20" t="n">
        <v>1559</v>
      </c>
      <c r="I102" s="20" t="n">
        <v>2199</v>
      </c>
      <c r="J102" s="20" t="n">
        <v>3079</v>
      </c>
      <c r="K102" s="20" t="n">
        <v>28881</v>
      </c>
      <c r="L102" s="20" t="n">
        <v>41362</v>
      </c>
    </row>
    <row r="103">
      <c r="A103" s="18" t="inlineStr">
        <is>
          <t>무형자산 합계</t>
        </is>
      </c>
      <c r="C103" s="20" t="n">
        <v>233960</v>
      </c>
      <c r="D103" s="20" t="n">
        <v>258822</v>
      </c>
      <c r="E103" s="20" t="n">
        <v>249480</v>
      </c>
      <c r="F103" s="20" t="n">
        <v>267045</v>
      </c>
      <c r="G103" s="20" t="n">
        <v>324853</v>
      </c>
      <c r="H103" s="20" t="n">
        <v>84691</v>
      </c>
      <c r="I103" s="20" t="n">
        <v>88228</v>
      </c>
      <c r="J103" s="20" t="n">
        <v>77938</v>
      </c>
      <c r="K103" s="20" t="n">
        <v>216886</v>
      </c>
      <c r="L103" s="20" t="n">
        <v>258822</v>
      </c>
    </row>
    <row r="104">
      <c r="A104" s="18" t="inlineStr">
        <is>
          <t>투자유가증권</t>
        </is>
      </c>
      <c r="C104" s="20" t="n">
        <v>474371</v>
      </c>
      <c r="D104" s="20" t="n">
        <v>499499</v>
      </c>
      <c r="E104" s="20" t="n">
        <v>457779</v>
      </c>
      <c r="F104" s="20" t="n">
        <v>495637</v>
      </c>
      <c r="G104" s="20" t="n">
        <v>449168</v>
      </c>
      <c r="H104" s="20" t="n">
        <v>225547</v>
      </c>
      <c r="I104" s="20" t="n">
        <v>284706</v>
      </c>
      <c r="J104" s="20" t="n">
        <v>328463</v>
      </c>
      <c r="K104" s="20" t="n">
        <v>420487</v>
      </c>
      <c r="L104" s="20" t="n">
        <v>499499</v>
      </c>
    </row>
    <row r="105">
      <c r="A105" s="18" t="inlineStr">
        <is>
          <t>보증금</t>
        </is>
      </c>
      <c r="C105" s="20" t="n">
        <v>56272</v>
      </c>
      <c r="D105" s="20" t="n">
        <v>56411</v>
      </c>
      <c r="E105" s="20" t="n">
        <v>49105</v>
      </c>
      <c r="F105" s="20" t="n">
        <v>51224</v>
      </c>
      <c r="G105" s="20" t="n">
        <v>52243</v>
      </c>
      <c r="H105" s="20" t="n">
        <v>28894</v>
      </c>
      <c r="I105" s="20" t="n">
        <v>37545</v>
      </c>
      <c r="J105" s="20" t="n">
        <v>47384</v>
      </c>
      <c r="K105" s="20" t="n">
        <v>53986</v>
      </c>
      <c r="L105" s="20" t="n">
        <v>56411</v>
      </c>
    </row>
    <row r="106">
      <c r="A106" s="18" t="inlineStr">
        <is>
          <t>이연법인세자산</t>
        </is>
      </c>
      <c r="C106" s="20" t="n">
        <v>4083</v>
      </c>
      <c r="D106" s="20" t="n">
        <v>4116</v>
      </c>
      <c r="E106" s="20" t="n">
        <v>3906</v>
      </c>
      <c r="F106" s="20" t="n">
        <v>4245</v>
      </c>
      <c r="G106" s="20" t="n">
        <v>4401</v>
      </c>
      <c r="H106" s="20" t="n">
        <v>951</v>
      </c>
      <c r="I106" s="20" t="n">
        <v>856</v>
      </c>
      <c r="J106" s="20" t="n">
        <v>947</v>
      </c>
      <c r="K106" s="20" t="n">
        <v>3867</v>
      </c>
      <c r="L106" s="20" t="n">
        <v>4116</v>
      </c>
    </row>
    <row r="107">
      <c r="A107" s="18" t="inlineStr">
        <is>
          <t>퇴직급여자산</t>
        </is>
      </c>
      <c r="C107" s="20" t="n">
        <v>215</v>
      </c>
      <c r="D107" s="20" t="n">
        <v>295</v>
      </c>
      <c r="E107" s="20" t="n">
        <v>302</v>
      </c>
      <c r="F107" s="20" t="n">
        <v>309</v>
      </c>
      <c r="G107" s="20" t="n">
        <v>316</v>
      </c>
      <c r="H107" s="20" t="n">
        <v>326</v>
      </c>
      <c r="I107" s="20" t="n">
        <v>493</v>
      </c>
      <c r="J107" s="20" t="n">
        <v>752</v>
      </c>
      <c r="K107" s="20" t="n">
        <v>197</v>
      </c>
      <c r="L107" s="20" t="n">
        <v>295</v>
      </c>
    </row>
    <row r="108">
      <c r="A108" s="18" t="inlineStr">
        <is>
          <t>기타</t>
        </is>
      </c>
      <c r="C108" s="20" t="n">
        <v>62735</v>
      </c>
      <c r="D108" s="20" t="n">
        <v>71284</v>
      </c>
      <c r="E108" s="20" t="n">
        <v>81556</v>
      </c>
      <c r="F108" s="20" t="n">
        <v>82665</v>
      </c>
      <c r="G108" s="20" t="n">
        <v>92165</v>
      </c>
      <c r="H108" s="20" t="n">
        <v>8168</v>
      </c>
      <c r="I108" s="20" t="n">
        <v>10865</v>
      </c>
      <c r="J108" s="20" t="n">
        <v>32838</v>
      </c>
      <c r="K108" s="20" t="n">
        <v>44436</v>
      </c>
      <c r="L108" s="20" t="n">
        <v>71284</v>
      </c>
    </row>
    <row r="109">
      <c r="A109" s="18" t="inlineStr">
        <is>
          <t>대손충당금</t>
        </is>
      </c>
      <c r="C109" s="20" t="n">
        <v>-1</v>
      </c>
      <c r="D109" s="20" t="n">
        <v>-7</v>
      </c>
      <c r="E109" s="20" t="n">
        <v>-6</v>
      </c>
      <c r="F109" s="20" t="n">
        <v>-10</v>
      </c>
      <c r="G109" s="20" t="n">
        <v>-11</v>
      </c>
      <c r="H109" s="20" t="n">
        <v>-14</v>
      </c>
      <c r="I109" s="20" t="n">
        <v>-31</v>
      </c>
      <c r="J109" s="20" t="n">
        <v>-0</v>
      </c>
      <c r="K109" s="20" t="n">
        <v>-7</v>
      </c>
      <c r="L109" s="20" t="n">
        <v>-7</v>
      </c>
    </row>
    <row r="110">
      <c r="A110" s="18" t="inlineStr">
        <is>
          <t>투자 및 기타자산 합계</t>
        </is>
      </c>
      <c r="C110" s="20" t="n">
        <v>597676</v>
      </c>
      <c r="D110" s="20" t="n">
        <v>631600</v>
      </c>
      <c r="E110" s="20" t="n">
        <v>592643</v>
      </c>
      <c r="F110" s="20" t="n">
        <v>634071</v>
      </c>
      <c r="G110" s="20" t="n">
        <v>598283</v>
      </c>
      <c r="H110" s="20" t="n">
        <v>263873</v>
      </c>
      <c r="I110" s="20" t="n">
        <v>334436</v>
      </c>
      <c r="J110" s="20" t="n">
        <v>410387</v>
      </c>
      <c r="K110" s="20" t="n">
        <v>522967</v>
      </c>
      <c r="L110" s="20" t="n">
        <v>631600</v>
      </c>
    </row>
    <row r="111">
      <c r="A111" s="9" t="inlineStr">
        <is>
          <t>비유동자산 합계</t>
        </is>
      </c>
      <c r="C111" s="12" t="n">
        <v>2763595</v>
      </c>
      <c r="D111" s="12" t="n">
        <v>2817797</v>
      </c>
      <c r="E111" s="12" t="n">
        <v>2749322</v>
      </c>
      <c r="F111" s="12" t="n">
        <v>2847545</v>
      </c>
      <c r="G111" s="12" t="n">
        <v>2795762</v>
      </c>
      <c r="H111" s="12" t="n">
        <v>1876031</v>
      </c>
      <c r="I111" s="12" t="n">
        <v>2067114</v>
      </c>
      <c r="J111" s="12" t="n">
        <v>2105731</v>
      </c>
      <c r="K111" s="12" t="n">
        <v>2463680</v>
      </c>
      <c r="L111" s="12" t="n">
        <v>2817797</v>
      </c>
    </row>
    <row r="112">
      <c r="A112" s="18" t="inlineStr">
        <is>
          <t>개업비</t>
        </is>
      </c>
      <c r="D112" s="20" t="n">
        <v>46</v>
      </c>
      <c r="H112" s="20" t="n">
        <v>30</v>
      </c>
      <c r="I112" s="20" t="n">
        <v>22</v>
      </c>
      <c r="J112" s="20" t="n">
        <v>15</v>
      </c>
      <c r="K112" s="20" t="n">
        <v>6</v>
      </c>
      <c r="L112" s="20" t="n">
        <v>46</v>
      </c>
    </row>
    <row r="113">
      <c r="A113" s="18" t="inlineStr">
        <is>
          <t>Deferred Organization Expenses DA</t>
        </is>
      </c>
      <c r="D113" s="20" t="n">
        <v>1</v>
      </c>
      <c r="K113" s="20" t="n">
        <v>0</v>
      </c>
      <c r="L113" s="20" t="n">
        <v>1</v>
      </c>
    </row>
    <row r="114">
      <c r="A114" s="18" t="inlineStr">
        <is>
          <t>주식교부비</t>
        </is>
      </c>
      <c r="D114" s="20" t="n">
        <v>45</v>
      </c>
      <c r="H114" s="20" t="n">
        <v>626</v>
      </c>
      <c r="I114" s="20" t="n">
        <v>404</v>
      </c>
      <c r="J114" s="20" t="n">
        <v>210</v>
      </c>
      <c r="K114" s="20" t="n">
        <v>15</v>
      </c>
      <c r="L114" s="20" t="n">
        <v>45</v>
      </c>
    </row>
    <row r="115">
      <c r="A115" s="18" t="inlineStr">
        <is>
          <t>사채발행비</t>
        </is>
      </c>
      <c r="D115" s="20" t="n">
        <v>1649</v>
      </c>
      <c r="H115" s="20" t="n">
        <v>1705</v>
      </c>
      <c r="I115" s="20" t="n">
        <v>1895</v>
      </c>
      <c r="J115" s="20" t="n">
        <v>1542</v>
      </c>
      <c r="K115" s="20" t="n">
        <v>1369</v>
      </c>
      <c r="L115" s="20" t="n">
        <v>1649</v>
      </c>
    </row>
    <row r="116">
      <c r="A116" s="18" t="inlineStr">
        <is>
          <t>이연자산 합계</t>
        </is>
      </c>
      <c r="C116" s="20" t="n">
        <v>1864</v>
      </c>
      <c r="D116" s="20" t="n">
        <v>1741</v>
      </c>
      <c r="E116" s="20" t="n">
        <v>1922</v>
      </c>
      <c r="F116" s="20" t="n">
        <v>1824</v>
      </c>
      <c r="G116" s="20" t="n">
        <v>1660</v>
      </c>
      <c r="H116" s="20" t="n">
        <v>2362</v>
      </c>
      <c r="I116" s="20" t="n">
        <v>2321</v>
      </c>
      <c r="J116" s="20" t="n">
        <v>1768</v>
      </c>
      <c r="K116" s="20" t="n">
        <v>1391</v>
      </c>
      <c r="L116" s="20" t="n">
        <v>1741</v>
      </c>
    </row>
    <row r="117">
      <c r="A117" s="9" t="inlineStr">
        <is>
          <t>자산 합계</t>
        </is>
      </c>
      <c r="C117" s="12" t="n">
        <v>3411686</v>
      </c>
      <c r="D117" s="12" t="n">
        <v>3506068</v>
      </c>
      <c r="E117" s="12" t="n">
        <v>3552936</v>
      </c>
      <c r="F117" s="12" t="n">
        <v>3592508</v>
      </c>
      <c r="G117" s="12" t="n">
        <v>3788049</v>
      </c>
      <c r="H117" s="12" t="n">
        <v>2207325</v>
      </c>
      <c r="I117" s="12" t="n">
        <v>2320337</v>
      </c>
      <c r="J117" s="12" t="n">
        <v>2480472</v>
      </c>
      <c r="K117" s="12" t="n">
        <v>3048935</v>
      </c>
      <c r="L117" s="12" t="n">
        <v>3506068</v>
      </c>
    </row>
    <row r="118">
      <c r="A118" s="18" t="inlineStr">
        <is>
          <t>단기차입금</t>
        </is>
      </c>
      <c r="C118" s="20" t="n">
        <v>256831</v>
      </c>
      <c r="D118" s="20" t="n">
        <v>209304</v>
      </c>
      <c r="E118" s="20" t="n">
        <v>186473</v>
      </c>
      <c r="F118" s="20" t="n">
        <v>179250</v>
      </c>
      <c r="G118" s="20" t="n">
        <v>187373</v>
      </c>
      <c r="H118" s="20" t="n">
        <v>660</v>
      </c>
      <c r="I118" s="20" t="n">
        <v>660</v>
      </c>
      <c r="J118" s="20" t="n">
        <v>1774</v>
      </c>
      <c r="K118" s="20" t="n">
        <v>166957</v>
      </c>
      <c r="L118" s="20" t="n">
        <v>209304</v>
      </c>
    </row>
    <row r="119">
      <c r="A119" s="18" t="inlineStr">
        <is>
          <t>1년 내 상환 장기차입금</t>
        </is>
      </c>
      <c r="D119" s="20" t="n">
        <v>206009</v>
      </c>
      <c r="H119" s="20" t="n">
        <v>71500</v>
      </c>
      <c r="I119" s="20" t="n">
        <v>161577</v>
      </c>
      <c r="J119" s="20" t="n">
        <v>103109</v>
      </c>
      <c r="K119" s="20" t="n">
        <v>192762</v>
      </c>
      <c r="L119" s="20" t="n">
        <v>206009</v>
      </c>
    </row>
    <row r="120">
      <c r="A120" s="18" t="inlineStr">
        <is>
          <t>Short Term Bonds Payable</t>
        </is>
      </c>
      <c r="C120" s="20" t="n">
        <v>129763</v>
      </c>
      <c r="D120" s="20" t="n">
        <v>119726</v>
      </c>
      <c r="E120" s="20" t="n">
        <v>139683</v>
      </c>
      <c r="F120" s="20" t="n">
        <v>100817</v>
      </c>
      <c r="G120" s="20" t="n">
        <v>180592</v>
      </c>
      <c r="I120" s="20" t="n">
        <v>0</v>
      </c>
      <c r="J120" s="20" t="n">
        <v>0</v>
      </c>
      <c r="K120" s="20" t="n">
        <v>29909</v>
      </c>
      <c r="L120" s="20" t="n">
        <v>119726</v>
      </c>
    </row>
    <row r="121">
      <c r="A121" s="18" t="inlineStr">
        <is>
          <t>1년 내 상환 사채</t>
        </is>
      </c>
      <c r="C121" s="20" t="n">
        <v>60000</v>
      </c>
      <c r="D121" s="20" t="n">
        <v>60060</v>
      </c>
      <c r="E121" s="20" t="n">
        <v>60060</v>
      </c>
      <c r="F121" s="20" t="n">
        <v>30060</v>
      </c>
      <c r="G121" s="20" t="n">
        <v>33454</v>
      </c>
      <c r="H121" s="20" t="n">
        <v>0</v>
      </c>
      <c r="I121" s="20" t="n">
        <v>50000</v>
      </c>
      <c r="J121" s="20" t="n">
        <v>30000</v>
      </c>
      <c r="K121" s="20" t="n">
        <v>0</v>
      </c>
      <c r="L121" s="20" t="n">
        <v>60060</v>
      </c>
    </row>
    <row r="122">
      <c r="A122" s="18" t="inlineStr">
        <is>
          <t>미지급비용</t>
        </is>
      </c>
      <c r="C122" s="20" t="n">
        <v>8952</v>
      </c>
      <c r="D122" s="20" t="n">
        <v>8193</v>
      </c>
      <c r="E122" s="20" t="n">
        <v>11332</v>
      </c>
      <c r="F122" s="20" t="n">
        <v>10648</v>
      </c>
      <c r="G122" s="20" t="n">
        <v>12034</v>
      </c>
      <c r="H122" s="20" t="n">
        <v>3704</v>
      </c>
      <c r="I122" s="20" t="n">
        <v>3843</v>
      </c>
      <c r="J122" s="20" t="n">
        <v>4523</v>
      </c>
      <c r="K122" s="20" t="n">
        <v>5867</v>
      </c>
      <c r="L122" s="20" t="n">
        <v>8193</v>
      </c>
    </row>
    <row r="123">
      <c r="A123" s="18" t="inlineStr">
        <is>
          <t>미지급법인세</t>
        </is>
      </c>
      <c r="C123" s="20" t="n">
        <v>13841</v>
      </c>
      <c r="D123" s="20" t="n">
        <v>32518</v>
      </c>
      <c r="E123" s="20" t="n">
        <v>17262</v>
      </c>
      <c r="F123" s="20" t="n">
        <v>28621</v>
      </c>
      <c r="G123" s="20" t="n">
        <v>15512</v>
      </c>
      <c r="H123" s="20" t="n">
        <v>10773</v>
      </c>
      <c r="I123" s="20" t="n">
        <v>11531</v>
      </c>
      <c r="J123" s="20" t="n">
        <v>18760</v>
      </c>
      <c r="K123" s="20" t="n">
        <v>27725</v>
      </c>
      <c r="L123" s="20" t="n">
        <v>32518</v>
      </c>
    </row>
    <row r="124">
      <c r="A124" s="18" t="inlineStr">
        <is>
          <t>선수금</t>
        </is>
      </c>
      <c r="C124" s="20" t="n">
        <v>11560</v>
      </c>
      <c r="D124" s="20" t="n">
        <v>12509</v>
      </c>
      <c r="E124" s="20" t="n">
        <v>11348</v>
      </c>
      <c r="F124" s="20" t="n">
        <v>11514</v>
      </c>
      <c r="G124" s="20" t="n">
        <v>12869</v>
      </c>
      <c r="H124" s="20" t="n">
        <v>6720</v>
      </c>
      <c r="I124" s="20" t="n">
        <v>6543</v>
      </c>
      <c r="J124" s="20" t="n">
        <v>6510</v>
      </c>
      <c r="K124" s="20" t="n">
        <v>10464</v>
      </c>
      <c r="L124" s="20" t="n">
        <v>12509</v>
      </c>
    </row>
    <row r="125">
      <c r="A125" s="18" t="inlineStr">
        <is>
          <t>상여충당금</t>
        </is>
      </c>
      <c r="C125" s="20" t="n">
        <v>2053</v>
      </c>
      <c r="D125" s="20" t="n">
        <v>1690</v>
      </c>
      <c r="E125" s="20" t="n">
        <v>1921</v>
      </c>
      <c r="F125" s="20" t="n">
        <v>1830</v>
      </c>
      <c r="G125" s="20" t="n">
        <v>2518</v>
      </c>
      <c r="H125" s="20" t="n">
        <v>352</v>
      </c>
      <c r="I125" s="20" t="n">
        <v>377</v>
      </c>
      <c r="J125" s="20" t="n">
        <v>532</v>
      </c>
      <c r="K125" s="20" t="n">
        <v>962</v>
      </c>
      <c r="L125" s="20" t="n">
        <v>1690</v>
      </c>
    </row>
    <row r="126">
      <c r="A126" s="18" t="inlineStr">
        <is>
          <t>임원 상여충당금</t>
        </is>
      </c>
      <c r="C126" s="20" t="n">
        <v>295</v>
      </c>
      <c r="D126" s="20" t="n">
        <v>537</v>
      </c>
      <c r="E126" s="20" t="n">
        <v>156</v>
      </c>
      <c r="F126" s="20" t="n">
        <v>239</v>
      </c>
      <c r="G126" s="20" t="n">
        <v>402</v>
      </c>
      <c r="H126" s="20" t="n">
        <v>351</v>
      </c>
      <c r="I126" s="20" t="n">
        <v>340</v>
      </c>
      <c r="J126" s="20" t="n">
        <v>382</v>
      </c>
      <c r="K126" s="20" t="n">
        <v>382</v>
      </c>
      <c r="L126" s="20" t="n">
        <v>537</v>
      </c>
    </row>
    <row r="127">
      <c r="A127" s="18" t="inlineStr">
        <is>
          <t>기타 충당금</t>
        </is>
      </c>
      <c r="C127" s="20" t="n">
        <v>51</v>
      </c>
      <c r="D127" s="20" t="n">
        <v>48</v>
      </c>
      <c r="E127" s="20" t="n">
        <v>36</v>
      </c>
      <c r="F127" s="20" t="n">
        <v>17</v>
      </c>
      <c r="G127" s="20" t="n">
        <v>9</v>
      </c>
      <c r="K127" s="20" t="n">
        <v>0</v>
      </c>
      <c r="L127" s="20" t="n">
        <v>48</v>
      </c>
    </row>
    <row r="128">
      <c r="A128" s="18" t="inlineStr">
        <is>
          <t>기타</t>
        </is>
      </c>
      <c r="C128" s="20" t="n">
        <v>33271</v>
      </c>
      <c r="D128" s="20" t="n">
        <v>46122</v>
      </c>
      <c r="E128" s="20" t="n">
        <v>43282</v>
      </c>
      <c r="F128" s="20" t="n">
        <v>47475</v>
      </c>
      <c r="G128" s="20" t="n">
        <v>35515</v>
      </c>
      <c r="H128" s="20" t="n">
        <v>12988</v>
      </c>
      <c r="I128" s="20" t="n">
        <v>10883</v>
      </c>
      <c r="J128" s="20" t="n">
        <v>19715</v>
      </c>
      <c r="K128" s="20" t="n">
        <v>27721</v>
      </c>
      <c r="L128" s="20" t="n">
        <v>46122</v>
      </c>
    </row>
    <row r="129">
      <c r="A129" s="9" t="inlineStr">
        <is>
          <t>유동부채 합계</t>
        </is>
      </c>
      <c r="C129" s="12" t="n">
        <v>516623</v>
      </c>
      <c r="D129" s="12" t="n">
        <v>490711</v>
      </c>
      <c r="E129" s="12" t="n">
        <v>471558</v>
      </c>
      <c r="F129" s="12" t="n">
        <v>410475</v>
      </c>
      <c r="G129" s="12" t="n">
        <v>480283</v>
      </c>
      <c r="H129" s="12" t="n">
        <v>107052</v>
      </c>
      <c r="I129" s="12" t="n">
        <v>245757</v>
      </c>
      <c r="J129" s="12" t="n">
        <v>185306</v>
      </c>
      <c r="K129" s="12" t="n">
        <v>462754</v>
      </c>
      <c r="L129" s="12" t="n">
        <v>490711</v>
      </c>
    </row>
    <row r="130">
      <c r="A130" s="18" t="inlineStr">
        <is>
          <t>사채</t>
        </is>
      </c>
      <c r="C130" s="20" t="n">
        <v>424010</v>
      </c>
      <c r="D130" s="20" t="n">
        <v>424070</v>
      </c>
      <c r="E130" s="20" t="n">
        <v>509050</v>
      </c>
      <c r="F130" s="20" t="n">
        <v>479194</v>
      </c>
      <c r="G130" s="20" t="n">
        <v>475770</v>
      </c>
      <c r="H130" s="20" t="n">
        <v>345000</v>
      </c>
      <c r="I130" s="20" t="n">
        <v>371000</v>
      </c>
      <c r="J130" s="20" t="n">
        <v>381000</v>
      </c>
      <c r="K130" s="20" t="n">
        <v>444000</v>
      </c>
      <c r="L130" s="20" t="n">
        <v>424070</v>
      </c>
    </row>
    <row r="131">
      <c r="A131" s="18" t="inlineStr">
        <is>
          <t>장기차입금</t>
        </is>
      </c>
      <c r="C131" s="20" t="n">
        <v>1340154</v>
      </c>
      <c r="D131" s="20" t="n">
        <v>1398092</v>
      </c>
      <c r="E131" s="20" t="n">
        <v>1395859</v>
      </c>
      <c r="F131" s="20" t="n">
        <v>1485986</v>
      </c>
      <c r="G131" s="20" t="n">
        <v>1593936</v>
      </c>
      <c r="H131" s="20" t="n">
        <v>977326</v>
      </c>
      <c r="I131" s="20" t="n">
        <v>857748</v>
      </c>
      <c r="J131" s="20" t="n">
        <v>929145</v>
      </c>
      <c r="K131" s="20" t="n">
        <v>1037369</v>
      </c>
      <c r="L131" s="20" t="n">
        <v>1398092</v>
      </c>
    </row>
    <row r="132">
      <c r="A132" s="18" t="inlineStr">
        <is>
          <t>이연법인세부채</t>
        </is>
      </c>
      <c r="C132" s="20" t="n">
        <v>94332</v>
      </c>
      <c r="D132" s="20" t="n">
        <v>107248</v>
      </c>
      <c r="E132" s="20" t="n">
        <v>100216</v>
      </c>
      <c r="F132" s="20" t="n">
        <v>102850</v>
      </c>
      <c r="G132" s="20" t="n">
        <v>112885</v>
      </c>
      <c r="H132" s="20" t="n">
        <v>40499</v>
      </c>
      <c r="I132" s="20" t="n">
        <v>53532</v>
      </c>
      <c r="J132" s="20" t="n">
        <v>73210</v>
      </c>
      <c r="K132" s="20" t="n">
        <v>89978</v>
      </c>
      <c r="L132" s="20" t="n">
        <v>107248</v>
      </c>
    </row>
    <row r="133">
      <c r="A133" s="18" t="inlineStr">
        <is>
          <t>주식급여 충당금</t>
        </is>
      </c>
      <c r="C133" s="20" t="n">
        <v>4024</v>
      </c>
      <c r="D133" s="20" t="n">
        <v>4378</v>
      </c>
      <c r="E133" s="20" t="n">
        <v>4637</v>
      </c>
      <c r="F133" s="20" t="n">
        <v>4031</v>
      </c>
      <c r="G133" s="20" t="n">
        <v>4291</v>
      </c>
      <c r="H133" s="20" t="n">
        <v>2232</v>
      </c>
      <c r="I133" s="20" t="n">
        <v>2846</v>
      </c>
      <c r="J133" s="20" t="n">
        <v>3238</v>
      </c>
      <c r="K133" s="20" t="n">
        <v>3151</v>
      </c>
      <c r="L133" s="20" t="n">
        <v>4378</v>
      </c>
    </row>
    <row r="134">
      <c r="A134" s="18" t="inlineStr">
        <is>
          <t>퇴직급여부채</t>
        </is>
      </c>
      <c r="C134" s="20" t="n">
        <v>5452</v>
      </c>
      <c r="D134" s="20" t="n">
        <v>5311</v>
      </c>
      <c r="E134" s="20" t="n">
        <v>5023</v>
      </c>
      <c r="F134" s="20" t="n">
        <v>5083</v>
      </c>
      <c r="G134" s="20" t="n">
        <v>5153</v>
      </c>
      <c r="H134" s="20" t="n">
        <v>1457</v>
      </c>
      <c r="I134" s="20" t="n">
        <v>1634</v>
      </c>
      <c r="J134" s="20" t="n">
        <v>1706</v>
      </c>
      <c r="K134" s="20" t="n">
        <v>4652</v>
      </c>
      <c r="L134" s="20" t="n">
        <v>5311</v>
      </c>
    </row>
    <row r="135">
      <c r="A135" s="18" t="inlineStr">
        <is>
          <t>장기 예수보증금</t>
        </is>
      </c>
      <c r="C135" s="20" t="n">
        <v>118524</v>
      </c>
      <c r="D135" s="20" t="n">
        <v>120417</v>
      </c>
      <c r="E135" s="20" t="n">
        <v>109169</v>
      </c>
      <c r="F135" s="20" t="n">
        <v>108413</v>
      </c>
      <c r="G135" s="20" t="n">
        <v>113209</v>
      </c>
      <c r="H135" s="20" t="n">
        <v>82573</v>
      </c>
      <c r="I135" s="20" t="n">
        <v>88287</v>
      </c>
      <c r="J135" s="20" t="n">
        <v>93307</v>
      </c>
      <c r="K135" s="20" t="n">
        <v>104947</v>
      </c>
      <c r="L135" s="20" t="n">
        <v>120417</v>
      </c>
    </row>
    <row r="136">
      <c r="A136" s="18" t="inlineStr">
        <is>
          <t>기타 충당금</t>
        </is>
      </c>
      <c r="C136" s="20" t="n">
        <v>61</v>
      </c>
      <c r="D136" s="20" t="n">
        <v>56</v>
      </c>
      <c r="E136" s="20" t="n">
        <v>58</v>
      </c>
      <c r="F136" s="20" t="n">
        <v>60</v>
      </c>
      <c r="G136" s="20" t="n">
        <v>61</v>
      </c>
      <c r="K136" s="20" t="n">
        <v>0</v>
      </c>
      <c r="L136" s="20" t="n">
        <v>56</v>
      </c>
    </row>
    <row r="137">
      <c r="A137" s="18" t="inlineStr">
        <is>
          <t>기타</t>
        </is>
      </c>
      <c r="C137" s="20" t="n">
        <v>35965</v>
      </c>
      <c r="D137" s="20" t="n">
        <v>16602</v>
      </c>
      <c r="E137" s="20" t="n">
        <v>15961</v>
      </c>
      <c r="F137" s="20" t="n">
        <v>16067</v>
      </c>
      <c r="G137" s="20" t="n">
        <v>16924</v>
      </c>
      <c r="H137" s="20" t="n">
        <v>12852</v>
      </c>
      <c r="I137" s="20" t="n">
        <v>12376</v>
      </c>
      <c r="J137" s="20" t="n">
        <v>44257</v>
      </c>
      <c r="K137" s="20" t="n">
        <v>45737</v>
      </c>
      <c r="L137" s="20" t="n">
        <v>16602</v>
      </c>
    </row>
    <row r="138">
      <c r="A138" s="9" t="inlineStr">
        <is>
          <t>비유동부채 합계</t>
        </is>
      </c>
      <c r="C138" s="12" t="n">
        <v>2022526</v>
      </c>
      <c r="D138" s="12" t="n">
        <v>2076176</v>
      </c>
      <c r="E138" s="12" t="n">
        <v>2139976</v>
      </c>
      <c r="F138" s="12" t="n">
        <v>2201686</v>
      </c>
      <c r="G138" s="12" t="n">
        <v>2322232</v>
      </c>
      <c r="H138" s="12" t="n">
        <v>1461940</v>
      </c>
      <c r="I138" s="12" t="n">
        <v>1387426</v>
      </c>
      <c r="J138" s="12" t="n">
        <v>1525865</v>
      </c>
      <c r="K138" s="12" t="n">
        <v>1729837</v>
      </c>
      <c r="L138" s="12" t="n">
        <v>2076176</v>
      </c>
    </row>
    <row r="139">
      <c r="A139" s="9" t="inlineStr">
        <is>
          <t>부채 합계</t>
        </is>
      </c>
      <c r="C139" s="12" t="n">
        <v>2539149</v>
      </c>
      <c r="D139" s="12" t="n">
        <v>2566887</v>
      </c>
      <c r="E139" s="12" t="n">
        <v>2611534</v>
      </c>
      <c r="F139" s="12" t="n">
        <v>2612162</v>
      </c>
      <c r="G139" s="12" t="n">
        <v>2802515</v>
      </c>
      <c r="H139" s="12" t="n">
        <v>1568993</v>
      </c>
      <c r="I139" s="12" t="n">
        <v>1633183</v>
      </c>
      <c r="J139" s="12" t="n">
        <v>1711172</v>
      </c>
      <c r="K139" s="12" t="n">
        <v>2192591</v>
      </c>
      <c r="L139" s="12" t="n">
        <v>2566887</v>
      </c>
    </row>
    <row r="140">
      <c r="A140" s="18" t="inlineStr">
        <is>
          <t>자본금</t>
        </is>
      </c>
      <c r="C140" s="20" t="n">
        <v>111609</v>
      </c>
      <c r="D140" s="20" t="n">
        <v>111609</v>
      </c>
      <c r="E140" s="20" t="n">
        <v>111609</v>
      </c>
      <c r="F140" s="20" t="n">
        <v>111609</v>
      </c>
      <c r="G140" s="20" t="n">
        <v>111609</v>
      </c>
      <c r="H140" s="20" t="n">
        <v>111609</v>
      </c>
      <c r="I140" s="20" t="n">
        <v>111609</v>
      </c>
      <c r="J140" s="20" t="n">
        <v>111609</v>
      </c>
      <c r="K140" s="20" t="n">
        <v>111609</v>
      </c>
      <c r="L140" s="20" t="n">
        <v>111609</v>
      </c>
    </row>
    <row r="141">
      <c r="A141" s="18" t="inlineStr">
        <is>
          <t>자본잉여금</t>
        </is>
      </c>
      <c r="C141" s="20" t="n">
        <v>130172</v>
      </c>
      <c r="D141" s="20" t="n">
        <v>130033</v>
      </c>
      <c r="E141" s="20" t="n">
        <v>130033</v>
      </c>
      <c r="F141" s="20" t="n">
        <v>130033</v>
      </c>
      <c r="G141" s="20" t="n">
        <v>130036</v>
      </c>
      <c r="H141" s="20" t="n">
        <v>137759</v>
      </c>
      <c r="I141" s="20" t="n">
        <v>137741</v>
      </c>
      <c r="J141" s="20" t="n">
        <v>137731</v>
      </c>
      <c r="K141" s="20" t="n">
        <v>137738</v>
      </c>
      <c r="L141" s="20" t="n">
        <v>130033</v>
      </c>
    </row>
    <row r="142">
      <c r="A142" s="18" t="inlineStr">
        <is>
          <t>이익잉여금</t>
        </is>
      </c>
      <c r="C142" s="20" t="n">
        <v>540230</v>
      </c>
      <c r="D142" s="20" t="n">
        <v>593937</v>
      </c>
      <c r="E142" s="20" t="n">
        <v>586395</v>
      </c>
      <c r="F142" s="20" t="n">
        <v>618233</v>
      </c>
      <c r="G142" s="20" t="n">
        <v>612042</v>
      </c>
      <c r="H142" s="20" t="n">
        <v>352351</v>
      </c>
      <c r="I142" s="20" t="n">
        <v>401090</v>
      </c>
      <c r="J142" s="20" t="n">
        <v>461214</v>
      </c>
      <c r="K142" s="20" t="n">
        <v>522922</v>
      </c>
      <c r="L142" s="20" t="n">
        <v>593937</v>
      </c>
    </row>
    <row r="143">
      <c r="A143" s="18" t="inlineStr">
        <is>
          <t>자기주식</t>
        </is>
      </c>
      <c r="C143" s="20" t="n">
        <v>-6215</v>
      </c>
      <c r="D143" s="20" t="n">
        <v>-6215</v>
      </c>
      <c r="E143" s="20" t="n">
        <v>-6920</v>
      </c>
      <c r="F143" s="20" t="n">
        <v>-6314</v>
      </c>
      <c r="G143" s="20" t="n">
        <v>-6315</v>
      </c>
      <c r="H143" s="20" t="n">
        <v>-2464</v>
      </c>
      <c r="I143" s="20" t="n">
        <v>-3971</v>
      </c>
      <c r="J143" s="20" t="n">
        <v>-3760</v>
      </c>
      <c r="K143" s="20" t="n">
        <v>-3094</v>
      </c>
      <c r="L143" s="20" t="n">
        <v>-6215</v>
      </c>
    </row>
    <row r="144">
      <c r="A144" s="9" t="inlineStr">
        <is>
          <t>주주자본 합계</t>
        </is>
      </c>
      <c r="C144" s="12" t="n">
        <v>775797</v>
      </c>
      <c r="D144" s="12" t="n">
        <v>829364</v>
      </c>
      <c r="E144" s="12" t="n">
        <v>821118</v>
      </c>
      <c r="F144" s="12" t="n">
        <v>853561</v>
      </c>
      <c r="G144" s="12" t="n">
        <v>847373</v>
      </c>
      <c r="H144" s="12" t="n">
        <v>599256</v>
      </c>
      <c r="I144" s="12" t="n">
        <v>646469</v>
      </c>
      <c r="J144" s="12" t="n">
        <v>706794</v>
      </c>
      <c r="K144" s="12" t="n">
        <v>769176</v>
      </c>
      <c r="L144" s="12" t="n">
        <v>829364</v>
      </c>
    </row>
    <row r="145">
      <c r="A145" s="18" t="inlineStr">
        <is>
          <t>기타유가증권 평가차액</t>
        </is>
      </c>
      <c r="C145" s="20" t="n">
        <v>78490</v>
      </c>
      <c r="D145" s="20" t="n">
        <v>85176</v>
      </c>
      <c r="E145" s="20" t="n">
        <v>85728</v>
      </c>
      <c r="F145" s="20" t="n">
        <v>90347</v>
      </c>
      <c r="G145" s="20" t="n">
        <v>98181</v>
      </c>
      <c r="H145" s="20" t="n">
        <v>38401</v>
      </c>
      <c r="I145" s="20" t="n">
        <v>40267</v>
      </c>
      <c r="J145" s="20" t="n">
        <v>58943</v>
      </c>
      <c r="K145" s="20" t="n">
        <v>65506</v>
      </c>
      <c r="L145" s="20" t="n">
        <v>85176</v>
      </c>
    </row>
    <row r="146">
      <c r="A146" s="18" t="inlineStr">
        <is>
          <t>이연헤지손익</t>
        </is>
      </c>
      <c r="C146" s="20" t="n">
        <v>-1019</v>
      </c>
      <c r="D146" s="20" t="n">
        <v>-1000</v>
      </c>
      <c r="E146" s="20" t="n">
        <v>-981</v>
      </c>
      <c r="F146" s="20" t="n">
        <v>-962</v>
      </c>
      <c r="G146" s="20" t="n">
        <v>-942</v>
      </c>
      <c r="H146" s="20" t="n">
        <v>-54</v>
      </c>
      <c r="I146" s="20" t="n">
        <v>-261</v>
      </c>
      <c r="J146" s="20" t="n">
        <v>-436</v>
      </c>
      <c r="K146" s="20" t="n">
        <v>-517</v>
      </c>
      <c r="L146" s="20" t="n">
        <v>-1000</v>
      </c>
    </row>
    <row r="147">
      <c r="A147" s="18" t="inlineStr">
        <is>
          <t>해외사업환산조정</t>
        </is>
      </c>
      <c r="C147" s="20" t="n">
        <v>-1383</v>
      </c>
      <c r="D147" s="20" t="n">
        <v>-357</v>
      </c>
      <c r="E147" s="20" t="n">
        <v>2399</v>
      </c>
      <c r="F147" s="20" t="n">
        <v>4248</v>
      </c>
      <c r="G147" s="20" t="n">
        <v>5986</v>
      </c>
      <c r="H147" s="20" t="n">
        <v>0</v>
      </c>
      <c r="I147" s="20" t="n">
        <v>0</v>
      </c>
      <c r="J147" s="20" t="n">
        <v>0</v>
      </c>
      <c r="K147" s="20" t="n">
        <v>-1063</v>
      </c>
      <c r="L147" s="20" t="n">
        <v>-357</v>
      </c>
    </row>
    <row r="148">
      <c r="A148" s="18" t="inlineStr">
        <is>
          <t>퇴직급여 조정누계액</t>
        </is>
      </c>
      <c r="C148" s="20" t="n">
        <v>-106</v>
      </c>
      <c r="D148" s="20" t="n">
        <v>96</v>
      </c>
      <c r="E148" s="20" t="n">
        <v>224</v>
      </c>
      <c r="F148" s="20" t="n">
        <v>236</v>
      </c>
      <c r="G148" s="20" t="n">
        <v>220</v>
      </c>
      <c r="H148" s="20" t="n">
        <v>195</v>
      </c>
      <c r="I148" s="20" t="n">
        <v>252</v>
      </c>
      <c r="J148" s="20" t="n">
        <v>355</v>
      </c>
      <c r="K148" s="20" t="n">
        <v>-111</v>
      </c>
      <c r="L148" s="20" t="n">
        <v>96</v>
      </c>
    </row>
    <row r="149">
      <c r="A149" s="18" t="inlineStr">
        <is>
          <t>기타포괄손익누계액 합계</t>
        </is>
      </c>
      <c r="C149" s="20" t="n">
        <v>75982</v>
      </c>
      <c r="D149" s="20" t="n">
        <v>83915</v>
      </c>
      <c r="E149" s="20" t="n">
        <v>87370</v>
      </c>
      <c r="F149" s="20" t="n">
        <v>93870</v>
      </c>
      <c r="G149" s="20" t="n">
        <v>103445</v>
      </c>
      <c r="H149" s="20" t="n">
        <v>38542</v>
      </c>
      <c r="I149" s="20" t="n">
        <v>40258</v>
      </c>
      <c r="J149" s="20" t="n">
        <v>58862</v>
      </c>
      <c r="K149" s="20" t="n">
        <v>63814</v>
      </c>
      <c r="L149" s="20" t="n">
        <v>83915</v>
      </c>
    </row>
    <row r="150">
      <c r="A150" s="18" t="inlineStr">
        <is>
          <t>신주예약권</t>
        </is>
      </c>
      <c r="C150" s="20" t="n">
        <v>75</v>
      </c>
      <c r="D150" s="20" t="n">
        <v>75</v>
      </c>
      <c r="E150" s="20" t="n">
        <v>75</v>
      </c>
      <c r="F150" s="20" t="n">
        <v>75</v>
      </c>
      <c r="G150" s="20" t="n">
        <v>75</v>
      </c>
      <c r="J150" s="20" t="n">
        <v>0</v>
      </c>
      <c r="K150" s="20" t="n">
        <v>75</v>
      </c>
      <c r="L150" s="20" t="n">
        <v>75</v>
      </c>
    </row>
    <row r="151">
      <c r="A151" s="18" t="inlineStr">
        <is>
          <t>비지배지분</t>
        </is>
      </c>
      <c r="C151" s="20" t="n">
        <v>20682</v>
      </c>
      <c r="D151" s="20" t="n">
        <v>25825</v>
      </c>
      <c r="E151" s="20" t="n">
        <v>32837</v>
      </c>
      <c r="F151" s="20" t="n">
        <v>32839</v>
      </c>
      <c r="G151" s="20" t="n">
        <v>34640</v>
      </c>
      <c r="H151" s="20" t="n">
        <v>533</v>
      </c>
      <c r="I151" s="20" t="n">
        <v>424</v>
      </c>
      <c r="J151" s="20" t="n">
        <v>3643</v>
      </c>
      <c r="K151" s="20" t="n">
        <v>23278</v>
      </c>
      <c r="L151" s="20" t="n">
        <v>25825</v>
      </c>
    </row>
    <row r="152">
      <c r="A152" s="9" t="inlineStr">
        <is>
          <t>순자산 합계</t>
        </is>
      </c>
      <c r="C152" s="12" t="n">
        <v>872536</v>
      </c>
      <c r="D152" s="12" t="n">
        <v>939180</v>
      </c>
      <c r="E152" s="12" t="n">
        <v>941401</v>
      </c>
      <c r="F152" s="12" t="n">
        <v>980346</v>
      </c>
      <c r="G152" s="12" t="n">
        <v>985534</v>
      </c>
      <c r="H152" s="12" t="n">
        <v>638332</v>
      </c>
      <c r="I152" s="12" t="n">
        <v>687153</v>
      </c>
      <c r="J152" s="12" t="n">
        <v>769300</v>
      </c>
      <c r="K152" s="12" t="n">
        <v>856344</v>
      </c>
      <c r="L152" s="12" t="n">
        <v>939180</v>
      </c>
    </row>
    <row r="153">
      <c r="A153" s="9" t="inlineStr">
        <is>
          <t>부채·순자산 합계</t>
        </is>
      </c>
      <c r="C153" s="12" t="n">
        <v>3411686</v>
      </c>
      <c r="D153" s="12" t="n">
        <v>3506068</v>
      </c>
      <c r="E153" s="12" t="n">
        <v>3552936</v>
      </c>
      <c r="F153" s="12" t="n">
        <v>3592508</v>
      </c>
      <c r="G153" s="12" t="n">
        <v>3788049</v>
      </c>
      <c r="H153" s="12" t="n">
        <v>2207325</v>
      </c>
      <c r="I153" s="12" t="n">
        <v>2320337</v>
      </c>
      <c r="J153" s="12" t="n">
        <v>2480472</v>
      </c>
      <c r="K153" s="12" t="n">
        <v>3048935</v>
      </c>
      <c r="L153" s="12" t="n">
        <v>3506068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2026-10-28</t>
        </is>
      </c>
      <c r="B4" t="inlineStr">
        <is>
          <t>2026년 12월 결산기 ３분기 결산단신</t>
        </is>
      </c>
      <c r="C4" t="inlineStr">
        <is>
          <t>https://www2.jpx.co.jp/disc/30030/140120261027557085.pdf</t>
        </is>
      </c>
    </row>
    <row r="5">
      <c r="A5" t="inlineStr">
        <is>
          <t>2026-07-28</t>
        </is>
      </c>
      <c r="B5" t="inlineStr">
        <is>
          <t>2026년 12월 결산기 ２분기 결산단신</t>
        </is>
      </c>
      <c r="C5" t="inlineStr">
        <is>
          <t>https://www2.jpx.co.jp/disc/30030/140120260727500129.pdf</t>
        </is>
      </c>
    </row>
    <row r="6">
      <c r="A6" t="inlineStr">
        <is>
          <t>2026-04-27</t>
        </is>
      </c>
      <c r="B6" t="inlineStr">
        <is>
          <t>2026년 12월 결산기 １분기 결산단신</t>
        </is>
      </c>
      <c r="C6" t="inlineStr">
        <is>
          <t>https://www2.jpx.co.jp/disc/30030/140120260423509097.pdf</t>
        </is>
      </c>
    </row>
    <row r="7">
      <c r="A7" t="inlineStr">
        <is>
          <t>2026-01-29</t>
        </is>
      </c>
      <c r="B7" t="inlineStr">
        <is>
          <t>2025년 12월 결산기 연간 결산단신</t>
        </is>
      </c>
      <c r="C7" t="inlineStr">
        <is>
          <t>https://www2.jpx.co.jp/disc/30030/140120260128539955.pdf</t>
        </is>
      </c>
    </row>
    <row r="8">
      <c r="A8" t="inlineStr">
        <is>
          <t>2025-10-28</t>
        </is>
      </c>
      <c r="B8" t="inlineStr">
        <is>
          <t>2025년 12월 결산기 ３분기 결산단신</t>
        </is>
      </c>
      <c r="C8" t="inlineStr">
        <is>
          <t>https://www2.jpx.co.jp/disc/30030/140120251027579610.pdf</t>
        </is>
      </c>
    </row>
    <row r="9">
      <c r="A9" t="inlineStr">
        <is>
          <t>2025-07-28</t>
        </is>
      </c>
      <c r="B9" t="inlineStr">
        <is>
          <t>2025년 12월 결산기 ２분기 결산단신</t>
        </is>
      </c>
      <c r="C9" t="inlineStr">
        <is>
          <t>https://www2.jpx.co.jp/disc/30030/140120250725520946.pdf</t>
        </is>
      </c>
    </row>
    <row r="10">
      <c r="A10" t="inlineStr">
        <is>
          <t>2025-04-25</t>
        </is>
      </c>
      <c r="B10" t="inlineStr">
        <is>
          <t>2025년 12월 결산기 １분기 결산단신</t>
        </is>
      </c>
      <c r="C10" t="inlineStr">
        <is>
          <t>https://www2.jpx.co.jp/disc/30030/140120250422520311.pdf</t>
        </is>
      </c>
    </row>
    <row r="11">
      <c r="A11" t="inlineStr">
        <is>
          <t>2025-01-30</t>
        </is>
      </c>
      <c r="B11" t="inlineStr">
        <is>
          <t>2024년 12월 결산기 연간 결산단신</t>
        </is>
      </c>
      <c r="C11" t="inlineStr">
        <is>
          <t>https://www2.jpx.co.jp/disc/30030/140120250129557228.pdf</t>
        </is>
      </c>
    </row>
    <row r="12">
      <c r="A12" t="inlineStr">
        <is>
          <t>2024-11-27</t>
        </is>
      </c>
      <c r="B12" t="inlineStr">
        <is>
          <t>2024년 12월 결산기 ３분기 결산단신</t>
        </is>
      </c>
      <c r="C12" t="inlineStr">
        <is>
          <t>https://www2.jpx.co.jp/disc/30030/140120241125528872.pdf</t>
        </is>
      </c>
    </row>
    <row r="13">
      <c r="A13" t="inlineStr">
        <is>
          <t>2024-10-28</t>
        </is>
      </c>
      <c r="B13" t="inlineStr">
        <is>
          <t>2024년 12월 결산기 ３분기 결산단신</t>
        </is>
      </c>
      <c r="C13" t="inlineStr">
        <is>
          <t>https://www2.jpx.co.jp/disc/30030/140120241024502088.pdf</t>
        </is>
      </c>
    </row>
    <row r="14">
      <c r="A14" t="inlineStr">
        <is>
          <t>2024-07-26</t>
        </is>
      </c>
      <c r="B14" t="inlineStr">
        <is>
          <t>2024년 12월 결산기 ２분기 결산단신</t>
        </is>
      </c>
      <c r="C14" t="inlineStr">
        <is>
          <t>https://www2.jpx.co.jp/disc/30030/140120240725554586.pdf</t>
        </is>
      </c>
    </row>
    <row r="15">
      <c r="A15" t="inlineStr">
        <is>
          <t>2024-04-25</t>
        </is>
      </c>
      <c r="B15" t="inlineStr">
        <is>
          <t>2024년 12월 결산기 １분기 결산단신</t>
        </is>
      </c>
      <c r="C15" t="inlineStr">
        <is>
          <t>https://www2.jpx.co.jp/disc/30030/140120240424575553.pdf</t>
        </is>
      </c>
    </row>
    <row r="16">
      <c r="A16" t="inlineStr">
        <is>
          <t>2024-01-30</t>
        </is>
      </c>
      <c r="B16" t="inlineStr">
        <is>
          <t>2023년 12월 결산기 연간 결산단신</t>
        </is>
      </c>
      <c r="C16" t="inlineStr">
        <is>
          <t>https://www2.jpx.co.jp/disc/30030/140120240129520385.pdf</t>
        </is>
      </c>
    </row>
    <row r="17">
      <c r="A17" t="inlineStr">
        <is>
          <t>2023-10-27</t>
        </is>
      </c>
      <c r="B17" t="inlineStr">
        <is>
          <t>2023년 12월 결산기 ３분기 결산단신</t>
        </is>
      </c>
      <c r="C17" t="inlineStr">
        <is>
          <t>https://www2.jpx.co.jp/disc/30030/140120231026571919.pdf</t>
        </is>
      </c>
    </row>
    <row r="18">
      <c r="A18" t="inlineStr">
        <is>
          <t>2023-07-28</t>
        </is>
      </c>
      <c r="B18" t="inlineStr">
        <is>
          <t>2023년 12월 결산기 ２분기 결산단신</t>
        </is>
      </c>
      <c r="C18" t="inlineStr">
        <is>
          <t>https://www2.jpx.co.jp/disc/30030/140120230725526281.pdf</t>
        </is>
      </c>
    </row>
    <row r="19">
      <c r="A19" t="inlineStr">
        <is>
          <t>2023-04-27</t>
        </is>
      </c>
      <c r="B19" t="inlineStr">
        <is>
          <t>2023년 12월 결산기 １분기 결산단신</t>
        </is>
      </c>
      <c r="C19" t="inlineStr">
        <is>
          <t>https://www2.jpx.co.jp/disc/30030/140120230424551290.pdf</t>
        </is>
      </c>
    </row>
    <row r="20">
      <c r="A20" t="inlineStr">
        <is>
          <t>2023-01-30</t>
        </is>
      </c>
      <c r="B20" t="inlineStr">
        <is>
          <t>2022년 12월 결산기 연간 결산단신</t>
        </is>
      </c>
      <c r="C20" t="inlineStr">
        <is>
          <t>https://www2.jpx.co.jp/disc/30030/140120230126593953.pdf</t>
        </is>
      </c>
    </row>
    <row r="21">
      <c r="A21" t="inlineStr">
        <is>
          <t>2022-01-28</t>
        </is>
      </c>
      <c r="B21" t="inlineStr">
        <is>
          <t>2021년 12월 결산기 연간 결산단신</t>
        </is>
      </c>
      <c r="C21" t="inlineStr">
        <is>
          <t>https://www2.jpx.co.jp/disc/30030/140120220127574226.pdf</t>
        </is>
      </c>
    </row>
    <row r="22">
      <c r="A22" t="inlineStr">
        <is>
          <t>2021-01-28</t>
        </is>
      </c>
      <c r="B22" t="inlineStr">
        <is>
          <t>2020년 12월 결산기 연간 결산단신</t>
        </is>
      </c>
      <c r="C22" t="inlineStr">
        <is>
          <t>https://www2.jpx.co.jp/disc/30030/140120210127450175.pdf</t>
        </is>
      </c>
    </row>
    <row r="23">
      <c r="A23" t="inlineStr">
        <is>
          <t>2020-01-30</t>
        </is>
      </c>
      <c r="B23" t="inlineStr">
        <is>
          <t>2019년 12월 결산기 연간 결산단신</t>
        </is>
      </c>
      <c r="C23" t="inlineStr">
        <is>
          <t>https://www2.jpx.co.jp/disc/30030/140120200129453043.pdf</t>
        </is>
      </c>
    </row>
    <row r="24">
      <c r="A24" t="inlineStr">
        <is>
          <t>2019-01-30</t>
        </is>
      </c>
      <c r="B24" t="inlineStr">
        <is>
          <t>연간 결산단신</t>
        </is>
      </c>
      <c r="C24" t="inlineStr">
        <is>
          <t>https://www2.jpx.co.jp/disc/30030/140120190129465457.pdf</t>
        </is>
      </c>
    </row>
    <row r="25">
      <c r="A25" t="inlineStr">
        <is>
          <t>2018-01-30</t>
        </is>
      </c>
      <c r="B25" t="inlineStr">
        <is>
          <t>연간 결산단신</t>
        </is>
      </c>
      <c r="C25" t="inlineStr">
        <is>
          <t>https://www2.jpx.co.jp/disc/30030/140120180129458547.pdf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2026-10-28T07:02:00Z</dcterms:created>
  <dcterms:modified xmlns:dcterms="http://purl.org/dc/terms/" xmlns:xsi="http://www.w3.org/2001/XMLSchema-instance" xsi:type="dcterms:W3CDTF">2026-10-28T07:02:01Z</dcterms:modified>
</cp:coreProperties>
</file>