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8871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3754</v>
      </c>
      <c r="D4" s="12" t="n">
        <v>6496</v>
      </c>
      <c r="E4" s="12" t="n">
        <v>12062</v>
      </c>
      <c r="F4" s="12" t="n">
        <v>6741</v>
      </c>
      <c r="G4" s="12" t="n">
        <v>6967</v>
      </c>
      <c r="H4" s="12" t="n">
        <v>10544</v>
      </c>
      <c r="I4" s="12" t="n">
        <v>5042</v>
      </c>
      <c r="J4" s="12" t="n">
        <v>10758</v>
      </c>
      <c r="K4" s="12" t="n">
        <v>5238</v>
      </c>
      <c r="L4" s="12" t="n">
        <v>6917</v>
      </c>
      <c r="M4" s="12" t="n">
        <v>7532</v>
      </c>
      <c r="N4" s="12" t="n">
        <v>17143</v>
      </c>
      <c r="O4" s="11" t="n">
        <v>35824</v>
      </c>
      <c r="P4" s="12" t="n">
        <v>42857</v>
      </c>
      <c r="Q4" s="12" t="n">
        <v>33159</v>
      </c>
      <c r="R4" s="12" t="n">
        <v>34791</v>
      </c>
      <c r="S4" s="12" t="n">
        <v>28890</v>
      </c>
      <c r="T4" s="12" t="n">
        <v>34245</v>
      </c>
      <c r="U4" s="12" t="n">
        <v>27453</v>
      </c>
      <c r="V4" s="12" t="n">
        <v>24845</v>
      </c>
      <c r="W4" s="12" t="n">
        <v>29294</v>
      </c>
      <c r="X4" s="12" t="n">
        <v>30445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DetachedRealEstateReportableSegmentsMember</t>
        </is>
      </c>
      <c r="B7" s="10" t="n"/>
      <c r="C7" s="19" t="n">
        <v>1588</v>
      </c>
      <c r="D7" s="20" t="n">
        <v>4306</v>
      </c>
      <c r="E7" s="20" t="n">
        <v>9463</v>
      </c>
      <c r="F7" s="20" t="n">
        <v>4201</v>
      </c>
      <c r="G7" s="20" t="n">
        <v>4299</v>
      </c>
      <c r="H7" s="20" t="n">
        <v>8092</v>
      </c>
      <c r="I7" s="20" t="n">
        <v>2447</v>
      </c>
      <c r="J7" s="20" t="n">
        <v>8361</v>
      </c>
      <c r="K7" s="20" t="n">
        <v>2828</v>
      </c>
      <c r="L7" s="20" t="n">
        <v>4547</v>
      </c>
      <c r="M7" s="20" t="n">
        <v>4840</v>
      </c>
      <c r="N7" s="20" t="n">
        <v>13990</v>
      </c>
      <c r="O7" s="19" t="n"/>
      <c r="P7" s="20" t="n"/>
      <c r="Q7" s="20" t="n"/>
      <c r="R7" s="20" t="n"/>
      <c r="S7" s="20" t="n"/>
      <c r="T7" s="20" t="n"/>
      <c r="U7" s="20" t="n"/>
      <c r="V7" s="20" t="n">
        <v>15928</v>
      </c>
      <c r="W7" s="20" t="n">
        <v>19039</v>
      </c>
      <c r="X7" s="20" t="n">
        <v>20576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LeasingReportableSegmentsMember</t>
        </is>
      </c>
      <c r="B10" s="10" t="n"/>
      <c r="C10" s="19" t="n">
        <v>593</v>
      </c>
      <c r="D10" s="20" t="n">
        <v>607</v>
      </c>
      <c r="E10" s="20" t="n">
        <v>631</v>
      </c>
      <c r="F10" s="20" t="n">
        <v>655</v>
      </c>
      <c r="G10" s="20" t="n">
        <v>673</v>
      </c>
      <c r="H10" s="20" t="n">
        <v>635</v>
      </c>
      <c r="I10" s="20" t="n">
        <v>665</v>
      </c>
      <c r="J10" s="20" t="n">
        <v>682</v>
      </c>
      <c r="K10" s="20" t="n">
        <v>702</v>
      </c>
      <c r="L10" s="20" t="n">
        <v>639</v>
      </c>
      <c r="M10" s="20" t="n">
        <v>669</v>
      </c>
      <c r="N10" s="20" t="n">
        <v>1066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2390</v>
      </c>
      <c r="W10" s="20" t="n">
        <v>2628</v>
      </c>
      <c r="X10" s="20" t="n">
        <v>2692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ManagementReportableSegmentMember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3526</v>
      </c>
      <c r="W13" s="20" t="n">
        <v>4043</v>
      </c>
      <c r="X13" s="20" t="n">
        <v>3643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RealEstateManagementReportableSegmentMember</t>
        </is>
      </c>
      <c r="B16" s="10" t="n"/>
      <c r="C16" s="19" t="n">
        <v>875</v>
      </c>
      <c r="D16" s="20" t="n">
        <v>874</v>
      </c>
      <c r="E16" s="20" t="n"/>
      <c r="F16" s="20" t="n">
        <v>1066</v>
      </c>
      <c r="G16" s="20" t="n">
        <v>1067</v>
      </c>
      <c r="H16" s="20" t="n">
        <v>1017</v>
      </c>
      <c r="I16" s="20" t="n"/>
      <c r="J16" s="20" t="n">
        <v>863</v>
      </c>
      <c r="K16" s="20" t="n">
        <v>827</v>
      </c>
      <c r="L16" s="20" t="n">
        <v>970</v>
      </c>
      <c r="M16" s="20" t="n"/>
      <c r="N16" s="20" t="n">
        <v>1180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HotelBusinessReportableSegmentMember</t>
        </is>
      </c>
      <c r="B19" s="10" t="n"/>
      <c r="C19" s="19" t="n">
        <v>641</v>
      </c>
      <c r="D19" s="20" t="n">
        <v>606</v>
      </c>
      <c r="E19" s="20" t="n">
        <v>790</v>
      </c>
      <c r="F19" s="20" t="n">
        <v>730</v>
      </c>
      <c r="G19" s="20" t="n">
        <v>755</v>
      </c>
      <c r="H19" s="20" t="n">
        <v>674</v>
      </c>
      <c r="I19" s="20" t="n">
        <v>900</v>
      </c>
      <c r="J19" s="20" t="n">
        <v>766</v>
      </c>
      <c r="K19" s="20" t="n">
        <v>821</v>
      </c>
      <c r="L19" s="20" t="n">
        <v>690</v>
      </c>
      <c r="M19" s="20" t="n">
        <v>976</v>
      </c>
      <c r="N19" s="20" t="n">
        <v>858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2606</v>
      </c>
      <c r="W19" s="20" t="n">
        <v>3059</v>
      </c>
      <c r="X19" s="20" t="n">
        <v>3253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/>
      <c r="D22" s="20" t="n">
        <v>103</v>
      </c>
      <c r="E22" s="20" t="n">
        <v>183</v>
      </c>
      <c r="F22" s="20" t="n"/>
      <c r="G22" s="20" t="n"/>
      <c r="H22" s="20" t="n">
        <v>125</v>
      </c>
      <c r="I22" s="20" t="n">
        <v>137</v>
      </c>
      <c r="J22" s="20" t="n"/>
      <c r="K22" s="20" t="n"/>
      <c r="L22" s="20" t="n">
        <v>71</v>
      </c>
      <c r="M22" s="20" t="n">
        <v>66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394</v>
      </c>
      <c r="W22" s="20" t="n">
        <v>523</v>
      </c>
      <c r="X22" s="20" t="n">
        <v>281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OtherReportableSegmentsMember</t>
        </is>
      </c>
      <c r="B25" s="10" t="n"/>
      <c r="C25" s="19" t="n"/>
      <c r="D25" s="20" t="n"/>
      <c r="E25" s="20" t="n"/>
      <c r="F25" s="20" t="n">
        <v>88</v>
      </c>
      <c r="G25" s="20" t="n"/>
      <c r="H25" s="20" t="n"/>
      <c r="I25" s="20" t="n"/>
      <c r="J25" s="20" t="n">
        <v>84</v>
      </c>
      <c r="K25" s="20" t="n"/>
      <c r="L25" s="20" t="n"/>
      <c r="M25" s="20" t="n"/>
      <c r="N25" s="20" t="n">
        <v>47</v>
      </c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1823</v>
      </c>
      <c r="D29" s="20" t="n">
        <v>3940</v>
      </c>
      <c r="E29" s="20" t="n">
        <v>5902</v>
      </c>
      <c r="F29" s="20" t="n">
        <v>3280</v>
      </c>
      <c r="G29" s="20" t="n">
        <v>3512</v>
      </c>
      <c r="H29" s="20" t="n">
        <v>5597</v>
      </c>
      <c r="I29" s="20" t="n">
        <v>2580</v>
      </c>
      <c r="J29" s="20" t="n">
        <v>5174</v>
      </c>
      <c r="K29" s="20" t="n">
        <v>2251</v>
      </c>
      <c r="L29" s="20" t="n">
        <v>3387</v>
      </c>
      <c r="M29" s="20" t="n">
        <v>3772</v>
      </c>
      <c r="N29" s="20" t="n">
        <v>6114</v>
      </c>
      <c r="O29" s="19" t="n">
        <v>21206</v>
      </c>
      <c r="P29" s="20" t="n">
        <v>23291</v>
      </c>
      <c r="Q29" s="20" t="n">
        <v>19371</v>
      </c>
      <c r="R29" s="20" t="n">
        <v>16964</v>
      </c>
      <c r="S29" s="20" t="n">
        <v>17067</v>
      </c>
      <c r="T29" s="20" t="n">
        <v>18201</v>
      </c>
      <c r="U29" s="20" t="n">
        <v>11409</v>
      </c>
      <c r="V29" s="20" t="n">
        <v>13033</v>
      </c>
      <c r="W29" s="20" t="n">
        <v>14969</v>
      </c>
      <c r="X29" s="20" t="n">
        <v>14584</v>
      </c>
      <c r="Y29" s="19" t="n"/>
      <c r="Z29" s="20" t="n"/>
      <c r="AA29" s="20" t="n"/>
      <c r="AB29" s="20" t="n"/>
      <c r="AC29" s="20" t="n"/>
    </row>
    <row r="30">
      <c r="A30" s="18" t="inlineStr">
        <is>
          <t>매출총이익</t>
        </is>
      </c>
      <c r="B30" s="10" t="n"/>
      <c r="C30" s="19">
        <f>IF(OR(C4="",C29=""),"",IFERROR(C4-C29,""))</f>
        <v/>
      </c>
      <c r="D30" s="20">
        <f>IF(OR(D4="",D29=""),"",IFERROR(D4-D29,""))</f>
        <v/>
      </c>
      <c r="E30" s="20">
        <f>IF(OR(E4="",E29=""),"",IFERROR(E4-E29,""))</f>
        <v/>
      </c>
      <c r="F30" s="20">
        <f>IF(OR(F4="",F29=""),"",IFERROR(F4-F29,""))</f>
        <v/>
      </c>
      <c r="G30" s="20">
        <f>IF(OR(G4="",G29=""),"",IFERROR(G4-G29,""))</f>
        <v/>
      </c>
      <c r="H30" s="20">
        <f>IF(OR(H4="",H29=""),"",IFERROR(H4-H29,""))</f>
        <v/>
      </c>
      <c r="I30" s="20">
        <f>IF(OR(I4="",I29=""),"",IFERROR(I4-I29,""))</f>
        <v/>
      </c>
      <c r="J30" s="20">
        <f>IF(OR(J4="",J29=""),"",IFERROR(J4-J29,""))</f>
        <v/>
      </c>
      <c r="K30" s="20">
        <f>IF(OR(K4="",K29=""),"",IFERROR(K4-K29,""))</f>
        <v/>
      </c>
      <c r="L30" s="20">
        <f>IF(OR(L4="",L29=""),"",IFERROR(L4-L29,""))</f>
        <v/>
      </c>
      <c r="M30" s="20">
        <f>IF(OR(M4="",M29=""),"",IFERROR(M4-M29,""))</f>
        <v/>
      </c>
      <c r="N30" s="20">
        <f>IF(OR(N4="",N29=""),"",IFERROR(N4-N29,""))</f>
        <v/>
      </c>
      <c r="O30" s="19">
        <f>IF(OR(O4="",O29=""),"",IFERROR(O4-O29,""))</f>
        <v/>
      </c>
      <c r="P30" s="20">
        <f>IF(OR(P4="",P29=""),"",IFERROR(P4-P29,""))</f>
        <v/>
      </c>
      <c r="Q30" s="20">
        <f>IF(OR(Q4="",Q29=""),"",IFERROR(Q4-Q29,""))</f>
        <v/>
      </c>
      <c r="R30" s="20">
        <f>IF(OR(R4="",R29=""),"",IFERROR(R4-R29,""))</f>
        <v/>
      </c>
      <c r="S30" s="20">
        <f>IF(OR(S4="",S29=""),"",IFERROR(S4-S29,""))</f>
        <v/>
      </c>
      <c r="T30" s="20">
        <f>IF(OR(T4="",T29=""),"",IFERROR(T4-T29,""))</f>
        <v/>
      </c>
      <c r="U30" s="20">
        <f>IF(OR(U4="",U29=""),"",IFERROR(U4-U29,""))</f>
        <v/>
      </c>
      <c r="V30" s="20">
        <f>IF(OR(V4="",V29=""),"",IFERROR(V4-V29,""))</f>
        <v/>
      </c>
      <c r="W30" s="20">
        <f>IF(OR(W4="",W29=""),"",IFERROR(W4-W29,""))</f>
        <v/>
      </c>
      <c r="X30" s="20">
        <f>IF(OR(X4="",X29=""),"",IFERROR(X4-X29,""))</f>
        <v/>
      </c>
      <c r="Y30" s="19" t="n"/>
      <c r="Z30" s="20" t="n"/>
      <c r="AA30" s="20" t="n"/>
      <c r="AB30" s="20" t="n"/>
      <c r="AC30" s="20" t="n"/>
    </row>
    <row r="31">
      <c r="A31" s="13" t="inlineStr">
        <is>
          <t>GPM</t>
        </is>
      </c>
      <c r="B31" s="10" t="n"/>
      <c r="C31" s="14">
        <f>IF(OR(C30="",C4=""),"",IFERROR(C30/C4,""))</f>
        <v/>
      </c>
      <c r="D31" s="15">
        <f>IF(OR(D30="",D4=""),"",IFERROR(D30/D4,""))</f>
        <v/>
      </c>
      <c r="E31" s="15">
        <f>IF(OR(E30="",E4=""),"",IFERROR(E30/E4,""))</f>
        <v/>
      </c>
      <c r="F31" s="15">
        <f>IF(OR(F30="",F4=""),"",IFERROR(F30/F4,""))</f>
        <v/>
      </c>
      <c r="G31" s="15">
        <f>IF(OR(G30="",G4=""),"",IFERROR(G30/G4,""))</f>
        <v/>
      </c>
      <c r="H31" s="15">
        <f>IF(OR(H30="",H4=""),"",IFERROR(H30/H4,""))</f>
        <v/>
      </c>
      <c r="I31" s="15">
        <f>IF(OR(I30="",I4=""),"",IFERROR(I30/I4,""))</f>
        <v/>
      </c>
      <c r="J31" s="15">
        <f>IF(OR(J30="",J4=""),"",IFERROR(J30/J4,""))</f>
        <v/>
      </c>
      <c r="K31" s="15">
        <f>IF(OR(K30="",K4=""),"",IFERROR(K30/K4,""))</f>
        <v/>
      </c>
      <c r="L31" s="15">
        <f>IF(OR(L30="",L4=""),"",IFERROR(L30/L4,""))</f>
        <v/>
      </c>
      <c r="M31" s="15">
        <f>IF(OR(M30="",M4=""),"",IFERROR(M30/M4,""))</f>
        <v/>
      </c>
      <c r="N31" s="15">
        <f>IF(OR(N30="",N4=""),"",IFERROR(N30/N4,""))</f>
        <v/>
      </c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>
        <f>IF(OR(Y30="",Y4=""),"",IFERROR(Y30/Y4,""))</f>
        <v/>
      </c>
      <c r="Z31" s="15">
        <f>IF(OR(Z30="",Z4=""),"",IFERROR(Z30/Z4,""))</f>
        <v/>
      </c>
      <c r="AA31" s="15">
        <f>IF(OR(AA30="",AA4=""),"",IFERROR(AA30/AA4,""))</f>
        <v/>
      </c>
      <c r="AB31" s="15">
        <f>IF(OR(AB30="",AB4=""),"",IFERROR(AB30/AB4,""))</f>
        <v/>
      </c>
      <c r="AC31" s="15">
        <f>IF(OR(AC30="",AC4=""),"",IFERROR(AC30/AC4,""))</f>
        <v/>
      </c>
    </row>
    <row r="32">
      <c r="A32" s="23" t="inlineStr">
        <is>
          <t>판매관리비</t>
        </is>
      </c>
      <c r="B32" s="23" t="n"/>
      <c r="C32" s="24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</row>
    <row r="33">
      <c r="A33" s="18" t="inlineStr">
        <is>
          <t>전체 판관비</t>
        </is>
      </c>
      <c r="B33" s="10" t="n"/>
      <c r="C33" s="19" t="n">
        <v>1337</v>
      </c>
      <c r="D33" s="20" t="n">
        <v>1516</v>
      </c>
      <c r="E33" s="20" t="n">
        <v>1847</v>
      </c>
      <c r="F33" s="20" t="n">
        <v>1691</v>
      </c>
      <c r="G33" s="20" t="n">
        <v>1577</v>
      </c>
      <c r="H33" s="20" t="n">
        <v>1747</v>
      </c>
      <c r="I33" s="20" t="n">
        <v>1791</v>
      </c>
      <c r="J33" s="20" t="n">
        <v>1764</v>
      </c>
      <c r="K33" s="20" t="n">
        <v>1576</v>
      </c>
      <c r="L33" s="20" t="n">
        <v>1627</v>
      </c>
      <c r="M33" s="20" t="n">
        <v>1984</v>
      </c>
      <c r="N33" s="20" t="n">
        <v>2160</v>
      </c>
      <c r="O33" s="19" t="n">
        <v>5757</v>
      </c>
      <c r="P33" s="20" t="n">
        <v>6241</v>
      </c>
      <c r="Q33" s="20" t="n">
        <v>5535</v>
      </c>
      <c r="R33" s="20" t="n">
        <v>6318</v>
      </c>
      <c r="S33" s="20" t="n">
        <v>5027</v>
      </c>
      <c r="T33" s="20" t="n">
        <v>4458</v>
      </c>
      <c r="U33" s="20" t="n">
        <v>5489</v>
      </c>
      <c r="V33" s="20" t="n">
        <v>6076</v>
      </c>
      <c r="W33" s="20" t="n">
        <v>6806</v>
      </c>
      <c r="X33" s="20" t="n">
        <v>6951</v>
      </c>
      <c r="Y33" s="19" t="n"/>
      <c r="Z33" s="20" t="n"/>
      <c r="AA33" s="20" t="n"/>
      <c r="AB33" s="20" t="n"/>
      <c r="AC33" s="20" t="n"/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593</v>
      </c>
      <c r="D34" s="12" t="n">
        <v>1041</v>
      </c>
      <c r="E34" s="12" t="n">
        <v>4313</v>
      </c>
      <c r="F34" s="12" t="n">
        <v>1770</v>
      </c>
      <c r="G34" s="12" t="n">
        <v>1878</v>
      </c>
      <c r="H34" s="12" t="n">
        <v>3199</v>
      </c>
      <c r="I34" s="12" t="n">
        <v>671</v>
      </c>
      <c r="J34" s="12" t="n">
        <v>3819</v>
      </c>
      <c r="K34" s="12" t="n">
        <v>1412</v>
      </c>
      <c r="L34" s="12" t="n">
        <v>1902</v>
      </c>
      <c r="M34" s="12" t="n">
        <v>1776</v>
      </c>
      <c r="N34" s="12" t="n">
        <v>8868</v>
      </c>
      <c r="O34" s="11" t="n">
        <v>8860</v>
      </c>
      <c r="P34" s="12" t="n">
        <v>13324</v>
      </c>
      <c r="Q34" s="12" t="n">
        <v>8251</v>
      </c>
      <c r="R34" s="12" t="n">
        <v>11508</v>
      </c>
      <c r="S34" s="12" t="n">
        <v>6795</v>
      </c>
      <c r="T34" s="12" t="n">
        <v>11585</v>
      </c>
      <c r="U34" s="12" t="n">
        <v>10553</v>
      </c>
      <c r="V34" s="12" t="n">
        <v>5735</v>
      </c>
      <c r="W34" s="12" t="n">
        <v>7518</v>
      </c>
      <c r="X34" s="12" t="n">
        <v>8909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IF(O33="","",O33)</f>
        <v/>
      </c>
      <c r="P38" s="12">
        <f>IF(P33="","",P33)</f>
        <v/>
      </c>
      <c r="Q38" s="12">
        <f>IF(Q33="","",Q33)</f>
        <v/>
      </c>
      <c r="R38" s="12">
        <f>IF(R33="","",R33)</f>
        <v/>
      </c>
      <c r="S38" s="12">
        <f>IF(S33="","",S33)</f>
        <v/>
      </c>
      <c r="T38" s="12">
        <f>IF(T33="","",T33)</f>
        <v/>
      </c>
      <c r="U38" s="12">
        <f>IF(U33="","",U33)</f>
        <v/>
      </c>
      <c r="V38" s="12">
        <f>IF(V33="","",V33)</f>
        <v/>
      </c>
      <c r="W38" s="12">
        <f>IF(W33="","",W33)</f>
        <v/>
      </c>
      <c r="X38" s="12">
        <f>IF(X33="","",X33)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>
        <v>0</v>
      </c>
      <c r="P52" s="20" t="n">
        <v>2182</v>
      </c>
      <c r="Q52" s="20" t="n">
        <v>0</v>
      </c>
      <c r="R52" s="20" t="n"/>
      <c r="S52" s="20" t="n"/>
      <c r="T52" s="20" t="n"/>
      <c r="U52" s="20" t="n"/>
      <c r="V52" s="20" t="n"/>
      <c r="W52" s="20" t="n"/>
      <c r="X52" s="20" t="n"/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29</v>
      </c>
      <c r="D54" s="20" t="n">
        <v>17</v>
      </c>
      <c r="E54" s="20" t="n">
        <v>11</v>
      </c>
      <c r="F54" s="20" t="n">
        <v>7</v>
      </c>
      <c r="G54" s="20" t="n">
        <v>10</v>
      </c>
      <c r="H54" s="20" t="n">
        <v>15</v>
      </c>
      <c r="I54" s="20" t="n">
        <v>130</v>
      </c>
      <c r="J54" s="20" t="n">
        <v>148</v>
      </c>
      <c r="K54" s="20" t="n">
        <v>205</v>
      </c>
      <c r="L54" s="20" t="n">
        <v>148</v>
      </c>
      <c r="M54" s="20" t="n">
        <v>251</v>
      </c>
      <c r="N54" s="20" t="n">
        <v>143</v>
      </c>
      <c r="O54" s="19" t="n">
        <v>73</v>
      </c>
      <c r="P54" s="20" t="n">
        <v>96</v>
      </c>
      <c r="Q54" s="20" t="n">
        <v>97</v>
      </c>
      <c r="R54" s="20" t="n">
        <v>47</v>
      </c>
      <c r="S54" s="20" t="n">
        <v>179</v>
      </c>
      <c r="T54" s="20" t="n">
        <v>243</v>
      </c>
      <c r="U54" s="20" t="n">
        <v>269</v>
      </c>
      <c r="V54" s="20" t="n">
        <v>75</v>
      </c>
      <c r="W54" s="20" t="n">
        <v>162</v>
      </c>
      <c r="X54" s="20" t="n">
        <v>752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75</v>
      </c>
      <c r="D56" s="20" t="n">
        <v>72</v>
      </c>
      <c r="E56" s="20" t="n">
        <v>75</v>
      </c>
      <c r="F56" s="20" t="n">
        <v>88</v>
      </c>
      <c r="G56" s="20" t="n">
        <v>95</v>
      </c>
      <c r="H56" s="20" t="n">
        <v>144</v>
      </c>
      <c r="I56" s="20" t="n">
        <v>310</v>
      </c>
      <c r="J56" s="20" t="n">
        <v>252</v>
      </c>
      <c r="K56" s="20" t="n">
        <v>239</v>
      </c>
      <c r="L56" s="20" t="n">
        <v>238</v>
      </c>
      <c r="M56" s="20" t="n">
        <v>373</v>
      </c>
      <c r="N56" s="20" t="n">
        <v>518</v>
      </c>
      <c r="O56" s="19" t="n">
        <v>442</v>
      </c>
      <c r="P56" s="20" t="n">
        <v>472</v>
      </c>
      <c r="Q56" s="20" t="n">
        <v>379</v>
      </c>
      <c r="R56" s="20" t="n">
        <v>251</v>
      </c>
      <c r="S56" s="20" t="n">
        <v>308</v>
      </c>
      <c r="T56" s="20" t="n">
        <v>284</v>
      </c>
      <c r="U56" s="20" t="n">
        <v>268</v>
      </c>
      <c r="V56" s="20" t="n">
        <v>289</v>
      </c>
      <c r="W56" s="20" t="n">
        <v>637</v>
      </c>
      <c r="X56" s="20" t="n">
        <v>1102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547</v>
      </c>
      <c r="D58" s="12" t="n">
        <v>986</v>
      </c>
      <c r="E58" s="12" t="n">
        <v>4249</v>
      </c>
      <c r="F58" s="12" t="n">
        <v>1689</v>
      </c>
      <c r="G58" s="12" t="n">
        <v>1793</v>
      </c>
      <c r="H58" s="12" t="n">
        <v>3069</v>
      </c>
      <c r="I58" s="12" t="n">
        <v>493</v>
      </c>
      <c r="J58" s="12" t="n">
        <v>3715</v>
      </c>
      <c r="K58" s="12" t="n">
        <v>1378</v>
      </c>
      <c r="L58" s="12" t="n">
        <v>1812</v>
      </c>
      <c r="M58" s="12" t="n">
        <v>1654</v>
      </c>
      <c r="N58" s="12" t="n">
        <v>8494</v>
      </c>
      <c r="O58" s="11" t="n">
        <v>8491</v>
      </c>
      <c r="P58" s="12" t="n">
        <v>10766</v>
      </c>
      <c r="Q58" s="12" t="n">
        <v>7969</v>
      </c>
      <c r="R58" s="12" t="n">
        <v>11305</v>
      </c>
      <c r="S58" s="12" t="n">
        <v>6667</v>
      </c>
      <c r="T58" s="12" t="n">
        <v>11544</v>
      </c>
      <c r="U58" s="12" t="n">
        <v>10554</v>
      </c>
      <c r="V58" s="12" t="n">
        <v>5521</v>
      </c>
      <c r="W58" s="12" t="n">
        <v>7044</v>
      </c>
      <c r="X58" s="12" t="n">
        <v>8559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8" t="inlineStr">
        <is>
          <t>법인세비용(수익)</t>
        </is>
      </c>
      <c r="B59" s="10" t="n"/>
      <c r="C59" s="19" t="n">
        <v>99</v>
      </c>
      <c r="D59" s="20" t="n">
        <v>253</v>
      </c>
      <c r="E59" s="20" t="n">
        <v>1286</v>
      </c>
      <c r="F59" s="20" t="n">
        <v>523</v>
      </c>
      <c r="G59" s="20" t="n">
        <v>588</v>
      </c>
      <c r="H59" s="20" t="n">
        <v>847</v>
      </c>
      <c r="I59" s="20" t="n">
        <v>71</v>
      </c>
      <c r="J59" s="20" t="n">
        <v>1218</v>
      </c>
      <c r="K59" s="20" t="n">
        <v>397</v>
      </c>
      <c r="L59" s="20" t="n">
        <v>550</v>
      </c>
      <c r="M59" s="20" t="n">
        <v>531</v>
      </c>
      <c r="N59" s="20" t="n">
        <v>2671</v>
      </c>
      <c r="O59" s="19" t="n">
        <v>3034</v>
      </c>
      <c r="P59" s="20" t="n">
        <v>3914</v>
      </c>
      <c r="Q59" s="20" t="n">
        <v>2555</v>
      </c>
      <c r="R59" s="20" t="n">
        <v>3715</v>
      </c>
      <c r="S59" s="20" t="n">
        <v>2362</v>
      </c>
      <c r="T59" s="20" t="n">
        <v>3947</v>
      </c>
      <c r="U59" s="20" t="n">
        <v>3523</v>
      </c>
      <c r="V59" s="20" t="n">
        <v>1768</v>
      </c>
      <c r="W59" s="20" t="n">
        <v>2029</v>
      </c>
      <c r="X59" s="20" t="n">
        <v>2696</v>
      </c>
      <c r="Y59" s="19">
        <f>IF(OR(Y58="",Y60=""),"",IFERROR(MAX(Y58,0)*Y60,""))</f>
        <v/>
      </c>
      <c r="Z59" s="20">
        <f>IF(OR(Z58="",Z60=""),"",IFERROR(MAX(Z58,0)*Z60,""))</f>
        <v/>
      </c>
      <c r="AA59" s="20">
        <f>IF(OR(AA58="",AA60=""),"",IFERROR(MAX(AA58,0)*AA60,""))</f>
        <v/>
      </c>
      <c r="AB59" s="20">
        <f>IF(OR(AB58="",AB60=""),"",IFERROR(MAX(AB58,0)*AB60,""))</f>
        <v/>
      </c>
      <c r="AC59" s="20">
        <f>IF(OR(AC58="",AC60=""),"",IFERROR(MAX(AC58,0)*AC60,""))</f>
        <v/>
      </c>
    </row>
    <row r="60">
      <c r="A60" s="13" t="inlineStr">
        <is>
          <t>법인세율</t>
        </is>
      </c>
      <c r="B60" s="10" t="inlineStr">
        <is>
          <t>MW 기본 30%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0.3</v>
      </c>
      <c r="Z60" s="26" t="n">
        <v>0.3</v>
      </c>
      <c r="AA60" s="26" t="n">
        <v>0.3</v>
      </c>
      <c r="AB60" s="26" t="n">
        <v>0.3</v>
      </c>
      <c r="AC60" s="26" t="n">
        <v>0.3</v>
      </c>
    </row>
    <row r="61">
      <c r="A61" s="9" t="inlineStr">
        <is>
          <t>당기순이익(손실)</t>
        </is>
      </c>
      <c r="B61" s="10" t="n"/>
      <c r="C61" s="11" t="n">
        <v>448</v>
      </c>
      <c r="D61" s="12" t="n">
        <v>732</v>
      </c>
      <c r="E61" s="12" t="n">
        <v>2964</v>
      </c>
      <c r="F61" s="12" t="n">
        <v>1165</v>
      </c>
      <c r="G61" s="12" t="n">
        <v>1206</v>
      </c>
      <c r="H61" s="12" t="n">
        <v>2222</v>
      </c>
      <c r="I61" s="12" t="n">
        <v>421</v>
      </c>
      <c r="J61" s="12" t="n">
        <v>2496</v>
      </c>
      <c r="K61" s="12" t="n">
        <v>982</v>
      </c>
      <c r="L61" s="12" t="n">
        <v>1262</v>
      </c>
      <c r="M61" s="12" t="n">
        <v>1122</v>
      </c>
      <c r="N61" s="12" t="n">
        <v>5822</v>
      </c>
      <c r="O61" s="11" t="n">
        <v>5457</v>
      </c>
      <c r="P61" s="12" t="n">
        <v>6851</v>
      </c>
      <c r="Q61" s="12" t="n">
        <v>5414</v>
      </c>
      <c r="R61" s="12" t="n">
        <v>7589</v>
      </c>
      <c r="S61" s="12" t="n">
        <v>4304</v>
      </c>
      <c r="T61" s="12" t="n">
        <v>7597</v>
      </c>
      <c r="U61" s="12" t="n">
        <v>7031</v>
      </c>
      <c r="V61" s="12" t="n">
        <v>3753</v>
      </c>
      <c r="W61" s="12" t="n">
        <v>5014</v>
      </c>
      <c r="X61" s="12" t="n">
        <v>5862</v>
      </c>
      <c r="Y61" s="11">
        <f>IF(OR(Y58=""),"",IFERROR(Y58-Y59,""))</f>
        <v/>
      </c>
      <c r="Z61" s="12">
        <f>IF(OR(Z58=""),"",IFERROR(Z58-Z59,""))</f>
        <v/>
      </c>
      <c r="AA61" s="12">
        <f>IF(OR(AA58=""),"",IFERROR(AA58-AA59,""))</f>
        <v/>
      </c>
      <c r="AB61" s="12">
        <f>IF(OR(AB58=""),"",IFERROR(AB58-AB59,""))</f>
        <v/>
      </c>
      <c r="AC61" s="12">
        <f>IF(OR(AC58=""),"",IFERROR(AC58-AC59,""))</f>
        <v/>
      </c>
    </row>
    <row r="62">
      <c r="A62" s="9" t="inlineStr">
        <is>
          <t>지배주주 순이익</t>
        </is>
      </c>
      <c r="B62" s="10" t="n"/>
      <c r="C62" s="11" t="n">
        <v>448</v>
      </c>
      <c r="D62" s="12" t="n">
        <v>732</v>
      </c>
      <c r="E62" s="12" t="n">
        <v>2964</v>
      </c>
      <c r="F62" s="12" t="n">
        <v>1165</v>
      </c>
      <c r="G62" s="12" t="n">
        <v>1206</v>
      </c>
      <c r="H62" s="12" t="n">
        <v>2222</v>
      </c>
      <c r="I62" s="12" t="n">
        <v>421</v>
      </c>
      <c r="J62" s="12" t="n">
        <v>2496</v>
      </c>
      <c r="K62" s="12" t="n">
        <v>982</v>
      </c>
      <c r="L62" s="12" t="n">
        <v>1262</v>
      </c>
      <c r="M62" s="12" t="n">
        <v>1122</v>
      </c>
      <c r="N62" s="12" t="n">
        <v>5822</v>
      </c>
      <c r="O62" s="11" t="n">
        <v>5457</v>
      </c>
      <c r="P62" s="12" t="n">
        <v>6851</v>
      </c>
      <c r="Q62" s="12" t="n">
        <v>5414</v>
      </c>
      <c r="R62" s="12" t="n">
        <v>7589</v>
      </c>
      <c r="S62" s="12" t="n">
        <v>4304</v>
      </c>
      <c r="T62" s="12" t="n">
        <v>7597</v>
      </c>
      <c r="U62" s="12" t="n">
        <v>7031</v>
      </c>
      <c r="V62" s="12" t="n">
        <v>3753</v>
      </c>
      <c r="W62" s="12" t="n">
        <v>5014</v>
      </c>
      <c r="X62" s="12" t="n">
        <v>5862</v>
      </c>
      <c r="Y62" s="11">
        <f>IF(OR(Y61="",Y63=""),"",IFERROR(Y61*Y63,""))</f>
        <v/>
      </c>
      <c r="Z62" s="12">
        <f>IF(OR(Z61="",Z63=""),"",IFERROR(Z61*Z63,""))</f>
        <v/>
      </c>
      <c r="AA62" s="12">
        <f>IF(OR(AA61="",AA63=""),"",IFERROR(AA61*AA63,""))</f>
        <v/>
      </c>
      <c r="AB62" s="12">
        <f>IF(OR(AB61="",AB63=""),"",IFERROR(AB61*AB63,""))</f>
        <v/>
      </c>
      <c r="AC62" s="12">
        <f>IF(OR(AC61="",AC63=""),"",IFERROR(AC61*AC63,""))</f>
        <v/>
      </c>
    </row>
    <row r="63">
      <c r="A63" s="13" t="inlineStr">
        <is>
          <t>지배주주 순이익률</t>
        </is>
      </c>
      <c r="B63" s="10" t="inlineStr">
        <is>
          <t>MW 기본 100%</t>
        </is>
      </c>
      <c r="C63" s="14">
        <f>IF(OR(C62="",C61=""),"",IFERROR(C62/C61,""))</f>
        <v/>
      </c>
      <c r="D63" s="15">
        <f>IF(OR(D62="",D61=""),"",IFERROR(D62/D61,""))</f>
        <v/>
      </c>
      <c r="E63" s="15">
        <f>IF(OR(E62="",E61=""),"",IFERROR(E62/E61,""))</f>
        <v/>
      </c>
      <c r="F63" s="15">
        <f>IF(OR(F62="",F61=""),"",IFERROR(F62/F61,""))</f>
        <v/>
      </c>
      <c r="G63" s="15">
        <f>IF(OR(G62="",G61=""),"",IFERROR(G62/G61,""))</f>
        <v/>
      </c>
      <c r="H63" s="15">
        <f>IF(OR(H62="",H61=""),"",IFERROR(H62/H61,""))</f>
        <v/>
      </c>
      <c r="I63" s="15">
        <f>IF(OR(I62="",I61=""),"",IFERROR(I62/I61,""))</f>
        <v/>
      </c>
      <c r="J63" s="15">
        <f>IF(OR(J62="",J61=""),"",IFERROR(J62/J61,""))</f>
        <v/>
      </c>
      <c r="K63" s="15">
        <f>IF(OR(K62="",K61=""),"",IFERROR(K62/K61,""))</f>
        <v/>
      </c>
      <c r="L63" s="15">
        <f>IF(OR(L62="",L61=""),"",IFERROR(L62/L61,""))</f>
        <v/>
      </c>
      <c r="M63" s="15">
        <f>IF(OR(M62="",M61=""),"",IFERROR(M62/M61,""))</f>
        <v/>
      </c>
      <c r="N63" s="15">
        <f>IF(OR(N62="",N61=""),"",IFERROR(N62/N61,""))</f>
        <v/>
      </c>
      <c r="O63" s="14">
        <f>IF(OR(O62="",O61=""),"",IFERROR(O62/O61,""))</f>
        <v/>
      </c>
      <c r="P63" s="15">
        <f>IF(OR(P62="",P61=""),"",IFERROR(P62/P61,""))</f>
        <v/>
      </c>
      <c r="Q63" s="15">
        <f>IF(OR(Q62="",Q61=""),"",IFERROR(Q62/Q61,""))</f>
        <v/>
      </c>
      <c r="R63" s="15">
        <f>IF(OR(R62="",R61=""),"",IFERROR(R62/R61,""))</f>
        <v/>
      </c>
      <c r="S63" s="15">
        <f>IF(OR(S62="",S61=""),"",IFERROR(S62/S61,""))</f>
        <v/>
      </c>
      <c r="T63" s="15">
        <f>IF(OR(T62="",T61=""),"",IFERROR(T62/T61,""))</f>
        <v/>
      </c>
      <c r="U63" s="15">
        <f>IF(OR(U62="",U61=""),"",IFERROR(U62/U61,""))</f>
        <v/>
      </c>
      <c r="V63" s="15">
        <f>IF(OR(V62="",V61=""),"",IFERROR(V62/V61,""))</f>
        <v/>
      </c>
      <c r="W63" s="15">
        <f>IF(OR(W62="",W61=""),"",IFERROR(W62/W61,""))</f>
        <v/>
      </c>
      <c r="X63" s="15">
        <f>IF(OR(X62="",X61=""),"",IFERROR(X62/X61,""))</f>
        <v/>
      </c>
      <c r="Y63" s="25" t="n">
        <v>1</v>
      </c>
      <c r="Z63" s="26" t="n">
        <v>1</v>
      </c>
      <c r="AA63" s="26" t="n">
        <v>1</v>
      </c>
      <c r="AB63" s="26" t="n">
        <v>1</v>
      </c>
      <c r="AC63" s="26" t="n">
        <v>1</v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IF(O35="","",O35)</f>
        <v/>
      </c>
      <c r="P68" s="15">
        <f>IF(P35="","",P35)</f>
        <v/>
      </c>
      <c r="Q68" s="15">
        <f>IF(Q35="","",Q35)</f>
        <v/>
      </c>
      <c r="R68" s="15">
        <f>IF(R35="","",R35)</f>
        <v/>
      </c>
      <c r="S68" s="15">
        <f>IF(S35="","",S35)</f>
        <v/>
      </c>
      <c r="T68" s="15">
        <f>IF(T35="","",T35)</f>
        <v/>
      </c>
      <c r="U68" s="15">
        <f>IF(U35="","",U35)</f>
        <v/>
      </c>
      <c r="V68" s="15">
        <f>IF(V35="","",V35)</f>
        <v/>
      </c>
      <c r="W68" s="15">
        <f>IF(W35="","",W35)</f>
        <v/>
      </c>
      <c r="X68" s="15">
        <f>IF(X35="","",X35)</f>
        <v/>
      </c>
      <c r="Y68" s="14">
        <f>IF(Y35="","",Y35)</f>
        <v/>
      </c>
      <c r="Z68" s="15">
        <f>IF(Z35="","",Z35)</f>
        <v/>
      </c>
      <c r="AA68" s="15">
        <f>IF(AA35="","",AA35)</f>
        <v/>
      </c>
      <c r="AB68" s="15">
        <f>IF(AB35="","",AB35)</f>
        <v/>
      </c>
      <c r="AC68" s="15">
        <f>IF(AC35="","",AC35)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IF(OR(P62="",O62=""),"",IFERROR(P62/O62-1,""))</f>
        <v/>
      </c>
      <c r="Q69" s="15">
        <f>IF(OR(Q62="",P62=""),"",IFERROR(Q62/P62-1,""))</f>
        <v/>
      </c>
      <c r="R69" s="15">
        <f>IF(OR(R62="",Q62=""),"",IFERROR(R62/Q62-1,""))</f>
        <v/>
      </c>
      <c r="S69" s="15">
        <f>IF(OR(S62="",R62=""),"",IFERROR(S62/R62-1,""))</f>
        <v/>
      </c>
      <c r="T69" s="15">
        <f>IF(OR(T62="",S62=""),"",IFERROR(T62/S62-1,""))</f>
        <v/>
      </c>
      <c r="U69" s="15">
        <f>IF(OR(U62="",T62=""),"",IFERROR(U62/T62-1,""))</f>
        <v/>
      </c>
      <c r="V69" s="15">
        <f>IF(OR(V62="",U62=""),"",IFERROR(V62/U62-1,""))</f>
        <v/>
      </c>
      <c r="W69" s="15">
        <f>IF(OR(W62="",V62=""),"",IFERROR(W62/V62-1,""))</f>
        <v/>
      </c>
      <c r="X69" s="15">
        <f>IF(OR(X62="",W62=""),"",IFERROR(X62/W62-1,""))</f>
        <v/>
      </c>
      <c r="Y69" s="14">
        <f>IF(OR(Y62="",X62=""),"",IFERROR(Y62/X62-1,""))</f>
        <v/>
      </c>
      <c r="Z69" s="15">
        <f>IF(OR(Z62="",Y62=""),"",IFERROR(Z62/Y62-1,""))</f>
        <v/>
      </c>
      <c r="AA69" s="15">
        <f>IF(OR(AA62="",Z62=""),"",IFERROR(AA62/Z62-1,""))</f>
        <v/>
      </c>
      <c r="AB69" s="15">
        <f>IF(OR(AB62="",AA62=""),"",IFERROR(AB62/AA62-1,""))</f>
        <v/>
      </c>
      <c r="AC69" s="15">
        <f>IF(OR(AC62="",AB62=""),"",IFERROR(AC62/AB62-1,""))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IF(OR($B$67="",X62=""),"",IFERROR($B$67/X62,""))</f>
        <v/>
      </c>
      <c r="Y70" s="30">
        <f>IF(OR($B$67="",Y62=""),"",IFERROR($B$67/Y62,""))</f>
        <v/>
      </c>
      <c r="Z70" s="31">
        <f>IF(OR($B$67="",Z62=""),"",IFERROR($B$67/Z62,""))</f>
        <v/>
      </c>
      <c r="AA70" s="31">
        <f>IF(OR($B$67="",AA62=""),"",IFERROR($B$67/AA62,""))</f>
        <v/>
      </c>
      <c r="AB70" s="31">
        <f>IF(OR($B$67="",AB62=""),"",IFERROR($B$67/AB62,""))</f>
        <v/>
      </c>
      <c r="AC70" s="31">
        <f>IF(OR($B$67="",AC62=""),"",IFERROR($B$67/AC62,""))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IF(OR(O62="",$B$66=""),"",IFERROR(O62*1000000.0/$B$66,""))</f>
        <v/>
      </c>
      <c r="P72" s="29">
        <f>IF(OR(P62="",$B$66=""),"",IFERROR(P62*1000000.0/$B$66,""))</f>
        <v/>
      </c>
      <c r="Q72" s="29">
        <f>IF(OR(Q62="",$B$66=""),"",IFERROR(Q62*1000000.0/$B$66,""))</f>
        <v/>
      </c>
      <c r="R72" s="29">
        <f>IF(OR(R62="",$B$66=""),"",IFERROR(R62*1000000.0/$B$66,""))</f>
        <v/>
      </c>
      <c r="S72" s="29">
        <f>IF(OR(S62="",$B$66=""),"",IFERROR(S62*1000000.0/$B$66,""))</f>
        <v/>
      </c>
      <c r="T72" s="29">
        <f>IF(OR(T62="",$B$66=""),"",IFERROR(T62*1000000.0/$B$66,""))</f>
        <v/>
      </c>
      <c r="U72" s="29">
        <f>IF(OR(U62="",$B$66=""),"",IFERROR(U62*1000000.0/$B$66,""))</f>
        <v/>
      </c>
      <c r="V72" s="29">
        <f>IF(OR(V62="",$B$66=""),"",IFERROR(V62*1000000.0/$B$66,""))</f>
        <v/>
      </c>
      <c r="W72" s="29">
        <f>IF(OR(W62="",$B$66=""),"",IFERROR(W62*1000000.0/$B$66,""))</f>
        <v/>
      </c>
      <c r="X72" s="29">
        <f>IF(OR(X62="",$B$66=""),"",IFERROR(X62*1000000.0/$B$66,""))</f>
        <v/>
      </c>
      <c r="Y72" s="28">
        <f>IF(OR(Y62="",$B$66=""),"",IFERROR(Y62*1000000.0/$B$66,""))</f>
        <v/>
      </c>
      <c r="Z72" s="29">
        <f>IF(OR(Z62="",$B$66=""),"",IFERROR(Z62*1000000.0/$B$66,""))</f>
        <v/>
      </c>
      <c r="AA72" s="29">
        <f>IF(OR(AA62="",$B$66=""),"",IFERROR(AA62*1000000.0/$B$66,""))</f>
        <v/>
      </c>
      <c r="AB72" s="29">
        <f>IF(OR(AB62="",$B$66=""),"",IFERROR(AB62*1000000.0/$B$66,""))</f>
        <v/>
      </c>
      <c r="AC72" s="29">
        <f>IF(OR(AC62="",$B$66=""),"",IFERROR(AC62*1000000.0/$B$66,""))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IF(OR(Y62="",Y71=""),"",IFERROR(Y62*Y71,""))</f>
        <v/>
      </c>
      <c r="Z84" s="20">
        <f>IF(OR(Z62="",Z71=""),"",IFERROR(Z62*Z71,""))</f>
        <v/>
      </c>
      <c r="AA84" s="20">
        <f>IF(OR(AA62="",AA71=""),"",IFERROR(AA62*AA71,""))</f>
        <v/>
      </c>
      <c r="AB84" s="20">
        <f>IF(OR(AB62="",AB71=""),"",IFERROR(AB62*AB71,""))</f>
        <v/>
      </c>
      <c r="AC84" s="20">
        <f>IF(OR(AC62="",AC71=""),"",IFERROR(AC62*AC71,""))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2024.2Q</t>
        </is>
      </c>
      <c r="D95" s="5" t="inlineStr">
        <is>
          <t>2024.3Q</t>
        </is>
      </c>
      <c r="E95" s="5" t="inlineStr">
        <is>
          <t>2024.4Q</t>
        </is>
      </c>
      <c r="F95" s="5" t="inlineStr">
        <is>
          <t>2025.1Q</t>
        </is>
      </c>
      <c r="G95" s="5" t="inlineStr">
        <is>
          <t>2025.2Q</t>
        </is>
      </c>
      <c r="H95" s="5" t="inlineStr">
        <is>
          <t>2025.3Q</t>
        </is>
      </c>
      <c r="I95" s="5" t="inlineStr">
        <is>
          <t>2025.4Q</t>
        </is>
      </c>
      <c r="J95" s="5" t="inlineStr">
        <is>
          <t>2026.1Q</t>
        </is>
      </c>
      <c r="K95" s="5" t="inlineStr">
        <is>
          <t>2026.2Q</t>
        </is>
      </c>
      <c r="L95" s="5" t="inlineStr">
        <is>
          <t>2026.3Q</t>
        </is>
      </c>
      <c r="M95" s="5" t="inlineStr">
        <is>
          <t>2026.4Q</t>
        </is>
      </c>
      <c r="N95" s="5" t="inlineStr">
        <is>
          <t>2027.1Q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3754</v>
      </c>
      <c r="D96" s="12" t="n">
        <v>6496</v>
      </c>
      <c r="E96" s="12" t="n">
        <v>12062</v>
      </c>
      <c r="F96" s="12" t="n">
        <v>6741</v>
      </c>
      <c r="G96" s="12" t="n">
        <v>6967</v>
      </c>
      <c r="H96" s="12" t="n">
        <v>10544</v>
      </c>
      <c r="I96" s="12" t="n">
        <v>5042</v>
      </c>
      <c r="J96" s="12" t="n">
        <v>10758</v>
      </c>
      <c r="K96" s="12" t="n">
        <v>5238</v>
      </c>
      <c r="L96" s="12" t="n">
        <v>6917</v>
      </c>
      <c r="M96" s="12" t="n">
        <v>7532</v>
      </c>
      <c r="N96" s="12" t="n">
        <v>17143</v>
      </c>
      <c r="T96" s="12" t="n">
        <v>4153</v>
      </c>
      <c r="U96" s="12" t="n">
        <v>4006</v>
      </c>
      <c r="V96" s="12" t="n">
        <v>12062</v>
      </c>
      <c r="W96" s="12" t="n">
        <v>5042</v>
      </c>
      <c r="X96" s="12" t="n">
        <v>7532</v>
      </c>
    </row>
    <row r="97">
      <c r="A97" s="18" t="inlineStr">
        <is>
          <t>매출원가</t>
        </is>
      </c>
      <c r="C97" s="20" t="n">
        <v>1823</v>
      </c>
      <c r="D97" s="20" t="n">
        <v>3940</v>
      </c>
      <c r="E97" s="20" t="n">
        <v>5902</v>
      </c>
      <c r="F97" s="20" t="n">
        <v>3280</v>
      </c>
      <c r="G97" s="20" t="n">
        <v>3512</v>
      </c>
      <c r="H97" s="20" t="n">
        <v>5597</v>
      </c>
      <c r="I97" s="20" t="n">
        <v>2580</v>
      </c>
      <c r="J97" s="20" t="n">
        <v>5174</v>
      </c>
      <c r="K97" s="20" t="n">
        <v>2251</v>
      </c>
      <c r="L97" s="20" t="n">
        <v>3387</v>
      </c>
      <c r="M97" s="20" t="n">
        <v>3772</v>
      </c>
      <c r="N97" s="20" t="n">
        <v>6114</v>
      </c>
      <c r="T97" s="20" t="n">
        <v>2212</v>
      </c>
      <c r="U97" s="20" t="n">
        <v>1993</v>
      </c>
      <c r="V97" s="20" t="n">
        <v>5902</v>
      </c>
      <c r="W97" s="20" t="n">
        <v>2580</v>
      </c>
      <c r="X97" s="20" t="n">
        <v>3772</v>
      </c>
    </row>
    <row r="98">
      <c r="A98" s="9" t="inlineStr">
        <is>
          <t>매출총이익</t>
        </is>
      </c>
      <c r="C98" s="12" t="n">
        <v>1931</v>
      </c>
      <c r="D98" s="12" t="n">
        <v>2557</v>
      </c>
      <c r="E98" s="12" t="n">
        <v>6159</v>
      </c>
      <c r="F98" s="12" t="n">
        <v>3461</v>
      </c>
      <c r="G98" s="12" t="n">
        <v>3455</v>
      </c>
      <c r="H98" s="12" t="n">
        <v>4946</v>
      </c>
      <c r="I98" s="12" t="n">
        <v>2463</v>
      </c>
      <c r="J98" s="12" t="n">
        <v>5583</v>
      </c>
      <c r="K98" s="12" t="n">
        <v>2988</v>
      </c>
      <c r="L98" s="12" t="n">
        <v>3530</v>
      </c>
      <c r="M98" s="12" t="n">
        <v>3760</v>
      </c>
      <c r="N98" s="12" t="n">
        <v>11029</v>
      </c>
      <c r="T98" s="12" t="n">
        <v>1941</v>
      </c>
      <c r="U98" s="12" t="n">
        <v>2012</v>
      </c>
      <c r="V98" s="12" t="n">
        <v>6159</v>
      </c>
      <c r="W98" s="12" t="n">
        <v>2463</v>
      </c>
      <c r="X98" s="12" t="n">
        <v>3760</v>
      </c>
    </row>
    <row r="99">
      <c r="A99" s="18" t="inlineStr">
        <is>
          <t>판매비와 관리비</t>
        </is>
      </c>
      <c r="C99" s="20" t="n">
        <v>1337</v>
      </c>
      <c r="D99" s="20" t="n">
        <v>1516</v>
      </c>
      <c r="E99" s="20" t="n">
        <v>1847</v>
      </c>
      <c r="F99" s="20" t="n">
        <v>1691</v>
      </c>
      <c r="G99" s="20" t="n">
        <v>1577</v>
      </c>
      <c r="H99" s="20" t="n">
        <v>1747</v>
      </c>
      <c r="I99" s="20" t="n">
        <v>1791</v>
      </c>
      <c r="J99" s="20" t="n">
        <v>1764</v>
      </c>
      <c r="K99" s="20" t="n">
        <v>1576</v>
      </c>
      <c r="L99" s="20" t="n">
        <v>1627</v>
      </c>
      <c r="M99" s="20" t="n">
        <v>1984</v>
      </c>
      <c r="N99" s="20" t="n">
        <v>2160</v>
      </c>
      <c r="T99" s="20" t="n">
        <v>1082</v>
      </c>
      <c r="U99" s="20" t="n">
        <v>1690</v>
      </c>
      <c r="V99" s="20" t="n">
        <v>1847</v>
      </c>
      <c r="W99" s="20" t="n">
        <v>1791</v>
      </c>
      <c r="X99" s="20" t="n">
        <v>1984</v>
      </c>
    </row>
    <row r="100">
      <c r="A100" s="9" t="inlineStr">
        <is>
          <t>영업이익</t>
        </is>
      </c>
      <c r="C100" s="12" t="n">
        <v>593</v>
      </c>
      <c r="D100" s="12" t="n">
        <v>1041</v>
      </c>
      <c r="E100" s="12" t="n">
        <v>4313</v>
      </c>
      <c r="F100" s="12" t="n">
        <v>1770</v>
      </c>
      <c r="G100" s="12" t="n">
        <v>1878</v>
      </c>
      <c r="H100" s="12" t="n">
        <v>3199</v>
      </c>
      <c r="I100" s="12" t="n">
        <v>671</v>
      </c>
      <c r="J100" s="12" t="n">
        <v>3819</v>
      </c>
      <c r="K100" s="12" t="n">
        <v>1412</v>
      </c>
      <c r="L100" s="12" t="n">
        <v>1902</v>
      </c>
      <c r="M100" s="12" t="n">
        <v>1776</v>
      </c>
      <c r="N100" s="12" t="n">
        <v>8868</v>
      </c>
      <c r="T100" s="12" t="n">
        <v>859</v>
      </c>
      <c r="U100" s="12" t="n">
        <v>322</v>
      </c>
      <c r="V100" s="12" t="n">
        <v>4313</v>
      </c>
      <c r="W100" s="12" t="n">
        <v>671</v>
      </c>
      <c r="X100" s="12" t="n">
        <v>1776</v>
      </c>
    </row>
    <row r="101">
      <c r="A101" s="18" t="inlineStr">
        <is>
          <t>이자수익</t>
        </is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3</v>
      </c>
      <c r="H101" s="20" t="n">
        <v>5</v>
      </c>
      <c r="I101" s="20" t="n">
        <v>32</v>
      </c>
      <c r="J101" s="20" t="n">
        <v>2</v>
      </c>
      <c r="K101" s="20" t="n">
        <v>65</v>
      </c>
      <c r="L101" s="20" t="n">
        <v>4</v>
      </c>
      <c r="M101" s="20" t="n">
        <v>72</v>
      </c>
      <c r="N101" s="20" t="n">
        <v>4</v>
      </c>
      <c r="T101" s="20" t="n">
        <v>1</v>
      </c>
      <c r="U101" s="20" t="n">
        <v>0</v>
      </c>
      <c r="V101" s="20" t="n">
        <v>0</v>
      </c>
      <c r="W101" s="20" t="n">
        <v>32</v>
      </c>
      <c r="X101" s="20" t="n">
        <v>72</v>
      </c>
    </row>
    <row r="102">
      <c r="A102" s="18" t="inlineStr">
        <is>
          <t>배당금수익</t>
        </is>
      </c>
      <c r="C102" s="20" t="n">
        <v>1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1</v>
      </c>
      <c r="I102" s="20" t="n">
        <v>0</v>
      </c>
      <c r="J102" s="20" t="n">
        <v>0</v>
      </c>
      <c r="K102" s="20" t="n">
        <v>0</v>
      </c>
      <c r="L102" s="20" t="n">
        <v>1</v>
      </c>
      <c r="M102" s="20" t="n">
        <v>0</v>
      </c>
      <c r="N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v>0</v>
      </c>
    </row>
    <row r="103">
      <c r="A103" s="18" t="inlineStr">
        <is>
          <t>Contract Income NOI</t>
        </is>
      </c>
      <c r="C103" s="20" t="n">
        <v>20</v>
      </c>
      <c r="D103" s="20" t="n">
        <v>3</v>
      </c>
      <c r="E103" s="20" t="n">
        <v>4</v>
      </c>
      <c r="F103" s="20" t="n">
        <v>0</v>
      </c>
      <c r="G103" s="20" t="n">
        <v>1</v>
      </c>
      <c r="H103" s="20" t="n">
        <v>1</v>
      </c>
      <c r="I103" s="20" t="n">
        <v>2</v>
      </c>
      <c r="J103" s="20" t="n">
        <v>4</v>
      </c>
      <c r="K103" s="20" t="n">
        <v>0</v>
      </c>
      <c r="L103" s="20" t="n">
        <v>4</v>
      </c>
      <c r="M103" s="20" t="n">
        <v>2</v>
      </c>
      <c r="N103" s="20" t="n">
        <v>0</v>
      </c>
      <c r="T103" s="20" t="n">
        <v>3</v>
      </c>
      <c r="U103" s="20" t="n">
        <v>0</v>
      </c>
      <c r="V103" s="20" t="n">
        <v>4</v>
      </c>
      <c r="W103" s="20" t="n">
        <v>2</v>
      </c>
      <c r="X103" s="20" t="n">
        <v>2</v>
      </c>
    </row>
    <row r="104">
      <c r="A104" s="18" t="inlineStr">
        <is>
          <t>Rent Income Of Facilities NOI</t>
        </is>
      </c>
      <c r="C104" s="20" t="n">
        <v>2</v>
      </c>
      <c r="D104" s="20" t="n">
        <v>1</v>
      </c>
      <c r="E104" s="20" t="n">
        <v>2</v>
      </c>
      <c r="F104" s="20" t="n">
        <v>1</v>
      </c>
      <c r="G104" s="20" t="n">
        <v>1</v>
      </c>
      <c r="H104" s="20" t="n">
        <v>1</v>
      </c>
      <c r="I104" s="20" t="n">
        <v>1</v>
      </c>
      <c r="J104" s="20" t="n">
        <v>0</v>
      </c>
      <c r="K104" s="20" t="n">
        <v>1</v>
      </c>
      <c r="L104" s="20" t="n">
        <v>0</v>
      </c>
      <c r="M104" s="20" t="n">
        <v>1</v>
      </c>
      <c r="N104" s="20" t="n">
        <v>1</v>
      </c>
      <c r="T104" s="20" t="n">
        <v>2</v>
      </c>
      <c r="U104" s="20" t="n">
        <v>1</v>
      </c>
      <c r="V104" s="20" t="n">
        <v>2</v>
      </c>
      <c r="W104" s="20" t="n">
        <v>1</v>
      </c>
      <c r="X104" s="20" t="n">
        <v>1</v>
      </c>
    </row>
    <row r="105">
      <c r="A105" s="18" t="inlineStr">
        <is>
          <t>보조금 수입</t>
        </is>
      </c>
      <c r="C105" s="20" t="n">
        <v>0</v>
      </c>
      <c r="D105" s="20" t="n">
        <v>0</v>
      </c>
      <c r="E105" s="20" t="n">
        <v>0</v>
      </c>
      <c r="T105" s="20" t="n">
        <v>34</v>
      </c>
      <c r="U105" s="20" t="n">
        <v>1</v>
      </c>
      <c r="V105" s="20" t="n">
        <v>0</v>
      </c>
    </row>
    <row r="106">
      <c r="A106" s="18" t="inlineStr">
        <is>
          <t>지분법이익</t>
        </is>
      </c>
      <c r="F106" s="20" t="n">
        <v>0</v>
      </c>
      <c r="G106" s="20" t="n">
        <v>0</v>
      </c>
      <c r="H106" s="20" t="n">
        <v>0</v>
      </c>
      <c r="I106" s="20" t="n">
        <v>89</v>
      </c>
      <c r="J106" s="20" t="n">
        <v>131</v>
      </c>
      <c r="K106" s="20" t="n">
        <v>133</v>
      </c>
      <c r="L106" s="20" t="n">
        <v>135</v>
      </c>
      <c r="M106" s="20" t="n">
        <v>134</v>
      </c>
      <c r="N106" s="20" t="n">
        <v>131</v>
      </c>
      <c r="W106" s="20" t="n">
        <v>89</v>
      </c>
      <c r="X106" s="20" t="n">
        <v>134</v>
      </c>
    </row>
    <row r="107">
      <c r="A107" s="18" t="inlineStr">
        <is>
          <t>기타</t>
        </is>
      </c>
      <c r="C107" s="20" t="n">
        <v>6</v>
      </c>
      <c r="D107" s="20" t="n">
        <v>13</v>
      </c>
      <c r="E107" s="20" t="n">
        <v>5</v>
      </c>
      <c r="F107" s="20" t="n">
        <v>5</v>
      </c>
      <c r="G107" s="20" t="n">
        <v>4</v>
      </c>
      <c r="H107" s="20" t="n">
        <v>7</v>
      </c>
      <c r="I107" s="20" t="n">
        <v>5</v>
      </c>
      <c r="J107" s="20" t="n">
        <v>8</v>
      </c>
      <c r="K107" s="20" t="n">
        <v>7</v>
      </c>
      <c r="L107" s="20" t="n">
        <v>4</v>
      </c>
      <c r="M107" s="20" t="n">
        <v>41</v>
      </c>
      <c r="N107" s="20" t="n">
        <v>6</v>
      </c>
      <c r="T107" s="20" t="n">
        <v>18</v>
      </c>
      <c r="U107" s="20" t="n">
        <v>35</v>
      </c>
      <c r="V107" s="20" t="n">
        <v>5</v>
      </c>
      <c r="W107" s="20" t="n">
        <v>5</v>
      </c>
      <c r="X107" s="20" t="n">
        <v>41</v>
      </c>
    </row>
    <row r="108">
      <c r="A108" s="18" t="inlineStr">
        <is>
          <t>영업외수익 합계</t>
        </is>
      </c>
      <c r="C108" s="20" t="n">
        <v>29</v>
      </c>
      <c r="D108" s="20" t="n">
        <v>17</v>
      </c>
      <c r="E108" s="20" t="n">
        <v>11</v>
      </c>
      <c r="F108" s="20" t="n">
        <v>7</v>
      </c>
      <c r="G108" s="20" t="n">
        <v>10</v>
      </c>
      <c r="H108" s="20" t="n">
        <v>15</v>
      </c>
      <c r="I108" s="20" t="n">
        <v>130</v>
      </c>
      <c r="J108" s="20" t="n">
        <v>148</v>
      </c>
      <c r="K108" s="20" t="n">
        <v>205</v>
      </c>
      <c r="L108" s="20" t="n">
        <v>148</v>
      </c>
      <c r="M108" s="20" t="n">
        <v>251</v>
      </c>
      <c r="N108" s="20" t="n">
        <v>143</v>
      </c>
      <c r="T108" s="20" t="n">
        <v>58</v>
      </c>
      <c r="U108" s="20" t="n">
        <v>39</v>
      </c>
      <c r="V108" s="20" t="n">
        <v>11</v>
      </c>
      <c r="W108" s="20" t="n">
        <v>130</v>
      </c>
      <c r="X108" s="20" t="n">
        <v>251</v>
      </c>
    </row>
    <row r="109">
      <c r="A109" s="18" t="inlineStr">
        <is>
          <t>이자비용</t>
        </is>
      </c>
      <c r="C109" s="20" t="n">
        <v>68</v>
      </c>
      <c r="D109" s="20" t="n">
        <v>72</v>
      </c>
      <c r="E109" s="20" t="n">
        <v>73</v>
      </c>
      <c r="F109" s="20" t="n">
        <v>87</v>
      </c>
      <c r="G109" s="20" t="n">
        <v>95</v>
      </c>
      <c r="H109" s="20" t="n">
        <v>145</v>
      </c>
      <c r="I109" s="20" t="n">
        <v>176</v>
      </c>
      <c r="J109" s="20" t="n">
        <v>230</v>
      </c>
      <c r="K109" s="20" t="n">
        <v>236</v>
      </c>
      <c r="L109" s="20" t="n">
        <v>238</v>
      </c>
      <c r="M109" s="20" t="n">
        <v>252</v>
      </c>
      <c r="N109" s="20" t="n">
        <v>518</v>
      </c>
      <c r="T109" s="20" t="n">
        <v>69</v>
      </c>
      <c r="U109" s="20" t="n">
        <v>65</v>
      </c>
      <c r="V109" s="20" t="n">
        <v>73</v>
      </c>
      <c r="W109" s="20" t="n">
        <v>176</v>
      </c>
      <c r="X109" s="20" t="n">
        <v>252</v>
      </c>
    </row>
    <row r="110">
      <c r="A110" s="18" t="inlineStr">
        <is>
          <t>기타</t>
        </is>
      </c>
      <c r="C110" s="20" t="n">
        <v>6</v>
      </c>
      <c r="D110" s="20" t="n">
        <v>1</v>
      </c>
      <c r="E110" s="20" t="n">
        <v>1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22</v>
      </c>
      <c r="K110" s="20" t="n">
        <v>3</v>
      </c>
      <c r="L110" s="20" t="n">
        <v>0</v>
      </c>
      <c r="M110" s="20" t="n">
        <v>-22</v>
      </c>
      <c r="N110" s="20" t="n">
        <v>0</v>
      </c>
      <c r="T110" s="20" t="n">
        <v>0</v>
      </c>
      <c r="U110" s="20" t="n">
        <v>1</v>
      </c>
      <c r="V110" s="20" t="n">
        <v>1</v>
      </c>
      <c r="W110" s="20" t="n">
        <v>0</v>
      </c>
      <c r="X110" s="20" t="n">
        <v>-22</v>
      </c>
    </row>
    <row r="111">
      <c r="A111" s="18" t="inlineStr">
        <is>
          <t>영업외비용 합계</t>
        </is>
      </c>
      <c r="C111" s="20" t="n">
        <v>75</v>
      </c>
      <c r="D111" s="20" t="n">
        <v>72</v>
      </c>
      <c r="E111" s="20" t="n">
        <v>75</v>
      </c>
      <c r="F111" s="20" t="n">
        <v>88</v>
      </c>
      <c r="G111" s="20" t="n">
        <v>95</v>
      </c>
      <c r="H111" s="20" t="n">
        <v>144</v>
      </c>
      <c r="I111" s="20" t="n">
        <v>310</v>
      </c>
      <c r="J111" s="20" t="n">
        <v>252</v>
      </c>
      <c r="K111" s="20" t="n">
        <v>239</v>
      </c>
      <c r="L111" s="20" t="n">
        <v>238</v>
      </c>
      <c r="M111" s="20" t="n">
        <v>373</v>
      </c>
      <c r="N111" s="20" t="n">
        <v>518</v>
      </c>
      <c r="T111" s="20" t="n">
        <v>69</v>
      </c>
      <c r="U111" s="20" t="n">
        <v>67</v>
      </c>
      <c r="V111" s="20" t="n">
        <v>75</v>
      </c>
      <c r="W111" s="20" t="n">
        <v>310</v>
      </c>
      <c r="X111" s="20" t="n">
        <v>373</v>
      </c>
    </row>
    <row r="112">
      <c r="A112" s="9" t="inlineStr">
        <is>
          <t>경상이익</t>
        </is>
      </c>
      <c r="C112" s="12" t="n">
        <v>547</v>
      </c>
      <c r="D112" s="12" t="n">
        <v>986</v>
      </c>
      <c r="E112" s="12" t="n">
        <v>4249</v>
      </c>
      <c r="F112" s="12" t="n">
        <v>1689</v>
      </c>
      <c r="G112" s="12" t="n">
        <v>1793</v>
      </c>
      <c r="H112" s="12" t="n">
        <v>3069</v>
      </c>
      <c r="I112" s="12" t="n">
        <v>493</v>
      </c>
      <c r="J112" s="12" t="n">
        <v>3715</v>
      </c>
      <c r="K112" s="12" t="n">
        <v>1378</v>
      </c>
      <c r="L112" s="12" t="n">
        <v>1812</v>
      </c>
      <c r="M112" s="12" t="n">
        <v>1654</v>
      </c>
      <c r="N112" s="12" t="n">
        <v>8494</v>
      </c>
      <c r="T112" s="12" t="n">
        <v>848</v>
      </c>
      <c r="U112" s="12" t="n">
        <v>293</v>
      </c>
      <c r="V112" s="12" t="n">
        <v>4249</v>
      </c>
      <c r="W112" s="12" t="n">
        <v>493</v>
      </c>
      <c r="X112" s="12" t="n">
        <v>1654</v>
      </c>
    </row>
    <row r="113">
      <c r="A113" s="9" t="inlineStr">
        <is>
          <t>법인세차감전 순이익</t>
        </is>
      </c>
      <c r="C113" s="12" t="n">
        <v>547</v>
      </c>
      <c r="D113" s="12" t="n">
        <v>986</v>
      </c>
      <c r="E113" s="12" t="n">
        <v>4249</v>
      </c>
      <c r="F113" s="12" t="n">
        <v>1689</v>
      </c>
      <c r="G113" s="12" t="n">
        <v>1793</v>
      </c>
      <c r="H113" s="12" t="n">
        <v>3069</v>
      </c>
      <c r="I113" s="12" t="n">
        <v>493</v>
      </c>
      <c r="J113" s="12" t="n">
        <v>3715</v>
      </c>
      <c r="K113" s="12" t="n">
        <v>1378</v>
      </c>
      <c r="L113" s="12" t="n">
        <v>1812</v>
      </c>
      <c r="M113" s="12" t="n">
        <v>1654</v>
      </c>
      <c r="N113" s="12" t="n">
        <v>8494</v>
      </c>
      <c r="T113" s="12" t="n">
        <v>848</v>
      </c>
      <c r="U113" s="12" t="n">
        <v>293</v>
      </c>
      <c r="V113" s="12" t="n">
        <v>4249</v>
      </c>
      <c r="W113" s="12" t="n">
        <v>493</v>
      </c>
      <c r="X113" s="12" t="n">
        <v>1654</v>
      </c>
    </row>
    <row r="114">
      <c r="A114" s="18" t="inlineStr">
        <is>
          <t>법인세·주민세·사업세</t>
        </is>
      </c>
      <c r="C114" s="20" t="n">
        <v>133</v>
      </c>
      <c r="D114" s="20" t="n">
        <v>248</v>
      </c>
      <c r="E114" s="20" t="n">
        <v>1440</v>
      </c>
      <c r="F114" s="20" t="n">
        <v>455</v>
      </c>
      <c r="G114" s="20" t="n">
        <v>671</v>
      </c>
      <c r="H114" s="20" t="n">
        <v>878</v>
      </c>
      <c r="I114" s="20" t="n">
        <v>179</v>
      </c>
      <c r="J114" s="20" t="n">
        <v>1075</v>
      </c>
      <c r="K114" s="20" t="n">
        <v>422</v>
      </c>
      <c r="L114" s="20" t="n">
        <v>541</v>
      </c>
      <c r="M114" s="20" t="n">
        <v>1001</v>
      </c>
      <c r="N114" s="20" t="n">
        <v>2850</v>
      </c>
      <c r="T114" s="20" t="n">
        <v>-128</v>
      </c>
      <c r="U114" s="20" t="n">
        <v>-243</v>
      </c>
      <c r="V114" s="20" t="n">
        <v>1440</v>
      </c>
      <c r="W114" s="20" t="n">
        <v>179</v>
      </c>
      <c r="X114" s="20" t="n">
        <v>1001</v>
      </c>
    </row>
    <row r="115">
      <c r="A115" s="18" t="inlineStr">
        <is>
          <t>법인세 조정액</t>
        </is>
      </c>
      <c r="C115" s="20" t="n">
        <v>-35</v>
      </c>
      <c r="D115" s="20" t="n">
        <v>5</v>
      </c>
      <c r="E115" s="20" t="n">
        <v>-153</v>
      </c>
      <c r="F115" s="20" t="n">
        <v>68</v>
      </c>
      <c r="G115" s="20" t="n">
        <v>-83</v>
      </c>
      <c r="H115" s="20" t="n">
        <v>-31</v>
      </c>
      <c r="I115" s="20" t="n">
        <v>-108</v>
      </c>
      <c r="J115" s="20" t="n">
        <v>142</v>
      </c>
      <c r="K115" s="20" t="n">
        <v>-25</v>
      </c>
      <c r="L115" s="20" t="n">
        <v>9</v>
      </c>
      <c r="M115" s="20" t="n">
        <v>-468</v>
      </c>
      <c r="N115" s="20" t="n">
        <v>-179</v>
      </c>
      <c r="T115" s="20" t="n">
        <v>75</v>
      </c>
      <c r="U115" s="20" t="n">
        <v>17</v>
      </c>
      <c r="V115" s="20" t="n">
        <v>-153</v>
      </c>
      <c r="W115" s="20" t="n">
        <v>-108</v>
      </c>
      <c r="X115" s="20" t="n">
        <v>-468</v>
      </c>
    </row>
    <row r="116">
      <c r="A116" s="18" t="inlineStr">
        <is>
          <t>법인세 등 합계</t>
        </is>
      </c>
      <c r="C116" s="20" t="n">
        <v>99</v>
      </c>
      <c r="D116" s="20" t="n">
        <v>253</v>
      </c>
      <c r="E116" s="20" t="n">
        <v>1286</v>
      </c>
      <c r="F116" s="20" t="n">
        <v>523</v>
      </c>
      <c r="G116" s="20" t="n">
        <v>588</v>
      </c>
      <c r="H116" s="20" t="n">
        <v>847</v>
      </c>
      <c r="I116" s="20" t="n">
        <v>71</v>
      </c>
      <c r="J116" s="20" t="n">
        <v>1218</v>
      </c>
      <c r="K116" s="20" t="n">
        <v>397</v>
      </c>
      <c r="L116" s="20" t="n">
        <v>550</v>
      </c>
      <c r="M116" s="20" t="n">
        <v>531</v>
      </c>
      <c r="N116" s="20" t="n">
        <v>2671</v>
      </c>
      <c r="T116" s="20" t="n">
        <v>-51</v>
      </c>
      <c r="U116" s="20" t="n">
        <v>-226</v>
      </c>
      <c r="V116" s="20" t="n">
        <v>1286</v>
      </c>
      <c r="W116" s="20" t="n">
        <v>71</v>
      </c>
      <c r="X116" s="20" t="n">
        <v>531</v>
      </c>
    </row>
    <row r="117">
      <c r="A117" s="9" t="inlineStr">
        <is>
          <t>순이익</t>
        </is>
      </c>
      <c r="C117" s="12" t="n">
        <v>448</v>
      </c>
      <c r="D117" s="12" t="n">
        <v>732</v>
      </c>
      <c r="E117" s="12" t="n">
        <v>2964</v>
      </c>
      <c r="F117" s="12" t="n">
        <v>1165</v>
      </c>
      <c r="G117" s="12" t="n">
        <v>1206</v>
      </c>
      <c r="H117" s="12" t="n">
        <v>2222</v>
      </c>
      <c r="I117" s="12" t="n">
        <v>421</v>
      </c>
      <c r="J117" s="12" t="n">
        <v>2496</v>
      </c>
      <c r="K117" s="12" t="n">
        <v>982</v>
      </c>
      <c r="L117" s="12" t="n">
        <v>1262</v>
      </c>
      <c r="M117" s="12" t="n">
        <v>1122</v>
      </c>
      <c r="N117" s="12" t="n">
        <v>5822</v>
      </c>
      <c r="T117" s="12" t="n">
        <v>900</v>
      </c>
      <c r="U117" s="12" t="n">
        <v>520</v>
      </c>
      <c r="V117" s="12" t="n">
        <v>2964</v>
      </c>
      <c r="W117" s="12" t="n">
        <v>421</v>
      </c>
      <c r="X117" s="12" t="n">
        <v>1122</v>
      </c>
    </row>
    <row r="118">
      <c r="A118" s="9" t="inlineStr">
        <is>
          <t>지배주주 순이익</t>
        </is>
      </c>
      <c r="C118" s="12" t="n">
        <v>448</v>
      </c>
      <c r="D118" s="12" t="n">
        <v>732</v>
      </c>
      <c r="E118" s="12" t="n">
        <v>2964</v>
      </c>
      <c r="F118" s="12" t="n">
        <v>1165</v>
      </c>
      <c r="G118" s="12" t="n">
        <v>1206</v>
      </c>
      <c r="H118" s="12" t="n">
        <v>2222</v>
      </c>
      <c r="I118" s="12" t="n">
        <v>421</v>
      </c>
      <c r="J118" s="12" t="n">
        <v>2496</v>
      </c>
      <c r="K118" s="12" t="n">
        <v>982</v>
      </c>
      <c r="L118" s="12" t="n">
        <v>1262</v>
      </c>
      <c r="M118" s="12" t="n">
        <v>1122</v>
      </c>
      <c r="N118" s="12" t="n">
        <v>5822</v>
      </c>
      <c r="T118" s="12" t="n">
        <v>900</v>
      </c>
      <c r="U118" s="12" t="n">
        <v>520</v>
      </c>
      <c r="V118" s="12" t="n">
        <v>2964</v>
      </c>
      <c r="W118" s="12" t="n">
        <v>421</v>
      </c>
      <c r="X118" s="12" t="n">
        <v>1122</v>
      </c>
    </row>
    <row r="120">
      <c r="A120" s="16" t="inlineStr">
        <is>
          <t>포괄손익 · 전 항목</t>
        </is>
      </c>
      <c r="B120" s="42" t="inlineStr">
        <is>
          <t>분기 = 3개월 단독</t>
        </is>
      </c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</row>
    <row r="121">
      <c r="A121" s="5" t="inlineStr">
        <is>
          <t>항목</t>
        </is>
      </c>
      <c r="B121" s="5" t="inlineStr">
        <is>
          <t>참고</t>
        </is>
      </c>
      <c r="C121" s="5" t="inlineStr">
        <is>
          <t>2024.2Q</t>
        </is>
      </c>
      <c r="D121" s="5" t="inlineStr">
        <is>
          <t>2024.3Q</t>
        </is>
      </c>
      <c r="E121" s="5" t="inlineStr">
        <is>
          <t>2024.4Q</t>
        </is>
      </c>
      <c r="F121" s="5" t="inlineStr">
        <is>
          <t>2025.1Q</t>
        </is>
      </c>
      <c r="G121" s="5" t="inlineStr">
        <is>
          <t>2025.2Q</t>
        </is>
      </c>
      <c r="H121" s="5" t="inlineStr">
        <is>
          <t>2025.3Q</t>
        </is>
      </c>
      <c r="I121" s="5" t="inlineStr">
        <is>
          <t>2025.4Q</t>
        </is>
      </c>
      <c r="J121" s="5" t="inlineStr">
        <is>
          <t>2026.1Q</t>
        </is>
      </c>
      <c r="K121" s="5" t="inlineStr">
        <is>
          <t>2026.2Q</t>
        </is>
      </c>
      <c r="L121" s="5" t="inlineStr">
        <is>
          <t>2026.3Q</t>
        </is>
      </c>
      <c r="M121" s="5" t="inlineStr">
        <is>
          <t>2026.4Q</t>
        </is>
      </c>
      <c r="N121" s="5" t="inlineStr">
        <is>
          <t>2027.1Q</t>
        </is>
      </c>
      <c r="O121" s="5" t="inlineStr">
        <is>
          <t>2017</t>
        </is>
      </c>
      <c r="P121" s="5" t="inlineStr">
        <is>
          <t>2018</t>
        </is>
      </c>
      <c r="Q121" s="5" t="inlineStr">
        <is>
          <t>2019</t>
        </is>
      </c>
      <c r="R121" s="5" t="inlineStr">
        <is>
          <t>2020</t>
        </is>
      </c>
      <c r="S121" s="5" t="inlineStr">
        <is>
          <t>2021</t>
        </is>
      </c>
      <c r="T121" s="5" t="inlineStr">
        <is>
          <t>2022</t>
        </is>
      </c>
      <c r="U121" s="5" t="inlineStr">
        <is>
          <t>2023</t>
        </is>
      </c>
      <c r="V121" s="5" t="inlineStr">
        <is>
          <t>2024</t>
        </is>
      </c>
      <c r="W121" s="5" t="inlineStr">
        <is>
          <t>2025</t>
        </is>
      </c>
      <c r="X121" s="5" t="inlineStr">
        <is>
          <t>2026</t>
        </is>
      </c>
      <c r="Y121" s="5" t="inlineStr">
        <is>
          <t>2027(MW)</t>
        </is>
      </c>
      <c r="Z121" s="5" t="inlineStr">
        <is>
          <t>2028(MW)</t>
        </is>
      </c>
      <c r="AA121" s="5" t="inlineStr">
        <is>
          <t>2029(MW)</t>
        </is>
      </c>
      <c r="AB121" s="5" t="inlineStr">
        <is>
          <t>2030(MW)</t>
        </is>
      </c>
      <c r="AC121" s="5" t="inlineStr">
        <is>
          <t>2031(MW)</t>
        </is>
      </c>
    </row>
    <row r="122">
      <c r="A122" s="9" t="inlineStr">
        <is>
          <t>순이익</t>
        </is>
      </c>
      <c r="C122" s="12" t="n">
        <v>448</v>
      </c>
      <c r="D122" s="12" t="n">
        <v>732</v>
      </c>
      <c r="E122" s="12" t="n">
        <v>2964</v>
      </c>
      <c r="F122" s="12" t="n">
        <v>1165</v>
      </c>
      <c r="G122" s="12" t="n">
        <v>1206</v>
      </c>
      <c r="H122" s="12" t="n">
        <v>2222</v>
      </c>
      <c r="I122" s="12" t="n">
        <v>421</v>
      </c>
      <c r="J122" s="12" t="n">
        <v>2496</v>
      </c>
      <c r="K122" s="12" t="n">
        <v>982</v>
      </c>
      <c r="L122" s="12" t="n">
        <v>1262</v>
      </c>
      <c r="M122" s="12" t="n">
        <v>1122</v>
      </c>
      <c r="N122" s="12" t="n">
        <v>5822</v>
      </c>
      <c r="T122" s="12" t="n">
        <v>900</v>
      </c>
      <c r="U122" s="12" t="n">
        <v>520</v>
      </c>
      <c r="V122" s="12" t="n">
        <v>2964</v>
      </c>
      <c r="W122" s="12" t="n">
        <v>421</v>
      </c>
      <c r="X122" s="12" t="n">
        <v>1122</v>
      </c>
    </row>
    <row r="123">
      <c r="A123" s="18" t="inlineStr">
        <is>
          <t>기타유가증권 평가차액</t>
        </is>
      </c>
      <c r="C123" s="20" t="n">
        <v>1</v>
      </c>
      <c r="D123" s="20" t="n">
        <v>0</v>
      </c>
      <c r="E123" s="20" t="n">
        <v>2</v>
      </c>
      <c r="F123" s="20" t="n">
        <v>2</v>
      </c>
      <c r="G123" s="20" t="n">
        <v>-1</v>
      </c>
      <c r="H123" s="20" t="n">
        <v>5</v>
      </c>
      <c r="I123" s="20" t="n">
        <v>-4</v>
      </c>
      <c r="J123" s="20" t="n">
        <v>2</v>
      </c>
      <c r="K123" s="20" t="n">
        <v>1</v>
      </c>
      <c r="L123" s="20" t="n">
        <v>1</v>
      </c>
      <c r="M123" s="20" t="n">
        <v>-1</v>
      </c>
      <c r="N123" s="20" t="n">
        <v>10</v>
      </c>
      <c r="T123" s="20" t="n">
        <v>-2</v>
      </c>
      <c r="U123" s="20" t="n">
        <v>0</v>
      </c>
      <c r="V123" s="20" t="n">
        <v>2</v>
      </c>
      <c r="W123" s="20" t="n">
        <v>-4</v>
      </c>
      <c r="X123" s="20" t="n">
        <v>-1</v>
      </c>
    </row>
    <row r="124">
      <c r="A124" s="18" t="inlineStr">
        <is>
          <t>기타포괄손익 합계</t>
        </is>
      </c>
      <c r="C124" s="20" t="n">
        <v>1</v>
      </c>
      <c r="D124" s="20" t="n">
        <v>0</v>
      </c>
      <c r="E124" s="20" t="n">
        <v>2</v>
      </c>
      <c r="F124" s="20" t="n">
        <v>2</v>
      </c>
      <c r="G124" s="20" t="n">
        <v>-1</v>
      </c>
      <c r="H124" s="20" t="n">
        <v>5</v>
      </c>
      <c r="I124" s="20" t="n">
        <v>-4</v>
      </c>
      <c r="J124" s="20" t="n">
        <v>2</v>
      </c>
      <c r="K124" s="20" t="n">
        <v>1</v>
      </c>
      <c r="L124" s="20" t="n">
        <v>1</v>
      </c>
      <c r="M124" s="20" t="n">
        <v>-1</v>
      </c>
      <c r="N124" s="20" t="n">
        <v>10</v>
      </c>
      <c r="T124" s="20" t="n">
        <v>-2</v>
      </c>
      <c r="U124" s="20" t="n">
        <v>0</v>
      </c>
      <c r="V124" s="20" t="n">
        <v>2</v>
      </c>
      <c r="W124" s="20" t="n">
        <v>-4</v>
      </c>
      <c r="X124" s="20" t="n">
        <v>-1</v>
      </c>
    </row>
    <row r="125">
      <c r="A125" s="9" t="inlineStr">
        <is>
          <t>포괄이익</t>
        </is>
      </c>
      <c r="C125" s="12" t="n">
        <v>449</v>
      </c>
      <c r="D125" s="12" t="n">
        <v>733</v>
      </c>
      <c r="E125" s="12" t="n">
        <v>2965</v>
      </c>
      <c r="F125" s="12" t="n">
        <v>1167</v>
      </c>
      <c r="G125" s="12" t="n">
        <v>1206</v>
      </c>
      <c r="H125" s="12" t="n">
        <v>2226</v>
      </c>
      <c r="I125" s="12" t="n">
        <v>417</v>
      </c>
      <c r="J125" s="12" t="n">
        <v>2498</v>
      </c>
      <c r="K125" s="12" t="n">
        <v>983</v>
      </c>
      <c r="L125" s="12" t="n">
        <v>1263</v>
      </c>
      <c r="M125" s="12" t="n">
        <v>1122</v>
      </c>
      <c r="N125" s="12" t="n">
        <v>5833</v>
      </c>
      <c r="T125" s="12" t="n">
        <v>899</v>
      </c>
      <c r="U125" s="12" t="n">
        <v>520</v>
      </c>
      <c r="V125" s="12" t="n">
        <v>2965</v>
      </c>
      <c r="W125" s="12" t="n">
        <v>417</v>
      </c>
      <c r="X125" s="12" t="n">
        <v>1122</v>
      </c>
    </row>
    <row r="126">
      <c r="A126" s="9" t="inlineStr">
        <is>
          <t>지배주주 포괄이익</t>
        </is>
      </c>
      <c r="C126" s="12" t="n">
        <v>449</v>
      </c>
      <c r="D126" s="12" t="n">
        <v>733</v>
      </c>
      <c r="E126" s="12" t="n">
        <v>2965</v>
      </c>
      <c r="F126" s="12" t="n">
        <v>1167</v>
      </c>
      <c r="G126" s="12" t="n">
        <v>1206</v>
      </c>
      <c r="H126" s="12" t="n">
        <v>2226</v>
      </c>
      <c r="I126" s="12" t="n">
        <v>417</v>
      </c>
      <c r="J126" s="12" t="n">
        <v>2498</v>
      </c>
      <c r="K126" s="12" t="n">
        <v>983</v>
      </c>
      <c r="L126" s="12" t="n">
        <v>1263</v>
      </c>
      <c r="M126" s="12" t="n">
        <v>1122</v>
      </c>
      <c r="N126" s="12" t="n">
        <v>5833</v>
      </c>
      <c r="T126" s="12" t="n">
        <v>899</v>
      </c>
      <c r="U126" s="12" t="n">
        <v>520</v>
      </c>
      <c r="V126" s="12" t="n">
        <v>2965</v>
      </c>
      <c r="W126" s="12" t="n">
        <v>417</v>
      </c>
      <c r="X126" s="12" t="n">
        <v>1122</v>
      </c>
    </row>
    <row r="127">
      <c r="A127" s="9" t="inlineStr">
        <is>
          <t>비지배주주 포괄이익</t>
        </is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</row>
    <row r="129">
      <c r="A129" s="16" t="inlineStr">
        <is>
          <t>부문 · 전 항목</t>
        </is>
      </c>
      <c r="B129" s="42" t="inlineStr">
        <is>
          <t>부문 · 항목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18" t="inlineStr">
        <is>
          <t>DetachedRealEstateReportableSegmentsMember · Revenue From Contracts With Customers</t>
        </is>
      </c>
      <c r="C131" s="20" t="n">
        <v>1588</v>
      </c>
      <c r="D131" s="20" t="n">
        <v>4306</v>
      </c>
      <c r="E131" s="20" t="n">
        <v>9463</v>
      </c>
      <c r="F131" s="20" t="n">
        <v>4201</v>
      </c>
      <c r="G131" s="20" t="n">
        <v>4299</v>
      </c>
      <c r="H131" s="20" t="n">
        <v>8092</v>
      </c>
      <c r="I131" s="20" t="n">
        <v>2447</v>
      </c>
      <c r="J131" s="20" t="n">
        <v>8361</v>
      </c>
      <c r="K131" s="20" t="n">
        <v>2828</v>
      </c>
      <c r="L131" s="20" t="n">
        <v>4547</v>
      </c>
      <c r="M131" s="20" t="n">
        <v>4840</v>
      </c>
      <c r="N131" s="20" t="n">
        <v>13990</v>
      </c>
      <c r="V131" s="20" t="n">
        <v>9463</v>
      </c>
      <c r="W131" s="20" t="n">
        <v>2447</v>
      </c>
      <c r="X131" s="20" t="n">
        <v>4840</v>
      </c>
    </row>
    <row r="132">
      <c r="A132" s="18" t="inlineStr">
        <is>
          <t>LeasingReportableSegmentsMember · Revenue From Contracts With Customers</t>
        </is>
      </c>
      <c r="C132" s="20" t="n">
        <v>0</v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0</v>
      </c>
      <c r="N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RealEstateManagementReportableSegmentMember · Revenue From Contracts With Customers</t>
        </is>
      </c>
      <c r="C133" s="20" t="n">
        <v>875</v>
      </c>
      <c r="D133" s="20" t="n">
        <v>874</v>
      </c>
      <c r="F133" s="20" t="n">
        <v>1066</v>
      </c>
      <c r="G133" s="20" t="n">
        <v>1067</v>
      </c>
      <c r="H133" s="20" t="n">
        <v>1017</v>
      </c>
      <c r="J133" s="20" t="n">
        <v>863</v>
      </c>
      <c r="K133" s="20" t="n">
        <v>827</v>
      </c>
      <c r="L133" s="20" t="n">
        <v>970</v>
      </c>
      <c r="N133" s="20" t="n">
        <v>1180</v>
      </c>
    </row>
    <row r="134">
      <c r="A134" s="18" t="inlineStr">
        <is>
          <t>HotelBusinessReportableSegmentMember · Revenue From Contracts With Customers</t>
        </is>
      </c>
      <c r="C134" s="20" t="n">
        <v>641</v>
      </c>
      <c r="D134" s="20" t="n">
        <v>606</v>
      </c>
      <c r="E134" s="20" t="n">
        <v>790</v>
      </c>
      <c r="F134" s="20" t="n">
        <v>730</v>
      </c>
      <c r="G134" s="20" t="n">
        <v>755</v>
      </c>
      <c r="H134" s="20" t="n">
        <v>674</v>
      </c>
      <c r="I134" s="20" t="n">
        <v>900</v>
      </c>
      <c r="J134" s="20" t="n">
        <v>766</v>
      </c>
      <c r="K134" s="20" t="n">
        <v>821</v>
      </c>
      <c r="L134" s="20" t="n">
        <v>690</v>
      </c>
      <c r="M134" s="20" t="n">
        <v>976</v>
      </c>
      <c r="N134" s="20" t="n">
        <v>858</v>
      </c>
      <c r="V134" s="20" t="n">
        <v>790</v>
      </c>
      <c r="W134" s="20" t="n">
        <v>900</v>
      </c>
      <c r="X134" s="20" t="n">
        <v>976</v>
      </c>
    </row>
    <row r="135">
      <c r="A135" s="18" t="inlineStr">
        <is>
          <t>보고부문 합계 · Revenue From Contracts With Customers</t>
        </is>
      </c>
      <c r="C135" s="20" t="n">
        <v>3104</v>
      </c>
      <c r="D135" s="20" t="n">
        <v>5786</v>
      </c>
      <c r="E135" s="20" t="n">
        <v>11248</v>
      </c>
      <c r="F135" s="20" t="n">
        <v>5998</v>
      </c>
      <c r="G135" s="20" t="n">
        <v>6120</v>
      </c>
      <c r="H135" s="20" t="n">
        <v>9785</v>
      </c>
      <c r="I135" s="20" t="n">
        <v>4239</v>
      </c>
      <c r="J135" s="20" t="n">
        <v>9991</v>
      </c>
      <c r="K135" s="20" t="n">
        <v>4477</v>
      </c>
      <c r="L135" s="20" t="n">
        <v>6206</v>
      </c>
      <c r="M135" s="20" t="n">
        <v>6798</v>
      </c>
      <c r="N135" s="20" t="n">
        <v>16029</v>
      </c>
      <c r="V135" s="20" t="n">
        <v>11248</v>
      </c>
      <c r="W135" s="20" t="n">
        <v>4239</v>
      </c>
      <c r="X135" s="20" t="n">
        <v>6798</v>
      </c>
    </row>
    <row r="136">
      <c r="A136" s="18" t="inlineStr">
        <is>
          <t>기타 · Revenue From Contracts With Customers</t>
        </is>
      </c>
      <c r="D136" s="20" t="n">
        <v>103</v>
      </c>
      <c r="E136" s="20" t="n">
        <v>183</v>
      </c>
      <c r="H136" s="20" t="n">
        <v>125</v>
      </c>
      <c r="I136" s="20" t="n">
        <v>137</v>
      </c>
      <c r="L136" s="20" t="n">
        <v>71</v>
      </c>
      <c r="M136" s="20" t="n">
        <v>66</v>
      </c>
      <c r="V136" s="20" t="n">
        <v>183</v>
      </c>
      <c r="W136" s="20" t="n">
        <v>137</v>
      </c>
      <c r="X136" s="20" t="n">
        <v>66</v>
      </c>
    </row>
    <row r="137">
      <c r="A137" s="18" t="inlineStr">
        <is>
          <t>OtherReportableSegmentsMember · Revenue From Contracts With Customers</t>
        </is>
      </c>
      <c r="F137" s="20" t="n">
        <v>88</v>
      </c>
      <c r="J137" s="20" t="n">
        <v>84</v>
      </c>
      <c r="N137" s="20" t="n">
        <v>47</v>
      </c>
    </row>
    <row r="138">
      <c r="A138" s="18" t="inlineStr">
        <is>
          <t>합계 · Revenue From Contracts With Customers</t>
        </is>
      </c>
      <c r="C138" s="20" t="n">
        <v>3161</v>
      </c>
      <c r="D138" s="20" t="n">
        <v>5890</v>
      </c>
      <c r="E138" s="20" t="n">
        <v>11430</v>
      </c>
      <c r="F138" s="20" t="n">
        <v>6086</v>
      </c>
      <c r="G138" s="20" t="n">
        <v>6293</v>
      </c>
      <c r="H138" s="20" t="n">
        <v>9910</v>
      </c>
      <c r="I138" s="20" t="n">
        <v>4377</v>
      </c>
      <c r="J138" s="20" t="n">
        <v>10075</v>
      </c>
      <c r="K138" s="20" t="n">
        <v>4537</v>
      </c>
      <c r="L138" s="20" t="n">
        <v>6278</v>
      </c>
      <c r="M138" s="20" t="n">
        <v>6863</v>
      </c>
      <c r="N138" s="20" t="n">
        <v>16077</v>
      </c>
      <c r="V138" s="20" t="n">
        <v>11430</v>
      </c>
      <c r="W138" s="20" t="n">
        <v>4377</v>
      </c>
      <c r="X138" s="20" t="n">
        <v>6863</v>
      </c>
    </row>
    <row r="139">
      <c r="A139" s="18" t="inlineStr">
        <is>
          <t>DetachedRealEstateReportableSegmentsMember · Other Revenue1Rev OA</t>
        </is>
      </c>
      <c r="D139" s="20" t="n">
        <v>0</v>
      </c>
      <c r="H139" s="20" t="n">
        <v>0</v>
      </c>
      <c r="L139" s="20" t="n">
        <v>0</v>
      </c>
    </row>
    <row r="140">
      <c r="A140" s="18" t="inlineStr">
        <is>
          <t>LeasingReportableSegmentsMember · Other Revenue1Rev OA</t>
        </is>
      </c>
      <c r="D140" s="20" t="n">
        <v>607</v>
      </c>
      <c r="H140" s="20" t="n">
        <v>635</v>
      </c>
      <c r="L140" s="20" t="n">
        <v>639</v>
      </c>
    </row>
    <row r="141">
      <c r="A141" s="18" t="inlineStr">
        <is>
          <t>RealEstateManagementReportableSegmentMember · Other Revenue1Rev OA</t>
        </is>
      </c>
      <c r="D141" s="20" t="n">
        <v>0</v>
      </c>
      <c r="H141" s="20" t="n">
        <v>0</v>
      </c>
      <c r="L141" s="20" t="n">
        <v>0</v>
      </c>
    </row>
    <row r="142">
      <c r="A142" s="18" t="inlineStr">
        <is>
          <t>HotelBusinessReportableSegmentMember · Other Revenue1Rev OA</t>
        </is>
      </c>
      <c r="D142" s="20" t="n">
        <v>0</v>
      </c>
      <c r="H142" s="20" t="n">
        <v>0</v>
      </c>
      <c r="L142" s="20" t="n">
        <v>0</v>
      </c>
    </row>
    <row r="143">
      <c r="A143" s="18" t="inlineStr">
        <is>
          <t>보고부문 합계 · Other Revenue1Rev OA</t>
        </is>
      </c>
      <c r="D143" s="20" t="n">
        <v>607</v>
      </c>
      <c r="H143" s="20" t="n">
        <v>635</v>
      </c>
      <c r="L143" s="20" t="n">
        <v>639</v>
      </c>
    </row>
    <row r="144">
      <c r="A144" s="18" t="inlineStr">
        <is>
          <t>기타 · Other Revenue1Rev OA</t>
        </is>
      </c>
      <c r="D144" s="20" t="n">
        <v>0</v>
      </c>
      <c r="H144" s="20" t="n">
        <v>0</v>
      </c>
      <c r="L144" s="20" t="n">
        <v>0</v>
      </c>
    </row>
    <row r="145">
      <c r="A145" s="18" t="inlineStr">
        <is>
          <t>합계 · Other Revenue1Rev OA</t>
        </is>
      </c>
      <c r="D145" s="20" t="n">
        <v>607</v>
      </c>
      <c r="H145" s="20" t="n">
        <v>635</v>
      </c>
      <c r="L145" s="20" t="n">
        <v>639</v>
      </c>
    </row>
    <row r="146">
      <c r="A146" s="18" t="inlineStr">
        <is>
          <t>DetachedRealEstateReportableSegmentsMember · Other Income</t>
        </is>
      </c>
      <c r="F146" s="20" t="n">
        <v>0</v>
      </c>
      <c r="J146" s="20" t="n">
        <v>0</v>
      </c>
      <c r="N146" s="20" t="n">
        <v>0</v>
      </c>
    </row>
    <row r="147">
      <c r="A147" s="18" t="inlineStr">
        <is>
          <t>LeasingReportableSegmentsMember · Other Income</t>
        </is>
      </c>
      <c r="F147" s="20" t="n">
        <v>655</v>
      </c>
      <c r="J147" s="20" t="n">
        <v>682</v>
      </c>
      <c r="N147" s="20" t="n">
        <v>1066</v>
      </c>
    </row>
    <row r="148">
      <c r="A148" s="18" t="inlineStr">
        <is>
          <t>RealEstateManagementReportableSegmentMember · Other Income</t>
        </is>
      </c>
      <c r="F148" s="20" t="n">
        <v>0</v>
      </c>
      <c r="J148" s="20" t="n">
        <v>0</v>
      </c>
      <c r="N148" s="20" t="n">
        <v>0</v>
      </c>
    </row>
    <row r="149">
      <c r="A149" s="18" t="inlineStr">
        <is>
          <t>HotelBusinessReportableSegmentMember · Other Income</t>
        </is>
      </c>
      <c r="F149" s="20" t="n">
        <v>0</v>
      </c>
      <c r="J149" s="20" t="n">
        <v>0</v>
      </c>
      <c r="N149" s="20" t="n">
        <v>0</v>
      </c>
    </row>
    <row r="150">
      <c r="A150" s="18" t="inlineStr">
        <is>
          <t>보고부문 합계 · Other Income</t>
        </is>
      </c>
      <c r="F150" s="20" t="n">
        <v>655</v>
      </c>
      <c r="J150" s="20" t="n">
        <v>682</v>
      </c>
      <c r="N150" s="20" t="n">
        <v>1066</v>
      </c>
    </row>
    <row r="151">
      <c r="A151" s="18" t="inlineStr">
        <is>
          <t>OtherReportableSegmentsMember · Other Income</t>
        </is>
      </c>
      <c r="F151" s="20" t="n">
        <v>0</v>
      </c>
      <c r="J151" s="20" t="n">
        <v>0</v>
      </c>
      <c r="N151" s="20" t="n">
        <v>0</v>
      </c>
    </row>
    <row r="152">
      <c r="A152" s="18" t="inlineStr">
        <is>
          <t>합계 · Other Income</t>
        </is>
      </c>
      <c r="F152" s="20" t="n">
        <v>655</v>
      </c>
      <c r="J152" s="20" t="n">
        <v>682</v>
      </c>
      <c r="N152" s="20" t="n">
        <v>1066</v>
      </c>
    </row>
    <row r="153">
      <c r="A153" s="18" t="inlineStr">
        <is>
          <t>DetachedRealEstateReportableSegmentsMember · 외부 고객 매출</t>
        </is>
      </c>
      <c r="C153" s="20" t="n">
        <v>1588</v>
      </c>
      <c r="D153" s="20" t="n">
        <v>4306</v>
      </c>
      <c r="E153" s="20" t="n">
        <v>9463</v>
      </c>
      <c r="F153" s="20" t="n">
        <v>4201</v>
      </c>
      <c r="G153" s="20" t="n">
        <v>4299</v>
      </c>
      <c r="H153" s="20" t="n">
        <v>8092</v>
      </c>
      <c r="I153" s="20" t="n">
        <v>2447</v>
      </c>
      <c r="J153" s="20" t="n">
        <v>8361</v>
      </c>
      <c r="K153" s="20" t="n">
        <v>2828</v>
      </c>
      <c r="L153" s="20" t="n">
        <v>4547</v>
      </c>
      <c r="M153" s="20" t="n">
        <v>4840</v>
      </c>
      <c r="N153" s="20" t="n">
        <v>13990</v>
      </c>
      <c r="V153" s="20" t="n">
        <v>9463</v>
      </c>
      <c r="W153" s="20" t="n">
        <v>2447</v>
      </c>
      <c r="X153" s="20" t="n">
        <v>4840</v>
      </c>
    </row>
    <row r="154">
      <c r="A154" s="18" t="inlineStr">
        <is>
          <t>LeasingReportableSegmentsMember · 외부 고객 매출</t>
        </is>
      </c>
      <c r="C154" s="20" t="n">
        <v>593</v>
      </c>
      <c r="D154" s="20" t="n">
        <v>607</v>
      </c>
      <c r="E154" s="20" t="n">
        <v>631</v>
      </c>
      <c r="F154" s="20" t="n">
        <v>655</v>
      </c>
      <c r="G154" s="20" t="n">
        <v>673</v>
      </c>
      <c r="H154" s="20" t="n">
        <v>635</v>
      </c>
      <c r="I154" s="20" t="n">
        <v>665</v>
      </c>
      <c r="J154" s="20" t="n">
        <v>682</v>
      </c>
      <c r="K154" s="20" t="n">
        <v>702</v>
      </c>
      <c r="L154" s="20" t="n">
        <v>639</v>
      </c>
      <c r="M154" s="20" t="n">
        <v>669</v>
      </c>
      <c r="N154" s="20" t="n">
        <v>1066</v>
      </c>
      <c r="V154" s="20" t="n">
        <v>631</v>
      </c>
      <c r="W154" s="20" t="n">
        <v>665</v>
      </c>
      <c r="X154" s="20" t="n">
        <v>669</v>
      </c>
    </row>
    <row r="155">
      <c r="A155" s="18" t="inlineStr">
        <is>
          <t>RealEstateManagementReportableSegmentMember · 외부 고객 매출</t>
        </is>
      </c>
      <c r="C155" s="20" t="n">
        <v>875</v>
      </c>
      <c r="D155" s="20" t="n">
        <v>874</v>
      </c>
      <c r="F155" s="20" t="n">
        <v>1066</v>
      </c>
      <c r="G155" s="20" t="n">
        <v>1067</v>
      </c>
      <c r="H155" s="20" t="n">
        <v>1017</v>
      </c>
      <c r="J155" s="20" t="n">
        <v>863</v>
      </c>
      <c r="K155" s="20" t="n">
        <v>827</v>
      </c>
      <c r="L155" s="20" t="n">
        <v>970</v>
      </c>
      <c r="N155" s="20" t="n">
        <v>1180</v>
      </c>
    </row>
    <row r="156">
      <c r="A156" s="18" t="inlineStr">
        <is>
          <t>HotelBusinessReportableSegmentMember · 외부 고객 매출</t>
        </is>
      </c>
      <c r="C156" s="20" t="n">
        <v>641</v>
      </c>
      <c r="D156" s="20" t="n">
        <v>606</v>
      </c>
      <c r="E156" s="20" t="n">
        <v>790</v>
      </c>
      <c r="F156" s="20" t="n">
        <v>730</v>
      </c>
      <c r="G156" s="20" t="n">
        <v>755</v>
      </c>
      <c r="H156" s="20" t="n">
        <v>674</v>
      </c>
      <c r="I156" s="20" t="n">
        <v>900</v>
      </c>
      <c r="J156" s="20" t="n">
        <v>766</v>
      </c>
      <c r="K156" s="20" t="n">
        <v>821</v>
      </c>
      <c r="L156" s="20" t="n">
        <v>690</v>
      </c>
      <c r="M156" s="20" t="n">
        <v>976</v>
      </c>
      <c r="N156" s="20" t="n">
        <v>858</v>
      </c>
      <c r="V156" s="20" t="n">
        <v>790</v>
      </c>
      <c r="W156" s="20" t="n">
        <v>900</v>
      </c>
      <c r="X156" s="20" t="n">
        <v>976</v>
      </c>
    </row>
    <row r="157">
      <c r="A157" s="18" t="inlineStr">
        <is>
          <t>보고부문 합계 · 외부 고객 매출</t>
        </is>
      </c>
      <c r="C157" s="20" t="n">
        <v>3696</v>
      </c>
      <c r="D157" s="20" t="n">
        <v>6394</v>
      </c>
      <c r="E157" s="20" t="n">
        <v>11878</v>
      </c>
      <c r="F157" s="20" t="n">
        <v>6653</v>
      </c>
      <c r="G157" s="20" t="n">
        <v>6794</v>
      </c>
      <c r="H157" s="20" t="n">
        <v>10419</v>
      </c>
      <c r="I157" s="20" t="n">
        <v>4904</v>
      </c>
      <c r="J157" s="20" t="n">
        <v>10673</v>
      </c>
      <c r="K157" s="20" t="n">
        <v>5179</v>
      </c>
      <c r="L157" s="20" t="n">
        <v>6845</v>
      </c>
      <c r="M157" s="20" t="n">
        <v>7467</v>
      </c>
      <c r="N157" s="20" t="n">
        <v>17096</v>
      </c>
      <c r="V157" s="20" t="n">
        <v>11878</v>
      </c>
      <c r="W157" s="20" t="n">
        <v>4904</v>
      </c>
      <c r="X157" s="20" t="n">
        <v>7467</v>
      </c>
    </row>
    <row r="158">
      <c r="A158" s="18" t="inlineStr">
        <is>
          <t>기타 · 외부 고객 매출</t>
        </is>
      </c>
      <c r="D158" s="20" t="n">
        <v>103</v>
      </c>
      <c r="E158" s="20" t="n">
        <v>183</v>
      </c>
      <c r="H158" s="20" t="n">
        <v>125</v>
      </c>
      <c r="I158" s="20" t="n">
        <v>137</v>
      </c>
      <c r="L158" s="20" t="n">
        <v>71</v>
      </c>
      <c r="M158" s="20" t="n">
        <v>66</v>
      </c>
      <c r="V158" s="20" t="n">
        <v>183</v>
      </c>
      <c r="W158" s="20" t="n">
        <v>137</v>
      </c>
      <c r="X158" s="20" t="n">
        <v>66</v>
      </c>
    </row>
    <row r="159">
      <c r="A159" s="18" t="inlineStr">
        <is>
          <t>OtherReportableSegmentsMember · 외부 고객 매출</t>
        </is>
      </c>
      <c r="F159" s="20" t="n">
        <v>88</v>
      </c>
      <c r="J159" s="20" t="n">
        <v>84</v>
      </c>
      <c r="N159" s="20" t="n">
        <v>47</v>
      </c>
    </row>
    <row r="160">
      <c r="A160" s="18" t="inlineStr">
        <is>
          <t>합계 · 외부 고객 매출</t>
        </is>
      </c>
      <c r="C160" s="20" t="n">
        <v>3754</v>
      </c>
      <c r="D160" s="20" t="n">
        <v>6496</v>
      </c>
      <c r="E160" s="20" t="n">
        <v>12062</v>
      </c>
      <c r="F160" s="20" t="n">
        <v>6741</v>
      </c>
      <c r="G160" s="20" t="n">
        <v>6967</v>
      </c>
      <c r="H160" s="20" t="n">
        <v>10544</v>
      </c>
      <c r="I160" s="20" t="n">
        <v>5042</v>
      </c>
      <c r="J160" s="20" t="n">
        <v>10758</v>
      </c>
      <c r="K160" s="20" t="n">
        <v>5238</v>
      </c>
      <c r="L160" s="20" t="n">
        <v>6917</v>
      </c>
      <c r="M160" s="20" t="n">
        <v>7532</v>
      </c>
      <c r="N160" s="20" t="n">
        <v>17143</v>
      </c>
      <c r="V160" s="20" t="n">
        <v>12062</v>
      </c>
      <c r="W160" s="20" t="n">
        <v>5042</v>
      </c>
      <c r="X160" s="20" t="n">
        <v>7532</v>
      </c>
    </row>
    <row r="161">
      <c r="A161" s="18" t="inlineStr">
        <is>
          <t>DetachedRealEstateReportableSegmentsMember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LeasingReportableSegmentsMember · 부문 간 내부매출·대체</t>
        </is>
      </c>
      <c r="C162" s="20" t="n">
        <v>41</v>
      </c>
      <c r="D162" s="20" t="n">
        <v>85</v>
      </c>
      <c r="E162" s="20" t="n">
        <v>153</v>
      </c>
      <c r="F162" s="20" t="n">
        <v>92</v>
      </c>
      <c r="G162" s="20" t="n">
        <v>93</v>
      </c>
      <c r="H162" s="20" t="n">
        <v>93</v>
      </c>
      <c r="I162" s="20" t="n">
        <v>93</v>
      </c>
      <c r="J162" s="20" t="n">
        <v>92</v>
      </c>
      <c r="K162" s="20" t="n">
        <v>93</v>
      </c>
      <c r="L162" s="20" t="n">
        <v>93</v>
      </c>
      <c r="M162" s="20" t="n">
        <v>95</v>
      </c>
      <c r="N162" s="20" t="n">
        <v>244</v>
      </c>
      <c r="V162" s="20" t="n">
        <v>153</v>
      </c>
      <c r="W162" s="20" t="n">
        <v>93</v>
      </c>
      <c r="X162" s="20" t="n">
        <v>95</v>
      </c>
    </row>
    <row r="163">
      <c r="A163" s="18" t="inlineStr">
        <is>
          <t>RealEstateManagementReportableSegmentMember · 부문 간 내부매출·대체</t>
        </is>
      </c>
      <c r="C163" s="20" t="n">
        <v>15</v>
      </c>
      <c r="D163" s="20" t="n">
        <v>20</v>
      </c>
      <c r="F163" s="20" t="n">
        <v>14</v>
      </c>
      <c r="G163" s="20" t="n">
        <v>15</v>
      </c>
      <c r="H163" s="20" t="n">
        <v>15</v>
      </c>
      <c r="J163" s="20" t="n">
        <v>13</v>
      </c>
      <c r="K163" s="20" t="n">
        <v>8</v>
      </c>
      <c r="L163" s="20" t="n">
        <v>3</v>
      </c>
      <c r="N163" s="20" t="n">
        <v>2</v>
      </c>
    </row>
    <row r="164">
      <c r="A164" s="18" t="inlineStr">
        <is>
          <t>HotelBusinessReportableSegmentMember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V164" s="20" t="n">
        <v>0</v>
      </c>
      <c r="W164" s="20" t="n">
        <v>0</v>
      </c>
      <c r="X164" s="20" t="n">
        <v>0</v>
      </c>
    </row>
    <row r="165">
      <c r="A165" s="18" t="inlineStr">
        <is>
          <t>보고부문 합계 · 부문 간 내부매출·대체</t>
        </is>
      </c>
      <c r="C165" s="20" t="n">
        <v>56</v>
      </c>
      <c r="D165" s="20" t="n">
        <v>104</v>
      </c>
      <c r="E165" s="20" t="n">
        <v>168</v>
      </c>
      <c r="F165" s="20" t="n">
        <v>107</v>
      </c>
      <c r="G165" s="20" t="n">
        <v>108</v>
      </c>
      <c r="H165" s="20" t="n">
        <v>108</v>
      </c>
      <c r="I165" s="20" t="n">
        <v>108</v>
      </c>
      <c r="J165" s="20" t="n">
        <v>106</v>
      </c>
      <c r="K165" s="20" t="n">
        <v>101</v>
      </c>
      <c r="L165" s="20" t="n">
        <v>96</v>
      </c>
      <c r="M165" s="20" t="n">
        <v>99</v>
      </c>
      <c r="N165" s="20" t="n">
        <v>247</v>
      </c>
      <c r="V165" s="20" t="n">
        <v>168</v>
      </c>
      <c r="W165" s="20" t="n">
        <v>108</v>
      </c>
      <c r="X165" s="20" t="n">
        <v>99</v>
      </c>
    </row>
    <row r="166">
      <c r="A166" s="18" t="inlineStr">
        <is>
          <t>기타 · 부문 간 내부매출·대체</t>
        </is>
      </c>
      <c r="D166" s="20" t="n">
        <v>65</v>
      </c>
      <c r="E166" s="20" t="n">
        <v>85</v>
      </c>
      <c r="H166" s="20" t="n">
        <v>92</v>
      </c>
      <c r="I166" s="20" t="n">
        <v>91</v>
      </c>
      <c r="L166" s="20" t="n">
        <v>122</v>
      </c>
      <c r="M166" s="20" t="n">
        <v>86</v>
      </c>
      <c r="V166" s="20" t="n">
        <v>85</v>
      </c>
      <c r="W166" s="20" t="n">
        <v>91</v>
      </c>
      <c r="X166" s="20" t="n">
        <v>86</v>
      </c>
    </row>
    <row r="167">
      <c r="A167" s="18" t="inlineStr">
        <is>
          <t>OtherReportableSegmentsMember · 부문 간 내부매출·대체</t>
        </is>
      </c>
      <c r="F167" s="20" t="n">
        <v>99</v>
      </c>
      <c r="J167" s="20" t="n">
        <v>111</v>
      </c>
      <c r="N167" s="20" t="n">
        <v>53</v>
      </c>
    </row>
    <row r="168">
      <c r="A168" s="18" t="inlineStr">
        <is>
          <t>합계 · 부문 간 내부매출·대체</t>
        </is>
      </c>
      <c r="C168" s="20" t="n">
        <v>145</v>
      </c>
      <c r="D168" s="20" t="n">
        <v>170</v>
      </c>
      <c r="E168" s="20" t="n">
        <v>252</v>
      </c>
      <c r="F168" s="20" t="n">
        <v>206</v>
      </c>
      <c r="G168" s="20" t="n">
        <v>209</v>
      </c>
      <c r="H168" s="20" t="n">
        <v>200</v>
      </c>
      <c r="I168" s="20" t="n">
        <v>199</v>
      </c>
      <c r="J168" s="20" t="n">
        <v>218</v>
      </c>
      <c r="K168" s="20" t="n">
        <v>279</v>
      </c>
      <c r="L168" s="20" t="n">
        <v>218</v>
      </c>
      <c r="M168" s="20" t="n">
        <v>186</v>
      </c>
      <c r="N168" s="20" t="n">
        <v>301</v>
      </c>
      <c r="V168" s="20" t="n">
        <v>252</v>
      </c>
      <c r="W168" s="20" t="n">
        <v>199</v>
      </c>
      <c r="X168" s="20" t="n">
        <v>186</v>
      </c>
    </row>
    <row r="169">
      <c r="A169" s="18" t="inlineStr">
        <is>
          <t>DetachedRealEstateReportableSegmentsMember · 계</t>
        </is>
      </c>
      <c r="C169" s="20" t="n">
        <v>1588</v>
      </c>
      <c r="D169" s="20" t="n">
        <v>4306</v>
      </c>
      <c r="E169" s="20" t="n">
        <v>9463</v>
      </c>
      <c r="F169" s="20" t="n">
        <v>4201</v>
      </c>
      <c r="G169" s="20" t="n">
        <v>4299</v>
      </c>
      <c r="H169" s="20" t="n">
        <v>8092</v>
      </c>
      <c r="I169" s="20" t="n">
        <v>2447</v>
      </c>
      <c r="J169" s="20" t="n">
        <v>8361</v>
      </c>
      <c r="K169" s="20" t="n">
        <v>2828</v>
      </c>
      <c r="L169" s="20" t="n">
        <v>4547</v>
      </c>
      <c r="M169" s="20" t="n">
        <v>4840</v>
      </c>
      <c r="N169" s="20" t="n">
        <v>13990</v>
      </c>
      <c r="V169" s="20" t="n">
        <v>9463</v>
      </c>
      <c r="W169" s="20" t="n">
        <v>2447</v>
      </c>
      <c r="X169" s="20" t="n">
        <v>4840</v>
      </c>
    </row>
    <row r="170">
      <c r="A170" s="18" t="inlineStr">
        <is>
          <t>LeasingReportableSegmentsMember · 계</t>
        </is>
      </c>
      <c r="C170" s="20" t="n">
        <v>633</v>
      </c>
      <c r="D170" s="20" t="n">
        <v>692</v>
      </c>
      <c r="E170" s="20" t="n">
        <v>784</v>
      </c>
      <c r="F170" s="20" t="n">
        <v>748</v>
      </c>
      <c r="G170" s="20" t="n">
        <v>766</v>
      </c>
      <c r="H170" s="20" t="n">
        <v>728</v>
      </c>
      <c r="I170" s="20" t="n">
        <v>757</v>
      </c>
      <c r="J170" s="20" t="n">
        <v>775</v>
      </c>
      <c r="K170" s="20" t="n">
        <v>794</v>
      </c>
      <c r="L170" s="20" t="n">
        <v>732</v>
      </c>
      <c r="M170" s="20" t="n">
        <v>765</v>
      </c>
      <c r="N170" s="20" t="n">
        <v>1310</v>
      </c>
      <c r="V170" s="20" t="n">
        <v>784</v>
      </c>
      <c r="W170" s="20" t="n">
        <v>757</v>
      </c>
      <c r="X170" s="20" t="n">
        <v>765</v>
      </c>
    </row>
    <row r="171">
      <c r="A171" s="18" t="inlineStr">
        <is>
          <t>RealEstateManagementReportableSegmentMember · 계</t>
        </is>
      </c>
      <c r="C171" s="20" t="n">
        <v>890</v>
      </c>
      <c r="D171" s="20" t="n">
        <v>894</v>
      </c>
      <c r="F171" s="20" t="n">
        <v>1080</v>
      </c>
      <c r="G171" s="20" t="n">
        <v>1082</v>
      </c>
      <c r="H171" s="20" t="n">
        <v>1033</v>
      </c>
      <c r="J171" s="20" t="n">
        <v>877</v>
      </c>
      <c r="K171" s="20" t="n">
        <v>835</v>
      </c>
      <c r="L171" s="20" t="n">
        <v>973</v>
      </c>
      <c r="N171" s="20" t="n">
        <v>1183</v>
      </c>
    </row>
    <row r="172">
      <c r="A172" s="18" t="inlineStr">
        <is>
          <t>HotelBusinessReportableSegmentMember · 계</t>
        </is>
      </c>
      <c r="C172" s="20" t="n">
        <v>641</v>
      </c>
      <c r="D172" s="20" t="n">
        <v>606</v>
      </c>
      <c r="E172" s="20" t="n">
        <v>790</v>
      </c>
      <c r="F172" s="20" t="n">
        <v>730</v>
      </c>
      <c r="G172" s="20" t="n">
        <v>755</v>
      </c>
      <c r="H172" s="20" t="n">
        <v>674</v>
      </c>
      <c r="I172" s="20" t="n">
        <v>900</v>
      </c>
      <c r="J172" s="20" t="n">
        <v>766</v>
      </c>
      <c r="K172" s="20" t="n">
        <v>821</v>
      </c>
      <c r="L172" s="20" t="n">
        <v>690</v>
      </c>
      <c r="M172" s="20" t="n">
        <v>976</v>
      </c>
      <c r="N172" s="20" t="n">
        <v>858</v>
      </c>
      <c r="V172" s="20" t="n">
        <v>790</v>
      </c>
      <c r="W172" s="20" t="n">
        <v>900</v>
      </c>
      <c r="X172" s="20" t="n">
        <v>976</v>
      </c>
    </row>
    <row r="173">
      <c r="A173" s="18" t="inlineStr">
        <is>
          <t>보고부문 합계 · 계</t>
        </is>
      </c>
      <c r="C173" s="20" t="n">
        <v>3753</v>
      </c>
      <c r="D173" s="20" t="n">
        <v>6497</v>
      </c>
      <c r="E173" s="20" t="n">
        <v>12047</v>
      </c>
      <c r="F173" s="20" t="n">
        <v>6760</v>
      </c>
      <c r="G173" s="20" t="n">
        <v>6902</v>
      </c>
      <c r="H173" s="20" t="n">
        <v>10527</v>
      </c>
      <c r="I173" s="20" t="n">
        <v>5012</v>
      </c>
      <c r="J173" s="20" t="n">
        <v>10780</v>
      </c>
      <c r="K173" s="20" t="n">
        <v>5279</v>
      </c>
      <c r="L173" s="20" t="n">
        <v>6942</v>
      </c>
      <c r="M173" s="20" t="n">
        <v>7566</v>
      </c>
      <c r="N173" s="20" t="n">
        <v>17343</v>
      </c>
      <c r="V173" s="20" t="n">
        <v>12047</v>
      </c>
      <c r="W173" s="20" t="n">
        <v>5012</v>
      </c>
      <c r="X173" s="20" t="n">
        <v>7566</v>
      </c>
    </row>
    <row r="174">
      <c r="A174" s="18" t="inlineStr">
        <is>
          <t>기타 · 계</t>
        </is>
      </c>
      <c r="D174" s="20" t="n">
        <v>168</v>
      </c>
      <c r="E174" s="20" t="n">
        <v>268</v>
      </c>
      <c r="H174" s="20" t="n">
        <v>216</v>
      </c>
      <c r="I174" s="20" t="n">
        <v>229</v>
      </c>
      <c r="L174" s="20" t="n">
        <v>193</v>
      </c>
      <c r="M174" s="20" t="n">
        <v>151</v>
      </c>
      <c r="V174" s="20" t="n">
        <v>268</v>
      </c>
      <c r="W174" s="20" t="n">
        <v>229</v>
      </c>
      <c r="X174" s="20" t="n">
        <v>151</v>
      </c>
    </row>
    <row r="175">
      <c r="A175" s="18" t="inlineStr">
        <is>
          <t>OtherReportableSegmentsMember · 계</t>
        </is>
      </c>
      <c r="F175" s="20" t="n">
        <v>187</v>
      </c>
      <c r="J175" s="20" t="n">
        <v>196</v>
      </c>
      <c r="N175" s="20" t="n">
        <v>101</v>
      </c>
    </row>
    <row r="176">
      <c r="A176" s="18" t="inlineStr">
        <is>
          <t>합계 · 계</t>
        </is>
      </c>
      <c r="C176" s="20" t="n">
        <v>3899</v>
      </c>
      <c r="D176" s="20" t="n">
        <v>6665</v>
      </c>
      <c r="E176" s="20" t="n">
        <v>12314</v>
      </c>
      <c r="F176" s="20" t="n">
        <v>6948</v>
      </c>
      <c r="G176" s="20" t="n">
        <v>7176</v>
      </c>
      <c r="H176" s="20" t="n">
        <v>10744</v>
      </c>
      <c r="I176" s="20" t="n">
        <v>5240</v>
      </c>
      <c r="J176" s="20" t="n">
        <v>10976</v>
      </c>
      <c r="K176" s="20" t="n">
        <v>5518</v>
      </c>
      <c r="L176" s="20" t="n">
        <v>7135</v>
      </c>
      <c r="M176" s="20" t="n">
        <v>7717</v>
      </c>
      <c r="N176" s="20" t="n">
        <v>17445</v>
      </c>
      <c r="V176" s="20" t="n">
        <v>12314</v>
      </c>
      <c r="W176" s="20" t="n">
        <v>5240</v>
      </c>
      <c r="X176" s="20" t="n">
        <v>7717</v>
      </c>
    </row>
    <row r="177">
      <c r="A177" s="18" t="inlineStr">
        <is>
          <t>DetachedRealEstateReportableSegmentsMember · 부문 이익</t>
        </is>
      </c>
      <c r="C177" s="20" t="n">
        <v>125</v>
      </c>
      <c r="D177" s="20" t="n">
        <v>620</v>
      </c>
      <c r="E177" s="20" t="n">
        <v>3626</v>
      </c>
      <c r="F177" s="20" t="n">
        <v>1272</v>
      </c>
      <c r="G177" s="20" t="n">
        <v>1165</v>
      </c>
      <c r="H177" s="20" t="n">
        <v>2696</v>
      </c>
      <c r="I177" s="20" t="n">
        <v>-53</v>
      </c>
      <c r="J177" s="20" t="n">
        <v>3222</v>
      </c>
      <c r="K177" s="20" t="n">
        <v>699</v>
      </c>
      <c r="L177" s="20" t="n">
        <v>1385</v>
      </c>
      <c r="M177" s="20" t="n">
        <v>1104</v>
      </c>
      <c r="N177" s="20" t="n">
        <v>8066</v>
      </c>
      <c r="V177" s="20" t="n">
        <v>3626</v>
      </c>
      <c r="W177" s="20" t="n">
        <v>-53</v>
      </c>
      <c r="X177" s="20" t="n">
        <v>1104</v>
      </c>
    </row>
    <row r="178">
      <c r="A178" s="18" t="inlineStr">
        <is>
          <t>LeasingReportableSegmentsMember · 부문 이익</t>
        </is>
      </c>
      <c r="C178" s="20" t="n">
        <v>250</v>
      </c>
      <c r="D178" s="20" t="n">
        <v>267</v>
      </c>
      <c r="E178" s="20" t="n">
        <v>369</v>
      </c>
      <c r="F178" s="20" t="n">
        <v>291</v>
      </c>
      <c r="G178" s="20" t="n">
        <v>335</v>
      </c>
      <c r="H178" s="20" t="n">
        <v>290</v>
      </c>
      <c r="I178" s="20" t="n">
        <v>307</v>
      </c>
      <c r="J178" s="20" t="n">
        <v>325</v>
      </c>
      <c r="K178" s="20" t="n">
        <v>342</v>
      </c>
      <c r="L178" s="20" t="n">
        <v>342</v>
      </c>
      <c r="M178" s="20" t="n">
        <v>319</v>
      </c>
      <c r="N178" s="20" t="n">
        <v>731</v>
      </c>
      <c r="V178" s="20" t="n">
        <v>369</v>
      </c>
      <c r="W178" s="20" t="n">
        <v>307</v>
      </c>
      <c r="X178" s="20" t="n">
        <v>319</v>
      </c>
    </row>
    <row r="179">
      <c r="A179" s="18" t="inlineStr">
        <is>
          <t>RealEstateManagementReportableSegmentMember · 부문 이익</t>
        </is>
      </c>
      <c r="C179" s="20" t="n">
        <v>61</v>
      </c>
      <c r="D179" s="20" t="n">
        <v>66</v>
      </c>
      <c r="F179" s="20" t="n">
        <v>46</v>
      </c>
      <c r="G179" s="20" t="n">
        <v>61</v>
      </c>
      <c r="H179" s="20" t="n">
        <v>65</v>
      </c>
      <c r="J179" s="20" t="n">
        <v>41</v>
      </c>
      <c r="K179" s="20" t="n">
        <v>33</v>
      </c>
      <c r="L179" s="20" t="n">
        <v>70</v>
      </c>
      <c r="N179" s="20" t="n">
        <v>67</v>
      </c>
    </row>
    <row r="180">
      <c r="A180" s="18" t="inlineStr">
        <is>
          <t>HotelBusinessReportableSegmentMember · 부문 이익</t>
        </is>
      </c>
      <c r="C180" s="20" t="n">
        <v>116</v>
      </c>
      <c r="D180" s="20" t="n">
        <v>40</v>
      </c>
      <c r="E180" s="20" t="n">
        <v>74</v>
      </c>
      <c r="F180" s="20" t="n">
        <v>90</v>
      </c>
      <c r="G180" s="20" t="n">
        <v>102</v>
      </c>
      <c r="H180" s="20" t="n">
        <v>24</v>
      </c>
      <c r="I180" s="20" t="n">
        <v>187</v>
      </c>
      <c r="J180" s="20" t="n">
        <v>102</v>
      </c>
      <c r="K180" s="20" t="n">
        <v>141</v>
      </c>
      <c r="L180" s="20" t="n">
        <v>31</v>
      </c>
      <c r="M180" s="20" t="n">
        <v>224</v>
      </c>
      <c r="N180" s="20" t="n">
        <v>114</v>
      </c>
      <c r="V180" s="20" t="n">
        <v>74</v>
      </c>
      <c r="W180" s="20" t="n">
        <v>187</v>
      </c>
      <c r="X180" s="20" t="n">
        <v>224</v>
      </c>
    </row>
    <row r="181">
      <c r="A181" s="18" t="inlineStr">
        <is>
          <t>보고부문 합계 · 부문 이익</t>
        </is>
      </c>
      <c r="C181" s="20" t="n">
        <v>550</v>
      </c>
      <c r="D181" s="20" t="n">
        <v>994</v>
      </c>
      <c r="E181" s="20" t="n">
        <v>4161</v>
      </c>
      <c r="F181" s="20" t="n">
        <v>1700</v>
      </c>
      <c r="G181" s="20" t="n">
        <v>1662</v>
      </c>
      <c r="H181" s="20" t="n">
        <v>3077</v>
      </c>
      <c r="I181" s="20" t="n">
        <v>498</v>
      </c>
      <c r="J181" s="20" t="n">
        <v>3692</v>
      </c>
      <c r="K181" s="20" t="n">
        <v>1214</v>
      </c>
      <c r="L181" s="20" t="n">
        <v>1829</v>
      </c>
      <c r="M181" s="20" t="n">
        <v>1710</v>
      </c>
      <c r="N181" s="20" t="n">
        <v>8981</v>
      </c>
      <c r="V181" s="20" t="n">
        <v>4161</v>
      </c>
      <c r="W181" s="20" t="n">
        <v>498</v>
      </c>
      <c r="X181" s="20" t="n">
        <v>1710</v>
      </c>
    </row>
    <row r="182">
      <c r="A182" s="18" t="inlineStr">
        <is>
          <t>기타 · 부문 이익</t>
        </is>
      </c>
      <c r="D182" s="20" t="n">
        <v>92</v>
      </c>
      <c r="E182" s="20" t="n">
        <v>198</v>
      </c>
      <c r="H182" s="20" t="n">
        <v>115</v>
      </c>
      <c r="I182" s="20" t="n">
        <v>167</v>
      </c>
      <c r="L182" s="20" t="n">
        <v>113</v>
      </c>
      <c r="M182" s="20" t="n">
        <v>74</v>
      </c>
      <c r="V182" s="20" t="n">
        <v>198</v>
      </c>
      <c r="W182" s="20" t="n">
        <v>167</v>
      </c>
      <c r="X182" s="20" t="n">
        <v>74</v>
      </c>
    </row>
    <row r="183">
      <c r="A183" s="18" t="inlineStr">
        <is>
          <t>OtherReportableSegmentsMember · 부문 이익</t>
        </is>
      </c>
      <c r="F183" s="20" t="n">
        <v>115</v>
      </c>
      <c r="J183" s="20" t="n">
        <v>119</v>
      </c>
      <c r="N183" s="20" t="n">
        <v>29</v>
      </c>
    </row>
    <row r="184">
      <c r="A184" s="18" t="inlineStr">
        <is>
          <t>합계 · 부문 이익</t>
        </is>
      </c>
      <c r="C184" s="20" t="n">
        <v>639</v>
      </c>
      <c r="D184" s="20" t="n">
        <v>1086</v>
      </c>
      <c r="E184" s="20" t="n">
        <v>4359</v>
      </c>
      <c r="F184" s="20" t="n">
        <v>1816</v>
      </c>
      <c r="G184" s="20" t="n">
        <v>1871</v>
      </c>
      <c r="H184" s="20" t="n">
        <v>3193</v>
      </c>
      <c r="I184" s="20" t="n">
        <v>665</v>
      </c>
      <c r="J184" s="20" t="n">
        <v>3812</v>
      </c>
      <c r="K184" s="20" t="n">
        <v>1379</v>
      </c>
      <c r="L184" s="20" t="n">
        <v>1942</v>
      </c>
      <c r="M184" s="20" t="n">
        <v>1784</v>
      </c>
      <c r="N184" s="20" t="n">
        <v>9011</v>
      </c>
      <c r="V184" s="20" t="n">
        <v>4359</v>
      </c>
      <c r="W184" s="20" t="n">
        <v>665</v>
      </c>
      <c r="X184" s="20" t="n">
        <v>1784</v>
      </c>
    </row>
    <row r="186">
      <c r="A186" s="16" t="inlineStr">
        <is>
          <t>현금흐름표 · 전 항목</t>
        </is>
      </c>
      <c r="B186" s="42" t="inlineStr">
        <is>
          <t>분기 = 결산기 첫날부터 누계(공시 그대로)</t>
        </is>
      </c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</row>
    <row r="187">
      <c r="A187" s="5" t="inlineStr">
        <is>
          <t>항목</t>
        </is>
      </c>
      <c r="B187" s="5" t="inlineStr">
        <is>
          <t>참고</t>
        </is>
      </c>
      <c r="C187" s="5" t="inlineStr">
        <is>
          <t>2024.2Q</t>
        </is>
      </c>
      <c r="D187" s="5" t="inlineStr">
        <is>
          <t>2024.3Q</t>
        </is>
      </c>
      <c r="E187" s="5" t="inlineStr">
        <is>
          <t>2024.4Q</t>
        </is>
      </c>
      <c r="F187" s="5" t="inlineStr">
        <is>
          <t>2025.1Q</t>
        </is>
      </c>
      <c r="G187" s="5" t="inlineStr">
        <is>
          <t>2025.2Q</t>
        </is>
      </c>
      <c r="H187" s="5" t="inlineStr">
        <is>
          <t>2025.3Q</t>
        </is>
      </c>
      <c r="I187" s="5" t="inlineStr">
        <is>
          <t>2025.4Q</t>
        </is>
      </c>
      <c r="J187" s="5" t="inlineStr">
        <is>
          <t>2026.1Q</t>
        </is>
      </c>
      <c r="K187" s="5" t="inlineStr">
        <is>
          <t>2026.2Q</t>
        </is>
      </c>
      <c r="L187" s="5" t="inlineStr">
        <is>
          <t>2026.3Q</t>
        </is>
      </c>
      <c r="M187" s="5" t="inlineStr">
        <is>
          <t>2026.4Q</t>
        </is>
      </c>
      <c r="N187" s="5" t="inlineStr">
        <is>
          <t>2027.1Q</t>
        </is>
      </c>
      <c r="O187" s="5" t="inlineStr">
        <is>
          <t>2017</t>
        </is>
      </c>
      <c r="P187" s="5" t="inlineStr">
        <is>
          <t>2018</t>
        </is>
      </c>
      <c r="Q187" s="5" t="inlineStr">
        <is>
          <t>2019</t>
        </is>
      </c>
      <c r="R187" s="5" t="inlineStr">
        <is>
          <t>2020</t>
        </is>
      </c>
      <c r="S187" s="5" t="inlineStr">
        <is>
          <t>2021</t>
        </is>
      </c>
      <c r="T187" s="5" t="inlineStr">
        <is>
          <t>2022</t>
        </is>
      </c>
      <c r="U187" s="5" t="inlineStr">
        <is>
          <t>2023</t>
        </is>
      </c>
      <c r="V187" s="5" t="inlineStr">
        <is>
          <t>2024</t>
        </is>
      </c>
      <c r="W187" s="5" t="inlineStr">
        <is>
          <t>2025</t>
        </is>
      </c>
      <c r="X187" s="5" t="inlineStr">
        <is>
          <t>2026</t>
        </is>
      </c>
      <c r="Y187" s="5" t="inlineStr">
        <is>
          <t>2027(MW)</t>
        </is>
      </c>
      <c r="Z187" s="5" t="inlineStr">
        <is>
          <t>2028(MW)</t>
        </is>
      </c>
      <c r="AA187" s="5" t="inlineStr">
        <is>
          <t>2029(MW)</t>
        </is>
      </c>
      <c r="AB187" s="5" t="inlineStr">
        <is>
          <t>2030(MW)</t>
        </is>
      </c>
      <c r="AC187" s="5" t="inlineStr">
        <is>
          <t>2031(MW)</t>
        </is>
      </c>
    </row>
    <row r="188">
      <c r="A188" s="9" t="inlineStr">
        <is>
          <t>법인세차감전 순이익</t>
        </is>
      </c>
      <c r="C188" s="12" t="n">
        <v>286</v>
      </c>
      <c r="E188" s="12" t="n">
        <v>5521</v>
      </c>
      <c r="G188" s="12" t="n">
        <v>3482</v>
      </c>
      <c r="I188" s="12" t="n">
        <v>7044</v>
      </c>
      <c r="K188" s="12" t="n">
        <v>5093</v>
      </c>
      <c r="M188" s="12" t="n">
        <v>8559</v>
      </c>
      <c r="O188" s="12" t="n">
        <v>8491</v>
      </c>
      <c r="P188" s="12" t="n">
        <v>10766</v>
      </c>
      <c r="Q188" s="12" t="n">
        <v>7969</v>
      </c>
      <c r="R188" s="12" t="n">
        <v>11305</v>
      </c>
      <c r="S188" s="12" t="n">
        <v>6667</v>
      </c>
      <c r="T188" s="12" t="n">
        <v>11544</v>
      </c>
      <c r="U188" s="12" t="n">
        <v>10554</v>
      </c>
      <c r="V188" s="12" t="n">
        <v>5521</v>
      </c>
      <c r="W188" s="12" t="n">
        <v>7044</v>
      </c>
      <c r="X188" s="12" t="n">
        <v>8559</v>
      </c>
    </row>
    <row r="189">
      <c r="A189" s="18" t="inlineStr">
        <is>
          <t>감가상각비</t>
        </is>
      </c>
      <c r="C189" s="20" t="n">
        <v>410</v>
      </c>
      <c r="E189" s="20" t="n">
        <v>846</v>
      </c>
      <c r="G189" s="20" t="n">
        <v>528</v>
      </c>
      <c r="I189" s="20" t="n">
        <v>1007</v>
      </c>
      <c r="K189" s="20" t="n">
        <v>476</v>
      </c>
      <c r="M189" s="20" t="n">
        <v>988</v>
      </c>
      <c r="O189" s="20" t="n">
        <v>748</v>
      </c>
      <c r="P189" s="20" t="n">
        <v>793</v>
      </c>
      <c r="Q189" s="20" t="n">
        <v>771</v>
      </c>
      <c r="R189" s="20" t="n">
        <v>889</v>
      </c>
      <c r="S189" s="20" t="n">
        <v>881</v>
      </c>
      <c r="T189" s="20" t="n">
        <v>910</v>
      </c>
      <c r="U189" s="20" t="n">
        <v>943</v>
      </c>
      <c r="V189" s="20" t="n">
        <v>846</v>
      </c>
      <c r="W189" s="20" t="n">
        <v>1007</v>
      </c>
      <c r="X189" s="20" t="n">
        <v>988</v>
      </c>
    </row>
    <row r="190">
      <c r="A190" s="18" t="inlineStr">
        <is>
          <t>손상차손</t>
        </is>
      </c>
      <c r="O190" s="20" t="n">
        <v>0</v>
      </c>
      <c r="P190" s="20" t="n">
        <v>2182</v>
      </c>
      <c r="Q190" s="20" t="n">
        <v>0</v>
      </c>
    </row>
    <row r="191">
      <c r="A191" s="18" t="inlineStr">
        <is>
          <t>영업권 상각</t>
        </is>
      </c>
      <c r="C191" s="20" t="n">
        <v>106</v>
      </c>
      <c r="E191" s="20" t="n">
        <v>212</v>
      </c>
      <c r="G191" s="20" t="n">
        <v>53</v>
      </c>
      <c r="I191" s="20" t="n">
        <v>53</v>
      </c>
      <c r="K191" s="20" t="n">
        <v>0</v>
      </c>
      <c r="M191" s="20" t="n">
        <v>0</v>
      </c>
      <c r="O191" s="20" t="n">
        <v>205</v>
      </c>
      <c r="P191" s="20" t="n">
        <v>212</v>
      </c>
      <c r="Q191" s="20" t="n">
        <v>212</v>
      </c>
      <c r="R191" s="20" t="n">
        <v>212</v>
      </c>
      <c r="S191" s="20" t="n">
        <v>212</v>
      </c>
      <c r="T191" s="20" t="n">
        <v>212</v>
      </c>
      <c r="U191" s="20" t="n">
        <v>212</v>
      </c>
      <c r="V191" s="20" t="n">
        <v>212</v>
      </c>
      <c r="W191" s="20" t="n">
        <v>53</v>
      </c>
      <c r="X191" s="20" t="n">
        <v>0</v>
      </c>
    </row>
    <row r="192">
      <c r="A192" s="18" t="inlineStr">
        <is>
          <t>지분법손익</t>
        </is>
      </c>
      <c r="E192" s="20" t="n">
        <v>0</v>
      </c>
      <c r="G192" s="20" t="n">
        <v>0</v>
      </c>
      <c r="I192" s="20" t="n">
        <v>-89</v>
      </c>
      <c r="K192" s="20" t="n">
        <v>-264</v>
      </c>
      <c r="M192" s="20" t="n">
        <v>-533</v>
      </c>
      <c r="V192" s="20" t="n">
        <v>0</v>
      </c>
      <c r="W192" s="20" t="n">
        <v>-89</v>
      </c>
      <c r="X192" s="20" t="n">
        <v>-533</v>
      </c>
    </row>
    <row r="193">
      <c r="A193" s="18" t="inlineStr">
        <is>
          <t>임원 퇴직위로 충당금 증감</t>
        </is>
      </c>
      <c r="C193" s="20" t="n">
        <v>11</v>
      </c>
      <c r="E193" s="20" t="n">
        <v>193</v>
      </c>
      <c r="G193" s="20" t="n">
        <v>26</v>
      </c>
      <c r="I193" s="20" t="n">
        <v>45</v>
      </c>
      <c r="K193" s="20" t="n">
        <v>19</v>
      </c>
      <c r="M193" s="20" t="n">
        <v>38</v>
      </c>
      <c r="O193" s="20" t="n">
        <v>29</v>
      </c>
      <c r="P193" s="20" t="n">
        <v>29</v>
      </c>
      <c r="Q193" s="20" t="n">
        <v>33</v>
      </c>
      <c r="R193" s="20" t="n">
        <v>30</v>
      </c>
      <c r="S193" s="20" t="n">
        <v>32</v>
      </c>
      <c r="T193" s="20" t="n">
        <v>-2</v>
      </c>
      <c r="U193" s="20" t="n">
        <v>38</v>
      </c>
      <c r="V193" s="20" t="n">
        <v>193</v>
      </c>
      <c r="W193" s="20" t="n">
        <v>45</v>
      </c>
      <c r="X193" s="20" t="n">
        <v>38</v>
      </c>
    </row>
    <row r="194">
      <c r="A194" s="18" t="inlineStr">
        <is>
          <t>상여충당금 증감</t>
        </is>
      </c>
      <c r="C194" s="20" t="n">
        <v>2</v>
      </c>
      <c r="E194" s="20" t="n">
        <v>10</v>
      </c>
      <c r="G194" s="20" t="n">
        <v>-1</v>
      </c>
      <c r="I194" s="20" t="n">
        <v>8</v>
      </c>
      <c r="K194" s="20" t="n">
        <v>-1</v>
      </c>
      <c r="M194" s="20" t="n">
        <v>3</v>
      </c>
      <c r="O194" s="20" t="n">
        <v>3</v>
      </c>
      <c r="P194" s="20" t="n">
        <v>1</v>
      </c>
      <c r="Q194" s="20" t="n">
        <v>6</v>
      </c>
      <c r="R194" s="20" t="n">
        <v>2</v>
      </c>
      <c r="S194" s="20" t="n">
        <v>-6</v>
      </c>
      <c r="T194" s="20" t="n">
        <v>-1</v>
      </c>
      <c r="U194" s="20" t="n">
        <v>-1</v>
      </c>
      <c r="V194" s="20" t="n">
        <v>10</v>
      </c>
      <c r="W194" s="20" t="n">
        <v>8</v>
      </c>
      <c r="X194" s="20" t="n">
        <v>3</v>
      </c>
    </row>
    <row r="195">
      <c r="A195" s="18" t="inlineStr">
        <is>
          <t>퇴직급여부채 증감</t>
        </is>
      </c>
      <c r="C195" s="20" t="n">
        <v>22</v>
      </c>
      <c r="E195" s="20" t="n">
        <v>27</v>
      </c>
      <c r="G195" s="20" t="n">
        <v>26</v>
      </c>
      <c r="I195" s="20" t="n">
        <v>34</v>
      </c>
      <c r="K195" s="20" t="n">
        <v>17</v>
      </c>
      <c r="M195" s="20" t="n">
        <v>30</v>
      </c>
      <c r="O195" s="20" t="n">
        <v>3</v>
      </c>
      <c r="P195" s="20" t="n">
        <v>5</v>
      </c>
      <c r="Q195" s="20" t="n">
        <v>12</v>
      </c>
      <c r="R195" s="20" t="n">
        <v>15</v>
      </c>
      <c r="S195" s="20" t="n">
        <v>13</v>
      </c>
      <c r="T195" s="20" t="n">
        <v>-7</v>
      </c>
      <c r="U195" s="20" t="n">
        <v>6</v>
      </c>
      <c r="V195" s="20" t="n">
        <v>27</v>
      </c>
      <c r="W195" s="20" t="n">
        <v>34</v>
      </c>
      <c r="X195" s="20" t="n">
        <v>30</v>
      </c>
    </row>
    <row r="196">
      <c r="A196" s="18" t="inlineStr">
        <is>
          <t>이자수익</t>
        </is>
      </c>
      <c r="C196" s="20" t="n">
        <v>-0</v>
      </c>
      <c r="E196" s="20" t="n">
        <v>-0</v>
      </c>
      <c r="G196" s="20" t="n">
        <v>-3</v>
      </c>
      <c r="I196" s="20" t="n">
        <v>-40</v>
      </c>
      <c r="K196" s="20" t="n">
        <v>-67</v>
      </c>
      <c r="M196" s="20" t="n">
        <v>-143</v>
      </c>
      <c r="O196" s="20" t="n">
        <v>-0</v>
      </c>
      <c r="P196" s="20" t="n">
        <v>-1</v>
      </c>
      <c r="Q196" s="20" t="n">
        <v>-0</v>
      </c>
      <c r="R196" s="20" t="n">
        <v>-1</v>
      </c>
      <c r="S196" s="20" t="n">
        <v>-2</v>
      </c>
      <c r="T196" s="20" t="n">
        <v>-1</v>
      </c>
      <c r="U196" s="20" t="n">
        <v>-0</v>
      </c>
      <c r="V196" s="20" t="n">
        <v>-0</v>
      </c>
      <c r="W196" s="20" t="n">
        <v>-40</v>
      </c>
      <c r="X196" s="20" t="n">
        <v>-143</v>
      </c>
    </row>
    <row r="197">
      <c r="A197" s="18" t="inlineStr">
        <is>
          <t>이자비용</t>
        </is>
      </c>
      <c r="C197" s="20" t="n">
        <v>135</v>
      </c>
      <c r="E197" s="20" t="n">
        <v>280</v>
      </c>
      <c r="G197" s="20" t="n">
        <v>182</v>
      </c>
      <c r="I197" s="20" t="n">
        <v>503</v>
      </c>
      <c r="K197" s="20" t="n">
        <v>466</v>
      </c>
      <c r="M197" s="20" t="n">
        <v>956</v>
      </c>
      <c r="O197" s="20" t="n">
        <v>403</v>
      </c>
      <c r="P197" s="20" t="n">
        <v>426</v>
      </c>
      <c r="Q197" s="20" t="n">
        <v>298</v>
      </c>
      <c r="R197" s="20" t="n">
        <v>250</v>
      </c>
      <c r="S197" s="20" t="n">
        <v>262</v>
      </c>
      <c r="T197" s="20" t="n">
        <v>274</v>
      </c>
      <c r="U197" s="20" t="n">
        <v>266</v>
      </c>
      <c r="V197" s="20" t="n">
        <v>280</v>
      </c>
      <c r="W197" s="20" t="n">
        <v>503</v>
      </c>
      <c r="X197" s="20" t="n">
        <v>956</v>
      </c>
    </row>
    <row r="198">
      <c r="A198" s="18" t="inlineStr">
        <is>
          <t>사채발행비</t>
        </is>
      </c>
      <c r="P198" s="20" t="n">
        <v>0</v>
      </c>
      <c r="Q198" s="20" t="n">
        <v>64</v>
      </c>
      <c r="R198" s="20" t="n">
        <v>0</v>
      </c>
      <c r="S198" s="20" t="n">
        <v>44</v>
      </c>
      <c r="T198" s="20" t="n">
        <v>0</v>
      </c>
    </row>
    <row r="199">
      <c r="A199" s="18" t="inlineStr">
        <is>
          <t>보조금 수입</t>
        </is>
      </c>
      <c r="C199" s="20" t="n">
        <v>0</v>
      </c>
      <c r="E199" s="20" t="n">
        <v>0</v>
      </c>
      <c r="S199" s="20" t="n">
        <v>-65</v>
      </c>
      <c r="T199" s="20" t="n">
        <v>-144</v>
      </c>
      <c r="U199" s="20" t="n">
        <v>-56</v>
      </c>
      <c r="V199" s="20" t="n">
        <v>0</v>
      </c>
    </row>
    <row r="200">
      <c r="A200" s="18" t="inlineStr">
        <is>
          <t>매출채권 증감</t>
        </is>
      </c>
      <c r="C200" s="20" t="n">
        <v>-179</v>
      </c>
      <c r="E200" s="20" t="n">
        <v>-122</v>
      </c>
      <c r="G200" s="20" t="n">
        <v>-342</v>
      </c>
      <c r="I200" s="20" t="n">
        <v>-114</v>
      </c>
      <c r="K200" s="20" t="n">
        <v>201</v>
      </c>
      <c r="M200" s="20" t="n">
        <v>97</v>
      </c>
      <c r="O200" s="20" t="n">
        <v>210</v>
      </c>
      <c r="P200" s="20" t="n">
        <v>-12</v>
      </c>
      <c r="Q200" s="20" t="n">
        <v>81</v>
      </c>
      <c r="R200" s="20" t="n">
        <v>-29</v>
      </c>
      <c r="S200" s="20" t="n">
        <v>141</v>
      </c>
      <c r="T200" s="20" t="n">
        <v>-83</v>
      </c>
      <c r="U200" s="20" t="n">
        <v>-236</v>
      </c>
      <c r="V200" s="20" t="n">
        <v>-122</v>
      </c>
      <c r="W200" s="20" t="n">
        <v>-114</v>
      </c>
      <c r="X200" s="20" t="n">
        <v>97</v>
      </c>
    </row>
    <row r="201">
      <c r="A201" s="18" t="inlineStr">
        <is>
          <t>선수금 증감</t>
        </is>
      </c>
      <c r="C201" s="20" t="n">
        <v>279</v>
      </c>
      <c r="E201" s="20" t="n">
        <v>278</v>
      </c>
      <c r="G201" s="20" t="n">
        <v>114</v>
      </c>
      <c r="I201" s="20" t="n">
        <v>152</v>
      </c>
      <c r="K201" s="20" t="n">
        <v>562</v>
      </c>
      <c r="M201" s="20" t="n">
        <v>1523</v>
      </c>
      <c r="O201" s="20" t="n">
        <v>2207</v>
      </c>
      <c r="P201" s="20" t="n">
        <v>-2747</v>
      </c>
      <c r="Q201" s="20" t="n">
        <v>2527</v>
      </c>
      <c r="R201" s="20" t="n">
        <v>-2816</v>
      </c>
      <c r="S201" s="20" t="n">
        <v>213</v>
      </c>
      <c r="T201" s="20" t="n">
        <v>1620</v>
      </c>
      <c r="U201" s="20" t="n">
        <v>-2305</v>
      </c>
      <c r="V201" s="20" t="n">
        <v>278</v>
      </c>
      <c r="W201" s="20" t="n">
        <v>152</v>
      </c>
      <c r="X201" s="20" t="n">
        <v>1523</v>
      </c>
    </row>
    <row r="202">
      <c r="A202" s="18" t="inlineStr">
        <is>
          <t>재고자산 증감</t>
        </is>
      </c>
      <c r="C202" s="20" t="n">
        <v>-4519</v>
      </c>
      <c r="E202" s="20" t="n">
        <v>-11006</v>
      </c>
      <c r="G202" s="20" t="n">
        <v>-1461</v>
      </c>
      <c r="I202" s="20" t="n">
        <v>-3783</v>
      </c>
      <c r="K202" s="20" t="n">
        <v>-14328</v>
      </c>
      <c r="M202" s="20" t="n">
        <v>-15520</v>
      </c>
      <c r="O202" s="20" t="n">
        <v>12748</v>
      </c>
      <c r="P202" s="20" t="n">
        <v>5936</v>
      </c>
      <c r="Q202" s="20" t="n">
        <v>3036</v>
      </c>
      <c r="R202" s="20" t="n">
        <v>8284</v>
      </c>
      <c r="S202" s="20" t="n">
        <v>6520</v>
      </c>
      <c r="T202" s="20" t="n">
        <v>-3346</v>
      </c>
      <c r="U202" s="20" t="n">
        <v>2415</v>
      </c>
      <c r="V202" s="20" t="n">
        <v>-11006</v>
      </c>
      <c r="W202" s="20" t="n">
        <v>-3783</v>
      </c>
      <c r="X202" s="20" t="n">
        <v>-15520</v>
      </c>
    </row>
    <row r="203">
      <c r="A203" s="18" t="inlineStr">
        <is>
          <t>매입채무 증감</t>
        </is>
      </c>
      <c r="C203" s="20" t="n">
        <v>1724</v>
      </c>
      <c r="E203" s="20" t="n">
        <v>8059</v>
      </c>
      <c r="G203" s="20" t="n">
        <v>-6805</v>
      </c>
      <c r="I203" s="20" t="n">
        <v>-6547</v>
      </c>
      <c r="K203" s="20" t="n">
        <v>345</v>
      </c>
      <c r="M203" s="20" t="n">
        <v>2049</v>
      </c>
      <c r="O203" s="20" t="n">
        <v>-2828</v>
      </c>
      <c r="P203" s="20" t="n">
        <v>561</v>
      </c>
      <c r="Q203" s="20" t="n">
        <v>7395</v>
      </c>
      <c r="R203" s="20" t="n">
        <v>-9267</v>
      </c>
      <c r="S203" s="20" t="n">
        <v>1725</v>
      </c>
      <c r="T203" s="20" t="n">
        <v>8707</v>
      </c>
      <c r="U203" s="20" t="n">
        <v>-10818</v>
      </c>
      <c r="V203" s="20" t="n">
        <v>8059</v>
      </c>
      <c r="W203" s="20" t="n">
        <v>-6547</v>
      </c>
      <c r="X203" s="20" t="n">
        <v>2049</v>
      </c>
    </row>
    <row r="204">
      <c r="A204" s="18" t="inlineStr">
        <is>
          <t>예수금 증감</t>
        </is>
      </c>
      <c r="C204" s="20" t="n">
        <v>0</v>
      </c>
      <c r="E204" s="20" t="n">
        <v>2940</v>
      </c>
      <c r="G204" s="20" t="n">
        <v>-2767</v>
      </c>
      <c r="I204" s="20" t="n">
        <v>-2428</v>
      </c>
      <c r="K204" s="20" t="n">
        <v>-560</v>
      </c>
      <c r="M204" s="20" t="n">
        <v>-550</v>
      </c>
      <c r="U204" s="20" t="n">
        <v>8</v>
      </c>
      <c r="V204" s="20" t="n">
        <v>2940</v>
      </c>
      <c r="W204" s="20" t="n">
        <v>-2428</v>
      </c>
      <c r="X204" s="20" t="n">
        <v>-550</v>
      </c>
    </row>
    <row r="205">
      <c r="A205" s="18" t="inlineStr">
        <is>
          <t>미수 소비세 증감</t>
        </is>
      </c>
      <c r="C205" s="20" t="n">
        <v>-152</v>
      </c>
      <c r="E205" s="20" t="n">
        <v>-767</v>
      </c>
      <c r="G205" s="20" t="n">
        <v>767</v>
      </c>
      <c r="I205" s="20" t="n">
        <v>767</v>
      </c>
      <c r="K205" s="20" t="n">
        <v>0</v>
      </c>
      <c r="M205" s="20" t="n">
        <v>-932</v>
      </c>
      <c r="R205" s="20" t="n">
        <v>203</v>
      </c>
      <c r="S205" s="20" t="n">
        <v>-448</v>
      </c>
      <c r="T205" s="20" t="n">
        <v>438</v>
      </c>
      <c r="U205" s="20" t="n">
        <v>9</v>
      </c>
      <c r="V205" s="20" t="n">
        <v>-767</v>
      </c>
      <c r="W205" s="20" t="n">
        <v>767</v>
      </c>
      <c r="X205" s="20" t="n">
        <v>-932</v>
      </c>
    </row>
    <row r="206">
      <c r="A206" s="18" t="inlineStr">
        <is>
          <t>미지급 소비세 증감</t>
        </is>
      </c>
      <c r="C206" s="20" t="n">
        <v>-15</v>
      </c>
      <c r="E206" s="20" t="n">
        <v>34</v>
      </c>
      <c r="G206" s="20" t="n">
        <v>187</v>
      </c>
      <c r="I206" s="20" t="n">
        <v>92</v>
      </c>
      <c r="K206" s="20" t="n">
        <v>175</v>
      </c>
      <c r="M206" s="20" t="n">
        <v>-136</v>
      </c>
      <c r="R206" s="20" t="n">
        <v>710</v>
      </c>
      <c r="S206" s="20" t="n">
        <v>-718</v>
      </c>
      <c r="T206" s="20" t="n">
        <v>30</v>
      </c>
      <c r="U206" s="20" t="n">
        <v>8</v>
      </c>
      <c r="V206" s="20" t="n">
        <v>34</v>
      </c>
      <c r="W206" s="20" t="n">
        <v>92</v>
      </c>
      <c r="X206" s="20" t="n">
        <v>-136</v>
      </c>
    </row>
    <row r="207">
      <c r="A207" s="18" t="inlineStr">
        <is>
          <t>기타</t>
        </is>
      </c>
      <c r="C207" s="20" t="n">
        <v>-136</v>
      </c>
      <c r="E207" s="20" t="n">
        <v>515</v>
      </c>
      <c r="G207" s="20" t="n">
        <v>-402</v>
      </c>
      <c r="I207" s="20" t="n">
        <v>-1861</v>
      </c>
      <c r="K207" s="20" t="n">
        <v>1550</v>
      </c>
      <c r="M207" s="20" t="n">
        <v>1853</v>
      </c>
      <c r="O207" s="20" t="n">
        <v>276</v>
      </c>
      <c r="P207" s="20" t="n">
        <v>-776</v>
      </c>
      <c r="Q207" s="20" t="n">
        <v>1227</v>
      </c>
      <c r="R207" s="20" t="n">
        <v>-465</v>
      </c>
      <c r="S207" s="20" t="n">
        <v>21</v>
      </c>
      <c r="T207" s="20" t="n">
        <v>320</v>
      </c>
      <c r="U207" s="20" t="n">
        <v>-499</v>
      </c>
      <c r="V207" s="20" t="n">
        <v>515</v>
      </c>
      <c r="W207" s="20" t="n">
        <v>-1861</v>
      </c>
      <c r="X207" s="20" t="n">
        <v>1853</v>
      </c>
    </row>
    <row r="208">
      <c r="A208" s="18" t="inlineStr">
        <is>
          <t>소계</t>
        </is>
      </c>
      <c r="C208" s="20" t="n">
        <v>-2023</v>
      </c>
      <c r="E208" s="20" t="n">
        <v>7023</v>
      </c>
      <c r="G208" s="20" t="n">
        <v>-6413</v>
      </c>
      <c r="I208" s="20" t="n">
        <v>-5156</v>
      </c>
      <c r="K208" s="20" t="n">
        <v>-6312</v>
      </c>
      <c r="M208" s="20" t="n">
        <v>-1716</v>
      </c>
      <c r="O208" s="20" t="n">
        <v>22499</v>
      </c>
      <c r="P208" s="20" t="n">
        <v>17378</v>
      </c>
      <c r="Q208" s="20" t="n">
        <v>23635</v>
      </c>
      <c r="R208" s="20" t="n">
        <v>9323</v>
      </c>
      <c r="S208" s="20" t="n">
        <v>15493</v>
      </c>
      <c r="T208" s="20" t="n">
        <v>20472</v>
      </c>
      <c r="U208" s="20" t="n">
        <v>545</v>
      </c>
      <c r="V208" s="20" t="n">
        <v>7023</v>
      </c>
      <c r="W208" s="20" t="n">
        <v>-5156</v>
      </c>
      <c r="X208" s="20" t="n">
        <v>-1716</v>
      </c>
    </row>
    <row r="209">
      <c r="A209" s="18" t="inlineStr">
        <is>
          <t>이자 수취</t>
        </is>
      </c>
      <c r="C209" s="20" t="n">
        <v>0</v>
      </c>
      <c r="E209" s="20" t="n">
        <v>0</v>
      </c>
      <c r="G209" s="20" t="n">
        <v>3</v>
      </c>
      <c r="I209" s="20" t="n">
        <v>39</v>
      </c>
      <c r="K209" s="20" t="n">
        <v>63</v>
      </c>
      <c r="M209" s="20" t="n">
        <v>144</v>
      </c>
      <c r="O209" s="20" t="n">
        <v>1</v>
      </c>
      <c r="P209" s="20" t="n">
        <v>1</v>
      </c>
      <c r="Q209" s="20" t="n">
        <v>0</v>
      </c>
      <c r="R209" s="20" t="n">
        <v>1</v>
      </c>
      <c r="S209" s="20" t="n">
        <v>0</v>
      </c>
      <c r="T209" s="20" t="n">
        <v>0</v>
      </c>
      <c r="U209" s="20" t="n">
        <v>4</v>
      </c>
      <c r="V209" s="20" t="n">
        <v>0</v>
      </c>
      <c r="W209" s="20" t="n">
        <v>39</v>
      </c>
      <c r="X209" s="20" t="n">
        <v>144</v>
      </c>
    </row>
    <row r="210">
      <c r="A210" s="18" t="inlineStr">
        <is>
          <t>이자 지급</t>
        </is>
      </c>
      <c r="C210" s="20" t="n">
        <v>-151</v>
      </c>
      <c r="E210" s="20" t="n">
        <v>-297</v>
      </c>
      <c r="G210" s="20" t="n">
        <v>-272</v>
      </c>
      <c r="I210" s="20" t="n">
        <v>-664</v>
      </c>
      <c r="K210" s="20" t="n">
        <v>-468</v>
      </c>
      <c r="M210" s="20" t="n">
        <v>-1049</v>
      </c>
      <c r="O210" s="20" t="n">
        <v>-403</v>
      </c>
      <c r="P210" s="20" t="n">
        <v>-434</v>
      </c>
      <c r="Q210" s="20" t="n">
        <v>-300</v>
      </c>
      <c r="R210" s="20" t="n">
        <v>-279</v>
      </c>
      <c r="S210" s="20" t="n">
        <v>-269</v>
      </c>
      <c r="T210" s="20" t="n">
        <v>-274</v>
      </c>
      <c r="U210" s="20" t="n">
        <v>-270</v>
      </c>
      <c r="V210" s="20" t="n">
        <v>-297</v>
      </c>
      <c r="W210" s="20" t="n">
        <v>-664</v>
      </c>
      <c r="X210" s="20" t="n">
        <v>-1049</v>
      </c>
    </row>
    <row r="211">
      <c r="A211" s="18" t="inlineStr">
        <is>
          <t>법인세 납부</t>
        </is>
      </c>
      <c r="C211" s="20" t="n">
        <v>-1544</v>
      </c>
      <c r="E211" s="20" t="n">
        <v>-1634</v>
      </c>
      <c r="G211" s="20" t="n">
        <v>-1706</v>
      </c>
      <c r="I211" s="20" t="n">
        <v>-2673</v>
      </c>
      <c r="K211" s="20" t="n">
        <v>-1276</v>
      </c>
      <c r="M211" s="20" t="n">
        <v>-2401</v>
      </c>
      <c r="O211" s="20" t="n">
        <v>-3229</v>
      </c>
      <c r="P211" s="20" t="n">
        <v>-3278</v>
      </c>
      <c r="Q211" s="20" t="n">
        <v>-4105</v>
      </c>
      <c r="R211" s="20" t="n">
        <v>-3077</v>
      </c>
      <c r="S211" s="20" t="n">
        <v>-4488</v>
      </c>
      <c r="T211" s="20" t="n">
        <v>-1852</v>
      </c>
      <c r="U211" s="20" t="n">
        <v>-4392</v>
      </c>
      <c r="V211" s="20" t="n">
        <v>-1634</v>
      </c>
      <c r="W211" s="20" t="n">
        <v>-2673</v>
      </c>
      <c r="X211" s="20" t="n">
        <v>-2401</v>
      </c>
    </row>
    <row r="212">
      <c r="A212" s="9" t="inlineStr">
        <is>
          <t>영업활동 현금흐름</t>
        </is>
      </c>
      <c r="C212" s="12" t="n">
        <v>-3719</v>
      </c>
      <c r="E212" s="12" t="n">
        <v>5092</v>
      </c>
      <c r="G212" s="12" t="n">
        <v>-8389</v>
      </c>
      <c r="I212" s="12" t="n">
        <v>-8455</v>
      </c>
      <c r="K212" s="12" t="n">
        <v>-7994</v>
      </c>
      <c r="M212" s="12" t="n">
        <v>-5024</v>
      </c>
      <c r="O212" s="12" t="n">
        <v>18868</v>
      </c>
      <c r="P212" s="12" t="n">
        <v>13667</v>
      </c>
      <c r="Q212" s="12" t="n">
        <v>19230</v>
      </c>
      <c r="R212" s="12" t="n">
        <v>5967</v>
      </c>
      <c r="S212" s="12" t="n">
        <v>10736</v>
      </c>
      <c r="T212" s="12" t="n">
        <v>18346</v>
      </c>
      <c r="U212" s="12" t="n">
        <v>-4112</v>
      </c>
      <c r="V212" s="12" t="n">
        <v>5092</v>
      </c>
      <c r="W212" s="12" t="n">
        <v>-8455</v>
      </c>
      <c r="X212" s="12" t="n">
        <v>-5024</v>
      </c>
    </row>
    <row r="213">
      <c r="A213" s="18" t="inlineStr">
        <is>
          <t>정기예금 예입</t>
        </is>
      </c>
      <c r="S213" s="20" t="n">
        <v>0</v>
      </c>
      <c r="T213" s="20" t="n">
        <v>-2220</v>
      </c>
      <c r="U213" s="20" t="n">
        <v>0</v>
      </c>
    </row>
    <row r="214">
      <c r="A214" s="18" t="inlineStr">
        <is>
          <t>정기예금 인출</t>
        </is>
      </c>
      <c r="C214" s="20" t="n">
        <v>0</v>
      </c>
      <c r="E214" s="20" t="n">
        <v>0</v>
      </c>
      <c r="T214" s="20" t="n">
        <v>0</v>
      </c>
      <c r="U214" s="20" t="n">
        <v>2220</v>
      </c>
      <c r="V214" s="20" t="n">
        <v>0</v>
      </c>
    </row>
    <row r="215">
      <c r="A215" s="18" t="inlineStr">
        <is>
          <t>Proceeds From Withdrawal Of Investments In Subsidiaries And Associates Inv CF</t>
        </is>
      </c>
      <c r="G215" s="20" t="n">
        <v>0</v>
      </c>
      <c r="I215" s="20" t="n">
        <v>0</v>
      </c>
      <c r="K215" s="20" t="n">
        <v>85</v>
      </c>
      <c r="M215" s="20" t="n">
        <v>175</v>
      </c>
      <c r="W215" s="20" t="n">
        <v>0</v>
      </c>
      <c r="X215" s="20" t="n">
        <v>175</v>
      </c>
    </row>
    <row r="216">
      <c r="A216" s="18" t="inlineStr">
        <is>
          <t>Investments In Equity Accounted Investees Inv CF</t>
        </is>
      </c>
      <c r="E216" s="20" t="n">
        <v>0</v>
      </c>
      <c r="I216" s="20" t="n">
        <v>-15052</v>
      </c>
      <c r="M216" s="20" t="n">
        <v>0</v>
      </c>
      <c r="V216" s="20" t="n">
        <v>0</v>
      </c>
      <c r="W216" s="20" t="n">
        <v>-15052</v>
      </c>
      <c r="X216" s="20" t="n">
        <v>0</v>
      </c>
    </row>
    <row r="217">
      <c r="A217" s="18" t="inlineStr">
        <is>
          <t>유형자산 취득(설비투자)</t>
        </is>
      </c>
      <c r="C217" s="20" t="n">
        <v>-47</v>
      </c>
      <c r="E217" s="20" t="n">
        <v>-197</v>
      </c>
      <c r="G217" s="20" t="n">
        <v>-324</v>
      </c>
      <c r="I217" s="20" t="n">
        <v>-314</v>
      </c>
      <c r="K217" s="20" t="n">
        <v>-140</v>
      </c>
      <c r="M217" s="20" t="n">
        <v>-103119</v>
      </c>
      <c r="O217" s="20" t="n">
        <v>-99</v>
      </c>
      <c r="P217" s="20" t="n">
        <v>-127</v>
      </c>
      <c r="Q217" s="20" t="n">
        <v>-255</v>
      </c>
      <c r="R217" s="20" t="n">
        <v>-3213</v>
      </c>
      <c r="S217" s="20" t="n">
        <v>-878</v>
      </c>
      <c r="T217" s="20" t="n">
        <v>-108</v>
      </c>
      <c r="U217" s="20" t="n">
        <v>-92</v>
      </c>
      <c r="V217" s="20" t="n">
        <v>-197</v>
      </c>
      <c r="W217" s="20" t="n">
        <v>-314</v>
      </c>
      <c r="X217" s="20" t="n">
        <v>-103119</v>
      </c>
    </row>
    <row r="218">
      <c r="A218" s="18" t="inlineStr">
        <is>
          <t>무형자산 취득</t>
        </is>
      </c>
      <c r="C218" s="20" t="n">
        <v>-4</v>
      </c>
      <c r="E218" s="20" t="n">
        <v>-6</v>
      </c>
      <c r="G218" s="20" t="n">
        <v>-47</v>
      </c>
      <c r="I218" s="20" t="n">
        <v>-51</v>
      </c>
      <c r="K218" s="20" t="n">
        <v>0</v>
      </c>
      <c r="M218" s="20" t="n">
        <v>-2</v>
      </c>
      <c r="O218" s="20" t="n">
        <v>-16</v>
      </c>
      <c r="P218" s="20" t="n">
        <v>-0</v>
      </c>
      <c r="Q218" s="20" t="n">
        <v>-3</v>
      </c>
      <c r="R218" s="20" t="n">
        <v>-0</v>
      </c>
      <c r="S218" s="20" t="n">
        <v>-21</v>
      </c>
      <c r="T218" s="20" t="n">
        <v>-0</v>
      </c>
      <c r="U218" s="20" t="n">
        <v>-1</v>
      </c>
      <c r="V218" s="20" t="n">
        <v>-6</v>
      </c>
      <c r="W218" s="20" t="n">
        <v>-51</v>
      </c>
      <c r="X218" s="20" t="n">
        <v>-2</v>
      </c>
    </row>
    <row r="219">
      <c r="A219" s="18" t="inlineStr">
        <is>
          <t>기타</t>
        </is>
      </c>
      <c r="C219" s="20" t="n">
        <v>4</v>
      </c>
      <c r="E219" s="20" t="n">
        <v>24</v>
      </c>
      <c r="G219" s="20" t="n">
        <v>6</v>
      </c>
      <c r="I219" s="20" t="n">
        <v>43</v>
      </c>
      <c r="K219" s="20" t="n">
        <v>9</v>
      </c>
      <c r="M219" s="20" t="n">
        <v>10</v>
      </c>
      <c r="O219" s="20" t="n">
        <v>11</v>
      </c>
      <c r="P219" s="20" t="n">
        <v>10</v>
      </c>
      <c r="Q219" s="20" t="n">
        <v>38</v>
      </c>
      <c r="R219" s="20" t="n">
        <v>6</v>
      </c>
      <c r="S219" s="20" t="n">
        <v>16</v>
      </c>
      <c r="T219" s="20" t="n">
        <v>0</v>
      </c>
      <c r="U219" s="20" t="n">
        <v>0</v>
      </c>
      <c r="V219" s="20" t="n">
        <v>24</v>
      </c>
      <c r="W219" s="20" t="n">
        <v>43</v>
      </c>
      <c r="X219" s="20" t="n">
        <v>10</v>
      </c>
    </row>
    <row r="220">
      <c r="A220" s="9" t="inlineStr">
        <is>
          <t>투자활동 현금흐름</t>
        </is>
      </c>
      <c r="C220" s="12" t="n">
        <v>-47</v>
      </c>
      <c r="E220" s="12" t="n">
        <v>-179</v>
      </c>
      <c r="G220" s="12" t="n">
        <v>-365</v>
      </c>
      <c r="I220" s="12" t="n">
        <v>-15373</v>
      </c>
      <c r="K220" s="12" t="n">
        <v>-45</v>
      </c>
      <c r="M220" s="12" t="n">
        <v>-102935</v>
      </c>
      <c r="O220" s="12" t="n">
        <v>-104</v>
      </c>
      <c r="P220" s="12" t="n">
        <v>-118</v>
      </c>
      <c r="Q220" s="12" t="n">
        <v>-220</v>
      </c>
      <c r="R220" s="12" t="n">
        <v>-3207</v>
      </c>
      <c r="S220" s="12" t="n">
        <v>-884</v>
      </c>
      <c r="T220" s="12" t="n">
        <v>-2329</v>
      </c>
      <c r="U220" s="12" t="n">
        <v>2126</v>
      </c>
      <c r="V220" s="12" t="n">
        <v>-179</v>
      </c>
      <c r="W220" s="12" t="n">
        <v>-15373</v>
      </c>
      <c r="X220" s="12" t="n">
        <v>-102935</v>
      </c>
    </row>
    <row r="221">
      <c r="A221" s="18" t="inlineStr">
        <is>
          <t>장기차입</t>
        </is>
      </c>
      <c r="C221" s="20" t="n">
        <v>5000</v>
      </c>
      <c r="E221" s="20" t="n">
        <v>11900</v>
      </c>
      <c r="G221" s="20" t="n">
        <v>18800</v>
      </c>
      <c r="I221" s="20" t="n">
        <v>53000</v>
      </c>
      <c r="K221" s="20" t="n">
        <v>5000</v>
      </c>
      <c r="M221" s="20" t="n">
        <v>103800</v>
      </c>
      <c r="O221" s="20" t="n">
        <v>4300</v>
      </c>
      <c r="P221" s="20" t="n">
        <v>500</v>
      </c>
      <c r="Q221" s="20" t="n">
        <v>250</v>
      </c>
      <c r="R221" s="20" t="n">
        <v>13800</v>
      </c>
      <c r="S221" s="20" t="n">
        <v>4500</v>
      </c>
      <c r="T221" s="20" t="n">
        <v>2000</v>
      </c>
      <c r="U221" s="20" t="n">
        <v>800</v>
      </c>
      <c r="V221" s="20" t="n">
        <v>11900</v>
      </c>
      <c r="W221" s="20" t="n">
        <v>53000</v>
      </c>
      <c r="X221" s="20" t="n">
        <v>103800</v>
      </c>
    </row>
    <row r="222">
      <c r="A222" s="18" t="inlineStr">
        <is>
          <t>장기차입금 상환</t>
        </is>
      </c>
      <c r="C222" s="20" t="n">
        <v>-25</v>
      </c>
      <c r="E222" s="20" t="n">
        <v>-550</v>
      </c>
      <c r="G222" s="20" t="n">
        <v>-6025</v>
      </c>
      <c r="I222" s="20" t="n">
        <v>-15075</v>
      </c>
      <c r="K222" s="20" t="n">
        <v>-50</v>
      </c>
      <c r="M222" s="20" t="n">
        <v>-4900</v>
      </c>
      <c r="O222" s="20" t="n">
        <v>-800</v>
      </c>
      <c r="P222" s="20" t="n">
        <v>-6000</v>
      </c>
      <c r="Q222" s="20" t="n">
        <v>0</v>
      </c>
      <c r="R222" s="20" t="n">
        <v>-850</v>
      </c>
      <c r="S222" s="20" t="n">
        <v>-550</v>
      </c>
      <c r="T222" s="20" t="n">
        <v>-3550</v>
      </c>
      <c r="U222" s="20" t="n">
        <v>-850</v>
      </c>
      <c r="V222" s="20" t="n">
        <v>-550</v>
      </c>
      <c r="W222" s="20" t="n">
        <v>-15075</v>
      </c>
      <c r="X222" s="20" t="n">
        <v>-4900</v>
      </c>
    </row>
    <row r="223">
      <c r="A223" s="18" t="inlineStr">
        <is>
          <t>사채 발행</t>
        </is>
      </c>
      <c r="P223" s="20" t="n">
        <v>0</v>
      </c>
      <c r="Q223" s="20" t="n">
        <v>9935</v>
      </c>
      <c r="R223" s="20" t="n">
        <v>0</v>
      </c>
      <c r="S223" s="20" t="n">
        <v>6455</v>
      </c>
      <c r="T223" s="20" t="n">
        <v>0</v>
      </c>
    </row>
    <row r="224">
      <c r="A224" s="18" t="inlineStr">
        <is>
          <t>사채 상환</t>
        </is>
      </c>
      <c r="C224" s="20" t="n">
        <v>-5000</v>
      </c>
      <c r="E224" s="20" t="n">
        <v>-10000</v>
      </c>
      <c r="G224" s="20" t="n">
        <v>-12000</v>
      </c>
      <c r="I224" s="20" t="n">
        <v>-12000</v>
      </c>
      <c r="K224" s="20" t="n">
        <v>0</v>
      </c>
      <c r="M224" s="20" t="n">
        <v>-6500</v>
      </c>
      <c r="O224" s="20" t="n">
        <v>-3550</v>
      </c>
      <c r="P224" s="20" t="n">
        <v>-3050</v>
      </c>
      <c r="Q224" s="20" t="n">
        <v>-15300</v>
      </c>
      <c r="R224" s="20" t="n">
        <v>-7500</v>
      </c>
      <c r="S224" s="20" t="n">
        <v>-13500</v>
      </c>
      <c r="T224" s="20" t="n">
        <v>0</v>
      </c>
      <c r="U224" s="20" t="n">
        <v>0</v>
      </c>
      <c r="V224" s="20" t="n">
        <v>-10000</v>
      </c>
      <c r="W224" s="20" t="n">
        <v>-12000</v>
      </c>
      <c r="X224" s="20" t="n">
        <v>-6500</v>
      </c>
    </row>
    <row r="225">
      <c r="A225" s="18" t="inlineStr">
        <is>
          <t>자기주식 매각</t>
        </is>
      </c>
      <c r="O225" s="20" t="n">
        <v>0</v>
      </c>
      <c r="P225" s="20" t="n">
        <v>0</v>
      </c>
      <c r="Q225" s="20" t="n">
        <v>0</v>
      </c>
    </row>
    <row r="226">
      <c r="A226" s="18" t="inlineStr">
        <is>
          <t>자기주식 취득</t>
        </is>
      </c>
      <c r="C226" s="20" t="n">
        <v>-116</v>
      </c>
      <c r="E226" s="20" t="n">
        <v>-117</v>
      </c>
      <c r="G226" s="20" t="n">
        <v>-0</v>
      </c>
      <c r="I226" s="20" t="n">
        <v>-0</v>
      </c>
      <c r="K226" s="20" t="n">
        <v>0</v>
      </c>
      <c r="M226" s="20" t="n">
        <v>-0</v>
      </c>
      <c r="O226" s="20" t="n">
        <v>-864</v>
      </c>
      <c r="P226" s="20" t="n">
        <v>-0</v>
      </c>
      <c r="Q226" s="20" t="n">
        <v>-0</v>
      </c>
      <c r="R226" s="20" t="n">
        <v>-0</v>
      </c>
      <c r="S226" s="20" t="n">
        <v>-1684</v>
      </c>
      <c r="T226" s="20" t="n">
        <v>-763</v>
      </c>
      <c r="U226" s="20" t="n">
        <v>-891</v>
      </c>
      <c r="V226" s="20" t="n">
        <v>-117</v>
      </c>
      <c r="W226" s="20" t="n">
        <v>-0</v>
      </c>
      <c r="X226" s="20" t="n">
        <v>-0</v>
      </c>
    </row>
    <row r="227">
      <c r="A227" s="18" t="inlineStr">
        <is>
          <t>배당금 지급</t>
        </is>
      </c>
      <c r="C227" s="20" t="n">
        <v>-1331</v>
      </c>
      <c r="E227" s="20" t="n">
        <v>-2661</v>
      </c>
      <c r="G227" s="20" t="n">
        <v>-1327</v>
      </c>
      <c r="I227" s="20" t="n">
        <v>-2658</v>
      </c>
      <c r="K227" s="20" t="n">
        <v>-1992</v>
      </c>
      <c r="M227" s="20" t="n">
        <v>-3654</v>
      </c>
      <c r="O227" s="20" t="n">
        <v>-1497</v>
      </c>
      <c r="P227" s="20" t="n">
        <v>-1656</v>
      </c>
      <c r="Q227" s="20" t="n">
        <v>-1761</v>
      </c>
      <c r="R227" s="20" t="n">
        <v>-2468</v>
      </c>
      <c r="S227" s="20" t="n">
        <v>-2643</v>
      </c>
      <c r="T227" s="20" t="n">
        <v>-2220</v>
      </c>
      <c r="U227" s="20" t="n">
        <v>-2851</v>
      </c>
      <c r="V227" s="20" t="n">
        <v>-2661</v>
      </c>
      <c r="W227" s="20" t="n">
        <v>-2658</v>
      </c>
      <c r="X227" s="20" t="n">
        <v>-3654</v>
      </c>
    </row>
    <row r="228">
      <c r="A228" s="18" t="inlineStr">
        <is>
          <t>연결범위 변경 없는 자회사 주식 취득</t>
        </is>
      </c>
      <c r="O228" s="20" t="n">
        <v>0</v>
      </c>
      <c r="P228" s="20" t="n">
        <v>-336</v>
      </c>
      <c r="Q228" s="20" t="n">
        <v>0</v>
      </c>
    </row>
    <row r="229">
      <c r="A229" s="9" t="inlineStr">
        <is>
          <t>재무활동 현금흐름</t>
        </is>
      </c>
      <c r="C229" s="12" t="n">
        <v>-1473</v>
      </c>
      <c r="E229" s="12" t="n">
        <v>-1428</v>
      </c>
      <c r="G229" s="12" t="n">
        <v>-552</v>
      </c>
      <c r="I229" s="12" t="n">
        <v>23266</v>
      </c>
      <c r="K229" s="12" t="n">
        <v>2957</v>
      </c>
      <c r="M229" s="12" t="n">
        <v>88745</v>
      </c>
      <c r="O229" s="12" t="n">
        <v>-2412</v>
      </c>
      <c r="P229" s="12" t="n">
        <v>-10543</v>
      </c>
      <c r="Q229" s="12" t="n">
        <v>-6877</v>
      </c>
      <c r="R229" s="12" t="n">
        <v>2981</v>
      </c>
      <c r="S229" s="12" t="n">
        <v>-7422</v>
      </c>
      <c r="T229" s="12" t="n">
        <v>-4533</v>
      </c>
      <c r="U229" s="12" t="n">
        <v>-3792</v>
      </c>
      <c r="V229" s="12" t="n">
        <v>-1428</v>
      </c>
      <c r="W229" s="12" t="n">
        <v>23266</v>
      </c>
      <c r="X229" s="12" t="n">
        <v>88745</v>
      </c>
    </row>
    <row r="230">
      <c r="A230" s="18" t="inlineStr">
        <is>
          <t>현금성자산 증감</t>
        </is>
      </c>
      <c r="C230" s="20" t="n">
        <v>-5239</v>
      </c>
      <c r="E230" s="20" t="n">
        <v>3485</v>
      </c>
      <c r="G230" s="20" t="n">
        <v>-9308</v>
      </c>
      <c r="I230" s="20" t="n">
        <v>-562</v>
      </c>
      <c r="K230" s="20" t="n">
        <v>-5083</v>
      </c>
      <c r="M230" s="20" t="n">
        <v>-19214</v>
      </c>
      <c r="O230" s="20" t="n">
        <v>16351</v>
      </c>
      <c r="P230" s="20" t="n">
        <v>3006</v>
      </c>
      <c r="Q230" s="20" t="n">
        <v>12132</v>
      </c>
      <c r="R230" s="20" t="n">
        <v>5742</v>
      </c>
      <c r="S230" s="20" t="n">
        <v>2429</v>
      </c>
      <c r="T230" s="20" t="n">
        <v>11483</v>
      </c>
      <c r="U230" s="20" t="n">
        <v>-5778</v>
      </c>
      <c r="V230" s="20" t="n">
        <v>3485</v>
      </c>
      <c r="W230" s="20" t="n">
        <v>-562</v>
      </c>
      <c r="X230" s="20" t="n">
        <v>-19214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8871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178715</v>
      </c>
      <c r="D5" s="12" t="n">
        <v>180638</v>
      </c>
      <c r="E5" s="12" t="n">
        <v>179078</v>
      </c>
      <c r="F5" s="12" t="n">
        <v>168776</v>
      </c>
      <c r="G5" s="12" t="n">
        <v>170207</v>
      </c>
      <c r="H5" s="11" t="n">
        <v>163539</v>
      </c>
      <c r="I5" s="12" t="n">
        <v>157459</v>
      </c>
      <c r="J5" s="12" t="n">
        <v>170708</v>
      </c>
      <c r="K5" s="12" t="n">
        <v>173595</v>
      </c>
      <c r="L5" s="12" t="n">
        <v>168776</v>
      </c>
    </row>
    <row r="6">
      <c r="A6" s="18" t="inlineStr">
        <is>
          <t>현금및현금성자산</t>
        </is>
      </c>
      <c r="B6" s="10" t="n"/>
      <c r="C6" s="19" t="n">
        <v>70992</v>
      </c>
      <c r="D6" s="20" t="n">
        <v>72554</v>
      </c>
      <c r="E6" s="20" t="n">
        <v>71483</v>
      </c>
      <c r="F6" s="20" t="n">
        <v>58423</v>
      </c>
      <c r="G6" s="20" t="n">
        <v>63175</v>
      </c>
      <c r="H6" s="19" t="n">
        <v>82712</v>
      </c>
      <c r="I6" s="20" t="n">
        <v>74714</v>
      </c>
      <c r="J6" s="20" t="n">
        <v>78198</v>
      </c>
      <c r="K6" s="20" t="n">
        <v>77636</v>
      </c>
      <c r="L6" s="20" t="n">
        <v>58423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841</v>
      </c>
      <c r="D8" s="20" t="n">
        <v>597</v>
      </c>
      <c r="E8" s="20" t="n">
        <v>700</v>
      </c>
      <c r="F8" s="20" t="n">
        <v>700</v>
      </c>
      <c r="G8" s="20" t="n">
        <v>947</v>
      </c>
      <c r="H8" s="19" t="n">
        <v>325</v>
      </c>
      <c r="I8" s="20" t="n">
        <v>561</v>
      </c>
      <c r="J8" s="20" t="n">
        <v>684</v>
      </c>
      <c r="K8" s="20" t="n">
        <v>798</v>
      </c>
      <c r="L8" s="20" t="n">
        <v>700</v>
      </c>
    </row>
    <row r="9">
      <c r="A9" s="18" t="inlineStr">
        <is>
          <t>재고자산</t>
        </is>
      </c>
      <c r="B9" s="10" t="n"/>
      <c r="C9" s="19" t="n">
        <v>16309</v>
      </c>
      <c r="D9" s="20" t="n">
        <v>15210</v>
      </c>
      <c r="E9" s="20" t="n">
        <v>13076</v>
      </c>
      <c r="F9" s="20" t="n">
        <v>14511</v>
      </c>
      <c r="G9" s="20" t="n">
        <v>13784</v>
      </c>
      <c r="H9" s="19" t="n">
        <v>17474</v>
      </c>
      <c r="I9" s="20" t="n">
        <v>16263</v>
      </c>
      <c r="J9" s="20" t="n">
        <v>22061</v>
      </c>
      <c r="K9" s="20" t="n">
        <v>20296</v>
      </c>
      <c r="L9" s="20" t="n">
        <v>14511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49304</v>
      </c>
      <c r="D11" s="12" t="n">
        <v>49271</v>
      </c>
      <c r="E11" s="12" t="n">
        <v>49016</v>
      </c>
      <c r="F11" s="12" t="n">
        <v>154254</v>
      </c>
      <c r="G11" s="12" t="n">
        <v>154410</v>
      </c>
      <c r="H11" s="11" t="n">
        <v>36935</v>
      </c>
      <c r="I11" s="12" t="n">
        <v>31776</v>
      </c>
      <c r="J11" s="12" t="n">
        <v>33100</v>
      </c>
      <c r="K11" s="12" t="n">
        <v>49094</v>
      </c>
      <c r="L11" s="12" t="n">
        <v>154254</v>
      </c>
    </row>
    <row r="12">
      <c r="A12" s="18" t="inlineStr">
        <is>
          <t>유형자산</t>
        </is>
      </c>
      <c r="B12" s="10" t="n"/>
      <c r="C12" s="19" t="n">
        <v>31389</v>
      </c>
      <c r="D12" s="20" t="n">
        <v>31379</v>
      </c>
      <c r="E12" s="20" t="n">
        <v>31192</v>
      </c>
      <c r="F12" s="20" t="n">
        <v>134011</v>
      </c>
      <c r="G12" s="20" t="n">
        <v>134124</v>
      </c>
      <c r="H12" s="19" t="n">
        <v>33893</v>
      </c>
      <c r="I12" s="20" t="n">
        <v>29033</v>
      </c>
      <c r="J12" s="20" t="n">
        <v>30453</v>
      </c>
      <c r="K12" s="20" t="n">
        <v>31127</v>
      </c>
      <c r="L12" s="20" t="n">
        <v>134011</v>
      </c>
    </row>
    <row r="13">
      <c r="A13" s="18" t="inlineStr">
        <is>
          <t>무형자산</t>
        </is>
      </c>
      <c r="B13" s="10" t="n"/>
      <c r="C13" s="19" t="n">
        <v>53</v>
      </c>
      <c r="D13" s="20" t="n">
        <v>50</v>
      </c>
      <c r="E13" s="20" t="n">
        <v>49</v>
      </c>
      <c r="F13" s="20" t="n">
        <v>47</v>
      </c>
      <c r="G13" s="20" t="n">
        <v>46</v>
      </c>
      <c r="H13" s="19" t="n">
        <v>499</v>
      </c>
      <c r="I13" s="20" t="n">
        <v>285</v>
      </c>
      <c r="J13" s="20" t="n">
        <v>71</v>
      </c>
      <c r="K13" s="20" t="n">
        <v>57</v>
      </c>
      <c r="L13" s="20" t="n">
        <v>47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228020</v>
      </c>
      <c r="D16" s="12" t="n">
        <v>229909</v>
      </c>
      <c r="E16" s="12" t="n">
        <v>228094</v>
      </c>
      <c r="F16" s="12" t="n">
        <v>323030</v>
      </c>
      <c r="G16" s="12" t="n">
        <v>324617</v>
      </c>
      <c r="H16" s="11" t="n">
        <v>200475</v>
      </c>
      <c r="I16" s="12" t="n">
        <v>189235</v>
      </c>
      <c r="J16" s="12" t="n">
        <v>203808</v>
      </c>
      <c r="K16" s="12" t="n">
        <v>222689</v>
      </c>
      <c r="L16" s="12" t="n">
        <v>323030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16950</v>
      </c>
      <c r="D18" s="12" t="n">
        <v>18041</v>
      </c>
      <c r="E18" s="12" t="n">
        <v>16860</v>
      </c>
      <c r="F18" s="12" t="n">
        <v>10205</v>
      </c>
      <c r="G18" s="12" t="n">
        <v>7505</v>
      </c>
      <c r="H18" s="11" t="n">
        <v>18772</v>
      </c>
      <c r="I18" s="12" t="n">
        <v>14107</v>
      </c>
      <c r="J18" s="12" t="n">
        <v>42392</v>
      </c>
      <c r="K18" s="12" t="n">
        <v>17405</v>
      </c>
      <c r="L18" s="12" t="n">
        <v>10205</v>
      </c>
    </row>
    <row r="19">
      <c r="A19" s="18" t="inlineStr">
        <is>
          <t>매입채무</t>
        </is>
      </c>
      <c r="B19" s="10" t="n"/>
      <c r="C19" s="19" t="n">
        <v>2336</v>
      </c>
      <c r="D19" s="20" t="n">
        <v>2682</v>
      </c>
      <c r="E19" s="20" t="n">
        <v>1767</v>
      </c>
      <c r="F19" s="20" t="n">
        <v>4386</v>
      </c>
      <c r="G19" s="20" t="n">
        <v>1920</v>
      </c>
      <c r="H19" s="19" t="n">
        <v>11642</v>
      </c>
      <c r="I19" s="20" t="n">
        <v>824</v>
      </c>
      <c r="J19" s="20" t="n">
        <v>8884</v>
      </c>
      <c r="K19" s="20" t="n">
        <v>2336</v>
      </c>
      <c r="L19" s="20" t="n">
        <v>4386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11400</v>
      </c>
      <c r="D21" s="20" t="n">
        <v>11400</v>
      </c>
      <c r="E21" s="20" t="n">
        <v>11400</v>
      </c>
      <c r="F21" s="20" t="n">
        <v>100</v>
      </c>
      <c r="G21" s="20" t="n">
        <v>100</v>
      </c>
      <c r="H21" s="19" t="n">
        <v>850</v>
      </c>
      <c r="I21" s="20" t="n">
        <v>10550</v>
      </c>
      <c r="J21" s="20" t="n">
        <v>27000</v>
      </c>
      <c r="K21" s="20" t="n">
        <v>11400</v>
      </c>
      <c r="L21" s="20" t="n">
        <v>100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76627</v>
      </c>
      <c r="D23" s="12" t="n">
        <v>76609</v>
      </c>
      <c r="E23" s="12" t="n">
        <v>76374</v>
      </c>
      <c r="F23" s="12" t="n">
        <v>176842</v>
      </c>
      <c r="G23" s="12" t="n">
        <v>176956</v>
      </c>
      <c r="H23" s="11" t="n">
        <v>54551</v>
      </c>
      <c r="I23" s="12" t="n">
        <v>44692</v>
      </c>
      <c r="J23" s="12" t="n">
        <v>30001</v>
      </c>
      <c r="K23" s="12" t="n">
        <v>71512</v>
      </c>
      <c r="L23" s="12" t="n">
        <v>176842</v>
      </c>
    </row>
    <row r="24">
      <c r="A24" s="18" t="inlineStr">
        <is>
          <t>장기차입금</t>
        </is>
      </c>
      <c r="B24" s="10" t="n"/>
      <c r="C24" s="19" t="n">
        <v>69700</v>
      </c>
      <c r="D24" s="20" t="n">
        <v>69675</v>
      </c>
      <c r="E24" s="20" t="n">
        <v>69650</v>
      </c>
      <c r="F24" s="20" t="n">
        <v>168425</v>
      </c>
      <c r="G24" s="20" t="n">
        <v>168400</v>
      </c>
      <c r="H24" s="19" t="n">
        <v>19550</v>
      </c>
      <c r="I24" s="20" t="n">
        <v>19800</v>
      </c>
      <c r="J24" s="20" t="n">
        <v>16700</v>
      </c>
      <c r="K24" s="20" t="n">
        <v>64725</v>
      </c>
      <c r="L24" s="20" t="n">
        <v>168425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28500</v>
      </c>
      <c r="I25" s="20" t="n">
        <v>18500</v>
      </c>
      <c r="J25" s="20" t="n">
        <v>6500</v>
      </c>
      <c r="K25" s="20" t="n">
        <v>0</v>
      </c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93578</v>
      </c>
      <c r="D27" s="12" t="n">
        <v>94650</v>
      </c>
      <c r="E27" s="12" t="n">
        <v>93234</v>
      </c>
      <c r="F27" s="12" t="n">
        <v>187048</v>
      </c>
      <c r="G27" s="12" t="n">
        <v>184461</v>
      </c>
      <c r="H27" s="11" t="n">
        <v>73323</v>
      </c>
      <c r="I27" s="12" t="n">
        <v>58800</v>
      </c>
      <c r="J27" s="12" t="n">
        <v>72394</v>
      </c>
      <c r="K27" s="12" t="n">
        <v>88918</v>
      </c>
      <c r="L27" s="12" t="n">
        <v>187048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134442</v>
      </c>
      <c r="D31" s="12" t="n">
        <v>135259</v>
      </c>
      <c r="E31" s="12" t="n">
        <v>134860</v>
      </c>
      <c r="F31" s="12" t="n">
        <v>135982</v>
      </c>
      <c r="G31" s="12" t="n">
        <v>140155</v>
      </c>
      <c r="H31" s="11" t="n">
        <v>127151</v>
      </c>
      <c r="I31" s="12" t="n">
        <v>130435</v>
      </c>
      <c r="J31" s="12" t="n">
        <v>131413</v>
      </c>
      <c r="K31" s="12" t="n">
        <v>133771</v>
      </c>
      <c r="L31" s="12" t="n">
        <v>135982</v>
      </c>
    </row>
    <row r="32">
      <c r="A32" s="18" t="inlineStr">
        <is>
          <t>자본금</t>
        </is>
      </c>
      <c r="B32" s="10" t="n"/>
      <c r="C32" s="19" t="n">
        <v>12499</v>
      </c>
      <c r="D32" s="20" t="n">
        <v>12499</v>
      </c>
      <c r="E32" s="20" t="n">
        <v>12499</v>
      </c>
      <c r="F32" s="20" t="n">
        <v>12499</v>
      </c>
      <c r="G32" s="20" t="n">
        <v>12499</v>
      </c>
      <c r="H32" s="19" t="n">
        <v>12499</v>
      </c>
      <c r="I32" s="20" t="n">
        <v>12499</v>
      </c>
      <c r="J32" s="20" t="n">
        <v>12499</v>
      </c>
      <c r="K32" s="20" t="n">
        <v>12499</v>
      </c>
      <c r="L32" s="20" t="n">
        <v>12499</v>
      </c>
    </row>
    <row r="33">
      <c r="A33" s="18" t="inlineStr">
        <is>
          <t>이익잉여금</t>
        </is>
      </c>
      <c r="B33" s="10" t="n"/>
      <c r="C33" s="19" t="n">
        <v>114118</v>
      </c>
      <c r="D33" s="20" t="n">
        <v>114934</v>
      </c>
      <c r="E33" s="20" t="n">
        <v>114534</v>
      </c>
      <c r="F33" s="20" t="n">
        <v>115657</v>
      </c>
      <c r="G33" s="20" t="n">
        <v>119819</v>
      </c>
      <c r="H33" s="19" t="n">
        <v>105824</v>
      </c>
      <c r="I33" s="20" t="n">
        <v>110002</v>
      </c>
      <c r="J33" s="20" t="n">
        <v>111094</v>
      </c>
      <c r="K33" s="20" t="n">
        <v>113450</v>
      </c>
      <c r="L33" s="20" t="n">
        <v>115657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134442</v>
      </c>
      <c r="D35" s="12" t="n">
        <v>135259</v>
      </c>
      <c r="E35" s="12" t="n">
        <v>134860</v>
      </c>
      <c r="F35" s="12" t="n">
        <v>135982</v>
      </c>
      <c r="G35" s="12" t="n">
        <v>140155</v>
      </c>
      <c r="H35" s="11" t="n">
        <v>127151</v>
      </c>
      <c r="I35" s="12" t="n">
        <v>130435</v>
      </c>
      <c r="J35" s="12" t="n">
        <v>131413</v>
      </c>
      <c r="K35" s="12" t="n">
        <v>133771</v>
      </c>
      <c r="L35" s="12" t="n">
        <v>135982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-8060</v>
      </c>
      <c r="E37" s="12" t="n"/>
      <c r="F37" s="12" t="n">
        <v>-5024</v>
      </c>
      <c r="G37" s="12" t="n"/>
      <c r="H37" s="11" t="n">
        <v>18346</v>
      </c>
      <c r="I37" s="12" t="n">
        <v>-4112</v>
      </c>
      <c r="J37" s="12" t="n">
        <v>5092</v>
      </c>
      <c r="K37" s="12" t="n">
        <v>-8455</v>
      </c>
      <c r="L37" s="12" t="n">
        <v>-5024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134</v>
      </c>
      <c r="E38" s="20" t="n"/>
      <c r="F38" s="20" t="n">
        <v>103121</v>
      </c>
      <c r="G38" s="20" t="n"/>
      <c r="H38" s="19" t="n">
        <v>108</v>
      </c>
      <c r="I38" s="20" t="n">
        <v>93</v>
      </c>
      <c r="J38" s="20" t="n">
        <v>203</v>
      </c>
      <c r="K38" s="20" t="n">
        <v>365</v>
      </c>
      <c r="L38" s="20" t="n">
        <v>103121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3323</v>
      </c>
      <c r="E40" s="20" t="n"/>
      <c r="F40" s="20" t="n">
        <v>3654</v>
      </c>
      <c r="G40" s="20" t="n"/>
      <c r="H40" s="19" t="n">
        <v>2220</v>
      </c>
      <c r="I40" s="20" t="n">
        <v>2851</v>
      </c>
      <c r="J40" s="20" t="n">
        <v>2661</v>
      </c>
      <c r="K40" s="20" t="n">
        <v>2658</v>
      </c>
      <c r="L40" s="20" t="n">
        <v>3654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IFERROR(IF((IF(COUNT('연간'!G62:J62)&lt;4,"",SUM('연간'!G62:J62)))&lt;=0,"적자",C28/(IF(COUNT('연간'!G62:J62)&lt;4,"",SUM('연간'!G62:J62)))),"")</f>
        <v/>
      </c>
      <c r="D49" s="46">
        <f>IFERROR(IF((IF(COUNT('연간'!H62:K62)&lt;4,"",SUM('연간'!H62:K62)))&lt;=0,"적자",D28/(IF(COUNT('연간'!H62:K62)&lt;4,"",SUM('연간'!H62:K62)))),"")</f>
        <v/>
      </c>
      <c r="E49" s="46">
        <f>IFERROR(IF((IF(COUNT('연간'!I62:L62)&lt;4,"",SUM('연간'!I62:L62)))&lt;=0,"적자",E28/(IF(COUNT('연간'!I62:L62)&lt;4,"",SUM('연간'!I62:L62)))),"")</f>
        <v/>
      </c>
      <c r="F49" s="46">
        <f>IFERROR(IF((IF(COUNT('연간'!J62:M62)&lt;4,"",SUM('연간'!J62:M62)))&lt;=0,"적자",F28/(IF(COUNT('연간'!J62:M62)&lt;4,"",SUM('연간'!J62:M62)))),"")</f>
        <v/>
      </c>
      <c r="G49" s="46">
        <f>IFERROR(IF((IF(COUNT('연간'!K62:N62)&lt;4,"",SUM('연간'!K62:N62)))&lt;=0,"적자",G28/(IF(COUNT('연간'!K62:N62)&lt;4,"",SUM('연간'!K62:N62)))),"")</f>
        <v/>
      </c>
      <c r="H49" s="45">
        <f>IFERROR(IF(('연간'!T62)&lt;=0,"적자",H28/('연간'!T62)),"")</f>
        <v/>
      </c>
      <c r="I49" s="46">
        <f>IFERROR(IF(('연간'!U62)&lt;=0,"적자",I28/('연간'!U62)),"")</f>
        <v/>
      </c>
      <c r="J49" s="46">
        <f>IFERROR(IF(('연간'!V62)&lt;=0,"적자",J28/('연간'!V62)),"")</f>
        <v/>
      </c>
      <c r="K49" s="46">
        <f>IFERROR(IF(('연간'!W62)&lt;=0,"적자",K28/('연간'!W62)),"")</f>
        <v/>
      </c>
      <c r="L49" s="46">
        <f>IFERROR(IF(('연간'!X62)&lt;=0,"적자",L28/('연간'!X62)),"")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IFERROR((IF(COUNT('연간'!G62:J62)&lt;4,"",SUM('연간'!G62:J62)))/C31,"")</f>
        <v/>
      </c>
      <c r="D51" s="36">
        <f>IFERROR((IF(COUNT('연간'!H62:K62)&lt;4,"",SUM('연간'!H62:K62)))/D31,"")</f>
        <v/>
      </c>
      <c r="E51" s="36">
        <f>IFERROR((IF(COUNT('연간'!I62:L62)&lt;4,"",SUM('연간'!I62:L62)))/E31,"")</f>
        <v/>
      </c>
      <c r="F51" s="36">
        <f>IFERROR((IF(COUNT('연간'!J62:M62)&lt;4,"",SUM('연간'!J62:M62)))/F31,"")</f>
        <v/>
      </c>
      <c r="G51" s="36">
        <f>IFERROR((IF(COUNT('연간'!K62:N62)&lt;4,"",SUM('연간'!K62:N62)))/G31,"")</f>
        <v/>
      </c>
      <c r="H51" s="35">
        <f>IFERROR(('연간'!T62)/H31,"")</f>
        <v/>
      </c>
      <c r="I51" s="36">
        <f>IFERROR(('연간'!U62)/I31,"")</f>
        <v/>
      </c>
      <c r="J51" s="36">
        <f>IFERROR(('연간'!V62)/J31,"")</f>
        <v/>
      </c>
      <c r="K51" s="36">
        <f>IFERROR(('연간'!W62)/K31,"")</f>
        <v/>
      </c>
      <c r="L51" s="36">
        <f>IFERROR(('연간'!X62)/L31,"")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IFERROR((IF(COUNT('연간'!G61:J61)&lt;4,"",SUM('연간'!G61:J61)))/C16,"")</f>
        <v/>
      </c>
      <c r="D52" s="36">
        <f>IFERROR((IF(COUNT('연간'!H61:K61)&lt;4,"",SUM('연간'!H61:K61)))/D16,"")</f>
        <v/>
      </c>
      <c r="E52" s="36">
        <f>IFERROR((IF(COUNT('연간'!I61:L61)&lt;4,"",SUM('연간'!I61:L61)))/E16,"")</f>
        <v/>
      </c>
      <c r="F52" s="36">
        <f>IFERROR((IF(COUNT('연간'!J61:M61)&lt;4,"",SUM('연간'!J61:M61)))/F16,"")</f>
        <v/>
      </c>
      <c r="G52" s="36">
        <f>IFERROR((IF(COUNT('연간'!K61:N61)&lt;4,"",SUM('연간'!K61:N61)))/G16,"")</f>
        <v/>
      </c>
      <c r="H52" s="35">
        <f>IFERROR(('연간'!T61)/H16,"")</f>
        <v/>
      </c>
      <c r="I52" s="36">
        <f>IFERROR(('연간'!U61)/I16,"")</f>
        <v/>
      </c>
      <c r="J52" s="36">
        <f>IFERROR(('연간'!V61)/J16,"")</f>
        <v/>
      </c>
      <c r="K52" s="36">
        <f>IFERROR(('연간'!W61)/K16,"")</f>
        <v/>
      </c>
      <c r="L52" s="36">
        <f>IFERROR(('연간'!X61)/L16,"")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IFERROR((IF(COUNT('연간'!G30:J30)&lt;4,"",SUM('연간'!G30:J30)))/(IF(COUNT('연간'!G4:J4)&lt;4,"",SUM('연간'!G4:J4))),"")</f>
        <v/>
      </c>
      <c r="D54" s="36">
        <f>IFERROR((IF(COUNT('연간'!H30:K30)&lt;4,"",SUM('연간'!H30:K30)))/(IF(COUNT('연간'!H4:K4)&lt;4,"",SUM('연간'!H4:K4))),"")</f>
        <v/>
      </c>
      <c r="E54" s="36">
        <f>IFERROR((IF(COUNT('연간'!I30:L30)&lt;4,"",SUM('연간'!I30:L30)))/(IF(COUNT('연간'!I4:L4)&lt;4,"",SUM('연간'!I4:L4))),"")</f>
        <v/>
      </c>
      <c r="F54" s="36">
        <f>IFERROR((IF(COUNT('연간'!J30:M30)&lt;4,"",SUM('연간'!J30:M30)))/(IF(COUNT('연간'!J4:M4)&lt;4,"",SUM('연간'!J4:M4))),"")</f>
        <v/>
      </c>
      <c r="G54" s="36">
        <f>IFERROR((IF(COUNT('연간'!K30:N30)&lt;4,"",SUM('연간'!K30:N30)))/(IF(COUNT('연간'!K4:N4)&lt;4,"",SUM('연간'!K4:N4))),"")</f>
        <v/>
      </c>
      <c r="H54" s="35">
        <f>IFERROR(('연간'!T30)/('연간'!T4),"")</f>
        <v/>
      </c>
      <c r="I54" s="36">
        <f>IFERROR(('연간'!U30)/('연간'!U4),"")</f>
        <v/>
      </c>
      <c r="J54" s="36">
        <f>IFERROR(('연간'!V30)/('연간'!V4),"")</f>
        <v/>
      </c>
      <c r="K54" s="36">
        <f>IFERROR(('연간'!W30)/('연간'!W4),"")</f>
        <v/>
      </c>
      <c r="L54" s="36">
        <f>IFERROR(('연간'!X30)/('연간'!X4),"")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IFERROR((IF(COUNT('연간'!G61:J61)&lt;4,"",SUM('연간'!G61:J61)))/(IF(COUNT('연간'!G4:J4)&lt;4,"",SUM('연간'!G4:J4))),"")</f>
        <v/>
      </c>
      <c r="D56" s="36">
        <f>IFERROR((IF(COUNT('연간'!H61:K61)&lt;4,"",SUM('연간'!H61:K61)))/(IF(COUNT('연간'!H4:K4)&lt;4,"",SUM('연간'!H4:K4))),"")</f>
        <v/>
      </c>
      <c r="E56" s="36">
        <f>IFERROR((IF(COUNT('연간'!I61:L61)&lt;4,"",SUM('연간'!I61:L61)))/(IF(COUNT('연간'!I4:L4)&lt;4,"",SUM('연간'!I4:L4))),"")</f>
        <v/>
      </c>
      <c r="F56" s="36">
        <f>IFERROR((IF(COUNT('연간'!J61:M61)&lt;4,"",SUM('연간'!J61:M61)))/(IF(COUNT('연간'!J4:M4)&lt;4,"",SUM('연간'!J4:M4))),"")</f>
        <v/>
      </c>
      <c r="G56" s="36">
        <f>IFERROR((IF(COUNT('연간'!K61:N61)&lt;4,"",SUM('연간'!K61:N61)))/(IF(COUNT('연간'!K4:N4)&lt;4,"",SUM('연간'!K4:N4))),"")</f>
        <v/>
      </c>
      <c r="H56" s="35">
        <f>IFERROR(('연간'!T61)/('연간'!T4),"")</f>
        <v/>
      </c>
      <c r="I56" s="36">
        <f>IFERROR(('연간'!U61)/('연간'!U4),"")</f>
        <v/>
      </c>
      <c r="J56" s="36">
        <f>IFERROR(('연간'!V61)/('연간'!V4),"")</f>
        <v/>
      </c>
      <c r="K56" s="36">
        <f>IFERROR(('연간'!W61)/('연간'!W4),"")</f>
        <v/>
      </c>
      <c r="L56" s="36">
        <f>IFERROR(('연간'!X61)/('연간'!X4),"")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IFERROR(C9/(IF(COUNT('연간'!G29:J29)&lt;4,"",SUM('연간'!G29:J29)))*365,"")</f>
        <v/>
      </c>
      <c r="D60" s="48">
        <f>IFERROR(D9/(IF(COUNT('연간'!H29:K29)&lt;4,"",SUM('연간'!H29:K29)))*365,"")</f>
        <v/>
      </c>
      <c r="E60" s="48">
        <f>IFERROR(E9/(IF(COUNT('연간'!I29:L29)&lt;4,"",SUM('연간'!I29:L29)))*365,"")</f>
        <v/>
      </c>
      <c r="F60" s="48">
        <f>IFERROR(F9/(IF(COUNT('연간'!J29:M29)&lt;4,"",SUM('연간'!J29:M29)))*365,"")</f>
        <v/>
      </c>
      <c r="G60" s="48">
        <f>IFERROR(G9/(IF(COUNT('연간'!K29:N29)&lt;4,"",SUM('연간'!K29:N29)))*365,"")</f>
        <v/>
      </c>
      <c r="H60" s="47">
        <f>IFERROR(H9/('연간'!T29)*365,"")</f>
        <v/>
      </c>
      <c r="I60" s="48">
        <f>IFERROR(I9/('연간'!U29)*365,"")</f>
        <v/>
      </c>
      <c r="J60" s="48">
        <f>IFERROR(J9/('연간'!V29)*365,"")</f>
        <v/>
      </c>
      <c r="K60" s="48">
        <f>IFERROR(K9/('연간'!W29)*365,"")</f>
        <v/>
      </c>
      <c r="L60" s="48">
        <f>IFERROR(L9/('연간'!X29)*365,"")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IFERROR(C19/(IF(COUNT('연간'!G29:J29)&lt;4,"",SUM('연간'!G29:J29)))*365,"")</f>
        <v/>
      </c>
      <c r="D61" s="48">
        <f>IFERROR(D19/(IF(COUNT('연간'!H29:K29)&lt;4,"",SUM('연간'!H29:K29)))*365,"")</f>
        <v/>
      </c>
      <c r="E61" s="48">
        <f>IFERROR(E19/(IF(COUNT('연간'!I29:L29)&lt;4,"",SUM('연간'!I29:L29)))*365,"")</f>
        <v/>
      </c>
      <c r="F61" s="48">
        <f>IFERROR(F19/(IF(COUNT('연간'!J29:M29)&lt;4,"",SUM('연간'!J29:M29)))*365,"")</f>
        <v/>
      </c>
      <c r="G61" s="48">
        <f>IFERROR(G19/(IF(COUNT('연간'!K29:N29)&lt;4,"",SUM('연간'!K29:N29)))*365,"")</f>
        <v/>
      </c>
      <c r="H61" s="47">
        <f>IFERROR(H19/('연간'!T29)*365,"")</f>
        <v/>
      </c>
      <c r="I61" s="48">
        <f>IFERROR(I19/('연간'!U29)*365,"")</f>
        <v/>
      </c>
      <c r="J61" s="48">
        <f>IFERROR(J19/('연간'!V29)*365,"")</f>
        <v/>
      </c>
      <c r="K61" s="48">
        <f>IFERROR(K19/('연간'!W29)*365,"")</f>
        <v/>
      </c>
      <c r="L61" s="48">
        <f>IFERROR(L19/('연간'!X29)*365,"")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IF(C37="","",IFERROR(C37/(IF(COUNT('연간'!G61:J61)&lt;4,"",SUM('연간'!G61:J61))),""))</f>
        <v/>
      </c>
      <c r="D64" s="31">
        <f>IF(D37="","",IFERROR(D37/(IF(COUNT('연간'!H61:K61)&lt;4,"",SUM('연간'!H61:K61))),""))</f>
        <v/>
      </c>
      <c r="E64" s="31">
        <f>IF(E37="","",IFERROR(E37/(IF(COUNT('연간'!I61:L61)&lt;4,"",SUM('연간'!I61:L61))),""))</f>
        <v/>
      </c>
      <c r="F64" s="31">
        <f>IF(F37="","",IFERROR(F37/(IF(COUNT('연간'!J61:M61)&lt;4,"",SUM('연간'!J61:M61))),""))</f>
        <v/>
      </c>
      <c r="G64" s="31">
        <f>IF(G37="","",IFERROR(G37/(IF(COUNT('연간'!K61:N61)&lt;4,"",SUM('연간'!K61:N61))),""))</f>
        <v/>
      </c>
      <c r="H64" s="30">
        <f>IF(H37="","",IFERROR(H37/('연간'!T61),""))</f>
        <v/>
      </c>
      <c r="I64" s="31">
        <f>IF(I37="","",IFERROR(I37/('연간'!U61),""))</f>
        <v/>
      </c>
      <c r="J64" s="31">
        <f>IF(J37="","",IFERROR(J37/('연간'!V61),""))</f>
        <v/>
      </c>
      <c r="K64" s="31">
        <f>IF(K37="","",IFERROR(K37/('연간'!W61),""))</f>
        <v/>
      </c>
      <c r="L64" s="31">
        <f>IF(L37="","",IFERROR(L37/('연간'!X61),""))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IF(C40="","",IFERROR(C40/(IF(COUNT('연간'!G62:J62)&lt;4,"",SUM('연간'!G62:J62))),""))</f>
        <v/>
      </c>
      <c r="D67" s="36">
        <f>IF(D40="","",IFERROR(D40/(IF(COUNT('연간'!H62:K62)&lt;4,"",SUM('연간'!H62:K62))),""))</f>
        <v/>
      </c>
      <c r="E67" s="36">
        <f>IF(E40="","",IFERROR(E40/(IF(COUNT('연간'!I62:L62)&lt;4,"",SUM('연간'!I62:L62))),""))</f>
        <v/>
      </c>
      <c r="F67" s="36">
        <f>IF(F40="","",IFERROR(F40/(IF(COUNT('연간'!J62:M62)&lt;4,"",SUM('연간'!J62:M62))),""))</f>
        <v/>
      </c>
      <c r="G67" s="36">
        <f>IF(G40="","",IFERROR(G40/(IF(COUNT('연간'!K62:N62)&lt;4,"",SUM('연간'!K62:N62))),""))</f>
        <v/>
      </c>
      <c r="H67" s="35">
        <f>IF(H40="","",IFERROR(H40/('연간'!T62),""))</f>
        <v/>
      </c>
      <c r="I67" s="36">
        <f>IF(I40="","",IFERROR(I40/('연간'!U62),""))</f>
        <v/>
      </c>
      <c r="J67" s="36">
        <f>IF(J40="","",IFERROR(J40/('연간'!V62),""))</f>
        <v/>
      </c>
      <c r="K67" s="36">
        <f>IF(K40="","",IFERROR(K40/('연간'!W62),""))</f>
        <v/>
      </c>
      <c r="L67" s="36">
        <f>IF(L40="","",IFERROR(L40/('연간'!X62),""))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70992</v>
      </c>
      <c r="D71" s="20" t="n">
        <v>72554</v>
      </c>
      <c r="E71" s="20" t="n">
        <v>71483</v>
      </c>
      <c r="F71" s="20" t="n">
        <v>58423</v>
      </c>
      <c r="G71" s="20" t="n">
        <v>63175</v>
      </c>
      <c r="H71" s="20" t="n">
        <v>82712</v>
      </c>
      <c r="I71" s="20" t="n">
        <v>74714</v>
      </c>
      <c r="J71" s="20" t="n">
        <v>78198</v>
      </c>
      <c r="K71" s="20" t="n">
        <v>77636</v>
      </c>
      <c r="L71" s="20" t="n">
        <v>58423</v>
      </c>
    </row>
    <row r="72">
      <c r="A72" s="18" t="inlineStr">
        <is>
          <t>매출채권</t>
        </is>
      </c>
      <c r="C72" s="20" t="n">
        <v>841</v>
      </c>
      <c r="D72" s="20" t="n">
        <v>597</v>
      </c>
      <c r="E72" s="20" t="n">
        <v>700</v>
      </c>
      <c r="F72" s="20" t="n">
        <v>700</v>
      </c>
      <c r="G72" s="20" t="n">
        <v>947</v>
      </c>
      <c r="H72" s="20" t="n">
        <v>325</v>
      </c>
      <c r="I72" s="20" t="n">
        <v>561</v>
      </c>
      <c r="J72" s="20" t="n">
        <v>684</v>
      </c>
      <c r="K72" s="20" t="n">
        <v>798</v>
      </c>
      <c r="L72" s="20" t="n">
        <v>700</v>
      </c>
    </row>
    <row r="73">
      <c r="A73" s="18" t="inlineStr">
        <is>
          <t>판매용 부동산</t>
        </is>
      </c>
      <c r="C73" s="20" t="n">
        <v>16309</v>
      </c>
      <c r="D73" s="20" t="n">
        <v>15210</v>
      </c>
      <c r="E73" s="20" t="n">
        <v>13076</v>
      </c>
      <c r="F73" s="20" t="n">
        <v>14511</v>
      </c>
      <c r="G73" s="20" t="n">
        <v>13784</v>
      </c>
      <c r="H73" s="20" t="n">
        <v>17474</v>
      </c>
      <c r="I73" s="20" t="n">
        <v>16263</v>
      </c>
      <c r="J73" s="20" t="n">
        <v>22061</v>
      </c>
      <c r="K73" s="20" t="n">
        <v>20296</v>
      </c>
      <c r="L73" s="20" t="n">
        <v>14511</v>
      </c>
    </row>
    <row r="74">
      <c r="A74" s="18" t="inlineStr">
        <is>
          <t>개발 중 판매용 부동산</t>
        </is>
      </c>
      <c r="C74" s="20" t="n">
        <v>90002</v>
      </c>
      <c r="D74" s="20" t="n">
        <v>91778</v>
      </c>
      <c r="E74" s="20" t="n">
        <v>93216</v>
      </c>
      <c r="F74" s="20" t="n">
        <v>93581</v>
      </c>
      <c r="G74" s="20" t="n">
        <v>90506</v>
      </c>
      <c r="H74" s="20" t="n">
        <v>62677</v>
      </c>
      <c r="I74" s="20" t="n">
        <v>65521</v>
      </c>
      <c r="J74" s="20" t="n">
        <v>68589</v>
      </c>
      <c r="K74" s="20" t="n">
        <v>72825</v>
      </c>
      <c r="L74" s="20" t="n">
        <v>93581</v>
      </c>
    </row>
    <row r="75">
      <c r="A75" s="18" t="inlineStr">
        <is>
          <t>기타</t>
        </is>
      </c>
      <c r="C75" s="20" t="n">
        <v>568</v>
      </c>
      <c r="D75" s="20" t="n">
        <v>497</v>
      </c>
      <c r="E75" s="20" t="n">
        <v>600</v>
      </c>
      <c r="F75" s="20" t="n">
        <v>1559</v>
      </c>
      <c r="G75" s="20" t="n">
        <v>1792</v>
      </c>
      <c r="H75" s="20" t="n">
        <v>350</v>
      </c>
      <c r="I75" s="20" t="n">
        <v>398</v>
      </c>
      <c r="J75" s="20" t="n">
        <v>1174</v>
      </c>
      <c r="K75" s="20" t="n">
        <v>2038</v>
      </c>
      <c r="L75" s="20" t="n">
        <v>1559</v>
      </c>
    </row>
    <row r="76">
      <c r="A76" s="9" t="inlineStr">
        <is>
          <t>유동자산 합계</t>
        </is>
      </c>
      <c r="C76" s="12" t="n">
        <v>178715</v>
      </c>
      <c r="D76" s="12" t="n">
        <v>180638</v>
      </c>
      <c r="E76" s="12" t="n">
        <v>179078</v>
      </c>
      <c r="F76" s="12" t="n">
        <v>168776</v>
      </c>
      <c r="G76" s="12" t="n">
        <v>170207</v>
      </c>
      <c r="H76" s="12" t="n">
        <v>163539</v>
      </c>
      <c r="I76" s="12" t="n">
        <v>157459</v>
      </c>
      <c r="J76" s="12" t="n">
        <v>170708</v>
      </c>
      <c r="K76" s="12" t="n">
        <v>173595</v>
      </c>
      <c r="L76" s="12" t="n">
        <v>168776</v>
      </c>
    </row>
    <row r="77">
      <c r="A77" s="18" t="inlineStr">
        <is>
          <t>건물·구축물</t>
        </is>
      </c>
      <c r="F77" s="20" t="n">
        <v>35206</v>
      </c>
      <c r="H77" s="20" t="n">
        <v>25301</v>
      </c>
      <c r="I77" s="20" t="n">
        <v>21465</v>
      </c>
      <c r="J77" s="20" t="n">
        <v>22221</v>
      </c>
      <c r="K77" s="20" t="n">
        <v>22829</v>
      </c>
      <c r="L77" s="20" t="n">
        <v>35206</v>
      </c>
    </row>
    <row r="78">
      <c r="A78" s="18" t="inlineStr">
        <is>
          <t>감가상각누계액</t>
        </is>
      </c>
      <c r="F78" s="20" t="n">
        <v>-11678</v>
      </c>
      <c r="H78" s="20" t="n">
        <v>-10106</v>
      </c>
      <c r="I78" s="20" t="n">
        <v>-9511</v>
      </c>
      <c r="J78" s="20" t="n">
        <v>-10121</v>
      </c>
      <c r="K78" s="20" t="n">
        <v>-10856</v>
      </c>
      <c r="L78" s="20" t="n">
        <v>-11678</v>
      </c>
    </row>
    <row r="79">
      <c r="A79" s="18" t="inlineStr">
        <is>
          <t>건물·구축물(순액)</t>
        </is>
      </c>
      <c r="C79" s="20" t="n">
        <v>11853</v>
      </c>
      <c r="D79" s="20" t="n">
        <v>11835</v>
      </c>
      <c r="E79" s="20" t="n">
        <v>11653</v>
      </c>
      <c r="F79" s="20" t="n">
        <v>23528</v>
      </c>
      <c r="G79" s="20" t="n">
        <v>23310</v>
      </c>
      <c r="H79" s="20" t="n">
        <v>15195</v>
      </c>
      <c r="I79" s="20" t="n">
        <v>11954</v>
      </c>
      <c r="J79" s="20" t="n">
        <v>12099</v>
      </c>
      <c r="K79" s="20" t="n">
        <v>11973</v>
      </c>
      <c r="L79" s="20" t="n">
        <v>23528</v>
      </c>
    </row>
    <row r="80">
      <c r="A80" s="18" t="inlineStr">
        <is>
          <t>기계장치·운반구</t>
        </is>
      </c>
      <c r="F80" s="20" t="n">
        <v>70</v>
      </c>
      <c r="H80" s="20" t="n">
        <v>75</v>
      </c>
      <c r="I80" s="20" t="n">
        <v>66</v>
      </c>
      <c r="J80" s="20" t="n">
        <v>66</v>
      </c>
      <c r="K80" s="20" t="n">
        <v>68</v>
      </c>
      <c r="L80" s="20" t="n">
        <v>70</v>
      </c>
    </row>
    <row r="81">
      <c r="A81" s="18" t="inlineStr">
        <is>
          <t>감가상각누계액</t>
        </is>
      </c>
      <c r="F81" s="20" t="n">
        <v>-65</v>
      </c>
      <c r="H81" s="20" t="n">
        <v>-62</v>
      </c>
      <c r="I81" s="20" t="n">
        <v>-58</v>
      </c>
      <c r="J81" s="20" t="n">
        <v>-62</v>
      </c>
      <c r="K81" s="20" t="n">
        <v>-63</v>
      </c>
      <c r="L81" s="20" t="n">
        <v>-65</v>
      </c>
    </row>
    <row r="82">
      <c r="A82" s="18" t="inlineStr">
        <is>
          <t>기계장치·운반구(순액)</t>
        </is>
      </c>
      <c r="F82" s="20" t="n">
        <v>4</v>
      </c>
      <c r="H82" s="20" t="n">
        <v>12</v>
      </c>
      <c r="I82" s="20" t="n">
        <v>7</v>
      </c>
      <c r="J82" s="20" t="n">
        <v>3</v>
      </c>
      <c r="K82" s="20" t="n">
        <v>4</v>
      </c>
      <c r="L82" s="20" t="n">
        <v>4</v>
      </c>
    </row>
    <row r="83">
      <c r="A83" s="18" t="inlineStr">
        <is>
          <t>공구·기구·비품</t>
        </is>
      </c>
      <c r="F83" s="20" t="n">
        <v>292</v>
      </c>
      <c r="H83" s="20" t="n">
        <v>288</v>
      </c>
      <c r="I83" s="20" t="n">
        <v>279</v>
      </c>
      <c r="J83" s="20" t="n">
        <v>231</v>
      </c>
      <c r="K83" s="20" t="n">
        <v>265</v>
      </c>
      <c r="L83" s="20" t="n">
        <v>292</v>
      </c>
    </row>
    <row r="84">
      <c r="A84" s="18" t="inlineStr">
        <is>
          <t>감가상각누계액</t>
        </is>
      </c>
      <c r="F84" s="20" t="n">
        <v>-226</v>
      </c>
      <c r="H84" s="20" t="n">
        <v>-246</v>
      </c>
      <c r="I84" s="20" t="n">
        <v>-251</v>
      </c>
      <c r="J84" s="20" t="n">
        <v>-185</v>
      </c>
      <c r="K84" s="20" t="n">
        <v>-204</v>
      </c>
      <c r="L84" s="20" t="n">
        <v>-226</v>
      </c>
    </row>
    <row r="85">
      <c r="A85" s="18" t="inlineStr">
        <is>
          <t>공구·기구·비품(순액)</t>
        </is>
      </c>
      <c r="F85" s="20" t="n">
        <v>65</v>
      </c>
      <c r="H85" s="20" t="n">
        <v>41</v>
      </c>
      <c r="I85" s="20" t="n">
        <v>27</v>
      </c>
      <c r="J85" s="20" t="n">
        <v>45</v>
      </c>
      <c r="K85" s="20" t="n">
        <v>60</v>
      </c>
      <c r="L85" s="20" t="n">
        <v>65</v>
      </c>
    </row>
    <row r="86">
      <c r="A86" s="18" t="inlineStr">
        <is>
          <t>토지</t>
        </is>
      </c>
      <c r="C86" s="20" t="n">
        <v>19464</v>
      </c>
      <c r="D86" s="20" t="n">
        <v>19465</v>
      </c>
      <c r="E86" s="20" t="n">
        <v>19466</v>
      </c>
      <c r="F86" s="20" t="n">
        <v>110412</v>
      </c>
      <c r="G86" s="20" t="n">
        <v>110743</v>
      </c>
      <c r="H86" s="20" t="n">
        <v>18644</v>
      </c>
      <c r="I86" s="20" t="n">
        <v>17044</v>
      </c>
      <c r="J86" s="20" t="n">
        <v>18304</v>
      </c>
      <c r="K86" s="20" t="n">
        <v>19088</v>
      </c>
      <c r="L86" s="20" t="n">
        <v>110412</v>
      </c>
    </row>
    <row r="87">
      <c r="A87" s="18" t="inlineStr">
        <is>
          <t>기타(순액)</t>
        </is>
      </c>
      <c r="C87" s="20" t="n">
        <v>71</v>
      </c>
      <c r="D87" s="20" t="n">
        <v>78</v>
      </c>
      <c r="E87" s="20" t="n">
        <v>72</v>
      </c>
      <c r="F87" s="20" t="n">
        <v>70</v>
      </c>
      <c r="G87" s="20" t="n">
        <v>70</v>
      </c>
      <c r="H87" s="20" t="n">
        <v>54</v>
      </c>
      <c r="I87" s="20" t="n">
        <v>35</v>
      </c>
      <c r="J87" s="20" t="n">
        <v>49</v>
      </c>
      <c r="K87" s="20" t="n">
        <v>65</v>
      </c>
      <c r="L87" s="20" t="n">
        <v>70</v>
      </c>
    </row>
    <row r="88">
      <c r="A88" s="18" t="inlineStr">
        <is>
          <t>유형자산 합계</t>
        </is>
      </c>
      <c r="C88" s="20" t="n">
        <v>31389</v>
      </c>
      <c r="D88" s="20" t="n">
        <v>31379</v>
      </c>
      <c r="E88" s="20" t="n">
        <v>31192</v>
      </c>
      <c r="F88" s="20" t="n">
        <v>134011</v>
      </c>
      <c r="G88" s="20" t="n">
        <v>134124</v>
      </c>
      <c r="H88" s="20" t="n">
        <v>33893</v>
      </c>
      <c r="I88" s="20" t="n">
        <v>29033</v>
      </c>
      <c r="J88" s="20" t="n">
        <v>30453</v>
      </c>
      <c r="K88" s="20" t="n">
        <v>31127</v>
      </c>
      <c r="L88" s="20" t="n">
        <v>134011</v>
      </c>
    </row>
    <row r="89">
      <c r="A89" s="18" t="inlineStr">
        <is>
          <t>소프트웨어</t>
        </is>
      </c>
      <c r="C89" s="20" t="n">
        <v>33</v>
      </c>
      <c r="D89" s="20" t="n">
        <v>29</v>
      </c>
      <c r="E89" s="20" t="n">
        <v>29</v>
      </c>
      <c r="F89" s="20" t="n">
        <v>27</v>
      </c>
      <c r="G89" s="20" t="n">
        <v>25</v>
      </c>
      <c r="H89" s="20" t="n">
        <v>17</v>
      </c>
      <c r="I89" s="20" t="n">
        <v>16</v>
      </c>
      <c r="J89" s="20" t="n">
        <v>12</v>
      </c>
      <c r="K89" s="20" t="n">
        <v>37</v>
      </c>
      <c r="L89" s="20" t="n">
        <v>27</v>
      </c>
    </row>
    <row r="90">
      <c r="A90" s="18" t="inlineStr">
        <is>
          <t>영업권</t>
        </is>
      </c>
      <c r="H90" s="20" t="n">
        <v>477</v>
      </c>
      <c r="I90" s="20" t="n">
        <v>265</v>
      </c>
      <c r="J90" s="20" t="n">
        <v>53</v>
      </c>
      <c r="K90" s="20" t="n">
        <v>0</v>
      </c>
    </row>
    <row r="91">
      <c r="A91" s="18" t="inlineStr">
        <is>
          <t>기타</t>
        </is>
      </c>
      <c r="C91" s="20" t="n">
        <v>20</v>
      </c>
      <c r="D91" s="20" t="n">
        <v>20</v>
      </c>
      <c r="E91" s="20" t="n">
        <v>20</v>
      </c>
      <c r="F91" s="20" t="n">
        <v>20</v>
      </c>
      <c r="G91" s="20" t="n">
        <v>20</v>
      </c>
      <c r="H91" s="20" t="n">
        <v>4</v>
      </c>
      <c r="I91" s="20" t="n">
        <v>4</v>
      </c>
      <c r="J91" s="20" t="n">
        <v>5</v>
      </c>
      <c r="K91" s="20" t="n">
        <v>20</v>
      </c>
      <c r="L91" s="20" t="n">
        <v>20</v>
      </c>
    </row>
    <row r="92">
      <c r="A92" s="18" t="inlineStr">
        <is>
          <t>무형자산 합계</t>
        </is>
      </c>
      <c r="C92" s="20" t="n">
        <v>53</v>
      </c>
      <c r="D92" s="20" t="n">
        <v>50</v>
      </c>
      <c r="E92" s="20" t="n">
        <v>49</v>
      </c>
      <c r="F92" s="20" t="n">
        <v>47</v>
      </c>
      <c r="G92" s="20" t="n">
        <v>46</v>
      </c>
      <c r="H92" s="20" t="n">
        <v>499</v>
      </c>
      <c r="I92" s="20" t="n">
        <v>285</v>
      </c>
      <c r="J92" s="20" t="n">
        <v>71</v>
      </c>
      <c r="K92" s="20" t="n">
        <v>57</v>
      </c>
      <c r="L92" s="20" t="n">
        <v>47</v>
      </c>
    </row>
    <row r="93">
      <c r="A93" s="18" t="inlineStr">
        <is>
          <t>투자유가증권</t>
        </is>
      </c>
      <c r="F93" s="20" t="n">
        <v>14909</v>
      </c>
      <c r="H93" s="20" t="n">
        <v>24</v>
      </c>
      <c r="I93" s="20" t="n">
        <v>18</v>
      </c>
      <c r="J93" s="20" t="n">
        <v>23</v>
      </c>
      <c r="K93" s="20" t="n">
        <v>15078</v>
      </c>
      <c r="L93" s="20" t="n">
        <v>14909</v>
      </c>
    </row>
    <row r="94">
      <c r="A94" s="18" t="inlineStr">
        <is>
          <t>이연법인세자산</t>
        </is>
      </c>
      <c r="F94" s="20" t="n">
        <v>2449</v>
      </c>
      <c r="H94" s="20" t="n">
        <v>1722</v>
      </c>
      <c r="I94" s="20" t="n">
        <v>1692</v>
      </c>
      <c r="J94" s="20" t="n">
        <v>1806</v>
      </c>
      <c r="K94" s="20" t="n">
        <v>1967</v>
      </c>
      <c r="L94" s="20" t="n">
        <v>2449</v>
      </c>
    </row>
    <row r="95">
      <c r="A95" s="18" t="inlineStr">
        <is>
          <t>기타</t>
        </is>
      </c>
      <c r="F95" s="20" t="n">
        <v>2836</v>
      </c>
      <c r="H95" s="20" t="n">
        <v>794</v>
      </c>
      <c r="I95" s="20" t="n">
        <v>745</v>
      </c>
      <c r="J95" s="20" t="n">
        <v>745</v>
      </c>
      <c r="K95" s="20" t="n">
        <v>861</v>
      </c>
      <c r="L95" s="20" t="n">
        <v>2836</v>
      </c>
    </row>
    <row r="96">
      <c r="A96" s="18" t="inlineStr">
        <is>
          <t>투자 및 기타자산</t>
        </is>
      </c>
      <c r="C96" s="20" t="n">
        <v>17861</v>
      </c>
      <c r="D96" s="20" t="n">
        <v>17841</v>
      </c>
      <c r="E96" s="20" t="n">
        <v>17774</v>
      </c>
      <c r="F96" s="20" t="n">
        <v>20194</v>
      </c>
      <c r="G96" s="20" t="n">
        <v>20239</v>
      </c>
      <c r="H96" s="20" t="n">
        <v>2541</v>
      </c>
      <c r="I96" s="20" t="n">
        <v>2456</v>
      </c>
      <c r="J96" s="20" t="n">
        <v>2575</v>
      </c>
      <c r="K96" s="20" t="n">
        <v>17908</v>
      </c>
      <c r="L96" s="20" t="n">
        <v>20194</v>
      </c>
    </row>
    <row r="97">
      <c r="A97" s="9" t="inlineStr">
        <is>
          <t>비유동자산 합계</t>
        </is>
      </c>
      <c r="C97" s="12" t="n">
        <v>49304</v>
      </c>
      <c r="D97" s="12" t="n">
        <v>49271</v>
      </c>
      <c r="E97" s="12" t="n">
        <v>49016</v>
      </c>
      <c r="F97" s="12" t="n">
        <v>154254</v>
      </c>
      <c r="G97" s="12" t="n">
        <v>154410</v>
      </c>
      <c r="H97" s="12" t="n">
        <v>36935</v>
      </c>
      <c r="I97" s="12" t="n">
        <v>31776</v>
      </c>
      <c r="J97" s="12" t="n">
        <v>33100</v>
      </c>
      <c r="K97" s="12" t="n">
        <v>49094</v>
      </c>
      <c r="L97" s="12" t="n">
        <v>154254</v>
      </c>
    </row>
    <row r="98">
      <c r="A98" s="9" t="inlineStr">
        <is>
          <t>자산 합계</t>
        </is>
      </c>
      <c r="C98" s="12" t="n">
        <v>228020</v>
      </c>
      <c r="D98" s="12" t="n">
        <v>229909</v>
      </c>
      <c r="E98" s="12" t="n">
        <v>228094</v>
      </c>
      <c r="F98" s="12" t="n">
        <v>323030</v>
      </c>
      <c r="G98" s="12" t="n">
        <v>324617</v>
      </c>
      <c r="H98" s="12" t="n">
        <v>200475</v>
      </c>
      <c r="I98" s="12" t="n">
        <v>189235</v>
      </c>
      <c r="J98" s="12" t="n">
        <v>203808</v>
      </c>
      <c r="K98" s="12" t="n">
        <v>222689</v>
      </c>
      <c r="L98" s="12" t="n">
        <v>323030</v>
      </c>
    </row>
    <row r="99">
      <c r="A99" s="18" t="inlineStr">
        <is>
          <t>지급어음·매입채무</t>
        </is>
      </c>
      <c r="C99" s="20" t="n">
        <v>2336</v>
      </c>
      <c r="D99" s="20" t="n">
        <v>2682</v>
      </c>
      <c r="E99" s="20" t="n">
        <v>1767</v>
      </c>
      <c r="F99" s="20" t="n">
        <v>4386</v>
      </c>
      <c r="G99" s="20" t="n">
        <v>1920</v>
      </c>
      <c r="H99" s="20" t="n">
        <v>11642</v>
      </c>
      <c r="I99" s="20" t="n">
        <v>824</v>
      </c>
      <c r="J99" s="20" t="n">
        <v>8884</v>
      </c>
      <c r="K99" s="20" t="n">
        <v>2336</v>
      </c>
      <c r="L99" s="20" t="n">
        <v>4386</v>
      </c>
    </row>
    <row r="100">
      <c r="A100" s="18" t="inlineStr">
        <is>
          <t>1년 내 상환 예정 사채</t>
        </is>
      </c>
      <c r="C100" s="20" t="n">
        <v>6500</v>
      </c>
      <c r="D100" s="20" t="n">
        <v>6500</v>
      </c>
      <c r="E100" s="20" t="n">
        <v>6500</v>
      </c>
      <c r="F100" s="20" t="n">
        <v>0</v>
      </c>
      <c r="H100" s="20" t="n">
        <v>0</v>
      </c>
      <c r="I100" s="20" t="n">
        <v>10000</v>
      </c>
      <c r="J100" s="20" t="n">
        <v>12000</v>
      </c>
      <c r="K100" s="20" t="n">
        <v>6500</v>
      </c>
      <c r="L100" s="20" t="n">
        <v>0</v>
      </c>
    </row>
    <row r="101">
      <c r="A101" s="18" t="inlineStr">
        <is>
          <t>1년 내 상환 장기차입금</t>
        </is>
      </c>
      <c r="C101" s="20" t="n">
        <v>4900</v>
      </c>
      <c r="D101" s="20" t="n">
        <v>4900</v>
      </c>
      <c r="E101" s="20" t="n">
        <v>4900</v>
      </c>
      <c r="F101" s="20" t="n">
        <v>100</v>
      </c>
      <c r="G101" s="20" t="n">
        <v>100</v>
      </c>
      <c r="H101" s="20" t="n">
        <v>850</v>
      </c>
      <c r="I101" s="20" t="n">
        <v>550</v>
      </c>
      <c r="J101" s="20" t="n">
        <v>15000</v>
      </c>
      <c r="K101" s="20" t="n">
        <v>4900</v>
      </c>
      <c r="L101" s="20" t="n">
        <v>100</v>
      </c>
    </row>
    <row r="102">
      <c r="A102" s="18" t="inlineStr">
        <is>
          <t>미지급법인세</t>
        </is>
      </c>
      <c r="C102" s="20" t="n">
        <v>1115</v>
      </c>
      <c r="D102" s="20" t="n">
        <v>1637</v>
      </c>
      <c r="E102" s="20" t="n">
        <v>1031</v>
      </c>
      <c r="F102" s="20" t="n">
        <v>2071</v>
      </c>
      <c r="G102" s="20" t="n">
        <v>2632</v>
      </c>
      <c r="H102" s="20" t="n">
        <v>2899</v>
      </c>
      <c r="I102" s="20" t="n">
        <v>1659</v>
      </c>
      <c r="J102" s="20" t="n">
        <v>1912</v>
      </c>
      <c r="K102" s="20" t="n">
        <v>1406</v>
      </c>
      <c r="L102" s="20" t="n">
        <v>2071</v>
      </c>
    </row>
    <row r="103">
      <c r="A103" s="18" t="inlineStr">
        <is>
          <t>선수금</t>
        </is>
      </c>
      <c r="C103" s="20" t="n">
        <v>679</v>
      </c>
      <c r="D103" s="20" t="n">
        <v>1286</v>
      </c>
      <c r="E103" s="20" t="n">
        <v>1335</v>
      </c>
      <c r="F103" s="20" t="n">
        <v>2247</v>
      </c>
      <c r="G103" s="20" t="n">
        <v>1622</v>
      </c>
      <c r="H103" s="20" t="n">
        <v>2598</v>
      </c>
      <c r="I103" s="20" t="n">
        <v>293</v>
      </c>
      <c r="J103" s="20" t="n">
        <v>571</v>
      </c>
      <c r="K103" s="20" t="n">
        <v>724</v>
      </c>
      <c r="L103" s="20" t="n">
        <v>2247</v>
      </c>
    </row>
    <row r="104">
      <c r="A104" s="18" t="inlineStr">
        <is>
          <t>상여충당금</t>
        </is>
      </c>
      <c r="C104" s="20" t="n">
        <v>13</v>
      </c>
      <c r="D104" s="20" t="n">
        <v>68</v>
      </c>
      <c r="E104" s="20" t="n">
        <v>13</v>
      </c>
      <c r="F104" s="20" t="n">
        <v>73</v>
      </c>
      <c r="G104" s="20" t="n">
        <v>11</v>
      </c>
      <c r="H104" s="20" t="n">
        <v>53</v>
      </c>
      <c r="I104" s="20" t="n">
        <v>51</v>
      </c>
      <c r="J104" s="20" t="n">
        <v>61</v>
      </c>
      <c r="K104" s="20" t="n">
        <v>69</v>
      </c>
      <c r="L104" s="20" t="n">
        <v>73</v>
      </c>
    </row>
    <row r="105">
      <c r="A105" s="18" t="inlineStr">
        <is>
          <t>기타</t>
        </is>
      </c>
      <c r="C105" s="20" t="n">
        <v>1406</v>
      </c>
      <c r="D105" s="20" t="n">
        <v>966</v>
      </c>
      <c r="E105" s="20" t="n">
        <v>1311</v>
      </c>
      <c r="F105" s="20" t="n">
        <v>1326</v>
      </c>
      <c r="G105" s="20" t="n">
        <v>1218</v>
      </c>
      <c r="H105" s="20" t="n">
        <v>728</v>
      </c>
      <c r="I105" s="20" t="n">
        <v>729</v>
      </c>
      <c r="J105" s="20" t="n">
        <v>3962</v>
      </c>
      <c r="K105" s="20" t="n">
        <v>1467</v>
      </c>
      <c r="L105" s="20" t="n">
        <v>1326</v>
      </c>
    </row>
    <row r="106">
      <c r="A106" s="9" t="inlineStr">
        <is>
          <t>유동부채 합계</t>
        </is>
      </c>
      <c r="C106" s="12" t="n">
        <v>16950</v>
      </c>
      <c r="D106" s="12" t="n">
        <v>18041</v>
      </c>
      <c r="E106" s="12" t="n">
        <v>16860</v>
      </c>
      <c r="F106" s="12" t="n">
        <v>10205</v>
      </c>
      <c r="G106" s="12" t="n">
        <v>7505</v>
      </c>
      <c r="H106" s="12" t="n">
        <v>18772</v>
      </c>
      <c r="I106" s="12" t="n">
        <v>14107</v>
      </c>
      <c r="J106" s="12" t="n">
        <v>42392</v>
      </c>
      <c r="K106" s="12" t="n">
        <v>17405</v>
      </c>
      <c r="L106" s="12" t="n">
        <v>10205</v>
      </c>
    </row>
    <row r="107">
      <c r="A107" s="18" t="inlineStr">
        <is>
          <t>사채</t>
        </is>
      </c>
      <c r="H107" s="20" t="n">
        <v>28500</v>
      </c>
      <c r="I107" s="20" t="n">
        <v>18500</v>
      </c>
      <c r="J107" s="20" t="n">
        <v>6500</v>
      </c>
      <c r="K107" s="20" t="n">
        <v>0</v>
      </c>
    </row>
    <row r="108">
      <c r="A108" s="18" t="inlineStr">
        <is>
          <t>장기차입금</t>
        </is>
      </c>
      <c r="C108" s="20" t="n">
        <v>69700</v>
      </c>
      <c r="D108" s="20" t="n">
        <v>69675</v>
      </c>
      <c r="E108" s="20" t="n">
        <v>69650</v>
      </c>
      <c r="F108" s="20" t="n">
        <v>168425</v>
      </c>
      <c r="G108" s="20" t="n">
        <v>168400</v>
      </c>
      <c r="H108" s="20" t="n">
        <v>19550</v>
      </c>
      <c r="I108" s="20" t="n">
        <v>19800</v>
      </c>
      <c r="J108" s="20" t="n">
        <v>16700</v>
      </c>
      <c r="K108" s="20" t="n">
        <v>64725</v>
      </c>
      <c r="L108" s="20" t="n">
        <v>168425</v>
      </c>
    </row>
    <row r="109">
      <c r="A109" s="18" t="inlineStr">
        <is>
          <t>이연법인세부채</t>
        </is>
      </c>
      <c r="C109" s="20" t="n">
        <v>4597</v>
      </c>
      <c r="D109" s="20" t="n">
        <v>4601</v>
      </c>
      <c r="E109" s="20" t="n">
        <v>4603</v>
      </c>
      <c r="F109" s="20" t="n">
        <v>4604</v>
      </c>
      <c r="G109" s="20" t="n">
        <v>4613</v>
      </c>
      <c r="H109" s="20" t="n">
        <v>4437</v>
      </c>
      <c r="I109" s="20" t="n">
        <v>4445</v>
      </c>
      <c r="J109" s="20" t="n">
        <v>4455</v>
      </c>
      <c r="K109" s="20" t="n">
        <v>4463</v>
      </c>
      <c r="L109" s="20" t="n">
        <v>4604</v>
      </c>
    </row>
    <row r="110">
      <c r="A110" s="18" t="inlineStr">
        <is>
          <t>임원 퇴직위로 충당금</t>
        </is>
      </c>
      <c r="C110" s="20" t="n">
        <v>1045</v>
      </c>
      <c r="D110" s="20" t="n">
        <v>1054</v>
      </c>
      <c r="E110" s="20" t="n">
        <v>1064</v>
      </c>
      <c r="F110" s="20" t="n">
        <v>1074</v>
      </c>
      <c r="G110" s="20" t="n">
        <v>1157</v>
      </c>
      <c r="H110" s="20" t="n">
        <v>757</v>
      </c>
      <c r="I110" s="20" t="n">
        <v>795</v>
      </c>
      <c r="J110" s="20" t="n">
        <v>989</v>
      </c>
      <c r="K110" s="20" t="n">
        <v>1035</v>
      </c>
      <c r="L110" s="20" t="n">
        <v>1074</v>
      </c>
    </row>
    <row r="111">
      <c r="A111" s="18" t="inlineStr">
        <is>
          <t>퇴직급여부채</t>
        </is>
      </c>
      <c r="C111" s="20" t="n">
        <v>249</v>
      </c>
      <c r="D111" s="20" t="n">
        <v>253</v>
      </c>
      <c r="E111" s="20" t="n">
        <v>258</v>
      </c>
      <c r="F111" s="20" t="n">
        <v>265</v>
      </c>
      <c r="G111" s="20" t="n">
        <v>294</v>
      </c>
      <c r="H111" s="20" t="n">
        <v>166</v>
      </c>
      <c r="I111" s="20" t="n">
        <v>172</v>
      </c>
      <c r="J111" s="20" t="n">
        <v>200</v>
      </c>
      <c r="K111" s="20" t="n">
        <v>235</v>
      </c>
      <c r="L111" s="20" t="n">
        <v>265</v>
      </c>
    </row>
    <row r="112">
      <c r="A112" s="18" t="inlineStr">
        <is>
          <t>기타</t>
        </is>
      </c>
      <c r="C112" s="20" t="n">
        <v>1035</v>
      </c>
      <c r="D112" s="20" t="n">
        <v>1025</v>
      </c>
      <c r="E112" s="20" t="n">
        <v>798</v>
      </c>
      <c r="F112" s="20" t="n">
        <v>2473</v>
      </c>
      <c r="G112" s="20" t="n">
        <v>2490</v>
      </c>
      <c r="H112" s="20" t="n">
        <v>1140</v>
      </c>
      <c r="I112" s="20" t="n">
        <v>977</v>
      </c>
      <c r="J112" s="20" t="n">
        <v>1155</v>
      </c>
      <c r="K112" s="20" t="n">
        <v>1053</v>
      </c>
      <c r="L112" s="20" t="n">
        <v>2473</v>
      </c>
    </row>
    <row r="113">
      <c r="A113" s="9" t="inlineStr">
        <is>
          <t>비유동부채 합계</t>
        </is>
      </c>
      <c r="C113" s="12" t="n">
        <v>76627</v>
      </c>
      <c r="D113" s="12" t="n">
        <v>76609</v>
      </c>
      <c r="E113" s="12" t="n">
        <v>76374</v>
      </c>
      <c r="F113" s="12" t="n">
        <v>176842</v>
      </c>
      <c r="G113" s="12" t="n">
        <v>176956</v>
      </c>
      <c r="H113" s="12" t="n">
        <v>54551</v>
      </c>
      <c r="I113" s="12" t="n">
        <v>44692</v>
      </c>
      <c r="J113" s="12" t="n">
        <v>30001</v>
      </c>
      <c r="K113" s="12" t="n">
        <v>71512</v>
      </c>
      <c r="L113" s="12" t="n">
        <v>176842</v>
      </c>
    </row>
    <row r="114">
      <c r="A114" s="9" t="inlineStr">
        <is>
          <t>부채 합계</t>
        </is>
      </c>
      <c r="C114" s="12" t="n">
        <v>93578</v>
      </c>
      <c r="D114" s="12" t="n">
        <v>94650</v>
      </c>
      <c r="E114" s="12" t="n">
        <v>93234</v>
      </c>
      <c r="F114" s="12" t="n">
        <v>187048</v>
      </c>
      <c r="G114" s="12" t="n">
        <v>184461</v>
      </c>
      <c r="H114" s="12" t="n">
        <v>73323</v>
      </c>
      <c r="I114" s="12" t="n">
        <v>58800</v>
      </c>
      <c r="J114" s="12" t="n">
        <v>72394</v>
      </c>
      <c r="K114" s="12" t="n">
        <v>88918</v>
      </c>
      <c r="L114" s="12" t="n">
        <v>187048</v>
      </c>
    </row>
    <row r="115">
      <c r="A115" s="18" t="inlineStr">
        <is>
          <t>자본금</t>
        </is>
      </c>
      <c r="C115" s="20" t="n">
        <v>12499</v>
      </c>
      <c r="D115" s="20" t="n">
        <v>12499</v>
      </c>
      <c r="E115" s="20" t="n">
        <v>12499</v>
      </c>
      <c r="F115" s="20" t="n">
        <v>12499</v>
      </c>
      <c r="G115" s="20" t="n">
        <v>12499</v>
      </c>
      <c r="H115" s="20" t="n">
        <v>12499</v>
      </c>
      <c r="I115" s="20" t="n">
        <v>12499</v>
      </c>
      <c r="J115" s="20" t="n">
        <v>12499</v>
      </c>
      <c r="K115" s="20" t="n">
        <v>12499</v>
      </c>
      <c r="L115" s="20" t="n">
        <v>12499</v>
      </c>
    </row>
    <row r="116">
      <c r="A116" s="18" t="inlineStr">
        <is>
          <t>자본잉여금</t>
        </is>
      </c>
      <c r="C116" s="20" t="n">
        <v>12372</v>
      </c>
      <c r="D116" s="20" t="n">
        <v>12372</v>
      </c>
      <c r="E116" s="20" t="n">
        <v>12372</v>
      </c>
      <c r="F116" s="20" t="n">
        <v>12372</v>
      </c>
      <c r="G116" s="20" t="n">
        <v>12372</v>
      </c>
      <c r="H116" s="20" t="n">
        <v>12372</v>
      </c>
      <c r="I116" s="20" t="n">
        <v>12372</v>
      </c>
      <c r="J116" s="20" t="n">
        <v>12372</v>
      </c>
      <c r="K116" s="20" t="n">
        <v>12372</v>
      </c>
      <c r="L116" s="20" t="n">
        <v>12372</v>
      </c>
    </row>
    <row r="117">
      <c r="A117" s="18" t="inlineStr">
        <is>
          <t>이익잉여금</t>
        </is>
      </c>
      <c r="C117" s="20" t="n">
        <v>114118</v>
      </c>
      <c r="D117" s="20" t="n">
        <v>114934</v>
      </c>
      <c r="E117" s="20" t="n">
        <v>114534</v>
      </c>
      <c r="F117" s="20" t="n">
        <v>115657</v>
      </c>
      <c r="G117" s="20" t="n">
        <v>119819</v>
      </c>
      <c r="H117" s="20" t="n">
        <v>105824</v>
      </c>
      <c r="I117" s="20" t="n">
        <v>110002</v>
      </c>
      <c r="J117" s="20" t="n">
        <v>111094</v>
      </c>
      <c r="K117" s="20" t="n">
        <v>113450</v>
      </c>
      <c r="L117" s="20" t="n">
        <v>115657</v>
      </c>
    </row>
    <row r="118">
      <c r="A118" s="18" t="inlineStr">
        <is>
          <t>자기주식</t>
        </is>
      </c>
      <c r="C118" s="20" t="n">
        <v>-4543</v>
      </c>
      <c r="D118" s="20" t="n">
        <v>-4543</v>
      </c>
      <c r="E118" s="20" t="n">
        <v>-4543</v>
      </c>
      <c r="F118" s="20" t="n">
        <v>-4543</v>
      </c>
      <c r="G118" s="20" t="n">
        <v>-4543</v>
      </c>
      <c r="H118" s="20" t="n">
        <v>-3535</v>
      </c>
      <c r="I118" s="20" t="n">
        <v>-4426</v>
      </c>
      <c r="J118" s="20" t="n">
        <v>-4543</v>
      </c>
      <c r="K118" s="20" t="n">
        <v>-4543</v>
      </c>
      <c r="L118" s="20" t="n">
        <v>-4543</v>
      </c>
    </row>
    <row r="119">
      <c r="A119" s="9" t="inlineStr">
        <is>
          <t>주주자본 합계</t>
        </is>
      </c>
      <c r="C119" s="12" t="n">
        <v>134446</v>
      </c>
      <c r="D119" s="12" t="n">
        <v>135261</v>
      </c>
      <c r="E119" s="12" t="n">
        <v>134862</v>
      </c>
      <c r="F119" s="12" t="n">
        <v>135984</v>
      </c>
      <c r="G119" s="12" t="n">
        <v>140147</v>
      </c>
      <c r="H119" s="12" t="n">
        <v>127159</v>
      </c>
      <c r="I119" s="12" t="n">
        <v>130446</v>
      </c>
      <c r="J119" s="12" t="n">
        <v>131421</v>
      </c>
      <c r="K119" s="12" t="n">
        <v>133777</v>
      </c>
      <c r="L119" s="12" t="n">
        <v>135984</v>
      </c>
    </row>
    <row r="120">
      <c r="A120" s="18" t="inlineStr">
        <is>
          <t>기타유가증권 평가차액</t>
        </is>
      </c>
      <c r="C120" s="20" t="n">
        <v>-4</v>
      </c>
      <c r="D120" s="20" t="n">
        <v>-2</v>
      </c>
      <c r="E120" s="20" t="n">
        <v>-2</v>
      </c>
      <c r="F120" s="20" t="n">
        <v>-2</v>
      </c>
      <c r="G120" s="20" t="n">
        <v>8</v>
      </c>
      <c r="H120" s="20" t="n">
        <v>-8</v>
      </c>
      <c r="I120" s="20" t="n">
        <v>-11</v>
      </c>
      <c r="J120" s="20" t="n">
        <v>-8</v>
      </c>
      <c r="K120" s="20" t="n">
        <v>-6</v>
      </c>
      <c r="L120" s="20" t="n">
        <v>-2</v>
      </c>
    </row>
    <row r="121">
      <c r="A121" s="18" t="inlineStr">
        <is>
          <t>기타포괄손익누계액 합계</t>
        </is>
      </c>
      <c r="C121" s="20" t="n">
        <v>-4</v>
      </c>
      <c r="D121" s="20" t="n">
        <v>-2</v>
      </c>
      <c r="E121" s="20" t="n">
        <v>-2</v>
      </c>
      <c r="F121" s="20" t="n">
        <v>-2</v>
      </c>
      <c r="G121" s="20" t="n">
        <v>8</v>
      </c>
      <c r="H121" s="20" t="n">
        <v>-8</v>
      </c>
      <c r="I121" s="20" t="n">
        <v>-11</v>
      </c>
      <c r="J121" s="20" t="n">
        <v>-8</v>
      </c>
      <c r="K121" s="20" t="n">
        <v>-6</v>
      </c>
      <c r="L121" s="20" t="n">
        <v>-2</v>
      </c>
    </row>
    <row r="122">
      <c r="A122" s="9" t="inlineStr">
        <is>
          <t>순자산 합계</t>
        </is>
      </c>
      <c r="C122" s="12" t="n">
        <v>134442</v>
      </c>
      <c r="D122" s="12" t="n">
        <v>135259</v>
      </c>
      <c r="E122" s="12" t="n">
        <v>134860</v>
      </c>
      <c r="F122" s="12" t="n">
        <v>135982</v>
      </c>
      <c r="G122" s="12" t="n">
        <v>140155</v>
      </c>
      <c r="H122" s="12" t="n">
        <v>127151</v>
      </c>
      <c r="I122" s="12" t="n">
        <v>130435</v>
      </c>
      <c r="J122" s="12" t="n">
        <v>131413</v>
      </c>
      <c r="K122" s="12" t="n">
        <v>133771</v>
      </c>
      <c r="L122" s="12" t="n">
        <v>135982</v>
      </c>
    </row>
    <row r="123">
      <c r="A123" s="9" t="inlineStr">
        <is>
          <t>부채·순자산 합계</t>
        </is>
      </c>
      <c r="C123" s="12" t="n">
        <v>228020</v>
      </c>
      <c r="D123" s="12" t="n">
        <v>229909</v>
      </c>
      <c r="E123" s="12" t="n">
        <v>228094</v>
      </c>
      <c r="F123" s="12" t="n">
        <v>323030</v>
      </c>
      <c r="G123" s="12" t="n">
        <v>324617</v>
      </c>
      <c r="H123" s="12" t="n">
        <v>200475</v>
      </c>
      <c r="I123" s="12" t="n">
        <v>189235</v>
      </c>
      <c r="J123" s="12" t="n">
        <v>203808</v>
      </c>
      <c r="K123" s="12" t="n">
        <v>222689</v>
      </c>
      <c r="L123" s="12" t="n">
        <v>323030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1분기 결산단신</t>
        </is>
      </c>
      <c r="C4" t="inlineStr">
        <is>
          <t>https://www2.jpx.co.jp/disc/88710/140120260722597243.pdf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https://www2.jpx.co.jp/disc/88710/140120260424509405.pdf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https://www2.jpx.co.jp/disc/88710/140120260122537353.pdf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https://www2.jpx.co.jp/disc/88710/140120251024578880.pdf</t>
        </is>
      </c>
    </row>
    <row r="8">
      <c r="A8" t="inlineStr">
        <is>
          <t>2025-07-28</t>
        </is>
      </c>
      <c r="B8" t="inlineStr">
        <is>
          <t>2026년 3월 결산기 1분기 결산단신</t>
        </is>
      </c>
      <c r="C8" t="inlineStr">
        <is>
          <t>https://www2.jpx.co.jp/disc/88710/140120250718517252.pdf</t>
        </is>
      </c>
    </row>
    <row r="9">
      <c r="A9" t="inlineStr">
        <is>
          <t>2025-05-14</t>
        </is>
      </c>
      <c r="B9" t="inlineStr">
        <is>
          <t>2025년 3월 결산기 연간 결산단신</t>
        </is>
      </c>
      <c r="C9" t="inlineStr">
        <is>
          <t>https://www2.jpx.co.jp/disc/88710/140120250425524827.pdf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https://www2.jpx.co.jp/disc/88710/140120250124554541.pdf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https://www2.jpx.co.jp/disc/88710/140120241017599309.pdf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https://www2.jpx.co.jp/disc/88710/140120240722552596.pdf</t>
        </is>
      </c>
    </row>
    <row r="13">
      <c r="A13" t="inlineStr">
        <is>
          <t>2024-05-09</t>
        </is>
      </c>
      <c r="B13" t="inlineStr">
        <is>
          <t>2024년 3월 결산기 연간 결산단신</t>
        </is>
      </c>
      <c r="C13" t="inlineStr">
        <is>
          <t>https://www2.jpx.co.jp/disc/88710/140120240423574845.pdf</t>
        </is>
      </c>
    </row>
    <row r="14">
      <c r="A14" t="inlineStr">
        <is>
          <t>2024-01-25</t>
        </is>
      </c>
      <c r="B14" t="inlineStr">
        <is>
          <t>2024년 3월 결산기 3분기 결산단신</t>
        </is>
      </c>
      <c r="C14" t="inlineStr">
        <is>
          <t>https://www2.jpx.co.jp/disc/88710/140120240118516674.pdf</t>
        </is>
      </c>
    </row>
    <row r="15">
      <c r="A15" t="inlineStr">
        <is>
          <t>2023-10-26</t>
        </is>
      </c>
      <c r="B15" t="inlineStr">
        <is>
          <t>2024년 3월 결산기 2분기 결산단신</t>
        </is>
      </c>
      <c r="C15" t="inlineStr">
        <is>
          <t>https://www2.jpx.co.jp/disc/88710/140120231023570153.pdf</t>
        </is>
      </c>
    </row>
    <row r="16">
      <c r="A16" t="inlineStr">
        <is>
          <t>2023-07-27</t>
        </is>
      </c>
      <c r="B16" t="inlineStr">
        <is>
          <t>2024년 3월 결산기 1분기 결산단신</t>
        </is>
      </c>
      <c r="C16" t="inlineStr">
        <is>
          <t>https://www2.jpx.co.jp/disc/88710/140120230719524249.pdf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https://www2.jpx.co.jp/disc/88710/140120230421550748.pdf</t>
        </is>
      </c>
    </row>
    <row r="18">
      <c r="A18" t="inlineStr">
        <is>
          <t>2023-01-26</t>
        </is>
      </c>
      <c r="B18" t="inlineStr">
        <is>
          <t>2023년 3월 결산기 3분기 결산단신</t>
        </is>
      </c>
      <c r="C18" t="inlineStr">
        <is>
          <t>https://www2.jpx.co.jp/disc/88710/140120230118590891.pdf</t>
        </is>
      </c>
    </row>
    <row r="19">
      <c r="A19" t="inlineStr">
        <is>
          <t>2022-10-27</t>
        </is>
      </c>
      <c r="B19" t="inlineStr">
        <is>
          <t>2023년 3월 결산기 2분기 결산단신</t>
        </is>
      </c>
      <c r="C19" t="inlineStr">
        <is>
          <t>https://www2.jpx.co.jp/disc/88710/140120221019546476.pdf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https://www2.jpx.co.jp/disc/88710/140120220422525716.pdf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https://www2.jpx.co.jp/disc/88710/140120210422498363.pdf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https://www2.jpx.co.jp/disc/88710/140120200421497039.pdf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https://www2.jpx.co.jp/disc/88710/140120190429413835.pdf</t>
        </is>
      </c>
    </row>
    <row r="24">
      <c r="A24" t="inlineStr">
        <is>
          <t>2018-05-09</t>
        </is>
      </c>
      <c r="B24" t="inlineStr">
        <is>
          <t>연간 결산단신</t>
        </is>
      </c>
      <c r="C24" t="inlineStr">
        <is>
          <t>https://www2.jpx.co.jp/disc/88710/140120180501425443.pdf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2026-10-25T13:05:19Z</dcterms:created>
  <dcterms:modified xmlns:dcterms="http://purl.org/dc/terms/" xmlns:xsi="http://www.w3.org/2001/XMLSchema-instance" xsi:type="dcterms:W3CDTF">2026-10-25T13:05:19Z</dcterms:modified>
</cp:coreProperties>
</file>