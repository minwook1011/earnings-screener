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8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8871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6496</v>
      </c>
      <c r="D4" s="12" t="n">
        <v>12062</v>
      </c>
      <c r="E4" s="12" t="n">
        <v>6741</v>
      </c>
      <c r="F4" s="12" t="n">
        <v>6967</v>
      </c>
      <c r="G4" s="12" t="n">
        <v>10544</v>
      </c>
      <c r="H4" s="12" t="n">
        <v>5042</v>
      </c>
      <c r="I4" s="12" t="n">
        <v>10758</v>
      </c>
      <c r="J4" s="12" t="n">
        <v>5238</v>
      </c>
      <c r="K4" s="12" t="n">
        <v>6917</v>
      </c>
      <c r="L4" s="12" t="n">
        <v>7532</v>
      </c>
      <c r="M4" s="12" t="n">
        <v>17143</v>
      </c>
      <c r="N4" s="12" t="n">
        <v>4465</v>
      </c>
      <c r="O4" s="11" t="n">
        <v>35824</v>
      </c>
      <c r="P4" s="12" t="n">
        <v>42857</v>
      </c>
      <c r="Q4" s="12" t="n">
        <v>33159</v>
      </c>
      <c r="R4" s="12" t="n">
        <v>34791</v>
      </c>
      <c r="S4" s="12" t="n">
        <v>28890</v>
      </c>
      <c r="T4" s="12" t="n">
        <v>34245</v>
      </c>
      <c r="U4" s="12" t="n">
        <v>27453</v>
      </c>
      <c r="V4" s="12" t="n">
        <v>24845</v>
      </c>
      <c r="W4" s="12" t="n">
        <v>29294</v>
      </c>
      <c r="X4" s="12" t="n">
        <v>30445</v>
      </c>
      <c r="Y4" s="11">
        <f>IF(COUNT(Y7,Y10,Y13,Y16,Y19,Y22,Y25)=0,"",SUM(Y7,Y10,Y13,Y16,Y19,Y22,Y25))</f>
        <v/>
      </c>
      <c r="Z4" s="12">
        <f>IF(COUNT(Z7,Z10,Z13,Z16,Z19,Z22,Z25)=0,"",SUM(Z7,Z10,Z13,Z16,Z19,Z22,Z25))</f>
        <v/>
      </c>
      <c r="AA4" s="12">
        <f>IF(COUNT(AA7,AA10,AA13,AA16,AA19,AA22,AA25)=0,"",SUM(AA7,AA10,AA13,AA16,AA19,AA22,AA25))</f>
        <v/>
      </c>
      <c r="AB4" s="12">
        <f>IF(COUNT(AB7,AB10,AB13,AB16,AB19,AB22,AB25)=0,"",SUM(AB7,AB10,AB13,AB16,AB19,AB22,AB25))</f>
        <v/>
      </c>
      <c r="AC4" s="12">
        <f>IF(COUNT(AC7,AC10,AC13,AC16,AC19,AC22,AC25)=0,"",SUM(AC7,AC10,AC13,AC16,AC19,AC22,AC25))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DetachedRealEstateReportableSegmentsMember</t>
        </is>
      </c>
      <c r="B7" s="10" t="n"/>
      <c r="C7" s="19" t="n">
        <v>4306</v>
      </c>
      <c r="D7" s="20" t="n">
        <v>9463</v>
      </c>
      <c r="E7" s="20" t="n">
        <v>4201</v>
      </c>
      <c r="F7" s="20" t="n">
        <v>4299</v>
      </c>
      <c r="G7" s="20" t="n">
        <v>8092</v>
      </c>
      <c r="H7" s="20" t="n">
        <v>2447</v>
      </c>
      <c r="I7" s="20" t="n">
        <v>8361</v>
      </c>
      <c r="J7" s="20" t="n">
        <v>2828</v>
      </c>
      <c r="K7" s="20" t="n">
        <v>4547</v>
      </c>
      <c r="L7" s="20" t="n">
        <v>4840</v>
      </c>
      <c r="M7" s="20" t="n">
        <v>13990</v>
      </c>
      <c r="N7" s="20" t="n">
        <v>1345</v>
      </c>
      <c r="O7" s="19" t="n"/>
      <c r="P7" s="20" t="n"/>
      <c r="Q7" s="20" t="n"/>
      <c r="R7" s="20" t="n"/>
      <c r="S7" s="20" t="n"/>
      <c r="T7" s="20" t="n"/>
      <c r="U7" s="20" t="n"/>
      <c r="V7" s="20" t="n">
        <v>15928</v>
      </c>
      <c r="W7" s="20" t="n">
        <v>19039</v>
      </c>
      <c r="X7" s="20" t="n">
        <v>20576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LeasingReportableSegmentsMember</t>
        </is>
      </c>
      <c r="B10" s="10" t="n"/>
      <c r="C10" s="19" t="n">
        <v>607</v>
      </c>
      <c r="D10" s="20" t="n">
        <v>631</v>
      </c>
      <c r="E10" s="20" t="n">
        <v>655</v>
      </c>
      <c r="F10" s="20" t="n">
        <v>673</v>
      </c>
      <c r="G10" s="20" t="n">
        <v>635</v>
      </c>
      <c r="H10" s="20" t="n">
        <v>665</v>
      </c>
      <c r="I10" s="20" t="n">
        <v>682</v>
      </c>
      <c r="J10" s="20" t="n">
        <v>702</v>
      </c>
      <c r="K10" s="20" t="n">
        <v>639</v>
      </c>
      <c r="L10" s="20" t="n">
        <v>669</v>
      </c>
      <c r="M10" s="20" t="n">
        <v>1066</v>
      </c>
      <c r="N10" s="20" t="n">
        <v>1212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2390</v>
      </c>
      <c r="W10" s="20" t="n">
        <v>2628</v>
      </c>
      <c r="X10" s="20" t="n">
        <v>2692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ManagementReportableSegmentMember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>
        <v>3526</v>
      </c>
      <c r="W13" s="20" t="n">
        <v>4043</v>
      </c>
      <c r="X13" s="20" t="n">
        <v>3643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RealEstateManagementReportableSegmentMember</t>
        </is>
      </c>
      <c r="B16" s="10" t="n"/>
      <c r="C16" s="19" t="n">
        <v>874</v>
      </c>
      <c r="D16" s="20" t="n"/>
      <c r="E16" s="20" t="n">
        <v>1066</v>
      </c>
      <c r="F16" s="20" t="n">
        <v>1067</v>
      </c>
      <c r="G16" s="20" t="n">
        <v>1017</v>
      </c>
      <c r="H16" s="20" t="n"/>
      <c r="I16" s="20" t="n">
        <v>863</v>
      </c>
      <c r="J16" s="20" t="n">
        <v>827</v>
      </c>
      <c r="K16" s="20" t="n">
        <v>970</v>
      </c>
      <c r="L16" s="20" t="n"/>
      <c r="M16" s="20" t="n">
        <v>1180</v>
      </c>
      <c r="N16" s="20" t="n">
        <v>992</v>
      </c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HotelBusinessReportableSegmentMember</t>
        </is>
      </c>
      <c r="B19" s="10" t="n"/>
      <c r="C19" s="19" t="n">
        <v>606</v>
      </c>
      <c r="D19" s="20" t="n">
        <v>790</v>
      </c>
      <c r="E19" s="20" t="n">
        <v>730</v>
      </c>
      <c r="F19" s="20" t="n">
        <v>755</v>
      </c>
      <c r="G19" s="20" t="n">
        <v>674</v>
      </c>
      <c r="H19" s="20" t="n">
        <v>900</v>
      </c>
      <c r="I19" s="20" t="n">
        <v>766</v>
      </c>
      <c r="J19" s="20" t="n">
        <v>821</v>
      </c>
      <c r="K19" s="20" t="n">
        <v>690</v>
      </c>
      <c r="L19" s="20" t="n">
        <v>976</v>
      </c>
      <c r="M19" s="20" t="n">
        <v>858</v>
      </c>
      <c r="N19" s="20" t="n">
        <v>883</v>
      </c>
      <c r="O19" s="19" t="n"/>
      <c r="P19" s="20" t="n"/>
      <c r="Q19" s="20" t="n"/>
      <c r="R19" s="20" t="n"/>
      <c r="S19" s="20" t="n"/>
      <c r="T19" s="20" t="n"/>
      <c r="U19" s="20" t="n"/>
      <c r="V19" s="20" t="n">
        <v>2606</v>
      </c>
      <c r="W19" s="20" t="n">
        <v>3059</v>
      </c>
      <c r="X19" s="20" t="n">
        <v>3253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OtherReportableSegmentsMember</t>
        </is>
      </c>
      <c r="B22" s="10" t="n"/>
      <c r="C22" s="19" t="n"/>
      <c r="D22" s="20" t="n"/>
      <c r="E22" s="20" t="n">
        <v>88</v>
      </c>
      <c r="F22" s="20" t="n"/>
      <c r="G22" s="20" t="n"/>
      <c r="H22" s="20" t="n"/>
      <c r="I22" s="20" t="n">
        <v>84</v>
      </c>
      <c r="J22" s="20" t="n"/>
      <c r="K22" s="20" t="n"/>
      <c r="L22" s="20" t="n"/>
      <c r="M22" s="20" t="n">
        <v>47</v>
      </c>
      <c r="N22" s="20" t="n"/>
      <c r="O22" s="19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8" t="inlineStr">
        <is>
          <t>기타</t>
        </is>
      </c>
      <c r="B25" s="10" t="n"/>
      <c r="C25" s="19" t="n">
        <v>103</v>
      </c>
      <c r="D25" s="20" t="n">
        <v>183</v>
      </c>
      <c r="E25" s="20" t="n"/>
      <c r="F25" s="20" t="n"/>
      <c r="G25" s="20" t="n">
        <v>125</v>
      </c>
      <c r="H25" s="20" t="n">
        <v>137</v>
      </c>
      <c r="I25" s="20" t="n"/>
      <c r="J25" s="20" t="n"/>
      <c r="K25" s="20" t="n">
        <v>71</v>
      </c>
      <c r="L25" s="20" t="n">
        <v>66</v>
      </c>
      <c r="M25" s="20" t="n"/>
      <c r="N25" s="20" t="n"/>
      <c r="O25" s="19" t="n"/>
      <c r="P25" s="20" t="n"/>
      <c r="Q25" s="20" t="n"/>
      <c r="R25" s="20" t="n"/>
      <c r="S25" s="20" t="n"/>
      <c r="T25" s="20" t="n"/>
      <c r="U25" s="20" t="n"/>
      <c r="V25" s="20" t="n">
        <v>394</v>
      </c>
      <c r="W25" s="20" t="n">
        <v>523</v>
      </c>
      <c r="X25" s="20" t="n">
        <v>281</v>
      </c>
      <c r="Y25" s="21" t="n"/>
      <c r="Z25" s="22" t="n"/>
      <c r="AA25" s="22" t="n"/>
      <c r="AB25" s="22" t="n"/>
      <c r="AC25" s="22" t="n"/>
    </row>
    <row r="26">
      <c r="A26" s="13" t="inlineStr">
        <is>
          <t>비중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매출원가</t>
        </is>
      </c>
      <c r="B28" s="16" t="n"/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18" t="inlineStr">
        <is>
          <t>전체 매출원가</t>
        </is>
      </c>
      <c r="B29" s="10" t="n"/>
      <c r="C29" s="19" t="n">
        <v>3940</v>
      </c>
      <c r="D29" s="20" t="n">
        <v>5902</v>
      </c>
      <c r="E29" s="20" t="n">
        <v>3280</v>
      </c>
      <c r="F29" s="20" t="n">
        <v>3512</v>
      </c>
      <c r="G29" s="20" t="n">
        <v>5597</v>
      </c>
      <c r="H29" s="20" t="n">
        <v>2580</v>
      </c>
      <c r="I29" s="20" t="n">
        <v>5174</v>
      </c>
      <c r="J29" s="20" t="n">
        <v>2251</v>
      </c>
      <c r="K29" s="20" t="n">
        <v>3387</v>
      </c>
      <c r="L29" s="20" t="n">
        <v>3772</v>
      </c>
      <c r="M29" s="20" t="n">
        <v>6114</v>
      </c>
      <c r="N29" s="20" t="n">
        <v>2001</v>
      </c>
      <c r="O29" s="19" t="n">
        <v>21206</v>
      </c>
      <c r="P29" s="20" t="n">
        <v>23291</v>
      </c>
      <c r="Q29" s="20" t="n">
        <v>19371</v>
      </c>
      <c r="R29" s="20" t="n">
        <v>16964</v>
      </c>
      <c r="S29" s="20" t="n">
        <v>17067</v>
      </c>
      <c r="T29" s="20" t="n">
        <v>18201</v>
      </c>
      <c r="U29" s="20" t="n">
        <v>11409</v>
      </c>
      <c r="V29" s="20" t="n">
        <v>13033</v>
      </c>
      <c r="W29" s="20" t="n">
        <v>14969</v>
      </c>
      <c r="X29" s="20" t="n">
        <v>14584</v>
      </c>
      <c r="Y29" s="19" t="n"/>
      <c r="Z29" s="20" t="n"/>
      <c r="AA29" s="20" t="n"/>
      <c r="AB29" s="20" t="n"/>
      <c r="AC29" s="20" t="n"/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IF(OR(G29="",C29=""),"",IF(C29&lt;=0,"",IFERROR(G29/C29-1,"")))</f>
        <v/>
      </c>
      <c r="H30" s="15">
        <f>IF(OR(H29="",D29=""),"",IF(D29&lt;=0,"",IFERROR(H29/D29-1,"")))</f>
        <v/>
      </c>
      <c r="I30" s="15">
        <f>IF(OR(I29="",E29=""),"",IF(E29&lt;=0,"",IFERROR(I29/E29-1,"")))</f>
        <v/>
      </c>
      <c r="J30" s="15">
        <f>IF(OR(J29="",F29=""),"",IF(F29&lt;=0,"",IFERROR(J29/F29-1,"")))</f>
        <v/>
      </c>
      <c r="K30" s="15">
        <f>IF(OR(K29="",G29=""),"",IF(G29&lt;=0,"",IFERROR(K29/G29-1,"")))</f>
        <v/>
      </c>
      <c r="L30" s="15">
        <f>IF(OR(L29="",H29=""),"",IF(H29&lt;=0,"",IFERROR(L29/H29-1,"")))</f>
        <v/>
      </c>
      <c r="M30" s="15">
        <f>IF(OR(M29="",I29=""),"",IF(I29&lt;=0,"",IFERROR(M29/I29-1,"")))</f>
        <v/>
      </c>
      <c r="N30" s="15">
        <f>IF(OR(N29="",J29=""),"",IF(J29&lt;=0,"",IFERROR(N29/J29-1,"")))</f>
        <v/>
      </c>
      <c r="O30" s="14" t="n"/>
      <c r="P30" s="15">
        <f>IF(OR(P29="",O29=""),"",IF(O29&lt;=0,"",IFERROR(P29/O29-1,"")))</f>
        <v/>
      </c>
      <c r="Q30" s="15">
        <f>IF(OR(Q29="",P29=""),"",IF(P29&lt;=0,"",IFERROR(Q29/P29-1,"")))</f>
        <v/>
      </c>
      <c r="R30" s="15">
        <f>IF(OR(R29="",Q29=""),"",IF(Q29&lt;=0,"",IFERROR(R29/Q29-1,"")))</f>
        <v/>
      </c>
      <c r="S30" s="15">
        <f>IF(OR(S29="",R29=""),"",IF(R29&lt;=0,"",IFERROR(S29/R29-1,"")))</f>
        <v/>
      </c>
      <c r="T30" s="15">
        <f>IF(OR(T29="",S29=""),"",IF(S29&lt;=0,"",IFERROR(T29/S29-1,"")))</f>
        <v/>
      </c>
      <c r="U30" s="15">
        <f>IF(OR(U29="",T29=""),"",IF(T29&lt;=0,"",IFERROR(U29/T29-1,"")))</f>
        <v/>
      </c>
      <c r="V30" s="15">
        <f>IF(OR(V29="",U29=""),"",IF(U29&lt;=0,"",IFERROR(V29/U29-1,"")))</f>
        <v/>
      </c>
      <c r="W30" s="15">
        <f>IF(OR(W29="",V29=""),"",IF(V29&lt;=0,"",IFERROR(W29/V29-1,"")))</f>
        <v/>
      </c>
      <c r="X30" s="15">
        <f>IF(OR(X29="",W29=""),"",IF(W29&lt;=0,"",IFERROR(X29/W29-1,"")))</f>
        <v/>
      </c>
      <c r="Y30" s="14">
        <f>IF(OR(Y29="",X29=""),"",IF(X29&lt;=0,"",IFERROR(Y29/X29-1,"")))</f>
        <v/>
      </c>
      <c r="Z30" s="15">
        <f>IF(OR(Z29="",Y29=""),"",IF(Y29&lt;=0,"",IFERROR(Z29/Y29-1,"")))</f>
        <v/>
      </c>
      <c r="AA30" s="15">
        <f>IF(OR(AA29="",Z29=""),"",IF(Z29&lt;=0,"",IFERROR(AA29/Z29-1,"")))</f>
        <v/>
      </c>
      <c r="AB30" s="15">
        <f>IF(OR(AB29="",AA29=""),"",IF(AA29&lt;=0,"",IFERROR(AB29/AA29-1,"")))</f>
        <v/>
      </c>
      <c r="AC30" s="15">
        <f>IF(OR(AC29="",AB29=""),"",IF(AB29&lt;=0,"",IFERROR(AC29/AB29-1,"")))</f>
        <v/>
      </c>
    </row>
    <row r="31">
      <c r="A31" s="18" t="inlineStr">
        <is>
          <t>매출총이익</t>
        </is>
      </c>
      <c r="B31" s="10" t="n"/>
      <c r="C31" s="19">
        <f>IF(OR(C4="",C29=""),"",IFERROR(C4-C29,""))</f>
        <v/>
      </c>
      <c r="D31" s="20">
        <f>IF(OR(D4="",D29=""),"",IFERROR(D4-D29,""))</f>
        <v/>
      </c>
      <c r="E31" s="20">
        <f>IF(OR(E4="",E29=""),"",IFERROR(E4-E29,""))</f>
        <v/>
      </c>
      <c r="F31" s="20">
        <f>IF(OR(F4="",F29=""),"",IFERROR(F4-F29,""))</f>
        <v/>
      </c>
      <c r="G31" s="20">
        <f>IF(OR(G4="",G29=""),"",IFERROR(G4-G29,""))</f>
        <v/>
      </c>
      <c r="H31" s="20">
        <f>IF(OR(H4="",H29=""),"",IFERROR(H4-H29,""))</f>
        <v/>
      </c>
      <c r="I31" s="20">
        <f>IF(OR(I4="",I29=""),"",IFERROR(I4-I29,""))</f>
        <v/>
      </c>
      <c r="J31" s="20">
        <f>IF(OR(J4="",J29=""),"",IFERROR(J4-J29,""))</f>
        <v/>
      </c>
      <c r="K31" s="20">
        <f>IF(OR(K4="",K29=""),"",IFERROR(K4-K29,""))</f>
        <v/>
      </c>
      <c r="L31" s="20">
        <f>IF(OR(L4="",L29=""),"",IFERROR(L4-L29,""))</f>
        <v/>
      </c>
      <c r="M31" s="20">
        <f>IF(OR(M4="",M29=""),"",IFERROR(M4-M29,""))</f>
        <v/>
      </c>
      <c r="N31" s="20">
        <f>IF(OR(N4="",N29=""),"",IFERROR(N4-N29,""))</f>
        <v/>
      </c>
      <c r="O31" s="19">
        <f>IF(OR(O4="",O29=""),"",IFERROR(O4-O29,""))</f>
        <v/>
      </c>
      <c r="P31" s="20">
        <f>IF(OR(P4="",P29=""),"",IFERROR(P4-P29,""))</f>
        <v/>
      </c>
      <c r="Q31" s="20">
        <f>IF(OR(Q4="",Q29=""),"",IFERROR(Q4-Q29,""))</f>
        <v/>
      </c>
      <c r="R31" s="20">
        <f>IF(OR(R4="",R29=""),"",IFERROR(R4-R29,""))</f>
        <v/>
      </c>
      <c r="S31" s="20">
        <f>IF(OR(S4="",S29=""),"",IFERROR(S4-S29,""))</f>
        <v/>
      </c>
      <c r="T31" s="20">
        <f>IF(OR(T4="",T29=""),"",IFERROR(T4-T29,""))</f>
        <v/>
      </c>
      <c r="U31" s="20">
        <f>IF(OR(U4="",U29=""),"",IFERROR(U4-U29,""))</f>
        <v/>
      </c>
      <c r="V31" s="20">
        <f>IF(OR(V4="",V29=""),"",IFERROR(V4-V29,""))</f>
        <v/>
      </c>
      <c r="W31" s="20">
        <f>IF(OR(W4="",W29=""),"",IFERROR(W4-W29,""))</f>
        <v/>
      </c>
      <c r="X31" s="20">
        <f>IF(OR(X4="",X29=""),"",IFERROR(X4-X29,""))</f>
        <v/>
      </c>
      <c r="Y31" s="19" t="n"/>
      <c r="Z31" s="20" t="n"/>
      <c r="AA31" s="20" t="n"/>
      <c r="AB31" s="20" t="n"/>
      <c r="AC31" s="20" t="n"/>
    </row>
    <row r="32">
      <c r="A32" s="13" t="inlineStr">
        <is>
          <t>GPM</t>
        </is>
      </c>
      <c r="B32" s="10" t="n"/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14">
        <f>IF(OR(Y31="",Y4=""),"",IFERROR(Y31/Y4,""))</f>
        <v/>
      </c>
      <c r="Z32" s="15">
        <f>IF(OR(Z31="",Z4=""),"",IFERROR(Z31/Z4,""))</f>
        <v/>
      </c>
      <c r="AA32" s="15">
        <f>IF(OR(AA31="",AA4=""),"",IFERROR(AA31/AA4,""))</f>
        <v/>
      </c>
      <c r="AB32" s="15">
        <f>IF(OR(AB31="",AB4=""),"",IFERROR(AB31/AB4,""))</f>
        <v/>
      </c>
      <c r="AC32" s="15">
        <f>IF(OR(AC31="",AC4=""),"",IFERROR(AC31/AC4,""))</f>
        <v/>
      </c>
    </row>
    <row r="33">
      <c r="A33" s="13" t="inlineStr">
        <is>
          <t>YoY</t>
        </is>
      </c>
      <c r="B33" s="10" t="n"/>
      <c r="C33" s="14" t="n"/>
      <c r="D33" s="15" t="n"/>
      <c r="E33" s="15" t="n"/>
      <c r="F33" s="15" t="n"/>
      <c r="G33" s="15">
        <f>IF(OR(G31="",C31=""),"",IF(C31&lt;=0,"",IFERROR(G31/C31-1,"")))</f>
        <v/>
      </c>
      <c r="H33" s="15">
        <f>IF(OR(H31="",D31=""),"",IF(D31&lt;=0,"",IFERROR(H31/D31-1,"")))</f>
        <v/>
      </c>
      <c r="I33" s="15">
        <f>IF(OR(I31="",E31=""),"",IF(E31&lt;=0,"",IFERROR(I31/E31-1,"")))</f>
        <v/>
      </c>
      <c r="J33" s="15">
        <f>IF(OR(J31="",F31=""),"",IF(F31&lt;=0,"",IFERROR(J31/F31-1,"")))</f>
        <v/>
      </c>
      <c r="K33" s="15">
        <f>IF(OR(K31="",G31=""),"",IF(G31&lt;=0,"",IFERROR(K31/G31-1,"")))</f>
        <v/>
      </c>
      <c r="L33" s="15">
        <f>IF(OR(L31="",H31=""),"",IF(H31&lt;=0,"",IFERROR(L31/H31-1,"")))</f>
        <v/>
      </c>
      <c r="M33" s="15">
        <f>IF(OR(M31="",I31=""),"",IF(I31&lt;=0,"",IFERROR(M31/I31-1,"")))</f>
        <v/>
      </c>
      <c r="N33" s="15">
        <f>IF(OR(N31="",J31=""),"",IF(J31&lt;=0,"",IFERROR(N31/J31-1,"")))</f>
        <v/>
      </c>
      <c r="O33" s="14" t="n"/>
      <c r="P33" s="15">
        <f>IF(OR(P31="",O31=""),"",IF(O31&lt;=0,"",IFERROR(P31/O31-1,"")))</f>
        <v/>
      </c>
      <c r="Q33" s="15">
        <f>IF(OR(Q31="",P31=""),"",IF(P31&lt;=0,"",IFERROR(Q31/P31-1,"")))</f>
        <v/>
      </c>
      <c r="R33" s="15">
        <f>IF(OR(R31="",Q31=""),"",IF(Q31&lt;=0,"",IFERROR(R31/Q31-1,"")))</f>
        <v/>
      </c>
      <c r="S33" s="15">
        <f>IF(OR(S31="",R31=""),"",IF(R31&lt;=0,"",IFERROR(S31/R31-1,"")))</f>
        <v/>
      </c>
      <c r="T33" s="15">
        <f>IF(OR(T31="",S31=""),"",IF(S31&lt;=0,"",IFERROR(T31/S31-1,"")))</f>
        <v/>
      </c>
      <c r="U33" s="15">
        <f>IF(OR(U31="",T31=""),"",IF(T31&lt;=0,"",IFERROR(U31/T31-1,"")))</f>
        <v/>
      </c>
      <c r="V33" s="15">
        <f>IF(OR(V31="",U31=""),"",IF(U31&lt;=0,"",IFERROR(V31/U31-1,"")))</f>
        <v/>
      </c>
      <c r="W33" s="15">
        <f>IF(OR(W31="",V31=""),"",IF(V31&lt;=0,"",IFERROR(W31/V31-1,"")))</f>
        <v/>
      </c>
      <c r="X33" s="15">
        <f>IF(OR(X31="",W31=""),"",IF(W31&lt;=0,"",IFERROR(X31/W31-1,"")))</f>
        <v/>
      </c>
      <c r="Y33" s="14">
        <f>IF(OR(Y31="",X31=""),"",IF(X31&lt;=0,"",IFERROR(Y31/X31-1,"")))</f>
        <v/>
      </c>
      <c r="Z33" s="15">
        <f>IF(OR(Z31="",Y31=""),"",IF(Y31&lt;=0,"",IFERROR(Z31/Y31-1,"")))</f>
        <v/>
      </c>
      <c r="AA33" s="15">
        <f>IF(OR(AA31="",Z31=""),"",IF(Z31&lt;=0,"",IFERROR(AA31/Z31-1,"")))</f>
        <v/>
      </c>
      <c r="AB33" s="15">
        <f>IF(OR(AB31="",AA31=""),"",IF(AA31&lt;=0,"",IFERROR(AB31/AA31-1,"")))</f>
        <v/>
      </c>
      <c r="AC33" s="15">
        <f>IF(OR(AC31="",AB31=""),"",IF(AB31&lt;=0,"",IFERROR(AC31/AB31-1,"")))</f>
        <v/>
      </c>
    </row>
    <row r="34">
      <c r="A34" s="23" t="inlineStr">
        <is>
          <t>판매관리비</t>
        </is>
      </c>
      <c r="B34" s="23" t="n"/>
      <c r="C34" s="24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4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4" t="n"/>
      <c r="Z34" s="23" t="n"/>
      <c r="AA34" s="23" t="n"/>
      <c r="AB34" s="23" t="n"/>
      <c r="AC34" s="23" t="n"/>
    </row>
    <row r="35">
      <c r="A35" s="18" t="inlineStr">
        <is>
          <t>전체 판관비</t>
        </is>
      </c>
      <c r="B35" s="10" t="n"/>
      <c r="C35" s="19" t="n">
        <v>1516</v>
      </c>
      <c r="D35" s="20" t="n">
        <v>1847</v>
      </c>
      <c r="E35" s="20" t="n">
        <v>1691</v>
      </c>
      <c r="F35" s="20" t="n">
        <v>1577</v>
      </c>
      <c r="G35" s="20" t="n">
        <v>1747</v>
      </c>
      <c r="H35" s="20" t="n">
        <v>1791</v>
      </c>
      <c r="I35" s="20" t="n">
        <v>1764</v>
      </c>
      <c r="J35" s="20" t="n">
        <v>1576</v>
      </c>
      <c r="K35" s="20" t="n">
        <v>1627</v>
      </c>
      <c r="L35" s="20" t="n">
        <v>1984</v>
      </c>
      <c r="M35" s="20" t="n">
        <v>2160</v>
      </c>
      <c r="N35" s="20" t="n">
        <v>1851</v>
      </c>
      <c r="O35" s="19" t="n">
        <v>5757</v>
      </c>
      <c r="P35" s="20" t="n">
        <v>6241</v>
      </c>
      <c r="Q35" s="20" t="n">
        <v>5535</v>
      </c>
      <c r="R35" s="20" t="n">
        <v>6318</v>
      </c>
      <c r="S35" s="20" t="n">
        <v>5027</v>
      </c>
      <c r="T35" s="20" t="n">
        <v>4458</v>
      </c>
      <c r="U35" s="20" t="n">
        <v>5489</v>
      </c>
      <c r="V35" s="20" t="n">
        <v>6076</v>
      </c>
      <c r="W35" s="20" t="n">
        <v>6806</v>
      </c>
      <c r="X35" s="20" t="n">
        <v>6951</v>
      </c>
      <c r="Y35" s="19" t="n"/>
      <c r="Z35" s="20" t="n"/>
      <c r="AA35" s="20" t="n"/>
      <c r="AB35" s="20" t="n"/>
      <c r="AC35" s="20" t="n"/>
    </row>
    <row r="36">
      <c r="A36" s="13" t="inlineStr">
        <is>
          <t>YoY</t>
        </is>
      </c>
      <c r="B36" s="10" t="n"/>
      <c r="C36" s="14" t="n"/>
      <c r="D36" s="15" t="n"/>
      <c r="E36" s="15" t="n"/>
      <c r="F36" s="15" t="n"/>
      <c r="G36" s="15">
        <f>IF(OR(G35="",C35=""),"",IF(C35&lt;=0,"",IFERROR(G35/C35-1,"")))</f>
        <v/>
      </c>
      <c r="H36" s="15">
        <f>IF(OR(H35="",D35=""),"",IF(D35&lt;=0,"",IFERROR(H35/D35-1,"")))</f>
        <v/>
      </c>
      <c r="I36" s="15">
        <f>IF(OR(I35="",E35=""),"",IF(E35&lt;=0,"",IFERROR(I35/E35-1,"")))</f>
        <v/>
      </c>
      <c r="J36" s="15">
        <f>IF(OR(J35="",F35=""),"",IF(F35&lt;=0,"",IFERROR(J35/F35-1,"")))</f>
        <v/>
      </c>
      <c r="K36" s="15">
        <f>IF(OR(K35="",G35=""),"",IF(G35&lt;=0,"",IFERROR(K35/G35-1,"")))</f>
        <v/>
      </c>
      <c r="L36" s="15">
        <f>IF(OR(L35="",H35=""),"",IF(H35&lt;=0,"",IFERROR(L35/H35-1,"")))</f>
        <v/>
      </c>
      <c r="M36" s="15">
        <f>IF(OR(M35="",I35=""),"",IF(I35&lt;=0,"",IFERROR(M35/I35-1,"")))</f>
        <v/>
      </c>
      <c r="N36" s="15">
        <f>IF(OR(N35="",J35=""),"",IF(J35&lt;=0,"",IFERROR(N35/J35-1,"")))</f>
        <v/>
      </c>
      <c r="O36" s="14" t="n"/>
      <c r="P36" s="15">
        <f>IF(OR(P35="",O35=""),"",IF(O35&lt;=0,"",IFERROR(P35/O35-1,"")))</f>
        <v/>
      </c>
      <c r="Q36" s="15">
        <f>IF(OR(Q35="",P35=""),"",IF(P35&lt;=0,"",IFERROR(Q35/P35-1,"")))</f>
        <v/>
      </c>
      <c r="R36" s="15">
        <f>IF(OR(R35="",Q35=""),"",IF(Q35&lt;=0,"",IFERROR(R35/Q35-1,"")))</f>
        <v/>
      </c>
      <c r="S36" s="15">
        <f>IF(OR(S35="",R35=""),"",IF(R35&lt;=0,"",IFERROR(S35/R35-1,"")))</f>
        <v/>
      </c>
      <c r="T36" s="15">
        <f>IF(OR(T35="",S35=""),"",IF(S35&lt;=0,"",IFERROR(T35/S35-1,"")))</f>
        <v/>
      </c>
      <c r="U36" s="15">
        <f>IF(OR(U35="",T35=""),"",IF(T35&lt;=0,"",IFERROR(U35/T35-1,"")))</f>
        <v/>
      </c>
      <c r="V36" s="15">
        <f>IF(OR(V35="",U35=""),"",IF(U35&lt;=0,"",IFERROR(V35/U35-1,"")))</f>
        <v/>
      </c>
      <c r="W36" s="15">
        <f>IF(OR(W35="",V35=""),"",IF(V35&lt;=0,"",IFERROR(W35/V35-1,"")))</f>
        <v/>
      </c>
      <c r="X36" s="15">
        <f>IF(OR(X35="",W35=""),"",IF(W35&lt;=0,"",IFERROR(X35/W35-1,"")))</f>
        <v/>
      </c>
      <c r="Y36" s="14">
        <f>IF(OR(Y35="",X35=""),"",IF(X35&lt;=0,"",IFERROR(Y35/X35-1,"")))</f>
        <v/>
      </c>
      <c r="Z36" s="15">
        <f>IF(OR(Z35="",Y35=""),"",IF(Y35&lt;=0,"",IFERROR(Z35/Y35-1,"")))</f>
        <v/>
      </c>
      <c r="AA36" s="15">
        <f>IF(OR(AA35="",Z35=""),"",IF(Z35&lt;=0,"",IFERROR(AA35/Z35-1,"")))</f>
        <v/>
      </c>
      <c r="AB36" s="15">
        <f>IF(OR(AB35="",AA35=""),"",IF(AA35&lt;=0,"",IFERROR(AB35/AA35-1,"")))</f>
        <v/>
      </c>
      <c r="AC36" s="15">
        <f>IF(OR(AC35="",AB35=""),"",IF(AB35&lt;=0,"",IFERROR(AC35/AB35-1,"")))</f>
        <v/>
      </c>
    </row>
    <row r="37">
      <c r="A37" s="9" t="inlineStr">
        <is>
          <t>영업이익</t>
        </is>
      </c>
      <c r="B37" s="10" t="inlineStr">
        <is>
          <t>MW = 매출 × OPM</t>
        </is>
      </c>
      <c r="C37" s="11" t="n">
        <v>1041</v>
      </c>
      <c r="D37" s="12" t="n">
        <v>4313</v>
      </c>
      <c r="E37" s="12" t="n">
        <v>1770</v>
      </c>
      <c r="F37" s="12" t="n">
        <v>1878</v>
      </c>
      <c r="G37" s="12" t="n">
        <v>3199</v>
      </c>
      <c r="H37" s="12" t="n">
        <v>671</v>
      </c>
      <c r="I37" s="12" t="n">
        <v>3819</v>
      </c>
      <c r="J37" s="12" t="n">
        <v>1412</v>
      </c>
      <c r="K37" s="12" t="n">
        <v>1902</v>
      </c>
      <c r="L37" s="12" t="n">
        <v>1776</v>
      </c>
      <c r="M37" s="12" t="n">
        <v>8868</v>
      </c>
      <c r="N37" s="12" t="n">
        <v>612</v>
      </c>
      <c r="O37" s="11" t="n">
        <v>8860</v>
      </c>
      <c r="P37" s="12" t="n">
        <v>13324</v>
      </c>
      <c r="Q37" s="12" t="n">
        <v>8251</v>
      </c>
      <c r="R37" s="12" t="n">
        <v>11508</v>
      </c>
      <c r="S37" s="12" t="n">
        <v>6795</v>
      </c>
      <c r="T37" s="12" t="n">
        <v>11585</v>
      </c>
      <c r="U37" s="12" t="n">
        <v>10553</v>
      </c>
      <c r="V37" s="12" t="n">
        <v>5735</v>
      </c>
      <c r="W37" s="12" t="n">
        <v>7518</v>
      </c>
      <c r="X37" s="12" t="n">
        <v>8909</v>
      </c>
      <c r="Y37" s="11">
        <f>IF(OR(Y4="",Y38=""),"",IFERROR(Y4*Y38,""))</f>
        <v/>
      </c>
      <c r="Z37" s="12">
        <f>IF(OR(Z4="",Z38=""),"",IFERROR(Z4*Z38,""))</f>
        <v/>
      </c>
      <c r="AA37" s="12">
        <f>IF(OR(AA4="",AA38=""),"",IFERROR(AA4*AA38,""))</f>
        <v/>
      </c>
      <c r="AB37" s="12">
        <f>IF(OR(AB4="",AB38=""),"",IFERROR(AB4*AB38,""))</f>
        <v/>
      </c>
      <c r="AC37" s="12">
        <f>IF(OR(AC4="",AC38=""),"",IFERROR(AC4*AC38,""))</f>
        <v/>
      </c>
    </row>
    <row r="38">
      <c r="A38" s="13" t="inlineStr">
        <is>
          <t>OPM</t>
        </is>
      </c>
      <c r="B38" s="10" t="inlineStr">
        <is>
          <t>MW 입력</t>
        </is>
      </c>
      <c r="C38" s="14">
        <f>IF(OR(C37="",C4=""),"",IFERROR(C37/C4,""))</f>
        <v/>
      </c>
      <c r="D38" s="15">
        <f>IF(OR(D37="",D4=""),"",IFERROR(D37/D4,""))</f>
        <v/>
      </c>
      <c r="E38" s="15">
        <f>IF(OR(E37="",E4=""),"",IFERROR(E37/E4,""))</f>
        <v/>
      </c>
      <c r="F38" s="15">
        <f>IF(OR(F37="",F4=""),"",IFERROR(F37/F4,""))</f>
        <v/>
      </c>
      <c r="G38" s="15">
        <f>IF(OR(G37="",G4=""),"",IFERROR(G37/G4,""))</f>
        <v/>
      </c>
      <c r="H38" s="15">
        <f>IF(OR(H37="",H4=""),"",IFERROR(H37/H4,""))</f>
        <v/>
      </c>
      <c r="I38" s="15">
        <f>IF(OR(I37="",I4=""),"",IFERROR(I37/I4,""))</f>
        <v/>
      </c>
      <c r="J38" s="15">
        <f>IF(OR(J37="",J4=""),"",IFERROR(J37/J4,""))</f>
        <v/>
      </c>
      <c r="K38" s="15">
        <f>IF(OR(K37="",K4=""),"",IFERROR(K37/K4,""))</f>
        <v/>
      </c>
      <c r="L38" s="15">
        <f>IF(OR(L37="",L4=""),"",IFERROR(L37/L4,""))</f>
        <v/>
      </c>
      <c r="M38" s="15">
        <f>IF(OR(M37="",M4=""),"",IFERROR(M37/M4,""))</f>
        <v/>
      </c>
      <c r="N38" s="15">
        <f>IF(OR(N37="",N4=""),"",IFERROR(N37/N4,""))</f>
        <v/>
      </c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25" t="n"/>
      <c r="Z38" s="26" t="n"/>
      <c r="AA38" s="26" t="n"/>
      <c r="AB38" s="26" t="n"/>
      <c r="AC38" s="26" t="n"/>
    </row>
    <row r="39">
      <c r="A39" s="13" t="inlineStr">
        <is>
          <t>증가율</t>
        </is>
      </c>
      <c r="B39" s="10" t="n"/>
      <c r="C39" s="14" t="n"/>
      <c r="D39" s="15" t="n"/>
      <c r="E39" s="15" t="n"/>
      <c r="F39" s="15" t="n"/>
      <c r="G39" s="15">
        <f>IF(OR(G37="",C37=""),"",IFERROR(G37/C37-1,""))</f>
        <v/>
      </c>
      <c r="H39" s="15">
        <f>IF(OR(H37="",D37=""),"",IFERROR(H37/D37-1,""))</f>
        <v/>
      </c>
      <c r="I39" s="15">
        <f>IF(OR(I37="",E37=""),"",IFERROR(I37/E37-1,""))</f>
        <v/>
      </c>
      <c r="J39" s="15">
        <f>IF(OR(J37="",F37=""),"",IFERROR(J37/F37-1,""))</f>
        <v/>
      </c>
      <c r="K39" s="15">
        <f>IF(OR(K37="",G37=""),"",IFERROR(K37/G37-1,""))</f>
        <v/>
      </c>
      <c r="L39" s="15">
        <f>IF(OR(L37="",H37=""),"",IFERROR(L37/H37-1,""))</f>
        <v/>
      </c>
      <c r="M39" s="15">
        <f>IF(OR(M37="",I37=""),"",IFERROR(M37/I37-1,""))</f>
        <v/>
      </c>
      <c r="N39" s="15">
        <f>IF(OR(N37="",J37=""),"",IFERROR(N37/J37-1,""))</f>
        <v/>
      </c>
      <c r="O39" s="14" t="n"/>
      <c r="P39" s="15">
        <f>IF(OR(P37="",O37=""),"",IFERROR(P37/O37-1,""))</f>
        <v/>
      </c>
      <c r="Q39" s="15">
        <f>IF(OR(Q37="",P37=""),"",IFERROR(Q37/P37-1,""))</f>
        <v/>
      </c>
      <c r="R39" s="15">
        <f>IF(OR(R37="",Q37=""),"",IFERROR(R37/Q37-1,""))</f>
        <v/>
      </c>
      <c r="S39" s="15">
        <f>IF(OR(S37="",R37=""),"",IFERROR(S37/R37-1,""))</f>
        <v/>
      </c>
      <c r="T39" s="15">
        <f>IF(OR(T37="",S37=""),"",IFERROR(T37/S37-1,""))</f>
        <v/>
      </c>
      <c r="U39" s="15">
        <f>IF(OR(U37="",T37=""),"",IFERROR(U37/T37-1,""))</f>
        <v/>
      </c>
      <c r="V39" s="15">
        <f>IF(OR(V37="",U37=""),"",IFERROR(V37/U37-1,""))</f>
        <v/>
      </c>
      <c r="W39" s="15">
        <f>IF(OR(W37="",V37=""),"",IFERROR(W37/V37-1,""))</f>
        <v/>
      </c>
      <c r="X39" s="15">
        <f>IF(OR(X37="",W37=""),"",IFERROR(X37/W37-1,""))</f>
        <v/>
      </c>
      <c r="Y39" s="14">
        <f>IF(OR(Y37="",X37=""),"",IFERROR(Y37/X37-1,""))</f>
        <v/>
      </c>
      <c r="Z39" s="15">
        <f>IF(OR(Z37="",Y37=""),"",IFERROR(Z37/Y37-1,""))</f>
        <v/>
      </c>
      <c r="AA39" s="15">
        <f>IF(OR(AA37="",Z37=""),"",IFERROR(AA37/Z37-1,""))</f>
        <v/>
      </c>
      <c r="AB39" s="15">
        <f>IF(OR(AB37="",AA37=""),"",IFERROR(AB37/AA37-1,""))</f>
        <v/>
      </c>
      <c r="AC39" s="15">
        <f>IF(OR(AC37="",AB37=""),"",IFERROR(AC37/AB37-1,""))</f>
        <v/>
      </c>
    </row>
    <row r="40">
      <c r="A40" s="16" t="inlineStr">
        <is>
          <t>비용의 성격별 분류</t>
        </is>
      </c>
      <c r="B40" s="16" t="inlineStr">
        <is>
          <t>참고 데이터</t>
        </is>
      </c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9" t="inlineStr">
        <is>
          <t>총 판관비</t>
        </is>
      </c>
      <c r="B41" s="10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1">
        <f>IF(O35="","",O35)</f>
        <v/>
      </c>
      <c r="P41" s="12">
        <f>IF(P35="","",P35)</f>
        <v/>
      </c>
      <c r="Q41" s="12">
        <f>IF(Q35="","",Q35)</f>
        <v/>
      </c>
      <c r="R41" s="12">
        <f>IF(R35="","",R35)</f>
        <v/>
      </c>
      <c r="S41" s="12">
        <f>IF(S35="","",S35)</f>
        <v/>
      </c>
      <c r="T41" s="12">
        <f>IF(T35="","",T35)</f>
        <v/>
      </c>
      <c r="U41" s="12">
        <f>IF(U35="","",U35)</f>
        <v/>
      </c>
      <c r="V41" s="12">
        <f>IF(V35="","",V35)</f>
        <v/>
      </c>
      <c r="W41" s="12">
        <f>IF(W35="","",W35)</f>
        <v/>
      </c>
      <c r="X41" s="12">
        <f>IF(X35="","",X35)</f>
        <v/>
      </c>
      <c r="Y41" s="11" t="n"/>
      <c r="Z41" s="12" t="n"/>
      <c r="AA41" s="12" t="n"/>
      <c r="AB41" s="12" t="n"/>
      <c r="AC41" s="12" t="n"/>
    </row>
    <row r="42">
      <c r="A42" s="18" t="inlineStr">
        <is>
          <t>급여</t>
        </is>
      </c>
      <c r="B42" s="10" t="inlineStr">
        <is>
          <t>고정비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감가상각비</t>
        </is>
      </c>
      <c r="B44" s="10" t="inlineStr">
        <is>
          <t>고정비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8" t="inlineStr">
        <is>
          <t>지급수수료</t>
        </is>
      </c>
      <c r="B46" s="10" t="inlineStr">
        <is>
          <t>고정비</t>
        </is>
      </c>
      <c r="C46" s="19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19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19" t="n"/>
      <c r="Z46" s="20" t="n"/>
      <c r="AA46" s="20" t="n"/>
      <c r="AB46" s="20" t="n"/>
      <c r="AC46" s="20" t="n"/>
    </row>
    <row r="47">
      <c r="A47" s="13" t="inlineStr">
        <is>
          <t>% of Sales</t>
        </is>
      </c>
      <c r="B47" s="10" t="n"/>
      <c r="C47" s="14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14" t="n"/>
      <c r="Z47" s="15" t="n"/>
      <c r="AA47" s="15" t="n"/>
      <c r="AB47" s="15" t="n"/>
      <c r="AC47" s="15" t="n"/>
    </row>
    <row r="48">
      <c r="A48" s="18" t="inlineStr">
        <is>
          <t>연구개발비</t>
        </is>
      </c>
      <c r="B48" s="10" t="inlineStr">
        <is>
          <t>변동비</t>
        </is>
      </c>
      <c r="C48" s="19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19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19" t="n"/>
      <c r="Z48" s="20" t="n"/>
      <c r="AA48" s="20" t="n"/>
      <c r="AB48" s="20" t="n"/>
      <c r="AC48" s="20" t="n"/>
    </row>
    <row r="49">
      <c r="A49" s="13" t="inlineStr">
        <is>
          <t>% of Sales</t>
        </is>
      </c>
      <c r="B49" s="10" t="n"/>
      <c r="C49" s="14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14" t="n"/>
      <c r="Z49" s="15" t="n"/>
      <c r="AA49" s="15" t="n"/>
      <c r="AB49" s="15" t="n"/>
      <c r="AC49" s="15" t="n"/>
    </row>
    <row r="50">
      <c r="A50" s="18" t="inlineStr">
        <is>
          <t>기타비용</t>
        </is>
      </c>
      <c r="B50" s="10" t="inlineStr">
        <is>
          <t>변동비</t>
        </is>
      </c>
      <c r="C50" s="19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19">
        <f>IF(OR(O41="",O42="",O44="",O46="",O48=""),"",IFERROR(O41-O42-O44-O46-O48,""))</f>
        <v/>
      </c>
      <c r="P50" s="20">
        <f>IF(OR(P41="",P42="",P44="",P46="",P48=""),"",IFERROR(P41-P42-P44-P46-P48,""))</f>
        <v/>
      </c>
      <c r="Q50" s="20">
        <f>IF(OR(Q41="",Q42="",Q44="",Q46="",Q48=""),"",IFERROR(Q41-Q42-Q44-Q46-Q48,""))</f>
        <v/>
      </c>
      <c r="R50" s="20">
        <f>IF(OR(R41="",R42="",R44="",R46="",R48=""),"",IFERROR(R41-R42-R44-R46-R48,""))</f>
        <v/>
      </c>
      <c r="S50" s="20">
        <f>IF(OR(S41="",S42="",S44="",S46="",S48=""),"",IFERROR(S41-S42-S44-S46-S48,""))</f>
        <v/>
      </c>
      <c r="T50" s="20">
        <f>IF(OR(T41="",T42="",T44="",T46="",T48=""),"",IFERROR(T41-T42-T44-T46-T48,""))</f>
        <v/>
      </c>
      <c r="U50" s="20">
        <f>IF(OR(U41="",U42="",U44="",U46="",U48=""),"",IFERROR(U41-U42-U44-U46-U48,""))</f>
        <v/>
      </c>
      <c r="V50" s="20">
        <f>IF(OR(V41="",V42="",V44="",V46="",V48=""),"",IFERROR(V41-V42-V44-V46-V48,""))</f>
        <v/>
      </c>
      <c r="W50" s="20">
        <f>IF(OR(W41="",W42="",W44="",W46="",W48=""),"",IFERROR(W41-W42-W44-W46-W48,""))</f>
        <v/>
      </c>
      <c r="X50" s="20">
        <f>IF(OR(X41="",X42="",X44="",X46="",X48=""),"",IFERROR(X41-X42-X44-X46-X48,""))</f>
        <v/>
      </c>
      <c r="Y50" s="19" t="n"/>
      <c r="Z50" s="20" t="n"/>
      <c r="AA50" s="20" t="n"/>
      <c r="AB50" s="20" t="n"/>
      <c r="AC50" s="20" t="n"/>
    </row>
    <row r="51">
      <c r="A51" s="13" t="inlineStr">
        <is>
          <t>% of Sales</t>
        </is>
      </c>
      <c r="B51" s="10" t="n"/>
      <c r="C51" s="14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14" t="n"/>
      <c r="Z51" s="15" t="n"/>
      <c r="AA51" s="15" t="n"/>
      <c r="AB51" s="15" t="n"/>
      <c r="AC51" s="15" t="n"/>
    </row>
    <row r="52">
      <c r="A52" s="16" t="inlineStr">
        <is>
          <t>당기순이익 추정</t>
        </is>
      </c>
      <c r="B52" s="16" t="n"/>
      <c r="C52" s="17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7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7" t="n"/>
      <c r="Z52" s="16" t="n"/>
      <c r="AA52" s="16" t="n"/>
      <c r="AB52" s="16" t="n"/>
      <c r="AC52" s="16" t="n"/>
    </row>
    <row r="53">
      <c r="A53" s="18" t="inlineStr">
        <is>
          <t>특별이익</t>
        </is>
      </c>
      <c r="B53" s="10" t="n"/>
      <c r="C53" s="19" t="n"/>
      <c r="D53" s="20" t="n"/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19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inlineStr">
        <is>
          <t>MW = 최근 3년 평균</t>
        </is>
      </c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18" t="inlineStr">
        <is>
          <t>특별손실</t>
        </is>
      </c>
      <c r="B55" s="10" t="n"/>
      <c r="C55" s="19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19" t="n">
        <v>0</v>
      </c>
      <c r="P55" s="20" t="n">
        <v>2182</v>
      </c>
      <c r="Q55" s="20" t="n">
        <v>0</v>
      </c>
      <c r="R55" s="20" t="n"/>
      <c r="S55" s="20" t="n"/>
      <c r="T55" s="20" t="n"/>
      <c r="U55" s="20" t="n"/>
      <c r="V55" s="20" t="n"/>
      <c r="W55" s="20" t="n"/>
      <c r="X55" s="20" t="n"/>
      <c r="Y55" s="19">
        <f>IF(OR(Y4="",Y56=""),"",IFERROR(Y4*Y56,""))</f>
        <v/>
      </c>
      <c r="Z55" s="20">
        <f>IF(OR(Z4="",Z56=""),"",IFERROR(Z4*Z56,""))</f>
        <v/>
      </c>
      <c r="AA55" s="20">
        <f>IF(OR(AA4="",AA56=""),"",IFERROR(AA4*AA56,""))</f>
        <v/>
      </c>
      <c r="AB55" s="20">
        <f>IF(OR(AB4="",AB56=""),"",IFERROR(AB4*AB56,""))</f>
        <v/>
      </c>
      <c r="AC55" s="20">
        <f>IF(OR(AC4="",AC56=""),"",IFERROR(AC4*AC56,""))</f>
        <v/>
      </c>
    </row>
    <row r="56">
      <c r="A56" s="13" t="inlineStr">
        <is>
          <t>% of Sales</t>
        </is>
      </c>
      <c r="B56" s="10" t="n"/>
      <c r="C56" s="14">
        <f>IF(OR(C55="",C4=""),"",IFERROR(C55/C4,""))</f>
        <v/>
      </c>
      <c r="D56" s="15">
        <f>IF(OR(D55="",D4=""),"",IFERROR(D55/D4,""))</f>
        <v/>
      </c>
      <c r="E56" s="15">
        <f>IF(OR(E55="",E4=""),"",IFERROR(E55/E4,""))</f>
        <v/>
      </c>
      <c r="F56" s="15">
        <f>IF(OR(F55="",F4=""),"",IFERROR(F55/F4,""))</f>
        <v/>
      </c>
      <c r="G56" s="15">
        <f>IF(OR(G55="",G4=""),"",IFERROR(G55/G4,""))</f>
        <v/>
      </c>
      <c r="H56" s="15">
        <f>IF(OR(H55="",H4=""),"",IFERROR(H55/H4,""))</f>
        <v/>
      </c>
      <c r="I56" s="15">
        <f>IF(OR(I55="",I4=""),"",IFERROR(I55/I4,""))</f>
        <v/>
      </c>
      <c r="J56" s="15">
        <f>IF(OR(J55="",J4=""),"",IFERROR(J55/J4,""))</f>
        <v/>
      </c>
      <c r="K56" s="15">
        <f>IF(OR(K55="",K4=""),"",IFERROR(K55/K4,""))</f>
        <v/>
      </c>
      <c r="L56" s="15">
        <f>IF(OR(L55="",L4=""),"",IFERROR(L55/L4,""))</f>
        <v/>
      </c>
      <c r="M56" s="15">
        <f>IF(OR(M55="",M4=""),"",IFERROR(M55/M4,""))</f>
        <v/>
      </c>
      <c r="N56" s="15">
        <f>IF(OR(N55="",N4=""),"",IFERROR(N55/N4,""))</f>
        <v/>
      </c>
      <c r="O56" s="14">
        <f>IF(OR(O55="",O4=""),"",IFERROR(O55/O4,""))</f>
        <v/>
      </c>
      <c r="P56" s="15">
        <f>IF(OR(P55="",P4=""),"",IFERROR(P55/P4,""))</f>
        <v/>
      </c>
      <c r="Q56" s="15">
        <f>IF(OR(Q55="",Q4=""),"",IFERROR(Q55/Q4,""))</f>
        <v/>
      </c>
      <c r="R56" s="15">
        <f>IF(OR(R55="",R4=""),"",IFERROR(R55/R4,""))</f>
        <v/>
      </c>
      <c r="S56" s="15">
        <f>IF(OR(S55="",S4=""),"",IFERROR(S55/S4,""))</f>
        <v/>
      </c>
      <c r="T56" s="15">
        <f>IF(OR(T55="",T4=""),"",IFERROR(T55/T4,""))</f>
        <v/>
      </c>
      <c r="U56" s="15">
        <f>IF(OR(U55="",U4=""),"",IFERROR(U55/U4,""))</f>
        <v/>
      </c>
      <c r="V56" s="15">
        <f>IF(OR(V55="",V4=""),"",IFERROR(V55/V4,""))</f>
        <v/>
      </c>
      <c r="W56" s="15">
        <f>IF(OR(W55="",W4=""),"",IFERROR(W55/W4,""))</f>
        <v/>
      </c>
      <c r="X56" s="15">
        <f>IF(OR(X55="",X4=""),"",IFERROR(X55/X4,""))</f>
        <v/>
      </c>
      <c r="Y56" s="25">
        <f>IFERROR(AVERAGE(V56,W56,X56),"")</f>
        <v/>
      </c>
      <c r="Z56" s="26">
        <f>Y56</f>
        <v/>
      </c>
      <c r="AA56" s="26">
        <f>Z56</f>
        <v/>
      </c>
      <c r="AB56" s="26">
        <f>AA56</f>
        <v/>
      </c>
      <c r="AC56" s="26">
        <f>AB56</f>
        <v/>
      </c>
    </row>
    <row r="57">
      <c r="A57" s="18" t="inlineStr">
        <is>
          <t>영업외수익</t>
        </is>
      </c>
      <c r="B57" s="10" t="n"/>
      <c r="C57" s="19" t="n">
        <v>17</v>
      </c>
      <c r="D57" s="20" t="n">
        <v>11</v>
      </c>
      <c r="E57" s="20" t="n">
        <v>7</v>
      </c>
      <c r="F57" s="20" t="n">
        <v>10</v>
      </c>
      <c r="G57" s="20" t="n">
        <v>15</v>
      </c>
      <c r="H57" s="20" t="n">
        <v>130</v>
      </c>
      <c r="I57" s="20" t="n">
        <v>148</v>
      </c>
      <c r="J57" s="20" t="n">
        <v>205</v>
      </c>
      <c r="K57" s="20" t="n">
        <v>148</v>
      </c>
      <c r="L57" s="20" t="n">
        <v>251</v>
      </c>
      <c r="M57" s="20" t="n">
        <v>143</v>
      </c>
      <c r="N57" s="20" t="n">
        <v>270</v>
      </c>
      <c r="O57" s="19" t="n">
        <v>73</v>
      </c>
      <c r="P57" s="20" t="n">
        <v>96</v>
      </c>
      <c r="Q57" s="20" t="n">
        <v>97</v>
      </c>
      <c r="R57" s="20" t="n">
        <v>47</v>
      </c>
      <c r="S57" s="20" t="n">
        <v>179</v>
      </c>
      <c r="T57" s="20" t="n">
        <v>243</v>
      </c>
      <c r="U57" s="20" t="n">
        <v>269</v>
      </c>
      <c r="V57" s="20" t="n">
        <v>75</v>
      </c>
      <c r="W57" s="20" t="n">
        <v>162</v>
      </c>
      <c r="X57" s="20" t="n">
        <v>752</v>
      </c>
      <c r="Y57" s="19">
        <f>IF(OR(Y4="",Y58=""),"",IFERROR(Y4*Y58,""))</f>
        <v/>
      </c>
      <c r="Z57" s="20">
        <f>IF(OR(Z4="",Z58=""),"",IFERROR(Z4*Z58,""))</f>
        <v/>
      </c>
      <c r="AA57" s="20">
        <f>IF(OR(AA4="",AA58=""),"",IFERROR(AA4*AA58,""))</f>
        <v/>
      </c>
      <c r="AB57" s="20">
        <f>IF(OR(AB4="",AB58=""),"",IFERROR(AB4*AB58,""))</f>
        <v/>
      </c>
      <c r="AC57" s="20">
        <f>IF(OR(AC4="",AC58=""),"",IFERROR(AC4*AC58,""))</f>
        <v/>
      </c>
    </row>
    <row r="58">
      <c r="A58" s="13" t="inlineStr">
        <is>
          <t>% of Sales</t>
        </is>
      </c>
      <c r="B58" s="10" t="n"/>
      <c r="C58" s="14">
        <f>IF(OR(C57="",C4=""),"",IFERROR(C57/C4,""))</f>
        <v/>
      </c>
      <c r="D58" s="15">
        <f>IF(OR(D57="",D4=""),"",IFERROR(D57/D4,""))</f>
        <v/>
      </c>
      <c r="E58" s="15">
        <f>IF(OR(E57="",E4=""),"",IFERROR(E57/E4,""))</f>
        <v/>
      </c>
      <c r="F58" s="15">
        <f>IF(OR(F57="",F4=""),"",IFERROR(F57/F4,""))</f>
        <v/>
      </c>
      <c r="G58" s="15">
        <f>IF(OR(G57="",G4=""),"",IFERROR(G57/G4,""))</f>
        <v/>
      </c>
      <c r="H58" s="15">
        <f>IF(OR(H57="",H4=""),"",IFERROR(H57/H4,""))</f>
        <v/>
      </c>
      <c r="I58" s="15">
        <f>IF(OR(I57="",I4=""),"",IFERROR(I57/I4,""))</f>
        <v/>
      </c>
      <c r="J58" s="15">
        <f>IF(OR(J57="",J4=""),"",IFERROR(J57/J4,""))</f>
        <v/>
      </c>
      <c r="K58" s="15">
        <f>IF(OR(K57="",K4=""),"",IFERROR(K57/K4,""))</f>
        <v/>
      </c>
      <c r="L58" s="15">
        <f>IF(OR(L57="",L4=""),"",IFERROR(L57/L4,""))</f>
        <v/>
      </c>
      <c r="M58" s="15">
        <f>IF(OR(M57="",M4=""),"",IFERROR(M57/M4,""))</f>
        <v/>
      </c>
      <c r="N58" s="15">
        <f>IF(OR(N57="",N4=""),"",IFERROR(N57/N4,""))</f>
        <v/>
      </c>
      <c r="O58" s="14">
        <f>IF(OR(O57="",O4=""),"",IFERROR(O57/O4,""))</f>
        <v/>
      </c>
      <c r="P58" s="15">
        <f>IF(OR(P57="",P4=""),"",IFERROR(P57/P4,""))</f>
        <v/>
      </c>
      <c r="Q58" s="15">
        <f>IF(OR(Q57="",Q4=""),"",IFERROR(Q57/Q4,""))</f>
        <v/>
      </c>
      <c r="R58" s="15">
        <f>IF(OR(R57="",R4=""),"",IFERROR(R57/R4,""))</f>
        <v/>
      </c>
      <c r="S58" s="15">
        <f>IF(OR(S57="",S4=""),"",IFERROR(S57/S4,""))</f>
        <v/>
      </c>
      <c r="T58" s="15">
        <f>IF(OR(T57="",T4=""),"",IFERROR(T57/T4,""))</f>
        <v/>
      </c>
      <c r="U58" s="15">
        <f>IF(OR(U57="",U4=""),"",IFERROR(U57/U4,""))</f>
        <v/>
      </c>
      <c r="V58" s="15">
        <f>IF(OR(V57="",V4=""),"",IFERROR(V57/V4,""))</f>
        <v/>
      </c>
      <c r="W58" s="15">
        <f>IF(OR(W57="",W4=""),"",IFERROR(W57/W4,""))</f>
        <v/>
      </c>
      <c r="X58" s="15">
        <f>IF(OR(X57="",X4=""),"",IFERROR(X57/X4,""))</f>
        <v/>
      </c>
      <c r="Y58" s="25">
        <f>IFERROR(AVERAGE(V58,W58,X58),"")</f>
        <v/>
      </c>
      <c r="Z58" s="26">
        <f>Y58</f>
        <v/>
      </c>
      <c r="AA58" s="26">
        <f>Z58</f>
        <v/>
      </c>
      <c r="AB58" s="26">
        <f>AA58</f>
        <v/>
      </c>
      <c r="AC58" s="26">
        <f>AB58</f>
        <v/>
      </c>
    </row>
    <row r="59">
      <c r="A59" s="18" t="inlineStr">
        <is>
          <t>영업외비용</t>
        </is>
      </c>
      <c r="B59" s="10" t="n"/>
      <c r="C59" s="19" t="n">
        <v>72</v>
      </c>
      <c r="D59" s="20" t="n">
        <v>75</v>
      </c>
      <c r="E59" s="20" t="n">
        <v>88</v>
      </c>
      <c r="F59" s="20" t="n">
        <v>95</v>
      </c>
      <c r="G59" s="20" t="n">
        <v>144</v>
      </c>
      <c r="H59" s="20" t="n">
        <v>310</v>
      </c>
      <c r="I59" s="20" t="n">
        <v>252</v>
      </c>
      <c r="J59" s="20" t="n">
        <v>239</v>
      </c>
      <c r="K59" s="20" t="n">
        <v>238</v>
      </c>
      <c r="L59" s="20" t="n">
        <v>373</v>
      </c>
      <c r="M59" s="20" t="n">
        <v>518</v>
      </c>
      <c r="N59" s="20" t="n">
        <v>586</v>
      </c>
      <c r="O59" s="19" t="n">
        <v>442</v>
      </c>
      <c r="P59" s="20" t="n">
        <v>472</v>
      </c>
      <c r="Q59" s="20" t="n">
        <v>379</v>
      </c>
      <c r="R59" s="20" t="n">
        <v>251</v>
      </c>
      <c r="S59" s="20" t="n">
        <v>308</v>
      </c>
      <c r="T59" s="20" t="n">
        <v>284</v>
      </c>
      <c r="U59" s="20" t="n">
        <v>268</v>
      </c>
      <c r="V59" s="20" t="n">
        <v>289</v>
      </c>
      <c r="W59" s="20" t="n">
        <v>637</v>
      </c>
      <c r="X59" s="20" t="n">
        <v>1102</v>
      </c>
      <c r="Y59" s="19">
        <f>IF(OR(Y4="",Y60=""),"",IFERROR(Y4*Y60,""))</f>
        <v/>
      </c>
      <c r="Z59" s="20">
        <f>IF(OR(Z4="",Z60=""),"",IFERROR(Z4*Z60,""))</f>
        <v/>
      </c>
      <c r="AA59" s="20">
        <f>IF(OR(AA4="",AA60=""),"",IFERROR(AA4*AA60,""))</f>
        <v/>
      </c>
      <c r="AB59" s="20">
        <f>IF(OR(AB4="",AB60=""),"",IFERROR(AB4*AB60,""))</f>
        <v/>
      </c>
      <c r="AC59" s="20">
        <f>IF(OR(AC4="",AC60=""),"",IFERROR(AC4*AC60,""))</f>
        <v/>
      </c>
    </row>
    <row r="60">
      <c r="A60" s="13" t="inlineStr">
        <is>
          <t>% of Sales</t>
        </is>
      </c>
      <c r="B60" s="10" t="n"/>
      <c r="C60" s="14">
        <f>IF(OR(C59="",C4=""),"",IFERROR(C59/C4,""))</f>
        <v/>
      </c>
      <c r="D60" s="15">
        <f>IF(OR(D59="",D4=""),"",IFERROR(D59/D4,""))</f>
        <v/>
      </c>
      <c r="E60" s="15">
        <f>IF(OR(E59="",E4=""),"",IFERROR(E59/E4,""))</f>
        <v/>
      </c>
      <c r="F60" s="15">
        <f>IF(OR(F59="",F4=""),"",IFERROR(F59/F4,""))</f>
        <v/>
      </c>
      <c r="G60" s="15">
        <f>IF(OR(G59="",G4=""),"",IFERROR(G59/G4,""))</f>
        <v/>
      </c>
      <c r="H60" s="15">
        <f>IF(OR(H59="",H4=""),"",IFERROR(H59/H4,""))</f>
        <v/>
      </c>
      <c r="I60" s="15">
        <f>IF(OR(I59="",I4=""),"",IFERROR(I59/I4,""))</f>
        <v/>
      </c>
      <c r="J60" s="15">
        <f>IF(OR(J59="",J4=""),"",IFERROR(J59/J4,""))</f>
        <v/>
      </c>
      <c r="K60" s="15">
        <f>IF(OR(K59="",K4=""),"",IFERROR(K59/K4,""))</f>
        <v/>
      </c>
      <c r="L60" s="15">
        <f>IF(OR(L59="",L4=""),"",IFERROR(L59/L4,""))</f>
        <v/>
      </c>
      <c r="M60" s="15">
        <f>IF(OR(M59="",M4=""),"",IFERROR(M59/M4,""))</f>
        <v/>
      </c>
      <c r="N60" s="15">
        <f>IF(OR(N59="",N4=""),"",IFERROR(N59/N4,""))</f>
        <v/>
      </c>
      <c r="O60" s="14">
        <f>IF(OR(O59="",O4=""),"",IFERROR(O59/O4,""))</f>
        <v/>
      </c>
      <c r="P60" s="15">
        <f>IF(OR(P59="",P4=""),"",IFERROR(P59/P4,""))</f>
        <v/>
      </c>
      <c r="Q60" s="15">
        <f>IF(OR(Q59="",Q4=""),"",IFERROR(Q59/Q4,""))</f>
        <v/>
      </c>
      <c r="R60" s="15">
        <f>IF(OR(R59="",R4=""),"",IFERROR(R59/R4,""))</f>
        <v/>
      </c>
      <c r="S60" s="15">
        <f>IF(OR(S59="",S4=""),"",IFERROR(S59/S4,""))</f>
        <v/>
      </c>
      <c r="T60" s="15">
        <f>IF(OR(T59="",T4=""),"",IFERROR(T59/T4,""))</f>
        <v/>
      </c>
      <c r="U60" s="15">
        <f>IF(OR(U59="",U4=""),"",IFERROR(U59/U4,""))</f>
        <v/>
      </c>
      <c r="V60" s="15">
        <f>IF(OR(V59="",V4=""),"",IFERROR(V59/V4,""))</f>
        <v/>
      </c>
      <c r="W60" s="15">
        <f>IF(OR(W59="",W4=""),"",IFERROR(W59/W4,""))</f>
        <v/>
      </c>
      <c r="X60" s="15">
        <f>IF(OR(X59="",X4=""),"",IFERROR(X59/X4,""))</f>
        <v/>
      </c>
      <c r="Y60" s="25">
        <f>IFERROR(AVERAGE(V60,W60,X60),"")</f>
        <v/>
      </c>
      <c r="Z60" s="26">
        <f>Y60</f>
        <v/>
      </c>
      <c r="AA60" s="26">
        <f>Z60</f>
        <v/>
      </c>
      <c r="AB60" s="26">
        <f>AA60</f>
        <v/>
      </c>
      <c r="AC60" s="26">
        <f>AB60</f>
        <v/>
      </c>
    </row>
    <row r="61">
      <c r="A61" s="9" t="inlineStr">
        <is>
          <t>법인세비용차감전순이익(손실)</t>
        </is>
      </c>
      <c r="B61" s="10" t="n"/>
      <c r="C61" s="11" t="n">
        <v>986</v>
      </c>
      <c r="D61" s="12" t="n">
        <v>4249</v>
      </c>
      <c r="E61" s="12" t="n">
        <v>1689</v>
      </c>
      <c r="F61" s="12" t="n">
        <v>1793</v>
      </c>
      <c r="G61" s="12" t="n">
        <v>3069</v>
      </c>
      <c r="H61" s="12" t="n">
        <v>493</v>
      </c>
      <c r="I61" s="12" t="n">
        <v>3715</v>
      </c>
      <c r="J61" s="12" t="n">
        <v>1378</v>
      </c>
      <c r="K61" s="12" t="n">
        <v>1812</v>
      </c>
      <c r="L61" s="12" t="n">
        <v>1654</v>
      </c>
      <c r="M61" s="12" t="n">
        <v>8494</v>
      </c>
      <c r="N61" s="12" t="n">
        <v>296</v>
      </c>
      <c r="O61" s="11" t="n">
        <v>8491</v>
      </c>
      <c r="P61" s="12" t="n">
        <v>10766</v>
      </c>
      <c r="Q61" s="12" t="n">
        <v>7969</v>
      </c>
      <c r="R61" s="12" t="n">
        <v>11305</v>
      </c>
      <c r="S61" s="12" t="n">
        <v>6667</v>
      </c>
      <c r="T61" s="12" t="n">
        <v>11544</v>
      </c>
      <c r="U61" s="12" t="n">
        <v>10554</v>
      </c>
      <c r="V61" s="12" t="n">
        <v>5521</v>
      </c>
      <c r="W61" s="12" t="n">
        <v>7044</v>
      </c>
      <c r="X61" s="12" t="n">
        <v>8559</v>
      </c>
      <c r="Y61" s="11">
        <f>IF(OR(Y37=""),"",IFERROR(Y37+N(Y53)-N(Y55)+N(Y57)-N(Y59),""))</f>
        <v/>
      </c>
      <c r="Z61" s="12">
        <f>IF(OR(Z37=""),"",IFERROR(Z37+N(Z53)-N(Z55)+N(Z57)-N(Z59),""))</f>
        <v/>
      </c>
      <c r="AA61" s="12">
        <f>IF(OR(AA37=""),"",IFERROR(AA37+N(AA53)-N(AA55)+N(AA57)-N(AA59),""))</f>
        <v/>
      </c>
      <c r="AB61" s="12">
        <f>IF(OR(AB37=""),"",IFERROR(AB37+N(AB53)-N(AB55)+N(AB57)-N(AB59),""))</f>
        <v/>
      </c>
      <c r="AC61" s="12">
        <f>IF(OR(AC37=""),"",IFERROR(AC37+N(AC53)-N(AC55)+N(AC57)-N(AC59),""))</f>
        <v/>
      </c>
    </row>
    <row r="62">
      <c r="A62" s="13" t="inlineStr">
        <is>
          <t>YoY</t>
        </is>
      </c>
      <c r="B62" s="10" t="n"/>
      <c r="C62" s="14" t="n"/>
      <c r="D62" s="15" t="n"/>
      <c r="E62" s="15" t="n"/>
      <c r="F62" s="15" t="n"/>
      <c r="G62" s="15">
        <f>IF(OR(G61="",C61=""),"",IF(C61&lt;=0,"",IFERROR(G61/C61-1,"")))</f>
        <v/>
      </c>
      <c r="H62" s="15">
        <f>IF(OR(H61="",D61=""),"",IF(D61&lt;=0,"",IFERROR(H61/D61-1,"")))</f>
        <v/>
      </c>
      <c r="I62" s="15">
        <f>IF(OR(I61="",E61=""),"",IF(E61&lt;=0,"",IFERROR(I61/E61-1,"")))</f>
        <v/>
      </c>
      <c r="J62" s="15">
        <f>IF(OR(J61="",F61=""),"",IF(F61&lt;=0,"",IFERROR(J61/F61-1,"")))</f>
        <v/>
      </c>
      <c r="K62" s="15">
        <f>IF(OR(K61="",G61=""),"",IF(G61&lt;=0,"",IFERROR(K61/G61-1,"")))</f>
        <v/>
      </c>
      <c r="L62" s="15">
        <f>IF(OR(L61="",H61=""),"",IF(H61&lt;=0,"",IFERROR(L61/H61-1,"")))</f>
        <v/>
      </c>
      <c r="M62" s="15">
        <f>IF(OR(M61="",I61=""),"",IF(I61&lt;=0,"",IFERROR(M61/I61-1,"")))</f>
        <v/>
      </c>
      <c r="N62" s="15">
        <f>IF(OR(N61="",J61=""),"",IF(J61&lt;=0,"",IFERROR(N61/J61-1,"")))</f>
        <v/>
      </c>
      <c r="O62" s="14" t="n"/>
      <c r="P62" s="15">
        <f>IF(OR(P61="",O61=""),"",IF(O61&lt;=0,"",IFERROR(P61/O61-1,"")))</f>
        <v/>
      </c>
      <c r="Q62" s="15">
        <f>IF(OR(Q61="",P61=""),"",IF(P61&lt;=0,"",IFERROR(Q61/P61-1,"")))</f>
        <v/>
      </c>
      <c r="R62" s="15">
        <f>IF(OR(R61="",Q61=""),"",IF(Q61&lt;=0,"",IFERROR(R61/Q61-1,"")))</f>
        <v/>
      </c>
      <c r="S62" s="15">
        <f>IF(OR(S61="",R61=""),"",IF(R61&lt;=0,"",IFERROR(S61/R61-1,"")))</f>
        <v/>
      </c>
      <c r="T62" s="15">
        <f>IF(OR(T61="",S61=""),"",IF(S61&lt;=0,"",IFERROR(T61/S61-1,"")))</f>
        <v/>
      </c>
      <c r="U62" s="15">
        <f>IF(OR(U61="",T61=""),"",IF(T61&lt;=0,"",IFERROR(U61/T61-1,"")))</f>
        <v/>
      </c>
      <c r="V62" s="15">
        <f>IF(OR(V61="",U61=""),"",IF(U61&lt;=0,"",IFERROR(V61/U61-1,"")))</f>
        <v/>
      </c>
      <c r="W62" s="15">
        <f>IF(OR(W61="",V61=""),"",IF(V61&lt;=0,"",IFERROR(W61/V61-1,"")))</f>
        <v/>
      </c>
      <c r="X62" s="15">
        <f>IF(OR(X61="",W61=""),"",IF(W61&lt;=0,"",IFERROR(X61/W61-1,"")))</f>
        <v/>
      </c>
      <c r="Y62" s="14">
        <f>IF(OR(Y61="",X61=""),"",IF(X61&lt;=0,"",IFERROR(Y61/X61-1,"")))</f>
        <v/>
      </c>
      <c r="Z62" s="15">
        <f>IF(OR(Z61="",Y61=""),"",IF(Y61&lt;=0,"",IFERROR(Z61/Y61-1,"")))</f>
        <v/>
      </c>
      <c r="AA62" s="15">
        <f>IF(OR(AA61="",Z61=""),"",IF(Z61&lt;=0,"",IFERROR(AA61/Z61-1,"")))</f>
        <v/>
      </c>
      <c r="AB62" s="15">
        <f>IF(OR(AB61="",AA61=""),"",IF(AA61&lt;=0,"",IFERROR(AB61/AA61-1,"")))</f>
        <v/>
      </c>
      <c r="AC62" s="15">
        <f>IF(OR(AC61="",AB61=""),"",IF(AB61&lt;=0,"",IFERROR(AC61/AB61-1,"")))</f>
        <v/>
      </c>
    </row>
    <row r="63">
      <c r="A63" s="18" t="inlineStr">
        <is>
          <t>법인세비용(수익)</t>
        </is>
      </c>
      <c r="B63" s="10" t="n"/>
      <c r="C63" s="19" t="n">
        <v>253</v>
      </c>
      <c r="D63" s="20" t="n">
        <v>1286</v>
      </c>
      <c r="E63" s="20" t="n">
        <v>523</v>
      </c>
      <c r="F63" s="20" t="n">
        <v>588</v>
      </c>
      <c r="G63" s="20" t="n">
        <v>847</v>
      </c>
      <c r="H63" s="20" t="n">
        <v>71</v>
      </c>
      <c r="I63" s="20" t="n">
        <v>1218</v>
      </c>
      <c r="J63" s="20" t="n">
        <v>397</v>
      </c>
      <c r="K63" s="20" t="n">
        <v>550</v>
      </c>
      <c r="L63" s="20" t="n">
        <v>531</v>
      </c>
      <c r="M63" s="20" t="n">
        <v>2671</v>
      </c>
      <c r="N63" s="20" t="n">
        <v>116</v>
      </c>
      <c r="O63" s="19" t="n">
        <v>3034</v>
      </c>
      <c r="P63" s="20" t="n">
        <v>3914</v>
      </c>
      <c r="Q63" s="20" t="n">
        <v>2555</v>
      </c>
      <c r="R63" s="20" t="n">
        <v>3715</v>
      </c>
      <c r="S63" s="20" t="n">
        <v>2362</v>
      </c>
      <c r="T63" s="20" t="n">
        <v>3947</v>
      </c>
      <c r="U63" s="20" t="n">
        <v>3523</v>
      </c>
      <c r="V63" s="20" t="n">
        <v>1768</v>
      </c>
      <c r="W63" s="20" t="n">
        <v>2029</v>
      </c>
      <c r="X63" s="20" t="n">
        <v>2696</v>
      </c>
      <c r="Y63" s="19">
        <f>IF(OR(Y61="",Y64=""),"",IFERROR(MAX(Y61,0)*Y64,""))</f>
        <v/>
      </c>
      <c r="Z63" s="20">
        <f>IF(OR(Z61="",Z64=""),"",IFERROR(MAX(Z61,0)*Z64,""))</f>
        <v/>
      </c>
      <c r="AA63" s="20">
        <f>IF(OR(AA61="",AA64=""),"",IFERROR(MAX(AA61,0)*AA64,""))</f>
        <v/>
      </c>
      <c r="AB63" s="20">
        <f>IF(OR(AB61="",AB64=""),"",IFERROR(MAX(AB61,0)*AB64,""))</f>
        <v/>
      </c>
      <c r="AC63" s="20">
        <f>IF(OR(AC61="",AC64=""),"",IFERROR(MAX(AC61,0)*AC64,""))</f>
        <v/>
      </c>
    </row>
    <row r="64">
      <c r="A64" s="13" t="inlineStr">
        <is>
          <t>법인세율</t>
        </is>
      </c>
      <c r="B64" s="10" t="inlineStr">
        <is>
          <t>MW 기본 30%</t>
        </is>
      </c>
      <c r="C64" s="14">
        <f>IF(OR(C63="",C61=""),"",IFERROR(C63/C61,""))</f>
        <v/>
      </c>
      <c r="D64" s="15">
        <f>IF(OR(D63="",D61=""),"",IFERROR(D63/D61,""))</f>
        <v/>
      </c>
      <c r="E64" s="15">
        <f>IF(OR(E63="",E61=""),"",IFERROR(E63/E61,""))</f>
        <v/>
      </c>
      <c r="F64" s="15">
        <f>IF(OR(F63="",F61=""),"",IFERROR(F63/F61,""))</f>
        <v/>
      </c>
      <c r="G64" s="15">
        <f>IF(OR(G63="",G61=""),"",IFERROR(G63/G61,""))</f>
        <v/>
      </c>
      <c r="H64" s="15">
        <f>IF(OR(H63="",H61=""),"",IFERROR(H63/H61,""))</f>
        <v/>
      </c>
      <c r="I64" s="15">
        <f>IF(OR(I63="",I61=""),"",IFERROR(I63/I61,""))</f>
        <v/>
      </c>
      <c r="J64" s="15">
        <f>IF(OR(J63="",J61=""),"",IFERROR(J63/J61,""))</f>
        <v/>
      </c>
      <c r="K64" s="15">
        <f>IF(OR(K63="",K61=""),"",IFERROR(K63/K61,""))</f>
        <v/>
      </c>
      <c r="L64" s="15">
        <f>IF(OR(L63="",L61=""),"",IFERROR(L63/L61,""))</f>
        <v/>
      </c>
      <c r="M64" s="15">
        <f>IF(OR(M63="",M61=""),"",IFERROR(M63/M61,""))</f>
        <v/>
      </c>
      <c r="N64" s="15">
        <f>IF(OR(N63="",N61=""),"",IFERROR(N63/N61,""))</f>
        <v/>
      </c>
      <c r="O64" s="14">
        <f>IF(OR(O63="",O61=""),"",IFERROR(O63/O61,""))</f>
        <v/>
      </c>
      <c r="P64" s="15">
        <f>IF(OR(P63="",P61=""),"",IFERROR(P63/P61,""))</f>
        <v/>
      </c>
      <c r="Q64" s="15">
        <f>IF(OR(Q63="",Q61=""),"",IFERROR(Q63/Q61,""))</f>
        <v/>
      </c>
      <c r="R64" s="15">
        <f>IF(OR(R63="",R61=""),"",IFERROR(R63/R61,""))</f>
        <v/>
      </c>
      <c r="S64" s="15">
        <f>IF(OR(S63="",S61=""),"",IFERROR(S63/S61,""))</f>
        <v/>
      </c>
      <c r="T64" s="15">
        <f>IF(OR(T63="",T61=""),"",IFERROR(T63/T61,""))</f>
        <v/>
      </c>
      <c r="U64" s="15">
        <f>IF(OR(U63="",U61=""),"",IFERROR(U63/U61,""))</f>
        <v/>
      </c>
      <c r="V64" s="15">
        <f>IF(OR(V63="",V61=""),"",IFERROR(V63/V61,""))</f>
        <v/>
      </c>
      <c r="W64" s="15">
        <f>IF(OR(W63="",W61=""),"",IFERROR(W63/W61,""))</f>
        <v/>
      </c>
      <c r="X64" s="15">
        <f>IF(OR(X63="",X61=""),"",IFERROR(X63/X61,""))</f>
        <v/>
      </c>
      <c r="Y64" s="25" t="n">
        <v>0.3</v>
      </c>
      <c r="Z64" s="26" t="n">
        <v>0.3</v>
      </c>
      <c r="AA64" s="26" t="n">
        <v>0.3</v>
      </c>
      <c r="AB64" s="26" t="n">
        <v>0.3</v>
      </c>
      <c r="AC64" s="26" t="n">
        <v>0.3</v>
      </c>
    </row>
    <row r="65">
      <c r="A65" s="9" t="inlineStr">
        <is>
          <t>당기순이익(손실)</t>
        </is>
      </c>
      <c r="B65" s="10" t="n"/>
      <c r="C65" s="11" t="n">
        <v>732</v>
      </c>
      <c r="D65" s="12" t="n">
        <v>2964</v>
      </c>
      <c r="E65" s="12" t="n">
        <v>1165</v>
      </c>
      <c r="F65" s="12" t="n">
        <v>1206</v>
      </c>
      <c r="G65" s="12" t="n">
        <v>2222</v>
      </c>
      <c r="H65" s="12" t="n">
        <v>421</v>
      </c>
      <c r="I65" s="12" t="n">
        <v>2496</v>
      </c>
      <c r="J65" s="12" t="n">
        <v>982</v>
      </c>
      <c r="K65" s="12" t="n">
        <v>1262</v>
      </c>
      <c r="L65" s="12" t="n">
        <v>1122</v>
      </c>
      <c r="M65" s="12" t="n">
        <v>5822</v>
      </c>
      <c r="N65" s="12" t="n">
        <v>181</v>
      </c>
      <c r="O65" s="11" t="n">
        <v>5457</v>
      </c>
      <c r="P65" s="12" t="n">
        <v>6851</v>
      </c>
      <c r="Q65" s="12" t="n">
        <v>5414</v>
      </c>
      <c r="R65" s="12" t="n">
        <v>7589</v>
      </c>
      <c r="S65" s="12" t="n">
        <v>4304</v>
      </c>
      <c r="T65" s="12" t="n">
        <v>7597</v>
      </c>
      <c r="U65" s="12" t="n">
        <v>7031</v>
      </c>
      <c r="V65" s="12" t="n">
        <v>3753</v>
      </c>
      <c r="W65" s="12" t="n">
        <v>5014</v>
      </c>
      <c r="X65" s="12" t="n">
        <v>5862</v>
      </c>
      <c r="Y65" s="11">
        <f>IF(OR(Y61=""),"",IFERROR(Y61-Y63,""))</f>
        <v/>
      </c>
      <c r="Z65" s="12">
        <f>IF(OR(Z61=""),"",IFERROR(Z61-Z63,""))</f>
        <v/>
      </c>
      <c r="AA65" s="12">
        <f>IF(OR(AA61=""),"",IFERROR(AA61-AA63,""))</f>
        <v/>
      </c>
      <c r="AB65" s="12">
        <f>IF(OR(AB61=""),"",IFERROR(AB61-AB63,""))</f>
        <v/>
      </c>
      <c r="AC65" s="12">
        <f>IF(OR(AC61=""),"",IFERROR(AC61-AC63,""))</f>
        <v/>
      </c>
    </row>
    <row r="66">
      <c r="A66" s="13" t="inlineStr">
        <is>
          <t>YoY</t>
        </is>
      </c>
      <c r="B66" s="10" t="n"/>
      <c r="C66" s="14" t="n"/>
      <c r="D66" s="15" t="n"/>
      <c r="E66" s="15" t="n"/>
      <c r="F66" s="15" t="n"/>
      <c r="G66" s="15">
        <f>IF(OR(G65="",C65=""),"",IF(C65&lt;=0,"",IFERROR(G65/C65-1,"")))</f>
        <v/>
      </c>
      <c r="H66" s="15">
        <f>IF(OR(H65="",D65=""),"",IF(D65&lt;=0,"",IFERROR(H65/D65-1,"")))</f>
        <v/>
      </c>
      <c r="I66" s="15">
        <f>IF(OR(I65="",E65=""),"",IF(E65&lt;=0,"",IFERROR(I65/E65-1,"")))</f>
        <v/>
      </c>
      <c r="J66" s="15">
        <f>IF(OR(J65="",F65=""),"",IF(F65&lt;=0,"",IFERROR(J65/F65-1,"")))</f>
        <v/>
      </c>
      <c r="K66" s="15">
        <f>IF(OR(K65="",G65=""),"",IF(G65&lt;=0,"",IFERROR(K65/G65-1,"")))</f>
        <v/>
      </c>
      <c r="L66" s="15">
        <f>IF(OR(L65="",H65=""),"",IF(H65&lt;=0,"",IFERROR(L65/H65-1,"")))</f>
        <v/>
      </c>
      <c r="M66" s="15">
        <f>IF(OR(M65="",I65=""),"",IF(I65&lt;=0,"",IFERROR(M65/I65-1,"")))</f>
        <v/>
      </c>
      <c r="N66" s="15">
        <f>IF(OR(N65="",J65=""),"",IF(J65&lt;=0,"",IFERROR(N65/J65-1,"")))</f>
        <v/>
      </c>
      <c r="O66" s="14" t="n"/>
      <c r="P66" s="15">
        <f>IF(OR(P65="",O65=""),"",IF(O65&lt;=0,"",IFERROR(P65/O65-1,"")))</f>
        <v/>
      </c>
      <c r="Q66" s="15">
        <f>IF(OR(Q65="",P65=""),"",IF(P65&lt;=0,"",IFERROR(Q65/P65-1,"")))</f>
        <v/>
      </c>
      <c r="R66" s="15">
        <f>IF(OR(R65="",Q65=""),"",IF(Q65&lt;=0,"",IFERROR(R65/Q65-1,"")))</f>
        <v/>
      </c>
      <c r="S66" s="15">
        <f>IF(OR(S65="",R65=""),"",IF(R65&lt;=0,"",IFERROR(S65/R65-1,"")))</f>
        <v/>
      </c>
      <c r="T66" s="15">
        <f>IF(OR(T65="",S65=""),"",IF(S65&lt;=0,"",IFERROR(T65/S65-1,"")))</f>
        <v/>
      </c>
      <c r="U66" s="15">
        <f>IF(OR(U65="",T65=""),"",IF(T65&lt;=0,"",IFERROR(U65/T65-1,"")))</f>
        <v/>
      </c>
      <c r="V66" s="15">
        <f>IF(OR(V65="",U65=""),"",IF(U65&lt;=0,"",IFERROR(V65/U65-1,"")))</f>
        <v/>
      </c>
      <c r="W66" s="15">
        <f>IF(OR(W65="",V65=""),"",IF(V65&lt;=0,"",IFERROR(W65/V65-1,"")))</f>
        <v/>
      </c>
      <c r="X66" s="15">
        <f>IF(OR(X65="",W65=""),"",IF(W65&lt;=0,"",IFERROR(X65/W65-1,"")))</f>
        <v/>
      </c>
      <c r="Y66" s="14">
        <f>IF(OR(Y65="",X65=""),"",IF(X65&lt;=0,"",IFERROR(Y65/X65-1,"")))</f>
        <v/>
      </c>
      <c r="Z66" s="15">
        <f>IF(OR(Z65="",Y65=""),"",IF(Y65&lt;=0,"",IFERROR(Z65/Y65-1,"")))</f>
        <v/>
      </c>
      <c r="AA66" s="15">
        <f>IF(OR(AA65="",Z65=""),"",IF(Z65&lt;=0,"",IFERROR(AA65/Z65-1,"")))</f>
        <v/>
      </c>
      <c r="AB66" s="15">
        <f>IF(OR(AB65="",AA65=""),"",IF(AA65&lt;=0,"",IFERROR(AB65/AA65-1,"")))</f>
        <v/>
      </c>
      <c r="AC66" s="15">
        <f>IF(OR(AC65="",AB65=""),"",IF(AB65&lt;=0,"",IFERROR(AC65/AB65-1,"")))</f>
        <v/>
      </c>
    </row>
    <row r="67">
      <c r="A67" s="9" t="inlineStr">
        <is>
          <t>지배주주 순이익</t>
        </is>
      </c>
      <c r="B67" s="10" t="n"/>
      <c r="C67" s="11" t="n">
        <v>732</v>
      </c>
      <c r="D67" s="12" t="n">
        <v>2964</v>
      </c>
      <c r="E67" s="12" t="n">
        <v>1165</v>
      </c>
      <c r="F67" s="12" t="n">
        <v>1206</v>
      </c>
      <c r="G67" s="12" t="n">
        <v>2222</v>
      </c>
      <c r="H67" s="12" t="n">
        <v>421</v>
      </c>
      <c r="I67" s="12" t="n">
        <v>2496</v>
      </c>
      <c r="J67" s="12" t="n">
        <v>982</v>
      </c>
      <c r="K67" s="12" t="n">
        <v>1262</v>
      </c>
      <c r="L67" s="12" t="n">
        <v>1122</v>
      </c>
      <c r="M67" s="12" t="n">
        <v>5822</v>
      </c>
      <c r="N67" s="12" t="n">
        <v>181</v>
      </c>
      <c r="O67" s="11" t="n">
        <v>5457</v>
      </c>
      <c r="P67" s="12" t="n">
        <v>6851</v>
      </c>
      <c r="Q67" s="12" t="n">
        <v>5414</v>
      </c>
      <c r="R67" s="12" t="n">
        <v>7589</v>
      </c>
      <c r="S67" s="12" t="n">
        <v>4304</v>
      </c>
      <c r="T67" s="12" t="n">
        <v>7597</v>
      </c>
      <c r="U67" s="12" t="n">
        <v>7031</v>
      </c>
      <c r="V67" s="12" t="n">
        <v>3753</v>
      </c>
      <c r="W67" s="12" t="n">
        <v>5014</v>
      </c>
      <c r="X67" s="12" t="n">
        <v>5862</v>
      </c>
      <c r="Y67" s="11">
        <f>IF(OR(Y65="",Y68=""),"",IFERROR(Y65*Y68,""))</f>
        <v/>
      </c>
      <c r="Z67" s="12">
        <f>IF(OR(Z65="",Z68=""),"",IFERROR(Z65*Z68,""))</f>
        <v/>
      </c>
      <c r="AA67" s="12">
        <f>IF(OR(AA65="",AA68=""),"",IFERROR(AA65*AA68,""))</f>
        <v/>
      </c>
      <c r="AB67" s="12">
        <f>IF(OR(AB65="",AB68=""),"",IFERROR(AB65*AB68,""))</f>
        <v/>
      </c>
      <c r="AC67" s="12">
        <f>IF(OR(AC65="",AC68=""),"",IFERROR(AC65*AC68,""))</f>
        <v/>
      </c>
    </row>
    <row r="68">
      <c r="A68" s="13" t="inlineStr">
        <is>
          <t>지배주주 순이익률</t>
        </is>
      </c>
      <c r="B68" s="10" t="inlineStr">
        <is>
          <t>MW 기본 100%</t>
        </is>
      </c>
      <c r="C68" s="14">
        <f>IF(OR(C67="",C65=""),"",IFERROR(C67/C65,""))</f>
        <v/>
      </c>
      <c r="D68" s="15">
        <f>IF(OR(D67="",D65=""),"",IFERROR(D67/D65,""))</f>
        <v/>
      </c>
      <c r="E68" s="15">
        <f>IF(OR(E67="",E65=""),"",IFERROR(E67/E65,""))</f>
        <v/>
      </c>
      <c r="F68" s="15">
        <f>IF(OR(F67="",F65=""),"",IFERROR(F67/F65,""))</f>
        <v/>
      </c>
      <c r="G68" s="15">
        <f>IF(OR(G67="",G65=""),"",IFERROR(G67/G65,""))</f>
        <v/>
      </c>
      <c r="H68" s="15">
        <f>IF(OR(H67="",H65=""),"",IFERROR(H67/H65,""))</f>
        <v/>
      </c>
      <c r="I68" s="15">
        <f>IF(OR(I67="",I65=""),"",IFERROR(I67/I65,""))</f>
        <v/>
      </c>
      <c r="J68" s="15">
        <f>IF(OR(J67="",J65=""),"",IFERROR(J67/J65,""))</f>
        <v/>
      </c>
      <c r="K68" s="15">
        <f>IF(OR(K67="",K65=""),"",IFERROR(K67/K65,""))</f>
        <v/>
      </c>
      <c r="L68" s="15">
        <f>IF(OR(L67="",L65=""),"",IFERROR(L67/L65,""))</f>
        <v/>
      </c>
      <c r="M68" s="15">
        <f>IF(OR(M67="",M65=""),"",IFERROR(M67/M65,""))</f>
        <v/>
      </c>
      <c r="N68" s="15">
        <f>IF(OR(N67="",N65=""),"",IFERROR(N67/N65,""))</f>
        <v/>
      </c>
      <c r="O68" s="14">
        <f>IF(OR(O67="",O65=""),"",IFERROR(O67/O65,""))</f>
        <v/>
      </c>
      <c r="P68" s="15">
        <f>IF(OR(P67="",P65=""),"",IFERROR(P67/P65,""))</f>
        <v/>
      </c>
      <c r="Q68" s="15">
        <f>IF(OR(Q67="",Q65=""),"",IFERROR(Q67/Q65,""))</f>
        <v/>
      </c>
      <c r="R68" s="15">
        <f>IF(OR(R67="",R65=""),"",IFERROR(R67/R65,""))</f>
        <v/>
      </c>
      <c r="S68" s="15">
        <f>IF(OR(S67="",S65=""),"",IFERROR(S67/S65,""))</f>
        <v/>
      </c>
      <c r="T68" s="15">
        <f>IF(OR(T67="",T65=""),"",IFERROR(T67/T65,""))</f>
        <v/>
      </c>
      <c r="U68" s="15">
        <f>IF(OR(U67="",U65=""),"",IFERROR(U67/U65,""))</f>
        <v/>
      </c>
      <c r="V68" s="15">
        <f>IF(OR(V67="",V65=""),"",IFERROR(V67/V65,""))</f>
        <v/>
      </c>
      <c r="W68" s="15">
        <f>IF(OR(W67="",W65=""),"",IFERROR(W67/W65,""))</f>
        <v/>
      </c>
      <c r="X68" s="15">
        <f>IF(OR(X67="",X65=""),"",IFERROR(X67/X65,""))</f>
        <v/>
      </c>
      <c r="Y68" s="25" t="n">
        <v>1</v>
      </c>
      <c r="Z68" s="26" t="n">
        <v>1</v>
      </c>
      <c r="AA68" s="26" t="n">
        <v>1</v>
      </c>
      <c r="AB68" s="26" t="n">
        <v>1</v>
      </c>
      <c r="AC68" s="26" t="n">
        <v>1</v>
      </c>
    </row>
    <row r="69">
      <c r="A69" s="13" t="inlineStr">
        <is>
          <t>지배주주 순이익 YoY</t>
        </is>
      </c>
      <c r="B69" s="10" t="n"/>
      <c r="C69" s="14" t="n"/>
      <c r="D69" s="15" t="n"/>
      <c r="E69" s="15" t="n"/>
      <c r="F69" s="15" t="n"/>
      <c r="G69" s="15">
        <f>IF(OR(G67="",C67=""),"",IF(C67&lt;=0,"",IFERROR(G67/C67-1,"")))</f>
        <v/>
      </c>
      <c r="H69" s="15">
        <f>IF(OR(H67="",D67=""),"",IF(D67&lt;=0,"",IFERROR(H67/D67-1,"")))</f>
        <v/>
      </c>
      <c r="I69" s="15">
        <f>IF(OR(I67="",E67=""),"",IF(E67&lt;=0,"",IFERROR(I67/E67-1,"")))</f>
        <v/>
      </c>
      <c r="J69" s="15">
        <f>IF(OR(J67="",F67=""),"",IF(F67&lt;=0,"",IFERROR(J67/F67-1,"")))</f>
        <v/>
      </c>
      <c r="K69" s="15">
        <f>IF(OR(K67="",G67=""),"",IF(G67&lt;=0,"",IFERROR(K67/G67-1,"")))</f>
        <v/>
      </c>
      <c r="L69" s="15">
        <f>IF(OR(L67="",H67=""),"",IF(H67&lt;=0,"",IFERROR(L67/H67-1,"")))</f>
        <v/>
      </c>
      <c r="M69" s="15">
        <f>IF(OR(M67="",I67=""),"",IF(I67&lt;=0,"",IFERROR(M67/I67-1,"")))</f>
        <v/>
      </c>
      <c r="N69" s="15">
        <f>IF(OR(N67="",J67=""),"",IF(J67&lt;=0,"",IFERROR(N67/J67-1,"")))</f>
        <v/>
      </c>
      <c r="O69" s="14" t="n"/>
      <c r="P69" s="15">
        <f>IF(OR(P67="",O67=""),"",IF(O67&lt;=0,"",IFERROR(P67/O67-1,"")))</f>
        <v/>
      </c>
      <c r="Q69" s="15">
        <f>IF(OR(Q67="",P67=""),"",IF(P67&lt;=0,"",IFERROR(Q67/P67-1,"")))</f>
        <v/>
      </c>
      <c r="R69" s="15">
        <f>IF(OR(R67="",Q67=""),"",IF(Q67&lt;=0,"",IFERROR(R67/Q67-1,"")))</f>
        <v/>
      </c>
      <c r="S69" s="15">
        <f>IF(OR(S67="",R67=""),"",IF(R67&lt;=0,"",IFERROR(S67/R67-1,"")))</f>
        <v/>
      </c>
      <c r="T69" s="15">
        <f>IF(OR(T67="",S67=""),"",IF(S67&lt;=0,"",IFERROR(T67/S67-1,"")))</f>
        <v/>
      </c>
      <c r="U69" s="15">
        <f>IF(OR(U67="",T67=""),"",IF(T67&lt;=0,"",IFERROR(U67/T67-1,"")))</f>
        <v/>
      </c>
      <c r="V69" s="15">
        <f>IF(OR(V67="",U67=""),"",IF(U67&lt;=0,"",IFERROR(V67/U67-1,"")))</f>
        <v/>
      </c>
      <c r="W69" s="15">
        <f>IF(OR(W67="",V67=""),"",IF(V67&lt;=0,"",IFERROR(W67/V67-1,"")))</f>
        <v/>
      </c>
      <c r="X69" s="15">
        <f>IF(OR(X67="",W67=""),"",IF(W67&lt;=0,"",IFERROR(X67/W67-1,"")))</f>
        <v/>
      </c>
      <c r="Y69" s="14">
        <f>IF(OR(Y67="",X67=""),"",IF(X67&lt;=0,"",IFERROR(Y67/X67-1,"")))</f>
        <v/>
      </c>
      <c r="Z69" s="15">
        <f>IF(OR(Z67="",Y67=""),"",IF(Y67&lt;=0,"",IFERROR(Z67/Y67-1,"")))</f>
        <v/>
      </c>
      <c r="AA69" s="15">
        <f>IF(OR(AA67="",Z67=""),"",IF(Z67&lt;=0,"",IFERROR(AA67/Z67-1,"")))</f>
        <v/>
      </c>
      <c r="AB69" s="15">
        <f>IF(OR(AB67="",AA67=""),"",IF(AA67&lt;=0,"",IFERROR(AB67/AA67-1,"")))</f>
        <v/>
      </c>
      <c r="AC69" s="15">
        <f>IF(OR(AC67="",AB67=""),"",IF(AB67&lt;=0,"",IFERROR(AC67/AB67-1,"")))</f>
        <v/>
      </c>
    </row>
    <row r="70">
      <c r="A70" s="16" t="inlineStr">
        <is>
          <t>목표주가 산출</t>
        </is>
      </c>
      <c r="B70" s="16" t="n"/>
      <c r="C70" s="17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7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7" t="n"/>
      <c r="Z70" s="16" t="n"/>
      <c r="AA70" s="16" t="n"/>
      <c r="AB70" s="16" t="n"/>
      <c r="AC70" s="16" t="n"/>
    </row>
    <row r="71">
      <c r="A71" s="18" t="inlineStr">
        <is>
          <t>현재 주가 (2026.10.28)</t>
        </is>
      </c>
      <c r="B71" s="27" t="n">
        <v>2816</v>
      </c>
      <c r="C71" s="28" t="n"/>
      <c r="D71" s="29" t="n"/>
      <c r="E71" s="29" t="n"/>
      <c r="F71" s="29" t="n"/>
      <c r="G71" s="29" t="n"/>
      <c r="H71" s="29" t="n"/>
      <c r="I71" s="29" t="n"/>
      <c r="J71" s="29" t="n"/>
      <c r="K71" s="29" t="n"/>
      <c r="L71" s="29" t="n"/>
      <c r="M71" s="29" t="n"/>
      <c r="N71" s="29" t="n"/>
      <c r="O71" s="28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8" t="n"/>
      <c r="Z71" s="29" t="n"/>
      <c r="AA71" s="29" t="n"/>
      <c r="AB71" s="29" t="n"/>
      <c r="AC71" s="29" t="n"/>
    </row>
    <row r="72">
      <c r="A72" s="18" t="inlineStr">
        <is>
          <t>발행주식수 (보통주)</t>
        </is>
      </c>
      <c r="B72" s="27" t="n">
        <v>35784000</v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8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8" t="n"/>
      <c r="Z72" s="29" t="n"/>
      <c r="AA72" s="29" t="n"/>
      <c r="AB72" s="29" t="n"/>
      <c r="AC72" s="29" t="n"/>
    </row>
    <row r="73">
      <c r="A73" s="18" t="inlineStr">
        <is>
          <t>시가총액 (백만엔)</t>
        </is>
      </c>
      <c r="B73" s="12">
        <f>IF(OR(B71="",B72=""),"",B71*B72/1000000.0)</f>
        <v/>
      </c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19" t="n"/>
      <c r="Z73" s="20" t="n"/>
      <c r="AA73" s="20" t="n"/>
      <c r="AB73" s="20" t="n"/>
      <c r="AC73" s="20" t="n"/>
    </row>
    <row r="74">
      <c r="A74" s="13" t="inlineStr">
        <is>
          <t>OPM</t>
        </is>
      </c>
      <c r="B74" s="10" t="n"/>
      <c r="C74" s="14" t="n"/>
      <c r="D74" s="15" t="n"/>
      <c r="E74" s="15" t="n"/>
      <c r="F74" s="15" t="n"/>
      <c r="G74" s="15" t="n"/>
      <c r="H74" s="15" t="n"/>
      <c r="I74" s="15" t="n"/>
      <c r="J74" s="15" t="n"/>
      <c r="K74" s="15" t="n"/>
      <c r="L74" s="15" t="n"/>
      <c r="M74" s="15" t="n"/>
      <c r="N74" s="15" t="n"/>
      <c r="O74" s="14">
        <f>IF(O38="","",O38)</f>
        <v/>
      </c>
      <c r="P74" s="15">
        <f>IF(P38="","",P38)</f>
        <v/>
      </c>
      <c r="Q74" s="15">
        <f>IF(Q38="","",Q38)</f>
        <v/>
      </c>
      <c r="R74" s="15">
        <f>IF(R38="","",R38)</f>
        <v/>
      </c>
      <c r="S74" s="15">
        <f>IF(S38="","",S38)</f>
        <v/>
      </c>
      <c r="T74" s="15">
        <f>IF(T38="","",T38)</f>
        <v/>
      </c>
      <c r="U74" s="15">
        <f>IF(U38="","",U38)</f>
        <v/>
      </c>
      <c r="V74" s="15">
        <f>IF(V38="","",V38)</f>
        <v/>
      </c>
      <c r="W74" s="15">
        <f>IF(W38="","",W38)</f>
        <v/>
      </c>
      <c r="X74" s="15">
        <f>IF(X38="","",X38)</f>
        <v/>
      </c>
      <c r="Y74" s="14">
        <f>IF(Y38="","",Y38)</f>
        <v/>
      </c>
      <c r="Z74" s="15">
        <f>IF(Z38="","",Z38)</f>
        <v/>
      </c>
      <c r="AA74" s="15">
        <f>IF(AA38="","",AA38)</f>
        <v/>
      </c>
      <c r="AB74" s="15">
        <f>IF(AB38="","",AB38)</f>
        <v/>
      </c>
      <c r="AC74" s="15">
        <f>IF(AC38="","",AC38)</f>
        <v/>
      </c>
    </row>
    <row r="75">
      <c r="A75" s="13" t="inlineStr">
        <is>
          <t>지배주주 순이익 증가율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>
        <f>IF(OR(P67="",O67=""),"",IFERROR(P67/O67-1,""))</f>
        <v/>
      </c>
      <c r="Q75" s="15">
        <f>IF(OR(Q67="",P67=""),"",IFERROR(Q67/P67-1,""))</f>
        <v/>
      </c>
      <c r="R75" s="15">
        <f>IF(OR(R67="",Q67=""),"",IFERROR(R67/Q67-1,""))</f>
        <v/>
      </c>
      <c r="S75" s="15">
        <f>IF(OR(S67="",R67=""),"",IFERROR(S67/R67-1,""))</f>
        <v/>
      </c>
      <c r="T75" s="15">
        <f>IF(OR(T67="",S67=""),"",IFERROR(T67/S67-1,""))</f>
        <v/>
      </c>
      <c r="U75" s="15">
        <f>IF(OR(U67="",T67=""),"",IFERROR(U67/T67-1,""))</f>
        <v/>
      </c>
      <c r="V75" s="15">
        <f>IF(OR(V67="",U67=""),"",IFERROR(V67/U67-1,""))</f>
        <v/>
      </c>
      <c r="W75" s="15">
        <f>IF(OR(W67="",V67=""),"",IFERROR(W67/V67-1,""))</f>
        <v/>
      </c>
      <c r="X75" s="15">
        <f>IF(OR(X67="",W67=""),"",IFERROR(X67/W67-1,""))</f>
        <v/>
      </c>
      <c r="Y75" s="14">
        <f>IF(OR(Y67="",X67=""),"",IFERROR(Y67/X67-1,""))</f>
        <v/>
      </c>
      <c r="Z75" s="15">
        <f>IF(OR(Z67="",Y67=""),"",IFERROR(Z67/Y67-1,""))</f>
        <v/>
      </c>
      <c r="AA75" s="15">
        <f>IF(OR(AA67="",Z67=""),"",IFERROR(AA67/Z67-1,""))</f>
        <v/>
      </c>
      <c r="AB75" s="15">
        <f>IF(OR(AB67="",AA67=""),"",IFERROR(AB67/AA67-1,""))</f>
        <v/>
      </c>
      <c r="AC75" s="15">
        <f>IF(OR(AC67="",AB67=""),"",IFERROR(AC67/AB67-1,""))</f>
        <v/>
      </c>
    </row>
    <row r="76">
      <c r="A76" s="18" t="inlineStr">
        <is>
          <t>P/E (현재 주가)</t>
        </is>
      </c>
      <c r="B76" s="10" t="inlineStr">
        <is>
          <t>시총 ÷ 지배순이익</t>
        </is>
      </c>
      <c r="C76" s="30" t="n"/>
      <c r="D76" s="31" t="n"/>
      <c r="E76" s="31" t="n"/>
      <c r="F76" s="31" t="n"/>
      <c r="G76" s="31" t="n"/>
      <c r="H76" s="31" t="n"/>
      <c r="I76" s="31" t="n"/>
      <c r="J76" s="31" t="n"/>
      <c r="K76" s="31" t="n"/>
      <c r="L76" s="31" t="n"/>
      <c r="M76" s="31" t="n"/>
      <c r="N76" s="31" t="n"/>
      <c r="O76" s="30" t="n"/>
      <c r="P76" s="31" t="n"/>
      <c r="Q76" s="31" t="n"/>
      <c r="R76" s="31" t="n"/>
      <c r="S76" s="31" t="n"/>
      <c r="T76" s="31" t="n"/>
      <c r="U76" s="31" t="n"/>
      <c r="V76" s="31" t="n"/>
      <c r="W76" s="31" t="n"/>
      <c r="X76" s="31">
        <f>IF(OR($B$73="",X67=""),"",IFERROR($B$73/X67,""))</f>
        <v/>
      </c>
      <c r="Y76" s="30">
        <f>IF(OR($B$73="",Y67=""),"",IFERROR($B$73/Y67,""))</f>
        <v/>
      </c>
      <c r="Z76" s="31">
        <f>IF(OR($B$73="",Z67=""),"",IFERROR($B$73/Z67,""))</f>
        <v/>
      </c>
      <c r="AA76" s="31">
        <f>IF(OR($B$73="",AA67=""),"",IFERROR($B$73/AA67,""))</f>
        <v/>
      </c>
      <c r="AB76" s="31">
        <f>IF(OR($B$73="",AB67=""),"",IFERROR($B$73/AB67,""))</f>
        <v/>
      </c>
      <c r="AC76" s="31">
        <f>IF(OR($B$73="",AC67=""),"",IFERROR($B$73/AC67,""))</f>
        <v/>
      </c>
    </row>
    <row r="77">
      <c r="A77" s="18" t="inlineStr">
        <is>
          <t>Target P/E</t>
        </is>
      </c>
      <c r="B77" s="10" t="inlineStr">
        <is>
          <t>직접 입력</t>
        </is>
      </c>
      <c r="C77" s="30" t="n"/>
      <c r="D77" s="31" t="n"/>
      <c r="E77" s="31" t="n"/>
      <c r="F77" s="31" t="n"/>
      <c r="G77" s="31" t="n"/>
      <c r="H77" s="31" t="n"/>
      <c r="I77" s="31" t="n"/>
      <c r="J77" s="31" t="n"/>
      <c r="K77" s="31" t="n"/>
      <c r="L77" s="31" t="n"/>
      <c r="M77" s="31" t="n"/>
      <c r="N77" s="31" t="n"/>
      <c r="O77" s="30" t="n"/>
      <c r="P77" s="31" t="n"/>
      <c r="Q77" s="31" t="n"/>
      <c r="R77" s="31" t="n"/>
      <c r="S77" s="31" t="n"/>
      <c r="T77" s="31" t="n"/>
      <c r="U77" s="31" t="n"/>
      <c r="V77" s="31" t="n"/>
      <c r="W77" s="31" t="n"/>
      <c r="X77" s="31" t="n"/>
      <c r="Y77" s="32" t="n"/>
      <c r="Z77" s="33" t="n"/>
      <c r="AA77" s="33" t="n"/>
      <c r="AB77" s="33" t="n"/>
      <c r="AC77" s="33" t="n"/>
    </row>
    <row r="78">
      <c r="A78" s="18" t="inlineStr">
        <is>
          <t>EPS</t>
        </is>
      </c>
      <c r="B78" s="10" t="inlineStr">
        <is>
          <t>지배순이익 ÷ 주식수</t>
        </is>
      </c>
      <c r="C78" s="28" t="n"/>
      <c r="D78" s="29" t="n"/>
      <c r="E78" s="29" t="n"/>
      <c r="F78" s="29" t="n"/>
      <c r="G78" s="29" t="n"/>
      <c r="H78" s="29" t="n"/>
      <c r="I78" s="29" t="n"/>
      <c r="J78" s="29" t="n"/>
      <c r="K78" s="29" t="n"/>
      <c r="L78" s="29" t="n"/>
      <c r="M78" s="29" t="n"/>
      <c r="N78" s="29" t="n"/>
      <c r="O78" s="28">
        <f>IF(OR(O67="",$B$72=""),"",IFERROR(O67*1000000.0/$B$72,""))</f>
        <v/>
      </c>
      <c r="P78" s="29">
        <f>IF(OR(P67="",$B$72=""),"",IFERROR(P67*1000000.0/$B$72,""))</f>
        <v/>
      </c>
      <c r="Q78" s="29">
        <f>IF(OR(Q67="",$B$72=""),"",IFERROR(Q67*1000000.0/$B$72,""))</f>
        <v/>
      </c>
      <c r="R78" s="29">
        <f>IF(OR(R67="",$B$72=""),"",IFERROR(R67*1000000.0/$B$72,""))</f>
        <v/>
      </c>
      <c r="S78" s="29">
        <f>IF(OR(S67="",$B$72=""),"",IFERROR(S67*1000000.0/$B$72,""))</f>
        <v/>
      </c>
      <c r="T78" s="29">
        <f>IF(OR(T67="",$B$72=""),"",IFERROR(T67*1000000.0/$B$72,""))</f>
        <v/>
      </c>
      <c r="U78" s="29">
        <f>IF(OR(U67="",$B$72=""),"",IFERROR(U67*1000000.0/$B$72,""))</f>
        <v/>
      </c>
      <c r="V78" s="29">
        <f>IF(OR(V67="",$B$72=""),"",IFERROR(V67*1000000.0/$B$72,""))</f>
        <v/>
      </c>
      <c r="W78" s="29">
        <f>IF(OR(W67="",$B$72=""),"",IFERROR(W67*1000000.0/$B$72,""))</f>
        <v/>
      </c>
      <c r="X78" s="29">
        <f>IF(OR(X67="",$B$72=""),"",IFERROR(X67*1000000.0/$B$72,""))</f>
        <v/>
      </c>
      <c r="Y78" s="28">
        <f>IF(OR(Y67="",$B$72=""),"",IFERROR(Y67*1000000.0/$B$72,""))</f>
        <v/>
      </c>
      <c r="Z78" s="29">
        <f>IF(OR(Z67="",$B$72=""),"",IFERROR(Z67*1000000.0/$B$72,""))</f>
        <v/>
      </c>
      <c r="AA78" s="29">
        <f>IF(OR(AA67="",$B$72=""),"",IFERROR(AA67*1000000.0/$B$72,""))</f>
        <v/>
      </c>
      <c r="AB78" s="29">
        <f>IF(OR(AB67="",$B$72=""),"",IFERROR(AB67*1000000.0/$B$72,""))</f>
        <v/>
      </c>
      <c r="AC78" s="29">
        <f>IF(OR(AC67="",$B$72=""),"",IFERROR(AC67*1000000.0/$B$72,""))</f>
        <v/>
      </c>
    </row>
    <row r="79">
      <c r="A79" s="9" t="inlineStr">
        <is>
          <t>목표주가</t>
        </is>
      </c>
      <c r="B79" s="10" t="n"/>
      <c r="C79" s="34" t="n"/>
      <c r="D79" s="27" t="n"/>
      <c r="E79" s="27" t="n"/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  <c r="O79" s="34" t="n"/>
      <c r="P79" s="27" t="n"/>
      <c r="Q79" s="27" t="n"/>
      <c r="R79" s="27" t="n"/>
      <c r="S79" s="27" t="n"/>
      <c r="T79" s="27" t="n"/>
      <c r="U79" s="27" t="n"/>
      <c r="V79" s="27" t="n"/>
      <c r="W79" s="27" t="n"/>
      <c r="X79" s="27" t="n"/>
      <c r="Y79" s="34">
        <f>IF(OR(Y78="",Y77=""),"",IFERROR(Y78*Y77,""))</f>
        <v/>
      </c>
      <c r="Z79" s="27">
        <f>IF(OR(Z78="",Z77=""),"",IFERROR(Z78*Z77,""))</f>
        <v/>
      </c>
      <c r="AA79" s="27">
        <f>IF(OR(AA78="",AA77=""),"",IFERROR(AA78*AA77,""))</f>
        <v/>
      </c>
      <c r="AB79" s="27">
        <f>IF(OR(AB78="",AB77=""),"",IFERROR(AB78*AB77,""))</f>
        <v/>
      </c>
      <c r="AC79" s="27">
        <f>IF(OR(AC78="",AC77=""),"",IFERROR(AC78*AC77,""))</f>
        <v/>
      </c>
    </row>
    <row r="80">
      <c r="A80" s="18" t="inlineStr">
        <is>
          <t>상승여력</t>
        </is>
      </c>
      <c r="B80" s="10" t="n"/>
      <c r="C80" s="35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5" t="n"/>
      <c r="P80" s="36" t="n"/>
      <c r="Q80" s="36" t="n"/>
      <c r="R80" s="36" t="n"/>
      <c r="S80" s="36" t="n"/>
      <c r="T80" s="36" t="n"/>
      <c r="U80" s="36" t="n"/>
      <c r="V80" s="36" t="n"/>
      <c r="W80" s="36" t="n"/>
      <c r="X80" s="36" t="n"/>
      <c r="Y80" s="37">
        <f>IF(OR(Y79="",$B$71=""),"",IFERROR(Y79/$B$71-1,""))</f>
        <v/>
      </c>
      <c r="Z80" s="38">
        <f>IF(OR(Z79="",$B$71=""),"",IFERROR(Z79/$B$71-1,""))</f>
        <v/>
      </c>
      <c r="AA80" s="38">
        <f>IF(OR(AA79="",$B$71=""),"",IFERROR(AA79/$B$71-1,""))</f>
        <v/>
      </c>
      <c r="AB80" s="38">
        <f>IF(OR(AB79="",$B$71=""),"",IFERROR(AB79/$B$71-1,""))</f>
        <v/>
      </c>
      <c r="AC80" s="38">
        <f>IF(OR(AC79="",$B$71=""),"",IFERROR(AC79/$B$71-1,""))</f>
        <v/>
      </c>
    </row>
    <row r="81">
      <c r="A81" s="16" t="inlineStr">
        <is>
          <t>자산가치 산출</t>
        </is>
      </c>
      <c r="B81" s="16" t="inlineStr">
        <is>
          <t>최신 분기 BS</t>
        </is>
      </c>
      <c r="C81" s="17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7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7" t="n"/>
      <c r="Z81" s="16" t="n"/>
      <c r="AA81" s="16" t="n"/>
      <c r="AB81" s="16" t="n"/>
      <c r="AC81" s="16" t="n"/>
    </row>
    <row r="82">
      <c r="A82" s="18" t="inlineStr">
        <is>
          <t>현금및현금성자산</t>
        </is>
      </c>
      <c r="B82" s="10" t="n"/>
      <c r="C82" s="19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19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>
        <f>'재무상태표'!G6</f>
        <v/>
      </c>
      <c r="Y82" s="19">
        <f>'재무상태표'!G6</f>
        <v/>
      </c>
      <c r="Z82" s="20">
        <f>'재무상태표'!G6</f>
        <v/>
      </c>
      <c r="AA82" s="20">
        <f>'재무상태표'!G6</f>
        <v/>
      </c>
      <c r="AB82" s="20">
        <f>'재무상태표'!G6</f>
        <v/>
      </c>
      <c r="AC82" s="20">
        <f>'재무상태표'!G6</f>
        <v/>
      </c>
    </row>
    <row r="83">
      <c r="A83" s="18" t="inlineStr">
        <is>
          <t>단기금융상품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>
        <f>'재무상태표'!G7</f>
        <v/>
      </c>
      <c r="Y83" s="19">
        <f>'재무상태표'!G7</f>
        <v/>
      </c>
      <c r="Z83" s="20">
        <f>'재무상태표'!G7</f>
        <v/>
      </c>
      <c r="AA83" s="20">
        <f>'재무상태표'!G7</f>
        <v/>
      </c>
      <c r="AB83" s="20">
        <f>'재무상태표'!G7</f>
        <v/>
      </c>
      <c r="AC83" s="20">
        <f>'재무상태표'!G7</f>
        <v/>
      </c>
    </row>
    <row r="84">
      <c r="A84" s="18" t="inlineStr">
        <is>
          <t>투자부동산</t>
        </is>
      </c>
      <c r="B84" s="10" t="n"/>
      <c r="C84" s="19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19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>
        <f>'재무상태표'!G14</f>
        <v/>
      </c>
      <c r="Y84" s="19">
        <f>'재무상태표'!G14</f>
        <v/>
      </c>
      <c r="Z84" s="20">
        <f>'재무상태표'!G14</f>
        <v/>
      </c>
      <c r="AA84" s="20">
        <f>'재무상태표'!G14</f>
        <v/>
      </c>
      <c r="AB84" s="20">
        <f>'재무상태표'!G14</f>
        <v/>
      </c>
      <c r="AC84" s="20">
        <f>'재무상태표'!G14</f>
        <v/>
      </c>
    </row>
    <row r="85">
      <c r="A85" s="18" t="inlineStr">
        <is>
          <t>지배자본</t>
        </is>
      </c>
      <c r="B85" s="10" t="n"/>
      <c r="C85" s="19" t="n"/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19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>
        <f>'재무상태표'!G31</f>
        <v/>
      </c>
      <c r="Y85" s="19">
        <f>'재무상태표'!G31</f>
        <v/>
      </c>
      <c r="Z85" s="20">
        <f>'재무상태표'!G31</f>
        <v/>
      </c>
      <c r="AA85" s="20">
        <f>'재무상태표'!G31</f>
        <v/>
      </c>
      <c r="AB85" s="20">
        <f>'재무상태표'!G31</f>
        <v/>
      </c>
      <c r="AC85" s="20">
        <f>'재무상태표'!G31</f>
        <v/>
      </c>
    </row>
    <row r="86">
      <c r="A86" s="18" t="inlineStr">
        <is>
          <t>부채</t>
        </is>
      </c>
      <c r="B86" s="10" t="n"/>
      <c r="C86" s="19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19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>
        <f>'재무상태표'!G27</f>
        <v/>
      </c>
      <c r="Y86" s="19">
        <f>'재무상태표'!G27</f>
        <v/>
      </c>
      <c r="Z86" s="20">
        <f>'재무상태표'!G27</f>
        <v/>
      </c>
      <c r="AA86" s="20">
        <f>'재무상태표'!G27</f>
        <v/>
      </c>
      <c r="AB86" s="20">
        <f>'재무상태표'!G27</f>
        <v/>
      </c>
      <c r="AC86" s="20">
        <f>'재무상태표'!G27</f>
        <v/>
      </c>
    </row>
    <row r="87">
      <c r="A87" s="13" t="inlineStr">
        <is>
          <t>부채비율</t>
        </is>
      </c>
      <c r="B87" s="10" t="n"/>
      <c r="C87" s="14" t="n"/>
      <c r="D87" s="15" t="n"/>
      <c r="E87" s="15" t="n"/>
      <c r="F87" s="15" t="n"/>
      <c r="G87" s="15" t="n"/>
      <c r="H87" s="15" t="n"/>
      <c r="I87" s="15" t="n"/>
      <c r="J87" s="15" t="n"/>
      <c r="K87" s="15" t="n"/>
      <c r="L87" s="15" t="n"/>
      <c r="M87" s="15" t="n"/>
      <c r="N87" s="15" t="n"/>
      <c r="O87" s="14" t="n"/>
      <c r="P87" s="15" t="n"/>
      <c r="Q87" s="15" t="n"/>
      <c r="R87" s="15" t="n"/>
      <c r="S87" s="15" t="n"/>
      <c r="T87" s="15" t="n"/>
      <c r="U87" s="15" t="n"/>
      <c r="V87" s="15" t="n"/>
      <c r="W87" s="15" t="n"/>
      <c r="X87" s="15">
        <f>IF(OR(X86="",X85=""),"",IFERROR(X86/X85,""))</f>
        <v/>
      </c>
      <c r="Y87" s="14">
        <f>IF(OR(Y86="",Y85=""),"",IFERROR(Y86/Y85,""))</f>
        <v/>
      </c>
      <c r="Z87" s="15">
        <f>IF(OR(Z86="",Z85=""),"",IFERROR(Z86/Z85,""))</f>
        <v/>
      </c>
      <c r="AA87" s="15">
        <f>IF(OR(AA86="",AA85=""),"",IFERROR(AA86/AA85,""))</f>
        <v/>
      </c>
      <c r="AB87" s="15">
        <f>IF(OR(AB86="",AB85=""),"",IFERROR(AB86/AB85,""))</f>
        <v/>
      </c>
      <c r="AC87" s="15">
        <f>IF(OR(AC86="",AC85=""),"",IFERROR(AC86/AC85,""))</f>
        <v/>
      </c>
    </row>
    <row r="88">
      <c r="A88" s="9" t="inlineStr">
        <is>
          <t>자산가치</t>
        </is>
      </c>
      <c r="B88" s="10" t="inlineStr">
        <is>
          <t>현금+단기금융+투자부동산</t>
        </is>
      </c>
      <c r="C88" s="11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1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>
        <f>SUM(X82,X83,X84)</f>
        <v/>
      </c>
      <c r="Y88" s="11">
        <f>SUM(Y82,Y83,Y84)</f>
        <v/>
      </c>
      <c r="Z88" s="12">
        <f>SUM(Z82,Z83,Z84)</f>
        <v/>
      </c>
      <c r="AA88" s="12">
        <f>SUM(AA82,AA83,AA84)</f>
        <v/>
      </c>
      <c r="AB88" s="12">
        <f>SUM(AB82,AB83,AB84)</f>
        <v/>
      </c>
      <c r="AC88" s="12">
        <f>SUM(AC82,AC83,AC84)</f>
        <v/>
      </c>
    </row>
    <row r="89">
      <c r="A89" s="16" t="inlineStr">
        <is>
          <t>기업가치 산출</t>
        </is>
      </c>
      <c r="B89" s="16" t="n"/>
      <c r="C89" s="17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7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7" t="n"/>
      <c r="Z89" s="16" t="n"/>
      <c r="AA89" s="16" t="n"/>
      <c r="AB89" s="16" t="n"/>
      <c r="AC89" s="16" t="n"/>
    </row>
    <row r="90">
      <c r="A90" s="18" t="inlineStr">
        <is>
          <t>목표 시가총액 (P/E)</t>
        </is>
      </c>
      <c r="B90" s="10" t="inlineStr">
        <is>
          <t>지배순이익 × Target P/E</t>
        </is>
      </c>
      <c r="C90" s="19" t="n"/>
      <c r="D90" s="20" t="n"/>
      <c r="E90" s="20" t="n"/>
      <c r="F90" s="20" t="n"/>
      <c r="G90" s="20" t="n"/>
      <c r="H90" s="20" t="n"/>
      <c r="I90" s="20" t="n"/>
      <c r="J90" s="20" t="n"/>
      <c r="K90" s="20" t="n"/>
      <c r="L90" s="20" t="n"/>
      <c r="M90" s="20" t="n"/>
      <c r="N90" s="20" t="n"/>
      <c r="O90" s="19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19">
        <f>IF(OR(Y67="",Y77=""),"",IFERROR(Y67*Y77,""))</f>
        <v/>
      </c>
      <c r="Z90" s="20">
        <f>IF(OR(Z67="",Z77=""),"",IFERROR(Z67*Z77,""))</f>
        <v/>
      </c>
      <c r="AA90" s="20">
        <f>IF(OR(AA67="",AA77=""),"",IFERROR(AA67*AA77,""))</f>
        <v/>
      </c>
      <c r="AB90" s="20">
        <f>IF(OR(AB67="",AB77=""),"",IFERROR(AB67*AB77,""))</f>
        <v/>
      </c>
      <c r="AC90" s="20">
        <f>IF(OR(AC67="",AC77=""),"",IFERROR(AC67*AC77,""))</f>
        <v/>
      </c>
    </row>
    <row r="91">
      <c r="A91" s="9" t="inlineStr">
        <is>
          <t>기업가치</t>
        </is>
      </c>
      <c r="B91" s="10" t="inlineStr">
        <is>
          <t>목표시총 + 자산가치</t>
        </is>
      </c>
      <c r="C91" s="11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1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1">
        <f>IF(OR(Y90=""),"",IFERROR(Y90+Y88,""))</f>
        <v/>
      </c>
      <c r="Z91" s="12">
        <f>IF(OR(Z90=""),"",IFERROR(Z90+Z88,""))</f>
        <v/>
      </c>
      <c r="AA91" s="12">
        <f>IF(OR(AA90=""),"",IFERROR(AA90+AA88,""))</f>
        <v/>
      </c>
      <c r="AB91" s="12">
        <f>IF(OR(AB90=""),"",IFERROR(AB90+AB88,""))</f>
        <v/>
      </c>
      <c r="AC91" s="12">
        <f>IF(OR(AC90=""),"",IFERROR(AC90+AC88,""))</f>
        <v/>
      </c>
    </row>
    <row r="92">
      <c r="A92" s="18" t="inlineStr">
        <is>
          <t>현재 시가총액</t>
        </is>
      </c>
      <c r="B92" s="10" t="n"/>
      <c r="C92" s="19" t="n"/>
      <c r="D92" s="20" t="n"/>
      <c r="E92" s="20" t="n"/>
      <c r="F92" s="20" t="n"/>
      <c r="G92" s="20" t="n"/>
      <c r="H92" s="20" t="n"/>
      <c r="I92" s="20" t="n"/>
      <c r="J92" s="20" t="n"/>
      <c r="K92" s="20" t="n"/>
      <c r="L92" s="20" t="n"/>
      <c r="M92" s="20" t="n"/>
      <c r="N92" s="20" t="n"/>
      <c r="O92" s="19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19">
        <f>$B$73</f>
        <v/>
      </c>
      <c r="Z92" s="20">
        <f>$B$73</f>
        <v/>
      </c>
      <c r="AA92" s="20">
        <f>$B$73</f>
        <v/>
      </c>
      <c r="AB92" s="20">
        <f>$B$73</f>
        <v/>
      </c>
      <c r="AC92" s="20">
        <f>$B$73</f>
        <v/>
      </c>
    </row>
    <row r="93">
      <c r="A93" s="18" t="inlineStr">
        <is>
          <t>상승여력</t>
        </is>
      </c>
      <c r="B93" s="10" t="n"/>
      <c r="C93" s="35" t="n"/>
      <c r="D93" s="36" t="n"/>
      <c r="E93" s="36" t="n"/>
      <c r="F93" s="36" t="n"/>
      <c r="G93" s="36" t="n"/>
      <c r="H93" s="36" t="n"/>
      <c r="I93" s="36" t="n"/>
      <c r="J93" s="36" t="n"/>
      <c r="K93" s="36" t="n"/>
      <c r="L93" s="36" t="n"/>
      <c r="M93" s="36" t="n"/>
      <c r="N93" s="36" t="n"/>
      <c r="O93" s="35" t="n"/>
      <c r="P93" s="36" t="n"/>
      <c r="Q93" s="36" t="n"/>
      <c r="R93" s="36" t="n"/>
      <c r="S93" s="36" t="n"/>
      <c r="T93" s="36" t="n"/>
      <c r="U93" s="36" t="n"/>
      <c r="V93" s="36" t="n"/>
      <c r="W93" s="36" t="n"/>
      <c r="X93" s="36" t="n"/>
      <c r="Y93" s="37">
        <f>IF(OR(Y91="",Y92=""),"",IFERROR(Y91/Y92-1,""))</f>
        <v/>
      </c>
      <c r="Z93" s="38">
        <f>IF(OR(Z91="",Z92=""),"",IFERROR(Z91/Z92-1,""))</f>
        <v/>
      </c>
      <c r="AA93" s="38">
        <f>IF(OR(AA91="",AA92=""),"",IFERROR(AA91/AA92-1,""))</f>
        <v/>
      </c>
      <c r="AB93" s="38">
        <f>IF(OR(AB91="",AB92=""),"",IFERROR(AB91/AB92-1,""))</f>
        <v/>
      </c>
      <c r="AC93" s="38">
        <f>IF(OR(AC91="",AC92=""),"",IFERROR(AC91/AC92-1,""))</f>
        <v/>
      </c>
    </row>
    <row r="94">
      <c r="C94" s="39" t="n"/>
      <c r="O94" s="39" t="n"/>
      <c r="Y94" s="39" t="n"/>
    </row>
    <row r="95">
      <c r="A95" s="40" t="inlineStr">
        <is>
          <t>출처</t>
        </is>
      </c>
      <c r="C95" s="39" t="n"/>
      <c r="O95" s="39" t="n"/>
      <c r="Y95" s="39" t="n"/>
    </row>
    <row r="96">
      <c r="A96" s="41" t="inlineStr">
        <is>
          <t>결산단신 XBRL(TDnet·JPX 보관소) — 쓴 문서는 '출처' 시트</t>
        </is>
      </c>
      <c r="C96" s="39" t="n"/>
      <c r="O96" s="39" t="n"/>
      <c r="Y96" s="39" t="n"/>
    </row>
    <row r="97">
      <c r="A97" s="41" t="inlineStr">
        <is>
          <t>분기 = 누계에서 앞 분기를 뺀 3개월 값</t>
        </is>
      </c>
      <c r="C97" s="39" t="n"/>
      <c r="O97" s="39" t="n"/>
      <c r="Y97" s="39" t="n"/>
    </row>
    <row r="98">
      <c r="A98" s="41" t="inlineStr">
        <is>
          <t>주가: 야후 파이낸스 일봉 2026.10.28</t>
        </is>
      </c>
      <c r="C98" s="39" t="n"/>
      <c r="O98" s="39" t="n"/>
      <c r="Y98" s="39" t="n"/>
    </row>
    <row r="100">
      <c r="A100" s="16" t="inlineStr">
        <is>
          <t>손익계산서 · 전 항목</t>
        </is>
      </c>
      <c r="B100" s="42" t="inlineStr">
        <is>
          <t>분기 = 3개월 단독</t>
        </is>
      </c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  <c r="AA100" s="16" t="n"/>
      <c r="AB100" s="16" t="n"/>
      <c r="AC100" s="16" t="n"/>
    </row>
    <row r="101">
      <c r="A101" s="5" t="inlineStr">
        <is>
          <t>항목</t>
        </is>
      </c>
      <c r="B101" s="5" t="inlineStr">
        <is>
          <t>참고</t>
        </is>
      </c>
      <c r="C101" s="5" t="inlineStr">
        <is>
          <t>2024.3Q</t>
        </is>
      </c>
      <c r="D101" s="5" t="inlineStr">
        <is>
          <t>2024.4Q</t>
        </is>
      </c>
      <c r="E101" s="5" t="inlineStr">
        <is>
          <t>2025.1Q</t>
        </is>
      </c>
      <c r="F101" s="5" t="inlineStr">
        <is>
          <t>2025.2Q</t>
        </is>
      </c>
      <c r="G101" s="5" t="inlineStr">
        <is>
          <t>2025.3Q</t>
        </is>
      </c>
      <c r="H101" s="5" t="inlineStr">
        <is>
          <t>2025.4Q</t>
        </is>
      </c>
      <c r="I101" s="5" t="inlineStr">
        <is>
          <t>2026.1Q</t>
        </is>
      </c>
      <c r="J101" s="5" t="inlineStr">
        <is>
          <t>2026.2Q</t>
        </is>
      </c>
      <c r="K101" s="5" t="inlineStr">
        <is>
          <t>2026.3Q</t>
        </is>
      </c>
      <c r="L101" s="5" t="inlineStr">
        <is>
          <t>2026.4Q</t>
        </is>
      </c>
      <c r="M101" s="5" t="inlineStr">
        <is>
          <t>2027.1Q</t>
        </is>
      </c>
      <c r="N101" s="5" t="inlineStr">
        <is>
          <t>2027.2Q</t>
        </is>
      </c>
      <c r="O101" s="5" t="inlineStr">
        <is>
          <t>2017</t>
        </is>
      </c>
      <c r="P101" s="5" t="inlineStr">
        <is>
          <t>2018</t>
        </is>
      </c>
      <c r="Q101" s="5" t="inlineStr">
        <is>
          <t>2019</t>
        </is>
      </c>
      <c r="R101" s="5" t="inlineStr">
        <is>
          <t>2020</t>
        </is>
      </c>
      <c r="S101" s="5" t="inlineStr">
        <is>
          <t>2021</t>
        </is>
      </c>
      <c r="T101" s="5" t="inlineStr">
        <is>
          <t>2022</t>
        </is>
      </c>
      <c r="U101" s="5" t="inlineStr">
        <is>
          <t>2023</t>
        </is>
      </c>
      <c r="V101" s="5" t="inlineStr">
        <is>
          <t>2024</t>
        </is>
      </c>
      <c r="W101" s="5" t="inlineStr">
        <is>
          <t>2025</t>
        </is>
      </c>
      <c r="X101" s="5" t="inlineStr">
        <is>
          <t>2026</t>
        </is>
      </c>
      <c r="Y101" s="5" t="inlineStr">
        <is>
          <t>2027(MW)</t>
        </is>
      </c>
      <c r="Z101" s="5" t="inlineStr">
        <is>
          <t>2028(MW)</t>
        </is>
      </c>
      <c r="AA101" s="5" t="inlineStr">
        <is>
          <t>2029(MW)</t>
        </is>
      </c>
      <c r="AB101" s="5" t="inlineStr">
        <is>
          <t>2030(MW)</t>
        </is>
      </c>
      <c r="AC101" s="5" t="inlineStr">
        <is>
          <t>2031(MW)</t>
        </is>
      </c>
    </row>
    <row r="102">
      <c r="A102" s="9" t="inlineStr">
        <is>
          <t>매출액</t>
        </is>
      </c>
      <c r="C102" s="12" t="n">
        <v>6496</v>
      </c>
      <c r="D102" s="12" t="n">
        <v>12062</v>
      </c>
      <c r="E102" s="12" t="n">
        <v>6741</v>
      </c>
      <c r="F102" s="12" t="n">
        <v>6967</v>
      </c>
      <c r="G102" s="12" t="n">
        <v>10544</v>
      </c>
      <c r="H102" s="12" t="n">
        <v>5042</v>
      </c>
      <c r="I102" s="12" t="n">
        <v>10758</v>
      </c>
      <c r="J102" s="12" t="n">
        <v>5238</v>
      </c>
      <c r="K102" s="12" t="n">
        <v>6917</v>
      </c>
      <c r="L102" s="12" t="n">
        <v>7532</v>
      </c>
      <c r="M102" s="12" t="n">
        <v>17143</v>
      </c>
      <c r="N102" s="12" t="n">
        <v>4465</v>
      </c>
      <c r="T102" s="12" t="n">
        <v>4153</v>
      </c>
      <c r="U102" s="12" t="n">
        <v>4006</v>
      </c>
      <c r="V102" s="12" t="n">
        <v>12062</v>
      </c>
      <c r="W102" s="12" t="n">
        <v>5042</v>
      </c>
      <c r="X102" s="12" t="n">
        <v>7532</v>
      </c>
    </row>
    <row r="103">
      <c r="A103" s="43" t="inlineStr">
        <is>
          <t>YoY</t>
        </is>
      </c>
      <c r="B103" s="3" t="inlineStr">
        <is>
          <t>전년 같은 분기·전년 대비</t>
        </is>
      </c>
      <c r="G103" s="15">
        <f>IF(OR(G102="",C102=""),"",IF(C102&lt;=0,"",IFERROR(G102/C102-1,"")))</f>
        <v/>
      </c>
      <c r="H103" s="15">
        <f>IF(OR(H102="",D102=""),"",IF(D102&lt;=0,"",IFERROR(H102/D102-1,"")))</f>
        <v/>
      </c>
      <c r="I103" s="15">
        <f>IF(OR(I102="",E102=""),"",IF(E102&lt;=0,"",IFERROR(I102/E102-1,"")))</f>
        <v/>
      </c>
      <c r="J103" s="15">
        <f>IF(OR(J102="",F102=""),"",IF(F102&lt;=0,"",IFERROR(J102/F102-1,"")))</f>
        <v/>
      </c>
      <c r="K103" s="15">
        <f>IF(OR(K102="",G102=""),"",IF(G102&lt;=0,"",IFERROR(K102/G102-1,"")))</f>
        <v/>
      </c>
      <c r="L103" s="15">
        <f>IF(OR(L102="",H102=""),"",IF(H102&lt;=0,"",IFERROR(L102/H102-1,"")))</f>
        <v/>
      </c>
      <c r="M103" s="15">
        <f>IF(OR(M102="",I102=""),"",IF(I102&lt;=0,"",IFERROR(M102/I102-1,"")))</f>
        <v/>
      </c>
      <c r="N103" s="15">
        <f>IF(OR(N102="",J102=""),"",IF(J102&lt;=0,"",IFERROR(N102/J102-1,"")))</f>
        <v/>
      </c>
      <c r="T103" s="15">
        <f>IF(OR(T102="",S102=""),"",IF(S102&lt;=0,"",IFERROR(T102/S102-1,"")))</f>
        <v/>
      </c>
      <c r="U103" s="15">
        <f>IF(OR(U102="",T102=""),"",IF(T102&lt;=0,"",IFERROR(U102/T102-1,"")))</f>
        <v/>
      </c>
      <c r="V103" s="15">
        <f>IF(OR(V102="",U102=""),"",IF(U102&lt;=0,"",IFERROR(V102/U102-1,"")))</f>
        <v/>
      </c>
      <c r="W103" s="15">
        <f>IF(OR(W102="",V102=""),"",IF(V102&lt;=0,"",IFERROR(W102/V102-1,"")))</f>
        <v/>
      </c>
      <c r="X103" s="15">
        <f>IF(OR(X102="",W102=""),"",IF(W102&lt;=0,"",IFERROR(X102/W102-1,"")))</f>
        <v/>
      </c>
    </row>
    <row r="104">
      <c r="A104" s="18" t="inlineStr">
        <is>
          <t>매출원가</t>
        </is>
      </c>
      <c r="C104" s="20" t="n">
        <v>3940</v>
      </c>
      <c r="D104" s="20" t="n">
        <v>5902</v>
      </c>
      <c r="E104" s="20" t="n">
        <v>3280</v>
      </c>
      <c r="F104" s="20" t="n">
        <v>3512</v>
      </c>
      <c r="G104" s="20" t="n">
        <v>5597</v>
      </c>
      <c r="H104" s="20" t="n">
        <v>2580</v>
      </c>
      <c r="I104" s="20" t="n">
        <v>5174</v>
      </c>
      <c r="J104" s="20" t="n">
        <v>2251</v>
      </c>
      <c r="K104" s="20" t="n">
        <v>3387</v>
      </c>
      <c r="L104" s="20" t="n">
        <v>3772</v>
      </c>
      <c r="M104" s="20" t="n">
        <v>6114</v>
      </c>
      <c r="N104" s="20" t="n">
        <v>2001</v>
      </c>
      <c r="T104" s="20" t="n">
        <v>2212</v>
      </c>
      <c r="U104" s="20" t="n">
        <v>1993</v>
      </c>
      <c r="V104" s="20" t="n">
        <v>5902</v>
      </c>
      <c r="W104" s="20" t="n">
        <v>2580</v>
      </c>
      <c r="X104" s="20" t="n">
        <v>3772</v>
      </c>
    </row>
    <row r="105">
      <c r="A105" s="43" t="inlineStr">
        <is>
          <t>YoY</t>
        </is>
      </c>
      <c r="B105" s="3" t="inlineStr">
        <is>
          <t>전년 같은 분기·전년 대비</t>
        </is>
      </c>
      <c r="G105" s="15">
        <f>IF(OR(G104="",C104=""),"",IF(G104*C104&lt;=0,"",IFERROR(G104/C104-1,"")))</f>
        <v/>
      </c>
      <c r="H105" s="15">
        <f>IF(OR(H104="",D104=""),"",IF(H104*D104&lt;=0,"",IFERROR(H104/D104-1,"")))</f>
        <v/>
      </c>
      <c r="I105" s="15">
        <f>IF(OR(I104="",E104=""),"",IF(I104*E104&lt;=0,"",IFERROR(I104/E104-1,"")))</f>
        <v/>
      </c>
      <c r="J105" s="15">
        <f>IF(OR(J104="",F104=""),"",IF(J104*F104&lt;=0,"",IFERROR(J104/F104-1,"")))</f>
        <v/>
      </c>
      <c r="K105" s="15">
        <f>IF(OR(K104="",G104=""),"",IF(K104*G104&lt;=0,"",IFERROR(K104/G104-1,"")))</f>
        <v/>
      </c>
      <c r="L105" s="15">
        <f>IF(OR(L104="",H104=""),"",IF(L104*H104&lt;=0,"",IFERROR(L104/H104-1,"")))</f>
        <v/>
      </c>
      <c r="M105" s="15">
        <f>IF(OR(M104="",I104=""),"",IF(M104*I104&lt;=0,"",IFERROR(M104/I104-1,"")))</f>
        <v/>
      </c>
      <c r="N105" s="15">
        <f>IF(OR(N104="",J104=""),"",IF(N104*J104&lt;=0,"",IFERROR(N104/J104-1,"")))</f>
        <v/>
      </c>
      <c r="T105" s="15">
        <f>IF(OR(T104="",S104=""),"",IF(T104*S104&lt;=0,"",IFERROR(T104/S104-1,"")))</f>
        <v/>
      </c>
      <c r="U105" s="15">
        <f>IF(OR(U104="",T104=""),"",IF(U104*T104&lt;=0,"",IFERROR(U104/T104-1,"")))</f>
        <v/>
      </c>
      <c r="V105" s="15">
        <f>IF(OR(V104="",U104=""),"",IF(V104*U104&lt;=0,"",IFERROR(V104/U104-1,"")))</f>
        <v/>
      </c>
      <c r="W105" s="15">
        <f>IF(OR(W104="",V104=""),"",IF(W104*V104&lt;=0,"",IFERROR(W104/V104-1,"")))</f>
        <v/>
      </c>
      <c r="X105" s="15">
        <f>IF(OR(X104="",W104=""),"",IF(X104*W104&lt;=0,"",IFERROR(X104/W104-1,"")))</f>
        <v/>
      </c>
    </row>
    <row r="106">
      <c r="A106" s="9" t="inlineStr">
        <is>
          <t>매출총이익</t>
        </is>
      </c>
      <c r="C106" s="12" t="n">
        <v>2557</v>
      </c>
      <c r="D106" s="12" t="n">
        <v>6159</v>
      </c>
      <c r="E106" s="12" t="n">
        <v>3461</v>
      </c>
      <c r="F106" s="12" t="n">
        <v>3455</v>
      </c>
      <c r="G106" s="12" t="n">
        <v>4946</v>
      </c>
      <c r="H106" s="12" t="n">
        <v>2463</v>
      </c>
      <c r="I106" s="12" t="n">
        <v>5583</v>
      </c>
      <c r="J106" s="12" t="n">
        <v>2988</v>
      </c>
      <c r="K106" s="12" t="n">
        <v>3530</v>
      </c>
      <c r="L106" s="12" t="n">
        <v>3760</v>
      </c>
      <c r="M106" s="12" t="n">
        <v>11029</v>
      </c>
      <c r="N106" s="12" t="n">
        <v>2463</v>
      </c>
      <c r="T106" s="12" t="n">
        <v>1941</v>
      </c>
      <c r="U106" s="12" t="n">
        <v>2012</v>
      </c>
      <c r="V106" s="12" t="n">
        <v>6159</v>
      </c>
      <c r="W106" s="12" t="n">
        <v>2463</v>
      </c>
      <c r="X106" s="12" t="n">
        <v>3760</v>
      </c>
    </row>
    <row r="107">
      <c r="A107" s="43" t="inlineStr">
        <is>
          <t>YoY</t>
        </is>
      </c>
      <c r="B107" s="3" t="inlineStr">
        <is>
          <t>전년 같은 분기·전년 대비</t>
        </is>
      </c>
      <c r="G107" s="15">
        <f>IF(OR(G106="",C106=""),"",IF(C106&lt;=0,"",IFERROR(G106/C106-1,"")))</f>
        <v/>
      </c>
      <c r="H107" s="15">
        <f>IF(OR(H106="",D106=""),"",IF(D106&lt;=0,"",IFERROR(H106/D106-1,"")))</f>
        <v/>
      </c>
      <c r="I107" s="15">
        <f>IF(OR(I106="",E106=""),"",IF(E106&lt;=0,"",IFERROR(I106/E106-1,"")))</f>
        <v/>
      </c>
      <c r="J107" s="15">
        <f>IF(OR(J106="",F106=""),"",IF(F106&lt;=0,"",IFERROR(J106/F106-1,"")))</f>
        <v/>
      </c>
      <c r="K107" s="15">
        <f>IF(OR(K106="",G106=""),"",IF(G106&lt;=0,"",IFERROR(K106/G106-1,"")))</f>
        <v/>
      </c>
      <c r="L107" s="15">
        <f>IF(OR(L106="",H106=""),"",IF(H106&lt;=0,"",IFERROR(L106/H106-1,"")))</f>
        <v/>
      </c>
      <c r="M107" s="15">
        <f>IF(OR(M106="",I106=""),"",IF(I106&lt;=0,"",IFERROR(M106/I106-1,"")))</f>
        <v/>
      </c>
      <c r="N107" s="15">
        <f>IF(OR(N106="",J106=""),"",IF(J106&lt;=0,"",IFERROR(N106/J106-1,"")))</f>
        <v/>
      </c>
      <c r="T107" s="15">
        <f>IF(OR(T106="",S106=""),"",IF(S106&lt;=0,"",IFERROR(T106/S106-1,"")))</f>
        <v/>
      </c>
      <c r="U107" s="15">
        <f>IF(OR(U106="",T106=""),"",IF(T106&lt;=0,"",IFERROR(U106/T106-1,"")))</f>
        <v/>
      </c>
      <c r="V107" s="15">
        <f>IF(OR(V106="",U106=""),"",IF(U106&lt;=0,"",IFERROR(V106/U106-1,"")))</f>
        <v/>
      </c>
      <c r="W107" s="15">
        <f>IF(OR(W106="",V106=""),"",IF(V106&lt;=0,"",IFERROR(W106/V106-1,"")))</f>
        <v/>
      </c>
      <c r="X107" s="15">
        <f>IF(OR(X106="",W106=""),"",IF(W106&lt;=0,"",IFERROR(X106/W106-1,"")))</f>
        <v/>
      </c>
    </row>
    <row r="108">
      <c r="A108" s="18" t="inlineStr">
        <is>
          <t>판매비와 관리비</t>
        </is>
      </c>
      <c r="C108" s="20" t="n">
        <v>1516</v>
      </c>
      <c r="D108" s="20" t="n">
        <v>1847</v>
      </c>
      <c r="E108" s="20" t="n">
        <v>1691</v>
      </c>
      <c r="F108" s="20" t="n">
        <v>1577</v>
      </c>
      <c r="G108" s="20" t="n">
        <v>1747</v>
      </c>
      <c r="H108" s="20" t="n">
        <v>1791</v>
      </c>
      <c r="I108" s="20" t="n">
        <v>1764</v>
      </c>
      <c r="J108" s="20" t="n">
        <v>1576</v>
      </c>
      <c r="K108" s="20" t="n">
        <v>1627</v>
      </c>
      <c r="L108" s="20" t="n">
        <v>1984</v>
      </c>
      <c r="M108" s="20" t="n">
        <v>2160</v>
      </c>
      <c r="N108" s="20" t="n">
        <v>1851</v>
      </c>
      <c r="T108" s="20" t="n">
        <v>1082</v>
      </c>
      <c r="U108" s="20" t="n">
        <v>1690</v>
      </c>
      <c r="V108" s="20" t="n">
        <v>1847</v>
      </c>
      <c r="W108" s="20" t="n">
        <v>1791</v>
      </c>
      <c r="X108" s="20" t="n">
        <v>1984</v>
      </c>
    </row>
    <row r="109">
      <c r="A109" s="43" t="inlineStr">
        <is>
          <t>YoY</t>
        </is>
      </c>
      <c r="B109" s="3" t="inlineStr">
        <is>
          <t>전년 같은 분기·전년 대비</t>
        </is>
      </c>
      <c r="G109" s="15">
        <f>IF(OR(G108="",C108=""),"",IF(G108*C108&lt;=0,"",IFERROR(G108/C108-1,"")))</f>
        <v/>
      </c>
      <c r="H109" s="15">
        <f>IF(OR(H108="",D108=""),"",IF(H108*D108&lt;=0,"",IFERROR(H108/D108-1,"")))</f>
        <v/>
      </c>
      <c r="I109" s="15">
        <f>IF(OR(I108="",E108=""),"",IF(I108*E108&lt;=0,"",IFERROR(I108/E108-1,"")))</f>
        <v/>
      </c>
      <c r="J109" s="15">
        <f>IF(OR(J108="",F108=""),"",IF(J108*F108&lt;=0,"",IFERROR(J108/F108-1,"")))</f>
        <v/>
      </c>
      <c r="K109" s="15">
        <f>IF(OR(K108="",G108=""),"",IF(K108*G108&lt;=0,"",IFERROR(K108/G108-1,"")))</f>
        <v/>
      </c>
      <c r="L109" s="15">
        <f>IF(OR(L108="",H108=""),"",IF(L108*H108&lt;=0,"",IFERROR(L108/H108-1,"")))</f>
        <v/>
      </c>
      <c r="M109" s="15">
        <f>IF(OR(M108="",I108=""),"",IF(M108*I108&lt;=0,"",IFERROR(M108/I108-1,"")))</f>
        <v/>
      </c>
      <c r="N109" s="15">
        <f>IF(OR(N108="",J108=""),"",IF(N108*J108&lt;=0,"",IFERROR(N108/J108-1,"")))</f>
        <v/>
      </c>
      <c r="T109" s="15">
        <f>IF(OR(T108="",S108=""),"",IF(T108*S108&lt;=0,"",IFERROR(T108/S108-1,"")))</f>
        <v/>
      </c>
      <c r="U109" s="15">
        <f>IF(OR(U108="",T108=""),"",IF(U108*T108&lt;=0,"",IFERROR(U108/T108-1,"")))</f>
        <v/>
      </c>
      <c r="V109" s="15">
        <f>IF(OR(V108="",U108=""),"",IF(V108*U108&lt;=0,"",IFERROR(V108/U108-1,"")))</f>
        <v/>
      </c>
      <c r="W109" s="15">
        <f>IF(OR(W108="",V108=""),"",IF(W108*V108&lt;=0,"",IFERROR(W108/V108-1,"")))</f>
        <v/>
      </c>
      <c r="X109" s="15">
        <f>IF(OR(X108="",W108=""),"",IF(X108*W108&lt;=0,"",IFERROR(X108/W108-1,"")))</f>
        <v/>
      </c>
    </row>
    <row r="110">
      <c r="A110" s="9" t="inlineStr">
        <is>
          <t>영업이익</t>
        </is>
      </c>
      <c r="C110" s="12" t="n">
        <v>1041</v>
      </c>
      <c r="D110" s="12" t="n">
        <v>4313</v>
      </c>
      <c r="E110" s="12" t="n">
        <v>1770</v>
      </c>
      <c r="F110" s="12" t="n">
        <v>1878</v>
      </c>
      <c r="G110" s="12" t="n">
        <v>3199</v>
      </c>
      <c r="H110" s="12" t="n">
        <v>671</v>
      </c>
      <c r="I110" s="12" t="n">
        <v>3819</v>
      </c>
      <c r="J110" s="12" t="n">
        <v>1412</v>
      </c>
      <c r="K110" s="12" t="n">
        <v>1902</v>
      </c>
      <c r="L110" s="12" t="n">
        <v>1776</v>
      </c>
      <c r="M110" s="12" t="n">
        <v>8868</v>
      </c>
      <c r="N110" s="12" t="n">
        <v>612</v>
      </c>
      <c r="T110" s="12" t="n">
        <v>859</v>
      </c>
      <c r="U110" s="12" t="n">
        <v>322</v>
      </c>
      <c r="V110" s="12" t="n">
        <v>4313</v>
      </c>
      <c r="W110" s="12" t="n">
        <v>671</v>
      </c>
      <c r="X110" s="12" t="n">
        <v>1776</v>
      </c>
    </row>
    <row r="111">
      <c r="A111" s="43" t="inlineStr">
        <is>
          <t>OPM</t>
        </is>
      </c>
      <c r="B111" s="3" t="inlineStr">
        <is>
          <t>영업이익 ÷ 매출</t>
        </is>
      </c>
      <c r="C111" s="15">
        <f>IF(OR(C110="",C102=""),"",IF(C102&lt;=0,"",IFERROR(C110/C102,"")))</f>
        <v/>
      </c>
      <c r="D111" s="15">
        <f>IF(OR(D110="",D102=""),"",IF(D102&lt;=0,"",IFERROR(D110/D102,"")))</f>
        <v/>
      </c>
      <c r="E111" s="15">
        <f>IF(OR(E110="",E102=""),"",IF(E102&lt;=0,"",IFERROR(E110/E102,"")))</f>
        <v/>
      </c>
      <c r="F111" s="15">
        <f>IF(OR(F110="",F102=""),"",IF(F102&lt;=0,"",IFERROR(F110/F102,"")))</f>
        <v/>
      </c>
      <c r="G111" s="15">
        <f>IF(OR(G110="",G102=""),"",IF(G102&lt;=0,"",IFERROR(G110/G102,"")))</f>
        <v/>
      </c>
      <c r="H111" s="15">
        <f>IF(OR(H110="",H102=""),"",IF(H102&lt;=0,"",IFERROR(H110/H102,"")))</f>
        <v/>
      </c>
      <c r="I111" s="15">
        <f>IF(OR(I110="",I102=""),"",IF(I102&lt;=0,"",IFERROR(I110/I102,"")))</f>
        <v/>
      </c>
      <c r="J111" s="15">
        <f>IF(OR(J110="",J102=""),"",IF(J102&lt;=0,"",IFERROR(J110/J102,"")))</f>
        <v/>
      </c>
      <c r="K111" s="15">
        <f>IF(OR(K110="",K102=""),"",IF(K102&lt;=0,"",IFERROR(K110/K102,"")))</f>
        <v/>
      </c>
      <c r="L111" s="15">
        <f>IF(OR(L110="",L102=""),"",IF(L102&lt;=0,"",IFERROR(L110/L102,"")))</f>
        <v/>
      </c>
      <c r="M111" s="15">
        <f>IF(OR(M110="",M102=""),"",IF(M102&lt;=0,"",IFERROR(M110/M102,"")))</f>
        <v/>
      </c>
      <c r="N111" s="15">
        <f>IF(OR(N110="",N102=""),"",IF(N102&lt;=0,"",IFERROR(N110/N102,"")))</f>
        <v/>
      </c>
      <c r="T111" s="15">
        <f>IF(OR(T110="",T102=""),"",IF(T102&lt;=0,"",IFERROR(T110/T102,"")))</f>
        <v/>
      </c>
      <c r="U111" s="15">
        <f>IF(OR(U110="",U102=""),"",IF(U102&lt;=0,"",IFERROR(U110/U102,"")))</f>
        <v/>
      </c>
      <c r="V111" s="15">
        <f>IF(OR(V110="",V102=""),"",IF(V102&lt;=0,"",IFERROR(V110/V102,"")))</f>
        <v/>
      </c>
      <c r="W111" s="15">
        <f>IF(OR(W110="",W102=""),"",IF(W102&lt;=0,"",IFERROR(W110/W102,"")))</f>
        <v/>
      </c>
      <c r="X111" s="15">
        <f>IF(OR(X110="",X102=""),"",IF(X102&lt;=0,"",IFERROR(X110/X102,"")))</f>
        <v/>
      </c>
    </row>
    <row r="112">
      <c r="A112" s="43" t="inlineStr">
        <is>
          <t>YoY</t>
        </is>
      </c>
      <c r="B112" s="3" t="inlineStr">
        <is>
          <t>전년 같은 분기·전년 대비</t>
        </is>
      </c>
      <c r="G112" s="15">
        <f>IF(OR(G110="",C110=""),"",IF(C110&lt;=0,"",IFERROR(G110/C110-1,"")))</f>
        <v/>
      </c>
      <c r="H112" s="15">
        <f>IF(OR(H110="",D110=""),"",IF(D110&lt;=0,"",IFERROR(H110/D110-1,"")))</f>
        <v/>
      </c>
      <c r="I112" s="15">
        <f>IF(OR(I110="",E110=""),"",IF(E110&lt;=0,"",IFERROR(I110/E110-1,"")))</f>
        <v/>
      </c>
      <c r="J112" s="15">
        <f>IF(OR(J110="",F110=""),"",IF(F110&lt;=0,"",IFERROR(J110/F110-1,"")))</f>
        <v/>
      </c>
      <c r="K112" s="15">
        <f>IF(OR(K110="",G110=""),"",IF(G110&lt;=0,"",IFERROR(K110/G110-1,"")))</f>
        <v/>
      </c>
      <c r="L112" s="15">
        <f>IF(OR(L110="",H110=""),"",IF(H110&lt;=0,"",IFERROR(L110/H110-1,"")))</f>
        <v/>
      </c>
      <c r="M112" s="15">
        <f>IF(OR(M110="",I110=""),"",IF(I110&lt;=0,"",IFERROR(M110/I110-1,"")))</f>
        <v/>
      </c>
      <c r="N112" s="15">
        <f>IF(OR(N110="",J110=""),"",IF(J110&lt;=0,"",IFERROR(N110/J110-1,"")))</f>
        <v/>
      </c>
      <c r="T112" s="15">
        <f>IF(OR(T110="",S110=""),"",IF(S110&lt;=0,"",IFERROR(T110/S110-1,"")))</f>
        <v/>
      </c>
      <c r="U112" s="15">
        <f>IF(OR(U110="",T110=""),"",IF(T110&lt;=0,"",IFERROR(U110/T110-1,"")))</f>
        <v/>
      </c>
      <c r="V112" s="15">
        <f>IF(OR(V110="",U110=""),"",IF(U110&lt;=0,"",IFERROR(V110/U110-1,"")))</f>
        <v/>
      </c>
      <c r="W112" s="15">
        <f>IF(OR(W110="",V110=""),"",IF(V110&lt;=0,"",IFERROR(W110/V110-1,"")))</f>
        <v/>
      </c>
      <c r="X112" s="15">
        <f>IF(OR(X110="",W110=""),"",IF(W110&lt;=0,"",IFERROR(X110/W110-1,"")))</f>
        <v/>
      </c>
    </row>
    <row r="113">
      <c r="A113" s="18" t="inlineStr">
        <is>
          <t>이자수익</t>
        </is>
      </c>
      <c r="C113" s="20" t="n">
        <v>0</v>
      </c>
      <c r="D113" s="20" t="n">
        <v>0</v>
      </c>
      <c r="E113" s="20" t="n">
        <v>0</v>
      </c>
      <c r="F113" s="20" t="n">
        <v>3</v>
      </c>
      <c r="G113" s="20" t="n">
        <v>5</v>
      </c>
      <c r="H113" s="20" t="n">
        <v>32</v>
      </c>
      <c r="I113" s="20" t="n">
        <v>2</v>
      </c>
      <c r="J113" s="20" t="n">
        <v>65</v>
      </c>
      <c r="K113" s="20" t="n">
        <v>4</v>
      </c>
      <c r="L113" s="20" t="n">
        <v>72</v>
      </c>
      <c r="M113" s="20" t="n">
        <v>4</v>
      </c>
      <c r="N113" s="20" t="n">
        <v>93</v>
      </c>
      <c r="T113" s="20" t="n">
        <v>1</v>
      </c>
      <c r="U113" s="20" t="n">
        <v>0</v>
      </c>
      <c r="V113" s="20" t="n">
        <v>0</v>
      </c>
      <c r="W113" s="20" t="n">
        <v>32</v>
      </c>
      <c r="X113" s="20" t="n">
        <v>72</v>
      </c>
    </row>
    <row r="114">
      <c r="A114" s="18" t="inlineStr">
        <is>
          <t>배당금수익</t>
        </is>
      </c>
      <c r="C114" s="20" t="n">
        <v>0</v>
      </c>
      <c r="D114" s="20" t="n">
        <v>0</v>
      </c>
      <c r="E114" s="20" t="n">
        <v>0</v>
      </c>
      <c r="F114" s="20" t="n">
        <v>0</v>
      </c>
      <c r="G114" s="20" t="n">
        <v>1</v>
      </c>
      <c r="H114" s="20" t="n">
        <v>0</v>
      </c>
      <c r="I114" s="20" t="n">
        <v>0</v>
      </c>
      <c r="J114" s="20" t="n">
        <v>0</v>
      </c>
      <c r="K114" s="20" t="n">
        <v>1</v>
      </c>
      <c r="L114" s="20" t="n">
        <v>0</v>
      </c>
      <c r="M114" s="20" t="n">
        <v>0</v>
      </c>
      <c r="N114" s="20" t="n">
        <v>0</v>
      </c>
      <c r="T114" s="20" t="n">
        <v>0</v>
      </c>
      <c r="U114" s="20" t="n">
        <v>0</v>
      </c>
      <c r="V114" s="20" t="n">
        <v>0</v>
      </c>
      <c r="W114" s="20" t="n">
        <v>0</v>
      </c>
      <c r="X114" s="20" t="n">
        <v>0</v>
      </c>
    </row>
    <row r="115">
      <c r="A115" s="18" t="inlineStr">
        <is>
          <t>Contract Income NOI</t>
        </is>
      </c>
      <c r="C115" s="20" t="n">
        <v>3</v>
      </c>
      <c r="D115" s="20" t="n">
        <v>4</v>
      </c>
      <c r="E115" s="20" t="n">
        <v>0</v>
      </c>
      <c r="F115" s="20" t="n">
        <v>1</v>
      </c>
      <c r="G115" s="20" t="n">
        <v>1</v>
      </c>
      <c r="H115" s="20" t="n">
        <v>2</v>
      </c>
      <c r="I115" s="20" t="n">
        <v>4</v>
      </c>
      <c r="J115" s="20" t="n">
        <v>0</v>
      </c>
      <c r="K115" s="20" t="n">
        <v>4</v>
      </c>
      <c r="L115" s="20" t="n">
        <v>2</v>
      </c>
      <c r="M115" s="20" t="n">
        <v>0</v>
      </c>
      <c r="N115" s="20" t="n">
        <v>3</v>
      </c>
      <c r="T115" s="20" t="n">
        <v>3</v>
      </c>
      <c r="U115" s="20" t="n">
        <v>0</v>
      </c>
      <c r="V115" s="20" t="n">
        <v>4</v>
      </c>
      <c r="W115" s="20" t="n">
        <v>2</v>
      </c>
      <c r="X115" s="20" t="n">
        <v>2</v>
      </c>
    </row>
    <row r="116">
      <c r="A116" s="18" t="inlineStr">
        <is>
          <t>Rent Income Of Facilities NOI</t>
        </is>
      </c>
      <c r="C116" s="20" t="n">
        <v>1</v>
      </c>
      <c r="D116" s="20" t="n">
        <v>2</v>
      </c>
      <c r="E116" s="20" t="n">
        <v>1</v>
      </c>
      <c r="F116" s="20" t="n">
        <v>1</v>
      </c>
      <c r="G116" s="20" t="n">
        <v>1</v>
      </c>
      <c r="H116" s="20" t="n">
        <v>1</v>
      </c>
      <c r="I116" s="20" t="n">
        <v>0</v>
      </c>
      <c r="J116" s="20" t="n">
        <v>1</v>
      </c>
      <c r="K116" s="20" t="n">
        <v>0</v>
      </c>
      <c r="L116" s="20" t="n">
        <v>1</v>
      </c>
      <c r="M116" s="20" t="n">
        <v>1</v>
      </c>
      <c r="N116" s="20" t="n">
        <v>0</v>
      </c>
      <c r="T116" s="20" t="n">
        <v>2</v>
      </c>
      <c r="U116" s="20" t="n">
        <v>1</v>
      </c>
      <c r="V116" s="20" t="n">
        <v>2</v>
      </c>
      <c r="W116" s="20" t="n">
        <v>1</v>
      </c>
      <c r="X116" s="20" t="n">
        <v>1</v>
      </c>
    </row>
    <row r="117">
      <c r="A117" s="18" t="inlineStr">
        <is>
          <t>보조금 수입</t>
        </is>
      </c>
      <c r="C117" s="20" t="n">
        <v>0</v>
      </c>
      <c r="D117" s="20" t="n">
        <v>0</v>
      </c>
      <c r="T117" s="20" t="n">
        <v>34</v>
      </c>
      <c r="U117" s="20" t="n">
        <v>1</v>
      </c>
      <c r="V117" s="20" t="n">
        <v>0</v>
      </c>
    </row>
    <row r="118">
      <c r="A118" s="18" t="inlineStr">
        <is>
          <t>지분법이익</t>
        </is>
      </c>
      <c r="E118" s="20" t="n">
        <v>0</v>
      </c>
      <c r="F118" s="20" t="n">
        <v>0</v>
      </c>
      <c r="G118" s="20" t="n">
        <v>0</v>
      </c>
      <c r="H118" s="20" t="n">
        <v>89</v>
      </c>
      <c r="I118" s="20" t="n">
        <v>131</v>
      </c>
      <c r="J118" s="20" t="n">
        <v>133</v>
      </c>
      <c r="K118" s="20" t="n">
        <v>135</v>
      </c>
      <c r="L118" s="20" t="n">
        <v>134</v>
      </c>
      <c r="M118" s="20" t="n">
        <v>131</v>
      </c>
      <c r="N118" s="20" t="n">
        <v>133</v>
      </c>
      <c r="W118" s="20" t="n">
        <v>89</v>
      </c>
      <c r="X118" s="20" t="n">
        <v>134</v>
      </c>
    </row>
    <row r="119">
      <c r="A119" s="18" t="inlineStr">
        <is>
          <t>기타</t>
        </is>
      </c>
      <c r="C119" s="20" t="n">
        <v>13</v>
      </c>
      <c r="D119" s="20" t="n">
        <v>5</v>
      </c>
      <c r="E119" s="20" t="n">
        <v>5</v>
      </c>
      <c r="F119" s="20" t="n">
        <v>4</v>
      </c>
      <c r="G119" s="20" t="n">
        <v>7</v>
      </c>
      <c r="H119" s="20" t="n">
        <v>5</v>
      </c>
      <c r="I119" s="20" t="n">
        <v>8</v>
      </c>
      <c r="J119" s="20" t="n">
        <v>7</v>
      </c>
      <c r="K119" s="20" t="n">
        <v>4</v>
      </c>
      <c r="L119" s="20" t="n">
        <v>41</v>
      </c>
      <c r="M119" s="20" t="n">
        <v>6</v>
      </c>
      <c r="N119" s="20" t="n">
        <v>40</v>
      </c>
      <c r="T119" s="20" t="n">
        <v>18</v>
      </c>
      <c r="U119" s="20" t="n">
        <v>35</v>
      </c>
      <c r="V119" s="20" t="n">
        <v>5</v>
      </c>
      <c r="W119" s="20" t="n">
        <v>5</v>
      </c>
      <c r="X119" s="20" t="n">
        <v>41</v>
      </c>
    </row>
    <row r="120">
      <c r="A120" s="18" t="inlineStr">
        <is>
          <t>영업외수익 합계</t>
        </is>
      </c>
      <c r="C120" s="20" t="n">
        <v>17</v>
      </c>
      <c r="D120" s="20" t="n">
        <v>11</v>
      </c>
      <c r="E120" s="20" t="n">
        <v>7</v>
      </c>
      <c r="F120" s="20" t="n">
        <v>10</v>
      </c>
      <c r="G120" s="20" t="n">
        <v>15</v>
      </c>
      <c r="H120" s="20" t="n">
        <v>130</v>
      </c>
      <c r="I120" s="20" t="n">
        <v>148</v>
      </c>
      <c r="J120" s="20" t="n">
        <v>205</v>
      </c>
      <c r="K120" s="20" t="n">
        <v>148</v>
      </c>
      <c r="L120" s="20" t="n">
        <v>251</v>
      </c>
      <c r="M120" s="20" t="n">
        <v>143</v>
      </c>
      <c r="N120" s="20" t="n">
        <v>270</v>
      </c>
      <c r="T120" s="20" t="n">
        <v>58</v>
      </c>
      <c r="U120" s="20" t="n">
        <v>39</v>
      </c>
      <c r="V120" s="20" t="n">
        <v>11</v>
      </c>
      <c r="W120" s="20" t="n">
        <v>130</v>
      </c>
      <c r="X120" s="20" t="n">
        <v>251</v>
      </c>
    </row>
    <row r="121">
      <c r="A121" s="43" t="inlineStr">
        <is>
          <t>YoY</t>
        </is>
      </c>
      <c r="B121" s="3" t="inlineStr">
        <is>
          <t>전년 같은 분기·전년 대비</t>
        </is>
      </c>
      <c r="G121" s="15">
        <f>IF(OR(G120="",C120=""),"",IF(G120*C120&lt;=0,"",IFERROR(G120/C120-1,"")))</f>
        <v/>
      </c>
      <c r="H121" s="15">
        <f>IF(OR(H120="",D120=""),"",IF(H120*D120&lt;=0,"",IFERROR(H120/D120-1,"")))</f>
        <v/>
      </c>
      <c r="I121" s="15">
        <f>IF(OR(I120="",E120=""),"",IF(I120*E120&lt;=0,"",IFERROR(I120/E120-1,"")))</f>
        <v/>
      </c>
      <c r="J121" s="15">
        <f>IF(OR(J120="",F120=""),"",IF(J120*F120&lt;=0,"",IFERROR(J120/F120-1,"")))</f>
        <v/>
      </c>
      <c r="K121" s="15">
        <f>IF(OR(K120="",G120=""),"",IF(K120*G120&lt;=0,"",IFERROR(K120/G120-1,"")))</f>
        <v/>
      </c>
      <c r="L121" s="15">
        <f>IF(OR(L120="",H120=""),"",IF(L120*H120&lt;=0,"",IFERROR(L120/H120-1,"")))</f>
        <v/>
      </c>
      <c r="M121" s="15">
        <f>IF(OR(M120="",I120=""),"",IF(M120*I120&lt;=0,"",IFERROR(M120/I120-1,"")))</f>
        <v/>
      </c>
      <c r="N121" s="15">
        <f>IF(OR(N120="",J120=""),"",IF(N120*J120&lt;=0,"",IFERROR(N120/J120-1,"")))</f>
        <v/>
      </c>
      <c r="T121" s="15">
        <f>IF(OR(T120="",S120=""),"",IF(T120*S120&lt;=0,"",IFERROR(T120/S120-1,"")))</f>
        <v/>
      </c>
      <c r="U121" s="15">
        <f>IF(OR(U120="",T120=""),"",IF(U120*T120&lt;=0,"",IFERROR(U120/T120-1,"")))</f>
        <v/>
      </c>
      <c r="V121" s="15">
        <f>IF(OR(V120="",U120=""),"",IF(V120*U120&lt;=0,"",IFERROR(V120/U120-1,"")))</f>
        <v/>
      </c>
      <c r="W121" s="15">
        <f>IF(OR(W120="",V120=""),"",IF(W120*V120&lt;=0,"",IFERROR(W120/V120-1,"")))</f>
        <v/>
      </c>
      <c r="X121" s="15">
        <f>IF(OR(X120="",W120=""),"",IF(X120*W120&lt;=0,"",IFERROR(X120/W120-1,"")))</f>
        <v/>
      </c>
    </row>
    <row r="122">
      <c r="A122" s="18" t="inlineStr">
        <is>
          <t>이자비용</t>
        </is>
      </c>
      <c r="C122" s="20" t="n">
        <v>72</v>
      </c>
      <c r="D122" s="20" t="n">
        <v>73</v>
      </c>
      <c r="E122" s="20" t="n">
        <v>87</v>
      </c>
      <c r="F122" s="20" t="n">
        <v>95</v>
      </c>
      <c r="G122" s="20" t="n">
        <v>145</v>
      </c>
      <c r="H122" s="20" t="n">
        <v>176</v>
      </c>
      <c r="I122" s="20" t="n">
        <v>230</v>
      </c>
      <c r="J122" s="20" t="n">
        <v>236</v>
      </c>
      <c r="K122" s="20" t="n">
        <v>238</v>
      </c>
      <c r="L122" s="20" t="n">
        <v>252</v>
      </c>
      <c r="M122" s="20" t="n">
        <v>518</v>
      </c>
      <c r="N122" s="20" t="n">
        <v>586</v>
      </c>
      <c r="T122" s="20" t="n">
        <v>69</v>
      </c>
      <c r="U122" s="20" t="n">
        <v>65</v>
      </c>
      <c r="V122" s="20" t="n">
        <v>73</v>
      </c>
      <c r="W122" s="20" t="n">
        <v>176</v>
      </c>
      <c r="X122" s="20" t="n">
        <v>252</v>
      </c>
    </row>
    <row r="123">
      <c r="A123" s="18" t="inlineStr">
        <is>
          <t>기타</t>
        </is>
      </c>
      <c r="C123" s="20" t="n">
        <v>1</v>
      </c>
      <c r="D123" s="20" t="n">
        <v>1</v>
      </c>
      <c r="E123" s="20" t="n">
        <v>0</v>
      </c>
      <c r="F123" s="20" t="n">
        <v>0</v>
      </c>
      <c r="G123" s="20" t="n">
        <v>0</v>
      </c>
      <c r="H123" s="20" t="n">
        <v>0</v>
      </c>
      <c r="I123" s="20" t="n">
        <v>22</v>
      </c>
      <c r="J123" s="20" t="n">
        <v>3</v>
      </c>
      <c r="K123" s="20" t="n">
        <v>0</v>
      </c>
      <c r="L123" s="20" t="n">
        <v>-22</v>
      </c>
      <c r="M123" s="20" t="n">
        <v>0</v>
      </c>
      <c r="N123" s="20" t="n">
        <v>0</v>
      </c>
      <c r="T123" s="20" t="n">
        <v>0</v>
      </c>
      <c r="U123" s="20" t="n">
        <v>1</v>
      </c>
      <c r="V123" s="20" t="n">
        <v>1</v>
      </c>
      <c r="W123" s="20" t="n">
        <v>0</v>
      </c>
      <c r="X123" s="20" t="n">
        <v>-22</v>
      </c>
    </row>
    <row r="124">
      <c r="A124" s="18" t="inlineStr">
        <is>
          <t>영업외비용 합계</t>
        </is>
      </c>
      <c r="C124" s="20" t="n">
        <v>72</v>
      </c>
      <c r="D124" s="20" t="n">
        <v>75</v>
      </c>
      <c r="E124" s="20" t="n">
        <v>88</v>
      </c>
      <c r="F124" s="20" t="n">
        <v>95</v>
      </c>
      <c r="G124" s="20" t="n">
        <v>144</v>
      </c>
      <c r="H124" s="20" t="n">
        <v>310</v>
      </c>
      <c r="I124" s="20" t="n">
        <v>252</v>
      </c>
      <c r="J124" s="20" t="n">
        <v>239</v>
      </c>
      <c r="K124" s="20" t="n">
        <v>238</v>
      </c>
      <c r="L124" s="20" t="n">
        <v>373</v>
      </c>
      <c r="M124" s="20" t="n">
        <v>518</v>
      </c>
      <c r="N124" s="20" t="n">
        <v>586</v>
      </c>
      <c r="T124" s="20" t="n">
        <v>69</v>
      </c>
      <c r="U124" s="20" t="n">
        <v>67</v>
      </c>
      <c r="V124" s="20" t="n">
        <v>75</v>
      </c>
      <c r="W124" s="20" t="n">
        <v>310</v>
      </c>
      <c r="X124" s="20" t="n">
        <v>373</v>
      </c>
    </row>
    <row r="125">
      <c r="A125" s="43" t="inlineStr">
        <is>
          <t>YoY</t>
        </is>
      </c>
      <c r="B125" s="3" t="inlineStr">
        <is>
          <t>전년 같은 분기·전년 대비</t>
        </is>
      </c>
      <c r="G125" s="15">
        <f>IF(OR(G124="",C124=""),"",IF(G124*C124&lt;=0,"",IFERROR(G124/C124-1,"")))</f>
        <v/>
      </c>
      <c r="H125" s="15">
        <f>IF(OR(H124="",D124=""),"",IF(H124*D124&lt;=0,"",IFERROR(H124/D124-1,"")))</f>
        <v/>
      </c>
      <c r="I125" s="15">
        <f>IF(OR(I124="",E124=""),"",IF(I124*E124&lt;=0,"",IFERROR(I124/E124-1,"")))</f>
        <v/>
      </c>
      <c r="J125" s="15">
        <f>IF(OR(J124="",F124=""),"",IF(J124*F124&lt;=0,"",IFERROR(J124/F124-1,"")))</f>
        <v/>
      </c>
      <c r="K125" s="15">
        <f>IF(OR(K124="",G124=""),"",IF(K124*G124&lt;=0,"",IFERROR(K124/G124-1,"")))</f>
        <v/>
      </c>
      <c r="L125" s="15">
        <f>IF(OR(L124="",H124=""),"",IF(L124*H124&lt;=0,"",IFERROR(L124/H124-1,"")))</f>
        <v/>
      </c>
      <c r="M125" s="15">
        <f>IF(OR(M124="",I124=""),"",IF(M124*I124&lt;=0,"",IFERROR(M124/I124-1,"")))</f>
        <v/>
      </c>
      <c r="N125" s="15">
        <f>IF(OR(N124="",J124=""),"",IF(N124*J124&lt;=0,"",IFERROR(N124/J124-1,"")))</f>
        <v/>
      </c>
      <c r="T125" s="15">
        <f>IF(OR(T124="",S124=""),"",IF(T124*S124&lt;=0,"",IFERROR(T124/S124-1,"")))</f>
        <v/>
      </c>
      <c r="U125" s="15">
        <f>IF(OR(U124="",T124=""),"",IF(U124*T124&lt;=0,"",IFERROR(U124/T124-1,"")))</f>
        <v/>
      </c>
      <c r="V125" s="15">
        <f>IF(OR(V124="",U124=""),"",IF(V124*U124&lt;=0,"",IFERROR(V124/U124-1,"")))</f>
        <v/>
      </c>
      <c r="W125" s="15">
        <f>IF(OR(W124="",V124=""),"",IF(W124*V124&lt;=0,"",IFERROR(W124/V124-1,"")))</f>
        <v/>
      </c>
      <c r="X125" s="15">
        <f>IF(OR(X124="",W124=""),"",IF(X124*W124&lt;=0,"",IFERROR(X124/W124-1,"")))</f>
        <v/>
      </c>
    </row>
    <row r="126">
      <c r="A126" s="9" t="inlineStr">
        <is>
          <t>경상이익</t>
        </is>
      </c>
      <c r="C126" s="12" t="n">
        <v>986</v>
      </c>
      <c r="D126" s="12" t="n">
        <v>4249</v>
      </c>
      <c r="E126" s="12" t="n">
        <v>1689</v>
      </c>
      <c r="F126" s="12" t="n">
        <v>1793</v>
      </c>
      <c r="G126" s="12" t="n">
        <v>3069</v>
      </c>
      <c r="H126" s="12" t="n">
        <v>493</v>
      </c>
      <c r="I126" s="12" t="n">
        <v>3715</v>
      </c>
      <c r="J126" s="12" t="n">
        <v>1378</v>
      </c>
      <c r="K126" s="12" t="n">
        <v>1812</v>
      </c>
      <c r="L126" s="12" t="n">
        <v>1654</v>
      </c>
      <c r="M126" s="12" t="n">
        <v>8494</v>
      </c>
      <c r="N126" s="12" t="n">
        <v>296</v>
      </c>
      <c r="T126" s="12" t="n">
        <v>848</v>
      </c>
      <c r="U126" s="12" t="n">
        <v>293</v>
      </c>
      <c r="V126" s="12" t="n">
        <v>4249</v>
      </c>
      <c r="W126" s="12" t="n">
        <v>493</v>
      </c>
      <c r="X126" s="12" t="n">
        <v>1654</v>
      </c>
    </row>
    <row r="127">
      <c r="A127" s="43" t="inlineStr">
        <is>
          <t>YoY</t>
        </is>
      </c>
      <c r="B127" s="3" t="inlineStr">
        <is>
          <t>전년 같은 분기·전년 대비</t>
        </is>
      </c>
      <c r="G127" s="15">
        <f>IF(OR(G126="",C126=""),"",IF(C126&lt;=0,"",IFERROR(G126/C126-1,"")))</f>
        <v/>
      </c>
      <c r="H127" s="15">
        <f>IF(OR(H126="",D126=""),"",IF(D126&lt;=0,"",IFERROR(H126/D126-1,"")))</f>
        <v/>
      </c>
      <c r="I127" s="15">
        <f>IF(OR(I126="",E126=""),"",IF(E126&lt;=0,"",IFERROR(I126/E126-1,"")))</f>
        <v/>
      </c>
      <c r="J127" s="15">
        <f>IF(OR(J126="",F126=""),"",IF(F126&lt;=0,"",IFERROR(J126/F126-1,"")))</f>
        <v/>
      </c>
      <c r="K127" s="15">
        <f>IF(OR(K126="",G126=""),"",IF(G126&lt;=0,"",IFERROR(K126/G126-1,"")))</f>
        <v/>
      </c>
      <c r="L127" s="15">
        <f>IF(OR(L126="",H126=""),"",IF(H126&lt;=0,"",IFERROR(L126/H126-1,"")))</f>
        <v/>
      </c>
      <c r="M127" s="15">
        <f>IF(OR(M126="",I126=""),"",IF(I126&lt;=0,"",IFERROR(M126/I126-1,"")))</f>
        <v/>
      </c>
      <c r="N127" s="15">
        <f>IF(OR(N126="",J126=""),"",IF(J126&lt;=0,"",IFERROR(N126/J126-1,"")))</f>
        <v/>
      </c>
      <c r="T127" s="15">
        <f>IF(OR(T126="",S126=""),"",IF(S126&lt;=0,"",IFERROR(T126/S126-1,"")))</f>
        <v/>
      </c>
      <c r="U127" s="15">
        <f>IF(OR(U126="",T126=""),"",IF(T126&lt;=0,"",IFERROR(U126/T126-1,"")))</f>
        <v/>
      </c>
      <c r="V127" s="15">
        <f>IF(OR(V126="",U126=""),"",IF(U126&lt;=0,"",IFERROR(V126/U126-1,"")))</f>
        <v/>
      </c>
      <c r="W127" s="15">
        <f>IF(OR(W126="",V126=""),"",IF(V126&lt;=0,"",IFERROR(W126/V126-1,"")))</f>
        <v/>
      </c>
      <c r="X127" s="15">
        <f>IF(OR(X126="",W126=""),"",IF(W126&lt;=0,"",IFERROR(X126/W126-1,"")))</f>
        <v/>
      </c>
    </row>
    <row r="128">
      <c r="A128" s="9" t="inlineStr">
        <is>
          <t>법인세차감전 순이익</t>
        </is>
      </c>
      <c r="C128" s="12" t="n">
        <v>986</v>
      </c>
      <c r="D128" s="12" t="n">
        <v>4249</v>
      </c>
      <c r="E128" s="12" t="n">
        <v>1689</v>
      </c>
      <c r="F128" s="12" t="n">
        <v>1793</v>
      </c>
      <c r="G128" s="12" t="n">
        <v>3069</v>
      </c>
      <c r="H128" s="12" t="n">
        <v>493</v>
      </c>
      <c r="I128" s="12" t="n">
        <v>3715</v>
      </c>
      <c r="J128" s="12" t="n">
        <v>1378</v>
      </c>
      <c r="K128" s="12" t="n">
        <v>1812</v>
      </c>
      <c r="L128" s="12" t="n">
        <v>1654</v>
      </c>
      <c r="M128" s="12" t="n">
        <v>8494</v>
      </c>
      <c r="N128" s="12" t="n">
        <v>296</v>
      </c>
      <c r="T128" s="12" t="n">
        <v>848</v>
      </c>
      <c r="U128" s="12" t="n">
        <v>293</v>
      </c>
      <c r="V128" s="12" t="n">
        <v>4249</v>
      </c>
      <c r="W128" s="12" t="n">
        <v>493</v>
      </c>
      <c r="X128" s="12" t="n">
        <v>1654</v>
      </c>
    </row>
    <row r="129">
      <c r="A129" s="43" t="inlineStr">
        <is>
          <t>YoY</t>
        </is>
      </c>
      <c r="B129" s="3" t="inlineStr">
        <is>
          <t>전년 같은 분기·전년 대비</t>
        </is>
      </c>
      <c r="G129" s="15">
        <f>IF(OR(G128="",C128=""),"",IF(C128&lt;=0,"",IFERROR(G128/C128-1,"")))</f>
        <v/>
      </c>
      <c r="H129" s="15">
        <f>IF(OR(H128="",D128=""),"",IF(D128&lt;=0,"",IFERROR(H128/D128-1,"")))</f>
        <v/>
      </c>
      <c r="I129" s="15">
        <f>IF(OR(I128="",E128=""),"",IF(E128&lt;=0,"",IFERROR(I128/E128-1,"")))</f>
        <v/>
      </c>
      <c r="J129" s="15">
        <f>IF(OR(J128="",F128=""),"",IF(F128&lt;=0,"",IFERROR(J128/F128-1,"")))</f>
        <v/>
      </c>
      <c r="K129" s="15">
        <f>IF(OR(K128="",G128=""),"",IF(G128&lt;=0,"",IFERROR(K128/G128-1,"")))</f>
        <v/>
      </c>
      <c r="L129" s="15">
        <f>IF(OR(L128="",H128=""),"",IF(H128&lt;=0,"",IFERROR(L128/H128-1,"")))</f>
        <v/>
      </c>
      <c r="M129" s="15">
        <f>IF(OR(M128="",I128=""),"",IF(I128&lt;=0,"",IFERROR(M128/I128-1,"")))</f>
        <v/>
      </c>
      <c r="N129" s="15">
        <f>IF(OR(N128="",J128=""),"",IF(J128&lt;=0,"",IFERROR(N128/J128-1,"")))</f>
        <v/>
      </c>
      <c r="T129" s="15">
        <f>IF(OR(T128="",S128=""),"",IF(S128&lt;=0,"",IFERROR(T128/S128-1,"")))</f>
        <v/>
      </c>
      <c r="U129" s="15">
        <f>IF(OR(U128="",T128=""),"",IF(T128&lt;=0,"",IFERROR(U128/T128-1,"")))</f>
        <v/>
      </c>
      <c r="V129" s="15">
        <f>IF(OR(V128="",U128=""),"",IF(U128&lt;=0,"",IFERROR(V128/U128-1,"")))</f>
        <v/>
      </c>
      <c r="W129" s="15">
        <f>IF(OR(W128="",V128=""),"",IF(V128&lt;=0,"",IFERROR(W128/V128-1,"")))</f>
        <v/>
      </c>
      <c r="X129" s="15">
        <f>IF(OR(X128="",W128=""),"",IF(W128&lt;=0,"",IFERROR(X128/W128-1,"")))</f>
        <v/>
      </c>
    </row>
    <row r="130">
      <c r="A130" s="18" t="inlineStr">
        <is>
          <t>법인세·주민세·사업세</t>
        </is>
      </c>
      <c r="C130" s="20" t="n">
        <v>248</v>
      </c>
      <c r="D130" s="20" t="n">
        <v>1440</v>
      </c>
      <c r="E130" s="20" t="n">
        <v>455</v>
      </c>
      <c r="F130" s="20" t="n">
        <v>671</v>
      </c>
      <c r="G130" s="20" t="n">
        <v>878</v>
      </c>
      <c r="H130" s="20" t="n">
        <v>179</v>
      </c>
      <c r="I130" s="20" t="n">
        <v>1075</v>
      </c>
      <c r="J130" s="20" t="n">
        <v>422</v>
      </c>
      <c r="K130" s="20" t="n">
        <v>541</v>
      </c>
      <c r="L130" s="20" t="n">
        <v>1001</v>
      </c>
      <c r="M130" s="20" t="n">
        <v>2850</v>
      </c>
      <c r="N130" s="20" t="n">
        <v>240</v>
      </c>
      <c r="T130" s="20" t="n">
        <v>-128</v>
      </c>
      <c r="U130" s="20" t="n">
        <v>-243</v>
      </c>
      <c r="V130" s="20" t="n">
        <v>1440</v>
      </c>
      <c r="W130" s="20" t="n">
        <v>179</v>
      </c>
      <c r="X130" s="20" t="n">
        <v>1001</v>
      </c>
    </row>
    <row r="131">
      <c r="A131" s="18" t="inlineStr">
        <is>
          <t>법인세 조정액</t>
        </is>
      </c>
      <c r="C131" s="20" t="n">
        <v>5</v>
      </c>
      <c r="D131" s="20" t="n">
        <v>-153</v>
      </c>
      <c r="E131" s="20" t="n">
        <v>68</v>
      </c>
      <c r="F131" s="20" t="n">
        <v>-83</v>
      </c>
      <c r="G131" s="20" t="n">
        <v>-31</v>
      </c>
      <c r="H131" s="20" t="n">
        <v>-108</v>
      </c>
      <c r="I131" s="20" t="n">
        <v>142</v>
      </c>
      <c r="J131" s="20" t="n">
        <v>-25</v>
      </c>
      <c r="K131" s="20" t="n">
        <v>9</v>
      </c>
      <c r="L131" s="20" t="n">
        <v>-468</v>
      </c>
      <c r="M131" s="20" t="n">
        <v>-179</v>
      </c>
      <c r="N131" s="20" t="n">
        <v>-124</v>
      </c>
      <c r="T131" s="20" t="n">
        <v>75</v>
      </c>
      <c r="U131" s="20" t="n">
        <v>17</v>
      </c>
      <c r="V131" s="20" t="n">
        <v>-153</v>
      </c>
      <c r="W131" s="20" t="n">
        <v>-108</v>
      </c>
      <c r="X131" s="20" t="n">
        <v>-468</v>
      </c>
    </row>
    <row r="132">
      <c r="A132" s="18" t="inlineStr">
        <is>
          <t>법인세 등 합계</t>
        </is>
      </c>
      <c r="C132" s="20" t="n">
        <v>253</v>
      </c>
      <c r="D132" s="20" t="n">
        <v>1286</v>
      </c>
      <c r="E132" s="20" t="n">
        <v>523</v>
      </c>
      <c r="F132" s="20" t="n">
        <v>588</v>
      </c>
      <c r="G132" s="20" t="n">
        <v>847</v>
      </c>
      <c r="H132" s="20" t="n">
        <v>71</v>
      </c>
      <c r="I132" s="20" t="n">
        <v>1218</v>
      </c>
      <c r="J132" s="20" t="n">
        <v>397</v>
      </c>
      <c r="K132" s="20" t="n">
        <v>550</v>
      </c>
      <c r="L132" s="20" t="n">
        <v>531</v>
      </c>
      <c r="M132" s="20" t="n">
        <v>2671</v>
      </c>
      <c r="N132" s="20" t="n">
        <v>116</v>
      </c>
      <c r="T132" s="20" t="n">
        <v>-51</v>
      </c>
      <c r="U132" s="20" t="n">
        <v>-226</v>
      </c>
      <c r="V132" s="20" t="n">
        <v>1286</v>
      </c>
      <c r="W132" s="20" t="n">
        <v>71</v>
      </c>
      <c r="X132" s="20" t="n">
        <v>531</v>
      </c>
    </row>
    <row r="133">
      <c r="A133" s="43" t="inlineStr">
        <is>
          <t>YoY</t>
        </is>
      </c>
      <c r="B133" s="3" t="inlineStr">
        <is>
          <t>전년 같은 분기·전년 대비</t>
        </is>
      </c>
      <c r="G133" s="15">
        <f>IF(OR(G132="",C132=""),"",IF(G132*C132&lt;=0,"",IFERROR(G132/C132-1,"")))</f>
        <v/>
      </c>
      <c r="H133" s="15">
        <f>IF(OR(H132="",D132=""),"",IF(H132*D132&lt;=0,"",IFERROR(H132/D132-1,"")))</f>
        <v/>
      </c>
      <c r="I133" s="15">
        <f>IF(OR(I132="",E132=""),"",IF(I132*E132&lt;=0,"",IFERROR(I132/E132-1,"")))</f>
        <v/>
      </c>
      <c r="J133" s="15">
        <f>IF(OR(J132="",F132=""),"",IF(J132*F132&lt;=0,"",IFERROR(J132/F132-1,"")))</f>
        <v/>
      </c>
      <c r="K133" s="15">
        <f>IF(OR(K132="",G132=""),"",IF(K132*G132&lt;=0,"",IFERROR(K132/G132-1,"")))</f>
        <v/>
      </c>
      <c r="L133" s="15">
        <f>IF(OR(L132="",H132=""),"",IF(L132*H132&lt;=0,"",IFERROR(L132/H132-1,"")))</f>
        <v/>
      </c>
      <c r="M133" s="15">
        <f>IF(OR(M132="",I132=""),"",IF(M132*I132&lt;=0,"",IFERROR(M132/I132-1,"")))</f>
        <v/>
      </c>
      <c r="N133" s="15">
        <f>IF(OR(N132="",J132=""),"",IF(N132*J132&lt;=0,"",IFERROR(N132/J132-1,"")))</f>
        <v/>
      </c>
      <c r="T133" s="15">
        <f>IF(OR(T132="",S132=""),"",IF(T132*S132&lt;=0,"",IFERROR(T132/S132-1,"")))</f>
        <v/>
      </c>
      <c r="U133" s="15">
        <f>IF(OR(U132="",T132=""),"",IF(U132*T132&lt;=0,"",IFERROR(U132/T132-1,"")))</f>
        <v/>
      </c>
      <c r="V133" s="15">
        <f>IF(OR(V132="",U132=""),"",IF(V132*U132&lt;=0,"",IFERROR(V132/U132-1,"")))</f>
        <v/>
      </c>
      <c r="W133" s="15">
        <f>IF(OR(W132="",V132=""),"",IF(W132*V132&lt;=0,"",IFERROR(W132/V132-1,"")))</f>
        <v/>
      </c>
      <c r="X133" s="15">
        <f>IF(OR(X132="",W132=""),"",IF(X132*W132&lt;=0,"",IFERROR(X132/W132-1,"")))</f>
        <v/>
      </c>
    </row>
    <row r="134">
      <c r="A134" s="9" t="inlineStr">
        <is>
          <t>순이익</t>
        </is>
      </c>
      <c r="C134" s="12" t="n">
        <v>732</v>
      </c>
      <c r="D134" s="12" t="n">
        <v>2964</v>
      </c>
      <c r="E134" s="12" t="n">
        <v>1165</v>
      </c>
      <c r="F134" s="12" t="n">
        <v>1206</v>
      </c>
      <c r="G134" s="12" t="n">
        <v>2222</v>
      </c>
      <c r="H134" s="12" t="n">
        <v>421</v>
      </c>
      <c r="I134" s="12" t="n">
        <v>2496</v>
      </c>
      <c r="J134" s="12" t="n">
        <v>982</v>
      </c>
      <c r="K134" s="12" t="n">
        <v>1262</v>
      </c>
      <c r="L134" s="12" t="n">
        <v>1122</v>
      </c>
      <c r="M134" s="12" t="n">
        <v>5822</v>
      </c>
      <c r="N134" s="12" t="n">
        <v>181</v>
      </c>
      <c r="T134" s="12" t="n">
        <v>900</v>
      </c>
      <c r="U134" s="12" t="n">
        <v>520</v>
      </c>
      <c r="V134" s="12" t="n">
        <v>2964</v>
      </c>
      <c r="W134" s="12" t="n">
        <v>421</v>
      </c>
      <c r="X134" s="12" t="n">
        <v>1122</v>
      </c>
    </row>
    <row r="135">
      <c r="A135" s="43" t="inlineStr">
        <is>
          <t>YoY</t>
        </is>
      </c>
      <c r="B135" s="3" t="inlineStr">
        <is>
          <t>전년 같은 분기·전년 대비</t>
        </is>
      </c>
      <c r="G135" s="15">
        <f>IF(OR(G134="",C134=""),"",IF(C134&lt;=0,"",IFERROR(G134/C134-1,"")))</f>
        <v/>
      </c>
      <c r="H135" s="15">
        <f>IF(OR(H134="",D134=""),"",IF(D134&lt;=0,"",IFERROR(H134/D134-1,"")))</f>
        <v/>
      </c>
      <c r="I135" s="15">
        <f>IF(OR(I134="",E134=""),"",IF(E134&lt;=0,"",IFERROR(I134/E134-1,"")))</f>
        <v/>
      </c>
      <c r="J135" s="15">
        <f>IF(OR(J134="",F134=""),"",IF(F134&lt;=0,"",IFERROR(J134/F134-1,"")))</f>
        <v/>
      </c>
      <c r="K135" s="15">
        <f>IF(OR(K134="",G134=""),"",IF(G134&lt;=0,"",IFERROR(K134/G134-1,"")))</f>
        <v/>
      </c>
      <c r="L135" s="15">
        <f>IF(OR(L134="",H134=""),"",IF(H134&lt;=0,"",IFERROR(L134/H134-1,"")))</f>
        <v/>
      </c>
      <c r="M135" s="15">
        <f>IF(OR(M134="",I134=""),"",IF(I134&lt;=0,"",IFERROR(M134/I134-1,"")))</f>
        <v/>
      </c>
      <c r="N135" s="15">
        <f>IF(OR(N134="",J134=""),"",IF(J134&lt;=0,"",IFERROR(N134/J134-1,"")))</f>
        <v/>
      </c>
      <c r="T135" s="15">
        <f>IF(OR(T134="",S134=""),"",IF(S134&lt;=0,"",IFERROR(T134/S134-1,"")))</f>
        <v/>
      </c>
      <c r="U135" s="15">
        <f>IF(OR(U134="",T134=""),"",IF(T134&lt;=0,"",IFERROR(U134/T134-1,"")))</f>
        <v/>
      </c>
      <c r="V135" s="15">
        <f>IF(OR(V134="",U134=""),"",IF(U134&lt;=0,"",IFERROR(V134/U134-1,"")))</f>
        <v/>
      </c>
      <c r="W135" s="15">
        <f>IF(OR(W134="",V134=""),"",IF(V134&lt;=0,"",IFERROR(W134/V134-1,"")))</f>
        <v/>
      </c>
      <c r="X135" s="15">
        <f>IF(OR(X134="",W134=""),"",IF(W134&lt;=0,"",IFERROR(X134/W134-1,"")))</f>
        <v/>
      </c>
    </row>
    <row r="136">
      <c r="A136" s="9" t="inlineStr">
        <is>
          <t>지배주주 순이익</t>
        </is>
      </c>
      <c r="C136" s="12" t="n">
        <v>732</v>
      </c>
      <c r="D136" s="12" t="n">
        <v>2964</v>
      </c>
      <c r="E136" s="12" t="n">
        <v>1165</v>
      </c>
      <c r="F136" s="12" t="n">
        <v>1206</v>
      </c>
      <c r="G136" s="12" t="n">
        <v>2222</v>
      </c>
      <c r="H136" s="12" t="n">
        <v>421</v>
      </c>
      <c r="I136" s="12" t="n">
        <v>2496</v>
      </c>
      <c r="J136" s="12" t="n">
        <v>982</v>
      </c>
      <c r="K136" s="12" t="n">
        <v>1262</v>
      </c>
      <c r="L136" s="12" t="n">
        <v>1122</v>
      </c>
      <c r="M136" s="12" t="n">
        <v>5822</v>
      </c>
      <c r="N136" s="12" t="n">
        <v>181</v>
      </c>
      <c r="T136" s="12" t="n">
        <v>900</v>
      </c>
      <c r="U136" s="12" t="n">
        <v>520</v>
      </c>
      <c r="V136" s="12" t="n">
        <v>2964</v>
      </c>
      <c r="W136" s="12" t="n">
        <v>421</v>
      </c>
      <c r="X136" s="12" t="n">
        <v>1122</v>
      </c>
    </row>
    <row r="137">
      <c r="A137" s="43" t="inlineStr">
        <is>
          <t>YoY</t>
        </is>
      </c>
      <c r="B137" s="3" t="inlineStr">
        <is>
          <t>전년 같은 분기·전년 대비</t>
        </is>
      </c>
      <c r="G137" s="15">
        <f>IF(OR(G136="",C136=""),"",IF(C136&lt;=0,"",IFERROR(G136/C136-1,"")))</f>
        <v/>
      </c>
      <c r="H137" s="15">
        <f>IF(OR(H136="",D136=""),"",IF(D136&lt;=0,"",IFERROR(H136/D136-1,"")))</f>
        <v/>
      </c>
      <c r="I137" s="15">
        <f>IF(OR(I136="",E136=""),"",IF(E136&lt;=0,"",IFERROR(I136/E136-1,"")))</f>
        <v/>
      </c>
      <c r="J137" s="15">
        <f>IF(OR(J136="",F136=""),"",IF(F136&lt;=0,"",IFERROR(J136/F136-1,"")))</f>
        <v/>
      </c>
      <c r="K137" s="15">
        <f>IF(OR(K136="",G136=""),"",IF(G136&lt;=0,"",IFERROR(K136/G136-1,"")))</f>
        <v/>
      </c>
      <c r="L137" s="15">
        <f>IF(OR(L136="",H136=""),"",IF(H136&lt;=0,"",IFERROR(L136/H136-1,"")))</f>
        <v/>
      </c>
      <c r="M137" s="15">
        <f>IF(OR(M136="",I136=""),"",IF(I136&lt;=0,"",IFERROR(M136/I136-1,"")))</f>
        <v/>
      </c>
      <c r="N137" s="15">
        <f>IF(OR(N136="",J136=""),"",IF(J136&lt;=0,"",IFERROR(N136/J136-1,"")))</f>
        <v/>
      </c>
      <c r="T137" s="15">
        <f>IF(OR(T136="",S136=""),"",IF(S136&lt;=0,"",IFERROR(T136/S136-1,"")))</f>
        <v/>
      </c>
      <c r="U137" s="15">
        <f>IF(OR(U136="",T136=""),"",IF(T136&lt;=0,"",IFERROR(U136/T136-1,"")))</f>
        <v/>
      </c>
      <c r="V137" s="15">
        <f>IF(OR(V136="",U136=""),"",IF(U136&lt;=0,"",IFERROR(V136/U136-1,"")))</f>
        <v/>
      </c>
      <c r="W137" s="15">
        <f>IF(OR(W136="",V136=""),"",IF(V136&lt;=0,"",IFERROR(W136/V136-1,"")))</f>
        <v/>
      </c>
      <c r="X137" s="15">
        <f>IF(OR(X136="",W136=""),"",IF(W136&lt;=0,"",IFERROR(X136/W136-1,"")))</f>
        <v/>
      </c>
    </row>
    <row r="139">
      <c r="A139" s="16" t="inlineStr">
        <is>
          <t>포괄손익 · 전 항목</t>
        </is>
      </c>
      <c r="B139" s="42" t="inlineStr">
        <is>
          <t>분기 = 3개월 단독</t>
        </is>
      </c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</row>
    <row r="140">
      <c r="A140" s="5" t="inlineStr">
        <is>
          <t>항목</t>
        </is>
      </c>
      <c r="B140" s="5" t="inlineStr">
        <is>
          <t>참고</t>
        </is>
      </c>
      <c r="C140" s="5" t="inlineStr">
        <is>
          <t>2024.3Q</t>
        </is>
      </c>
      <c r="D140" s="5" t="inlineStr">
        <is>
          <t>2024.4Q</t>
        </is>
      </c>
      <c r="E140" s="5" t="inlineStr">
        <is>
          <t>2025.1Q</t>
        </is>
      </c>
      <c r="F140" s="5" t="inlineStr">
        <is>
          <t>2025.2Q</t>
        </is>
      </c>
      <c r="G140" s="5" t="inlineStr">
        <is>
          <t>2025.3Q</t>
        </is>
      </c>
      <c r="H140" s="5" t="inlineStr">
        <is>
          <t>2025.4Q</t>
        </is>
      </c>
      <c r="I140" s="5" t="inlineStr">
        <is>
          <t>2026.1Q</t>
        </is>
      </c>
      <c r="J140" s="5" t="inlineStr">
        <is>
          <t>2026.2Q</t>
        </is>
      </c>
      <c r="K140" s="5" t="inlineStr">
        <is>
          <t>2026.3Q</t>
        </is>
      </c>
      <c r="L140" s="5" t="inlineStr">
        <is>
          <t>2026.4Q</t>
        </is>
      </c>
      <c r="M140" s="5" t="inlineStr">
        <is>
          <t>2027.1Q</t>
        </is>
      </c>
      <c r="N140" s="5" t="inlineStr">
        <is>
          <t>2027.2Q</t>
        </is>
      </c>
      <c r="O140" s="5" t="inlineStr">
        <is>
          <t>2017</t>
        </is>
      </c>
      <c r="P140" s="5" t="inlineStr">
        <is>
          <t>2018</t>
        </is>
      </c>
      <c r="Q140" s="5" t="inlineStr">
        <is>
          <t>2019</t>
        </is>
      </c>
      <c r="R140" s="5" t="inlineStr">
        <is>
          <t>2020</t>
        </is>
      </c>
      <c r="S140" s="5" t="inlineStr">
        <is>
          <t>2021</t>
        </is>
      </c>
      <c r="T140" s="5" t="inlineStr">
        <is>
          <t>2022</t>
        </is>
      </c>
      <c r="U140" s="5" t="inlineStr">
        <is>
          <t>2023</t>
        </is>
      </c>
      <c r="V140" s="5" t="inlineStr">
        <is>
          <t>2024</t>
        </is>
      </c>
      <c r="W140" s="5" t="inlineStr">
        <is>
          <t>2025</t>
        </is>
      </c>
      <c r="X140" s="5" t="inlineStr">
        <is>
          <t>2026</t>
        </is>
      </c>
      <c r="Y140" s="5" t="inlineStr">
        <is>
          <t>2027(MW)</t>
        </is>
      </c>
      <c r="Z140" s="5" t="inlineStr">
        <is>
          <t>2028(MW)</t>
        </is>
      </c>
      <c r="AA140" s="5" t="inlineStr">
        <is>
          <t>2029(MW)</t>
        </is>
      </c>
      <c r="AB140" s="5" t="inlineStr">
        <is>
          <t>2030(MW)</t>
        </is>
      </c>
      <c r="AC140" s="5" t="inlineStr">
        <is>
          <t>2031(MW)</t>
        </is>
      </c>
    </row>
    <row r="141">
      <c r="A141" s="9" t="inlineStr">
        <is>
          <t>순이익</t>
        </is>
      </c>
      <c r="C141" s="12" t="n">
        <v>732</v>
      </c>
      <c r="D141" s="12" t="n">
        <v>2964</v>
      </c>
      <c r="E141" s="12" t="n">
        <v>1165</v>
      </c>
      <c r="F141" s="12" t="n">
        <v>1206</v>
      </c>
      <c r="G141" s="12" t="n">
        <v>2222</v>
      </c>
      <c r="H141" s="12" t="n">
        <v>421</v>
      </c>
      <c r="I141" s="12" t="n">
        <v>2496</v>
      </c>
      <c r="J141" s="12" t="n">
        <v>982</v>
      </c>
      <c r="K141" s="12" t="n">
        <v>1262</v>
      </c>
      <c r="L141" s="12" t="n">
        <v>1122</v>
      </c>
      <c r="M141" s="12" t="n">
        <v>5822</v>
      </c>
      <c r="N141" s="12" t="n">
        <v>181</v>
      </c>
      <c r="T141" s="12" t="n">
        <v>900</v>
      </c>
      <c r="U141" s="12" t="n">
        <v>520</v>
      </c>
      <c r="V141" s="12" t="n">
        <v>2964</v>
      </c>
      <c r="W141" s="12" t="n">
        <v>421</v>
      </c>
      <c r="X141" s="12" t="n">
        <v>1122</v>
      </c>
    </row>
    <row r="142">
      <c r="A142" s="18" t="inlineStr">
        <is>
          <t>기타유가증권 평가차액</t>
        </is>
      </c>
      <c r="C142" s="20" t="n">
        <v>0</v>
      </c>
      <c r="D142" s="20" t="n">
        <v>2</v>
      </c>
      <c r="E142" s="20" t="n">
        <v>2</v>
      </c>
      <c r="F142" s="20" t="n">
        <v>-1</v>
      </c>
      <c r="G142" s="20" t="n">
        <v>5</v>
      </c>
      <c r="H142" s="20" t="n">
        <v>-4</v>
      </c>
      <c r="I142" s="20" t="n">
        <v>2</v>
      </c>
      <c r="J142" s="20" t="n">
        <v>1</v>
      </c>
      <c r="K142" s="20" t="n">
        <v>1</v>
      </c>
      <c r="L142" s="20" t="n">
        <v>-1</v>
      </c>
      <c r="M142" s="20" t="n">
        <v>10</v>
      </c>
      <c r="N142" s="20" t="n">
        <v>-1</v>
      </c>
      <c r="T142" s="20" t="n">
        <v>-2</v>
      </c>
      <c r="U142" s="20" t="n">
        <v>0</v>
      </c>
      <c r="V142" s="20" t="n">
        <v>2</v>
      </c>
      <c r="W142" s="20" t="n">
        <v>-4</v>
      </c>
      <c r="X142" s="20" t="n">
        <v>-1</v>
      </c>
    </row>
    <row r="143">
      <c r="A143" s="18" t="inlineStr">
        <is>
          <t>기타포괄손익 합계</t>
        </is>
      </c>
      <c r="C143" s="20" t="n">
        <v>0</v>
      </c>
      <c r="D143" s="20" t="n">
        <v>2</v>
      </c>
      <c r="E143" s="20" t="n">
        <v>2</v>
      </c>
      <c r="F143" s="20" t="n">
        <v>-1</v>
      </c>
      <c r="G143" s="20" t="n">
        <v>5</v>
      </c>
      <c r="H143" s="20" t="n">
        <v>-4</v>
      </c>
      <c r="I143" s="20" t="n">
        <v>2</v>
      </c>
      <c r="J143" s="20" t="n">
        <v>1</v>
      </c>
      <c r="K143" s="20" t="n">
        <v>1</v>
      </c>
      <c r="L143" s="20" t="n">
        <v>-1</v>
      </c>
      <c r="M143" s="20" t="n">
        <v>10</v>
      </c>
      <c r="N143" s="20" t="n">
        <v>-1</v>
      </c>
      <c r="T143" s="20" t="n">
        <v>-2</v>
      </c>
      <c r="U143" s="20" t="n">
        <v>0</v>
      </c>
      <c r="V143" s="20" t="n">
        <v>2</v>
      </c>
      <c r="W143" s="20" t="n">
        <v>-4</v>
      </c>
      <c r="X143" s="20" t="n">
        <v>-1</v>
      </c>
    </row>
    <row r="144">
      <c r="A144" s="9" t="inlineStr">
        <is>
          <t>포괄이익</t>
        </is>
      </c>
      <c r="C144" s="12" t="n">
        <v>733</v>
      </c>
      <c r="D144" s="12" t="n">
        <v>2965</v>
      </c>
      <c r="E144" s="12" t="n">
        <v>1167</v>
      </c>
      <c r="F144" s="12" t="n">
        <v>1206</v>
      </c>
      <c r="G144" s="12" t="n">
        <v>2226</v>
      </c>
      <c r="H144" s="12" t="n">
        <v>417</v>
      </c>
      <c r="I144" s="12" t="n">
        <v>2498</v>
      </c>
      <c r="J144" s="12" t="n">
        <v>983</v>
      </c>
      <c r="K144" s="12" t="n">
        <v>1263</v>
      </c>
      <c r="L144" s="12" t="n">
        <v>1122</v>
      </c>
      <c r="M144" s="12" t="n">
        <v>5833</v>
      </c>
      <c r="N144" s="12" t="n">
        <v>180</v>
      </c>
      <c r="T144" s="12" t="n">
        <v>899</v>
      </c>
      <c r="U144" s="12" t="n">
        <v>520</v>
      </c>
      <c r="V144" s="12" t="n">
        <v>2965</v>
      </c>
      <c r="W144" s="12" t="n">
        <v>417</v>
      </c>
      <c r="X144" s="12" t="n">
        <v>1122</v>
      </c>
    </row>
    <row r="145">
      <c r="A145" s="9" t="inlineStr">
        <is>
          <t>지배주주 포괄이익</t>
        </is>
      </c>
      <c r="C145" s="12" t="n">
        <v>733</v>
      </c>
      <c r="D145" s="12" t="n">
        <v>2965</v>
      </c>
      <c r="E145" s="12" t="n">
        <v>1167</v>
      </c>
      <c r="F145" s="12" t="n">
        <v>1206</v>
      </c>
      <c r="G145" s="12" t="n">
        <v>2226</v>
      </c>
      <c r="H145" s="12" t="n">
        <v>417</v>
      </c>
      <c r="I145" s="12" t="n">
        <v>2498</v>
      </c>
      <c r="J145" s="12" t="n">
        <v>983</v>
      </c>
      <c r="K145" s="12" t="n">
        <v>1263</v>
      </c>
      <c r="L145" s="12" t="n">
        <v>1122</v>
      </c>
      <c r="M145" s="12" t="n">
        <v>5833</v>
      </c>
      <c r="N145" s="12" t="n">
        <v>180</v>
      </c>
      <c r="T145" s="12" t="n">
        <v>899</v>
      </c>
      <c r="U145" s="12" t="n">
        <v>520</v>
      </c>
      <c r="V145" s="12" t="n">
        <v>2965</v>
      </c>
      <c r="W145" s="12" t="n">
        <v>417</v>
      </c>
      <c r="X145" s="12" t="n">
        <v>1122</v>
      </c>
    </row>
    <row r="146">
      <c r="A146" s="9" t="inlineStr">
        <is>
          <t>비지배주주 포괄이익</t>
        </is>
      </c>
      <c r="C146" s="12" t="n">
        <v>0</v>
      </c>
      <c r="D146" s="12" t="n">
        <v>0</v>
      </c>
      <c r="E146" s="12" t="n">
        <v>0</v>
      </c>
      <c r="F146" s="12" t="n">
        <v>0</v>
      </c>
      <c r="G146" s="12" t="n">
        <v>0</v>
      </c>
      <c r="H146" s="12" t="n">
        <v>0</v>
      </c>
      <c r="I146" s="12" t="n">
        <v>0</v>
      </c>
      <c r="J146" s="12" t="n">
        <v>0</v>
      </c>
      <c r="K146" s="12" t="n">
        <v>0</v>
      </c>
      <c r="L146" s="12" t="n">
        <v>0</v>
      </c>
      <c r="M146" s="12" t="n">
        <v>0</v>
      </c>
      <c r="N146" s="12" t="n">
        <v>0</v>
      </c>
      <c r="T146" s="12" t="n">
        <v>0</v>
      </c>
      <c r="U146" s="12" t="n">
        <v>0</v>
      </c>
      <c r="V146" s="12" t="n">
        <v>0</v>
      </c>
      <c r="W146" s="12" t="n">
        <v>0</v>
      </c>
      <c r="X146" s="12" t="n">
        <v>0</v>
      </c>
    </row>
    <row r="148">
      <c r="A148" s="16" t="inlineStr">
        <is>
          <t>부문 · 전 항목</t>
        </is>
      </c>
      <c r="B148" s="42" t="inlineStr">
        <is>
          <t>부문 · 항목</t>
        </is>
      </c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  <c r="AA148" s="16" t="n"/>
      <c r="AB148" s="16" t="n"/>
      <c r="AC148" s="16" t="n"/>
    </row>
    <row r="149">
      <c r="A149" s="5" t="inlineStr">
        <is>
          <t>항목</t>
        </is>
      </c>
      <c r="B149" s="5" t="inlineStr">
        <is>
          <t>참고</t>
        </is>
      </c>
      <c r="C149" s="5" t="inlineStr">
        <is>
          <t>2024.3Q</t>
        </is>
      </c>
      <c r="D149" s="5" t="inlineStr">
        <is>
          <t>2024.4Q</t>
        </is>
      </c>
      <c r="E149" s="5" t="inlineStr">
        <is>
          <t>2025.1Q</t>
        </is>
      </c>
      <c r="F149" s="5" t="inlineStr">
        <is>
          <t>2025.2Q</t>
        </is>
      </c>
      <c r="G149" s="5" t="inlineStr">
        <is>
          <t>2025.3Q</t>
        </is>
      </c>
      <c r="H149" s="5" t="inlineStr">
        <is>
          <t>2025.4Q</t>
        </is>
      </c>
      <c r="I149" s="5" t="inlineStr">
        <is>
          <t>2026.1Q</t>
        </is>
      </c>
      <c r="J149" s="5" t="inlineStr">
        <is>
          <t>2026.2Q</t>
        </is>
      </c>
      <c r="K149" s="5" t="inlineStr">
        <is>
          <t>2026.3Q</t>
        </is>
      </c>
      <c r="L149" s="5" t="inlineStr">
        <is>
          <t>2026.4Q</t>
        </is>
      </c>
      <c r="M149" s="5" t="inlineStr">
        <is>
          <t>2027.1Q</t>
        </is>
      </c>
      <c r="N149" s="5" t="inlineStr">
        <is>
          <t>2027.2Q</t>
        </is>
      </c>
      <c r="O149" s="5" t="inlineStr">
        <is>
          <t>2017</t>
        </is>
      </c>
      <c r="P149" s="5" t="inlineStr">
        <is>
          <t>2018</t>
        </is>
      </c>
      <c r="Q149" s="5" t="inlineStr">
        <is>
          <t>2019</t>
        </is>
      </c>
      <c r="R149" s="5" t="inlineStr">
        <is>
          <t>2020</t>
        </is>
      </c>
      <c r="S149" s="5" t="inlineStr">
        <is>
          <t>2021</t>
        </is>
      </c>
      <c r="T149" s="5" t="inlineStr">
        <is>
          <t>2022</t>
        </is>
      </c>
      <c r="U149" s="5" t="inlineStr">
        <is>
          <t>2023</t>
        </is>
      </c>
      <c r="V149" s="5" t="inlineStr">
        <is>
          <t>2024</t>
        </is>
      </c>
      <c r="W149" s="5" t="inlineStr">
        <is>
          <t>2025</t>
        </is>
      </c>
      <c r="X149" s="5" t="inlineStr">
        <is>
          <t>2026</t>
        </is>
      </c>
      <c r="Y149" s="5" t="inlineStr">
        <is>
          <t>2027(MW)</t>
        </is>
      </c>
      <c r="Z149" s="5" t="inlineStr">
        <is>
          <t>2028(MW)</t>
        </is>
      </c>
      <c r="AA149" s="5" t="inlineStr">
        <is>
          <t>2029(MW)</t>
        </is>
      </c>
      <c r="AB149" s="5" t="inlineStr">
        <is>
          <t>2030(MW)</t>
        </is>
      </c>
      <c r="AC149" s="5" t="inlineStr">
        <is>
          <t>2031(MW)</t>
        </is>
      </c>
    </row>
    <row r="150">
      <c r="A150" s="18" t="inlineStr">
        <is>
          <t>DetachedRealEstateReportableSegmentsMember · Revenue From Contracts With Customers</t>
        </is>
      </c>
      <c r="C150" s="20" t="n">
        <v>4306</v>
      </c>
      <c r="D150" s="20" t="n">
        <v>9463</v>
      </c>
      <c r="E150" s="20" t="n">
        <v>4201</v>
      </c>
      <c r="F150" s="20" t="n">
        <v>4299</v>
      </c>
      <c r="G150" s="20" t="n">
        <v>8092</v>
      </c>
      <c r="H150" s="20" t="n">
        <v>2447</v>
      </c>
      <c r="I150" s="20" t="n">
        <v>8361</v>
      </c>
      <c r="J150" s="20" t="n">
        <v>2828</v>
      </c>
      <c r="K150" s="20" t="n">
        <v>4547</v>
      </c>
      <c r="L150" s="20" t="n">
        <v>4840</v>
      </c>
      <c r="M150" s="20" t="n">
        <v>13990</v>
      </c>
      <c r="N150" s="20" t="n">
        <v>1345</v>
      </c>
      <c r="V150" s="20" t="n">
        <v>9463</v>
      </c>
      <c r="W150" s="20" t="n">
        <v>2447</v>
      </c>
      <c r="X150" s="20" t="n">
        <v>4840</v>
      </c>
    </row>
    <row r="151">
      <c r="A151" s="43" t="inlineStr">
        <is>
          <t>YoY</t>
        </is>
      </c>
      <c r="B151" s="3" t="inlineStr">
        <is>
          <t>전년 같은 분기·전년 대비</t>
        </is>
      </c>
      <c r="G151" s="15">
        <f>IF(OR(G150="",C150=""),"",IF(C150&lt;=0,"",IFERROR(G150/C150-1,"")))</f>
        <v/>
      </c>
      <c r="H151" s="15">
        <f>IF(OR(H150="",D150=""),"",IF(D150&lt;=0,"",IFERROR(H150/D150-1,"")))</f>
        <v/>
      </c>
      <c r="I151" s="15">
        <f>IF(OR(I150="",E150=""),"",IF(E150&lt;=0,"",IFERROR(I150/E150-1,"")))</f>
        <v/>
      </c>
      <c r="J151" s="15">
        <f>IF(OR(J150="",F150=""),"",IF(F150&lt;=0,"",IFERROR(J150/F150-1,"")))</f>
        <v/>
      </c>
      <c r="K151" s="15">
        <f>IF(OR(K150="",G150=""),"",IF(G150&lt;=0,"",IFERROR(K150/G150-1,"")))</f>
        <v/>
      </c>
      <c r="L151" s="15">
        <f>IF(OR(L150="",H150=""),"",IF(H150&lt;=0,"",IFERROR(L150/H150-1,"")))</f>
        <v/>
      </c>
      <c r="M151" s="15">
        <f>IF(OR(M150="",I150=""),"",IF(I150&lt;=0,"",IFERROR(M150/I150-1,"")))</f>
        <v/>
      </c>
      <c r="N151" s="15">
        <f>IF(OR(N150="",J150=""),"",IF(J150&lt;=0,"",IFERROR(N150/J150-1,"")))</f>
        <v/>
      </c>
      <c r="V151" s="15">
        <f>IF(OR(V150="",U150=""),"",IF(U150&lt;=0,"",IFERROR(V150/U150-1,"")))</f>
        <v/>
      </c>
      <c r="W151" s="15">
        <f>IF(OR(W150="",V150=""),"",IF(V150&lt;=0,"",IFERROR(W150/V150-1,"")))</f>
        <v/>
      </c>
      <c r="X151" s="15">
        <f>IF(OR(X150="",W150=""),"",IF(W150&lt;=0,"",IFERROR(X150/W150-1,"")))</f>
        <v/>
      </c>
    </row>
    <row r="152">
      <c r="A152" s="18" t="inlineStr">
        <is>
          <t>LeasingReportableSegmentsMember · Revenue From Contracts With Customers</t>
        </is>
      </c>
      <c r="C152" s="20" t="n">
        <v>0</v>
      </c>
      <c r="D152" s="20" t="n">
        <v>0</v>
      </c>
      <c r="E152" s="20" t="n">
        <v>0</v>
      </c>
      <c r="F152" s="20" t="n">
        <v>0</v>
      </c>
      <c r="G152" s="20" t="n">
        <v>0</v>
      </c>
      <c r="H152" s="20" t="n">
        <v>0</v>
      </c>
      <c r="I152" s="20" t="n">
        <v>0</v>
      </c>
      <c r="J152" s="20" t="n">
        <v>0</v>
      </c>
      <c r="K152" s="20" t="n">
        <v>0</v>
      </c>
      <c r="L152" s="20" t="n">
        <v>0</v>
      </c>
      <c r="M152" s="20" t="n">
        <v>0</v>
      </c>
      <c r="N152" s="20" t="n">
        <v>0</v>
      </c>
      <c r="V152" s="20" t="n">
        <v>0</v>
      </c>
      <c r="W152" s="20" t="n">
        <v>0</v>
      </c>
      <c r="X152" s="20" t="n">
        <v>0</v>
      </c>
    </row>
    <row r="153">
      <c r="A153" s="43" t="inlineStr">
        <is>
          <t>YoY</t>
        </is>
      </c>
      <c r="B153" s="3" t="inlineStr">
        <is>
          <t>전년 같은 분기·전년 대비</t>
        </is>
      </c>
      <c r="G153" s="15">
        <f>IF(OR(G152="",C152=""),"",IF(C152&lt;=0,"",IFERROR(G152/C152-1,"")))</f>
        <v/>
      </c>
      <c r="H153" s="15">
        <f>IF(OR(H152="",D152=""),"",IF(D152&lt;=0,"",IFERROR(H152/D152-1,"")))</f>
        <v/>
      </c>
      <c r="I153" s="15">
        <f>IF(OR(I152="",E152=""),"",IF(E152&lt;=0,"",IFERROR(I152/E152-1,"")))</f>
        <v/>
      </c>
      <c r="J153" s="15">
        <f>IF(OR(J152="",F152=""),"",IF(F152&lt;=0,"",IFERROR(J152/F152-1,"")))</f>
        <v/>
      </c>
      <c r="K153" s="15">
        <f>IF(OR(K152="",G152=""),"",IF(G152&lt;=0,"",IFERROR(K152/G152-1,"")))</f>
        <v/>
      </c>
      <c r="L153" s="15">
        <f>IF(OR(L152="",H152=""),"",IF(H152&lt;=0,"",IFERROR(L152/H152-1,"")))</f>
        <v/>
      </c>
      <c r="M153" s="15">
        <f>IF(OR(M152="",I152=""),"",IF(I152&lt;=0,"",IFERROR(M152/I152-1,"")))</f>
        <v/>
      </c>
      <c r="N153" s="15">
        <f>IF(OR(N152="",J152=""),"",IF(J152&lt;=0,"",IFERROR(N152/J152-1,"")))</f>
        <v/>
      </c>
      <c r="V153" s="15">
        <f>IF(OR(V152="",U152=""),"",IF(U152&lt;=0,"",IFERROR(V152/U152-1,"")))</f>
        <v/>
      </c>
      <c r="W153" s="15">
        <f>IF(OR(W152="",V152=""),"",IF(V152&lt;=0,"",IFERROR(W152/V152-1,"")))</f>
        <v/>
      </c>
      <c r="X153" s="15">
        <f>IF(OR(X152="",W152=""),"",IF(W152&lt;=0,"",IFERROR(X152/W152-1,"")))</f>
        <v/>
      </c>
    </row>
    <row r="154">
      <c r="A154" s="18" t="inlineStr">
        <is>
          <t>RealEstateManagementReportableSegmentMember · Revenue From Contracts With Customers</t>
        </is>
      </c>
      <c r="C154" s="20" t="n">
        <v>874</v>
      </c>
      <c r="E154" s="20" t="n">
        <v>1066</v>
      </c>
      <c r="F154" s="20" t="n">
        <v>1067</v>
      </c>
      <c r="G154" s="20" t="n">
        <v>1017</v>
      </c>
      <c r="I154" s="20" t="n">
        <v>863</v>
      </c>
      <c r="J154" s="20" t="n">
        <v>827</v>
      </c>
      <c r="K154" s="20" t="n">
        <v>970</v>
      </c>
      <c r="M154" s="20" t="n">
        <v>1180</v>
      </c>
      <c r="N154" s="20" t="n">
        <v>992</v>
      </c>
    </row>
    <row r="155">
      <c r="A155" s="43" t="inlineStr">
        <is>
          <t>YoY</t>
        </is>
      </c>
      <c r="B155" s="3" t="inlineStr">
        <is>
          <t>전년 같은 분기·전년 대비</t>
        </is>
      </c>
      <c r="G155" s="15">
        <f>IF(OR(G154="",C154=""),"",IF(C154&lt;=0,"",IFERROR(G154/C154-1,"")))</f>
        <v/>
      </c>
      <c r="I155" s="15">
        <f>IF(OR(I154="",E154=""),"",IF(E154&lt;=0,"",IFERROR(I154/E154-1,"")))</f>
        <v/>
      </c>
      <c r="J155" s="15">
        <f>IF(OR(J154="",F154=""),"",IF(F154&lt;=0,"",IFERROR(J154/F154-1,"")))</f>
        <v/>
      </c>
      <c r="K155" s="15">
        <f>IF(OR(K154="",G154=""),"",IF(G154&lt;=0,"",IFERROR(K154/G154-1,"")))</f>
        <v/>
      </c>
      <c r="M155" s="15">
        <f>IF(OR(M154="",I154=""),"",IF(I154&lt;=0,"",IFERROR(M154/I154-1,"")))</f>
        <v/>
      </c>
      <c r="N155" s="15">
        <f>IF(OR(N154="",J154=""),"",IF(J154&lt;=0,"",IFERROR(N154/J154-1,"")))</f>
        <v/>
      </c>
    </row>
    <row r="156">
      <c r="A156" s="18" t="inlineStr">
        <is>
          <t>HotelBusinessReportableSegmentMember · Revenue From Contracts With Customers</t>
        </is>
      </c>
      <c r="C156" s="20" t="n">
        <v>606</v>
      </c>
      <c r="D156" s="20" t="n">
        <v>790</v>
      </c>
      <c r="E156" s="20" t="n">
        <v>730</v>
      </c>
      <c r="F156" s="20" t="n">
        <v>755</v>
      </c>
      <c r="G156" s="20" t="n">
        <v>674</v>
      </c>
      <c r="H156" s="20" t="n">
        <v>900</v>
      </c>
      <c r="I156" s="20" t="n">
        <v>766</v>
      </c>
      <c r="J156" s="20" t="n">
        <v>821</v>
      </c>
      <c r="K156" s="20" t="n">
        <v>690</v>
      </c>
      <c r="L156" s="20" t="n">
        <v>976</v>
      </c>
      <c r="M156" s="20" t="n">
        <v>858</v>
      </c>
      <c r="N156" s="20" t="n">
        <v>883</v>
      </c>
      <c r="V156" s="20" t="n">
        <v>790</v>
      </c>
      <c r="W156" s="20" t="n">
        <v>900</v>
      </c>
      <c r="X156" s="20" t="n">
        <v>976</v>
      </c>
    </row>
    <row r="157">
      <c r="A157" s="43" t="inlineStr">
        <is>
          <t>YoY</t>
        </is>
      </c>
      <c r="B157" s="3" t="inlineStr">
        <is>
          <t>전년 같은 분기·전년 대비</t>
        </is>
      </c>
      <c r="G157" s="15">
        <f>IF(OR(G156="",C156=""),"",IF(C156&lt;=0,"",IFERROR(G156/C156-1,"")))</f>
        <v/>
      </c>
      <c r="H157" s="15">
        <f>IF(OR(H156="",D156=""),"",IF(D156&lt;=0,"",IFERROR(H156/D156-1,"")))</f>
        <v/>
      </c>
      <c r="I157" s="15">
        <f>IF(OR(I156="",E156=""),"",IF(E156&lt;=0,"",IFERROR(I156/E156-1,"")))</f>
        <v/>
      </c>
      <c r="J157" s="15">
        <f>IF(OR(J156="",F156=""),"",IF(F156&lt;=0,"",IFERROR(J156/F156-1,"")))</f>
        <v/>
      </c>
      <c r="K157" s="15">
        <f>IF(OR(K156="",G156=""),"",IF(G156&lt;=0,"",IFERROR(K156/G156-1,"")))</f>
        <v/>
      </c>
      <c r="L157" s="15">
        <f>IF(OR(L156="",H156=""),"",IF(H156&lt;=0,"",IFERROR(L156/H156-1,"")))</f>
        <v/>
      </c>
      <c r="M157" s="15">
        <f>IF(OR(M156="",I156=""),"",IF(I156&lt;=0,"",IFERROR(M156/I156-1,"")))</f>
        <v/>
      </c>
      <c r="N157" s="15">
        <f>IF(OR(N156="",J156=""),"",IF(J156&lt;=0,"",IFERROR(N156/J156-1,"")))</f>
        <v/>
      </c>
      <c r="V157" s="15">
        <f>IF(OR(V156="",U156=""),"",IF(U156&lt;=0,"",IFERROR(V156/U156-1,"")))</f>
        <v/>
      </c>
      <c r="W157" s="15">
        <f>IF(OR(W156="",V156=""),"",IF(V156&lt;=0,"",IFERROR(W156/V156-1,"")))</f>
        <v/>
      </c>
      <c r="X157" s="15">
        <f>IF(OR(X156="",W156=""),"",IF(W156&lt;=0,"",IFERROR(X156/W156-1,"")))</f>
        <v/>
      </c>
    </row>
    <row r="158">
      <c r="A158" s="18" t="inlineStr">
        <is>
          <t>보고부문 합계 · Revenue From Contracts With Customers</t>
        </is>
      </c>
      <c r="C158" s="20" t="n">
        <v>5786</v>
      </c>
      <c r="D158" s="20" t="n">
        <v>11248</v>
      </c>
      <c r="E158" s="20" t="n">
        <v>5998</v>
      </c>
      <c r="F158" s="20" t="n">
        <v>6120</v>
      </c>
      <c r="G158" s="20" t="n">
        <v>9785</v>
      </c>
      <c r="H158" s="20" t="n">
        <v>4239</v>
      </c>
      <c r="I158" s="20" t="n">
        <v>9991</v>
      </c>
      <c r="J158" s="20" t="n">
        <v>4477</v>
      </c>
      <c r="K158" s="20" t="n">
        <v>6206</v>
      </c>
      <c r="L158" s="20" t="n">
        <v>6798</v>
      </c>
      <c r="M158" s="20" t="n">
        <v>16029</v>
      </c>
      <c r="N158" s="20" t="n">
        <v>3220</v>
      </c>
      <c r="V158" s="20" t="n">
        <v>11248</v>
      </c>
      <c r="W158" s="20" t="n">
        <v>4239</v>
      </c>
      <c r="X158" s="20" t="n">
        <v>6798</v>
      </c>
    </row>
    <row r="159">
      <c r="A159" s="43" t="inlineStr">
        <is>
          <t>YoY</t>
        </is>
      </c>
      <c r="B159" s="3" t="inlineStr">
        <is>
          <t>전년 같은 분기·전년 대비</t>
        </is>
      </c>
      <c r="G159" s="15">
        <f>IF(OR(G158="",C158=""),"",IF(C158&lt;=0,"",IFERROR(G158/C158-1,"")))</f>
        <v/>
      </c>
      <c r="H159" s="15">
        <f>IF(OR(H158="",D158=""),"",IF(D158&lt;=0,"",IFERROR(H158/D158-1,"")))</f>
        <v/>
      </c>
      <c r="I159" s="15">
        <f>IF(OR(I158="",E158=""),"",IF(E158&lt;=0,"",IFERROR(I158/E158-1,"")))</f>
        <v/>
      </c>
      <c r="J159" s="15">
        <f>IF(OR(J158="",F158=""),"",IF(F158&lt;=0,"",IFERROR(J158/F158-1,"")))</f>
        <v/>
      </c>
      <c r="K159" s="15">
        <f>IF(OR(K158="",G158=""),"",IF(G158&lt;=0,"",IFERROR(K158/G158-1,"")))</f>
        <v/>
      </c>
      <c r="L159" s="15">
        <f>IF(OR(L158="",H158=""),"",IF(H158&lt;=0,"",IFERROR(L158/H158-1,"")))</f>
        <v/>
      </c>
      <c r="M159" s="15">
        <f>IF(OR(M158="",I158=""),"",IF(I158&lt;=0,"",IFERROR(M158/I158-1,"")))</f>
        <v/>
      </c>
      <c r="N159" s="15">
        <f>IF(OR(N158="",J158=""),"",IF(J158&lt;=0,"",IFERROR(N158/J158-1,"")))</f>
        <v/>
      </c>
      <c r="V159" s="15">
        <f>IF(OR(V158="",U158=""),"",IF(U158&lt;=0,"",IFERROR(V158/U158-1,"")))</f>
        <v/>
      </c>
      <c r="W159" s="15">
        <f>IF(OR(W158="",V158=""),"",IF(V158&lt;=0,"",IFERROR(W158/V158-1,"")))</f>
        <v/>
      </c>
      <c r="X159" s="15">
        <f>IF(OR(X158="",W158=""),"",IF(W158&lt;=0,"",IFERROR(X158/W158-1,"")))</f>
        <v/>
      </c>
    </row>
    <row r="160">
      <c r="A160" s="18" t="inlineStr">
        <is>
          <t>OtherReportableSegmentsMember · Revenue From Contracts With Customers</t>
        </is>
      </c>
      <c r="E160" s="20" t="n">
        <v>88</v>
      </c>
      <c r="I160" s="20" t="n">
        <v>84</v>
      </c>
      <c r="M160" s="20" t="n">
        <v>47</v>
      </c>
    </row>
    <row r="161">
      <c r="A161" s="43" t="inlineStr">
        <is>
          <t>YoY</t>
        </is>
      </c>
      <c r="B161" s="3" t="inlineStr">
        <is>
          <t>전년 같은 분기·전년 대비</t>
        </is>
      </c>
      <c r="I161" s="15">
        <f>IF(OR(I160="",E160=""),"",IF(E160&lt;=0,"",IFERROR(I160/E160-1,"")))</f>
        <v/>
      </c>
      <c r="M161" s="15">
        <f>IF(OR(M160="",I160=""),"",IF(I160&lt;=0,"",IFERROR(M160/I160-1,"")))</f>
        <v/>
      </c>
    </row>
    <row r="162">
      <c r="A162" s="18" t="inlineStr">
        <is>
          <t>기타 · Revenue From Contracts With Customers</t>
        </is>
      </c>
      <c r="C162" s="20" t="n">
        <v>103</v>
      </c>
      <c r="D162" s="20" t="n">
        <v>183</v>
      </c>
      <c r="G162" s="20" t="n">
        <v>125</v>
      </c>
      <c r="H162" s="20" t="n">
        <v>137</v>
      </c>
      <c r="K162" s="20" t="n">
        <v>71</v>
      </c>
      <c r="L162" s="20" t="n">
        <v>66</v>
      </c>
      <c r="V162" s="20" t="n">
        <v>183</v>
      </c>
      <c r="W162" s="20" t="n">
        <v>137</v>
      </c>
      <c r="X162" s="20" t="n">
        <v>66</v>
      </c>
    </row>
    <row r="163">
      <c r="A163" s="43" t="inlineStr">
        <is>
          <t>YoY</t>
        </is>
      </c>
      <c r="B163" s="3" t="inlineStr">
        <is>
          <t>전년 같은 분기·전년 대비</t>
        </is>
      </c>
      <c r="G163" s="15">
        <f>IF(OR(G162="",C162=""),"",IF(C162&lt;=0,"",IFERROR(G162/C162-1,"")))</f>
        <v/>
      </c>
      <c r="H163" s="15">
        <f>IF(OR(H162="",D162=""),"",IF(D162&lt;=0,"",IFERROR(H162/D162-1,"")))</f>
        <v/>
      </c>
      <c r="K163" s="15">
        <f>IF(OR(K162="",G162=""),"",IF(G162&lt;=0,"",IFERROR(K162/G162-1,"")))</f>
        <v/>
      </c>
      <c r="L163" s="15">
        <f>IF(OR(L162="",H162=""),"",IF(H162&lt;=0,"",IFERROR(L162/H162-1,"")))</f>
        <v/>
      </c>
      <c r="V163" s="15">
        <f>IF(OR(V162="",U162=""),"",IF(U162&lt;=0,"",IFERROR(V162/U162-1,"")))</f>
        <v/>
      </c>
      <c r="W163" s="15">
        <f>IF(OR(W162="",V162=""),"",IF(V162&lt;=0,"",IFERROR(W162/V162-1,"")))</f>
        <v/>
      </c>
      <c r="X163" s="15">
        <f>IF(OR(X162="",W162=""),"",IF(W162&lt;=0,"",IFERROR(X162/W162-1,"")))</f>
        <v/>
      </c>
    </row>
    <row r="164">
      <c r="A164" s="18" t="inlineStr">
        <is>
          <t>합계 · Revenue From Contracts With Customers</t>
        </is>
      </c>
      <c r="C164" s="20" t="n">
        <v>5890</v>
      </c>
      <c r="D164" s="20" t="n">
        <v>11430</v>
      </c>
      <c r="E164" s="20" t="n">
        <v>6086</v>
      </c>
      <c r="F164" s="20" t="n">
        <v>6293</v>
      </c>
      <c r="G164" s="20" t="n">
        <v>9910</v>
      </c>
      <c r="H164" s="20" t="n">
        <v>4377</v>
      </c>
      <c r="I164" s="20" t="n">
        <v>10075</v>
      </c>
      <c r="J164" s="20" t="n">
        <v>4537</v>
      </c>
      <c r="K164" s="20" t="n">
        <v>6278</v>
      </c>
      <c r="L164" s="20" t="n">
        <v>6863</v>
      </c>
      <c r="M164" s="20" t="n">
        <v>16077</v>
      </c>
      <c r="N164" s="20" t="n">
        <v>3252</v>
      </c>
      <c r="V164" s="20" t="n">
        <v>11430</v>
      </c>
      <c r="W164" s="20" t="n">
        <v>4377</v>
      </c>
      <c r="X164" s="20" t="n">
        <v>6863</v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IF(OR(G164="",C164=""),"",IF(C164&lt;=0,"",IFERROR(G164/C164-1,"")))</f>
        <v/>
      </c>
      <c r="H165" s="15">
        <f>IF(OR(H164="",D164=""),"",IF(D164&lt;=0,"",IFERROR(H164/D164-1,"")))</f>
        <v/>
      </c>
      <c r="I165" s="15">
        <f>IF(OR(I164="",E164=""),"",IF(E164&lt;=0,"",IFERROR(I164/E164-1,"")))</f>
        <v/>
      </c>
      <c r="J165" s="15">
        <f>IF(OR(J164="",F164=""),"",IF(F164&lt;=0,"",IFERROR(J164/F164-1,"")))</f>
        <v/>
      </c>
      <c r="K165" s="15">
        <f>IF(OR(K164="",G164=""),"",IF(G164&lt;=0,"",IFERROR(K164/G164-1,"")))</f>
        <v/>
      </c>
      <c r="L165" s="15">
        <f>IF(OR(L164="",H164=""),"",IF(H164&lt;=0,"",IFERROR(L164/H164-1,"")))</f>
        <v/>
      </c>
      <c r="M165" s="15">
        <f>IF(OR(M164="",I164=""),"",IF(I164&lt;=0,"",IFERROR(M164/I164-1,"")))</f>
        <v/>
      </c>
      <c r="N165" s="15">
        <f>IF(OR(N164="",J164=""),"",IF(J164&lt;=0,"",IFERROR(N164/J164-1,"")))</f>
        <v/>
      </c>
      <c r="V165" s="15">
        <f>IF(OR(V164="",U164=""),"",IF(U164&lt;=0,"",IFERROR(V164/U164-1,"")))</f>
        <v/>
      </c>
      <c r="W165" s="15">
        <f>IF(OR(W164="",V164=""),"",IF(V164&lt;=0,"",IFERROR(W164/V164-1,"")))</f>
        <v/>
      </c>
      <c r="X165" s="15">
        <f>IF(OR(X164="",W164=""),"",IF(W164&lt;=0,"",IFERROR(X164/W164-1,"")))</f>
        <v/>
      </c>
    </row>
    <row r="166">
      <c r="A166" s="18" t="inlineStr">
        <is>
          <t>DetachedRealEstateReportableSegmentsMember · 기타수익</t>
        </is>
      </c>
      <c r="E166" s="20" t="n">
        <v>0</v>
      </c>
      <c r="I166" s="20" t="n">
        <v>0</v>
      </c>
      <c r="M166" s="20" t="n">
        <v>0</v>
      </c>
    </row>
    <row r="167">
      <c r="A167" s="18" t="inlineStr">
        <is>
          <t>LeasingReportableSegmentsMember · 기타수익</t>
        </is>
      </c>
      <c r="E167" s="20" t="n">
        <v>655</v>
      </c>
      <c r="I167" s="20" t="n">
        <v>682</v>
      </c>
      <c r="M167" s="20" t="n">
        <v>1066</v>
      </c>
    </row>
    <row r="168">
      <c r="A168" s="18" t="inlineStr">
        <is>
          <t>RealEstateManagementReportableSegmentMember · 기타수익</t>
        </is>
      </c>
      <c r="E168" s="20" t="n">
        <v>0</v>
      </c>
      <c r="I168" s="20" t="n">
        <v>0</v>
      </c>
      <c r="M168" s="20" t="n">
        <v>0</v>
      </c>
    </row>
    <row r="169">
      <c r="A169" s="18" t="inlineStr">
        <is>
          <t>HotelBusinessReportableSegmentMember · 기타수익</t>
        </is>
      </c>
      <c r="E169" s="20" t="n">
        <v>0</v>
      </c>
      <c r="I169" s="20" t="n">
        <v>0</v>
      </c>
      <c r="M169" s="20" t="n">
        <v>0</v>
      </c>
    </row>
    <row r="170">
      <c r="A170" s="18" t="inlineStr">
        <is>
          <t>보고부문 합계 · 기타수익</t>
        </is>
      </c>
      <c r="E170" s="20" t="n">
        <v>655</v>
      </c>
      <c r="I170" s="20" t="n">
        <v>682</v>
      </c>
      <c r="M170" s="20" t="n">
        <v>1066</v>
      </c>
    </row>
    <row r="171">
      <c r="A171" s="18" t="inlineStr">
        <is>
          <t>OtherReportableSegmentsMember · 기타수익</t>
        </is>
      </c>
      <c r="E171" s="20" t="n">
        <v>0</v>
      </c>
      <c r="I171" s="20" t="n">
        <v>0</v>
      </c>
      <c r="M171" s="20" t="n">
        <v>0</v>
      </c>
    </row>
    <row r="172">
      <c r="A172" s="18" t="inlineStr">
        <is>
          <t>합계 · 기타수익</t>
        </is>
      </c>
      <c r="E172" s="20" t="n">
        <v>655</v>
      </c>
      <c r="I172" s="20" t="n">
        <v>682</v>
      </c>
      <c r="M172" s="20" t="n">
        <v>1066</v>
      </c>
    </row>
    <row r="173">
      <c r="A173" s="18" t="inlineStr">
        <is>
          <t>DetachedRealEstateReportableSegmentsMember · 기타수익</t>
        </is>
      </c>
      <c r="C173" s="20" t="n">
        <v>0</v>
      </c>
      <c r="G173" s="20" t="n">
        <v>0</v>
      </c>
      <c r="K173" s="20" t="n">
        <v>0</v>
      </c>
    </row>
    <row r="174">
      <c r="A174" s="18" t="inlineStr">
        <is>
          <t>LeasingReportableSegmentsMember · 기타수익</t>
        </is>
      </c>
      <c r="C174" s="20" t="n">
        <v>607</v>
      </c>
      <c r="G174" s="20" t="n">
        <v>635</v>
      </c>
      <c r="K174" s="20" t="n">
        <v>639</v>
      </c>
    </row>
    <row r="175">
      <c r="A175" s="18" t="inlineStr">
        <is>
          <t>RealEstateManagementReportableSegmentMember · 기타수익</t>
        </is>
      </c>
      <c r="C175" s="20" t="n">
        <v>0</v>
      </c>
      <c r="G175" s="20" t="n">
        <v>0</v>
      </c>
      <c r="K175" s="20" t="n">
        <v>0</v>
      </c>
    </row>
    <row r="176">
      <c r="A176" s="18" t="inlineStr">
        <is>
          <t>HotelBusinessReportableSegmentMember · 기타수익</t>
        </is>
      </c>
      <c r="C176" s="20" t="n">
        <v>0</v>
      </c>
      <c r="G176" s="20" t="n">
        <v>0</v>
      </c>
      <c r="K176" s="20" t="n">
        <v>0</v>
      </c>
    </row>
    <row r="177">
      <c r="A177" s="18" t="inlineStr">
        <is>
          <t>보고부문 합계 · 기타수익</t>
        </is>
      </c>
      <c r="C177" s="20" t="n">
        <v>607</v>
      </c>
      <c r="G177" s="20" t="n">
        <v>635</v>
      </c>
      <c r="K177" s="20" t="n">
        <v>639</v>
      </c>
    </row>
    <row r="178">
      <c r="A178" s="18" t="inlineStr">
        <is>
          <t>기타 · 기타수익</t>
        </is>
      </c>
      <c r="C178" s="20" t="n">
        <v>0</v>
      </c>
      <c r="G178" s="20" t="n">
        <v>0</v>
      </c>
      <c r="K178" s="20" t="n">
        <v>0</v>
      </c>
    </row>
    <row r="179">
      <c r="A179" s="18" t="inlineStr">
        <is>
          <t>합계 · 기타수익</t>
        </is>
      </c>
      <c r="C179" s="20" t="n">
        <v>607</v>
      </c>
      <c r="G179" s="20" t="n">
        <v>635</v>
      </c>
      <c r="K179" s="20" t="n">
        <v>639</v>
      </c>
    </row>
    <row r="180">
      <c r="A180" s="18" t="inlineStr">
        <is>
          <t>DetachedRealEstateReportableSegmentsMember · 외부 고객 매출</t>
        </is>
      </c>
      <c r="C180" s="20" t="n">
        <v>4306</v>
      </c>
      <c r="D180" s="20" t="n">
        <v>9463</v>
      </c>
      <c r="E180" s="20" t="n">
        <v>4201</v>
      </c>
      <c r="F180" s="20" t="n">
        <v>4299</v>
      </c>
      <c r="G180" s="20" t="n">
        <v>8092</v>
      </c>
      <c r="H180" s="20" t="n">
        <v>2447</v>
      </c>
      <c r="I180" s="20" t="n">
        <v>8361</v>
      </c>
      <c r="J180" s="20" t="n">
        <v>2828</v>
      </c>
      <c r="K180" s="20" t="n">
        <v>4547</v>
      </c>
      <c r="L180" s="20" t="n">
        <v>4840</v>
      </c>
      <c r="M180" s="20" t="n">
        <v>13990</v>
      </c>
      <c r="N180" s="20" t="n">
        <v>1345</v>
      </c>
      <c r="V180" s="20" t="n">
        <v>9463</v>
      </c>
      <c r="W180" s="20" t="n">
        <v>2447</v>
      </c>
      <c r="X180" s="20" t="n">
        <v>4840</v>
      </c>
    </row>
    <row r="181">
      <c r="A181" s="43" t="inlineStr">
        <is>
          <t>YoY</t>
        </is>
      </c>
      <c r="B181" s="3" t="inlineStr">
        <is>
          <t>전년 같은 분기·전년 대비</t>
        </is>
      </c>
      <c r="G181" s="15">
        <f>IF(OR(G180="",C180=""),"",IF(C180&lt;=0,"",IFERROR(G180/C180-1,"")))</f>
        <v/>
      </c>
      <c r="H181" s="15">
        <f>IF(OR(H180="",D180=""),"",IF(D180&lt;=0,"",IFERROR(H180/D180-1,"")))</f>
        <v/>
      </c>
      <c r="I181" s="15">
        <f>IF(OR(I180="",E180=""),"",IF(E180&lt;=0,"",IFERROR(I180/E180-1,"")))</f>
        <v/>
      </c>
      <c r="J181" s="15">
        <f>IF(OR(J180="",F180=""),"",IF(F180&lt;=0,"",IFERROR(J180/F180-1,"")))</f>
        <v/>
      </c>
      <c r="K181" s="15">
        <f>IF(OR(K180="",G180=""),"",IF(G180&lt;=0,"",IFERROR(K180/G180-1,"")))</f>
        <v/>
      </c>
      <c r="L181" s="15">
        <f>IF(OR(L180="",H180=""),"",IF(H180&lt;=0,"",IFERROR(L180/H180-1,"")))</f>
        <v/>
      </c>
      <c r="M181" s="15">
        <f>IF(OR(M180="",I180=""),"",IF(I180&lt;=0,"",IFERROR(M180/I180-1,"")))</f>
        <v/>
      </c>
      <c r="N181" s="15">
        <f>IF(OR(N180="",J180=""),"",IF(J180&lt;=0,"",IFERROR(N180/J180-1,"")))</f>
        <v/>
      </c>
      <c r="V181" s="15">
        <f>IF(OR(V180="",U180=""),"",IF(U180&lt;=0,"",IFERROR(V180/U180-1,"")))</f>
        <v/>
      </c>
      <c r="W181" s="15">
        <f>IF(OR(W180="",V180=""),"",IF(V180&lt;=0,"",IFERROR(W180/V180-1,"")))</f>
        <v/>
      </c>
      <c r="X181" s="15">
        <f>IF(OR(X180="",W180=""),"",IF(W180&lt;=0,"",IFERROR(X180/W180-1,"")))</f>
        <v/>
      </c>
    </row>
    <row r="182">
      <c r="A182" s="18" t="inlineStr">
        <is>
          <t>LeasingReportableSegmentsMember · 외부 고객 매출</t>
        </is>
      </c>
      <c r="C182" s="20" t="n">
        <v>607</v>
      </c>
      <c r="D182" s="20" t="n">
        <v>631</v>
      </c>
      <c r="E182" s="20" t="n">
        <v>655</v>
      </c>
      <c r="F182" s="20" t="n">
        <v>673</v>
      </c>
      <c r="G182" s="20" t="n">
        <v>635</v>
      </c>
      <c r="H182" s="20" t="n">
        <v>665</v>
      </c>
      <c r="I182" s="20" t="n">
        <v>682</v>
      </c>
      <c r="J182" s="20" t="n">
        <v>702</v>
      </c>
      <c r="K182" s="20" t="n">
        <v>639</v>
      </c>
      <c r="L182" s="20" t="n">
        <v>669</v>
      </c>
      <c r="M182" s="20" t="n">
        <v>1066</v>
      </c>
      <c r="N182" s="20" t="n">
        <v>1212</v>
      </c>
      <c r="V182" s="20" t="n">
        <v>631</v>
      </c>
      <c r="W182" s="20" t="n">
        <v>665</v>
      </c>
      <c r="X182" s="20" t="n">
        <v>669</v>
      </c>
    </row>
    <row r="183">
      <c r="A183" s="43" t="inlineStr">
        <is>
          <t>YoY</t>
        </is>
      </c>
      <c r="B183" s="3" t="inlineStr">
        <is>
          <t>전년 같은 분기·전년 대비</t>
        </is>
      </c>
      <c r="G183" s="15">
        <f>IF(OR(G182="",C182=""),"",IF(C182&lt;=0,"",IFERROR(G182/C182-1,"")))</f>
        <v/>
      </c>
      <c r="H183" s="15">
        <f>IF(OR(H182="",D182=""),"",IF(D182&lt;=0,"",IFERROR(H182/D182-1,"")))</f>
        <v/>
      </c>
      <c r="I183" s="15">
        <f>IF(OR(I182="",E182=""),"",IF(E182&lt;=0,"",IFERROR(I182/E182-1,"")))</f>
        <v/>
      </c>
      <c r="J183" s="15">
        <f>IF(OR(J182="",F182=""),"",IF(F182&lt;=0,"",IFERROR(J182/F182-1,"")))</f>
        <v/>
      </c>
      <c r="K183" s="15">
        <f>IF(OR(K182="",G182=""),"",IF(G182&lt;=0,"",IFERROR(K182/G182-1,"")))</f>
        <v/>
      </c>
      <c r="L183" s="15">
        <f>IF(OR(L182="",H182=""),"",IF(H182&lt;=0,"",IFERROR(L182/H182-1,"")))</f>
        <v/>
      </c>
      <c r="M183" s="15">
        <f>IF(OR(M182="",I182=""),"",IF(I182&lt;=0,"",IFERROR(M182/I182-1,"")))</f>
        <v/>
      </c>
      <c r="N183" s="15">
        <f>IF(OR(N182="",J182=""),"",IF(J182&lt;=0,"",IFERROR(N182/J182-1,"")))</f>
        <v/>
      </c>
      <c r="V183" s="15">
        <f>IF(OR(V182="",U182=""),"",IF(U182&lt;=0,"",IFERROR(V182/U182-1,"")))</f>
        <v/>
      </c>
      <c r="W183" s="15">
        <f>IF(OR(W182="",V182=""),"",IF(V182&lt;=0,"",IFERROR(W182/V182-1,"")))</f>
        <v/>
      </c>
      <c r="X183" s="15">
        <f>IF(OR(X182="",W182=""),"",IF(W182&lt;=0,"",IFERROR(X182/W182-1,"")))</f>
        <v/>
      </c>
    </row>
    <row r="184">
      <c r="A184" s="18" t="inlineStr">
        <is>
          <t>RealEstateManagementReportableSegmentMember · 외부 고객 매출</t>
        </is>
      </c>
      <c r="C184" s="20" t="n">
        <v>874</v>
      </c>
      <c r="E184" s="20" t="n">
        <v>1066</v>
      </c>
      <c r="F184" s="20" t="n">
        <v>1067</v>
      </c>
      <c r="G184" s="20" t="n">
        <v>1017</v>
      </c>
      <c r="I184" s="20" t="n">
        <v>863</v>
      </c>
      <c r="J184" s="20" t="n">
        <v>827</v>
      </c>
      <c r="K184" s="20" t="n">
        <v>970</v>
      </c>
      <c r="M184" s="20" t="n">
        <v>1180</v>
      </c>
      <c r="N184" s="20" t="n">
        <v>992</v>
      </c>
    </row>
    <row r="185">
      <c r="A185" s="43" t="inlineStr">
        <is>
          <t>YoY</t>
        </is>
      </c>
      <c r="B185" s="3" t="inlineStr">
        <is>
          <t>전년 같은 분기·전년 대비</t>
        </is>
      </c>
      <c r="G185" s="15">
        <f>IF(OR(G184="",C184=""),"",IF(C184&lt;=0,"",IFERROR(G184/C184-1,"")))</f>
        <v/>
      </c>
      <c r="I185" s="15">
        <f>IF(OR(I184="",E184=""),"",IF(E184&lt;=0,"",IFERROR(I184/E184-1,"")))</f>
        <v/>
      </c>
      <c r="J185" s="15">
        <f>IF(OR(J184="",F184=""),"",IF(F184&lt;=0,"",IFERROR(J184/F184-1,"")))</f>
        <v/>
      </c>
      <c r="K185" s="15">
        <f>IF(OR(K184="",G184=""),"",IF(G184&lt;=0,"",IFERROR(K184/G184-1,"")))</f>
        <v/>
      </c>
      <c r="M185" s="15">
        <f>IF(OR(M184="",I184=""),"",IF(I184&lt;=0,"",IFERROR(M184/I184-1,"")))</f>
        <v/>
      </c>
      <c r="N185" s="15">
        <f>IF(OR(N184="",J184=""),"",IF(J184&lt;=0,"",IFERROR(N184/J184-1,"")))</f>
        <v/>
      </c>
    </row>
    <row r="186">
      <c r="A186" s="18" t="inlineStr">
        <is>
          <t>HotelBusinessReportableSegmentMember · 외부 고객 매출</t>
        </is>
      </c>
      <c r="C186" s="20" t="n">
        <v>606</v>
      </c>
      <c r="D186" s="20" t="n">
        <v>790</v>
      </c>
      <c r="E186" s="20" t="n">
        <v>730</v>
      </c>
      <c r="F186" s="20" t="n">
        <v>755</v>
      </c>
      <c r="G186" s="20" t="n">
        <v>674</v>
      </c>
      <c r="H186" s="20" t="n">
        <v>900</v>
      </c>
      <c r="I186" s="20" t="n">
        <v>766</v>
      </c>
      <c r="J186" s="20" t="n">
        <v>821</v>
      </c>
      <c r="K186" s="20" t="n">
        <v>690</v>
      </c>
      <c r="L186" s="20" t="n">
        <v>976</v>
      </c>
      <c r="M186" s="20" t="n">
        <v>858</v>
      </c>
      <c r="N186" s="20" t="n">
        <v>883</v>
      </c>
      <c r="V186" s="20" t="n">
        <v>790</v>
      </c>
      <c r="W186" s="20" t="n">
        <v>900</v>
      </c>
      <c r="X186" s="20" t="n">
        <v>976</v>
      </c>
    </row>
    <row r="187">
      <c r="A187" s="43" t="inlineStr">
        <is>
          <t>YoY</t>
        </is>
      </c>
      <c r="B187" s="3" t="inlineStr">
        <is>
          <t>전년 같은 분기·전년 대비</t>
        </is>
      </c>
      <c r="G187" s="15">
        <f>IF(OR(G186="",C186=""),"",IF(C186&lt;=0,"",IFERROR(G186/C186-1,"")))</f>
        <v/>
      </c>
      <c r="H187" s="15">
        <f>IF(OR(H186="",D186=""),"",IF(D186&lt;=0,"",IFERROR(H186/D186-1,"")))</f>
        <v/>
      </c>
      <c r="I187" s="15">
        <f>IF(OR(I186="",E186=""),"",IF(E186&lt;=0,"",IFERROR(I186/E186-1,"")))</f>
        <v/>
      </c>
      <c r="J187" s="15">
        <f>IF(OR(J186="",F186=""),"",IF(F186&lt;=0,"",IFERROR(J186/F186-1,"")))</f>
        <v/>
      </c>
      <c r="K187" s="15">
        <f>IF(OR(K186="",G186=""),"",IF(G186&lt;=0,"",IFERROR(K186/G186-1,"")))</f>
        <v/>
      </c>
      <c r="L187" s="15">
        <f>IF(OR(L186="",H186=""),"",IF(H186&lt;=0,"",IFERROR(L186/H186-1,"")))</f>
        <v/>
      </c>
      <c r="M187" s="15">
        <f>IF(OR(M186="",I186=""),"",IF(I186&lt;=0,"",IFERROR(M186/I186-1,"")))</f>
        <v/>
      </c>
      <c r="N187" s="15">
        <f>IF(OR(N186="",J186=""),"",IF(J186&lt;=0,"",IFERROR(N186/J186-1,"")))</f>
        <v/>
      </c>
      <c r="V187" s="15">
        <f>IF(OR(V186="",U186=""),"",IF(U186&lt;=0,"",IFERROR(V186/U186-1,"")))</f>
        <v/>
      </c>
      <c r="W187" s="15">
        <f>IF(OR(W186="",V186=""),"",IF(V186&lt;=0,"",IFERROR(W186/V186-1,"")))</f>
        <v/>
      </c>
      <c r="X187" s="15">
        <f>IF(OR(X186="",W186=""),"",IF(W186&lt;=0,"",IFERROR(X186/W186-1,"")))</f>
        <v/>
      </c>
    </row>
    <row r="188">
      <c r="A188" s="18" t="inlineStr">
        <is>
          <t>보고부문 합계 · 외부 고객 매출</t>
        </is>
      </c>
      <c r="C188" s="20" t="n">
        <v>6394</v>
      </c>
      <c r="D188" s="20" t="n">
        <v>11878</v>
      </c>
      <c r="E188" s="20" t="n">
        <v>6653</v>
      </c>
      <c r="F188" s="20" t="n">
        <v>6794</v>
      </c>
      <c r="G188" s="20" t="n">
        <v>10419</v>
      </c>
      <c r="H188" s="20" t="n">
        <v>4904</v>
      </c>
      <c r="I188" s="20" t="n">
        <v>10673</v>
      </c>
      <c r="J188" s="20" t="n">
        <v>5179</v>
      </c>
      <c r="K188" s="20" t="n">
        <v>6845</v>
      </c>
      <c r="L188" s="20" t="n">
        <v>7467</v>
      </c>
      <c r="M188" s="20" t="n">
        <v>17096</v>
      </c>
      <c r="N188" s="20" t="n">
        <v>4431</v>
      </c>
      <c r="V188" s="20" t="n">
        <v>11878</v>
      </c>
      <c r="W188" s="20" t="n">
        <v>4904</v>
      </c>
      <c r="X188" s="20" t="n">
        <v>7467</v>
      </c>
    </row>
    <row r="189">
      <c r="A189" s="43" t="inlineStr">
        <is>
          <t>YoY</t>
        </is>
      </c>
      <c r="B189" s="3" t="inlineStr">
        <is>
          <t>전년 같은 분기·전년 대비</t>
        </is>
      </c>
      <c r="G189" s="15">
        <f>IF(OR(G188="",C188=""),"",IF(C188&lt;=0,"",IFERROR(G188/C188-1,"")))</f>
        <v/>
      </c>
      <c r="H189" s="15">
        <f>IF(OR(H188="",D188=""),"",IF(D188&lt;=0,"",IFERROR(H188/D188-1,"")))</f>
        <v/>
      </c>
      <c r="I189" s="15">
        <f>IF(OR(I188="",E188=""),"",IF(E188&lt;=0,"",IFERROR(I188/E188-1,"")))</f>
        <v/>
      </c>
      <c r="J189" s="15">
        <f>IF(OR(J188="",F188=""),"",IF(F188&lt;=0,"",IFERROR(J188/F188-1,"")))</f>
        <v/>
      </c>
      <c r="K189" s="15">
        <f>IF(OR(K188="",G188=""),"",IF(G188&lt;=0,"",IFERROR(K188/G188-1,"")))</f>
        <v/>
      </c>
      <c r="L189" s="15">
        <f>IF(OR(L188="",H188=""),"",IF(H188&lt;=0,"",IFERROR(L188/H188-1,"")))</f>
        <v/>
      </c>
      <c r="M189" s="15">
        <f>IF(OR(M188="",I188=""),"",IF(I188&lt;=0,"",IFERROR(M188/I188-1,"")))</f>
        <v/>
      </c>
      <c r="N189" s="15">
        <f>IF(OR(N188="",J188=""),"",IF(J188&lt;=0,"",IFERROR(N188/J188-1,"")))</f>
        <v/>
      </c>
      <c r="V189" s="15">
        <f>IF(OR(V188="",U188=""),"",IF(U188&lt;=0,"",IFERROR(V188/U188-1,"")))</f>
        <v/>
      </c>
      <c r="W189" s="15">
        <f>IF(OR(W188="",V188=""),"",IF(V188&lt;=0,"",IFERROR(W188/V188-1,"")))</f>
        <v/>
      </c>
      <c r="X189" s="15">
        <f>IF(OR(X188="",W188=""),"",IF(W188&lt;=0,"",IFERROR(X188/W188-1,"")))</f>
        <v/>
      </c>
    </row>
    <row r="190">
      <c r="A190" s="18" t="inlineStr">
        <is>
          <t>OtherReportableSegmentsMember · 외부 고객 매출</t>
        </is>
      </c>
      <c r="E190" s="20" t="n">
        <v>88</v>
      </c>
      <c r="I190" s="20" t="n">
        <v>84</v>
      </c>
      <c r="M190" s="20" t="n">
        <v>47</v>
      </c>
    </row>
    <row r="191">
      <c r="A191" s="43" t="inlineStr">
        <is>
          <t>YoY</t>
        </is>
      </c>
      <c r="B191" s="3" t="inlineStr">
        <is>
          <t>전년 같은 분기·전년 대비</t>
        </is>
      </c>
      <c r="I191" s="15">
        <f>IF(OR(I190="",E190=""),"",IF(E190&lt;=0,"",IFERROR(I190/E190-1,"")))</f>
        <v/>
      </c>
      <c r="M191" s="15">
        <f>IF(OR(M190="",I190=""),"",IF(I190&lt;=0,"",IFERROR(M190/I190-1,"")))</f>
        <v/>
      </c>
    </row>
    <row r="192">
      <c r="A192" s="18" t="inlineStr">
        <is>
          <t>기타 · 외부 고객 매출</t>
        </is>
      </c>
      <c r="C192" s="20" t="n">
        <v>103</v>
      </c>
      <c r="D192" s="20" t="n">
        <v>183</v>
      </c>
      <c r="G192" s="20" t="n">
        <v>125</v>
      </c>
      <c r="H192" s="20" t="n">
        <v>137</v>
      </c>
      <c r="K192" s="20" t="n">
        <v>71</v>
      </c>
      <c r="L192" s="20" t="n">
        <v>66</v>
      </c>
      <c r="V192" s="20" t="n">
        <v>183</v>
      </c>
      <c r="W192" s="20" t="n">
        <v>137</v>
      </c>
      <c r="X192" s="20" t="n">
        <v>66</v>
      </c>
    </row>
    <row r="193">
      <c r="A193" s="43" t="inlineStr">
        <is>
          <t>YoY</t>
        </is>
      </c>
      <c r="B193" s="3" t="inlineStr">
        <is>
          <t>전년 같은 분기·전년 대비</t>
        </is>
      </c>
      <c r="G193" s="15">
        <f>IF(OR(G192="",C192=""),"",IF(C192&lt;=0,"",IFERROR(G192/C192-1,"")))</f>
        <v/>
      </c>
      <c r="H193" s="15">
        <f>IF(OR(H192="",D192=""),"",IF(D192&lt;=0,"",IFERROR(H192/D192-1,"")))</f>
        <v/>
      </c>
      <c r="K193" s="15">
        <f>IF(OR(K192="",G192=""),"",IF(G192&lt;=0,"",IFERROR(K192/G192-1,"")))</f>
        <v/>
      </c>
      <c r="L193" s="15">
        <f>IF(OR(L192="",H192=""),"",IF(H192&lt;=0,"",IFERROR(L192/H192-1,"")))</f>
        <v/>
      </c>
      <c r="V193" s="15">
        <f>IF(OR(V192="",U192=""),"",IF(U192&lt;=0,"",IFERROR(V192/U192-1,"")))</f>
        <v/>
      </c>
      <c r="W193" s="15">
        <f>IF(OR(W192="",V192=""),"",IF(V192&lt;=0,"",IFERROR(W192/V192-1,"")))</f>
        <v/>
      </c>
      <c r="X193" s="15">
        <f>IF(OR(X192="",W192=""),"",IF(W192&lt;=0,"",IFERROR(X192/W192-1,"")))</f>
        <v/>
      </c>
    </row>
    <row r="194">
      <c r="A194" s="18" t="inlineStr">
        <is>
          <t>합계 · 외부 고객 매출</t>
        </is>
      </c>
      <c r="C194" s="20" t="n">
        <v>6496</v>
      </c>
      <c r="D194" s="20" t="n">
        <v>12062</v>
      </c>
      <c r="E194" s="20" t="n">
        <v>6741</v>
      </c>
      <c r="F194" s="20" t="n">
        <v>6967</v>
      </c>
      <c r="G194" s="20" t="n">
        <v>10544</v>
      </c>
      <c r="H194" s="20" t="n">
        <v>5042</v>
      </c>
      <c r="I194" s="20" t="n">
        <v>10758</v>
      </c>
      <c r="J194" s="20" t="n">
        <v>5238</v>
      </c>
      <c r="K194" s="20" t="n">
        <v>6917</v>
      </c>
      <c r="L194" s="20" t="n">
        <v>7532</v>
      </c>
      <c r="M194" s="20" t="n">
        <v>17143</v>
      </c>
      <c r="N194" s="20" t="n">
        <v>4465</v>
      </c>
      <c r="V194" s="20" t="n">
        <v>12062</v>
      </c>
      <c r="W194" s="20" t="n">
        <v>5042</v>
      </c>
      <c r="X194" s="20" t="n">
        <v>7532</v>
      </c>
    </row>
    <row r="195">
      <c r="A195" s="43" t="inlineStr">
        <is>
          <t>YoY</t>
        </is>
      </c>
      <c r="B195" s="3" t="inlineStr">
        <is>
          <t>전년 같은 분기·전년 대비</t>
        </is>
      </c>
      <c r="G195" s="15">
        <f>IF(OR(G194="",C194=""),"",IF(C194&lt;=0,"",IFERROR(G194/C194-1,"")))</f>
        <v/>
      </c>
      <c r="H195" s="15">
        <f>IF(OR(H194="",D194=""),"",IF(D194&lt;=0,"",IFERROR(H194/D194-1,"")))</f>
        <v/>
      </c>
      <c r="I195" s="15">
        <f>IF(OR(I194="",E194=""),"",IF(E194&lt;=0,"",IFERROR(I194/E194-1,"")))</f>
        <v/>
      </c>
      <c r="J195" s="15">
        <f>IF(OR(J194="",F194=""),"",IF(F194&lt;=0,"",IFERROR(J194/F194-1,"")))</f>
        <v/>
      </c>
      <c r="K195" s="15">
        <f>IF(OR(K194="",G194=""),"",IF(G194&lt;=0,"",IFERROR(K194/G194-1,"")))</f>
        <v/>
      </c>
      <c r="L195" s="15">
        <f>IF(OR(L194="",H194=""),"",IF(H194&lt;=0,"",IFERROR(L194/H194-1,"")))</f>
        <v/>
      </c>
      <c r="M195" s="15">
        <f>IF(OR(M194="",I194=""),"",IF(I194&lt;=0,"",IFERROR(M194/I194-1,"")))</f>
        <v/>
      </c>
      <c r="N195" s="15">
        <f>IF(OR(N194="",J194=""),"",IF(J194&lt;=0,"",IFERROR(N194/J194-1,"")))</f>
        <v/>
      </c>
      <c r="V195" s="15">
        <f>IF(OR(V194="",U194=""),"",IF(U194&lt;=0,"",IFERROR(V194/U194-1,"")))</f>
        <v/>
      </c>
      <c r="W195" s="15">
        <f>IF(OR(W194="",V194=""),"",IF(V194&lt;=0,"",IFERROR(W194/V194-1,"")))</f>
        <v/>
      </c>
      <c r="X195" s="15">
        <f>IF(OR(X194="",W194=""),"",IF(W194&lt;=0,"",IFERROR(X194/W194-1,"")))</f>
        <v/>
      </c>
    </row>
    <row r="196">
      <c r="A196" s="18" t="inlineStr">
        <is>
          <t>DetachedRealEstateReportableSegmentsMember · 부문 간 내부매출·대체</t>
        </is>
      </c>
      <c r="C196" s="20" t="n">
        <v>0</v>
      </c>
      <c r="D196" s="20" t="n">
        <v>0</v>
      </c>
      <c r="E196" s="20" t="n">
        <v>0</v>
      </c>
      <c r="F196" s="20" t="n">
        <v>0</v>
      </c>
      <c r="G196" s="20" t="n">
        <v>0</v>
      </c>
      <c r="H196" s="20" t="n">
        <v>0</v>
      </c>
      <c r="I196" s="20" t="n">
        <v>0</v>
      </c>
      <c r="J196" s="20" t="n">
        <v>0</v>
      </c>
      <c r="K196" s="20" t="n">
        <v>0</v>
      </c>
      <c r="L196" s="20" t="n">
        <v>0</v>
      </c>
      <c r="M196" s="20" t="n">
        <v>0</v>
      </c>
      <c r="N196" s="20" t="n">
        <v>0</v>
      </c>
      <c r="V196" s="20" t="n">
        <v>0</v>
      </c>
      <c r="W196" s="20" t="n">
        <v>0</v>
      </c>
      <c r="X196" s="20" t="n">
        <v>0</v>
      </c>
    </row>
    <row r="197">
      <c r="A197" s="18" t="inlineStr">
        <is>
          <t>LeasingReportableSegmentsMember · 부문 간 내부매출·대체</t>
        </is>
      </c>
      <c r="C197" s="20" t="n">
        <v>85</v>
      </c>
      <c r="D197" s="20" t="n">
        <v>153</v>
      </c>
      <c r="E197" s="20" t="n">
        <v>92</v>
      </c>
      <c r="F197" s="20" t="n">
        <v>93</v>
      </c>
      <c r="G197" s="20" t="n">
        <v>93</v>
      </c>
      <c r="H197" s="20" t="n">
        <v>93</v>
      </c>
      <c r="I197" s="20" t="n">
        <v>92</v>
      </c>
      <c r="J197" s="20" t="n">
        <v>93</v>
      </c>
      <c r="K197" s="20" t="n">
        <v>93</v>
      </c>
      <c r="L197" s="20" t="n">
        <v>95</v>
      </c>
      <c r="M197" s="20" t="n">
        <v>244</v>
      </c>
      <c r="N197" s="20" t="n">
        <v>102</v>
      </c>
      <c r="V197" s="20" t="n">
        <v>153</v>
      </c>
      <c r="W197" s="20" t="n">
        <v>93</v>
      </c>
      <c r="X197" s="20" t="n">
        <v>95</v>
      </c>
    </row>
    <row r="198">
      <c r="A198" s="18" t="inlineStr">
        <is>
          <t>RealEstateManagementReportableSegmentMember · 부문 간 내부매출·대체</t>
        </is>
      </c>
      <c r="C198" s="20" t="n">
        <v>20</v>
      </c>
      <c r="E198" s="20" t="n">
        <v>14</v>
      </c>
      <c r="F198" s="20" t="n">
        <v>15</v>
      </c>
      <c r="G198" s="20" t="n">
        <v>15</v>
      </c>
      <c r="I198" s="20" t="n">
        <v>13</v>
      </c>
      <c r="J198" s="20" t="n">
        <v>8</v>
      </c>
      <c r="K198" s="20" t="n">
        <v>3</v>
      </c>
      <c r="M198" s="20" t="n">
        <v>2</v>
      </c>
      <c r="N198" s="20" t="n">
        <v>4</v>
      </c>
    </row>
    <row r="199">
      <c r="A199" s="18" t="inlineStr">
        <is>
          <t>HotelBusinessReportableSegmentMember · 부문 간 내부매출·대체</t>
        </is>
      </c>
      <c r="C199" s="20" t="n">
        <v>0</v>
      </c>
      <c r="D199" s="20" t="n">
        <v>0</v>
      </c>
      <c r="E199" s="20" t="n">
        <v>0</v>
      </c>
      <c r="F199" s="20" t="n">
        <v>0</v>
      </c>
      <c r="G199" s="20" t="n">
        <v>0</v>
      </c>
      <c r="H199" s="20" t="n">
        <v>0</v>
      </c>
      <c r="I199" s="20" t="n">
        <v>0</v>
      </c>
      <c r="J199" s="20" t="n">
        <v>0</v>
      </c>
      <c r="K199" s="20" t="n">
        <v>0</v>
      </c>
      <c r="L199" s="20" t="n">
        <v>0</v>
      </c>
      <c r="M199" s="20" t="n">
        <v>0</v>
      </c>
      <c r="N199" s="20" t="n">
        <v>0</v>
      </c>
      <c r="V199" s="20" t="n">
        <v>0</v>
      </c>
      <c r="W199" s="20" t="n">
        <v>0</v>
      </c>
      <c r="X199" s="20" t="n">
        <v>0</v>
      </c>
    </row>
    <row r="200">
      <c r="A200" s="18" t="inlineStr">
        <is>
          <t>보고부문 합계 · 부문 간 내부매출·대체</t>
        </is>
      </c>
      <c r="C200" s="20" t="n">
        <v>104</v>
      </c>
      <c r="D200" s="20" t="n">
        <v>168</v>
      </c>
      <c r="E200" s="20" t="n">
        <v>107</v>
      </c>
      <c r="F200" s="20" t="n">
        <v>108</v>
      </c>
      <c r="G200" s="20" t="n">
        <v>108</v>
      </c>
      <c r="H200" s="20" t="n">
        <v>108</v>
      </c>
      <c r="I200" s="20" t="n">
        <v>106</v>
      </c>
      <c r="J200" s="20" t="n">
        <v>101</v>
      </c>
      <c r="K200" s="20" t="n">
        <v>96</v>
      </c>
      <c r="L200" s="20" t="n">
        <v>99</v>
      </c>
      <c r="M200" s="20" t="n">
        <v>247</v>
      </c>
      <c r="N200" s="20" t="n">
        <v>105</v>
      </c>
      <c r="V200" s="20" t="n">
        <v>168</v>
      </c>
      <c r="W200" s="20" t="n">
        <v>108</v>
      </c>
      <c r="X200" s="20" t="n">
        <v>99</v>
      </c>
    </row>
    <row r="201">
      <c r="A201" s="18" t="inlineStr">
        <is>
          <t>OtherReportableSegmentsMember · 부문 간 내부매출·대체</t>
        </is>
      </c>
      <c r="E201" s="20" t="n">
        <v>99</v>
      </c>
      <c r="I201" s="20" t="n">
        <v>111</v>
      </c>
      <c r="M201" s="20" t="n">
        <v>53</v>
      </c>
    </row>
    <row r="202">
      <c r="A202" s="18" t="inlineStr">
        <is>
          <t>기타 · 부문 간 내부매출·대체</t>
        </is>
      </c>
      <c r="C202" s="20" t="n">
        <v>65</v>
      </c>
      <c r="D202" s="20" t="n">
        <v>85</v>
      </c>
      <c r="G202" s="20" t="n">
        <v>92</v>
      </c>
      <c r="H202" s="20" t="n">
        <v>91</v>
      </c>
      <c r="K202" s="20" t="n">
        <v>122</v>
      </c>
      <c r="L202" s="20" t="n">
        <v>86</v>
      </c>
      <c r="V202" s="20" t="n">
        <v>85</v>
      </c>
      <c r="W202" s="20" t="n">
        <v>91</v>
      </c>
      <c r="X202" s="20" t="n">
        <v>86</v>
      </c>
    </row>
    <row r="203">
      <c r="A203" s="18" t="inlineStr">
        <is>
          <t>합계 · 부문 간 내부매출·대체</t>
        </is>
      </c>
      <c r="C203" s="20" t="n">
        <v>170</v>
      </c>
      <c r="D203" s="20" t="n">
        <v>252</v>
      </c>
      <c r="E203" s="20" t="n">
        <v>206</v>
      </c>
      <c r="F203" s="20" t="n">
        <v>209</v>
      </c>
      <c r="G203" s="20" t="n">
        <v>200</v>
      </c>
      <c r="H203" s="20" t="n">
        <v>199</v>
      </c>
      <c r="I203" s="20" t="n">
        <v>218</v>
      </c>
      <c r="J203" s="20" t="n">
        <v>279</v>
      </c>
      <c r="K203" s="20" t="n">
        <v>218</v>
      </c>
      <c r="L203" s="20" t="n">
        <v>186</v>
      </c>
      <c r="M203" s="20" t="n">
        <v>301</v>
      </c>
      <c r="N203" s="20" t="n">
        <v>137</v>
      </c>
      <c r="V203" s="20" t="n">
        <v>252</v>
      </c>
      <c r="W203" s="20" t="n">
        <v>199</v>
      </c>
      <c r="X203" s="20" t="n">
        <v>186</v>
      </c>
    </row>
    <row r="204">
      <c r="A204" s="18" t="inlineStr">
        <is>
          <t>DetachedRealEstateReportableSegmentsMember · 계</t>
        </is>
      </c>
      <c r="C204" s="20" t="n">
        <v>4306</v>
      </c>
      <c r="D204" s="20" t="n">
        <v>9463</v>
      </c>
      <c r="E204" s="20" t="n">
        <v>4201</v>
      </c>
      <c r="F204" s="20" t="n">
        <v>4299</v>
      </c>
      <c r="G204" s="20" t="n">
        <v>8092</v>
      </c>
      <c r="H204" s="20" t="n">
        <v>2447</v>
      </c>
      <c r="I204" s="20" t="n">
        <v>8361</v>
      </c>
      <c r="J204" s="20" t="n">
        <v>2828</v>
      </c>
      <c r="K204" s="20" t="n">
        <v>4547</v>
      </c>
      <c r="L204" s="20" t="n">
        <v>4840</v>
      </c>
      <c r="M204" s="20" t="n">
        <v>13990</v>
      </c>
      <c r="N204" s="20" t="n">
        <v>1345</v>
      </c>
      <c r="V204" s="20" t="n">
        <v>9463</v>
      </c>
      <c r="W204" s="20" t="n">
        <v>2447</v>
      </c>
      <c r="X204" s="20" t="n">
        <v>4840</v>
      </c>
    </row>
    <row r="205">
      <c r="A205" s="43" t="inlineStr">
        <is>
          <t>YoY</t>
        </is>
      </c>
      <c r="B205" s="3" t="inlineStr">
        <is>
          <t>전년 같은 분기·전년 대비</t>
        </is>
      </c>
      <c r="G205" s="15">
        <f>IF(OR(G204="",C204=""),"",IF(C204&lt;=0,"",IFERROR(G204/C204-1,"")))</f>
        <v/>
      </c>
      <c r="H205" s="15">
        <f>IF(OR(H204="",D204=""),"",IF(D204&lt;=0,"",IFERROR(H204/D204-1,"")))</f>
        <v/>
      </c>
      <c r="I205" s="15">
        <f>IF(OR(I204="",E204=""),"",IF(E204&lt;=0,"",IFERROR(I204/E204-1,"")))</f>
        <v/>
      </c>
      <c r="J205" s="15">
        <f>IF(OR(J204="",F204=""),"",IF(F204&lt;=0,"",IFERROR(J204/F204-1,"")))</f>
        <v/>
      </c>
      <c r="K205" s="15">
        <f>IF(OR(K204="",G204=""),"",IF(G204&lt;=0,"",IFERROR(K204/G204-1,"")))</f>
        <v/>
      </c>
      <c r="L205" s="15">
        <f>IF(OR(L204="",H204=""),"",IF(H204&lt;=0,"",IFERROR(L204/H204-1,"")))</f>
        <v/>
      </c>
      <c r="M205" s="15">
        <f>IF(OR(M204="",I204=""),"",IF(I204&lt;=0,"",IFERROR(M204/I204-1,"")))</f>
        <v/>
      </c>
      <c r="N205" s="15">
        <f>IF(OR(N204="",J204=""),"",IF(J204&lt;=0,"",IFERROR(N204/J204-1,"")))</f>
        <v/>
      </c>
      <c r="V205" s="15">
        <f>IF(OR(V204="",U204=""),"",IF(U204&lt;=0,"",IFERROR(V204/U204-1,"")))</f>
        <v/>
      </c>
      <c r="W205" s="15">
        <f>IF(OR(W204="",V204=""),"",IF(V204&lt;=0,"",IFERROR(W204/V204-1,"")))</f>
        <v/>
      </c>
      <c r="X205" s="15">
        <f>IF(OR(X204="",W204=""),"",IF(W204&lt;=0,"",IFERROR(X204/W204-1,"")))</f>
        <v/>
      </c>
    </row>
    <row r="206">
      <c r="A206" s="18" t="inlineStr">
        <is>
          <t>LeasingReportableSegmentsMember · 계</t>
        </is>
      </c>
      <c r="C206" s="20" t="n">
        <v>692</v>
      </c>
      <c r="D206" s="20" t="n">
        <v>784</v>
      </c>
      <c r="E206" s="20" t="n">
        <v>748</v>
      </c>
      <c r="F206" s="20" t="n">
        <v>766</v>
      </c>
      <c r="G206" s="20" t="n">
        <v>728</v>
      </c>
      <c r="H206" s="20" t="n">
        <v>757</v>
      </c>
      <c r="I206" s="20" t="n">
        <v>775</v>
      </c>
      <c r="J206" s="20" t="n">
        <v>794</v>
      </c>
      <c r="K206" s="20" t="n">
        <v>732</v>
      </c>
      <c r="L206" s="20" t="n">
        <v>765</v>
      </c>
      <c r="M206" s="20" t="n">
        <v>1310</v>
      </c>
      <c r="N206" s="20" t="n">
        <v>1315</v>
      </c>
      <c r="V206" s="20" t="n">
        <v>784</v>
      </c>
      <c r="W206" s="20" t="n">
        <v>757</v>
      </c>
      <c r="X206" s="20" t="n">
        <v>765</v>
      </c>
    </row>
    <row r="207">
      <c r="A207" s="43" t="inlineStr">
        <is>
          <t>YoY</t>
        </is>
      </c>
      <c r="B207" s="3" t="inlineStr">
        <is>
          <t>전년 같은 분기·전년 대비</t>
        </is>
      </c>
      <c r="G207" s="15">
        <f>IF(OR(G206="",C206=""),"",IF(C206&lt;=0,"",IFERROR(G206/C206-1,"")))</f>
        <v/>
      </c>
      <c r="H207" s="15">
        <f>IF(OR(H206="",D206=""),"",IF(D206&lt;=0,"",IFERROR(H206/D206-1,"")))</f>
        <v/>
      </c>
      <c r="I207" s="15">
        <f>IF(OR(I206="",E206=""),"",IF(E206&lt;=0,"",IFERROR(I206/E206-1,"")))</f>
        <v/>
      </c>
      <c r="J207" s="15">
        <f>IF(OR(J206="",F206=""),"",IF(F206&lt;=0,"",IFERROR(J206/F206-1,"")))</f>
        <v/>
      </c>
      <c r="K207" s="15">
        <f>IF(OR(K206="",G206=""),"",IF(G206&lt;=0,"",IFERROR(K206/G206-1,"")))</f>
        <v/>
      </c>
      <c r="L207" s="15">
        <f>IF(OR(L206="",H206=""),"",IF(H206&lt;=0,"",IFERROR(L206/H206-1,"")))</f>
        <v/>
      </c>
      <c r="M207" s="15">
        <f>IF(OR(M206="",I206=""),"",IF(I206&lt;=0,"",IFERROR(M206/I206-1,"")))</f>
        <v/>
      </c>
      <c r="N207" s="15">
        <f>IF(OR(N206="",J206=""),"",IF(J206&lt;=0,"",IFERROR(N206/J206-1,"")))</f>
        <v/>
      </c>
      <c r="V207" s="15">
        <f>IF(OR(V206="",U206=""),"",IF(U206&lt;=0,"",IFERROR(V206/U206-1,"")))</f>
        <v/>
      </c>
      <c r="W207" s="15">
        <f>IF(OR(W206="",V206=""),"",IF(V206&lt;=0,"",IFERROR(W206/V206-1,"")))</f>
        <v/>
      </c>
      <c r="X207" s="15">
        <f>IF(OR(X206="",W206=""),"",IF(W206&lt;=0,"",IFERROR(X206/W206-1,"")))</f>
        <v/>
      </c>
    </row>
    <row r="208">
      <c r="A208" s="18" t="inlineStr">
        <is>
          <t>RealEstateManagementReportableSegmentMember · 계</t>
        </is>
      </c>
      <c r="C208" s="20" t="n">
        <v>894</v>
      </c>
      <c r="E208" s="20" t="n">
        <v>1080</v>
      </c>
      <c r="F208" s="20" t="n">
        <v>1082</v>
      </c>
      <c r="G208" s="20" t="n">
        <v>1033</v>
      </c>
      <c r="I208" s="20" t="n">
        <v>877</v>
      </c>
      <c r="J208" s="20" t="n">
        <v>835</v>
      </c>
      <c r="K208" s="20" t="n">
        <v>973</v>
      </c>
      <c r="M208" s="20" t="n">
        <v>1183</v>
      </c>
      <c r="N208" s="20" t="n">
        <v>995</v>
      </c>
    </row>
    <row r="209">
      <c r="A209" s="43" t="inlineStr">
        <is>
          <t>YoY</t>
        </is>
      </c>
      <c r="B209" s="3" t="inlineStr">
        <is>
          <t>전년 같은 분기·전년 대비</t>
        </is>
      </c>
      <c r="G209" s="15">
        <f>IF(OR(G208="",C208=""),"",IF(C208&lt;=0,"",IFERROR(G208/C208-1,"")))</f>
        <v/>
      </c>
      <c r="I209" s="15">
        <f>IF(OR(I208="",E208=""),"",IF(E208&lt;=0,"",IFERROR(I208/E208-1,"")))</f>
        <v/>
      </c>
      <c r="J209" s="15">
        <f>IF(OR(J208="",F208=""),"",IF(F208&lt;=0,"",IFERROR(J208/F208-1,"")))</f>
        <v/>
      </c>
      <c r="K209" s="15">
        <f>IF(OR(K208="",G208=""),"",IF(G208&lt;=0,"",IFERROR(K208/G208-1,"")))</f>
        <v/>
      </c>
      <c r="M209" s="15">
        <f>IF(OR(M208="",I208=""),"",IF(I208&lt;=0,"",IFERROR(M208/I208-1,"")))</f>
        <v/>
      </c>
      <c r="N209" s="15">
        <f>IF(OR(N208="",J208=""),"",IF(J208&lt;=0,"",IFERROR(N208/J208-1,"")))</f>
        <v/>
      </c>
    </row>
    <row r="210">
      <c r="A210" s="18" t="inlineStr">
        <is>
          <t>HotelBusinessReportableSegmentMember · 계</t>
        </is>
      </c>
      <c r="C210" s="20" t="n">
        <v>606</v>
      </c>
      <c r="D210" s="20" t="n">
        <v>790</v>
      </c>
      <c r="E210" s="20" t="n">
        <v>730</v>
      </c>
      <c r="F210" s="20" t="n">
        <v>755</v>
      </c>
      <c r="G210" s="20" t="n">
        <v>674</v>
      </c>
      <c r="H210" s="20" t="n">
        <v>900</v>
      </c>
      <c r="I210" s="20" t="n">
        <v>766</v>
      </c>
      <c r="J210" s="20" t="n">
        <v>821</v>
      </c>
      <c r="K210" s="20" t="n">
        <v>690</v>
      </c>
      <c r="L210" s="20" t="n">
        <v>976</v>
      </c>
      <c r="M210" s="20" t="n">
        <v>858</v>
      </c>
      <c r="N210" s="20" t="n">
        <v>883</v>
      </c>
      <c r="V210" s="20" t="n">
        <v>790</v>
      </c>
      <c r="W210" s="20" t="n">
        <v>900</v>
      </c>
      <c r="X210" s="20" t="n">
        <v>976</v>
      </c>
    </row>
    <row r="211">
      <c r="A211" s="43" t="inlineStr">
        <is>
          <t>YoY</t>
        </is>
      </c>
      <c r="B211" s="3" t="inlineStr">
        <is>
          <t>전년 같은 분기·전년 대비</t>
        </is>
      </c>
      <c r="G211" s="15">
        <f>IF(OR(G210="",C210=""),"",IF(C210&lt;=0,"",IFERROR(G210/C210-1,"")))</f>
        <v/>
      </c>
      <c r="H211" s="15">
        <f>IF(OR(H210="",D210=""),"",IF(D210&lt;=0,"",IFERROR(H210/D210-1,"")))</f>
        <v/>
      </c>
      <c r="I211" s="15">
        <f>IF(OR(I210="",E210=""),"",IF(E210&lt;=0,"",IFERROR(I210/E210-1,"")))</f>
        <v/>
      </c>
      <c r="J211" s="15">
        <f>IF(OR(J210="",F210=""),"",IF(F210&lt;=0,"",IFERROR(J210/F210-1,"")))</f>
        <v/>
      </c>
      <c r="K211" s="15">
        <f>IF(OR(K210="",G210=""),"",IF(G210&lt;=0,"",IFERROR(K210/G210-1,"")))</f>
        <v/>
      </c>
      <c r="L211" s="15">
        <f>IF(OR(L210="",H210=""),"",IF(H210&lt;=0,"",IFERROR(L210/H210-1,"")))</f>
        <v/>
      </c>
      <c r="M211" s="15">
        <f>IF(OR(M210="",I210=""),"",IF(I210&lt;=0,"",IFERROR(M210/I210-1,"")))</f>
        <v/>
      </c>
      <c r="N211" s="15">
        <f>IF(OR(N210="",J210=""),"",IF(J210&lt;=0,"",IFERROR(N210/J210-1,"")))</f>
        <v/>
      </c>
      <c r="V211" s="15">
        <f>IF(OR(V210="",U210=""),"",IF(U210&lt;=0,"",IFERROR(V210/U210-1,"")))</f>
        <v/>
      </c>
      <c r="W211" s="15">
        <f>IF(OR(W210="",V210=""),"",IF(V210&lt;=0,"",IFERROR(W210/V210-1,"")))</f>
        <v/>
      </c>
      <c r="X211" s="15">
        <f>IF(OR(X210="",W210=""),"",IF(W210&lt;=0,"",IFERROR(X210/W210-1,"")))</f>
        <v/>
      </c>
    </row>
    <row r="212">
      <c r="A212" s="18" t="inlineStr">
        <is>
          <t>보고부문 합계 · 계</t>
        </is>
      </c>
      <c r="C212" s="20" t="n">
        <v>6497</v>
      </c>
      <c r="D212" s="20" t="n">
        <v>12047</v>
      </c>
      <c r="E212" s="20" t="n">
        <v>6760</v>
      </c>
      <c r="F212" s="20" t="n">
        <v>6902</v>
      </c>
      <c r="G212" s="20" t="n">
        <v>10527</v>
      </c>
      <c r="H212" s="20" t="n">
        <v>5012</v>
      </c>
      <c r="I212" s="20" t="n">
        <v>10780</v>
      </c>
      <c r="J212" s="20" t="n">
        <v>5279</v>
      </c>
      <c r="K212" s="20" t="n">
        <v>6942</v>
      </c>
      <c r="L212" s="20" t="n">
        <v>7566</v>
      </c>
      <c r="M212" s="20" t="n">
        <v>17343</v>
      </c>
      <c r="N212" s="20" t="n">
        <v>4537</v>
      </c>
      <c r="V212" s="20" t="n">
        <v>12047</v>
      </c>
      <c r="W212" s="20" t="n">
        <v>5012</v>
      </c>
      <c r="X212" s="20" t="n">
        <v>7566</v>
      </c>
    </row>
    <row r="213">
      <c r="A213" s="43" t="inlineStr">
        <is>
          <t>YoY</t>
        </is>
      </c>
      <c r="B213" s="3" t="inlineStr">
        <is>
          <t>전년 같은 분기·전년 대비</t>
        </is>
      </c>
      <c r="G213" s="15">
        <f>IF(OR(G212="",C212=""),"",IF(C212&lt;=0,"",IFERROR(G212/C212-1,"")))</f>
        <v/>
      </c>
      <c r="H213" s="15">
        <f>IF(OR(H212="",D212=""),"",IF(D212&lt;=0,"",IFERROR(H212/D212-1,"")))</f>
        <v/>
      </c>
      <c r="I213" s="15">
        <f>IF(OR(I212="",E212=""),"",IF(E212&lt;=0,"",IFERROR(I212/E212-1,"")))</f>
        <v/>
      </c>
      <c r="J213" s="15">
        <f>IF(OR(J212="",F212=""),"",IF(F212&lt;=0,"",IFERROR(J212/F212-1,"")))</f>
        <v/>
      </c>
      <c r="K213" s="15">
        <f>IF(OR(K212="",G212=""),"",IF(G212&lt;=0,"",IFERROR(K212/G212-1,"")))</f>
        <v/>
      </c>
      <c r="L213" s="15">
        <f>IF(OR(L212="",H212=""),"",IF(H212&lt;=0,"",IFERROR(L212/H212-1,"")))</f>
        <v/>
      </c>
      <c r="M213" s="15">
        <f>IF(OR(M212="",I212=""),"",IF(I212&lt;=0,"",IFERROR(M212/I212-1,"")))</f>
        <v/>
      </c>
      <c r="N213" s="15">
        <f>IF(OR(N212="",J212=""),"",IF(J212&lt;=0,"",IFERROR(N212/J212-1,"")))</f>
        <v/>
      </c>
      <c r="V213" s="15">
        <f>IF(OR(V212="",U212=""),"",IF(U212&lt;=0,"",IFERROR(V212/U212-1,"")))</f>
        <v/>
      </c>
      <c r="W213" s="15">
        <f>IF(OR(W212="",V212=""),"",IF(V212&lt;=0,"",IFERROR(W212/V212-1,"")))</f>
        <v/>
      </c>
      <c r="X213" s="15">
        <f>IF(OR(X212="",W212=""),"",IF(W212&lt;=0,"",IFERROR(X212/W212-1,"")))</f>
        <v/>
      </c>
    </row>
    <row r="214">
      <c r="A214" s="18" t="inlineStr">
        <is>
          <t>OtherReportableSegmentsMember · 계</t>
        </is>
      </c>
      <c r="E214" s="20" t="n">
        <v>187</v>
      </c>
      <c r="I214" s="20" t="n">
        <v>196</v>
      </c>
      <c r="M214" s="20" t="n">
        <v>101</v>
      </c>
    </row>
    <row r="215">
      <c r="A215" s="43" t="inlineStr">
        <is>
          <t>YoY</t>
        </is>
      </c>
      <c r="B215" s="3" t="inlineStr">
        <is>
          <t>전년 같은 분기·전년 대비</t>
        </is>
      </c>
      <c r="I215" s="15">
        <f>IF(OR(I214="",E214=""),"",IF(E214&lt;=0,"",IFERROR(I214/E214-1,"")))</f>
        <v/>
      </c>
      <c r="M215" s="15">
        <f>IF(OR(M214="",I214=""),"",IF(I214&lt;=0,"",IFERROR(M214/I214-1,"")))</f>
        <v/>
      </c>
    </row>
    <row r="216">
      <c r="A216" s="18" t="inlineStr">
        <is>
          <t>기타 · 계</t>
        </is>
      </c>
      <c r="C216" s="20" t="n">
        <v>168</v>
      </c>
      <c r="D216" s="20" t="n">
        <v>268</v>
      </c>
      <c r="G216" s="20" t="n">
        <v>216</v>
      </c>
      <c r="H216" s="20" t="n">
        <v>229</v>
      </c>
      <c r="K216" s="20" t="n">
        <v>193</v>
      </c>
      <c r="L216" s="20" t="n">
        <v>151</v>
      </c>
      <c r="V216" s="20" t="n">
        <v>268</v>
      </c>
      <c r="W216" s="20" t="n">
        <v>229</v>
      </c>
      <c r="X216" s="20" t="n">
        <v>151</v>
      </c>
    </row>
    <row r="217">
      <c r="A217" s="43" t="inlineStr">
        <is>
          <t>YoY</t>
        </is>
      </c>
      <c r="B217" s="3" t="inlineStr">
        <is>
          <t>전년 같은 분기·전년 대비</t>
        </is>
      </c>
      <c r="G217" s="15">
        <f>IF(OR(G216="",C216=""),"",IF(C216&lt;=0,"",IFERROR(G216/C216-1,"")))</f>
        <v/>
      </c>
      <c r="H217" s="15">
        <f>IF(OR(H216="",D216=""),"",IF(D216&lt;=0,"",IFERROR(H216/D216-1,"")))</f>
        <v/>
      </c>
      <c r="K217" s="15">
        <f>IF(OR(K216="",G216=""),"",IF(G216&lt;=0,"",IFERROR(K216/G216-1,"")))</f>
        <v/>
      </c>
      <c r="L217" s="15">
        <f>IF(OR(L216="",H216=""),"",IF(H216&lt;=0,"",IFERROR(L216/H216-1,"")))</f>
        <v/>
      </c>
      <c r="V217" s="15">
        <f>IF(OR(V216="",U216=""),"",IF(U216&lt;=0,"",IFERROR(V216/U216-1,"")))</f>
        <v/>
      </c>
      <c r="W217" s="15">
        <f>IF(OR(W216="",V216=""),"",IF(V216&lt;=0,"",IFERROR(W216/V216-1,"")))</f>
        <v/>
      </c>
      <c r="X217" s="15">
        <f>IF(OR(X216="",W216=""),"",IF(W216&lt;=0,"",IFERROR(X216/W216-1,"")))</f>
        <v/>
      </c>
    </row>
    <row r="218">
      <c r="A218" s="18" t="inlineStr">
        <is>
          <t>합계 · 계</t>
        </is>
      </c>
      <c r="C218" s="20" t="n">
        <v>6665</v>
      </c>
      <c r="D218" s="20" t="n">
        <v>12314</v>
      </c>
      <c r="E218" s="20" t="n">
        <v>6948</v>
      </c>
      <c r="F218" s="20" t="n">
        <v>7176</v>
      </c>
      <c r="G218" s="20" t="n">
        <v>10744</v>
      </c>
      <c r="H218" s="20" t="n">
        <v>5240</v>
      </c>
      <c r="I218" s="20" t="n">
        <v>10976</v>
      </c>
      <c r="J218" s="20" t="n">
        <v>5518</v>
      </c>
      <c r="K218" s="20" t="n">
        <v>7135</v>
      </c>
      <c r="L218" s="20" t="n">
        <v>7717</v>
      </c>
      <c r="M218" s="20" t="n">
        <v>17445</v>
      </c>
      <c r="N218" s="20" t="n">
        <v>4601</v>
      </c>
      <c r="V218" s="20" t="n">
        <v>12314</v>
      </c>
      <c r="W218" s="20" t="n">
        <v>5240</v>
      </c>
      <c r="X218" s="20" t="n">
        <v>7717</v>
      </c>
    </row>
    <row r="219">
      <c r="A219" s="43" t="inlineStr">
        <is>
          <t>YoY</t>
        </is>
      </c>
      <c r="B219" s="3" t="inlineStr">
        <is>
          <t>전년 같은 분기·전년 대비</t>
        </is>
      </c>
      <c r="G219" s="15">
        <f>IF(OR(G218="",C218=""),"",IF(C218&lt;=0,"",IFERROR(G218/C218-1,"")))</f>
        <v/>
      </c>
      <c r="H219" s="15">
        <f>IF(OR(H218="",D218=""),"",IF(D218&lt;=0,"",IFERROR(H218/D218-1,"")))</f>
        <v/>
      </c>
      <c r="I219" s="15">
        <f>IF(OR(I218="",E218=""),"",IF(E218&lt;=0,"",IFERROR(I218/E218-1,"")))</f>
        <v/>
      </c>
      <c r="J219" s="15">
        <f>IF(OR(J218="",F218=""),"",IF(F218&lt;=0,"",IFERROR(J218/F218-1,"")))</f>
        <v/>
      </c>
      <c r="K219" s="15">
        <f>IF(OR(K218="",G218=""),"",IF(G218&lt;=0,"",IFERROR(K218/G218-1,"")))</f>
        <v/>
      </c>
      <c r="L219" s="15">
        <f>IF(OR(L218="",H218=""),"",IF(H218&lt;=0,"",IFERROR(L218/H218-1,"")))</f>
        <v/>
      </c>
      <c r="M219" s="15">
        <f>IF(OR(M218="",I218=""),"",IF(I218&lt;=0,"",IFERROR(M218/I218-1,"")))</f>
        <v/>
      </c>
      <c r="N219" s="15">
        <f>IF(OR(N218="",J218=""),"",IF(J218&lt;=0,"",IFERROR(N218/J218-1,"")))</f>
        <v/>
      </c>
      <c r="V219" s="15">
        <f>IF(OR(V218="",U218=""),"",IF(U218&lt;=0,"",IFERROR(V218/U218-1,"")))</f>
        <v/>
      </c>
      <c r="W219" s="15">
        <f>IF(OR(W218="",V218=""),"",IF(V218&lt;=0,"",IFERROR(W218/V218-1,"")))</f>
        <v/>
      </c>
      <c r="X219" s="15">
        <f>IF(OR(X218="",W218=""),"",IF(W218&lt;=0,"",IFERROR(X218/W218-1,"")))</f>
        <v/>
      </c>
    </row>
    <row r="220">
      <c r="A220" s="18" t="inlineStr">
        <is>
          <t>DetachedRealEstateReportableSegmentsMember · 부문 이익</t>
        </is>
      </c>
      <c r="C220" s="20" t="n">
        <v>620</v>
      </c>
      <c r="D220" s="20" t="n">
        <v>3626</v>
      </c>
      <c r="E220" s="20" t="n">
        <v>1272</v>
      </c>
      <c r="F220" s="20" t="n">
        <v>1165</v>
      </c>
      <c r="G220" s="20" t="n">
        <v>2696</v>
      </c>
      <c r="H220" s="20" t="n">
        <v>-53</v>
      </c>
      <c r="I220" s="20" t="n">
        <v>3222</v>
      </c>
      <c r="J220" s="20" t="n">
        <v>699</v>
      </c>
      <c r="K220" s="20" t="n">
        <v>1385</v>
      </c>
      <c r="L220" s="20" t="n">
        <v>1104</v>
      </c>
      <c r="M220" s="20" t="n">
        <v>8066</v>
      </c>
      <c r="N220" s="20" t="n">
        <v>-345</v>
      </c>
      <c r="V220" s="20" t="n">
        <v>3626</v>
      </c>
      <c r="W220" s="20" t="n">
        <v>-53</v>
      </c>
      <c r="X220" s="20" t="n">
        <v>1104</v>
      </c>
    </row>
    <row r="221">
      <c r="A221" s="43" t="inlineStr">
        <is>
          <t>OPM</t>
        </is>
      </c>
      <c r="B221" s="3" t="inlineStr">
        <is>
          <t>영업이익 ÷ 매출</t>
        </is>
      </c>
      <c r="C221" s="15">
        <f>IF(OR(C220="",C204=""),"",IF(C204&lt;=0,"",IFERROR(C220/C204,"")))</f>
        <v/>
      </c>
      <c r="D221" s="15">
        <f>IF(OR(D220="",D204=""),"",IF(D204&lt;=0,"",IFERROR(D220/D204,"")))</f>
        <v/>
      </c>
      <c r="E221" s="15">
        <f>IF(OR(E220="",E204=""),"",IF(E204&lt;=0,"",IFERROR(E220/E204,"")))</f>
        <v/>
      </c>
      <c r="F221" s="15">
        <f>IF(OR(F220="",F204=""),"",IF(F204&lt;=0,"",IFERROR(F220/F204,"")))</f>
        <v/>
      </c>
      <c r="G221" s="15">
        <f>IF(OR(G220="",G204=""),"",IF(G204&lt;=0,"",IFERROR(G220/G204,"")))</f>
        <v/>
      </c>
      <c r="H221" s="15">
        <f>IF(OR(H220="",H204=""),"",IF(H204&lt;=0,"",IFERROR(H220/H204,"")))</f>
        <v/>
      </c>
      <c r="I221" s="15">
        <f>IF(OR(I220="",I204=""),"",IF(I204&lt;=0,"",IFERROR(I220/I204,"")))</f>
        <v/>
      </c>
      <c r="J221" s="15">
        <f>IF(OR(J220="",J204=""),"",IF(J204&lt;=0,"",IFERROR(J220/J204,"")))</f>
        <v/>
      </c>
      <c r="K221" s="15">
        <f>IF(OR(K220="",K204=""),"",IF(K204&lt;=0,"",IFERROR(K220/K204,"")))</f>
        <v/>
      </c>
      <c r="L221" s="15">
        <f>IF(OR(L220="",L204=""),"",IF(L204&lt;=0,"",IFERROR(L220/L204,"")))</f>
        <v/>
      </c>
      <c r="M221" s="15">
        <f>IF(OR(M220="",M204=""),"",IF(M204&lt;=0,"",IFERROR(M220/M204,"")))</f>
        <v/>
      </c>
      <c r="N221" s="15">
        <f>IF(OR(N220="",N204=""),"",IF(N204&lt;=0,"",IFERROR(N220/N204,"")))</f>
        <v/>
      </c>
      <c r="V221" s="15">
        <f>IF(OR(V220="",V204=""),"",IF(V204&lt;=0,"",IFERROR(V220/V204,"")))</f>
        <v/>
      </c>
      <c r="W221" s="15">
        <f>IF(OR(W220="",W204=""),"",IF(W204&lt;=0,"",IFERROR(W220/W204,"")))</f>
        <v/>
      </c>
      <c r="X221" s="15">
        <f>IF(OR(X220="",X204=""),"",IF(X204&lt;=0,"",IFERROR(X220/X204,"")))</f>
        <v/>
      </c>
    </row>
    <row r="222">
      <c r="A222" s="43" t="inlineStr">
        <is>
          <t>YoY</t>
        </is>
      </c>
      <c r="B222" s="3" t="inlineStr">
        <is>
          <t>전년 같은 분기·전년 대비</t>
        </is>
      </c>
      <c r="G222" s="15">
        <f>IF(OR(G220="",C220=""),"",IF(C220&lt;=0,"",IFERROR(G220/C220-1,"")))</f>
        <v/>
      </c>
      <c r="H222" s="15">
        <f>IF(OR(H220="",D220=""),"",IF(D220&lt;=0,"",IFERROR(H220/D220-1,"")))</f>
        <v/>
      </c>
      <c r="I222" s="15">
        <f>IF(OR(I220="",E220=""),"",IF(E220&lt;=0,"",IFERROR(I220/E220-1,"")))</f>
        <v/>
      </c>
      <c r="J222" s="15">
        <f>IF(OR(J220="",F220=""),"",IF(F220&lt;=0,"",IFERROR(J220/F220-1,"")))</f>
        <v/>
      </c>
      <c r="K222" s="15">
        <f>IF(OR(K220="",G220=""),"",IF(G220&lt;=0,"",IFERROR(K220/G220-1,"")))</f>
        <v/>
      </c>
      <c r="L222" s="15">
        <f>IF(OR(L220="",H220=""),"",IF(H220&lt;=0,"",IFERROR(L220/H220-1,"")))</f>
        <v/>
      </c>
      <c r="M222" s="15">
        <f>IF(OR(M220="",I220=""),"",IF(I220&lt;=0,"",IFERROR(M220/I220-1,"")))</f>
        <v/>
      </c>
      <c r="N222" s="15">
        <f>IF(OR(N220="",J220=""),"",IF(J220&lt;=0,"",IFERROR(N220/J220-1,"")))</f>
        <v/>
      </c>
      <c r="V222" s="15">
        <f>IF(OR(V220="",U220=""),"",IF(U220&lt;=0,"",IFERROR(V220/U220-1,"")))</f>
        <v/>
      </c>
      <c r="W222" s="15">
        <f>IF(OR(W220="",V220=""),"",IF(V220&lt;=0,"",IFERROR(W220/V220-1,"")))</f>
        <v/>
      </c>
      <c r="X222" s="15">
        <f>IF(OR(X220="",W220=""),"",IF(W220&lt;=0,"",IFERROR(X220/W220-1,"")))</f>
        <v/>
      </c>
    </row>
    <row r="223">
      <c r="A223" s="18" t="inlineStr">
        <is>
          <t>LeasingReportableSegmentsMember · 부문 이익</t>
        </is>
      </c>
      <c r="C223" s="20" t="n">
        <v>267</v>
      </c>
      <c r="D223" s="20" t="n">
        <v>369</v>
      </c>
      <c r="E223" s="20" t="n">
        <v>291</v>
      </c>
      <c r="F223" s="20" t="n">
        <v>335</v>
      </c>
      <c r="G223" s="20" t="n">
        <v>290</v>
      </c>
      <c r="H223" s="20" t="n">
        <v>307</v>
      </c>
      <c r="I223" s="20" t="n">
        <v>325</v>
      </c>
      <c r="J223" s="20" t="n">
        <v>342</v>
      </c>
      <c r="K223" s="20" t="n">
        <v>342</v>
      </c>
      <c r="L223" s="20" t="n">
        <v>319</v>
      </c>
      <c r="M223" s="20" t="n">
        <v>731</v>
      </c>
      <c r="N223" s="20" t="n">
        <v>766</v>
      </c>
      <c r="V223" s="20" t="n">
        <v>369</v>
      </c>
      <c r="W223" s="20" t="n">
        <v>307</v>
      </c>
      <c r="X223" s="20" t="n">
        <v>319</v>
      </c>
    </row>
    <row r="224">
      <c r="A224" s="43" t="inlineStr">
        <is>
          <t>OPM</t>
        </is>
      </c>
      <c r="B224" s="3" t="inlineStr">
        <is>
          <t>영업이익 ÷ 매출</t>
        </is>
      </c>
      <c r="C224" s="15">
        <f>IF(OR(C223="",C206=""),"",IF(C206&lt;=0,"",IFERROR(C223/C206,"")))</f>
        <v/>
      </c>
      <c r="D224" s="15">
        <f>IF(OR(D223="",D206=""),"",IF(D206&lt;=0,"",IFERROR(D223/D206,"")))</f>
        <v/>
      </c>
      <c r="E224" s="15">
        <f>IF(OR(E223="",E206=""),"",IF(E206&lt;=0,"",IFERROR(E223/E206,"")))</f>
        <v/>
      </c>
      <c r="F224" s="15">
        <f>IF(OR(F223="",F206=""),"",IF(F206&lt;=0,"",IFERROR(F223/F206,"")))</f>
        <v/>
      </c>
      <c r="G224" s="15">
        <f>IF(OR(G223="",G206=""),"",IF(G206&lt;=0,"",IFERROR(G223/G206,"")))</f>
        <v/>
      </c>
      <c r="H224" s="15">
        <f>IF(OR(H223="",H206=""),"",IF(H206&lt;=0,"",IFERROR(H223/H206,"")))</f>
        <v/>
      </c>
      <c r="I224" s="15">
        <f>IF(OR(I223="",I206=""),"",IF(I206&lt;=0,"",IFERROR(I223/I206,"")))</f>
        <v/>
      </c>
      <c r="J224" s="15">
        <f>IF(OR(J223="",J206=""),"",IF(J206&lt;=0,"",IFERROR(J223/J206,"")))</f>
        <v/>
      </c>
      <c r="K224" s="15">
        <f>IF(OR(K223="",K206=""),"",IF(K206&lt;=0,"",IFERROR(K223/K206,"")))</f>
        <v/>
      </c>
      <c r="L224" s="15">
        <f>IF(OR(L223="",L206=""),"",IF(L206&lt;=0,"",IFERROR(L223/L206,"")))</f>
        <v/>
      </c>
      <c r="M224" s="15">
        <f>IF(OR(M223="",M206=""),"",IF(M206&lt;=0,"",IFERROR(M223/M206,"")))</f>
        <v/>
      </c>
      <c r="N224" s="15">
        <f>IF(OR(N223="",N206=""),"",IF(N206&lt;=0,"",IFERROR(N223/N206,"")))</f>
        <v/>
      </c>
      <c r="V224" s="15">
        <f>IF(OR(V223="",V206=""),"",IF(V206&lt;=0,"",IFERROR(V223/V206,"")))</f>
        <v/>
      </c>
      <c r="W224" s="15">
        <f>IF(OR(W223="",W206=""),"",IF(W206&lt;=0,"",IFERROR(W223/W206,"")))</f>
        <v/>
      </c>
      <c r="X224" s="15">
        <f>IF(OR(X223="",X206=""),"",IF(X206&lt;=0,"",IFERROR(X223/X206,"")))</f>
        <v/>
      </c>
    </row>
    <row r="225">
      <c r="A225" s="43" t="inlineStr">
        <is>
          <t>YoY</t>
        </is>
      </c>
      <c r="B225" s="3" t="inlineStr">
        <is>
          <t>전년 같은 분기·전년 대비</t>
        </is>
      </c>
      <c r="G225" s="15">
        <f>IF(OR(G223="",C223=""),"",IF(C223&lt;=0,"",IFERROR(G223/C223-1,"")))</f>
        <v/>
      </c>
      <c r="H225" s="15">
        <f>IF(OR(H223="",D223=""),"",IF(D223&lt;=0,"",IFERROR(H223/D223-1,"")))</f>
        <v/>
      </c>
      <c r="I225" s="15">
        <f>IF(OR(I223="",E223=""),"",IF(E223&lt;=0,"",IFERROR(I223/E223-1,"")))</f>
        <v/>
      </c>
      <c r="J225" s="15">
        <f>IF(OR(J223="",F223=""),"",IF(F223&lt;=0,"",IFERROR(J223/F223-1,"")))</f>
        <v/>
      </c>
      <c r="K225" s="15">
        <f>IF(OR(K223="",G223=""),"",IF(G223&lt;=0,"",IFERROR(K223/G223-1,"")))</f>
        <v/>
      </c>
      <c r="L225" s="15">
        <f>IF(OR(L223="",H223=""),"",IF(H223&lt;=0,"",IFERROR(L223/H223-1,"")))</f>
        <v/>
      </c>
      <c r="M225" s="15">
        <f>IF(OR(M223="",I223=""),"",IF(I223&lt;=0,"",IFERROR(M223/I223-1,"")))</f>
        <v/>
      </c>
      <c r="N225" s="15">
        <f>IF(OR(N223="",J223=""),"",IF(J223&lt;=0,"",IFERROR(N223/J223-1,"")))</f>
        <v/>
      </c>
      <c r="V225" s="15">
        <f>IF(OR(V223="",U223=""),"",IF(U223&lt;=0,"",IFERROR(V223/U223-1,"")))</f>
        <v/>
      </c>
      <c r="W225" s="15">
        <f>IF(OR(W223="",V223=""),"",IF(V223&lt;=0,"",IFERROR(W223/V223-1,"")))</f>
        <v/>
      </c>
      <c r="X225" s="15">
        <f>IF(OR(X223="",W223=""),"",IF(W223&lt;=0,"",IFERROR(X223/W223-1,"")))</f>
        <v/>
      </c>
    </row>
    <row r="226">
      <c r="A226" s="18" t="inlineStr">
        <is>
          <t>RealEstateManagementReportableSegmentMember · 부문 이익</t>
        </is>
      </c>
      <c r="C226" s="20" t="n">
        <v>66</v>
      </c>
      <c r="E226" s="20" t="n">
        <v>46</v>
      </c>
      <c r="F226" s="20" t="n">
        <v>61</v>
      </c>
      <c r="G226" s="20" t="n">
        <v>65</v>
      </c>
      <c r="I226" s="20" t="n">
        <v>41</v>
      </c>
      <c r="J226" s="20" t="n">
        <v>33</v>
      </c>
      <c r="K226" s="20" t="n">
        <v>70</v>
      </c>
      <c r="M226" s="20" t="n">
        <v>67</v>
      </c>
      <c r="N226" s="20" t="n">
        <v>55</v>
      </c>
    </row>
    <row r="227">
      <c r="A227" s="43" t="inlineStr">
        <is>
          <t>OPM</t>
        </is>
      </c>
      <c r="B227" s="3" t="inlineStr">
        <is>
          <t>영업이익 ÷ 매출</t>
        </is>
      </c>
      <c r="C227" s="15">
        <f>IF(OR(C226="",C208=""),"",IF(C208&lt;=0,"",IFERROR(C226/C208,"")))</f>
        <v/>
      </c>
      <c r="E227" s="15">
        <f>IF(OR(E226="",E208=""),"",IF(E208&lt;=0,"",IFERROR(E226/E208,"")))</f>
        <v/>
      </c>
      <c r="F227" s="15">
        <f>IF(OR(F226="",F208=""),"",IF(F208&lt;=0,"",IFERROR(F226/F208,"")))</f>
        <v/>
      </c>
      <c r="G227" s="15">
        <f>IF(OR(G226="",G208=""),"",IF(G208&lt;=0,"",IFERROR(G226/G208,"")))</f>
        <v/>
      </c>
      <c r="I227" s="15">
        <f>IF(OR(I226="",I208=""),"",IF(I208&lt;=0,"",IFERROR(I226/I208,"")))</f>
        <v/>
      </c>
      <c r="J227" s="15">
        <f>IF(OR(J226="",J208=""),"",IF(J208&lt;=0,"",IFERROR(J226/J208,"")))</f>
        <v/>
      </c>
      <c r="K227" s="15">
        <f>IF(OR(K226="",K208=""),"",IF(K208&lt;=0,"",IFERROR(K226/K208,"")))</f>
        <v/>
      </c>
      <c r="M227" s="15">
        <f>IF(OR(M226="",M208=""),"",IF(M208&lt;=0,"",IFERROR(M226/M208,"")))</f>
        <v/>
      </c>
      <c r="N227" s="15">
        <f>IF(OR(N226="",N208=""),"",IF(N208&lt;=0,"",IFERROR(N226/N208,"")))</f>
        <v/>
      </c>
    </row>
    <row r="228">
      <c r="A228" s="43" t="inlineStr">
        <is>
          <t>YoY</t>
        </is>
      </c>
      <c r="B228" s="3" t="inlineStr">
        <is>
          <t>전년 같은 분기·전년 대비</t>
        </is>
      </c>
      <c r="G228" s="15">
        <f>IF(OR(G226="",C226=""),"",IF(C226&lt;=0,"",IFERROR(G226/C226-1,"")))</f>
        <v/>
      </c>
      <c r="I228" s="15">
        <f>IF(OR(I226="",E226=""),"",IF(E226&lt;=0,"",IFERROR(I226/E226-1,"")))</f>
        <v/>
      </c>
      <c r="J228" s="15">
        <f>IF(OR(J226="",F226=""),"",IF(F226&lt;=0,"",IFERROR(J226/F226-1,"")))</f>
        <v/>
      </c>
      <c r="K228" s="15">
        <f>IF(OR(K226="",G226=""),"",IF(G226&lt;=0,"",IFERROR(K226/G226-1,"")))</f>
        <v/>
      </c>
      <c r="M228" s="15">
        <f>IF(OR(M226="",I226=""),"",IF(I226&lt;=0,"",IFERROR(M226/I226-1,"")))</f>
        <v/>
      </c>
      <c r="N228" s="15">
        <f>IF(OR(N226="",J226=""),"",IF(J226&lt;=0,"",IFERROR(N226/J226-1,"")))</f>
        <v/>
      </c>
    </row>
    <row r="229">
      <c r="A229" s="18" t="inlineStr">
        <is>
          <t>HotelBusinessReportableSegmentMember · 부문 이익</t>
        </is>
      </c>
      <c r="C229" s="20" t="n">
        <v>40</v>
      </c>
      <c r="D229" s="20" t="n">
        <v>74</v>
      </c>
      <c r="E229" s="20" t="n">
        <v>90</v>
      </c>
      <c r="F229" s="20" t="n">
        <v>102</v>
      </c>
      <c r="G229" s="20" t="n">
        <v>24</v>
      </c>
      <c r="H229" s="20" t="n">
        <v>187</v>
      </c>
      <c r="I229" s="20" t="n">
        <v>102</v>
      </c>
      <c r="J229" s="20" t="n">
        <v>141</v>
      </c>
      <c r="K229" s="20" t="n">
        <v>31</v>
      </c>
      <c r="L229" s="20" t="n">
        <v>224</v>
      </c>
      <c r="M229" s="20" t="n">
        <v>114</v>
      </c>
      <c r="N229" s="20" t="n">
        <v>136</v>
      </c>
      <c r="V229" s="20" t="n">
        <v>74</v>
      </c>
      <c r="W229" s="20" t="n">
        <v>187</v>
      </c>
      <c r="X229" s="20" t="n">
        <v>224</v>
      </c>
    </row>
    <row r="230">
      <c r="A230" s="43" t="inlineStr">
        <is>
          <t>OPM</t>
        </is>
      </c>
      <c r="B230" s="3" t="inlineStr">
        <is>
          <t>영업이익 ÷ 매출</t>
        </is>
      </c>
      <c r="C230" s="15">
        <f>IF(OR(C229="",C210=""),"",IF(C210&lt;=0,"",IFERROR(C229/C210,"")))</f>
        <v/>
      </c>
      <c r="D230" s="15">
        <f>IF(OR(D229="",D210=""),"",IF(D210&lt;=0,"",IFERROR(D229/D210,"")))</f>
        <v/>
      </c>
      <c r="E230" s="15">
        <f>IF(OR(E229="",E210=""),"",IF(E210&lt;=0,"",IFERROR(E229/E210,"")))</f>
        <v/>
      </c>
      <c r="F230" s="15">
        <f>IF(OR(F229="",F210=""),"",IF(F210&lt;=0,"",IFERROR(F229/F210,"")))</f>
        <v/>
      </c>
      <c r="G230" s="15">
        <f>IF(OR(G229="",G210=""),"",IF(G210&lt;=0,"",IFERROR(G229/G210,"")))</f>
        <v/>
      </c>
      <c r="H230" s="15">
        <f>IF(OR(H229="",H210=""),"",IF(H210&lt;=0,"",IFERROR(H229/H210,"")))</f>
        <v/>
      </c>
      <c r="I230" s="15">
        <f>IF(OR(I229="",I210=""),"",IF(I210&lt;=0,"",IFERROR(I229/I210,"")))</f>
        <v/>
      </c>
      <c r="J230" s="15">
        <f>IF(OR(J229="",J210=""),"",IF(J210&lt;=0,"",IFERROR(J229/J210,"")))</f>
        <v/>
      </c>
      <c r="K230" s="15">
        <f>IF(OR(K229="",K210=""),"",IF(K210&lt;=0,"",IFERROR(K229/K210,"")))</f>
        <v/>
      </c>
      <c r="L230" s="15">
        <f>IF(OR(L229="",L210=""),"",IF(L210&lt;=0,"",IFERROR(L229/L210,"")))</f>
        <v/>
      </c>
      <c r="M230" s="15">
        <f>IF(OR(M229="",M210=""),"",IF(M210&lt;=0,"",IFERROR(M229/M210,"")))</f>
        <v/>
      </c>
      <c r="N230" s="15">
        <f>IF(OR(N229="",N210=""),"",IF(N210&lt;=0,"",IFERROR(N229/N210,"")))</f>
        <v/>
      </c>
      <c r="V230" s="15">
        <f>IF(OR(V229="",V210=""),"",IF(V210&lt;=0,"",IFERROR(V229/V210,"")))</f>
        <v/>
      </c>
      <c r="W230" s="15">
        <f>IF(OR(W229="",W210=""),"",IF(W210&lt;=0,"",IFERROR(W229/W210,"")))</f>
        <v/>
      </c>
      <c r="X230" s="15">
        <f>IF(OR(X229="",X210=""),"",IF(X210&lt;=0,"",IFERROR(X229/X210,"")))</f>
        <v/>
      </c>
    </row>
    <row r="231">
      <c r="A231" s="43" t="inlineStr">
        <is>
          <t>YoY</t>
        </is>
      </c>
      <c r="B231" s="3" t="inlineStr">
        <is>
          <t>전년 같은 분기·전년 대비</t>
        </is>
      </c>
      <c r="G231" s="15">
        <f>IF(OR(G229="",C229=""),"",IF(C229&lt;=0,"",IFERROR(G229/C229-1,"")))</f>
        <v/>
      </c>
      <c r="H231" s="15">
        <f>IF(OR(H229="",D229=""),"",IF(D229&lt;=0,"",IFERROR(H229/D229-1,"")))</f>
        <v/>
      </c>
      <c r="I231" s="15">
        <f>IF(OR(I229="",E229=""),"",IF(E229&lt;=0,"",IFERROR(I229/E229-1,"")))</f>
        <v/>
      </c>
      <c r="J231" s="15">
        <f>IF(OR(J229="",F229=""),"",IF(F229&lt;=0,"",IFERROR(J229/F229-1,"")))</f>
        <v/>
      </c>
      <c r="K231" s="15">
        <f>IF(OR(K229="",G229=""),"",IF(G229&lt;=0,"",IFERROR(K229/G229-1,"")))</f>
        <v/>
      </c>
      <c r="L231" s="15">
        <f>IF(OR(L229="",H229=""),"",IF(H229&lt;=0,"",IFERROR(L229/H229-1,"")))</f>
        <v/>
      </c>
      <c r="M231" s="15">
        <f>IF(OR(M229="",I229=""),"",IF(I229&lt;=0,"",IFERROR(M229/I229-1,"")))</f>
        <v/>
      </c>
      <c r="N231" s="15">
        <f>IF(OR(N229="",J229=""),"",IF(J229&lt;=0,"",IFERROR(N229/J229-1,"")))</f>
        <v/>
      </c>
      <c r="V231" s="15">
        <f>IF(OR(V229="",U229=""),"",IF(U229&lt;=0,"",IFERROR(V229/U229-1,"")))</f>
        <v/>
      </c>
      <c r="W231" s="15">
        <f>IF(OR(W229="",V229=""),"",IF(V229&lt;=0,"",IFERROR(W229/V229-1,"")))</f>
        <v/>
      </c>
      <c r="X231" s="15">
        <f>IF(OR(X229="",W229=""),"",IF(W229&lt;=0,"",IFERROR(X229/W229-1,"")))</f>
        <v/>
      </c>
    </row>
    <row r="232">
      <c r="A232" s="18" t="inlineStr">
        <is>
          <t>보고부문 합계 · 부문 이익</t>
        </is>
      </c>
      <c r="C232" s="20" t="n">
        <v>994</v>
      </c>
      <c r="D232" s="20" t="n">
        <v>4161</v>
      </c>
      <c r="E232" s="20" t="n">
        <v>1700</v>
      </c>
      <c r="F232" s="20" t="n">
        <v>1662</v>
      </c>
      <c r="G232" s="20" t="n">
        <v>3077</v>
      </c>
      <c r="H232" s="20" t="n">
        <v>498</v>
      </c>
      <c r="I232" s="20" t="n">
        <v>3692</v>
      </c>
      <c r="J232" s="20" t="n">
        <v>1214</v>
      </c>
      <c r="K232" s="20" t="n">
        <v>1829</v>
      </c>
      <c r="L232" s="20" t="n">
        <v>1710</v>
      </c>
      <c r="M232" s="20" t="n">
        <v>8981</v>
      </c>
      <c r="N232" s="20" t="n">
        <v>610</v>
      </c>
      <c r="V232" s="20" t="n">
        <v>4161</v>
      </c>
      <c r="W232" s="20" t="n">
        <v>498</v>
      </c>
      <c r="X232" s="20" t="n">
        <v>1710</v>
      </c>
    </row>
    <row r="233">
      <c r="A233" s="43" t="inlineStr">
        <is>
          <t>OPM</t>
        </is>
      </c>
      <c r="B233" s="3" t="inlineStr">
        <is>
          <t>영업이익 ÷ 매출</t>
        </is>
      </c>
      <c r="C233" s="15">
        <f>IF(OR(C232="",C212=""),"",IF(C212&lt;=0,"",IFERROR(C232/C212,"")))</f>
        <v/>
      </c>
      <c r="D233" s="15">
        <f>IF(OR(D232="",D212=""),"",IF(D212&lt;=0,"",IFERROR(D232/D212,"")))</f>
        <v/>
      </c>
      <c r="E233" s="15">
        <f>IF(OR(E232="",E212=""),"",IF(E212&lt;=0,"",IFERROR(E232/E212,"")))</f>
        <v/>
      </c>
      <c r="F233" s="15">
        <f>IF(OR(F232="",F212=""),"",IF(F212&lt;=0,"",IFERROR(F232/F212,"")))</f>
        <v/>
      </c>
      <c r="G233" s="15">
        <f>IF(OR(G232="",G212=""),"",IF(G212&lt;=0,"",IFERROR(G232/G212,"")))</f>
        <v/>
      </c>
      <c r="H233" s="15">
        <f>IF(OR(H232="",H212=""),"",IF(H212&lt;=0,"",IFERROR(H232/H212,"")))</f>
        <v/>
      </c>
      <c r="I233" s="15">
        <f>IF(OR(I232="",I212=""),"",IF(I212&lt;=0,"",IFERROR(I232/I212,"")))</f>
        <v/>
      </c>
      <c r="J233" s="15">
        <f>IF(OR(J232="",J212=""),"",IF(J212&lt;=0,"",IFERROR(J232/J212,"")))</f>
        <v/>
      </c>
      <c r="K233" s="15">
        <f>IF(OR(K232="",K212=""),"",IF(K212&lt;=0,"",IFERROR(K232/K212,"")))</f>
        <v/>
      </c>
      <c r="L233" s="15">
        <f>IF(OR(L232="",L212=""),"",IF(L212&lt;=0,"",IFERROR(L232/L212,"")))</f>
        <v/>
      </c>
      <c r="M233" s="15">
        <f>IF(OR(M232="",M212=""),"",IF(M212&lt;=0,"",IFERROR(M232/M212,"")))</f>
        <v/>
      </c>
      <c r="N233" s="15">
        <f>IF(OR(N232="",N212=""),"",IF(N212&lt;=0,"",IFERROR(N232/N212,"")))</f>
        <v/>
      </c>
      <c r="V233" s="15">
        <f>IF(OR(V232="",V212=""),"",IF(V212&lt;=0,"",IFERROR(V232/V212,"")))</f>
        <v/>
      </c>
      <c r="W233" s="15">
        <f>IF(OR(W232="",W212=""),"",IF(W212&lt;=0,"",IFERROR(W232/W212,"")))</f>
        <v/>
      </c>
      <c r="X233" s="15">
        <f>IF(OR(X232="",X212=""),"",IF(X212&lt;=0,"",IFERROR(X232/X212,"")))</f>
        <v/>
      </c>
    </row>
    <row r="234">
      <c r="A234" s="43" t="inlineStr">
        <is>
          <t>YoY</t>
        </is>
      </c>
      <c r="B234" s="3" t="inlineStr">
        <is>
          <t>전년 같은 분기·전년 대비</t>
        </is>
      </c>
      <c r="G234" s="15">
        <f>IF(OR(G232="",C232=""),"",IF(C232&lt;=0,"",IFERROR(G232/C232-1,"")))</f>
        <v/>
      </c>
      <c r="H234" s="15">
        <f>IF(OR(H232="",D232=""),"",IF(D232&lt;=0,"",IFERROR(H232/D232-1,"")))</f>
        <v/>
      </c>
      <c r="I234" s="15">
        <f>IF(OR(I232="",E232=""),"",IF(E232&lt;=0,"",IFERROR(I232/E232-1,"")))</f>
        <v/>
      </c>
      <c r="J234" s="15">
        <f>IF(OR(J232="",F232=""),"",IF(F232&lt;=0,"",IFERROR(J232/F232-1,"")))</f>
        <v/>
      </c>
      <c r="K234" s="15">
        <f>IF(OR(K232="",G232=""),"",IF(G232&lt;=0,"",IFERROR(K232/G232-1,"")))</f>
        <v/>
      </c>
      <c r="L234" s="15">
        <f>IF(OR(L232="",H232=""),"",IF(H232&lt;=0,"",IFERROR(L232/H232-1,"")))</f>
        <v/>
      </c>
      <c r="M234" s="15">
        <f>IF(OR(M232="",I232=""),"",IF(I232&lt;=0,"",IFERROR(M232/I232-1,"")))</f>
        <v/>
      </c>
      <c r="N234" s="15">
        <f>IF(OR(N232="",J232=""),"",IF(J232&lt;=0,"",IFERROR(N232/J232-1,"")))</f>
        <v/>
      </c>
      <c r="V234" s="15">
        <f>IF(OR(V232="",U232=""),"",IF(U232&lt;=0,"",IFERROR(V232/U232-1,"")))</f>
        <v/>
      </c>
      <c r="W234" s="15">
        <f>IF(OR(W232="",V232=""),"",IF(V232&lt;=0,"",IFERROR(W232/V232-1,"")))</f>
        <v/>
      </c>
      <c r="X234" s="15">
        <f>IF(OR(X232="",W232=""),"",IF(W232&lt;=0,"",IFERROR(X232/W232-1,"")))</f>
        <v/>
      </c>
    </row>
    <row r="235">
      <c r="A235" s="18" t="inlineStr">
        <is>
          <t>OtherReportableSegmentsMember · 부문 이익</t>
        </is>
      </c>
      <c r="E235" s="20" t="n">
        <v>115</v>
      </c>
      <c r="I235" s="20" t="n">
        <v>119</v>
      </c>
      <c r="M235" s="20" t="n">
        <v>29</v>
      </c>
    </row>
    <row r="236">
      <c r="A236" s="43" t="inlineStr">
        <is>
          <t>OPM</t>
        </is>
      </c>
      <c r="B236" s="3" t="inlineStr">
        <is>
          <t>영업이익 ÷ 매출</t>
        </is>
      </c>
      <c r="E236" s="15">
        <f>IF(OR(E235="",E214=""),"",IF(E214&lt;=0,"",IFERROR(E235/E214,"")))</f>
        <v/>
      </c>
      <c r="I236" s="15">
        <f>IF(OR(I235="",I214=""),"",IF(I214&lt;=0,"",IFERROR(I235/I214,"")))</f>
        <v/>
      </c>
      <c r="M236" s="15">
        <f>IF(OR(M235="",M214=""),"",IF(M214&lt;=0,"",IFERROR(M235/M214,"")))</f>
        <v/>
      </c>
    </row>
    <row r="237">
      <c r="A237" s="43" t="inlineStr">
        <is>
          <t>YoY</t>
        </is>
      </c>
      <c r="B237" s="3" t="inlineStr">
        <is>
          <t>전년 같은 분기·전년 대비</t>
        </is>
      </c>
      <c r="I237" s="15">
        <f>IF(OR(I235="",E235=""),"",IF(E235&lt;=0,"",IFERROR(I235/E235-1,"")))</f>
        <v/>
      </c>
      <c r="M237" s="15">
        <f>IF(OR(M235="",I235=""),"",IF(I235&lt;=0,"",IFERROR(M235/I235-1,"")))</f>
        <v/>
      </c>
    </row>
    <row r="238">
      <c r="A238" s="18" t="inlineStr">
        <is>
          <t>기타 · 부문 이익</t>
        </is>
      </c>
      <c r="C238" s="20" t="n">
        <v>92</v>
      </c>
      <c r="D238" s="20" t="n">
        <v>198</v>
      </c>
      <c r="G238" s="20" t="n">
        <v>115</v>
      </c>
      <c r="H238" s="20" t="n">
        <v>167</v>
      </c>
      <c r="K238" s="20" t="n">
        <v>113</v>
      </c>
      <c r="L238" s="20" t="n">
        <v>74</v>
      </c>
      <c r="V238" s="20" t="n">
        <v>198</v>
      </c>
      <c r="W238" s="20" t="n">
        <v>167</v>
      </c>
      <c r="X238" s="20" t="n">
        <v>74</v>
      </c>
    </row>
    <row r="239">
      <c r="A239" s="43" t="inlineStr">
        <is>
          <t>OPM</t>
        </is>
      </c>
      <c r="B239" s="3" t="inlineStr">
        <is>
          <t>영업이익 ÷ 매출</t>
        </is>
      </c>
      <c r="C239" s="15">
        <f>IF(OR(C238="",C216=""),"",IF(C216&lt;=0,"",IFERROR(C238/C216,"")))</f>
        <v/>
      </c>
      <c r="D239" s="15">
        <f>IF(OR(D238="",D216=""),"",IF(D216&lt;=0,"",IFERROR(D238/D216,"")))</f>
        <v/>
      </c>
      <c r="G239" s="15">
        <f>IF(OR(G238="",G216=""),"",IF(G216&lt;=0,"",IFERROR(G238/G216,"")))</f>
        <v/>
      </c>
      <c r="H239" s="15">
        <f>IF(OR(H238="",H216=""),"",IF(H216&lt;=0,"",IFERROR(H238/H216,"")))</f>
        <v/>
      </c>
      <c r="K239" s="15">
        <f>IF(OR(K238="",K216=""),"",IF(K216&lt;=0,"",IFERROR(K238/K216,"")))</f>
        <v/>
      </c>
      <c r="L239" s="15">
        <f>IF(OR(L238="",L216=""),"",IF(L216&lt;=0,"",IFERROR(L238/L216,"")))</f>
        <v/>
      </c>
      <c r="V239" s="15">
        <f>IF(OR(V238="",V216=""),"",IF(V216&lt;=0,"",IFERROR(V238/V216,"")))</f>
        <v/>
      </c>
      <c r="W239" s="15">
        <f>IF(OR(W238="",W216=""),"",IF(W216&lt;=0,"",IFERROR(W238/W216,"")))</f>
        <v/>
      </c>
      <c r="X239" s="15">
        <f>IF(OR(X238="",X216=""),"",IF(X216&lt;=0,"",IFERROR(X238/X216,"")))</f>
        <v/>
      </c>
    </row>
    <row r="240">
      <c r="A240" s="43" t="inlineStr">
        <is>
          <t>YoY</t>
        </is>
      </c>
      <c r="B240" s="3" t="inlineStr">
        <is>
          <t>전년 같은 분기·전년 대비</t>
        </is>
      </c>
      <c r="G240" s="15">
        <f>IF(OR(G238="",C238=""),"",IF(C238&lt;=0,"",IFERROR(G238/C238-1,"")))</f>
        <v/>
      </c>
      <c r="H240" s="15">
        <f>IF(OR(H238="",D238=""),"",IF(D238&lt;=0,"",IFERROR(H238/D238-1,"")))</f>
        <v/>
      </c>
      <c r="K240" s="15">
        <f>IF(OR(K238="",G238=""),"",IF(G238&lt;=0,"",IFERROR(K238/G238-1,"")))</f>
        <v/>
      </c>
      <c r="L240" s="15">
        <f>IF(OR(L238="",H238=""),"",IF(H238&lt;=0,"",IFERROR(L238/H238-1,"")))</f>
        <v/>
      </c>
      <c r="V240" s="15">
        <f>IF(OR(V238="",U238=""),"",IF(U238&lt;=0,"",IFERROR(V238/U238-1,"")))</f>
        <v/>
      </c>
      <c r="W240" s="15">
        <f>IF(OR(W238="",V238=""),"",IF(V238&lt;=0,"",IFERROR(W238/V238-1,"")))</f>
        <v/>
      </c>
      <c r="X240" s="15">
        <f>IF(OR(X238="",W238=""),"",IF(W238&lt;=0,"",IFERROR(X238/W238-1,"")))</f>
        <v/>
      </c>
    </row>
    <row r="241">
      <c r="A241" s="18" t="inlineStr">
        <is>
          <t>합계 · 부문 이익</t>
        </is>
      </c>
      <c r="C241" s="20" t="n">
        <v>1086</v>
      </c>
      <c r="D241" s="20" t="n">
        <v>4359</v>
      </c>
      <c r="E241" s="20" t="n">
        <v>1816</v>
      </c>
      <c r="F241" s="20" t="n">
        <v>1871</v>
      </c>
      <c r="G241" s="20" t="n">
        <v>3193</v>
      </c>
      <c r="H241" s="20" t="n">
        <v>665</v>
      </c>
      <c r="I241" s="20" t="n">
        <v>3812</v>
      </c>
      <c r="J241" s="20" t="n">
        <v>1379</v>
      </c>
      <c r="K241" s="20" t="n">
        <v>1942</v>
      </c>
      <c r="L241" s="20" t="n">
        <v>1784</v>
      </c>
      <c r="M241" s="20" t="n">
        <v>9011</v>
      </c>
      <c r="N241" s="20" t="n">
        <v>612</v>
      </c>
      <c r="V241" s="20" t="n">
        <v>4359</v>
      </c>
      <c r="W241" s="20" t="n">
        <v>665</v>
      </c>
      <c r="X241" s="20" t="n">
        <v>1784</v>
      </c>
    </row>
    <row r="242">
      <c r="A242" s="43" t="inlineStr">
        <is>
          <t>OPM</t>
        </is>
      </c>
      <c r="B242" s="3" t="inlineStr">
        <is>
          <t>영업이익 ÷ 매출</t>
        </is>
      </c>
      <c r="C242" s="15">
        <f>IF(OR(C241="",C218=""),"",IF(C218&lt;=0,"",IFERROR(C241/C218,"")))</f>
        <v/>
      </c>
      <c r="D242" s="15">
        <f>IF(OR(D241="",D218=""),"",IF(D218&lt;=0,"",IFERROR(D241/D218,"")))</f>
        <v/>
      </c>
      <c r="E242" s="15">
        <f>IF(OR(E241="",E218=""),"",IF(E218&lt;=0,"",IFERROR(E241/E218,"")))</f>
        <v/>
      </c>
      <c r="F242" s="15">
        <f>IF(OR(F241="",F218=""),"",IF(F218&lt;=0,"",IFERROR(F241/F218,"")))</f>
        <v/>
      </c>
      <c r="G242" s="15">
        <f>IF(OR(G241="",G218=""),"",IF(G218&lt;=0,"",IFERROR(G241/G218,"")))</f>
        <v/>
      </c>
      <c r="H242" s="15">
        <f>IF(OR(H241="",H218=""),"",IF(H218&lt;=0,"",IFERROR(H241/H218,"")))</f>
        <v/>
      </c>
      <c r="I242" s="15">
        <f>IF(OR(I241="",I218=""),"",IF(I218&lt;=0,"",IFERROR(I241/I218,"")))</f>
        <v/>
      </c>
      <c r="J242" s="15">
        <f>IF(OR(J241="",J218=""),"",IF(J218&lt;=0,"",IFERROR(J241/J218,"")))</f>
        <v/>
      </c>
      <c r="K242" s="15">
        <f>IF(OR(K241="",K218=""),"",IF(K218&lt;=0,"",IFERROR(K241/K218,"")))</f>
        <v/>
      </c>
      <c r="L242" s="15">
        <f>IF(OR(L241="",L218=""),"",IF(L218&lt;=0,"",IFERROR(L241/L218,"")))</f>
        <v/>
      </c>
      <c r="M242" s="15">
        <f>IF(OR(M241="",M218=""),"",IF(M218&lt;=0,"",IFERROR(M241/M218,"")))</f>
        <v/>
      </c>
      <c r="N242" s="15">
        <f>IF(OR(N241="",N218=""),"",IF(N218&lt;=0,"",IFERROR(N241/N218,"")))</f>
        <v/>
      </c>
      <c r="V242" s="15">
        <f>IF(OR(V241="",V218=""),"",IF(V218&lt;=0,"",IFERROR(V241/V218,"")))</f>
        <v/>
      </c>
      <c r="W242" s="15">
        <f>IF(OR(W241="",W218=""),"",IF(W218&lt;=0,"",IFERROR(W241/W218,"")))</f>
        <v/>
      </c>
      <c r="X242" s="15">
        <f>IF(OR(X241="",X218=""),"",IF(X218&lt;=0,"",IFERROR(X241/X218,"")))</f>
        <v/>
      </c>
    </row>
    <row r="243">
      <c r="A243" s="43" t="inlineStr">
        <is>
          <t>YoY</t>
        </is>
      </c>
      <c r="B243" s="3" t="inlineStr">
        <is>
          <t>전년 같은 분기·전년 대비</t>
        </is>
      </c>
      <c r="G243" s="15">
        <f>IF(OR(G241="",C241=""),"",IF(C241&lt;=0,"",IFERROR(G241/C241-1,"")))</f>
        <v/>
      </c>
      <c r="H243" s="15">
        <f>IF(OR(H241="",D241=""),"",IF(D241&lt;=0,"",IFERROR(H241/D241-1,"")))</f>
        <v/>
      </c>
      <c r="I243" s="15">
        <f>IF(OR(I241="",E241=""),"",IF(E241&lt;=0,"",IFERROR(I241/E241-1,"")))</f>
        <v/>
      </c>
      <c r="J243" s="15">
        <f>IF(OR(J241="",F241=""),"",IF(F241&lt;=0,"",IFERROR(J241/F241-1,"")))</f>
        <v/>
      </c>
      <c r="K243" s="15">
        <f>IF(OR(K241="",G241=""),"",IF(G241&lt;=0,"",IFERROR(K241/G241-1,"")))</f>
        <v/>
      </c>
      <c r="L243" s="15">
        <f>IF(OR(L241="",H241=""),"",IF(H241&lt;=0,"",IFERROR(L241/H241-1,"")))</f>
        <v/>
      </c>
      <c r="M243" s="15">
        <f>IF(OR(M241="",I241=""),"",IF(I241&lt;=0,"",IFERROR(M241/I241-1,"")))</f>
        <v/>
      </c>
      <c r="N243" s="15">
        <f>IF(OR(N241="",J241=""),"",IF(J241&lt;=0,"",IFERROR(N241/J241-1,"")))</f>
        <v/>
      </c>
      <c r="V243" s="15">
        <f>IF(OR(V241="",U241=""),"",IF(U241&lt;=0,"",IFERROR(V241/U241-1,"")))</f>
        <v/>
      </c>
      <c r="W243" s="15">
        <f>IF(OR(W241="",V241=""),"",IF(V241&lt;=0,"",IFERROR(W241/V241-1,"")))</f>
        <v/>
      </c>
      <c r="X243" s="15">
        <f>IF(OR(X241="",W241=""),"",IF(W241&lt;=0,"",IFERROR(X241/W241-1,"")))</f>
        <v/>
      </c>
    </row>
    <row r="245">
      <c r="A245" s="16" t="inlineStr">
        <is>
          <t>현금흐름표 · 전 항목</t>
        </is>
      </c>
      <c r="B245" s="42" t="inlineStr">
        <is>
          <t>분기 = 결산기 첫날부터 누계(공시 그대로)</t>
        </is>
      </c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  <c r="AA245" s="16" t="n"/>
      <c r="AB245" s="16" t="n"/>
      <c r="AC245" s="16" t="n"/>
    </row>
    <row r="246">
      <c r="A246" s="5" t="inlineStr">
        <is>
          <t>항목</t>
        </is>
      </c>
      <c r="B246" s="5" t="inlineStr">
        <is>
          <t>참고</t>
        </is>
      </c>
      <c r="C246" s="5" t="inlineStr">
        <is>
          <t>2024.3Q</t>
        </is>
      </c>
      <c r="D246" s="5" t="inlineStr">
        <is>
          <t>2024.4Q</t>
        </is>
      </c>
      <c r="E246" s="5" t="inlineStr">
        <is>
          <t>2025.1Q</t>
        </is>
      </c>
      <c r="F246" s="5" t="inlineStr">
        <is>
          <t>2025.2Q</t>
        </is>
      </c>
      <c r="G246" s="5" t="inlineStr">
        <is>
          <t>2025.3Q</t>
        </is>
      </c>
      <c r="H246" s="5" t="inlineStr">
        <is>
          <t>2025.4Q</t>
        </is>
      </c>
      <c r="I246" s="5" t="inlineStr">
        <is>
          <t>2026.1Q</t>
        </is>
      </c>
      <c r="J246" s="5" t="inlineStr">
        <is>
          <t>2026.2Q</t>
        </is>
      </c>
      <c r="K246" s="5" t="inlineStr">
        <is>
          <t>2026.3Q</t>
        </is>
      </c>
      <c r="L246" s="5" t="inlineStr">
        <is>
          <t>2026.4Q</t>
        </is>
      </c>
      <c r="M246" s="5" t="inlineStr">
        <is>
          <t>2027.1Q</t>
        </is>
      </c>
      <c r="N246" s="5" t="inlineStr">
        <is>
          <t>2027.2Q</t>
        </is>
      </c>
      <c r="O246" s="5" t="inlineStr">
        <is>
          <t>2017</t>
        </is>
      </c>
      <c r="P246" s="5" t="inlineStr">
        <is>
          <t>2018</t>
        </is>
      </c>
      <c r="Q246" s="5" t="inlineStr">
        <is>
          <t>2019</t>
        </is>
      </c>
      <c r="R246" s="5" t="inlineStr">
        <is>
          <t>2020</t>
        </is>
      </c>
      <c r="S246" s="5" t="inlineStr">
        <is>
          <t>2021</t>
        </is>
      </c>
      <c r="T246" s="5" t="inlineStr">
        <is>
          <t>2022</t>
        </is>
      </c>
      <c r="U246" s="5" t="inlineStr">
        <is>
          <t>2023</t>
        </is>
      </c>
      <c r="V246" s="5" t="inlineStr">
        <is>
          <t>2024</t>
        </is>
      </c>
      <c r="W246" s="5" t="inlineStr">
        <is>
          <t>2025</t>
        </is>
      </c>
      <c r="X246" s="5" t="inlineStr">
        <is>
          <t>2026</t>
        </is>
      </c>
      <c r="Y246" s="5" t="inlineStr">
        <is>
          <t>2027(MW)</t>
        </is>
      </c>
      <c r="Z246" s="5" t="inlineStr">
        <is>
          <t>2028(MW)</t>
        </is>
      </c>
      <c r="AA246" s="5" t="inlineStr">
        <is>
          <t>2029(MW)</t>
        </is>
      </c>
      <c r="AB246" s="5" t="inlineStr">
        <is>
          <t>2030(MW)</t>
        </is>
      </c>
      <c r="AC246" s="5" t="inlineStr">
        <is>
          <t>2031(MW)</t>
        </is>
      </c>
    </row>
    <row r="247">
      <c r="A247" s="9" t="inlineStr">
        <is>
          <t>법인세차감전 순이익</t>
        </is>
      </c>
      <c r="D247" s="12" t="n">
        <v>5521</v>
      </c>
      <c r="F247" s="12" t="n">
        <v>3482</v>
      </c>
      <c r="H247" s="12" t="n">
        <v>7044</v>
      </c>
      <c r="J247" s="12" t="n">
        <v>5093</v>
      </c>
      <c r="L247" s="12" t="n">
        <v>8559</v>
      </c>
      <c r="N247" s="12" t="n">
        <v>8790</v>
      </c>
      <c r="O247" s="12" t="n">
        <v>8491</v>
      </c>
      <c r="P247" s="12" t="n">
        <v>10766</v>
      </c>
      <c r="Q247" s="12" t="n">
        <v>7969</v>
      </c>
      <c r="R247" s="12" t="n">
        <v>11305</v>
      </c>
      <c r="S247" s="12" t="n">
        <v>6667</v>
      </c>
      <c r="T247" s="12" t="n">
        <v>11544</v>
      </c>
      <c r="U247" s="12" t="n">
        <v>10554</v>
      </c>
      <c r="V247" s="12" t="n">
        <v>5521</v>
      </c>
      <c r="W247" s="12" t="n">
        <v>7044</v>
      </c>
      <c r="X247" s="12" t="n">
        <v>8559</v>
      </c>
    </row>
    <row r="248">
      <c r="A248" s="18" t="inlineStr">
        <is>
          <t>감가상각비</t>
        </is>
      </c>
      <c r="D248" s="20" t="n">
        <v>846</v>
      </c>
      <c r="F248" s="20" t="n">
        <v>528</v>
      </c>
      <c r="H248" s="20" t="n">
        <v>1007</v>
      </c>
      <c r="J248" s="20" t="n">
        <v>476</v>
      </c>
      <c r="L248" s="20" t="n">
        <v>988</v>
      </c>
      <c r="N248" s="20" t="n">
        <v>711</v>
      </c>
      <c r="O248" s="20" t="n">
        <v>748</v>
      </c>
      <c r="P248" s="20" t="n">
        <v>793</v>
      </c>
      <c r="Q248" s="20" t="n">
        <v>771</v>
      </c>
      <c r="R248" s="20" t="n">
        <v>889</v>
      </c>
      <c r="S248" s="20" t="n">
        <v>881</v>
      </c>
      <c r="T248" s="20" t="n">
        <v>910</v>
      </c>
      <c r="U248" s="20" t="n">
        <v>943</v>
      </c>
      <c r="V248" s="20" t="n">
        <v>846</v>
      </c>
      <c r="W248" s="20" t="n">
        <v>1007</v>
      </c>
      <c r="X248" s="20" t="n">
        <v>988</v>
      </c>
    </row>
    <row r="249">
      <c r="A249" s="18" t="inlineStr">
        <is>
          <t>손상차손</t>
        </is>
      </c>
      <c r="O249" s="20" t="n">
        <v>0</v>
      </c>
      <c r="P249" s="20" t="n">
        <v>2182</v>
      </c>
      <c r="Q249" s="20" t="n">
        <v>0</v>
      </c>
    </row>
    <row r="250">
      <c r="A250" s="18" t="inlineStr">
        <is>
          <t>영업권 상각</t>
        </is>
      </c>
      <c r="D250" s="20" t="n">
        <v>212</v>
      </c>
      <c r="F250" s="20" t="n">
        <v>53</v>
      </c>
      <c r="H250" s="20" t="n">
        <v>53</v>
      </c>
      <c r="J250" s="20" t="n">
        <v>0</v>
      </c>
      <c r="L250" s="20" t="n">
        <v>0</v>
      </c>
      <c r="O250" s="20" t="n">
        <v>205</v>
      </c>
      <c r="P250" s="20" t="n">
        <v>212</v>
      </c>
      <c r="Q250" s="20" t="n">
        <v>212</v>
      </c>
      <c r="R250" s="20" t="n">
        <v>212</v>
      </c>
      <c r="S250" s="20" t="n">
        <v>212</v>
      </c>
      <c r="T250" s="20" t="n">
        <v>212</v>
      </c>
      <c r="U250" s="20" t="n">
        <v>212</v>
      </c>
      <c r="V250" s="20" t="n">
        <v>212</v>
      </c>
      <c r="W250" s="20" t="n">
        <v>53</v>
      </c>
      <c r="X250" s="20" t="n">
        <v>0</v>
      </c>
    </row>
    <row r="251">
      <c r="A251" s="18" t="inlineStr">
        <is>
          <t>지분법손익</t>
        </is>
      </c>
      <c r="D251" s="20" t="n">
        <v>0</v>
      </c>
      <c r="F251" s="20" t="n">
        <v>0</v>
      </c>
      <c r="H251" s="20" t="n">
        <v>-89</v>
      </c>
      <c r="J251" s="20" t="n">
        <v>-264</v>
      </c>
      <c r="L251" s="20" t="n">
        <v>-533</v>
      </c>
      <c r="N251" s="20" t="n">
        <v>-264</v>
      </c>
      <c r="V251" s="20" t="n">
        <v>0</v>
      </c>
      <c r="W251" s="20" t="n">
        <v>-89</v>
      </c>
      <c r="X251" s="20" t="n">
        <v>-533</v>
      </c>
    </row>
    <row r="252">
      <c r="A252" s="18" t="inlineStr">
        <is>
          <t>임원 퇴직위로 충당금 증감</t>
        </is>
      </c>
      <c r="D252" s="20" t="n">
        <v>193</v>
      </c>
      <c r="F252" s="20" t="n">
        <v>26</v>
      </c>
      <c r="H252" s="20" t="n">
        <v>45</v>
      </c>
      <c r="J252" s="20" t="n">
        <v>19</v>
      </c>
      <c r="L252" s="20" t="n">
        <v>38</v>
      </c>
      <c r="N252" s="20" t="n">
        <v>206</v>
      </c>
      <c r="O252" s="20" t="n">
        <v>29</v>
      </c>
      <c r="P252" s="20" t="n">
        <v>29</v>
      </c>
      <c r="Q252" s="20" t="n">
        <v>33</v>
      </c>
      <c r="R252" s="20" t="n">
        <v>30</v>
      </c>
      <c r="S252" s="20" t="n">
        <v>32</v>
      </c>
      <c r="T252" s="20" t="n">
        <v>-2</v>
      </c>
      <c r="U252" s="20" t="n">
        <v>38</v>
      </c>
      <c r="V252" s="20" t="n">
        <v>193</v>
      </c>
      <c r="W252" s="20" t="n">
        <v>45</v>
      </c>
      <c r="X252" s="20" t="n">
        <v>38</v>
      </c>
    </row>
    <row r="253">
      <c r="A253" s="18" t="inlineStr">
        <is>
          <t>상여충당금 증감</t>
        </is>
      </c>
      <c r="D253" s="20" t="n">
        <v>10</v>
      </c>
      <c r="F253" s="20" t="n">
        <v>-1</v>
      </c>
      <c r="H253" s="20" t="n">
        <v>8</v>
      </c>
      <c r="J253" s="20" t="n">
        <v>-1</v>
      </c>
      <c r="L253" s="20" t="n">
        <v>3</v>
      </c>
      <c r="N253" s="20" t="n">
        <v>0</v>
      </c>
      <c r="O253" s="20" t="n">
        <v>3</v>
      </c>
      <c r="P253" s="20" t="n">
        <v>1</v>
      </c>
      <c r="Q253" s="20" t="n">
        <v>6</v>
      </c>
      <c r="R253" s="20" t="n">
        <v>2</v>
      </c>
      <c r="S253" s="20" t="n">
        <v>-6</v>
      </c>
      <c r="T253" s="20" t="n">
        <v>-1</v>
      </c>
      <c r="U253" s="20" t="n">
        <v>-1</v>
      </c>
      <c r="V253" s="20" t="n">
        <v>10</v>
      </c>
      <c r="W253" s="20" t="n">
        <v>8</v>
      </c>
      <c r="X253" s="20" t="n">
        <v>3</v>
      </c>
    </row>
    <row r="254">
      <c r="A254" s="18" t="inlineStr">
        <is>
          <t>퇴직급여부채 증감</t>
        </is>
      </c>
      <c r="D254" s="20" t="n">
        <v>27</v>
      </c>
      <c r="F254" s="20" t="n">
        <v>26</v>
      </c>
      <c r="H254" s="20" t="n">
        <v>34</v>
      </c>
      <c r="J254" s="20" t="n">
        <v>17</v>
      </c>
      <c r="L254" s="20" t="n">
        <v>30</v>
      </c>
      <c r="N254" s="20" t="n">
        <v>31</v>
      </c>
      <c r="O254" s="20" t="n">
        <v>3</v>
      </c>
      <c r="P254" s="20" t="n">
        <v>5</v>
      </c>
      <c r="Q254" s="20" t="n">
        <v>12</v>
      </c>
      <c r="R254" s="20" t="n">
        <v>15</v>
      </c>
      <c r="S254" s="20" t="n">
        <v>13</v>
      </c>
      <c r="T254" s="20" t="n">
        <v>-7</v>
      </c>
      <c r="U254" s="20" t="n">
        <v>6</v>
      </c>
      <c r="V254" s="20" t="n">
        <v>27</v>
      </c>
      <c r="W254" s="20" t="n">
        <v>34</v>
      </c>
      <c r="X254" s="20" t="n">
        <v>30</v>
      </c>
    </row>
    <row r="255">
      <c r="A255" s="18" t="inlineStr">
        <is>
          <t>이자수익</t>
        </is>
      </c>
      <c r="D255" s="20" t="n">
        <v>-0</v>
      </c>
      <c r="F255" s="20" t="n">
        <v>-3</v>
      </c>
      <c r="H255" s="20" t="n">
        <v>-40</v>
      </c>
      <c r="J255" s="20" t="n">
        <v>-67</v>
      </c>
      <c r="L255" s="20" t="n">
        <v>-143</v>
      </c>
      <c r="N255" s="20" t="n">
        <v>-97</v>
      </c>
      <c r="O255" s="20" t="n">
        <v>-0</v>
      </c>
      <c r="P255" s="20" t="n">
        <v>-1</v>
      </c>
      <c r="Q255" s="20" t="n">
        <v>-0</v>
      </c>
      <c r="R255" s="20" t="n">
        <v>-1</v>
      </c>
      <c r="S255" s="20" t="n">
        <v>-2</v>
      </c>
      <c r="T255" s="20" t="n">
        <v>-1</v>
      </c>
      <c r="U255" s="20" t="n">
        <v>-0</v>
      </c>
      <c r="V255" s="20" t="n">
        <v>-0</v>
      </c>
      <c r="W255" s="20" t="n">
        <v>-40</v>
      </c>
      <c r="X255" s="20" t="n">
        <v>-143</v>
      </c>
    </row>
    <row r="256">
      <c r="A256" s="18" t="inlineStr">
        <is>
          <t>이자비용</t>
        </is>
      </c>
      <c r="D256" s="20" t="n">
        <v>280</v>
      </c>
      <c r="F256" s="20" t="n">
        <v>182</v>
      </c>
      <c r="H256" s="20" t="n">
        <v>503</v>
      </c>
      <c r="J256" s="20" t="n">
        <v>466</v>
      </c>
      <c r="L256" s="20" t="n">
        <v>956</v>
      </c>
      <c r="N256" s="20" t="n">
        <v>1104</v>
      </c>
      <c r="O256" s="20" t="n">
        <v>403</v>
      </c>
      <c r="P256" s="20" t="n">
        <v>426</v>
      </c>
      <c r="Q256" s="20" t="n">
        <v>298</v>
      </c>
      <c r="R256" s="20" t="n">
        <v>250</v>
      </c>
      <c r="S256" s="20" t="n">
        <v>262</v>
      </c>
      <c r="T256" s="20" t="n">
        <v>274</v>
      </c>
      <c r="U256" s="20" t="n">
        <v>266</v>
      </c>
      <c r="V256" s="20" t="n">
        <v>280</v>
      </c>
      <c r="W256" s="20" t="n">
        <v>503</v>
      </c>
      <c r="X256" s="20" t="n">
        <v>956</v>
      </c>
    </row>
    <row r="257">
      <c r="A257" s="18" t="inlineStr">
        <is>
          <t>사채발행비</t>
        </is>
      </c>
      <c r="P257" s="20" t="n">
        <v>0</v>
      </c>
      <c r="Q257" s="20" t="n">
        <v>64</v>
      </c>
      <c r="R257" s="20" t="n">
        <v>0</v>
      </c>
      <c r="S257" s="20" t="n">
        <v>44</v>
      </c>
      <c r="T257" s="20" t="n">
        <v>0</v>
      </c>
    </row>
    <row r="258">
      <c r="A258" s="18" t="inlineStr">
        <is>
          <t>보조금 수입</t>
        </is>
      </c>
      <c r="D258" s="20" t="n">
        <v>0</v>
      </c>
      <c r="S258" s="20" t="n">
        <v>-65</v>
      </c>
      <c r="T258" s="20" t="n">
        <v>-144</v>
      </c>
      <c r="U258" s="20" t="n">
        <v>-56</v>
      </c>
      <c r="V258" s="20" t="n">
        <v>0</v>
      </c>
    </row>
    <row r="259">
      <c r="A259" s="18" t="inlineStr">
        <is>
          <t>매출채권 증감</t>
        </is>
      </c>
      <c r="D259" s="20" t="n">
        <v>-122</v>
      </c>
      <c r="F259" s="20" t="n">
        <v>-342</v>
      </c>
      <c r="H259" s="20" t="n">
        <v>-114</v>
      </c>
      <c r="J259" s="20" t="n">
        <v>201</v>
      </c>
      <c r="L259" s="20" t="n">
        <v>97</v>
      </c>
      <c r="N259" s="20" t="n">
        <v>-117</v>
      </c>
      <c r="O259" s="20" t="n">
        <v>210</v>
      </c>
      <c r="P259" s="20" t="n">
        <v>-12</v>
      </c>
      <c r="Q259" s="20" t="n">
        <v>81</v>
      </c>
      <c r="R259" s="20" t="n">
        <v>-29</v>
      </c>
      <c r="S259" s="20" t="n">
        <v>141</v>
      </c>
      <c r="T259" s="20" t="n">
        <v>-83</v>
      </c>
      <c r="U259" s="20" t="n">
        <v>-236</v>
      </c>
      <c r="V259" s="20" t="n">
        <v>-122</v>
      </c>
      <c r="W259" s="20" t="n">
        <v>-114</v>
      </c>
      <c r="X259" s="20" t="n">
        <v>97</v>
      </c>
    </row>
    <row r="260">
      <c r="A260" s="18" t="inlineStr">
        <is>
          <t>선수금 증감</t>
        </is>
      </c>
      <c r="D260" s="20" t="n">
        <v>278</v>
      </c>
      <c r="F260" s="20" t="n">
        <v>114</v>
      </c>
      <c r="H260" s="20" t="n">
        <v>152</v>
      </c>
      <c r="J260" s="20" t="n">
        <v>562</v>
      </c>
      <c r="L260" s="20" t="n">
        <v>1523</v>
      </c>
      <c r="N260" s="20" t="n">
        <v>-393</v>
      </c>
      <c r="O260" s="20" t="n">
        <v>2207</v>
      </c>
      <c r="P260" s="20" t="n">
        <v>-2747</v>
      </c>
      <c r="Q260" s="20" t="n">
        <v>2527</v>
      </c>
      <c r="R260" s="20" t="n">
        <v>-2816</v>
      </c>
      <c r="S260" s="20" t="n">
        <v>213</v>
      </c>
      <c r="T260" s="20" t="n">
        <v>1620</v>
      </c>
      <c r="U260" s="20" t="n">
        <v>-2305</v>
      </c>
      <c r="V260" s="20" t="n">
        <v>278</v>
      </c>
      <c r="W260" s="20" t="n">
        <v>152</v>
      </c>
      <c r="X260" s="20" t="n">
        <v>1523</v>
      </c>
    </row>
    <row r="261">
      <c r="A261" s="18" t="inlineStr">
        <is>
          <t>재고자산 증감</t>
        </is>
      </c>
      <c r="D261" s="20" t="n">
        <v>-11006</v>
      </c>
      <c r="F261" s="20" t="n">
        <v>-1461</v>
      </c>
      <c r="H261" s="20" t="n">
        <v>-3783</v>
      </c>
      <c r="J261" s="20" t="n">
        <v>-14328</v>
      </c>
      <c r="L261" s="20" t="n">
        <v>-15520</v>
      </c>
      <c r="N261" s="20" t="n">
        <v>-9260</v>
      </c>
      <c r="O261" s="20" t="n">
        <v>12748</v>
      </c>
      <c r="P261" s="20" t="n">
        <v>5936</v>
      </c>
      <c r="Q261" s="20" t="n">
        <v>3036</v>
      </c>
      <c r="R261" s="20" t="n">
        <v>8284</v>
      </c>
      <c r="S261" s="20" t="n">
        <v>6520</v>
      </c>
      <c r="T261" s="20" t="n">
        <v>-3346</v>
      </c>
      <c r="U261" s="20" t="n">
        <v>2415</v>
      </c>
      <c r="V261" s="20" t="n">
        <v>-11006</v>
      </c>
      <c r="W261" s="20" t="n">
        <v>-3783</v>
      </c>
      <c r="X261" s="20" t="n">
        <v>-15520</v>
      </c>
    </row>
    <row r="262">
      <c r="A262" s="18" t="inlineStr">
        <is>
          <t>매입채무 증감</t>
        </is>
      </c>
      <c r="D262" s="20" t="n">
        <v>8059</v>
      </c>
      <c r="F262" s="20" t="n">
        <v>-6805</v>
      </c>
      <c r="H262" s="20" t="n">
        <v>-6547</v>
      </c>
      <c r="J262" s="20" t="n">
        <v>345</v>
      </c>
      <c r="L262" s="20" t="n">
        <v>2049</v>
      </c>
      <c r="N262" s="20" t="n">
        <v>438</v>
      </c>
      <c r="O262" s="20" t="n">
        <v>-2828</v>
      </c>
      <c r="P262" s="20" t="n">
        <v>561</v>
      </c>
      <c r="Q262" s="20" t="n">
        <v>7395</v>
      </c>
      <c r="R262" s="20" t="n">
        <v>-9267</v>
      </c>
      <c r="S262" s="20" t="n">
        <v>1725</v>
      </c>
      <c r="T262" s="20" t="n">
        <v>8707</v>
      </c>
      <c r="U262" s="20" t="n">
        <v>-10818</v>
      </c>
      <c r="V262" s="20" t="n">
        <v>8059</v>
      </c>
      <c r="W262" s="20" t="n">
        <v>-6547</v>
      </c>
      <c r="X262" s="20" t="n">
        <v>2049</v>
      </c>
    </row>
    <row r="263">
      <c r="A263" s="18" t="inlineStr">
        <is>
          <t>예수금 증감</t>
        </is>
      </c>
      <c r="D263" s="20" t="n">
        <v>2940</v>
      </c>
      <c r="F263" s="20" t="n">
        <v>-2767</v>
      </c>
      <c r="H263" s="20" t="n">
        <v>-2428</v>
      </c>
      <c r="J263" s="20" t="n">
        <v>-560</v>
      </c>
      <c r="L263" s="20" t="n">
        <v>-550</v>
      </c>
      <c r="N263" s="20" t="n">
        <v>-4</v>
      </c>
      <c r="U263" s="20" t="n">
        <v>8</v>
      </c>
      <c r="V263" s="20" t="n">
        <v>2940</v>
      </c>
      <c r="W263" s="20" t="n">
        <v>-2428</v>
      </c>
      <c r="X263" s="20" t="n">
        <v>-550</v>
      </c>
    </row>
    <row r="264">
      <c r="A264" s="18" t="inlineStr">
        <is>
          <t>미수 소비세 증감</t>
        </is>
      </c>
      <c r="D264" s="20" t="n">
        <v>-767</v>
      </c>
      <c r="F264" s="20" t="n">
        <v>767</v>
      </c>
      <c r="H264" s="20" t="n">
        <v>767</v>
      </c>
      <c r="J264" s="20" t="n">
        <v>0</v>
      </c>
      <c r="L264" s="20" t="n">
        <v>-932</v>
      </c>
      <c r="N264" s="20" t="n">
        <v>928</v>
      </c>
      <c r="R264" s="20" t="n">
        <v>203</v>
      </c>
      <c r="S264" s="20" t="n">
        <v>-448</v>
      </c>
      <c r="T264" s="20" t="n">
        <v>438</v>
      </c>
      <c r="U264" s="20" t="n">
        <v>9</v>
      </c>
      <c r="V264" s="20" t="n">
        <v>-767</v>
      </c>
      <c r="W264" s="20" t="n">
        <v>767</v>
      </c>
      <c r="X264" s="20" t="n">
        <v>-932</v>
      </c>
    </row>
    <row r="265">
      <c r="A265" s="18" t="inlineStr">
        <is>
          <t>미지급 소비세 증감</t>
        </is>
      </c>
      <c r="D265" s="20" t="n">
        <v>34</v>
      </c>
      <c r="F265" s="20" t="n">
        <v>187</v>
      </c>
      <c r="H265" s="20" t="n">
        <v>92</v>
      </c>
      <c r="J265" s="20" t="n">
        <v>175</v>
      </c>
      <c r="L265" s="20" t="n">
        <v>-136</v>
      </c>
      <c r="N265" s="20" t="n">
        <v>223</v>
      </c>
      <c r="R265" s="20" t="n">
        <v>710</v>
      </c>
      <c r="S265" s="20" t="n">
        <v>-718</v>
      </c>
      <c r="T265" s="20" t="n">
        <v>30</v>
      </c>
      <c r="U265" s="20" t="n">
        <v>8</v>
      </c>
      <c r="V265" s="20" t="n">
        <v>34</v>
      </c>
      <c r="W265" s="20" t="n">
        <v>92</v>
      </c>
      <c r="X265" s="20" t="n">
        <v>-136</v>
      </c>
    </row>
    <row r="266">
      <c r="A266" s="18" t="inlineStr">
        <is>
          <t>기타</t>
        </is>
      </c>
      <c r="D266" s="20" t="n">
        <v>515</v>
      </c>
      <c r="F266" s="20" t="n">
        <v>-402</v>
      </c>
      <c r="H266" s="20" t="n">
        <v>-1861</v>
      </c>
      <c r="J266" s="20" t="n">
        <v>1550</v>
      </c>
      <c r="L266" s="20" t="n">
        <v>1853</v>
      </c>
      <c r="N266" s="20" t="n">
        <v>-1379</v>
      </c>
      <c r="O266" s="20" t="n">
        <v>276</v>
      </c>
      <c r="P266" s="20" t="n">
        <v>-776</v>
      </c>
      <c r="Q266" s="20" t="n">
        <v>1227</v>
      </c>
      <c r="R266" s="20" t="n">
        <v>-465</v>
      </c>
      <c r="S266" s="20" t="n">
        <v>21</v>
      </c>
      <c r="T266" s="20" t="n">
        <v>320</v>
      </c>
      <c r="U266" s="20" t="n">
        <v>-499</v>
      </c>
      <c r="V266" s="20" t="n">
        <v>515</v>
      </c>
      <c r="W266" s="20" t="n">
        <v>-1861</v>
      </c>
      <c r="X266" s="20" t="n">
        <v>1853</v>
      </c>
    </row>
    <row r="267">
      <c r="A267" s="18" t="inlineStr">
        <is>
          <t>소계</t>
        </is>
      </c>
      <c r="D267" s="20" t="n">
        <v>7023</v>
      </c>
      <c r="F267" s="20" t="n">
        <v>-6413</v>
      </c>
      <c r="H267" s="20" t="n">
        <v>-5156</v>
      </c>
      <c r="J267" s="20" t="n">
        <v>-6312</v>
      </c>
      <c r="L267" s="20" t="n">
        <v>-1716</v>
      </c>
      <c r="N267" s="20" t="n">
        <v>919</v>
      </c>
      <c r="O267" s="20" t="n">
        <v>22499</v>
      </c>
      <c r="P267" s="20" t="n">
        <v>17378</v>
      </c>
      <c r="Q267" s="20" t="n">
        <v>23635</v>
      </c>
      <c r="R267" s="20" t="n">
        <v>9323</v>
      </c>
      <c r="S267" s="20" t="n">
        <v>15493</v>
      </c>
      <c r="T267" s="20" t="n">
        <v>20472</v>
      </c>
      <c r="U267" s="20" t="n">
        <v>545</v>
      </c>
      <c r="V267" s="20" t="n">
        <v>7023</v>
      </c>
      <c r="W267" s="20" t="n">
        <v>-5156</v>
      </c>
      <c r="X267" s="20" t="n">
        <v>-1716</v>
      </c>
    </row>
    <row r="268">
      <c r="A268" s="18" t="inlineStr">
        <is>
          <t>이자 수취</t>
        </is>
      </c>
      <c r="D268" s="20" t="n">
        <v>0</v>
      </c>
      <c r="F268" s="20" t="n">
        <v>3</v>
      </c>
      <c r="H268" s="20" t="n">
        <v>39</v>
      </c>
      <c r="J268" s="20" t="n">
        <v>63</v>
      </c>
      <c r="L268" s="20" t="n">
        <v>144</v>
      </c>
      <c r="N268" s="20" t="n">
        <v>96</v>
      </c>
      <c r="O268" s="20" t="n">
        <v>1</v>
      </c>
      <c r="P268" s="20" t="n">
        <v>1</v>
      </c>
      <c r="Q268" s="20" t="n">
        <v>0</v>
      </c>
      <c r="R268" s="20" t="n">
        <v>1</v>
      </c>
      <c r="S268" s="20" t="n">
        <v>0</v>
      </c>
      <c r="T268" s="20" t="n">
        <v>0</v>
      </c>
      <c r="U268" s="20" t="n">
        <v>4</v>
      </c>
      <c r="V268" s="20" t="n">
        <v>0</v>
      </c>
      <c r="W268" s="20" t="n">
        <v>39</v>
      </c>
      <c r="X268" s="20" t="n">
        <v>144</v>
      </c>
    </row>
    <row r="269">
      <c r="A269" s="18" t="inlineStr">
        <is>
          <t>이자 지급</t>
        </is>
      </c>
      <c r="D269" s="20" t="n">
        <v>-297</v>
      </c>
      <c r="F269" s="20" t="n">
        <v>-272</v>
      </c>
      <c r="H269" s="20" t="n">
        <v>-664</v>
      </c>
      <c r="J269" s="20" t="n">
        <v>-468</v>
      </c>
      <c r="L269" s="20" t="n">
        <v>-1049</v>
      </c>
      <c r="N269" s="20" t="n">
        <v>-1143</v>
      </c>
      <c r="O269" s="20" t="n">
        <v>-403</v>
      </c>
      <c r="P269" s="20" t="n">
        <v>-434</v>
      </c>
      <c r="Q269" s="20" t="n">
        <v>-300</v>
      </c>
      <c r="R269" s="20" t="n">
        <v>-279</v>
      </c>
      <c r="S269" s="20" t="n">
        <v>-269</v>
      </c>
      <c r="T269" s="20" t="n">
        <v>-274</v>
      </c>
      <c r="U269" s="20" t="n">
        <v>-270</v>
      </c>
      <c r="V269" s="20" t="n">
        <v>-297</v>
      </c>
      <c r="W269" s="20" t="n">
        <v>-664</v>
      </c>
      <c r="X269" s="20" t="n">
        <v>-1049</v>
      </c>
    </row>
    <row r="270">
      <c r="A270" s="18" t="inlineStr">
        <is>
          <t>법인세 납부</t>
        </is>
      </c>
      <c r="D270" s="20" t="n">
        <v>-1634</v>
      </c>
      <c r="F270" s="20" t="n">
        <v>-1706</v>
      </c>
      <c r="H270" s="20" t="n">
        <v>-2673</v>
      </c>
      <c r="J270" s="20" t="n">
        <v>-1276</v>
      </c>
      <c r="L270" s="20" t="n">
        <v>-2401</v>
      </c>
      <c r="N270" s="20" t="n">
        <v>-1544</v>
      </c>
      <c r="O270" s="20" t="n">
        <v>-3229</v>
      </c>
      <c r="P270" s="20" t="n">
        <v>-3278</v>
      </c>
      <c r="Q270" s="20" t="n">
        <v>-4105</v>
      </c>
      <c r="R270" s="20" t="n">
        <v>-3077</v>
      </c>
      <c r="S270" s="20" t="n">
        <v>-4488</v>
      </c>
      <c r="T270" s="20" t="n">
        <v>-1852</v>
      </c>
      <c r="U270" s="20" t="n">
        <v>-4392</v>
      </c>
      <c r="V270" s="20" t="n">
        <v>-1634</v>
      </c>
      <c r="W270" s="20" t="n">
        <v>-2673</v>
      </c>
      <c r="X270" s="20" t="n">
        <v>-2401</v>
      </c>
    </row>
    <row r="271">
      <c r="A271" s="9" t="inlineStr">
        <is>
          <t>영업활동 현금흐름</t>
        </is>
      </c>
      <c r="D271" s="12" t="n">
        <v>5092</v>
      </c>
      <c r="F271" s="12" t="n">
        <v>-8389</v>
      </c>
      <c r="H271" s="12" t="n">
        <v>-8455</v>
      </c>
      <c r="J271" s="12" t="n">
        <v>-7994</v>
      </c>
      <c r="L271" s="12" t="n">
        <v>-5024</v>
      </c>
      <c r="N271" s="12" t="n">
        <v>-1671</v>
      </c>
      <c r="O271" s="12" t="n">
        <v>18868</v>
      </c>
      <c r="P271" s="12" t="n">
        <v>13667</v>
      </c>
      <c r="Q271" s="12" t="n">
        <v>19230</v>
      </c>
      <c r="R271" s="12" t="n">
        <v>5967</v>
      </c>
      <c r="S271" s="12" t="n">
        <v>10736</v>
      </c>
      <c r="T271" s="12" t="n">
        <v>18346</v>
      </c>
      <c r="U271" s="12" t="n">
        <v>-4112</v>
      </c>
      <c r="V271" s="12" t="n">
        <v>5092</v>
      </c>
      <c r="W271" s="12" t="n">
        <v>-8455</v>
      </c>
      <c r="X271" s="12" t="n">
        <v>-5024</v>
      </c>
    </row>
    <row r="272">
      <c r="A272" s="18" t="inlineStr">
        <is>
          <t>정기예금 예입</t>
        </is>
      </c>
      <c r="S272" s="20" t="n">
        <v>0</v>
      </c>
      <c r="T272" s="20" t="n">
        <v>-2220</v>
      </c>
      <c r="U272" s="20" t="n">
        <v>0</v>
      </c>
    </row>
    <row r="273">
      <c r="A273" s="18" t="inlineStr">
        <is>
          <t>정기예금 인출</t>
        </is>
      </c>
      <c r="D273" s="20" t="n">
        <v>0</v>
      </c>
      <c r="T273" s="20" t="n">
        <v>0</v>
      </c>
      <c r="U273" s="20" t="n">
        <v>2220</v>
      </c>
      <c r="V273" s="20" t="n">
        <v>0</v>
      </c>
    </row>
    <row r="274">
      <c r="A274" s="18" t="inlineStr">
        <is>
          <t>Proceeds From Withdrawal Of Investments In Subsidiaries And Associates Inv CF</t>
        </is>
      </c>
      <c r="F274" s="20" t="n">
        <v>0</v>
      </c>
      <c r="H274" s="20" t="n">
        <v>0</v>
      </c>
      <c r="J274" s="20" t="n">
        <v>85</v>
      </c>
      <c r="L274" s="20" t="n">
        <v>175</v>
      </c>
      <c r="N274" s="20" t="n">
        <v>73</v>
      </c>
      <c r="W274" s="20" t="n">
        <v>0</v>
      </c>
      <c r="X274" s="20" t="n">
        <v>175</v>
      </c>
    </row>
    <row r="275">
      <c r="A275" s="18" t="inlineStr">
        <is>
          <t>Investments In Equity Accounted Investees Inv CF</t>
        </is>
      </c>
      <c r="D275" s="20" t="n">
        <v>0</v>
      </c>
      <c r="H275" s="20" t="n">
        <v>-15052</v>
      </c>
      <c r="L275" s="20" t="n">
        <v>0</v>
      </c>
      <c r="V275" s="20" t="n">
        <v>0</v>
      </c>
      <c r="W275" s="20" t="n">
        <v>-15052</v>
      </c>
      <c r="X275" s="20" t="n">
        <v>0</v>
      </c>
    </row>
    <row r="276">
      <c r="A276" s="18" t="inlineStr">
        <is>
          <t>유형자산 취득(설비투자)</t>
        </is>
      </c>
      <c r="D276" s="20" t="n">
        <v>-197</v>
      </c>
      <c r="F276" s="20" t="n">
        <v>-324</v>
      </c>
      <c r="H276" s="20" t="n">
        <v>-314</v>
      </c>
      <c r="J276" s="20" t="n">
        <v>-140</v>
      </c>
      <c r="L276" s="20" t="n">
        <v>-103119</v>
      </c>
      <c r="N276" s="20" t="n">
        <v>-467</v>
      </c>
      <c r="O276" s="20" t="n">
        <v>-99</v>
      </c>
      <c r="P276" s="20" t="n">
        <v>-127</v>
      </c>
      <c r="Q276" s="20" t="n">
        <v>-255</v>
      </c>
      <c r="R276" s="20" t="n">
        <v>-3213</v>
      </c>
      <c r="S276" s="20" t="n">
        <v>-878</v>
      </c>
      <c r="T276" s="20" t="n">
        <v>-108</v>
      </c>
      <c r="U276" s="20" t="n">
        <v>-92</v>
      </c>
      <c r="V276" s="20" t="n">
        <v>-197</v>
      </c>
      <c r="W276" s="20" t="n">
        <v>-314</v>
      </c>
      <c r="X276" s="20" t="n">
        <v>-103119</v>
      </c>
    </row>
    <row r="277">
      <c r="A277" s="18" t="inlineStr">
        <is>
          <t>무형자산 취득</t>
        </is>
      </c>
      <c r="D277" s="20" t="n">
        <v>-6</v>
      </c>
      <c r="F277" s="20" t="n">
        <v>-47</v>
      </c>
      <c r="H277" s="20" t="n">
        <v>-51</v>
      </c>
      <c r="J277" s="20" t="n">
        <v>0</v>
      </c>
      <c r="L277" s="20" t="n">
        <v>-2</v>
      </c>
      <c r="N277" s="20" t="n">
        <v>-0</v>
      </c>
      <c r="O277" s="20" t="n">
        <v>-16</v>
      </c>
      <c r="P277" s="20" t="n">
        <v>-0</v>
      </c>
      <c r="Q277" s="20" t="n">
        <v>-3</v>
      </c>
      <c r="R277" s="20" t="n">
        <v>-0</v>
      </c>
      <c r="S277" s="20" t="n">
        <v>-21</v>
      </c>
      <c r="T277" s="20" t="n">
        <v>-0</v>
      </c>
      <c r="U277" s="20" t="n">
        <v>-1</v>
      </c>
      <c r="V277" s="20" t="n">
        <v>-6</v>
      </c>
      <c r="W277" s="20" t="n">
        <v>-51</v>
      </c>
      <c r="X277" s="20" t="n">
        <v>-2</v>
      </c>
    </row>
    <row r="278">
      <c r="A278" s="18" t="inlineStr">
        <is>
          <t>기타</t>
        </is>
      </c>
      <c r="D278" s="20" t="n">
        <v>24</v>
      </c>
      <c r="F278" s="20" t="n">
        <v>6</v>
      </c>
      <c r="H278" s="20" t="n">
        <v>43</v>
      </c>
      <c r="J278" s="20" t="n">
        <v>9</v>
      </c>
      <c r="L278" s="20" t="n">
        <v>10</v>
      </c>
      <c r="N278" s="20" t="n">
        <v>27</v>
      </c>
      <c r="O278" s="20" t="n">
        <v>11</v>
      </c>
      <c r="P278" s="20" t="n">
        <v>10</v>
      </c>
      <c r="Q278" s="20" t="n">
        <v>38</v>
      </c>
      <c r="R278" s="20" t="n">
        <v>6</v>
      </c>
      <c r="S278" s="20" t="n">
        <v>16</v>
      </c>
      <c r="T278" s="20" t="n">
        <v>0</v>
      </c>
      <c r="U278" s="20" t="n">
        <v>0</v>
      </c>
      <c r="V278" s="20" t="n">
        <v>24</v>
      </c>
      <c r="W278" s="20" t="n">
        <v>43</v>
      </c>
      <c r="X278" s="20" t="n">
        <v>10</v>
      </c>
    </row>
    <row r="279">
      <c r="A279" s="9" t="inlineStr">
        <is>
          <t>투자활동 현금흐름</t>
        </is>
      </c>
      <c r="D279" s="12" t="n">
        <v>-179</v>
      </c>
      <c r="F279" s="12" t="n">
        <v>-365</v>
      </c>
      <c r="H279" s="12" t="n">
        <v>-15373</v>
      </c>
      <c r="J279" s="12" t="n">
        <v>-45</v>
      </c>
      <c r="L279" s="12" t="n">
        <v>-102935</v>
      </c>
      <c r="N279" s="12" t="n">
        <v>-367</v>
      </c>
      <c r="O279" s="12" t="n">
        <v>-104</v>
      </c>
      <c r="P279" s="12" t="n">
        <v>-118</v>
      </c>
      <c r="Q279" s="12" t="n">
        <v>-220</v>
      </c>
      <c r="R279" s="12" t="n">
        <v>-3207</v>
      </c>
      <c r="S279" s="12" t="n">
        <v>-884</v>
      </c>
      <c r="T279" s="12" t="n">
        <v>-2329</v>
      </c>
      <c r="U279" s="12" t="n">
        <v>2126</v>
      </c>
      <c r="V279" s="12" t="n">
        <v>-179</v>
      </c>
      <c r="W279" s="12" t="n">
        <v>-15373</v>
      </c>
      <c r="X279" s="12" t="n">
        <v>-102935</v>
      </c>
    </row>
    <row r="280">
      <c r="A280" s="18" t="inlineStr">
        <is>
          <t>장기차입</t>
        </is>
      </c>
      <c r="D280" s="20" t="n">
        <v>11900</v>
      </c>
      <c r="F280" s="20" t="n">
        <v>18800</v>
      </c>
      <c r="H280" s="20" t="n">
        <v>53000</v>
      </c>
      <c r="J280" s="20" t="n">
        <v>5000</v>
      </c>
      <c r="L280" s="20" t="n">
        <v>103800</v>
      </c>
      <c r="N280" s="20" t="n">
        <v>3500</v>
      </c>
      <c r="O280" s="20" t="n">
        <v>4300</v>
      </c>
      <c r="P280" s="20" t="n">
        <v>500</v>
      </c>
      <c r="Q280" s="20" t="n">
        <v>250</v>
      </c>
      <c r="R280" s="20" t="n">
        <v>13800</v>
      </c>
      <c r="S280" s="20" t="n">
        <v>4500</v>
      </c>
      <c r="T280" s="20" t="n">
        <v>2000</v>
      </c>
      <c r="U280" s="20" t="n">
        <v>800</v>
      </c>
      <c r="V280" s="20" t="n">
        <v>11900</v>
      </c>
      <c r="W280" s="20" t="n">
        <v>53000</v>
      </c>
      <c r="X280" s="20" t="n">
        <v>103800</v>
      </c>
    </row>
    <row r="281">
      <c r="A281" s="18" t="inlineStr">
        <is>
          <t>장기차입금 상환</t>
        </is>
      </c>
      <c r="D281" s="20" t="n">
        <v>-550</v>
      </c>
      <c r="F281" s="20" t="n">
        <v>-6025</v>
      </c>
      <c r="H281" s="20" t="n">
        <v>-15075</v>
      </c>
      <c r="J281" s="20" t="n">
        <v>-50</v>
      </c>
      <c r="L281" s="20" t="n">
        <v>-4900</v>
      </c>
      <c r="N281" s="20" t="n">
        <v>-50</v>
      </c>
      <c r="O281" s="20" t="n">
        <v>-800</v>
      </c>
      <c r="P281" s="20" t="n">
        <v>-6000</v>
      </c>
      <c r="Q281" s="20" t="n">
        <v>0</v>
      </c>
      <c r="R281" s="20" t="n">
        <v>-850</v>
      </c>
      <c r="S281" s="20" t="n">
        <v>-550</v>
      </c>
      <c r="T281" s="20" t="n">
        <v>-3550</v>
      </c>
      <c r="U281" s="20" t="n">
        <v>-850</v>
      </c>
      <c r="V281" s="20" t="n">
        <v>-550</v>
      </c>
      <c r="W281" s="20" t="n">
        <v>-15075</v>
      </c>
      <c r="X281" s="20" t="n">
        <v>-4900</v>
      </c>
    </row>
    <row r="282">
      <c r="A282" s="18" t="inlineStr">
        <is>
          <t>사채 발행</t>
        </is>
      </c>
      <c r="P282" s="20" t="n">
        <v>0</v>
      </c>
      <c r="Q282" s="20" t="n">
        <v>9935</v>
      </c>
      <c r="R282" s="20" t="n">
        <v>0</v>
      </c>
      <c r="S282" s="20" t="n">
        <v>6455</v>
      </c>
      <c r="T282" s="20" t="n">
        <v>0</v>
      </c>
    </row>
    <row r="283">
      <c r="A283" s="18" t="inlineStr">
        <is>
          <t>사채 상환</t>
        </is>
      </c>
      <c r="D283" s="20" t="n">
        <v>-10000</v>
      </c>
      <c r="F283" s="20" t="n">
        <v>-12000</v>
      </c>
      <c r="H283" s="20" t="n">
        <v>-12000</v>
      </c>
      <c r="J283" s="20" t="n">
        <v>0</v>
      </c>
      <c r="L283" s="20" t="n">
        <v>-6500</v>
      </c>
      <c r="O283" s="20" t="n">
        <v>-3550</v>
      </c>
      <c r="P283" s="20" t="n">
        <v>-3050</v>
      </c>
      <c r="Q283" s="20" t="n">
        <v>-15300</v>
      </c>
      <c r="R283" s="20" t="n">
        <v>-7500</v>
      </c>
      <c r="S283" s="20" t="n">
        <v>-13500</v>
      </c>
      <c r="T283" s="20" t="n">
        <v>0</v>
      </c>
      <c r="U283" s="20" t="n">
        <v>0</v>
      </c>
      <c r="V283" s="20" t="n">
        <v>-10000</v>
      </c>
      <c r="W283" s="20" t="n">
        <v>-12000</v>
      </c>
      <c r="X283" s="20" t="n">
        <v>-6500</v>
      </c>
    </row>
    <row r="284">
      <c r="A284" s="18" t="inlineStr">
        <is>
          <t>자기주식 매각</t>
        </is>
      </c>
      <c r="O284" s="20" t="n">
        <v>0</v>
      </c>
      <c r="P284" s="20" t="n">
        <v>0</v>
      </c>
      <c r="Q284" s="20" t="n">
        <v>0</v>
      </c>
    </row>
    <row r="285">
      <c r="A285" s="18" t="inlineStr">
        <is>
          <t>자기주식 취득</t>
        </is>
      </c>
      <c r="D285" s="20" t="n">
        <v>-117</v>
      </c>
      <c r="F285" s="20" t="n">
        <v>-0</v>
      </c>
      <c r="H285" s="20" t="n">
        <v>-0</v>
      </c>
      <c r="J285" s="20" t="n">
        <v>0</v>
      </c>
      <c r="L285" s="20" t="n">
        <v>-0</v>
      </c>
      <c r="O285" s="20" t="n">
        <v>-864</v>
      </c>
      <c r="P285" s="20" t="n">
        <v>-0</v>
      </c>
      <c r="Q285" s="20" t="n">
        <v>-0</v>
      </c>
      <c r="R285" s="20" t="n">
        <v>-0</v>
      </c>
      <c r="S285" s="20" t="n">
        <v>-1684</v>
      </c>
      <c r="T285" s="20" t="n">
        <v>-763</v>
      </c>
      <c r="U285" s="20" t="n">
        <v>-891</v>
      </c>
      <c r="V285" s="20" t="n">
        <v>-117</v>
      </c>
      <c r="W285" s="20" t="n">
        <v>-0</v>
      </c>
      <c r="X285" s="20" t="n">
        <v>-0</v>
      </c>
    </row>
    <row r="286">
      <c r="A286" s="18" t="inlineStr">
        <is>
          <t>배당금 지급</t>
        </is>
      </c>
      <c r="D286" s="20" t="n">
        <v>-2661</v>
      </c>
      <c r="F286" s="20" t="n">
        <v>-1327</v>
      </c>
      <c r="H286" s="20" t="n">
        <v>-2658</v>
      </c>
      <c r="J286" s="20" t="n">
        <v>-1992</v>
      </c>
      <c r="L286" s="20" t="n">
        <v>-3654</v>
      </c>
      <c r="N286" s="20" t="n">
        <v>-1661</v>
      </c>
      <c r="O286" s="20" t="n">
        <v>-1497</v>
      </c>
      <c r="P286" s="20" t="n">
        <v>-1656</v>
      </c>
      <c r="Q286" s="20" t="n">
        <v>-1761</v>
      </c>
      <c r="R286" s="20" t="n">
        <v>-2468</v>
      </c>
      <c r="S286" s="20" t="n">
        <v>-2643</v>
      </c>
      <c r="T286" s="20" t="n">
        <v>-2220</v>
      </c>
      <c r="U286" s="20" t="n">
        <v>-2851</v>
      </c>
      <c r="V286" s="20" t="n">
        <v>-2661</v>
      </c>
      <c r="W286" s="20" t="n">
        <v>-2658</v>
      </c>
      <c r="X286" s="20" t="n">
        <v>-3654</v>
      </c>
    </row>
    <row r="287">
      <c r="A287" s="18" t="inlineStr">
        <is>
          <t>연결범위 변경 없는 자회사 주식 취득</t>
        </is>
      </c>
      <c r="O287" s="20" t="n">
        <v>0</v>
      </c>
      <c r="P287" s="20" t="n">
        <v>-336</v>
      </c>
      <c r="Q287" s="20" t="n">
        <v>0</v>
      </c>
    </row>
    <row r="288">
      <c r="A288" s="9" t="inlineStr">
        <is>
          <t>재무활동 현금흐름</t>
        </is>
      </c>
      <c r="D288" s="12" t="n">
        <v>-1428</v>
      </c>
      <c r="F288" s="12" t="n">
        <v>-552</v>
      </c>
      <c r="H288" s="12" t="n">
        <v>23266</v>
      </c>
      <c r="J288" s="12" t="n">
        <v>2957</v>
      </c>
      <c r="L288" s="12" t="n">
        <v>88745</v>
      </c>
      <c r="N288" s="12" t="n">
        <v>1788</v>
      </c>
      <c r="O288" s="12" t="n">
        <v>-2412</v>
      </c>
      <c r="P288" s="12" t="n">
        <v>-10543</v>
      </c>
      <c r="Q288" s="12" t="n">
        <v>-6877</v>
      </c>
      <c r="R288" s="12" t="n">
        <v>2981</v>
      </c>
      <c r="S288" s="12" t="n">
        <v>-7422</v>
      </c>
      <c r="T288" s="12" t="n">
        <v>-4533</v>
      </c>
      <c r="U288" s="12" t="n">
        <v>-3792</v>
      </c>
      <c r="V288" s="12" t="n">
        <v>-1428</v>
      </c>
      <c r="W288" s="12" t="n">
        <v>23266</v>
      </c>
      <c r="X288" s="12" t="n">
        <v>88745</v>
      </c>
    </row>
    <row r="289">
      <c r="A289" s="18" t="inlineStr">
        <is>
          <t>현금성자산 증감</t>
        </is>
      </c>
      <c r="D289" s="20" t="n">
        <v>3485</v>
      </c>
      <c r="F289" s="20" t="n">
        <v>-9308</v>
      </c>
      <c r="H289" s="20" t="n">
        <v>-562</v>
      </c>
      <c r="J289" s="20" t="n">
        <v>-5083</v>
      </c>
      <c r="L289" s="20" t="n">
        <v>-19214</v>
      </c>
      <c r="N289" s="20" t="n">
        <v>-251</v>
      </c>
      <c r="O289" s="20" t="n">
        <v>16351</v>
      </c>
      <c r="P289" s="20" t="n">
        <v>3006</v>
      </c>
      <c r="Q289" s="20" t="n">
        <v>12132</v>
      </c>
      <c r="R289" s="20" t="n">
        <v>5742</v>
      </c>
      <c r="S289" s="20" t="n">
        <v>2429</v>
      </c>
      <c r="T289" s="20" t="n">
        <v>11483</v>
      </c>
      <c r="U289" s="20" t="n">
        <v>-5778</v>
      </c>
      <c r="V289" s="20" t="n">
        <v>3485</v>
      </c>
      <c r="W289" s="20" t="n">
        <v>-562</v>
      </c>
      <c r="X289" s="20" t="n">
        <v>-19214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8871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180638</v>
      </c>
      <c r="D5" s="12" t="n">
        <v>179078</v>
      </c>
      <c r="E5" s="12" t="n">
        <v>168776</v>
      </c>
      <c r="F5" s="12" t="n">
        <v>170207</v>
      </c>
      <c r="G5" s="12" t="n">
        <v>177081</v>
      </c>
      <c r="H5" s="11" t="n">
        <v>163539</v>
      </c>
      <c r="I5" s="12" t="n">
        <v>157459</v>
      </c>
      <c r="J5" s="12" t="n">
        <v>170708</v>
      </c>
      <c r="K5" s="12" t="n">
        <v>173595</v>
      </c>
      <c r="L5" s="12" t="n">
        <v>168776</v>
      </c>
    </row>
    <row r="6">
      <c r="A6" s="18" t="inlineStr">
        <is>
          <t>현금및현금성자산</t>
        </is>
      </c>
      <c r="B6" s="10" t="n"/>
      <c r="C6" s="19" t="n">
        <v>72554</v>
      </c>
      <c r="D6" s="20" t="n">
        <v>71483</v>
      </c>
      <c r="E6" s="20" t="n">
        <v>58423</v>
      </c>
      <c r="F6" s="20" t="n">
        <v>63175</v>
      </c>
      <c r="G6" s="20" t="n">
        <v>58171</v>
      </c>
      <c r="H6" s="19" t="n">
        <v>82712</v>
      </c>
      <c r="I6" s="20" t="n">
        <v>74714</v>
      </c>
      <c r="J6" s="20" t="n">
        <v>78198</v>
      </c>
      <c r="K6" s="20" t="n">
        <v>77636</v>
      </c>
      <c r="L6" s="20" t="n">
        <v>58423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597</v>
      </c>
      <c r="D8" s="20" t="n">
        <v>700</v>
      </c>
      <c r="E8" s="20" t="n">
        <v>700</v>
      </c>
      <c r="F8" s="20" t="n">
        <v>947</v>
      </c>
      <c r="G8" s="20" t="n">
        <v>818</v>
      </c>
      <c r="H8" s="19" t="n">
        <v>325</v>
      </c>
      <c r="I8" s="20" t="n">
        <v>561</v>
      </c>
      <c r="J8" s="20" t="n">
        <v>684</v>
      </c>
      <c r="K8" s="20" t="n">
        <v>798</v>
      </c>
      <c r="L8" s="20" t="n">
        <v>700</v>
      </c>
    </row>
    <row r="9">
      <c r="A9" s="18" t="inlineStr">
        <is>
          <t>재고자산</t>
        </is>
      </c>
      <c r="B9" s="10" t="n"/>
      <c r="C9" s="19" t="n">
        <v>15210</v>
      </c>
      <c r="D9" s="20" t="n">
        <v>13076</v>
      </c>
      <c r="E9" s="20" t="n">
        <v>14511</v>
      </c>
      <c r="F9" s="20" t="n">
        <v>13784</v>
      </c>
      <c r="G9" s="20" t="n">
        <v>13186</v>
      </c>
      <c r="H9" s="19" t="n">
        <v>17474</v>
      </c>
      <c r="I9" s="20" t="n">
        <v>16263</v>
      </c>
      <c r="J9" s="20" t="n">
        <v>22061</v>
      </c>
      <c r="K9" s="20" t="n">
        <v>20296</v>
      </c>
      <c r="L9" s="20" t="n">
        <v>14511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49271</v>
      </c>
      <c r="D11" s="12" t="n">
        <v>49016</v>
      </c>
      <c r="E11" s="12" t="n">
        <v>154254</v>
      </c>
      <c r="F11" s="12" t="n">
        <v>154410</v>
      </c>
      <c r="G11" s="12" t="n">
        <v>154982</v>
      </c>
      <c r="H11" s="11" t="n">
        <v>36935</v>
      </c>
      <c r="I11" s="12" t="n">
        <v>31776</v>
      </c>
      <c r="J11" s="12" t="n">
        <v>33100</v>
      </c>
      <c r="K11" s="12" t="n">
        <v>49094</v>
      </c>
      <c r="L11" s="12" t="n">
        <v>154254</v>
      </c>
    </row>
    <row r="12">
      <c r="A12" s="18" t="inlineStr">
        <is>
          <t>유형자산</t>
        </is>
      </c>
      <c r="B12" s="10" t="n"/>
      <c r="C12" s="19" t="n">
        <v>31379</v>
      </c>
      <c r="D12" s="20" t="n">
        <v>31192</v>
      </c>
      <c r="E12" s="20" t="n">
        <v>134011</v>
      </c>
      <c r="F12" s="20" t="n">
        <v>134124</v>
      </c>
      <c r="G12" s="20" t="n">
        <v>133884</v>
      </c>
      <c r="H12" s="19" t="n">
        <v>33893</v>
      </c>
      <c r="I12" s="20" t="n">
        <v>29033</v>
      </c>
      <c r="J12" s="20" t="n">
        <v>30453</v>
      </c>
      <c r="K12" s="20" t="n">
        <v>31127</v>
      </c>
      <c r="L12" s="20" t="n">
        <v>134011</v>
      </c>
    </row>
    <row r="13">
      <c r="A13" s="18" t="inlineStr">
        <is>
          <t>무형자산</t>
        </is>
      </c>
      <c r="B13" s="10" t="n"/>
      <c r="C13" s="19" t="n">
        <v>50</v>
      </c>
      <c r="D13" s="20" t="n">
        <v>49</v>
      </c>
      <c r="E13" s="20" t="n">
        <v>47</v>
      </c>
      <c r="F13" s="20" t="n">
        <v>46</v>
      </c>
      <c r="G13" s="20" t="n">
        <v>44</v>
      </c>
      <c r="H13" s="19" t="n">
        <v>499</v>
      </c>
      <c r="I13" s="20" t="n">
        <v>285</v>
      </c>
      <c r="J13" s="20" t="n">
        <v>71</v>
      </c>
      <c r="K13" s="20" t="n">
        <v>57</v>
      </c>
      <c r="L13" s="20" t="n">
        <v>47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229909</v>
      </c>
      <c r="D16" s="12" t="n">
        <v>228094</v>
      </c>
      <c r="E16" s="12" t="n">
        <v>323030</v>
      </c>
      <c r="F16" s="12" t="n">
        <v>324617</v>
      </c>
      <c r="G16" s="12" t="n">
        <v>332064</v>
      </c>
      <c r="H16" s="11" t="n">
        <v>200475</v>
      </c>
      <c r="I16" s="12" t="n">
        <v>189235</v>
      </c>
      <c r="J16" s="12" t="n">
        <v>203808</v>
      </c>
      <c r="K16" s="12" t="n">
        <v>222689</v>
      </c>
      <c r="L16" s="12" t="n">
        <v>323030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18041</v>
      </c>
      <c r="D18" s="12" t="n">
        <v>16860</v>
      </c>
      <c r="E18" s="12" t="n">
        <v>10205</v>
      </c>
      <c r="F18" s="12" t="n">
        <v>7505</v>
      </c>
      <c r="G18" s="12" t="n">
        <v>11110</v>
      </c>
      <c r="H18" s="11" t="n">
        <v>18772</v>
      </c>
      <c r="I18" s="12" t="n">
        <v>14107</v>
      </c>
      <c r="J18" s="12" t="n">
        <v>42392</v>
      </c>
      <c r="K18" s="12" t="n">
        <v>17405</v>
      </c>
      <c r="L18" s="12" t="n">
        <v>10205</v>
      </c>
    </row>
    <row r="19">
      <c r="A19" s="18" t="inlineStr">
        <is>
          <t>매입채무</t>
        </is>
      </c>
      <c r="B19" s="10" t="n"/>
      <c r="C19" s="19" t="n">
        <v>2682</v>
      </c>
      <c r="D19" s="20" t="n">
        <v>1767</v>
      </c>
      <c r="E19" s="20" t="n">
        <v>4386</v>
      </c>
      <c r="F19" s="20" t="n">
        <v>1920</v>
      </c>
      <c r="G19" s="20" t="n">
        <v>4825</v>
      </c>
      <c r="H19" s="19" t="n">
        <v>11642</v>
      </c>
      <c r="I19" s="20" t="n">
        <v>824</v>
      </c>
      <c r="J19" s="20" t="n">
        <v>8884</v>
      </c>
      <c r="K19" s="20" t="n">
        <v>2336</v>
      </c>
      <c r="L19" s="20" t="n">
        <v>4386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/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>
        <v>11400</v>
      </c>
      <c r="D21" s="20" t="n">
        <v>11400</v>
      </c>
      <c r="E21" s="20" t="n">
        <v>100</v>
      </c>
      <c r="F21" s="20" t="n">
        <v>100</v>
      </c>
      <c r="G21" s="20" t="n">
        <v>75</v>
      </c>
      <c r="H21" s="19" t="n">
        <v>850</v>
      </c>
      <c r="I21" s="20" t="n">
        <v>10550</v>
      </c>
      <c r="J21" s="20" t="n">
        <v>27000</v>
      </c>
      <c r="K21" s="20" t="n">
        <v>11400</v>
      </c>
      <c r="L21" s="20" t="n">
        <v>100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76609</v>
      </c>
      <c r="D23" s="12" t="n">
        <v>76374</v>
      </c>
      <c r="E23" s="12" t="n">
        <v>176842</v>
      </c>
      <c r="F23" s="12" t="n">
        <v>176956</v>
      </c>
      <c r="G23" s="12" t="n">
        <v>180618</v>
      </c>
      <c r="H23" s="11" t="n">
        <v>54551</v>
      </c>
      <c r="I23" s="12" t="n">
        <v>44692</v>
      </c>
      <c r="J23" s="12" t="n">
        <v>30001</v>
      </c>
      <c r="K23" s="12" t="n">
        <v>71512</v>
      </c>
      <c r="L23" s="12" t="n">
        <v>176842</v>
      </c>
    </row>
    <row r="24">
      <c r="A24" s="18" t="inlineStr">
        <is>
          <t>장기차입금</t>
        </is>
      </c>
      <c r="B24" s="10" t="n"/>
      <c r="C24" s="19" t="n">
        <v>69675</v>
      </c>
      <c r="D24" s="20" t="n">
        <v>69650</v>
      </c>
      <c r="E24" s="20" t="n">
        <v>168425</v>
      </c>
      <c r="F24" s="20" t="n">
        <v>168400</v>
      </c>
      <c r="G24" s="20" t="n">
        <v>171900</v>
      </c>
      <c r="H24" s="19" t="n">
        <v>19550</v>
      </c>
      <c r="I24" s="20" t="n">
        <v>19800</v>
      </c>
      <c r="J24" s="20" t="n">
        <v>16700</v>
      </c>
      <c r="K24" s="20" t="n">
        <v>64725</v>
      </c>
      <c r="L24" s="20" t="n">
        <v>168425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>
        <v>28500</v>
      </c>
      <c r="I25" s="20" t="n">
        <v>18500</v>
      </c>
      <c r="J25" s="20" t="n">
        <v>6500</v>
      </c>
      <c r="K25" s="20" t="n">
        <v>0</v>
      </c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94650</v>
      </c>
      <c r="D27" s="12" t="n">
        <v>93234</v>
      </c>
      <c r="E27" s="12" t="n">
        <v>187048</v>
      </c>
      <c r="F27" s="12" t="n">
        <v>184461</v>
      </c>
      <c r="G27" s="12" t="n">
        <v>191728</v>
      </c>
      <c r="H27" s="11" t="n">
        <v>73323</v>
      </c>
      <c r="I27" s="12" t="n">
        <v>58800</v>
      </c>
      <c r="J27" s="12" t="n">
        <v>72394</v>
      </c>
      <c r="K27" s="12" t="n">
        <v>88918</v>
      </c>
      <c r="L27" s="12" t="n">
        <v>187048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135259</v>
      </c>
      <c r="D31" s="12" t="n">
        <v>134860</v>
      </c>
      <c r="E31" s="12" t="n">
        <v>135982</v>
      </c>
      <c r="F31" s="12" t="n">
        <v>140155</v>
      </c>
      <c r="G31" s="12" t="n">
        <v>140335</v>
      </c>
      <c r="H31" s="11" t="n">
        <v>127151</v>
      </c>
      <c r="I31" s="12" t="n">
        <v>130435</v>
      </c>
      <c r="J31" s="12" t="n">
        <v>131413</v>
      </c>
      <c r="K31" s="12" t="n">
        <v>133771</v>
      </c>
      <c r="L31" s="12" t="n">
        <v>135982</v>
      </c>
    </row>
    <row r="32">
      <c r="A32" s="18" t="inlineStr">
        <is>
          <t>자본금</t>
        </is>
      </c>
      <c r="B32" s="10" t="n"/>
      <c r="C32" s="19" t="n">
        <v>12499</v>
      </c>
      <c r="D32" s="20" t="n">
        <v>12499</v>
      </c>
      <c r="E32" s="20" t="n">
        <v>12499</v>
      </c>
      <c r="F32" s="20" t="n">
        <v>12499</v>
      </c>
      <c r="G32" s="20" t="n">
        <v>12499</v>
      </c>
      <c r="H32" s="19" t="n">
        <v>12499</v>
      </c>
      <c r="I32" s="20" t="n">
        <v>12499</v>
      </c>
      <c r="J32" s="20" t="n">
        <v>12499</v>
      </c>
      <c r="K32" s="20" t="n">
        <v>12499</v>
      </c>
      <c r="L32" s="20" t="n">
        <v>12499</v>
      </c>
    </row>
    <row r="33">
      <c r="A33" s="18" t="inlineStr">
        <is>
          <t>이익잉여금</t>
        </is>
      </c>
      <c r="B33" s="10" t="n"/>
      <c r="C33" s="19" t="n">
        <v>114934</v>
      </c>
      <c r="D33" s="20" t="n">
        <v>114534</v>
      </c>
      <c r="E33" s="20" t="n">
        <v>115657</v>
      </c>
      <c r="F33" s="20" t="n">
        <v>119819</v>
      </c>
      <c r="G33" s="20" t="n">
        <v>120000</v>
      </c>
      <c r="H33" s="19" t="n">
        <v>105824</v>
      </c>
      <c r="I33" s="20" t="n">
        <v>110002</v>
      </c>
      <c r="J33" s="20" t="n">
        <v>111094</v>
      </c>
      <c r="K33" s="20" t="n">
        <v>113450</v>
      </c>
      <c r="L33" s="20" t="n">
        <v>115657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135259</v>
      </c>
      <c r="D35" s="12" t="n">
        <v>134860</v>
      </c>
      <c r="E35" s="12" t="n">
        <v>135982</v>
      </c>
      <c r="F35" s="12" t="n">
        <v>140155</v>
      </c>
      <c r="G35" s="12" t="n">
        <v>140335</v>
      </c>
      <c r="H35" s="11" t="n">
        <v>127151</v>
      </c>
      <c r="I35" s="12" t="n">
        <v>130435</v>
      </c>
      <c r="J35" s="12" t="n">
        <v>131413</v>
      </c>
      <c r="K35" s="12" t="n">
        <v>133771</v>
      </c>
      <c r="L35" s="12" t="n">
        <v>135982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-8060</v>
      </c>
      <c r="D37" s="12" t="n"/>
      <c r="E37" s="12" t="n">
        <v>-5024</v>
      </c>
      <c r="F37" s="12" t="n"/>
      <c r="G37" s="12" t="n">
        <v>1299</v>
      </c>
      <c r="H37" s="11" t="n">
        <v>18346</v>
      </c>
      <c r="I37" s="12" t="n">
        <v>-4112</v>
      </c>
      <c r="J37" s="12" t="n">
        <v>5092</v>
      </c>
      <c r="K37" s="12" t="n">
        <v>-8455</v>
      </c>
      <c r="L37" s="12" t="n">
        <v>-5024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134</v>
      </c>
      <c r="D38" s="20" t="n"/>
      <c r="E38" s="20" t="n">
        <v>103121</v>
      </c>
      <c r="F38" s="20" t="n"/>
      <c r="G38" s="20" t="n">
        <v>103448</v>
      </c>
      <c r="H38" s="19" t="n">
        <v>108</v>
      </c>
      <c r="I38" s="20" t="n">
        <v>93</v>
      </c>
      <c r="J38" s="20" t="n">
        <v>203</v>
      </c>
      <c r="K38" s="20" t="n">
        <v>365</v>
      </c>
      <c r="L38" s="20" t="n">
        <v>103121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3323</v>
      </c>
      <c r="D40" s="20" t="n"/>
      <c r="E40" s="20" t="n">
        <v>3654</v>
      </c>
      <c r="F40" s="20" t="n"/>
      <c r="G40" s="20" t="n">
        <v>3323</v>
      </c>
      <c r="H40" s="19" t="n">
        <v>2220</v>
      </c>
      <c r="I40" s="20" t="n">
        <v>2851</v>
      </c>
      <c r="J40" s="20" t="n">
        <v>2661</v>
      </c>
      <c r="K40" s="20" t="n">
        <v>2658</v>
      </c>
      <c r="L40" s="20" t="n">
        <v>3654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IFERROR((IF(COUNT('연간'!G37:J37)&lt;4,"",SUM('연간'!G37:J37)))/(IF(COUNT('연간'!G59:J59)&lt;4,"",SUM('연간'!G59:J59))),"")</f>
        <v/>
      </c>
      <c r="D48" s="31">
        <f>IFERROR((IF(COUNT('연간'!H37:K37)&lt;4,"",SUM('연간'!H37:K37)))/(IF(COUNT('연간'!H59:K59)&lt;4,"",SUM('연간'!H59:K59))),"")</f>
        <v/>
      </c>
      <c r="E48" s="31">
        <f>IFERROR((IF(COUNT('연간'!I37:L37)&lt;4,"",SUM('연간'!I37:L37)))/(IF(COUNT('연간'!I59:L59)&lt;4,"",SUM('연간'!I59:L59))),"")</f>
        <v/>
      </c>
      <c r="F48" s="31">
        <f>IFERROR((IF(COUNT('연간'!J37:M37)&lt;4,"",SUM('연간'!J37:M37)))/(IF(COUNT('연간'!J59:M59)&lt;4,"",SUM('연간'!J59:M59))),"")</f>
        <v/>
      </c>
      <c r="G48" s="31">
        <f>IFERROR((IF(COUNT('연간'!K37:N37)&lt;4,"",SUM('연간'!K37:N37)))/(IF(COUNT('연간'!K59:N59)&lt;4,"",SUM('연간'!K59:N59))),"")</f>
        <v/>
      </c>
      <c r="H48" s="30">
        <f>IFERROR(('연간'!T37)/('연간'!T59),"")</f>
        <v/>
      </c>
      <c r="I48" s="31">
        <f>IFERROR(('연간'!U37)/('연간'!U59),"")</f>
        <v/>
      </c>
      <c r="J48" s="31">
        <f>IFERROR(('연간'!V37)/('연간'!V59),"")</f>
        <v/>
      </c>
      <c r="K48" s="31">
        <f>IFERROR(('연간'!W37)/('연간'!W59),"")</f>
        <v/>
      </c>
      <c r="L48" s="31">
        <f>IFERROR(('연간'!X37)/('연간'!X59),"")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IFERROR(IF((IF(COUNT('연간'!G67:J67)&lt;4,"",SUM('연간'!G67:J67)))&lt;=0,"적자",C28/(IF(COUNT('연간'!G67:J67)&lt;4,"",SUM('연간'!G67:J67)))),"")</f>
        <v/>
      </c>
      <c r="D49" s="47">
        <f>IFERROR(IF((IF(COUNT('연간'!H67:K67)&lt;4,"",SUM('연간'!H67:K67)))&lt;=0,"적자",D28/(IF(COUNT('연간'!H67:K67)&lt;4,"",SUM('연간'!H67:K67)))),"")</f>
        <v/>
      </c>
      <c r="E49" s="47">
        <f>IFERROR(IF((IF(COUNT('연간'!I67:L67)&lt;4,"",SUM('연간'!I67:L67)))&lt;=0,"적자",E28/(IF(COUNT('연간'!I67:L67)&lt;4,"",SUM('연간'!I67:L67)))),"")</f>
        <v/>
      </c>
      <c r="F49" s="47">
        <f>IFERROR(IF((IF(COUNT('연간'!J67:M67)&lt;4,"",SUM('연간'!J67:M67)))&lt;=0,"적자",F28/(IF(COUNT('연간'!J67:M67)&lt;4,"",SUM('연간'!J67:M67)))),"")</f>
        <v/>
      </c>
      <c r="G49" s="47">
        <f>IFERROR(IF((IF(COUNT('연간'!K67:N67)&lt;4,"",SUM('연간'!K67:N67)))&lt;=0,"적자",G28/(IF(COUNT('연간'!K67:N67)&lt;4,"",SUM('연간'!K67:N67)))),"")</f>
        <v/>
      </c>
      <c r="H49" s="46">
        <f>IFERROR(IF(('연간'!T67)&lt;=0,"적자",H28/('연간'!T67)),"")</f>
        <v/>
      </c>
      <c r="I49" s="47">
        <f>IFERROR(IF(('연간'!U67)&lt;=0,"적자",I28/('연간'!U67)),"")</f>
        <v/>
      </c>
      <c r="J49" s="47">
        <f>IFERROR(IF(('연간'!V67)&lt;=0,"적자",J28/('연간'!V67)),"")</f>
        <v/>
      </c>
      <c r="K49" s="47">
        <f>IFERROR(IF(('연간'!W67)&lt;=0,"적자",K28/('연간'!W67)),"")</f>
        <v/>
      </c>
      <c r="L49" s="47">
        <f>IFERROR(IF(('연간'!X67)&lt;=0,"적자",L28/('연간'!X67)),"")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IFERROR((IF(COUNT('연간'!G67:J67)&lt;4,"",SUM('연간'!G67:J67)))/C31,"")</f>
        <v/>
      </c>
      <c r="D51" s="36">
        <f>IFERROR((IF(COUNT('연간'!H67:K67)&lt;4,"",SUM('연간'!H67:K67)))/D31,"")</f>
        <v/>
      </c>
      <c r="E51" s="36">
        <f>IFERROR((IF(COUNT('연간'!I67:L67)&lt;4,"",SUM('연간'!I67:L67)))/E31,"")</f>
        <v/>
      </c>
      <c r="F51" s="36">
        <f>IFERROR((IF(COUNT('연간'!J67:M67)&lt;4,"",SUM('연간'!J67:M67)))/F31,"")</f>
        <v/>
      </c>
      <c r="G51" s="36">
        <f>IFERROR((IF(COUNT('연간'!K67:N67)&lt;4,"",SUM('연간'!K67:N67)))/G31,"")</f>
        <v/>
      </c>
      <c r="H51" s="35">
        <f>IFERROR(('연간'!T67)/H31,"")</f>
        <v/>
      </c>
      <c r="I51" s="36">
        <f>IFERROR(('연간'!U67)/I31,"")</f>
        <v/>
      </c>
      <c r="J51" s="36">
        <f>IFERROR(('연간'!V67)/J31,"")</f>
        <v/>
      </c>
      <c r="K51" s="36">
        <f>IFERROR(('연간'!W67)/K31,"")</f>
        <v/>
      </c>
      <c r="L51" s="36">
        <f>IFERROR(('연간'!X67)/L31,"")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IFERROR((IF(COUNT('연간'!G65:J65)&lt;4,"",SUM('연간'!G65:J65)))/C16,"")</f>
        <v/>
      </c>
      <c r="D52" s="36">
        <f>IFERROR((IF(COUNT('연간'!H65:K65)&lt;4,"",SUM('연간'!H65:K65)))/D16,"")</f>
        <v/>
      </c>
      <c r="E52" s="36">
        <f>IFERROR((IF(COUNT('연간'!I65:L65)&lt;4,"",SUM('연간'!I65:L65)))/E16,"")</f>
        <v/>
      </c>
      <c r="F52" s="36">
        <f>IFERROR((IF(COUNT('연간'!J65:M65)&lt;4,"",SUM('연간'!J65:M65)))/F16,"")</f>
        <v/>
      </c>
      <c r="G52" s="36">
        <f>IFERROR((IF(COUNT('연간'!K65:N65)&lt;4,"",SUM('연간'!K65:N65)))/G16,"")</f>
        <v/>
      </c>
      <c r="H52" s="35">
        <f>IFERROR(('연간'!T65)/H16,"")</f>
        <v/>
      </c>
      <c r="I52" s="36">
        <f>IFERROR(('연간'!U65)/I16,"")</f>
        <v/>
      </c>
      <c r="J52" s="36">
        <f>IFERROR(('연간'!V65)/J16,"")</f>
        <v/>
      </c>
      <c r="K52" s="36">
        <f>IFERROR(('연간'!W65)/K16,"")</f>
        <v/>
      </c>
      <c r="L52" s="36">
        <f>IFERROR(('연간'!X65)/L16,"")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IFERROR((IF(COUNT('연간'!G37:J37)&lt;4,"",SUM('연간'!G37:J37)))*(1-0.3)/(C35+C29),"")</f>
        <v/>
      </c>
      <c r="D53" s="36">
        <f>IFERROR((IF(COUNT('연간'!H37:K37)&lt;4,"",SUM('연간'!H37:K37)))*(1-0.3)/(D35+D29),"")</f>
        <v/>
      </c>
      <c r="E53" s="36">
        <f>IFERROR((IF(COUNT('연간'!I37:L37)&lt;4,"",SUM('연간'!I37:L37)))*(1-0.3)/(E35+E29),"")</f>
        <v/>
      </c>
      <c r="F53" s="36">
        <f>IFERROR((IF(COUNT('연간'!J37:M37)&lt;4,"",SUM('연간'!J37:M37)))*(1-0.3)/(F35+F29),"")</f>
        <v/>
      </c>
      <c r="G53" s="36">
        <f>IFERROR((IF(COUNT('연간'!K37:N37)&lt;4,"",SUM('연간'!K37:N37)))*(1-0.3)/(G35+G29),"")</f>
        <v/>
      </c>
      <c r="H53" s="35">
        <f>IFERROR(('연간'!T37)*(1-0.3)/(H35+H29),"")</f>
        <v/>
      </c>
      <c r="I53" s="36">
        <f>IFERROR(('연간'!U37)*(1-0.3)/(I35+I29),"")</f>
        <v/>
      </c>
      <c r="J53" s="36">
        <f>IFERROR(('연간'!V37)*(1-0.3)/(J35+J29),"")</f>
        <v/>
      </c>
      <c r="K53" s="36">
        <f>IFERROR(('연간'!W37)*(1-0.3)/(K35+K29),"")</f>
        <v/>
      </c>
      <c r="L53" s="36">
        <f>IFERROR(('연간'!X37)*(1-0.3)/(L35+L29),"")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IFERROR((IF(COUNT('연간'!G31:J31)&lt;4,"",SUM('연간'!G31:J31)))/(IF(COUNT('연간'!G4:J4)&lt;4,"",SUM('연간'!G4:J4))),"")</f>
        <v/>
      </c>
      <c r="D54" s="36">
        <f>IFERROR((IF(COUNT('연간'!H31:K31)&lt;4,"",SUM('연간'!H31:K31)))/(IF(COUNT('연간'!H4:K4)&lt;4,"",SUM('연간'!H4:K4))),"")</f>
        <v/>
      </c>
      <c r="E54" s="36">
        <f>IFERROR((IF(COUNT('연간'!I31:L31)&lt;4,"",SUM('연간'!I31:L31)))/(IF(COUNT('연간'!I4:L4)&lt;4,"",SUM('연간'!I4:L4))),"")</f>
        <v/>
      </c>
      <c r="F54" s="36">
        <f>IFERROR((IF(COUNT('연간'!J31:M31)&lt;4,"",SUM('연간'!J31:M31)))/(IF(COUNT('연간'!J4:M4)&lt;4,"",SUM('연간'!J4:M4))),"")</f>
        <v/>
      </c>
      <c r="G54" s="36">
        <f>IFERROR((IF(COUNT('연간'!K31:N31)&lt;4,"",SUM('연간'!K31:N31)))/(IF(COUNT('연간'!K4:N4)&lt;4,"",SUM('연간'!K4:N4))),"")</f>
        <v/>
      </c>
      <c r="H54" s="35">
        <f>IFERROR(('연간'!T31)/('연간'!T4),"")</f>
        <v/>
      </c>
      <c r="I54" s="36">
        <f>IFERROR(('연간'!U31)/('연간'!U4),"")</f>
        <v/>
      </c>
      <c r="J54" s="36">
        <f>IFERROR(('연간'!V31)/('연간'!V4),"")</f>
        <v/>
      </c>
      <c r="K54" s="36">
        <f>IFERROR(('연간'!W31)/('연간'!W4),"")</f>
        <v/>
      </c>
      <c r="L54" s="36">
        <f>IFERROR(('연간'!X31)/('연간'!X4),"")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IFERROR((IF(COUNT('연간'!G37:J37)&lt;4,"",SUM('연간'!G37:J37)))/(IF(COUNT('연간'!G4:J4)&lt;4,"",SUM('연간'!G4:J4))),"")</f>
        <v/>
      </c>
      <c r="D55" s="36">
        <f>IFERROR((IF(COUNT('연간'!H37:K37)&lt;4,"",SUM('연간'!H37:K37)))/(IF(COUNT('연간'!H4:K4)&lt;4,"",SUM('연간'!H4:K4))),"")</f>
        <v/>
      </c>
      <c r="E55" s="36">
        <f>IFERROR((IF(COUNT('연간'!I37:L37)&lt;4,"",SUM('연간'!I37:L37)))/(IF(COUNT('연간'!I4:L4)&lt;4,"",SUM('연간'!I4:L4))),"")</f>
        <v/>
      </c>
      <c r="F55" s="36">
        <f>IFERROR((IF(COUNT('연간'!J37:M37)&lt;4,"",SUM('연간'!J37:M37)))/(IF(COUNT('연간'!J4:M4)&lt;4,"",SUM('연간'!J4:M4))),"")</f>
        <v/>
      </c>
      <c r="G55" s="36">
        <f>IFERROR((IF(COUNT('연간'!K37:N37)&lt;4,"",SUM('연간'!K37:N37)))/(IF(COUNT('연간'!K4:N4)&lt;4,"",SUM('연간'!K4:N4))),"")</f>
        <v/>
      </c>
      <c r="H55" s="35">
        <f>IFERROR(('연간'!T37)/('연간'!T4),"")</f>
        <v/>
      </c>
      <c r="I55" s="36">
        <f>IFERROR(('연간'!U37)/('연간'!U4),"")</f>
        <v/>
      </c>
      <c r="J55" s="36">
        <f>IFERROR(('연간'!V37)/('연간'!V4),"")</f>
        <v/>
      </c>
      <c r="K55" s="36">
        <f>IFERROR(('연간'!W37)/('연간'!W4),"")</f>
        <v/>
      </c>
      <c r="L55" s="36">
        <f>IFERROR(('연간'!X37)/('연간'!X4),"")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IFERROR((IF(COUNT('연간'!G65:J65)&lt;4,"",SUM('연간'!G65:J65)))/(IF(COUNT('연간'!G4:J4)&lt;4,"",SUM('연간'!G4:J4))),"")</f>
        <v/>
      </c>
      <c r="D56" s="36">
        <f>IFERROR((IF(COUNT('연간'!H65:K65)&lt;4,"",SUM('연간'!H65:K65)))/(IF(COUNT('연간'!H4:K4)&lt;4,"",SUM('연간'!H4:K4))),"")</f>
        <v/>
      </c>
      <c r="E56" s="36">
        <f>IFERROR((IF(COUNT('연간'!I65:L65)&lt;4,"",SUM('연간'!I65:L65)))/(IF(COUNT('연간'!I4:L4)&lt;4,"",SUM('연간'!I4:L4))),"")</f>
        <v/>
      </c>
      <c r="F56" s="36">
        <f>IFERROR((IF(COUNT('연간'!J65:M65)&lt;4,"",SUM('연간'!J65:M65)))/(IF(COUNT('연간'!J4:M4)&lt;4,"",SUM('연간'!J4:M4))),"")</f>
        <v/>
      </c>
      <c r="G56" s="36">
        <f>IFERROR((IF(COUNT('연간'!K65:N65)&lt;4,"",SUM('연간'!K65:N65)))/(IF(COUNT('연간'!K4:N4)&lt;4,"",SUM('연간'!K4:N4))),"")</f>
        <v/>
      </c>
      <c r="H56" s="35">
        <f>IFERROR(('연간'!T65)/('연간'!T4),"")</f>
        <v/>
      </c>
      <c r="I56" s="36">
        <f>IFERROR(('연간'!U65)/('연간'!U4),"")</f>
        <v/>
      </c>
      <c r="J56" s="36">
        <f>IFERROR(('연간'!V65)/('연간'!V4),"")</f>
        <v/>
      </c>
      <c r="K56" s="36">
        <f>IFERROR(('연간'!W65)/('연간'!W4),"")</f>
        <v/>
      </c>
      <c r="L56" s="36">
        <f>IFERROR(('연간'!X65)/('연간'!X4),"")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IFERROR(C9/(IF(COUNT('연간'!G29:J29)&lt;4,"",SUM('연간'!G29:J29)))*365,"")</f>
        <v/>
      </c>
      <c r="D60" s="49">
        <f>IFERROR(D9/(IF(COUNT('연간'!H29:K29)&lt;4,"",SUM('연간'!H29:K29)))*365,"")</f>
        <v/>
      </c>
      <c r="E60" s="49">
        <f>IFERROR(E9/(IF(COUNT('연간'!I29:L29)&lt;4,"",SUM('연간'!I29:L29)))*365,"")</f>
        <v/>
      </c>
      <c r="F60" s="49">
        <f>IFERROR(F9/(IF(COUNT('연간'!J29:M29)&lt;4,"",SUM('연간'!J29:M29)))*365,"")</f>
        <v/>
      </c>
      <c r="G60" s="49">
        <f>IFERROR(G9/(IF(COUNT('연간'!K29:N29)&lt;4,"",SUM('연간'!K29:N29)))*365,"")</f>
        <v/>
      </c>
      <c r="H60" s="48">
        <f>IFERROR(H9/('연간'!T29)*365,"")</f>
        <v/>
      </c>
      <c r="I60" s="49">
        <f>IFERROR(I9/('연간'!U29)*365,"")</f>
        <v/>
      </c>
      <c r="J60" s="49">
        <f>IFERROR(J9/('연간'!V29)*365,"")</f>
        <v/>
      </c>
      <c r="K60" s="49">
        <f>IFERROR(K9/('연간'!W29)*365,"")</f>
        <v/>
      </c>
      <c r="L60" s="49">
        <f>IFERROR(L9/('연간'!X29)*365,"")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IFERROR(C19/(IF(COUNT('연간'!G29:J29)&lt;4,"",SUM('연간'!G29:J29)))*365,"")</f>
        <v/>
      </c>
      <c r="D61" s="49">
        <f>IFERROR(D19/(IF(COUNT('연간'!H29:K29)&lt;4,"",SUM('연간'!H29:K29)))*365,"")</f>
        <v/>
      </c>
      <c r="E61" s="49">
        <f>IFERROR(E19/(IF(COUNT('연간'!I29:L29)&lt;4,"",SUM('연간'!I29:L29)))*365,"")</f>
        <v/>
      </c>
      <c r="F61" s="49">
        <f>IFERROR(F19/(IF(COUNT('연간'!J29:M29)&lt;4,"",SUM('연간'!J29:M29)))*365,"")</f>
        <v/>
      </c>
      <c r="G61" s="49">
        <f>IFERROR(G19/(IF(COUNT('연간'!K29:N29)&lt;4,"",SUM('연간'!K29:N29)))*365,"")</f>
        <v/>
      </c>
      <c r="H61" s="48">
        <f>IFERROR(H19/('연간'!T29)*365,"")</f>
        <v/>
      </c>
      <c r="I61" s="49">
        <f>IFERROR(I19/('연간'!U29)*365,"")</f>
        <v/>
      </c>
      <c r="J61" s="49">
        <f>IFERROR(J19/('연간'!V29)*365,"")</f>
        <v/>
      </c>
      <c r="K61" s="49">
        <f>IFERROR(K19/('연간'!W29)*365,"")</f>
        <v/>
      </c>
      <c r="L61" s="49">
        <f>IFERROR(L19/('연간'!X29)*365,"")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IF(C37="","",IFERROR(C37/(IF(COUNT('연간'!G65:J65)&lt;4,"",SUM('연간'!G65:J65))),""))</f>
        <v/>
      </c>
      <c r="D64" s="31">
        <f>IF(D37="","",IFERROR(D37/(IF(COUNT('연간'!H65:K65)&lt;4,"",SUM('연간'!H65:K65))),""))</f>
        <v/>
      </c>
      <c r="E64" s="31">
        <f>IF(E37="","",IFERROR(E37/(IF(COUNT('연간'!I65:L65)&lt;4,"",SUM('연간'!I65:L65))),""))</f>
        <v/>
      </c>
      <c r="F64" s="31">
        <f>IF(F37="","",IFERROR(F37/(IF(COUNT('연간'!J65:M65)&lt;4,"",SUM('연간'!J65:M65))),""))</f>
        <v/>
      </c>
      <c r="G64" s="31">
        <f>IF(G37="","",IFERROR(G37/(IF(COUNT('연간'!K65:N65)&lt;4,"",SUM('연간'!K65:N65))),""))</f>
        <v/>
      </c>
      <c r="H64" s="30">
        <f>IF(H37="","",IFERROR(H37/('연간'!T65),""))</f>
        <v/>
      </c>
      <c r="I64" s="31">
        <f>IF(I37="","",IFERROR(I37/('연간'!U65),""))</f>
        <v/>
      </c>
      <c r="J64" s="31">
        <f>IF(J37="","",IFERROR(J37/('연간'!V65),""))</f>
        <v/>
      </c>
      <c r="K64" s="31">
        <f>IF(K37="","",IFERROR(K37/('연간'!W65),""))</f>
        <v/>
      </c>
      <c r="L64" s="31">
        <f>IF(L37="","",IFERROR(L37/('연간'!X65),""))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IF(C40="","",IFERROR(C40/(IF(COUNT('연간'!G67:J67)&lt;4,"",SUM('연간'!G67:J67))),""))</f>
        <v/>
      </c>
      <c r="D67" s="36">
        <f>IF(D40="","",IFERROR(D40/(IF(COUNT('연간'!H67:K67)&lt;4,"",SUM('연간'!H67:K67))),""))</f>
        <v/>
      </c>
      <c r="E67" s="36">
        <f>IF(E40="","",IFERROR(E40/(IF(COUNT('연간'!I67:L67)&lt;4,"",SUM('연간'!I67:L67))),""))</f>
        <v/>
      </c>
      <c r="F67" s="36">
        <f>IF(F40="","",IFERROR(F40/(IF(COUNT('연간'!J67:M67)&lt;4,"",SUM('연간'!J67:M67))),""))</f>
        <v/>
      </c>
      <c r="G67" s="36">
        <f>IF(G40="","",IFERROR(G40/(IF(COUNT('연간'!K67:N67)&lt;4,"",SUM('연간'!K67:N67))),""))</f>
        <v/>
      </c>
      <c r="H67" s="35">
        <f>IF(H40="","",IFERROR(H40/('연간'!T67),""))</f>
        <v/>
      </c>
      <c r="I67" s="36">
        <f>IF(I40="","",IFERROR(I40/('연간'!U67),""))</f>
        <v/>
      </c>
      <c r="J67" s="36">
        <f>IF(J40="","",IFERROR(J40/('연간'!V67),""))</f>
        <v/>
      </c>
      <c r="K67" s="36">
        <f>IF(K40="","",IFERROR(K40/('연간'!W67),""))</f>
        <v/>
      </c>
      <c r="L67" s="36">
        <f>IF(L40="","",IFERROR(L40/('연간'!X67),""))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72554</v>
      </c>
      <c r="D71" s="20" t="n">
        <v>71483</v>
      </c>
      <c r="E71" s="20" t="n">
        <v>58423</v>
      </c>
      <c r="F71" s="20" t="n">
        <v>63175</v>
      </c>
      <c r="G71" s="20" t="n">
        <v>58171</v>
      </c>
      <c r="H71" s="20" t="n">
        <v>82712</v>
      </c>
      <c r="I71" s="20" t="n">
        <v>74714</v>
      </c>
      <c r="J71" s="20" t="n">
        <v>78198</v>
      </c>
      <c r="K71" s="20" t="n">
        <v>77636</v>
      </c>
      <c r="L71" s="20" t="n">
        <v>58423</v>
      </c>
    </row>
    <row r="72">
      <c r="A72" s="18" t="inlineStr">
        <is>
          <t>매출채권</t>
        </is>
      </c>
      <c r="C72" s="20" t="n">
        <v>597</v>
      </c>
      <c r="D72" s="20" t="n">
        <v>700</v>
      </c>
      <c r="E72" s="20" t="n">
        <v>700</v>
      </c>
      <c r="F72" s="20" t="n">
        <v>947</v>
      </c>
      <c r="G72" s="20" t="n">
        <v>818</v>
      </c>
      <c r="H72" s="20" t="n">
        <v>325</v>
      </c>
      <c r="I72" s="20" t="n">
        <v>561</v>
      </c>
      <c r="J72" s="20" t="n">
        <v>684</v>
      </c>
      <c r="K72" s="20" t="n">
        <v>798</v>
      </c>
      <c r="L72" s="20" t="n">
        <v>700</v>
      </c>
    </row>
    <row r="73">
      <c r="A73" s="18" t="inlineStr">
        <is>
          <t>판매용 부동산</t>
        </is>
      </c>
      <c r="C73" s="20" t="n">
        <v>15210</v>
      </c>
      <c r="D73" s="20" t="n">
        <v>13076</v>
      </c>
      <c r="E73" s="20" t="n">
        <v>14511</v>
      </c>
      <c r="F73" s="20" t="n">
        <v>13784</v>
      </c>
      <c r="G73" s="20" t="n">
        <v>13186</v>
      </c>
      <c r="H73" s="20" t="n">
        <v>17474</v>
      </c>
      <c r="I73" s="20" t="n">
        <v>16263</v>
      </c>
      <c r="J73" s="20" t="n">
        <v>22061</v>
      </c>
      <c r="K73" s="20" t="n">
        <v>20296</v>
      </c>
      <c r="L73" s="20" t="n">
        <v>14511</v>
      </c>
    </row>
    <row r="74">
      <c r="A74" s="18" t="inlineStr">
        <is>
          <t>개발 중 판매용 부동산</t>
        </is>
      </c>
      <c r="C74" s="20" t="n">
        <v>91778</v>
      </c>
      <c r="D74" s="20" t="n">
        <v>93216</v>
      </c>
      <c r="E74" s="20" t="n">
        <v>93581</v>
      </c>
      <c r="F74" s="20" t="n">
        <v>90506</v>
      </c>
      <c r="G74" s="20" t="n">
        <v>104163</v>
      </c>
      <c r="H74" s="20" t="n">
        <v>62677</v>
      </c>
      <c r="I74" s="20" t="n">
        <v>65521</v>
      </c>
      <c r="J74" s="20" t="n">
        <v>68589</v>
      </c>
      <c r="K74" s="20" t="n">
        <v>72825</v>
      </c>
      <c r="L74" s="20" t="n">
        <v>93581</v>
      </c>
    </row>
    <row r="75">
      <c r="A75" s="18" t="inlineStr">
        <is>
          <t>기타</t>
        </is>
      </c>
      <c r="C75" s="20" t="n">
        <v>497</v>
      </c>
      <c r="D75" s="20" t="n">
        <v>600</v>
      </c>
      <c r="E75" s="20" t="n">
        <v>1559</v>
      </c>
      <c r="F75" s="20" t="n">
        <v>1792</v>
      </c>
      <c r="G75" s="20" t="n">
        <v>740</v>
      </c>
      <c r="H75" s="20" t="n">
        <v>350</v>
      </c>
      <c r="I75" s="20" t="n">
        <v>398</v>
      </c>
      <c r="J75" s="20" t="n">
        <v>1174</v>
      </c>
      <c r="K75" s="20" t="n">
        <v>2038</v>
      </c>
      <c r="L75" s="20" t="n">
        <v>1559</v>
      </c>
    </row>
    <row r="76">
      <c r="A76" s="9" t="inlineStr">
        <is>
          <t>유동자산 합계</t>
        </is>
      </c>
      <c r="C76" s="12" t="n">
        <v>180638</v>
      </c>
      <c r="D76" s="12" t="n">
        <v>179078</v>
      </c>
      <c r="E76" s="12" t="n">
        <v>168776</v>
      </c>
      <c r="F76" s="12" t="n">
        <v>170207</v>
      </c>
      <c r="G76" s="12" t="n">
        <v>177081</v>
      </c>
      <c r="H76" s="12" t="n">
        <v>163539</v>
      </c>
      <c r="I76" s="12" t="n">
        <v>157459</v>
      </c>
      <c r="J76" s="12" t="n">
        <v>170708</v>
      </c>
      <c r="K76" s="12" t="n">
        <v>173595</v>
      </c>
      <c r="L76" s="12" t="n">
        <v>168776</v>
      </c>
    </row>
    <row r="77">
      <c r="A77" s="18" t="inlineStr">
        <is>
          <t>건물·구축물</t>
        </is>
      </c>
      <c r="E77" s="20" t="n">
        <v>35206</v>
      </c>
      <c r="H77" s="20" t="n">
        <v>25301</v>
      </c>
      <c r="I77" s="20" t="n">
        <v>21465</v>
      </c>
      <c r="J77" s="20" t="n">
        <v>22221</v>
      </c>
      <c r="K77" s="20" t="n">
        <v>22829</v>
      </c>
      <c r="L77" s="20" t="n">
        <v>35206</v>
      </c>
    </row>
    <row r="78">
      <c r="A78" s="18" t="inlineStr">
        <is>
          <t>감가상각누계액</t>
        </is>
      </c>
      <c r="E78" s="20" t="n">
        <v>-11678</v>
      </c>
      <c r="H78" s="20" t="n">
        <v>-10106</v>
      </c>
      <c r="I78" s="20" t="n">
        <v>-9511</v>
      </c>
      <c r="J78" s="20" t="n">
        <v>-10121</v>
      </c>
      <c r="K78" s="20" t="n">
        <v>-10856</v>
      </c>
      <c r="L78" s="20" t="n">
        <v>-11678</v>
      </c>
    </row>
    <row r="79">
      <c r="A79" s="18" t="inlineStr">
        <is>
          <t>건물·구축물(순액)</t>
        </is>
      </c>
      <c r="C79" s="20" t="n">
        <v>11835</v>
      </c>
      <c r="D79" s="20" t="n">
        <v>11653</v>
      </c>
      <c r="E79" s="20" t="n">
        <v>23528</v>
      </c>
      <c r="F79" s="20" t="n">
        <v>23310</v>
      </c>
      <c r="G79" s="20" t="n">
        <v>23075</v>
      </c>
      <c r="H79" s="20" t="n">
        <v>15195</v>
      </c>
      <c r="I79" s="20" t="n">
        <v>11954</v>
      </c>
      <c r="J79" s="20" t="n">
        <v>12099</v>
      </c>
      <c r="K79" s="20" t="n">
        <v>11973</v>
      </c>
      <c r="L79" s="20" t="n">
        <v>23528</v>
      </c>
    </row>
    <row r="80">
      <c r="A80" s="18" t="inlineStr">
        <is>
          <t>기계장치·운반구</t>
        </is>
      </c>
      <c r="E80" s="20" t="n">
        <v>70</v>
      </c>
      <c r="H80" s="20" t="n">
        <v>75</v>
      </c>
      <c r="I80" s="20" t="n">
        <v>66</v>
      </c>
      <c r="J80" s="20" t="n">
        <v>66</v>
      </c>
      <c r="K80" s="20" t="n">
        <v>68</v>
      </c>
      <c r="L80" s="20" t="n">
        <v>70</v>
      </c>
    </row>
    <row r="81">
      <c r="A81" s="18" t="inlineStr">
        <is>
          <t>감가상각누계액</t>
        </is>
      </c>
      <c r="E81" s="20" t="n">
        <v>-65</v>
      </c>
      <c r="H81" s="20" t="n">
        <v>-62</v>
      </c>
      <c r="I81" s="20" t="n">
        <v>-58</v>
      </c>
      <c r="J81" s="20" t="n">
        <v>-62</v>
      </c>
      <c r="K81" s="20" t="n">
        <v>-63</v>
      </c>
      <c r="L81" s="20" t="n">
        <v>-65</v>
      </c>
    </row>
    <row r="82">
      <c r="A82" s="18" t="inlineStr">
        <is>
          <t>기계장치·운반구(순액)</t>
        </is>
      </c>
      <c r="E82" s="20" t="n">
        <v>4</v>
      </c>
      <c r="H82" s="20" t="n">
        <v>12</v>
      </c>
      <c r="I82" s="20" t="n">
        <v>7</v>
      </c>
      <c r="J82" s="20" t="n">
        <v>3</v>
      </c>
      <c r="K82" s="20" t="n">
        <v>4</v>
      </c>
      <c r="L82" s="20" t="n">
        <v>4</v>
      </c>
    </row>
    <row r="83">
      <c r="A83" s="18" t="inlineStr">
        <is>
          <t>공구·기구·비품</t>
        </is>
      </c>
      <c r="E83" s="20" t="n">
        <v>292</v>
      </c>
      <c r="H83" s="20" t="n">
        <v>288</v>
      </c>
      <c r="I83" s="20" t="n">
        <v>279</v>
      </c>
      <c r="J83" s="20" t="n">
        <v>231</v>
      </c>
      <c r="K83" s="20" t="n">
        <v>265</v>
      </c>
      <c r="L83" s="20" t="n">
        <v>292</v>
      </c>
    </row>
    <row r="84">
      <c r="A84" s="18" t="inlineStr">
        <is>
          <t>감가상각누계액</t>
        </is>
      </c>
      <c r="E84" s="20" t="n">
        <v>-226</v>
      </c>
      <c r="H84" s="20" t="n">
        <v>-246</v>
      </c>
      <c r="I84" s="20" t="n">
        <v>-251</v>
      </c>
      <c r="J84" s="20" t="n">
        <v>-185</v>
      </c>
      <c r="K84" s="20" t="n">
        <v>-204</v>
      </c>
      <c r="L84" s="20" t="n">
        <v>-226</v>
      </c>
    </row>
    <row r="85">
      <c r="A85" s="18" t="inlineStr">
        <is>
          <t>공구·기구·비품(순액)</t>
        </is>
      </c>
      <c r="E85" s="20" t="n">
        <v>65</v>
      </c>
      <c r="H85" s="20" t="n">
        <v>41</v>
      </c>
      <c r="I85" s="20" t="n">
        <v>27</v>
      </c>
      <c r="J85" s="20" t="n">
        <v>45</v>
      </c>
      <c r="K85" s="20" t="n">
        <v>60</v>
      </c>
      <c r="L85" s="20" t="n">
        <v>65</v>
      </c>
    </row>
    <row r="86">
      <c r="A86" s="18" t="inlineStr">
        <is>
          <t>토지</t>
        </is>
      </c>
      <c r="C86" s="20" t="n">
        <v>19465</v>
      </c>
      <c r="D86" s="20" t="n">
        <v>19466</v>
      </c>
      <c r="E86" s="20" t="n">
        <v>110412</v>
      </c>
      <c r="F86" s="20" t="n">
        <v>110743</v>
      </c>
      <c r="G86" s="20" t="n">
        <v>110744</v>
      </c>
      <c r="H86" s="20" t="n">
        <v>18644</v>
      </c>
      <c r="I86" s="20" t="n">
        <v>17044</v>
      </c>
      <c r="J86" s="20" t="n">
        <v>18304</v>
      </c>
      <c r="K86" s="20" t="n">
        <v>19088</v>
      </c>
      <c r="L86" s="20" t="n">
        <v>110412</v>
      </c>
    </row>
    <row r="87">
      <c r="A87" s="18" t="inlineStr">
        <is>
          <t>기타(순액)</t>
        </is>
      </c>
      <c r="C87" s="20" t="n">
        <v>78</v>
      </c>
      <c r="D87" s="20" t="n">
        <v>72</v>
      </c>
      <c r="E87" s="20" t="n">
        <v>70</v>
      </c>
      <c r="F87" s="20" t="n">
        <v>70</v>
      </c>
      <c r="G87" s="20" t="n">
        <v>63</v>
      </c>
      <c r="H87" s="20" t="n">
        <v>54</v>
      </c>
      <c r="I87" s="20" t="n">
        <v>35</v>
      </c>
      <c r="J87" s="20" t="n">
        <v>49</v>
      </c>
      <c r="K87" s="20" t="n">
        <v>65</v>
      </c>
      <c r="L87" s="20" t="n">
        <v>70</v>
      </c>
    </row>
    <row r="88">
      <c r="A88" s="18" t="inlineStr">
        <is>
          <t>유형자산 합계</t>
        </is>
      </c>
      <c r="C88" s="20" t="n">
        <v>31379</v>
      </c>
      <c r="D88" s="20" t="n">
        <v>31192</v>
      </c>
      <c r="E88" s="20" t="n">
        <v>134011</v>
      </c>
      <c r="F88" s="20" t="n">
        <v>134124</v>
      </c>
      <c r="G88" s="20" t="n">
        <v>133884</v>
      </c>
      <c r="H88" s="20" t="n">
        <v>33893</v>
      </c>
      <c r="I88" s="20" t="n">
        <v>29033</v>
      </c>
      <c r="J88" s="20" t="n">
        <v>30453</v>
      </c>
      <c r="K88" s="20" t="n">
        <v>31127</v>
      </c>
      <c r="L88" s="20" t="n">
        <v>134011</v>
      </c>
    </row>
    <row r="89">
      <c r="A89" s="18" t="inlineStr">
        <is>
          <t>소프트웨어</t>
        </is>
      </c>
      <c r="C89" s="20" t="n">
        <v>29</v>
      </c>
      <c r="D89" s="20" t="n">
        <v>29</v>
      </c>
      <c r="E89" s="20" t="n">
        <v>27</v>
      </c>
      <c r="F89" s="20" t="n">
        <v>25</v>
      </c>
      <c r="G89" s="20" t="n">
        <v>23</v>
      </c>
      <c r="H89" s="20" t="n">
        <v>17</v>
      </c>
      <c r="I89" s="20" t="n">
        <v>16</v>
      </c>
      <c r="J89" s="20" t="n">
        <v>12</v>
      </c>
      <c r="K89" s="20" t="n">
        <v>37</v>
      </c>
      <c r="L89" s="20" t="n">
        <v>27</v>
      </c>
    </row>
    <row r="90">
      <c r="A90" s="18" t="inlineStr">
        <is>
          <t>영업권</t>
        </is>
      </c>
      <c r="H90" s="20" t="n">
        <v>477</v>
      </c>
      <c r="I90" s="20" t="n">
        <v>265</v>
      </c>
      <c r="J90" s="20" t="n">
        <v>53</v>
      </c>
      <c r="K90" s="20" t="n">
        <v>0</v>
      </c>
    </row>
    <row r="91">
      <c r="A91" s="18" t="inlineStr">
        <is>
          <t>기타</t>
        </is>
      </c>
      <c r="C91" s="20" t="n">
        <v>20</v>
      </c>
      <c r="D91" s="20" t="n">
        <v>20</v>
      </c>
      <c r="E91" s="20" t="n">
        <v>20</v>
      </c>
      <c r="F91" s="20" t="n">
        <v>20</v>
      </c>
      <c r="G91" s="20" t="n">
        <v>20</v>
      </c>
      <c r="H91" s="20" t="n">
        <v>4</v>
      </c>
      <c r="I91" s="20" t="n">
        <v>4</v>
      </c>
      <c r="J91" s="20" t="n">
        <v>5</v>
      </c>
      <c r="K91" s="20" t="n">
        <v>20</v>
      </c>
      <c r="L91" s="20" t="n">
        <v>20</v>
      </c>
    </row>
    <row r="92">
      <c r="A92" s="18" t="inlineStr">
        <is>
          <t>무형자산 합계</t>
        </is>
      </c>
      <c r="C92" s="20" t="n">
        <v>50</v>
      </c>
      <c r="D92" s="20" t="n">
        <v>49</v>
      </c>
      <c r="E92" s="20" t="n">
        <v>47</v>
      </c>
      <c r="F92" s="20" t="n">
        <v>46</v>
      </c>
      <c r="G92" s="20" t="n">
        <v>44</v>
      </c>
      <c r="H92" s="20" t="n">
        <v>499</v>
      </c>
      <c r="I92" s="20" t="n">
        <v>285</v>
      </c>
      <c r="J92" s="20" t="n">
        <v>71</v>
      </c>
      <c r="K92" s="20" t="n">
        <v>57</v>
      </c>
      <c r="L92" s="20" t="n">
        <v>47</v>
      </c>
    </row>
    <row r="93">
      <c r="A93" s="18" t="inlineStr">
        <is>
          <t>투자유가증권</t>
        </is>
      </c>
      <c r="E93" s="20" t="n">
        <v>14909</v>
      </c>
      <c r="H93" s="20" t="n">
        <v>24</v>
      </c>
      <c r="I93" s="20" t="n">
        <v>18</v>
      </c>
      <c r="J93" s="20" t="n">
        <v>23</v>
      </c>
      <c r="K93" s="20" t="n">
        <v>15078</v>
      </c>
      <c r="L93" s="20" t="n">
        <v>14909</v>
      </c>
    </row>
    <row r="94">
      <c r="A94" s="18" t="inlineStr">
        <is>
          <t>이연법인세자산</t>
        </is>
      </c>
      <c r="E94" s="20" t="n">
        <v>2449</v>
      </c>
      <c r="H94" s="20" t="n">
        <v>1722</v>
      </c>
      <c r="I94" s="20" t="n">
        <v>1692</v>
      </c>
      <c r="J94" s="20" t="n">
        <v>1806</v>
      </c>
      <c r="K94" s="20" t="n">
        <v>1967</v>
      </c>
      <c r="L94" s="20" t="n">
        <v>2449</v>
      </c>
    </row>
    <row r="95">
      <c r="A95" s="18" t="inlineStr">
        <is>
          <t>기타</t>
        </is>
      </c>
      <c r="E95" s="20" t="n">
        <v>2836</v>
      </c>
      <c r="H95" s="20" t="n">
        <v>794</v>
      </c>
      <c r="I95" s="20" t="n">
        <v>745</v>
      </c>
      <c r="J95" s="20" t="n">
        <v>745</v>
      </c>
      <c r="K95" s="20" t="n">
        <v>861</v>
      </c>
      <c r="L95" s="20" t="n">
        <v>2836</v>
      </c>
    </row>
    <row r="96">
      <c r="A96" s="18" t="inlineStr">
        <is>
          <t>투자 및 기타자산</t>
        </is>
      </c>
      <c r="C96" s="20" t="n">
        <v>17841</v>
      </c>
      <c r="D96" s="20" t="n">
        <v>17774</v>
      </c>
      <c r="E96" s="20" t="n">
        <v>20194</v>
      </c>
      <c r="F96" s="20" t="n">
        <v>20239</v>
      </c>
      <c r="G96" s="20" t="n">
        <v>21054</v>
      </c>
      <c r="H96" s="20" t="n">
        <v>2541</v>
      </c>
      <c r="I96" s="20" t="n">
        <v>2456</v>
      </c>
      <c r="J96" s="20" t="n">
        <v>2575</v>
      </c>
      <c r="K96" s="20" t="n">
        <v>17908</v>
      </c>
      <c r="L96" s="20" t="n">
        <v>20194</v>
      </c>
    </row>
    <row r="97">
      <c r="A97" s="9" t="inlineStr">
        <is>
          <t>비유동자산 합계</t>
        </is>
      </c>
      <c r="C97" s="12" t="n">
        <v>49271</v>
      </c>
      <c r="D97" s="12" t="n">
        <v>49016</v>
      </c>
      <c r="E97" s="12" t="n">
        <v>154254</v>
      </c>
      <c r="F97" s="12" t="n">
        <v>154410</v>
      </c>
      <c r="G97" s="12" t="n">
        <v>154982</v>
      </c>
      <c r="H97" s="12" t="n">
        <v>36935</v>
      </c>
      <c r="I97" s="12" t="n">
        <v>31776</v>
      </c>
      <c r="J97" s="12" t="n">
        <v>33100</v>
      </c>
      <c r="K97" s="12" t="n">
        <v>49094</v>
      </c>
      <c r="L97" s="12" t="n">
        <v>154254</v>
      </c>
    </row>
    <row r="98">
      <c r="A98" s="9" t="inlineStr">
        <is>
          <t>자산 합계</t>
        </is>
      </c>
      <c r="C98" s="12" t="n">
        <v>229909</v>
      </c>
      <c r="D98" s="12" t="n">
        <v>228094</v>
      </c>
      <c r="E98" s="12" t="n">
        <v>323030</v>
      </c>
      <c r="F98" s="12" t="n">
        <v>324617</v>
      </c>
      <c r="G98" s="12" t="n">
        <v>332064</v>
      </c>
      <c r="H98" s="12" t="n">
        <v>200475</v>
      </c>
      <c r="I98" s="12" t="n">
        <v>189235</v>
      </c>
      <c r="J98" s="12" t="n">
        <v>203808</v>
      </c>
      <c r="K98" s="12" t="n">
        <v>222689</v>
      </c>
      <c r="L98" s="12" t="n">
        <v>323030</v>
      </c>
    </row>
    <row r="99">
      <c r="A99" s="18" t="inlineStr">
        <is>
          <t>지급어음·매입채무</t>
        </is>
      </c>
      <c r="C99" s="20" t="n">
        <v>2682</v>
      </c>
      <c r="D99" s="20" t="n">
        <v>1767</v>
      </c>
      <c r="E99" s="20" t="n">
        <v>4386</v>
      </c>
      <c r="F99" s="20" t="n">
        <v>1920</v>
      </c>
      <c r="G99" s="20" t="n">
        <v>4825</v>
      </c>
      <c r="H99" s="20" t="n">
        <v>11642</v>
      </c>
      <c r="I99" s="20" t="n">
        <v>824</v>
      </c>
      <c r="J99" s="20" t="n">
        <v>8884</v>
      </c>
      <c r="K99" s="20" t="n">
        <v>2336</v>
      </c>
      <c r="L99" s="20" t="n">
        <v>4386</v>
      </c>
    </row>
    <row r="100">
      <c r="A100" s="18" t="inlineStr">
        <is>
          <t>1년 내 상환 예정 사채</t>
        </is>
      </c>
      <c r="C100" s="20" t="n">
        <v>6500</v>
      </c>
      <c r="D100" s="20" t="n">
        <v>6500</v>
      </c>
      <c r="E100" s="20" t="n">
        <v>0</v>
      </c>
      <c r="H100" s="20" t="n">
        <v>0</v>
      </c>
      <c r="I100" s="20" t="n">
        <v>10000</v>
      </c>
      <c r="J100" s="20" t="n">
        <v>12000</v>
      </c>
      <c r="K100" s="20" t="n">
        <v>6500</v>
      </c>
      <c r="L100" s="20" t="n">
        <v>0</v>
      </c>
    </row>
    <row r="101">
      <c r="A101" s="18" t="inlineStr">
        <is>
          <t>1년 내 상환 장기차입금</t>
        </is>
      </c>
      <c r="C101" s="20" t="n">
        <v>4900</v>
      </c>
      <c r="D101" s="20" t="n">
        <v>4900</v>
      </c>
      <c r="E101" s="20" t="n">
        <v>100</v>
      </c>
      <c r="F101" s="20" t="n">
        <v>100</v>
      </c>
      <c r="G101" s="20" t="n">
        <v>75</v>
      </c>
      <c r="H101" s="20" t="n">
        <v>850</v>
      </c>
      <c r="I101" s="20" t="n">
        <v>550</v>
      </c>
      <c r="J101" s="20" t="n">
        <v>15000</v>
      </c>
      <c r="K101" s="20" t="n">
        <v>4900</v>
      </c>
      <c r="L101" s="20" t="n">
        <v>100</v>
      </c>
    </row>
    <row r="102">
      <c r="A102" s="18" t="inlineStr">
        <is>
          <t>미지급법인세</t>
        </is>
      </c>
      <c r="C102" s="20" t="n">
        <v>1637</v>
      </c>
      <c r="D102" s="20" t="n">
        <v>1031</v>
      </c>
      <c r="E102" s="20" t="n">
        <v>2071</v>
      </c>
      <c r="F102" s="20" t="n">
        <v>2632</v>
      </c>
      <c r="G102" s="20" t="n">
        <v>3258</v>
      </c>
      <c r="H102" s="20" t="n">
        <v>2899</v>
      </c>
      <c r="I102" s="20" t="n">
        <v>1659</v>
      </c>
      <c r="J102" s="20" t="n">
        <v>1912</v>
      </c>
      <c r="K102" s="20" t="n">
        <v>1406</v>
      </c>
      <c r="L102" s="20" t="n">
        <v>2071</v>
      </c>
    </row>
    <row r="103">
      <c r="A103" s="18" t="inlineStr">
        <is>
          <t>선수금</t>
        </is>
      </c>
      <c r="C103" s="20" t="n">
        <v>1286</v>
      </c>
      <c r="D103" s="20" t="n">
        <v>1335</v>
      </c>
      <c r="E103" s="20" t="n">
        <v>2247</v>
      </c>
      <c r="F103" s="20" t="n">
        <v>1622</v>
      </c>
      <c r="G103" s="20" t="n">
        <v>1854</v>
      </c>
      <c r="H103" s="20" t="n">
        <v>2598</v>
      </c>
      <c r="I103" s="20" t="n">
        <v>293</v>
      </c>
      <c r="J103" s="20" t="n">
        <v>571</v>
      </c>
      <c r="K103" s="20" t="n">
        <v>724</v>
      </c>
      <c r="L103" s="20" t="n">
        <v>2247</v>
      </c>
    </row>
    <row r="104">
      <c r="A104" s="18" t="inlineStr">
        <is>
          <t>상여충당금</t>
        </is>
      </c>
      <c r="C104" s="20" t="n">
        <v>68</v>
      </c>
      <c r="D104" s="20" t="n">
        <v>13</v>
      </c>
      <c r="E104" s="20" t="n">
        <v>73</v>
      </c>
      <c r="F104" s="20" t="n">
        <v>11</v>
      </c>
      <c r="G104" s="20" t="n">
        <v>74</v>
      </c>
      <c r="H104" s="20" t="n">
        <v>53</v>
      </c>
      <c r="I104" s="20" t="n">
        <v>51</v>
      </c>
      <c r="J104" s="20" t="n">
        <v>61</v>
      </c>
      <c r="K104" s="20" t="n">
        <v>69</v>
      </c>
      <c r="L104" s="20" t="n">
        <v>73</v>
      </c>
    </row>
    <row r="105">
      <c r="A105" s="18" t="inlineStr">
        <is>
          <t>기타</t>
        </is>
      </c>
      <c r="C105" s="20" t="n">
        <v>966</v>
      </c>
      <c r="D105" s="20" t="n">
        <v>1311</v>
      </c>
      <c r="E105" s="20" t="n">
        <v>1326</v>
      </c>
      <c r="F105" s="20" t="n">
        <v>1218</v>
      </c>
      <c r="G105" s="20" t="n">
        <v>1022</v>
      </c>
      <c r="H105" s="20" t="n">
        <v>728</v>
      </c>
      <c r="I105" s="20" t="n">
        <v>729</v>
      </c>
      <c r="J105" s="20" t="n">
        <v>3962</v>
      </c>
      <c r="K105" s="20" t="n">
        <v>1467</v>
      </c>
      <c r="L105" s="20" t="n">
        <v>1326</v>
      </c>
    </row>
    <row r="106">
      <c r="A106" s="9" t="inlineStr">
        <is>
          <t>유동부채 합계</t>
        </is>
      </c>
      <c r="C106" s="12" t="n">
        <v>18041</v>
      </c>
      <c r="D106" s="12" t="n">
        <v>16860</v>
      </c>
      <c r="E106" s="12" t="n">
        <v>10205</v>
      </c>
      <c r="F106" s="12" t="n">
        <v>7505</v>
      </c>
      <c r="G106" s="12" t="n">
        <v>11110</v>
      </c>
      <c r="H106" s="12" t="n">
        <v>18772</v>
      </c>
      <c r="I106" s="12" t="n">
        <v>14107</v>
      </c>
      <c r="J106" s="12" t="n">
        <v>42392</v>
      </c>
      <c r="K106" s="12" t="n">
        <v>17405</v>
      </c>
      <c r="L106" s="12" t="n">
        <v>10205</v>
      </c>
    </row>
    <row r="107">
      <c r="A107" s="18" t="inlineStr">
        <is>
          <t>사채</t>
        </is>
      </c>
      <c r="H107" s="20" t="n">
        <v>28500</v>
      </c>
      <c r="I107" s="20" t="n">
        <v>18500</v>
      </c>
      <c r="J107" s="20" t="n">
        <v>6500</v>
      </c>
      <c r="K107" s="20" t="n">
        <v>0</v>
      </c>
    </row>
    <row r="108">
      <c r="A108" s="18" t="inlineStr">
        <is>
          <t>장기차입금</t>
        </is>
      </c>
      <c r="C108" s="20" t="n">
        <v>69675</v>
      </c>
      <c r="D108" s="20" t="n">
        <v>69650</v>
      </c>
      <c r="E108" s="20" t="n">
        <v>168425</v>
      </c>
      <c r="F108" s="20" t="n">
        <v>168400</v>
      </c>
      <c r="G108" s="20" t="n">
        <v>171900</v>
      </c>
      <c r="H108" s="20" t="n">
        <v>19550</v>
      </c>
      <c r="I108" s="20" t="n">
        <v>19800</v>
      </c>
      <c r="J108" s="20" t="n">
        <v>16700</v>
      </c>
      <c r="K108" s="20" t="n">
        <v>64725</v>
      </c>
      <c r="L108" s="20" t="n">
        <v>168425</v>
      </c>
    </row>
    <row r="109">
      <c r="A109" s="18" t="inlineStr">
        <is>
          <t>이연법인세부채</t>
        </is>
      </c>
      <c r="C109" s="20" t="n">
        <v>4601</v>
      </c>
      <c r="D109" s="20" t="n">
        <v>4603</v>
      </c>
      <c r="E109" s="20" t="n">
        <v>4604</v>
      </c>
      <c r="F109" s="20" t="n">
        <v>4613</v>
      </c>
      <c r="G109" s="20" t="n">
        <v>4611</v>
      </c>
      <c r="H109" s="20" t="n">
        <v>4437</v>
      </c>
      <c r="I109" s="20" t="n">
        <v>4445</v>
      </c>
      <c r="J109" s="20" t="n">
        <v>4455</v>
      </c>
      <c r="K109" s="20" t="n">
        <v>4463</v>
      </c>
      <c r="L109" s="20" t="n">
        <v>4604</v>
      </c>
    </row>
    <row r="110">
      <c r="A110" s="18" t="inlineStr">
        <is>
          <t>임원 퇴직위로 충당금</t>
        </is>
      </c>
      <c r="C110" s="20" t="n">
        <v>1054</v>
      </c>
      <c r="D110" s="20" t="n">
        <v>1064</v>
      </c>
      <c r="E110" s="20" t="n">
        <v>1074</v>
      </c>
      <c r="F110" s="20" t="n">
        <v>1157</v>
      </c>
      <c r="G110" s="20" t="n">
        <v>1280</v>
      </c>
      <c r="H110" s="20" t="n">
        <v>757</v>
      </c>
      <c r="I110" s="20" t="n">
        <v>795</v>
      </c>
      <c r="J110" s="20" t="n">
        <v>989</v>
      </c>
      <c r="K110" s="20" t="n">
        <v>1035</v>
      </c>
      <c r="L110" s="20" t="n">
        <v>1074</v>
      </c>
    </row>
    <row r="111">
      <c r="A111" s="18" t="inlineStr">
        <is>
          <t>퇴직급여부채</t>
        </is>
      </c>
      <c r="C111" s="20" t="n">
        <v>253</v>
      </c>
      <c r="D111" s="20" t="n">
        <v>258</v>
      </c>
      <c r="E111" s="20" t="n">
        <v>265</v>
      </c>
      <c r="F111" s="20" t="n">
        <v>294</v>
      </c>
      <c r="G111" s="20" t="n">
        <v>296</v>
      </c>
      <c r="H111" s="20" t="n">
        <v>166</v>
      </c>
      <c r="I111" s="20" t="n">
        <v>172</v>
      </c>
      <c r="J111" s="20" t="n">
        <v>200</v>
      </c>
      <c r="K111" s="20" t="n">
        <v>235</v>
      </c>
      <c r="L111" s="20" t="n">
        <v>265</v>
      </c>
    </row>
    <row r="112">
      <c r="A112" s="18" t="inlineStr">
        <is>
          <t>기타</t>
        </is>
      </c>
      <c r="C112" s="20" t="n">
        <v>1025</v>
      </c>
      <c r="D112" s="20" t="n">
        <v>798</v>
      </c>
      <c r="E112" s="20" t="n">
        <v>2473</v>
      </c>
      <c r="F112" s="20" t="n">
        <v>2490</v>
      </c>
      <c r="G112" s="20" t="n">
        <v>2529</v>
      </c>
      <c r="H112" s="20" t="n">
        <v>1140</v>
      </c>
      <c r="I112" s="20" t="n">
        <v>977</v>
      </c>
      <c r="J112" s="20" t="n">
        <v>1155</v>
      </c>
      <c r="K112" s="20" t="n">
        <v>1053</v>
      </c>
      <c r="L112" s="20" t="n">
        <v>2473</v>
      </c>
    </row>
    <row r="113">
      <c r="A113" s="9" t="inlineStr">
        <is>
          <t>비유동부채 합계</t>
        </is>
      </c>
      <c r="C113" s="12" t="n">
        <v>76609</v>
      </c>
      <c r="D113" s="12" t="n">
        <v>76374</v>
      </c>
      <c r="E113" s="12" t="n">
        <v>176842</v>
      </c>
      <c r="F113" s="12" t="n">
        <v>176956</v>
      </c>
      <c r="G113" s="12" t="n">
        <v>180618</v>
      </c>
      <c r="H113" s="12" t="n">
        <v>54551</v>
      </c>
      <c r="I113" s="12" t="n">
        <v>44692</v>
      </c>
      <c r="J113" s="12" t="n">
        <v>30001</v>
      </c>
      <c r="K113" s="12" t="n">
        <v>71512</v>
      </c>
      <c r="L113" s="12" t="n">
        <v>176842</v>
      </c>
    </row>
    <row r="114">
      <c r="A114" s="9" t="inlineStr">
        <is>
          <t>부채 합계</t>
        </is>
      </c>
      <c r="C114" s="12" t="n">
        <v>94650</v>
      </c>
      <c r="D114" s="12" t="n">
        <v>93234</v>
      </c>
      <c r="E114" s="12" t="n">
        <v>187048</v>
      </c>
      <c r="F114" s="12" t="n">
        <v>184461</v>
      </c>
      <c r="G114" s="12" t="n">
        <v>191728</v>
      </c>
      <c r="H114" s="12" t="n">
        <v>73323</v>
      </c>
      <c r="I114" s="12" t="n">
        <v>58800</v>
      </c>
      <c r="J114" s="12" t="n">
        <v>72394</v>
      </c>
      <c r="K114" s="12" t="n">
        <v>88918</v>
      </c>
      <c r="L114" s="12" t="n">
        <v>187048</v>
      </c>
    </row>
    <row r="115">
      <c r="A115" s="18" t="inlineStr">
        <is>
          <t>자본금</t>
        </is>
      </c>
      <c r="C115" s="20" t="n">
        <v>12499</v>
      </c>
      <c r="D115" s="20" t="n">
        <v>12499</v>
      </c>
      <c r="E115" s="20" t="n">
        <v>12499</v>
      </c>
      <c r="F115" s="20" t="n">
        <v>12499</v>
      </c>
      <c r="G115" s="20" t="n">
        <v>12499</v>
      </c>
      <c r="H115" s="20" t="n">
        <v>12499</v>
      </c>
      <c r="I115" s="20" t="n">
        <v>12499</v>
      </c>
      <c r="J115" s="20" t="n">
        <v>12499</v>
      </c>
      <c r="K115" s="20" t="n">
        <v>12499</v>
      </c>
      <c r="L115" s="20" t="n">
        <v>12499</v>
      </c>
    </row>
    <row r="116">
      <c r="A116" s="18" t="inlineStr">
        <is>
          <t>자본잉여금</t>
        </is>
      </c>
      <c r="C116" s="20" t="n">
        <v>12372</v>
      </c>
      <c r="D116" s="20" t="n">
        <v>12372</v>
      </c>
      <c r="E116" s="20" t="n">
        <v>12372</v>
      </c>
      <c r="F116" s="20" t="n">
        <v>12372</v>
      </c>
      <c r="G116" s="20" t="n">
        <v>12372</v>
      </c>
      <c r="H116" s="20" t="n">
        <v>12372</v>
      </c>
      <c r="I116" s="20" t="n">
        <v>12372</v>
      </c>
      <c r="J116" s="20" t="n">
        <v>12372</v>
      </c>
      <c r="K116" s="20" t="n">
        <v>12372</v>
      </c>
      <c r="L116" s="20" t="n">
        <v>12372</v>
      </c>
    </row>
    <row r="117">
      <c r="A117" s="18" t="inlineStr">
        <is>
          <t>이익잉여금</t>
        </is>
      </c>
      <c r="C117" s="20" t="n">
        <v>114934</v>
      </c>
      <c r="D117" s="20" t="n">
        <v>114534</v>
      </c>
      <c r="E117" s="20" t="n">
        <v>115657</v>
      </c>
      <c r="F117" s="20" t="n">
        <v>119819</v>
      </c>
      <c r="G117" s="20" t="n">
        <v>120000</v>
      </c>
      <c r="H117" s="20" t="n">
        <v>105824</v>
      </c>
      <c r="I117" s="20" t="n">
        <v>110002</v>
      </c>
      <c r="J117" s="20" t="n">
        <v>111094</v>
      </c>
      <c r="K117" s="20" t="n">
        <v>113450</v>
      </c>
      <c r="L117" s="20" t="n">
        <v>115657</v>
      </c>
    </row>
    <row r="118">
      <c r="A118" s="18" t="inlineStr">
        <is>
          <t>자기주식</t>
        </is>
      </c>
      <c r="C118" s="20" t="n">
        <v>-4543</v>
      </c>
      <c r="D118" s="20" t="n">
        <v>-4543</v>
      </c>
      <c r="E118" s="20" t="n">
        <v>-4543</v>
      </c>
      <c r="F118" s="20" t="n">
        <v>-4543</v>
      </c>
      <c r="G118" s="20" t="n">
        <v>-4543</v>
      </c>
      <c r="H118" s="20" t="n">
        <v>-3535</v>
      </c>
      <c r="I118" s="20" t="n">
        <v>-4426</v>
      </c>
      <c r="J118" s="20" t="n">
        <v>-4543</v>
      </c>
      <c r="K118" s="20" t="n">
        <v>-4543</v>
      </c>
      <c r="L118" s="20" t="n">
        <v>-4543</v>
      </c>
    </row>
    <row r="119">
      <c r="A119" s="9" t="inlineStr">
        <is>
          <t>주주자본 합계</t>
        </is>
      </c>
      <c r="C119" s="12" t="n">
        <v>135261</v>
      </c>
      <c r="D119" s="12" t="n">
        <v>134862</v>
      </c>
      <c r="E119" s="12" t="n">
        <v>135984</v>
      </c>
      <c r="F119" s="12" t="n">
        <v>140147</v>
      </c>
      <c r="G119" s="12" t="n">
        <v>140327</v>
      </c>
      <c r="H119" s="12" t="n">
        <v>127159</v>
      </c>
      <c r="I119" s="12" t="n">
        <v>130446</v>
      </c>
      <c r="J119" s="12" t="n">
        <v>131421</v>
      </c>
      <c r="K119" s="12" t="n">
        <v>133777</v>
      </c>
      <c r="L119" s="12" t="n">
        <v>135984</v>
      </c>
    </row>
    <row r="120">
      <c r="A120" s="18" t="inlineStr">
        <is>
          <t>기타유가증권 평가차액</t>
        </is>
      </c>
      <c r="C120" s="20" t="n">
        <v>-2</v>
      </c>
      <c r="D120" s="20" t="n">
        <v>-2</v>
      </c>
      <c r="E120" s="20" t="n">
        <v>-2</v>
      </c>
      <c r="F120" s="20" t="n">
        <v>8</v>
      </c>
      <c r="G120" s="20" t="n">
        <v>7</v>
      </c>
      <c r="H120" s="20" t="n">
        <v>-8</v>
      </c>
      <c r="I120" s="20" t="n">
        <v>-11</v>
      </c>
      <c r="J120" s="20" t="n">
        <v>-8</v>
      </c>
      <c r="K120" s="20" t="n">
        <v>-6</v>
      </c>
      <c r="L120" s="20" t="n">
        <v>-2</v>
      </c>
    </row>
    <row r="121">
      <c r="A121" s="18" t="inlineStr">
        <is>
          <t>기타포괄손익누계액 합계</t>
        </is>
      </c>
      <c r="C121" s="20" t="n">
        <v>-2</v>
      </c>
      <c r="D121" s="20" t="n">
        <v>-2</v>
      </c>
      <c r="E121" s="20" t="n">
        <v>-2</v>
      </c>
      <c r="F121" s="20" t="n">
        <v>8</v>
      </c>
      <c r="G121" s="20" t="n">
        <v>7</v>
      </c>
      <c r="H121" s="20" t="n">
        <v>-8</v>
      </c>
      <c r="I121" s="20" t="n">
        <v>-11</v>
      </c>
      <c r="J121" s="20" t="n">
        <v>-8</v>
      </c>
      <c r="K121" s="20" t="n">
        <v>-6</v>
      </c>
      <c r="L121" s="20" t="n">
        <v>-2</v>
      </c>
    </row>
    <row r="122">
      <c r="A122" s="9" t="inlineStr">
        <is>
          <t>순자산 합계</t>
        </is>
      </c>
      <c r="C122" s="12" t="n">
        <v>135259</v>
      </c>
      <c r="D122" s="12" t="n">
        <v>134860</v>
      </c>
      <c r="E122" s="12" t="n">
        <v>135982</v>
      </c>
      <c r="F122" s="12" t="n">
        <v>140155</v>
      </c>
      <c r="G122" s="12" t="n">
        <v>140335</v>
      </c>
      <c r="H122" s="12" t="n">
        <v>127151</v>
      </c>
      <c r="I122" s="12" t="n">
        <v>130435</v>
      </c>
      <c r="J122" s="12" t="n">
        <v>131413</v>
      </c>
      <c r="K122" s="12" t="n">
        <v>133771</v>
      </c>
      <c r="L122" s="12" t="n">
        <v>135982</v>
      </c>
    </row>
    <row r="123">
      <c r="A123" s="9" t="inlineStr">
        <is>
          <t>부채·순자산 합계</t>
        </is>
      </c>
      <c r="C123" s="12" t="n">
        <v>229909</v>
      </c>
      <c r="D123" s="12" t="n">
        <v>228094</v>
      </c>
      <c r="E123" s="12" t="n">
        <v>323030</v>
      </c>
      <c r="F123" s="12" t="n">
        <v>324617</v>
      </c>
      <c r="G123" s="12" t="n">
        <v>332064</v>
      </c>
      <c r="H123" s="12" t="n">
        <v>200475</v>
      </c>
      <c r="I123" s="12" t="n">
        <v>189235</v>
      </c>
      <c r="J123" s="12" t="n">
        <v>203808</v>
      </c>
      <c r="K123" s="12" t="n">
        <v>222689</v>
      </c>
      <c r="L123" s="12" t="n">
        <v>323030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2026-10-28</t>
        </is>
      </c>
      <c r="B4" t="inlineStr">
        <is>
          <t>2027년 3월 결산기 2분기 결산단신</t>
        </is>
      </c>
      <c r="C4" t="inlineStr">
        <is>
          <t>https://www2.jpx.co.jp/disc/88710/140120261020553379.pdf</t>
        </is>
      </c>
    </row>
    <row r="5">
      <c r="A5" t="inlineStr">
        <is>
          <t>2026-07-31</t>
        </is>
      </c>
      <c r="B5" t="inlineStr">
        <is>
          <t>2027년 3월 결산기 1분기 결산단신</t>
        </is>
      </c>
      <c r="C5" t="inlineStr">
        <is>
          <t>https://www2.jpx.co.jp/disc/88710/140120260722597243.pdf</t>
        </is>
      </c>
    </row>
    <row r="6">
      <c r="A6" t="inlineStr">
        <is>
          <t>2026-05-14</t>
        </is>
      </c>
      <c r="B6" t="inlineStr">
        <is>
          <t>2026년 3월 결산기 연간 결산단신</t>
        </is>
      </c>
      <c r="C6" t="inlineStr">
        <is>
          <t>https://www2.jpx.co.jp/disc/88710/140120260424509405.pdf</t>
        </is>
      </c>
    </row>
    <row r="7">
      <c r="A7" t="inlineStr">
        <is>
          <t>2026-01-30</t>
        </is>
      </c>
      <c r="B7" t="inlineStr">
        <is>
          <t>2026년 3월 결산기 3분기 결산단신</t>
        </is>
      </c>
      <c r="C7" t="inlineStr">
        <is>
          <t>https://www2.jpx.co.jp/disc/88710/140120260122537353.pdf</t>
        </is>
      </c>
    </row>
    <row r="8">
      <c r="A8" t="inlineStr">
        <is>
          <t>2025-10-31</t>
        </is>
      </c>
      <c r="B8" t="inlineStr">
        <is>
          <t>2026년 3월 결산기 2분기 결산단신</t>
        </is>
      </c>
      <c r="C8" t="inlineStr">
        <is>
          <t>https://www2.jpx.co.jp/disc/88710/140120251024578880.pdf</t>
        </is>
      </c>
    </row>
    <row r="9">
      <c r="A9" t="inlineStr">
        <is>
          <t>2025-07-28</t>
        </is>
      </c>
      <c r="B9" t="inlineStr">
        <is>
          <t>2026년 3월 결산기 1분기 결산단신</t>
        </is>
      </c>
      <c r="C9" t="inlineStr">
        <is>
          <t>https://www2.jpx.co.jp/disc/88710/140120250718517252.pdf</t>
        </is>
      </c>
    </row>
    <row r="10">
      <c r="A10" t="inlineStr">
        <is>
          <t>2025-05-14</t>
        </is>
      </c>
      <c r="B10" t="inlineStr">
        <is>
          <t>2025년 3월 결산기 연간 결산단신</t>
        </is>
      </c>
      <c r="C10" t="inlineStr">
        <is>
          <t>https://www2.jpx.co.jp/disc/88710/140120250425524827.pdf</t>
        </is>
      </c>
    </row>
    <row r="11">
      <c r="A11" t="inlineStr">
        <is>
          <t>2025-01-31</t>
        </is>
      </c>
      <c r="B11" t="inlineStr">
        <is>
          <t>2025년 3월 결산기 3분기 결산단신</t>
        </is>
      </c>
      <c r="C11" t="inlineStr">
        <is>
          <t>https://www2.jpx.co.jp/disc/88710/140120250124554541.pdf</t>
        </is>
      </c>
    </row>
    <row r="12">
      <c r="A12" t="inlineStr">
        <is>
          <t>2024-10-31</t>
        </is>
      </c>
      <c r="B12" t="inlineStr">
        <is>
          <t>2025년 3월 결산기 2분기 결산단신</t>
        </is>
      </c>
      <c r="C12" t="inlineStr">
        <is>
          <t>https://www2.jpx.co.jp/disc/88710/140120241017599309.pdf</t>
        </is>
      </c>
    </row>
    <row r="13">
      <c r="A13" t="inlineStr">
        <is>
          <t>2024-07-31</t>
        </is>
      </c>
      <c r="B13" t="inlineStr">
        <is>
          <t>2025년 3월 결산기 1분기 결산단신</t>
        </is>
      </c>
      <c r="C13" t="inlineStr">
        <is>
          <t>https://www2.jpx.co.jp/disc/88710/140120240722552596.pdf</t>
        </is>
      </c>
    </row>
    <row r="14">
      <c r="A14" t="inlineStr">
        <is>
          <t>2024-05-09</t>
        </is>
      </c>
      <c r="B14" t="inlineStr">
        <is>
          <t>2024년 3월 결산기 연간 결산단신</t>
        </is>
      </c>
      <c r="C14" t="inlineStr">
        <is>
          <t>https://www2.jpx.co.jp/disc/88710/140120240423574845.pdf</t>
        </is>
      </c>
    </row>
    <row r="15">
      <c r="A15" t="inlineStr">
        <is>
          <t>2024-01-25</t>
        </is>
      </c>
      <c r="B15" t="inlineStr">
        <is>
          <t>2024년 3월 결산기 3분기 결산단신</t>
        </is>
      </c>
      <c r="C15" t="inlineStr">
        <is>
          <t>https://www2.jpx.co.jp/disc/88710/140120240118516674.pdf</t>
        </is>
      </c>
    </row>
    <row r="16">
      <c r="A16" t="inlineStr">
        <is>
          <t>2023-10-26</t>
        </is>
      </c>
      <c r="B16" t="inlineStr">
        <is>
          <t>2024년 3월 결산기 2분기 결산단신</t>
        </is>
      </c>
      <c r="C16" t="inlineStr">
        <is>
          <t>https://www2.jpx.co.jp/disc/88710/140120231023570153.pdf</t>
        </is>
      </c>
    </row>
    <row r="17">
      <c r="A17" t="inlineStr">
        <is>
          <t>2023-07-27</t>
        </is>
      </c>
      <c r="B17" t="inlineStr">
        <is>
          <t>2024년 3월 결산기 1분기 결산단신</t>
        </is>
      </c>
      <c r="C17" t="inlineStr">
        <is>
          <t>https://www2.jpx.co.jp/disc/88710/140120230719524249.pdf</t>
        </is>
      </c>
    </row>
    <row r="18">
      <c r="A18" t="inlineStr">
        <is>
          <t>2023-05-11</t>
        </is>
      </c>
      <c r="B18" t="inlineStr">
        <is>
          <t>2023년 3월 결산기 연간 결산단신</t>
        </is>
      </c>
      <c r="C18" t="inlineStr">
        <is>
          <t>https://www2.jpx.co.jp/disc/88710/140120230421550748.pdf</t>
        </is>
      </c>
    </row>
    <row r="19">
      <c r="A19" t="inlineStr">
        <is>
          <t>2023-01-26</t>
        </is>
      </c>
      <c r="B19" t="inlineStr">
        <is>
          <t>2023년 3월 결산기 3분기 결산단신</t>
        </is>
      </c>
      <c r="C19" t="inlineStr">
        <is>
          <t>https://www2.jpx.co.jp/disc/88710/140120230118590891.pdf</t>
        </is>
      </c>
    </row>
    <row r="20">
      <c r="A20" t="inlineStr">
        <is>
          <t>2022-05-12</t>
        </is>
      </c>
      <c r="B20" t="inlineStr">
        <is>
          <t>2022년 3월 결산기 연간 결산단신</t>
        </is>
      </c>
      <c r="C20" t="inlineStr">
        <is>
          <t>https://www2.jpx.co.jp/disc/88710/140120220422525716.pdf</t>
        </is>
      </c>
    </row>
    <row r="21">
      <c r="A21" t="inlineStr">
        <is>
          <t>2021-05-13</t>
        </is>
      </c>
      <c r="B21" t="inlineStr">
        <is>
          <t>2021년 3월 결산기 연간 결산단신</t>
        </is>
      </c>
      <c r="C21" t="inlineStr">
        <is>
          <t>https://www2.jpx.co.jp/disc/88710/140120210422498363.pdf</t>
        </is>
      </c>
    </row>
    <row r="22">
      <c r="A22" t="inlineStr">
        <is>
          <t>2020-05-14</t>
        </is>
      </c>
      <c r="B22" t="inlineStr">
        <is>
          <t>2020년 3월 결산기 연간 결산단신</t>
        </is>
      </c>
      <c r="C22" t="inlineStr">
        <is>
          <t>https://www2.jpx.co.jp/disc/88710/140120200421497039.pdf</t>
        </is>
      </c>
    </row>
    <row r="23">
      <c r="A23" t="inlineStr">
        <is>
          <t>2019-05-09</t>
        </is>
      </c>
      <c r="B23" t="inlineStr">
        <is>
          <t>2019년 3월 결산기 연간 결산단신</t>
        </is>
      </c>
      <c r="C23" t="inlineStr">
        <is>
          <t>https://www2.jpx.co.jp/disc/88710/140120190429413835.pdf</t>
        </is>
      </c>
    </row>
    <row r="24">
      <c r="A24" t="inlineStr">
        <is>
          <t>2018-05-09</t>
        </is>
      </c>
      <c r="B24" t="inlineStr">
        <is>
          <t>연간 결산단신</t>
        </is>
      </c>
      <c r="C24" t="inlineStr">
        <is>
          <t>https://www2.jpx.co.jp/disc/88710/140120180501425443.pdf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2026-10-28T07:00:39Z</dcterms:created>
  <dcterms:modified xmlns:dcterms="http://purl.org/dc/terms/" xmlns:xsi="http://www.w3.org/2001/XMLSchema-instance" xsi:type="dcterms:W3CDTF">2026-10-28T07:00:39Z</dcterms:modified>
</cp:coreProperties>
</file>