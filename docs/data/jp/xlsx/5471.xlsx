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6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5471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145349</v>
      </c>
      <c r="D4" s="12" t="n">
        <v>151534</v>
      </c>
      <c r="E4" s="12" t="n">
        <v>139795</v>
      </c>
      <c r="F4" s="12" t="n">
        <v>142094</v>
      </c>
      <c r="G4" s="12" t="n">
        <v>141345</v>
      </c>
      <c r="H4" s="12" t="n">
        <v>150522</v>
      </c>
      <c r="I4" s="12" t="n">
        <v>140984</v>
      </c>
      <c r="J4" s="12" t="n">
        <v>142352</v>
      </c>
      <c r="K4" s="12" t="n">
        <v>142147</v>
      </c>
      <c r="L4" s="12" t="n">
        <v>145731</v>
      </c>
      <c r="M4" s="12" t="n">
        <v>147899</v>
      </c>
      <c r="N4" s="12" t="n">
        <v>163530</v>
      </c>
      <c r="O4" s="11" t="n"/>
      <c r="P4" s="12" t="n">
        <v>505219</v>
      </c>
      <c r="Q4" s="12" t="n">
        <v>543255</v>
      </c>
      <c r="R4" s="12" t="n">
        <v>490421</v>
      </c>
      <c r="S4" s="12" t="n">
        <v>412722</v>
      </c>
      <c r="T4" s="12" t="n">
        <v>529667</v>
      </c>
      <c r="U4" s="12" t="n">
        <v>579013</v>
      </c>
      <c r="V4" s="12" t="n">
        <v>578564</v>
      </c>
      <c r="W4" s="12" t="n">
        <v>574945</v>
      </c>
      <c r="X4" s="12" t="n">
        <v>578129</v>
      </c>
      <c r="Y4" s="11">
        <f>IF(COUNT(Y7,Y10,Y13,Y16,Y19,Y22,Y25,Y28,Y31,Y34)=0,"",SUM(Y7,Y10,Y13,Y16,Y19,Y22,Y25,Y28,Y31,Y34))</f>
        <v/>
      </c>
      <c r="Z4" s="12">
        <f>IF(COUNT(Z7,Z10,Z13,Z16,Z19,Z22,Z25,Z28,Z31,Z34)=0,"",SUM(Z7,Z10,Z13,Z16,Z19,Z22,Z25,Z28,Z31,Z34))</f>
        <v/>
      </c>
      <c r="AA4" s="12">
        <f>IF(COUNT(AA7,AA10,AA13,AA16,AA19,AA22,AA25,AA28,AA31,AA34)=0,"",SUM(AA7,AA10,AA13,AA16,AA19,AA22,AA25,AA28,AA31,AA34))</f>
        <v/>
      </c>
      <c r="AB4" s="12">
        <f>IF(COUNT(AB7,AB10,AB13,AB16,AB19,AB22,AB25,AB28,AB31,AB34)=0,"",SUM(AB7,AB10,AB13,AB16,AB19,AB22,AB25,AB28,AB31,AB34))</f>
        <v/>
      </c>
      <c r="AC4" s="12">
        <f>IF(COUNT(AC7,AC10,AC13,AC16,AC19,AC22,AC25,AC28,AC31,AC34)=0,"",SUM(AC7,AC10,AC13,AC16,AC19,AC22,AC25,AC28,AC31,AC34))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Specialty Steel</t>
        </is>
      </c>
      <c r="B7" s="10" t="n"/>
      <c r="C7" s="19" t="n">
        <v>53405</v>
      </c>
      <c r="D7" s="20" t="n">
        <v>58872</v>
      </c>
      <c r="E7" s="20" t="n"/>
      <c r="F7" s="20" t="n">
        <v>53427</v>
      </c>
      <c r="G7" s="20" t="n">
        <v>52051</v>
      </c>
      <c r="H7" s="20" t="n">
        <v>54945</v>
      </c>
      <c r="I7" s="20" t="n"/>
      <c r="J7" s="20" t="n">
        <v>51216</v>
      </c>
      <c r="K7" s="20" t="n">
        <v>48763</v>
      </c>
      <c r="L7" s="20" t="n">
        <v>53043</v>
      </c>
      <c r="M7" s="20" t="n"/>
      <c r="N7" s="20" t="n">
        <v>59403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Functional Material And Magnetic Material</t>
        </is>
      </c>
      <c r="B10" s="10" t="n"/>
      <c r="C10" s="19" t="n">
        <v>51177</v>
      </c>
      <c r="D10" s="20" t="n">
        <v>50741</v>
      </c>
      <c r="E10" s="20" t="n"/>
      <c r="F10" s="20" t="n">
        <v>49694</v>
      </c>
      <c r="G10" s="20" t="n">
        <v>50422</v>
      </c>
      <c r="H10" s="20" t="n">
        <v>52968</v>
      </c>
      <c r="I10" s="20" t="n"/>
      <c r="J10" s="20" t="n">
        <v>48302</v>
      </c>
      <c r="K10" s="20" t="n">
        <v>48492</v>
      </c>
      <c r="L10" s="20" t="n">
        <v>51128</v>
      </c>
      <c r="M10" s="20" t="n"/>
      <c r="N10" s="20" t="n">
        <v>58043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Automobile Parts And Industrial Machine Parts</t>
        </is>
      </c>
      <c r="B13" s="10" t="n"/>
      <c r="C13" s="19" t="n">
        <v>26956</v>
      </c>
      <c r="D13" s="20" t="n">
        <v>27560</v>
      </c>
      <c r="E13" s="20" t="n"/>
      <c r="F13" s="20" t="n">
        <v>27196</v>
      </c>
      <c r="G13" s="20" t="n">
        <v>26538</v>
      </c>
      <c r="H13" s="20" t="n">
        <v>30015</v>
      </c>
      <c r="I13" s="20" t="n"/>
      <c r="J13" s="20" t="n">
        <v>29299</v>
      </c>
      <c r="K13" s="20" t="n">
        <v>29867</v>
      </c>
      <c r="L13" s="20" t="n">
        <v>29808</v>
      </c>
      <c r="M13" s="20" t="n"/>
      <c r="N13" s="20" t="n">
        <v>31640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Engineering</t>
        </is>
      </c>
      <c r="B16" s="10" t="n"/>
      <c r="C16" s="19" t="n">
        <v>5987</v>
      </c>
      <c r="D16" s="20" t="n">
        <v>6097</v>
      </c>
      <c r="E16" s="20" t="n"/>
      <c r="F16" s="20" t="n">
        <v>4616</v>
      </c>
      <c r="G16" s="20" t="n">
        <v>5971</v>
      </c>
      <c r="H16" s="20" t="n">
        <v>5686</v>
      </c>
      <c r="I16" s="20" t="n"/>
      <c r="J16" s="20" t="n">
        <v>6815</v>
      </c>
      <c r="K16" s="20" t="n">
        <v>7442</v>
      </c>
      <c r="L16" s="20" t="n">
        <v>6006</v>
      </c>
      <c r="M16" s="20" t="n"/>
      <c r="N16" s="20" t="n">
        <v>7254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Logistics And Service</t>
        </is>
      </c>
      <c r="B19" s="10" t="n"/>
      <c r="C19" s="19" t="n">
        <v>7824</v>
      </c>
      <c r="D19" s="20" t="n">
        <v>8264</v>
      </c>
      <c r="E19" s="20" t="n"/>
      <c r="F19" s="20" t="n">
        <v>7159</v>
      </c>
      <c r="G19" s="20" t="n">
        <v>6363</v>
      </c>
      <c r="H19" s="20" t="n">
        <v>6908</v>
      </c>
      <c r="I19" s="20" t="n"/>
      <c r="J19" s="20" t="n">
        <v>6719</v>
      </c>
      <c r="K19" s="20" t="n">
        <v>7581</v>
      </c>
      <c r="L19" s="20" t="n">
        <v>5746</v>
      </c>
      <c r="M19" s="20" t="n"/>
      <c r="N19" s="20" t="n">
        <v>7188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Specialty Steel Reportable Segments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>
        <v>218743</v>
      </c>
      <c r="W22" s="20" t="n">
        <v>210162</v>
      </c>
      <c r="X22" s="20" t="n">
        <v>207781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Functional Material And Magnetic Material Reportable Segments</t>
        </is>
      </c>
      <c r="B25" s="10" t="n"/>
      <c r="C25" s="19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>
        <v>202384</v>
      </c>
      <c r="W25" s="20" t="n">
        <v>200863</v>
      </c>
      <c r="X25" s="20" t="n">
        <v>199753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8" t="inlineStr">
        <is>
          <t>Automobile Parts And Industrial Machine Parts Reportable Segments</t>
        </is>
      </c>
      <c r="B28" s="10" t="n"/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>
        <v>104996</v>
      </c>
      <c r="W28" s="20" t="n">
        <v>113031</v>
      </c>
      <c r="X28" s="20" t="n">
        <v>117937</v>
      </c>
      <c r="Y28" s="21" t="n"/>
      <c r="Z28" s="22" t="n"/>
      <c r="AA28" s="22" t="n"/>
      <c r="AB28" s="22" t="n"/>
      <c r="AC28" s="22" t="n"/>
    </row>
    <row r="29">
      <c r="A29" s="13" t="inlineStr">
        <is>
          <t>비중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8" t="inlineStr">
        <is>
          <t>Engineering Reportable Segments</t>
        </is>
      </c>
      <c r="B31" s="10" t="n"/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>
        <v>23091</v>
      </c>
      <c r="W31" s="20" t="n">
        <v>24067</v>
      </c>
      <c r="X31" s="20" t="n">
        <v>26625</v>
      </c>
      <c r="Y31" s="21" t="n"/>
      <c r="Z31" s="22" t="n"/>
      <c r="AA31" s="22" t="n"/>
      <c r="AB31" s="22" t="n"/>
      <c r="AC31" s="22" t="n"/>
    </row>
    <row r="32">
      <c r="A32" s="13" t="inlineStr">
        <is>
          <t>비중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8" t="inlineStr">
        <is>
          <t>Logistics And Service Reportable Segments</t>
        </is>
      </c>
      <c r="B34" s="10" t="n"/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>
        <v>29347</v>
      </c>
      <c r="W34" s="20" t="n">
        <v>26820</v>
      </c>
      <c r="X34" s="20" t="n">
        <v>26031</v>
      </c>
      <c r="Y34" s="21" t="n"/>
      <c r="Z34" s="22" t="n"/>
      <c r="AA34" s="22" t="n"/>
      <c r="AB34" s="22" t="n"/>
      <c r="AC34" s="22" t="n"/>
    </row>
    <row r="35">
      <c r="A35" s="13" t="inlineStr">
        <is>
          <t>비중</t>
        </is>
      </c>
      <c r="B35" s="10" t="n"/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>
        <f>IF(OR(Y34="",Y4=""),"",IFERROR(Y34/Y4,""))</f>
        <v/>
      </c>
      <c r="Z35" s="15">
        <f>IF(OR(Z34="",Z4=""),"",IFERROR(Z34/Z4,""))</f>
        <v/>
      </c>
      <c r="AA35" s="15">
        <f>IF(OR(AA34="",AA4=""),"",IFERROR(AA34/AA4,""))</f>
        <v/>
      </c>
      <c r="AB35" s="15">
        <f>IF(OR(AB34="",AB4=""),"",IFERROR(AB34/AB4,""))</f>
        <v/>
      </c>
      <c r="AC35" s="15">
        <f>IF(OR(AC34="",AC4=""),"",IFERROR(AC34/AC4,""))</f>
        <v/>
      </c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매출원가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전체 매출원가</t>
        </is>
      </c>
      <c r="B38" s="10" t="n"/>
      <c r="C38" s="19" t="n">
        <v>119857</v>
      </c>
      <c r="D38" s="20" t="n">
        <v>122472</v>
      </c>
      <c r="E38" s="20" t="n">
        <v>118684</v>
      </c>
      <c r="F38" s="20" t="n">
        <v>115949</v>
      </c>
      <c r="G38" s="20" t="n">
        <v>115633</v>
      </c>
      <c r="H38" s="20" t="n">
        <v>120482</v>
      </c>
      <c r="I38" s="20" t="n">
        <v>118693</v>
      </c>
      <c r="J38" s="20" t="n">
        <v>117664</v>
      </c>
      <c r="K38" s="20" t="n">
        <v>116683</v>
      </c>
      <c r="L38" s="20" t="n">
        <v>117742</v>
      </c>
      <c r="M38" s="20" t="n">
        <v>124739</v>
      </c>
      <c r="N38" s="20" t="n">
        <v>134320</v>
      </c>
      <c r="O38" s="19" t="n"/>
      <c r="P38" s="20" t="n">
        <v>412712</v>
      </c>
      <c r="Q38" s="20" t="n">
        <v>451755</v>
      </c>
      <c r="R38" s="20" t="n">
        <v>409382</v>
      </c>
      <c r="S38" s="20" t="n">
        <v>351526</v>
      </c>
      <c r="T38" s="20" t="n">
        <v>437556</v>
      </c>
      <c r="U38" s="20" t="n">
        <v>476064</v>
      </c>
      <c r="V38" s="20" t="n">
        <v>480618</v>
      </c>
      <c r="W38" s="20" t="n">
        <v>470757</v>
      </c>
      <c r="X38" s="20" t="n">
        <v>476828</v>
      </c>
      <c r="Y38" s="19" t="n"/>
      <c r="Z38" s="20" t="n"/>
      <c r="AA38" s="20" t="n"/>
      <c r="AB38" s="20" t="n"/>
      <c r="AC38" s="20" t="n"/>
    </row>
    <row r="39">
      <c r="A39" s="18" t="inlineStr">
        <is>
          <t>매출총이익</t>
        </is>
      </c>
      <c r="B39" s="10" t="n"/>
      <c r="C39" s="19">
        <f>IF(OR(C4="",C38=""),"",IFERROR(C4-C38,""))</f>
        <v/>
      </c>
      <c r="D39" s="20">
        <f>IF(OR(D4="",D38=""),"",IFERROR(D4-D38,""))</f>
        <v/>
      </c>
      <c r="E39" s="20">
        <f>IF(OR(E4="",E38=""),"",IFERROR(E4-E38,""))</f>
        <v/>
      </c>
      <c r="F39" s="20">
        <f>IF(OR(F4="",F38=""),"",IFERROR(F4-F38,""))</f>
        <v/>
      </c>
      <c r="G39" s="20">
        <f>IF(OR(G4="",G38=""),"",IFERROR(G4-G38,""))</f>
        <v/>
      </c>
      <c r="H39" s="20">
        <f>IF(OR(H4="",H38=""),"",IFERROR(H4-H38,""))</f>
        <v/>
      </c>
      <c r="I39" s="20">
        <f>IF(OR(I4="",I38=""),"",IFERROR(I4-I38,""))</f>
        <v/>
      </c>
      <c r="J39" s="20">
        <f>IF(OR(J4="",J38=""),"",IFERROR(J4-J38,""))</f>
        <v/>
      </c>
      <c r="K39" s="20">
        <f>IF(OR(K4="",K38=""),"",IFERROR(K4-K38,""))</f>
        <v/>
      </c>
      <c r="L39" s="20">
        <f>IF(OR(L4="",L38=""),"",IFERROR(L4-L38,""))</f>
        <v/>
      </c>
      <c r="M39" s="20">
        <f>IF(OR(M4="",M38=""),"",IFERROR(M4-M38,""))</f>
        <v/>
      </c>
      <c r="N39" s="20">
        <f>IF(OR(N4="",N38=""),"",IFERROR(N4-N38,""))</f>
        <v/>
      </c>
      <c r="O39" s="19">
        <f>IF(OR(O4="",O38=""),"",IFERROR(O4-O38,""))</f>
        <v/>
      </c>
      <c r="P39" s="20">
        <f>IF(OR(P4="",P38=""),"",IFERROR(P4-P38,""))</f>
        <v/>
      </c>
      <c r="Q39" s="20">
        <f>IF(OR(Q4="",Q38=""),"",IFERROR(Q4-Q38,""))</f>
        <v/>
      </c>
      <c r="R39" s="20">
        <f>IF(OR(R4="",R38=""),"",IFERROR(R4-R38,""))</f>
        <v/>
      </c>
      <c r="S39" s="20">
        <f>IF(OR(S4="",S38=""),"",IFERROR(S4-S38,""))</f>
        <v/>
      </c>
      <c r="T39" s="20">
        <f>IF(OR(T4="",T38=""),"",IFERROR(T4-T38,""))</f>
        <v/>
      </c>
      <c r="U39" s="20">
        <f>IF(OR(U4="",U38=""),"",IFERROR(U4-U38,""))</f>
        <v/>
      </c>
      <c r="V39" s="20">
        <f>IF(OR(V4="",V38=""),"",IFERROR(V4-V38,""))</f>
        <v/>
      </c>
      <c r="W39" s="20">
        <f>IF(OR(W4="",W38=""),"",IFERROR(W4-W38,""))</f>
        <v/>
      </c>
      <c r="X39" s="20">
        <f>IF(OR(X4="",X38=""),"",IFERROR(X4-X38,""))</f>
        <v/>
      </c>
      <c r="Y39" s="19" t="n"/>
      <c r="Z39" s="20" t="n"/>
      <c r="AA39" s="20" t="n"/>
      <c r="AB39" s="20" t="n"/>
      <c r="AC39" s="20" t="n"/>
    </row>
    <row r="40">
      <c r="A40" s="13" t="inlineStr">
        <is>
          <t>GPM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>
        <f>IF(OR(Y39="",Y4=""),"",IFERROR(Y39/Y4,""))</f>
        <v/>
      </c>
      <c r="Z40" s="15">
        <f>IF(OR(Z39="",Z4=""),"",IFERROR(Z39/Z4,""))</f>
        <v/>
      </c>
      <c r="AA40" s="15">
        <f>IF(OR(AA39="",AA4=""),"",IFERROR(AA39/AA4,""))</f>
        <v/>
      </c>
      <c r="AB40" s="15">
        <f>IF(OR(AB39="",AB4=""),"",IFERROR(AB39/AB4,""))</f>
        <v/>
      </c>
      <c r="AC40" s="15">
        <f>IF(OR(AC39="",AC4=""),"",IFERROR(AC39/AC4,""))</f>
        <v/>
      </c>
    </row>
    <row r="41">
      <c r="A41" s="23" t="inlineStr">
        <is>
          <t>판매관리비</t>
        </is>
      </c>
      <c r="B41" s="23" t="n"/>
      <c r="C41" s="24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4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4" t="n"/>
      <c r="Z41" s="23" t="n"/>
      <c r="AA41" s="23" t="n"/>
      <c r="AB41" s="23" t="n"/>
      <c r="AC41" s="23" t="n"/>
    </row>
    <row r="42">
      <c r="A42" s="18" t="inlineStr">
        <is>
          <t>전체 판관비</t>
        </is>
      </c>
      <c r="B42" s="10" t="n"/>
      <c r="C42" s="19" t="n">
        <v>14300</v>
      </c>
      <c r="D42" s="20" t="n">
        <v>14392</v>
      </c>
      <c r="E42" s="20" t="n">
        <v>16258</v>
      </c>
      <c r="F42" s="20" t="n">
        <v>14855</v>
      </c>
      <c r="G42" s="20" t="n">
        <v>14834</v>
      </c>
      <c r="H42" s="20" t="n">
        <v>15543</v>
      </c>
      <c r="I42" s="20" t="n">
        <v>16103</v>
      </c>
      <c r="J42" s="20" t="n">
        <v>15849</v>
      </c>
      <c r="K42" s="20" t="n">
        <v>15619</v>
      </c>
      <c r="L42" s="20" t="n">
        <v>15940</v>
      </c>
      <c r="M42" s="20" t="n">
        <v>17382</v>
      </c>
      <c r="N42" s="20" t="n">
        <v>17145</v>
      </c>
      <c r="O42" s="19" t="n"/>
      <c r="P42" s="20" t="n">
        <v>56287</v>
      </c>
      <c r="Q42" s="20" t="n">
        <v>57684</v>
      </c>
      <c r="R42" s="20" t="n">
        <v>56270</v>
      </c>
      <c r="S42" s="20" t="n">
        <v>51126</v>
      </c>
      <c r="T42" s="20" t="n">
        <v>55128</v>
      </c>
      <c r="U42" s="20" t="n">
        <v>53173</v>
      </c>
      <c r="V42" s="20" t="n">
        <v>59073</v>
      </c>
      <c r="W42" s="20" t="n">
        <v>61335</v>
      </c>
      <c r="X42" s="20" t="n">
        <v>64790</v>
      </c>
      <c r="Y42" s="19" t="n"/>
      <c r="Z42" s="20" t="n"/>
      <c r="AA42" s="20" t="n"/>
      <c r="AB42" s="20" t="n"/>
      <c r="AC42" s="20" t="n"/>
    </row>
    <row r="43">
      <c r="A43" s="9" t="inlineStr">
        <is>
          <t>영업이익</t>
        </is>
      </c>
      <c r="B43" s="10" t="inlineStr">
        <is>
          <t>MW = 매출 × OPM</t>
        </is>
      </c>
      <c r="C43" s="11" t="n">
        <v>8956</v>
      </c>
      <c r="D43" s="12" t="n">
        <v>20433</v>
      </c>
      <c r="E43" s="12" t="n">
        <v>4122</v>
      </c>
      <c r="F43" s="12" t="n">
        <v>10067</v>
      </c>
      <c r="G43" s="12" t="n">
        <v>8191</v>
      </c>
      <c r="H43" s="12" t="n">
        <v>15812</v>
      </c>
      <c r="I43" s="12" t="n">
        <v>5338</v>
      </c>
      <c r="J43" s="12" t="n">
        <v>8658</v>
      </c>
      <c r="K43" s="12" t="n">
        <v>9806</v>
      </c>
      <c r="L43" s="12" t="n">
        <v>12726</v>
      </c>
      <c r="M43" s="12" t="n">
        <v>10891</v>
      </c>
      <c r="N43" s="12" t="n">
        <v>13112</v>
      </c>
      <c r="O43" s="11" t="n"/>
      <c r="P43" s="12" t="n">
        <v>36218</v>
      </c>
      <c r="Q43" s="12" t="n">
        <v>33815</v>
      </c>
      <c r="R43" s="12" t="n">
        <v>24768</v>
      </c>
      <c r="S43" s="12" t="n">
        <v>10070</v>
      </c>
      <c r="T43" s="12" t="n">
        <v>36982</v>
      </c>
      <c r="U43" s="12" t="n">
        <v>50025</v>
      </c>
      <c r="V43" s="12" t="n">
        <v>42250</v>
      </c>
      <c r="W43" s="12" t="n">
        <v>39408</v>
      </c>
      <c r="X43" s="12" t="n">
        <v>42081</v>
      </c>
      <c r="Y43" s="11">
        <f>IF(OR(Y4="",Y44=""),"",IFERROR(Y4*Y44,""))</f>
        <v/>
      </c>
      <c r="Z43" s="12">
        <f>IF(OR(Z4="",Z44=""),"",IFERROR(Z4*Z44,""))</f>
        <v/>
      </c>
      <c r="AA43" s="12">
        <f>IF(OR(AA4="",AA44=""),"",IFERROR(AA4*AA44,""))</f>
        <v/>
      </c>
      <c r="AB43" s="12">
        <f>IF(OR(AB4="",AB44=""),"",IFERROR(AB4*AB44,""))</f>
        <v/>
      </c>
      <c r="AC43" s="12">
        <f>IF(OR(AC4="",AC44=""),"",IFERROR(AC4*AC44,""))</f>
        <v/>
      </c>
    </row>
    <row r="44">
      <c r="A44" s="13" t="inlineStr">
        <is>
          <t>OPM</t>
        </is>
      </c>
      <c r="B44" s="10" t="inlineStr">
        <is>
          <t>MW 입력</t>
        </is>
      </c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 t="n"/>
      <c r="Z44" s="26" t="n"/>
      <c r="AA44" s="26" t="n"/>
      <c r="AB44" s="26" t="n"/>
      <c r="AC44" s="26" t="n"/>
    </row>
    <row r="45">
      <c r="A45" s="13" t="inlineStr">
        <is>
          <t>증가율</t>
        </is>
      </c>
      <c r="B45" s="10" t="n"/>
      <c r="C45" s="14" t="n"/>
      <c r="D45" s="15" t="n"/>
      <c r="E45" s="15" t="n"/>
      <c r="F45" s="15" t="n"/>
      <c r="G45" s="15">
        <f>IF(OR(G43="",C43=""),"",IFERROR(G43/C43-1,""))</f>
        <v/>
      </c>
      <c r="H45" s="15">
        <f>IF(OR(H43="",D43=""),"",IFERROR(H43/D43-1,""))</f>
        <v/>
      </c>
      <c r="I45" s="15">
        <f>IF(OR(I43="",E43=""),"",IFERROR(I43/E43-1,""))</f>
        <v/>
      </c>
      <c r="J45" s="15">
        <f>IF(OR(J43="",F43=""),"",IFERROR(J43/F43-1,""))</f>
        <v/>
      </c>
      <c r="K45" s="15">
        <f>IF(OR(K43="",G43=""),"",IFERROR(K43/G43-1,""))</f>
        <v/>
      </c>
      <c r="L45" s="15">
        <f>IF(OR(L43="",H43=""),"",IFERROR(L43/H43-1,""))</f>
        <v/>
      </c>
      <c r="M45" s="15">
        <f>IF(OR(M43="",I43=""),"",IFERROR(M43/I43-1,""))</f>
        <v/>
      </c>
      <c r="N45" s="15">
        <f>IF(OR(N43="",J43=""),"",IFERROR(N43/J43-1,""))</f>
        <v/>
      </c>
      <c r="O45" s="14" t="n"/>
      <c r="P45" s="15">
        <f>IF(OR(P43="",O43=""),"",IFERROR(P43/O43-1,""))</f>
        <v/>
      </c>
      <c r="Q45" s="15">
        <f>IF(OR(Q43="",P43=""),"",IFERROR(Q43/P43-1,""))</f>
        <v/>
      </c>
      <c r="R45" s="15">
        <f>IF(OR(R43="",Q43=""),"",IFERROR(R43/Q43-1,""))</f>
        <v/>
      </c>
      <c r="S45" s="15">
        <f>IF(OR(S43="",R43=""),"",IFERROR(S43/R43-1,""))</f>
        <v/>
      </c>
      <c r="T45" s="15">
        <f>IF(OR(T43="",S43=""),"",IFERROR(T43/S43-1,""))</f>
        <v/>
      </c>
      <c r="U45" s="15">
        <f>IF(OR(U43="",T43=""),"",IFERROR(U43/T43-1,""))</f>
        <v/>
      </c>
      <c r="V45" s="15">
        <f>IF(OR(V43="",U43=""),"",IFERROR(V43/U43-1,""))</f>
        <v/>
      </c>
      <c r="W45" s="15">
        <f>IF(OR(W43="",V43=""),"",IFERROR(W43/V43-1,""))</f>
        <v/>
      </c>
      <c r="X45" s="15">
        <f>IF(OR(X43="",W43=""),"",IFERROR(X43/W43-1,""))</f>
        <v/>
      </c>
      <c r="Y45" s="14">
        <f>IF(OR(Y43="",X43=""),"",IFERROR(Y43/X43-1,""))</f>
        <v/>
      </c>
      <c r="Z45" s="15">
        <f>IF(OR(Z43="",Y43=""),"",IFERROR(Z43/Y43-1,""))</f>
        <v/>
      </c>
      <c r="AA45" s="15">
        <f>IF(OR(AA43="",Z43=""),"",IFERROR(AA43/Z43-1,""))</f>
        <v/>
      </c>
      <c r="AB45" s="15">
        <f>IF(OR(AB43="",AA43=""),"",IFERROR(AB43/AA43-1,""))</f>
        <v/>
      </c>
      <c r="AC45" s="15">
        <f>IF(OR(AC43="",AB43=""),"",IFERROR(AC43/AB43-1,""))</f>
        <v/>
      </c>
    </row>
    <row r="46">
      <c r="A46" s="16" t="inlineStr">
        <is>
          <t>비용의 성격별 분류</t>
        </is>
      </c>
      <c r="B46" s="16" t="inlineStr">
        <is>
          <t>참고 데이터</t>
        </is>
      </c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9" t="inlineStr">
        <is>
          <t>총 판관비</t>
        </is>
      </c>
      <c r="B47" s="10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1">
        <f>IF(O42="","",O42)</f>
        <v/>
      </c>
      <c r="P47" s="12">
        <f>IF(P42="","",P42)</f>
        <v/>
      </c>
      <c r="Q47" s="12">
        <f>IF(Q42="","",Q42)</f>
        <v/>
      </c>
      <c r="R47" s="12">
        <f>IF(R42="","",R42)</f>
        <v/>
      </c>
      <c r="S47" s="12">
        <f>IF(S42="","",S42)</f>
        <v/>
      </c>
      <c r="T47" s="12">
        <f>IF(T42="","",T42)</f>
        <v/>
      </c>
      <c r="U47" s="12">
        <f>IF(U42="","",U42)</f>
        <v/>
      </c>
      <c r="V47" s="12">
        <f>IF(V42="","",V42)</f>
        <v/>
      </c>
      <c r="W47" s="12">
        <f>IF(W42="","",W42)</f>
        <v/>
      </c>
      <c r="X47" s="12">
        <f>IF(X42="","",X42)</f>
        <v/>
      </c>
      <c r="Y47" s="11" t="n"/>
      <c r="Z47" s="12" t="n"/>
      <c r="AA47" s="12" t="n"/>
      <c r="AB47" s="12" t="n"/>
      <c r="AC47" s="12" t="n"/>
    </row>
    <row r="48">
      <c r="A48" s="18" t="inlineStr">
        <is>
          <t>급여</t>
        </is>
      </c>
      <c r="B48" s="10" t="inlineStr">
        <is>
          <t>고정비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감가상각비</t>
        </is>
      </c>
      <c r="B50" s="10" t="inlineStr">
        <is>
          <t>고정비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8" t="inlineStr">
        <is>
          <t>지급수수료</t>
        </is>
      </c>
      <c r="B52" s="10" t="inlineStr">
        <is>
          <t>고정비</t>
        </is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% of Sales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14" t="n"/>
      <c r="Z53" s="15" t="n"/>
      <c r="AA53" s="15" t="n"/>
      <c r="AB53" s="15" t="n"/>
      <c r="AC53" s="15" t="n"/>
    </row>
    <row r="54">
      <c r="A54" s="18" t="inlineStr">
        <is>
          <t>연구개발비</t>
        </is>
      </c>
      <c r="B54" s="10" t="inlineStr">
        <is>
          <t>변동비</t>
        </is>
      </c>
      <c r="C54" s="19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19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19" t="n"/>
      <c r="Z54" s="20" t="n"/>
      <c r="AA54" s="20" t="n"/>
      <c r="AB54" s="20" t="n"/>
      <c r="AC54" s="20" t="n"/>
    </row>
    <row r="55">
      <c r="A55" s="13" t="inlineStr">
        <is>
          <t>% of Sales</t>
        </is>
      </c>
      <c r="B55" s="10" t="n"/>
      <c r="C55" s="14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14" t="n"/>
      <c r="Z55" s="15" t="n"/>
      <c r="AA55" s="15" t="n"/>
      <c r="AB55" s="15" t="n"/>
      <c r="AC55" s="15" t="n"/>
    </row>
    <row r="56">
      <c r="A56" s="18" t="inlineStr">
        <is>
          <t>기타비용</t>
        </is>
      </c>
      <c r="B56" s="10" t="inlineStr">
        <is>
          <t>변동비</t>
        </is>
      </c>
      <c r="C56" s="19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19">
        <f>IF(OR(O47="",O48="",O50="",O52="",O54=""),"",IFERROR(O47-O48-O50-O52-O54,""))</f>
        <v/>
      </c>
      <c r="P56" s="20">
        <f>IF(OR(P47="",P48="",P50="",P52="",P54=""),"",IFERROR(P47-P48-P50-P52-P54,""))</f>
        <v/>
      </c>
      <c r="Q56" s="20">
        <f>IF(OR(Q47="",Q48="",Q50="",Q52="",Q54=""),"",IFERROR(Q47-Q48-Q50-Q52-Q54,""))</f>
        <v/>
      </c>
      <c r="R56" s="20">
        <f>IF(OR(R47="",R48="",R50="",R52="",R54=""),"",IFERROR(R47-R48-R50-R52-R54,""))</f>
        <v/>
      </c>
      <c r="S56" s="20">
        <f>IF(OR(S47="",S48="",S50="",S52="",S54=""),"",IFERROR(S47-S48-S50-S52-S54,""))</f>
        <v/>
      </c>
      <c r="T56" s="20">
        <f>IF(OR(T47="",T48="",T50="",T52="",T54=""),"",IFERROR(T47-T48-T50-T52-T54,""))</f>
        <v/>
      </c>
      <c r="U56" s="20">
        <f>IF(OR(U47="",U48="",U50="",U52="",U54=""),"",IFERROR(U47-U48-U50-U52-U54,""))</f>
        <v/>
      </c>
      <c r="V56" s="20">
        <f>IF(OR(V47="",V48="",V50="",V52="",V54=""),"",IFERROR(V47-V48-V50-V52-V54,""))</f>
        <v/>
      </c>
      <c r="W56" s="20">
        <f>IF(OR(W47="",W48="",W50="",W52="",W54=""),"",IFERROR(W47-W48-W50-W52-W54,""))</f>
        <v/>
      </c>
      <c r="X56" s="20">
        <f>IF(OR(X47="",X48="",X50="",X52="",X54=""),"",IFERROR(X47-X48-X50-X52-X54,""))</f>
        <v/>
      </c>
      <c r="Y56" s="19" t="n"/>
      <c r="Z56" s="20" t="n"/>
      <c r="AA56" s="20" t="n"/>
      <c r="AB56" s="20" t="n"/>
      <c r="AC56" s="20" t="n"/>
    </row>
    <row r="57">
      <c r="A57" s="13" t="inlineStr">
        <is>
          <t>% of Sales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14" t="n"/>
      <c r="Z57" s="15" t="n"/>
      <c r="AA57" s="15" t="n"/>
      <c r="AB57" s="15" t="n"/>
      <c r="AC57" s="15" t="n"/>
    </row>
    <row r="58">
      <c r="A58" s="16" t="inlineStr">
        <is>
          <t>당기순이익 추정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기타이익</t>
        </is>
      </c>
      <c r="B59" s="10" t="n"/>
      <c r="C59" s="19" t="n">
        <v>326</v>
      </c>
      <c r="D59" s="20" t="n">
        <v>6518</v>
      </c>
      <c r="E59" s="20" t="n">
        <v>892</v>
      </c>
      <c r="F59" s="20" t="n">
        <v>794</v>
      </c>
      <c r="G59" s="20" t="n">
        <v>-794</v>
      </c>
      <c r="H59" s="20" t="n">
        <v>0</v>
      </c>
      <c r="I59" s="20" t="n">
        <v>1002</v>
      </c>
      <c r="J59" s="20" t="n">
        <v>0</v>
      </c>
      <c r="K59" s="20" t="n">
        <v>77</v>
      </c>
      <c r="L59" s="20" t="n">
        <v>680</v>
      </c>
      <c r="M59" s="20" t="n">
        <v>5542</v>
      </c>
      <c r="N59" s="20" t="n">
        <v>1048</v>
      </c>
      <c r="O59" s="19" t="n"/>
      <c r="P59" s="20" t="n">
        <v>769</v>
      </c>
      <c r="Q59" s="20" t="n">
        <v>28</v>
      </c>
      <c r="R59" s="20" t="n">
        <v>7686</v>
      </c>
      <c r="S59" s="20" t="n">
        <v>143</v>
      </c>
      <c r="T59" s="20" t="n">
        <v>5497</v>
      </c>
      <c r="U59" s="20" t="n">
        <v>1600</v>
      </c>
      <c r="V59" s="20" t="n">
        <v>8317</v>
      </c>
      <c r="W59" s="20" t="n">
        <v>1002</v>
      </c>
      <c r="X59" s="20" t="n">
        <v>6299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inlineStr">
        <is>
          <t>MW = 최근 3년 평균</t>
        </is>
      </c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18" t="inlineStr">
        <is>
          <t>기타손실</t>
        </is>
      </c>
      <c r="B61" s="10" t="n"/>
      <c r="C61" s="19" t="n">
        <v>2562</v>
      </c>
      <c r="D61" s="20" t="n">
        <v>754</v>
      </c>
      <c r="E61" s="20" t="n">
        <v>1623</v>
      </c>
      <c r="F61" s="20" t="n">
        <v>2016</v>
      </c>
      <c r="G61" s="20" t="n">
        <v>1892</v>
      </c>
      <c r="H61" s="20" t="n">
        <v>-1314</v>
      </c>
      <c r="I61" s="20" t="n">
        <v>1852</v>
      </c>
      <c r="J61" s="20" t="n">
        <v>180</v>
      </c>
      <c r="K61" s="20" t="n">
        <v>116</v>
      </c>
      <c r="L61" s="20" t="n">
        <v>2</v>
      </c>
      <c r="M61" s="20" t="n">
        <v>431</v>
      </c>
      <c r="N61" s="20" t="n">
        <v>0</v>
      </c>
      <c r="O61" s="19" t="n"/>
      <c r="P61" s="20" t="n">
        <v>68</v>
      </c>
      <c r="Q61" s="20" t="n">
        <v>1260</v>
      </c>
      <c r="R61" s="20" t="n">
        <v>10815</v>
      </c>
      <c r="S61" s="20" t="n">
        <v>2720</v>
      </c>
      <c r="T61" s="20" t="n">
        <v>3951</v>
      </c>
      <c r="U61" s="20" t="n">
        <v>1350</v>
      </c>
      <c r="V61" s="20" t="n">
        <v>4939</v>
      </c>
      <c r="W61" s="20" t="n">
        <v>4446</v>
      </c>
      <c r="X61" s="20" t="n">
        <v>729</v>
      </c>
      <c r="Y61" s="19">
        <f>IF(OR(Y4="",Y62=""),"",IFERROR(Y4*Y62,""))</f>
        <v/>
      </c>
      <c r="Z61" s="20">
        <f>IF(OR(Z4="",Z62=""),"",IFERROR(Z4*Z62,""))</f>
        <v/>
      </c>
      <c r="AA61" s="20">
        <f>IF(OR(AA4="",AA62=""),"",IFERROR(AA4*AA62,""))</f>
        <v/>
      </c>
      <c r="AB61" s="20">
        <f>IF(OR(AB4="",AB62=""),"",IFERROR(AB4*AB62,""))</f>
        <v/>
      </c>
      <c r="AC61" s="20">
        <f>IF(OR(AC4="",AC62=""),"",IFERROR(AC4*AC62,""))</f>
        <v/>
      </c>
    </row>
    <row r="62">
      <c r="A62" s="13" t="inlineStr">
        <is>
          <t>% of Sales</t>
        </is>
      </c>
      <c r="B62" s="10" t="n"/>
      <c r="C62" s="14">
        <f>IF(OR(C61="",C4=""),"",IFERROR(C61/C4,""))</f>
        <v/>
      </c>
      <c r="D62" s="15">
        <f>IF(OR(D61="",D4=""),"",IFERROR(D61/D4,""))</f>
        <v/>
      </c>
      <c r="E62" s="15">
        <f>IF(OR(E61="",E4=""),"",IFERROR(E61/E4,""))</f>
        <v/>
      </c>
      <c r="F62" s="15">
        <f>IF(OR(F61="",F4=""),"",IFERROR(F61/F4,""))</f>
        <v/>
      </c>
      <c r="G62" s="15">
        <f>IF(OR(G61="",G4=""),"",IFERROR(G61/G4,""))</f>
        <v/>
      </c>
      <c r="H62" s="15">
        <f>IF(OR(H61="",H4=""),"",IFERROR(H61/H4,""))</f>
        <v/>
      </c>
      <c r="I62" s="15">
        <f>IF(OR(I61="",I4=""),"",IFERROR(I61/I4,""))</f>
        <v/>
      </c>
      <c r="J62" s="15">
        <f>IF(OR(J61="",J4=""),"",IFERROR(J61/J4,""))</f>
        <v/>
      </c>
      <c r="K62" s="15">
        <f>IF(OR(K61="",K4=""),"",IFERROR(K61/K4,""))</f>
        <v/>
      </c>
      <c r="L62" s="15">
        <f>IF(OR(L61="",L4=""),"",IFERROR(L61/L4,""))</f>
        <v/>
      </c>
      <c r="M62" s="15">
        <f>IF(OR(M61="",M4=""),"",IFERROR(M61/M4,""))</f>
        <v/>
      </c>
      <c r="N62" s="15">
        <f>IF(OR(N61="",N4=""),"",IFERROR(N61/N4,""))</f>
        <v/>
      </c>
      <c r="O62" s="14">
        <f>IF(OR(O61="",O4=""),"",IFERROR(O61/O4,""))</f>
        <v/>
      </c>
      <c r="P62" s="15">
        <f>IF(OR(P61="",P4=""),"",IFERROR(P61/P4,""))</f>
        <v/>
      </c>
      <c r="Q62" s="15">
        <f>IF(OR(Q61="",Q4=""),"",IFERROR(Q61/Q4,""))</f>
        <v/>
      </c>
      <c r="R62" s="15">
        <f>IF(OR(R61="",R4=""),"",IFERROR(R61/R4,""))</f>
        <v/>
      </c>
      <c r="S62" s="15">
        <f>IF(OR(S61="",S4=""),"",IFERROR(S61/S4,""))</f>
        <v/>
      </c>
      <c r="T62" s="15">
        <f>IF(OR(T61="",T4=""),"",IFERROR(T61/T4,""))</f>
        <v/>
      </c>
      <c r="U62" s="15">
        <f>IF(OR(U61="",U4=""),"",IFERROR(U61/U4,""))</f>
        <v/>
      </c>
      <c r="V62" s="15">
        <f>IF(OR(V61="",V4=""),"",IFERROR(V61/V4,""))</f>
        <v/>
      </c>
      <c r="W62" s="15">
        <f>IF(OR(W61="",W4=""),"",IFERROR(W61/W4,""))</f>
        <v/>
      </c>
      <c r="X62" s="15">
        <f>IF(OR(X61="",X4=""),"",IFERROR(X61/X4,""))</f>
        <v/>
      </c>
      <c r="Y62" s="25">
        <f>IFERROR(AVERAGE(V62,W62,X62),"")</f>
        <v/>
      </c>
      <c r="Z62" s="26">
        <f>Y62</f>
        <v/>
      </c>
      <c r="AA62" s="26">
        <f>Z62</f>
        <v/>
      </c>
      <c r="AB62" s="26">
        <f>AA62</f>
        <v/>
      </c>
      <c r="AC62" s="26">
        <f>AB62</f>
        <v/>
      </c>
    </row>
    <row r="63">
      <c r="A63" s="18" t="inlineStr">
        <is>
          <t>금융수익</t>
        </is>
      </c>
      <c r="B63" s="10" t="n"/>
      <c r="C63" s="19" t="n">
        <v>215</v>
      </c>
      <c r="D63" s="20" t="n">
        <v>1290</v>
      </c>
      <c r="E63" s="20" t="n">
        <v>225</v>
      </c>
      <c r="F63" s="20" t="n">
        <v>1440</v>
      </c>
      <c r="G63" s="20" t="n">
        <v>151</v>
      </c>
      <c r="H63" s="20" t="n">
        <v>1367</v>
      </c>
      <c r="I63" s="20" t="n">
        <v>156</v>
      </c>
      <c r="J63" s="20" t="n">
        <v>1129</v>
      </c>
      <c r="K63" s="20" t="n">
        <v>259</v>
      </c>
      <c r="L63" s="20" t="n">
        <v>893</v>
      </c>
      <c r="M63" s="20" t="n">
        <v>169</v>
      </c>
      <c r="N63" s="20" t="n">
        <v>878</v>
      </c>
      <c r="O63" s="19" t="n"/>
      <c r="P63" s="20" t="n">
        <v>4334</v>
      </c>
      <c r="Q63" s="20" t="n">
        <v>5379</v>
      </c>
      <c r="R63" s="20" t="n">
        <v>3743</v>
      </c>
      <c r="S63" s="20" t="n">
        <v>6753</v>
      </c>
      <c r="T63" s="20" t="n">
        <v>4766</v>
      </c>
      <c r="U63" s="20" t="n">
        <v>2712</v>
      </c>
      <c r="V63" s="20" t="n">
        <v>3069</v>
      </c>
      <c r="W63" s="20" t="n">
        <v>3114</v>
      </c>
      <c r="X63" s="20" t="n">
        <v>2450</v>
      </c>
      <c r="Y63" s="19">
        <f>IF(OR(Y4="",Y64=""),"",IFERROR(Y4*Y64,""))</f>
        <v/>
      </c>
      <c r="Z63" s="20">
        <f>IF(OR(Z4="",Z64=""),"",IFERROR(Z4*Z64,""))</f>
        <v/>
      </c>
      <c r="AA63" s="20">
        <f>IF(OR(AA4="",AA64=""),"",IFERROR(AA4*AA64,""))</f>
        <v/>
      </c>
      <c r="AB63" s="20">
        <f>IF(OR(AB4="",AB64=""),"",IFERROR(AB4*AB64,""))</f>
        <v/>
      </c>
      <c r="AC63" s="20">
        <f>IF(OR(AC4="",AC64=""),"",IFERROR(AC4*AC64,""))</f>
        <v/>
      </c>
    </row>
    <row r="64">
      <c r="A64" s="13" t="inlineStr">
        <is>
          <t>% of Sales</t>
        </is>
      </c>
      <c r="B64" s="10" t="n"/>
      <c r="C64" s="14">
        <f>IF(OR(C63="",C4=""),"",IFERROR(C63/C4,""))</f>
        <v/>
      </c>
      <c r="D64" s="15">
        <f>IF(OR(D63="",D4=""),"",IFERROR(D63/D4,""))</f>
        <v/>
      </c>
      <c r="E64" s="15">
        <f>IF(OR(E63="",E4=""),"",IFERROR(E63/E4,""))</f>
        <v/>
      </c>
      <c r="F64" s="15">
        <f>IF(OR(F63="",F4=""),"",IFERROR(F63/F4,""))</f>
        <v/>
      </c>
      <c r="G64" s="15">
        <f>IF(OR(G63="",G4=""),"",IFERROR(G63/G4,""))</f>
        <v/>
      </c>
      <c r="H64" s="15">
        <f>IF(OR(H63="",H4=""),"",IFERROR(H63/H4,""))</f>
        <v/>
      </c>
      <c r="I64" s="15">
        <f>IF(OR(I63="",I4=""),"",IFERROR(I63/I4,""))</f>
        <v/>
      </c>
      <c r="J64" s="15">
        <f>IF(OR(J63="",J4=""),"",IFERROR(J63/J4,""))</f>
        <v/>
      </c>
      <c r="K64" s="15">
        <f>IF(OR(K63="",K4=""),"",IFERROR(K63/K4,""))</f>
        <v/>
      </c>
      <c r="L64" s="15">
        <f>IF(OR(L63="",L4=""),"",IFERROR(L63/L4,""))</f>
        <v/>
      </c>
      <c r="M64" s="15">
        <f>IF(OR(M63="",M4=""),"",IFERROR(M63/M4,""))</f>
        <v/>
      </c>
      <c r="N64" s="15">
        <f>IF(OR(N63="",N4=""),"",IFERROR(N63/N4,""))</f>
        <v/>
      </c>
      <c r="O64" s="14">
        <f>IF(OR(O63="",O4=""),"",IFERROR(O63/O4,""))</f>
        <v/>
      </c>
      <c r="P64" s="15">
        <f>IF(OR(P63="",P4=""),"",IFERROR(P63/P4,""))</f>
        <v/>
      </c>
      <c r="Q64" s="15">
        <f>IF(OR(Q63="",Q4=""),"",IFERROR(Q63/Q4,""))</f>
        <v/>
      </c>
      <c r="R64" s="15">
        <f>IF(OR(R63="",R4=""),"",IFERROR(R63/R4,""))</f>
        <v/>
      </c>
      <c r="S64" s="15">
        <f>IF(OR(S63="",S4=""),"",IFERROR(S63/S4,""))</f>
        <v/>
      </c>
      <c r="T64" s="15">
        <f>IF(OR(T63="",T4=""),"",IFERROR(T63/T4,""))</f>
        <v/>
      </c>
      <c r="U64" s="15">
        <f>IF(OR(U63="",U4=""),"",IFERROR(U63/U4,""))</f>
        <v/>
      </c>
      <c r="V64" s="15">
        <f>IF(OR(V63="",V4=""),"",IFERROR(V63/V4,""))</f>
        <v/>
      </c>
      <c r="W64" s="15">
        <f>IF(OR(W63="",W4=""),"",IFERROR(W63/W4,""))</f>
        <v/>
      </c>
      <c r="X64" s="15">
        <f>IF(OR(X63="",X4=""),"",IFERROR(X63/X4,""))</f>
        <v/>
      </c>
      <c r="Y64" s="25">
        <f>IFERROR(AVERAGE(V64,W64,X64),"")</f>
        <v/>
      </c>
      <c r="Z64" s="26">
        <f>Y64</f>
        <v/>
      </c>
      <c r="AA64" s="26">
        <f>Z64</f>
        <v/>
      </c>
      <c r="AB64" s="26">
        <f>AA64</f>
        <v/>
      </c>
      <c r="AC64" s="26">
        <f>AB64</f>
        <v/>
      </c>
    </row>
    <row r="65">
      <c r="A65" s="18" t="inlineStr">
        <is>
          <t>금융원가</t>
        </is>
      </c>
      <c r="B65" s="10" t="n"/>
      <c r="C65" s="19" t="n">
        <v>267</v>
      </c>
      <c r="D65" s="20" t="n">
        <v>269</v>
      </c>
      <c r="E65" s="20" t="n">
        <v>275</v>
      </c>
      <c r="F65" s="20" t="n">
        <v>231</v>
      </c>
      <c r="G65" s="20" t="n">
        <v>275</v>
      </c>
      <c r="H65" s="20" t="n">
        <v>239</v>
      </c>
      <c r="I65" s="20" t="n">
        <v>343</v>
      </c>
      <c r="J65" s="20" t="n">
        <v>208</v>
      </c>
      <c r="K65" s="20" t="n">
        <v>278</v>
      </c>
      <c r="L65" s="20" t="n">
        <v>264</v>
      </c>
      <c r="M65" s="20" t="n">
        <v>300</v>
      </c>
      <c r="N65" s="20" t="n">
        <v>144</v>
      </c>
      <c r="O65" s="19" t="n"/>
      <c r="P65" s="20" t="n">
        <v>4422</v>
      </c>
      <c r="Q65" s="20" t="n">
        <v>4851</v>
      </c>
      <c r="R65" s="20" t="n">
        <v>4214</v>
      </c>
      <c r="S65" s="20" t="n">
        <v>4181</v>
      </c>
      <c r="T65" s="20" t="n">
        <v>2548</v>
      </c>
      <c r="U65" s="20" t="n">
        <v>993</v>
      </c>
      <c r="V65" s="20" t="n">
        <v>1133</v>
      </c>
      <c r="W65" s="20" t="n">
        <v>1088</v>
      </c>
      <c r="X65" s="20" t="n">
        <v>1050</v>
      </c>
      <c r="Y65" s="19">
        <f>IF(OR(Y4="",Y66=""),"",IFERROR(Y4*Y66,""))</f>
        <v/>
      </c>
      <c r="Z65" s="20">
        <f>IF(OR(Z4="",Z66=""),"",IFERROR(Z4*Z66,""))</f>
        <v/>
      </c>
      <c r="AA65" s="20">
        <f>IF(OR(AA4="",AA66=""),"",IFERROR(AA4*AA66,""))</f>
        <v/>
      </c>
      <c r="AB65" s="20">
        <f>IF(OR(AB4="",AB66=""),"",IFERROR(AB4*AB66,""))</f>
        <v/>
      </c>
      <c r="AC65" s="20">
        <f>IF(OR(AC4="",AC66=""),"",IFERROR(AC4*AC66,""))</f>
        <v/>
      </c>
    </row>
    <row r="66">
      <c r="A66" s="13" t="inlineStr">
        <is>
          <t>% of Sales</t>
        </is>
      </c>
      <c r="B66" s="10" t="n"/>
      <c r="C66" s="14">
        <f>IF(OR(C65="",C4=""),"",IFERROR(C65/C4,""))</f>
        <v/>
      </c>
      <c r="D66" s="15">
        <f>IF(OR(D65="",D4=""),"",IFERROR(D65/D4,""))</f>
        <v/>
      </c>
      <c r="E66" s="15">
        <f>IF(OR(E65="",E4=""),"",IFERROR(E65/E4,""))</f>
        <v/>
      </c>
      <c r="F66" s="15">
        <f>IF(OR(F65="",F4=""),"",IFERROR(F65/F4,""))</f>
        <v/>
      </c>
      <c r="G66" s="15">
        <f>IF(OR(G65="",G4=""),"",IFERROR(G65/G4,""))</f>
        <v/>
      </c>
      <c r="H66" s="15">
        <f>IF(OR(H65="",H4=""),"",IFERROR(H65/H4,""))</f>
        <v/>
      </c>
      <c r="I66" s="15">
        <f>IF(OR(I65="",I4=""),"",IFERROR(I65/I4,""))</f>
        <v/>
      </c>
      <c r="J66" s="15">
        <f>IF(OR(J65="",J4=""),"",IFERROR(J65/J4,""))</f>
        <v/>
      </c>
      <c r="K66" s="15">
        <f>IF(OR(K65="",K4=""),"",IFERROR(K65/K4,""))</f>
        <v/>
      </c>
      <c r="L66" s="15">
        <f>IF(OR(L65="",L4=""),"",IFERROR(L65/L4,""))</f>
        <v/>
      </c>
      <c r="M66" s="15">
        <f>IF(OR(M65="",M4=""),"",IFERROR(M65/M4,""))</f>
        <v/>
      </c>
      <c r="N66" s="15">
        <f>IF(OR(N65="",N4=""),"",IFERROR(N65/N4,""))</f>
        <v/>
      </c>
      <c r="O66" s="14">
        <f>IF(OR(O65="",O4=""),"",IFERROR(O65/O4,""))</f>
        <v/>
      </c>
      <c r="P66" s="15">
        <f>IF(OR(P65="",P4=""),"",IFERROR(P65/P4,""))</f>
        <v/>
      </c>
      <c r="Q66" s="15">
        <f>IF(OR(Q65="",Q4=""),"",IFERROR(Q65/Q4,""))</f>
        <v/>
      </c>
      <c r="R66" s="15">
        <f>IF(OR(R65="",R4=""),"",IFERROR(R65/R4,""))</f>
        <v/>
      </c>
      <c r="S66" s="15">
        <f>IF(OR(S65="",S4=""),"",IFERROR(S65/S4,""))</f>
        <v/>
      </c>
      <c r="T66" s="15">
        <f>IF(OR(T65="",T4=""),"",IFERROR(T65/T4,""))</f>
        <v/>
      </c>
      <c r="U66" s="15">
        <f>IF(OR(U65="",U4=""),"",IFERROR(U65/U4,""))</f>
        <v/>
      </c>
      <c r="V66" s="15">
        <f>IF(OR(V65="",V4=""),"",IFERROR(V65/V4,""))</f>
        <v/>
      </c>
      <c r="W66" s="15">
        <f>IF(OR(W65="",W4=""),"",IFERROR(W65/W4,""))</f>
        <v/>
      </c>
      <c r="X66" s="15">
        <f>IF(OR(X65="",X4=""),"",IFERROR(X65/X4,""))</f>
        <v/>
      </c>
      <c r="Y66" s="25">
        <f>IFERROR(AVERAGE(V66,W66,X66),"")</f>
        <v/>
      </c>
      <c r="Z66" s="26">
        <f>Y66</f>
        <v/>
      </c>
      <c r="AA66" s="26">
        <f>Z66</f>
        <v/>
      </c>
      <c r="AB66" s="26">
        <f>AA66</f>
        <v/>
      </c>
      <c r="AC66" s="26">
        <f>AB66</f>
        <v/>
      </c>
    </row>
    <row r="67">
      <c r="A67" s="9" t="inlineStr">
        <is>
          <t>법인세비용차감전순이익(손실)</t>
        </is>
      </c>
      <c r="B67" s="10" t="n"/>
      <c r="C67" s="11" t="n">
        <v>9025</v>
      </c>
      <c r="D67" s="12" t="n">
        <v>21611</v>
      </c>
      <c r="E67" s="12" t="n">
        <v>4484</v>
      </c>
      <c r="F67" s="12" t="n">
        <v>11425</v>
      </c>
      <c r="G67" s="12" t="n">
        <v>8183</v>
      </c>
      <c r="H67" s="12" t="n">
        <v>17045</v>
      </c>
      <c r="I67" s="12" t="n">
        <v>6000</v>
      </c>
      <c r="J67" s="12" t="n">
        <v>9721</v>
      </c>
      <c r="K67" s="12" t="n">
        <v>9929</v>
      </c>
      <c r="L67" s="12" t="n">
        <v>13559</v>
      </c>
      <c r="M67" s="12" t="n">
        <v>11547</v>
      </c>
      <c r="N67" s="12" t="n">
        <v>14279</v>
      </c>
      <c r="O67" s="11" t="n"/>
      <c r="P67" s="12" t="n">
        <v>36831</v>
      </c>
      <c r="Q67" s="12" t="n">
        <v>33110</v>
      </c>
      <c r="R67" s="12" t="n">
        <v>21170</v>
      </c>
      <c r="S67" s="12" t="n">
        <v>10065</v>
      </c>
      <c r="T67" s="12" t="n">
        <v>40746</v>
      </c>
      <c r="U67" s="12" t="n">
        <v>52557</v>
      </c>
      <c r="V67" s="12" t="n">
        <v>45068</v>
      </c>
      <c r="W67" s="12" t="n">
        <v>42653</v>
      </c>
      <c r="X67" s="12" t="n">
        <v>44756</v>
      </c>
      <c r="Y67" s="11">
        <f>IF(OR(Y43=""),"",IFERROR(Y43+N(Y59)-N(Y61)+N(Y63)-N(Y65),""))</f>
        <v/>
      </c>
      <c r="Z67" s="12">
        <f>IF(OR(Z43=""),"",IFERROR(Z43+N(Z59)-N(Z61)+N(Z63)-N(Z65),""))</f>
        <v/>
      </c>
      <c r="AA67" s="12">
        <f>IF(OR(AA43=""),"",IFERROR(AA43+N(AA59)-N(AA61)+N(AA63)-N(AA65),""))</f>
        <v/>
      </c>
      <c r="AB67" s="12">
        <f>IF(OR(AB43=""),"",IFERROR(AB43+N(AB59)-N(AB61)+N(AB63)-N(AB65),""))</f>
        <v/>
      </c>
      <c r="AC67" s="12">
        <f>IF(OR(AC43=""),"",IFERROR(AC43+N(AC59)-N(AC61)+N(AC63)-N(AC65),""))</f>
        <v/>
      </c>
    </row>
    <row r="68">
      <c r="A68" s="18" t="inlineStr">
        <is>
          <t>법인세비용(수익)</t>
        </is>
      </c>
      <c r="B68" s="10" t="n"/>
      <c r="C68" s="19" t="n">
        <v>3308</v>
      </c>
      <c r="D68" s="20" t="n">
        <v>4146</v>
      </c>
      <c r="E68" s="20" t="n">
        <v>2169</v>
      </c>
      <c r="F68" s="20" t="n">
        <v>4004</v>
      </c>
      <c r="G68" s="20" t="n">
        <v>2406</v>
      </c>
      <c r="H68" s="20" t="n">
        <v>5268</v>
      </c>
      <c r="I68" s="20" t="n">
        <v>414</v>
      </c>
      <c r="J68" s="20" t="n">
        <v>2801</v>
      </c>
      <c r="K68" s="20" t="n">
        <v>2830</v>
      </c>
      <c r="L68" s="20" t="n">
        <v>4073</v>
      </c>
      <c r="M68" s="20" t="n">
        <v>174</v>
      </c>
      <c r="N68" s="20" t="n">
        <v>4563</v>
      </c>
      <c r="O68" s="19" t="n"/>
      <c r="P68" s="20" t="n">
        <v>10143</v>
      </c>
      <c r="Q68" s="20" t="n">
        <v>10224</v>
      </c>
      <c r="R68" s="20" t="n">
        <v>9095</v>
      </c>
      <c r="S68" s="20" t="n">
        <v>4097</v>
      </c>
      <c r="T68" s="20" t="n">
        <v>11120</v>
      </c>
      <c r="U68" s="20" t="n">
        <v>13981</v>
      </c>
      <c r="V68" s="20" t="n">
        <v>12493</v>
      </c>
      <c r="W68" s="20" t="n">
        <v>12092</v>
      </c>
      <c r="X68" s="20" t="n">
        <v>9878</v>
      </c>
      <c r="Y68" s="19">
        <f>IF(OR(Y67="",Y69=""),"",IFERROR(MAX(Y67,0)*Y69,""))</f>
        <v/>
      </c>
      <c r="Z68" s="20">
        <f>IF(OR(Z67="",Z69=""),"",IFERROR(MAX(Z67,0)*Z69,""))</f>
        <v/>
      </c>
      <c r="AA68" s="20">
        <f>IF(OR(AA67="",AA69=""),"",IFERROR(MAX(AA67,0)*AA69,""))</f>
        <v/>
      </c>
      <c r="AB68" s="20">
        <f>IF(OR(AB67="",AB69=""),"",IFERROR(MAX(AB67,0)*AB69,""))</f>
        <v/>
      </c>
      <c r="AC68" s="20">
        <f>IF(OR(AC67="",AC69=""),"",IFERROR(MAX(AC67,0)*AC69,""))</f>
        <v/>
      </c>
    </row>
    <row r="69">
      <c r="A69" s="13" t="inlineStr">
        <is>
          <t>법인세율</t>
        </is>
      </c>
      <c r="B69" s="10" t="inlineStr">
        <is>
          <t>MW 기본 30%</t>
        </is>
      </c>
      <c r="C69" s="14">
        <f>IF(OR(C68="",C67=""),"",IFERROR(C68/C67,""))</f>
        <v/>
      </c>
      <c r="D69" s="15">
        <f>IF(OR(D68="",D67=""),"",IFERROR(D68/D67,""))</f>
        <v/>
      </c>
      <c r="E69" s="15">
        <f>IF(OR(E68="",E67=""),"",IFERROR(E68/E67,""))</f>
        <v/>
      </c>
      <c r="F69" s="15">
        <f>IF(OR(F68="",F67=""),"",IFERROR(F68/F67,""))</f>
        <v/>
      </c>
      <c r="G69" s="15">
        <f>IF(OR(G68="",G67=""),"",IFERROR(G68/G67,""))</f>
        <v/>
      </c>
      <c r="H69" s="15">
        <f>IF(OR(H68="",H67=""),"",IFERROR(H68/H67,""))</f>
        <v/>
      </c>
      <c r="I69" s="15">
        <f>IF(OR(I68="",I67=""),"",IFERROR(I68/I67,""))</f>
        <v/>
      </c>
      <c r="J69" s="15">
        <f>IF(OR(J68="",J67=""),"",IFERROR(J68/J67,""))</f>
        <v/>
      </c>
      <c r="K69" s="15">
        <f>IF(OR(K68="",K67=""),"",IFERROR(K68/K67,""))</f>
        <v/>
      </c>
      <c r="L69" s="15">
        <f>IF(OR(L68="",L67=""),"",IFERROR(L68/L67,""))</f>
        <v/>
      </c>
      <c r="M69" s="15">
        <f>IF(OR(M68="",M67=""),"",IFERROR(M68/M67,""))</f>
        <v/>
      </c>
      <c r="N69" s="15">
        <f>IF(OR(N68="",N67=""),"",IFERROR(N68/N67,""))</f>
        <v/>
      </c>
      <c r="O69" s="14">
        <f>IF(OR(O68="",O67=""),"",IFERROR(O68/O67,""))</f>
        <v/>
      </c>
      <c r="P69" s="15">
        <f>IF(OR(P68="",P67=""),"",IFERROR(P68/P67,""))</f>
        <v/>
      </c>
      <c r="Q69" s="15">
        <f>IF(OR(Q68="",Q67=""),"",IFERROR(Q68/Q67,""))</f>
        <v/>
      </c>
      <c r="R69" s="15">
        <f>IF(OR(R68="",R67=""),"",IFERROR(R68/R67,""))</f>
        <v/>
      </c>
      <c r="S69" s="15">
        <f>IF(OR(S68="",S67=""),"",IFERROR(S68/S67,""))</f>
        <v/>
      </c>
      <c r="T69" s="15">
        <f>IF(OR(T68="",T67=""),"",IFERROR(T68/T67,""))</f>
        <v/>
      </c>
      <c r="U69" s="15">
        <f>IF(OR(U68="",U67=""),"",IFERROR(U68/U67,""))</f>
        <v/>
      </c>
      <c r="V69" s="15">
        <f>IF(OR(V68="",V67=""),"",IFERROR(V68/V67,""))</f>
        <v/>
      </c>
      <c r="W69" s="15">
        <f>IF(OR(W68="",W67=""),"",IFERROR(W68/W67,""))</f>
        <v/>
      </c>
      <c r="X69" s="15">
        <f>IF(OR(X68="",X67=""),"",IFERROR(X68/X67,""))</f>
        <v/>
      </c>
      <c r="Y69" s="25" t="n">
        <v>0.3</v>
      </c>
      <c r="Z69" s="26" t="n">
        <v>0.3</v>
      </c>
      <c r="AA69" s="26" t="n">
        <v>0.3</v>
      </c>
      <c r="AB69" s="26" t="n">
        <v>0.3</v>
      </c>
      <c r="AC69" s="26" t="n">
        <v>0.3</v>
      </c>
    </row>
    <row r="70">
      <c r="A70" s="9" t="inlineStr">
        <is>
          <t>당기순이익(손실)</t>
        </is>
      </c>
      <c r="B70" s="10" t="n"/>
      <c r="C70" s="11" t="n">
        <v>5716</v>
      </c>
      <c r="D70" s="12" t="n">
        <v>17466</v>
      </c>
      <c r="E70" s="12" t="n">
        <v>2314</v>
      </c>
      <c r="F70" s="12" t="n">
        <v>7420</v>
      </c>
      <c r="G70" s="12" t="n">
        <v>5777</v>
      </c>
      <c r="H70" s="12" t="n">
        <v>11778</v>
      </c>
      <c r="I70" s="12" t="n">
        <v>5585</v>
      </c>
      <c r="J70" s="12" t="n">
        <v>6920</v>
      </c>
      <c r="K70" s="12" t="n">
        <v>7098</v>
      </c>
      <c r="L70" s="12" t="n">
        <v>9486</v>
      </c>
      <c r="M70" s="12" t="n">
        <v>11374</v>
      </c>
      <c r="N70" s="12" t="n">
        <v>9716</v>
      </c>
      <c r="O70" s="11" t="n"/>
      <c r="P70" s="12" t="n">
        <v>26688</v>
      </c>
      <c r="Q70" s="12" t="n">
        <v>22886</v>
      </c>
      <c r="R70" s="12" t="n">
        <v>12075</v>
      </c>
      <c r="S70" s="12" t="n">
        <v>5968</v>
      </c>
      <c r="T70" s="12" t="n">
        <v>29625</v>
      </c>
      <c r="U70" s="12" t="n">
        <v>38576</v>
      </c>
      <c r="V70" s="12" t="n">
        <v>32574</v>
      </c>
      <c r="W70" s="12" t="n">
        <v>30560</v>
      </c>
      <c r="X70" s="12" t="n">
        <v>34878</v>
      </c>
      <c r="Y70" s="11">
        <f>IF(OR(Y67=""),"",IFERROR(Y67-Y68,""))</f>
        <v/>
      </c>
      <c r="Z70" s="12">
        <f>IF(OR(Z67=""),"",IFERROR(Z67-Z68,""))</f>
        <v/>
      </c>
      <c r="AA70" s="12">
        <f>IF(OR(AA67=""),"",IFERROR(AA67-AA68,""))</f>
        <v/>
      </c>
      <c r="AB70" s="12">
        <f>IF(OR(AB67=""),"",IFERROR(AB67-AB68,""))</f>
        <v/>
      </c>
      <c r="AC70" s="12">
        <f>IF(OR(AC67=""),"",IFERROR(AC67-AC68,""))</f>
        <v/>
      </c>
    </row>
    <row r="71">
      <c r="A71" s="9" t="inlineStr">
        <is>
          <t>지배주주 순이익</t>
        </is>
      </c>
      <c r="B71" s="10" t="n"/>
      <c r="C71" s="11" t="n">
        <v>5229</v>
      </c>
      <c r="D71" s="12" t="n">
        <v>16972</v>
      </c>
      <c r="E71" s="12" t="n">
        <v>1826</v>
      </c>
      <c r="F71" s="12" t="n">
        <v>6776</v>
      </c>
      <c r="G71" s="12" t="n">
        <v>5376</v>
      </c>
      <c r="H71" s="12" t="n">
        <v>11018</v>
      </c>
      <c r="I71" s="12" t="n">
        <v>5144</v>
      </c>
      <c r="J71" s="12" t="n">
        <v>6416</v>
      </c>
      <c r="K71" s="12" t="n">
        <v>6521</v>
      </c>
      <c r="L71" s="12" t="n">
        <v>8830</v>
      </c>
      <c r="M71" s="12" t="n">
        <v>10838</v>
      </c>
      <c r="N71" s="12" t="n">
        <v>9061</v>
      </c>
      <c r="O71" s="11" t="n"/>
      <c r="P71" s="12" t="n">
        <v>23920</v>
      </c>
      <c r="Q71" s="12" t="n">
        <v>21182</v>
      </c>
      <c r="R71" s="12" t="n">
        <v>10987</v>
      </c>
      <c r="S71" s="12" t="n">
        <v>4516</v>
      </c>
      <c r="T71" s="12" t="n">
        <v>26894</v>
      </c>
      <c r="U71" s="12" t="n">
        <v>36301</v>
      </c>
      <c r="V71" s="12" t="n">
        <v>30555</v>
      </c>
      <c r="W71" s="12" t="n">
        <v>28314</v>
      </c>
      <c r="X71" s="12" t="n">
        <v>32605</v>
      </c>
      <c r="Y71" s="11">
        <f>IF(OR(Y70="",Y72=""),"",IFERROR(Y70*Y72,""))</f>
        <v/>
      </c>
      <c r="Z71" s="12">
        <f>IF(OR(Z70="",Z72=""),"",IFERROR(Z70*Z72,""))</f>
        <v/>
      </c>
      <c r="AA71" s="12">
        <f>IF(OR(AA70="",AA72=""),"",IFERROR(AA70*AA72,""))</f>
        <v/>
      </c>
      <c r="AB71" s="12">
        <f>IF(OR(AB70="",AB72=""),"",IFERROR(AB70*AB72,""))</f>
        <v/>
      </c>
      <c r="AC71" s="12">
        <f>IF(OR(AC70="",AC72=""),"",IFERROR(AC70*AC72,""))</f>
        <v/>
      </c>
    </row>
    <row r="72">
      <c r="A72" s="13" t="inlineStr">
        <is>
          <t>지배주주 순이익률</t>
        </is>
      </c>
      <c r="B72" s="10" t="inlineStr">
        <is>
          <t>MW 기본 100%</t>
        </is>
      </c>
      <c r="C72" s="14">
        <f>IF(OR(C71="",C70=""),"",IFERROR(C71/C70,""))</f>
        <v/>
      </c>
      <c r="D72" s="15">
        <f>IF(OR(D71="",D70=""),"",IFERROR(D71/D70,""))</f>
        <v/>
      </c>
      <c r="E72" s="15">
        <f>IF(OR(E71="",E70=""),"",IFERROR(E71/E70,""))</f>
        <v/>
      </c>
      <c r="F72" s="15">
        <f>IF(OR(F71="",F70=""),"",IFERROR(F71/F70,""))</f>
        <v/>
      </c>
      <c r="G72" s="15">
        <f>IF(OR(G71="",G70=""),"",IFERROR(G71/G70,""))</f>
        <v/>
      </c>
      <c r="H72" s="15">
        <f>IF(OR(H71="",H70=""),"",IFERROR(H71/H70,""))</f>
        <v/>
      </c>
      <c r="I72" s="15">
        <f>IF(OR(I71="",I70=""),"",IFERROR(I71/I70,""))</f>
        <v/>
      </c>
      <c r="J72" s="15">
        <f>IF(OR(J71="",J70=""),"",IFERROR(J71/J70,""))</f>
        <v/>
      </c>
      <c r="K72" s="15">
        <f>IF(OR(K71="",K70=""),"",IFERROR(K71/K70,""))</f>
        <v/>
      </c>
      <c r="L72" s="15">
        <f>IF(OR(L71="",L70=""),"",IFERROR(L71/L70,""))</f>
        <v/>
      </c>
      <c r="M72" s="15">
        <f>IF(OR(M71="",M70=""),"",IFERROR(M71/M70,""))</f>
        <v/>
      </c>
      <c r="N72" s="15">
        <f>IF(OR(N71="",N70=""),"",IFERROR(N71/N70,""))</f>
        <v/>
      </c>
      <c r="O72" s="14">
        <f>IF(OR(O71="",O70=""),"",IFERROR(O71/O70,""))</f>
        <v/>
      </c>
      <c r="P72" s="15">
        <f>IF(OR(P71="",P70=""),"",IFERROR(P71/P70,""))</f>
        <v/>
      </c>
      <c r="Q72" s="15">
        <f>IF(OR(Q71="",Q70=""),"",IFERROR(Q71/Q70,""))</f>
        <v/>
      </c>
      <c r="R72" s="15">
        <f>IF(OR(R71="",R70=""),"",IFERROR(R71/R70,""))</f>
        <v/>
      </c>
      <c r="S72" s="15">
        <f>IF(OR(S71="",S70=""),"",IFERROR(S71/S70,""))</f>
        <v/>
      </c>
      <c r="T72" s="15">
        <f>IF(OR(T71="",T70=""),"",IFERROR(T71/T70,""))</f>
        <v/>
      </c>
      <c r="U72" s="15">
        <f>IF(OR(U71="",U70=""),"",IFERROR(U71/U70,""))</f>
        <v/>
      </c>
      <c r="V72" s="15">
        <f>IF(OR(V71="",V70=""),"",IFERROR(V71/V70,""))</f>
        <v/>
      </c>
      <c r="W72" s="15">
        <f>IF(OR(W71="",W70=""),"",IFERROR(W71/W70,""))</f>
        <v/>
      </c>
      <c r="X72" s="15">
        <f>IF(OR(X71="",X70=""),"",IFERROR(X71/X70,""))</f>
        <v/>
      </c>
      <c r="Y72" s="25" t="n">
        <v>1</v>
      </c>
      <c r="Z72" s="26" t="n">
        <v>1</v>
      </c>
      <c r="AA72" s="26" t="n">
        <v>1</v>
      </c>
      <c r="AB72" s="26" t="n">
        <v>1</v>
      </c>
      <c r="AC72" s="26" t="n">
        <v>1</v>
      </c>
    </row>
    <row r="73">
      <c r="A73" s="16" t="inlineStr">
        <is>
          <t>목표주가 산출</t>
        </is>
      </c>
      <c r="B73" s="16" t="n"/>
      <c r="C73" s="17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7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7" t="n"/>
      <c r="Z73" s="16" t="n"/>
      <c r="AA73" s="16" t="n"/>
      <c r="AB73" s="16" t="n"/>
      <c r="AC73" s="16" t="n"/>
    </row>
    <row r="74">
      <c r="A74" s="18" t="inlineStr">
        <is>
          <t>현재 주가 (2026.10.26)</t>
        </is>
      </c>
      <c r="B74" s="27" t="n">
        <v>2170.5</v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8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8" t="n"/>
      <c r="Z74" s="29" t="n"/>
      <c r="AA74" s="29" t="n"/>
      <c r="AB74" s="29" t="n"/>
      <c r="AC74" s="29" t="n"/>
    </row>
    <row r="75">
      <c r="A75" s="18" t="inlineStr">
        <is>
          <t>발행주식수 (보통주)</t>
        </is>
      </c>
      <c r="B75" s="27" t="n">
        <v>217243845</v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8" t="n"/>
      <c r="Z75" s="29" t="n"/>
      <c r="AA75" s="29" t="n"/>
      <c r="AB75" s="29" t="n"/>
      <c r="AC75" s="29" t="n"/>
    </row>
    <row r="76">
      <c r="A76" s="18" t="inlineStr">
        <is>
          <t>시가총액 (백만엔)</t>
        </is>
      </c>
      <c r="B76" s="12">
        <f>IF(OR(B74="",B75=""),"",B74*B75/1000000.0)</f>
        <v/>
      </c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19" t="n"/>
      <c r="Z76" s="20" t="n"/>
      <c r="AA76" s="20" t="n"/>
      <c r="AB76" s="20" t="n"/>
      <c r="AC76" s="20" t="n"/>
    </row>
    <row r="77">
      <c r="A77" s="13" t="inlineStr">
        <is>
          <t>OPM</t>
        </is>
      </c>
      <c r="B77" s="10" t="n"/>
      <c r="C77" s="14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4">
        <f>IF(O44="","",O44)</f>
        <v/>
      </c>
      <c r="P77" s="15">
        <f>IF(P44="","",P44)</f>
        <v/>
      </c>
      <c r="Q77" s="15">
        <f>IF(Q44="","",Q44)</f>
        <v/>
      </c>
      <c r="R77" s="15">
        <f>IF(R44="","",R44)</f>
        <v/>
      </c>
      <c r="S77" s="15">
        <f>IF(S44="","",S44)</f>
        <v/>
      </c>
      <c r="T77" s="15">
        <f>IF(T44="","",T44)</f>
        <v/>
      </c>
      <c r="U77" s="15">
        <f>IF(U44="","",U44)</f>
        <v/>
      </c>
      <c r="V77" s="15">
        <f>IF(V44="","",V44)</f>
        <v/>
      </c>
      <c r="W77" s="15">
        <f>IF(W44="","",W44)</f>
        <v/>
      </c>
      <c r="X77" s="15">
        <f>IF(X44="","",X44)</f>
        <v/>
      </c>
      <c r="Y77" s="14">
        <f>IF(Y44="","",Y44)</f>
        <v/>
      </c>
      <c r="Z77" s="15">
        <f>IF(Z44="","",Z44)</f>
        <v/>
      </c>
      <c r="AA77" s="15">
        <f>IF(AA44="","",AA44)</f>
        <v/>
      </c>
      <c r="AB77" s="15">
        <f>IF(AB44="","",AB44)</f>
        <v/>
      </c>
      <c r="AC77" s="15">
        <f>IF(AC44="","",AC44)</f>
        <v/>
      </c>
    </row>
    <row r="78">
      <c r="A78" s="13" t="inlineStr">
        <is>
          <t>지배주주 순이익 증가율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>
        <f>IF(OR(P71="",O71=""),"",IFERROR(P71/O71-1,""))</f>
        <v/>
      </c>
      <c r="Q78" s="15">
        <f>IF(OR(Q71="",P71=""),"",IFERROR(Q71/P71-1,""))</f>
        <v/>
      </c>
      <c r="R78" s="15">
        <f>IF(OR(R71="",Q71=""),"",IFERROR(R71/Q71-1,""))</f>
        <v/>
      </c>
      <c r="S78" s="15">
        <f>IF(OR(S71="",R71=""),"",IFERROR(S71/R71-1,""))</f>
        <v/>
      </c>
      <c r="T78" s="15">
        <f>IF(OR(T71="",S71=""),"",IFERROR(T71/S71-1,""))</f>
        <v/>
      </c>
      <c r="U78" s="15">
        <f>IF(OR(U71="",T71=""),"",IFERROR(U71/T71-1,""))</f>
        <v/>
      </c>
      <c r="V78" s="15">
        <f>IF(OR(V71="",U71=""),"",IFERROR(V71/U71-1,""))</f>
        <v/>
      </c>
      <c r="W78" s="15">
        <f>IF(OR(W71="",V71=""),"",IFERROR(W71/V71-1,""))</f>
        <v/>
      </c>
      <c r="X78" s="15">
        <f>IF(OR(X71="",W71=""),"",IFERROR(X71/W71-1,""))</f>
        <v/>
      </c>
      <c r="Y78" s="14">
        <f>IF(OR(Y71="",X71=""),"",IFERROR(Y71/X71-1,""))</f>
        <v/>
      </c>
      <c r="Z78" s="15">
        <f>IF(OR(Z71="",Y71=""),"",IFERROR(Z71/Y71-1,""))</f>
        <v/>
      </c>
      <c r="AA78" s="15">
        <f>IF(OR(AA71="",Z71=""),"",IFERROR(AA71/Z71-1,""))</f>
        <v/>
      </c>
      <c r="AB78" s="15">
        <f>IF(OR(AB71="",AA71=""),"",IFERROR(AB71/AA71-1,""))</f>
        <v/>
      </c>
      <c r="AC78" s="15">
        <f>IF(OR(AC71="",AB71=""),"",IFERROR(AC71/AB71-1,""))</f>
        <v/>
      </c>
    </row>
    <row r="79">
      <c r="A79" s="18" t="inlineStr">
        <is>
          <t>P/E (현재 주가)</t>
        </is>
      </c>
      <c r="B79" s="10" t="inlineStr">
        <is>
          <t>시총 ÷ 지배순이익</t>
        </is>
      </c>
      <c r="C79" s="30" t="n"/>
      <c r="D79" s="31" t="n"/>
      <c r="E79" s="31" t="n"/>
      <c r="F79" s="31" t="n"/>
      <c r="G79" s="31" t="n"/>
      <c r="H79" s="31" t="n"/>
      <c r="I79" s="31" t="n"/>
      <c r="J79" s="31" t="n"/>
      <c r="K79" s="31" t="n"/>
      <c r="L79" s="31" t="n"/>
      <c r="M79" s="31" t="n"/>
      <c r="N79" s="31" t="n"/>
      <c r="O79" s="30" t="n"/>
      <c r="P79" s="31" t="n"/>
      <c r="Q79" s="31" t="n"/>
      <c r="R79" s="31" t="n"/>
      <c r="S79" s="31" t="n"/>
      <c r="T79" s="31" t="n"/>
      <c r="U79" s="31" t="n"/>
      <c r="V79" s="31" t="n"/>
      <c r="W79" s="31" t="n"/>
      <c r="X79" s="31">
        <f>IF(OR($B$76="",X71=""),"",IFERROR($B$76/X71,""))</f>
        <v/>
      </c>
      <c r="Y79" s="30">
        <f>IF(OR($B$76="",Y71=""),"",IFERROR($B$76/Y71,""))</f>
        <v/>
      </c>
      <c r="Z79" s="31">
        <f>IF(OR($B$76="",Z71=""),"",IFERROR($B$76/Z71,""))</f>
        <v/>
      </c>
      <c r="AA79" s="31">
        <f>IF(OR($B$76="",AA71=""),"",IFERROR($B$76/AA71,""))</f>
        <v/>
      </c>
      <c r="AB79" s="31">
        <f>IF(OR($B$76="",AB71=""),"",IFERROR($B$76/AB71,""))</f>
        <v/>
      </c>
      <c r="AC79" s="31">
        <f>IF(OR($B$76="",AC71=""),"",IFERROR($B$76/AC71,""))</f>
        <v/>
      </c>
    </row>
    <row r="80">
      <c r="A80" s="18" t="inlineStr">
        <is>
          <t>Target P/E</t>
        </is>
      </c>
      <c r="B80" s="10" t="inlineStr">
        <is>
          <t>직접 입력</t>
        </is>
      </c>
      <c r="C80" s="30" t="n"/>
      <c r="D80" s="31" t="n"/>
      <c r="E80" s="31" t="n"/>
      <c r="F80" s="31" t="n"/>
      <c r="G80" s="31" t="n"/>
      <c r="H80" s="31" t="n"/>
      <c r="I80" s="31" t="n"/>
      <c r="J80" s="31" t="n"/>
      <c r="K80" s="31" t="n"/>
      <c r="L80" s="31" t="n"/>
      <c r="M80" s="31" t="n"/>
      <c r="N80" s="31" t="n"/>
      <c r="O80" s="30" t="n"/>
      <c r="P80" s="31" t="n"/>
      <c r="Q80" s="31" t="n"/>
      <c r="R80" s="31" t="n"/>
      <c r="S80" s="31" t="n"/>
      <c r="T80" s="31" t="n"/>
      <c r="U80" s="31" t="n"/>
      <c r="V80" s="31" t="n"/>
      <c r="W80" s="31" t="n"/>
      <c r="X80" s="31" t="n"/>
      <c r="Y80" s="32" t="n"/>
      <c r="Z80" s="33" t="n"/>
      <c r="AA80" s="33" t="n"/>
      <c r="AB80" s="33" t="n"/>
      <c r="AC80" s="33" t="n"/>
    </row>
    <row r="81">
      <c r="A81" s="18" t="inlineStr">
        <is>
          <t>EPS</t>
        </is>
      </c>
      <c r="B81" s="10" t="inlineStr">
        <is>
          <t>지배순이익 ÷ 주식수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8">
        <f>IF(OR(O71="",$B$75=""),"",IFERROR(O71*1000000.0/$B$75,""))</f>
        <v/>
      </c>
      <c r="P81" s="29">
        <f>IF(OR(P71="",$B$75=""),"",IFERROR(P71*1000000.0/$B$75,""))</f>
        <v/>
      </c>
      <c r="Q81" s="29">
        <f>IF(OR(Q71="",$B$75=""),"",IFERROR(Q71*1000000.0/$B$75,""))</f>
        <v/>
      </c>
      <c r="R81" s="29">
        <f>IF(OR(R71="",$B$75=""),"",IFERROR(R71*1000000.0/$B$75,""))</f>
        <v/>
      </c>
      <c r="S81" s="29">
        <f>IF(OR(S71="",$B$75=""),"",IFERROR(S71*1000000.0/$B$75,""))</f>
        <v/>
      </c>
      <c r="T81" s="29">
        <f>IF(OR(T71="",$B$75=""),"",IFERROR(T71*1000000.0/$B$75,""))</f>
        <v/>
      </c>
      <c r="U81" s="29">
        <f>IF(OR(U71="",$B$75=""),"",IFERROR(U71*1000000.0/$B$75,""))</f>
        <v/>
      </c>
      <c r="V81" s="29">
        <f>IF(OR(V71="",$B$75=""),"",IFERROR(V71*1000000.0/$B$75,""))</f>
        <v/>
      </c>
      <c r="W81" s="29">
        <f>IF(OR(W71="",$B$75=""),"",IFERROR(W71*1000000.0/$B$75,""))</f>
        <v/>
      </c>
      <c r="X81" s="29">
        <f>IF(OR(X71="",$B$75=""),"",IFERROR(X71*1000000.0/$B$75,""))</f>
        <v/>
      </c>
      <c r="Y81" s="28">
        <f>IF(OR(Y71="",$B$75=""),"",IFERROR(Y71*1000000.0/$B$75,""))</f>
        <v/>
      </c>
      <c r="Z81" s="29">
        <f>IF(OR(Z71="",$B$75=""),"",IFERROR(Z71*1000000.0/$B$75,""))</f>
        <v/>
      </c>
      <c r="AA81" s="29">
        <f>IF(OR(AA71="",$B$75=""),"",IFERROR(AA71*1000000.0/$B$75,""))</f>
        <v/>
      </c>
      <c r="AB81" s="29">
        <f>IF(OR(AB71="",$B$75=""),"",IFERROR(AB71*1000000.0/$B$75,""))</f>
        <v/>
      </c>
      <c r="AC81" s="29">
        <f>IF(OR(AC71="",$B$75=""),"",IFERROR(AC71*1000000.0/$B$75,""))</f>
        <v/>
      </c>
    </row>
    <row r="82">
      <c r="A82" s="9" t="inlineStr">
        <is>
          <t>목표주가</t>
        </is>
      </c>
      <c r="B82" s="10" t="n"/>
      <c r="C82" s="34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34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34">
        <f>IF(OR(Y81="",Y80=""),"",IFERROR(Y81*Y80,""))</f>
        <v/>
      </c>
      <c r="Z82" s="27">
        <f>IF(OR(Z81="",Z80=""),"",IFERROR(Z81*Z80,""))</f>
        <v/>
      </c>
      <c r="AA82" s="27">
        <f>IF(OR(AA81="",AA80=""),"",IFERROR(AA81*AA80,""))</f>
        <v/>
      </c>
      <c r="AB82" s="27">
        <f>IF(OR(AB81="",AB80=""),"",IFERROR(AB81*AB80,""))</f>
        <v/>
      </c>
      <c r="AC82" s="27">
        <f>IF(OR(AC81="",AC80=""),"",IFERROR(AC81*AC80,""))</f>
        <v/>
      </c>
    </row>
    <row r="83">
      <c r="A83" s="18" t="inlineStr">
        <is>
          <t>상승여력</t>
        </is>
      </c>
      <c r="B83" s="10" t="n"/>
      <c r="C83" s="3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5" t="n"/>
      <c r="P83" s="36" t="n"/>
      <c r="Q83" s="36" t="n"/>
      <c r="R83" s="36" t="n"/>
      <c r="S83" s="36" t="n"/>
      <c r="T83" s="36" t="n"/>
      <c r="U83" s="36" t="n"/>
      <c r="V83" s="36" t="n"/>
      <c r="W83" s="36" t="n"/>
      <c r="X83" s="36" t="n"/>
      <c r="Y83" s="37">
        <f>IF(OR(Y82="",$B$74=""),"",IFERROR(Y82/$B$74-1,""))</f>
        <v/>
      </c>
      <c r="Z83" s="38">
        <f>IF(OR(Z82="",$B$74=""),"",IFERROR(Z82/$B$74-1,""))</f>
        <v/>
      </c>
      <c r="AA83" s="38">
        <f>IF(OR(AA82="",$B$74=""),"",IFERROR(AA82/$B$74-1,""))</f>
        <v/>
      </c>
      <c r="AB83" s="38">
        <f>IF(OR(AB82="",$B$74=""),"",IFERROR(AB82/$B$74-1,""))</f>
        <v/>
      </c>
      <c r="AC83" s="38">
        <f>IF(OR(AC82="",$B$74=""),"",IFERROR(AC82/$B$74-1,""))</f>
        <v/>
      </c>
    </row>
    <row r="84">
      <c r="A84" s="16" t="inlineStr">
        <is>
          <t>자산가치 산출</t>
        </is>
      </c>
      <c r="B84" s="16" t="inlineStr">
        <is>
          <t>최신 분기 BS</t>
        </is>
      </c>
      <c r="C84" s="17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7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7" t="n"/>
      <c r="Z84" s="16" t="n"/>
      <c r="AA84" s="16" t="n"/>
      <c r="AB84" s="16" t="n"/>
      <c r="AC84" s="16" t="n"/>
    </row>
    <row r="85">
      <c r="A85" s="18" t="inlineStr">
        <is>
          <t>현금및현금성자산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'재무상태표'!G6</f>
        <v/>
      </c>
      <c r="Y85" s="19">
        <f>'재무상태표'!G6</f>
        <v/>
      </c>
      <c r="Z85" s="20">
        <f>'재무상태표'!G6</f>
        <v/>
      </c>
      <c r="AA85" s="20">
        <f>'재무상태표'!G6</f>
        <v/>
      </c>
      <c r="AB85" s="20">
        <f>'재무상태표'!G6</f>
        <v/>
      </c>
      <c r="AC85" s="20">
        <f>'재무상태표'!G6</f>
        <v/>
      </c>
    </row>
    <row r="86">
      <c r="A86" s="18" t="inlineStr">
        <is>
          <t>단기금융상품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'재무상태표'!G7</f>
        <v/>
      </c>
      <c r="Y86" s="19">
        <f>'재무상태표'!G7</f>
        <v/>
      </c>
      <c r="Z86" s="20">
        <f>'재무상태표'!G7</f>
        <v/>
      </c>
      <c r="AA86" s="20">
        <f>'재무상태표'!G7</f>
        <v/>
      </c>
      <c r="AB86" s="20">
        <f>'재무상태표'!G7</f>
        <v/>
      </c>
      <c r="AC86" s="20">
        <f>'재무상태표'!G7</f>
        <v/>
      </c>
    </row>
    <row r="87">
      <c r="A87" s="18" t="inlineStr">
        <is>
          <t>투자부동산</t>
        </is>
      </c>
      <c r="B87" s="10" t="n"/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>
        <f>'재무상태표'!G14</f>
        <v/>
      </c>
      <c r="Y87" s="19">
        <f>'재무상태표'!G14</f>
        <v/>
      </c>
      <c r="Z87" s="20">
        <f>'재무상태표'!G14</f>
        <v/>
      </c>
      <c r="AA87" s="20">
        <f>'재무상태표'!G14</f>
        <v/>
      </c>
      <c r="AB87" s="20">
        <f>'재무상태표'!G14</f>
        <v/>
      </c>
      <c r="AC87" s="20">
        <f>'재무상태표'!G14</f>
        <v/>
      </c>
    </row>
    <row r="88">
      <c r="A88" s="18" t="inlineStr">
        <is>
          <t>지배자본</t>
        </is>
      </c>
      <c r="B88" s="10" t="n"/>
      <c r="C88" s="19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19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>
        <f>'재무상태표'!G31</f>
        <v/>
      </c>
      <c r="Y88" s="19">
        <f>'재무상태표'!G31</f>
        <v/>
      </c>
      <c r="Z88" s="20">
        <f>'재무상태표'!G31</f>
        <v/>
      </c>
      <c r="AA88" s="20">
        <f>'재무상태표'!G31</f>
        <v/>
      </c>
      <c r="AB88" s="20">
        <f>'재무상태표'!G31</f>
        <v/>
      </c>
      <c r="AC88" s="20">
        <f>'재무상태표'!G31</f>
        <v/>
      </c>
    </row>
    <row r="89">
      <c r="A89" s="18" t="inlineStr">
        <is>
          <t>부채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>
        <f>'재무상태표'!G27</f>
        <v/>
      </c>
      <c r="Y89" s="19">
        <f>'재무상태표'!G27</f>
        <v/>
      </c>
      <c r="Z89" s="20">
        <f>'재무상태표'!G27</f>
        <v/>
      </c>
      <c r="AA89" s="20">
        <f>'재무상태표'!G27</f>
        <v/>
      </c>
      <c r="AB89" s="20">
        <f>'재무상태표'!G27</f>
        <v/>
      </c>
      <c r="AC89" s="20">
        <f>'재무상태표'!G27</f>
        <v/>
      </c>
    </row>
    <row r="90">
      <c r="A90" s="13" t="inlineStr">
        <is>
          <t>부채비율</t>
        </is>
      </c>
      <c r="B90" s="10" t="n"/>
      <c r="C90" s="14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4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>
        <f>IF(OR(X89="",X88=""),"",IFERROR(X89/X88,""))</f>
        <v/>
      </c>
      <c r="Y90" s="14">
        <f>IF(OR(Y89="",Y88=""),"",IFERROR(Y89/Y88,""))</f>
        <v/>
      </c>
      <c r="Z90" s="15">
        <f>IF(OR(Z89="",Z88=""),"",IFERROR(Z89/Z88,""))</f>
        <v/>
      </c>
      <c r="AA90" s="15">
        <f>IF(OR(AA89="",AA88=""),"",IFERROR(AA89/AA88,""))</f>
        <v/>
      </c>
      <c r="AB90" s="15">
        <f>IF(OR(AB89="",AB88=""),"",IFERROR(AB89/AB88,""))</f>
        <v/>
      </c>
      <c r="AC90" s="15">
        <f>IF(OR(AC89="",AC88=""),"",IFERROR(AC89/AC88,""))</f>
        <v/>
      </c>
    </row>
    <row r="91">
      <c r="A91" s="9" t="inlineStr">
        <is>
          <t>자산가치</t>
        </is>
      </c>
      <c r="B91" s="10" t="inlineStr">
        <is>
          <t>현금+단기금융+투자부동산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>
        <f>SUM(X85,X86,X87)</f>
        <v/>
      </c>
      <c r="Y91" s="11">
        <f>SUM(Y85,Y86,Y87)</f>
        <v/>
      </c>
      <c r="Z91" s="12">
        <f>SUM(Z85,Z86,Z87)</f>
        <v/>
      </c>
      <c r="AA91" s="12">
        <f>SUM(AA85,AA86,AA87)</f>
        <v/>
      </c>
      <c r="AB91" s="12">
        <f>SUM(AB85,AB86,AB87)</f>
        <v/>
      </c>
      <c r="AC91" s="12">
        <f>SUM(AC85,AC86,AC87)</f>
        <v/>
      </c>
    </row>
    <row r="92">
      <c r="A92" s="16" t="inlineStr">
        <is>
          <t>기업가치 산출</t>
        </is>
      </c>
      <c r="B92" s="16" t="n"/>
      <c r="C92" s="17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7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7" t="n"/>
      <c r="Z92" s="16" t="n"/>
      <c r="AA92" s="16" t="n"/>
      <c r="AB92" s="16" t="n"/>
      <c r="AC92" s="16" t="n"/>
    </row>
    <row r="93">
      <c r="A93" s="18" t="inlineStr">
        <is>
          <t>목표 시가총액 (P/E)</t>
        </is>
      </c>
      <c r="B93" s="10" t="inlineStr">
        <is>
          <t>지배순이익 × Target P/E</t>
        </is>
      </c>
      <c r="C93" s="19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19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19">
        <f>IF(OR(Y71="",Y80=""),"",IFERROR(Y71*Y80,""))</f>
        <v/>
      </c>
      <c r="Z93" s="20">
        <f>IF(OR(Z71="",Z80=""),"",IFERROR(Z71*Z80,""))</f>
        <v/>
      </c>
      <c r="AA93" s="20">
        <f>IF(OR(AA71="",AA80=""),"",IFERROR(AA71*AA80,""))</f>
        <v/>
      </c>
      <c r="AB93" s="20">
        <f>IF(OR(AB71="",AB80=""),"",IFERROR(AB71*AB80,""))</f>
        <v/>
      </c>
      <c r="AC93" s="20">
        <f>IF(OR(AC71="",AC80=""),"",IFERROR(AC71*AC80,""))</f>
        <v/>
      </c>
    </row>
    <row r="94">
      <c r="A94" s="9" t="inlineStr">
        <is>
          <t>기업가치</t>
        </is>
      </c>
      <c r="B94" s="10" t="inlineStr">
        <is>
          <t>목표시총 + 자산가치</t>
        </is>
      </c>
      <c r="C94" s="11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1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1">
        <f>IF(OR(Y93=""),"",IFERROR(Y93+Y91,""))</f>
        <v/>
      </c>
      <c r="Z94" s="12">
        <f>IF(OR(Z93=""),"",IFERROR(Z93+Z91,""))</f>
        <v/>
      </c>
      <c r="AA94" s="12">
        <f>IF(OR(AA93=""),"",IFERROR(AA93+AA91,""))</f>
        <v/>
      </c>
      <c r="AB94" s="12">
        <f>IF(OR(AB93=""),"",IFERROR(AB93+AB91,""))</f>
        <v/>
      </c>
      <c r="AC94" s="12">
        <f>IF(OR(AC93=""),"",IFERROR(AC93+AC91,""))</f>
        <v/>
      </c>
    </row>
    <row r="95">
      <c r="A95" s="18" t="inlineStr">
        <is>
          <t>현재 시가총액</t>
        </is>
      </c>
      <c r="B95" s="10" t="n"/>
      <c r="C95" s="19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19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19">
        <f>$B$76</f>
        <v/>
      </c>
      <c r="Z95" s="20">
        <f>$B$76</f>
        <v/>
      </c>
      <c r="AA95" s="20">
        <f>$B$76</f>
        <v/>
      </c>
      <c r="AB95" s="20">
        <f>$B$76</f>
        <v/>
      </c>
      <c r="AC95" s="20">
        <f>$B$76</f>
        <v/>
      </c>
    </row>
    <row r="96">
      <c r="A96" s="18" t="inlineStr">
        <is>
          <t>상승여력</t>
        </is>
      </c>
      <c r="B96" s="10" t="n"/>
      <c r="C96" s="35" t="n"/>
      <c r="D96" s="36" t="n"/>
      <c r="E96" s="36" t="n"/>
      <c r="F96" s="36" t="n"/>
      <c r="G96" s="36" t="n"/>
      <c r="H96" s="36" t="n"/>
      <c r="I96" s="36" t="n"/>
      <c r="J96" s="36" t="n"/>
      <c r="K96" s="36" t="n"/>
      <c r="L96" s="36" t="n"/>
      <c r="M96" s="36" t="n"/>
      <c r="N96" s="36" t="n"/>
      <c r="O96" s="35" t="n"/>
      <c r="P96" s="36" t="n"/>
      <c r="Q96" s="36" t="n"/>
      <c r="R96" s="36" t="n"/>
      <c r="S96" s="36" t="n"/>
      <c r="T96" s="36" t="n"/>
      <c r="U96" s="36" t="n"/>
      <c r="V96" s="36" t="n"/>
      <c r="W96" s="36" t="n"/>
      <c r="X96" s="36" t="n"/>
      <c r="Y96" s="37">
        <f>IF(OR(Y94="",Y95=""),"",IFERROR(Y94/Y95-1,""))</f>
        <v/>
      </c>
      <c r="Z96" s="38">
        <f>IF(OR(Z94="",Z95=""),"",IFERROR(Z94/Z95-1,""))</f>
        <v/>
      </c>
      <c r="AA96" s="38">
        <f>IF(OR(AA94="",AA95=""),"",IFERROR(AA94/AA95-1,""))</f>
        <v/>
      </c>
      <c r="AB96" s="38">
        <f>IF(OR(AB94="",AB95=""),"",IFERROR(AB94/AB95-1,""))</f>
        <v/>
      </c>
      <c r="AC96" s="38">
        <f>IF(OR(AC94="",AC95=""),"",IFERROR(AC94/AC95-1,""))</f>
        <v/>
      </c>
    </row>
    <row r="97">
      <c r="C97" s="39" t="n"/>
      <c r="O97" s="39" t="n"/>
      <c r="Y97" s="39" t="n"/>
    </row>
    <row r="98">
      <c r="A98" s="40" t="inlineStr">
        <is>
          <t>출처</t>
        </is>
      </c>
      <c r="C98" s="39" t="n"/>
      <c r="O98" s="39" t="n"/>
      <c r="Y98" s="39" t="n"/>
    </row>
    <row r="99">
      <c r="A99" s="41" t="inlineStr">
        <is>
          <t>결산단신 XBRL(TDnet·JPX 보관소) — 쓴 문서는 '출처' 시트</t>
        </is>
      </c>
      <c r="C99" s="39" t="n"/>
      <c r="O99" s="39" t="n"/>
      <c r="Y99" s="39" t="n"/>
    </row>
    <row r="100">
      <c r="A100" s="41" t="inlineStr">
        <is>
          <t>분기 = 누계에서 앞 분기를 뺀 3개월 값</t>
        </is>
      </c>
      <c r="C100" s="39" t="n"/>
      <c r="O100" s="39" t="n"/>
      <c r="Y100" s="39" t="n"/>
    </row>
    <row r="101">
      <c r="A101" s="41" t="inlineStr">
        <is>
          <t>주가: 야후 파이낸스 일봉 2026.10.26</t>
        </is>
      </c>
      <c r="C101" s="39" t="n"/>
      <c r="O101" s="39" t="n"/>
      <c r="Y101" s="39" t="n"/>
    </row>
    <row r="103">
      <c r="A103" s="16" t="inlineStr">
        <is>
          <t>손익계산서 · 전 항목</t>
        </is>
      </c>
      <c r="B103" s="42" t="inlineStr">
        <is>
          <t>분기 = 3개월 단독</t>
        </is>
      </c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</row>
    <row r="104">
      <c r="A104" s="5" t="inlineStr">
        <is>
          <t>항목</t>
        </is>
      </c>
      <c r="B104" s="5" t="inlineStr">
        <is>
          <t>참고</t>
        </is>
      </c>
      <c r="C104" s="5" t="inlineStr">
        <is>
          <t>2024.2Q</t>
        </is>
      </c>
      <c r="D104" s="5" t="inlineStr">
        <is>
          <t>2024.3Q</t>
        </is>
      </c>
      <c r="E104" s="5" t="inlineStr">
        <is>
          <t>2024.4Q</t>
        </is>
      </c>
      <c r="F104" s="5" t="inlineStr">
        <is>
          <t>2025.1Q</t>
        </is>
      </c>
      <c r="G104" s="5" t="inlineStr">
        <is>
          <t>2025.2Q</t>
        </is>
      </c>
      <c r="H104" s="5" t="inlineStr">
        <is>
          <t>2025.3Q</t>
        </is>
      </c>
      <c r="I104" s="5" t="inlineStr">
        <is>
          <t>2025.4Q</t>
        </is>
      </c>
      <c r="J104" s="5" t="inlineStr">
        <is>
          <t>2026.1Q</t>
        </is>
      </c>
      <c r="K104" s="5" t="inlineStr">
        <is>
          <t>2026.2Q</t>
        </is>
      </c>
      <c r="L104" s="5" t="inlineStr">
        <is>
          <t>2026.3Q</t>
        </is>
      </c>
      <c r="M104" s="5" t="inlineStr">
        <is>
          <t>2026.4Q</t>
        </is>
      </c>
      <c r="N104" s="5" t="inlineStr">
        <is>
          <t>2027.1Q</t>
        </is>
      </c>
      <c r="O104" s="5" t="inlineStr">
        <is>
          <t>2017</t>
        </is>
      </c>
      <c r="P104" s="5" t="inlineStr">
        <is>
          <t>2018</t>
        </is>
      </c>
      <c r="Q104" s="5" t="inlineStr">
        <is>
          <t>2019</t>
        </is>
      </c>
      <c r="R104" s="5" t="inlineStr">
        <is>
          <t>2020</t>
        </is>
      </c>
      <c r="S104" s="5" t="inlineStr">
        <is>
          <t>2021</t>
        </is>
      </c>
      <c r="T104" s="5" t="inlineStr">
        <is>
          <t>2022</t>
        </is>
      </c>
      <c r="U104" s="5" t="inlineStr">
        <is>
          <t>2023</t>
        </is>
      </c>
      <c r="V104" s="5" t="inlineStr">
        <is>
          <t>2024</t>
        </is>
      </c>
      <c r="W104" s="5" t="inlineStr">
        <is>
          <t>2025</t>
        </is>
      </c>
      <c r="X104" s="5" t="inlineStr">
        <is>
          <t>2026</t>
        </is>
      </c>
      <c r="Y104" s="5" t="inlineStr">
        <is>
          <t>2027(MW)</t>
        </is>
      </c>
      <c r="Z104" s="5" t="inlineStr">
        <is>
          <t>2028(MW)</t>
        </is>
      </c>
      <c r="AA104" s="5" t="inlineStr">
        <is>
          <t>2029(MW)</t>
        </is>
      </c>
      <c r="AB104" s="5" t="inlineStr">
        <is>
          <t>2030(MW)</t>
        </is>
      </c>
      <c r="AC104" s="5" t="inlineStr">
        <is>
          <t>2031(MW)</t>
        </is>
      </c>
    </row>
    <row r="105">
      <c r="A105" s="9" t="inlineStr">
        <is>
          <t>매출수익</t>
        </is>
      </c>
      <c r="C105" s="12" t="n">
        <v>145349</v>
      </c>
      <c r="D105" s="12" t="n">
        <v>151534</v>
      </c>
      <c r="E105" s="12" t="n">
        <v>139795</v>
      </c>
      <c r="F105" s="12" t="n">
        <v>142094</v>
      </c>
      <c r="G105" s="12" t="n">
        <v>141345</v>
      </c>
      <c r="H105" s="12" t="n">
        <v>150522</v>
      </c>
      <c r="I105" s="12" t="n">
        <v>140984</v>
      </c>
      <c r="J105" s="12" t="n">
        <v>142352</v>
      </c>
      <c r="K105" s="12" t="n">
        <v>142147</v>
      </c>
      <c r="L105" s="12" t="n">
        <v>145731</v>
      </c>
      <c r="M105" s="12" t="n">
        <v>147899</v>
      </c>
      <c r="N105" s="12" t="n">
        <v>163530</v>
      </c>
      <c r="V105" s="12" t="n">
        <v>139795</v>
      </c>
      <c r="W105" s="12" t="n">
        <v>140984</v>
      </c>
      <c r="X105" s="12" t="n">
        <v>147899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IF(OR(G105="",C105=""),"",IF(C105&lt;=0,"",IFERROR(G105/C105-1,"")))</f>
        <v/>
      </c>
      <c r="H106" s="15">
        <f>IF(OR(H105="",D105=""),"",IF(D105&lt;=0,"",IFERROR(H105/D105-1,"")))</f>
        <v/>
      </c>
      <c r="I106" s="15">
        <f>IF(OR(I105="",E105=""),"",IF(E105&lt;=0,"",IFERROR(I105/E105-1,"")))</f>
        <v/>
      </c>
      <c r="J106" s="15">
        <f>IF(OR(J105="",F105=""),"",IF(F105&lt;=0,"",IFERROR(J105/F105-1,"")))</f>
        <v/>
      </c>
      <c r="K106" s="15">
        <f>IF(OR(K105="",G105=""),"",IF(G105&lt;=0,"",IFERROR(K105/G105-1,"")))</f>
        <v/>
      </c>
      <c r="L106" s="15">
        <f>IF(OR(L105="",H105=""),"",IF(H105&lt;=0,"",IFERROR(L105/H105-1,"")))</f>
        <v/>
      </c>
      <c r="M106" s="15">
        <f>IF(OR(M105="",I105=""),"",IF(I105&lt;=0,"",IFERROR(M105/I105-1,"")))</f>
        <v/>
      </c>
      <c r="N106" s="15">
        <f>IF(OR(N105="",J105=""),"",IF(J105&lt;=0,"",IFERROR(N105/J105-1,"")))</f>
        <v/>
      </c>
      <c r="V106" s="15">
        <f>IF(OR(V105="",U105=""),"",IF(U105&lt;=0,"",IFERROR(V105/U105-1,"")))</f>
        <v/>
      </c>
      <c r="W106" s="15">
        <f>IF(OR(W105="",V105=""),"",IF(V105&lt;=0,"",IFERROR(W105/V105-1,"")))</f>
        <v/>
      </c>
      <c r="X106" s="15">
        <f>IF(OR(X105="",W105=""),"",IF(W105&lt;=0,"",IFERROR(X105/W105-1,"")))</f>
        <v/>
      </c>
    </row>
    <row r="107">
      <c r="A107" s="18" t="inlineStr">
        <is>
          <t>매출원가</t>
        </is>
      </c>
      <c r="C107" s="20" t="n">
        <v>119857</v>
      </c>
      <c r="D107" s="20" t="n">
        <v>122472</v>
      </c>
      <c r="E107" s="20" t="n">
        <v>118684</v>
      </c>
      <c r="F107" s="20" t="n">
        <v>115949</v>
      </c>
      <c r="G107" s="20" t="n">
        <v>115633</v>
      </c>
      <c r="H107" s="20" t="n">
        <v>120482</v>
      </c>
      <c r="I107" s="20" t="n">
        <v>118693</v>
      </c>
      <c r="J107" s="20" t="n">
        <v>117664</v>
      </c>
      <c r="K107" s="20" t="n">
        <v>116683</v>
      </c>
      <c r="L107" s="20" t="n">
        <v>117742</v>
      </c>
      <c r="M107" s="20" t="n">
        <v>124739</v>
      </c>
      <c r="N107" s="20" t="n">
        <v>134320</v>
      </c>
      <c r="V107" s="20" t="n">
        <v>118684</v>
      </c>
      <c r="W107" s="20" t="n">
        <v>118693</v>
      </c>
      <c r="X107" s="20" t="n">
        <v>124739</v>
      </c>
    </row>
    <row r="108">
      <c r="A108" s="9" t="inlineStr">
        <is>
          <t>매출총이익</t>
        </is>
      </c>
      <c r="C108" s="12" t="n">
        <v>25493</v>
      </c>
      <c r="D108" s="12" t="n">
        <v>29061</v>
      </c>
      <c r="E108" s="12" t="n">
        <v>21112</v>
      </c>
      <c r="F108" s="12" t="n">
        <v>26144</v>
      </c>
      <c r="G108" s="12" t="n">
        <v>25712</v>
      </c>
      <c r="H108" s="12" t="n">
        <v>30041</v>
      </c>
      <c r="I108" s="12" t="n">
        <v>22290</v>
      </c>
      <c r="J108" s="12" t="n">
        <v>24688</v>
      </c>
      <c r="K108" s="12" t="n">
        <v>25463</v>
      </c>
      <c r="L108" s="12" t="n">
        <v>27989</v>
      </c>
      <c r="M108" s="12" t="n">
        <v>23161</v>
      </c>
      <c r="N108" s="12" t="n">
        <v>29209</v>
      </c>
      <c r="V108" s="12" t="n">
        <v>21112</v>
      </c>
      <c r="W108" s="12" t="n">
        <v>22290</v>
      </c>
      <c r="X108" s="12" t="n">
        <v>23161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18" t="inlineStr">
        <is>
          <t>판매비와 관리비</t>
        </is>
      </c>
      <c r="C110" s="20" t="n">
        <v>14300</v>
      </c>
      <c r="D110" s="20" t="n">
        <v>14392</v>
      </c>
      <c r="E110" s="20" t="n">
        <v>16258</v>
      </c>
      <c r="F110" s="20" t="n">
        <v>14855</v>
      </c>
      <c r="G110" s="20" t="n">
        <v>14834</v>
      </c>
      <c r="H110" s="20" t="n">
        <v>15543</v>
      </c>
      <c r="I110" s="20" t="n">
        <v>16103</v>
      </c>
      <c r="J110" s="20" t="n">
        <v>15849</v>
      </c>
      <c r="K110" s="20" t="n">
        <v>15619</v>
      </c>
      <c r="L110" s="20" t="n">
        <v>15940</v>
      </c>
      <c r="M110" s="20" t="n">
        <v>17382</v>
      </c>
      <c r="N110" s="20" t="n">
        <v>17145</v>
      </c>
      <c r="V110" s="20" t="n">
        <v>16258</v>
      </c>
      <c r="W110" s="20" t="n">
        <v>16103</v>
      </c>
      <c r="X110" s="20" t="n">
        <v>17382</v>
      </c>
    </row>
    <row r="111">
      <c r="A111" s="18" t="inlineStr">
        <is>
          <t>Other Income</t>
        </is>
      </c>
      <c r="C111" s="20" t="n">
        <v>326</v>
      </c>
      <c r="D111" s="20" t="n">
        <v>6518</v>
      </c>
      <c r="E111" s="20" t="n">
        <v>892</v>
      </c>
      <c r="F111" s="20" t="n">
        <v>794</v>
      </c>
      <c r="G111" s="20" t="n">
        <v>-794</v>
      </c>
      <c r="H111" s="20" t="n">
        <v>0</v>
      </c>
      <c r="I111" s="20" t="n">
        <v>1002</v>
      </c>
      <c r="J111" s="20" t="n">
        <v>0</v>
      </c>
      <c r="K111" s="20" t="n">
        <v>77</v>
      </c>
      <c r="L111" s="20" t="n">
        <v>680</v>
      </c>
      <c r="M111" s="20" t="n">
        <v>5542</v>
      </c>
      <c r="N111" s="20" t="n">
        <v>1048</v>
      </c>
      <c r="V111" s="20" t="n">
        <v>892</v>
      </c>
      <c r="W111" s="20" t="n">
        <v>1002</v>
      </c>
      <c r="X111" s="20" t="n">
        <v>5542</v>
      </c>
    </row>
    <row r="112">
      <c r="A112" s="18" t="inlineStr">
        <is>
          <t>기타비용</t>
        </is>
      </c>
      <c r="C112" s="20" t="n">
        <v>2562</v>
      </c>
      <c r="D112" s="20" t="n">
        <v>754</v>
      </c>
      <c r="E112" s="20" t="n">
        <v>1623</v>
      </c>
      <c r="F112" s="20" t="n">
        <v>2016</v>
      </c>
      <c r="G112" s="20" t="n">
        <v>1892</v>
      </c>
      <c r="H112" s="20" t="n">
        <v>-1314</v>
      </c>
      <c r="I112" s="20" t="n">
        <v>1852</v>
      </c>
      <c r="J112" s="20" t="n">
        <v>180</v>
      </c>
      <c r="K112" s="20" t="n">
        <v>116</v>
      </c>
      <c r="L112" s="20" t="n">
        <v>2</v>
      </c>
      <c r="M112" s="20" t="n">
        <v>431</v>
      </c>
      <c r="N112" s="20" t="n">
        <v>0</v>
      </c>
      <c r="V112" s="20" t="n">
        <v>1623</v>
      </c>
      <c r="W112" s="20" t="n">
        <v>1852</v>
      </c>
      <c r="X112" s="20" t="n">
        <v>431</v>
      </c>
    </row>
    <row r="113">
      <c r="A113" s="18" t="inlineStr">
        <is>
          <t>영업이익</t>
        </is>
      </c>
      <c r="C113" s="20" t="n">
        <v>8956</v>
      </c>
      <c r="D113" s="20" t="n">
        <v>20433</v>
      </c>
      <c r="E113" s="20" t="n">
        <v>4122</v>
      </c>
      <c r="F113" s="20" t="n">
        <v>10067</v>
      </c>
      <c r="G113" s="20" t="n">
        <v>8191</v>
      </c>
      <c r="H113" s="20" t="n">
        <v>15812</v>
      </c>
      <c r="I113" s="20" t="n">
        <v>5338</v>
      </c>
      <c r="J113" s="20" t="n">
        <v>8658</v>
      </c>
      <c r="K113" s="20" t="n">
        <v>9806</v>
      </c>
      <c r="L113" s="20" t="n">
        <v>12726</v>
      </c>
      <c r="M113" s="20" t="n">
        <v>10891</v>
      </c>
      <c r="N113" s="20" t="n">
        <v>13112</v>
      </c>
      <c r="V113" s="20" t="n">
        <v>4122</v>
      </c>
      <c r="W113" s="20" t="n">
        <v>5338</v>
      </c>
      <c r="X113" s="20" t="n">
        <v>10891</v>
      </c>
    </row>
    <row r="114">
      <c r="A114" s="43" t="inlineStr">
        <is>
          <t>OPM</t>
        </is>
      </c>
      <c r="B114" s="3" t="inlineStr">
        <is>
          <t>영업이익 ÷ 매출</t>
        </is>
      </c>
      <c r="C114" s="15">
        <f>IF(OR(C113="",C105=""),"",IF(C105&lt;=0,"",IFERROR(C113/C105,"")))</f>
        <v/>
      </c>
      <c r="D114" s="15">
        <f>IF(OR(D113="",D105=""),"",IF(D105&lt;=0,"",IFERROR(D113/D105,"")))</f>
        <v/>
      </c>
      <c r="E114" s="15">
        <f>IF(OR(E113="",E105=""),"",IF(E105&lt;=0,"",IFERROR(E113/E105,"")))</f>
        <v/>
      </c>
      <c r="F114" s="15">
        <f>IF(OR(F113="",F105=""),"",IF(F105&lt;=0,"",IFERROR(F113/F105,"")))</f>
        <v/>
      </c>
      <c r="G114" s="15">
        <f>IF(OR(G113="",G105=""),"",IF(G105&lt;=0,"",IFERROR(G113/G105,"")))</f>
        <v/>
      </c>
      <c r="H114" s="15">
        <f>IF(OR(H113="",H105=""),"",IF(H105&lt;=0,"",IFERROR(H113/H105,"")))</f>
        <v/>
      </c>
      <c r="I114" s="15">
        <f>IF(OR(I113="",I105=""),"",IF(I105&lt;=0,"",IFERROR(I113/I105,"")))</f>
        <v/>
      </c>
      <c r="J114" s="15">
        <f>IF(OR(J113="",J105=""),"",IF(J105&lt;=0,"",IFERROR(J113/J105,"")))</f>
        <v/>
      </c>
      <c r="K114" s="15">
        <f>IF(OR(K113="",K105=""),"",IF(K105&lt;=0,"",IFERROR(K113/K105,"")))</f>
        <v/>
      </c>
      <c r="L114" s="15">
        <f>IF(OR(L113="",L105=""),"",IF(L105&lt;=0,"",IFERROR(L113/L105,"")))</f>
        <v/>
      </c>
      <c r="M114" s="15">
        <f>IF(OR(M113="",M105=""),"",IF(M105&lt;=0,"",IFERROR(M113/M105,"")))</f>
        <v/>
      </c>
      <c r="N114" s="15">
        <f>IF(OR(N113="",N105=""),"",IF(N105&lt;=0,"",IFERROR(N113/N105,"")))</f>
        <v/>
      </c>
      <c r="V114" s="15">
        <f>IF(OR(V113="",V105=""),"",IF(V105&lt;=0,"",IFERROR(V113/V105,"")))</f>
        <v/>
      </c>
      <c r="W114" s="15">
        <f>IF(OR(W113="",W105=""),"",IF(W105&lt;=0,"",IFERROR(W113/W105,"")))</f>
        <v/>
      </c>
      <c r="X114" s="15">
        <f>IF(OR(X113="",X105=""),"",IF(X105&lt;=0,"",IFERROR(X113/X105,"")))</f>
        <v/>
      </c>
    </row>
    <row r="115">
      <c r="A115" s="43" t="inlineStr">
        <is>
          <t>YoY</t>
        </is>
      </c>
      <c r="B115" s="3" t="inlineStr">
        <is>
          <t>전년 같은 분기·전년 대비</t>
        </is>
      </c>
      <c r="G115" s="15">
        <f>IF(OR(G113="",C113=""),"",IF(C113&lt;=0,"",IFERROR(G113/C113-1,"")))</f>
        <v/>
      </c>
      <c r="H115" s="15">
        <f>IF(OR(H113="",D113=""),"",IF(D113&lt;=0,"",IFERROR(H113/D113-1,"")))</f>
        <v/>
      </c>
      <c r="I115" s="15">
        <f>IF(OR(I113="",E113=""),"",IF(E113&lt;=0,"",IFERROR(I113/E113-1,"")))</f>
        <v/>
      </c>
      <c r="J115" s="15">
        <f>IF(OR(J113="",F113=""),"",IF(F113&lt;=0,"",IFERROR(J113/F113-1,"")))</f>
        <v/>
      </c>
      <c r="K115" s="15">
        <f>IF(OR(K113="",G113=""),"",IF(G113&lt;=0,"",IFERROR(K113/G113-1,"")))</f>
        <v/>
      </c>
      <c r="L115" s="15">
        <f>IF(OR(L113="",H113=""),"",IF(H113&lt;=0,"",IFERROR(L113/H113-1,"")))</f>
        <v/>
      </c>
      <c r="M115" s="15">
        <f>IF(OR(M113="",I113=""),"",IF(I113&lt;=0,"",IFERROR(M113/I113-1,"")))</f>
        <v/>
      </c>
      <c r="N115" s="15">
        <f>IF(OR(N113="",J113=""),"",IF(J113&lt;=0,"",IFERROR(N113/J113-1,"")))</f>
        <v/>
      </c>
      <c r="V115" s="15">
        <f>IF(OR(V113="",U113=""),"",IF(U113&lt;=0,"",IFERROR(V113/U113-1,"")))</f>
        <v/>
      </c>
      <c r="W115" s="15">
        <f>IF(OR(W113="",V113=""),"",IF(V113&lt;=0,"",IFERROR(W113/V113-1,"")))</f>
        <v/>
      </c>
      <c r="X115" s="15">
        <f>IF(OR(X113="",W113=""),"",IF(W113&lt;=0,"",IFERROR(X113/W113-1,"")))</f>
        <v/>
      </c>
    </row>
    <row r="116">
      <c r="A116" s="18" t="inlineStr">
        <is>
          <t>금융수익</t>
        </is>
      </c>
      <c r="C116" s="20" t="n">
        <v>215</v>
      </c>
      <c r="D116" s="20" t="n">
        <v>1290</v>
      </c>
      <c r="E116" s="20" t="n">
        <v>225</v>
      </c>
      <c r="F116" s="20" t="n">
        <v>1440</v>
      </c>
      <c r="G116" s="20" t="n">
        <v>151</v>
      </c>
      <c r="H116" s="20" t="n">
        <v>1367</v>
      </c>
      <c r="I116" s="20" t="n">
        <v>156</v>
      </c>
      <c r="J116" s="20" t="n">
        <v>1129</v>
      </c>
      <c r="K116" s="20" t="n">
        <v>259</v>
      </c>
      <c r="L116" s="20" t="n">
        <v>893</v>
      </c>
      <c r="M116" s="20" t="n">
        <v>169</v>
      </c>
      <c r="N116" s="20" t="n">
        <v>878</v>
      </c>
      <c r="V116" s="20" t="n">
        <v>225</v>
      </c>
      <c r="W116" s="20" t="n">
        <v>156</v>
      </c>
      <c r="X116" s="20" t="n">
        <v>169</v>
      </c>
    </row>
    <row r="117">
      <c r="A117" s="18" t="inlineStr">
        <is>
          <t>금융비용</t>
        </is>
      </c>
      <c r="C117" s="20" t="n">
        <v>267</v>
      </c>
      <c r="D117" s="20" t="n">
        <v>269</v>
      </c>
      <c r="E117" s="20" t="n">
        <v>275</v>
      </c>
      <c r="F117" s="20" t="n">
        <v>231</v>
      </c>
      <c r="G117" s="20" t="n">
        <v>275</v>
      </c>
      <c r="H117" s="20" t="n">
        <v>239</v>
      </c>
      <c r="I117" s="20" t="n">
        <v>343</v>
      </c>
      <c r="J117" s="20" t="n">
        <v>208</v>
      </c>
      <c r="K117" s="20" t="n">
        <v>278</v>
      </c>
      <c r="L117" s="20" t="n">
        <v>264</v>
      </c>
      <c r="M117" s="20" t="n">
        <v>300</v>
      </c>
      <c r="N117" s="20" t="n">
        <v>144</v>
      </c>
      <c r="V117" s="20" t="n">
        <v>275</v>
      </c>
      <c r="W117" s="20" t="n">
        <v>343</v>
      </c>
      <c r="X117" s="20" t="n">
        <v>300</v>
      </c>
    </row>
    <row r="118">
      <c r="A118" s="18" t="inlineStr">
        <is>
          <t>지분법이익</t>
        </is>
      </c>
      <c r="C118" s="20" t="n">
        <v>121</v>
      </c>
      <c r="D118" s="20" t="n">
        <v>156</v>
      </c>
      <c r="E118" s="20" t="n">
        <v>412</v>
      </c>
      <c r="F118" s="20" t="n">
        <v>147</v>
      </c>
      <c r="G118" s="20" t="n">
        <v>117</v>
      </c>
      <c r="H118" s="20" t="n">
        <v>106</v>
      </c>
      <c r="I118" s="20" t="n">
        <v>847</v>
      </c>
      <c r="J118" s="20" t="n">
        <v>142</v>
      </c>
      <c r="K118" s="20" t="n">
        <v>140</v>
      </c>
      <c r="L118" s="20" t="n">
        <v>205</v>
      </c>
      <c r="M118" s="20" t="n">
        <v>788</v>
      </c>
      <c r="N118" s="20" t="n">
        <v>432</v>
      </c>
      <c r="V118" s="20" t="n">
        <v>412</v>
      </c>
      <c r="W118" s="20" t="n">
        <v>847</v>
      </c>
      <c r="X118" s="20" t="n">
        <v>788</v>
      </c>
    </row>
    <row r="119">
      <c r="A119" s="9" t="inlineStr">
        <is>
          <t>법인세비용차감전 중간이익</t>
        </is>
      </c>
      <c r="C119" s="12" t="n">
        <v>9025</v>
      </c>
      <c r="D119" s="12" t="n">
        <v>21611</v>
      </c>
      <c r="E119" s="12" t="n">
        <v>4484</v>
      </c>
      <c r="F119" s="12" t="n">
        <v>11425</v>
      </c>
      <c r="G119" s="12" t="n">
        <v>8183</v>
      </c>
      <c r="H119" s="12" t="n">
        <v>17045</v>
      </c>
      <c r="I119" s="12" t="n">
        <v>6000</v>
      </c>
      <c r="J119" s="12" t="n">
        <v>9721</v>
      </c>
      <c r="K119" s="12" t="n">
        <v>9929</v>
      </c>
      <c r="L119" s="12" t="n">
        <v>13559</v>
      </c>
      <c r="M119" s="12" t="n">
        <v>11547</v>
      </c>
      <c r="N119" s="12" t="n">
        <v>14279</v>
      </c>
      <c r="V119" s="12" t="n">
        <v>4484</v>
      </c>
      <c r="W119" s="12" t="n">
        <v>6000</v>
      </c>
      <c r="X119" s="12" t="n">
        <v>11547</v>
      </c>
    </row>
    <row r="120">
      <c r="A120" s="18" t="inlineStr">
        <is>
          <t>Income Tax Expense</t>
        </is>
      </c>
      <c r="C120" s="20" t="n">
        <v>3308</v>
      </c>
      <c r="D120" s="20" t="n">
        <v>4146</v>
      </c>
      <c r="E120" s="20" t="n">
        <v>2169</v>
      </c>
      <c r="F120" s="20" t="n">
        <v>4004</v>
      </c>
      <c r="G120" s="20" t="n">
        <v>2406</v>
      </c>
      <c r="H120" s="20" t="n">
        <v>5268</v>
      </c>
      <c r="I120" s="20" t="n">
        <v>414</v>
      </c>
      <c r="J120" s="20" t="n">
        <v>2801</v>
      </c>
      <c r="K120" s="20" t="n">
        <v>2830</v>
      </c>
      <c r="L120" s="20" t="n">
        <v>4073</v>
      </c>
      <c r="M120" s="20" t="n">
        <v>174</v>
      </c>
      <c r="N120" s="20" t="n">
        <v>4563</v>
      </c>
      <c r="V120" s="20" t="n">
        <v>2169</v>
      </c>
      <c r="W120" s="20" t="n">
        <v>414</v>
      </c>
      <c r="X120" s="20" t="n">
        <v>174</v>
      </c>
    </row>
    <row r="121">
      <c r="A121" s="9" t="inlineStr">
        <is>
          <t>중간이익</t>
        </is>
      </c>
      <c r="C121" s="12" t="n">
        <v>5716</v>
      </c>
      <c r="D121" s="12" t="n">
        <v>17466</v>
      </c>
      <c r="E121" s="12" t="n">
        <v>2314</v>
      </c>
      <c r="F121" s="12" t="n">
        <v>7420</v>
      </c>
      <c r="G121" s="12" t="n">
        <v>5777</v>
      </c>
      <c r="H121" s="12" t="n">
        <v>11778</v>
      </c>
      <c r="I121" s="12" t="n">
        <v>5585</v>
      </c>
      <c r="J121" s="12" t="n">
        <v>6920</v>
      </c>
      <c r="K121" s="12" t="n">
        <v>7098</v>
      </c>
      <c r="L121" s="12" t="n">
        <v>9486</v>
      </c>
      <c r="M121" s="12" t="n">
        <v>11374</v>
      </c>
      <c r="N121" s="12" t="n">
        <v>9716</v>
      </c>
      <c r="V121" s="12" t="n">
        <v>2314</v>
      </c>
      <c r="W121" s="12" t="n">
        <v>5585</v>
      </c>
      <c r="X121" s="12" t="n">
        <v>11374</v>
      </c>
    </row>
    <row r="122">
      <c r="A122" s="18" t="inlineStr">
        <is>
          <t>기본 주당 중간이익(엔)</t>
        </is>
      </c>
      <c r="C122" s="20" t="n">
        <v>2.454e-05</v>
      </c>
      <c r="D122" s="20" t="n">
        <v>7.963000000000001e-05</v>
      </c>
      <c r="E122" s="20" t="n">
        <v>8.569999999999992e-06</v>
      </c>
      <c r="F122" s="20" t="n">
        <v>3.18e-05</v>
      </c>
      <c r="G122" s="20" t="n">
        <v>2.521e-05</v>
      </c>
      <c r="H122" s="20" t="n">
        <v>5.230999999999999e-05</v>
      </c>
      <c r="I122" s="20" t="n">
        <v>2.525e-05</v>
      </c>
      <c r="J122" s="20" t="n">
        <v>3.118e-05</v>
      </c>
      <c r="K122" s="20" t="n">
        <v>3.245e-05</v>
      </c>
      <c r="L122" s="20" t="n">
        <v>4.404e-05</v>
      </c>
      <c r="M122" s="20" t="n">
        <v>5.407000000000001e-05</v>
      </c>
      <c r="N122" s="20" t="n">
        <v>4.534e-05</v>
      </c>
      <c r="V122" s="20" t="n">
        <v>8.569999999999992e-06</v>
      </c>
      <c r="W122" s="20" t="n">
        <v>2.525e-05</v>
      </c>
      <c r="X122" s="20" t="n">
        <v>5.407000000000001e-05</v>
      </c>
    </row>
    <row r="123">
      <c r="A123" s="18" t="inlineStr">
        <is>
          <t>희석 주당 중간이익(엔)</t>
        </is>
      </c>
      <c r="C123" s="20" t="n">
        <v>2.453e-05</v>
      </c>
      <c r="D123" s="20" t="n">
        <v>7.962999999999999e-05</v>
      </c>
      <c r="E123" s="20" t="n">
        <v>8.560000000000003e-06</v>
      </c>
      <c r="F123" s="20" t="n">
        <v>3.178e-05</v>
      </c>
      <c r="G123" s="20" t="n">
        <v>2.521e-05</v>
      </c>
      <c r="H123" s="20" t="n">
        <v>5.23e-05</v>
      </c>
      <c r="I123" s="20" t="n">
        <v>2.524e-05</v>
      </c>
      <c r="J123" s="20" t="n">
        <v>3.116e-05</v>
      </c>
      <c r="K123" s="20" t="n">
        <v>3.245e-05</v>
      </c>
      <c r="L123" s="20" t="n">
        <v>4.403e-05</v>
      </c>
      <c r="M123" s="20" t="n">
        <v>5.405999999999999e-05</v>
      </c>
      <c r="N123" s="20" t="n">
        <v>4.533e-05</v>
      </c>
      <c r="V123" s="20" t="n">
        <v>8.560000000000003e-06</v>
      </c>
      <c r="W123" s="20" t="n">
        <v>2.524e-05</v>
      </c>
      <c r="X123" s="20" t="n">
        <v>5.405999999999999e-05</v>
      </c>
    </row>
    <row r="124">
      <c r="A124" s="9" t="inlineStr">
        <is>
          <t>Profit Loss Attributable To Owners Of Parent</t>
        </is>
      </c>
      <c r="C124" s="12" t="n">
        <v>5229</v>
      </c>
      <c r="D124" s="12" t="n">
        <v>16972</v>
      </c>
      <c r="E124" s="12" t="n">
        <v>1826</v>
      </c>
      <c r="F124" s="12" t="n">
        <v>6776</v>
      </c>
      <c r="G124" s="12" t="n">
        <v>5376</v>
      </c>
      <c r="H124" s="12" t="n">
        <v>11018</v>
      </c>
      <c r="I124" s="12" t="n">
        <v>5144</v>
      </c>
      <c r="J124" s="12" t="n">
        <v>6416</v>
      </c>
      <c r="K124" s="12" t="n">
        <v>6521</v>
      </c>
      <c r="L124" s="12" t="n">
        <v>8830</v>
      </c>
      <c r="M124" s="12" t="n">
        <v>10838</v>
      </c>
      <c r="N124" s="12" t="n">
        <v>9061</v>
      </c>
      <c r="V124" s="12" t="n">
        <v>1826</v>
      </c>
      <c r="W124" s="12" t="n">
        <v>5144</v>
      </c>
      <c r="X124" s="12" t="n">
        <v>10838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9" t="inlineStr">
        <is>
          <t>비지배지분</t>
        </is>
      </c>
      <c r="C126" s="12" t="n">
        <v>488</v>
      </c>
      <c r="D126" s="12" t="n">
        <v>493</v>
      </c>
      <c r="E126" s="12" t="n">
        <v>489</v>
      </c>
      <c r="F126" s="12" t="n">
        <v>644</v>
      </c>
      <c r="G126" s="12" t="n">
        <v>401</v>
      </c>
      <c r="H126" s="12" t="n">
        <v>760</v>
      </c>
      <c r="I126" s="12" t="n">
        <v>441</v>
      </c>
      <c r="J126" s="12" t="n">
        <v>503</v>
      </c>
      <c r="K126" s="12" t="n">
        <v>578</v>
      </c>
      <c r="L126" s="12" t="n">
        <v>656</v>
      </c>
      <c r="M126" s="12" t="n">
        <v>535</v>
      </c>
      <c r="N126" s="12" t="n">
        <v>654</v>
      </c>
      <c r="V126" s="12" t="n">
        <v>489</v>
      </c>
      <c r="W126" s="12" t="n">
        <v>441</v>
      </c>
      <c r="X126" s="12" t="n">
        <v>535</v>
      </c>
    </row>
    <row r="127">
      <c r="A127" s="9" t="inlineStr">
        <is>
          <t>매출액</t>
        </is>
      </c>
      <c r="C127" s="12" t="n">
        <v>146656</v>
      </c>
      <c r="D127" s="12" t="n">
        <v>149769</v>
      </c>
      <c r="E127" s="12" t="n">
        <v>142924</v>
      </c>
      <c r="T127" s="12" t="n">
        <v>139168</v>
      </c>
      <c r="U127" s="12" t="n">
        <v>143838</v>
      </c>
      <c r="V127" s="12" t="n">
        <v>142924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T128" s="15">
        <f>IF(OR(T127="",S127=""),"",IF(S127&lt;=0,"",IFERROR(T127/S127-1,"")))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</row>
    <row r="129">
      <c r="A129" s="18" t="inlineStr">
        <is>
          <t>매출원가</t>
        </is>
      </c>
      <c r="C129" s="20" t="n">
        <v>121222</v>
      </c>
      <c r="D129" s="20" t="n">
        <v>121320</v>
      </c>
      <c r="E129" s="20" t="n">
        <v>117499</v>
      </c>
      <c r="T129" s="20" t="n">
        <v>116464</v>
      </c>
      <c r="U129" s="20" t="n">
        <v>120401</v>
      </c>
      <c r="V129" s="20" t="n">
        <v>117499</v>
      </c>
    </row>
    <row r="130">
      <c r="A130" s="9" t="inlineStr">
        <is>
          <t>매출총이익</t>
        </is>
      </c>
      <c r="C130" s="12" t="n">
        <v>25434</v>
      </c>
      <c r="D130" s="12" t="n">
        <v>28450</v>
      </c>
      <c r="E130" s="12" t="n">
        <v>25425</v>
      </c>
      <c r="T130" s="12" t="n">
        <v>22705</v>
      </c>
      <c r="U130" s="12" t="n">
        <v>23438</v>
      </c>
      <c r="V130" s="12" t="n">
        <v>25425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</row>
    <row r="132">
      <c r="A132" s="18" t="inlineStr">
        <is>
          <t>판매비와 관리비</t>
        </is>
      </c>
      <c r="C132" s="20" t="n">
        <v>14410</v>
      </c>
      <c r="D132" s="20" t="n">
        <v>14401</v>
      </c>
      <c r="E132" s="20" t="n">
        <v>16363</v>
      </c>
      <c r="T132" s="20" t="n">
        <v>14636</v>
      </c>
      <c r="U132" s="20" t="n">
        <v>14106</v>
      </c>
      <c r="V132" s="20" t="n">
        <v>16363</v>
      </c>
    </row>
    <row r="133">
      <c r="A133" s="9" t="inlineStr">
        <is>
          <t>영업이익</t>
        </is>
      </c>
      <c r="C133" s="12" t="n">
        <v>11024</v>
      </c>
      <c r="D133" s="12" t="n">
        <v>14048</v>
      </c>
      <c r="E133" s="12" t="n">
        <v>9062</v>
      </c>
      <c r="T133" s="12" t="n">
        <v>8068</v>
      </c>
      <c r="U133" s="12" t="n">
        <v>9332</v>
      </c>
      <c r="V133" s="12" t="n">
        <v>9062</v>
      </c>
    </row>
    <row r="134">
      <c r="A134" s="43" t="inlineStr">
        <is>
          <t>OPM</t>
        </is>
      </c>
      <c r="B134" s="3" t="inlineStr">
        <is>
          <t>영업이익 ÷ 매출</t>
        </is>
      </c>
      <c r="C134" s="15">
        <f>IF(OR(C133="",C105=""),"",IF(C105&lt;=0,"",IFERROR(C133/C105,"")))</f>
        <v/>
      </c>
      <c r="D134" s="15">
        <f>IF(OR(D133="",D105=""),"",IF(D105&lt;=0,"",IFERROR(D133/D105,"")))</f>
        <v/>
      </c>
      <c r="E134" s="15">
        <f>IF(OR(E133="",E105=""),"",IF(E105&lt;=0,"",IFERROR(E133/E105,"")))</f>
        <v/>
      </c>
      <c r="T134" s="15">
        <f>IF(OR(T133="",T105=""),"",IF(T105&lt;=0,"",IFERROR(T133/T105,"")))</f>
        <v/>
      </c>
      <c r="U134" s="15">
        <f>IF(OR(U133="",U105=""),"",IF(U105&lt;=0,"",IFERROR(U133/U105,"")))</f>
        <v/>
      </c>
      <c r="V134" s="15">
        <f>IF(OR(V133="",V105=""),"",IF(V105&lt;=0,"",IFERROR(V133/V105,"")))</f>
        <v/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T135" s="15">
        <f>IF(OR(T133="",S133=""),"",IF(S133&lt;=0,"",IFERROR(T133/S133-1,"")))</f>
        <v/>
      </c>
      <c r="U135" s="15">
        <f>IF(OR(U133="",T133=""),"",IF(T133&lt;=0,"",IFERROR(U133/T133-1,"")))</f>
        <v/>
      </c>
      <c r="V135" s="15">
        <f>IF(OR(V133="",U133=""),"",IF(U133&lt;=0,"",IFERROR(V133/U133-1,"")))</f>
        <v/>
      </c>
    </row>
    <row r="136">
      <c r="A136" s="18" t="inlineStr">
        <is>
          <t>이자수익</t>
        </is>
      </c>
      <c r="C136" s="20" t="n">
        <v>132</v>
      </c>
      <c r="D136" s="20" t="n">
        <v>67</v>
      </c>
      <c r="E136" s="20" t="n">
        <v>135</v>
      </c>
      <c r="T136" s="20" t="n">
        <v>36</v>
      </c>
      <c r="U136" s="20" t="n">
        <v>93</v>
      </c>
      <c r="V136" s="20" t="n">
        <v>135</v>
      </c>
    </row>
    <row r="137">
      <c r="A137" s="18" t="inlineStr">
        <is>
          <t>배당금수익</t>
        </is>
      </c>
      <c r="C137" s="20" t="n">
        <v>32</v>
      </c>
      <c r="D137" s="20" t="n">
        <v>1146</v>
      </c>
      <c r="E137" s="20" t="n">
        <v>77</v>
      </c>
      <c r="T137" s="20" t="n">
        <v>35</v>
      </c>
      <c r="U137" s="20" t="n">
        <v>38</v>
      </c>
      <c r="V137" s="20" t="n">
        <v>77</v>
      </c>
    </row>
    <row r="138">
      <c r="A138" s="18" t="inlineStr">
        <is>
          <t>지분법이익</t>
        </is>
      </c>
      <c r="C138" s="20" t="n">
        <v>123</v>
      </c>
      <c r="D138" s="20" t="n">
        <v>156</v>
      </c>
      <c r="E138" s="20" t="n">
        <v>108</v>
      </c>
      <c r="T138" s="20" t="n">
        <v>107</v>
      </c>
      <c r="U138" s="20" t="n">
        <v>94</v>
      </c>
      <c r="V138" s="20" t="n">
        <v>108</v>
      </c>
    </row>
    <row r="139">
      <c r="A139" s="18" t="inlineStr">
        <is>
          <t>외환차익</t>
        </is>
      </c>
      <c r="C139" s="20" t="n">
        <v>290</v>
      </c>
      <c r="D139" s="20" t="n">
        <v>-724</v>
      </c>
      <c r="E139" s="20" t="n">
        <v>732</v>
      </c>
      <c r="T139" s="20" t="n">
        <v>170</v>
      </c>
      <c r="U139" s="20" t="n">
        <v>0</v>
      </c>
      <c r="V139" s="20" t="n">
        <v>732</v>
      </c>
    </row>
    <row r="140">
      <c r="A140" s="18" t="inlineStr">
        <is>
          <t>기타</t>
        </is>
      </c>
      <c r="C140" s="20" t="n">
        <v>392</v>
      </c>
      <c r="D140" s="20" t="n">
        <v>265</v>
      </c>
      <c r="E140" s="20" t="n">
        <v>400</v>
      </c>
      <c r="T140" s="20" t="n">
        <v>355</v>
      </c>
      <c r="U140" s="20" t="n">
        <v>413</v>
      </c>
      <c r="V140" s="20" t="n">
        <v>400</v>
      </c>
    </row>
    <row r="141">
      <c r="A141" s="18" t="inlineStr">
        <is>
          <t>영업외수익 합계</t>
        </is>
      </c>
      <c r="C141" s="20" t="n">
        <v>968</v>
      </c>
      <c r="D141" s="20" t="n">
        <v>912</v>
      </c>
      <c r="E141" s="20" t="n">
        <v>1450</v>
      </c>
      <c r="T141" s="20" t="n">
        <v>703</v>
      </c>
      <c r="U141" s="20" t="n">
        <v>638</v>
      </c>
      <c r="V141" s="20" t="n">
        <v>1450</v>
      </c>
    </row>
    <row r="142">
      <c r="A142" s="18" t="inlineStr">
        <is>
          <t>이자비용</t>
        </is>
      </c>
      <c r="C142" s="20" t="n">
        <v>288</v>
      </c>
      <c r="D142" s="20" t="n">
        <v>277</v>
      </c>
      <c r="E142" s="20" t="n">
        <v>297</v>
      </c>
      <c r="T142" s="20" t="n">
        <v>218</v>
      </c>
      <c r="U142" s="20" t="n">
        <v>263</v>
      </c>
      <c r="V142" s="20" t="n">
        <v>297</v>
      </c>
    </row>
    <row r="143">
      <c r="A143" s="18" t="inlineStr">
        <is>
          <t>고정자산 제각손실</t>
        </is>
      </c>
      <c r="C143" s="20" t="n">
        <v>56</v>
      </c>
      <c r="D143" s="20" t="n">
        <v>68</v>
      </c>
      <c r="E143" s="20" t="n">
        <v>98</v>
      </c>
      <c r="T143" s="20" t="n">
        <v>189</v>
      </c>
      <c r="U143" s="20" t="n">
        <v>100</v>
      </c>
      <c r="V143" s="20" t="n">
        <v>98</v>
      </c>
    </row>
    <row r="144">
      <c r="A144" s="18" t="inlineStr">
        <is>
          <t>외환차손</t>
        </is>
      </c>
      <c r="C144" s="20" t="n">
        <v>0</v>
      </c>
      <c r="D144" s="20" t="n">
        <v>0</v>
      </c>
      <c r="E144" s="20" t="n">
        <v>0</v>
      </c>
      <c r="T144" s="20" t="n">
        <v>0</v>
      </c>
      <c r="U144" s="20" t="n">
        <v>-19</v>
      </c>
      <c r="V144" s="20" t="n">
        <v>0</v>
      </c>
    </row>
    <row r="145">
      <c r="A145" s="18" t="inlineStr">
        <is>
          <t>환경대책 충당금 전입</t>
        </is>
      </c>
      <c r="C145" s="20" t="n">
        <v>5</v>
      </c>
      <c r="D145" s="20" t="n">
        <v>12</v>
      </c>
      <c r="E145" s="20" t="n">
        <v>-8</v>
      </c>
      <c r="T145" s="20" t="n">
        <v>149</v>
      </c>
      <c r="U145" s="20" t="n">
        <v>56</v>
      </c>
      <c r="V145" s="20" t="n">
        <v>-8</v>
      </c>
    </row>
    <row r="146">
      <c r="A146" s="18" t="inlineStr">
        <is>
          <t>환경대책비</t>
        </is>
      </c>
      <c r="C146" s="20" t="n">
        <v>7</v>
      </c>
      <c r="D146" s="20" t="n">
        <v>0</v>
      </c>
      <c r="E146" s="20" t="n">
        <v>1</v>
      </c>
      <c r="T146" s="20" t="n">
        <v>1</v>
      </c>
      <c r="U146" s="20" t="n">
        <v>15</v>
      </c>
      <c r="V146" s="20" t="n">
        <v>1</v>
      </c>
    </row>
    <row r="147">
      <c r="A147" s="18" t="inlineStr">
        <is>
          <t>기타</t>
        </is>
      </c>
      <c r="C147" s="20" t="n">
        <v>243</v>
      </c>
      <c r="D147" s="20" t="n">
        <v>329</v>
      </c>
      <c r="E147" s="20" t="n">
        <v>453</v>
      </c>
      <c r="T147" s="20" t="n">
        <v>188</v>
      </c>
      <c r="U147" s="20" t="n">
        <v>525</v>
      </c>
      <c r="V147" s="20" t="n">
        <v>453</v>
      </c>
    </row>
    <row r="148">
      <c r="A148" s="18" t="inlineStr">
        <is>
          <t>영업외비용 합계</t>
        </is>
      </c>
      <c r="C148" s="20" t="n">
        <v>600</v>
      </c>
      <c r="D148" s="20" t="n">
        <v>685</v>
      </c>
      <c r="E148" s="20" t="n">
        <v>840</v>
      </c>
      <c r="T148" s="20" t="n">
        <v>744</v>
      </c>
      <c r="U148" s="20" t="n">
        <v>942</v>
      </c>
      <c r="V148" s="20" t="n">
        <v>840</v>
      </c>
    </row>
    <row r="149">
      <c r="A149" s="9" t="inlineStr">
        <is>
          <t>경상이익</t>
        </is>
      </c>
      <c r="C149" s="12" t="n">
        <v>11392</v>
      </c>
      <c r="D149" s="12" t="n">
        <v>14275</v>
      </c>
      <c r="E149" s="12" t="n">
        <v>9673</v>
      </c>
      <c r="T149" s="12" t="n">
        <v>8026</v>
      </c>
      <c r="U149" s="12" t="n">
        <v>9028</v>
      </c>
      <c r="V149" s="12" t="n">
        <v>9673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T150" s="15">
        <f>IF(OR(T149="",S149=""),"",IF(S149&lt;=0,"",IFERROR(T149/S149-1,"")))</f>
        <v/>
      </c>
      <c r="U150" s="15">
        <f>IF(OR(U149="",T149=""),"",IF(T149&lt;=0,"",IFERROR(U149/T149-1,"")))</f>
        <v/>
      </c>
      <c r="V150" s="15">
        <f>IF(OR(V149="",U149=""),"",IF(U149&lt;=0,"",IFERROR(V149/U149-1,"")))</f>
        <v/>
      </c>
    </row>
    <row r="151">
      <c r="A151" s="18" t="inlineStr">
        <is>
          <t>투자유가증권 매각이익</t>
        </is>
      </c>
      <c r="D151" s="20" t="n">
        <v>0</v>
      </c>
      <c r="E151" s="20" t="n">
        <v>26696</v>
      </c>
      <c r="T151" s="20" t="n">
        <v>85</v>
      </c>
      <c r="U151" s="20" t="n">
        <v>709</v>
      </c>
      <c r="V151" s="20" t="n">
        <v>26696</v>
      </c>
    </row>
    <row r="152">
      <c r="A152" s="18" t="inlineStr">
        <is>
          <t>특별이익 합계</t>
        </is>
      </c>
      <c r="D152" s="20" t="n">
        <v>0</v>
      </c>
      <c r="E152" s="20" t="n">
        <v>33744</v>
      </c>
      <c r="T152" s="20" t="n">
        <v>85</v>
      </c>
      <c r="U152" s="20" t="n">
        <v>2310</v>
      </c>
      <c r="V152" s="20" t="n">
        <v>33744</v>
      </c>
    </row>
    <row r="153">
      <c r="A153" s="18" t="inlineStr">
        <is>
          <t>손상차손</t>
        </is>
      </c>
      <c r="D153" s="20" t="n">
        <v>173</v>
      </c>
      <c r="E153" s="20" t="n">
        <v>1671</v>
      </c>
      <c r="T153" s="20" t="n">
        <v>1238</v>
      </c>
      <c r="U153" s="20" t="n">
        <v>609</v>
      </c>
      <c r="V153" s="20" t="n">
        <v>1671</v>
      </c>
    </row>
    <row r="154">
      <c r="A154" s="18" t="inlineStr">
        <is>
          <t>사업정리 손실</t>
        </is>
      </c>
      <c r="T154" s="20" t="n">
        <v>7</v>
      </c>
      <c r="U154" s="20" t="n">
        <v>0</v>
      </c>
    </row>
    <row r="155">
      <c r="A155" s="18" t="inlineStr">
        <is>
          <t>관계회사 청산손실</t>
        </is>
      </c>
      <c r="D155" s="20" t="n">
        <v>464</v>
      </c>
      <c r="E155" s="20" t="n">
        <v>227</v>
      </c>
      <c r="U155" s="20" t="n">
        <v>0</v>
      </c>
      <c r="V155" s="20" t="n">
        <v>227</v>
      </c>
    </row>
    <row r="156">
      <c r="A156" s="18" t="inlineStr">
        <is>
          <t>특별손실 합계</t>
        </is>
      </c>
      <c r="D156" s="20" t="n">
        <v>637</v>
      </c>
      <c r="E156" s="20" t="n">
        <v>1898</v>
      </c>
      <c r="T156" s="20" t="n">
        <v>1246</v>
      </c>
      <c r="U156" s="20" t="n">
        <v>609</v>
      </c>
      <c r="V156" s="20" t="n">
        <v>1898</v>
      </c>
    </row>
    <row r="157">
      <c r="A157" s="9" t="inlineStr">
        <is>
          <t>법인세차감전 순이익</t>
        </is>
      </c>
      <c r="C157" s="12" t="n">
        <v>8712</v>
      </c>
      <c r="D157" s="12" t="n">
        <v>13638</v>
      </c>
      <c r="E157" s="12" t="n">
        <v>41519</v>
      </c>
      <c r="T157" s="12" t="n">
        <v>6865</v>
      </c>
      <c r="U157" s="12" t="n">
        <v>10728</v>
      </c>
      <c r="V157" s="12" t="n">
        <v>41519</v>
      </c>
    </row>
    <row r="158">
      <c r="A158" s="18" t="inlineStr">
        <is>
          <t>법인세·주민세·사업세</t>
        </is>
      </c>
      <c r="C158" s="20" t="n">
        <v>4752</v>
      </c>
      <c r="D158" s="20" t="n">
        <v>2715</v>
      </c>
      <c r="E158" s="20" t="n">
        <v>14483</v>
      </c>
      <c r="T158" s="20" t="n">
        <v>2882</v>
      </c>
      <c r="U158" s="20" t="n">
        <v>3218</v>
      </c>
      <c r="V158" s="20" t="n">
        <v>14483</v>
      </c>
    </row>
    <row r="159">
      <c r="A159" s="18" t="inlineStr">
        <is>
          <t>법인세 조정액</t>
        </is>
      </c>
      <c r="C159" s="20" t="n">
        <v>-1692</v>
      </c>
      <c r="D159" s="20" t="n">
        <v>1105</v>
      </c>
      <c r="E159" s="20" t="n">
        <v>-3004</v>
      </c>
      <c r="T159" s="20" t="n">
        <v>-1209</v>
      </c>
      <c r="U159" s="20" t="n">
        <v>-1106</v>
      </c>
      <c r="V159" s="20" t="n">
        <v>-3004</v>
      </c>
    </row>
    <row r="160">
      <c r="A160" s="18" t="inlineStr">
        <is>
          <t>법인세 등 합계</t>
        </is>
      </c>
      <c r="C160" s="20" t="n">
        <v>3061</v>
      </c>
      <c r="D160" s="20" t="n">
        <v>3819</v>
      </c>
      <c r="E160" s="20" t="n">
        <v>11478</v>
      </c>
      <c r="T160" s="20" t="n">
        <v>1672</v>
      </c>
      <c r="U160" s="20" t="n">
        <v>2113</v>
      </c>
      <c r="V160" s="20" t="n">
        <v>11478</v>
      </c>
    </row>
    <row r="161">
      <c r="A161" s="9" t="inlineStr">
        <is>
          <t>순이익</t>
        </is>
      </c>
      <c r="C161" s="12" t="n">
        <v>5652</v>
      </c>
      <c r="D161" s="12" t="n">
        <v>9818</v>
      </c>
      <c r="E161" s="12" t="n">
        <v>30041</v>
      </c>
      <c r="T161" s="12" t="n">
        <v>5193</v>
      </c>
      <c r="U161" s="12" t="n">
        <v>8616</v>
      </c>
      <c r="V161" s="12" t="n">
        <v>30041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T162" s="15">
        <f>IF(OR(T161="",S161=""),"",IF(S161&lt;=0,"",IFERROR(T161/S161-1,"")))</f>
        <v/>
      </c>
      <c r="U162" s="15">
        <f>IF(OR(U161="",T161=""),"",IF(T161&lt;=0,"",IFERROR(U161/T161-1,"")))</f>
        <v/>
      </c>
      <c r="V162" s="15">
        <f>IF(OR(V161="",U161=""),"",IF(U161&lt;=0,"",IFERROR(V161/U161-1,"")))</f>
        <v/>
      </c>
    </row>
    <row r="163">
      <c r="A163" s="9" t="inlineStr">
        <is>
          <t>비지배주주 순이익</t>
        </is>
      </c>
      <c r="C163" s="12" t="n">
        <v>501</v>
      </c>
      <c r="D163" s="12" t="n">
        <v>546</v>
      </c>
      <c r="E163" s="12" t="n">
        <v>1020</v>
      </c>
      <c r="T163" s="12" t="n">
        <v>501</v>
      </c>
      <c r="U163" s="12" t="n">
        <v>364</v>
      </c>
      <c r="V163" s="12" t="n">
        <v>1020</v>
      </c>
    </row>
    <row r="164">
      <c r="A164" s="9" t="inlineStr">
        <is>
          <t>지배주주 순이익</t>
        </is>
      </c>
      <c r="C164" s="12" t="n">
        <v>5150</v>
      </c>
      <c r="D164" s="12" t="n">
        <v>9273</v>
      </c>
      <c r="E164" s="12" t="n">
        <v>29021</v>
      </c>
      <c r="T164" s="12" t="n">
        <v>4691</v>
      </c>
      <c r="U164" s="12" t="n">
        <v>8252</v>
      </c>
      <c r="V164" s="12" t="n">
        <v>29021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T165" s="15">
        <f>IF(OR(T164="",S164=""),"",IF(S164&lt;=0,"",IFERROR(T164/S164-1,"")))</f>
        <v/>
      </c>
      <c r="U165" s="15">
        <f>IF(OR(U164="",T164=""),"",IF(T164&lt;=0,"",IFERROR(U164/T164-1,"")))</f>
        <v/>
      </c>
      <c r="V165" s="15">
        <f>IF(OR(V164="",U164=""),"",IF(U164&lt;=0,"",IFERROR(V164/U164-1,"")))</f>
        <v/>
      </c>
    </row>
    <row r="167">
      <c r="A167" s="16" t="inlineStr">
        <is>
          <t>포괄손익 · 전 항목</t>
        </is>
      </c>
      <c r="B167" s="42" t="inlineStr">
        <is>
          <t>분기 = 3개월 단독</t>
        </is>
      </c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</row>
    <row r="168">
      <c r="A168" s="5" t="inlineStr">
        <is>
          <t>항목</t>
        </is>
      </c>
      <c r="B168" s="5" t="inlineStr">
        <is>
          <t>참고</t>
        </is>
      </c>
      <c r="C168" s="5" t="inlineStr">
        <is>
          <t>2024.2Q</t>
        </is>
      </c>
      <c r="D168" s="5" t="inlineStr">
        <is>
          <t>2024.3Q</t>
        </is>
      </c>
      <c r="E168" s="5" t="inlineStr">
        <is>
          <t>2024.4Q</t>
        </is>
      </c>
      <c r="F168" s="5" t="inlineStr">
        <is>
          <t>2025.1Q</t>
        </is>
      </c>
      <c r="G168" s="5" t="inlineStr">
        <is>
          <t>2025.2Q</t>
        </is>
      </c>
      <c r="H168" s="5" t="inlineStr">
        <is>
          <t>2025.3Q</t>
        </is>
      </c>
      <c r="I168" s="5" t="inlineStr">
        <is>
          <t>2025.4Q</t>
        </is>
      </c>
      <c r="J168" s="5" t="inlineStr">
        <is>
          <t>2026.1Q</t>
        </is>
      </c>
      <c r="K168" s="5" t="inlineStr">
        <is>
          <t>2026.2Q</t>
        </is>
      </c>
      <c r="L168" s="5" t="inlineStr">
        <is>
          <t>2026.3Q</t>
        </is>
      </c>
      <c r="M168" s="5" t="inlineStr">
        <is>
          <t>2026.4Q</t>
        </is>
      </c>
      <c r="N168" s="5" t="inlineStr">
        <is>
          <t>2027.1Q</t>
        </is>
      </c>
      <c r="O168" s="5" t="inlineStr">
        <is>
          <t>2017</t>
        </is>
      </c>
      <c r="P168" s="5" t="inlineStr">
        <is>
          <t>2018</t>
        </is>
      </c>
      <c r="Q168" s="5" t="inlineStr">
        <is>
          <t>2019</t>
        </is>
      </c>
      <c r="R168" s="5" t="inlineStr">
        <is>
          <t>2020</t>
        </is>
      </c>
      <c r="S168" s="5" t="inlineStr">
        <is>
          <t>2021</t>
        </is>
      </c>
      <c r="T168" s="5" t="inlineStr">
        <is>
          <t>2022</t>
        </is>
      </c>
      <c r="U168" s="5" t="inlineStr">
        <is>
          <t>2023</t>
        </is>
      </c>
      <c r="V168" s="5" t="inlineStr">
        <is>
          <t>2024</t>
        </is>
      </c>
      <c r="W168" s="5" t="inlineStr">
        <is>
          <t>2025</t>
        </is>
      </c>
      <c r="X168" s="5" t="inlineStr">
        <is>
          <t>2026</t>
        </is>
      </c>
      <c r="Y168" s="5" t="inlineStr">
        <is>
          <t>2027(MW)</t>
        </is>
      </c>
      <c r="Z168" s="5" t="inlineStr">
        <is>
          <t>2028(MW)</t>
        </is>
      </c>
      <c r="AA168" s="5" t="inlineStr">
        <is>
          <t>2029(MW)</t>
        </is>
      </c>
      <c r="AB168" s="5" t="inlineStr">
        <is>
          <t>2030(MW)</t>
        </is>
      </c>
      <c r="AC168" s="5" t="inlineStr">
        <is>
          <t>2031(MW)</t>
        </is>
      </c>
    </row>
    <row r="169">
      <c r="A169" s="9" t="inlineStr">
        <is>
          <t>중간이익</t>
        </is>
      </c>
      <c r="C169" s="12" t="n">
        <v>5716</v>
      </c>
      <c r="D169" s="12" t="n">
        <v>17466</v>
      </c>
      <c r="E169" s="12" t="n">
        <v>2314</v>
      </c>
      <c r="F169" s="12" t="n">
        <v>7420</v>
      </c>
      <c r="G169" s="12" t="n">
        <v>5777</v>
      </c>
      <c r="H169" s="12" t="n">
        <v>11778</v>
      </c>
      <c r="I169" s="12" t="n">
        <v>5585</v>
      </c>
      <c r="J169" s="12" t="n">
        <v>6920</v>
      </c>
      <c r="K169" s="12" t="n">
        <v>7098</v>
      </c>
      <c r="L169" s="12" t="n">
        <v>9486</v>
      </c>
      <c r="M169" s="12" t="n">
        <v>11374</v>
      </c>
      <c r="N169" s="12" t="n">
        <v>9716</v>
      </c>
      <c r="V169" s="12" t="n">
        <v>2314</v>
      </c>
      <c r="W169" s="12" t="n">
        <v>5585</v>
      </c>
      <c r="X169" s="12" t="n">
        <v>11374</v>
      </c>
    </row>
    <row r="170">
      <c r="A170" s="18" t="inlineStr">
        <is>
          <t>기타포괄손익-공정가치 측정 금융자산</t>
        </is>
      </c>
      <c r="C170" s="20" t="n">
        <v>5566</v>
      </c>
      <c r="D170" s="20" t="n">
        <v>-2991</v>
      </c>
      <c r="E170" s="20" t="n">
        <v>13872</v>
      </c>
      <c r="F170" s="20" t="n">
        <v>-92</v>
      </c>
      <c r="G170" s="20" t="n">
        <v>-2233</v>
      </c>
      <c r="H170" s="20" t="n">
        <v>3193</v>
      </c>
      <c r="I170" s="20" t="n">
        <v>-3208</v>
      </c>
      <c r="J170" s="20" t="n">
        <v>2361</v>
      </c>
      <c r="K170" s="20" t="n">
        <v>3601</v>
      </c>
      <c r="L170" s="20" t="n">
        <v>2960</v>
      </c>
      <c r="M170" s="20" t="n">
        <v>-1925</v>
      </c>
      <c r="N170" s="20" t="n">
        <v>7795</v>
      </c>
      <c r="V170" s="20" t="n">
        <v>13872</v>
      </c>
      <c r="W170" s="20" t="n">
        <v>-3208</v>
      </c>
      <c r="X170" s="20" t="n">
        <v>-1925</v>
      </c>
    </row>
    <row r="171">
      <c r="A171" s="18" t="inlineStr">
        <is>
          <t>확정급여제도 재측정</t>
        </is>
      </c>
      <c r="C171" s="20" t="n">
        <v>456</v>
      </c>
      <c r="D171" s="20" t="n">
        <v>170</v>
      </c>
      <c r="E171" s="20" t="n">
        <v>9774</v>
      </c>
      <c r="F171" s="20" t="n">
        <v>296</v>
      </c>
      <c r="G171" s="20" t="n">
        <v>169</v>
      </c>
      <c r="H171" s="20" t="n">
        <v>170</v>
      </c>
      <c r="I171" s="20" t="n">
        <v>2416</v>
      </c>
      <c r="J171" s="20" t="n">
        <v>49</v>
      </c>
      <c r="K171" s="20" t="n">
        <v>79</v>
      </c>
      <c r="L171" s="20" t="n">
        <v>105</v>
      </c>
      <c r="M171" s="20" t="n">
        <v>15049</v>
      </c>
      <c r="N171" s="20" t="n">
        <v>-153</v>
      </c>
      <c r="V171" s="20" t="n">
        <v>9774</v>
      </c>
      <c r="W171" s="20" t="n">
        <v>2416</v>
      </c>
      <c r="X171" s="20" t="n">
        <v>15049</v>
      </c>
    </row>
    <row r="172">
      <c r="A172" s="18" t="inlineStr">
        <is>
          <t>Share Of Other Comprehensive Income Of Investments Accounted For Using Equity Method Net Of Tax Items That Will Not Be Reclassified To Profit Or Loss OCI</t>
        </is>
      </c>
      <c r="C172" s="20" t="n">
        <v>48</v>
      </c>
      <c r="D172" s="20" t="n">
        <v>26</v>
      </c>
      <c r="E172" s="20" t="n">
        <v>167</v>
      </c>
      <c r="F172" s="20" t="n">
        <v>31</v>
      </c>
      <c r="G172" s="20" t="n">
        <v>-69</v>
      </c>
      <c r="H172" s="20" t="n">
        <v>16</v>
      </c>
      <c r="I172" s="20" t="n">
        <v>-27</v>
      </c>
      <c r="J172" s="20" t="n">
        <v>10</v>
      </c>
      <c r="K172" s="20" t="n">
        <v>107</v>
      </c>
      <c r="L172" s="20" t="n">
        <v>155</v>
      </c>
      <c r="M172" s="20" t="n">
        <v>66</v>
      </c>
      <c r="N172" s="20" t="n">
        <v>79</v>
      </c>
      <c r="V172" s="20" t="n">
        <v>167</v>
      </c>
      <c r="W172" s="20" t="n">
        <v>-27</v>
      </c>
      <c r="X172" s="20" t="n">
        <v>66</v>
      </c>
    </row>
    <row r="173">
      <c r="A173" s="18" t="inlineStr">
        <is>
          <t>Total Of Items That Will Not Be Reclassified To Profit Or Loss OCI</t>
        </is>
      </c>
      <c r="C173" s="20" t="n">
        <v>6071</v>
      </c>
      <c r="D173" s="20" t="n">
        <v>-2796</v>
      </c>
      <c r="E173" s="20" t="n">
        <v>23813</v>
      </c>
      <c r="F173" s="20" t="n">
        <v>235</v>
      </c>
      <c r="G173" s="20" t="n">
        <v>-2133</v>
      </c>
      <c r="H173" s="20" t="n">
        <v>3380</v>
      </c>
      <c r="I173" s="20" t="n">
        <v>-821</v>
      </c>
      <c r="J173" s="20" t="n">
        <v>2420</v>
      </c>
      <c r="K173" s="20" t="n">
        <v>3788</v>
      </c>
      <c r="L173" s="20" t="n">
        <v>3219</v>
      </c>
      <c r="M173" s="20" t="n">
        <v>13190</v>
      </c>
      <c r="N173" s="20" t="n">
        <v>7721</v>
      </c>
      <c r="V173" s="20" t="n">
        <v>23813</v>
      </c>
      <c r="W173" s="20" t="n">
        <v>-821</v>
      </c>
      <c r="X173" s="20" t="n">
        <v>13190</v>
      </c>
    </row>
    <row r="174">
      <c r="A174" s="18" t="inlineStr">
        <is>
          <t>Exchange Differences On Translation Of Foreign Operations Net Of Tax Items That May Be Reclassified To Profit Or Loss OCI</t>
        </is>
      </c>
      <c r="C174" s="20" t="n">
        <v>1259</v>
      </c>
      <c r="D174" s="20" t="n">
        <v>-1273</v>
      </c>
      <c r="E174" s="20" t="n">
        <v>2202</v>
      </c>
      <c r="F174" s="20" t="n">
        <v>2925</v>
      </c>
      <c r="G174" s="20" t="n">
        <v>-3223</v>
      </c>
      <c r="H174" s="20" t="n">
        <v>3168</v>
      </c>
      <c r="I174" s="20" t="n">
        <v>-2539</v>
      </c>
      <c r="J174" s="20" t="n">
        <v>-383</v>
      </c>
      <c r="K174" s="20" t="n">
        <v>1589</v>
      </c>
      <c r="L174" s="20" t="n">
        <v>3670</v>
      </c>
      <c r="M174" s="20" t="n">
        <v>147</v>
      </c>
      <c r="N174" s="20" t="n">
        <v>395</v>
      </c>
      <c r="V174" s="20" t="n">
        <v>2202</v>
      </c>
      <c r="W174" s="20" t="n">
        <v>-2539</v>
      </c>
      <c r="X174" s="20" t="n">
        <v>147</v>
      </c>
    </row>
    <row r="175">
      <c r="A175" s="18" t="inlineStr">
        <is>
          <t>현금흐름 위험회피</t>
        </is>
      </c>
      <c r="C175" s="20" t="n">
        <v>8</v>
      </c>
      <c r="D175" s="20" t="n">
        <v>-5</v>
      </c>
      <c r="E175" s="20" t="n">
        <v>5</v>
      </c>
      <c r="F175" s="20" t="n">
        <v>-0</v>
      </c>
      <c r="G175" s="20" t="n">
        <v>-3</v>
      </c>
      <c r="H175" s="20" t="n">
        <v>1</v>
      </c>
      <c r="I175" s="20" t="n">
        <v>-1</v>
      </c>
      <c r="J175" s="20" t="n">
        <v>-5</v>
      </c>
      <c r="K175" s="20" t="n">
        <v>-1</v>
      </c>
      <c r="L175" s="20" t="n">
        <v>-1</v>
      </c>
      <c r="M175" s="20" t="n">
        <v>0</v>
      </c>
      <c r="N175" s="20" t="n">
        <v>0</v>
      </c>
      <c r="V175" s="20" t="n">
        <v>5</v>
      </c>
      <c r="W175" s="20" t="n">
        <v>-1</v>
      </c>
      <c r="X175" s="20" t="n">
        <v>0</v>
      </c>
    </row>
    <row r="176">
      <c r="A176" s="18" t="inlineStr">
        <is>
          <t>Share Of Other Comprehensive Income Of Investments Accounted For Using Equity Method Net Of Tax Items That May Be Reclassified To Profit Or Loss OCI</t>
        </is>
      </c>
      <c r="C176" s="20" t="n">
        <v>38</v>
      </c>
      <c r="D176" s="20" t="n">
        <v>1</v>
      </c>
      <c r="E176" s="20" t="n">
        <v>-26</v>
      </c>
      <c r="F176" s="20" t="n">
        <v>36</v>
      </c>
      <c r="G176" s="20" t="n">
        <v>-21</v>
      </c>
      <c r="H176" s="20" t="n">
        <v>16</v>
      </c>
      <c r="I176" s="20" t="n">
        <v>-39</v>
      </c>
      <c r="J176" s="20" t="n">
        <v>-5</v>
      </c>
      <c r="K176" s="20" t="n">
        <v>0</v>
      </c>
      <c r="L176" s="20" t="n">
        <v>23</v>
      </c>
      <c r="M176" s="20" t="n">
        <v>0</v>
      </c>
      <c r="N176" s="20" t="n">
        <v>-18</v>
      </c>
      <c r="V176" s="20" t="n">
        <v>-26</v>
      </c>
      <c r="W176" s="20" t="n">
        <v>-39</v>
      </c>
      <c r="X176" s="20" t="n">
        <v>0</v>
      </c>
    </row>
    <row r="177">
      <c r="A177" s="18" t="inlineStr">
        <is>
          <t>Total Of Items That May Be Reclassified To Profit Or Loss OCI</t>
        </is>
      </c>
      <c r="C177" s="20" t="n">
        <v>1304</v>
      </c>
      <c r="D177" s="20" t="n">
        <v>-1277</v>
      </c>
      <c r="E177" s="20" t="n">
        <v>2182</v>
      </c>
      <c r="F177" s="20" t="n">
        <v>2960</v>
      </c>
      <c r="G177" s="20" t="n">
        <v>-3247</v>
      </c>
      <c r="H177" s="20" t="n">
        <v>3186</v>
      </c>
      <c r="I177" s="20" t="n">
        <v>-2580</v>
      </c>
      <c r="J177" s="20" t="n">
        <v>-395</v>
      </c>
      <c r="K177" s="20" t="n">
        <v>1589</v>
      </c>
      <c r="L177" s="20" t="n">
        <v>3693</v>
      </c>
      <c r="M177" s="20" t="n">
        <v>147</v>
      </c>
      <c r="N177" s="20" t="n">
        <v>376</v>
      </c>
      <c r="V177" s="20" t="n">
        <v>2182</v>
      </c>
      <c r="W177" s="20" t="n">
        <v>-2580</v>
      </c>
      <c r="X177" s="20" t="n">
        <v>147</v>
      </c>
    </row>
    <row r="178">
      <c r="A178" s="18" t="inlineStr">
        <is>
          <t>Other Comprehensive Income</t>
        </is>
      </c>
      <c r="C178" s="20" t="n">
        <v>7375</v>
      </c>
      <c r="D178" s="20" t="n">
        <v>-4073</v>
      </c>
      <c r="E178" s="20" t="n">
        <v>25995</v>
      </c>
      <c r="F178" s="20" t="n">
        <v>3196</v>
      </c>
      <c r="G178" s="20" t="n">
        <v>-5382</v>
      </c>
      <c r="H178" s="20" t="n">
        <v>6568</v>
      </c>
      <c r="I178" s="20" t="n">
        <v>-3401</v>
      </c>
      <c r="J178" s="20" t="n">
        <v>2025</v>
      </c>
      <c r="K178" s="20" t="n">
        <v>5377</v>
      </c>
      <c r="L178" s="20" t="n">
        <v>6912</v>
      </c>
      <c r="M178" s="20" t="n">
        <v>13338</v>
      </c>
      <c r="N178" s="20" t="n">
        <v>8098</v>
      </c>
      <c r="V178" s="20" t="n">
        <v>25995</v>
      </c>
      <c r="W178" s="20" t="n">
        <v>-3401</v>
      </c>
      <c r="X178" s="20" t="n">
        <v>13338</v>
      </c>
    </row>
    <row r="179">
      <c r="A179" s="9" t="inlineStr">
        <is>
          <t>포괄이익</t>
        </is>
      </c>
      <c r="C179" s="12" t="n">
        <v>13092</v>
      </c>
      <c r="D179" s="12" t="n">
        <v>13393</v>
      </c>
      <c r="E179" s="12" t="n">
        <v>28309</v>
      </c>
      <c r="F179" s="12" t="n">
        <v>10616</v>
      </c>
      <c r="G179" s="12" t="n">
        <v>395</v>
      </c>
      <c r="H179" s="12" t="n">
        <v>18346</v>
      </c>
      <c r="I179" s="12" t="n">
        <v>2184</v>
      </c>
      <c r="J179" s="12" t="n">
        <v>8945</v>
      </c>
      <c r="K179" s="12" t="n">
        <v>12476</v>
      </c>
      <c r="L179" s="12" t="n">
        <v>16398</v>
      </c>
      <c r="M179" s="12" t="n">
        <v>24711</v>
      </c>
      <c r="N179" s="12" t="n">
        <v>17814</v>
      </c>
      <c r="V179" s="12" t="n">
        <v>28309</v>
      </c>
      <c r="W179" s="12" t="n">
        <v>2184</v>
      </c>
      <c r="X179" s="12" t="n">
        <v>24711</v>
      </c>
    </row>
    <row r="180">
      <c r="A180" s="9" t="inlineStr">
        <is>
          <t>Comprehensive Income Attributable To Owners Of Parent</t>
        </is>
      </c>
      <c r="C180" s="12" t="n">
        <v>12395</v>
      </c>
      <c r="D180" s="12" t="n">
        <v>13132</v>
      </c>
      <c r="E180" s="12" t="n">
        <v>27297</v>
      </c>
      <c r="F180" s="12" t="n">
        <v>9421</v>
      </c>
      <c r="G180" s="12" t="n">
        <v>575</v>
      </c>
      <c r="H180" s="12" t="n">
        <v>17000</v>
      </c>
      <c r="I180" s="12" t="n">
        <v>2132</v>
      </c>
      <c r="J180" s="12" t="n">
        <v>8468</v>
      </c>
      <c r="K180" s="12" t="n">
        <v>11588</v>
      </c>
      <c r="L180" s="12" t="n">
        <v>15057</v>
      </c>
      <c r="M180" s="12" t="n">
        <v>24017</v>
      </c>
      <c r="N180" s="12" t="n">
        <v>16982</v>
      </c>
      <c r="V180" s="12" t="n">
        <v>27297</v>
      </c>
      <c r="W180" s="12" t="n">
        <v>2132</v>
      </c>
      <c r="X180" s="12" t="n">
        <v>24017</v>
      </c>
    </row>
    <row r="181">
      <c r="A181" s="9" t="inlineStr">
        <is>
          <t>비지배지분</t>
        </is>
      </c>
      <c r="C181" s="12" t="n">
        <v>696</v>
      </c>
      <c r="D181" s="12" t="n">
        <v>262</v>
      </c>
      <c r="E181" s="12" t="n">
        <v>1011</v>
      </c>
      <c r="F181" s="12" t="n">
        <v>1195</v>
      </c>
      <c r="G181" s="12" t="n">
        <v>-180</v>
      </c>
      <c r="H181" s="12" t="n">
        <v>1346</v>
      </c>
      <c r="I181" s="12" t="n">
        <v>52</v>
      </c>
      <c r="J181" s="12" t="n">
        <v>477</v>
      </c>
      <c r="K181" s="12" t="n">
        <v>887</v>
      </c>
      <c r="L181" s="12" t="n">
        <v>1342</v>
      </c>
      <c r="M181" s="12" t="n">
        <v>693</v>
      </c>
      <c r="N181" s="12" t="n">
        <v>832</v>
      </c>
      <c r="V181" s="12" t="n">
        <v>1011</v>
      </c>
      <c r="W181" s="12" t="n">
        <v>52</v>
      </c>
      <c r="X181" s="12" t="n">
        <v>693</v>
      </c>
    </row>
    <row r="182">
      <c r="A182" s="9" t="inlineStr">
        <is>
          <t>순이익</t>
        </is>
      </c>
      <c r="C182" s="12" t="n">
        <v>5652</v>
      </c>
      <c r="D182" s="12" t="n">
        <v>9818</v>
      </c>
      <c r="E182" s="12" t="n">
        <v>30041</v>
      </c>
      <c r="T182" s="12" t="n">
        <v>5193</v>
      </c>
      <c r="U182" s="12" t="n">
        <v>8616</v>
      </c>
      <c r="V182" s="12" t="n">
        <v>30041</v>
      </c>
    </row>
    <row r="183">
      <c r="A183" s="18" t="inlineStr">
        <is>
          <t>기타유가증권 평가차액</t>
        </is>
      </c>
      <c r="C183" s="20" t="n">
        <v>5288</v>
      </c>
      <c r="D183" s="20" t="n">
        <v>-3010</v>
      </c>
      <c r="E183" s="20" t="n">
        <v>-5680</v>
      </c>
      <c r="T183" s="20" t="n">
        <v>-2796</v>
      </c>
      <c r="U183" s="20" t="n">
        <v>5911</v>
      </c>
      <c r="V183" s="20" t="n">
        <v>-5680</v>
      </c>
    </row>
    <row r="184">
      <c r="A184" s="18" t="inlineStr">
        <is>
          <t>이연헤지손익</t>
        </is>
      </c>
      <c r="C184" s="20" t="n">
        <v>7</v>
      </c>
      <c r="D184" s="20" t="n">
        <v>-3</v>
      </c>
      <c r="E184" s="20" t="n">
        <v>2</v>
      </c>
      <c r="T184" s="20" t="n">
        <v>23</v>
      </c>
      <c r="U184" s="20" t="n">
        <v>-43</v>
      </c>
      <c r="V184" s="20" t="n">
        <v>2</v>
      </c>
    </row>
    <row r="185">
      <c r="A185" s="18" t="inlineStr">
        <is>
          <t>해외사업환산조정</t>
        </is>
      </c>
      <c r="C185" s="20" t="n">
        <v>1334</v>
      </c>
      <c r="D185" s="20" t="n">
        <v>-1313</v>
      </c>
      <c r="E185" s="20" t="n">
        <v>2206</v>
      </c>
      <c r="T185" s="20" t="n">
        <v>2773</v>
      </c>
      <c r="U185" s="20" t="n">
        <v>730</v>
      </c>
      <c r="V185" s="20" t="n">
        <v>2206</v>
      </c>
    </row>
    <row r="186">
      <c r="A186" s="18" t="inlineStr">
        <is>
          <t>퇴직급여 조정액</t>
        </is>
      </c>
      <c r="C186" s="20" t="n">
        <v>144</v>
      </c>
      <c r="D186" s="20" t="n">
        <v>-121</v>
      </c>
      <c r="E186" s="20" t="n">
        <v>11567</v>
      </c>
      <c r="T186" s="20" t="n">
        <v>3186</v>
      </c>
      <c r="U186" s="20" t="n">
        <v>3218</v>
      </c>
      <c r="V186" s="20" t="n">
        <v>11567</v>
      </c>
    </row>
    <row r="187">
      <c r="A187" s="18" t="inlineStr">
        <is>
          <t>지분법 적용회사 지분 해당액</t>
        </is>
      </c>
      <c r="C187" s="20" t="n">
        <v>74</v>
      </c>
      <c r="D187" s="20" t="n">
        <v>25</v>
      </c>
      <c r="E187" s="20" t="n">
        <v>56</v>
      </c>
      <c r="T187" s="20" t="n">
        <v>22</v>
      </c>
      <c r="U187" s="20" t="n">
        <v>17</v>
      </c>
      <c r="V187" s="20" t="n">
        <v>56</v>
      </c>
    </row>
    <row r="188">
      <c r="A188" s="18" t="inlineStr">
        <is>
          <t>기타포괄손익 합계</t>
        </is>
      </c>
      <c r="C188" s="20" t="n">
        <v>6846</v>
      </c>
      <c r="D188" s="20" t="n">
        <v>-4423</v>
      </c>
      <c r="E188" s="20" t="n">
        <v>8153</v>
      </c>
      <c r="T188" s="20" t="n">
        <v>3207</v>
      </c>
      <c r="U188" s="20" t="n">
        <v>9836</v>
      </c>
      <c r="V188" s="20" t="n">
        <v>8153</v>
      </c>
    </row>
    <row r="189">
      <c r="A189" s="9" t="inlineStr">
        <is>
          <t>포괄이익</t>
        </is>
      </c>
      <c r="C189" s="12" t="n">
        <v>12497</v>
      </c>
      <c r="D189" s="12" t="n">
        <v>5396</v>
      </c>
      <c r="E189" s="12" t="n">
        <v>38193</v>
      </c>
      <c r="T189" s="12" t="n">
        <v>8399</v>
      </c>
      <c r="U189" s="12" t="n">
        <v>18451</v>
      </c>
      <c r="V189" s="12" t="n">
        <v>38193</v>
      </c>
    </row>
    <row r="190">
      <c r="A190" s="9" t="inlineStr">
        <is>
          <t>지배주주 포괄이익</t>
        </is>
      </c>
      <c r="C190" s="12" t="n">
        <v>11795</v>
      </c>
      <c r="D190" s="12" t="n">
        <v>5054</v>
      </c>
      <c r="E190" s="12" t="n">
        <v>36686</v>
      </c>
      <c r="T190" s="12" t="n">
        <v>7476</v>
      </c>
      <c r="U190" s="12" t="n">
        <v>17948</v>
      </c>
      <c r="V190" s="12" t="n">
        <v>36686</v>
      </c>
    </row>
    <row r="191">
      <c r="A191" s="9" t="inlineStr">
        <is>
          <t>비지배주주 포괄이익</t>
        </is>
      </c>
      <c r="C191" s="12" t="n">
        <v>703</v>
      </c>
      <c r="D191" s="12" t="n">
        <v>342</v>
      </c>
      <c r="E191" s="12" t="n">
        <v>1507</v>
      </c>
      <c r="T191" s="12" t="n">
        <v>923</v>
      </c>
      <c r="U191" s="12" t="n">
        <v>502</v>
      </c>
      <c r="V191" s="12" t="n">
        <v>1507</v>
      </c>
    </row>
    <row r="193">
      <c r="A193" s="16" t="inlineStr">
        <is>
          <t>부문 · 전 항목</t>
        </is>
      </c>
      <c r="B193" s="42" t="inlineStr">
        <is>
          <t>부문 · 항목</t>
        </is>
      </c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</row>
    <row r="194">
      <c r="A194" s="5" t="inlineStr">
        <is>
          <t>항목</t>
        </is>
      </c>
      <c r="B194" s="5" t="inlineStr">
        <is>
          <t>참고</t>
        </is>
      </c>
      <c r="C194" s="5" t="inlineStr">
        <is>
          <t>2024.2Q</t>
        </is>
      </c>
      <c r="D194" s="5" t="inlineStr">
        <is>
          <t>2024.3Q</t>
        </is>
      </c>
      <c r="E194" s="5" t="inlineStr">
        <is>
          <t>2024.4Q</t>
        </is>
      </c>
      <c r="F194" s="5" t="inlineStr">
        <is>
          <t>2025.1Q</t>
        </is>
      </c>
      <c r="G194" s="5" t="inlineStr">
        <is>
          <t>2025.2Q</t>
        </is>
      </c>
      <c r="H194" s="5" t="inlineStr">
        <is>
          <t>2025.3Q</t>
        </is>
      </c>
      <c r="I194" s="5" t="inlineStr">
        <is>
          <t>2025.4Q</t>
        </is>
      </c>
      <c r="J194" s="5" t="inlineStr">
        <is>
          <t>2026.1Q</t>
        </is>
      </c>
      <c r="K194" s="5" t="inlineStr">
        <is>
          <t>2026.2Q</t>
        </is>
      </c>
      <c r="L194" s="5" t="inlineStr">
        <is>
          <t>2026.3Q</t>
        </is>
      </c>
      <c r="M194" s="5" t="inlineStr">
        <is>
          <t>2026.4Q</t>
        </is>
      </c>
      <c r="N194" s="5" t="inlineStr">
        <is>
          <t>2027.1Q</t>
        </is>
      </c>
      <c r="O194" s="5" t="inlineStr">
        <is>
          <t>2017</t>
        </is>
      </c>
      <c r="P194" s="5" t="inlineStr">
        <is>
          <t>2018</t>
        </is>
      </c>
      <c r="Q194" s="5" t="inlineStr">
        <is>
          <t>2019</t>
        </is>
      </c>
      <c r="R194" s="5" t="inlineStr">
        <is>
          <t>2020</t>
        </is>
      </c>
      <c r="S194" s="5" t="inlineStr">
        <is>
          <t>2021</t>
        </is>
      </c>
      <c r="T194" s="5" t="inlineStr">
        <is>
          <t>2022</t>
        </is>
      </c>
      <c r="U194" s="5" t="inlineStr">
        <is>
          <t>2023</t>
        </is>
      </c>
      <c r="V194" s="5" t="inlineStr">
        <is>
          <t>2024</t>
        </is>
      </c>
      <c r="W194" s="5" t="inlineStr">
        <is>
          <t>2025</t>
        </is>
      </c>
      <c r="X194" s="5" t="inlineStr">
        <is>
          <t>2026</t>
        </is>
      </c>
      <c r="Y194" s="5" t="inlineStr">
        <is>
          <t>2027(MW)</t>
        </is>
      </c>
      <c r="Z194" s="5" t="inlineStr">
        <is>
          <t>2028(MW)</t>
        </is>
      </c>
      <c r="AA194" s="5" t="inlineStr">
        <is>
          <t>2029(MW)</t>
        </is>
      </c>
      <c r="AB194" s="5" t="inlineStr">
        <is>
          <t>2030(MW)</t>
        </is>
      </c>
      <c r="AC194" s="5" t="inlineStr">
        <is>
          <t>2031(MW)</t>
        </is>
      </c>
    </row>
    <row r="195">
      <c r="A195" s="18" t="inlineStr">
        <is>
          <t>부문 · Revenue From External Customers</t>
        </is>
      </c>
      <c r="C195" s="20" t="n">
        <v>53405</v>
      </c>
      <c r="D195" s="20" t="n">
        <v>58872</v>
      </c>
      <c r="F195" s="20" t="n">
        <v>53427</v>
      </c>
      <c r="G195" s="20" t="n">
        <v>52051</v>
      </c>
      <c r="H195" s="20" t="n">
        <v>54945</v>
      </c>
      <c r="J195" s="20" t="n">
        <v>51216</v>
      </c>
      <c r="K195" s="20" t="n">
        <v>48763</v>
      </c>
      <c r="L195" s="20" t="n">
        <v>53043</v>
      </c>
      <c r="N195" s="20" t="n">
        <v>59403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  <c r="H196" s="15">
        <f>IF(OR(H195="",D195=""),"",IF(D195&lt;=0,"",IFERROR(H195/D195-1,"")))</f>
        <v/>
      </c>
      <c r="J196" s="15">
        <f>IF(OR(J195="",F195=""),"",IF(F195&lt;=0,"",IFERROR(J195/F195-1,"")))</f>
        <v/>
      </c>
      <c r="K196" s="15">
        <f>IF(OR(K195="",G195=""),"",IF(G195&lt;=0,"",IFERROR(K195/G195-1,"")))</f>
        <v/>
      </c>
      <c r="L196" s="15">
        <f>IF(OR(L195="",H195=""),"",IF(H195&lt;=0,"",IFERROR(L195/H195-1,"")))</f>
        <v/>
      </c>
      <c r="N196" s="15">
        <f>IF(OR(N195="",J195=""),"",IF(J195&lt;=0,"",IFERROR(N195/J195-1,"")))</f>
        <v/>
      </c>
    </row>
    <row r="197">
      <c r="A197" s="18" t="inlineStr">
        <is>
          <t>부문 · Revenue From External Customers</t>
        </is>
      </c>
      <c r="C197" s="20" t="n">
        <v>51177</v>
      </c>
      <c r="D197" s="20" t="n">
        <v>50741</v>
      </c>
      <c r="F197" s="20" t="n">
        <v>49694</v>
      </c>
      <c r="G197" s="20" t="n">
        <v>50422</v>
      </c>
      <c r="H197" s="20" t="n">
        <v>52968</v>
      </c>
      <c r="J197" s="20" t="n">
        <v>48302</v>
      </c>
      <c r="K197" s="20" t="n">
        <v>48492</v>
      </c>
      <c r="L197" s="20" t="n">
        <v>51128</v>
      </c>
      <c r="N197" s="20" t="n">
        <v>58043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IF(OR(G197="",C197=""),"",IF(C197&lt;=0,"",IFERROR(G197/C197-1,"")))</f>
        <v/>
      </c>
      <c r="H198" s="15">
        <f>IF(OR(H197="",D197=""),"",IF(D197&lt;=0,"",IFERROR(H197/D197-1,"")))</f>
        <v/>
      </c>
      <c r="J198" s="15">
        <f>IF(OR(J197="",F197=""),"",IF(F197&lt;=0,"",IFERROR(J197/F197-1,"")))</f>
        <v/>
      </c>
      <c r="K198" s="15">
        <f>IF(OR(K197="",G197=""),"",IF(G197&lt;=0,"",IFERROR(K197/G197-1,"")))</f>
        <v/>
      </c>
      <c r="L198" s="15">
        <f>IF(OR(L197="",H197=""),"",IF(H197&lt;=0,"",IFERROR(L197/H197-1,"")))</f>
        <v/>
      </c>
      <c r="N198" s="15">
        <f>IF(OR(N197="",J197=""),"",IF(J197&lt;=0,"",IFERROR(N197/J197-1,"")))</f>
        <v/>
      </c>
    </row>
    <row r="199">
      <c r="A199" s="18" t="inlineStr">
        <is>
          <t>부문 · Revenue From External Customers</t>
        </is>
      </c>
      <c r="C199" s="20" t="n">
        <v>26956</v>
      </c>
      <c r="D199" s="20" t="n">
        <v>27560</v>
      </c>
      <c r="F199" s="20" t="n">
        <v>27196</v>
      </c>
      <c r="G199" s="20" t="n">
        <v>26538</v>
      </c>
      <c r="H199" s="20" t="n">
        <v>30015</v>
      </c>
      <c r="J199" s="20" t="n">
        <v>29299</v>
      </c>
      <c r="K199" s="20" t="n">
        <v>29867</v>
      </c>
      <c r="L199" s="20" t="n">
        <v>29808</v>
      </c>
      <c r="N199" s="20" t="n">
        <v>31640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IF(OR(G199="",C199=""),"",IF(C199&lt;=0,"",IFERROR(G199/C199-1,"")))</f>
        <v/>
      </c>
      <c r="H200" s="15">
        <f>IF(OR(H199="",D199=""),"",IF(D199&lt;=0,"",IFERROR(H199/D199-1,"")))</f>
        <v/>
      </c>
      <c r="J200" s="15">
        <f>IF(OR(J199="",F199=""),"",IF(F199&lt;=0,"",IFERROR(J199/F199-1,"")))</f>
        <v/>
      </c>
      <c r="K200" s="15">
        <f>IF(OR(K199="",G199=""),"",IF(G199&lt;=0,"",IFERROR(K199/G199-1,"")))</f>
        <v/>
      </c>
      <c r="L200" s="15">
        <f>IF(OR(L199="",H199=""),"",IF(H199&lt;=0,"",IFERROR(L199/H199-1,"")))</f>
        <v/>
      </c>
      <c r="N200" s="15">
        <f>IF(OR(N199="",J199=""),"",IF(J199&lt;=0,"",IFERROR(N199/J199-1,"")))</f>
        <v/>
      </c>
    </row>
    <row r="201">
      <c r="A201" s="18" t="inlineStr">
        <is>
          <t>부문 · Revenue From External Customers</t>
        </is>
      </c>
      <c r="C201" s="20" t="n">
        <v>5987</v>
      </c>
      <c r="D201" s="20" t="n">
        <v>6097</v>
      </c>
      <c r="F201" s="20" t="n">
        <v>4616</v>
      </c>
      <c r="G201" s="20" t="n">
        <v>5971</v>
      </c>
      <c r="H201" s="20" t="n">
        <v>5686</v>
      </c>
      <c r="J201" s="20" t="n">
        <v>6815</v>
      </c>
      <c r="K201" s="20" t="n">
        <v>7442</v>
      </c>
      <c r="L201" s="20" t="n">
        <v>6006</v>
      </c>
      <c r="N201" s="20" t="n">
        <v>7254</v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IF(OR(G201="",C201=""),"",IF(C201&lt;=0,"",IFERROR(G201/C201-1,"")))</f>
        <v/>
      </c>
      <c r="H202" s="15">
        <f>IF(OR(H201="",D201=""),"",IF(D201&lt;=0,"",IFERROR(H201/D201-1,"")))</f>
        <v/>
      </c>
      <c r="J202" s="15">
        <f>IF(OR(J201="",F201=""),"",IF(F201&lt;=0,"",IFERROR(J201/F201-1,"")))</f>
        <v/>
      </c>
      <c r="K202" s="15">
        <f>IF(OR(K201="",G201=""),"",IF(G201&lt;=0,"",IFERROR(K201/G201-1,"")))</f>
        <v/>
      </c>
      <c r="L202" s="15">
        <f>IF(OR(L201="",H201=""),"",IF(H201&lt;=0,"",IFERROR(L201/H201-1,"")))</f>
        <v/>
      </c>
      <c r="N202" s="15">
        <f>IF(OR(N201="",J201=""),"",IF(J201&lt;=0,"",IFERROR(N201/J201-1,"")))</f>
        <v/>
      </c>
    </row>
    <row r="203">
      <c r="A203" s="18" t="inlineStr">
        <is>
          <t>부문 · Revenue From External Customers</t>
        </is>
      </c>
      <c r="C203" s="20" t="n">
        <v>7824</v>
      </c>
      <c r="D203" s="20" t="n">
        <v>8264</v>
      </c>
      <c r="F203" s="20" t="n">
        <v>7159</v>
      </c>
      <c r="G203" s="20" t="n">
        <v>6363</v>
      </c>
      <c r="H203" s="20" t="n">
        <v>6908</v>
      </c>
      <c r="J203" s="20" t="n">
        <v>6719</v>
      </c>
      <c r="K203" s="20" t="n">
        <v>7581</v>
      </c>
      <c r="L203" s="20" t="n">
        <v>5746</v>
      </c>
      <c r="N203" s="20" t="n">
        <v>7188</v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IF(OR(G203="",C203=""),"",IF(C203&lt;=0,"",IFERROR(G203/C203-1,"")))</f>
        <v/>
      </c>
      <c r="H204" s="15">
        <f>IF(OR(H203="",D203=""),"",IF(D203&lt;=0,"",IFERROR(H203/D203-1,"")))</f>
        <v/>
      </c>
      <c r="J204" s="15">
        <f>IF(OR(J203="",F203=""),"",IF(F203&lt;=0,"",IFERROR(J203/F203-1,"")))</f>
        <v/>
      </c>
      <c r="K204" s="15">
        <f>IF(OR(K203="",G203=""),"",IF(G203&lt;=0,"",IFERROR(K203/G203-1,"")))</f>
        <v/>
      </c>
      <c r="L204" s="15">
        <f>IF(OR(L203="",H203=""),"",IF(H203&lt;=0,"",IFERROR(L203/H203-1,"")))</f>
        <v/>
      </c>
      <c r="N204" s="15">
        <f>IF(OR(N203="",J203=""),"",IF(J203&lt;=0,"",IFERROR(N203/J203-1,"")))</f>
        <v/>
      </c>
    </row>
    <row r="205">
      <c r="A205" s="18" t="inlineStr">
        <is>
          <t>합계 · Revenue From External Customers</t>
        </is>
      </c>
      <c r="F205" s="20" t="n">
        <v>142094</v>
      </c>
      <c r="G205" s="20" t="n">
        <v>141345</v>
      </c>
      <c r="H205" s="20" t="n">
        <v>150522</v>
      </c>
      <c r="J205" s="20" t="n">
        <v>142352</v>
      </c>
      <c r="K205" s="20" t="n">
        <v>142147</v>
      </c>
      <c r="L205" s="20" t="n">
        <v>145731</v>
      </c>
      <c r="N205" s="20" t="n">
        <v>163530</v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IF(OR(G205="",C205=""),"",IF(C205&lt;=0,"",IFERROR(G205/C205-1,"")))</f>
        <v/>
      </c>
      <c r="H206" s="15">
        <f>IF(OR(H205="",D205=""),"",IF(D205&lt;=0,"",IFERROR(H205/D205-1,"")))</f>
        <v/>
      </c>
      <c r="J206" s="15">
        <f>IF(OR(J205="",F205=""),"",IF(F205&lt;=0,"",IFERROR(J205/F205-1,"")))</f>
        <v/>
      </c>
      <c r="K206" s="15">
        <f>IF(OR(K205="",G205=""),"",IF(G205&lt;=0,"",IFERROR(K205/G205-1,"")))</f>
        <v/>
      </c>
      <c r="L206" s="15">
        <f>IF(OR(L205="",H205=""),"",IF(H205&lt;=0,"",IFERROR(L205/H205-1,"")))</f>
        <v/>
      </c>
      <c r="N206" s="15">
        <f>IF(OR(N205="",J205=""),"",IF(J205&lt;=0,"",IFERROR(N205/J205-1,"")))</f>
        <v/>
      </c>
    </row>
    <row r="207">
      <c r="A207" s="18" t="inlineStr">
        <is>
          <t>조정액 · Revenue From External Customers</t>
        </is>
      </c>
      <c r="C207" s="20" t="n">
        <v>0</v>
      </c>
      <c r="D207" s="20" t="n">
        <v>0</v>
      </c>
      <c r="E207" s="20" t="n">
        <v>0</v>
      </c>
      <c r="F207" s="20" t="n">
        <v>0</v>
      </c>
      <c r="G207" s="20" t="n">
        <v>0</v>
      </c>
      <c r="H207" s="20" t="n">
        <v>0</v>
      </c>
      <c r="I207" s="20" t="n">
        <v>0</v>
      </c>
      <c r="J207" s="20" t="n">
        <v>0</v>
      </c>
      <c r="K207" s="20" t="n">
        <v>0</v>
      </c>
      <c r="L207" s="20" t="n">
        <v>0</v>
      </c>
      <c r="M207" s="20" t="n">
        <v>0</v>
      </c>
      <c r="N207" s="20" t="n">
        <v>0</v>
      </c>
      <c r="V207" s="20" t="n">
        <v>0</v>
      </c>
      <c r="W207" s="20" t="n">
        <v>0</v>
      </c>
      <c r="X207" s="20" t="n">
        <v>0</v>
      </c>
    </row>
    <row r="208">
      <c r="A208" s="9" t="inlineStr">
        <is>
          <t>Revenue From External Customers</t>
        </is>
      </c>
      <c r="C208" s="12" t="n">
        <v>145349</v>
      </c>
      <c r="D208" s="12" t="n">
        <v>151534</v>
      </c>
      <c r="E208" s="12" t="n">
        <v>139795</v>
      </c>
      <c r="F208" s="12" t="n">
        <v>142094</v>
      </c>
      <c r="G208" s="12" t="n">
        <v>141345</v>
      </c>
      <c r="H208" s="12" t="n">
        <v>150522</v>
      </c>
      <c r="I208" s="12" t="n">
        <v>140984</v>
      </c>
      <c r="J208" s="12" t="n">
        <v>142352</v>
      </c>
      <c r="K208" s="12" t="n">
        <v>142147</v>
      </c>
      <c r="L208" s="12" t="n">
        <v>145731</v>
      </c>
      <c r="M208" s="12" t="n">
        <v>147899</v>
      </c>
      <c r="N208" s="12" t="n">
        <v>163530</v>
      </c>
      <c r="V208" s="12" t="n">
        <v>139795</v>
      </c>
      <c r="W208" s="12" t="n">
        <v>140984</v>
      </c>
      <c r="X208" s="12" t="n">
        <v>147899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IF(OR(G208="",C208=""),"",IF(C208&lt;=0,"",IFERROR(G208/C208-1,"")))</f>
        <v/>
      </c>
      <c r="H209" s="15">
        <f>IF(OR(H208="",D208=""),"",IF(D208&lt;=0,"",IFERROR(H208/D208-1,"")))</f>
        <v/>
      </c>
      <c r="I209" s="15">
        <f>IF(OR(I208="",E208=""),"",IF(E208&lt;=0,"",IFERROR(I208/E208-1,"")))</f>
        <v/>
      </c>
      <c r="J209" s="15">
        <f>IF(OR(J208="",F208=""),"",IF(F208&lt;=0,"",IFERROR(J208/F208-1,"")))</f>
        <v/>
      </c>
      <c r="K209" s="15">
        <f>IF(OR(K208="",G208=""),"",IF(G208&lt;=0,"",IFERROR(K208/G208-1,"")))</f>
        <v/>
      </c>
      <c r="L209" s="15">
        <f>IF(OR(L208="",H208=""),"",IF(H208&lt;=0,"",IFERROR(L208/H208-1,"")))</f>
        <v/>
      </c>
      <c r="M209" s="15">
        <f>IF(OR(M208="",I208=""),"",IF(I208&lt;=0,"",IFERROR(M208/I208-1,"")))</f>
        <v/>
      </c>
      <c r="N209" s="15">
        <f>IF(OR(N208="",J208=""),"",IF(J208&lt;=0,"",IFERROR(N208/J208-1,"")))</f>
        <v/>
      </c>
      <c r="V209" s="15">
        <f>IF(OR(V208="",U208=""),"",IF(U208&lt;=0,"",IFERROR(V208/U208-1,"")))</f>
        <v/>
      </c>
      <c r="W209" s="15">
        <f>IF(OR(W208="",V208=""),"",IF(V208&lt;=0,"",IFERROR(W208/V208-1,"")))</f>
        <v/>
      </c>
      <c r="X209" s="15">
        <f>IF(OR(X208="",W208=""),"",IF(W208&lt;=0,"",IFERROR(X208/W208-1,"")))</f>
        <v/>
      </c>
    </row>
    <row r="210">
      <c r="A210" s="18" t="inlineStr">
        <is>
          <t>보고부문 합계 · Intersegment Revenue</t>
        </is>
      </c>
      <c r="D210" s="20" t="n">
        <v>34000</v>
      </c>
      <c r="E210" s="20" t="n">
        <v>33799</v>
      </c>
      <c r="H210" s="20" t="n">
        <v>36006</v>
      </c>
      <c r="I210" s="20" t="n">
        <v>35532</v>
      </c>
      <c r="V210" s="20" t="n">
        <v>33799</v>
      </c>
      <c r="W210" s="20" t="n">
        <v>35532</v>
      </c>
    </row>
    <row r="211">
      <c r="A211" s="18" t="inlineStr">
        <is>
          <t>부문 · Intersegment Revenue</t>
        </is>
      </c>
      <c r="C211" s="20" t="n">
        <v>14476</v>
      </c>
      <c r="D211" s="20" t="n">
        <v>15730</v>
      </c>
      <c r="F211" s="20" t="n">
        <v>18112</v>
      </c>
      <c r="G211" s="20" t="n">
        <v>17801</v>
      </c>
      <c r="H211" s="20" t="n">
        <v>17902</v>
      </c>
      <c r="J211" s="20" t="n">
        <v>16718</v>
      </c>
      <c r="K211" s="20" t="n">
        <v>16280</v>
      </c>
      <c r="L211" s="20" t="n">
        <v>17360</v>
      </c>
      <c r="N211" s="20" t="n">
        <v>21247</v>
      </c>
    </row>
    <row r="212">
      <c r="A212" s="18" t="inlineStr">
        <is>
          <t>부문 · Intersegment Revenue</t>
        </is>
      </c>
      <c r="C212" s="20" t="n">
        <v>4344</v>
      </c>
      <c r="D212" s="20" t="n">
        <v>4698</v>
      </c>
      <c r="F212" s="20" t="n">
        <v>4641</v>
      </c>
      <c r="G212" s="20" t="n">
        <v>4683</v>
      </c>
      <c r="H212" s="20" t="n">
        <v>5208</v>
      </c>
      <c r="J212" s="20" t="n">
        <v>4399</v>
      </c>
      <c r="K212" s="20" t="n">
        <v>3776</v>
      </c>
      <c r="L212" s="20" t="n">
        <v>4133</v>
      </c>
      <c r="N212" s="20" t="n">
        <v>5553</v>
      </c>
    </row>
    <row r="213">
      <c r="A213" s="18" t="inlineStr">
        <is>
          <t>부문 · Intersegment Revenue</t>
        </is>
      </c>
      <c r="C213" s="20" t="n">
        <v>7668</v>
      </c>
      <c r="D213" s="20" t="n">
        <v>9204</v>
      </c>
      <c r="F213" s="20" t="n">
        <v>9012</v>
      </c>
      <c r="G213" s="20" t="n">
        <v>8411</v>
      </c>
      <c r="H213" s="20" t="n">
        <v>7836</v>
      </c>
      <c r="J213" s="20" t="n">
        <v>8356</v>
      </c>
      <c r="K213" s="20" t="n">
        <v>6529</v>
      </c>
      <c r="L213" s="20" t="n">
        <v>8346</v>
      </c>
      <c r="N213" s="20" t="n">
        <v>9177</v>
      </c>
    </row>
    <row r="214">
      <c r="A214" s="18" t="inlineStr">
        <is>
          <t>부문 · Intersegment Revenue</t>
        </is>
      </c>
      <c r="C214" s="20" t="n">
        <v>167</v>
      </c>
      <c r="D214" s="20" t="n">
        <v>115</v>
      </c>
      <c r="F214" s="20" t="n">
        <v>156</v>
      </c>
      <c r="G214" s="20" t="n">
        <v>176</v>
      </c>
      <c r="H214" s="20" t="n">
        <v>138</v>
      </c>
      <c r="J214" s="20" t="n">
        <v>130</v>
      </c>
      <c r="K214" s="20" t="n">
        <v>213</v>
      </c>
      <c r="L214" s="20" t="n">
        <v>341</v>
      </c>
      <c r="N214" s="20" t="n">
        <v>420</v>
      </c>
    </row>
    <row r="215">
      <c r="A215" s="18" t="inlineStr">
        <is>
          <t>부문 · Intersegment Revenue</t>
        </is>
      </c>
      <c r="C215" s="20" t="n">
        <v>4413</v>
      </c>
      <c r="D215" s="20" t="n">
        <v>4255</v>
      </c>
      <c r="F215" s="20" t="n">
        <v>4638</v>
      </c>
      <c r="G215" s="20" t="n">
        <v>4970</v>
      </c>
      <c r="H215" s="20" t="n">
        <v>4921</v>
      </c>
      <c r="J215" s="20" t="n">
        <v>5158</v>
      </c>
      <c r="K215" s="20" t="n">
        <v>5136</v>
      </c>
      <c r="L215" s="20" t="n">
        <v>5754</v>
      </c>
      <c r="N215" s="20" t="n">
        <v>5771</v>
      </c>
    </row>
    <row r="216">
      <c r="A216" s="18" t="inlineStr">
        <is>
          <t>합계 · Intersegment Revenue</t>
        </is>
      </c>
      <c r="F216" s="20" t="n">
        <v>36560</v>
      </c>
      <c r="G216" s="20" t="n">
        <v>36041</v>
      </c>
      <c r="H216" s="20" t="n">
        <v>36006</v>
      </c>
      <c r="J216" s="20" t="n">
        <v>34762</v>
      </c>
      <c r="K216" s="20" t="n">
        <v>31934</v>
      </c>
      <c r="L216" s="20" t="n">
        <v>35934</v>
      </c>
      <c r="N216" s="20" t="n">
        <v>42170</v>
      </c>
    </row>
    <row r="217">
      <c r="A217" s="18" t="inlineStr">
        <is>
          <t>조정액 · Intersegment Revenue</t>
        </is>
      </c>
      <c r="C217" s="20" t="n">
        <v>-31070</v>
      </c>
      <c r="D217" s="20" t="n">
        <v>-34000</v>
      </c>
      <c r="E217" s="20" t="n">
        <v>-33799</v>
      </c>
      <c r="F217" s="20" t="n">
        <v>-36560</v>
      </c>
      <c r="G217" s="20" t="n">
        <v>-36041</v>
      </c>
      <c r="H217" s="20" t="n">
        <v>-36006</v>
      </c>
      <c r="I217" s="20" t="n">
        <v>-35532</v>
      </c>
      <c r="J217" s="20" t="n">
        <v>-34762</v>
      </c>
      <c r="K217" s="20" t="n">
        <v>-31934</v>
      </c>
      <c r="L217" s="20" t="n">
        <v>-35934</v>
      </c>
      <c r="M217" s="20" t="n">
        <v>-36285</v>
      </c>
      <c r="N217" s="20" t="n">
        <v>-42170</v>
      </c>
      <c r="V217" s="20" t="n">
        <v>-33799</v>
      </c>
      <c r="W217" s="20" t="n">
        <v>-35532</v>
      </c>
      <c r="X217" s="20" t="n">
        <v>-36285</v>
      </c>
    </row>
    <row r="218">
      <c r="A218" s="18" t="inlineStr">
        <is>
          <t>Intersegment Revenue</t>
        </is>
      </c>
      <c r="C218" s="20" t="n">
        <v>0</v>
      </c>
      <c r="D218" s="20" t="n">
        <v>0</v>
      </c>
      <c r="E218" s="20" t="n">
        <v>0</v>
      </c>
      <c r="F218" s="20" t="n">
        <v>0</v>
      </c>
      <c r="G218" s="20" t="n">
        <v>0</v>
      </c>
      <c r="H218" s="20" t="n">
        <v>0</v>
      </c>
      <c r="I218" s="20" t="n">
        <v>0</v>
      </c>
      <c r="J218" s="20" t="n">
        <v>0</v>
      </c>
      <c r="K218" s="20" t="n">
        <v>0</v>
      </c>
      <c r="L218" s="20" t="n">
        <v>0</v>
      </c>
      <c r="M218" s="20" t="n">
        <v>0</v>
      </c>
      <c r="N218" s="20" t="n">
        <v>0</v>
      </c>
      <c r="V218" s="20" t="n">
        <v>0</v>
      </c>
      <c r="W218" s="20" t="n">
        <v>0</v>
      </c>
      <c r="X218" s="20" t="n">
        <v>0</v>
      </c>
    </row>
    <row r="219">
      <c r="A219" s="18" t="inlineStr">
        <is>
          <t>보고부문 합계 · 합계</t>
        </is>
      </c>
      <c r="D219" s="20" t="n">
        <v>185534</v>
      </c>
      <c r="E219" s="20" t="n">
        <v>173594</v>
      </c>
      <c r="H219" s="20" t="n">
        <v>186528</v>
      </c>
      <c r="I219" s="20" t="n">
        <v>176516</v>
      </c>
      <c r="V219" s="20" t="n">
        <v>173594</v>
      </c>
      <c r="W219" s="20" t="n">
        <v>176516</v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H220" s="15">
        <f>IF(OR(H219="",D219=""),"",IF(D219&lt;=0,"",IFERROR(H219/D219-1,"")))</f>
        <v/>
      </c>
      <c r="I220" s="15">
        <f>IF(OR(I219="",E219=""),"",IF(E219&lt;=0,"",IFERROR(I219/E219-1,"")))</f>
        <v/>
      </c>
      <c r="V220" s="15">
        <f>IF(OR(V219="",U219=""),"",IF(U219&lt;=0,"",IFERROR(V219/U219-1,"")))</f>
        <v/>
      </c>
      <c r="W220" s="15">
        <f>IF(OR(W219="",V219=""),"",IF(V219&lt;=0,"",IFERROR(W219/V219-1,"")))</f>
        <v/>
      </c>
    </row>
    <row r="221">
      <c r="A221" s="18" t="inlineStr">
        <is>
          <t>부문 · 합계</t>
        </is>
      </c>
      <c r="C221" s="20" t="n">
        <v>67882</v>
      </c>
      <c r="D221" s="20" t="n">
        <v>74602</v>
      </c>
      <c r="F221" s="20" t="n">
        <v>71539</v>
      </c>
      <c r="G221" s="20" t="n">
        <v>69852</v>
      </c>
      <c r="H221" s="20" t="n">
        <v>72848</v>
      </c>
      <c r="J221" s="20" t="n">
        <v>67934</v>
      </c>
      <c r="K221" s="20" t="n">
        <v>65043</v>
      </c>
      <c r="L221" s="20" t="n">
        <v>70403</v>
      </c>
      <c r="N221" s="20" t="n">
        <v>80650</v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IF(OR(G221="",C221=""),"",IF(C221&lt;=0,"",IFERROR(G221/C221-1,"")))</f>
        <v/>
      </c>
      <c r="H222" s="15">
        <f>IF(OR(H221="",D221=""),"",IF(D221&lt;=0,"",IFERROR(H221/D221-1,"")))</f>
        <v/>
      </c>
      <c r="J222" s="15">
        <f>IF(OR(J221="",F221=""),"",IF(F221&lt;=0,"",IFERROR(J221/F221-1,"")))</f>
        <v/>
      </c>
      <c r="K222" s="15">
        <f>IF(OR(K221="",G221=""),"",IF(G221&lt;=0,"",IFERROR(K221/G221-1,"")))</f>
        <v/>
      </c>
      <c r="L222" s="15">
        <f>IF(OR(L221="",H221=""),"",IF(H221&lt;=0,"",IFERROR(L221/H221-1,"")))</f>
        <v/>
      </c>
      <c r="N222" s="15">
        <f>IF(OR(N221="",J221=""),"",IF(J221&lt;=0,"",IFERROR(N221/J221-1,"")))</f>
        <v/>
      </c>
    </row>
    <row r="223">
      <c r="A223" s="18" t="inlineStr">
        <is>
          <t>부문 · 합계</t>
        </is>
      </c>
      <c r="C223" s="20" t="n">
        <v>55521</v>
      </c>
      <c r="D223" s="20" t="n">
        <v>55439</v>
      </c>
      <c r="F223" s="20" t="n">
        <v>54336</v>
      </c>
      <c r="G223" s="20" t="n">
        <v>55105</v>
      </c>
      <c r="H223" s="20" t="n">
        <v>58175</v>
      </c>
      <c r="J223" s="20" t="n">
        <v>52702</v>
      </c>
      <c r="K223" s="20" t="n">
        <v>52267</v>
      </c>
      <c r="L223" s="20" t="n">
        <v>55262</v>
      </c>
      <c r="N223" s="20" t="n">
        <v>63596</v>
      </c>
    </row>
    <row r="224">
      <c r="A224" s="43" t="inlineStr">
        <is>
          <t>YoY</t>
        </is>
      </c>
      <c r="B224" s="3" t="inlineStr">
        <is>
          <t>전년 같은 분기·전년 대비</t>
        </is>
      </c>
      <c r="G224" s="15">
        <f>IF(OR(G223="",C223=""),"",IF(C223&lt;=0,"",IFERROR(G223/C223-1,"")))</f>
        <v/>
      </c>
      <c r="H224" s="15">
        <f>IF(OR(H223="",D223=""),"",IF(D223&lt;=0,"",IFERROR(H223/D223-1,"")))</f>
        <v/>
      </c>
      <c r="J224" s="15">
        <f>IF(OR(J223="",F223=""),"",IF(F223&lt;=0,"",IFERROR(J223/F223-1,"")))</f>
        <v/>
      </c>
      <c r="K224" s="15">
        <f>IF(OR(K223="",G223=""),"",IF(G223&lt;=0,"",IFERROR(K223/G223-1,"")))</f>
        <v/>
      </c>
      <c r="L224" s="15">
        <f>IF(OR(L223="",H223=""),"",IF(H223&lt;=0,"",IFERROR(L223/H223-1,"")))</f>
        <v/>
      </c>
      <c r="N224" s="15">
        <f>IF(OR(N223="",J223=""),"",IF(J223&lt;=0,"",IFERROR(N223/J223-1,"")))</f>
        <v/>
      </c>
    </row>
    <row r="225">
      <c r="A225" s="18" t="inlineStr">
        <is>
          <t>부문 · 합계</t>
        </is>
      </c>
      <c r="C225" s="20" t="n">
        <v>34624</v>
      </c>
      <c r="D225" s="20" t="n">
        <v>36763</v>
      </c>
      <c r="F225" s="20" t="n">
        <v>36208</v>
      </c>
      <c r="G225" s="20" t="n">
        <v>34949</v>
      </c>
      <c r="H225" s="20" t="n">
        <v>37852</v>
      </c>
      <c r="J225" s="20" t="n">
        <v>37655</v>
      </c>
      <c r="K225" s="20" t="n">
        <v>36396</v>
      </c>
      <c r="L225" s="20" t="n">
        <v>38155</v>
      </c>
      <c r="N225" s="20" t="n">
        <v>40818</v>
      </c>
    </row>
    <row r="226">
      <c r="A226" s="43" t="inlineStr">
        <is>
          <t>YoY</t>
        </is>
      </c>
      <c r="B226" s="3" t="inlineStr">
        <is>
          <t>전년 같은 분기·전년 대비</t>
        </is>
      </c>
      <c r="G226" s="15">
        <f>IF(OR(G225="",C225=""),"",IF(C225&lt;=0,"",IFERROR(G225/C225-1,"")))</f>
        <v/>
      </c>
      <c r="H226" s="15">
        <f>IF(OR(H225="",D225=""),"",IF(D225&lt;=0,"",IFERROR(H225/D225-1,"")))</f>
        <v/>
      </c>
      <c r="J226" s="15">
        <f>IF(OR(J225="",F225=""),"",IF(F225&lt;=0,"",IFERROR(J225/F225-1,"")))</f>
        <v/>
      </c>
      <c r="K226" s="15">
        <f>IF(OR(K225="",G225=""),"",IF(G225&lt;=0,"",IFERROR(K225/G225-1,"")))</f>
        <v/>
      </c>
      <c r="L226" s="15">
        <f>IF(OR(L225="",H225=""),"",IF(H225&lt;=0,"",IFERROR(L225/H225-1,"")))</f>
        <v/>
      </c>
      <c r="N226" s="15">
        <f>IF(OR(N225="",J225=""),"",IF(J225&lt;=0,"",IFERROR(N225/J225-1,"")))</f>
        <v/>
      </c>
    </row>
    <row r="227">
      <c r="A227" s="18" t="inlineStr">
        <is>
          <t>부문 · 합계</t>
        </is>
      </c>
      <c r="C227" s="20" t="n">
        <v>6155</v>
      </c>
      <c r="D227" s="20" t="n">
        <v>6211</v>
      </c>
      <c r="F227" s="20" t="n">
        <v>4772</v>
      </c>
      <c r="G227" s="20" t="n">
        <v>6148</v>
      </c>
      <c r="H227" s="20" t="n">
        <v>5824</v>
      </c>
      <c r="J227" s="20" t="n">
        <v>6945</v>
      </c>
      <c r="K227" s="20" t="n">
        <v>7655</v>
      </c>
      <c r="L227" s="20" t="n">
        <v>6348</v>
      </c>
      <c r="N227" s="20" t="n">
        <v>7674</v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IF(OR(G227="",C227=""),"",IF(C227&lt;=0,"",IFERROR(G227/C227-1,"")))</f>
        <v/>
      </c>
      <c r="H228" s="15">
        <f>IF(OR(H227="",D227=""),"",IF(D227&lt;=0,"",IFERROR(H227/D227-1,"")))</f>
        <v/>
      </c>
      <c r="J228" s="15">
        <f>IF(OR(J227="",F227=""),"",IF(F227&lt;=0,"",IFERROR(J227/F227-1,"")))</f>
        <v/>
      </c>
      <c r="K228" s="15">
        <f>IF(OR(K227="",G227=""),"",IF(G227&lt;=0,"",IFERROR(K227/G227-1,"")))</f>
        <v/>
      </c>
      <c r="L228" s="15">
        <f>IF(OR(L227="",H227=""),"",IF(H227&lt;=0,"",IFERROR(L227/H227-1,"")))</f>
        <v/>
      </c>
      <c r="N228" s="15">
        <f>IF(OR(N227="",J227=""),"",IF(J227&lt;=0,"",IFERROR(N227/J227-1,"")))</f>
        <v/>
      </c>
    </row>
    <row r="229">
      <c r="A229" s="18" t="inlineStr">
        <is>
          <t>부문 · 합계</t>
        </is>
      </c>
      <c r="C229" s="20" t="n">
        <v>12237</v>
      </c>
      <c r="D229" s="20" t="n">
        <v>12518</v>
      </c>
      <c r="F229" s="20" t="n">
        <v>11797</v>
      </c>
      <c r="G229" s="20" t="n">
        <v>11334</v>
      </c>
      <c r="H229" s="20" t="n">
        <v>11828</v>
      </c>
      <c r="J229" s="20" t="n">
        <v>11878</v>
      </c>
      <c r="K229" s="20" t="n">
        <v>12717</v>
      </c>
      <c r="L229" s="20" t="n">
        <v>11499</v>
      </c>
      <c r="N229" s="20" t="n">
        <v>12960</v>
      </c>
    </row>
    <row r="230">
      <c r="A230" s="43" t="inlineStr">
        <is>
          <t>YoY</t>
        </is>
      </c>
      <c r="B230" s="3" t="inlineStr">
        <is>
          <t>전년 같은 분기·전년 대비</t>
        </is>
      </c>
      <c r="G230" s="15">
        <f>IF(OR(G229="",C229=""),"",IF(C229&lt;=0,"",IFERROR(G229/C229-1,"")))</f>
        <v/>
      </c>
      <c r="H230" s="15">
        <f>IF(OR(H229="",D229=""),"",IF(D229&lt;=0,"",IFERROR(H229/D229-1,"")))</f>
        <v/>
      </c>
      <c r="J230" s="15">
        <f>IF(OR(J229="",F229=""),"",IF(F229&lt;=0,"",IFERROR(J229/F229-1,"")))</f>
        <v/>
      </c>
      <c r="K230" s="15">
        <f>IF(OR(K229="",G229=""),"",IF(G229&lt;=0,"",IFERROR(K229/G229-1,"")))</f>
        <v/>
      </c>
      <c r="L230" s="15">
        <f>IF(OR(L229="",H229=""),"",IF(H229&lt;=0,"",IFERROR(L229/H229-1,"")))</f>
        <v/>
      </c>
      <c r="N230" s="15">
        <f>IF(OR(N229="",J229=""),"",IF(J229&lt;=0,"",IFERROR(N229/J229-1,"")))</f>
        <v/>
      </c>
    </row>
    <row r="231">
      <c r="A231" s="18" t="inlineStr">
        <is>
          <t>합계 · 합계</t>
        </is>
      </c>
      <c r="F231" s="20" t="n">
        <v>178654</v>
      </c>
      <c r="G231" s="20" t="n">
        <v>177387</v>
      </c>
      <c r="H231" s="20" t="n">
        <v>186528</v>
      </c>
      <c r="J231" s="20" t="n">
        <v>177115</v>
      </c>
      <c r="K231" s="20" t="n">
        <v>174080</v>
      </c>
      <c r="L231" s="20" t="n">
        <v>181665</v>
      </c>
      <c r="N231" s="20" t="n">
        <v>205700</v>
      </c>
    </row>
    <row r="232">
      <c r="A232" s="43" t="inlineStr">
        <is>
          <t>YoY</t>
        </is>
      </c>
      <c r="B232" s="3" t="inlineStr">
        <is>
          <t>전년 같은 분기·전년 대비</t>
        </is>
      </c>
      <c r="G232" s="15">
        <f>IF(OR(G231="",C231=""),"",IF(C231&lt;=0,"",IFERROR(G231/C231-1,"")))</f>
        <v/>
      </c>
      <c r="H232" s="15">
        <f>IF(OR(H231="",D231=""),"",IF(D231&lt;=0,"",IFERROR(H231/D231-1,"")))</f>
        <v/>
      </c>
      <c r="J232" s="15">
        <f>IF(OR(J231="",F231=""),"",IF(F231&lt;=0,"",IFERROR(J231/F231-1,"")))</f>
        <v/>
      </c>
      <c r="K232" s="15">
        <f>IF(OR(K231="",G231=""),"",IF(G231&lt;=0,"",IFERROR(K231/G231-1,"")))</f>
        <v/>
      </c>
      <c r="L232" s="15">
        <f>IF(OR(L231="",H231=""),"",IF(H231&lt;=0,"",IFERROR(L231/H231-1,"")))</f>
        <v/>
      </c>
      <c r="N232" s="15">
        <f>IF(OR(N231="",J231=""),"",IF(J231&lt;=0,"",IFERROR(N231/J231-1,"")))</f>
        <v/>
      </c>
    </row>
    <row r="233">
      <c r="A233" s="18" t="inlineStr">
        <is>
          <t>조정액 · 합계</t>
        </is>
      </c>
      <c r="C233" s="20" t="n">
        <v>-31070</v>
      </c>
      <c r="D233" s="20" t="n">
        <v>-34000</v>
      </c>
      <c r="E233" s="20" t="n">
        <v>-33799</v>
      </c>
      <c r="F233" s="20" t="n">
        <v>-36560</v>
      </c>
      <c r="G233" s="20" t="n">
        <v>-36041</v>
      </c>
      <c r="H233" s="20" t="n">
        <v>-36006</v>
      </c>
      <c r="I233" s="20" t="n">
        <v>-35532</v>
      </c>
      <c r="J233" s="20" t="n">
        <v>-34762</v>
      </c>
      <c r="K233" s="20" t="n">
        <v>-31934</v>
      </c>
      <c r="L233" s="20" t="n">
        <v>-35934</v>
      </c>
      <c r="M233" s="20" t="n">
        <v>-36285</v>
      </c>
      <c r="N233" s="20" t="n">
        <v>-42170</v>
      </c>
      <c r="V233" s="20" t="n">
        <v>-33799</v>
      </c>
      <c r="W233" s="20" t="n">
        <v>-35532</v>
      </c>
      <c r="X233" s="20" t="n">
        <v>-36285</v>
      </c>
    </row>
    <row r="234">
      <c r="A234" s="9" t="inlineStr">
        <is>
          <t>합계</t>
        </is>
      </c>
      <c r="C234" s="12" t="n">
        <v>145349</v>
      </c>
      <c r="D234" s="12" t="n">
        <v>151534</v>
      </c>
      <c r="E234" s="12" t="n">
        <v>139795</v>
      </c>
      <c r="F234" s="12" t="n">
        <v>142094</v>
      </c>
      <c r="G234" s="12" t="n">
        <v>141345</v>
      </c>
      <c r="H234" s="12" t="n">
        <v>150522</v>
      </c>
      <c r="I234" s="12" t="n">
        <v>140984</v>
      </c>
      <c r="J234" s="12" t="n">
        <v>142352</v>
      </c>
      <c r="K234" s="12" t="n">
        <v>142147</v>
      </c>
      <c r="L234" s="12" t="n">
        <v>145731</v>
      </c>
      <c r="M234" s="12" t="n">
        <v>147899</v>
      </c>
      <c r="N234" s="12" t="n">
        <v>163530</v>
      </c>
      <c r="V234" s="12" t="n">
        <v>139795</v>
      </c>
      <c r="W234" s="12" t="n">
        <v>140984</v>
      </c>
      <c r="X234" s="12" t="n">
        <v>147899</v>
      </c>
    </row>
    <row r="235">
      <c r="A235" s="43" t="inlineStr">
        <is>
          <t>YoY</t>
        </is>
      </c>
      <c r="B235" s="3" t="inlineStr">
        <is>
          <t>전년 같은 분기·전년 대비</t>
        </is>
      </c>
      <c r="G235" s="15">
        <f>IF(OR(G234="",C234=""),"",IF(C234&lt;=0,"",IFERROR(G234/C234-1,"")))</f>
        <v/>
      </c>
      <c r="H235" s="15">
        <f>IF(OR(H234="",D234=""),"",IF(D234&lt;=0,"",IFERROR(H234/D234-1,"")))</f>
        <v/>
      </c>
      <c r="I235" s="15">
        <f>IF(OR(I234="",E234=""),"",IF(E234&lt;=0,"",IFERROR(I234/E234-1,"")))</f>
        <v/>
      </c>
      <c r="J235" s="15">
        <f>IF(OR(J234="",F234=""),"",IF(F234&lt;=0,"",IFERROR(J234/F234-1,"")))</f>
        <v/>
      </c>
      <c r="K235" s="15">
        <f>IF(OR(K234="",G234=""),"",IF(G234&lt;=0,"",IFERROR(K234/G234-1,"")))</f>
        <v/>
      </c>
      <c r="L235" s="15">
        <f>IF(OR(L234="",H234=""),"",IF(H234&lt;=0,"",IFERROR(L234/H234-1,"")))</f>
        <v/>
      </c>
      <c r="M235" s="15">
        <f>IF(OR(M234="",I234=""),"",IF(I234&lt;=0,"",IFERROR(M234/I234-1,"")))</f>
        <v/>
      </c>
      <c r="N235" s="15">
        <f>IF(OR(N234="",J234=""),"",IF(J234&lt;=0,"",IFERROR(N234/J234-1,"")))</f>
        <v/>
      </c>
      <c r="V235" s="15">
        <f>IF(OR(V234="",U234=""),"",IF(U234&lt;=0,"",IFERROR(V234/U234-1,"")))</f>
        <v/>
      </c>
      <c r="W235" s="15">
        <f>IF(OR(W234="",V234=""),"",IF(V234&lt;=0,"",IFERROR(W234/V234-1,"")))</f>
        <v/>
      </c>
      <c r="X235" s="15">
        <f>IF(OR(X234="",W234=""),"",IF(W234&lt;=0,"",IFERROR(X234/W234-1,"")))</f>
        <v/>
      </c>
    </row>
    <row r="236">
      <c r="A236" s="18" t="inlineStr">
        <is>
          <t>보고부문 합계 · 부문 이익</t>
        </is>
      </c>
      <c r="D236" s="20" t="n">
        <v>20447</v>
      </c>
      <c r="E236" s="20" t="n">
        <v>4102</v>
      </c>
      <c r="H236" s="20" t="n">
        <v>15830</v>
      </c>
      <c r="I236" s="20" t="n">
        <v>5335</v>
      </c>
      <c r="V236" s="20" t="n">
        <v>4102</v>
      </c>
      <c r="W236" s="20" t="n">
        <v>5335</v>
      </c>
    </row>
    <row r="237">
      <c r="A237" s="43" t="inlineStr">
        <is>
          <t>OPM</t>
        </is>
      </c>
      <c r="B237" s="3" t="inlineStr">
        <is>
          <t>영업이익 ÷ 매출</t>
        </is>
      </c>
      <c r="D237" s="15">
        <f>IF(OR(D236="",D219=""),"",IF(D219&lt;=0,"",IFERROR(D236/D219,"")))</f>
        <v/>
      </c>
      <c r="E237" s="15">
        <f>IF(OR(E236="",E219=""),"",IF(E219&lt;=0,"",IFERROR(E236/E219,"")))</f>
        <v/>
      </c>
      <c r="H237" s="15">
        <f>IF(OR(H236="",H219=""),"",IF(H219&lt;=0,"",IFERROR(H236/H219,"")))</f>
        <v/>
      </c>
      <c r="I237" s="15">
        <f>IF(OR(I236="",I219=""),"",IF(I219&lt;=0,"",IFERROR(I236/I219,"")))</f>
        <v/>
      </c>
      <c r="V237" s="15">
        <f>IF(OR(V236="",V219=""),"",IF(V219&lt;=0,"",IFERROR(V236/V219,"")))</f>
        <v/>
      </c>
      <c r="W237" s="15">
        <f>IF(OR(W236="",W219=""),"",IF(W219&lt;=0,"",IFERROR(W236/W219,"")))</f>
        <v/>
      </c>
    </row>
    <row r="238">
      <c r="A238" s="43" t="inlineStr">
        <is>
          <t>YoY</t>
        </is>
      </c>
      <c r="B238" s="3" t="inlineStr">
        <is>
          <t>전년 같은 분기·전년 대비</t>
        </is>
      </c>
      <c r="H238" s="15">
        <f>IF(OR(H236="",D236=""),"",IF(D236&lt;=0,"",IFERROR(H236/D236-1,"")))</f>
        <v/>
      </c>
      <c r="I238" s="15">
        <f>IF(OR(I236="",E236=""),"",IF(E236&lt;=0,"",IFERROR(I236/E236-1,"")))</f>
        <v/>
      </c>
      <c r="V238" s="15">
        <f>IF(OR(V236="",U236=""),"",IF(U236&lt;=0,"",IFERROR(V236/U236-1,"")))</f>
        <v/>
      </c>
      <c r="W238" s="15">
        <f>IF(OR(W236="",V236=""),"",IF(V236&lt;=0,"",IFERROR(W236/V236-1,"")))</f>
        <v/>
      </c>
    </row>
    <row r="239">
      <c r="A239" s="18" t="inlineStr">
        <is>
          <t>부문 · 부문 이익</t>
        </is>
      </c>
      <c r="C239" s="20" t="n">
        <v>3605</v>
      </c>
      <c r="D239" s="20" t="n">
        <v>6008</v>
      </c>
      <c r="F239" s="20" t="n">
        <v>3319</v>
      </c>
      <c r="G239" s="20" t="n">
        <v>2793</v>
      </c>
      <c r="H239" s="20" t="n">
        <v>5117</v>
      </c>
      <c r="J239" s="20" t="n">
        <v>2596</v>
      </c>
      <c r="K239" s="20" t="n">
        <v>2828</v>
      </c>
      <c r="L239" s="20" t="n">
        <v>3783</v>
      </c>
      <c r="N239" s="20" t="n">
        <v>3155</v>
      </c>
    </row>
    <row r="240">
      <c r="A240" s="43" t="inlineStr">
        <is>
          <t>OPM</t>
        </is>
      </c>
      <c r="B240" s="3" t="inlineStr">
        <is>
          <t>영업이익 ÷ 매출</t>
        </is>
      </c>
      <c r="C240" s="15">
        <f>IF(OR(C239="",C221=""),"",IF(C221&lt;=0,"",IFERROR(C239/C221,"")))</f>
        <v/>
      </c>
      <c r="D240" s="15">
        <f>IF(OR(D239="",D221=""),"",IF(D221&lt;=0,"",IFERROR(D239/D221,"")))</f>
        <v/>
      </c>
      <c r="F240" s="15">
        <f>IF(OR(F239="",F221=""),"",IF(F221&lt;=0,"",IFERROR(F239/F221,"")))</f>
        <v/>
      </c>
      <c r="G240" s="15">
        <f>IF(OR(G239="",G221=""),"",IF(G221&lt;=0,"",IFERROR(G239/G221,"")))</f>
        <v/>
      </c>
      <c r="H240" s="15">
        <f>IF(OR(H239="",H221=""),"",IF(H221&lt;=0,"",IFERROR(H239/H221,"")))</f>
        <v/>
      </c>
      <c r="J240" s="15">
        <f>IF(OR(J239="",J221=""),"",IF(J221&lt;=0,"",IFERROR(J239/J221,"")))</f>
        <v/>
      </c>
      <c r="K240" s="15">
        <f>IF(OR(K239="",K221=""),"",IF(K221&lt;=0,"",IFERROR(K239/K221,"")))</f>
        <v/>
      </c>
      <c r="L240" s="15">
        <f>IF(OR(L239="",L221=""),"",IF(L221&lt;=0,"",IFERROR(L239/L221,"")))</f>
        <v/>
      </c>
      <c r="N240" s="15">
        <f>IF(OR(N239="",N221=""),"",IF(N221&lt;=0,"",IFERROR(N239/N221,"")))</f>
        <v/>
      </c>
    </row>
    <row r="241">
      <c r="A241" s="43" t="inlineStr">
        <is>
          <t>YoY</t>
        </is>
      </c>
      <c r="B241" s="3" t="inlineStr">
        <is>
          <t>전년 같은 분기·전년 대비</t>
        </is>
      </c>
      <c r="G241" s="15">
        <f>IF(OR(G239="",C239=""),"",IF(C239&lt;=0,"",IFERROR(G239/C239-1,"")))</f>
        <v/>
      </c>
      <c r="H241" s="15">
        <f>IF(OR(H239="",D239=""),"",IF(D239&lt;=0,"",IFERROR(H239/D239-1,"")))</f>
        <v/>
      </c>
      <c r="J241" s="15">
        <f>IF(OR(J239="",F239=""),"",IF(F239&lt;=0,"",IFERROR(J239/F239-1,"")))</f>
        <v/>
      </c>
      <c r="K241" s="15">
        <f>IF(OR(K239="",G239=""),"",IF(G239&lt;=0,"",IFERROR(K239/G239-1,"")))</f>
        <v/>
      </c>
      <c r="L241" s="15">
        <f>IF(OR(L239="",H239=""),"",IF(H239&lt;=0,"",IFERROR(L239/H239-1,"")))</f>
        <v/>
      </c>
      <c r="N241" s="15">
        <f>IF(OR(N239="",J239=""),"",IF(J239&lt;=0,"",IFERROR(N239/J239-1,"")))</f>
        <v/>
      </c>
    </row>
    <row r="242">
      <c r="A242" s="18" t="inlineStr">
        <is>
          <t>부문 · 부문 이익</t>
        </is>
      </c>
      <c r="C242" s="20" t="n">
        <v>1427</v>
      </c>
      <c r="D242" s="20" t="n">
        <v>3456</v>
      </c>
      <c r="F242" s="20" t="n">
        <v>2962</v>
      </c>
      <c r="G242" s="20" t="n">
        <v>2119</v>
      </c>
      <c r="H242" s="20" t="n">
        <v>5515</v>
      </c>
      <c r="J242" s="20" t="n">
        <v>3057</v>
      </c>
      <c r="K242" s="20" t="n">
        <v>3259</v>
      </c>
      <c r="L242" s="20" t="n">
        <v>4574</v>
      </c>
      <c r="N242" s="20" t="n">
        <v>5790</v>
      </c>
    </row>
    <row r="243">
      <c r="A243" s="43" t="inlineStr">
        <is>
          <t>OPM</t>
        </is>
      </c>
      <c r="B243" s="3" t="inlineStr">
        <is>
          <t>영업이익 ÷ 매출</t>
        </is>
      </c>
      <c r="C243" s="15">
        <f>IF(OR(C242="",C223=""),"",IF(C223&lt;=0,"",IFERROR(C242/C223,"")))</f>
        <v/>
      </c>
      <c r="D243" s="15">
        <f>IF(OR(D242="",D223=""),"",IF(D223&lt;=0,"",IFERROR(D242/D223,"")))</f>
        <v/>
      </c>
      <c r="F243" s="15">
        <f>IF(OR(F242="",F223=""),"",IF(F223&lt;=0,"",IFERROR(F242/F223,"")))</f>
        <v/>
      </c>
      <c r="G243" s="15">
        <f>IF(OR(G242="",G223=""),"",IF(G223&lt;=0,"",IFERROR(G242/G223,"")))</f>
        <v/>
      </c>
      <c r="H243" s="15">
        <f>IF(OR(H242="",H223=""),"",IF(H223&lt;=0,"",IFERROR(H242/H223,"")))</f>
        <v/>
      </c>
      <c r="J243" s="15">
        <f>IF(OR(J242="",J223=""),"",IF(J223&lt;=0,"",IFERROR(J242/J223,"")))</f>
        <v/>
      </c>
      <c r="K243" s="15">
        <f>IF(OR(K242="",K223=""),"",IF(K223&lt;=0,"",IFERROR(K242/K223,"")))</f>
        <v/>
      </c>
      <c r="L243" s="15">
        <f>IF(OR(L242="",L223=""),"",IF(L223&lt;=0,"",IFERROR(L242/L223,"")))</f>
        <v/>
      </c>
      <c r="N243" s="15">
        <f>IF(OR(N242="",N223=""),"",IF(N223&lt;=0,"",IFERROR(N242/N223,"")))</f>
        <v/>
      </c>
    </row>
    <row r="244">
      <c r="A244" s="43" t="inlineStr">
        <is>
          <t>YoY</t>
        </is>
      </c>
      <c r="B244" s="3" t="inlineStr">
        <is>
          <t>전년 같은 분기·전년 대비</t>
        </is>
      </c>
      <c r="G244" s="15">
        <f>IF(OR(G242="",C242=""),"",IF(C242&lt;=0,"",IFERROR(G242/C242-1,"")))</f>
        <v/>
      </c>
      <c r="H244" s="15">
        <f>IF(OR(H242="",D242=""),"",IF(D242&lt;=0,"",IFERROR(H242/D242-1,"")))</f>
        <v/>
      </c>
      <c r="J244" s="15">
        <f>IF(OR(J242="",F242=""),"",IF(F242&lt;=0,"",IFERROR(J242/F242-1,"")))</f>
        <v/>
      </c>
      <c r="K244" s="15">
        <f>IF(OR(K242="",G242=""),"",IF(G242&lt;=0,"",IFERROR(K242/G242-1,"")))</f>
        <v/>
      </c>
      <c r="L244" s="15">
        <f>IF(OR(L242="",H242=""),"",IF(H242&lt;=0,"",IFERROR(L242/H242-1,"")))</f>
        <v/>
      </c>
      <c r="N244" s="15">
        <f>IF(OR(N242="",J242=""),"",IF(J242&lt;=0,"",IFERROR(N242/J242-1,"")))</f>
        <v/>
      </c>
    </row>
    <row r="245">
      <c r="A245" s="18" t="inlineStr">
        <is>
          <t>부문 · 부문 이익</t>
        </is>
      </c>
      <c r="C245" s="20" t="n">
        <v>2335</v>
      </c>
      <c r="D245" s="20" t="n">
        <v>2212</v>
      </c>
      <c r="F245" s="20" t="n">
        <v>2800</v>
      </c>
      <c r="G245" s="20" t="n">
        <v>2029</v>
      </c>
      <c r="H245" s="20" t="n">
        <v>3950</v>
      </c>
      <c r="J245" s="20" t="n">
        <v>1446</v>
      </c>
      <c r="K245" s="20" t="n">
        <v>2155</v>
      </c>
      <c r="L245" s="20" t="n">
        <v>2823</v>
      </c>
      <c r="N245" s="20" t="n">
        <v>2879</v>
      </c>
    </row>
    <row r="246">
      <c r="A246" s="43" t="inlineStr">
        <is>
          <t>OPM</t>
        </is>
      </c>
      <c r="B246" s="3" t="inlineStr">
        <is>
          <t>영업이익 ÷ 매출</t>
        </is>
      </c>
      <c r="C246" s="15">
        <f>IF(OR(C245="",C225=""),"",IF(C225&lt;=0,"",IFERROR(C245/C225,"")))</f>
        <v/>
      </c>
      <c r="D246" s="15">
        <f>IF(OR(D245="",D225=""),"",IF(D225&lt;=0,"",IFERROR(D245/D225,"")))</f>
        <v/>
      </c>
      <c r="F246" s="15">
        <f>IF(OR(F245="",F225=""),"",IF(F225&lt;=0,"",IFERROR(F245/F225,"")))</f>
        <v/>
      </c>
      <c r="G246" s="15">
        <f>IF(OR(G245="",G225=""),"",IF(G225&lt;=0,"",IFERROR(G245/G225,"")))</f>
        <v/>
      </c>
      <c r="H246" s="15">
        <f>IF(OR(H245="",H225=""),"",IF(H225&lt;=0,"",IFERROR(H245/H225,"")))</f>
        <v/>
      </c>
      <c r="J246" s="15">
        <f>IF(OR(J245="",J225=""),"",IF(J225&lt;=0,"",IFERROR(J245/J225,"")))</f>
        <v/>
      </c>
      <c r="K246" s="15">
        <f>IF(OR(K245="",K225=""),"",IF(K225&lt;=0,"",IFERROR(K245/K225,"")))</f>
        <v/>
      </c>
      <c r="L246" s="15">
        <f>IF(OR(L245="",L225=""),"",IF(L225&lt;=0,"",IFERROR(L245/L225,"")))</f>
        <v/>
      </c>
      <c r="N246" s="15">
        <f>IF(OR(N245="",N225=""),"",IF(N225&lt;=0,"",IFERROR(N245/N225,"")))</f>
        <v/>
      </c>
    </row>
    <row r="247">
      <c r="A247" s="43" t="inlineStr">
        <is>
          <t>YoY</t>
        </is>
      </c>
      <c r="B247" s="3" t="inlineStr">
        <is>
          <t>전년 같은 분기·전년 대비</t>
        </is>
      </c>
      <c r="G247" s="15">
        <f>IF(OR(G245="",C245=""),"",IF(C245&lt;=0,"",IFERROR(G245/C245-1,"")))</f>
        <v/>
      </c>
      <c r="H247" s="15">
        <f>IF(OR(H245="",D245=""),"",IF(D245&lt;=0,"",IFERROR(H245/D245-1,"")))</f>
        <v/>
      </c>
      <c r="J247" s="15">
        <f>IF(OR(J245="",F245=""),"",IF(F245&lt;=0,"",IFERROR(J245/F245-1,"")))</f>
        <v/>
      </c>
      <c r="K247" s="15">
        <f>IF(OR(K245="",G245=""),"",IF(G245&lt;=0,"",IFERROR(K245/G245-1,"")))</f>
        <v/>
      </c>
      <c r="L247" s="15">
        <f>IF(OR(L245="",H245=""),"",IF(H245&lt;=0,"",IFERROR(L245/H245-1,"")))</f>
        <v/>
      </c>
      <c r="N247" s="15">
        <f>IF(OR(N245="",J245=""),"",IF(J245&lt;=0,"",IFERROR(N245/J245-1,"")))</f>
        <v/>
      </c>
    </row>
    <row r="248">
      <c r="A248" s="18" t="inlineStr">
        <is>
          <t>부문 · 부문 이익</t>
        </is>
      </c>
      <c r="C248" s="20" t="n">
        <v>524</v>
      </c>
      <c r="D248" s="20" t="n">
        <v>669</v>
      </c>
      <c r="F248" s="20" t="n">
        <v>240</v>
      </c>
      <c r="G248" s="20" t="n">
        <v>569</v>
      </c>
      <c r="H248" s="20" t="n">
        <v>487</v>
      </c>
      <c r="J248" s="20" t="n">
        <v>680</v>
      </c>
      <c r="K248" s="20" t="n">
        <v>595</v>
      </c>
      <c r="L248" s="20" t="n">
        <v>685</v>
      </c>
      <c r="N248" s="20" t="n">
        <v>229</v>
      </c>
    </row>
    <row r="249">
      <c r="A249" s="43" t="inlineStr">
        <is>
          <t>OPM</t>
        </is>
      </c>
      <c r="B249" s="3" t="inlineStr">
        <is>
          <t>영업이익 ÷ 매출</t>
        </is>
      </c>
      <c r="C249" s="15">
        <f>IF(OR(C248="",C227=""),"",IF(C227&lt;=0,"",IFERROR(C248/C227,"")))</f>
        <v/>
      </c>
      <c r="D249" s="15">
        <f>IF(OR(D248="",D227=""),"",IF(D227&lt;=0,"",IFERROR(D248/D227,"")))</f>
        <v/>
      </c>
      <c r="F249" s="15">
        <f>IF(OR(F248="",F227=""),"",IF(F227&lt;=0,"",IFERROR(F248/F227,"")))</f>
        <v/>
      </c>
      <c r="G249" s="15">
        <f>IF(OR(G248="",G227=""),"",IF(G227&lt;=0,"",IFERROR(G248/G227,"")))</f>
        <v/>
      </c>
      <c r="H249" s="15">
        <f>IF(OR(H248="",H227=""),"",IF(H227&lt;=0,"",IFERROR(H248/H227,"")))</f>
        <v/>
      </c>
      <c r="J249" s="15">
        <f>IF(OR(J248="",J227=""),"",IF(J227&lt;=0,"",IFERROR(J248/J227,"")))</f>
        <v/>
      </c>
      <c r="K249" s="15">
        <f>IF(OR(K248="",K227=""),"",IF(K227&lt;=0,"",IFERROR(K248/K227,"")))</f>
        <v/>
      </c>
      <c r="L249" s="15">
        <f>IF(OR(L248="",L227=""),"",IF(L227&lt;=0,"",IFERROR(L248/L227,"")))</f>
        <v/>
      </c>
      <c r="N249" s="15">
        <f>IF(OR(N248="",N227=""),"",IF(N227&lt;=0,"",IFERROR(N248/N227,"")))</f>
        <v/>
      </c>
    </row>
    <row r="250">
      <c r="A250" s="43" t="inlineStr">
        <is>
          <t>YoY</t>
        </is>
      </c>
      <c r="B250" s="3" t="inlineStr">
        <is>
          <t>전년 같은 분기·전년 대비</t>
        </is>
      </c>
      <c r="G250" s="15">
        <f>IF(OR(G248="",C248=""),"",IF(C248&lt;=0,"",IFERROR(G248/C248-1,"")))</f>
        <v/>
      </c>
      <c r="H250" s="15">
        <f>IF(OR(H248="",D248=""),"",IF(D248&lt;=0,"",IFERROR(H248/D248-1,"")))</f>
        <v/>
      </c>
      <c r="J250" s="15">
        <f>IF(OR(J248="",F248=""),"",IF(F248&lt;=0,"",IFERROR(J248/F248-1,"")))</f>
        <v/>
      </c>
      <c r="K250" s="15">
        <f>IF(OR(K248="",G248=""),"",IF(G248&lt;=0,"",IFERROR(K248/G248-1,"")))</f>
        <v/>
      </c>
      <c r="L250" s="15">
        <f>IF(OR(L248="",H248=""),"",IF(H248&lt;=0,"",IFERROR(L248/H248-1,"")))</f>
        <v/>
      </c>
      <c r="N250" s="15">
        <f>IF(OR(N248="",J248=""),"",IF(J248&lt;=0,"",IFERROR(N248/J248-1,"")))</f>
        <v/>
      </c>
    </row>
    <row r="251">
      <c r="A251" s="18" t="inlineStr">
        <is>
          <t>부문 · 부문 이익</t>
        </is>
      </c>
      <c r="C251" s="20" t="n">
        <v>1048</v>
      </c>
      <c r="D251" s="20" t="n">
        <v>8103</v>
      </c>
      <c r="F251" s="20" t="n">
        <v>754</v>
      </c>
      <c r="G251" s="20" t="n">
        <v>674</v>
      </c>
      <c r="H251" s="20" t="n">
        <v>762</v>
      </c>
      <c r="J251" s="20" t="n">
        <v>851</v>
      </c>
      <c r="K251" s="20" t="n">
        <v>945</v>
      </c>
      <c r="L251" s="20" t="n">
        <v>876</v>
      </c>
      <c r="N251" s="20" t="n">
        <v>1054</v>
      </c>
    </row>
    <row r="252">
      <c r="A252" s="43" t="inlineStr">
        <is>
          <t>OPM</t>
        </is>
      </c>
      <c r="B252" s="3" t="inlineStr">
        <is>
          <t>영업이익 ÷ 매출</t>
        </is>
      </c>
      <c r="C252" s="15">
        <f>IF(OR(C251="",C229=""),"",IF(C229&lt;=0,"",IFERROR(C251/C229,"")))</f>
        <v/>
      </c>
      <c r="D252" s="15">
        <f>IF(OR(D251="",D229=""),"",IF(D229&lt;=0,"",IFERROR(D251/D229,"")))</f>
        <v/>
      </c>
      <c r="F252" s="15">
        <f>IF(OR(F251="",F229=""),"",IF(F229&lt;=0,"",IFERROR(F251/F229,"")))</f>
        <v/>
      </c>
      <c r="G252" s="15">
        <f>IF(OR(G251="",G229=""),"",IF(G229&lt;=0,"",IFERROR(G251/G229,"")))</f>
        <v/>
      </c>
      <c r="H252" s="15">
        <f>IF(OR(H251="",H229=""),"",IF(H229&lt;=0,"",IFERROR(H251/H229,"")))</f>
        <v/>
      </c>
      <c r="J252" s="15">
        <f>IF(OR(J251="",J229=""),"",IF(J229&lt;=0,"",IFERROR(J251/J229,"")))</f>
        <v/>
      </c>
      <c r="K252" s="15">
        <f>IF(OR(K251="",K229=""),"",IF(K229&lt;=0,"",IFERROR(K251/K229,"")))</f>
        <v/>
      </c>
      <c r="L252" s="15">
        <f>IF(OR(L251="",L229=""),"",IF(L229&lt;=0,"",IFERROR(L251/L229,"")))</f>
        <v/>
      </c>
      <c r="N252" s="15">
        <f>IF(OR(N251="",N229=""),"",IF(N229&lt;=0,"",IFERROR(N251/N229,"")))</f>
        <v/>
      </c>
    </row>
    <row r="253">
      <c r="A253" s="43" t="inlineStr">
        <is>
          <t>YoY</t>
        </is>
      </c>
      <c r="B253" s="3" t="inlineStr">
        <is>
          <t>전년 같은 분기·전년 대비</t>
        </is>
      </c>
      <c r="G253" s="15">
        <f>IF(OR(G251="",C251=""),"",IF(C251&lt;=0,"",IFERROR(G251/C251-1,"")))</f>
        <v/>
      </c>
      <c r="H253" s="15">
        <f>IF(OR(H251="",D251=""),"",IF(D251&lt;=0,"",IFERROR(H251/D251-1,"")))</f>
        <v/>
      </c>
      <c r="J253" s="15">
        <f>IF(OR(J251="",F251=""),"",IF(F251&lt;=0,"",IFERROR(J251/F251-1,"")))</f>
        <v/>
      </c>
      <c r="K253" s="15">
        <f>IF(OR(K251="",G251=""),"",IF(G251&lt;=0,"",IFERROR(K251/G251-1,"")))</f>
        <v/>
      </c>
      <c r="L253" s="15">
        <f>IF(OR(L251="",H251=""),"",IF(H251&lt;=0,"",IFERROR(L251/H251-1,"")))</f>
        <v/>
      </c>
      <c r="N253" s="15">
        <f>IF(OR(N251="",J251=""),"",IF(J251&lt;=0,"",IFERROR(N251/J251-1,"")))</f>
        <v/>
      </c>
    </row>
    <row r="254">
      <c r="A254" s="18" t="inlineStr">
        <is>
          <t>합계 · 부문 이익</t>
        </is>
      </c>
      <c r="F254" s="20" t="n">
        <v>10077</v>
      </c>
      <c r="G254" s="20" t="n">
        <v>8184</v>
      </c>
      <c r="H254" s="20" t="n">
        <v>15830</v>
      </c>
      <c r="J254" s="20" t="n">
        <v>8633</v>
      </c>
      <c r="K254" s="20" t="n">
        <v>9781</v>
      </c>
      <c r="L254" s="20" t="n">
        <v>12740</v>
      </c>
      <c r="N254" s="20" t="n">
        <v>13109</v>
      </c>
    </row>
    <row r="255">
      <c r="A255" s="43" t="inlineStr">
        <is>
          <t>OPM</t>
        </is>
      </c>
      <c r="B255" s="3" t="inlineStr">
        <is>
          <t>영업이익 ÷ 매출</t>
        </is>
      </c>
      <c r="F255" s="15">
        <f>IF(OR(F254="",F231=""),"",IF(F231&lt;=0,"",IFERROR(F254/F231,"")))</f>
        <v/>
      </c>
      <c r="G255" s="15">
        <f>IF(OR(G254="",G231=""),"",IF(G231&lt;=0,"",IFERROR(G254/G231,"")))</f>
        <v/>
      </c>
      <c r="H255" s="15">
        <f>IF(OR(H254="",H231=""),"",IF(H231&lt;=0,"",IFERROR(H254/H231,"")))</f>
        <v/>
      </c>
      <c r="J255" s="15">
        <f>IF(OR(J254="",J231=""),"",IF(J231&lt;=0,"",IFERROR(J254/J231,"")))</f>
        <v/>
      </c>
      <c r="K255" s="15">
        <f>IF(OR(K254="",K231=""),"",IF(K231&lt;=0,"",IFERROR(K254/K231,"")))</f>
        <v/>
      </c>
      <c r="L255" s="15">
        <f>IF(OR(L254="",L231=""),"",IF(L231&lt;=0,"",IFERROR(L254/L231,"")))</f>
        <v/>
      </c>
      <c r="N255" s="15">
        <f>IF(OR(N254="",N231=""),"",IF(N231&lt;=0,"",IFERROR(N254/N231,"")))</f>
        <v/>
      </c>
    </row>
    <row r="256">
      <c r="A256" s="43" t="inlineStr">
        <is>
          <t>YoY</t>
        </is>
      </c>
      <c r="B256" s="3" t="inlineStr">
        <is>
          <t>전년 같은 분기·전년 대비</t>
        </is>
      </c>
      <c r="G256" s="15">
        <f>IF(OR(G254="",C254=""),"",IF(C254&lt;=0,"",IFERROR(G254/C254-1,"")))</f>
        <v/>
      </c>
      <c r="H256" s="15">
        <f>IF(OR(H254="",D254=""),"",IF(D254&lt;=0,"",IFERROR(H254/D254-1,"")))</f>
        <v/>
      </c>
      <c r="J256" s="15">
        <f>IF(OR(J254="",F254=""),"",IF(F254&lt;=0,"",IFERROR(J254/F254-1,"")))</f>
        <v/>
      </c>
      <c r="K256" s="15">
        <f>IF(OR(K254="",G254=""),"",IF(G254&lt;=0,"",IFERROR(K254/G254-1,"")))</f>
        <v/>
      </c>
      <c r="L256" s="15">
        <f>IF(OR(L254="",H254=""),"",IF(H254&lt;=0,"",IFERROR(L254/H254-1,"")))</f>
        <v/>
      </c>
      <c r="N256" s="15">
        <f>IF(OR(N254="",J254=""),"",IF(J254&lt;=0,"",IFERROR(N254/J254-1,"")))</f>
        <v/>
      </c>
    </row>
    <row r="257">
      <c r="A257" s="18" t="inlineStr">
        <is>
          <t>조정액 · 부문 이익</t>
        </is>
      </c>
      <c r="C257" s="20" t="n">
        <v>18</v>
      </c>
      <c r="D257" s="20" t="n">
        <v>-14</v>
      </c>
      <c r="E257" s="20" t="n">
        <v>20</v>
      </c>
      <c r="F257" s="20" t="n">
        <v>-10</v>
      </c>
      <c r="G257" s="20" t="n">
        <v>8</v>
      </c>
      <c r="H257" s="20" t="n">
        <v>-19</v>
      </c>
      <c r="I257" s="20" t="n">
        <v>4</v>
      </c>
      <c r="J257" s="20" t="n">
        <v>25</v>
      </c>
      <c r="K257" s="20" t="n">
        <v>24</v>
      </c>
      <c r="L257" s="20" t="n">
        <v>-13</v>
      </c>
      <c r="M257" s="20" t="n">
        <v>-25</v>
      </c>
      <c r="N257" s="20" t="n">
        <v>3</v>
      </c>
      <c r="V257" s="20" t="n">
        <v>20</v>
      </c>
      <c r="W257" s="20" t="n">
        <v>4</v>
      </c>
      <c r="X257" s="20" t="n">
        <v>-25</v>
      </c>
    </row>
    <row r="258">
      <c r="A258" s="18" t="inlineStr">
        <is>
          <t>부문 이익</t>
        </is>
      </c>
      <c r="C258" s="20" t="n">
        <v>8956</v>
      </c>
      <c r="D258" s="20" t="n">
        <v>20433</v>
      </c>
      <c r="E258" s="20" t="n">
        <v>4122</v>
      </c>
      <c r="F258" s="20" t="n">
        <v>10067</v>
      </c>
      <c r="G258" s="20" t="n">
        <v>8191</v>
      </c>
      <c r="H258" s="20" t="n">
        <v>15812</v>
      </c>
      <c r="I258" s="20" t="n">
        <v>5338</v>
      </c>
      <c r="J258" s="20" t="n">
        <v>8658</v>
      </c>
      <c r="K258" s="20" t="n">
        <v>9806</v>
      </c>
      <c r="L258" s="20" t="n">
        <v>12726</v>
      </c>
      <c r="M258" s="20" t="n">
        <v>10891</v>
      </c>
      <c r="N258" s="20" t="n">
        <v>13112</v>
      </c>
      <c r="V258" s="20" t="n">
        <v>4122</v>
      </c>
      <c r="W258" s="20" t="n">
        <v>5338</v>
      </c>
      <c r="X258" s="20" t="n">
        <v>10891</v>
      </c>
    </row>
    <row r="259">
      <c r="A259" s="43" t="inlineStr">
        <is>
          <t>OPM</t>
        </is>
      </c>
      <c r="B259" s="3" t="inlineStr">
        <is>
          <t>영업이익 ÷ 매출</t>
        </is>
      </c>
      <c r="C259" s="15">
        <f>IF(OR(C258="",C208=""),"",IF(C208&lt;=0,"",IFERROR(C258/C208,"")))</f>
        <v/>
      </c>
      <c r="D259" s="15">
        <f>IF(OR(D258="",D208=""),"",IF(D208&lt;=0,"",IFERROR(D258/D208,"")))</f>
        <v/>
      </c>
      <c r="E259" s="15">
        <f>IF(OR(E258="",E208=""),"",IF(E208&lt;=0,"",IFERROR(E258/E208,"")))</f>
        <v/>
      </c>
      <c r="F259" s="15">
        <f>IF(OR(F258="",F208=""),"",IF(F208&lt;=0,"",IFERROR(F258/F208,"")))</f>
        <v/>
      </c>
      <c r="G259" s="15">
        <f>IF(OR(G258="",G208=""),"",IF(G208&lt;=0,"",IFERROR(G258/G208,"")))</f>
        <v/>
      </c>
      <c r="H259" s="15">
        <f>IF(OR(H258="",H208=""),"",IF(H208&lt;=0,"",IFERROR(H258/H208,"")))</f>
        <v/>
      </c>
      <c r="I259" s="15">
        <f>IF(OR(I258="",I208=""),"",IF(I208&lt;=0,"",IFERROR(I258/I208,"")))</f>
        <v/>
      </c>
      <c r="J259" s="15">
        <f>IF(OR(J258="",J208=""),"",IF(J208&lt;=0,"",IFERROR(J258/J208,"")))</f>
        <v/>
      </c>
      <c r="K259" s="15">
        <f>IF(OR(K258="",K208=""),"",IF(K208&lt;=0,"",IFERROR(K258/K208,"")))</f>
        <v/>
      </c>
      <c r="L259" s="15">
        <f>IF(OR(L258="",L208=""),"",IF(L208&lt;=0,"",IFERROR(L258/L208,"")))</f>
        <v/>
      </c>
      <c r="M259" s="15">
        <f>IF(OR(M258="",M208=""),"",IF(M208&lt;=0,"",IFERROR(M258/M208,"")))</f>
        <v/>
      </c>
      <c r="N259" s="15">
        <f>IF(OR(N258="",N208=""),"",IF(N208&lt;=0,"",IFERROR(N258/N208,"")))</f>
        <v/>
      </c>
      <c r="V259" s="15">
        <f>IF(OR(V258="",V208=""),"",IF(V208&lt;=0,"",IFERROR(V258/V208,"")))</f>
        <v/>
      </c>
      <c r="W259" s="15">
        <f>IF(OR(W258="",W208=""),"",IF(W208&lt;=0,"",IFERROR(W258/W208,"")))</f>
        <v/>
      </c>
      <c r="X259" s="15">
        <f>IF(OR(X258="",X208=""),"",IF(X208&lt;=0,"",IFERROR(X258/X208,"")))</f>
        <v/>
      </c>
    </row>
    <row r="260">
      <c r="A260" s="43" t="inlineStr">
        <is>
          <t>YoY</t>
        </is>
      </c>
      <c r="B260" s="3" t="inlineStr">
        <is>
          <t>전년 같은 분기·전년 대비</t>
        </is>
      </c>
      <c r="G260" s="15">
        <f>IF(OR(G258="",C258=""),"",IF(C258&lt;=0,"",IFERROR(G258/C258-1,"")))</f>
        <v/>
      </c>
      <c r="H260" s="15">
        <f>IF(OR(H258="",D258=""),"",IF(D258&lt;=0,"",IFERROR(H258/D258-1,"")))</f>
        <v/>
      </c>
      <c r="I260" s="15">
        <f>IF(OR(I258="",E258=""),"",IF(E258&lt;=0,"",IFERROR(I258/E258-1,"")))</f>
        <v/>
      </c>
      <c r="J260" s="15">
        <f>IF(OR(J258="",F258=""),"",IF(F258&lt;=0,"",IFERROR(J258/F258-1,"")))</f>
        <v/>
      </c>
      <c r="K260" s="15">
        <f>IF(OR(K258="",G258=""),"",IF(G258&lt;=0,"",IFERROR(K258/G258-1,"")))</f>
        <v/>
      </c>
      <c r="L260" s="15">
        <f>IF(OR(L258="",H258=""),"",IF(H258&lt;=0,"",IFERROR(L258/H258-1,"")))</f>
        <v/>
      </c>
      <c r="M260" s="15">
        <f>IF(OR(M258="",I258=""),"",IF(I258&lt;=0,"",IFERROR(M258/I258-1,"")))</f>
        <v/>
      </c>
      <c r="N260" s="15">
        <f>IF(OR(N258="",J258=""),"",IF(J258&lt;=0,"",IFERROR(N258/J258-1,"")))</f>
        <v/>
      </c>
      <c r="V260" s="15">
        <f>IF(OR(V258="",U258=""),"",IF(U258&lt;=0,"",IFERROR(V258/U258-1,"")))</f>
        <v/>
      </c>
      <c r="W260" s="15">
        <f>IF(OR(W258="",V258=""),"",IF(V258&lt;=0,"",IFERROR(W258/V258-1,"")))</f>
        <v/>
      </c>
      <c r="X260" s="15">
        <f>IF(OR(X258="",W258=""),"",IF(W258&lt;=0,"",IFERROR(X258/W258-1,"")))</f>
        <v/>
      </c>
    </row>
    <row r="261">
      <c r="A261" s="18" t="inlineStr">
        <is>
          <t>보고부문 합계 · Revenue From External Customers</t>
        </is>
      </c>
      <c r="D261" s="20" t="n">
        <v>151534</v>
      </c>
      <c r="E261" s="20" t="n">
        <v>139795</v>
      </c>
      <c r="H261" s="20" t="n">
        <v>150522</v>
      </c>
      <c r="I261" s="20" t="n">
        <v>140984</v>
      </c>
      <c r="V261" s="20" t="n">
        <v>139795</v>
      </c>
      <c r="W261" s="20" t="n">
        <v>140984</v>
      </c>
    </row>
    <row r="262">
      <c r="A262" s="43" t="inlineStr">
        <is>
          <t>YoY</t>
        </is>
      </c>
      <c r="B262" s="3" t="inlineStr">
        <is>
          <t>전년 같은 분기·전년 대비</t>
        </is>
      </c>
      <c r="H262" s="15">
        <f>IF(OR(H261="",D261=""),"",IF(D261&lt;=0,"",IFERROR(H261/D261-1,"")))</f>
        <v/>
      </c>
      <c r="I262" s="15">
        <f>IF(OR(I261="",E261=""),"",IF(E261&lt;=0,"",IFERROR(I261/E261-1,"")))</f>
        <v/>
      </c>
      <c r="V262" s="15">
        <f>IF(OR(V261="",U261=""),"",IF(U261&lt;=0,"",IFERROR(V261/U261-1,"")))</f>
        <v/>
      </c>
      <c r="W262" s="15">
        <f>IF(OR(W261="",V261=""),"",IF(V261&lt;=0,"",IFERROR(W261/V261-1,"")))</f>
        <v/>
      </c>
    </row>
    <row r="264">
      <c r="A264" s="16" t="inlineStr">
        <is>
          <t>현금흐름표 · 전 항목</t>
        </is>
      </c>
      <c r="B264" s="42" t="inlineStr">
        <is>
          <t>분기 = 결산기 첫날부터 누계(공시 그대로)</t>
        </is>
      </c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  <c r="AA264" s="16" t="n"/>
      <c r="AB264" s="16" t="n"/>
      <c r="AC264" s="16" t="n"/>
    </row>
    <row r="265">
      <c r="A265" s="5" t="inlineStr">
        <is>
          <t>항목</t>
        </is>
      </c>
      <c r="B265" s="5" t="inlineStr">
        <is>
          <t>참고</t>
        </is>
      </c>
      <c r="C265" s="5" t="inlineStr">
        <is>
          <t>2024.2Q</t>
        </is>
      </c>
      <c r="D265" s="5" t="inlineStr">
        <is>
          <t>2024.3Q</t>
        </is>
      </c>
      <c r="E265" s="5" t="inlineStr">
        <is>
          <t>2024.4Q</t>
        </is>
      </c>
      <c r="F265" s="5" t="inlineStr">
        <is>
          <t>2025.1Q</t>
        </is>
      </c>
      <c r="G265" s="5" t="inlineStr">
        <is>
          <t>2025.2Q</t>
        </is>
      </c>
      <c r="H265" s="5" t="inlineStr">
        <is>
          <t>2025.3Q</t>
        </is>
      </c>
      <c r="I265" s="5" t="inlineStr">
        <is>
          <t>2025.4Q</t>
        </is>
      </c>
      <c r="J265" s="5" t="inlineStr">
        <is>
          <t>2026.1Q</t>
        </is>
      </c>
      <c r="K265" s="5" t="inlineStr">
        <is>
          <t>2026.2Q</t>
        </is>
      </c>
      <c r="L265" s="5" t="inlineStr">
        <is>
          <t>2026.3Q</t>
        </is>
      </c>
      <c r="M265" s="5" t="inlineStr">
        <is>
          <t>2026.4Q</t>
        </is>
      </c>
      <c r="N265" s="5" t="inlineStr">
        <is>
          <t>2027.1Q</t>
        </is>
      </c>
      <c r="O265" s="5" t="inlineStr">
        <is>
          <t>2017</t>
        </is>
      </c>
      <c r="P265" s="5" t="inlineStr">
        <is>
          <t>2018</t>
        </is>
      </c>
      <c r="Q265" s="5" t="inlineStr">
        <is>
          <t>2019</t>
        </is>
      </c>
      <c r="R265" s="5" t="inlineStr">
        <is>
          <t>2020</t>
        </is>
      </c>
      <c r="S265" s="5" t="inlineStr">
        <is>
          <t>2021</t>
        </is>
      </c>
      <c r="T265" s="5" t="inlineStr">
        <is>
          <t>2022</t>
        </is>
      </c>
      <c r="U265" s="5" t="inlineStr">
        <is>
          <t>2023</t>
        </is>
      </c>
      <c r="V265" s="5" t="inlineStr">
        <is>
          <t>2024</t>
        </is>
      </c>
      <c r="W265" s="5" t="inlineStr">
        <is>
          <t>2025</t>
        </is>
      </c>
      <c r="X265" s="5" t="inlineStr">
        <is>
          <t>2026</t>
        </is>
      </c>
      <c r="Y265" s="5" t="inlineStr">
        <is>
          <t>2027(MW)</t>
        </is>
      </c>
      <c r="Z265" s="5" t="inlineStr">
        <is>
          <t>2028(MW)</t>
        </is>
      </c>
      <c r="AA265" s="5" t="inlineStr">
        <is>
          <t>2029(MW)</t>
        </is>
      </c>
      <c r="AB265" s="5" t="inlineStr">
        <is>
          <t>2030(MW)</t>
        </is>
      </c>
      <c r="AC265" s="5" t="inlineStr">
        <is>
          <t>2031(MW)</t>
        </is>
      </c>
    </row>
    <row r="266">
      <c r="A266" s="9" t="inlineStr">
        <is>
          <t>법인세차감전 이익</t>
        </is>
      </c>
      <c r="C266" s="12" t="n">
        <v>18973</v>
      </c>
      <c r="E266" s="12" t="n">
        <v>45068</v>
      </c>
      <c r="G266" s="12" t="n">
        <v>19608</v>
      </c>
      <c r="I266" s="12" t="n">
        <v>42653</v>
      </c>
      <c r="K266" s="12" t="n">
        <v>19650</v>
      </c>
      <c r="M266" s="12" t="n">
        <v>44756</v>
      </c>
      <c r="U266" s="12" t="n">
        <v>52557</v>
      </c>
      <c r="V266" s="12" t="n">
        <v>45068</v>
      </c>
      <c r="W266" s="12" t="n">
        <v>42653</v>
      </c>
      <c r="X266" s="12" t="n">
        <v>44756</v>
      </c>
    </row>
    <row r="267">
      <c r="A267" s="18" t="inlineStr">
        <is>
          <t>감가상각비 및 상각비</t>
        </is>
      </c>
      <c r="C267" s="20" t="n">
        <v>14923</v>
      </c>
      <c r="E267" s="20" t="n">
        <v>29764</v>
      </c>
      <c r="G267" s="20" t="n">
        <v>14832</v>
      </c>
      <c r="I267" s="20" t="n">
        <v>30265</v>
      </c>
      <c r="K267" s="20" t="n">
        <v>15203</v>
      </c>
      <c r="M267" s="20" t="n">
        <v>31129</v>
      </c>
      <c r="U267" s="20" t="n">
        <v>29567</v>
      </c>
      <c r="V267" s="20" t="n">
        <v>29764</v>
      </c>
      <c r="W267" s="20" t="n">
        <v>30265</v>
      </c>
      <c r="X267" s="20" t="n">
        <v>31129</v>
      </c>
    </row>
    <row r="268">
      <c r="A268" s="18" t="inlineStr">
        <is>
          <t>손상차손</t>
        </is>
      </c>
      <c r="C268" s="20" t="n">
        <v>918</v>
      </c>
      <c r="E268" s="20" t="n">
        <v>2649</v>
      </c>
      <c r="G268" s="20" t="n">
        <v>249</v>
      </c>
      <c r="I268" s="20" t="n">
        <v>828</v>
      </c>
      <c r="K268" s="20" t="n">
        <v>296</v>
      </c>
      <c r="M268" s="20" t="n">
        <v>521</v>
      </c>
      <c r="U268" s="20" t="n">
        <v>884</v>
      </c>
      <c r="V268" s="20" t="n">
        <v>2649</v>
      </c>
      <c r="W268" s="20" t="n">
        <v>828</v>
      </c>
      <c r="X268" s="20" t="n">
        <v>521</v>
      </c>
    </row>
    <row r="269">
      <c r="A269" s="18" t="inlineStr">
        <is>
          <t>부의 영업권 발생이익</t>
        </is>
      </c>
      <c r="I269" s="20" t="n">
        <v>0</v>
      </c>
      <c r="M269" s="20" t="n">
        <v>-5336</v>
      </c>
      <c r="W269" s="20" t="n">
        <v>0</v>
      </c>
      <c r="X269" s="20" t="n">
        <v>-5336</v>
      </c>
    </row>
    <row r="270">
      <c r="A270" s="18" t="inlineStr">
        <is>
          <t>이자·배당금 수익</t>
        </is>
      </c>
      <c r="C270" s="20" t="n">
        <v>-1482</v>
      </c>
      <c r="E270" s="20" t="n">
        <v>-2962</v>
      </c>
      <c r="G270" s="20" t="n">
        <v>-1574</v>
      </c>
      <c r="I270" s="20" t="n">
        <v>-2966</v>
      </c>
      <c r="K270" s="20" t="n">
        <v>-1238</v>
      </c>
      <c r="M270" s="20" t="n">
        <v>-2275</v>
      </c>
      <c r="U270" s="20" t="n">
        <v>-2529</v>
      </c>
      <c r="V270" s="20" t="n">
        <v>-2962</v>
      </c>
      <c r="W270" s="20" t="n">
        <v>-2966</v>
      </c>
      <c r="X270" s="20" t="n">
        <v>-2275</v>
      </c>
    </row>
    <row r="271">
      <c r="A271" s="18" t="inlineStr">
        <is>
          <t>이자비용</t>
        </is>
      </c>
      <c r="C271" s="20" t="n">
        <v>580</v>
      </c>
      <c r="E271" s="20" t="n">
        <v>1160</v>
      </c>
      <c r="G271" s="20" t="n">
        <v>641</v>
      </c>
      <c r="I271" s="20" t="n">
        <v>1368</v>
      </c>
      <c r="K271" s="20" t="n">
        <v>759</v>
      </c>
      <c r="M271" s="20" t="n">
        <v>1588</v>
      </c>
      <c r="U271" s="20" t="n">
        <v>968</v>
      </c>
      <c r="V271" s="20" t="n">
        <v>1160</v>
      </c>
      <c r="W271" s="20" t="n">
        <v>1368</v>
      </c>
      <c r="X271" s="20" t="n">
        <v>1588</v>
      </c>
    </row>
    <row r="272">
      <c r="A272" s="18" t="inlineStr">
        <is>
          <t>지분법손익</t>
        </is>
      </c>
      <c r="C272" s="20" t="n">
        <v>-313</v>
      </c>
      <c r="E272" s="20" t="n">
        <v>-881</v>
      </c>
      <c r="G272" s="20" t="n">
        <v>-264</v>
      </c>
      <c r="I272" s="20" t="n">
        <v>-1217</v>
      </c>
      <c r="K272" s="20" t="n">
        <v>-282</v>
      </c>
      <c r="M272" s="20" t="n">
        <v>-1275</v>
      </c>
      <c r="U272" s="20" t="n">
        <v>-812</v>
      </c>
      <c r="V272" s="20" t="n">
        <v>-881</v>
      </c>
      <c r="W272" s="20" t="n">
        <v>-1217</v>
      </c>
      <c r="X272" s="20" t="n">
        <v>-1275</v>
      </c>
    </row>
    <row r="273">
      <c r="A273" s="18" t="inlineStr">
        <is>
          <t>고정자산 매각손익</t>
        </is>
      </c>
      <c r="C273" s="20" t="n">
        <v>8</v>
      </c>
      <c r="E273" s="20" t="n">
        <v>-7376</v>
      </c>
      <c r="G273" s="20" t="n">
        <v>-27</v>
      </c>
      <c r="I273" s="20" t="n">
        <v>-998</v>
      </c>
      <c r="K273" s="20" t="n">
        <v>-4</v>
      </c>
      <c r="M273" s="20" t="n">
        <v>-21</v>
      </c>
      <c r="U273" s="20" t="n">
        <v>-1645</v>
      </c>
      <c r="V273" s="20" t="n">
        <v>-7376</v>
      </c>
      <c r="W273" s="20" t="n">
        <v>-998</v>
      </c>
      <c r="X273" s="20" t="n">
        <v>-21</v>
      </c>
    </row>
    <row r="274">
      <c r="A274" s="18" t="inlineStr">
        <is>
          <t>매출채권 및 기타채권 증감액</t>
        </is>
      </c>
      <c r="C274" s="20" t="n">
        <v>-11341</v>
      </c>
      <c r="E274" s="20" t="n">
        <v>-12490</v>
      </c>
      <c r="G274" s="20" t="n">
        <v>23400</v>
      </c>
      <c r="I274" s="20" t="n">
        <v>23578</v>
      </c>
      <c r="K274" s="20" t="n">
        <v>-3561</v>
      </c>
      <c r="M274" s="20" t="n">
        <v>-2577</v>
      </c>
      <c r="U274" s="20" t="n">
        <v>-10384</v>
      </c>
      <c r="V274" s="20" t="n">
        <v>-12490</v>
      </c>
      <c r="W274" s="20" t="n">
        <v>23578</v>
      </c>
      <c r="X274" s="20" t="n">
        <v>-2577</v>
      </c>
    </row>
    <row r="275">
      <c r="A275" s="18" t="inlineStr">
        <is>
          <t>재고자산 증감</t>
        </is>
      </c>
      <c r="C275" s="20" t="n">
        <v>783</v>
      </c>
      <c r="E275" s="20" t="n">
        <v>6880</v>
      </c>
      <c r="G275" s="20" t="n">
        <v>-14262</v>
      </c>
      <c r="I275" s="20" t="n">
        <v>-8352</v>
      </c>
      <c r="K275" s="20" t="n">
        <v>4124</v>
      </c>
      <c r="M275" s="20" t="n">
        <v>801</v>
      </c>
      <c r="U275" s="20" t="n">
        <v>-24379</v>
      </c>
      <c r="V275" s="20" t="n">
        <v>6880</v>
      </c>
      <c r="W275" s="20" t="n">
        <v>-8352</v>
      </c>
      <c r="X275" s="20" t="n">
        <v>801</v>
      </c>
    </row>
    <row r="276">
      <c r="A276" s="18" t="inlineStr">
        <is>
          <t>매입채무 및 기타채무 증감액</t>
        </is>
      </c>
      <c r="C276" s="20" t="n">
        <v>-259</v>
      </c>
      <c r="E276" s="20" t="n">
        <v>-1620</v>
      </c>
      <c r="G276" s="20" t="n">
        <v>-4587</v>
      </c>
      <c r="I276" s="20" t="n">
        <v>-5469</v>
      </c>
      <c r="K276" s="20" t="n">
        <v>-1266</v>
      </c>
      <c r="M276" s="20" t="n">
        <v>-677</v>
      </c>
      <c r="U276" s="20" t="n">
        <v>-5771</v>
      </c>
      <c r="V276" s="20" t="n">
        <v>-1620</v>
      </c>
      <c r="W276" s="20" t="n">
        <v>-5469</v>
      </c>
      <c r="X276" s="20" t="n">
        <v>-677</v>
      </c>
    </row>
    <row r="277">
      <c r="A277" s="18" t="inlineStr">
        <is>
          <t>계약부채 증감</t>
        </is>
      </c>
      <c r="G277" s="20" t="n">
        <v>642</v>
      </c>
      <c r="I277" s="20" t="n">
        <v>792</v>
      </c>
      <c r="K277" s="20" t="n">
        <v>11388</v>
      </c>
      <c r="M277" s="20" t="n">
        <v>12335</v>
      </c>
      <c r="W277" s="20" t="n">
        <v>792</v>
      </c>
      <c r="X277" s="20" t="n">
        <v>12335</v>
      </c>
    </row>
    <row r="278">
      <c r="A278" s="18" t="inlineStr">
        <is>
          <t>기타</t>
        </is>
      </c>
      <c r="C278" s="20" t="n">
        <v>-3949</v>
      </c>
      <c r="E278" s="20" t="n">
        <v>1527</v>
      </c>
      <c r="G278" s="20" t="n">
        <v>-4160</v>
      </c>
      <c r="I278" s="20" t="n">
        <v>-3374</v>
      </c>
      <c r="K278" s="20" t="n">
        <v>179</v>
      </c>
      <c r="M278" s="20" t="n">
        <v>2891</v>
      </c>
      <c r="U278" s="20" t="n">
        <v>4363</v>
      </c>
      <c r="V278" s="20" t="n">
        <v>1527</v>
      </c>
      <c r="W278" s="20" t="n">
        <v>-3374</v>
      </c>
      <c r="X278" s="20" t="n">
        <v>2891</v>
      </c>
    </row>
    <row r="279">
      <c r="A279" s="18" t="inlineStr">
        <is>
          <t>소계</t>
        </is>
      </c>
      <c r="C279" s="20" t="n">
        <v>18840</v>
      </c>
      <c r="E279" s="20" t="n">
        <v>61720</v>
      </c>
      <c r="G279" s="20" t="n">
        <v>34499</v>
      </c>
      <c r="I279" s="20" t="n">
        <v>77107</v>
      </c>
      <c r="K279" s="20" t="n">
        <v>45249</v>
      </c>
      <c r="M279" s="20" t="n">
        <v>81861</v>
      </c>
      <c r="U279" s="20" t="n">
        <v>42817</v>
      </c>
      <c r="V279" s="20" t="n">
        <v>61720</v>
      </c>
      <c r="W279" s="20" t="n">
        <v>77107</v>
      </c>
      <c r="X279" s="20" t="n">
        <v>81861</v>
      </c>
    </row>
    <row r="280">
      <c r="A280" s="18" t="inlineStr">
        <is>
          <t>이자 수취</t>
        </is>
      </c>
      <c r="C280" s="20" t="n">
        <v>181</v>
      </c>
      <c r="E280" s="20" t="n">
        <v>386</v>
      </c>
      <c r="G280" s="20" t="n">
        <v>184</v>
      </c>
      <c r="I280" s="20" t="n">
        <v>349</v>
      </c>
      <c r="K280" s="20" t="n">
        <v>186</v>
      </c>
      <c r="M280" s="20" t="n">
        <v>335</v>
      </c>
      <c r="U280" s="20" t="n">
        <v>226</v>
      </c>
      <c r="V280" s="20" t="n">
        <v>386</v>
      </c>
      <c r="W280" s="20" t="n">
        <v>349</v>
      </c>
      <c r="X280" s="20" t="n">
        <v>335</v>
      </c>
    </row>
    <row r="281">
      <c r="A281" s="18" t="inlineStr">
        <is>
          <t>배당금 수취액</t>
        </is>
      </c>
      <c r="C281" s="20" t="n">
        <v>1346</v>
      </c>
      <c r="E281" s="20" t="n">
        <v>2721</v>
      </c>
      <c r="G281" s="20" t="n">
        <v>1416</v>
      </c>
      <c r="I281" s="20" t="n">
        <v>2813</v>
      </c>
      <c r="K281" s="20" t="n">
        <v>1085</v>
      </c>
      <c r="M281" s="20" t="n">
        <v>2110</v>
      </c>
      <c r="U281" s="20" t="n">
        <v>2470</v>
      </c>
      <c r="V281" s="20" t="n">
        <v>2721</v>
      </c>
      <c r="W281" s="20" t="n">
        <v>2813</v>
      </c>
      <c r="X281" s="20" t="n">
        <v>2110</v>
      </c>
    </row>
    <row r="282">
      <c r="A282" s="18" t="inlineStr">
        <is>
          <t>이자 지급</t>
        </is>
      </c>
      <c r="C282" s="20" t="n">
        <v>-578</v>
      </c>
      <c r="E282" s="20" t="n">
        <v>-1125</v>
      </c>
      <c r="G282" s="20" t="n">
        <v>-632</v>
      </c>
      <c r="I282" s="20" t="n">
        <v>-1352</v>
      </c>
      <c r="K282" s="20" t="n">
        <v>-662</v>
      </c>
      <c r="M282" s="20" t="n">
        <v>-1474</v>
      </c>
      <c r="U282" s="20" t="n">
        <v>-931</v>
      </c>
      <c r="V282" s="20" t="n">
        <v>-1125</v>
      </c>
      <c r="W282" s="20" t="n">
        <v>-1352</v>
      </c>
      <c r="X282" s="20" t="n">
        <v>-1474</v>
      </c>
    </row>
    <row r="283">
      <c r="A283" s="18" t="inlineStr">
        <is>
          <t>법인소득세 지급액</t>
        </is>
      </c>
      <c r="G283" s="20" t="n">
        <v>-15278</v>
      </c>
      <c r="K283" s="20" t="n">
        <v>-7971</v>
      </c>
    </row>
    <row r="284">
      <c r="A284" s="18" t="inlineStr">
        <is>
          <t>법인소득세 지급액</t>
        </is>
      </c>
      <c r="C284" s="20" t="n">
        <v>-6693</v>
      </c>
      <c r="E284" s="20" t="n">
        <v>-13463</v>
      </c>
      <c r="G284" s="20" t="n">
        <v>-15278</v>
      </c>
      <c r="I284" s="20" t="n">
        <v>-25400</v>
      </c>
      <c r="M284" s="20" t="n">
        <v>-16737</v>
      </c>
      <c r="U284" s="20" t="n">
        <v>-16675</v>
      </c>
      <c r="V284" s="20" t="n">
        <v>-13463</v>
      </c>
      <c r="W284" s="20" t="n">
        <v>-25400</v>
      </c>
      <c r="X284" s="20" t="n">
        <v>-16737</v>
      </c>
    </row>
    <row r="285">
      <c r="A285" s="9" t="inlineStr">
        <is>
          <t>영업활동 현금흐름</t>
        </is>
      </c>
      <c r="C285" s="12" t="n">
        <v>13096</v>
      </c>
      <c r="E285" s="12" t="n">
        <v>50239</v>
      </c>
      <c r="G285" s="12" t="n">
        <v>20189</v>
      </c>
      <c r="I285" s="12" t="n">
        <v>53516</v>
      </c>
      <c r="K285" s="12" t="n">
        <v>37888</v>
      </c>
      <c r="M285" s="12" t="n">
        <v>66096</v>
      </c>
      <c r="U285" s="12" t="n">
        <v>27907</v>
      </c>
      <c r="V285" s="12" t="n">
        <v>50239</v>
      </c>
      <c r="W285" s="12" t="n">
        <v>53516</v>
      </c>
      <c r="X285" s="12" t="n">
        <v>66096</v>
      </c>
    </row>
    <row r="286">
      <c r="A286" s="18" t="inlineStr">
        <is>
          <t>Purchase Of Property Plant And Equipment Intangible Assets And Investment Property Inv CF</t>
        </is>
      </c>
      <c r="C286" s="20" t="n">
        <v>-15253</v>
      </c>
      <c r="E286" s="20" t="n">
        <v>-32355</v>
      </c>
      <c r="G286" s="20" t="n">
        <v>-20221</v>
      </c>
      <c r="I286" s="20" t="n">
        <v>-41646</v>
      </c>
      <c r="K286" s="20" t="n">
        <v>-25410</v>
      </c>
      <c r="M286" s="20" t="n">
        <v>-52555</v>
      </c>
      <c r="U286" s="20" t="n">
        <v>-27030</v>
      </c>
      <c r="V286" s="20" t="n">
        <v>-32355</v>
      </c>
      <c r="W286" s="20" t="n">
        <v>-41646</v>
      </c>
      <c r="X286" s="20" t="n">
        <v>-52555</v>
      </c>
    </row>
    <row r="287">
      <c r="A287" s="18" t="inlineStr">
        <is>
          <t>Proceeds From Sale Of Property Plant And Equipment Intangible Assets And Investment Property Inv CF</t>
        </is>
      </c>
      <c r="C287" s="20" t="n">
        <v>15</v>
      </c>
      <c r="E287" s="20" t="n">
        <v>10372</v>
      </c>
      <c r="G287" s="20" t="n">
        <v>29</v>
      </c>
      <c r="I287" s="20" t="n">
        <v>1679</v>
      </c>
      <c r="K287" s="20" t="n">
        <v>51</v>
      </c>
      <c r="M287" s="20" t="n">
        <v>132</v>
      </c>
      <c r="U287" s="20" t="n">
        <v>2084</v>
      </c>
      <c r="V287" s="20" t="n">
        <v>10372</v>
      </c>
      <c r="W287" s="20" t="n">
        <v>1679</v>
      </c>
      <c r="X287" s="20" t="n">
        <v>132</v>
      </c>
    </row>
    <row r="288">
      <c r="A288" s="18" t="inlineStr">
        <is>
          <t>자본성 금융상품 취득</t>
        </is>
      </c>
      <c r="C288" s="20" t="n">
        <v>-12</v>
      </c>
      <c r="E288" s="20" t="n">
        <v>-23</v>
      </c>
      <c r="G288" s="20" t="n">
        <v>-13</v>
      </c>
      <c r="I288" s="20" t="n">
        <v>-25</v>
      </c>
      <c r="K288" s="20" t="n">
        <v>-11</v>
      </c>
      <c r="M288" s="20" t="n">
        <v>-23</v>
      </c>
      <c r="U288" s="20" t="n">
        <v>-521</v>
      </c>
      <c r="V288" s="20" t="n">
        <v>-23</v>
      </c>
      <c r="W288" s="20" t="n">
        <v>-25</v>
      </c>
      <c r="X288" s="20" t="n">
        <v>-23</v>
      </c>
    </row>
    <row r="289">
      <c r="A289" s="18" t="inlineStr">
        <is>
          <t>자본성 금융상품 매각</t>
        </is>
      </c>
      <c r="C289" s="20" t="n">
        <v>0</v>
      </c>
      <c r="E289" s="20" t="n">
        <v>35771</v>
      </c>
      <c r="G289" s="20" t="n">
        <v>35</v>
      </c>
      <c r="I289" s="20" t="n">
        <v>24203</v>
      </c>
      <c r="K289" s="20" t="n">
        <v>0</v>
      </c>
      <c r="M289" s="20" t="n">
        <v>14292</v>
      </c>
      <c r="U289" s="20" t="n">
        <v>1623</v>
      </c>
      <c r="V289" s="20" t="n">
        <v>35771</v>
      </c>
      <c r="W289" s="20" t="n">
        <v>24203</v>
      </c>
      <c r="X289" s="20" t="n">
        <v>14292</v>
      </c>
    </row>
    <row r="290">
      <c r="A290" s="18" t="inlineStr">
        <is>
          <t>자회사 취득 지출</t>
        </is>
      </c>
      <c r="I290" s="20" t="n">
        <v>-799</v>
      </c>
      <c r="M290" s="20" t="n">
        <v>-10190</v>
      </c>
      <c r="W290" s="20" t="n">
        <v>-799</v>
      </c>
      <c r="X290" s="20" t="n">
        <v>-10190</v>
      </c>
    </row>
    <row r="291">
      <c r="A291" s="18" t="inlineStr">
        <is>
          <t>기타</t>
        </is>
      </c>
      <c r="C291" s="20" t="n">
        <v>292</v>
      </c>
      <c r="E291" s="20" t="n">
        <v>-146</v>
      </c>
      <c r="G291" s="20" t="n">
        <v>-760</v>
      </c>
      <c r="I291" s="20" t="n">
        <v>1002</v>
      </c>
      <c r="K291" s="20" t="n">
        <v>16</v>
      </c>
      <c r="M291" s="20" t="n">
        <v>95</v>
      </c>
      <c r="U291" s="20" t="n">
        <v>-57</v>
      </c>
      <c r="V291" s="20" t="n">
        <v>-146</v>
      </c>
      <c r="W291" s="20" t="n">
        <v>1002</v>
      </c>
      <c r="X291" s="20" t="n">
        <v>95</v>
      </c>
    </row>
    <row r="292">
      <c r="A292" s="9" t="inlineStr">
        <is>
          <t>투자활동 현금흐름</t>
        </is>
      </c>
      <c r="C292" s="12" t="n">
        <v>-14958</v>
      </c>
      <c r="E292" s="12" t="n">
        <v>13618</v>
      </c>
      <c r="G292" s="12" t="n">
        <v>-20930</v>
      </c>
      <c r="I292" s="12" t="n">
        <v>-15586</v>
      </c>
      <c r="K292" s="12" t="n">
        <v>-25354</v>
      </c>
      <c r="M292" s="12" t="n">
        <v>-48248</v>
      </c>
      <c r="U292" s="12" t="n">
        <v>-23902</v>
      </c>
      <c r="V292" s="12" t="n">
        <v>13618</v>
      </c>
      <c r="W292" s="12" t="n">
        <v>-15586</v>
      </c>
      <c r="X292" s="12" t="n">
        <v>-48248</v>
      </c>
    </row>
    <row r="293">
      <c r="A293" s="18" t="inlineStr">
        <is>
          <t>단기차입금 순증감</t>
        </is>
      </c>
      <c r="C293" s="20" t="n">
        <v>2788</v>
      </c>
      <c r="E293" s="20" t="n">
        <v>-40278</v>
      </c>
      <c r="G293" s="20" t="n">
        <v>22902</v>
      </c>
      <c r="I293" s="20" t="n">
        <v>11993</v>
      </c>
      <c r="K293" s="20" t="n">
        <v>-6630</v>
      </c>
      <c r="M293" s="20" t="n">
        <v>7527</v>
      </c>
      <c r="U293" s="20" t="n">
        <v>1346</v>
      </c>
      <c r="V293" s="20" t="n">
        <v>-40278</v>
      </c>
      <c r="W293" s="20" t="n">
        <v>11993</v>
      </c>
      <c r="X293" s="20" t="n">
        <v>7527</v>
      </c>
    </row>
    <row r="294">
      <c r="A294" s="18" t="inlineStr">
        <is>
          <t>Increase Decrease In Commercial Papers Fin CFIFRS</t>
        </is>
      </c>
      <c r="C294" s="20" t="n">
        <v>0</v>
      </c>
      <c r="G294" s="20" t="n">
        <v>11000</v>
      </c>
    </row>
    <row r="295">
      <c r="A295" s="18" t="inlineStr">
        <is>
          <t>Increase Decrease In Commercial Papers Fin CF</t>
        </is>
      </c>
      <c r="E295" s="20" t="n">
        <v>0</v>
      </c>
      <c r="G295" s="20" t="n">
        <v>11000</v>
      </c>
      <c r="K295" s="20" t="n">
        <v>0</v>
      </c>
      <c r="U295" s="20" t="n">
        <v>-7000</v>
      </c>
      <c r="V295" s="20" t="n">
        <v>0</v>
      </c>
    </row>
    <row r="296">
      <c r="A296" s="18" t="inlineStr">
        <is>
          <t>Proceeds From Borrowings Fin CF</t>
        </is>
      </c>
      <c r="C296" s="20" t="n">
        <v>51092</v>
      </c>
      <c r="E296" s="20" t="n">
        <v>70419</v>
      </c>
      <c r="G296" s="20" t="n">
        <v>9646</v>
      </c>
      <c r="I296" s="20" t="n">
        <v>18090</v>
      </c>
      <c r="K296" s="20" t="n">
        <v>27952</v>
      </c>
      <c r="M296" s="20" t="n">
        <v>40658</v>
      </c>
      <c r="U296" s="20" t="n">
        <v>130012</v>
      </c>
      <c r="V296" s="20" t="n">
        <v>70419</v>
      </c>
      <c r="W296" s="20" t="n">
        <v>18090</v>
      </c>
      <c r="X296" s="20" t="n">
        <v>40658</v>
      </c>
    </row>
    <row r="297">
      <c r="A297" s="18" t="inlineStr">
        <is>
          <t>Repayments Of Borrowings Fin CF</t>
        </is>
      </c>
      <c r="C297" s="20" t="n">
        <v>-61032</v>
      </c>
      <c r="E297" s="20" t="n">
        <v>-93960</v>
      </c>
      <c r="G297" s="20" t="n">
        <v>-21882</v>
      </c>
      <c r="I297" s="20" t="n">
        <v>-30833</v>
      </c>
      <c r="K297" s="20" t="n">
        <v>-22642</v>
      </c>
      <c r="M297" s="20" t="n">
        <v>-45943</v>
      </c>
      <c r="U297" s="20" t="n">
        <v>-127012</v>
      </c>
      <c r="V297" s="20" t="n">
        <v>-93960</v>
      </c>
      <c r="W297" s="20" t="n">
        <v>-30833</v>
      </c>
      <c r="X297" s="20" t="n">
        <v>-45943</v>
      </c>
    </row>
    <row r="298">
      <c r="A298" s="18" t="inlineStr">
        <is>
          <t>사채 발행</t>
        </is>
      </c>
      <c r="E298" s="20" t="n">
        <v>0</v>
      </c>
      <c r="U298" s="20" t="n">
        <v>9946</v>
      </c>
      <c r="V298" s="20" t="n">
        <v>0</v>
      </c>
    </row>
    <row r="299">
      <c r="A299" s="18" t="inlineStr">
        <is>
          <t>리스부채 상환 지출</t>
        </is>
      </c>
      <c r="C299" s="20" t="n">
        <v>-1013</v>
      </c>
      <c r="E299" s="20" t="n">
        <v>-1938</v>
      </c>
      <c r="G299" s="20" t="n">
        <v>-1016</v>
      </c>
      <c r="I299" s="20" t="n">
        <v>-2098</v>
      </c>
      <c r="K299" s="20" t="n">
        <v>-1080</v>
      </c>
      <c r="M299" s="20" t="n">
        <v>-2241</v>
      </c>
      <c r="U299" s="20" t="n">
        <v>-1977</v>
      </c>
      <c r="V299" s="20" t="n">
        <v>-1938</v>
      </c>
      <c r="W299" s="20" t="n">
        <v>-2098</v>
      </c>
      <c r="X299" s="20" t="n">
        <v>-2241</v>
      </c>
    </row>
    <row r="300">
      <c r="A300" s="18" t="inlineStr">
        <is>
          <t>자기주식 취득</t>
        </is>
      </c>
      <c r="E300" s="20" t="n">
        <v>-6</v>
      </c>
      <c r="G300" s="20" t="n">
        <v>-1</v>
      </c>
      <c r="I300" s="20" t="n">
        <v>-8500</v>
      </c>
      <c r="K300" s="20" t="n">
        <v>-6603</v>
      </c>
      <c r="M300" s="20" t="n">
        <v>-6604</v>
      </c>
      <c r="V300" s="20" t="n">
        <v>-6</v>
      </c>
      <c r="W300" s="20" t="n">
        <v>-8500</v>
      </c>
      <c r="X300" s="20" t="n">
        <v>-6604</v>
      </c>
    </row>
    <row r="301">
      <c r="A301" s="18" t="inlineStr">
        <is>
          <t>배당금 지급</t>
        </is>
      </c>
      <c r="C301" s="20" t="n">
        <v>-5532</v>
      </c>
      <c r="E301" s="20" t="n">
        <v>-9802</v>
      </c>
      <c r="G301" s="20" t="n">
        <v>-5545</v>
      </c>
      <c r="I301" s="20" t="n">
        <v>-10033</v>
      </c>
      <c r="K301" s="20" t="n">
        <v>-5361</v>
      </c>
      <c r="M301" s="20" t="n">
        <v>-9765</v>
      </c>
      <c r="U301" s="20" t="n">
        <v>-8519</v>
      </c>
      <c r="V301" s="20" t="n">
        <v>-9802</v>
      </c>
      <c r="W301" s="20" t="n">
        <v>-10033</v>
      </c>
      <c r="X301" s="20" t="n">
        <v>-9765</v>
      </c>
    </row>
    <row r="302">
      <c r="A302" s="18" t="inlineStr">
        <is>
          <t>비지배지분 배당금 지급액</t>
        </is>
      </c>
      <c r="C302" s="20" t="n">
        <v>-429</v>
      </c>
      <c r="E302" s="20" t="n">
        <v>-906</v>
      </c>
      <c r="G302" s="20" t="n">
        <v>-515</v>
      </c>
      <c r="I302" s="20" t="n">
        <v>-1034</v>
      </c>
      <c r="K302" s="20" t="n">
        <v>-617</v>
      </c>
      <c r="M302" s="20" t="n">
        <v>-972</v>
      </c>
      <c r="U302" s="20" t="n">
        <v>-881</v>
      </c>
      <c r="V302" s="20" t="n">
        <v>-906</v>
      </c>
      <c r="W302" s="20" t="n">
        <v>-1034</v>
      </c>
      <c r="X302" s="20" t="n">
        <v>-972</v>
      </c>
    </row>
    <row r="303">
      <c r="A303" s="18" t="inlineStr">
        <is>
          <t>기타</t>
        </is>
      </c>
      <c r="C303" s="20" t="n">
        <v>41</v>
      </c>
      <c r="E303" s="20" t="n">
        <v>-11</v>
      </c>
      <c r="G303" s="20" t="n">
        <v>-102</v>
      </c>
      <c r="I303" s="20" t="n">
        <v>-298</v>
      </c>
      <c r="K303" s="20" t="n">
        <v>-146</v>
      </c>
      <c r="M303" s="20" t="n">
        <v>-1117</v>
      </c>
      <c r="U303" s="20" t="n">
        <v>-19</v>
      </c>
      <c r="V303" s="20" t="n">
        <v>-11</v>
      </c>
      <c r="W303" s="20" t="n">
        <v>-298</v>
      </c>
      <c r="X303" s="20" t="n">
        <v>-1117</v>
      </c>
    </row>
    <row r="304">
      <c r="A304" s="9" t="inlineStr">
        <is>
          <t>재무활동 현금흐름</t>
        </is>
      </c>
      <c r="C304" s="12" t="n">
        <v>-14086</v>
      </c>
      <c r="E304" s="12" t="n">
        <v>-76484</v>
      </c>
      <c r="G304" s="12" t="n">
        <v>14484</v>
      </c>
      <c r="I304" s="12" t="n">
        <v>-22715</v>
      </c>
      <c r="K304" s="12" t="n">
        <v>-15129</v>
      </c>
      <c r="M304" s="12" t="n">
        <v>-18459</v>
      </c>
      <c r="U304" s="12" t="n">
        <v>-4105</v>
      </c>
      <c r="V304" s="12" t="n">
        <v>-76484</v>
      </c>
      <c r="W304" s="12" t="n">
        <v>-22715</v>
      </c>
      <c r="X304" s="12" t="n">
        <v>-18459</v>
      </c>
    </row>
    <row r="305">
      <c r="A305" s="18" t="inlineStr">
        <is>
          <t>Effect Of Exchange Rate Changes On Cash And Cash Equivalents</t>
        </is>
      </c>
      <c r="C305" s="20" t="n">
        <v>1628</v>
      </c>
      <c r="E305" s="20" t="n">
        <v>2146</v>
      </c>
      <c r="G305" s="20" t="n">
        <v>-488</v>
      </c>
      <c r="I305" s="20" t="n">
        <v>-4</v>
      </c>
      <c r="K305" s="20" t="n">
        <v>476</v>
      </c>
      <c r="M305" s="20" t="n">
        <v>2465</v>
      </c>
      <c r="U305" s="20" t="n">
        <v>945</v>
      </c>
      <c r="V305" s="20" t="n">
        <v>2146</v>
      </c>
      <c r="W305" s="20" t="n">
        <v>-4</v>
      </c>
      <c r="X305" s="20" t="n">
        <v>2465</v>
      </c>
    </row>
    <row r="306">
      <c r="A306" s="18" t="inlineStr">
        <is>
          <t>현금성자산 증감</t>
        </is>
      </c>
      <c r="C306" s="20" t="n">
        <v>-14319</v>
      </c>
      <c r="E306" s="20" t="n">
        <v>-10480</v>
      </c>
      <c r="G306" s="20" t="n">
        <v>13255</v>
      </c>
      <c r="I306" s="20" t="n">
        <v>15210</v>
      </c>
      <c r="K306" s="20" t="n">
        <v>-2119</v>
      </c>
      <c r="M306" s="20" t="n">
        <v>1853</v>
      </c>
      <c r="U306" s="20" t="n">
        <v>844</v>
      </c>
      <c r="V306" s="20" t="n">
        <v>-10480</v>
      </c>
      <c r="W306" s="20" t="n">
        <v>15210</v>
      </c>
      <c r="X306" s="20" t="n">
        <v>1853</v>
      </c>
    </row>
    <row r="307">
      <c r="A307" s="9" t="inlineStr">
        <is>
          <t>법인세차감전 순이익</t>
        </is>
      </c>
      <c r="C307" s="12" t="n">
        <v>18403</v>
      </c>
      <c r="E307" s="12" t="n">
        <v>73560</v>
      </c>
      <c r="P307" s="12" t="n">
        <v>36831</v>
      </c>
      <c r="Q307" s="12" t="n">
        <v>33110</v>
      </c>
      <c r="R307" s="12" t="n">
        <v>21170</v>
      </c>
      <c r="S307" s="12" t="n">
        <v>10065</v>
      </c>
      <c r="T307" s="12" t="n">
        <v>40746</v>
      </c>
      <c r="U307" s="12" t="n">
        <v>49363</v>
      </c>
      <c r="V307" s="12" t="n">
        <v>73560</v>
      </c>
    </row>
    <row r="308">
      <c r="A308" s="18" t="inlineStr">
        <is>
          <t>감가상각비</t>
        </is>
      </c>
      <c r="C308" s="20" t="n">
        <v>13182</v>
      </c>
      <c r="E308" s="20" t="n">
        <v>26508</v>
      </c>
      <c r="P308" s="20" t="n">
        <v>20740</v>
      </c>
      <c r="Q308" s="20" t="n">
        <v>23171</v>
      </c>
      <c r="R308" s="20" t="n">
        <v>24662</v>
      </c>
      <c r="S308" s="20" t="n">
        <v>25912</v>
      </c>
      <c r="T308" s="20" t="n">
        <v>26797</v>
      </c>
      <c r="U308" s="20" t="n">
        <v>26054</v>
      </c>
      <c r="V308" s="20" t="n">
        <v>26508</v>
      </c>
    </row>
    <row r="309">
      <c r="A309" s="18" t="inlineStr">
        <is>
          <t>손상차손</t>
        </is>
      </c>
      <c r="C309" s="20" t="n">
        <v>960</v>
      </c>
      <c r="E309" s="20" t="n">
        <v>2804</v>
      </c>
      <c r="Q309" s="20" t="n">
        <v>0</v>
      </c>
      <c r="R309" s="20" t="n">
        <v>5842</v>
      </c>
      <c r="S309" s="20" t="n">
        <v>2720</v>
      </c>
      <c r="T309" s="20" t="n">
        <v>3519</v>
      </c>
      <c r="U309" s="20" t="n">
        <v>1112</v>
      </c>
      <c r="V309" s="20" t="n">
        <v>2804</v>
      </c>
    </row>
    <row r="310">
      <c r="A310" s="18" t="inlineStr">
        <is>
          <t>대손충당금 증감</t>
        </is>
      </c>
      <c r="C310" s="20" t="n">
        <v>1</v>
      </c>
      <c r="E310" s="20" t="n">
        <v>-4</v>
      </c>
      <c r="P310" s="20" t="n">
        <v>-131</v>
      </c>
      <c r="Q310" s="20" t="n">
        <v>57</v>
      </c>
      <c r="R310" s="20" t="n">
        <v>61</v>
      </c>
      <c r="S310" s="20" t="n">
        <v>-74</v>
      </c>
      <c r="T310" s="20" t="n">
        <v>-34</v>
      </c>
      <c r="U310" s="20" t="n">
        <v>-47</v>
      </c>
      <c r="V310" s="20" t="n">
        <v>-4</v>
      </c>
    </row>
    <row r="311">
      <c r="A311" s="18" t="inlineStr">
        <is>
          <t>상여충당금 증감</t>
        </is>
      </c>
      <c r="C311" s="20" t="n">
        <v>11</v>
      </c>
      <c r="E311" s="20" t="n">
        <v>139</v>
      </c>
      <c r="P311" s="20" t="n">
        <v>652</v>
      </c>
      <c r="Q311" s="20" t="n">
        <v>115</v>
      </c>
      <c r="R311" s="20" t="n">
        <v>-347</v>
      </c>
      <c r="S311" s="20" t="n">
        <v>-1007</v>
      </c>
      <c r="T311" s="20" t="n">
        <v>1190</v>
      </c>
      <c r="U311" s="20" t="n">
        <v>251</v>
      </c>
      <c r="V311" s="20" t="n">
        <v>139</v>
      </c>
    </row>
    <row r="312">
      <c r="A312" s="18" t="inlineStr">
        <is>
          <t>기타 충당금 증감</t>
        </is>
      </c>
      <c r="C312" s="20" t="n">
        <v>-359</v>
      </c>
    </row>
    <row r="313">
      <c r="A313" s="18" t="inlineStr">
        <is>
          <t>임원 상여충당금 증감</t>
        </is>
      </c>
      <c r="E313" s="20" t="n">
        <v>86</v>
      </c>
      <c r="P313" s="20" t="n">
        <v>49</v>
      </c>
      <c r="Q313" s="20" t="n">
        <v>-52</v>
      </c>
      <c r="R313" s="20" t="n">
        <v>-71</v>
      </c>
      <c r="S313" s="20" t="n">
        <v>-45</v>
      </c>
      <c r="T313" s="20" t="n">
        <v>77</v>
      </c>
      <c r="U313" s="20" t="n">
        <v>9</v>
      </c>
      <c r="V313" s="20" t="n">
        <v>86</v>
      </c>
    </row>
    <row r="314">
      <c r="A314" s="18" t="inlineStr">
        <is>
          <t>임원 퇴직위로 충당금 증감</t>
        </is>
      </c>
      <c r="E314" s="20" t="n">
        <v>44</v>
      </c>
      <c r="P314" s="20" t="n">
        <v>-34</v>
      </c>
      <c r="Q314" s="20" t="n">
        <v>-5</v>
      </c>
      <c r="R314" s="20" t="n">
        <v>-26</v>
      </c>
      <c r="S314" s="20" t="n">
        <v>-94</v>
      </c>
      <c r="T314" s="20" t="n">
        <v>71</v>
      </c>
      <c r="U314" s="20" t="n">
        <v>-60</v>
      </c>
      <c r="V314" s="20" t="n">
        <v>44</v>
      </c>
    </row>
    <row r="315">
      <c r="A315" s="18" t="inlineStr">
        <is>
          <t>주식급여 충당금 증감</t>
        </is>
      </c>
      <c r="E315" s="20" t="n">
        <v>149</v>
      </c>
      <c r="U315" s="20" t="n">
        <v>33</v>
      </c>
      <c r="V315" s="20" t="n">
        <v>149</v>
      </c>
    </row>
    <row r="316">
      <c r="A316" s="18" t="inlineStr">
        <is>
          <t>환경대책 충당금 증감</t>
        </is>
      </c>
      <c r="E316" s="20" t="n">
        <v>-263</v>
      </c>
      <c r="P316" s="20" t="n">
        <v>-91</v>
      </c>
      <c r="Q316" s="20" t="n">
        <v>476</v>
      </c>
      <c r="R316" s="20" t="n">
        <v>704</v>
      </c>
      <c r="S316" s="20" t="n">
        <v>44</v>
      </c>
      <c r="T316" s="20" t="n">
        <v>-1197</v>
      </c>
      <c r="U316" s="20" t="n">
        <v>-253</v>
      </c>
      <c r="V316" s="20" t="n">
        <v>-263</v>
      </c>
    </row>
    <row r="317">
      <c r="A317" s="18" t="inlineStr">
        <is>
          <t>퇴직급여자산 증감</t>
        </is>
      </c>
      <c r="C317" s="20" t="n">
        <v>-477</v>
      </c>
      <c r="E317" s="20" t="n">
        <v>-1097</v>
      </c>
      <c r="P317" s="20" t="n">
        <v>1039</v>
      </c>
      <c r="Q317" s="20" t="n">
        <v>-180</v>
      </c>
      <c r="R317" s="20" t="n">
        <v>-1663</v>
      </c>
      <c r="S317" s="20" t="n">
        <v>764</v>
      </c>
      <c r="T317" s="20" t="n">
        <v>434</v>
      </c>
      <c r="U317" s="20" t="n">
        <v>-670</v>
      </c>
      <c r="V317" s="20" t="n">
        <v>-1097</v>
      </c>
    </row>
    <row r="318">
      <c r="A318" s="18" t="inlineStr">
        <is>
          <t>퇴직급여부채 증감</t>
        </is>
      </c>
      <c r="C318" s="20" t="n">
        <v>278</v>
      </c>
      <c r="E318" s="20" t="n">
        <v>87</v>
      </c>
      <c r="P318" s="20" t="n">
        <v>422</v>
      </c>
      <c r="Q318" s="20" t="n">
        <v>432</v>
      </c>
      <c r="R318" s="20" t="n">
        <v>630</v>
      </c>
      <c r="S318" s="20" t="n">
        <v>2223</v>
      </c>
      <c r="T318" s="20" t="n">
        <v>1339</v>
      </c>
      <c r="U318" s="20" t="n">
        <v>-21</v>
      </c>
      <c r="V318" s="20" t="n">
        <v>87</v>
      </c>
    </row>
    <row r="319">
      <c r="A319" s="18" t="inlineStr">
        <is>
          <t>이자·배당금 수익</t>
        </is>
      </c>
      <c r="C319" s="20" t="n">
        <v>-1414</v>
      </c>
      <c r="E319" s="20" t="n">
        <v>-2838</v>
      </c>
      <c r="P319" s="20" t="n">
        <v>-1936</v>
      </c>
      <c r="Q319" s="20" t="n">
        <v>-2529</v>
      </c>
      <c r="R319" s="20" t="n">
        <v>-2091</v>
      </c>
      <c r="S319" s="20" t="n">
        <v>-1630</v>
      </c>
      <c r="T319" s="20" t="n">
        <v>-2149</v>
      </c>
      <c r="U319" s="20" t="n">
        <v>-2483</v>
      </c>
      <c r="V319" s="20" t="n">
        <v>-2838</v>
      </c>
    </row>
    <row r="320">
      <c r="A320" s="18" t="inlineStr">
        <is>
          <t>이자비용</t>
        </is>
      </c>
      <c r="C320" s="20" t="n">
        <v>569</v>
      </c>
      <c r="E320" s="20" t="n">
        <v>1143</v>
      </c>
      <c r="P320" s="20" t="n">
        <v>941</v>
      </c>
      <c r="Q320" s="20" t="n">
        <v>922</v>
      </c>
      <c r="R320" s="20" t="n">
        <v>793</v>
      </c>
      <c r="S320" s="20" t="n">
        <v>823</v>
      </c>
      <c r="T320" s="20" t="n">
        <v>823</v>
      </c>
      <c r="U320" s="20" t="n">
        <v>938</v>
      </c>
      <c r="V320" s="20" t="n">
        <v>1143</v>
      </c>
    </row>
    <row r="321">
      <c r="A321" s="18" t="inlineStr">
        <is>
          <t>외환차손익</t>
        </is>
      </c>
      <c r="C321" s="20" t="n">
        <v>-522</v>
      </c>
      <c r="E321" s="20" t="n">
        <v>-713</v>
      </c>
      <c r="P321" s="20" t="n">
        <v>142</v>
      </c>
      <c r="Q321" s="20" t="n">
        <v>-118</v>
      </c>
      <c r="R321" s="20" t="n">
        <v>31</v>
      </c>
      <c r="S321" s="20" t="n">
        <v>-90</v>
      </c>
      <c r="T321" s="20" t="n">
        <v>-247</v>
      </c>
      <c r="U321" s="20" t="n">
        <v>-380</v>
      </c>
      <c r="V321" s="20" t="n">
        <v>-713</v>
      </c>
    </row>
    <row r="322">
      <c r="A322" s="18" t="inlineStr">
        <is>
          <t>지분법손익</t>
        </is>
      </c>
      <c r="C322" s="20" t="n">
        <v>-317</v>
      </c>
      <c r="E322" s="20" t="n">
        <v>-581</v>
      </c>
      <c r="P322" s="20" t="n">
        <v>-978</v>
      </c>
      <c r="Q322" s="20" t="n">
        <v>-1134</v>
      </c>
      <c r="R322" s="20" t="n">
        <v>-760</v>
      </c>
      <c r="S322" s="20" t="n">
        <v>189</v>
      </c>
      <c r="T322" s="20" t="n">
        <v>-621</v>
      </c>
      <c r="U322" s="20" t="n">
        <v>-458</v>
      </c>
      <c r="V322" s="20" t="n">
        <v>-581</v>
      </c>
    </row>
    <row r="323">
      <c r="A323" s="18" t="inlineStr">
        <is>
          <t>투자유가증권 매각손익</t>
        </is>
      </c>
      <c r="C323" s="20" t="n">
        <v>0</v>
      </c>
      <c r="E323" s="20" t="n">
        <v>-26696</v>
      </c>
      <c r="P323" s="20" t="n">
        <v>1</v>
      </c>
      <c r="Q323" s="20" t="n">
        <v>9</v>
      </c>
      <c r="R323" s="20" t="n">
        <v>-48</v>
      </c>
      <c r="S323" s="20" t="n">
        <v>-143</v>
      </c>
      <c r="T323" s="20" t="n">
        <v>-5497</v>
      </c>
      <c r="U323" s="20" t="n">
        <v>-748</v>
      </c>
      <c r="V323" s="20" t="n">
        <v>-26696</v>
      </c>
    </row>
    <row r="324">
      <c r="A324" s="18" t="inlineStr">
        <is>
          <t>투자유가증권 평가손익</t>
        </is>
      </c>
      <c r="C324" s="20" t="n">
        <v>0</v>
      </c>
      <c r="E324" s="20" t="n">
        <v>0</v>
      </c>
      <c r="P324" s="20" t="n">
        <v>0</v>
      </c>
      <c r="Q324" s="20" t="n">
        <v>6</v>
      </c>
      <c r="R324" s="20" t="n">
        <v>2072</v>
      </c>
      <c r="S324" s="20" t="n">
        <v>8</v>
      </c>
      <c r="T324" s="20" t="n">
        <v>0</v>
      </c>
      <c r="U324" s="20" t="n">
        <v>6</v>
      </c>
      <c r="V324" s="20" t="n">
        <v>0</v>
      </c>
    </row>
    <row r="325">
      <c r="A325" s="18" t="inlineStr">
        <is>
          <t>유형자산 매각손익</t>
        </is>
      </c>
      <c r="C325" s="20" t="n">
        <v>-3</v>
      </c>
      <c r="E325" s="20" t="n">
        <v>-7053</v>
      </c>
      <c r="P325" s="20" t="n">
        <v>-741</v>
      </c>
      <c r="Q325" s="20" t="n">
        <v>2</v>
      </c>
      <c r="R325" s="20" t="n">
        <v>-7794</v>
      </c>
      <c r="S325" s="20" t="n">
        <v>-140</v>
      </c>
      <c r="T325" s="20" t="n">
        <v>-166</v>
      </c>
      <c r="U325" s="20" t="n">
        <v>-1703</v>
      </c>
      <c r="V325" s="20" t="n">
        <v>-7053</v>
      </c>
    </row>
    <row r="326">
      <c r="A326" s="18" t="inlineStr">
        <is>
          <t>매출채권·계약자산 증감</t>
        </is>
      </c>
      <c r="C326" s="20" t="n">
        <v>4731</v>
      </c>
      <c r="S326" s="20" t="n">
        <v>0</v>
      </c>
      <c r="T326" s="20" t="n">
        <v>-23896</v>
      </c>
      <c r="U326" s="20" t="n">
        <v>-7997</v>
      </c>
    </row>
    <row r="327">
      <c r="A327" s="18" t="inlineStr">
        <is>
          <t>유형자산 제각손실</t>
        </is>
      </c>
      <c r="C327" s="20" t="n">
        <v>94</v>
      </c>
      <c r="E327" s="20" t="n">
        <v>327</v>
      </c>
      <c r="P327" s="20" t="n">
        <v>1010</v>
      </c>
      <c r="Q327" s="20" t="n">
        <v>997</v>
      </c>
      <c r="R327" s="20" t="n">
        <v>1091</v>
      </c>
      <c r="S327" s="20" t="n">
        <v>952</v>
      </c>
      <c r="T327" s="20" t="n">
        <v>689</v>
      </c>
      <c r="U327" s="20" t="n">
        <v>589</v>
      </c>
      <c r="V327" s="20" t="n">
        <v>327</v>
      </c>
    </row>
    <row r="328">
      <c r="A328" s="18" t="inlineStr">
        <is>
          <t>고정자산 압축손실</t>
        </is>
      </c>
      <c r="Q328" s="20" t="n">
        <v>0</v>
      </c>
      <c r="R328" s="20" t="n">
        <v>2772</v>
      </c>
      <c r="S328" s="20" t="n">
        <v>0</v>
      </c>
    </row>
    <row r="329">
      <c r="A329" s="18" t="inlineStr">
        <is>
          <t>매출채권 증감</t>
        </is>
      </c>
      <c r="P329" s="20" t="n">
        <v>-20750</v>
      </c>
      <c r="Q329" s="20" t="n">
        <v>1258</v>
      </c>
      <c r="R329" s="20" t="n">
        <v>16128</v>
      </c>
      <c r="S329" s="20" t="n">
        <v>-7949</v>
      </c>
      <c r="T329" s="20" t="n">
        <v>0</v>
      </c>
    </row>
    <row r="330">
      <c r="A330" s="18" t="inlineStr">
        <is>
          <t>매출채권·계약자산 증감</t>
        </is>
      </c>
      <c r="E330" s="20" t="n">
        <v>4773</v>
      </c>
      <c r="U330" s="20" t="n">
        <v>-7997</v>
      </c>
      <c r="V330" s="20" t="n">
        <v>4773</v>
      </c>
    </row>
    <row r="331">
      <c r="A331" s="18" t="inlineStr">
        <is>
          <t>재고자산 증감</t>
        </is>
      </c>
      <c r="C331" s="20" t="n">
        <v>338</v>
      </c>
      <c r="E331" s="20" t="n">
        <v>5805</v>
      </c>
      <c r="P331" s="20" t="n">
        <v>-16346</v>
      </c>
      <c r="Q331" s="20" t="n">
        <v>-17206</v>
      </c>
      <c r="R331" s="20" t="n">
        <v>9109</v>
      </c>
      <c r="S331" s="20" t="n">
        <v>8333</v>
      </c>
      <c r="T331" s="20" t="n">
        <v>-50893</v>
      </c>
      <c r="U331" s="20" t="n">
        <v>-25732</v>
      </c>
      <c r="V331" s="20" t="n">
        <v>5805</v>
      </c>
    </row>
    <row r="332">
      <c r="A332" s="18" t="inlineStr">
        <is>
          <t>매입채무 증감</t>
        </is>
      </c>
      <c r="C332" s="20" t="n">
        <v>-4302</v>
      </c>
      <c r="E332" s="20" t="n">
        <v>-6508</v>
      </c>
      <c r="P332" s="20" t="n">
        <v>15146</v>
      </c>
      <c r="Q332" s="20" t="n">
        <v>-3163</v>
      </c>
      <c r="R332" s="20" t="n">
        <v>-22242</v>
      </c>
      <c r="S332" s="20" t="n">
        <v>-760</v>
      </c>
      <c r="T332" s="20" t="n">
        <v>-2817</v>
      </c>
      <c r="U332" s="20" t="n">
        <v>-5938</v>
      </c>
      <c r="V332" s="20" t="n">
        <v>-6508</v>
      </c>
    </row>
    <row r="333">
      <c r="A333" s="18" t="inlineStr">
        <is>
          <t>기타</t>
        </is>
      </c>
      <c r="C333" s="20" t="n">
        <v>-1224</v>
      </c>
      <c r="E333" s="20" t="n">
        <v>1071</v>
      </c>
      <c r="P333" s="20" t="n">
        <v>2149</v>
      </c>
      <c r="Q333" s="20" t="n">
        <v>2788</v>
      </c>
      <c r="R333" s="20" t="n">
        <v>-275</v>
      </c>
      <c r="S333" s="20" t="n">
        <v>-1259</v>
      </c>
      <c r="T333" s="20" t="n">
        <v>-2523</v>
      </c>
      <c r="U333" s="20" t="n">
        <v>5734</v>
      </c>
      <c r="V333" s="20" t="n">
        <v>1071</v>
      </c>
    </row>
    <row r="334">
      <c r="A334" s="18" t="inlineStr">
        <is>
          <t>소계</t>
        </is>
      </c>
      <c r="C334" s="20" t="n">
        <v>29952</v>
      </c>
      <c r="E334" s="20" t="n">
        <v>70744</v>
      </c>
      <c r="P334" s="20" t="n">
        <v>38118</v>
      </c>
      <c r="Q334" s="20" t="n">
        <v>38960</v>
      </c>
      <c r="R334" s="20" t="n">
        <v>49750</v>
      </c>
      <c r="S334" s="20" t="n">
        <v>38843</v>
      </c>
      <c r="T334" s="20" t="n">
        <v>-14353</v>
      </c>
      <c r="U334" s="20" t="n">
        <v>37597</v>
      </c>
      <c r="V334" s="20" t="n">
        <v>70744</v>
      </c>
    </row>
    <row r="335">
      <c r="A335" s="18" t="inlineStr">
        <is>
          <t>이자·배당금 수취</t>
        </is>
      </c>
      <c r="C335" s="20" t="n">
        <v>1459</v>
      </c>
      <c r="E335" s="20" t="n">
        <v>2983</v>
      </c>
      <c r="P335" s="20" t="n">
        <v>2134</v>
      </c>
      <c r="Q335" s="20" t="n">
        <v>2737</v>
      </c>
      <c r="R335" s="20" t="n">
        <v>2394</v>
      </c>
      <c r="S335" s="20" t="n">
        <v>1759</v>
      </c>
      <c r="T335" s="20" t="n">
        <v>2279</v>
      </c>
      <c r="U335" s="20" t="n">
        <v>2650</v>
      </c>
      <c r="V335" s="20" t="n">
        <v>2983</v>
      </c>
    </row>
    <row r="336">
      <c r="A336" s="18" t="inlineStr">
        <is>
          <t>이자 지급</t>
        </is>
      </c>
      <c r="C336" s="20" t="n">
        <v>-582</v>
      </c>
      <c r="E336" s="20" t="n">
        <v>-1137</v>
      </c>
      <c r="P336" s="20" t="n">
        <v>-946</v>
      </c>
      <c r="Q336" s="20" t="n">
        <v>-954</v>
      </c>
      <c r="R336" s="20" t="n">
        <v>-812</v>
      </c>
      <c r="S336" s="20" t="n">
        <v>-820</v>
      </c>
      <c r="T336" s="20" t="n">
        <v>-818</v>
      </c>
      <c r="U336" s="20" t="n">
        <v>-920</v>
      </c>
      <c r="V336" s="20" t="n">
        <v>-1137</v>
      </c>
    </row>
    <row r="337">
      <c r="A337" s="18" t="inlineStr">
        <is>
          <t>법인세 납부</t>
        </is>
      </c>
      <c r="C337" s="20" t="n">
        <v>-6688</v>
      </c>
      <c r="E337" s="20" t="n">
        <v>-13931</v>
      </c>
      <c r="P337" s="20" t="n">
        <v>-8263</v>
      </c>
      <c r="Q337" s="20" t="n">
        <v>-12629</v>
      </c>
      <c r="R337" s="20" t="n">
        <v>-10298</v>
      </c>
      <c r="S337" s="20" t="n">
        <v>-6015</v>
      </c>
      <c r="T337" s="20" t="n">
        <v>-3792</v>
      </c>
      <c r="U337" s="20" t="n">
        <v>-16693</v>
      </c>
      <c r="V337" s="20" t="n">
        <v>-13931</v>
      </c>
    </row>
    <row r="338">
      <c r="A338" s="9" t="inlineStr">
        <is>
          <t>영업활동 현금흐름</t>
        </is>
      </c>
      <c r="C338" s="12" t="n">
        <v>24140</v>
      </c>
      <c r="E338" s="12" t="n">
        <v>58657</v>
      </c>
      <c r="P338" s="12" t="n">
        <v>31043</v>
      </c>
      <c r="Q338" s="12" t="n">
        <v>28114</v>
      </c>
      <c r="R338" s="12" t="n">
        <v>41033</v>
      </c>
      <c r="S338" s="12" t="n">
        <v>33766</v>
      </c>
      <c r="T338" s="12" t="n">
        <v>-16684</v>
      </c>
      <c r="U338" s="12" t="n">
        <v>22634</v>
      </c>
      <c r="V338" s="12" t="n">
        <v>58657</v>
      </c>
    </row>
    <row r="339">
      <c r="A339" s="18" t="inlineStr">
        <is>
          <t>정기예금 예입</t>
        </is>
      </c>
      <c r="C339" s="20" t="n">
        <v>-172</v>
      </c>
      <c r="E339" s="20" t="n">
        <v>-622</v>
      </c>
      <c r="P339" s="20" t="n">
        <v>-1056</v>
      </c>
      <c r="Q339" s="20" t="n">
        <v>-269</v>
      </c>
      <c r="R339" s="20" t="n">
        <v>-885</v>
      </c>
      <c r="S339" s="20" t="n">
        <v>-845</v>
      </c>
      <c r="T339" s="20" t="n">
        <v>-866</v>
      </c>
      <c r="U339" s="20" t="n">
        <v>-519</v>
      </c>
      <c r="V339" s="20" t="n">
        <v>-622</v>
      </c>
    </row>
    <row r="340">
      <c r="A340" s="18" t="inlineStr">
        <is>
          <t>정기예금 인출</t>
        </is>
      </c>
      <c r="C340" s="20" t="n">
        <v>585</v>
      </c>
      <c r="E340" s="20" t="n">
        <v>559</v>
      </c>
      <c r="P340" s="20" t="n">
        <v>464</v>
      </c>
      <c r="Q340" s="20" t="n">
        <v>1128</v>
      </c>
      <c r="R340" s="20" t="n">
        <v>128</v>
      </c>
      <c r="S340" s="20" t="n">
        <v>851</v>
      </c>
      <c r="T340" s="20" t="n">
        <v>404</v>
      </c>
      <c r="U340" s="20" t="n">
        <v>1334</v>
      </c>
      <c r="V340" s="20" t="n">
        <v>559</v>
      </c>
    </row>
    <row r="341">
      <c r="A341" s="18" t="inlineStr">
        <is>
          <t>유형자산 취득(설비투자)</t>
        </is>
      </c>
      <c r="C341" s="20" t="n">
        <v>-13064</v>
      </c>
      <c r="E341" s="20" t="n">
        <v>-27226</v>
      </c>
      <c r="P341" s="20" t="n">
        <v>-30254</v>
      </c>
      <c r="Q341" s="20" t="n">
        <v>-34355</v>
      </c>
      <c r="R341" s="20" t="n">
        <v>-45415</v>
      </c>
      <c r="S341" s="20" t="n">
        <v>-27819</v>
      </c>
      <c r="T341" s="20" t="n">
        <v>-19066</v>
      </c>
      <c r="U341" s="20" t="n">
        <v>-21450</v>
      </c>
      <c r="V341" s="20" t="n">
        <v>-27226</v>
      </c>
    </row>
    <row r="342">
      <c r="A342" s="18" t="inlineStr">
        <is>
          <t>유형자산 매각</t>
        </is>
      </c>
      <c r="C342" s="20" t="n">
        <v>30</v>
      </c>
      <c r="E342" s="20" t="n">
        <v>10413</v>
      </c>
      <c r="P342" s="20" t="n">
        <v>1352</v>
      </c>
      <c r="Q342" s="20" t="n">
        <v>143</v>
      </c>
      <c r="R342" s="20" t="n">
        <v>8406</v>
      </c>
      <c r="S342" s="20" t="n">
        <v>169</v>
      </c>
      <c r="T342" s="20" t="n">
        <v>230</v>
      </c>
      <c r="U342" s="20" t="n">
        <v>2103</v>
      </c>
      <c r="V342" s="20" t="n">
        <v>10413</v>
      </c>
    </row>
    <row r="343">
      <c r="A343" s="18" t="inlineStr">
        <is>
          <t>투자유가증권 취득</t>
        </is>
      </c>
      <c r="C343" s="20" t="n">
        <v>-12</v>
      </c>
      <c r="E343" s="20" t="n">
        <v>-23</v>
      </c>
      <c r="P343" s="20" t="n">
        <v>-18</v>
      </c>
      <c r="Q343" s="20" t="n">
        <v>-519</v>
      </c>
      <c r="R343" s="20" t="n">
        <v>-874</v>
      </c>
      <c r="S343" s="20" t="n">
        <v>-214</v>
      </c>
      <c r="T343" s="20" t="n">
        <v>-19</v>
      </c>
      <c r="U343" s="20" t="n">
        <v>-521</v>
      </c>
      <c r="V343" s="20" t="n">
        <v>-23</v>
      </c>
    </row>
    <row r="344">
      <c r="A344" s="18" t="inlineStr">
        <is>
          <t>투자유가증권 매각</t>
        </is>
      </c>
      <c r="C344" s="20" t="n">
        <v>0</v>
      </c>
      <c r="E344" s="20" t="n">
        <v>35771</v>
      </c>
      <c r="P344" s="20" t="n">
        <v>6</v>
      </c>
      <c r="Q344" s="20" t="n">
        <v>86</v>
      </c>
      <c r="R344" s="20" t="n">
        <v>60</v>
      </c>
      <c r="S344" s="20" t="n">
        <v>259</v>
      </c>
      <c r="T344" s="20" t="n">
        <v>7715</v>
      </c>
      <c r="U344" s="20" t="n">
        <v>1622</v>
      </c>
      <c r="V344" s="20" t="n">
        <v>35771</v>
      </c>
    </row>
    <row r="345">
      <c r="A345" s="18" t="inlineStr">
        <is>
          <t>대여</t>
        </is>
      </c>
      <c r="C345" s="20" t="n">
        <v>-14</v>
      </c>
      <c r="E345" s="20" t="n">
        <v>-28</v>
      </c>
      <c r="P345" s="20" t="n">
        <v>-123</v>
      </c>
      <c r="Q345" s="20" t="n">
        <v>-276</v>
      </c>
      <c r="R345" s="20" t="n">
        <v>-84</v>
      </c>
      <c r="S345" s="20" t="n">
        <v>-40</v>
      </c>
      <c r="T345" s="20" t="n">
        <v>-8</v>
      </c>
      <c r="U345" s="20" t="n">
        <v>-20</v>
      </c>
      <c r="V345" s="20" t="n">
        <v>-28</v>
      </c>
    </row>
    <row r="346">
      <c r="A346" s="18" t="inlineStr">
        <is>
          <t>대여금 회수</t>
        </is>
      </c>
      <c r="C346" s="20" t="n">
        <v>12</v>
      </c>
      <c r="E346" s="20" t="n">
        <v>23</v>
      </c>
      <c r="P346" s="20" t="n">
        <v>123</v>
      </c>
      <c r="Q346" s="20" t="n">
        <v>249</v>
      </c>
      <c r="R346" s="20" t="n">
        <v>37</v>
      </c>
      <c r="S346" s="20" t="n">
        <v>84</v>
      </c>
      <c r="T346" s="20" t="n">
        <v>37</v>
      </c>
      <c r="U346" s="20" t="n">
        <v>27</v>
      </c>
      <c r="V346" s="20" t="n">
        <v>23</v>
      </c>
    </row>
    <row r="347">
      <c r="A347" s="18" t="inlineStr">
        <is>
          <t>연결범위 변경 자회사 주식 취득</t>
        </is>
      </c>
      <c r="C347" s="20" t="n">
        <v>-118</v>
      </c>
      <c r="E347" s="20" t="n">
        <v>-118</v>
      </c>
      <c r="S347" s="20" t="n">
        <v>0</v>
      </c>
      <c r="T347" s="20" t="n">
        <v>-524</v>
      </c>
      <c r="U347" s="20" t="n">
        <v>0</v>
      </c>
      <c r="V347" s="20" t="n">
        <v>-118</v>
      </c>
    </row>
    <row r="348">
      <c r="A348" s="18" t="inlineStr">
        <is>
          <t>연결범위 변경 자회사 주식 매각(지출)</t>
        </is>
      </c>
      <c r="R348" s="20" t="n">
        <v>0</v>
      </c>
      <c r="S348" s="20" t="n">
        <v>-288</v>
      </c>
      <c r="T348" s="20" t="n">
        <v>0</v>
      </c>
    </row>
    <row r="349">
      <c r="A349" s="18" t="inlineStr">
        <is>
          <t>사업양수 지출</t>
        </is>
      </c>
      <c r="E349" s="20" t="n">
        <v>0</v>
      </c>
      <c r="T349" s="20" t="n">
        <v>0</v>
      </c>
      <c r="U349" s="20" t="n">
        <v>-518</v>
      </c>
      <c r="V349" s="20" t="n">
        <v>0</v>
      </c>
    </row>
    <row r="350">
      <c r="A350" s="18" t="inlineStr">
        <is>
          <t>기타</t>
        </is>
      </c>
      <c r="C350" s="20" t="n">
        <v>-736</v>
      </c>
      <c r="E350" s="20" t="n">
        <v>-1970</v>
      </c>
      <c r="P350" s="20" t="n">
        <v>-710</v>
      </c>
      <c r="Q350" s="20" t="n">
        <v>104</v>
      </c>
      <c r="R350" s="20" t="n">
        <v>-698</v>
      </c>
      <c r="S350" s="20" t="n">
        <v>-1553</v>
      </c>
      <c r="T350" s="20" t="n">
        <v>-2470</v>
      </c>
      <c r="U350" s="20" t="n">
        <v>-2141</v>
      </c>
      <c r="V350" s="20" t="n">
        <v>-1970</v>
      </c>
    </row>
    <row r="351">
      <c r="A351" s="9" t="inlineStr">
        <is>
          <t>투자활동 현금흐름</t>
        </is>
      </c>
      <c r="C351" s="12" t="n">
        <v>-13489</v>
      </c>
      <c r="E351" s="12" t="n">
        <v>16777</v>
      </c>
      <c r="P351" s="12" t="n">
        <v>-30215</v>
      </c>
      <c r="Q351" s="12" t="n">
        <v>-33707</v>
      </c>
      <c r="R351" s="12" t="n">
        <v>-39326</v>
      </c>
      <c r="S351" s="12" t="n">
        <v>-29395</v>
      </c>
      <c r="T351" s="12" t="n">
        <v>-14568</v>
      </c>
      <c r="U351" s="12" t="n">
        <v>-20084</v>
      </c>
      <c r="V351" s="12" t="n">
        <v>16777</v>
      </c>
    </row>
    <row r="352">
      <c r="A352" s="18" t="inlineStr">
        <is>
          <t>단기차입금 순증감</t>
        </is>
      </c>
      <c r="C352" s="20" t="n">
        <v>9853</v>
      </c>
      <c r="E352" s="20" t="n">
        <v>-31406</v>
      </c>
      <c r="P352" s="20" t="n">
        <v>17418</v>
      </c>
      <c r="Q352" s="20" t="n">
        <v>7602</v>
      </c>
      <c r="R352" s="20" t="n">
        <v>3108</v>
      </c>
      <c r="S352" s="20" t="n">
        <v>-2511</v>
      </c>
      <c r="T352" s="20" t="n">
        <v>3734</v>
      </c>
      <c r="U352" s="20" t="n">
        <v>2075</v>
      </c>
      <c r="V352" s="20" t="n">
        <v>-31406</v>
      </c>
    </row>
    <row r="353">
      <c r="A353" s="18" t="inlineStr">
        <is>
          <t>Increase Decrease In Commercial Papers Fin CF</t>
        </is>
      </c>
      <c r="C353" s="20" t="n">
        <v>-9000</v>
      </c>
      <c r="E353" s="20" t="n">
        <v>-26000</v>
      </c>
      <c r="P353" s="20" t="n">
        <v>0</v>
      </c>
      <c r="Q353" s="20" t="n">
        <v>8000</v>
      </c>
      <c r="R353" s="20" t="n">
        <v>9000</v>
      </c>
      <c r="S353" s="20" t="n">
        <v>-7000</v>
      </c>
      <c r="T353" s="20" t="n">
        <v>37000</v>
      </c>
      <c r="U353" s="20" t="n">
        <v>-21000</v>
      </c>
      <c r="V353" s="20" t="n">
        <v>-26000</v>
      </c>
    </row>
    <row r="354">
      <c r="A354" s="18" t="inlineStr">
        <is>
          <t>장기차입</t>
        </is>
      </c>
      <c r="C354" s="20" t="n">
        <v>21200</v>
      </c>
      <c r="E354" s="20" t="n">
        <v>23200</v>
      </c>
      <c r="P354" s="20" t="n">
        <v>10653</v>
      </c>
      <c r="Q354" s="20" t="n">
        <v>17422</v>
      </c>
      <c r="R354" s="20" t="n">
        <v>15934</v>
      </c>
      <c r="S354" s="20" t="n">
        <v>32791</v>
      </c>
      <c r="T354" s="20" t="n">
        <v>7800</v>
      </c>
      <c r="U354" s="20" t="n">
        <v>36267</v>
      </c>
      <c r="V354" s="20" t="n">
        <v>23200</v>
      </c>
    </row>
    <row r="355">
      <c r="A355" s="18" t="inlineStr">
        <is>
          <t>장기차입금 상환</t>
        </is>
      </c>
      <c r="C355" s="20" t="n">
        <v>-24824</v>
      </c>
      <c r="E355" s="20" t="n">
        <v>-26296</v>
      </c>
      <c r="P355" s="20" t="n">
        <v>-15894</v>
      </c>
      <c r="Q355" s="20" t="n">
        <v>-30676</v>
      </c>
      <c r="R355" s="20" t="n">
        <v>-16355</v>
      </c>
      <c r="S355" s="20" t="n">
        <v>-17773</v>
      </c>
      <c r="T355" s="20" t="n">
        <v>-10369</v>
      </c>
      <c r="U355" s="20" t="n">
        <v>-20002</v>
      </c>
      <c r="V355" s="20" t="n">
        <v>-26296</v>
      </c>
    </row>
    <row r="356">
      <c r="A356" s="18" t="inlineStr">
        <is>
          <t>사채 발행</t>
        </is>
      </c>
      <c r="C356" s="20" t="n">
        <v>0</v>
      </c>
      <c r="E356" s="20" t="n">
        <v>0</v>
      </c>
      <c r="P356" s="20" t="n">
        <v>0</v>
      </c>
      <c r="Q356" s="20" t="n">
        <v>10000</v>
      </c>
      <c r="R356" s="20" t="n">
        <v>15000</v>
      </c>
      <c r="S356" s="20" t="n">
        <v>0</v>
      </c>
      <c r="T356" s="20" t="n">
        <v>0</v>
      </c>
      <c r="U356" s="20" t="n">
        <v>10000</v>
      </c>
      <c r="V356" s="20" t="n">
        <v>0</v>
      </c>
    </row>
    <row r="357">
      <c r="A357" s="18" t="inlineStr">
        <is>
          <t>사채 상환</t>
        </is>
      </c>
      <c r="Q357" s="20" t="n">
        <v>0</v>
      </c>
      <c r="R357" s="20" t="n">
        <v>-10000</v>
      </c>
      <c r="S357" s="20" t="n">
        <v>0</v>
      </c>
      <c r="T357" s="20" t="n">
        <v>-10000</v>
      </c>
      <c r="U357" s="20" t="n">
        <v>0</v>
      </c>
    </row>
    <row r="358">
      <c r="A358" s="18" t="inlineStr">
        <is>
          <t>자기주식 매각</t>
        </is>
      </c>
      <c r="C358" s="20" t="n">
        <v>639</v>
      </c>
      <c r="E358" s="20" t="n">
        <v>639</v>
      </c>
      <c r="U358" s="20" t="n">
        <v>0</v>
      </c>
      <c r="V358" s="20" t="n">
        <v>639</v>
      </c>
    </row>
    <row r="359">
      <c r="A359" s="18" t="inlineStr">
        <is>
          <t>자기주식 취득</t>
        </is>
      </c>
      <c r="C359" s="20" t="n">
        <v>-643</v>
      </c>
      <c r="E359" s="20" t="n">
        <v>-645</v>
      </c>
      <c r="P359" s="20" t="n">
        <v>-31</v>
      </c>
      <c r="Q359" s="20" t="n">
        <v>-7</v>
      </c>
      <c r="R359" s="20" t="n">
        <v>-5</v>
      </c>
      <c r="S359" s="20" t="n">
        <v>-4</v>
      </c>
      <c r="T359" s="20" t="n">
        <v>-3</v>
      </c>
      <c r="U359" s="20" t="n">
        <v>-4</v>
      </c>
      <c r="V359" s="20" t="n">
        <v>-645</v>
      </c>
    </row>
    <row r="360">
      <c r="A360" s="18" t="inlineStr">
        <is>
          <t>Purchase Of Treasury Stock Of Subsidiaries In Consolidation Fin CF</t>
        </is>
      </c>
      <c r="C360" s="20" t="n">
        <v>-0</v>
      </c>
      <c r="E360" s="20" t="n">
        <v>-24</v>
      </c>
      <c r="P360" s="20" t="n">
        <v>-588</v>
      </c>
      <c r="Q360" s="20" t="n">
        <v>-0</v>
      </c>
      <c r="R360" s="20" t="n">
        <v>-0</v>
      </c>
      <c r="S360" s="20" t="n">
        <v>-1</v>
      </c>
      <c r="T360" s="20" t="n">
        <v>-212</v>
      </c>
      <c r="U360" s="20" t="n">
        <v>-1</v>
      </c>
      <c r="V360" s="20" t="n">
        <v>-24</v>
      </c>
    </row>
    <row r="361">
      <c r="A361" s="18" t="inlineStr">
        <is>
          <t>배당금 지급</t>
        </is>
      </c>
      <c r="C361" s="20" t="n">
        <v>-5532</v>
      </c>
      <c r="E361" s="20" t="n">
        <v>-9802</v>
      </c>
      <c r="P361" s="20" t="n">
        <v>-5115</v>
      </c>
      <c r="Q361" s="20" t="n">
        <v>-5330</v>
      </c>
      <c r="R361" s="20" t="n">
        <v>-5114</v>
      </c>
      <c r="S361" s="20" t="n">
        <v>-1074</v>
      </c>
      <c r="T361" s="20" t="n">
        <v>-4476</v>
      </c>
      <c r="U361" s="20" t="n">
        <v>-8519</v>
      </c>
      <c r="V361" s="20" t="n">
        <v>-9802</v>
      </c>
    </row>
    <row r="362">
      <c r="A362" s="18" t="inlineStr">
        <is>
          <t>비지배주주 배당금 지급</t>
        </is>
      </c>
      <c r="C362" s="20" t="n">
        <v>-484</v>
      </c>
      <c r="E362" s="20" t="n">
        <v>-937</v>
      </c>
      <c r="P362" s="20" t="n">
        <v>-634</v>
      </c>
      <c r="Q362" s="20" t="n">
        <v>-686</v>
      </c>
      <c r="R362" s="20" t="n">
        <v>-647</v>
      </c>
      <c r="S362" s="20" t="n">
        <v>-426</v>
      </c>
      <c r="T362" s="20" t="n">
        <v>-859</v>
      </c>
      <c r="U362" s="20" t="n">
        <v>-891</v>
      </c>
      <c r="V362" s="20" t="n">
        <v>-937</v>
      </c>
    </row>
    <row r="363">
      <c r="A363" s="18" t="inlineStr">
        <is>
          <t>연결범위 변경 없는 자회사 주식 취득</t>
        </is>
      </c>
      <c r="P363" s="20" t="n">
        <v>0</v>
      </c>
      <c r="Q363" s="20" t="n">
        <v>-359</v>
      </c>
      <c r="R363" s="20" t="n">
        <v>0</v>
      </c>
      <c r="S363" s="20" t="n">
        <v>-519</v>
      </c>
      <c r="T363" s="20" t="n">
        <v>-2662</v>
      </c>
      <c r="U363" s="20" t="n">
        <v>0</v>
      </c>
    </row>
    <row r="364">
      <c r="A364" s="18" t="inlineStr">
        <is>
          <t>기타</t>
        </is>
      </c>
      <c r="C364" s="20" t="n">
        <v>-429</v>
      </c>
      <c r="E364" s="20" t="n">
        <v>-536</v>
      </c>
      <c r="P364" s="20" t="n">
        <v>-332</v>
      </c>
      <c r="Q364" s="20" t="n">
        <v>-374</v>
      </c>
      <c r="R364" s="20" t="n">
        <v>-392</v>
      </c>
      <c r="S364" s="20" t="n">
        <v>-480</v>
      </c>
      <c r="T364" s="20" t="n">
        <v>-549</v>
      </c>
      <c r="U364" s="20" t="n">
        <v>-592</v>
      </c>
      <c r="V364" s="20" t="n">
        <v>-536</v>
      </c>
    </row>
    <row r="365">
      <c r="A365" s="9" t="inlineStr">
        <is>
          <t>재무활동 현금흐름</t>
        </is>
      </c>
      <c r="C365" s="12" t="n">
        <v>-9222</v>
      </c>
      <c r="E365" s="12" t="n">
        <v>-71810</v>
      </c>
      <c r="P365" s="12" t="n">
        <v>5477</v>
      </c>
      <c r="Q365" s="12" t="n">
        <v>5589</v>
      </c>
      <c r="R365" s="12" t="n">
        <v>10526</v>
      </c>
      <c r="S365" s="12" t="n">
        <v>2999</v>
      </c>
      <c r="T365" s="12" t="n">
        <v>19402</v>
      </c>
      <c r="U365" s="12" t="n">
        <v>-2668</v>
      </c>
      <c r="V365" s="12" t="n">
        <v>-71810</v>
      </c>
    </row>
    <row r="366">
      <c r="A366" s="18" t="inlineStr">
        <is>
          <t>현금성자산 환산차이</t>
        </is>
      </c>
      <c r="C366" s="20" t="n">
        <v>1696</v>
      </c>
      <c r="E366" s="20" t="n">
        <v>2150</v>
      </c>
      <c r="P366" s="20" t="n">
        <v>-173</v>
      </c>
      <c r="Q366" s="20" t="n">
        <v>-11</v>
      </c>
      <c r="R366" s="20" t="n">
        <v>-89</v>
      </c>
      <c r="S366" s="20" t="n">
        <v>17</v>
      </c>
      <c r="T366" s="20" t="n">
        <v>1936</v>
      </c>
      <c r="U366" s="20" t="n">
        <v>963</v>
      </c>
      <c r="V366" s="20" t="n">
        <v>2150</v>
      </c>
    </row>
    <row r="367">
      <c r="A367" s="18" t="inlineStr">
        <is>
          <t>현금성자산 증감</t>
        </is>
      </c>
      <c r="C367" s="20" t="n">
        <v>3125</v>
      </c>
      <c r="E367" s="20" t="n">
        <v>5775</v>
      </c>
      <c r="P367" s="20" t="n">
        <v>6131</v>
      </c>
      <c r="Q367" s="20" t="n">
        <v>-15</v>
      </c>
      <c r="R367" s="20" t="n">
        <v>12144</v>
      </c>
      <c r="S367" s="20" t="n">
        <v>7387</v>
      </c>
      <c r="T367" s="20" t="n">
        <v>-9914</v>
      </c>
      <c r="U367" s="20" t="n">
        <v>844</v>
      </c>
      <c r="V367" s="20" t="n">
        <v>5775</v>
      </c>
    </row>
    <row r="368">
      <c r="A368" s="18" t="inlineStr">
        <is>
          <t>신규 연결 현금성자산 증가</t>
        </is>
      </c>
      <c r="P368" s="20" t="n">
        <v>441</v>
      </c>
      <c r="Q368" s="20" t="n">
        <v>485</v>
      </c>
      <c r="R368" s="20" t="n">
        <v>4970</v>
      </c>
      <c r="S368" s="20" t="n">
        <v>328</v>
      </c>
      <c r="T368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5471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418608</v>
      </c>
      <c r="D5" s="12" t="n">
        <v>415616</v>
      </c>
      <c r="E5" s="12" t="n">
        <v>434561</v>
      </c>
      <c r="F5" s="12" t="n">
        <v>447288</v>
      </c>
      <c r="G5" s="12" t="n">
        <v>480244</v>
      </c>
      <c r="H5" s="11" t="n">
        <v>382218</v>
      </c>
      <c r="I5" s="12" t="n">
        <v>416853</v>
      </c>
      <c r="J5" s="12" t="n">
        <v>415434</v>
      </c>
      <c r="K5" s="12" t="n">
        <v>416999</v>
      </c>
      <c r="L5" s="12" t="n">
        <v>447288</v>
      </c>
    </row>
    <row r="6">
      <c r="A6" s="18" t="inlineStr">
        <is>
          <t>현금및현금성자산</t>
        </is>
      </c>
      <c r="B6" s="10" t="n"/>
      <c r="C6" s="19" t="n">
        <v>62287</v>
      </c>
      <c r="D6" s="20" t="n">
        <v>59099</v>
      </c>
      <c r="E6" s="20" t="n">
        <v>56641</v>
      </c>
      <c r="F6" s="20" t="n">
        <v>63072</v>
      </c>
      <c r="G6" s="20" t="n">
        <v>66467</v>
      </c>
      <c r="H6" s="19" t="n">
        <v>55644</v>
      </c>
      <c r="I6" s="20" t="n">
        <v>56488</v>
      </c>
      <c r="J6" s="20" t="n">
        <v>46008</v>
      </c>
      <c r="K6" s="20" t="n">
        <v>61218</v>
      </c>
      <c r="L6" s="20" t="n">
        <v>63072</v>
      </c>
    </row>
    <row r="7">
      <c r="A7" s="18" t="inlineStr">
        <is>
          <t>단기금융상품</t>
        </is>
      </c>
      <c r="B7" s="10" t="n"/>
      <c r="C7" s="19" t="n">
        <v>1045</v>
      </c>
      <c r="D7" s="20" t="n">
        <v>1007</v>
      </c>
      <c r="E7" s="20" t="n">
        <v>1105</v>
      </c>
      <c r="F7" s="20" t="n">
        <v>1276</v>
      </c>
      <c r="G7" s="20" t="n">
        <v>1224</v>
      </c>
      <c r="H7" s="19" t="n">
        <v>2551</v>
      </c>
      <c r="I7" s="20" t="n">
        <v>1772</v>
      </c>
      <c r="J7" s="20" t="n">
        <v>1986</v>
      </c>
      <c r="K7" s="20" t="n">
        <v>939</v>
      </c>
      <c r="L7" s="20" t="n">
        <v>1276</v>
      </c>
    </row>
    <row r="8">
      <c r="A8" s="18" t="inlineStr">
        <is>
          <t>매출채권</t>
        </is>
      </c>
      <c r="B8" s="10" t="n"/>
      <c r="C8" s="19" t="n">
        <v>148023</v>
      </c>
      <c r="D8" s="20" t="n">
        <v>151407</v>
      </c>
      <c r="E8" s="20" t="n">
        <v>168800</v>
      </c>
      <c r="F8" s="20" t="n">
        <v>158935</v>
      </c>
      <c r="G8" s="20" t="n">
        <v>169893</v>
      </c>
      <c r="H8" s="19" t="n">
        <v>145541</v>
      </c>
      <c r="I8" s="20" t="n">
        <v>156737</v>
      </c>
      <c r="J8" s="20" t="n">
        <v>170907</v>
      </c>
      <c r="K8" s="20" t="n">
        <v>147433</v>
      </c>
      <c r="L8" s="20" t="n">
        <v>158935</v>
      </c>
    </row>
    <row r="9">
      <c r="A9" s="18" t="inlineStr">
        <is>
          <t>재고자산</t>
        </is>
      </c>
      <c r="B9" s="10" t="n"/>
      <c r="C9" s="19" t="n">
        <v>194981</v>
      </c>
      <c r="D9" s="20" t="n">
        <v>191755</v>
      </c>
      <c r="E9" s="20" t="n">
        <v>193386</v>
      </c>
      <c r="F9" s="20" t="n">
        <v>211501</v>
      </c>
      <c r="G9" s="20" t="n">
        <v>228728</v>
      </c>
      <c r="H9" s="19" t="n">
        <v>165828</v>
      </c>
      <c r="I9" s="20" t="n">
        <v>191361</v>
      </c>
      <c r="J9" s="20" t="n">
        <v>186717</v>
      </c>
      <c r="K9" s="20" t="n">
        <v>195483</v>
      </c>
      <c r="L9" s="20" t="n">
        <v>211501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372774</v>
      </c>
      <c r="D11" s="12" t="n">
        <v>386927</v>
      </c>
      <c r="E11" s="12" t="n">
        <v>380696</v>
      </c>
      <c r="F11" s="12" t="n">
        <v>409091</v>
      </c>
      <c r="G11" s="12" t="n">
        <v>425632</v>
      </c>
      <c r="H11" s="11" t="n">
        <v>346768</v>
      </c>
      <c r="I11" s="12" t="n">
        <v>355507</v>
      </c>
      <c r="J11" s="12" t="n">
        <v>373300</v>
      </c>
      <c r="K11" s="12" t="n">
        <v>365975</v>
      </c>
      <c r="L11" s="12" t="n">
        <v>409091</v>
      </c>
    </row>
    <row r="12">
      <c r="A12" s="18" t="inlineStr">
        <is>
          <t>유형자산</t>
        </is>
      </c>
      <c r="B12" s="10" t="n"/>
      <c r="C12" s="19" t="n">
        <v>237267</v>
      </c>
      <c r="D12" s="20" t="n">
        <v>245099</v>
      </c>
      <c r="E12" s="20" t="n">
        <v>248553</v>
      </c>
      <c r="F12" s="20" t="n">
        <v>255302</v>
      </c>
      <c r="G12" s="20" t="n">
        <v>259724</v>
      </c>
      <c r="H12" s="19" t="n">
        <v>218085</v>
      </c>
      <c r="I12" s="20" t="n">
        <v>217056</v>
      </c>
      <c r="J12" s="20" t="n">
        <v>220030</v>
      </c>
      <c r="K12" s="20" t="n">
        <v>234469</v>
      </c>
      <c r="L12" s="20" t="n">
        <v>255302</v>
      </c>
    </row>
    <row r="13">
      <c r="A13" s="18" t="inlineStr">
        <is>
          <t>무형자산</t>
        </is>
      </c>
      <c r="B13" s="10" t="n"/>
      <c r="C13" s="19" t="n">
        <v>6794</v>
      </c>
      <c r="D13" s="20" t="n">
        <v>7152</v>
      </c>
      <c r="E13" s="20" t="n">
        <v>7680</v>
      </c>
      <c r="F13" s="20" t="n">
        <v>8632</v>
      </c>
      <c r="G13" s="20" t="n">
        <v>9031</v>
      </c>
      <c r="H13" s="19" t="n">
        <v>3439</v>
      </c>
      <c r="I13" s="20" t="n">
        <v>4236</v>
      </c>
      <c r="J13" s="20" t="n">
        <v>4958</v>
      </c>
      <c r="K13" s="20" t="n">
        <v>6559</v>
      </c>
      <c r="L13" s="20" t="n">
        <v>8632</v>
      </c>
    </row>
    <row r="14">
      <c r="A14" s="18" t="inlineStr">
        <is>
          <t>투자부동산</t>
        </is>
      </c>
      <c r="B14" s="10" t="n"/>
      <c r="C14" s="19" t="n">
        <v>4293</v>
      </c>
      <c r="D14" s="20" t="n">
        <v>4270</v>
      </c>
      <c r="E14" s="20" t="n">
        <v>4239</v>
      </c>
      <c r="F14" s="20" t="n">
        <v>4258</v>
      </c>
      <c r="G14" s="20" t="n">
        <v>4228</v>
      </c>
      <c r="H14" s="19" t="n">
        <v>6504</v>
      </c>
      <c r="I14" s="20" t="n">
        <v>6205</v>
      </c>
      <c r="J14" s="20" t="n">
        <v>4370</v>
      </c>
      <c r="K14" s="20" t="n">
        <v>4224</v>
      </c>
      <c r="L14" s="20" t="n">
        <v>4258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791382</v>
      </c>
      <c r="D16" s="12" t="n">
        <v>802544</v>
      </c>
      <c r="E16" s="12" t="n">
        <v>815257</v>
      </c>
      <c r="F16" s="12" t="n">
        <v>856380</v>
      </c>
      <c r="G16" s="12" t="n">
        <v>905876</v>
      </c>
      <c r="H16" s="11" t="n">
        <v>728986</v>
      </c>
      <c r="I16" s="12" t="n">
        <v>772361</v>
      </c>
      <c r="J16" s="12" t="n">
        <v>788734</v>
      </c>
      <c r="K16" s="12" t="n">
        <v>782974</v>
      </c>
      <c r="L16" s="12" t="n">
        <v>856380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162522</v>
      </c>
      <c r="D18" s="12" t="n">
        <v>182127</v>
      </c>
      <c r="E18" s="12" t="n">
        <v>184072</v>
      </c>
      <c r="F18" s="12" t="n">
        <v>199699</v>
      </c>
      <c r="G18" s="12" t="n">
        <v>248723</v>
      </c>
      <c r="H18" s="11" t="n">
        <v>243270</v>
      </c>
      <c r="I18" s="12" t="n">
        <v>228880</v>
      </c>
      <c r="J18" s="12" t="n">
        <v>170658</v>
      </c>
      <c r="K18" s="12" t="n">
        <v>182259</v>
      </c>
      <c r="L18" s="12" t="n">
        <v>199699</v>
      </c>
    </row>
    <row r="19">
      <c r="A19" s="18" t="inlineStr">
        <is>
          <t>매입채무</t>
        </is>
      </c>
      <c r="B19" s="10" t="n"/>
      <c r="C19" s="19" t="n">
        <v>66984</v>
      </c>
      <c r="D19" s="20" t="n">
        <v>66522</v>
      </c>
      <c r="E19" s="20" t="n">
        <v>68928</v>
      </c>
      <c r="F19" s="20" t="n">
        <v>72039</v>
      </c>
      <c r="G19" s="20" t="n">
        <v>78541</v>
      </c>
      <c r="H19" s="19" t="n">
        <v>71679</v>
      </c>
      <c r="I19" s="20" t="n">
        <v>68908</v>
      </c>
      <c r="J19" s="20" t="n">
        <v>72275</v>
      </c>
      <c r="K19" s="20" t="n">
        <v>67998</v>
      </c>
      <c r="L19" s="20" t="n">
        <v>72039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>
        <v>84562</v>
      </c>
      <c r="I20" s="20" t="n">
        <v>93309</v>
      </c>
      <c r="J20" s="20" t="n">
        <v>53098</v>
      </c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0</v>
      </c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156865</v>
      </c>
      <c r="D23" s="12" t="n">
        <v>142428</v>
      </c>
      <c r="E23" s="12" t="n">
        <v>141805</v>
      </c>
      <c r="F23" s="12" t="n">
        <v>143223</v>
      </c>
      <c r="G23" s="12" t="n">
        <v>131840</v>
      </c>
      <c r="H23" s="11" t="n">
        <v>126307</v>
      </c>
      <c r="I23" s="12" t="n">
        <v>148713</v>
      </c>
      <c r="J23" s="12" t="n">
        <v>160762</v>
      </c>
      <c r="K23" s="12" t="n">
        <v>131571</v>
      </c>
      <c r="L23" s="12" t="n">
        <v>143223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>
        <v>69911</v>
      </c>
      <c r="I24" s="20" t="n">
        <v>79980</v>
      </c>
      <c r="J24" s="20" t="n">
        <v>86481</v>
      </c>
      <c r="K24" s="20" t="n"/>
      <c r="L24" s="20" t="n"/>
    </row>
    <row r="25">
      <c r="A25" s="18" t="inlineStr">
        <is>
          <t>사채</t>
        </is>
      </c>
      <c r="B25" s="10" t="n"/>
      <c r="C25" s="19" t="n">
        <v>120297</v>
      </c>
      <c r="D25" s="20" t="n">
        <v>105274</v>
      </c>
      <c r="E25" s="20" t="n">
        <v>104353</v>
      </c>
      <c r="F25" s="20" t="n">
        <v>101863</v>
      </c>
      <c r="G25" s="20" t="n">
        <v>88332</v>
      </c>
      <c r="H25" s="19" t="n">
        <v>94822</v>
      </c>
      <c r="I25" s="20" t="n">
        <v>114728</v>
      </c>
      <c r="J25" s="20" t="n">
        <v>121390</v>
      </c>
      <c r="K25" s="20" t="n">
        <v>98633</v>
      </c>
      <c r="L25" s="20" t="n">
        <v>101863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319388</v>
      </c>
      <c r="D27" s="12" t="n">
        <v>324556</v>
      </c>
      <c r="E27" s="12" t="n">
        <v>325877</v>
      </c>
      <c r="F27" s="12" t="n">
        <v>342922</v>
      </c>
      <c r="G27" s="12" t="n">
        <v>380564</v>
      </c>
      <c r="H27" s="11" t="n">
        <v>369577</v>
      </c>
      <c r="I27" s="12" t="n">
        <v>377593</v>
      </c>
      <c r="J27" s="12" t="n">
        <v>331420</v>
      </c>
      <c r="K27" s="12" t="n">
        <v>313830</v>
      </c>
      <c r="L27" s="12" t="n">
        <v>342922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432491</v>
      </c>
      <c r="D31" s="12" t="n">
        <v>437407</v>
      </c>
      <c r="E31" s="12" t="n">
        <v>448346</v>
      </c>
      <c r="F31" s="12" t="n">
        <v>472565</v>
      </c>
      <c r="G31" s="12" t="n">
        <v>484157</v>
      </c>
      <c r="H31" s="11" t="n">
        <v>324494</v>
      </c>
      <c r="I31" s="12" t="n">
        <v>358122</v>
      </c>
      <c r="J31" s="12" t="n">
        <v>418562</v>
      </c>
      <c r="K31" s="12" t="n">
        <v>429278</v>
      </c>
      <c r="L31" s="12" t="n">
        <v>472565</v>
      </c>
    </row>
    <row r="32">
      <c r="A32" s="18" t="inlineStr">
        <is>
          <t>자본금</t>
        </is>
      </c>
      <c r="B32" s="10" t="n"/>
      <c r="C32" s="19" t="n">
        <v>37172</v>
      </c>
      <c r="D32" s="20" t="n">
        <v>37172</v>
      </c>
      <c r="E32" s="20" t="n">
        <v>37172</v>
      </c>
      <c r="F32" s="20" t="n">
        <v>37172</v>
      </c>
      <c r="G32" s="20" t="n">
        <v>37172</v>
      </c>
      <c r="H32" s="19" t="n">
        <v>37172</v>
      </c>
      <c r="I32" s="20" t="n">
        <v>37172</v>
      </c>
      <c r="J32" s="20" t="n">
        <v>37172</v>
      </c>
      <c r="K32" s="20" t="n">
        <v>37172</v>
      </c>
      <c r="L32" s="20" t="n">
        <v>37172</v>
      </c>
    </row>
    <row r="33">
      <c r="A33" s="18" t="inlineStr">
        <is>
          <t>이익잉여금</t>
        </is>
      </c>
      <c r="B33" s="10" t="n"/>
      <c r="C33" s="19" t="n">
        <v>333941</v>
      </c>
      <c r="D33" s="20" t="n">
        <v>340462</v>
      </c>
      <c r="E33" s="20" t="n">
        <v>349876</v>
      </c>
      <c r="F33" s="20" t="n">
        <v>360715</v>
      </c>
      <c r="G33" s="20" t="n">
        <v>364433</v>
      </c>
      <c r="H33" s="19" t="n">
        <v>248574</v>
      </c>
      <c r="I33" s="20" t="n">
        <v>274326</v>
      </c>
      <c r="J33" s="20" t="n">
        <v>312243</v>
      </c>
      <c r="K33" s="20" t="n">
        <v>332888</v>
      </c>
      <c r="L33" s="20" t="n">
        <v>360715</v>
      </c>
    </row>
    <row r="34">
      <c r="A34" s="18" t="inlineStr">
        <is>
          <t>비지배지분</t>
        </is>
      </c>
      <c r="B34" s="10" t="n"/>
      <c r="C34" s="19" t="n">
        <v>39502</v>
      </c>
      <c r="D34" s="20" t="n">
        <v>40580</v>
      </c>
      <c r="E34" s="20" t="n">
        <v>41033</v>
      </c>
      <c r="F34" s="20" t="n">
        <v>40892</v>
      </c>
      <c r="G34" s="20" t="n">
        <v>41154</v>
      </c>
      <c r="H34" s="19" t="n">
        <v>34914</v>
      </c>
      <c r="I34" s="20" t="n">
        <v>36644</v>
      </c>
      <c r="J34" s="20" t="n">
        <v>38750</v>
      </c>
      <c r="K34" s="20" t="n">
        <v>39865</v>
      </c>
      <c r="L34" s="20" t="n">
        <v>40892</v>
      </c>
    </row>
    <row r="35">
      <c r="A35" s="9" t="inlineStr">
        <is>
          <t>자본총계</t>
        </is>
      </c>
      <c r="B35" s="10" t="n"/>
      <c r="C35" s="11" t="n">
        <v>471994</v>
      </c>
      <c r="D35" s="12" t="n">
        <v>477987</v>
      </c>
      <c r="E35" s="12" t="n">
        <v>489379</v>
      </c>
      <c r="F35" s="12" t="n">
        <v>513457</v>
      </c>
      <c r="G35" s="12" t="n">
        <v>525311</v>
      </c>
      <c r="H35" s="11" t="n">
        <v>359408</v>
      </c>
      <c r="I35" s="12" t="n">
        <v>394767</v>
      </c>
      <c r="J35" s="12" t="n">
        <v>457313</v>
      </c>
      <c r="K35" s="12" t="n">
        <v>469144</v>
      </c>
      <c r="L35" s="12" t="n">
        <v>513457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71215</v>
      </c>
      <c r="E37" s="12" t="n"/>
      <c r="F37" s="12" t="n">
        <v>66096</v>
      </c>
      <c r="G37" s="12" t="n"/>
      <c r="H37" s="11" t="n">
        <v>-16684</v>
      </c>
      <c r="I37" s="12" t="n">
        <v>27907</v>
      </c>
      <c r="J37" s="12" t="n">
        <v>50239</v>
      </c>
      <c r="K37" s="12" t="n">
        <v>53516</v>
      </c>
      <c r="L37" s="12" t="n">
        <v>66096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>
        <v>19066</v>
      </c>
      <c r="I38" s="20" t="n">
        <v>21450</v>
      </c>
      <c r="J38" s="20" t="n">
        <v>27226</v>
      </c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9849</v>
      </c>
      <c r="E40" s="20" t="n"/>
      <c r="F40" s="20" t="n">
        <v>9765</v>
      </c>
      <c r="G40" s="20" t="n"/>
      <c r="H40" s="19" t="n">
        <v>4476</v>
      </c>
      <c r="I40" s="20" t="n">
        <v>8519</v>
      </c>
      <c r="J40" s="20" t="n">
        <v>9802</v>
      </c>
      <c r="K40" s="20" t="n">
        <v>10033</v>
      </c>
      <c r="L40" s="20" t="n">
        <v>9765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IFERROR((IF(COUNT('연간'!G43:J43)&lt;4,"",SUM('연간'!G43:J43)))/(IF(COUNT('연간'!G65:J65)&lt;4,"",SUM('연간'!G65:J65))),"")</f>
        <v/>
      </c>
      <c r="D48" s="31">
        <f>IFERROR((IF(COUNT('연간'!H43:K43)&lt;4,"",SUM('연간'!H43:K43)))/(IF(COUNT('연간'!H65:K65)&lt;4,"",SUM('연간'!H65:K65))),"")</f>
        <v/>
      </c>
      <c r="E48" s="31">
        <f>IFERROR((IF(COUNT('연간'!I43:L43)&lt;4,"",SUM('연간'!I43:L43)))/(IF(COUNT('연간'!I65:L65)&lt;4,"",SUM('연간'!I65:L65))),"")</f>
        <v/>
      </c>
      <c r="F48" s="31">
        <f>IFERROR((IF(COUNT('연간'!J43:M43)&lt;4,"",SUM('연간'!J43:M43)))/(IF(COUNT('연간'!J65:M65)&lt;4,"",SUM('연간'!J65:M65))),"")</f>
        <v/>
      </c>
      <c r="G48" s="31">
        <f>IFERROR((IF(COUNT('연간'!K43:N43)&lt;4,"",SUM('연간'!K43:N43)))/(IF(COUNT('연간'!K65:N65)&lt;4,"",SUM('연간'!K65:N65))),"")</f>
        <v/>
      </c>
      <c r="H48" s="30">
        <f>IFERROR(('연간'!T43)/('연간'!T65),"")</f>
        <v/>
      </c>
      <c r="I48" s="31">
        <f>IFERROR(('연간'!U43)/('연간'!U65),"")</f>
        <v/>
      </c>
      <c r="J48" s="31">
        <f>IFERROR(('연간'!V43)/('연간'!V65),"")</f>
        <v/>
      </c>
      <c r="K48" s="31">
        <f>IFERROR(('연간'!W43)/('연간'!W65),"")</f>
        <v/>
      </c>
      <c r="L48" s="31">
        <f>IFERROR(('연간'!X43)/('연간'!X65),"")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IFERROR(IF((IF(COUNT('연간'!G71:J71)&lt;4,"",SUM('연간'!G71:J71)))&lt;=0,"적자",C28/(IF(COUNT('연간'!G71:J71)&lt;4,"",SUM('연간'!G71:J71)))),"")</f>
        <v/>
      </c>
      <c r="D49" s="47">
        <f>IFERROR(IF((IF(COUNT('연간'!H71:K71)&lt;4,"",SUM('연간'!H71:K71)))&lt;=0,"적자",D28/(IF(COUNT('연간'!H71:K71)&lt;4,"",SUM('연간'!H71:K71)))),"")</f>
        <v/>
      </c>
      <c r="E49" s="47">
        <f>IFERROR(IF((IF(COUNT('연간'!I71:L71)&lt;4,"",SUM('연간'!I71:L71)))&lt;=0,"적자",E28/(IF(COUNT('연간'!I71:L71)&lt;4,"",SUM('연간'!I71:L71)))),"")</f>
        <v/>
      </c>
      <c r="F49" s="47">
        <f>IFERROR(IF((IF(COUNT('연간'!J71:M71)&lt;4,"",SUM('연간'!J71:M71)))&lt;=0,"적자",F28/(IF(COUNT('연간'!J71:M71)&lt;4,"",SUM('연간'!J71:M71)))),"")</f>
        <v/>
      </c>
      <c r="G49" s="47">
        <f>IFERROR(IF((IF(COUNT('연간'!K71:N71)&lt;4,"",SUM('연간'!K71:N71)))&lt;=0,"적자",G28/(IF(COUNT('연간'!K71:N71)&lt;4,"",SUM('연간'!K71:N71)))),"")</f>
        <v/>
      </c>
      <c r="H49" s="46">
        <f>IFERROR(IF(('연간'!T71)&lt;=0,"적자",H28/('연간'!T71)),"")</f>
        <v/>
      </c>
      <c r="I49" s="47">
        <f>IFERROR(IF(('연간'!U71)&lt;=0,"적자",I28/('연간'!U71)),"")</f>
        <v/>
      </c>
      <c r="J49" s="47">
        <f>IFERROR(IF(('연간'!V71)&lt;=0,"적자",J28/('연간'!V71)),"")</f>
        <v/>
      </c>
      <c r="K49" s="47">
        <f>IFERROR(IF(('연간'!W71)&lt;=0,"적자",K28/('연간'!W71)),"")</f>
        <v/>
      </c>
      <c r="L49" s="47">
        <f>IFERROR(IF(('연간'!X71)&lt;=0,"적자",L28/('연간'!X71)),"")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IFERROR((IF(COUNT('연간'!G71:J71)&lt;4,"",SUM('연간'!G71:J71)))/C31,"")</f>
        <v/>
      </c>
      <c r="D51" s="36">
        <f>IFERROR((IF(COUNT('연간'!H71:K71)&lt;4,"",SUM('연간'!H71:K71)))/D31,"")</f>
        <v/>
      </c>
      <c r="E51" s="36">
        <f>IFERROR((IF(COUNT('연간'!I71:L71)&lt;4,"",SUM('연간'!I71:L71)))/E31,"")</f>
        <v/>
      </c>
      <c r="F51" s="36">
        <f>IFERROR((IF(COUNT('연간'!J71:M71)&lt;4,"",SUM('연간'!J71:M71)))/F31,"")</f>
        <v/>
      </c>
      <c r="G51" s="36">
        <f>IFERROR((IF(COUNT('연간'!K71:N71)&lt;4,"",SUM('연간'!K71:N71)))/G31,"")</f>
        <v/>
      </c>
      <c r="H51" s="35">
        <f>IFERROR(('연간'!T71)/H31,"")</f>
        <v/>
      </c>
      <c r="I51" s="36">
        <f>IFERROR(('연간'!U71)/I31,"")</f>
        <v/>
      </c>
      <c r="J51" s="36">
        <f>IFERROR(('연간'!V71)/J31,"")</f>
        <v/>
      </c>
      <c r="K51" s="36">
        <f>IFERROR(('연간'!W71)/K31,"")</f>
        <v/>
      </c>
      <c r="L51" s="36">
        <f>IFERROR(('연간'!X71)/L31,"")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IFERROR((IF(COUNT('연간'!G70:J70)&lt;4,"",SUM('연간'!G70:J70)))/C16,"")</f>
        <v/>
      </c>
      <c r="D52" s="36">
        <f>IFERROR((IF(COUNT('연간'!H70:K70)&lt;4,"",SUM('연간'!H70:K70)))/D16,"")</f>
        <v/>
      </c>
      <c r="E52" s="36">
        <f>IFERROR((IF(COUNT('연간'!I70:L70)&lt;4,"",SUM('연간'!I70:L70)))/E16,"")</f>
        <v/>
      </c>
      <c r="F52" s="36">
        <f>IFERROR((IF(COUNT('연간'!J70:M70)&lt;4,"",SUM('연간'!J70:M70)))/F16,"")</f>
        <v/>
      </c>
      <c r="G52" s="36">
        <f>IFERROR((IF(COUNT('연간'!K70:N70)&lt;4,"",SUM('연간'!K70:N70)))/G16,"")</f>
        <v/>
      </c>
      <c r="H52" s="35">
        <f>IFERROR(('연간'!T70)/H16,"")</f>
        <v/>
      </c>
      <c r="I52" s="36">
        <f>IFERROR(('연간'!U70)/I16,"")</f>
        <v/>
      </c>
      <c r="J52" s="36">
        <f>IFERROR(('연간'!V70)/J16,"")</f>
        <v/>
      </c>
      <c r="K52" s="36">
        <f>IFERROR(('연간'!W70)/K16,"")</f>
        <v/>
      </c>
      <c r="L52" s="36">
        <f>IFERROR(('연간'!X70)/L16,"")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IFERROR((IF(COUNT('연간'!G43:J43)&lt;4,"",SUM('연간'!G43:J43)))*(1-0.3)/(C35+C29),"")</f>
        <v/>
      </c>
      <c r="D53" s="36">
        <f>IFERROR((IF(COUNT('연간'!H43:K43)&lt;4,"",SUM('연간'!H43:K43)))*(1-0.3)/(D35+D29),"")</f>
        <v/>
      </c>
      <c r="E53" s="36">
        <f>IFERROR((IF(COUNT('연간'!I43:L43)&lt;4,"",SUM('연간'!I43:L43)))*(1-0.3)/(E35+E29),"")</f>
        <v/>
      </c>
      <c r="F53" s="36">
        <f>IFERROR((IF(COUNT('연간'!J43:M43)&lt;4,"",SUM('연간'!J43:M43)))*(1-0.3)/(F35+F29),"")</f>
        <v/>
      </c>
      <c r="G53" s="36">
        <f>IFERROR((IF(COUNT('연간'!K43:N43)&lt;4,"",SUM('연간'!K43:N43)))*(1-0.3)/(G35+G29),"")</f>
        <v/>
      </c>
      <c r="H53" s="35">
        <f>IFERROR(('연간'!T43)*(1-0.3)/(H35+H29),"")</f>
        <v/>
      </c>
      <c r="I53" s="36">
        <f>IFERROR(('연간'!U43)*(1-0.3)/(I35+I29),"")</f>
        <v/>
      </c>
      <c r="J53" s="36">
        <f>IFERROR(('연간'!V43)*(1-0.3)/(J35+J29),"")</f>
        <v/>
      </c>
      <c r="K53" s="36">
        <f>IFERROR(('연간'!W43)*(1-0.3)/(K35+K29),"")</f>
        <v/>
      </c>
      <c r="L53" s="36">
        <f>IFERROR(('연간'!X43)*(1-0.3)/(L35+L29),"")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IFERROR((IF(COUNT('연간'!G39:J39)&lt;4,"",SUM('연간'!G39:J39)))/(IF(COUNT('연간'!G4:J4)&lt;4,"",SUM('연간'!G4:J4))),"")</f>
        <v/>
      </c>
      <c r="D54" s="36">
        <f>IFERROR((IF(COUNT('연간'!H39:K39)&lt;4,"",SUM('연간'!H39:K39)))/(IF(COUNT('연간'!H4:K4)&lt;4,"",SUM('연간'!H4:K4))),"")</f>
        <v/>
      </c>
      <c r="E54" s="36">
        <f>IFERROR((IF(COUNT('연간'!I39:L39)&lt;4,"",SUM('연간'!I39:L39)))/(IF(COUNT('연간'!I4:L4)&lt;4,"",SUM('연간'!I4:L4))),"")</f>
        <v/>
      </c>
      <c r="F54" s="36">
        <f>IFERROR((IF(COUNT('연간'!J39:M39)&lt;4,"",SUM('연간'!J39:M39)))/(IF(COUNT('연간'!J4:M4)&lt;4,"",SUM('연간'!J4:M4))),"")</f>
        <v/>
      </c>
      <c r="G54" s="36">
        <f>IFERROR((IF(COUNT('연간'!K39:N39)&lt;4,"",SUM('연간'!K39:N39)))/(IF(COUNT('연간'!K4:N4)&lt;4,"",SUM('연간'!K4:N4))),"")</f>
        <v/>
      </c>
      <c r="H54" s="35">
        <f>IFERROR(('연간'!T39)/('연간'!T4),"")</f>
        <v/>
      </c>
      <c r="I54" s="36">
        <f>IFERROR(('연간'!U39)/('연간'!U4),"")</f>
        <v/>
      </c>
      <c r="J54" s="36">
        <f>IFERROR(('연간'!V39)/('연간'!V4),"")</f>
        <v/>
      </c>
      <c r="K54" s="36">
        <f>IFERROR(('연간'!W39)/('연간'!W4),"")</f>
        <v/>
      </c>
      <c r="L54" s="36">
        <f>IFERROR(('연간'!X39)/('연간'!X4),"")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IFERROR((IF(COUNT('연간'!G43:J43)&lt;4,"",SUM('연간'!G43:J43)))/(IF(COUNT('연간'!G4:J4)&lt;4,"",SUM('연간'!G4:J4))),"")</f>
        <v/>
      </c>
      <c r="D55" s="36">
        <f>IFERROR((IF(COUNT('연간'!H43:K43)&lt;4,"",SUM('연간'!H43:K43)))/(IF(COUNT('연간'!H4:K4)&lt;4,"",SUM('연간'!H4:K4))),"")</f>
        <v/>
      </c>
      <c r="E55" s="36">
        <f>IFERROR((IF(COUNT('연간'!I43:L43)&lt;4,"",SUM('연간'!I43:L43)))/(IF(COUNT('연간'!I4:L4)&lt;4,"",SUM('연간'!I4:L4))),"")</f>
        <v/>
      </c>
      <c r="F55" s="36">
        <f>IFERROR((IF(COUNT('연간'!J43:M43)&lt;4,"",SUM('연간'!J43:M43)))/(IF(COUNT('연간'!J4:M4)&lt;4,"",SUM('연간'!J4:M4))),"")</f>
        <v/>
      </c>
      <c r="G55" s="36">
        <f>IFERROR((IF(COUNT('연간'!K43:N43)&lt;4,"",SUM('연간'!K43:N43)))/(IF(COUNT('연간'!K4:N4)&lt;4,"",SUM('연간'!K4:N4))),"")</f>
        <v/>
      </c>
      <c r="H55" s="35">
        <f>IFERROR(('연간'!T43)/('연간'!T4),"")</f>
        <v/>
      </c>
      <c r="I55" s="36">
        <f>IFERROR(('연간'!U43)/('연간'!U4),"")</f>
        <v/>
      </c>
      <c r="J55" s="36">
        <f>IFERROR(('연간'!V43)/('연간'!V4),"")</f>
        <v/>
      </c>
      <c r="K55" s="36">
        <f>IFERROR(('연간'!W43)/('연간'!W4),"")</f>
        <v/>
      </c>
      <c r="L55" s="36">
        <f>IFERROR(('연간'!X43)/('연간'!X4),"")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IFERROR((IF(COUNT('연간'!G70:J70)&lt;4,"",SUM('연간'!G70:J70)))/(IF(COUNT('연간'!G4:J4)&lt;4,"",SUM('연간'!G4:J4))),"")</f>
        <v/>
      </c>
      <c r="D56" s="36">
        <f>IFERROR((IF(COUNT('연간'!H70:K70)&lt;4,"",SUM('연간'!H70:K70)))/(IF(COUNT('연간'!H4:K4)&lt;4,"",SUM('연간'!H4:K4))),"")</f>
        <v/>
      </c>
      <c r="E56" s="36">
        <f>IFERROR((IF(COUNT('연간'!I70:L70)&lt;4,"",SUM('연간'!I70:L70)))/(IF(COUNT('연간'!I4:L4)&lt;4,"",SUM('연간'!I4:L4))),"")</f>
        <v/>
      </c>
      <c r="F56" s="36">
        <f>IFERROR((IF(COUNT('연간'!J70:M70)&lt;4,"",SUM('연간'!J70:M70)))/(IF(COUNT('연간'!J4:M4)&lt;4,"",SUM('연간'!J4:M4))),"")</f>
        <v/>
      </c>
      <c r="G56" s="36">
        <f>IFERROR((IF(COUNT('연간'!K70:N70)&lt;4,"",SUM('연간'!K70:N70)))/(IF(COUNT('연간'!K4:N4)&lt;4,"",SUM('연간'!K4:N4))),"")</f>
        <v/>
      </c>
      <c r="H56" s="35">
        <f>IFERROR(('연간'!T70)/('연간'!T4),"")</f>
        <v/>
      </c>
      <c r="I56" s="36">
        <f>IFERROR(('연간'!U70)/('연간'!U4),"")</f>
        <v/>
      </c>
      <c r="J56" s="36">
        <f>IFERROR(('연간'!V70)/('연간'!V4),"")</f>
        <v/>
      </c>
      <c r="K56" s="36">
        <f>IFERROR(('연간'!W70)/('연간'!W4),"")</f>
        <v/>
      </c>
      <c r="L56" s="36">
        <f>IFERROR(('연간'!X70)/('연간'!X4),"")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IFERROR(C9/(IF(COUNT('연간'!G38:J38)&lt;4,"",SUM('연간'!G38:J38)))*365,"")</f>
        <v/>
      </c>
      <c r="D60" s="49">
        <f>IFERROR(D9/(IF(COUNT('연간'!H38:K38)&lt;4,"",SUM('연간'!H38:K38)))*365,"")</f>
        <v/>
      </c>
      <c r="E60" s="49">
        <f>IFERROR(E9/(IF(COUNT('연간'!I38:L38)&lt;4,"",SUM('연간'!I38:L38)))*365,"")</f>
        <v/>
      </c>
      <c r="F60" s="49">
        <f>IFERROR(F9/(IF(COUNT('연간'!J38:M38)&lt;4,"",SUM('연간'!J38:M38)))*365,"")</f>
        <v/>
      </c>
      <c r="G60" s="49">
        <f>IFERROR(G9/(IF(COUNT('연간'!K38:N38)&lt;4,"",SUM('연간'!K38:N38)))*365,"")</f>
        <v/>
      </c>
      <c r="H60" s="48">
        <f>IFERROR(H9/('연간'!T38)*365,"")</f>
        <v/>
      </c>
      <c r="I60" s="49">
        <f>IFERROR(I9/('연간'!U38)*365,"")</f>
        <v/>
      </c>
      <c r="J60" s="49">
        <f>IFERROR(J9/('연간'!V38)*365,"")</f>
        <v/>
      </c>
      <c r="K60" s="49">
        <f>IFERROR(K9/('연간'!W38)*365,"")</f>
        <v/>
      </c>
      <c r="L60" s="49">
        <f>IFERROR(L9/('연간'!X38)*365,"")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IFERROR(C19/(IF(COUNT('연간'!G38:J38)&lt;4,"",SUM('연간'!G38:J38)))*365,"")</f>
        <v/>
      </c>
      <c r="D61" s="49">
        <f>IFERROR(D19/(IF(COUNT('연간'!H38:K38)&lt;4,"",SUM('연간'!H38:K38)))*365,"")</f>
        <v/>
      </c>
      <c r="E61" s="49">
        <f>IFERROR(E19/(IF(COUNT('연간'!I38:L38)&lt;4,"",SUM('연간'!I38:L38)))*365,"")</f>
        <v/>
      </c>
      <c r="F61" s="49">
        <f>IFERROR(F19/(IF(COUNT('연간'!J38:M38)&lt;4,"",SUM('연간'!J38:M38)))*365,"")</f>
        <v/>
      </c>
      <c r="G61" s="49">
        <f>IFERROR(G19/(IF(COUNT('연간'!K38:N38)&lt;4,"",SUM('연간'!K38:N38)))*365,"")</f>
        <v/>
      </c>
      <c r="H61" s="48">
        <f>IFERROR(H19/('연간'!T38)*365,"")</f>
        <v/>
      </c>
      <c r="I61" s="49">
        <f>IFERROR(I19/('연간'!U38)*365,"")</f>
        <v/>
      </c>
      <c r="J61" s="49">
        <f>IFERROR(J19/('연간'!V38)*365,"")</f>
        <v/>
      </c>
      <c r="K61" s="49">
        <f>IFERROR(K19/('연간'!W38)*365,"")</f>
        <v/>
      </c>
      <c r="L61" s="49">
        <f>IFERROR(L19/('연간'!X38)*365,"")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IF(C37="","",IFERROR(C37/(IF(COUNT('연간'!G70:J70)&lt;4,"",SUM('연간'!G70:J70))),""))</f>
        <v/>
      </c>
      <c r="D64" s="31">
        <f>IF(D37="","",IFERROR(D37/(IF(COUNT('연간'!H70:K70)&lt;4,"",SUM('연간'!H70:K70))),""))</f>
        <v/>
      </c>
      <c r="E64" s="31">
        <f>IF(E37="","",IFERROR(E37/(IF(COUNT('연간'!I70:L70)&lt;4,"",SUM('연간'!I70:L70))),""))</f>
        <v/>
      </c>
      <c r="F64" s="31">
        <f>IF(F37="","",IFERROR(F37/(IF(COUNT('연간'!J70:M70)&lt;4,"",SUM('연간'!J70:M70))),""))</f>
        <v/>
      </c>
      <c r="G64" s="31">
        <f>IF(G37="","",IFERROR(G37/(IF(COUNT('연간'!K70:N70)&lt;4,"",SUM('연간'!K70:N70))),""))</f>
        <v/>
      </c>
      <c r="H64" s="30">
        <f>IF(H37="","",IFERROR(H37/('연간'!T70),""))</f>
        <v/>
      </c>
      <c r="I64" s="31">
        <f>IF(I37="","",IFERROR(I37/('연간'!U70),""))</f>
        <v/>
      </c>
      <c r="J64" s="31">
        <f>IF(J37="","",IFERROR(J37/('연간'!V70),""))</f>
        <v/>
      </c>
      <c r="K64" s="31">
        <f>IF(K37="","",IFERROR(K37/('연간'!W70),""))</f>
        <v/>
      </c>
      <c r="L64" s="31">
        <f>IF(L37="","",IFERROR(L37/('연간'!X70),""))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IF(C40="","",IFERROR(C40/(IF(COUNT('연간'!G71:J71)&lt;4,"",SUM('연간'!G71:J71))),""))</f>
        <v/>
      </c>
      <c r="D67" s="36">
        <f>IF(D40="","",IFERROR(D40/(IF(COUNT('연간'!H71:K71)&lt;4,"",SUM('연간'!H71:K71))),""))</f>
        <v/>
      </c>
      <c r="E67" s="36">
        <f>IF(E40="","",IFERROR(E40/(IF(COUNT('연간'!I71:L71)&lt;4,"",SUM('연간'!I71:L71))),""))</f>
        <v/>
      </c>
      <c r="F67" s="36">
        <f>IF(F40="","",IFERROR(F40/(IF(COUNT('연간'!J71:M71)&lt;4,"",SUM('연간'!J71:M71))),""))</f>
        <v/>
      </c>
      <c r="G67" s="36">
        <f>IF(G40="","",IFERROR(G40/(IF(COUNT('연간'!K71:N71)&lt;4,"",SUM('연간'!K71:N71))),""))</f>
        <v/>
      </c>
      <c r="H67" s="35">
        <f>IF(H40="","",IFERROR(H40/('연간'!T71),""))</f>
        <v/>
      </c>
      <c r="I67" s="36">
        <f>IF(I40="","",IFERROR(I40/('연간'!U71),""))</f>
        <v/>
      </c>
      <c r="J67" s="36">
        <f>IF(J40="","",IFERROR(J40/('연간'!V71),""))</f>
        <v/>
      </c>
      <c r="K67" s="36">
        <f>IF(K40="","",IFERROR(K40/('연간'!W71),""))</f>
        <v/>
      </c>
      <c r="L67" s="36">
        <f>IF(L40="","",IFERROR(L40/('연간'!X71),""))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62287</v>
      </c>
      <c r="D71" s="20" t="n">
        <v>59099</v>
      </c>
      <c r="E71" s="20" t="n">
        <v>56641</v>
      </c>
      <c r="F71" s="20" t="n">
        <v>63072</v>
      </c>
      <c r="G71" s="20" t="n">
        <v>66467</v>
      </c>
      <c r="H71" s="20" t="n">
        <v>55644</v>
      </c>
      <c r="I71" s="20" t="n">
        <v>56488</v>
      </c>
      <c r="J71" s="20" t="n">
        <v>46008</v>
      </c>
      <c r="K71" s="20" t="n">
        <v>61218</v>
      </c>
      <c r="L71" s="20" t="n">
        <v>63072</v>
      </c>
    </row>
    <row r="72">
      <c r="A72" s="18" t="inlineStr">
        <is>
          <t>영업채권 및 기타채권</t>
        </is>
      </c>
      <c r="C72" s="20" t="n">
        <v>148023</v>
      </c>
      <c r="D72" s="20" t="n">
        <v>151407</v>
      </c>
      <c r="E72" s="20" t="n">
        <v>168800</v>
      </c>
      <c r="F72" s="20" t="n">
        <v>158935</v>
      </c>
      <c r="G72" s="20" t="n">
        <v>169893</v>
      </c>
      <c r="H72" s="20" t="n">
        <v>145541</v>
      </c>
      <c r="I72" s="20" t="n">
        <v>156737</v>
      </c>
      <c r="J72" s="20" t="n">
        <v>170907</v>
      </c>
      <c r="K72" s="20" t="n">
        <v>147433</v>
      </c>
      <c r="L72" s="20" t="n">
        <v>158935</v>
      </c>
    </row>
    <row r="73">
      <c r="A73" s="18" t="inlineStr">
        <is>
          <t>계약자산</t>
        </is>
      </c>
      <c r="C73" s="20" t="n">
        <v>5515</v>
      </c>
      <c r="D73" s="20" t="n">
        <v>4736</v>
      </c>
      <c r="E73" s="20" t="n">
        <v>6471</v>
      </c>
      <c r="F73" s="20" t="n">
        <v>3060</v>
      </c>
      <c r="G73" s="20" t="n">
        <v>3704</v>
      </c>
      <c r="H73" s="20" t="n">
        <v>5018</v>
      </c>
      <c r="I73" s="20" t="n">
        <v>2780</v>
      </c>
      <c r="J73" s="20" t="n">
        <v>2803</v>
      </c>
      <c r="K73" s="20" t="n">
        <v>5419</v>
      </c>
      <c r="L73" s="20" t="n">
        <v>3060</v>
      </c>
    </row>
    <row r="74">
      <c r="A74" s="18" t="inlineStr">
        <is>
          <t>재고자산</t>
        </is>
      </c>
      <c r="C74" s="20" t="n">
        <v>194981</v>
      </c>
      <c r="D74" s="20" t="n">
        <v>191755</v>
      </c>
      <c r="E74" s="20" t="n">
        <v>193386</v>
      </c>
      <c r="F74" s="20" t="n">
        <v>211501</v>
      </c>
      <c r="G74" s="20" t="n">
        <v>228728</v>
      </c>
      <c r="H74" s="20" t="n">
        <v>165828</v>
      </c>
      <c r="I74" s="20" t="n">
        <v>191361</v>
      </c>
      <c r="J74" s="20" t="n">
        <v>186717</v>
      </c>
      <c r="K74" s="20" t="n">
        <v>195483</v>
      </c>
      <c r="L74" s="20" t="n">
        <v>211501</v>
      </c>
    </row>
    <row r="75">
      <c r="A75" s="18" t="inlineStr">
        <is>
          <t>기타금융자산</t>
        </is>
      </c>
      <c r="C75" s="20" t="n">
        <v>1045</v>
      </c>
      <c r="D75" s="20" t="n">
        <v>1007</v>
      </c>
      <c r="E75" s="20" t="n">
        <v>1105</v>
      </c>
      <c r="F75" s="20" t="n">
        <v>1276</v>
      </c>
      <c r="G75" s="20" t="n">
        <v>1224</v>
      </c>
      <c r="H75" s="20" t="n">
        <v>2551</v>
      </c>
      <c r="I75" s="20" t="n">
        <v>1772</v>
      </c>
      <c r="J75" s="20" t="n">
        <v>1986</v>
      </c>
      <c r="K75" s="20" t="n">
        <v>939</v>
      </c>
      <c r="L75" s="20" t="n">
        <v>1276</v>
      </c>
    </row>
    <row r="76">
      <c r="A76" s="18" t="inlineStr">
        <is>
          <t>기타유동자산</t>
        </is>
      </c>
      <c r="C76" s="20" t="n">
        <v>6754</v>
      </c>
      <c r="D76" s="20" t="n">
        <v>7609</v>
      </c>
      <c r="E76" s="20" t="n">
        <v>8155</v>
      </c>
      <c r="F76" s="20" t="n">
        <v>9442</v>
      </c>
      <c r="G76" s="20" t="n">
        <v>10225</v>
      </c>
      <c r="H76" s="20" t="n">
        <v>7634</v>
      </c>
      <c r="I76" s="20" t="n">
        <v>7713</v>
      </c>
      <c r="J76" s="20" t="n">
        <v>7011</v>
      </c>
      <c r="K76" s="20" t="n">
        <v>6505</v>
      </c>
      <c r="L76" s="20" t="n">
        <v>9442</v>
      </c>
    </row>
    <row r="77">
      <c r="A77" s="9" t="inlineStr">
        <is>
          <t>소계</t>
        </is>
      </c>
      <c r="J77" s="12" t="n">
        <v>415434</v>
      </c>
    </row>
    <row r="78">
      <c r="A78" s="18" t="inlineStr">
        <is>
          <t>매각예정 자산</t>
        </is>
      </c>
      <c r="J78" s="20" t="n">
        <v>0</v>
      </c>
    </row>
    <row r="79">
      <c r="A79" s="9" t="inlineStr">
        <is>
          <t>유동자산 합계</t>
        </is>
      </c>
      <c r="C79" s="12" t="n">
        <v>418608</v>
      </c>
      <c r="D79" s="12" t="n">
        <v>415616</v>
      </c>
      <c r="E79" s="12" t="n">
        <v>434561</v>
      </c>
      <c r="F79" s="12" t="n">
        <v>447288</v>
      </c>
      <c r="G79" s="12" t="n">
        <v>480244</v>
      </c>
      <c r="H79" s="12" t="n">
        <v>382218</v>
      </c>
      <c r="I79" s="12" t="n">
        <v>416853</v>
      </c>
      <c r="J79" s="12" t="n">
        <v>415434</v>
      </c>
      <c r="K79" s="12" t="n">
        <v>416999</v>
      </c>
      <c r="L79" s="12" t="n">
        <v>447288</v>
      </c>
    </row>
    <row r="80">
      <c r="A80" s="18" t="inlineStr">
        <is>
          <t>유형자산</t>
        </is>
      </c>
      <c r="C80" s="20" t="n">
        <v>237267</v>
      </c>
      <c r="D80" s="20" t="n">
        <v>245099</v>
      </c>
      <c r="E80" s="20" t="n">
        <v>248553</v>
      </c>
      <c r="F80" s="20" t="n">
        <v>255302</v>
      </c>
      <c r="G80" s="20" t="n">
        <v>259724</v>
      </c>
      <c r="H80" s="20" t="n">
        <v>218085</v>
      </c>
      <c r="I80" s="20" t="n">
        <v>217056</v>
      </c>
      <c r="J80" s="20" t="n">
        <v>220030</v>
      </c>
      <c r="K80" s="20" t="n">
        <v>234469</v>
      </c>
      <c r="L80" s="20" t="n">
        <v>255302</v>
      </c>
    </row>
    <row r="81">
      <c r="A81" s="18" t="inlineStr">
        <is>
          <t>사용권자산</t>
        </is>
      </c>
      <c r="C81" s="20" t="n">
        <v>6453</v>
      </c>
      <c r="D81" s="20" t="n">
        <v>6389</v>
      </c>
      <c r="E81" s="20" t="n">
        <v>6195</v>
      </c>
      <c r="F81" s="20" t="n">
        <v>6379</v>
      </c>
      <c r="G81" s="20" t="n">
        <v>6295</v>
      </c>
      <c r="H81" s="20" t="n">
        <v>5951</v>
      </c>
      <c r="I81" s="20" t="n">
        <v>6068</v>
      </c>
      <c r="J81" s="20" t="n">
        <v>5640</v>
      </c>
      <c r="K81" s="20" t="n">
        <v>6362</v>
      </c>
      <c r="L81" s="20" t="n">
        <v>6379</v>
      </c>
    </row>
    <row r="82">
      <c r="A82" s="18" t="inlineStr">
        <is>
          <t>무형자산</t>
        </is>
      </c>
      <c r="C82" s="20" t="n">
        <v>6794</v>
      </c>
      <c r="D82" s="20" t="n">
        <v>7152</v>
      </c>
      <c r="E82" s="20" t="n">
        <v>7680</v>
      </c>
      <c r="F82" s="20" t="n">
        <v>8632</v>
      </c>
      <c r="G82" s="20" t="n">
        <v>9031</v>
      </c>
      <c r="H82" s="20" t="n">
        <v>3439</v>
      </c>
      <c r="I82" s="20" t="n">
        <v>4236</v>
      </c>
      <c r="J82" s="20" t="n">
        <v>4958</v>
      </c>
      <c r="K82" s="20" t="n">
        <v>6559</v>
      </c>
      <c r="L82" s="20" t="n">
        <v>8632</v>
      </c>
    </row>
    <row r="83">
      <c r="A83" s="18" t="inlineStr">
        <is>
          <t>Investment Property</t>
        </is>
      </c>
      <c r="C83" s="20" t="n">
        <v>4293</v>
      </c>
      <c r="D83" s="20" t="n">
        <v>4270</v>
      </c>
      <c r="E83" s="20" t="n">
        <v>4239</v>
      </c>
      <c r="F83" s="20" t="n">
        <v>4258</v>
      </c>
      <c r="G83" s="20" t="n">
        <v>4228</v>
      </c>
      <c r="H83" s="20" t="n">
        <v>6504</v>
      </c>
      <c r="I83" s="20" t="n">
        <v>6205</v>
      </c>
      <c r="J83" s="20" t="n">
        <v>4370</v>
      </c>
      <c r="K83" s="20" t="n">
        <v>4224</v>
      </c>
      <c r="L83" s="20" t="n">
        <v>4258</v>
      </c>
    </row>
    <row r="84">
      <c r="A84" s="18" t="inlineStr">
        <is>
          <t>지분법 투자</t>
        </is>
      </c>
      <c r="C84" s="20" t="n">
        <v>21254</v>
      </c>
      <c r="D84" s="20" t="n">
        <v>21499</v>
      </c>
      <c r="E84" s="20" t="n">
        <v>21838</v>
      </c>
      <c r="F84" s="20" t="n">
        <v>22622</v>
      </c>
      <c r="G84" s="20" t="n">
        <v>23130</v>
      </c>
      <c r="H84" s="20" t="n">
        <v>18472</v>
      </c>
      <c r="I84" s="20" t="n">
        <v>19141</v>
      </c>
      <c r="J84" s="20" t="n">
        <v>20195</v>
      </c>
      <c r="K84" s="20" t="n">
        <v>21154</v>
      </c>
      <c r="L84" s="20" t="n">
        <v>22622</v>
      </c>
    </row>
    <row r="85">
      <c r="A85" s="18" t="inlineStr">
        <is>
          <t>기타금융자산</t>
        </is>
      </c>
      <c r="C85" s="20" t="n">
        <v>57949</v>
      </c>
      <c r="D85" s="20" t="n">
        <v>63213</v>
      </c>
      <c r="E85" s="20" t="n">
        <v>53191</v>
      </c>
      <c r="F85" s="20" t="n">
        <v>50781</v>
      </c>
      <c r="G85" s="20" t="n">
        <v>62239</v>
      </c>
      <c r="H85" s="20" t="n">
        <v>77732</v>
      </c>
      <c r="I85" s="20" t="n">
        <v>81513</v>
      </c>
      <c r="J85" s="20" t="n">
        <v>81699</v>
      </c>
      <c r="K85" s="20" t="n">
        <v>54454</v>
      </c>
      <c r="L85" s="20" t="n">
        <v>50781</v>
      </c>
    </row>
    <row r="86">
      <c r="A86" s="18" t="inlineStr">
        <is>
          <t>퇴직급여자산</t>
        </is>
      </c>
      <c r="C86" s="20" t="n">
        <v>34563</v>
      </c>
      <c r="D86" s="20" t="n">
        <v>34660</v>
      </c>
      <c r="E86" s="20" t="n">
        <v>34719</v>
      </c>
      <c r="F86" s="20" t="n">
        <v>56648</v>
      </c>
      <c r="G86" s="20" t="n">
        <v>56865</v>
      </c>
      <c r="H86" s="20" t="n">
        <v>12159</v>
      </c>
      <c r="I86" s="20" t="n">
        <v>16768</v>
      </c>
      <c r="J86" s="20" t="n">
        <v>30826</v>
      </c>
      <c r="K86" s="20" t="n">
        <v>34392</v>
      </c>
      <c r="L86" s="20" t="n">
        <v>56648</v>
      </c>
    </row>
    <row r="87">
      <c r="A87" s="18" t="inlineStr">
        <is>
          <t>이연법인세자산</t>
        </is>
      </c>
      <c r="C87" s="20" t="n">
        <v>3053</v>
      </c>
      <c r="D87" s="20" t="n">
        <v>3253</v>
      </c>
      <c r="E87" s="20" t="n">
        <v>3026</v>
      </c>
      <c r="F87" s="20" t="n">
        <v>3276</v>
      </c>
      <c r="G87" s="20" t="n">
        <v>3012</v>
      </c>
      <c r="H87" s="20" t="n">
        <v>3226</v>
      </c>
      <c r="I87" s="20" t="n">
        <v>3290</v>
      </c>
      <c r="J87" s="20" t="n">
        <v>3619</v>
      </c>
      <c r="K87" s="20" t="n">
        <v>3227</v>
      </c>
      <c r="L87" s="20" t="n">
        <v>3276</v>
      </c>
    </row>
    <row r="88">
      <c r="A88" s="18" t="inlineStr">
        <is>
          <t>기타비유동자산</t>
        </is>
      </c>
      <c r="C88" s="20" t="n">
        <v>1145</v>
      </c>
      <c r="D88" s="20" t="n">
        <v>1388</v>
      </c>
      <c r="E88" s="20" t="n">
        <v>1251</v>
      </c>
      <c r="F88" s="20" t="n">
        <v>1190</v>
      </c>
      <c r="G88" s="20" t="n">
        <v>1103</v>
      </c>
      <c r="H88" s="20" t="n">
        <v>1195</v>
      </c>
      <c r="I88" s="20" t="n">
        <v>1227</v>
      </c>
      <c r="J88" s="20" t="n">
        <v>1958</v>
      </c>
      <c r="K88" s="20" t="n">
        <v>1129</v>
      </c>
      <c r="L88" s="20" t="n">
        <v>1190</v>
      </c>
    </row>
    <row r="89">
      <c r="A89" s="18" t="inlineStr">
        <is>
          <t>비유동자산 합계</t>
        </is>
      </c>
      <c r="C89" s="20" t="n">
        <v>372774</v>
      </c>
      <c r="D89" s="20" t="n">
        <v>386927</v>
      </c>
      <c r="E89" s="20" t="n">
        <v>380696</v>
      </c>
      <c r="F89" s="20" t="n">
        <v>409091</v>
      </c>
      <c r="G89" s="20" t="n">
        <v>425632</v>
      </c>
      <c r="H89" s="20" t="n">
        <v>346768</v>
      </c>
      <c r="I89" s="20" t="n">
        <v>355507</v>
      </c>
      <c r="J89" s="20" t="n">
        <v>373300</v>
      </c>
      <c r="K89" s="20" t="n">
        <v>365975</v>
      </c>
      <c r="L89" s="20" t="n">
        <v>409091</v>
      </c>
    </row>
    <row r="90">
      <c r="A90" s="18" t="inlineStr">
        <is>
          <t>자산 합계</t>
        </is>
      </c>
      <c r="C90" s="20" t="n">
        <v>791382</v>
      </c>
      <c r="D90" s="20" t="n">
        <v>802544</v>
      </c>
      <c r="E90" s="20" t="n">
        <v>815257</v>
      </c>
      <c r="F90" s="20" t="n">
        <v>856380</v>
      </c>
      <c r="G90" s="20" t="n">
        <v>905876</v>
      </c>
      <c r="H90" s="20" t="n">
        <v>728986</v>
      </c>
      <c r="I90" s="20" t="n">
        <v>772361</v>
      </c>
      <c r="J90" s="20" t="n">
        <v>788734</v>
      </c>
      <c r="K90" s="20" t="n">
        <v>782974</v>
      </c>
      <c r="L90" s="20" t="n">
        <v>856380</v>
      </c>
    </row>
    <row r="91">
      <c r="A91" s="18" t="inlineStr">
        <is>
          <t>영업채무 및 기타채무</t>
        </is>
      </c>
      <c r="C91" s="20" t="n">
        <v>66984</v>
      </c>
      <c r="D91" s="20" t="n">
        <v>66522</v>
      </c>
      <c r="E91" s="20" t="n">
        <v>68928</v>
      </c>
      <c r="F91" s="20" t="n">
        <v>72039</v>
      </c>
      <c r="G91" s="20" t="n">
        <v>78541</v>
      </c>
      <c r="H91" s="20" t="n">
        <v>71679</v>
      </c>
      <c r="I91" s="20" t="n">
        <v>68908</v>
      </c>
      <c r="J91" s="20" t="n">
        <v>72275</v>
      </c>
      <c r="K91" s="20" t="n">
        <v>67998</v>
      </c>
      <c r="L91" s="20" t="n">
        <v>72039</v>
      </c>
    </row>
    <row r="92">
      <c r="A92" s="18" t="inlineStr">
        <is>
          <t>계약부채</t>
        </is>
      </c>
      <c r="C92" s="20" t="n">
        <v>1899</v>
      </c>
      <c r="D92" s="20" t="n">
        <v>14005</v>
      </c>
      <c r="E92" s="20" t="n">
        <v>14829</v>
      </c>
      <c r="F92" s="20" t="n">
        <v>15020</v>
      </c>
      <c r="G92" s="20" t="n">
        <v>14904</v>
      </c>
      <c r="H92" s="20" t="n">
        <v>1678</v>
      </c>
      <c r="I92" s="20" t="n">
        <v>2337</v>
      </c>
      <c r="J92" s="20" t="n">
        <v>1999</v>
      </c>
      <c r="K92" s="20" t="n">
        <v>2619</v>
      </c>
      <c r="L92" s="20" t="n">
        <v>15020</v>
      </c>
    </row>
    <row r="93">
      <c r="A93" s="18" t="inlineStr">
        <is>
          <t>사채 및 차입금</t>
        </is>
      </c>
      <c r="C93" s="20" t="n">
        <v>54029</v>
      </c>
      <c r="D93" s="20" t="n">
        <v>64376</v>
      </c>
      <c r="E93" s="20" t="n">
        <v>69026</v>
      </c>
      <c r="F93" s="20" t="n">
        <v>71751</v>
      </c>
      <c r="G93" s="20" t="n">
        <v>111286</v>
      </c>
      <c r="H93" s="20" t="n">
        <v>131562</v>
      </c>
      <c r="I93" s="20" t="n">
        <v>119443</v>
      </c>
      <c r="J93" s="20" t="n">
        <v>49698</v>
      </c>
      <c r="K93" s="20" t="n">
        <v>72203</v>
      </c>
      <c r="L93" s="20" t="n">
        <v>71751</v>
      </c>
    </row>
    <row r="94">
      <c r="A94" s="18" t="inlineStr">
        <is>
          <t>리스부채</t>
        </is>
      </c>
      <c r="C94" s="20" t="n">
        <v>1893</v>
      </c>
      <c r="D94" s="20" t="n">
        <v>1855</v>
      </c>
      <c r="E94" s="20" t="n">
        <v>1805</v>
      </c>
      <c r="F94" s="20" t="n">
        <v>2186</v>
      </c>
      <c r="G94" s="20" t="n">
        <v>2191</v>
      </c>
      <c r="H94" s="20" t="n">
        <v>1540</v>
      </c>
      <c r="I94" s="20" t="n">
        <v>1761</v>
      </c>
      <c r="J94" s="20" t="n">
        <v>1681</v>
      </c>
      <c r="K94" s="20" t="n">
        <v>1933</v>
      </c>
      <c r="L94" s="20" t="n">
        <v>2186</v>
      </c>
    </row>
    <row r="95">
      <c r="A95" s="18" t="inlineStr">
        <is>
          <t>기타금융부채</t>
        </is>
      </c>
      <c r="C95" s="20" t="n">
        <v>1769</v>
      </c>
      <c r="D95" s="20" t="n">
        <v>1781</v>
      </c>
      <c r="E95" s="20" t="n">
        <v>1919</v>
      </c>
      <c r="F95" s="20" t="n">
        <v>1900</v>
      </c>
      <c r="G95" s="20" t="n">
        <v>1854</v>
      </c>
      <c r="H95" s="20" t="n">
        <v>2585</v>
      </c>
      <c r="I95" s="20" t="n">
        <v>1864</v>
      </c>
      <c r="J95" s="20" t="n">
        <v>1940</v>
      </c>
      <c r="K95" s="20" t="n">
        <v>1716</v>
      </c>
      <c r="L95" s="20" t="n">
        <v>1900</v>
      </c>
    </row>
    <row r="96">
      <c r="A96" s="18" t="inlineStr">
        <is>
          <t>미지급법인세</t>
        </is>
      </c>
      <c r="C96" s="20" t="n">
        <v>1583</v>
      </c>
      <c r="D96" s="20" t="n">
        <v>5548</v>
      </c>
      <c r="E96" s="20" t="n">
        <v>1984</v>
      </c>
      <c r="F96" s="20" t="n">
        <v>6192</v>
      </c>
      <c r="G96" s="20" t="n">
        <v>5257</v>
      </c>
      <c r="H96" s="20" t="n">
        <v>9826</v>
      </c>
      <c r="I96" s="20" t="n">
        <v>6062</v>
      </c>
      <c r="J96" s="20" t="n">
        <v>15237</v>
      </c>
      <c r="K96" s="20" t="n">
        <v>7936</v>
      </c>
      <c r="L96" s="20" t="n">
        <v>6192</v>
      </c>
    </row>
    <row r="97">
      <c r="A97" s="18" t="inlineStr">
        <is>
          <t>충당금</t>
        </is>
      </c>
      <c r="C97" s="20" t="n">
        <v>729</v>
      </c>
      <c r="D97" s="20" t="n">
        <v>1186</v>
      </c>
      <c r="E97" s="20" t="n">
        <v>1242</v>
      </c>
      <c r="F97" s="20" t="n">
        <v>873</v>
      </c>
      <c r="G97" s="20" t="n">
        <v>1482</v>
      </c>
      <c r="H97" s="20" t="n">
        <v>666</v>
      </c>
      <c r="I97" s="20" t="n">
        <v>293</v>
      </c>
      <c r="J97" s="20" t="n">
        <v>368</v>
      </c>
      <c r="K97" s="20" t="n">
        <v>554</v>
      </c>
      <c r="L97" s="20" t="n">
        <v>873</v>
      </c>
    </row>
    <row r="98">
      <c r="A98" s="18" t="inlineStr">
        <is>
          <t>기타유동부채</t>
        </is>
      </c>
      <c r="C98" s="20" t="n">
        <v>33632</v>
      </c>
      <c r="D98" s="20" t="n">
        <v>26851</v>
      </c>
      <c r="E98" s="20" t="n">
        <v>24336</v>
      </c>
      <c r="F98" s="20" t="n">
        <v>29735</v>
      </c>
      <c r="G98" s="20" t="n">
        <v>33206</v>
      </c>
      <c r="H98" s="20" t="n">
        <v>23730</v>
      </c>
      <c r="I98" s="20" t="n">
        <v>28209</v>
      </c>
      <c r="J98" s="20" t="n">
        <v>27456</v>
      </c>
      <c r="K98" s="20" t="n">
        <v>27296</v>
      </c>
      <c r="L98" s="20" t="n">
        <v>29735</v>
      </c>
    </row>
    <row r="99">
      <c r="A99" s="18" t="inlineStr">
        <is>
          <t>소계</t>
        </is>
      </c>
      <c r="J99" s="20" t="n">
        <v>170658</v>
      </c>
    </row>
    <row r="100">
      <c r="A100" s="18" t="inlineStr">
        <is>
          <t>매각예정 자산 직접 관련 부채</t>
        </is>
      </c>
      <c r="J100" s="20" t="n">
        <v>0</v>
      </c>
    </row>
    <row r="101">
      <c r="A101" s="18" t="inlineStr">
        <is>
          <t>유동부채 합계</t>
        </is>
      </c>
      <c r="C101" s="20" t="n">
        <v>162522</v>
      </c>
      <c r="D101" s="20" t="n">
        <v>182127</v>
      </c>
      <c r="E101" s="20" t="n">
        <v>184072</v>
      </c>
      <c r="F101" s="20" t="n">
        <v>199699</v>
      </c>
      <c r="G101" s="20" t="n">
        <v>248723</v>
      </c>
      <c r="H101" s="20" t="n">
        <v>243270</v>
      </c>
      <c r="I101" s="20" t="n">
        <v>228880</v>
      </c>
      <c r="J101" s="20" t="n">
        <v>170658</v>
      </c>
      <c r="K101" s="20" t="n">
        <v>182259</v>
      </c>
      <c r="L101" s="20" t="n">
        <v>199699</v>
      </c>
    </row>
    <row r="102">
      <c r="A102" s="18" t="inlineStr">
        <is>
          <t>사채 및 차입금</t>
        </is>
      </c>
      <c r="C102" s="20" t="n">
        <v>120297</v>
      </c>
      <c r="D102" s="20" t="n">
        <v>105274</v>
      </c>
      <c r="E102" s="20" t="n">
        <v>104353</v>
      </c>
      <c r="F102" s="20" t="n">
        <v>101863</v>
      </c>
      <c r="G102" s="20" t="n">
        <v>88332</v>
      </c>
      <c r="H102" s="20" t="n">
        <v>94822</v>
      </c>
      <c r="I102" s="20" t="n">
        <v>114728</v>
      </c>
      <c r="J102" s="20" t="n">
        <v>121390</v>
      </c>
      <c r="K102" s="20" t="n">
        <v>98633</v>
      </c>
      <c r="L102" s="20" t="n">
        <v>101863</v>
      </c>
    </row>
    <row r="103">
      <c r="A103" s="18" t="inlineStr">
        <is>
          <t>리스부채</t>
        </is>
      </c>
      <c r="C103" s="20" t="n">
        <v>4213</v>
      </c>
      <c r="D103" s="20" t="n">
        <v>4210</v>
      </c>
      <c r="E103" s="20" t="n">
        <v>4098</v>
      </c>
      <c r="F103" s="20" t="n">
        <v>5960</v>
      </c>
      <c r="G103" s="20" t="n">
        <v>5830</v>
      </c>
      <c r="H103" s="20" t="n">
        <v>3782</v>
      </c>
      <c r="I103" s="20" t="n">
        <v>3720</v>
      </c>
      <c r="J103" s="20" t="n">
        <v>3464</v>
      </c>
      <c r="K103" s="20" t="n">
        <v>4077</v>
      </c>
      <c r="L103" s="20" t="n">
        <v>5960</v>
      </c>
    </row>
    <row r="104">
      <c r="A104" s="18" t="inlineStr">
        <is>
          <t>기타금융부채</t>
        </is>
      </c>
      <c r="C104" s="20" t="n">
        <v>743</v>
      </c>
      <c r="D104" s="20" t="n">
        <v>733</v>
      </c>
      <c r="E104" s="20" t="n">
        <v>801</v>
      </c>
      <c r="F104" s="20" t="n">
        <v>648</v>
      </c>
      <c r="G104" s="20" t="n">
        <v>640</v>
      </c>
      <c r="H104" s="20" t="n">
        <v>622</v>
      </c>
      <c r="I104" s="20" t="n">
        <v>599</v>
      </c>
      <c r="J104" s="20" t="n">
        <v>810</v>
      </c>
      <c r="K104" s="20" t="n">
        <v>747</v>
      </c>
      <c r="L104" s="20" t="n">
        <v>648</v>
      </c>
    </row>
    <row r="105">
      <c r="A105" s="18" t="inlineStr">
        <is>
          <t>퇴직급여부채</t>
        </is>
      </c>
      <c r="C105" s="20" t="n">
        <v>12181</v>
      </c>
      <c r="D105" s="20" t="n">
        <v>12297</v>
      </c>
      <c r="E105" s="20" t="n">
        <v>12448</v>
      </c>
      <c r="F105" s="20" t="n">
        <v>13559</v>
      </c>
      <c r="G105" s="20" t="n">
        <v>13491</v>
      </c>
      <c r="H105" s="20" t="n">
        <v>14037</v>
      </c>
      <c r="I105" s="20" t="n">
        <v>13424</v>
      </c>
      <c r="J105" s="20" t="n">
        <v>13393</v>
      </c>
      <c r="K105" s="20" t="n">
        <v>12103</v>
      </c>
      <c r="L105" s="20" t="n">
        <v>13559</v>
      </c>
    </row>
    <row r="106">
      <c r="A106" s="18" t="inlineStr">
        <is>
          <t>충당금</t>
        </is>
      </c>
      <c r="C106" s="20" t="n">
        <v>4505</v>
      </c>
      <c r="D106" s="20" t="n">
        <v>4565</v>
      </c>
      <c r="E106" s="20" t="n">
        <v>4417</v>
      </c>
      <c r="F106" s="20" t="n">
        <v>5426</v>
      </c>
      <c r="G106" s="20" t="n">
        <v>4413</v>
      </c>
      <c r="H106" s="20" t="n">
        <v>4057</v>
      </c>
      <c r="I106" s="20" t="n">
        <v>3782</v>
      </c>
      <c r="J106" s="20" t="n">
        <v>3399</v>
      </c>
      <c r="K106" s="20" t="n">
        <v>3411</v>
      </c>
      <c r="L106" s="20" t="n">
        <v>5426</v>
      </c>
    </row>
    <row r="107">
      <c r="A107" s="18" t="inlineStr">
        <is>
          <t>이연법인세부채</t>
        </is>
      </c>
      <c r="C107" s="20" t="n">
        <v>13676</v>
      </c>
      <c r="D107" s="20" t="n">
        <v>14100</v>
      </c>
      <c r="E107" s="20" t="n">
        <v>14449</v>
      </c>
      <c r="F107" s="20" t="n">
        <v>13661</v>
      </c>
      <c r="G107" s="20" t="n">
        <v>16544</v>
      </c>
      <c r="H107" s="20" t="n">
        <v>7943</v>
      </c>
      <c r="I107" s="20" t="n">
        <v>11342</v>
      </c>
      <c r="J107" s="20" t="n">
        <v>17102</v>
      </c>
      <c r="K107" s="20" t="n">
        <v>11355</v>
      </c>
      <c r="L107" s="20" t="n">
        <v>13661</v>
      </c>
    </row>
    <row r="108">
      <c r="A108" s="18" t="inlineStr">
        <is>
          <t>기타비유동부채</t>
        </is>
      </c>
      <c r="C108" s="20" t="n">
        <v>1247</v>
      </c>
      <c r="D108" s="20" t="n">
        <v>1245</v>
      </c>
      <c r="E108" s="20" t="n">
        <v>1235</v>
      </c>
      <c r="F108" s="20" t="n">
        <v>2102</v>
      </c>
      <c r="G108" s="20" t="n">
        <v>2587</v>
      </c>
      <c r="H108" s="20" t="n">
        <v>1042</v>
      </c>
      <c r="I108" s="20" t="n">
        <v>1116</v>
      </c>
      <c r="J108" s="20" t="n">
        <v>1201</v>
      </c>
      <c r="K108" s="20" t="n">
        <v>1242</v>
      </c>
      <c r="L108" s="20" t="n">
        <v>2102</v>
      </c>
    </row>
    <row r="109">
      <c r="A109" s="18" t="inlineStr">
        <is>
          <t>비유동부채 합계</t>
        </is>
      </c>
      <c r="C109" s="20" t="n">
        <v>156865</v>
      </c>
      <c r="D109" s="20" t="n">
        <v>142428</v>
      </c>
      <c r="E109" s="20" t="n">
        <v>141805</v>
      </c>
      <c r="F109" s="20" t="n">
        <v>143223</v>
      </c>
      <c r="G109" s="20" t="n">
        <v>131840</v>
      </c>
      <c r="H109" s="20" t="n">
        <v>126307</v>
      </c>
      <c r="I109" s="20" t="n">
        <v>148713</v>
      </c>
      <c r="J109" s="20" t="n">
        <v>160762</v>
      </c>
      <c r="K109" s="20" t="n">
        <v>131571</v>
      </c>
      <c r="L109" s="20" t="n">
        <v>143223</v>
      </c>
    </row>
    <row r="110">
      <c r="A110" s="18" t="inlineStr">
        <is>
          <t>부채 합계</t>
        </is>
      </c>
      <c r="C110" s="20" t="n">
        <v>319388</v>
      </c>
      <c r="D110" s="20" t="n">
        <v>324556</v>
      </c>
      <c r="E110" s="20" t="n">
        <v>325877</v>
      </c>
      <c r="F110" s="20" t="n">
        <v>342922</v>
      </c>
      <c r="G110" s="20" t="n">
        <v>380564</v>
      </c>
      <c r="H110" s="20" t="n">
        <v>369577</v>
      </c>
      <c r="I110" s="20" t="n">
        <v>377593</v>
      </c>
      <c r="J110" s="20" t="n">
        <v>331420</v>
      </c>
      <c r="K110" s="20" t="n">
        <v>313830</v>
      </c>
      <c r="L110" s="20" t="n">
        <v>342922</v>
      </c>
    </row>
    <row r="111">
      <c r="A111" s="18" t="inlineStr">
        <is>
          <t>자본금</t>
        </is>
      </c>
      <c r="C111" s="20" t="n">
        <v>37172</v>
      </c>
      <c r="D111" s="20" t="n">
        <v>37172</v>
      </c>
      <c r="E111" s="20" t="n">
        <v>37172</v>
      </c>
      <c r="F111" s="20" t="n">
        <v>37172</v>
      </c>
      <c r="G111" s="20" t="n">
        <v>37172</v>
      </c>
      <c r="H111" s="20" t="n">
        <v>37172</v>
      </c>
      <c r="I111" s="20" t="n">
        <v>37172</v>
      </c>
      <c r="J111" s="20" t="n">
        <v>37172</v>
      </c>
      <c r="K111" s="20" t="n">
        <v>37172</v>
      </c>
      <c r="L111" s="20" t="n">
        <v>37172</v>
      </c>
    </row>
    <row r="112">
      <c r="A112" s="18" t="inlineStr">
        <is>
          <t>자본잉여금</t>
        </is>
      </c>
      <c r="C112" s="20" t="n">
        <v>31544</v>
      </c>
      <c r="D112" s="20" t="n">
        <v>31403</v>
      </c>
      <c r="E112" s="20" t="n">
        <v>31702</v>
      </c>
      <c r="F112" s="20" t="n">
        <v>31882</v>
      </c>
      <c r="G112" s="20" t="n">
        <v>31899</v>
      </c>
      <c r="H112" s="20" t="n">
        <v>31344</v>
      </c>
      <c r="I112" s="20" t="n">
        <v>31346</v>
      </c>
      <c r="J112" s="20" t="n">
        <v>31411</v>
      </c>
      <c r="K112" s="20" t="n">
        <v>31438</v>
      </c>
      <c r="L112" s="20" t="n">
        <v>31882</v>
      </c>
    </row>
    <row r="113">
      <c r="A113" s="18" t="inlineStr">
        <is>
          <t>이익잉여금</t>
        </is>
      </c>
      <c r="C113" s="20" t="n">
        <v>333941</v>
      </c>
      <c r="D113" s="20" t="n">
        <v>340462</v>
      </c>
      <c r="E113" s="20" t="n">
        <v>349876</v>
      </c>
      <c r="F113" s="20" t="n">
        <v>360715</v>
      </c>
      <c r="G113" s="20" t="n">
        <v>364433</v>
      </c>
      <c r="H113" s="20" t="n">
        <v>248574</v>
      </c>
      <c r="I113" s="20" t="n">
        <v>274326</v>
      </c>
      <c r="J113" s="20" t="n">
        <v>312243</v>
      </c>
      <c r="K113" s="20" t="n">
        <v>332888</v>
      </c>
      <c r="L113" s="20" t="n">
        <v>360715</v>
      </c>
    </row>
    <row r="114">
      <c r="A114" s="18" t="inlineStr">
        <is>
          <t>자기주식</t>
        </is>
      </c>
      <c r="C114" s="20" t="n">
        <v>-12078</v>
      </c>
      <c r="D114" s="20" t="n">
        <v>-18610</v>
      </c>
      <c r="E114" s="20" t="n">
        <v>-18610</v>
      </c>
      <c r="F114" s="20" t="n">
        <v>-18610</v>
      </c>
      <c r="G114" s="20" t="n">
        <v>-18610</v>
      </c>
      <c r="H114" s="20" t="n">
        <v>-3663</v>
      </c>
      <c r="I114" s="20" t="n">
        <v>-3668</v>
      </c>
      <c r="J114" s="20" t="n">
        <v>-3674</v>
      </c>
      <c r="K114" s="20" t="n">
        <v>-12078</v>
      </c>
      <c r="L114" s="20" t="n">
        <v>-18610</v>
      </c>
    </row>
    <row r="115">
      <c r="A115" s="18" t="inlineStr">
        <is>
          <t>기타자본구성요소</t>
        </is>
      </c>
      <c r="C115" s="20" t="n">
        <v>41912</v>
      </c>
      <c r="D115" s="20" t="n">
        <v>46979</v>
      </c>
      <c r="E115" s="20" t="n">
        <v>48205</v>
      </c>
      <c r="F115" s="20" t="n">
        <v>61405</v>
      </c>
      <c r="G115" s="20" t="n">
        <v>69262</v>
      </c>
      <c r="H115" s="20" t="n">
        <v>11067</v>
      </c>
      <c r="I115" s="20" t="n">
        <v>18944</v>
      </c>
      <c r="J115" s="20" t="n">
        <v>41410</v>
      </c>
      <c r="K115" s="20" t="n">
        <v>39857</v>
      </c>
      <c r="L115" s="20" t="n">
        <v>61405</v>
      </c>
    </row>
    <row r="116">
      <c r="A116" s="18" t="inlineStr">
        <is>
          <t>Other Comprehensive Income Associated With Assets Held For Sale Equity</t>
        </is>
      </c>
      <c r="J116" s="20" t="n">
        <v>0</v>
      </c>
    </row>
    <row r="117">
      <c r="A117" s="18" t="inlineStr">
        <is>
          <t>지배기업 소유주 귀속 지분 합계</t>
        </is>
      </c>
      <c r="C117" s="20" t="n">
        <v>432491</v>
      </c>
      <c r="D117" s="20" t="n">
        <v>437407</v>
      </c>
      <c r="E117" s="20" t="n">
        <v>448346</v>
      </c>
      <c r="F117" s="20" t="n">
        <v>472565</v>
      </c>
      <c r="G117" s="20" t="n">
        <v>484157</v>
      </c>
      <c r="H117" s="20" t="n">
        <v>324494</v>
      </c>
      <c r="I117" s="20" t="n">
        <v>358122</v>
      </c>
      <c r="J117" s="20" t="n">
        <v>418562</v>
      </c>
      <c r="K117" s="20" t="n">
        <v>429278</v>
      </c>
      <c r="L117" s="20" t="n">
        <v>472565</v>
      </c>
    </row>
    <row r="118">
      <c r="A118" s="18" t="inlineStr">
        <is>
          <t>비지배지분</t>
        </is>
      </c>
      <c r="C118" s="20" t="n">
        <v>39502</v>
      </c>
      <c r="D118" s="20" t="n">
        <v>40580</v>
      </c>
      <c r="E118" s="20" t="n">
        <v>41033</v>
      </c>
      <c r="F118" s="20" t="n">
        <v>40892</v>
      </c>
      <c r="G118" s="20" t="n">
        <v>41154</v>
      </c>
      <c r="H118" s="20" t="n">
        <v>34914</v>
      </c>
      <c r="I118" s="20" t="n">
        <v>36644</v>
      </c>
      <c r="J118" s="20" t="n">
        <v>38750</v>
      </c>
      <c r="K118" s="20" t="n">
        <v>39865</v>
      </c>
      <c r="L118" s="20" t="n">
        <v>40892</v>
      </c>
    </row>
    <row r="119">
      <c r="A119" s="18" t="inlineStr">
        <is>
          <t>자본 합계</t>
        </is>
      </c>
      <c r="C119" s="20" t="n">
        <v>471994</v>
      </c>
      <c r="D119" s="20" t="n">
        <v>477987</v>
      </c>
      <c r="E119" s="20" t="n">
        <v>489379</v>
      </c>
      <c r="F119" s="20" t="n">
        <v>513457</v>
      </c>
      <c r="G119" s="20" t="n">
        <v>525311</v>
      </c>
      <c r="H119" s="20" t="n">
        <v>359408</v>
      </c>
      <c r="I119" s="20" t="n">
        <v>394767</v>
      </c>
      <c r="J119" s="20" t="n">
        <v>457313</v>
      </c>
      <c r="K119" s="20" t="n">
        <v>469144</v>
      </c>
      <c r="L119" s="20" t="n">
        <v>513457</v>
      </c>
    </row>
    <row r="120">
      <c r="A120" s="18" t="inlineStr">
        <is>
          <t>부채및자본 합계</t>
        </is>
      </c>
      <c r="C120" s="20" t="n">
        <v>791382</v>
      </c>
      <c r="D120" s="20" t="n">
        <v>802544</v>
      </c>
      <c r="E120" s="20" t="n">
        <v>815257</v>
      </c>
      <c r="F120" s="20" t="n">
        <v>856380</v>
      </c>
      <c r="G120" s="20" t="n">
        <v>905876</v>
      </c>
      <c r="H120" s="20" t="n">
        <v>728986</v>
      </c>
      <c r="I120" s="20" t="n">
        <v>772361</v>
      </c>
      <c r="J120" s="20" t="n">
        <v>788734</v>
      </c>
      <c r="K120" s="20" t="n">
        <v>782974</v>
      </c>
      <c r="L120" s="20" t="n">
        <v>856380</v>
      </c>
    </row>
    <row r="121">
      <c r="A121" s="18" t="inlineStr">
        <is>
          <t>현금 및 예금</t>
        </is>
      </c>
      <c r="H121" s="20" t="n">
        <v>58142</v>
      </c>
      <c r="I121" s="20" t="n">
        <v>58224</v>
      </c>
      <c r="J121" s="20" t="n">
        <v>64206</v>
      </c>
    </row>
    <row r="122">
      <c r="A122" s="18" t="inlineStr">
        <is>
          <t>받을어음·매출채권</t>
        </is>
      </c>
      <c r="H122" s="20" t="n">
        <v>0</v>
      </c>
    </row>
    <row r="123">
      <c r="A123" s="18" t="inlineStr">
        <is>
          <t>받을어음·매출채권·계약자산</t>
        </is>
      </c>
      <c r="H123" s="20" t="n">
        <v>125502</v>
      </c>
      <c r="I123" s="20" t="n">
        <v>127982</v>
      </c>
      <c r="J123" s="20" t="n">
        <v>127172</v>
      </c>
    </row>
    <row r="124">
      <c r="A124" s="18" t="inlineStr">
        <is>
          <t>전자기록채권</t>
        </is>
      </c>
      <c r="H124" s="20" t="n">
        <v>24345</v>
      </c>
      <c r="I124" s="20" t="n">
        <v>30671</v>
      </c>
      <c r="J124" s="20" t="n">
        <v>28352</v>
      </c>
    </row>
    <row r="125">
      <c r="A125" s="18" t="inlineStr">
        <is>
          <t>재고자산</t>
        </is>
      </c>
      <c r="H125" s="20" t="n">
        <v>174624</v>
      </c>
      <c r="I125" s="20" t="n">
        <v>201523</v>
      </c>
      <c r="J125" s="20" t="n">
        <v>198040</v>
      </c>
    </row>
    <row r="126">
      <c r="A126" s="18" t="inlineStr">
        <is>
          <t>기타</t>
        </is>
      </c>
      <c r="H126" s="20" t="n">
        <v>9150</v>
      </c>
      <c r="I126" s="20" t="n">
        <v>9767</v>
      </c>
      <c r="J126" s="20" t="n">
        <v>7737</v>
      </c>
    </row>
    <row r="127">
      <c r="A127" s="18" t="inlineStr">
        <is>
          <t>대손충당금</t>
        </is>
      </c>
      <c r="H127" s="20" t="n">
        <v>-78</v>
      </c>
      <c r="I127" s="20" t="n">
        <v>-50</v>
      </c>
      <c r="J127" s="20" t="n">
        <v>-54</v>
      </c>
    </row>
    <row r="128">
      <c r="A128" s="9" t="inlineStr">
        <is>
          <t>유동자산 합계</t>
        </is>
      </c>
      <c r="H128" s="12" t="n">
        <v>391686</v>
      </c>
      <c r="I128" s="12" t="n">
        <v>428118</v>
      </c>
      <c r="J128" s="12" t="n">
        <v>425455</v>
      </c>
    </row>
    <row r="129">
      <c r="A129" s="18" t="inlineStr">
        <is>
          <t>건물·구축물</t>
        </is>
      </c>
      <c r="H129" s="20" t="n">
        <v>212069</v>
      </c>
      <c r="I129" s="20" t="n">
        <v>215590</v>
      </c>
      <c r="J129" s="20" t="n">
        <v>213674</v>
      </c>
    </row>
    <row r="130">
      <c r="A130" s="18" t="inlineStr">
        <is>
          <t>감가상각누계액</t>
        </is>
      </c>
      <c r="H130" s="20" t="n">
        <v>-133236</v>
      </c>
      <c r="I130" s="20" t="n">
        <v>-137312</v>
      </c>
      <c r="J130" s="20" t="n">
        <v>-135519</v>
      </c>
    </row>
    <row r="131">
      <c r="A131" s="18" t="inlineStr">
        <is>
          <t>건물·구축물(순액)</t>
        </is>
      </c>
      <c r="H131" s="20" t="n">
        <v>78832</v>
      </c>
      <c r="I131" s="20" t="n">
        <v>78277</v>
      </c>
      <c r="J131" s="20" t="n">
        <v>78155</v>
      </c>
    </row>
    <row r="132">
      <c r="A132" s="18" t="inlineStr">
        <is>
          <t>기계장치·운반구</t>
        </is>
      </c>
      <c r="H132" s="20" t="n">
        <v>507661</v>
      </c>
      <c r="I132" s="20" t="n">
        <v>514790</v>
      </c>
      <c r="J132" s="20" t="n">
        <v>525903</v>
      </c>
    </row>
    <row r="133">
      <c r="A133" s="18" t="inlineStr">
        <is>
          <t>감가상각누계액</t>
        </is>
      </c>
      <c r="H133" s="20" t="n">
        <v>-412429</v>
      </c>
      <c r="I133" s="20" t="n">
        <v>-425210</v>
      </c>
      <c r="J133" s="20" t="n">
        <v>-438489</v>
      </c>
    </row>
    <row r="134">
      <c r="A134" s="18" t="inlineStr">
        <is>
          <t>기계장치·운반구(순액)</t>
        </is>
      </c>
      <c r="H134" s="20" t="n">
        <v>95232</v>
      </c>
      <c r="I134" s="20" t="n">
        <v>89579</v>
      </c>
      <c r="J134" s="20" t="n">
        <v>87414</v>
      </c>
    </row>
    <row r="135">
      <c r="A135" s="18" t="inlineStr">
        <is>
          <t>토지</t>
        </is>
      </c>
      <c r="H135" s="20" t="n">
        <v>36358</v>
      </c>
      <c r="I135" s="20" t="n">
        <v>36389</v>
      </c>
      <c r="J135" s="20" t="n">
        <v>36685</v>
      </c>
    </row>
    <row r="136">
      <c r="A136" s="18" t="inlineStr">
        <is>
          <t>건설중인자산</t>
        </is>
      </c>
      <c r="H136" s="20" t="n">
        <v>4944</v>
      </c>
      <c r="I136" s="20" t="n">
        <v>7438</v>
      </c>
      <c r="J136" s="20" t="n">
        <v>8304</v>
      </c>
    </row>
    <row r="137">
      <c r="A137" s="18" t="inlineStr">
        <is>
          <t>기타</t>
        </is>
      </c>
      <c r="H137" s="20" t="n">
        <v>33396</v>
      </c>
      <c r="I137" s="20" t="n">
        <v>34833</v>
      </c>
      <c r="J137" s="20" t="n">
        <v>35924</v>
      </c>
    </row>
    <row r="138">
      <c r="A138" s="18" t="inlineStr">
        <is>
          <t>감가상각누계액</t>
        </is>
      </c>
      <c r="H138" s="20" t="n">
        <v>-25062</v>
      </c>
      <c r="I138" s="20" t="n">
        <v>-26269</v>
      </c>
      <c r="J138" s="20" t="n">
        <v>-27370</v>
      </c>
    </row>
    <row r="139">
      <c r="A139" s="18" t="inlineStr">
        <is>
          <t>기타(순액)</t>
        </is>
      </c>
      <c r="H139" s="20" t="n">
        <v>8333</v>
      </c>
      <c r="I139" s="20" t="n">
        <v>8563</v>
      </c>
      <c r="J139" s="20" t="n">
        <v>8553</v>
      </c>
    </row>
    <row r="140">
      <c r="A140" s="18" t="inlineStr">
        <is>
          <t>유형자산 합계</t>
        </is>
      </c>
      <c r="H140" s="20" t="n">
        <v>223701</v>
      </c>
      <c r="I140" s="20" t="n">
        <v>220248</v>
      </c>
      <c r="J140" s="20" t="n">
        <v>219113</v>
      </c>
    </row>
    <row r="141">
      <c r="A141" s="18" t="inlineStr">
        <is>
          <t>무형자산</t>
        </is>
      </c>
      <c r="H141" s="20" t="n">
        <v>3776</v>
      </c>
      <c r="I141" s="20" t="n">
        <v>4530</v>
      </c>
      <c r="J141" s="20" t="n">
        <v>5013</v>
      </c>
    </row>
    <row r="142">
      <c r="A142" s="18" t="inlineStr">
        <is>
          <t>투자유가증권</t>
        </is>
      </c>
      <c r="H142" s="20" t="n">
        <v>86456</v>
      </c>
      <c r="I142" s="20" t="n">
        <v>90309</v>
      </c>
      <c r="J142" s="20" t="n">
        <v>89053</v>
      </c>
    </row>
    <row r="143">
      <c r="A143" s="18" t="inlineStr">
        <is>
          <t>이연법인세자산</t>
        </is>
      </c>
      <c r="H143" s="20" t="n">
        <v>3126</v>
      </c>
      <c r="I143" s="20" t="n">
        <v>1889</v>
      </c>
      <c r="J143" s="20" t="n">
        <v>2832</v>
      </c>
    </row>
    <row r="144">
      <c r="A144" s="18" t="inlineStr">
        <is>
          <t>퇴직급여자산</t>
        </is>
      </c>
      <c r="H144" s="20" t="n">
        <v>15840</v>
      </c>
      <c r="I144" s="20" t="n">
        <v>25078</v>
      </c>
      <c r="J144" s="20" t="n">
        <v>41461</v>
      </c>
    </row>
    <row r="145">
      <c r="A145" s="18" t="inlineStr">
        <is>
          <t>기타</t>
        </is>
      </c>
      <c r="H145" s="20" t="n">
        <v>3673</v>
      </c>
      <c r="I145" s="20" t="n">
        <v>3732</v>
      </c>
      <c r="J145" s="20" t="n">
        <v>4638</v>
      </c>
    </row>
    <row r="146">
      <c r="A146" s="18" t="inlineStr">
        <is>
          <t>대손충당금</t>
        </is>
      </c>
      <c r="H146" s="20" t="n">
        <v>-73</v>
      </c>
      <c r="I146" s="20" t="n">
        <v>-55</v>
      </c>
      <c r="J146" s="20" t="n">
        <v>-49</v>
      </c>
    </row>
    <row r="147">
      <c r="A147" s="18" t="inlineStr">
        <is>
          <t>투자 및 기타자산 합계</t>
        </is>
      </c>
      <c r="H147" s="20" t="n">
        <v>109022</v>
      </c>
      <c r="I147" s="20" t="n">
        <v>120954</v>
      </c>
      <c r="J147" s="20" t="n">
        <v>137935</v>
      </c>
    </row>
    <row r="148">
      <c r="A148" s="9" t="inlineStr">
        <is>
          <t>비유동자산 합계</t>
        </is>
      </c>
      <c r="H148" s="12" t="n">
        <v>336500</v>
      </c>
      <c r="I148" s="12" t="n">
        <v>345733</v>
      </c>
      <c r="J148" s="12" t="n">
        <v>362062</v>
      </c>
    </row>
    <row r="149">
      <c r="A149" s="9" t="inlineStr">
        <is>
          <t>자산 합계</t>
        </is>
      </c>
      <c r="H149" s="12" t="n">
        <v>728187</v>
      </c>
      <c r="I149" s="12" t="n">
        <v>773851</v>
      </c>
      <c r="J149" s="12" t="n">
        <v>787517</v>
      </c>
    </row>
    <row r="150">
      <c r="A150" s="18" t="inlineStr">
        <is>
          <t>지급어음·매입채무</t>
        </is>
      </c>
      <c r="H150" s="20" t="n">
        <v>53847</v>
      </c>
      <c r="I150" s="20" t="n">
        <v>48656</v>
      </c>
      <c r="J150" s="20" t="n">
        <v>44078</v>
      </c>
    </row>
    <row r="151">
      <c r="A151" s="18" t="inlineStr">
        <is>
          <t>전자기록채무</t>
        </is>
      </c>
      <c r="H151" s="20" t="n">
        <v>11321</v>
      </c>
      <c r="I151" s="20" t="n">
        <v>11424</v>
      </c>
      <c r="J151" s="20" t="n">
        <v>11015</v>
      </c>
    </row>
    <row r="152">
      <c r="A152" s="18" t="inlineStr">
        <is>
          <t>단기차입금</t>
        </is>
      </c>
      <c r="H152" s="20" t="n">
        <v>84562</v>
      </c>
      <c r="I152" s="20" t="n">
        <v>93309</v>
      </c>
      <c r="J152" s="20" t="n">
        <v>53098</v>
      </c>
    </row>
    <row r="153">
      <c r="A153" s="18" t="inlineStr">
        <is>
          <t>기업어음(CP)</t>
        </is>
      </c>
      <c r="H153" s="20" t="n">
        <v>47000</v>
      </c>
      <c r="I153" s="20" t="n">
        <v>26000</v>
      </c>
      <c r="J153" s="20" t="n">
        <v>0</v>
      </c>
    </row>
    <row r="154">
      <c r="A154" s="18" t="inlineStr">
        <is>
          <t>1년 내 상환 예정 사채</t>
        </is>
      </c>
      <c r="H154" s="20" t="n">
        <v>0</v>
      </c>
    </row>
    <row r="155">
      <c r="A155" s="18" t="inlineStr">
        <is>
          <t>미지급법인세</t>
        </is>
      </c>
      <c r="H155" s="20" t="n">
        <v>10157</v>
      </c>
      <c r="I155" s="20" t="n">
        <v>6390</v>
      </c>
      <c r="J155" s="20" t="n">
        <v>15628</v>
      </c>
    </row>
    <row r="156">
      <c r="A156" s="18" t="inlineStr">
        <is>
          <t>상여충당금</t>
        </is>
      </c>
      <c r="H156" s="20" t="n">
        <v>7789</v>
      </c>
      <c r="I156" s="20" t="n">
        <v>8051</v>
      </c>
      <c r="J156" s="20" t="n">
        <v>8210</v>
      </c>
    </row>
    <row r="157">
      <c r="A157" s="18" t="inlineStr">
        <is>
          <t>기타 충당금</t>
        </is>
      </c>
      <c r="H157" s="20" t="n">
        <v>528</v>
      </c>
      <c r="I157" s="20" t="n">
        <v>491</v>
      </c>
    </row>
    <row r="158">
      <c r="A158" s="18" t="inlineStr">
        <is>
          <t>임원 상여충당금</t>
        </is>
      </c>
      <c r="H158" s="20" t="n">
        <v>188</v>
      </c>
      <c r="I158" s="20" t="n">
        <v>198</v>
      </c>
      <c r="J158" s="20" t="n">
        <v>284</v>
      </c>
    </row>
    <row r="159">
      <c r="A159" s="18" t="inlineStr">
        <is>
          <t>주식급여 충당금</t>
        </is>
      </c>
      <c r="I159" s="20" t="n">
        <v>0</v>
      </c>
      <c r="J159" s="20" t="n">
        <v>115</v>
      </c>
    </row>
    <row r="160">
      <c r="A160" s="18" t="inlineStr">
        <is>
          <t>환경대책 충당금</t>
        </is>
      </c>
      <c r="H160" s="20" t="n">
        <v>272</v>
      </c>
      <c r="I160" s="20" t="n">
        <v>244</v>
      </c>
      <c r="J160" s="20" t="n">
        <v>368</v>
      </c>
    </row>
    <row r="161">
      <c r="A161" s="18" t="inlineStr">
        <is>
          <t>기타</t>
        </is>
      </c>
      <c r="H161" s="20" t="n">
        <v>14964</v>
      </c>
      <c r="I161" s="20" t="n">
        <v>20951</v>
      </c>
      <c r="J161" s="20" t="n">
        <v>21878</v>
      </c>
    </row>
    <row r="162">
      <c r="A162" s="9" t="inlineStr">
        <is>
          <t>유동부채 합계</t>
        </is>
      </c>
      <c r="H162" s="12" t="n">
        <v>230104</v>
      </c>
      <c r="I162" s="12" t="n">
        <v>215226</v>
      </c>
      <c r="J162" s="12" t="n">
        <v>154680</v>
      </c>
    </row>
    <row r="163">
      <c r="A163" s="18" t="inlineStr">
        <is>
          <t>사채</t>
        </is>
      </c>
      <c r="H163" s="20" t="n">
        <v>25000</v>
      </c>
      <c r="I163" s="20" t="n">
        <v>35000</v>
      </c>
      <c r="J163" s="20" t="n">
        <v>35000</v>
      </c>
    </row>
    <row r="164">
      <c r="A164" s="18" t="inlineStr">
        <is>
          <t>장기차입금</t>
        </is>
      </c>
      <c r="H164" s="20" t="n">
        <v>69911</v>
      </c>
      <c r="I164" s="20" t="n">
        <v>79980</v>
      </c>
      <c r="J164" s="20" t="n">
        <v>86481</v>
      </c>
    </row>
    <row r="165">
      <c r="A165" s="18" t="inlineStr">
        <is>
          <t>기타 충당금</t>
        </is>
      </c>
      <c r="H165" s="20" t="n">
        <v>4240</v>
      </c>
      <c r="I165" s="20" t="n">
        <v>3987</v>
      </c>
    </row>
    <row r="166">
      <c r="A166" s="18" t="inlineStr">
        <is>
          <t>이연법인세부채</t>
        </is>
      </c>
      <c r="H166" s="20" t="n">
        <v>14906</v>
      </c>
      <c r="I166" s="20" t="n">
        <v>15655</v>
      </c>
      <c r="J166" s="20" t="n">
        <v>21894</v>
      </c>
    </row>
    <row r="167">
      <c r="A167" s="18" t="inlineStr">
        <is>
          <t>재평가 관련 이연법인세부채</t>
        </is>
      </c>
      <c r="H167" s="20" t="n">
        <v>281</v>
      </c>
      <c r="I167" s="20" t="n">
        <v>281</v>
      </c>
      <c r="J167" s="20" t="n">
        <v>281</v>
      </c>
    </row>
    <row r="168">
      <c r="A168" s="18" t="inlineStr">
        <is>
          <t>임원 퇴직위로 충당금</t>
        </is>
      </c>
      <c r="H168" s="20" t="n">
        <v>746</v>
      </c>
      <c r="I168" s="20" t="n">
        <v>685</v>
      </c>
      <c r="J168" s="20" t="n">
        <v>730</v>
      </c>
    </row>
    <row r="169">
      <c r="A169" s="18" t="inlineStr">
        <is>
          <t>주식급여 충당금</t>
        </is>
      </c>
      <c r="I169" s="20" t="n">
        <v>33</v>
      </c>
      <c r="J169" s="20" t="n">
        <v>67</v>
      </c>
    </row>
    <row r="170">
      <c r="A170" s="18" t="inlineStr">
        <is>
          <t>환경대책 충당금</t>
        </is>
      </c>
      <c r="H170" s="20" t="n">
        <v>3494</v>
      </c>
      <c r="I170" s="20" t="n">
        <v>3267</v>
      </c>
      <c r="J170" s="20" t="n">
        <v>2879</v>
      </c>
    </row>
    <row r="171">
      <c r="A171" s="18" t="inlineStr">
        <is>
          <t>퇴직급여부채</t>
        </is>
      </c>
      <c r="H171" s="20" t="n">
        <v>13402</v>
      </c>
      <c r="I171" s="20" t="n">
        <v>12935</v>
      </c>
      <c r="J171" s="20" t="n">
        <v>12598</v>
      </c>
    </row>
    <row r="172">
      <c r="A172" s="18" t="inlineStr">
        <is>
          <t>기타</t>
        </is>
      </c>
      <c r="H172" s="20" t="n">
        <v>5336</v>
      </c>
      <c r="I172" s="20" t="n">
        <v>5304</v>
      </c>
      <c r="J172" s="20" t="n">
        <v>5216</v>
      </c>
    </row>
    <row r="173">
      <c r="A173" s="9" t="inlineStr">
        <is>
          <t>비유동부채 합계</t>
        </is>
      </c>
      <c r="H173" s="12" t="n">
        <v>133078</v>
      </c>
      <c r="I173" s="12" t="n">
        <v>153146</v>
      </c>
      <c r="J173" s="12" t="n">
        <v>165150</v>
      </c>
    </row>
    <row r="174">
      <c r="A174" s="9" t="inlineStr">
        <is>
          <t>부채 합계</t>
        </is>
      </c>
      <c r="H174" s="12" t="n">
        <v>363183</v>
      </c>
      <c r="I174" s="12" t="n">
        <v>368372</v>
      </c>
      <c r="J174" s="12" t="n">
        <v>319830</v>
      </c>
    </row>
    <row r="175">
      <c r="A175" s="18" t="inlineStr">
        <is>
          <t>자본금</t>
        </is>
      </c>
      <c r="H175" s="20" t="n">
        <v>37172</v>
      </c>
      <c r="I175" s="20" t="n">
        <v>37172</v>
      </c>
      <c r="J175" s="20" t="n">
        <v>37172</v>
      </c>
    </row>
    <row r="176">
      <c r="A176" s="18" t="inlineStr">
        <is>
          <t>자본잉여금</t>
        </is>
      </c>
      <c r="H176" s="20" t="n">
        <v>31228</v>
      </c>
      <c r="I176" s="20" t="n">
        <v>31231</v>
      </c>
      <c r="J176" s="20" t="n">
        <v>31399</v>
      </c>
    </row>
    <row r="177">
      <c r="A177" s="18" t="inlineStr">
        <is>
          <t>이익잉여금</t>
        </is>
      </c>
      <c r="H177" s="20" t="n">
        <v>238443</v>
      </c>
      <c r="I177" s="20" t="n">
        <v>266353</v>
      </c>
      <c r="J177" s="20" t="n">
        <v>306296</v>
      </c>
    </row>
    <row r="178">
      <c r="A178" s="18" t="inlineStr">
        <is>
          <t>자기주식</t>
        </is>
      </c>
      <c r="H178" s="20" t="n">
        <v>-3663</v>
      </c>
      <c r="I178" s="20" t="n">
        <v>-3668</v>
      </c>
      <c r="J178" s="20" t="n">
        <v>-3865</v>
      </c>
    </row>
    <row r="179">
      <c r="A179" s="9" t="inlineStr">
        <is>
          <t>주주자본 합계</t>
        </is>
      </c>
      <c r="H179" s="12" t="n">
        <v>303179</v>
      </c>
      <c r="I179" s="12" t="n">
        <v>331089</v>
      </c>
      <c r="J179" s="12" t="n">
        <v>371003</v>
      </c>
    </row>
    <row r="180">
      <c r="A180" s="18" t="inlineStr">
        <is>
          <t>기타유가증권 평가차액</t>
        </is>
      </c>
      <c r="H180" s="20" t="n">
        <v>21323</v>
      </c>
      <c r="I180" s="20" t="n">
        <v>24424</v>
      </c>
      <c r="J180" s="20" t="n">
        <v>29580</v>
      </c>
    </row>
    <row r="181">
      <c r="A181" s="18" t="inlineStr">
        <is>
          <t>이연헤지손익</t>
        </is>
      </c>
      <c r="H181" s="20" t="n">
        <v>10</v>
      </c>
      <c r="I181" s="20" t="n">
        <v>19</v>
      </c>
      <c r="J181" s="20" t="n">
        <v>9</v>
      </c>
    </row>
    <row r="182">
      <c r="A182" s="18" t="inlineStr">
        <is>
          <t>토지재평가차액금</t>
        </is>
      </c>
      <c r="H182" s="20" t="n">
        <v>657</v>
      </c>
      <c r="I182" s="20" t="n">
        <v>657</v>
      </c>
      <c r="J182" s="20" t="n">
        <v>657</v>
      </c>
    </row>
    <row r="183">
      <c r="A183" s="18" t="inlineStr">
        <is>
          <t>해외사업환산조정</t>
        </is>
      </c>
      <c r="H183" s="20" t="n">
        <v>4968</v>
      </c>
      <c r="I183" s="20" t="n">
        <v>6736</v>
      </c>
      <c r="J183" s="20" t="n">
        <v>10543</v>
      </c>
    </row>
    <row r="184">
      <c r="A184" s="18" t="inlineStr">
        <is>
          <t>퇴직급여 조정누계액</t>
        </is>
      </c>
      <c r="H184" s="20" t="n">
        <v>-426</v>
      </c>
      <c r="I184" s="20" t="n">
        <v>5790</v>
      </c>
      <c r="J184" s="20" t="n">
        <v>16563</v>
      </c>
    </row>
    <row r="185">
      <c r="A185" s="18" t="inlineStr">
        <is>
          <t>기타포괄손익누계액 합계</t>
        </is>
      </c>
      <c r="H185" s="20" t="n">
        <v>26533</v>
      </c>
      <c r="I185" s="20" t="n">
        <v>37628</v>
      </c>
      <c r="J185" s="20" t="n">
        <v>57355</v>
      </c>
    </row>
    <row r="186">
      <c r="A186" s="18" t="inlineStr">
        <is>
          <t>비지배지분</t>
        </is>
      </c>
      <c r="H186" s="20" t="n">
        <v>35290</v>
      </c>
      <c r="I186" s="20" t="n">
        <v>36760</v>
      </c>
      <c r="J186" s="20" t="n">
        <v>39327</v>
      </c>
    </row>
    <row r="187">
      <c r="A187" s="9" t="inlineStr">
        <is>
          <t>순자산 합계</t>
        </is>
      </c>
      <c r="H187" s="12" t="n">
        <v>365004</v>
      </c>
      <c r="I187" s="12" t="n">
        <v>405479</v>
      </c>
      <c r="J187" s="12" t="n">
        <v>467687</v>
      </c>
    </row>
    <row r="188">
      <c r="A188" s="9" t="inlineStr">
        <is>
          <t>부채·순자산 합계</t>
        </is>
      </c>
      <c r="H188" s="12" t="n">
        <v>728187</v>
      </c>
      <c r="I188" s="12" t="n">
        <v>773851</v>
      </c>
      <c r="J188" s="12" t="n">
        <v>787517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１분기 결산단신</t>
        </is>
      </c>
      <c r="C4" t="inlineStr">
        <is>
          <t>https://www2.jpx.co.jp/disc/54710/140120260728500455.pdf</t>
        </is>
      </c>
    </row>
    <row r="5">
      <c r="A5" t="inlineStr">
        <is>
          <t>2026-05-15</t>
        </is>
      </c>
      <c r="B5" t="inlineStr">
        <is>
          <t>2026년 3월 결산기 연간 결산단신</t>
        </is>
      </c>
      <c r="C5" t="inlineStr">
        <is>
          <t>https://www2.jpx.co.jp/disc/54710/140120260514535890.pdf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https://www2.jpx.co.jp/disc/54710/140120260129541116.pdf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https://www2.jpx.co.jp/disc/54710/140120251029581922.pdf</t>
        </is>
      </c>
    </row>
    <row r="8">
      <c r="A8" t="inlineStr">
        <is>
          <t>2025-07-28</t>
        </is>
      </c>
      <c r="B8" t="inlineStr">
        <is>
          <t>2026년 3월 결산기 １분기 결산단신</t>
        </is>
      </c>
      <c r="C8" t="inlineStr">
        <is>
          <t>https://www2.jpx.co.jp/disc/54710/140120250728521406.pdf</t>
        </is>
      </c>
    </row>
    <row r="9">
      <c r="A9" t="inlineStr">
        <is>
          <t>2025-05-08</t>
        </is>
      </c>
      <c r="B9" t="inlineStr">
        <is>
          <t>2025년 3월 결산기 연간 결산단신</t>
        </is>
      </c>
      <c r="C9" t="inlineStr">
        <is>
          <t>https://www2.jpx.co.jp/disc/54710/140120250507532684.pdf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https://www2.jpx.co.jp/disc/54710/140120250130558537.pdf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https://www2.jpx.co.jp/disc/54710/140120241029505297.pdf</t>
        </is>
      </c>
    </row>
    <row r="12">
      <c r="A12" t="inlineStr">
        <is>
          <t>2024-07-29</t>
        </is>
      </c>
      <c r="B12" t="inlineStr">
        <is>
          <t>2025년 3월 결산기 １분기 결산단신</t>
        </is>
      </c>
      <c r="C12" t="inlineStr">
        <is>
          <t>https://www2.jpx.co.jp/disc/54710/140120240726556000.pdf</t>
        </is>
      </c>
    </row>
    <row r="13">
      <c r="A13" t="inlineStr">
        <is>
          <t>2024-06-26</t>
        </is>
      </c>
      <c r="B13" t="inlineStr">
        <is>
          <t>2024년 3월 결산기 연간 결산단신</t>
        </is>
      </c>
      <c r="C13" t="inlineStr">
        <is>
          <t>https://www2.jpx.co.jp/disc/54710/140120240624535329.pdf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https://www2.jpx.co.jp/disc/54710/140120240509587471.pdf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https://www2.jpx.co.jp/disc/54710/140120240131522616.pdf</t>
        </is>
      </c>
    </row>
    <row r="16">
      <c r="A16" t="inlineStr">
        <is>
          <t>2023-10-30</t>
        </is>
      </c>
      <c r="B16" t="inlineStr">
        <is>
          <t>2024년 3월 결산기 ２분기 결산단신</t>
        </is>
      </c>
      <c r="C16" t="inlineStr">
        <is>
          <t>https://www2.jpx.co.jp/disc/54710/140120231027573643.pdf</t>
        </is>
      </c>
    </row>
    <row r="17">
      <c r="A17" t="inlineStr">
        <is>
          <t>2023-07-28</t>
        </is>
      </c>
      <c r="B17" t="inlineStr">
        <is>
          <t>2024년 3월 결산기 １분기 결산단신</t>
        </is>
      </c>
      <c r="C17" t="inlineStr">
        <is>
          <t>https://www2.jpx.co.jp/disc/54710/140120230727528442.pdf</t>
        </is>
      </c>
    </row>
    <row r="18">
      <c r="A18" t="inlineStr">
        <is>
          <t>2023-04-28</t>
        </is>
      </c>
      <c r="B18" t="inlineStr">
        <is>
          <t>2023년 3월 결산기 연간 결산단신</t>
        </is>
      </c>
      <c r="C18" t="inlineStr">
        <is>
          <t>https://www2.jpx.co.jp/disc/54710/140120230427555242.pdf</t>
        </is>
      </c>
    </row>
    <row r="19">
      <c r="A19" t="inlineStr">
        <is>
          <t>2023-01-30</t>
        </is>
      </c>
      <c r="B19" t="inlineStr">
        <is>
          <t>2023년 3월 결산기 ３분기 결산단신</t>
        </is>
      </c>
      <c r="C19" t="inlineStr">
        <is>
          <t>https://www2.jpx.co.jp/disc/54710/140120230127594886.pdf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https://www2.jpx.co.jp/disc/54710/140120220427530221.pdf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https://www2.jpx.co.jp/disc/54710/140120210428403263.pdf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https://www2.jpx.co.jp/disc/54710/140120200514414599.pdf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https://www2.jpx.co.jp/disc/54710/140120190425411231.pdf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2026-10-26T10:54:52Z</dcterms:created>
  <dcterms:modified xmlns:dcterms="http://purl.org/dc/terms/" xmlns:xsi="http://www.w3.org/2001/XMLSchema-instance" xsi:type="dcterms:W3CDTF">2026-10-26T10:54:52Z</dcterms:modified>
</cp:coreProperties>
</file>