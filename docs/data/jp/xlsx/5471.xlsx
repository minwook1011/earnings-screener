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8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5471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145349</v>
      </c>
      <c r="D4" s="12" t="n">
        <v>151534</v>
      </c>
      <c r="E4" s="12" t="n">
        <v>139795</v>
      </c>
      <c r="F4" s="12" t="n">
        <v>142094</v>
      </c>
      <c r="G4" s="12" t="n">
        <v>141345</v>
      </c>
      <c r="H4" s="12" t="n">
        <v>150522</v>
      </c>
      <c r="I4" s="12" t="n">
        <v>140984</v>
      </c>
      <c r="J4" s="12" t="n">
        <v>142352</v>
      </c>
      <c r="K4" s="12" t="n">
        <v>142147</v>
      </c>
      <c r="L4" s="12" t="n">
        <v>145731</v>
      </c>
      <c r="M4" s="12" t="n">
        <v>147899</v>
      </c>
      <c r="N4" s="12" t="n">
        <v>163530</v>
      </c>
      <c r="O4" s="11" t="n"/>
      <c r="P4" s="12" t="n">
        <v>505219</v>
      </c>
      <c r="Q4" s="12" t="n">
        <v>543255</v>
      </c>
      <c r="R4" s="12" t="n">
        <v>490421</v>
      </c>
      <c r="S4" s="12" t="n">
        <v>412722</v>
      </c>
      <c r="T4" s="12" t="n">
        <v>529667</v>
      </c>
      <c r="U4" s="12" t="n">
        <v>579013</v>
      </c>
      <c r="V4" s="12" t="n">
        <v>578564</v>
      </c>
      <c r="W4" s="12" t="n">
        <v>574945</v>
      </c>
      <c r="X4" s="12" t="n">
        <v>578129</v>
      </c>
      <c r="Y4" s="11">
        <f>IF(COUNT(Y7,Y10,Y13,Y16,Y19,Y22,Y25,Y28,Y31,Y34)=0,"",SUM(Y7,Y10,Y13,Y16,Y19,Y22,Y25,Y28,Y31,Y34))</f>
        <v/>
      </c>
      <c r="Z4" s="12">
        <f>IF(COUNT(Z7,Z10,Z13,Z16,Z19,Z22,Z25,Z28,Z31,Z34)=0,"",SUM(Z7,Z10,Z13,Z16,Z19,Z22,Z25,Z28,Z31,Z34))</f>
        <v/>
      </c>
      <c r="AA4" s="12">
        <f>IF(COUNT(AA7,AA10,AA13,AA16,AA19,AA22,AA25,AA28,AA31,AA34)=0,"",SUM(AA7,AA10,AA13,AA16,AA19,AA22,AA25,AA28,AA31,AA34))</f>
        <v/>
      </c>
      <c r="AB4" s="12">
        <f>IF(COUNT(AB7,AB10,AB13,AB16,AB19,AB22,AB25,AB28,AB31,AB34)=0,"",SUM(AB7,AB10,AB13,AB16,AB19,AB22,AB25,AB28,AB31,AB34))</f>
        <v/>
      </c>
      <c r="AC4" s="12">
        <f>IF(COUNT(AC7,AC10,AC13,AC16,AC19,AC22,AC25,AC28,AC31,AC34)=0,"",SUM(AC7,AC10,AC13,AC16,AC19,AC22,AC25,AC28,AC31,AC34))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Specialty Steel</t>
        </is>
      </c>
      <c r="B7" s="10" t="n"/>
      <c r="C7" s="19" t="n">
        <v>53405</v>
      </c>
      <c r="D7" s="20" t="n">
        <v>58872</v>
      </c>
      <c r="E7" s="20" t="n"/>
      <c r="F7" s="20" t="n">
        <v>53427</v>
      </c>
      <c r="G7" s="20" t="n">
        <v>52051</v>
      </c>
      <c r="H7" s="20" t="n">
        <v>54945</v>
      </c>
      <c r="I7" s="20" t="n"/>
      <c r="J7" s="20" t="n">
        <v>51216</v>
      </c>
      <c r="K7" s="20" t="n">
        <v>48763</v>
      </c>
      <c r="L7" s="20" t="n">
        <v>53043</v>
      </c>
      <c r="M7" s="20" t="n"/>
      <c r="N7" s="20" t="n">
        <v>59403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Functional Material And Magnetic Material</t>
        </is>
      </c>
      <c r="B10" s="10" t="n"/>
      <c r="C10" s="19" t="n">
        <v>51177</v>
      </c>
      <c r="D10" s="20" t="n">
        <v>50741</v>
      </c>
      <c r="E10" s="20" t="n"/>
      <c r="F10" s="20" t="n">
        <v>49694</v>
      </c>
      <c r="G10" s="20" t="n">
        <v>50422</v>
      </c>
      <c r="H10" s="20" t="n">
        <v>52968</v>
      </c>
      <c r="I10" s="20" t="n"/>
      <c r="J10" s="20" t="n">
        <v>48302</v>
      </c>
      <c r="K10" s="20" t="n">
        <v>48492</v>
      </c>
      <c r="L10" s="20" t="n">
        <v>51128</v>
      </c>
      <c r="M10" s="20" t="n"/>
      <c r="N10" s="20" t="n">
        <v>58043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Automobile Parts And Industrial Machine Parts</t>
        </is>
      </c>
      <c r="B13" s="10" t="n"/>
      <c r="C13" s="19" t="n">
        <v>26956</v>
      </c>
      <c r="D13" s="20" t="n">
        <v>27560</v>
      </c>
      <c r="E13" s="20" t="n"/>
      <c r="F13" s="20" t="n">
        <v>27196</v>
      </c>
      <c r="G13" s="20" t="n">
        <v>26538</v>
      </c>
      <c r="H13" s="20" t="n">
        <v>30015</v>
      </c>
      <c r="I13" s="20" t="n"/>
      <c r="J13" s="20" t="n">
        <v>29299</v>
      </c>
      <c r="K13" s="20" t="n">
        <v>29867</v>
      </c>
      <c r="L13" s="20" t="n">
        <v>29808</v>
      </c>
      <c r="M13" s="20" t="n"/>
      <c r="N13" s="20" t="n">
        <v>31640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Engineering</t>
        </is>
      </c>
      <c r="B16" s="10" t="n"/>
      <c r="C16" s="19" t="n">
        <v>5987</v>
      </c>
      <c r="D16" s="20" t="n">
        <v>6097</v>
      </c>
      <c r="E16" s="20" t="n"/>
      <c r="F16" s="20" t="n">
        <v>4616</v>
      </c>
      <c r="G16" s="20" t="n">
        <v>5971</v>
      </c>
      <c r="H16" s="20" t="n">
        <v>5686</v>
      </c>
      <c r="I16" s="20" t="n"/>
      <c r="J16" s="20" t="n">
        <v>6815</v>
      </c>
      <c r="K16" s="20" t="n">
        <v>7442</v>
      </c>
      <c r="L16" s="20" t="n">
        <v>6006</v>
      </c>
      <c r="M16" s="20" t="n"/>
      <c r="N16" s="20" t="n">
        <v>7254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Logistics And Service</t>
        </is>
      </c>
      <c r="B19" s="10" t="n"/>
      <c r="C19" s="19" t="n">
        <v>7824</v>
      </c>
      <c r="D19" s="20" t="n">
        <v>8264</v>
      </c>
      <c r="E19" s="20" t="n"/>
      <c r="F19" s="20" t="n">
        <v>7159</v>
      </c>
      <c r="G19" s="20" t="n">
        <v>6363</v>
      </c>
      <c r="H19" s="20" t="n">
        <v>6908</v>
      </c>
      <c r="I19" s="20" t="n"/>
      <c r="J19" s="20" t="n">
        <v>6719</v>
      </c>
      <c r="K19" s="20" t="n">
        <v>7581</v>
      </c>
      <c r="L19" s="20" t="n">
        <v>5746</v>
      </c>
      <c r="M19" s="20" t="n"/>
      <c r="N19" s="20" t="n">
        <v>7188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Specialty Steel Reportable Segments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218743</v>
      </c>
      <c r="W22" s="20" t="n">
        <v>210162</v>
      </c>
      <c r="X22" s="20" t="n">
        <v>207781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Functional Material And Magnetic Material Reportable Segments</t>
        </is>
      </c>
      <c r="B25" s="10" t="n"/>
      <c r="C25" s="19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202384</v>
      </c>
      <c r="W25" s="20" t="n">
        <v>200863</v>
      </c>
      <c r="X25" s="20" t="n">
        <v>199753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Automobile Parts And Industrial Machine Parts Reportable Segments</t>
        </is>
      </c>
      <c r="B28" s="10" t="n"/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104996</v>
      </c>
      <c r="W28" s="20" t="n">
        <v>113031</v>
      </c>
      <c r="X28" s="20" t="n">
        <v>117937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Engineering Reportable Segments</t>
        </is>
      </c>
      <c r="B31" s="10" t="n"/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>
        <v>23091</v>
      </c>
      <c r="W31" s="20" t="n">
        <v>24067</v>
      </c>
      <c r="X31" s="20" t="n">
        <v>26625</v>
      </c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Logistics And Service Reportable Segments</t>
        </is>
      </c>
      <c r="B34" s="10" t="n"/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>
        <v>29347</v>
      </c>
      <c r="W34" s="20" t="n">
        <v>26820</v>
      </c>
      <c r="X34" s="20" t="n">
        <v>26031</v>
      </c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매출원가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전체 매출원가</t>
        </is>
      </c>
      <c r="B38" s="10" t="n"/>
      <c r="C38" s="19" t="n">
        <v>119857</v>
      </c>
      <c r="D38" s="20" t="n">
        <v>122472</v>
      </c>
      <c r="E38" s="20" t="n">
        <v>118684</v>
      </c>
      <c r="F38" s="20" t="n">
        <v>115949</v>
      </c>
      <c r="G38" s="20" t="n">
        <v>115633</v>
      </c>
      <c r="H38" s="20" t="n">
        <v>120482</v>
      </c>
      <c r="I38" s="20" t="n">
        <v>118693</v>
      </c>
      <c r="J38" s="20" t="n">
        <v>117664</v>
      </c>
      <c r="K38" s="20" t="n">
        <v>116683</v>
      </c>
      <c r="L38" s="20" t="n">
        <v>117742</v>
      </c>
      <c r="M38" s="20" t="n">
        <v>124739</v>
      </c>
      <c r="N38" s="20" t="n">
        <v>134320</v>
      </c>
      <c r="O38" s="19" t="n"/>
      <c r="P38" s="20" t="n">
        <v>412712</v>
      </c>
      <c r="Q38" s="20" t="n">
        <v>451755</v>
      </c>
      <c r="R38" s="20" t="n">
        <v>409382</v>
      </c>
      <c r="S38" s="20" t="n">
        <v>351526</v>
      </c>
      <c r="T38" s="20" t="n">
        <v>437556</v>
      </c>
      <c r="U38" s="20" t="n">
        <v>476064</v>
      </c>
      <c r="V38" s="20" t="n">
        <v>480618</v>
      </c>
      <c r="W38" s="20" t="n">
        <v>470757</v>
      </c>
      <c r="X38" s="20" t="n">
        <v>476828</v>
      </c>
      <c r="Y38" s="19" t="n"/>
      <c r="Z38" s="20" t="n"/>
      <c r="AA38" s="20" t="n"/>
      <c r="AB38" s="20" t="n"/>
      <c r="AC38" s="20" t="n"/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IF(OR(G38="",C38=""),"",IF(C38&lt;=0,"",IFERROR(G38/C38-1,"")))</f>
        <v/>
      </c>
      <c r="H39" s="15">
        <f>IF(OR(H38="",D38=""),"",IF(D38&lt;=0,"",IFERROR(H38/D38-1,"")))</f>
        <v/>
      </c>
      <c r="I39" s="15">
        <f>IF(OR(I38="",E38=""),"",IF(E38&lt;=0,"",IFERROR(I38/E38-1,"")))</f>
        <v/>
      </c>
      <c r="J39" s="15">
        <f>IF(OR(J38="",F38=""),"",IF(F38&lt;=0,"",IFERROR(J38/F38-1,"")))</f>
        <v/>
      </c>
      <c r="K39" s="15">
        <f>IF(OR(K38="",G38=""),"",IF(G38&lt;=0,"",IFERROR(K38/G38-1,"")))</f>
        <v/>
      </c>
      <c r="L39" s="15">
        <f>IF(OR(L38="",H38=""),"",IF(H38&lt;=0,"",IFERROR(L38/H38-1,"")))</f>
        <v/>
      </c>
      <c r="M39" s="15">
        <f>IF(OR(M38="",I38=""),"",IF(I38&lt;=0,"",IFERROR(M38/I38-1,"")))</f>
        <v/>
      </c>
      <c r="N39" s="15">
        <f>IF(OR(N38="",J38=""),"",IF(J38&lt;=0,"",IFERROR(N38/J38-1,"")))</f>
        <v/>
      </c>
      <c r="O39" s="14" t="n"/>
      <c r="P39" s="15">
        <f>IF(OR(P38="",O38=""),"",IF(O38&lt;=0,"",IFERROR(P38/O38-1,"")))</f>
        <v/>
      </c>
      <c r="Q39" s="15">
        <f>IF(OR(Q38="",P38=""),"",IF(P38&lt;=0,"",IFERROR(Q38/P38-1,"")))</f>
        <v/>
      </c>
      <c r="R39" s="15">
        <f>IF(OR(R38="",Q38=""),"",IF(Q38&lt;=0,"",IFERROR(R38/Q38-1,"")))</f>
        <v/>
      </c>
      <c r="S39" s="15">
        <f>IF(OR(S38="",R38=""),"",IF(R38&lt;=0,"",IFERROR(S38/R38-1,"")))</f>
        <v/>
      </c>
      <c r="T39" s="15">
        <f>IF(OR(T38="",S38=""),"",IF(S38&lt;=0,"",IFERROR(T38/S38-1,"")))</f>
        <v/>
      </c>
      <c r="U39" s="15">
        <f>IF(OR(U38="",T38=""),"",IF(T38&lt;=0,"",IFERROR(U38/T38-1,"")))</f>
        <v/>
      </c>
      <c r="V39" s="15">
        <f>IF(OR(V38="",U38=""),"",IF(U38&lt;=0,"",IFERROR(V38/U38-1,"")))</f>
        <v/>
      </c>
      <c r="W39" s="15">
        <f>IF(OR(W38="",V38=""),"",IF(V38&lt;=0,"",IFERROR(W38/V38-1,"")))</f>
        <v/>
      </c>
      <c r="X39" s="15">
        <f>IF(OR(X38="",W38=""),"",IF(W38&lt;=0,"",IFERROR(X38/W38-1,"")))</f>
        <v/>
      </c>
      <c r="Y39" s="14">
        <f>IF(OR(Y38="",X38=""),"",IF(X38&lt;=0,"",IFERROR(Y38/X38-1,"")))</f>
        <v/>
      </c>
      <c r="Z39" s="15">
        <f>IF(OR(Z38="",Y38=""),"",IF(Y38&lt;=0,"",IFERROR(Z38/Y38-1,"")))</f>
        <v/>
      </c>
      <c r="AA39" s="15">
        <f>IF(OR(AA38="",Z38=""),"",IF(Z38&lt;=0,"",IFERROR(AA38/Z38-1,"")))</f>
        <v/>
      </c>
      <c r="AB39" s="15">
        <f>IF(OR(AB38="",AA38=""),"",IF(AA38&lt;=0,"",IFERROR(AB38/AA38-1,"")))</f>
        <v/>
      </c>
      <c r="AC39" s="15">
        <f>IF(OR(AC38="",AB38=""),"",IF(AB38&lt;=0,"",IFERROR(AC38/AB38-1,"")))</f>
        <v/>
      </c>
    </row>
    <row r="40">
      <c r="A40" s="18" t="inlineStr">
        <is>
          <t>매출총이익</t>
        </is>
      </c>
      <c r="B40" s="10" t="n"/>
      <c r="C40" s="19">
        <f>IF(OR(C4="",C38=""),"",IFERROR(C4-C38,""))</f>
        <v/>
      </c>
      <c r="D40" s="20">
        <f>IF(OR(D4="",D38=""),"",IFERROR(D4-D38,""))</f>
        <v/>
      </c>
      <c r="E40" s="20">
        <f>IF(OR(E4="",E38=""),"",IFERROR(E4-E38,""))</f>
        <v/>
      </c>
      <c r="F40" s="20">
        <f>IF(OR(F4="",F38=""),"",IFERROR(F4-F38,""))</f>
        <v/>
      </c>
      <c r="G40" s="20">
        <f>IF(OR(G4="",G38=""),"",IFERROR(G4-G38,""))</f>
        <v/>
      </c>
      <c r="H40" s="20">
        <f>IF(OR(H4="",H38=""),"",IFERROR(H4-H38,""))</f>
        <v/>
      </c>
      <c r="I40" s="20">
        <f>IF(OR(I4="",I38=""),"",IFERROR(I4-I38,""))</f>
        <v/>
      </c>
      <c r="J40" s="20">
        <f>IF(OR(J4="",J38=""),"",IFERROR(J4-J38,""))</f>
        <v/>
      </c>
      <c r="K40" s="20">
        <f>IF(OR(K4="",K38=""),"",IFERROR(K4-K38,""))</f>
        <v/>
      </c>
      <c r="L40" s="20">
        <f>IF(OR(L4="",L38=""),"",IFERROR(L4-L38,""))</f>
        <v/>
      </c>
      <c r="M40" s="20">
        <f>IF(OR(M4="",M38=""),"",IFERROR(M4-M38,""))</f>
        <v/>
      </c>
      <c r="N40" s="20">
        <f>IF(OR(N4="",N38=""),"",IFERROR(N4-N38,""))</f>
        <v/>
      </c>
      <c r="O40" s="19">
        <f>IF(OR(O4="",O38=""),"",IFERROR(O4-O38,""))</f>
        <v/>
      </c>
      <c r="P40" s="20">
        <f>IF(OR(P4="",P38=""),"",IFERROR(P4-P38,""))</f>
        <v/>
      </c>
      <c r="Q40" s="20">
        <f>IF(OR(Q4="",Q38=""),"",IFERROR(Q4-Q38,""))</f>
        <v/>
      </c>
      <c r="R40" s="20">
        <f>IF(OR(R4="",R38=""),"",IFERROR(R4-R38,""))</f>
        <v/>
      </c>
      <c r="S40" s="20">
        <f>IF(OR(S4="",S38=""),"",IFERROR(S4-S38,""))</f>
        <v/>
      </c>
      <c r="T40" s="20">
        <f>IF(OR(T4="",T38=""),"",IFERROR(T4-T38,""))</f>
        <v/>
      </c>
      <c r="U40" s="20">
        <f>IF(OR(U4="",U38=""),"",IFERROR(U4-U38,""))</f>
        <v/>
      </c>
      <c r="V40" s="20">
        <f>IF(OR(V4="",V38=""),"",IFERROR(V4-V38,""))</f>
        <v/>
      </c>
      <c r="W40" s="20">
        <f>IF(OR(W4="",W38=""),"",IFERROR(W4-W38,""))</f>
        <v/>
      </c>
      <c r="X40" s="20">
        <f>IF(OR(X4="",X38=""),"",IFERROR(X4-X38,""))</f>
        <v/>
      </c>
      <c r="Y40" s="19" t="n"/>
      <c r="Z40" s="20" t="n"/>
      <c r="AA40" s="20" t="n"/>
      <c r="AB40" s="20" t="n"/>
      <c r="AC40" s="20" t="n"/>
    </row>
    <row r="41">
      <c r="A41" s="13" t="inlineStr">
        <is>
          <t>GPM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>
        <f>IF(OR(Y40="",Y4=""),"",IFERROR(Y40/Y4,""))</f>
        <v/>
      </c>
      <c r="Z41" s="15">
        <f>IF(OR(Z40="",Z4=""),"",IFERROR(Z40/Z4,""))</f>
        <v/>
      </c>
      <c r="AA41" s="15">
        <f>IF(OR(AA40="",AA4=""),"",IFERROR(AA40/AA4,""))</f>
        <v/>
      </c>
      <c r="AB41" s="15">
        <f>IF(OR(AB40="",AB4=""),"",IFERROR(AB40/AB4,""))</f>
        <v/>
      </c>
      <c r="AC41" s="15">
        <f>IF(OR(AC40="",AC4=""),"",IFERROR(AC40/AC4,""))</f>
        <v/>
      </c>
    </row>
    <row r="42">
      <c r="A42" s="13" t="inlineStr">
        <is>
          <t>YoY</t>
        </is>
      </c>
      <c r="B42" s="10" t="n"/>
      <c r="C42" s="14" t="n"/>
      <c r="D42" s="15" t="n"/>
      <c r="E42" s="15" t="n"/>
      <c r="F42" s="15" t="n"/>
      <c r="G42" s="15">
        <f>IF(OR(G40="",C40=""),"",IF(C40&lt;=0,"",IFERROR(G40/C40-1,"")))</f>
        <v/>
      </c>
      <c r="H42" s="15">
        <f>IF(OR(H40="",D40=""),"",IF(D40&lt;=0,"",IFERROR(H40/D40-1,"")))</f>
        <v/>
      </c>
      <c r="I42" s="15">
        <f>IF(OR(I40="",E40=""),"",IF(E40&lt;=0,"",IFERROR(I40/E40-1,"")))</f>
        <v/>
      </c>
      <c r="J42" s="15">
        <f>IF(OR(J40="",F40=""),"",IF(F40&lt;=0,"",IFERROR(J40/F40-1,"")))</f>
        <v/>
      </c>
      <c r="K42" s="15">
        <f>IF(OR(K40="",G40=""),"",IF(G40&lt;=0,"",IFERROR(K40/G40-1,"")))</f>
        <v/>
      </c>
      <c r="L42" s="15">
        <f>IF(OR(L40="",H40=""),"",IF(H40&lt;=0,"",IFERROR(L40/H40-1,"")))</f>
        <v/>
      </c>
      <c r="M42" s="15">
        <f>IF(OR(M40="",I40=""),"",IF(I40&lt;=0,"",IFERROR(M40/I40-1,"")))</f>
        <v/>
      </c>
      <c r="N42" s="15">
        <f>IF(OR(N40="",J40=""),"",IF(J40&lt;=0,"",IFERROR(N40/J40-1,"")))</f>
        <v/>
      </c>
      <c r="O42" s="14" t="n"/>
      <c r="P42" s="15">
        <f>IF(OR(P40="",O40=""),"",IF(O40&lt;=0,"",IFERROR(P40/O40-1,"")))</f>
        <v/>
      </c>
      <c r="Q42" s="15">
        <f>IF(OR(Q40="",P40=""),"",IF(P40&lt;=0,"",IFERROR(Q40/P40-1,"")))</f>
        <v/>
      </c>
      <c r="R42" s="15">
        <f>IF(OR(R40="",Q40=""),"",IF(Q40&lt;=0,"",IFERROR(R40/Q40-1,"")))</f>
        <v/>
      </c>
      <c r="S42" s="15">
        <f>IF(OR(S40="",R40=""),"",IF(R40&lt;=0,"",IFERROR(S40/R40-1,"")))</f>
        <v/>
      </c>
      <c r="T42" s="15">
        <f>IF(OR(T40="",S40=""),"",IF(S40&lt;=0,"",IFERROR(T40/S40-1,"")))</f>
        <v/>
      </c>
      <c r="U42" s="15">
        <f>IF(OR(U40="",T40=""),"",IF(T40&lt;=0,"",IFERROR(U40/T40-1,"")))</f>
        <v/>
      </c>
      <c r="V42" s="15">
        <f>IF(OR(V40="",U40=""),"",IF(U40&lt;=0,"",IFERROR(V40/U40-1,"")))</f>
        <v/>
      </c>
      <c r="W42" s="15">
        <f>IF(OR(W40="",V40=""),"",IF(V40&lt;=0,"",IFERROR(W40/V40-1,"")))</f>
        <v/>
      </c>
      <c r="X42" s="15">
        <f>IF(OR(X40="",W40=""),"",IF(W40&lt;=0,"",IFERROR(X40/W40-1,"")))</f>
        <v/>
      </c>
      <c r="Y42" s="14">
        <f>IF(OR(Y40="",X40=""),"",IF(X40&lt;=0,"",IFERROR(Y40/X40-1,"")))</f>
        <v/>
      </c>
      <c r="Z42" s="15">
        <f>IF(OR(Z40="",Y40=""),"",IF(Y40&lt;=0,"",IFERROR(Z40/Y40-1,"")))</f>
        <v/>
      </c>
      <c r="AA42" s="15">
        <f>IF(OR(AA40="",Z40=""),"",IF(Z40&lt;=0,"",IFERROR(AA40/Z40-1,"")))</f>
        <v/>
      </c>
      <c r="AB42" s="15">
        <f>IF(OR(AB40="",AA40=""),"",IF(AA40&lt;=0,"",IFERROR(AB40/AA40-1,"")))</f>
        <v/>
      </c>
      <c r="AC42" s="15">
        <f>IF(OR(AC40="",AB40=""),"",IF(AB40&lt;=0,"",IFERROR(AC40/AB40-1,"")))</f>
        <v/>
      </c>
    </row>
    <row r="43">
      <c r="A43" s="23" t="inlineStr">
        <is>
          <t>판매관리비</t>
        </is>
      </c>
      <c r="B43" s="23" t="n"/>
      <c r="C43" s="24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4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4" t="n"/>
      <c r="Z43" s="23" t="n"/>
      <c r="AA43" s="23" t="n"/>
      <c r="AB43" s="23" t="n"/>
      <c r="AC43" s="23" t="n"/>
    </row>
    <row r="44">
      <c r="A44" s="18" t="inlineStr">
        <is>
          <t>전체 판관비</t>
        </is>
      </c>
      <c r="B44" s="10" t="n"/>
      <c r="C44" s="19" t="n">
        <v>14300</v>
      </c>
      <c r="D44" s="20" t="n">
        <v>14392</v>
      </c>
      <c r="E44" s="20" t="n">
        <v>16258</v>
      </c>
      <c r="F44" s="20" t="n">
        <v>14855</v>
      </c>
      <c r="G44" s="20" t="n">
        <v>14834</v>
      </c>
      <c r="H44" s="20" t="n">
        <v>15543</v>
      </c>
      <c r="I44" s="20" t="n">
        <v>16103</v>
      </c>
      <c r="J44" s="20" t="n">
        <v>15849</v>
      </c>
      <c r="K44" s="20" t="n">
        <v>15619</v>
      </c>
      <c r="L44" s="20" t="n">
        <v>15940</v>
      </c>
      <c r="M44" s="20" t="n">
        <v>17382</v>
      </c>
      <c r="N44" s="20" t="n">
        <v>17145</v>
      </c>
      <c r="O44" s="19" t="n"/>
      <c r="P44" s="20" t="n">
        <v>56287</v>
      </c>
      <c r="Q44" s="20" t="n">
        <v>57684</v>
      </c>
      <c r="R44" s="20" t="n">
        <v>56270</v>
      </c>
      <c r="S44" s="20" t="n">
        <v>51126</v>
      </c>
      <c r="T44" s="20" t="n">
        <v>55128</v>
      </c>
      <c r="U44" s="20" t="n">
        <v>53173</v>
      </c>
      <c r="V44" s="20" t="n">
        <v>59073</v>
      </c>
      <c r="W44" s="20" t="n">
        <v>61335</v>
      </c>
      <c r="X44" s="20" t="n">
        <v>64790</v>
      </c>
      <c r="Y44" s="19" t="n"/>
      <c r="Z44" s="20" t="n"/>
      <c r="AA44" s="20" t="n"/>
      <c r="AB44" s="20" t="n"/>
      <c r="AC44" s="20" t="n"/>
    </row>
    <row r="45">
      <c r="A45" s="13" t="inlineStr">
        <is>
          <t>YoY</t>
        </is>
      </c>
      <c r="B45" s="10" t="n"/>
      <c r="C45" s="14" t="n"/>
      <c r="D45" s="15" t="n"/>
      <c r="E45" s="15" t="n"/>
      <c r="F45" s="15" t="n"/>
      <c r="G45" s="15">
        <f>IF(OR(G44="",C44=""),"",IF(C44&lt;=0,"",IFERROR(G44/C44-1,"")))</f>
        <v/>
      </c>
      <c r="H45" s="15">
        <f>IF(OR(H44="",D44=""),"",IF(D44&lt;=0,"",IFERROR(H44/D44-1,"")))</f>
        <v/>
      </c>
      <c r="I45" s="15">
        <f>IF(OR(I44="",E44=""),"",IF(E44&lt;=0,"",IFERROR(I44/E44-1,"")))</f>
        <v/>
      </c>
      <c r="J45" s="15">
        <f>IF(OR(J44="",F44=""),"",IF(F44&lt;=0,"",IFERROR(J44/F44-1,"")))</f>
        <v/>
      </c>
      <c r="K45" s="15">
        <f>IF(OR(K44="",G44=""),"",IF(G44&lt;=0,"",IFERROR(K44/G44-1,"")))</f>
        <v/>
      </c>
      <c r="L45" s="15">
        <f>IF(OR(L44="",H44=""),"",IF(H44&lt;=0,"",IFERROR(L44/H44-1,"")))</f>
        <v/>
      </c>
      <c r="M45" s="15">
        <f>IF(OR(M44="",I44=""),"",IF(I44&lt;=0,"",IFERROR(M44/I44-1,"")))</f>
        <v/>
      </c>
      <c r="N45" s="15">
        <f>IF(OR(N44="",J44=""),"",IF(J44&lt;=0,"",IFERROR(N44/J44-1,"")))</f>
        <v/>
      </c>
      <c r="O45" s="14" t="n"/>
      <c r="P45" s="15">
        <f>IF(OR(P44="",O44=""),"",IF(O44&lt;=0,"",IFERROR(P44/O44-1,"")))</f>
        <v/>
      </c>
      <c r="Q45" s="15">
        <f>IF(OR(Q44="",P44=""),"",IF(P44&lt;=0,"",IFERROR(Q44/P44-1,"")))</f>
        <v/>
      </c>
      <c r="R45" s="15">
        <f>IF(OR(R44="",Q44=""),"",IF(Q44&lt;=0,"",IFERROR(R44/Q44-1,"")))</f>
        <v/>
      </c>
      <c r="S45" s="15">
        <f>IF(OR(S44="",R44=""),"",IF(R44&lt;=0,"",IFERROR(S44/R44-1,"")))</f>
        <v/>
      </c>
      <c r="T45" s="15">
        <f>IF(OR(T44="",S44=""),"",IF(S44&lt;=0,"",IFERROR(T44/S44-1,"")))</f>
        <v/>
      </c>
      <c r="U45" s="15">
        <f>IF(OR(U44="",T44=""),"",IF(T44&lt;=0,"",IFERROR(U44/T44-1,"")))</f>
        <v/>
      </c>
      <c r="V45" s="15">
        <f>IF(OR(V44="",U44=""),"",IF(U44&lt;=0,"",IFERROR(V44/U44-1,"")))</f>
        <v/>
      </c>
      <c r="W45" s="15">
        <f>IF(OR(W44="",V44=""),"",IF(V44&lt;=0,"",IFERROR(W44/V44-1,"")))</f>
        <v/>
      </c>
      <c r="X45" s="15">
        <f>IF(OR(X44="",W44=""),"",IF(W44&lt;=0,"",IFERROR(X44/W44-1,"")))</f>
        <v/>
      </c>
      <c r="Y45" s="14">
        <f>IF(OR(Y44="",X44=""),"",IF(X44&lt;=0,"",IFERROR(Y44/X44-1,"")))</f>
        <v/>
      </c>
      <c r="Z45" s="15">
        <f>IF(OR(Z44="",Y44=""),"",IF(Y44&lt;=0,"",IFERROR(Z44/Y44-1,"")))</f>
        <v/>
      </c>
      <c r="AA45" s="15">
        <f>IF(OR(AA44="",Z44=""),"",IF(Z44&lt;=0,"",IFERROR(AA44/Z44-1,"")))</f>
        <v/>
      </c>
      <c r="AB45" s="15">
        <f>IF(OR(AB44="",AA44=""),"",IF(AA44&lt;=0,"",IFERROR(AB44/AA44-1,"")))</f>
        <v/>
      </c>
      <c r="AC45" s="15">
        <f>IF(OR(AC44="",AB44=""),"",IF(AB44&lt;=0,"",IFERROR(AC44/AB44-1,"")))</f>
        <v/>
      </c>
    </row>
    <row r="46">
      <c r="A46" s="9" t="inlineStr">
        <is>
          <t>영업이익</t>
        </is>
      </c>
      <c r="B46" s="10" t="inlineStr">
        <is>
          <t>MW = 매출 × OPM</t>
        </is>
      </c>
      <c r="C46" s="11" t="n">
        <v>8956</v>
      </c>
      <c r="D46" s="12" t="n">
        <v>20433</v>
      </c>
      <c r="E46" s="12" t="n">
        <v>4122</v>
      </c>
      <c r="F46" s="12" t="n">
        <v>10067</v>
      </c>
      <c r="G46" s="12" t="n">
        <v>8191</v>
      </c>
      <c r="H46" s="12" t="n">
        <v>15812</v>
      </c>
      <c r="I46" s="12" t="n">
        <v>5338</v>
      </c>
      <c r="J46" s="12" t="n">
        <v>8658</v>
      </c>
      <c r="K46" s="12" t="n">
        <v>9806</v>
      </c>
      <c r="L46" s="12" t="n">
        <v>12726</v>
      </c>
      <c r="M46" s="12" t="n">
        <v>10891</v>
      </c>
      <c r="N46" s="12" t="n">
        <v>13112</v>
      </c>
      <c r="O46" s="11" t="n"/>
      <c r="P46" s="12" t="n">
        <v>36218</v>
      </c>
      <c r="Q46" s="12" t="n">
        <v>33815</v>
      </c>
      <c r="R46" s="12" t="n">
        <v>24768</v>
      </c>
      <c r="S46" s="12" t="n">
        <v>10070</v>
      </c>
      <c r="T46" s="12" t="n">
        <v>36982</v>
      </c>
      <c r="U46" s="12" t="n">
        <v>50025</v>
      </c>
      <c r="V46" s="12" t="n">
        <v>42250</v>
      </c>
      <c r="W46" s="12" t="n">
        <v>39408</v>
      </c>
      <c r="X46" s="12" t="n">
        <v>42081</v>
      </c>
      <c r="Y46" s="11">
        <f>IF(OR(Y4="",Y47=""),"",IFERROR(Y4*Y47,""))</f>
        <v/>
      </c>
      <c r="Z46" s="12">
        <f>IF(OR(Z4="",Z47=""),"",IFERROR(Z4*Z47,""))</f>
        <v/>
      </c>
      <c r="AA46" s="12">
        <f>IF(OR(AA4="",AA47=""),"",IFERROR(AA4*AA47,""))</f>
        <v/>
      </c>
      <c r="AB46" s="12">
        <f>IF(OR(AB4="",AB47=""),"",IFERROR(AB4*AB47,""))</f>
        <v/>
      </c>
      <c r="AC46" s="12">
        <f>IF(OR(AC4="",AC47=""),"",IFERROR(AC4*AC47,""))</f>
        <v/>
      </c>
    </row>
    <row r="47">
      <c r="A47" s="13" t="inlineStr">
        <is>
          <t>OPM</t>
        </is>
      </c>
      <c r="B47" s="10" t="inlineStr">
        <is>
          <t>MW 입력</t>
        </is>
      </c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 t="n"/>
      <c r="Z47" s="26" t="n"/>
      <c r="AA47" s="26" t="n"/>
      <c r="AB47" s="26" t="n"/>
      <c r="AC47" s="26" t="n"/>
    </row>
    <row r="48">
      <c r="A48" s="13" t="inlineStr">
        <is>
          <t>증가율</t>
        </is>
      </c>
      <c r="B48" s="10" t="n"/>
      <c r="C48" s="14" t="n"/>
      <c r="D48" s="15" t="n"/>
      <c r="E48" s="15" t="n"/>
      <c r="F48" s="15" t="n"/>
      <c r="G48" s="15">
        <f>IF(OR(G46="",C46=""),"",IFERROR(G46/C46-1,""))</f>
        <v/>
      </c>
      <c r="H48" s="15">
        <f>IF(OR(H46="",D46=""),"",IFERROR(H46/D46-1,""))</f>
        <v/>
      </c>
      <c r="I48" s="15">
        <f>IF(OR(I46="",E46=""),"",IFERROR(I46/E46-1,""))</f>
        <v/>
      </c>
      <c r="J48" s="15">
        <f>IF(OR(J46="",F46=""),"",IFERROR(J46/F46-1,""))</f>
        <v/>
      </c>
      <c r="K48" s="15">
        <f>IF(OR(K46="",G46=""),"",IFERROR(K46/G46-1,""))</f>
        <v/>
      </c>
      <c r="L48" s="15">
        <f>IF(OR(L46="",H46=""),"",IFERROR(L46/H46-1,""))</f>
        <v/>
      </c>
      <c r="M48" s="15">
        <f>IF(OR(M46="",I46=""),"",IFERROR(M46/I46-1,""))</f>
        <v/>
      </c>
      <c r="N48" s="15">
        <f>IF(OR(N46="",J46=""),"",IFERROR(N46/J46-1,""))</f>
        <v/>
      </c>
      <c r="O48" s="14" t="n"/>
      <c r="P48" s="15">
        <f>IF(OR(P46="",O46=""),"",IFERROR(P46/O46-1,""))</f>
        <v/>
      </c>
      <c r="Q48" s="15">
        <f>IF(OR(Q46="",P46=""),"",IFERROR(Q46/P46-1,""))</f>
        <v/>
      </c>
      <c r="R48" s="15">
        <f>IF(OR(R46="",Q46=""),"",IFERROR(R46/Q46-1,""))</f>
        <v/>
      </c>
      <c r="S48" s="15">
        <f>IF(OR(S46="",R46=""),"",IFERROR(S46/R46-1,""))</f>
        <v/>
      </c>
      <c r="T48" s="15">
        <f>IF(OR(T46="",S46=""),"",IFERROR(T46/S46-1,""))</f>
        <v/>
      </c>
      <c r="U48" s="15">
        <f>IF(OR(U46="",T46=""),"",IFERROR(U46/T46-1,""))</f>
        <v/>
      </c>
      <c r="V48" s="15">
        <f>IF(OR(V46="",U46=""),"",IFERROR(V46/U46-1,""))</f>
        <v/>
      </c>
      <c r="W48" s="15">
        <f>IF(OR(W46="",V46=""),"",IFERROR(W46/V46-1,""))</f>
        <v/>
      </c>
      <c r="X48" s="15">
        <f>IF(OR(X46="",W46=""),"",IFERROR(X46/W46-1,""))</f>
        <v/>
      </c>
      <c r="Y48" s="14">
        <f>IF(OR(Y46="",X46=""),"",IFERROR(Y46/X46-1,""))</f>
        <v/>
      </c>
      <c r="Z48" s="15">
        <f>IF(OR(Z46="",Y46=""),"",IFERROR(Z46/Y46-1,""))</f>
        <v/>
      </c>
      <c r="AA48" s="15">
        <f>IF(OR(AA46="",Z46=""),"",IFERROR(AA46/Z46-1,""))</f>
        <v/>
      </c>
      <c r="AB48" s="15">
        <f>IF(OR(AB46="",AA46=""),"",IFERROR(AB46/AA46-1,""))</f>
        <v/>
      </c>
      <c r="AC48" s="15">
        <f>IF(OR(AC46="",AB46=""),"",IFERROR(AC46/AB46-1,""))</f>
        <v/>
      </c>
    </row>
    <row r="49">
      <c r="A49" s="16" t="inlineStr">
        <is>
          <t>비용의 성격별 분류</t>
        </is>
      </c>
      <c r="B49" s="16" t="inlineStr">
        <is>
          <t>참고 데이터</t>
        </is>
      </c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9" t="inlineStr">
        <is>
          <t>총 판관비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>
        <f>IF(O44="","",O44)</f>
        <v/>
      </c>
      <c r="P50" s="12">
        <f>IF(P44="","",P44)</f>
        <v/>
      </c>
      <c r="Q50" s="12">
        <f>IF(Q44="","",Q44)</f>
        <v/>
      </c>
      <c r="R50" s="12">
        <f>IF(R44="","",R44)</f>
        <v/>
      </c>
      <c r="S50" s="12">
        <f>IF(S44="","",S44)</f>
        <v/>
      </c>
      <c r="T50" s="12">
        <f>IF(T44="","",T44)</f>
        <v/>
      </c>
      <c r="U50" s="12">
        <f>IF(U44="","",U44)</f>
        <v/>
      </c>
      <c r="V50" s="12">
        <f>IF(V44="","",V44)</f>
        <v/>
      </c>
      <c r="W50" s="12">
        <f>IF(W44="","",W44)</f>
        <v/>
      </c>
      <c r="X50" s="12">
        <f>IF(X44="","",X44)</f>
        <v/>
      </c>
      <c r="Y50" s="11" t="n"/>
      <c r="Z50" s="12" t="n"/>
      <c r="AA50" s="12" t="n"/>
      <c r="AB50" s="12" t="n"/>
      <c r="AC50" s="12" t="n"/>
    </row>
    <row r="51">
      <c r="A51" s="18" t="inlineStr">
        <is>
          <t>급여</t>
        </is>
      </c>
      <c r="B51" s="10" t="inlineStr">
        <is>
          <t>고정비</t>
        </is>
      </c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19" t="n"/>
      <c r="Z51" s="20" t="n"/>
      <c r="AA51" s="20" t="n"/>
      <c r="AB51" s="20" t="n"/>
      <c r="AC51" s="20" t="n"/>
    </row>
    <row r="52">
      <c r="A52" s="13" t="inlineStr">
        <is>
          <t>% of Sales</t>
        </is>
      </c>
      <c r="B52" s="10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14" t="n"/>
      <c r="Z52" s="15" t="n"/>
      <c r="AA52" s="15" t="n"/>
      <c r="AB52" s="15" t="n"/>
      <c r="AC52" s="15" t="n"/>
    </row>
    <row r="53">
      <c r="A53" s="18" t="inlineStr">
        <is>
          <t>감가상각비</t>
        </is>
      </c>
      <c r="B53" s="10" t="inlineStr">
        <is>
          <t>고정비</t>
        </is>
      </c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19" t="n"/>
      <c r="Z53" s="20" t="n"/>
      <c r="AA53" s="20" t="n"/>
      <c r="AB53" s="20" t="n"/>
      <c r="AC53" s="20" t="n"/>
    </row>
    <row r="54">
      <c r="A54" s="13" t="inlineStr">
        <is>
          <t>% of Sales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14" t="n"/>
      <c r="Z54" s="15" t="n"/>
      <c r="AA54" s="15" t="n"/>
      <c r="AB54" s="15" t="n"/>
      <c r="AC54" s="15" t="n"/>
    </row>
    <row r="55">
      <c r="A55" s="18" t="inlineStr">
        <is>
          <t>지급수수료</t>
        </is>
      </c>
      <c r="B55" s="10" t="inlineStr">
        <is>
          <t>고정비</t>
        </is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% of Sales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14" t="n"/>
      <c r="Z56" s="15" t="n"/>
      <c r="AA56" s="15" t="n"/>
      <c r="AB56" s="15" t="n"/>
      <c r="AC56" s="15" t="n"/>
    </row>
    <row r="57">
      <c r="A57" s="18" t="inlineStr">
        <is>
          <t>연구개발비</t>
        </is>
      </c>
      <c r="B57" s="10" t="inlineStr">
        <is>
          <t>변동비</t>
        </is>
      </c>
      <c r="C57" s="19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19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19" t="n"/>
      <c r="Z57" s="20" t="n"/>
      <c r="AA57" s="20" t="n"/>
      <c r="AB57" s="20" t="n"/>
      <c r="AC57" s="20" t="n"/>
    </row>
    <row r="58">
      <c r="A58" s="13" t="inlineStr">
        <is>
          <t>% of Sales</t>
        </is>
      </c>
      <c r="B58" s="10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14" t="n"/>
      <c r="Z58" s="15" t="n"/>
      <c r="AA58" s="15" t="n"/>
      <c r="AB58" s="15" t="n"/>
      <c r="AC58" s="15" t="n"/>
    </row>
    <row r="59">
      <c r="A59" s="18" t="inlineStr">
        <is>
          <t>기타비용</t>
        </is>
      </c>
      <c r="B59" s="10" t="inlineStr">
        <is>
          <t>변동비</t>
        </is>
      </c>
      <c r="C59" s="19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19">
        <f>IF(OR(O50="",O51="",O53="",O55="",O57=""),"",IFERROR(O50-O51-O53-O55-O57,""))</f>
        <v/>
      </c>
      <c r="P59" s="20">
        <f>IF(OR(P50="",P51="",P53="",P55="",P57=""),"",IFERROR(P50-P51-P53-P55-P57,""))</f>
        <v/>
      </c>
      <c r="Q59" s="20">
        <f>IF(OR(Q50="",Q51="",Q53="",Q55="",Q57=""),"",IFERROR(Q50-Q51-Q53-Q55-Q57,""))</f>
        <v/>
      </c>
      <c r="R59" s="20">
        <f>IF(OR(R50="",R51="",R53="",R55="",R57=""),"",IFERROR(R50-R51-R53-R55-R57,""))</f>
        <v/>
      </c>
      <c r="S59" s="20">
        <f>IF(OR(S50="",S51="",S53="",S55="",S57=""),"",IFERROR(S50-S51-S53-S55-S57,""))</f>
        <v/>
      </c>
      <c r="T59" s="20">
        <f>IF(OR(T50="",T51="",T53="",T55="",T57=""),"",IFERROR(T50-T51-T53-T55-T57,""))</f>
        <v/>
      </c>
      <c r="U59" s="20">
        <f>IF(OR(U50="",U51="",U53="",U55="",U57=""),"",IFERROR(U50-U51-U53-U55-U57,""))</f>
        <v/>
      </c>
      <c r="V59" s="20">
        <f>IF(OR(V50="",V51="",V53="",V55="",V57=""),"",IFERROR(V50-V51-V53-V55-V57,""))</f>
        <v/>
      </c>
      <c r="W59" s="20">
        <f>IF(OR(W50="",W51="",W53="",W55="",W57=""),"",IFERROR(W50-W51-W53-W55-W57,""))</f>
        <v/>
      </c>
      <c r="X59" s="20">
        <f>IF(OR(X50="",X51="",X53="",X55="",X57=""),"",IFERROR(X50-X51-X53-X55-X57,""))</f>
        <v/>
      </c>
      <c r="Y59" s="19" t="n"/>
      <c r="Z59" s="20" t="n"/>
      <c r="AA59" s="20" t="n"/>
      <c r="AB59" s="20" t="n"/>
      <c r="AC59" s="20" t="n"/>
    </row>
    <row r="60">
      <c r="A60" s="13" t="inlineStr">
        <is>
          <t>% of Sales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14" t="n"/>
      <c r="Z60" s="15" t="n"/>
      <c r="AA60" s="15" t="n"/>
      <c r="AB60" s="15" t="n"/>
      <c r="AC60" s="15" t="n"/>
    </row>
    <row r="61">
      <c r="A61" s="16" t="inlineStr">
        <is>
          <t>당기순이익 추정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기타이익</t>
        </is>
      </c>
      <c r="B62" s="10" t="n"/>
      <c r="C62" s="19" t="n">
        <v>326</v>
      </c>
      <c r="D62" s="20" t="n">
        <v>6518</v>
      </c>
      <c r="E62" s="20" t="n">
        <v>892</v>
      </c>
      <c r="F62" s="20" t="n">
        <v>794</v>
      </c>
      <c r="G62" s="20" t="n">
        <v>-794</v>
      </c>
      <c r="H62" s="20" t="n">
        <v>0</v>
      </c>
      <c r="I62" s="20" t="n">
        <v>1002</v>
      </c>
      <c r="J62" s="20" t="n">
        <v>0</v>
      </c>
      <c r="K62" s="20" t="n">
        <v>77</v>
      </c>
      <c r="L62" s="20" t="n">
        <v>680</v>
      </c>
      <c r="M62" s="20" t="n">
        <v>5542</v>
      </c>
      <c r="N62" s="20" t="n">
        <v>1048</v>
      </c>
      <c r="O62" s="19" t="n"/>
      <c r="P62" s="20" t="n">
        <v>769</v>
      </c>
      <c r="Q62" s="20" t="n">
        <v>28</v>
      </c>
      <c r="R62" s="20" t="n">
        <v>7686</v>
      </c>
      <c r="S62" s="20" t="n">
        <v>143</v>
      </c>
      <c r="T62" s="20" t="n">
        <v>5497</v>
      </c>
      <c r="U62" s="20" t="n">
        <v>1600</v>
      </c>
      <c r="V62" s="20" t="n">
        <v>8317</v>
      </c>
      <c r="W62" s="20" t="n">
        <v>1002</v>
      </c>
      <c r="X62" s="20" t="n">
        <v>6299</v>
      </c>
      <c r="Y62" s="19">
        <f>IF(OR(Y4="",Y63=""),"",IFERROR(Y4*Y63,""))</f>
        <v/>
      </c>
      <c r="Z62" s="20">
        <f>IF(OR(Z4="",Z63=""),"",IFERROR(Z4*Z63,""))</f>
        <v/>
      </c>
      <c r="AA62" s="20">
        <f>IF(OR(AA4="",AA63=""),"",IFERROR(AA4*AA63,""))</f>
        <v/>
      </c>
      <c r="AB62" s="20">
        <f>IF(OR(AB4="",AB63=""),"",IFERROR(AB4*AB63,""))</f>
        <v/>
      </c>
      <c r="AC62" s="20">
        <f>IF(OR(AC4="",AC63=""),"",IFERROR(AC4*AC63,""))</f>
        <v/>
      </c>
    </row>
    <row r="63">
      <c r="A63" s="13" t="inlineStr">
        <is>
          <t>% of Sales</t>
        </is>
      </c>
      <c r="B63" s="10" t="inlineStr">
        <is>
          <t>MW = 최근 3년 평균</t>
        </is>
      </c>
      <c r="C63" s="14">
        <f>IF(OR(C62="",C4=""),"",IFERROR(C62/C4,""))</f>
        <v/>
      </c>
      <c r="D63" s="15">
        <f>IF(OR(D62="",D4=""),"",IFERROR(D62/D4,""))</f>
        <v/>
      </c>
      <c r="E63" s="15">
        <f>IF(OR(E62="",E4=""),"",IFERROR(E62/E4,""))</f>
        <v/>
      </c>
      <c r="F63" s="15">
        <f>IF(OR(F62="",F4=""),"",IFERROR(F62/F4,""))</f>
        <v/>
      </c>
      <c r="G63" s="15">
        <f>IF(OR(G62="",G4=""),"",IFERROR(G62/G4,""))</f>
        <v/>
      </c>
      <c r="H63" s="15">
        <f>IF(OR(H62="",H4=""),"",IFERROR(H62/H4,""))</f>
        <v/>
      </c>
      <c r="I63" s="15">
        <f>IF(OR(I62="",I4=""),"",IFERROR(I62/I4,""))</f>
        <v/>
      </c>
      <c r="J63" s="15">
        <f>IF(OR(J62="",J4=""),"",IFERROR(J62/J4,""))</f>
        <v/>
      </c>
      <c r="K63" s="15">
        <f>IF(OR(K62="",K4=""),"",IFERROR(K62/K4,""))</f>
        <v/>
      </c>
      <c r="L63" s="15">
        <f>IF(OR(L62="",L4=""),"",IFERROR(L62/L4,""))</f>
        <v/>
      </c>
      <c r="M63" s="15">
        <f>IF(OR(M62="",M4=""),"",IFERROR(M62/M4,""))</f>
        <v/>
      </c>
      <c r="N63" s="15">
        <f>IF(OR(N62="",N4=""),"",IFERROR(N62/N4,""))</f>
        <v/>
      </c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25">
        <f>IFERROR(AVERAGE(V63,W63,X63),"")</f>
        <v/>
      </c>
      <c r="Z63" s="26">
        <f>Y63</f>
        <v/>
      </c>
      <c r="AA63" s="26">
        <f>Z63</f>
        <v/>
      </c>
      <c r="AB63" s="26">
        <f>AA63</f>
        <v/>
      </c>
      <c r="AC63" s="26">
        <f>AB63</f>
        <v/>
      </c>
    </row>
    <row r="64">
      <c r="A64" s="18" t="inlineStr">
        <is>
          <t>기타손실</t>
        </is>
      </c>
      <c r="B64" s="10" t="n"/>
      <c r="C64" s="19" t="n">
        <v>2562</v>
      </c>
      <c r="D64" s="20" t="n">
        <v>754</v>
      </c>
      <c r="E64" s="20" t="n">
        <v>1623</v>
      </c>
      <c r="F64" s="20" t="n">
        <v>2016</v>
      </c>
      <c r="G64" s="20" t="n">
        <v>1892</v>
      </c>
      <c r="H64" s="20" t="n">
        <v>-1314</v>
      </c>
      <c r="I64" s="20" t="n">
        <v>1852</v>
      </c>
      <c r="J64" s="20" t="n">
        <v>180</v>
      </c>
      <c r="K64" s="20" t="n">
        <v>116</v>
      </c>
      <c r="L64" s="20" t="n">
        <v>2</v>
      </c>
      <c r="M64" s="20" t="n">
        <v>431</v>
      </c>
      <c r="N64" s="20" t="n">
        <v>0</v>
      </c>
      <c r="O64" s="19" t="n"/>
      <c r="P64" s="20" t="n">
        <v>68</v>
      </c>
      <c r="Q64" s="20" t="n">
        <v>1260</v>
      </c>
      <c r="R64" s="20" t="n">
        <v>10815</v>
      </c>
      <c r="S64" s="20" t="n">
        <v>2720</v>
      </c>
      <c r="T64" s="20" t="n">
        <v>3951</v>
      </c>
      <c r="U64" s="20" t="n">
        <v>1350</v>
      </c>
      <c r="V64" s="20" t="n">
        <v>4939</v>
      </c>
      <c r="W64" s="20" t="n">
        <v>4446</v>
      </c>
      <c r="X64" s="20" t="n">
        <v>729</v>
      </c>
      <c r="Y64" s="19">
        <f>IF(OR(Y4="",Y65=""),"",IFERROR(Y4*Y65,""))</f>
        <v/>
      </c>
      <c r="Z64" s="20">
        <f>IF(OR(Z4="",Z65=""),"",IFERROR(Z4*Z65,""))</f>
        <v/>
      </c>
      <c r="AA64" s="20">
        <f>IF(OR(AA4="",AA65=""),"",IFERROR(AA4*AA65,""))</f>
        <v/>
      </c>
      <c r="AB64" s="20">
        <f>IF(OR(AB4="",AB65=""),"",IFERROR(AB4*AB65,""))</f>
        <v/>
      </c>
      <c r="AC64" s="20">
        <f>IF(OR(AC4="",AC65=""),"",IFERROR(AC4*AC65,""))</f>
        <v/>
      </c>
    </row>
    <row r="65">
      <c r="A65" s="13" t="inlineStr">
        <is>
          <t>% of Sales</t>
        </is>
      </c>
      <c r="B65" s="10" t="n"/>
      <c r="C65" s="14">
        <f>IF(OR(C64="",C4=""),"",IFERROR(C64/C4,""))</f>
        <v/>
      </c>
      <c r="D65" s="15">
        <f>IF(OR(D64="",D4=""),"",IFERROR(D64/D4,""))</f>
        <v/>
      </c>
      <c r="E65" s="15">
        <f>IF(OR(E64="",E4=""),"",IFERROR(E64/E4,""))</f>
        <v/>
      </c>
      <c r="F65" s="15">
        <f>IF(OR(F64="",F4=""),"",IFERROR(F64/F4,""))</f>
        <v/>
      </c>
      <c r="G65" s="15">
        <f>IF(OR(G64="",G4=""),"",IFERROR(G64/G4,""))</f>
        <v/>
      </c>
      <c r="H65" s="15">
        <f>IF(OR(H64="",H4=""),"",IFERROR(H64/H4,""))</f>
        <v/>
      </c>
      <c r="I65" s="15">
        <f>IF(OR(I64="",I4=""),"",IFERROR(I64/I4,""))</f>
        <v/>
      </c>
      <c r="J65" s="15">
        <f>IF(OR(J64="",J4=""),"",IFERROR(J64/J4,""))</f>
        <v/>
      </c>
      <c r="K65" s="15">
        <f>IF(OR(K64="",K4=""),"",IFERROR(K64/K4,""))</f>
        <v/>
      </c>
      <c r="L65" s="15">
        <f>IF(OR(L64="",L4=""),"",IFERROR(L64/L4,""))</f>
        <v/>
      </c>
      <c r="M65" s="15">
        <f>IF(OR(M64="",M4=""),"",IFERROR(M64/M4,""))</f>
        <v/>
      </c>
      <c r="N65" s="15">
        <f>IF(OR(N64="",N4=""),"",IFERROR(N64/N4,""))</f>
        <v/>
      </c>
      <c r="O65" s="14">
        <f>IF(OR(O64="",O4=""),"",IFERROR(O64/O4,""))</f>
        <v/>
      </c>
      <c r="P65" s="15">
        <f>IF(OR(P64="",P4=""),"",IFERROR(P64/P4,""))</f>
        <v/>
      </c>
      <c r="Q65" s="15">
        <f>IF(OR(Q64="",Q4=""),"",IFERROR(Q64/Q4,""))</f>
        <v/>
      </c>
      <c r="R65" s="15">
        <f>IF(OR(R64="",R4=""),"",IFERROR(R64/R4,""))</f>
        <v/>
      </c>
      <c r="S65" s="15">
        <f>IF(OR(S64="",S4=""),"",IFERROR(S64/S4,""))</f>
        <v/>
      </c>
      <c r="T65" s="15">
        <f>IF(OR(T64="",T4=""),"",IFERROR(T64/T4,""))</f>
        <v/>
      </c>
      <c r="U65" s="15">
        <f>IF(OR(U64="",U4=""),"",IFERROR(U64/U4,""))</f>
        <v/>
      </c>
      <c r="V65" s="15">
        <f>IF(OR(V64="",V4=""),"",IFERROR(V64/V4,""))</f>
        <v/>
      </c>
      <c r="W65" s="15">
        <f>IF(OR(W64="",W4=""),"",IFERROR(W64/W4,""))</f>
        <v/>
      </c>
      <c r="X65" s="15">
        <f>IF(OR(X64="",X4=""),"",IFERROR(X64/X4,""))</f>
        <v/>
      </c>
      <c r="Y65" s="25">
        <f>IFERROR(AVERAGE(V65,W65,X65),"")</f>
        <v/>
      </c>
      <c r="Z65" s="26">
        <f>Y65</f>
        <v/>
      </c>
      <c r="AA65" s="26">
        <f>Z65</f>
        <v/>
      </c>
      <c r="AB65" s="26">
        <f>AA65</f>
        <v/>
      </c>
      <c r="AC65" s="26">
        <f>AB65</f>
        <v/>
      </c>
    </row>
    <row r="66">
      <c r="A66" s="18" t="inlineStr">
        <is>
          <t>금융수익</t>
        </is>
      </c>
      <c r="B66" s="10" t="n"/>
      <c r="C66" s="19" t="n">
        <v>215</v>
      </c>
      <c r="D66" s="20" t="n">
        <v>1290</v>
      </c>
      <c r="E66" s="20" t="n">
        <v>225</v>
      </c>
      <c r="F66" s="20" t="n">
        <v>1440</v>
      </c>
      <c r="G66" s="20" t="n">
        <v>151</v>
      </c>
      <c r="H66" s="20" t="n">
        <v>1367</v>
      </c>
      <c r="I66" s="20" t="n">
        <v>156</v>
      </c>
      <c r="J66" s="20" t="n">
        <v>1129</v>
      </c>
      <c r="K66" s="20" t="n">
        <v>259</v>
      </c>
      <c r="L66" s="20" t="n">
        <v>893</v>
      </c>
      <c r="M66" s="20" t="n">
        <v>169</v>
      </c>
      <c r="N66" s="20" t="n">
        <v>878</v>
      </c>
      <c r="O66" s="19" t="n"/>
      <c r="P66" s="20" t="n">
        <v>4334</v>
      </c>
      <c r="Q66" s="20" t="n">
        <v>5379</v>
      </c>
      <c r="R66" s="20" t="n">
        <v>3743</v>
      </c>
      <c r="S66" s="20" t="n">
        <v>6753</v>
      </c>
      <c r="T66" s="20" t="n">
        <v>4766</v>
      </c>
      <c r="U66" s="20" t="n">
        <v>2712</v>
      </c>
      <c r="V66" s="20" t="n">
        <v>3069</v>
      </c>
      <c r="W66" s="20" t="n">
        <v>3114</v>
      </c>
      <c r="X66" s="20" t="n">
        <v>2450</v>
      </c>
      <c r="Y66" s="19">
        <f>IF(OR(Y4="",Y67=""),"",IFERROR(Y4*Y67,""))</f>
        <v/>
      </c>
      <c r="Z66" s="20">
        <f>IF(OR(Z4="",Z67=""),"",IFERROR(Z4*Z67,""))</f>
        <v/>
      </c>
      <c r="AA66" s="20">
        <f>IF(OR(AA4="",AA67=""),"",IFERROR(AA4*AA67,""))</f>
        <v/>
      </c>
      <c r="AB66" s="20">
        <f>IF(OR(AB4="",AB67=""),"",IFERROR(AB4*AB67,""))</f>
        <v/>
      </c>
      <c r="AC66" s="20">
        <f>IF(OR(AC4="",AC67=""),"",IFERROR(AC4*AC67,""))</f>
        <v/>
      </c>
    </row>
    <row r="67">
      <c r="A67" s="13" t="inlineStr">
        <is>
          <t>% of Sales</t>
        </is>
      </c>
      <c r="B67" s="10" t="n"/>
      <c r="C67" s="14">
        <f>IF(OR(C66="",C4=""),"",IFERROR(C66/C4,""))</f>
        <v/>
      </c>
      <c r="D67" s="15">
        <f>IF(OR(D66="",D4=""),"",IFERROR(D66/D4,""))</f>
        <v/>
      </c>
      <c r="E67" s="15">
        <f>IF(OR(E66="",E4=""),"",IFERROR(E66/E4,""))</f>
        <v/>
      </c>
      <c r="F67" s="15">
        <f>IF(OR(F66="",F4=""),"",IFERROR(F66/F4,""))</f>
        <v/>
      </c>
      <c r="G67" s="15">
        <f>IF(OR(G66="",G4=""),"",IFERROR(G66/G4,""))</f>
        <v/>
      </c>
      <c r="H67" s="15">
        <f>IF(OR(H66="",H4=""),"",IFERROR(H66/H4,""))</f>
        <v/>
      </c>
      <c r="I67" s="15">
        <f>IF(OR(I66="",I4=""),"",IFERROR(I66/I4,""))</f>
        <v/>
      </c>
      <c r="J67" s="15">
        <f>IF(OR(J66="",J4=""),"",IFERROR(J66/J4,""))</f>
        <v/>
      </c>
      <c r="K67" s="15">
        <f>IF(OR(K66="",K4=""),"",IFERROR(K66/K4,""))</f>
        <v/>
      </c>
      <c r="L67" s="15">
        <f>IF(OR(L66="",L4=""),"",IFERROR(L66/L4,""))</f>
        <v/>
      </c>
      <c r="M67" s="15">
        <f>IF(OR(M66="",M4=""),"",IFERROR(M66/M4,""))</f>
        <v/>
      </c>
      <c r="N67" s="15">
        <f>IF(OR(N66="",N4=""),"",IFERROR(N66/N4,""))</f>
        <v/>
      </c>
      <c r="O67" s="14">
        <f>IF(OR(O66="",O4=""),"",IFERROR(O66/O4,""))</f>
        <v/>
      </c>
      <c r="P67" s="15">
        <f>IF(OR(P66="",P4=""),"",IFERROR(P66/P4,""))</f>
        <v/>
      </c>
      <c r="Q67" s="15">
        <f>IF(OR(Q66="",Q4=""),"",IFERROR(Q66/Q4,""))</f>
        <v/>
      </c>
      <c r="R67" s="15">
        <f>IF(OR(R66="",R4=""),"",IFERROR(R66/R4,""))</f>
        <v/>
      </c>
      <c r="S67" s="15">
        <f>IF(OR(S66="",S4=""),"",IFERROR(S66/S4,""))</f>
        <v/>
      </c>
      <c r="T67" s="15">
        <f>IF(OR(T66="",T4=""),"",IFERROR(T66/T4,""))</f>
        <v/>
      </c>
      <c r="U67" s="15">
        <f>IF(OR(U66="",U4=""),"",IFERROR(U66/U4,""))</f>
        <v/>
      </c>
      <c r="V67" s="15">
        <f>IF(OR(V66="",V4=""),"",IFERROR(V66/V4,""))</f>
        <v/>
      </c>
      <c r="W67" s="15">
        <f>IF(OR(W66="",W4=""),"",IFERROR(W66/W4,""))</f>
        <v/>
      </c>
      <c r="X67" s="15">
        <f>IF(OR(X66="",X4=""),"",IFERROR(X66/X4,""))</f>
        <v/>
      </c>
      <c r="Y67" s="25">
        <f>IFERROR(AVERAGE(V67,W67,X67),"")</f>
        <v/>
      </c>
      <c r="Z67" s="26">
        <f>Y67</f>
        <v/>
      </c>
      <c r="AA67" s="26">
        <f>Z67</f>
        <v/>
      </c>
      <c r="AB67" s="26">
        <f>AA67</f>
        <v/>
      </c>
      <c r="AC67" s="26">
        <f>AB67</f>
        <v/>
      </c>
    </row>
    <row r="68">
      <c r="A68" s="18" t="inlineStr">
        <is>
          <t>금융원가</t>
        </is>
      </c>
      <c r="B68" s="10" t="n"/>
      <c r="C68" s="19" t="n">
        <v>267</v>
      </c>
      <c r="D68" s="20" t="n">
        <v>269</v>
      </c>
      <c r="E68" s="20" t="n">
        <v>275</v>
      </c>
      <c r="F68" s="20" t="n">
        <v>231</v>
      </c>
      <c r="G68" s="20" t="n">
        <v>275</v>
      </c>
      <c r="H68" s="20" t="n">
        <v>239</v>
      </c>
      <c r="I68" s="20" t="n">
        <v>343</v>
      </c>
      <c r="J68" s="20" t="n">
        <v>208</v>
      </c>
      <c r="K68" s="20" t="n">
        <v>278</v>
      </c>
      <c r="L68" s="20" t="n">
        <v>264</v>
      </c>
      <c r="M68" s="20" t="n">
        <v>300</v>
      </c>
      <c r="N68" s="20" t="n">
        <v>144</v>
      </c>
      <c r="O68" s="19" t="n"/>
      <c r="P68" s="20" t="n">
        <v>4422</v>
      </c>
      <c r="Q68" s="20" t="n">
        <v>4851</v>
      </c>
      <c r="R68" s="20" t="n">
        <v>4214</v>
      </c>
      <c r="S68" s="20" t="n">
        <v>4181</v>
      </c>
      <c r="T68" s="20" t="n">
        <v>2548</v>
      </c>
      <c r="U68" s="20" t="n">
        <v>993</v>
      </c>
      <c r="V68" s="20" t="n">
        <v>1133</v>
      </c>
      <c r="W68" s="20" t="n">
        <v>1088</v>
      </c>
      <c r="X68" s="20" t="n">
        <v>1050</v>
      </c>
      <c r="Y68" s="19">
        <f>IF(OR(Y4="",Y69=""),"",IFERROR(Y4*Y69,""))</f>
        <v/>
      </c>
      <c r="Z68" s="20">
        <f>IF(OR(Z4="",Z69=""),"",IFERROR(Z4*Z69,""))</f>
        <v/>
      </c>
      <c r="AA68" s="20">
        <f>IF(OR(AA4="",AA69=""),"",IFERROR(AA4*AA69,""))</f>
        <v/>
      </c>
      <c r="AB68" s="20">
        <f>IF(OR(AB4="",AB69=""),"",IFERROR(AB4*AB69,""))</f>
        <v/>
      </c>
      <c r="AC68" s="20">
        <f>IF(OR(AC4="",AC69=""),"",IFERROR(AC4*AC69,""))</f>
        <v/>
      </c>
    </row>
    <row r="69">
      <c r="A69" s="13" t="inlineStr">
        <is>
          <t>% of Sales</t>
        </is>
      </c>
      <c r="B69" s="10" t="n"/>
      <c r="C69" s="14">
        <f>IF(OR(C68="",C4=""),"",IFERROR(C68/C4,""))</f>
        <v/>
      </c>
      <c r="D69" s="15">
        <f>IF(OR(D68="",D4=""),"",IFERROR(D68/D4,""))</f>
        <v/>
      </c>
      <c r="E69" s="15">
        <f>IF(OR(E68="",E4=""),"",IFERROR(E68/E4,""))</f>
        <v/>
      </c>
      <c r="F69" s="15">
        <f>IF(OR(F68="",F4=""),"",IFERROR(F68/F4,""))</f>
        <v/>
      </c>
      <c r="G69" s="15">
        <f>IF(OR(G68="",G4=""),"",IFERROR(G68/G4,""))</f>
        <v/>
      </c>
      <c r="H69" s="15">
        <f>IF(OR(H68="",H4=""),"",IFERROR(H68/H4,""))</f>
        <v/>
      </c>
      <c r="I69" s="15">
        <f>IF(OR(I68="",I4=""),"",IFERROR(I68/I4,""))</f>
        <v/>
      </c>
      <c r="J69" s="15">
        <f>IF(OR(J68="",J4=""),"",IFERROR(J68/J4,""))</f>
        <v/>
      </c>
      <c r="K69" s="15">
        <f>IF(OR(K68="",K4=""),"",IFERROR(K68/K4,""))</f>
        <v/>
      </c>
      <c r="L69" s="15">
        <f>IF(OR(L68="",L4=""),"",IFERROR(L68/L4,""))</f>
        <v/>
      </c>
      <c r="M69" s="15">
        <f>IF(OR(M68="",M4=""),"",IFERROR(M68/M4,""))</f>
        <v/>
      </c>
      <c r="N69" s="15">
        <f>IF(OR(N68="",N4=""),"",IFERROR(N68/N4,""))</f>
        <v/>
      </c>
      <c r="O69" s="14">
        <f>IF(OR(O68="",O4=""),"",IFERROR(O68/O4,""))</f>
        <v/>
      </c>
      <c r="P69" s="15">
        <f>IF(OR(P68="",P4=""),"",IFERROR(P68/P4,""))</f>
        <v/>
      </c>
      <c r="Q69" s="15">
        <f>IF(OR(Q68="",Q4=""),"",IFERROR(Q68/Q4,""))</f>
        <v/>
      </c>
      <c r="R69" s="15">
        <f>IF(OR(R68="",R4=""),"",IFERROR(R68/R4,""))</f>
        <v/>
      </c>
      <c r="S69" s="15">
        <f>IF(OR(S68="",S4=""),"",IFERROR(S68/S4,""))</f>
        <v/>
      </c>
      <c r="T69" s="15">
        <f>IF(OR(T68="",T4=""),"",IFERROR(T68/T4,""))</f>
        <v/>
      </c>
      <c r="U69" s="15">
        <f>IF(OR(U68="",U4=""),"",IFERROR(U68/U4,""))</f>
        <v/>
      </c>
      <c r="V69" s="15">
        <f>IF(OR(V68="",V4=""),"",IFERROR(V68/V4,""))</f>
        <v/>
      </c>
      <c r="W69" s="15">
        <f>IF(OR(W68="",W4=""),"",IFERROR(W68/W4,""))</f>
        <v/>
      </c>
      <c r="X69" s="15">
        <f>IF(OR(X68="",X4=""),"",IFERROR(X68/X4,""))</f>
        <v/>
      </c>
      <c r="Y69" s="25">
        <f>IFERROR(AVERAGE(V69,W69,X69),"")</f>
        <v/>
      </c>
      <c r="Z69" s="26">
        <f>Y69</f>
        <v/>
      </c>
      <c r="AA69" s="26">
        <f>Z69</f>
        <v/>
      </c>
      <c r="AB69" s="26">
        <f>AA69</f>
        <v/>
      </c>
      <c r="AC69" s="26">
        <f>AB69</f>
        <v/>
      </c>
    </row>
    <row r="70">
      <c r="A70" s="9" t="inlineStr">
        <is>
          <t>법인세비용차감전순이익(손실)</t>
        </is>
      </c>
      <c r="B70" s="10" t="n"/>
      <c r="C70" s="11" t="n">
        <v>9025</v>
      </c>
      <c r="D70" s="12" t="n">
        <v>21611</v>
      </c>
      <c r="E70" s="12" t="n">
        <v>4484</v>
      </c>
      <c r="F70" s="12" t="n">
        <v>11425</v>
      </c>
      <c r="G70" s="12" t="n">
        <v>8183</v>
      </c>
      <c r="H70" s="12" t="n">
        <v>17045</v>
      </c>
      <c r="I70" s="12" t="n">
        <v>6000</v>
      </c>
      <c r="J70" s="12" t="n">
        <v>9721</v>
      </c>
      <c r="K70" s="12" t="n">
        <v>9929</v>
      </c>
      <c r="L70" s="12" t="n">
        <v>13559</v>
      </c>
      <c r="M70" s="12" t="n">
        <v>11547</v>
      </c>
      <c r="N70" s="12" t="n">
        <v>14279</v>
      </c>
      <c r="O70" s="11" t="n"/>
      <c r="P70" s="12" t="n">
        <v>36831</v>
      </c>
      <c r="Q70" s="12" t="n">
        <v>33110</v>
      </c>
      <c r="R70" s="12" t="n">
        <v>21170</v>
      </c>
      <c r="S70" s="12" t="n">
        <v>10065</v>
      </c>
      <c r="T70" s="12" t="n">
        <v>40746</v>
      </c>
      <c r="U70" s="12" t="n">
        <v>52557</v>
      </c>
      <c r="V70" s="12" t="n">
        <v>45068</v>
      </c>
      <c r="W70" s="12" t="n">
        <v>42653</v>
      </c>
      <c r="X70" s="12" t="n">
        <v>44756</v>
      </c>
      <c r="Y70" s="11">
        <f>IF(OR(Y46=""),"",IFERROR(Y46+N(Y62)-N(Y64)+N(Y66)-N(Y68),""))</f>
        <v/>
      </c>
      <c r="Z70" s="12">
        <f>IF(OR(Z46=""),"",IFERROR(Z46+N(Z62)-N(Z64)+N(Z66)-N(Z68),""))</f>
        <v/>
      </c>
      <c r="AA70" s="12">
        <f>IF(OR(AA46=""),"",IFERROR(AA46+N(AA62)-N(AA64)+N(AA66)-N(AA68),""))</f>
        <v/>
      </c>
      <c r="AB70" s="12">
        <f>IF(OR(AB46=""),"",IFERROR(AB46+N(AB62)-N(AB64)+N(AB66)-N(AB68),""))</f>
        <v/>
      </c>
      <c r="AC70" s="12">
        <f>IF(OR(AC46=""),"",IFERROR(AC46+N(AC62)-N(AC64)+N(AC66)-N(AC68),""))</f>
        <v/>
      </c>
    </row>
    <row r="71">
      <c r="A71" s="13" t="inlineStr">
        <is>
          <t>YoY</t>
        </is>
      </c>
      <c r="B71" s="10" t="n"/>
      <c r="C71" s="14" t="n"/>
      <c r="D71" s="15" t="n"/>
      <c r="E71" s="15" t="n"/>
      <c r="F71" s="15" t="n"/>
      <c r="G71" s="15">
        <f>IF(OR(G70="",C70=""),"",IF(C70&lt;=0,"",IFERROR(G70/C70-1,"")))</f>
        <v/>
      </c>
      <c r="H71" s="15">
        <f>IF(OR(H70="",D70=""),"",IF(D70&lt;=0,"",IFERROR(H70/D70-1,"")))</f>
        <v/>
      </c>
      <c r="I71" s="15">
        <f>IF(OR(I70="",E70=""),"",IF(E70&lt;=0,"",IFERROR(I70/E70-1,"")))</f>
        <v/>
      </c>
      <c r="J71" s="15">
        <f>IF(OR(J70="",F70=""),"",IF(F70&lt;=0,"",IFERROR(J70/F70-1,"")))</f>
        <v/>
      </c>
      <c r="K71" s="15">
        <f>IF(OR(K70="",G70=""),"",IF(G70&lt;=0,"",IFERROR(K70/G70-1,"")))</f>
        <v/>
      </c>
      <c r="L71" s="15">
        <f>IF(OR(L70="",H70=""),"",IF(H70&lt;=0,"",IFERROR(L70/H70-1,"")))</f>
        <v/>
      </c>
      <c r="M71" s="15">
        <f>IF(OR(M70="",I70=""),"",IF(I70&lt;=0,"",IFERROR(M70/I70-1,"")))</f>
        <v/>
      </c>
      <c r="N71" s="15">
        <f>IF(OR(N70="",J70=""),"",IF(J70&lt;=0,"",IFERROR(N70/J70-1,"")))</f>
        <v/>
      </c>
      <c r="O71" s="14" t="n"/>
      <c r="P71" s="15">
        <f>IF(OR(P70="",O70=""),"",IF(O70&lt;=0,"",IFERROR(P70/O70-1,"")))</f>
        <v/>
      </c>
      <c r="Q71" s="15">
        <f>IF(OR(Q70="",P70=""),"",IF(P70&lt;=0,"",IFERROR(Q70/P70-1,"")))</f>
        <v/>
      </c>
      <c r="R71" s="15">
        <f>IF(OR(R70="",Q70=""),"",IF(Q70&lt;=0,"",IFERROR(R70/Q70-1,"")))</f>
        <v/>
      </c>
      <c r="S71" s="15">
        <f>IF(OR(S70="",R70=""),"",IF(R70&lt;=0,"",IFERROR(S70/R70-1,"")))</f>
        <v/>
      </c>
      <c r="T71" s="15">
        <f>IF(OR(T70="",S70=""),"",IF(S70&lt;=0,"",IFERROR(T70/S70-1,"")))</f>
        <v/>
      </c>
      <c r="U71" s="15">
        <f>IF(OR(U70="",T70=""),"",IF(T70&lt;=0,"",IFERROR(U70/T70-1,"")))</f>
        <v/>
      </c>
      <c r="V71" s="15">
        <f>IF(OR(V70="",U70=""),"",IF(U70&lt;=0,"",IFERROR(V70/U70-1,"")))</f>
        <v/>
      </c>
      <c r="W71" s="15">
        <f>IF(OR(W70="",V70=""),"",IF(V70&lt;=0,"",IFERROR(W70/V70-1,"")))</f>
        <v/>
      </c>
      <c r="X71" s="15">
        <f>IF(OR(X70="",W70=""),"",IF(W70&lt;=0,"",IFERROR(X70/W70-1,"")))</f>
        <v/>
      </c>
      <c r="Y71" s="14">
        <f>IF(OR(Y70="",X70=""),"",IF(X70&lt;=0,"",IFERROR(Y70/X70-1,"")))</f>
        <v/>
      </c>
      <c r="Z71" s="15">
        <f>IF(OR(Z70="",Y70=""),"",IF(Y70&lt;=0,"",IFERROR(Z70/Y70-1,"")))</f>
        <v/>
      </c>
      <c r="AA71" s="15">
        <f>IF(OR(AA70="",Z70=""),"",IF(Z70&lt;=0,"",IFERROR(AA70/Z70-1,"")))</f>
        <v/>
      </c>
      <c r="AB71" s="15">
        <f>IF(OR(AB70="",AA70=""),"",IF(AA70&lt;=0,"",IFERROR(AB70/AA70-1,"")))</f>
        <v/>
      </c>
      <c r="AC71" s="15">
        <f>IF(OR(AC70="",AB70=""),"",IF(AB70&lt;=0,"",IFERROR(AC70/AB70-1,"")))</f>
        <v/>
      </c>
    </row>
    <row r="72">
      <c r="A72" s="18" t="inlineStr">
        <is>
          <t>법인세비용(수익)</t>
        </is>
      </c>
      <c r="B72" s="10" t="n"/>
      <c r="C72" s="19" t="n">
        <v>3308</v>
      </c>
      <c r="D72" s="20" t="n">
        <v>4146</v>
      </c>
      <c r="E72" s="20" t="n">
        <v>2169</v>
      </c>
      <c r="F72" s="20" t="n">
        <v>4004</v>
      </c>
      <c r="G72" s="20" t="n">
        <v>2406</v>
      </c>
      <c r="H72" s="20" t="n">
        <v>5268</v>
      </c>
      <c r="I72" s="20" t="n">
        <v>414</v>
      </c>
      <c r="J72" s="20" t="n">
        <v>2801</v>
      </c>
      <c r="K72" s="20" t="n">
        <v>2830</v>
      </c>
      <c r="L72" s="20" t="n">
        <v>4073</v>
      </c>
      <c r="M72" s="20" t="n">
        <v>174</v>
      </c>
      <c r="N72" s="20" t="n">
        <v>4563</v>
      </c>
      <c r="O72" s="19" t="n"/>
      <c r="P72" s="20" t="n">
        <v>10143</v>
      </c>
      <c r="Q72" s="20" t="n">
        <v>10224</v>
      </c>
      <c r="R72" s="20" t="n">
        <v>9095</v>
      </c>
      <c r="S72" s="20" t="n">
        <v>4097</v>
      </c>
      <c r="T72" s="20" t="n">
        <v>11120</v>
      </c>
      <c r="U72" s="20" t="n">
        <v>13981</v>
      </c>
      <c r="V72" s="20" t="n">
        <v>12493</v>
      </c>
      <c r="W72" s="20" t="n">
        <v>12092</v>
      </c>
      <c r="X72" s="20" t="n">
        <v>9878</v>
      </c>
      <c r="Y72" s="19">
        <f>IF(OR(Y70="",Y73=""),"",IFERROR(MAX(Y70,0)*Y73,""))</f>
        <v/>
      </c>
      <c r="Z72" s="20">
        <f>IF(OR(Z70="",Z73=""),"",IFERROR(MAX(Z70,0)*Z73,""))</f>
        <v/>
      </c>
      <c r="AA72" s="20">
        <f>IF(OR(AA70="",AA73=""),"",IFERROR(MAX(AA70,0)*AA73,""))</f>
        <v/>
      </c>
      <c r="AB72" s="20">
        <f>IF(OR(AB70="",AB73=""),"",IFERROR(MAX(AB70,0)*AB73,""))</f>
        <v/>
      </c>
      <c r="AC72" s="20">
        <f>IF(OR(AC70="",AC73=""),"",IFERROR(MAX(AC70,0)*AC73,""))</f>
        <v/>
      </c>
    </row>
    <row r="73">
      <c r="A73" s="13" t="inlineStr">
        <is>
          <t>법인세율</t>
        </is>
      </c>
      <c r="B73" s="10" t="inlineStr">
        <is>
          <t>MW 기본 30%</t>
        </is>
      </c>
      <c r="C73" s="14">
        <f>IF(OR(C72="",C70=""),"",IFERROR(C72/C70,""))</f>
        <v/>
      </c>
      <c r="D73" s="15">
        <f>IF(OR(D72="",D70=""),"",IFERROR(D72/D70,""))</f>
        <v/>
      </c>
      <c r="E73" s="15">
        <f>IF(OR(E72="",E70=""),"",IFERROR(E72/E70,""))</f>
        <v/>
      </c>
      <c r="F73" s="15">
        <f>IF(OR(F72="",F70=""),"",IFERROR(F72/F70,""))</f>
        <v/>
      </c>
      <c r="G73" s="15">
        <f>IF(OR(G72="",G70=""),"",IFERROR(G72/G70,""))</f>
        <v/>
      </c>
      <c r="H73" s="15">
        <f>IF(OR(H72="",H70=""),"",IFERROR(H72/H70,""))</f>
        <v/>
      </c>
      <c r="I73" s="15">
        <f>IF(OR(I72="",I70=""),"",IFERROR(I72/I70,""))</f>
        <v/>
      </c>
      <c r="J73" s="15">
        <f>IF(OR(J72="",J70=""),"",IFERROR(J72/J70,""))</f>
        <v/>
      </c>
      <c r="K73" s="15">
        <f>IF(OR(K72="",K70=""),"",IFERROR(K72/K70,""))</f>
        <v/>
      </c>
      <c r="L73" s="15">
        <f>IF(OR(L72="",L70=""),"",IFERROR(L72/L70,""))</f>
        <v/>
      </c>
      <c r="M73" s="15">
        <f>IF(OR(M72="",M70=""),"",IFERROR(M72/M70,""))</f>
        <v/>
      </c>
      <c r="N73" s="15">
        <f>IF(OR(N72="",N70=""),"",IFERROR(N72/N70,""))</f>
        <v/>
      </c>
      <c r="O73" s="14">
        <f>IF(OR(O72="",O70=""),"",IFERROR(O72/O70,""))</f>
        <v/>
      </c>
      <c r="P73" s="15">
        <f>IF(OR(P72="",P70=""),"",IFERROR(P72/P70,""))</f>
        <v/>
      </c>
      <c r="Q73" s="15">
        <f>IF(OR(Q72="",Q70=""),"",IFERROR(Q72/Q70,""))</f>
        <v/>
      </c>
      <c r="R73" s="15">
        <f>IF(OR(R72="",R70=""),"",IFERROR(R72/R70,""))</f>
        <v/>
      </c>
      <c r="S73" s="15">
        <f>IF(OR(S72="",S70=""),"",IFERROR(S72/S70,""))</f>
        <v/>
      </c>
      <c r="T73" s="15">
        <f>IF(OR(T72="",T70=""),"",IFERROR(T72/T70,""))</f>
        <v/>
      </c>
      <c r="U73" s="15">
        <f>IF(OR(U72="",U70=""),"",IFERROR(U72/U70,""))</f>
        <v/>
      </c>
      <c r="V73" s="15">
        <f>IF(OR(V72="",V70=""),"",IFERROR(V72/V70,""))</f>
        <v/>
      </c>
      <c r="W73" s="15">
        <f>IF(OR(W72="",W70=""),"",IFERROR(W72/W70,""))</f>
        <v/>
      </c>
      <c r="X73" s="15">
        <f>IF(OR(X72="",X70=""),"",IFERROR(X72/X70,""))</f>
        <v/>
      </c>
      <c r="Y73" s="25" t="n">
        <v>0.3</v>
      </c>
      <c r="Z73" s="26" t="n">
        <v>0.3</v>
      </c>
      <c r="AA73" s="26" t="n">
        <v>0.3</v>
      </c>
      <c r="AB73" s="26" t="n">
        <v>0.3</v>
      </c>
      <c r="AC73" s="26" t="n">
        <v>0.3</v>
      </c>
    </row>
    <row r="74">
      <c r="A74" s="9" t="inlineStr">
        <is>
          <t>당기순이익(손실)</t>
        </is>
      </c>
      <c r="B74" s="10" t="n"/>
      <c r="C74" s="11" t="n">
        <v>5716</v>
      </c>
      <c r="D74" s="12" t="n">
        <v>17466</v>
      </c>
      <c r="E74" s="12" t="n">
        <v>2314</v>
      </c>
      <c r="F74" s="12" t="n">
        <v>7420</v>
      </c>
      <c r="G74" s="12" t="n">
        <v>5777</v>
      </c>
      <c r="H74" s="12" t="n">
        <v>11778</v>
      </c>
      <c r="I74" s="12" t="n">
        <v>5585</v>
      </c>
      <c r="J74" s="12" t="n">
        <v>6920</v>
      </c>
      <c r="K74" s="12" t="n">
        <v>7098</v>
      </c>
      <c r="L74" s="12" t="n">
        <v>9486</v>
      </c>
      <c r="M74" s="12" t="n">
        <v>11374</v>
      </c>
      <c r="N74" s="12" t="n">
        <v>9716</v>
      </c>
      <c r="O74" s="11" t="n"/>
      <c r="P74" s="12" t="n">
        <v>26688</v>
      </c>
      <c r="Q74" s="12" t="n">
        <v>22886</v>
      </c>
      <c r="R74" s="12" t="n">
        <v>12075</v>
      </c>
      <c r="S74" s="12" t="n">
        <v>5968</v>
      </c>
      <c r="T74" s="12" t="n">
        <v>29625</v>
      </c>
      <c r="U74" s="12" t="n">
        <v>38576</v>
      </c>
      <c r="V74" s="12" t="n">
        <v>32574</v>
      </c>
      <c r="W74" s="12" t="n">
        <v>30560</v>
      </c>
      <c r="X74" s="12" t="n">
        <v>34878</v>
      </c>
      <c r="Y74" s="11">
        <f>IF(OR(Y70=""),"",IFERROR(Y70-Y72,""))</f>
        <v/>
      </c>
      <c r="Z74" s="12">
        <f>IF(OR(Z70=""),"",IFERROR(Z70-Z72,""))</f>
        <v/>
      </c>
      <c r="AA74" s="12">
        <f>IF(OR(AA70=""),"",IFERROR(AA70-AA72,""))</f>
        <v/>
      </c>
      <c r="AB74" s="12">
        <f>IF(OR(AB70=""),"",IFERROR(AB70-AB72,""))</f>
        <v/>
      </c>
      <c r="AC74" s="12">
        <f>IF(OR(AC70=""),"",IFERROR(AC70-AC72,""))</f>
        <v/>
      </c>
    </row>
    <row r="75">
      <c r="A75" s="13" t="inlineStr">
        <is>
          <t>YoY</t>
        </is>
      </c>
      <c r="B75" s="10" t="n"/>
      <c r="C75" s="14" t="n"/>
      <c r="D75" s="15" t="n"/>
      <c r="E75" s="15" t="n"/>
      <c r="F75" s="15" t="n"/>
      <c r="G75" s="15">
        <f>IF(OR(G74="",C74=""),"",IF(C74&lt;=0,"",IFERROR(G74/C74-1,"")))</f>
        <v/>
      </c>
      <c r="H75" s="15">
        <f>IF(OR(H74="",D74=""),"",IF(D74&lt;=0,"",IFERROR(H74/D74-1,"")))</f>
        <v/>
      </c>
      <c r="I75" s="15">
        <f>IF(OR(I74="",E74=""),"",IF(E74&lt;=0,"",IFERROR(I74/E74-1,"")))</f>
        <v/>
      </c>
      <c r="J75" s="15">
        <f>IF(OR(J74="",F74=""),"",IF(F74&lt;=0,"",IFERROR(J74/F74-1,"")))</f>
        <v/>
      </c>
      <c r="K75" s="15">
        <f>IF(OR(K74="",G74=""),"",IF(G74&lt;=0,"",IFERROR(K74/G74-1,"")))</f>
        <v/>
      </c>
      <c r="L75" s="15">
        <f>IF(OR(L74="",H74=""),"",IF(H74&lt;=0,"",IFERROR(L74/H74-1,"")))</f>
        <v/>
      </c>
      <c r="M75" s="15">
        <f>IF(OR(M74="",I74=""),"",IF(I74&lt;=0,"",IFERROR(M74/I74-1,"")))</f>
        <v/>
      </c>
      <c r="N75" s="15">
        <f>IF(OR(N74="",J74=""),"",IF(J74&lt;=0,"",IFERROR(N74/J74-1,"")))</f>
        <v/>
      </c>
      <c r="O75" s="14" t="n"/>
      <c r="P75" s="15">
        <f>IF(OR(P74="",O74=""),"",IF(O74&lt;=0,"",IFERROR(P74/O74-1,"")))</f>
        <v/>
      </c>
      <c r="Q75" s="15">
        <f>IF(OR(Q74="",P74=""),"",IF(P74&lt;=0,"",IFERROR(Q74/P74-1,"")))</f>
        <v/>
      </c>
      <c r="R75" s="15">
        <f>IF(OR(R74="",Q74=""),"",IF(Q74&lt;=0,"",IFERROR(R74/Q74-1,"")))</f>
        <v/>
      </c>
      <c r="S75" s="15">
        <f>IF(OR(S74="",R74=""),"",IF(R74&lt;=0,"",IFERROR(S74/R74-1,"")))</f>
        <v/>
      </c>
      <c r="T75" s="15">
        <f>IF(OR(T74="",S74=""),"",IF(S74&lt;=0,"",IFERROR(T74/S74-1,"")))</f>
        <v/>
      </c>
      <c r="U75" s="15">
        <f>IF(OR(U74="",T74=""),"",IF(T74&lt;=0,"",IFERROR(U74/T74-1,"")))</f>
        <v/>
      </c>
      <c r="V75" s="15">
        <f>IF(OR(V74="",U74=""),"",IF(U74&lt;=0,"",IFERROR(V74/U74-1,"")))</f>
        <v/>
      </c>
      <c r="W75" s="15">
        <f>IF(OR(W74="",V74=""),"",IF(V74&lt;=0,"",IFERROR(W74/V74-1,"")))</f>
        <v/>
      </c>
      <c r="X75" s="15">
        <f>IF(OR(X74="",W74=""),"",IF(W74&lt;=0,"",IFERROR(X74/W74-1,"")))</f>
        <v/>
      </c>
      <c r="Y75" s="14">
        <f>IF(OR(Y74="",X74=""),"",IF(X74&lt;=0,"",IFERROR(Y74/X74-1,"")))</f>
        <v/>
      </c>
      <c r="Z75" s="15">
        <f>IF(OR(Z74="",Y74=""),"",IF(Y74&lt;=0,"",IFERROR(Z74/Y74-1,"")))</f>
        <v/>
      </c>
      <c r="AA75" s="15">
        <f>IF(OR(AA74="",Z74=""),"",IF(Z74&lt;=0,"",IFERROR(AA74/Z74-1,"")))</f>
        <v/>
      </c>
      <c r="AB75" s="15">
        <f>IF(OR(AB74="",AA74=""),"",IF(AA74&lt;=0,"",IFERROR(AB74/AA74-1,"")))</f>
        <v/>
      </c>
      <c r="AC75" s="15">
        <f>IF(OR(AC74="",AB74=""),"",IF(AB74&lt;=0,"",IFERROR(AC74/AB74-1,"")))</f>
        <v/>
      </c>
    </row>
    <row r="76">
      <c r="A76" s="9" t="inlineStr">
        <is>
          <t>지배주주 순이익</t>
        </is>
      </c>
      <c r="B76" s="10" t="n"/>
      <c r="C76" s="11" t="n">
        <v>5229</v>
      </c>
      <c r="D76" s="12" t="n">
        <v>16972</v>
      </c>
      <c r="E76" s="12" t="n">
        <v>1826</v>
      </c>
      <c r="F76" s="12" t="n">
        <v>6776</v>
      </c>
      <c r="G76" s="12" t="n">
        <v>5376</v>
      </c>
      <c r="H76" s="12" t="n">
        <v>11018</v>
      </c>
      <c r="I76" s="12" t="n">
        <v>5144</v>
      </c>
      <c r="J76" s="12" t="n">
        <v>6416</v>
      </c>
      <c r="K76" s="12" t="n">
        <v>6521</v>
      </c>
      <c r="L76" s="12" t="n">
        <v>8830</v>
      </c>
      <c r="M76" s="12" t="n">
        <v>10838</v>
      </c>
      <c r="N76" s="12" t="n">
        <v>9061</v>
      </c>
      <c r="O76" s="11" t="n"/>
      <c r="P76" s="12" t="n">
        <v>23920</v>
      </c>
      <c r="Q76" s="12" t="n">
        <v>21182</v>
      </c>
      <c r="R76" s="12" t="n">
        <v>10987</v>
      </c>
      <c r="S76" s="12" t="n">
        <v>4516</v>
      </c>
      <c r="T76" s="12" t="n">
        <v>26894</v>
      </c>
      <c r="U76" s="12" t="n">
        <v>36301</v>
      </c>
      <c r="V76" s="12" t="n">
        <v>30555</v>
      </c>
      <c r="W76" s="12" t="n">
        <v>28314</v>
      </c>
      <c r="X76" s="12" t="n">
        <v>32605</v>
      </c>
      <c r="Y76" s="11">
        <f>IF(OR(Y74="",Y77=""),"",IFERROR(Y74*Y77,""))</f>
        <v/>
      </c>
      <c r="Z76" s="12">
        <f>IF(OR(Z74="",Z77=""),"",IFERROR(Z74*Z77,""))</f>
        <v/>
      </c>
      <c r="AA76" s="12">
        <f>IF(OR(AA74="",AA77=""),"",IFERROR(AA74*AA77,""))</f>
        <v/>
      </c>
      <c r="AB76" s="12">
        <f>IF(OR(AB74="",AB77=""),"",IFERROR(AB74*AB77,""))</f>
        <v/>
      </c>
      <c r="AC76" s="12">
        <f>IF(OR(AC74="",AC77=""),"",IFERROR(AC74*AC77,""))</f>
        <v/>
      </c>
    </row>
    <row r="77">
      <c r="A77" s="13" t="inlineStr">
        <is>
          <t>지배주주 순이익률</t>
        </is>
      </c>
      <c r="B77" s="10" t="inlineStr">
        <is>
          <t>MW 기본 100%</t>
        </is>
      </c>
      <c r="C77" s="14">
        <f>IF(OR(C76="",C74=""),"",IFERROR(C76/C74,""))</f>
        <v/>
      </c>
      <c r="D77" s="15">
        <f>IF(OR(D76="",D74=""),"",IFERROR(D76/D74,""))</f>
        <v/>
      </c>
      <c r="E77" s="15">
        <f>IF(OR(E76="",E74=""),"",IFERROR(E76/E74,""))</f>
        <v/>
      </c>
      <c r="F77" s="15">
        <f>IF(OR(F76="",F74=""),"",IFERROR(F76/F74,""))</f>
        <v/>
      </c>
      <c r="G77" s="15">
        <f>IF(OR(G76="",G74=""),"",IFERROR(G76/G74,""))</f>
        <v/>
      </c>
      <c r="H77" s="15">
        <f>IF(OR(H76="",H74=""),"",IFERROR(H76/H74,""))</f>
        <v/>
      </c>
      <c r="I77" s="15">
        <f>IF(OR(I76="",I74=""),"",IFERROR(I76/I74,""))</f>
        <v/>
      </c>
      <c r="J77" s="15">
        <f>IF(OR(J76="",J74=""),"",IFERROR(J76/J74,""))</f>
        <v/>
      </c>
      <c r="K77" s="15">
        <f>IF(OR(K76="",K74=""),"",IFERROR(K76/K74,""))</f>
        <v/>
      </c>
      <c r="L77" s="15">
        <f>IF(OR(L76="",L74=""),"",IFERROR(L76/L74,""))</f>
        <v/>
      </c>
      <c r="M77" s="15">
        <f>IF(OR(M76="",M74=""),"",IFERROR(M76/M74,""))</f>
        <v/>
      </c>
      <c r="N77" s="15">
        <f>IF(OR(N76="",N74=""),"",IFERROR(N76/N74,""))</f>
        <v/>
      </c>
      <c r="O77" s="14">
        <f>IF(OR(O76="",O74=""),"",IFERROR(O76/O74,""))</f>
        <v/>
      </c>
      <c r="P77" s="15">
        <f>IF(OR(P76="",P74=""),"",IFERROR(P76/P74,""))</f>
        <v/>
      </c>
      <c r="Q77" s="15">
        <f>IF(OR(Q76="",Q74=""),"",IFERROR(Q76/Q74,""))</f>
        <v/>
      </c>
      <c r="R77" s="15">
        <f>IF(OR(R76="",R74=""),"",IFERROR(R76/R74,""))</f>
        <v/>
      </c>
      <c r="S77" s="15">
        <f>IF(OR(S76="",S74=""),"",IFERROR(S76/S74,""))</f>
        <v/>
      </c>
      <c r="T77" s="15">
        <f>IF(OR(T76="",T74=""),"",IFERROR(T76/T74,""))</f>
        <v/>
      </c>
      <c r="U77" s="15">
        <f>IF(OR(U76="",U74=""),"",IFERROR(U76/U74,""))</f>
        <v/>
      </c>
      <c r="V77" s="15">
        <f>IF(OR(V76="",V74=""),"",IFERROR(V76/V74,""))</f>
        <v/>
      </c>
      <c r="W77" s="15">
        <f>IF(OR(W76="",W74=""),"",IFERROR(W76/W74,""))</f>
        <v/>
      </c>
      <c r="X77" s="15">
        <f>IF(OR(X76="",X74=""),"",IFERROR(X76/X74,""))</f>
        <v/>
      </c>
      <c r="Y77" s="25" t="n">
        <v>1</v>
      </c>
      <c r="Z77" s="26" t="n">
        <v>1</v>
      </c>
      <c r="AA77" s="26" t="n">
        <v>1</v>
      </c>
      <c r="AB77" s="26" t="n">
        <v>1</v>
      </c>
      <c r="AC77" s="26" t="n">
        <v>1</v>
      </c>
    </row>
    <row r="78">
      <c r="A78" s="13" t="inlineStr">
        <is>
          <t>지배주주 순이익 YoY</t>
        </is>
      </c>
      <c r="B78" s="10" t="n"/>
      <c r="C78" s="14" t="n"/>
      <c r="D78" s="15" t="n"/>
      <c r="E78" s="15" t="n"/>
      <c r="F78" s="15" t="n"/>
      <c r="G78" s="15">
        <f>IF(OR(G76="",C76=""),"",IF(C76&lt;=0,"",IFERROR(G76/C76-1,"")))</f>
        <v/>
      </c>
      <c r="H78" s="15">
        <f>IF(OR(H76="",D76=""),"",IF(D76&lt;=0,"",IFERROR(H76/D76-1,"")))</f>
        <v/>
      </c>
      <c r="I78" s="15">
        <f>IF(OR(I76="",E76=""),"",IF(E76&lt;=0,"",IFERROR(I76/E76-1,"")))</f>
        <v/>
      </c>
      <c r="J78" s="15">
        <f>IF(OR(J76="",F76=""),"",IF(F76&lt;=0,"",IFERROR(J76/F76-1,"")))</f>
        <v/>
      </c>
      <c r="K78" s="15">
        <f>IF(OR(K76="",G76=""),"",IF(G76&lt;=0,"",IFERROR(K76/G76-1,"")))</f>
        <v/>
      </c>
      <c r="L78" s="15">
        <f>IF(OR(L76="",H76=""),"",IF(H76&lt;=0,"",IFERROR(L76/H76-1,"")))</f>
        <v/>
      </c>
      <c r="M78" s="15">
        <f>IF(OR(M76="",I76=""),"",IF(I76&lt;=0,"",IFERROR(M76/I76-1,"")))</f>
        <v/>
      </c>
      <c r="N78" s="15">
        <f>IF(OR(N76="",J76=""),"",IF(J76&lt;=0,"",IFERROR(N76/J76-1,"")))</f>
        <v/>
      </c>
      <c r="O78" s="14" t="n"/>
      <c r="P78" s="15">
        <f>IF(OR(P76="",O76=""),"",IF(O76&lt;=0,"",IFERROR(P76/O76-1,"")))</f>
        <v/>
      </c>
      <c r="Q78" s="15">
        <f>IF(OR(Q76="",P76=""),"",IF(P76&lt;=0,"",IFERROR(Q76/P76-1,"")))</f>
        <v/>
      </c>
      <c r="R78" s="15">
        <f>IF(OR(R76="",Q76=""),"",IF(Q76&lt;=0,"",IFERROR(R76/Q76-1,"")))</f>
        <v/>
      </c>
      <c r="S78" s="15">
        <f>IF(OR(S76="",R76=""),"",IF(R76&lt;=0,"",IFERROR(S76/R76-1,"")))</f>
        <v/>
      </c>
      <c r="T78" s="15">
        <f>IF(OR(T76="",S76=""),"",IF(S76&lt;=0,"",IFERROR(T76/S76-1,"")))</f>
        <v/>
      </c>
      <c r="U78" s="15">
        <f>IF(OR(U76="",T76=""),"",IF(T76&lt;=0,"",IFERROR(U76/T76-1,"")))</f>
        <v/>
      </c>
      <c r="V78" s="15">
        <f>IF(OR(V76="",U76=""),"",IF(U76&lt;=0,"",IFERROR(V76/U76-1,"")))</f>
        <v/>
      </c>
      <c r="W78" s="15">
        <f>IF(OR(W76="",V76=""),"",IF(V76&lt;=0,"",IFERROR(W76/V76-1,"")))</f>
        <v/>
      </c>
      <c r="X78" s="15">
        <f>IF(OR(X76="",W76=""),"",IF(W76&lt;=0,"",IFERROR(X76/W76-1,"")))</f>
        <v/>
      </c>
      <c r="Y78" s="14">
        <f>IF(OR(Y76="",X76=""),"",IF(X76&lt;=0,"",IFERROR(Y76/X76-1,"")))</f>
        <v/>
      </c>
      <c r="Z78" s="15">
        <f>IF(OR(Z76="",Y76=""),"",IF(Y76&lt;=0,"",IFERROR(Z76/Y76-1,"")))</f>
        <v/>
      </c>
      <c r="AA78" s="15">
        <f>IF(OR(AA76="",Z76=""),"",IF(Z76&lt;=0,"",IFERROR(AA76/Z76-1,"")))</f>
        <v/>
      </c>
      <c r="AB78" s="15">
        <f>IF(OR(AB76="",AA76=""),"",IF(AA76&lt;=0,"",IFERROR(AB76/AA76-1,"")))</f>
        <v/>
      </c>
      <c r="AC78" s="15">
        <f>IF(OR(AC76="",AB76=""),"",IF(AB76&lt;=0,"",IFERROR(AC76/AB76-1,"")))</f>
        <v/>
      </c>
    </row>
    <row r="79">
      <c r="A79" s="16" t="inlineStr">
        <is>
          <t>목표주가 산출</t>
        </is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7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7" t="n"/>
      <c r="Z79" s="16" t="n"/>
      <c r="AA79" s="16" t="n"/>
      <c r="AB79" s="16" t="n"/>
      <c r="AC79" s="16" t="n"/>
    </row>
    <row r="80">
      <c r="A80" s="18" t="inlineStr">
        <is>
          <t>현재 주가 (2026.10.28)</t>
        </is>
      </c>
      <c r="B80" s="27" t="n">
        <v>2286.5</v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8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8" t="n"/>
      <c r="Z80" s="29" t="n"/>
      <c r="AA80" s="29" t="n"/>
      <c r="AB80" s="29" t="n"/>
      <c r="AC80" s="29" t="n"/>
    </row>
    <row r="81">
      <c r="A81" s="18" t="inlineStr">
        <is>
          <t>발행주식수 (보통주)</t>
        </is>
      </c>
      <c r="B81" s="27" t="n">
        <v>217243845</v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8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8" t="n"/>
      <c r="Z81" s="29" t="n"/>
      <c r="AA81" s="29" t="n"/>
      <c r="AB81" s="29" t="n"/>
      <c r="AC81" s="29" t="n"/>
    </row>
    <row r="82">
      <c r="A82" s="18" t="inlineStr">
        <is>
          <t>시가총액 (백만엔)</t>
        </is>
      </c>
      <c r="B82" s="12">
        <f>IF(OR(B80="",B81=""),"",B80*B81/1000000.0)</f>
        <v/>
      </c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19" t="n"/>
      <c r="Z82" s="20" t="n"/>
      <c r="AA82" s="20" t="n"/>
      <c r="AB82" s="20" t="n"/>
      <c r="AC82" s="20" t="n"/>
    </row>
    <row r="83">
      <c r="A83" s="13" t="inlineStr">
        <is>
          <t>OPM</t>
        </is>
      </c>
      <c r="B83" s="10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4">
        <f>IF(O47="","",O47)</f>
        <v/>
      </c>
      <c r="P83" s="15">
        <f>IF(P47="","",P47)</f>
        <v/>
      </c>
      <c r="Q83" s="15">
        <f>IF(Q47="","",Q47)</f>
        <v/>
      </c>
      <c r="R83" s="15">
        <f>IF(R47="","",R47)</f>
        <v/>
      </c>
      <c r="S83" s="15">
        <f>IF(S47="","",S47)</f>
        <v/>
      </c>
      <c r="T83" s="15">
        <f>IF(T47="","",T47)</f>
        <v/>
      </c>
      <c r="U83" s="15">
        <f>IF(U47="","",U47)</f>
        <v/>
      </c>
      <c r="V83" s="15">
        <f>IF(V47="","",V47)</f>
        <v/>
      </c>
      <c r="W83" s="15">
        <f>IF(W47="","",W47)</f>
        <v/>
      </c>
      <c r="X83" s="15">
        <f>IF(X47="","",X47)</f>
        <v/>
      </c>
      <c r="Y83" s="14">
        <f>IF(Y47="","",Y47)</f>
        <v/>
      </c>
      <c r="Z83" s="15">
        <f>IF(Z47="","",Z47)</f>
        <v/>
      </c>
      <c r="AA83" s="15">
        <f>IF(AA47="","",AA47)</f>
        <v/>
      </c>
      <c r="AB83" s="15">
        <f>IF(AB47="","",AB47)</f>
        <v/>
      </c>
      <c r="AC83" s="15">
        <f>IF(AC47="","",AC47)</f>
        <v/>
      </c>
    </row>
    <row r="84">
      <c r="A84" s="13" t="inlineStr">
        <is>
          <t>지배주주 순이익 증가율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>
        <f>IF(OR(P76="",O76=""),"",IFERROR(P76/O76-1,""))</f>
        <v/>
      </c>
      <c r="Q84" s="15">
        <f>IF(OR(Q76="",P76=""),"",IFERROR(Q76/P76-1,""))</f>
        <v/>
      </c>
      <c r="R84" s="15">
        <f>IF(OR(R76="",Q76=""),"",IFERROR(R76/Q76-1,""))</f>
        <v/>
      </c>
      <c r="S84" s="15">
        <f>IF(OR(S76="",R76=""),"",IFERROR(S76/R76-1,""))</f>
        <v/>
      </c>
      <c r="T84" s="15">
        <f>IF(OR(T76="",S76=""),"",IFERROR(T76/S76-1,""))</f>
        <v/>
      </c>
      <c r="U84" s="15">
        <f>IF(OR(U76="",T76=""),"",IFERROR(U76/T76-1,""))</f>
        <v/>
      </c>
      <c r="V84" s="15">
        <f>IF(OR(V76="",U76=""),"",IFERROR(V76/U76-1,""))</f>
        <v/>
      </c>
      <c r="W84" s="15">
        <f>IF(OR(W76="",V76=""),"",IFERROR(W76/V76-1,""))</f>
        <v/>
      </c>
      <c r="X84" s="15">
        <f>IF(OR(X76="",W76=""),"",IFERROR(X76/W76-1,""))</f>
        <v/>
      </c>
      <c r="Y84" s="14">
        <f>IF(OR(Y76="",X76=""),"",IFERROR(Y76/X76-1,""))</f>
        <v/>
      </c>
      <c r="Z84" s="15">
        <f>IF(OR(Z76="",Y76=""),"",IFERROR(Z76/Y76-1,""))</f>
        <v/>
      </c>
      <c r="AA84" s="15">
        <f>IF(OR(AA76="",Z76=""),"",IFERROR(AA76/Z76-1,""))</f>
        <v/>
      </c>
      <c r="AB84" s="15">
        <f>IF(OR(AB76="",AA76=""),"",IFERROR(AB76/AA76-1,""))</f>
        <v/>
      </c>
      <c r="AC84" s="15">
        <f>IF(OR(AC76="",AB76=""),"",IFERROR(AC76/AB76-1,""))</f>
        <v/>
      </c>
    </row>
    <row r="85">
      <c r="A85" s="18" t="inlineStr">
        <is>
          <t>P/E (현재 주가)</t>
        </is>
      </c>
      <c r="B85" s="10" t="inlineStr">
        <is>
          <t>시총 ÷ 지배순이익</t>
        </is>
      </c>
      <c r="C85" s="30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0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>
        <f>IF(OR($B$82="",X76=""),"",IFERROR($B$82/X76,""))</f>
        <v/>
      </c>
      <c r="Y85" s="30">
        <f>IF(OR($B$82="",Y76=""),"",IFERROR($B$82/Y76,""))</f>
        <v/>
      </c>
      <c r="Z85" s="31">
        <f>IF(OR($B$82="",Z76=""),"",IFERROR($B$82/Z76,""))</f>
        <v/>
      </c>
      <c r="AA85" s="31">
        <f>IF(OR($B$82="",AA76=""),"",IFERROR($B$82/AA76,""))</f>
        <v/>
      </c>
      <c r="AB85" s="31">
        <f>IF(OR($B$82="",AB76=""),"",IFERROR($B$82/AB76,""))</f>
        <v/>
      </c>
      <c r="AC85" s="31">
        <f>IF(OR($B$82="",AC76=""),"",IFERROR($B$82/AC76,""))</f>
        <v/>
      </c>
    </row>
    <row r="86">
      <c r="A86" s="18" t="inlineStr">
        <is>
          <t>Target P/E</t>
        </is>
      </c>
      <c r="B86" s="10" t="inlineStr">
        <is>
          <t>직접 입력</t>
        </is>
      </c>
      <c r="C86" s="30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0" t="n"/>
      <c r="P86" s="31" t="n"/>
      <c r="Q86" s="31" t="n"/>
      <c r="R86" s="31" t="n"/>
      <c r="S86" s="31" t="n"/>
      <c r="T86" s="31" t="n"/>
      <c r="U86" s="31" t="n"/>
      <c r="V86" s="31" t="n"/>
      <c r="W86" s="31" t="n"/>
      <c r="X86" s="31" t="n"/>
      <c r="Y86" s="32" t="n"/>
      <c r="Z86" s="33" t="n"/>
      <c r="AA86" s="33" t="n"/>
      <c r="AB86" s="33" t="n"/>
      <c r="AC86" s="33" t="n"/>
    </row>
    <row r="87">
      <c r="A87" s="18" t="inlineStr">
        <is>
          <t>EPS</t>
        </is>
      </c>
      <c r="B87" s="10" t="inlineStr">
        <is>
          <t>지배순이익 ÷ 주식수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8">
        <f>IF(OR(O76="",$B$81=""),"",IFERROR(O76*1000000.0/$B$81,""))</f>
        <v/>
      </c>
      <c r="P87" s="29">
        <f>IF(OR(P76="",$B$81=""),"",IFERROR(P76*1000000.0/$B$81,""))</f>
        <v/>
      </c>
      <c r="Q87" s="29">
        <f>IF(OR(Q76="",$B$81=""),"",IFERROR(Q76*1000000.0/$B$81,""))</f>
        <v/>
      </c>
      <c r="R87" s="29">
        <f>IF(OR(R76="",$B$81=""),"",IFERROR(R76*1000000.0/$B$81,""))</f>
        <v/>
      </c>
      <c r="S87" s="29">
        <f>IF(OR(S76="",$B$81=""),"",IFERROR(S76*1000000.0/$B$81,""))</f>
        <v/>
      </c>
      <c r="T87" s="29">
        <f>IF(OR(T76="",$B$81=""),"",IFERROR(T76*1000000.0/$B$81,""))</f>
        <v/>
      </c>
      <c r="U87" s="29">
        <f>IF(OR(U76="",$B$81=""),"",IFERROR(U76*1000000.0/$B$81,""))</f>
        <v/>
      </c>
      <c r="V87" s="29">
        <f>IF(OR(V76="",$B$81=""),"",IFERROR(V76*1000000.0/$B$81,""))</f>
        <v/>
      </c>
      <c r="W87" s="29">
        <f>IF(OR(W76="",$B$81=""),"",IFERROR(W76*1000000.0/$B$81,""))</f>
        <v/>
      </c>
      <c r="X87" s="29">
        <f>IF(OR(X76="",$B$81=""),"",IFERROR(X76*1000000.0/$B$81,""))</f>
        <v/>
      </c>
      <c r="Y87" s="28">
        <f>IF(OR(Y76="",$B$81=""),"",IFERROR(Y76*1000000.0/$B$81,""))</f>
        <v/>
      </c>
      <c r="Z87" s="29">
        <f>IF(OR(Z76="",$B$81=""),"",IFERROR(Z76*1000000.0/$B$81,""))</f>
        <v/>
      </c>
      <c r="AA87" s="29">
        <f>IF(OR(AA76="",$B$81=""),"",IFERROR(AA76*1000000.0/$B$81,""))</f>
        <v/>
      </c>
      <c r="AB87" s="29">
        <f>IF(OR(AB76="",$B$81=""),"",IFERROR(AB76*1000000.0/$B$81,""))</f>
        <v/>
      </c>
      <c r="AC87" s="29">
        <f>IF(OR(AC76="",$B$81=""),"",IFERROR(AC76*1000000.0/$B$81,""))</f>
        <v/>
      </c>
    </row>
    <row r="88">
      <c r="A88" s="9" t="inlineStr">
        <is>
          <t>목표주가</t>
        </is>
      </c>
      <c r="B88" s="10" t="n"/>
      <c r="C88" s="34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34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34">
        <f>IF(OR(Y87="",Y86=""),"",IFERROR(Y87*Y86,""))</f>
        <v/>
      </c>
      <c r="Z88" s="27">
        <f>IF(OR(Z87="",Z86=""),"",IFERROR(Z87*Z86,""))</f>
        <v/>
      </c>
      <c r="AA88" s="27">
        <f>IF(OR(AA87="",AA86=""),"",IFERROR(AA87*AA86,""))</f>
        <v/>
      </c>
      <c r="AB88" s="27">
        <f>IF(OR(AB87="",AB86=""),"",IFERROR(AB87*AB86,""))</f>
        <v/>
      </c>
      <c r="AC88" s="27">
        <f>IF(OR(AC87="",AC86=""),"",IFERROR(AC87*AC86,""))</f>
        <v/>
      </c>
    </row>
    <row r="89">
      <c r="A89" s="18" t="inlineStr">
        <is>
          <t>상승여력</t>
        </is>
      </c>
      <c r="B89" s="10" t="n"/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5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7">
        <f>IF(OR(Y88="",$B$80=""),"",IFERROR(Y88/$B$80-1,""))</f>
        <v/>
      </c>
      <c r="Z89" s="38">
        <f>IF(OR(Z88="",$B$80=""),"",IFERROR(Z88/$B$80-1,""))</f>
        <v/>
      </c>
      <c r="AA89" s="38">
        <f>IF(OR(AA88="",$B$80=""),"",IFERROR(AA88/$B$80-1,""))</f>
        <v/>
      </c>
      <c r="AB89" s="38">
        <f>IF(OR(AB88="",$B$80=""),"",IFERROR(AB88/$B$80-1,""))</f>
        <v/>
      </c>
      <c r="AC89" s="38">
        <f>IF(OR(AC88="",$B$80=""),"",IFERROR(AC88/$B$80-1,""))</f>
        <v/>
      </c>
    </row>
    <row r="90">
      <c r="A90" s="16" t="inlineStr">
        <is>
          <t>자산가치 산출</t>
        </is>
      </c>
      <c r="B90" s="16" t="inlineStr">
        <is>
          <t>최신 분기 BS</t>
        </is>
      </c>
      <c r="C90" s="17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7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7" t="n"/>
      <c r="Z90" s="16" t="n"/>
      <c r="AA90" s="16" t="n"/>
      <c r="AB90" s="16" t="n"/>
      <c r="AC90" s="16" t="n"/>
    </row>
    <row r="91">
      <c r="A91" s="18" t="inlineStr">
        <is>
          <t>현금및현금성자산</t>
        </is>
      </c>
      <c r="B91" s="10" t="n"/>
      <c r="C91" s="19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19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>
        <f>'재무상태표'!G6</f>
        <v/>
      </c>
      <c r="Y91" s="19">
        <f>'재무상태표'!G6</f>
        <v/>
      </c>
      <c r="Z91" s="20">
        <f>'재무상태표'!G6</f>
        <v/>
      </c>
      <c r="AA91" s="20">
        <f>'재무상태표'!G6</f>
        <v/>
      </c>
      <c r="AB91" s="20">
        <f>'재무상태표'!G6</f>
        <v/>
      </c>
      <c r="AC91" s="20">
        <f>'재무상태표'!G6</f>
        <v/>
      </c>
    </row>
    <row r="92">
      <c r="A92" s="18" t="inlineStr">
        <is>
          <t>단기금융상품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>
        <f>'재무상태표'!G7</f>
        <v/>
      </c>
      <c r="Y92" s="19">
        <f>'재무상태표'!G7</f>
        <v/>
      </c>
      <c r="Z92" s="20">
        <f>'재무상태표'!G7</f>
        <v/>
      </c>
      <c r="AA92" s="20">
        <f>'재무상태표'!G7</f>
        <v/>
      </c>
      <c r="AB92" s="20">
        <f>'재무상태표'!G7</f>
        <v/>
      </c>
      <c r="AC92" s="20">
        <f>'재무상태표'!G7</f>
        <v/>
      </c>
    </row>
    <row r="93">
      <c r="A93" s="18" t="inlineStr">
        <is>
          <t>투자부동산</t>
        </is>
      </c>
      <c r="B93" s="10" t="n"/>
      <c r="C93" s="19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19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>
        <f>'재무상태표'!G14</f>
        <v/>
      </c>
      <c r="Y93" s="19">
        <f>'재무상태표'!G14</f>
        <v/>
      </c>
      <c r="Z93" s="20">
        <f>'재무상태표'!G14</f>
        <v/>
      </c>
      <c r="AA93" s="20">
        <f>'재무상태표'!G14</f>
        <v/>
      </c>
      <c r="AB93" s="20">
        <f>'재무상태표'!G14</f>
        <v/>
      </c>
      <c r="AC93" s="20">
        <f>'재무상태표'!G14</f>
        <v/>
      </c>
    </row>
    <row r="94">
      <c r="A94" s="18" t="inlineStr">
        <is>
          <t>지배자본</t>
        </is>
      </c>
      <c r="B94" s="10" t="n"/>
      <c r="C94" s="19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19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>
        <f>'재무상태표'!G31</f>
        <v/>
      </c>
      <c r="Y94" s="19">
        <f>'재무상태표'!G31</f>
        <v/>
      </c>
      <c r="Z94" s="20">
        <f>'재무상태표'!G31</f>
        <v/>
      </c>
      <c r="AA94" s="20">
        <f>'재무상태표'!G31</f>
        <v/>
      </c>
      <c r="AB94" s="20">
        <f>'재무상태표'!G31</f>
        <v/>
      </c>
      <c r="AC94" s="20">
        <f>'재무상태표'!G31</f>
        <v/>
      </c>
    </row>
    <row r="95">
      <c r="A95" s="18" t="inlineStr">
        <is>
          <t>부채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>
        <f>'재무상태표'!G27</f>
        <v/>
      </c>
      <c r="Y95" s="19">
        <f>'재무상태표'!G27</f>
        <v/>
      </c>
      <c r="Z95" s="20">
        <f>'재무상태표'!G27</f>
        <v/>
      </c>
      <c r="AA95" s="20">
        <f>'재무상태표'!G27</f>
        <v/>
      </c>
      <c r="AB95" s="20">
        <f>'재무상태표'!G27</f>
        <v/>
      </c>
      <c r="AC95" s="20">
        <f>'재무상태표'!G27</f>
        <v/>
      </c>
    </row>
    <row r="96">
      <c r="A96" s="13" t="inlineStr">
        <is>
          <t>부채비율</t>
        </is>
      </c>
      <c r="B96" s="10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4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>
        <f>IF(OR(X95="",X94=""),"",IFERROR(X95/X94,""))</f>
        <v/>
      </c>
      <c r="Y96" s="14">
        <f>IF(OR(Y95="",Y94=""),"",IFERROR(Y95/Y94,""))</f>
        <v/>
      </c>
      <c r="Z96" s="15">
        <f>IF(OR(Z95="",Z94=""),"",IFERROR(Z95/Z94,""))</f>
        <v/>
      </c>
      <c r="AA96" s="15">
        <f>IF(OR(AA95="",AA94=""),"",IFERROR(AA95/AA94,""))</f>
        <v/>
      </c>
      <c r="AB96" s="15">
        <f>IF(OR(AB95="",AB94=""),"",IFERROR(AB95/AB94,""))</f>
        <v/>
      </c>
      <c r="AC96" s="15">
        <f>IF(OR(AC95="",AC94=""),"",IFERROR(AC95/AC94,""))</f>
        <v/>
      </c>
    </row>
    <row r="97">
      <c r="A97" s="9" t="inlineStr">
        <is>
          <t>자산가치</t>
        </is>
      </c>
      <c r="B97" s="10" t="inlineStr">
        <is>
          <t>현금+단기금융+투자부동산</t>
        </is>
      </c>
      <c r="C97" s="11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1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>
        <f>SUM(X91,X92,X93)</f>
        <v/>
      </c>
      <c r="Y97" s="11">
        <f>SUM(Y91,Y92,Y93)</f>
        <v/>
      </c>
      <c r="Z97" s="12">
        <f>SUM(Z91,Z92,Z93)</f>
        <v/>
      </c>
      <c r="AA97" s="12">
        <f>SUM(AA91,AA92,AA93)</f>
        <v/>
      </c>
      <c r="AB97" s="12">
        <f>SUM(AB91,AB92,AB93)</f>
        <v/>
      </c>
      <c r="AC97" s="12">
        <f>SUM(AC91,AC92,AC93)</f>
        <v/>
      </c>
    </row>
    <row r="98">
      <c r="A98" s="16" t="inlineStr">
        <is>
          <t>기업가치 산출</t>
        </is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7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7" t="n"/>
      <c r="Z98" s="16" t="n"/>
      <c r="AA98" s="16" t="n"/>
      <c r="AB98" s="16" t="n"/>
      <c r="AC98" s="16" t="n"/>
    </row>
    <row r="99">
      <c r="A99" s="18" t="inlineStr">
        <is>
          <t>목표 시가총액 (P/E)</t>
        </is>
      </c>
      <c r="B99" s="10" t="inlineStr">
        <is>
          <t>지배순이익 × Target P/E</t>
        </is>
      </c>
      <c r="C99" s="19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19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19">
        <f>IF(OR(Y76="",Y86=""),"",IFERROR(Y76*Y86,""))</f>
        <v/>
      </c>
      <c r="Z99" s="20">
        <f>IF(OR(Z76="",Z86=""),"",IFERROR(Z76*Z86,""))</f>
        <v/>
      </c>
      <c r="AA99" s="20">
        <f>IF(OR(AA76="",AA86=""),"",IFERROR(AA76*AA86,""))</f>
        <v/>
      </c>
      <c r="AB99" s="20">
        <f>IF(OR(AB76="",AB86=""),"",IFERROR(AB76*AB86,""))</f>
        <v/>
      </c>
      <c r="AC99" s="20">
        <f>IF(OR(AC76="",AC86=""),"",IFERROR(AC76*AC86,""))</f>
        <v/>
      </c>
    </row>
    <row r="100">
      <c r="A100" s="9" t="inlineStr">
        <is>
          <t>기업가치</t>
        </is>
      </c>
      <c r="B100" s="10" t="inlineStr">
        <is>
          <t>목표시총 + 자산가치</t>
        </is>
      </c>
      <c r="C100" s="11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1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1">
        <f>IF(OR(Y99=""),"",IFERROR(Y99+Y97,""))</f>
        <v/>
      </c>
      <c r="Z100" s="12">
        <f>IF(OR(Z99=""),"",IFERROR(Z99+Z97,""))</f>
        <v/>
      </c>
      <c r="AA100" s="12">
        <f>IF(OR(AA99=""),"",IFERROR(AA99+AA97,""))</f>
        <v/>
      </c>
      <c r="AB100" s="12">
        <f>IF(OR(AB99=""),"",IFERROR(AB99+AB97,""))</f>
        <v/>
      </c>
      <c r="AC100" s="12">
        <f>IF(OR(AC99=""),"",IFERROR(AC99+AC97,""))</f>
        <v/>
      </c>
    </row>
    <row r="101">
      <c r="A101" s="18" t="inlineStr">
        <is>
          <t>현재 시가총액</t>
        </is>
      </c>
      <c r="B101" s="10" t="n"/>
      <c r="C101" s="19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19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19">
        <f>$B$82</f>
        <v/>
      </c>
      <c r="Z101" s="20">
        <f>$B$82</f>
        <v/>
      </c>
      <c r="AA101" s="20">
        <f>$B$82</f>
        <v/>
      </c>
      <c r="AB101" s="20">
        <f>$B$82</f>
        <v/>
      </c>
      <c r="AC101" s="20">
        <f>$B$82</f>
        <v/>
      </c>
    </row>
    <row r="102">
      <c r="A102" s="18" t="inlineStr">
        <is>
          <t>상승여력</t>
        </is>
      </c>
      <c r="B102" s="10" t="n"/>
      <c r="C102" s="35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5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7">
        <f>IF(OR(Y100="",Y101=""),"",IFERROR(Y100/Y101-1,""))</f>
        <v/>
      </c>
      <c r="Z102" s="38">
        <f>IF(OR(Z100="",Z101=""),"",IFERROR(Z100/Z101-1,""))</f>
        <v/>
      </c>
      <c r="AA102" s="38">
        <f>IF(OR(AA100="",AA101=""),"",IFERROR(AA100/AA101-1,""))</f>
        <v/>
      </c>
      <c r="AB102" s="38">
        <f>IF(OR(AB100="",AB101=""),"",IFERROR(AB100/AB101-1,""))</f>
        <v/>
      </c>
      <c r="AC102" s="38">
        <f>IF(OR(AC100="",AC101=""),"",IFERROR(AC100/AC101-1,""))</f>
        <v/>
      </c>
    </row>
    <row r="103">
      <c r="C103" s="39" t="n"/>
      <c r="O103" s="39" t="n"/>
      <c r="Y103" s="39" t="n"/>
    </row>
    <row r="104">
      <c r="A104" s="40" t="inlineStr">
        <is>
          <t>출처</t>
        </is>
      </c>
      <c r="C104" s="39" t="n"/>
      <c r="O104" s="39" t="n"/>
      <c r="Y104" s="39" t="n"/>
    </row>
    <row r="105">
      <c r="A105" s="41" t="inlineStr">
        <is>
          <t>결산단신 XBRL(TDnet·JPX 보관소) — 쓴 문서는 '출처' 시트</t>
        </is>
      </c>
      <c r="C105" s="39" t="n"/>
      <c r="O105" s="39" t="n"/>
      <c r="Y105" s="39" t="n"/>
    </row>
    <row r="106">
      <c r="A106" s="41" t="inlineStr">
        <is>
          <t>분기 = 누계에서 앞 분기를 뺀 3개월 값</t>
        </is>
      </c>
      <c r="C106" s="39" t="n"/>
      <c r="O106" s="39" t="n"/>
      <c r="Y106" s="39" t="n"/>
    </row>
    <row r="107">
      <c r="A107" s="41" t="inlineStr">
        <is>
          <t>주가: 야후 파이낸스 일봉 2026.10.28</t>
        </is>
      </c>
      <c r="C107" s="39" t="n"/>
      <c r="O107" s="39" t="n"/>
      <c r="Y107" s="39" t="n"/>
    </row>
    <row r="109">
      <c r="A109" s="16" t="inlineStr">
        <is>
          <t>손익계산서 · 전 항목</t>
        </is>
      </c>
      <c r="B109" s="42" t="inlineStr">
        <is>
          <t>분기 = 3개월 단독</t>
        </is>
      </c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</row>
    <row r="110">
      <c r="A110" s="5" t="inlineStr">
        <is>
          <t>항목</t>
        </is>
      </c>
      <c r="B110" s="5" t="inlineStr">
        <is>
          <t>참고</t>
        </is>
      </c>
      <c r="C110" s="5" t="inlineStr">
        <is>
          <t>2024.2Q</t>
        </is>
      </c>
      <c r="D110" s="5" t="inlineStr">
        <is>
          <t>2024.3Q</t>
        </is>
      </c>
      <c r="E110" s="5" t="inlineStr">
        <is>
          <t>2024.4Q</t>
        </is>
      </c>
      <c r="F110" s="5" t="inlineStr">
        <is>
          <t>2025.1Q</t>
        </is>
      </c>
      <c r="G110" s="5" t="inlineStr">
        <is>
          <t>2025.2Q</t>
        </is>
      </c>
      <c r="H110" s="5" t="inlineStr">
        <is>
          <t>2025.3Q</t>
        </is>
      </c>
      <c r="I110" s="5" t="inlineStr">
        <is>
          <t>2025.4Q</t>
        </is>
      </c>
      <c r="J110" s="5" t="inlineStr">
        <is>
          <t>2026.1Q</t>
        </is>
      </c>
      <c r="K110" s="5" t="inlineStr">
        <is>
          <t>2026.2Q</t>
        </is>
      </c>
      <c r="L110" s="5" t="inlineStr">
        <is>
          <t>2026.3Q</t>
        </is>
      </c>
      <c r="M110" s="5" t="inlineStr">
        <is>
          <t>2026.4Q</t>
        </is>
      </c>
      <c r="N110" s="5" t="inlineStr">
        <is>
          <t>2027.1Q</t>
        </is>
      </c>
      <c r="O110" s="5" t="inlineStr">
        <is>
          <t>2017</t>
        </is>
      </c>
      <c r="P110" s="5" t="inlineStr">
        <is>
          <t>2018</t>
        </is>
      </c>
      <c r="Q110" s="5" t="inlineStr">
        <is>
          <t>2019</t>
        </is>
      </c>
      <c r="R110" s="5" t="inlineStr">
        <is>
          <t>2020</t>
        </is>
      </c>
      <c r="S110" s="5" t="inlineStr">
        <is>
          <t>2021</t>
        </is>
      </c>
      <c r="T110" s="5" t="inlineStr">
        <is>
          <t>2022</t>
        </is>
      </c>
      <c r="U110" s="5" t="inlineStr">
        <is>
          <t>2023</t>
        </is>
      </c>
      <c r="V110" s="5" t="inlineStr">
        <is>
          <t>2024</t>
        </is>
      </c>
      <c r="W110" s="5" t="inlineStr">
        <is>
          <t>2025</t>
        </is>
      </c>
      <c r="X110" s="5" t="inlineStr">
        <is>
          <t>2026</t>
        </is>
      </c>
      <c r="Y110" s="5" t="inlineStr">
        <is>
          <t>2027(MW)</t>
        </is>
      </c>
      <c r="Z110" s="5" t="inlineStr">
        <is>
          <t>2028(MW)</t>
        </is>
      </c>
      <c r="AA110" s="5" t="inlineStr">
        <is>
          <t>2029(MW)</t>
        </is>
      </c>
      <c r="AB110" s="5" t="inlineStr">
        <is>
          <t>2030(MW)</t>
        </is>
      </c>
      <c r="AC110" s="5" t="inlineStr">
        <is>
          <t>2031(MW)</t>
        </is>
      </c>
    </row>
    <row r="111">
      <c r="A111" s="9" t="inlineStr">
        <is>
          <t>매출수익</t>
        </is>
      </c>
      <c r="C111" s="12" t="n">
        <v>145349</v>
      </c>
      <c r="D111" s="12" t="n">
        <v>151534</v>
      </c>
      <c r="E111" s="12" t="n">
        <v>139795</v>
      </c>
      <c r="F111" s="12" t="n">
        <v>142094</v>
      </c>
      <c r="G111" s="12" t="n">
        <v>141345</v>
      </c>
      <c r="H111" s="12" t="n">
        <v>150522</v>
      </c>
      <c r="I111" s="12" t="n">
        <v>140984</v>
      </c>
      <c r="J111" s="12" t="n">
        <v>142352</v>
      </c>
      <c r="K111" s="12" t="n">
        <v>142147</v>
      </c>
      <c r="L111" s="12" t="n">
        <v>145731</v>
      </c>
      <c r="M111" s="12" t="n">
        <v>147899</v>
      </c>
      <c r="N111" s="12" t="n">
        <v>163530</v>
      </c>
      <c r="V111" s="12" t="n">
        <v>139795</v>
      </c>
      <c r="W111" s="12" t="n">
        <v>140984</v>
      </c>
      <c r="X111" s="12" t="n">
        <v>147899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매출원가</t>
        </is>
      </c>
      <c r="C113" s="20" t="n">
        <v>119857</v>
      </c>
      <c r="D113" s="20" t="n">
        <v>122472</v>
      </c>
      <c r="E113" s="20" t="n">
        <v>118684</v>
      </c>
      <c r="F113" s="20" t="n">
        <v>115949</v>
      </c>
      <c r="G113" s="20" t="n">
        <v>115633</v>
      </c>
      <c r="H113" s="20" t="n">
        <v>120482</v>
      </c>
      <c r="I113" s="20" t="n">
        <v>118693</v>
      </c>
      <c r="J113" s="20" t="n">
        <v>117664</v>
      </c>
      <c r="K113" s="20" t="n">
        <v>116683</v>
      </c>
      <c r="L113" s="20" t="n">
        <v>117742</v>
      </c>
      <c r="M113" s="20" t="n">
        <v>124739</v>
      </c>
      <c r="N113" s="20" t="n">
        <v>134320</v>
      </c>
      <c r="V113" s="20" t="n">
        <v>118684</v>
      </c>
      <c r="W113" s="20" t="n">
        <v>118693</v>
      </c>
      <c r="X113" s="20" t="n">
        <v>124739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매출총이익</t>
        </is>
      </c>
      <c r="C115" s="12" t="n">
        <v>25493</v>
      </c>
      <c r="D115" s="12" t="n">
        <v>29061</v>
      </c>
      <c r="E115" s="12" t="n">
        <v>21112</v>
      </c>
      <c r="F115" s="12" t="n">
        <v>26144</v>
      </c>
      <c r="G115" s="12" t="n">
        <v>25712</v>
      </c>
      <c r="H115" s="12" t="n">
        <v>30041</v>
      </c>
      <c r="I115" s="12" t="n">
        <v>22290</v>
      </c>
      <c r="J115" s="12" t="n">
        <v>24688</v>
      </c>
      <c r="K115" s="12" t="n">
        <v>25463</v>
      </c>
      <c r="L115" s="12" t="n">
        <v>27989</v>
      </c>
      <c r="M115" s="12" t="n">
        <v>23161</v>
      </c>
      <c r="N115" s="12" t="n">
        <v>29209</v>
      </c>
      <c r="V115" s="12" t="n">
        <v>21112</v>
      </c>
      <c r="W115" s="12" t="n">
        <v>22290</v>
      </c>
      <c r="X115" s="12" t="n">
        <v>23161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판매비와 관리비</t>
        </is>
      </c>
      <c r="C117" s="20" t="n">
        <v>14300</v>
      </c>
      <c r="D117" s="20" t="n">
        <v>14392</v>
      </c>
      <c r="E117" s="20" t="n">
        <v>16258</v>
      </c>
      <c r="F117" s="20" t="n">
        <v>14855</v>
      </c>
      <c r="G117" s="20" t="n">
        <v>14834</v>
      </c>
      <c r="H117" s="20" t="n">
        <v>15543</v>
      </c>
      <c r="I117" s="20" t="n">
        <v>16103</v>
      </c>
      <c r="J117" s="20" t="n">
        <v>15849</v>
      </c>
      <c r="K117" s="20" t="n">
        <v>15619</v>
      </c>
      <c r="L117" s="20" t="n">
        <v>15940</v>
      </c>
      <c r="M117" s="20" t="n">
        <v>17382</v>
      </c>
      <c r="N117" s="20" t="n">
        <v>17145</v>
      </c>
      <c r="V117" s="20" t="n">
        <v>16258</v>
      </c>
      <c r="W117" s="20" t="n">
        <v>16103</v>
      </c>
      <c r="X117" s="20" t="n">
        <v>17382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기타수익</t>
        </is>
      </c>
      <c r="C119" s="20" t="n">
        <v>326</v>
      </c>
      <c r="D119" s="20" t="n">
        <v>6518</v>
      </c>
      <c r="E119" s="20" t="n">
        <v>892</v>
      </c>
      <c r="F119" s="20" t="n">
        <v>794</v>
      </c>
      <c r="G119" s="20" t="n">
        <v>-794</v>
      </c>
      <c r="H119" s="20" t="n">
        <v>0</v>
      </c>
      <c r="I119" s="20" t="n">
        <v>1002</v>
      </c>
      <c r="J119" s="20" t="n">
        <v>0</v>
      </c>
      <c r="K119" s="20" t="n">
        <v>77</v>
      </c>
      <c r="L119" s="20" t="n">
        <v>680</v>
      </c>
      <c r="M119" s="20" t="n">
        <v>5542</v>
      </c>
      <c r="N119" s="20" t="n">
        <v>1048</v>
      </c>
      <c r="V119" s="20" t="n">
        <v>892</v>
      </c>
      <c r="W119" s="20" t="n">
        <v>1002</v>
      </c>
      <c r="X119" s="20" t="n">
        <v>5542</v>
      </c>
    </row>
    <row r="120">
      <c r="A120" s="18" t="inlineStr">
        <is>
          <t>기타비용</t>
        </is>
      </c>
      <c r="C120" s="20" t="n">
        <v>2562</v>
      </c>
      <c r="D120" s="20" t="n">
        <v>754</v>
      </c>
      <c r="E120" s="20" t="n">
        <v>1623</v>
      </c>
      <c r="F120" s="20" t="n">
        <v>2016</v>
      </c>
      <c r="G120" s="20" t="n">
        <v>1892</v>
      </c>
      <c r="H120" s="20" t="n">
        <v>-1314</v>
      </c>
      <c r="I120" s="20" t="n">
        <v>1852</v>
      </c>
      <c r="J120" s="20" t="n">
        <v>180</v>
      </c>
      <c r="K120" s="20" t="n">
        <v>116</v>
      </c>
      <c r="L120" s="20" t="n">
        <v>2</v>
      </c>
      <c r="M120" s="20" t="n">
        <v>431</v>
      </c>
      <c r="N120" s="20" t="n">
        <v>0</v>
      </c>
      <c r="V120" s="20" t="n">
        <v>1623</v>
      </c>
      <c r="W120" s="20" t="n">
        <v>1852</v>
      </c>
      <c r="X120" s="20" t="n">
        <v>431</v>
      </c>
    </row>
    <row r="121">
      <c r="A121" s="18" t="inlineStr">
        <is>
          <t>영업이익</t>
        </is>
      </c>
      <c r="C121" s="20" t="n">
        <v>8956</v>
      </c>
      <c r="D121" s="20" t="n">
        <v>20433</v>
      </c>
      <c r="E121" s="20" t="n">
        <v>4122</v>
      </c>
      <c r="F121" s="20" t="n">
        <v>10067</v>
      </c>
      <c r="G121" s="20" t="n">
        <v>8191</v>
      </c>
      <c r="H121" s="20" t="n">
        <v>15812</v>
      </c>
      <c r="I121" s="20" t="n">
        <v>5338</v>
      </c>
      <c r="J121" s="20" t="n">
        <v>8658</v>
      </c>
      <c r="K121" s="20" t="n">
        <v>9806</v>
      </c>
      <c r="L121" s="20" t="n">
        <v>12726</v>
      </c>
      <c r="M121" s="20" t="n">
        <v>10891</v>
      </c>
      <c r="N121" s="20" t="n">
        <v>13112</v>
      </c>
      <c r="V121" s="20" t="n">
        <v>4122</v>
      </c>
      <c r="W121" s="20" t="n">
        <v>5338</v>
      </c>
      <c r="X121" s="20" t="n">
        <v>10891</v>
      </c>
    </row>
    <row r="122">
      <c r="A122" s="43" t="inlineStr">
        <is>
          <t>OPM</t>
        </is>
      </c>
      <c r="B122" s="3" t="inlineStr">
        <is>
          <t>영업이익 ÷ 매출</t>
        </is>
      </c>
      <c r="C122" s="15">
        <f>IF(OR(C121="",C111=""),"",IF(C111&lt;=0,"",IFERROR(C121/C111,"")))</f>
        <v/>
      </c>
      <c r="D122" s="15">
        <f>IF(OR(D121="",D111=""),"",IF(D111&lt;=0,"",IFERROR(D121/D111,"")))</f>
        <v/>
      </c>
      <c r="E122" s="15">
        <f>IF(OR(E121="",E111=""),"",IF(E111&lt;=0,"",IFERROR(E121/E111,"")))</f>
        <v/>
      </c>
      <c r="F122" s="15">
        <f>IF(OR(F121="",F111=""),"",IF(F111&lt;=0,"",IFERROR(F121/F111,"")))</f>
        <v/>
      </c>
      <c r="G122" s="15">
        <f>IF(OR(G121="",G111=""),"",IF(G111&lt;=0,"",IFERROR(G121/G111,"")))</f>
        <v/>
      </c>
      <c r="H122" s="15">
        <f>IF(OR(H121="",H111=""),"",IF(H111&lt;=0,"",IFERROR(H121/H111,"")))</f>
        <v/>
      </c>
      <c r="I122" s="15">
        <f>IF(OR(I121="",I111=""),"",IF(I111&lt;=0,"",IFERROR(I121/I111,"")))</f>
        <v/>
      </c>
      <c r="J122" s="15">
        <f>IF(OR(J121="",J111=""),"",IF(J111&lt;=0,"",IFERROR(J121/J111,"")))</f>
        <v/>
      </c>
      <c r="K122" s="15">
        <f>IF(OR(K121="",K111=""),"",IF(K111&lt;=0,"",IFERROR(K121/K111,"")))</f>
        <v/>
      </c>
      <c r="L122" s="15">
        <f>IF(OR(L121="",L111=""),"",IF(L111&lt;=0,"",IFERROR(L121/L111,"")))</f>
        <v/>
      </c>
      <c r="M122" s="15">
        <f>IF(OR(M121="",M111=""),"",IF(M111&lt;=0,"",IFERROR(M121/M111,"")))</f>
        <v/>
      </c>
      <c r="N122" s="15">
        <f>IF(OR(N121="",N111=""),"",IF(N111&lt;=0,"",IFERROR(N121/N111,"")))</f>
        <v/>
      </c>
      <c r="V122" s="15">
        <f>IF(OR(V121="",V111=""),"",IF(V111&lt;=0,"",IFERROR(V121/V111,"")))</f>
        <v/>
      </c>
      <c r="W122" s="15">
        <f>IF(OR(W121="",W111=""),"",IF(W111&lt;=0,"",IFERROR(W121/W111,"")))</f>
        <v/>
      </c>
      <c r="X122" s="15">
        <f>IF(OR(X121="",X111=""),"",IF(X111&lt;=0,"",IFERROR(X121/X111,"")))</f>
        <v/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IF(OR(G121="",C121=""),"",IF(C121&lt;=0,"",IFERROR(G121/C121-1,"")))</f>
        <v/>
      </c>
      <c r="H123" s="15">
        <f>IF(OR(H121="",D121=""),"",IF(D121&lt;=0,"",IFERROR(H121/D121-1,"")))</f>
        <v/>
      </c>
      <c r="I123" s="15">
        <f>IF(OR(I121="",E121=""),"",IF(E121&lt;=0,"",IFERROR(I121/E121-1,"")))</f>
        <v/>
      </c>
      <c r="J123" s="15">
        <f>IF(OR(J121="",F121=""),"",IF(F121&lt;=0,"",IFERROR(J121/F121-1,"")))</f>
        <v/>
      </c>
      <c r="K123" s="15">
        <f>IF(OR(K121="",G121=""),"",IF(G121&lt;=0,"",IFERROR(K121/G121-1,"")))</f>
        <v/>
      </c>
      <c r="L123" s="15">
        <f>IF(OR(L121="",H121=""),"",IF(H121&lt;=0,"",IFERROR(L121/H121-1,"")))</f>
        <v/>
      </c>
      <c r="M123" s="15">
        <f>IF(OR(M121="",I121=""),"",IF(I121&lt;=0,"",IFERROR(M121/I121-1,"")))</f>
        <v/>
      </c>
      <c r="N123" s="15">
        <f>IF(OR(N121="",J121=""),"",IF(J121&lt;=0,"",IFERROR(N121/J121-1,"")))</f>
        <v/>
      </c>
      <c r="V123" s="15">
        <f>IF(OR(V121="",U121=""),"",IF(U121&lt;=0,"",IFERROR(V121/U121-1,"")))</f>
        <v/>
      </c>
      <c r="W123" s="15">
        <f>IF(OR(W121="",V121=""),"",IF(V121&lt;=0,"",IFERROR(W121/V121-1,"")))</f>
        <v/>
      </c>
      <c r="X123" s="15">
        <f>IF(OR(X121="",W121=""),"",IF(W121&lt;=0,"",IFERROR(X121/W121-1,"")))</f>
        <v/>
      </c>
    </row>
    <row r="124">
      <c r="A124" s="18" t="inlineStr">
        <is>
          <t>금융수익</t>
        </is>
      </c>
      <c r="C124" s="20" t="n">
        <v>215</v>
      </c>
      <c r="D124" s="20" t="n">
        <v>1290</v>
      </c>
      <c r="E124" s="20" t="n">
        <v>225</v>
      </c>
      <c r="F124" s="20" t="n">
        <v>1440</v>
      </c>
      <c r="G124" s="20" t="n">
        <v>151</v>
      </c>
      <c r="H124" s="20" t="n">
        <v>1367</v>
      </c>
      <c r="I124" s="20" t="n">
        <v>156</v>
      </c>
      <c r="J124" s="20" t="n">
        <v>1129</v>
      </c>
      <c r="K124" s="20" t="n">
        <v>259</v>
      </c>
      <c r="L124" s="20" t="n">
        <v>893</v>
      </c>
      <c r="M124" s="20" t="n">
        <v>169</v>
      </c>
      <c r="N124" s="20" t="n">
        <v>878</v>
      </c>
      <c r="V124" s="20" t="n">
        <v>225</v>
      </c>
      <c r="W124" s="20" t="n">
        <v>156</v>
      </c>
      <c r="X124" s="20" t="n">
        <v>169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금융비용</t>
        </is>
      </c>
      <c r="C126" s="20" t="n">
        <v>267</v>
      </c>
      <c r="D126" s="20" t="n">
        <v>269</v>
      </c>
      <c r="E126" s="20" t="n">
        <v>275</v>
      </c>
      <c r="F126" s="20" t="n">
        <v>231</v>
      </c>
      <c r="G126" s="20" t="n">
        <v>275</v>
      </c>
      <c r="H126" s="20" t="n">
        <v>239</v>
      </c>
      <c r="I126" s="20" t="n">
        <v>343</v>
      </c>
      <c r="J126" s="20" t="n">
        <v>208</v>
      </c>
      <c r="K126" s="20" t="n">
        <v>278</v>
      </c>
      <c r="L126" s="20" t="n">
        <v>264</v>
      </c>
      <c r="M126" s="20" t="n">
        <v>300</v>
      </c>
      <c r="N126" s="20" t="n">
        <v>144</v>
      </c>
      <c r="V126" s="20" t="n">
        <v>275</v>
      </c>
      <c r="W126" s="20" t="n">
        <v>343</v>
      </c>
      <c r="X126" s="20" t="n">
        <v>300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18" t="inlineStr">
        <is>
          <t>지분법이익</t>
        </is>
      </c>
      <c r="C128" s="20" t="n">
        <v>121</v>
      </c>
      <c r="D128" s="20" t="n">
        <v>156</v>
      </c>
      <c r="E128" s="20" t="n">
        <v>412</v>
      </c>
      <c r="F128" s="20" t="n">
        <v>147</v>
      </c>
      <c r="G128" s="20" t="n">
        <v>117</v>
      </c>
      <c r="H128" s="20" t="n">
        <v>106</v>
      </c>
      <c r="I128" s="20" t="n">
        <v>847</v>
      </c>
      <c r="J128" s="20" t="n">
        <v>142</v>
      </c>
      <c r="K128" s="20" t="n">
        <v>140</v>
      </c>
      <c r="L128" s="20" t="n">
        <v>205</v>
      </c>
      <c r="M128" s="20" t="n">
        <v>788</v>
      </c>
      <c r="N128" s="20" t="n">
        <v>432</v>
      </c>
      <c r="V128" s="20" t="n">
        <v>412</v>
      </c>
      <c r="W128" s="20" t="n">
        <v>847</v>
      </c>
      <c r="X128" s="20" t="n">
        <v>788</v>
      </c>
    </row>
    <row r="129">
      <c r="A129" s="9" t="inlineStr">
        <is>
          <t>법인세비용차감전 중간이익</t>
        </is>
      </c>
      <c r="C129" s="12" t="n">
        <v>9025</v>
      </c>
      <c r="D129" s="12" t="n">
        <v>21611</v>
      </c>
      <c r="E129" s="12" t="n">
        <v>4484</v>
      </c>
      <c r="F129" s="12" t="n">
        <v>11425</v>
      </c>
      <c r="G129" s="12" t="n">
        <v>8183</v>
      </c>
      <c r="H129" s="12" t="n">
        <v>17045</v>
      </c>
      <c r="I129" s="12" t="n">
        <v>6000</v>
      </c>
      <c r="J129" s="12" t="n">
        <v>9721</v>
      </c>
      <c r="K129" s="12" t="n">
        <v>9929</v>
      </c>
      <c r="L129" s="12" t="n">
        <v>13559</v>
      </c>
      <c r="M129" s="12" t="n">
        <v>11547</v>
      </c>
      <c r="N129" s="12" t="n">
        <v>14279</v>
      </c>
      <c r="V129" s="12" t="n">
        <v>4484</v>
      </c>
      <c r="W129" s="12" t="n">
        <v>6000</v>
      </c>
      <c r="X129" s="12" t="n">
        <v>11547</v>
      </c>
    </row>
    <row r="130">
      <c r="A130" s="18" t="inlineStr">
        <is>
          <t>법인소득세 비용</t>
        </is>
      </c>
      <c r="C130" s="20" t="n">
        <v>3308</v>
      </c>
      <c r="D130" s="20" t="n">
        <v>4146</v>
      </c>
      <c r="E130" s="20" t="n">
        <v>2169</v>
      </c>
      <c r="F130" s="20" t="n">
        <v>4004</v>
      </c>
      <c r="G130" s="20" t="n">
        <v>2406</v>
      </c>
      <c r="H130" s="20" t="n">
        <v>5268</v>
      </c>
      <c r="I130" s="20" t="n">
        <v>414</v>
      </c>
      <c r="J130" s="20" t="n">
        <v>2801</v>
      </c>
      <c r="K130" s="20" t="n">
        <v>2830</v>
      </c>
      <c r="L130" s="20" t="n">
        <v>4073</v>
      </c>
      <c r="M130" s="20" t="n">
        <v>174</v>
      </c>
      <c r="N130" s="20" t="n">
        <v>4563</v>
      </c>
      <c r="V130" s="20" t="n">
        <v>2169</v>
      </c>
      <c r="W130" s="20" t="n">
        <v>414</v>
      </c>
      <c r="X130" s="20" t="n">
        <v>174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9" t="inlineStr">
        <is>
          <t>중간이익</t>
        </is>
      </c>
      <c r="C132" s="12" t="n">
        <v>5716</v>
      </c>
      <c r="D132" s="12" t="n">
        <v>17466</v>
      </c>
      <c r="E132" s="12" t="n">
        <v>2314</v>
      </c>
      <c r="F132" s="12" t="n">
        <v>7420</v>
      </c>
      <c r="G132" s="12" t="n">
        <v>5777</v>
      </c>
      <c r="H132" s="12" t="n">
        <v>11778</v>
      </c>
      <c r="I132" s="12" t="n">
        <v>5585</v>
      </c>
      <c r="J132" s="12" t="n">
        <v>6920</v>
      </c>
      <c r="K132" s="12" t="n">
        <v>7098</v>
      </c>
      <c r="L132" s="12" t="n">
        <v>9486</v>
      </c>
      <c r="M132" s="12" t="n">
        <v>11374</v>
      </c>
      <c r="N132" s="12" t="n">
        <v>9716</v>
      </c>
      <c r="V132" s="12" t="n">
        <v>2314</v>
      </c>
      <c r="W132" s="12" t="n">
        <v>5585</v>
      </c>
      <c r="X132" s="12" t="n">
        <v>11374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기본 주당 중간이익(엔)</t>
        </is>
      </c>
      <c r="C134" s="20" t="n">
        <v>2.454e-05</v>
      </c>
      <c r="D134" s="20" t="n">
        <v>7.963000000000001e-05</v>
      </c>
      <c r="E134" s="20" t="n">
        <v>8.569999999999992e-06</v>
      </c>
      <c r="F134" s="20" t="n">
        <v>3.18e-05</v>
      </c>
      <c r="G134" s="20" t="n">
        <v>2.521e-05</v>
      </c>
      <c r="H134" s="20" t="n">
        <v>5.230999999999999e-05</v>
      </c>
      <c r="I134" s="20" t="n">
        <v>2.525e-05</v>
      </c>
      <c r="J134" s="20" t="n">
        <v>3.118e-05</v>
      </c>
      <c r="K134" s="20" t="n">
        <v>3.245e-05</v>
      </c>
      <c r="L134" s="20" t="n">
        <v>4.404e-05</v>
      </c>
      <c r="M134" s="20" t="n">
        <v>5.407000000000001e-05</v>
      </c>
      <c r="N134" s="20" t="n">
        <v>4.534e-05</v>
      </c>
      <c r="V134" s="20" t="n">
        <v>8.569999999999992e-06</v>
      </c>
      <c r="W134" s="20" t="n">
        <v>2.525e-05</v>
      </c>
      <c r="X134" s="20" t="n">
        <v>5.407000000000001e-05</v>
      </c>
    </row>
    <row r="135">
      <c r="A135" s="18" t="inlineStr">
        <is>
          <t>희석 주당 중간이익(엔)</t>
        </is>
      </c>
      <c r="C135" s="20" t="n">
        <v>2.453e-05</v>
      </c>
      <c r="D135" s="20" t="n">
        <v>7.962999999999999e-05</v>
      </c>
      <c r="E135" s="20" t="n">
        <v>8.560000000000003e-06</v>
      </c>
      <c r="F135" s="20" t="n">
        <v>3.178e-05</v>
      </c>
      <c r="G135" s="20" t="n">
        <v>2.521e-05</v>
      </c>
      <c r="H135" s="20" t="n">
        <v>5.23e-05</v>
      </c>
      <c r="I135" s="20" t="n">
        <v>2.524e-05</v>
      </c>
      <c r="J135" s="20" t="n">
        <v>3.116e-05</v>
      </c>
      <c r="K135" s="20" t="n">
        <v>3.245e-05</v>
      </c>
      <c r="L135" s="20" t="n">
        <v>4.403e-05</v>
      </c>
      <c r="M135" s="20" t="n">
        <v>5.405999999999999e-05</v>
      </c>
      <c r="N135" s="20" t="n">
        <v>4.533e-05</v>
      </c>
      <c r="V135" s="20" t="n">
        <v>8.560000000000003e-06</v>
      </c>
      <c r="W135" s="20" t="n">
        <v>2.524e-05</v>
      </c>
      <c r="X135" s="20" t="n">
        <v>5.405999999999999e-05</v>
      </c>
    </row>
    <row r="136">
      <c r="A136" s="9" t="inlineStr">
        <is>
          <t>지배기업 소유주</t>
        </is>
      </c>
      <c r="C136" s="12" t="n">
        <v>5229</v>
      </c>
      <c r="D136" s="12" t="n">
        <v>16972</v>
      </c>
      <c r="E136" s="12" t="n">
        <v>1826</v>
      </c>
      <c r="F136" s="12" t="n">
        <v>6776</v>
      </c>
      <c r="G136" s="12" t="n">
        <v>5376</v>
      </c>
      <c r="H136" s="12" t="n">
        <v>11018</v>
      </c>
      <c r="I136" s="12" t="n">
        <v>5144</v>
      </c>
      <c r="J136" s="12" t="n">
        <v>6416</v>
      </c>
      <c r="K136" s="12" t="n">
        <v>6521</v>
      </c>
      <c r="L136" s="12" t="n">
        <v>8830</v>
      </c>
      <c r="M136" s="12" t="n">
        <v>10838</v>
      </c>
      <c r="N136" s="12" t="n">
        <v>9061</v>
      </c>
      <c r="V136" s="12" t="n">
        <v>1826</v>
      </c>
      <c r="W136" s="12" t="n">
        <v>5144</v>
      </c>
      <c r="X136" s="12" t="n">
        <v>10838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9" t="inlineStr">
        <is>
          <t>비지배지분</t>
        </is>
      </c>
      <c r="C138" s="12" t="n">
        <v>488</v>
      </c>
      <c r="D138" s="12" t="n">
        <v>493</v>
      </c>
      <c r="E138" s="12" t="n">
        <v>489</v>
      </c>
      <c r="F138" s="12" t="n">
        <v>644</v>
      </c>
      <c r="G138" s="12" t="n">
        <v>401</v>
      </c>
      <c r="H138" s="12" t="n">
        <v>760</v>
      </c>
      <c r="I138" s="12" t="n">
        <v>441</v>
      </c>
      <c r="J138" s="12" t="n">
        <v>503</v>
      </c>
      <c r="K138" s="12" t="n">
        <v>578</v>
      </c>
      <c r="L138" s="12" t="n">
        <v>656</v>
      </c>
      <c r="M138" s="12" t="n">
        <v>535</v>
      </c>
      <c r="N138" s="12" t="n">
        <v>654</v>
      </c>
      <c r="V138" s="12" t="n">
        <v>489</v>
      </c>
      <c r="W138" s="12" t="n">
        <v>441</v>
      </c>
      <c r="X138" s="12" t="n">
        <v>535</v>
      </c>
    </row>
    <row r="139">
      <c r="A139" s="9" t="inlineStr">
        <is>
          <t>매출액</t>
        </is>
      </c>
      <c r="C139" s="12" t="n">
        <v>146656</v>
      </c>
      <c r="D139" s="12" t="n">
        <v>149769</v>
      </c>
      <c r="E139" s="12" t="n">
        <v>142924</v>
      </c>
      <c r="T139" s="12" t="n">
        <v>139168</v>
      </c>
      <c r="U139" s="12" t="n">
        <v>143838</v>
      </c>
      <c r="V139" s="12" t="n">
        <v>142924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</row>
    <row r="141">
      <c r="A141" s="18" t="inlineStr">
        <is>
          <t>매출원가</t>
        </is>
      </c>
      <c r="C141" s="20" t="n">
        <v>121222</v>
      </c>
      <c r="D141" s="20" t="n">
        <v>121320</v>
      </c>
      <c r="E141" s="20" t="n">
        <v>117499</v>
      </c>
      <c r="T141" s="20" t="n">
        <v>116464</v>
      </c>
      <c r="U141" s="20" t="n">
        <v>120401</v>
      </c>
      <c r="V141" s="20" t="n">
        <v>117499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T142" s="15">
        <f>IF(OR(T141="",S141=""),"",IF(T141*S141&lt;=0,"",IFERROR(T141/S141-1,"")))</f>
        <v/>
      </c>
      <c r="U142" s="15">
        <f>IF(OR(U141="",T141=""),"",IF(U141*T141&lt;=0,"",IFERROR(U141/T141-1,"")))</f>
        <v/>
      </c>
      <c r="V142" s="15">
        <f>IF(OR(V141="",U141=""),"",IF(V141*U141&lt;=0,"",IFERROR(V141/U141-1,"")))</f>
        <v/>
      </c>
    </row>
    <row r="143">
      <c r="A143" s="9" t="inlineStr">
        <is>
          <t>매출총이익</t>
        </is>
      </c>
      <c r="C143" s="12" t="n">
        <v>25434</v>
      </c>
      <c r="D143" s="12" t="n">
        <v>28450</v>
      </c>
      <c r="E143" s="12" t="n">
        <v>25425</v>
      </c>
      <c r="T143" s="12" t="n">
        <v>22705</v>
      </c>
      <c r="U143" s="12" t="n">
        <v>23438</v>
      </c>
      <c r="V143" s="12" t="n">
        <v>25425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T144" s="15">
        <f>IF(OR(T143="",S143=""),"",IF(S143&lt;=0,"",IFERROR(T143/S143-1,"")))</f>
        <v/>
      </c>
      <c r="U144" s="15">
        <f>IF(OR(U143="",T143=""),"",IF(T143&lt;=0,"",IFERROR(U143/T143-1,"")))</f>
        <v/>
      </c>
      <c r="V144" s="15">
        <f>IF(OR(V143="",U143=""),"",IF(U143&lt;=0,"",IFERROR(V143/U143-1,"")))</f>
        <v/>
      </c>
    </row>
    <row r="145">
      <c r="A145" s="18" t="inlineStr">
        <is>
          <t>판매비와 관리비</t>
        </is>
      </c>
      <c r="C145" s="20" t="n">
        <v>14410</v>
      </c>
      <c r="D145" s="20" t="n">
        <v>14401</v>
      </c>
      <c r="E145" s="20" t="n">
        <v>16363</v>
      </c>
      <c r="T145" s="20" t="n">
        <v>14636</v>
      </c>
      <c r="U145" s="20" t="n">
        <v>14106</v>
      </c>
      <c r="V145" s="20" t="n">
        <v>16363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T146" s="15">
        <f>IF(OR(T145="",S145=""),"",IF(T145*S145&lt;=0,"",IFERROR(T145/S145-1,"")))</f>
        <v/>
      </c>
      <c r="U146" s="15">
        <f>IF(OR(U145="",T145=""),"",IF(U145*T145&lt;=0,"",IFERROR(U145/T145-1,"")))</f>
        <v/>
      </c>
      <c r="V146" s="15">
        <f>IF(OR(V145="",U145=""),"",IF(V145*U145&lt;=0,"",IFERROR(V145/U145-1,"")))</f>
        <v/>
      </c>
    </row>
    <row r="147">
      <c r="A147" s="9" t="inlineStr">
        <is>
          <t>영업이익</t>
        </is>
      </c>
      <c r="C147" s="12" t="n">
        <v>11024</v>
      </c>
      <c r="D147" s="12" t="n">
        <v>14048</v>
      </c>
      <c r="E147" s="12" t="n">
        <v>9062</v>
      </c>
      <c r="T147" s="12" t="n">
        <v>8068</v>
      </c>
      <c r="U147" s="12" t="n">
        <v>9332</v>
      </c>
      <c r="V147" s="12" t="n">
        <v>9062</v>
      </c>
    </row>
    <row r="148">
      <c r="A148" s="43" t="inlineStr">
        <is>
          <t>OPM</t>
        </is>
      </c>
      <c r="B148" s="3" t="inlineStr">
        <is>
          <t>영업이익 ÷ 매출</t>
        </is>
      </c>
      <c r="C148" s="15">
        <f>IF(OR(C147="",C111=""),"",IF(C111&lt;=0,"",IFERROR(C147/C111,"")))</f>
        <v/>
      </c>
      <c r="D148" s="15">
        <f>IF(OR(D147="",D111=""),"",IF(D111&lt;=0,"",IFERROR(D147/D111,"")))</f>
        <v/>
      </c>
      <c r="E148" s="15">
        <f>IF(OR(E147="",E111=""),"",IF(E111&lt;=0,"",IFERROR(E147/E111,"")))</f>
        <v/>
      </c>
      <c r="T148" s="15">
        <f>IF(OR(T147="",T111=""),"",IF(T111&lt;=0,"",IFERROR(T147/T111,"")))</f>
        <v/>
      </c>
      <c r="U148" s="15">
        <f>IF(OR(U147="",U111=""),"",IF(U111&lt;=0,"",IFERROR(U147/U111,"")))</f>
        <v/>
      </c>
      <c r="V148" s="15">
        <f>IF(OR(V147="",V111=""),"",IF(V111&lt;=0,"",IFERROR(V147/V111,"")))</f>
        <v/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T149" s="15">
        <f>IF(OR(T147="",S147=""),"",IF(S147&lt;=0,"",IFERROR(T147/S147-1,"")))</f>
        <v/>
      </c>
      <c r="U149" s="15">
        <f>IF(OR(U147="",T147=""),"",IF(T147&lt;=0,"",IFERROR(U147/T147-1,"")))</f>
        <v/>
      </c>
      <c r="V149" s="15">
        <f>IF(OR(V147="",U147=""),"",IF(U147&lt;=0,"",IFERROR(V147/U147-1,"")))</f>
        <v/>
      </c>
    </row>
    <row r="150">
      <c r="A150" s="18" t="inlineStr">
        <is>
          <t>이자수익</t>
        </is>
      </c>
      <c r="C150" s="20" t="n">
        <v>132</v>
      </c>
      <c r="D150" s="20" t="n">
        <v>67</v>
      </c>
      <c r="E150" s="20" t="n">
        <v>135</v>
      </c>
      <c r="T150" s="20" t="n">
        <v>36</v>
      </c>
      <c r="U150" s="20" t="n">
        <v>93</v>
      </c>
      <c r="V150" s="20" t="n">
        <v>135</v>
      </c>
    </row>
    <row r="151">
      <c r="A151" s="18" t="inlineStr">
        <is>
          <t>배당금수익</t>
        </is>
      </c>
      <c r="C151" s="20" t="n">
        <v>32</v>
      </c>
      <c r="D151" s="20" t="n">
        <v>1146</v>
      </c>
      <c r="E151" s="20" t="n">
        <v>77</v>
      </c>
      <c r="T151" s="20" t="n">
        <v>35</v>
      </c>
      <c r="U151" s="20" t="n">
        <v>38</v>
      </c>
      <c r="V151" s="20" t="n">
        <v>77</v>
      </c>
    </row>
    <row r="152">
      <c r="A152" s="18" t="inlineStr">
        <is>
          <t>지분법이익</t>
        </is>
      </c>
      <c r="C152" s="20" t="n">
        <v>123</v>
      </c>
      <c r="D152" s="20" t="n">
        <v>156</v>
      </c>
      <c r="E152" s="20" t="n">
        <v>108</v>
      </c>
      <c r="T152" s="20" t="n">
        <v>107</v>
      </c>
      <c r="U152" s="20" t="n">
        <v>94</v>
      </c>
      <c r="V152" s="20" t="n">
        <v>108</v>
      </c>
    </row>
    <row r="153">
      <c r="A153" s="18" t="inlineStr">
        <is>
          <t>외환차익</t>
        </is>
      </c>
      <c r="C153" s="20" t="n">
        <v>290</v>
      </c>
      <c r="D153" s="20" t="n">
        <v>-724</v>
      </c>
      <c r="E153" s="20" t="n">
        <v>732</v>
      </c>
      <c r="T153" s="20" t="n">
        <v>170</v>
      </c>
      <c r="U153" s="20" t="n">
        <v>0</v>
      </c>
      <c r="V153" s="20" t="n">
        <v>732</v>
      </c>
    </row>
    <row r="154">
      <c r="A154" s="18" t="inlineStr">
        <is>
          <t>기타</t>
        </is>
      </c>
      <c r="C154" s="20" t="n">
        <v>392</v>
      </c>
      <c r="D154" s="20" t="n">
        <v>265</v>
      </c>
      <c r="E154" s="20" t="n">
        <v>400</v>
      </c>
      <c r="T154" s="20" t="n">
        <v>355</v>
      </c>
      <c r="U154" s="20" t="n">
        <v>413</v>
      </c>
      <c r="V154" s="20" t="n">
        <v>400</v>
      </c>
    </row>
    <row r="155">
      <c r="A155" s="18" t="inlineStr">
        <is>
          <t>영업외수익 합계</t>
        </is>
      </c>
      <c r="C155" s="20" t="n">
        <v>968</v>
      </c>
      <c r="D155" s="20" t="n">
        <v>912</v>
      </c>
      <c r="E155" s="20" t="n">
        <v>1450</v>
      </c>
      <c r="T155" s="20" t="n">
        <v>703</v>
      </c>
      <c r="U155" s="20" t="n">
        <v>638</v>
      </c>
      <c r="V155" s="20" t="n">
        <v>1450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T156" s="15">
        <f>IF(OR(T155="",S155=""),"",IF(T155*S155&lt;=0,"",IFERROR(T155/S155-1,"")))</f>
        <v/>
      </c>
      <c r="U156" s="15">
        <f>IF(OR(U155="",T155=""),"",IF(U155*T155&lt;=0,"",IFERROR(U155/T155-1,"")))</f>
        <v/>
      </c>
      <c r="V156" s="15">
        <f>IF(OR(V155="",U155=""),"",IF(V155*U155&lt;=0,"",IFERROR(V155/U155-1,"")))</f>
        <v/>
      </c>
    </row>
    <row r="157">
      <c r="A157" s="18" t="inlineStr">
        <is>
          <t>이자비용</t>
        </is>
      </c>
      <c r="C157" s="20" t="n">
        <v>288</v>
      </c>
      <c r="D157" s="20" t="n">
        <v>277</v>
      </c>
      <c r="E157" s="20" t="n">
        <v>297</v>
      </c>
      <c r="T157" s="20" t="n">
        <v>218</v>
      </c>
      <c r="U157" s="20" t="n">
        <v>263</v>
      </c>
      <c r="V157" s="20" t="n">
        <v>297</v>
      </c>
    </row>
    <row r="158">
      <c r="A158" s="18" t="inlineStr">
        <is>
          <t>고정자산 제각손실</t>
        </is>
      </c>
      <c r="C158" s="20" t="n">
        <v>56</v>
      </c>
      <c r="D158" s="20" t="n">
        <v>68</v>
      </c>
      <c r="E158" s="20" t="n">
        <v>98</v>
      </c>
      <c r="T158" s="20" t="n">
        <v>189</v>
      </c>
      <c r="U158" s="20" t="n">
        <v>100</v>
      </c>
      <c r="V158" s="20" t="n">
        <v>98</v>
      </c>
    </row>
    <row r="159">
      <c r="A159" s="18" t="inlineStr">
        <is>
          <t>외환차손</t>
        </is>
      </c>
      <c r="C159" s="20" t="n">
        <v>0</v>
      </c>
      <c r="D159" s="20" t="n">
        <v>0</v>
      </c>
      <c r="E159" s="20" t="n">
        <v>0</v>
      </c>
      <c r="T159" s="20" t="n">
        <v>0</v>
      </c>
      <c r="U159" s="20" t="n">
        <v>-19</v>
      </c>
      <c r="V159" s="20" t="n">
        <v>0</v>
      </c>
    </row>
    <row r="160">
      <c r="A160" s="18" t="inlineStr">
        <is>
          <t>환경대책 충당금 전입</t>
        </is>
      </c>
      <c r="C160" s="20" t="n">
        <v>5</v>
      </c>
      <c r="D160" s="20" t="n">
        <v>12</v>
      </c>
      <c r="E160" s="20" t="n">
        <v>-8</v>
      </c>
      <c r="T160" s="20" t="n">
        <v>149</v>
      </c>
      <c r="U160" s="20" t="n">
        <v>56</v>
      </c>
      <c r="V160" s="20" t="n">
        <v>-8</v>
      </c>
    </row>
    <row r="161">
      <c r="A161" s="18" t="inlineStr">
        <is>
          <t>환경대책비</t>
        </is>
      </c>
      <c r="C161" s="20" t="n">
        <v>7</v>
      </c>
      <c r="D161" s="20" t="n">
        <v>0</v>
      </c>
      <c r="E161" s="20" t="n">
        <v>1</v>
      </c>
      <c r="T161" s="20" t="n">
        <v>1</v>
      </c>
      <c r="U161" s="20" t="n">
        <v>15</v>
      </c>
      <c r="V161" s="20" t="n">
        <v>1</v>
      </c>
    </row>
    <row r="162">
      <c r="A162" s="18" t="inlineStr">
        <is>
          <t>기타</t>
        </is>
      </c>
      <c r="C162" s="20" t="n">
        <v>243</v>
      </c>
      <c r="D162" s="20" t="n">
        <v>329</v>
      </c>
      <c r="E162" s="20" t="n">
        <v>453</v>
      </c>
      <c r="T162" s="20" t="n">
        <v>188</v>
      </c>
      <c r="U162" s="20" t="n">
        <v>525</v>
      </c>
      <c r="V162" s="20" t="n">
        <v>453</v>
      </c>
    </row>
    <row r="163">
      <c r="A163" s="18" t="inlineStr">
        <is>
          <t>영업외비용 합계</t>
        </is>
      </c>
      <c r="C163" s="20" t="n">
        <v>600</v>
      </c>
      <c r="D163" s="20" t="n">
        <v>685</v>
      </c>
      <c r="E163" s="20" t="n">
        <v>840</v>
      </c>
      <c r="T163" s="20" t="n">
        <v>744</v>
      </c>
      <c r="U163" s="20" t="n">
        <v>942</v>
      </c>
      <c r="V163" s="20" t="n">
        <v>840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T164" s="15">
        <f>IF(OR(T163="",S163=""),"",IF(T163*S163&lt;=0,"",IFERROR(T163/S163-1,"")))</f>
        <v/>
      </c>
      <c r="U164" s="15">
        <f>IF(OR(U163="",T163=""),"",IF(U163*T163&lt;=0,"",IFERROR(U163/T163-1,"")))</f>
        <v/>
      </c>
      <c r="V164" s="15">
        <f>IF(OR(V163="",U163=""),"",IF(V163*U163&lt;=0,"",IFERROR(V163/U163-1,"")))</f>
        <v/>
      </c>
    </row>
    <row r="165">
      <c r="A165" s="9" t="inlineStr">
        <is>
          <t>경상이익</t>
        </is>
      </c>
      <c r="C165" s="12" t="n">
        <v>11392</v>
      </c>
      <c r="D165" s="12" t="n">
        <v>14275</v>
      </c>
      <c r="E165" s="12" t="n">
        <v>9673</v>
      </c>
      <c r="T165" s="12" t="n">
        <v>8026</v>
      </c>
      <c r="U165" s="12" t="n">
        <v>9028</v>
      </c>
      <c r="V165" s="12" t="n">
        <v>9673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T166" s="15">
        <f>IF(OR(T165="",S165=""),"",IF(S165&lt;=0,"",IFERROR(T165/S165-1,"")))</f>
        <v/>
      </c>
      <c r="U166" s="15">
        <f>IF(OR(U165="",T165=""),"",IF(T165&lt;=0,"",IFERROR(U165/T165-1,"")))</f>
        <v/>
      </c>
      <c r="V166" s="15">
        <f>IF(OR(V165="",U165=""),"",IF(U165&lt;=0,"",IFERROR(V165/U165-1,"")))</f>
        <v/>
      </c>
    </row>
    <row r="167">
      <c r="A167" s="18" t="inlineStr">
        <is>
          <t>투자유가증권 매각이익</t>
        </is>
      </c>
      <c r="D167" s="20" t="n">
        <v>0</v>
      </c>
      <c r="E167" s="20" t="n">
        <v>26696</v>
      </c>
      <c r="T167" s="20" t="n">
        <v>85</v>
      </c>
      <c r="U167" s="20" t="n">
        <v>709</v>
      </c>
      <c r="V167" s="20" t="n">
        <v>26696</v>
      </c>
    </row>
    <row r="168">
      <c r="A168" s="18" t="inlineStr">
        <is>
          <t>특별이익 합계</t>
        </is>
      </c>
      <c r="D168" s="20" t="n">
        <v>0</v>
      </c>
      <c r="E168" s="20" t="n">
        <v>33744</v>
      </c>
      <c r="T168" s="20" t="n">
        <v>85</v>
      </c>
      <c r="U168" s="20" t="n">
        <v>2310</v>
      </c>
      <c r="V168" s="20" t="n">
        <v>33744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T169" s="15">
        <f>IF(OR(T168="",S168=""),"",IF(T168*S168&lt;=0,"",IFERROR(T168/S168-1,"")))</f>
        <v/>
      </c>
      <c r="U169" s="15">
        <f>IF(OR(U168="",T168=""),"",IF(U168*T168&lt;=0,"",IFERROR(U168/T168-1,"")))</f>
        <v/>
      </c>
      <c r="V169" s="15">
        <f>IF(OR(V168="",U168=""),"",IF(V168*U168&lt;=0,"",IFERROR(V168/U168-1,"")))</f>
        <v/>
      </c>
    </row>
    <row r="170">
      <c r="A170" s="18" t="inlineStr">
        <is>
          <t>손상차손</t>
        </is>
      </c>
      <c r="D170" s="20" t="n">
        <v>173</v>
      </c>
      <c r="E170" s="20" t="n">
        <v>1671</v>
      </c>
      <c r="T170" s="20" t="n">
        <v>1238</v>
      </c>
      <c r="U170" s="20" t="n">
        <v>609</v>
      </c>
      <c r="V170" s="20" t="n">
        <v>1671</v>
      </c>
    </row>
    <row r="171">
      <c r="A171" s="18" t="inlineStr">
        <is>
          <t>사업정리 손실</t>
        </is>
      </c>
      <c r="T171" s="20" t="n">
        <v>7</v>
      </c>
      <c r="U171" s="20" t="n">
        <v>0</v>
      </c>
    </row>
    <row r="172">
      <c r="A172" s="18" t="inlineStr">
        <is>
          <t>관계회사 청산손실</t>
        </is>
      </c>
      <c r="D172" s="20" t="n">
        <v>464</v>
      </c>
      <c r="E172" s="20" t="n">
        <v>227</v>
      </c>
      <c r="U172" s="20" t="n">
        <v>0</v>
      </c>
      <c r="V172" s="20" t="n">
        <v>227</v>
      </c>
    </row>
    <row r="173">
      <c r="A173" s="18" t="inlineStr">
        <is>
          <t>특별손실 합계</t>
        </is>
      </c>
      <c r="D173" s="20" t="n">
        <v>637</v>
      </c>
      <c r="E173" s="20" t="n">
        <v>1898</v>
      </c>
      <c r="T173" s="20" t="n">
        <v>1246</v>
      </c>
      <c r="U173" s="20" t="n">
        <v>609</v>
      </c>
      <c r="V173" s="20" t="n">
        <v>1898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T174" s="15">
        <f>IF(OR(T173="",S173=""),"",IF(T173*S173&lt;=0,"",IFERROR(T173/S173-1,"")))</f>
        <v/>
      </c>
      <c r="U174" s="15">
        <f>IF(OR(U173="",T173=""),"",IF(U173*T173&lt;=0,"",IFERROR(U173/T173-1,"")))</f>
        <v/>
      </c>
      <c r="V174" s="15">
        <f>IF(OR(V173="",U173=""),"",IF(V173*U173&lt;=0,"",IFERROR(V173/U173-1,"")))</f>
        <v/>
      </c>
    </row>
    <row r="175">
      <c r="A175" s="9" t="inlineStr">
        <is>
          <t>법인세차감전 순이익</t>
        </is>
      </c>
      <c r="C175" s="12" t="n">
        <v>8712</v>
      </c>
      <c r="D175" s="12" t="n">
        <v>13638</v>
      </c>
      <c r="E175" s="12" t="n">
        <v>41519</v>
      </c>
      <c r="T175" s="12" t="n">
        <v>6865</v>
      </c>
      <c r="U175" s="12" t="n">
        <v>10728</v>
      </c>
      <c r="V175" s="12" t="n">
        <v>41519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T176" s="15">
        <f>IF(OR(T175="",S175=""),"",IF(S175&lt;=0,"",IFERROR(T175/S175-1,"")))</f>
        <v/>
      </c>
      <c r="U176" s="15">
        <f>IF(OR(U175="",T175=""),"",IF(T175&lt;=0,"",IFERROR(U175/T175-1,"")))</f>
        <v/>
      </c>
      <c r="V176" s="15">
        <f>IF(OR(V175="",U175=""),"",IF(U175&lt;=0,"",IFERROR(V175/U175-1,"")))</f>
        <v/>
      </c>
    </row>
    <row r="177">
      <c r="A177" s="18" t="inlineStr">
        <is>
          <t>법인세·주민세·사업세</t>
        </is>
      </c>
      <c r="C177" s="20" t="n">
        <v>4752</v>
      </c>
      <c r="D177" s="20" t="n">
        <v>2715</v>
      </c>
      <c r="E177" s="20" t="n">
        <v>14483</v>
      </c>
      <c r="T177" s="20" t="n">
        <v>2882</v>
      </c>
      <c r="U177" s="20" t="n">
        <v>3218</v>
      </c>
      <c r="V177" s="20" t="n">
        <v>14483</v>
      </c>
    </row>
    <row r="178">
      <c r="A178" s="18" t="inlineStr">
        <is>
          <t>법인세 조정액</t>
        </is>
      </c>
      <c r="C178" s="20" t="n">
        <v>-1692</v>
      </c>
      <c r="D178" s="20" t="n">
        <v>1105</v>
      </c>
      <c r="E178" s="20" t="n">
        <v>-3004</v>
      </c>
      <c r="T178" s="20" t="n">
        <v>-1209</v>
      </c>
      <c r="U178" s="20" t="n">
        <v>-1106</v>
      </c>
      <c r="V178" s="20" t="n">
        <v>-3004</v>
      </c>
    </row>
    <row r="179">
      <c r="A179" s="18" t="inlineStr">
        <is>
          <t>법인세 등 합계</t>
        </is>
      </c>
      <c r="C179" s="20" t="n">
        <v>3061</v>
      </c>
      <c r="D179" s="20" t="n">
        <v>3819</v>
      </c>
      <c r="E179" s="20" t="n">
        <v>11478</v>
      </c>
      <c r="T179" s="20" t="n">
        <v>1672</v>
      </c>
      <c r="U179" s="20" t="n">
        <v>2113</v>
      </c>
      <c r="V179" s="20" t="n">
        <v>11478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T180" s="15">
        <f>IF(OR(T179="",S179=""),"",IF(T179*S179&lt;=0,"",IFERROR(T179/S179-1,"")))</f>
        <v/>
      </c>
      <c r="U180" s="15">
        <f>IF(OR(U179="",T179=""),"",IF(U179*T179&lt;=0,"",IFERROR(U179/T179-1,"")))</f>
        <v/>
      </c>
      <c r="V180" s="15">
        <f>IF(OR(V179="",U179=""),"",IF(V179*U179&lt;=0,"",IFERROR(V179/U179-1,"")))</f>
        <v/>
      </c>
    </row>
    <row r="181">
      <c r="A181" s="9" t="inlineStr">
        <is>
          <t>순이익</t>
        </is>
      </c>
      <c r="C181" s="12" t="n">
        <v>5652</v>
      </c>
      <c r="D181" s="12" t="n">
        <v>9818</v>
      </c>
      <c r="E181" s="12" t="n">
        <v>30041</v>
      </c>
      <c r="T181" s="12" t="n">
        <v>5193</v>
      </c>
      <c r="U181" s="12" t="n">
        <v>8616</v>
      </c>
      <c r="V181" s="12" t="n">
        <v>30041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T182" s="15">
        <f>IF(OR(T181="",S181=""),"",IF(S181&lt;=0,"",IFERROR(T181/S181-1,"")))</f>
        <v/>
      </c>
      <c r="U182" s="15">
        <f>IF(OR(U181="",T181=""),"",IF(T181&lt;=0,"",IFERROR(U181/T181-1,"")))</f>
        <v/>
      </c>
      <c r="V182" s="15">
        <f>IF(OR(V181="",U181=""),"",IF(U181&lt;=0,"",IFERROR(V181/U181-1,"")))</f>
        <v/>
      </c>
    </row>
    <row r="183">
      <c r="A183" s="9" t="inlineStr">
        <is>
          <t>비지배주주 순이익</t>
        </is>
      </c>
      <c r="C183" s="12" t="n">
        <v>501</v>
      </c>
      <c r="D183" s="12" t="n">
        <v>546</v>
      </c>
      <c r="E183" s="12" t="n">
        <v>1020</v>
      </c>
      <c r="T183" s="12" t="n">
        <v>501</v>
      </c>
      <c r="U183" s="12" t="n">
        <v>364</v>
      </c>
      <c r="V183" s="12" t="n">
        <v>1020</v>
      </c>
    </row>
    <row r="184">
      <c r="A184" s="9" t="inlineStr">
        <is>
          <t>지배주주 순이익</t>
        </is>
      </c>
      <c r="C184" s="12" t="n">
        <v>5150</v>
      </c>
      <c r="D184" s="12" t="n">
        <v>9273</v>
      </c>
      <c r="E184" s="12" t="n">
        <v>29021</v>
      </c>
      <c r="T184" s="12" t="n">
        <v>4691</v>
      </c>
      <c r="U184" s="12" t="n">
        <v>8252</v>
      </c>
      <c r="V184" s="12" t="n">
        <v>29021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T185" s="15">
        <f>IF(OR(T184="",S184=""),"",IF(S184&lt;=0,"",IFERROR(T184/S184-1,"")))</f>
        <v/>
      </c>
      <c r="U185" s="15">
        <f>IF(OR(U184="",T184=""),"",IF(T184&lt;=0,"",IFERROR(U184/T184-1,"")))</f>
        <v/>
      </c>
      <c r="V185" s="15">
        <f>IF(OR(V184="",U184=""),"",IF(U184&lt;=0,"",IFERROR(V184/U184-1,"")))</f>
        <v/>
      </c>
    </row>
    <row r="187">
      <c r="A187" s="16" t="inlineStr">
        <is>
          <t>포괄손익 · 전 항목</t>
        </is>
      </c>
      <c r="B187" s="42" t="inlineStr">
        <is>
          <t>분기 = 3개월 단독</t>
        </is>
      </c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</row>
    <row r="188">
      <c r="A188" s="5" t="inlineStr">
        <is>
          <t>항목</t>
        </is>
      </c>
      <c r="B188" s="5" t="inlineStr">
        <is>
          <t>참고</t>
        </is>
      </c>
      <c r="C188" s="5" t="inlineStr">
        <is>
          <t>2024.2Q</t>
        </is>
      </c>
      <c r="D188" s="5" t="inlineStr">
        <is>
          <t>2024.3Q</t>
        </is>
      </c>
      <c r="E188" s="5" t="inlineStr">
        <is>
          <t>2024.4Q</t>
        </is>
      </c>
      <c r="F188" s="5" t="inlineStr">
        <is>
          <t>2025.1Q</t>
        </is>
      </c>
      <c r="G188" s="5" t="inlineStr">
        <is>
          <t>2025.2Q</t>
        </is>
      </c>
      <c r="H188" s="5" t="inlineStr">
        <is>
          <t>2025.3Q</t>
        </is>
      </c>
      <c r="I188" s="5" t="inlineStr">
        <is>
          <t>2025.4Q</t>
        </is>
      </c>
      <c r="J188" s="5" t="inlineStr">
        <is>
          <t>2026.1Q</t>
        </is>
      </c>
      <c r="K188" s="5" t="inlineStr">
        <is>
          <t>2026.2Q</t>
        </is>
      </c>
      <c r="L188" s="5" t="inlineStr">
        <is>
          <t>2026.3Q</t>
        </is>
      </c>
      <c r="M188" s="5" t="inlineStr">
        <is>
          <t>2026.4Q</t>
        </is>
      </c>
      <c r="N188" s="5" t="inlineStr">
        <is>
          <t>2027.1Q</t>
        </is>
      </c>
      <c r="O188" s="5" t="inlineStr">
        <is>
          <t>2017</t>
        </is>
      </c>
      <c r="P188" s="5" t="inlineStr">
        <is>
          <t>2018</t>
        </is>
      </c>
      <c r="Q188" s="5" t="inlineStr">
        <is>
          <t>2019</t>
        </is>
      </c>
      <c r="R188" s="5" t="inlineStr">
        <is>
          <t>2020</t>
        </is>
      </c>
      <c r="S188" s="5" t="inlineStr">
        <is>
          <t>2021</t>
        </is>
      </c>
      <c r="T188" s="5" t="inlineStr">
        <is>
          <t>2022</t>
        </is>
      </c>
      <c r="U188" s="5" t="inlineStr">
        <is>
          <t>2023</t>
        </is>
      </c>
      <c r="V188" s="5" t="inlineStr">
        <is>
          <t>2024</t>
        </is>
      </c>
      <c r="W188" s="5" t="inlineStr">
        <is>
          <t>2025</t>
        </is>
      </c>
      <c r="X188" s="5" t="inlineStr">
        <is>
          <t>2026</t>
        </is>
      </c>
      <c r="Y188" s="5" t="inlineStr">
        <is>
          <t>2027(MW)</t>
        </is>
      </c>
      <c r="Z188" s="5" t="inlineStr">
        <is>
          <t>2028(MW)</t>
        </is>
      </c>
      <c r="AA188" s="5" t="inlineStr">
        <is>
          <t>2029(MW)</t>
        </is>
      </c>
      <c r="AB188" s="5" t="inlineStr">
        <is>
          <t>2030(MW)</t>
        </is>
      </c>
      <c r="AC188" s="5" t="inlineStr">
        <is>
          <t>2031(MW)</t>
        </is>
      </c>
    </row>
    <row r="189">
      <c r="A189" s="9" t="inlineStr">
        <is>
          <t>중간이익</t>
        </is>
      </c>
      <c r="C189" s="12" t="n">
        <v>5716</v>
      </c>
      <c r="D189" s="12" t="n">
        <v>17466</v>
      </c>
      <c r="E189" s="12" t="n">
        <v>2314</v>
      </c>
      <c r="F189" s="12" t="n">
        <v>7420</v>
      </c>
      <c r="G189" s="12" t="n">
        <v>5777</v>
      </c>
      <c r="H189" s="12" t="n">
        <v>11778</v>
      </c>
      <c r="I189" s="12" t="n">
        <v>5585</v>
      </c>
      <c r="J189" s="12" t="n">
        <v>6920</v>
      </c>
      <c r="K189" s="12" t="n">
        <v>7098</v>
      </c>
      <c r="L189" s="12" t="n">
        <v>9486</v>
      </c>
      <c r="M189" s="12" t="n">
        <v>11374</v>
      </c>
      <c r="N189" s="12" t="n">
        <v>9716</v>
      </c>
      <c r="V189" s="12" t="n">
        <v>2314</v>
      </c>
      <c r="W189" s="12" t="n">
        <v>5585</v>
      </c>
      <c r="X189" s="12" t="n">
        <v>11374</v>
      </c>
    </row>
    <row r="190">
      <c r="A190" s="18" t="inlineStr">
        <is>
          <t>기타포괄손익-공정가치 측정 금융자산</t>
        </is>
      </c>
      <c r="C190" s="20" t="n">
        <v>5566</v>
      </c>
      <c r="D190" s="20" t="n">
        <v>-2991</v>
      </c>
      <c r="E190" s="20" t="n">
        <v>13872</v>
      </c>
      <c r="F190" s="20" t="n">
        <v>-92</v>
      </c>
      <c r="G190" s="20" t="n">
        <v>-2233</v>
      </c>
      <c r="H190" s="20" t="n">
        <v>3193</v>
      </c>
      <c r="I190" s="20" t="n">
        <v>-3208</v>
      </c>
      <c r="J190" s="20" t="n">
        <v>2361</v>
      </c>
      <c r="K190" s="20" t="n">
        <v>3601</v>
      </c>
      <c r="L190" s="20" t="n">
        <v>2960</v>
      </c>
      <c r="M190" s="20" t="n">
        <v>-1925</v>
      </c>
      <c r="N190" s="20" t="n">
        <v>7795</v>
      </c>
      <c r="V190" s="20" t="n">
        <v>13872</v>
      </c>
      <c r="W190" s="20" t="n">
        <v>-3208</v>
      </c>
      <c r="X190" s="20" t="n">
        <v>-1925</v>
      </c>
    </row>
    <row r="191">
      <c r="A191" s="18" t="inlineStr">
        <is>
          <t>확정급여제도 재측정</t>
        </is>
      </c>
      <c r="C191" s="20" t="n">
        <v>456</v>
      </c>
      <c r="D191" s="20" t="n">
        <v>170</v>
      </c>
      <c r="E191" s="20" t="n">
        <v>9774</v>
      </c>
      <c r="F191" s="20" t="n">
        <v>296</v>
      </c>
      <c r="G191" s="20" t="n">
        <v>169</v>
      </c>
      <c r="H191" s="20" t="n">
        <v>170</v>
      </c>
      <c r="I191" s="20" t="n">
        <v>2416</v>
      </c>
      <c r="J191" s="20" t="n">
        <v>49</v>
      </c>
      <c r="K191" s="20" t="n">
        <v>79</v>
      </c>
      <c r="L191" s="20" t="n">
        <v>105</v>
      </c>
      <c r="M191" s="20" t="n">
        <v>15049</v>
      </c>
      <c r="N191" s="20" t="n">
        <v>-153</v>
      </c>
      <c r="V191" s="20" t="n">
        <v>9774</v>
      </c>
      <c r="W191" s="20" t="n">
        <v>2416</v>
      </c>
      <c r="X191" s="20" t="n">
        <v>15049</v>
      </c>
    </row>
    <row r="192">
      <c r="A192" s="18" t="inlineStr">
        <is>
          <t>Share Of Other Comprehensive Income Of Investments Accounted For Using Equity Method Net Of Tax Items That Will Not Be Reclassified To Profit Or Loss OCI</t>
        </is>
      </c>
      <c r="C192" s="20" t="n">
        <v>48</v>
      </c>
      <c r="D192" s="20" t="n">
        <v>26</v>
      </c>
      <c r="E192" s="20" t="n">
        <v>167</v>
      </c>
      <c r="F192" s="20" t="n">
        <v>31</v>
      </c>
      <c r="G192" s="20" t="n">
        <v>-69</v>
      </c>
      <c r="H192" s="20" t="n">
        <v>16</v>
      </c>
      <c r="I192" s="20" t="n">
        <v>-27</v>
      </c>
      <c r="J192" s="20" t="n">
        <v>10</v>
      </c>
      <c r="K192" s="20" t="n">
        <v>107</v>
      </c>
      <c r="L192" s="20" t="n">
        <v>155</v>
      </c>
      <c r="M192" s="20" t="n">
        <v>66</v>
      </c>
      <c r="N192" s="20" t="n">
        <v>79</v>
      </c>
      <c r="V192" s="20" t="n">
        <v>167</v>
      </c>
      <c r="W192" s="20" t="n">
        <v>-27</v>
      </c>
      <c r="X192" s="20" t="n">
        <v>66</v>
      </c>
    </row>
    <row r="193">
      <c r="A193" s="18" t="inlineStr">
        <is>
          <t>당기손익으로 재분류되지 않는 항목 합계</t>
        </is>
      </c>
      <c r="C193" s="20" t="n">
        <v>6071</v>
      </c>
      <c r="D193" s="20" t="n">
        <v>-2796</v>
      </c>
      <c r="E193" s="20" t="n">
        <v>23813</v>
      </c>
      <c r="F193" s="20" t="n">
        <v>235</v>
      </c>
      <c r="G193" s="20" t="n">
        <v>-2133</v>
      </c>
      <c r="H193" s="20" t="n">
        <v>3380</v>
      </c>
      <c r="I193" s="20" t="n">
        <v>-821</v>
      </c>
      <c r="J193" s="20" t="n">
        <v>2420</v>
      </c>
      <c r="K193" s="20" t="n">
        <v>3788</v>
      </c>
      <c r="L193" s="20" t="n">
        <v>3219</v>
      </c>
      <c r="M193" s="20" t="n">
        <v>13190</v>
      </c>
      <c r="N193" s="20" t="n">
        <v>7721</v>
      </c>
      <c r="V193" s="20" t="n">
        <v>23813</v>
      </c>
      <c r="W193" s="20" t="n">
        <v>-821</v>
      </c>
      <c r="X193" s="20" t="n">
        <v>13190</v>
      </c>
    </row>
    <row r="194">
      <c r="A194" s="18" t="inlineStr">
        <is>
          <t>해외사업 환산차액</t>
        </is>
      </c>
      <c r="C194" s="20" t="n">
        <v>1259</v>
      </c>
      <c r="D194" s="20" t="n">
        <v>-1273</v>
      </c>
      <c r="E194" s="20" t="n">
        <v>2202</v>
      </c>
      <c r="F194" s="20" t="n">
        <v>2925</v>
      </c>
      <c r="G194" s="20" t="n">
        <v>-3223</v>
      </c>
      <c r="H194" s="20" t="n">
        <v>3168</v>
      </c>
      <c r="I194" s="20" t="n">
        <v>-2539</v>
      </c>
      <c r="J194" s="20" t="n">
        <v>-383</v>
      </c>
      <c r="K194" s="20" t="n">
        <v>1589</v>
      </c>
      <c r="L194" s="20" t="n">
        <v>3670</v>
      </c>
      <c r="M194" s="20" t="n">
        <v>147</v>
      </c>
      <c r="N194" s="20" t="n">
        <v>395</v>
      </c>
      <c r="V194" s="20" t="n">
        <v>2202</v>
      </c>
      <c r="W194" s="20" t="n">
        <v>-2539</v>
      </c>
      <c r="X194" s="20" t="n">
        <v>147</v>
      </c>
    </row>
    <row r="195">
      <c r="A195" s="18" t="inlineStr">
        <is>
          <t>현금흐름 위험회피</t>
        </is>
      </c>
      <c r="C195" s="20" t="n">
        <v>8</v>
      </c>
      <c r="D195" s="20" t="n">
        <v>-5</v>
      </c>
      <c r="E195" s="20" t="n">
        <v>5</v>
      </c>
      <c r="F195" s="20" t="n">
        <v>-0</v>
      </c>
      <c r="G195" s="20" t="n">
        <v>-3</v>
      </c>
      <c r="H195" s="20" t="n">
        <v>1</v>
      </c>
      <c r="I195" s="20" t="n">
        <v>-1</v>
      </c>
      <c r="J195" s="20" t="n">
        <v>-5</v>
      </c>
      <c r="K195" s="20" t="n">
        <v>-1</v>
      </c>
      <c r="L195" s="20" t="n">
        <v>-1</v>
      </c>
      <c r="M195" s="20" t="n">
        <v>0</v>
      </c>
      <c r="N195" s="20" t="n">
        <v>0</v>
      </c>
      <c r="V195" s="20" t="n">
        <v>5</v>
      </c>
      <c r="W195" s="20" t="n">
        <v>-1</v>
      </c>
      <c r="X195" s="20" t="n">
        <v>0</v>
      </c>
    </row>
    <row r="196">
      <c r="A196" s="18" t="inlineStr">
        <is>
          <t>Share Of Other Comprehensive Income Of Investments Accounted For Using Equity Method Net Of Tax Items That May Be Reclassified To Profit Or Loss OCI</t>
        </is>
      </c>
      <c r="C196" s="20" t="n">
        <v>38</v>
      </c>
      <c r="D196" s="20" t="n">
        <v>1</v>
      </c>
      <c r="E196" s="20" t="n">
        <v>-26</v>
      </c>
      <c r="F196" s="20" t="n">
        <v>36</v>
      </c>
      <c r="G196" s="20" t="n">
        <v>-21</v>
      </c>
      <c r="H196" s="20" t="n">
        <v>16</v>
      </c>
      <c r="I196" s="20" t="n">
        <v>-39</v>
      </c>
      <c r="J196" s="20" t="n">
        <v>-5</v>
      </c>
      <c r="K196" s="20" t="n">
        <v>0</v>
      </c>
      <c r="L196" s="20" t="n">
        <v>23</v>
      </c>
      <c r="M196" s="20" t="n">
        <v>0</v>
      </c>
      <c r="N196" s="20" t="n">
        <v>-18</v>
      </c>
      <c r="V196" s="20" t="n">
        <v>-26</v>
      </c>
      <c r="W196" s="20" t="n">
        <v>-39</v>
      </c>
      <c r="X196" s="20" t="n">
        <v>0</v>
      </c>
    </row>
    <row r="197">
      <c r="A197" s="18" t="inlineStr">
        <is>
          <t>당기손익으로 재분류될 수 있는 항목 합계</t>
        </is>
      </c>
      <c r="C197" s="20" t="n">
        <v>1304</v>
      </c>
      <c r="D197" s="20" t="n">
        <v>-1277</v>
      </c>
      <c r="E197" s="20" t="n">
        <v>2182</v>
      </c>
      <c r="F197" s="20" t="n">
        <v>2960</v>
      </c>
      <c r="G197" s="20" t="n">
        <v>-3247</v>
      </c>
      <c r="H197" s="20" t="n">
        <v>3186</v>
      </c>
      <c r="I197" s="20" t="n">
        <v>-2580</v>
      </c>
      <c r="J197" s="20" t="n">
        <v>-395</v>
      </c>
      <c r="K197" s="20" t="n">
        <v>1589</v>
      </c>
      <c r="L197" s="20" t="n">
        <v>3693</v>
      </c>
      <c r="M197" s="20" t="n">
        <v>147</v>
      </c>
      <c r="N197" s="20" t="n">
        <v>376</v>
      </c>
      <c r="V197" s="20" t="n">
        <v>2182</v>
      </c>
      <c r="W197" s="20" t="n">
        <v>-2580</v>
      </c>
      <c r="X197" s="20" t="n">
        <v>147</v>
      </c>
    </row>
    <row r="198">
      <c r="A198" s="18" t="inlineStr">
        <is>
          <t>세후 기타포괄이익</t>
        </is>
      </c>
      <c r="C198" s="20" t="n">
        <v>7375</v>
      </c>
      <c r="D198" s="20" t="n">
        <v>-4073</v>
      </c>
      <c r="E198" s="20" t="n">
        <v>25995</v>
      </c>
      <c r="F198" s="20" t="n">
        <v>3196</v>
      </c>
      <c r="G198" s="20" t="n">
        <v>-5382</v>
      </c>
      <c r="H198" s="20" t="n">
        <v>6568</v>
      </c>
      <c r="I198" s="20" t="n">
        <v>-3401</v>
      </c>
      <c r="J198" s="20" t="n">
        <v>2025</v>
      </c>
      <c r="K198" s="20" t="n">
        <v>5377</v>
      </c>
      <c r="L198" s="20" t="n">
        <v>6912</v>
      </c>
      <c r="M198" s="20" t="n">
        <v>13338</v>
      </c>
      <c r="N198" s="20" t="n">
        <v>8098</v>
      </c>
      <c r="V198" s="20" t="n">
        <v>25995</v>
      </c>
      <c r="W198" s="20" t="n">
        <v>-3401</v>
      </c>
      <c r="X198" s="20" t="n">
        <v>13338</v>
      </c>
    </row>
    <row r="199">
      <c r="A199" s="9" t="inlineStr">
        <is>
          <t>포괄이익</t>
        </is>
      </c>
      <c r="C199" s="12" t="n">
        <v>13092</v>
      </c>
      <c r="D199" s="12" t="n">
        <v>13393</v>
      </c>
      <c r="E199" s="12" t="n">
        <v>28309</v>
      </c>
      <c r="F199" s="12" t="n">
        <v>10616</v>
      </c>
      <c r="G199" s="12" t="n">
        <v>395</v>
      </c>
      <c r="H199" s="12" t="n">
        <v>18346</v>
      </c>
      <c r="I199" s="12" t="n">
        <v>2184</v>
      </c>
      <c r="J199" s="12" t="n">
        <v>8945</v>
      </c>
      <c r="K199" s="12" t="n">
        <v>12476</v>
      </c>
      <c r="L199" s="12" t="n">
        <v>16398</v>
      </c>
      <c r="M199" s="12" t="n">
        <v>24711</v>
      </c>
      <c r="N199" s="12" t="n">
        <v>17814</v>
      </c>
      <c r="V199" s="12" t="n">
        <v>28309</v>
      </c>
      <c r="W199" s="12" t="n">
        <v>2184</v>
      </c>
      <c r="X199" s="12" t="n">
        <v>24711</v>
      </c>
    </row>
    <row r="200">
      <c r="A200" s="9" t="inlineStr">
        <is>
          <t>지배기업 소유주</t>
        </is>
      </c>
      <c r="C200" s="12" t="n">
        <v>12395</v>
      </c>
      <c r="D200" s="12" t="n">
        <v>13132</v>
      </c>
      <c r="E200" s="12" t="n">
        <v>27297</v>
      </c>
      <c r="F200" s="12" t="n">
        <v>9421</v>
      </c>
      <c r="G200" s="12" t="n">
        <v>575</v>
      </c>
      <c r="H200" s="12" t="n">
        <v>17000</v>
      </c>
      <c r="I200" s="12" t="n">
        <v>2132</v>
      </c>
      <c r="J200" s="12" t="n">
        <v>8468</v>
      </c>
      <c r="K200" s="12" t="n">
        <v>11588</v>
      </c>
      <c r="L200" s="12" t="n">
        <v>15057</v>
      </c>
      <c r="M200" s="12" t="n">
        <v>24017</v>
      </c>
      <c r="N200" s="12" t="n">
        <v>16982</v>
      </c>
      <c r="V200" s="12" t="n">
        <v>27297</v>
      </c>
      <c r="W200" s="12" t="n">
        <v>2132</v>
      </c>
      <c r="X200" s="12" t="n">
        <v>24017</v>
      </c>
    </row>
    <row r="201">
      <c r="A201" s="9" t="inlineStr">
        <is>
          <t>비지배지분</t>
        </is>
      </c>
      <c r="C201" s="12" t="n">
        <v>696</v>
      </c>
      <c r="D201" s="12" t="n">
        <v>262</v>
      </c>
      <c r="E201" s="12" t="n">
        <v>1011</v>
      </c>
      <c r="F201" s="12" t="n">
        <v>1195</v>
      </c>
      <c r="G201" s="12" t="n">
        <v>-180</v>
      </c>
      <c r="H201" s="12" t="n">
        <v>1346</v>
      </c>
      <c r="I201" s="12" t="n">
        <v>52</v>
      </c>
      <c r="J201" s="12" t="n">
        <v>477</v>
      </c>
      <c r="K201" s="12" t="n">
        <v>887</v>
      </c>
      <c r="L201" s="12" t="n">
        <v>1342</v>
      </c>
      <c r="M201" s="12" t="n">
        <v>693</v>
      </c>
      <c r="N201" s="12" t="n">
        <v>832</v>
      </c>
      <c r="V201" s="12" t="n">
        <v>1011</v>
      </c>
      <c r="W201" s="12" t="n">
        <v>52</v>
      </c>
      <c r="X201" s="12" t="n">
        <v>693</v>
      </c>
    </row>
    <row r="202">
      <c r="A202" s="9" t="inlineStr">
        <is>
          <t>순이익</t>
        </is>
      </c>
      <c r="C202" s="12" t="n">
        <v>5652</v>
      </c>
      <c r="D202" s="12" t="n">
        <v>9818</v>
      </c>
      <c r="E202" s="12" t="n">
        <v>30041</v>
      </c>
      <c r="T202" s="12" t="n">
        <v>5193</v>
      </c>
      <c r="U202" s="12" t="n">
        <v>8616</v>
      </c>
      <c r="V202" s="12" t="n">
        <v>30041</v>
      </c>
    </row>
    <row r="203">
      <c r="A203" s="18" t="inlineStr">
        <is>
          <t>기타유가증권 평가차액</t>
        </is>
      </c>
      <c r="C203" s="20" t="n">
        <v>5288</v>
      </c>
      <c r="D203" s="20" t="n">
        <v>-3010</v>
      </c>
      <c r="E203" s="20" t="n">
        <v>-5680</v>
      </c>
      <c r="T203" s="20" t="n">
        <v>-2796</v>
      </c>
      <c r="U203" s="20" t="n">
        <v>5911</v>
      </c>
      <c r="V203" s="20" t="n">
        <v>-5680</v>
      </c>
    </row>
    <row r="204">
      <c r="A204" s="18" t="inlineStr">
        <is>
          <t>이연헤지손익</t>
        </is>
      </c>
      <c r="C204" s="20" t="n">
        <v>7</v>
      </c>
      <c r="D204" s="20" t="n">
        <v>-3</v>
      </c>
      <c r="E204" s="20" t="n">
        <v>2</v>
      </c>
      <c r="T204" s="20" t="n">
        <v>23</v>
      </c>
      <c r="U204" s="20" t="n">
        <v>-43</v>
      </c>
      <c r="V204" s="20" t="n">
        <v>2</v>
      </c>
    </row>
    <row r="205">
      <c r="A205" s="18" t="inlineStr">
        <is>
          <t>해외사업환산조정</t>
        </is>
      </c>
      <c r="C205" s="20" t="n">
        <v>1334</v>
      </c>
      <c r="D205" s="20" t="n">
        <v>-1313</v>
      </c>
      <c r="E205" s="20" t="n">
        <v>2206</v>
      </c>
      <c r="T205" s="20" t="n">
        <v>2773</v>
      </c>
      <c r="U205" s="20" t="n">
        <v>730</v>
      </c>
      <c r="V205" s="20" t="n">
        <v>2206</v>
      </c>
    </row>
    <row r="206">
      <c r="A206" s="18" t="inlineStr">
        <is>
          <t>퇴직급여 조정액</t>
        </is>
      </c>
      <c r="C206" s="20" t="n">
        <v>144</v>
      </c>
      <c r="D206" s="20" t="n">
        <v>-121</v>
      </c>
      <c r="E206" s="20" t="n">
        <v>11567</v>
      </c>
      <c r="T206" s="20" t="n">
        <v>3186</v>
      </c>
      <c r="U206" s="20" t="n">
        <v>3218</v>
      </c>
      <c r="V206" s="20" t="n">
        <v>11567</v>
      </c>
    </row>
    <row r="207">
      <c r="A207" s="18" t="inlineStr">
        <is>
          <t>지분법 적용회사 지분 해당액</t>
        </is>
      </c>
      <c r="C207" s="20" t="n">
        <v>74</v>
      </c>
      <c r="D207" s="20" t="n">
        <v>25</v>
      </c>
      <c r="E207" s="20" t="n">
        <v>56</v>
      </c>
      <c r="T207" s="20" t="n">
        <v>22</v>
      </c>
      <c r="U207" s="20" t="n">
        <v>17</v>
      </c>
      <c r="V207" s="20" t="n">
        <v>56</v>
      </c>
    </row>
    <row r="208">
      <c r="A208" s="18" t="inlineStr">
        <is>
          <t>기타포괄손익 합계</t>
        </is>
      </c>
      <c r="C208" s="20" t="n">
        <v>6846</v>
      </c>
      <c r="D208" s="20" t="n">
        <v>-4423</v>
      </c>
      <c r="E208" s="20" t="n">
        <v>8153</v>
      </c>
      <c r="T208" s="20" t="n">
        <v>3207</v>
      </c>
      <c r="U208" s="20" t="n">
        <v>9836</v>
      </c>
      <c r="V208" s="20" t="n">
        <v>8153</v>
      </c>
    </row>
    <row r="209">
      <c r="A209" s="9" t="inlineStr">
        <is>
          <t>포괄이익</t>
        </is>
      </c>
      <c r="C209" s="12" t="n">
        <v>12497</v>
      </c>
      <c r="D209" s="12" t="n">
        <v>5396</v>
      </c>
      <c r="E209" s="12" t="n">
        <v>38193</v>
      </c>
      <c r="T209" s="12" t="n">
        <v>8399</v>
      </c>
      <c r="U209" s="12" t="n">
        <v>18451</v>
      </c>
      <c r="V209" s="12" t="n">
        <v>38193</v>
      </c>
    </row>
    <row r="210">
      <c r="A210" s="9" t="inlineStr">
        <is>
          <t>지배주주 포괄이익</t>
        </is>
      </c>
      <c r="C210" s="12" t="n">
        <v>11795</v>
      </c>
      <c r="D210" s="12" t="n">
        <v>5054</v>
      </c>
      <c r="E210" s="12" t="n">
        <v>36686</v>
      </c>
      <c r="T210" s="12" t="n">
        <v>7476</v>
      </c>
      <c r="U210" s="12" t="n">
        <v>17948</v>
      </c>
      <c r="V210" s="12" t="n">
        <v>36686</v>
      </c>
    </row>
    <row r="211">
      <c r="A211" s="9" t="inlineStr">
        <is>
          <t>비지배주주 포괄이익</t>
        </is>
      </c>
      <c r="C211" s="12" t="n">
        <v>703</v>
      </c>
      <c r="D211" s="12" t="n">
        <v>342</v>
      </c>
      <c r="E211" s="12" t="n">
        <v>1507</v>
      </c>
      <c r="T211" s="12" t="n">
        <v>923</v>
      </c>
      <c r="U211" s="12" t="n">
        <v>502</v>
      </c>
      <c r="V211" s="12" t="n">
        <v>1507</v>
      </c>
    </row>
    <row r="213">
      <c r="A213" s="16" t="inlineStr">
        <is>
          <t>부문 · 전 항목</t>
        </is>
      </c>
      <c r="B213" s="42" t="inlineStr">
        <is>
          <t>부문 · 항목</t>
        </is>
      </c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  <c r="AA213" s="16" t="n"/>
      <c r="AB213" s="16" t="n"/>
      <c r="AC213" s="16" t="n"/>
    </row>
    <row r="214">
      <c r="A214" s="5" t="inlineStr">
        <is>
          <t>항목</t>
        </is>
      </c>
      <c r="B214" s="5" t="inlineStr">
        <is>
          <t>참고</t>
        </is>
      </c>
      <c r="C214" s="5" t="inlineStr">
        <is>
          <t>2024.2Q</t>
        </is>
      </c>
      <c r="D214" s="5" t="inlineStr">
        <is>
          <t>2024.3Q</t>
        </is>
      </c>
      <c r="E214" s="5" t="inlineStr">
        <is>
          <t>2024.4Q</t>
        </is>
      </c>
      <c r="F214" s="5" t="inlineStr">
        <is>
          <t>2025.1Q</t>
        </is>
      </c>
      <c r="G214" s="5" t="inlineStr">
        <is>
          <t>2025.2Q</t>
        </is>
      </c>
      <c r="H214" s="5" t="inlineStr">
        <is>
          <t>2025.3Q</t>
        </is>
      </c>
      <c r="I214" s="5" t="inlineStr">
        <is>
          <t>2025.4Q</t>
        </is>
      </c>
      <c r="J214" s="5" t="inlineStr">
        <is>
          <t>2026.1Q</t>
        </is>
      </c>
      <c r="K214" s="5" t="inlineStr">
        <is>
          <t>2026.2Q</t>
        </is>
      </c>
      <c r="L214" s="5" t="inlineStr">
        <is>
          <t>2026.3Q</t>
        </is>
      </c>
      <c r="M214" s="5" t="inlineStr">
        <is>
          <t>2026.4Q</t>
        </is>
      </c>
      <c r="N214" s="5" t="inlineStr">
        <is>
          <t>2027.1Q</t>
        </is>
      </c>
      <c r="O214" s="5" t="inlineStr">
        <is>
          <t>2017</t>
        </is>
      </c>
      <c r="P214" s="5" t="inlineStr">
        <is>
          <t>2018</t>
        </is>
      </c>
      <c r="Q214" s="5" t="inlineStr">
        <is>
          <t>2019</t>
        </is>
      </c>
      <c r="R214" s="5" t="inlineStr">
        <is>
          <t>2020</t>
        </is>
      </c>
      <c r="S214" s="5" t="inlineStr">
        <is>
          <t>2021</t>
        </is>
      </c>
      <c r="T214" s="5" t="inlineStr">
        <is>
          <t>2022</t>
        </is>
      </c>
      <c r="U214" s="5" t="inlineStr">
        <is>
          <t>2023</t>
        </is>
      </c>
      <c r="V214" s="5" t="inlineStr">
        <is>
          <t>2024</t>
        </is>
      </c>
      <c r="W214" s="5" t="inlineStr">
        <is>
          <t>2025</t>
        </is>
      </c>
      <c r="X214" s="5" t="inlineStr">
        <is>
          <t>2026</t>
        </is>
      </c>
      <c r="Y214" s="5" t="inlineStr">
        <is>
          <t>2027(MW)</t>
        </is>
      </c>
      <c r="Z214" s="5" t="inlineStr">
        <is>
          <t>2028(MW)</t>
        </is>
      </c>
      <c r="AA214" s="5" t="inlineStr">
        <is>
          <t>2029(MW)</t>
        </is>
      </c>
      <c r="AB214" s="5" t="inlineStr">
        <is>
          <t>2030(MW)</t>
        </is>
      </c>
      <c r="AC214" s="5" t="inlineStr">
        <is>
          <t>2031(MW)</t>
        </is>
      </c>
    </row>
    <row r="215">
      <c r="A215" s="18" t="inlineStr">
        <is>
          <t>부문 · Revenue From External Customers</t>
        </is>
      </c>
      <c r="C215" s="20" t="n">
        <v>53405</v>
      </c>
      <c r="D215" s="20" t="n">
        <v>58872</v>
      </c>
      <c r="F215" s="20" t="n">
        <v>53427</v>
      </c>
      <c r="G215" s="20" t="n">
        <v>52051</v>
      </c>
      <c r="H215" s="20" t="n">
        <v>54945</v>
      </c>
      <c r="J215" s="20" t="n">
        <v>51216</v>
      </c>
      <c r="K215" s="20" t="n">
        <v>48763</v>
      </c>
      <c r="L215" s="20" t="n">
        <v>53043</v>
      </c>
      <c r="N215" s="20" t="n">
        <v>59403</v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IF(OR(G215="",C215=""),"",IF(C215&lt;=0,"",IFERROR(G215/C215-1,"")))</f>
        <v/>
      </c>
      <c r="H216" s="15">
        <f>IF(OR(H215="",D215=""),"",IF(D215&lt;=0,"",IFERROR(H215/D215-1,"")))</f>
        <v/>
      </c>
      <c r="J216" s="15">
        <f>IF(OR(J215="",F215=""),"",IF(F215&lt;=0,"",IFERROR(J215/F215-1,"")))</f>
        <v/>
      </c>
      <c r="K216" s="15">
        <f>IF(OR(K215="",G215=""),"",IF(G215&lt;=0,"",IFERROR(K215/G215-1,"")))</f>
        <v/>
      </c>
      <c r="L216" s="15">
        <f>IF(OR(L215="",H215=""),"",IF(H215&lt;=0,"",IFERROR(L215/H215-1,"")))</f>
        <v/>
      </c>
      <c r="N216" s="15">
        <f>IF(OR(N215="",J215=""),"",IF(J215&lt;=0,"",IFERROR(N215/J215-1,"")))</f>
        <v/>
      </c>
    </row>
    <row r="217">
      <c r="A217" s="18" t="inlineStr">
        <is>
          <t>부문 · Revenue From External Customers</t>
        </is>
      </c>
      <c r="C217" s="20" t="n">
        <v>51177</v>
      </c>
      <c r="D217" s="20" t="n">
        <v>50741</v>
      </c>
      <c r="F217" s="20" t="n">
        <v>49694</v>
      </c>
      <c r="G217" s="20" t="n">
        <v>50422</v>
      </c>
      <c r="H217" s="20" t="n">
        <v>52968</v>
      </c>
      <c r="J217" s="20" t="n">
        <v>48302</v>
      </c>
      <c r="K217" s="20" t="n">
        <v>48492</v>
      </c>
      <c r="L217" s="20" t="n">
        <v>51128</v>
      </c>
      <c r="N217" s="20" t="n">
        <v>58043</v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IF(OR(G217="",C217=""),"",IF(C217&lt;=0,"",IFERROR(G217/C217-1,"")))</f>
        <v/>
      </c>
      <c r="H218" s="15">
        <f>IF(OR(H217="",D217=""),"",IF(D217&lt;=0,"",IFERROR(H217/D217-1,"")))</f>
        <v/>
      </c>
      <c r="J218" s="15">
        <f>IF(OR(J217="",F217=""),"",IF(F217&lt;=0,"",IFERROR(J217/F217-1,"")))</f>
        <v/>
      </c>
      <c r="K218" s="15">
        <f>IF(OR(K217="",G217=""),"",IF(G217&lt;=0,"",IFERROR(K217/G217-1,"")))</f>
        <v/>
      </c>
      <c r="L218" s="15">
        <f>IF(OR(L217="",H217=""),"",IF(H217&lt;=0,"",IFERROR(L217/H217-1,"")))</f>
        <v/>
      </c>
      <c r="N218" s="15">
        <f>IF(OR(N217="",J217=""),"",IF(J217&lt;=0,"",IFERROR(N217/J217-1,"")))</f>
        <v/>
      </c>
    </row>
    <row r="219">
      <c r="A219" s="18" t="inlineStr">
        <is>
          <t>부문 · Revenue From External Customers</t>
        </is>
      </c>
      <c r="C219" s="20" t="n">
        <v>26956</v>
      </c>
      <c r="D219" s="20" t="n">
        <v>27560</v>
      </c>
      <c r="F219" s="20" t="n">
        <v>27196</v>
      </c>
      <c r="G219" s="20" t="n">
        <v>26538</v>
      </c>
      <c r="H219" s="20" t="n">
        <v>30015</v>
      </c>
      <c r="J219" s="20" t="n">
        <v>29299</v>
      </c>
      <c r="K219" s="20" t="n">
        <v>29867</v>
      </c>
      <c r="L219" s="20" t="n">
        <v>29808</v>
      </c>
      <c r="N219" s="20" t="n">
        <v>31640</v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IF(OR(G219="",C219=""),"",IF(C219&lt;=0,"",IFERROR(G219/C219-1,"")))</f>
        <v/>
      </c>
      <c r="H220" s="15">
        <f>IF(OR(H219="",D219=""),"",IF(D219&lt;=0,"",IFERROR(H219/D219-1,"")))</f>
        <v/>
      </c>
      <c r="J220" s="15">
        <f>IF(OR(J219="",F219=""),"",IF(F219&lt;=0,"",IFERROR(J219/F219-1,"")))</f>
        <v/>
      </c>
      <c r="K220" s="15">
        <f>IF(OR(K219="",G219=""),"",IF(G219&lt;=0,"",IFERROR(K219/G219-1,"")))</f>
        <v/>
      </c>
      <c r="L220" s="15">
        <f>IF(OR(L219="",H219=""),"",IF(H219&lt;=0,"",IFERROR(L219/H219-1,"")))</f>
        <v/>
      </c>
      <c r="N220" s="15">
        <f>IF(OR(N219="",J219=""),"",IF(J219&lt;=0,"",IFERROR(N219/J219-1,"")))</f>
        <v/>
      </c>
    </row>
    <row r="221">
      <c r="A221" s="18" t="inlineStr">
        <is>
          <t>부문 · Revenue From External Customers</t>
        </is>
      </c>
      <c r="C221" s="20" t="n">
        <v>5987</v>
      </c>
      <c r="D221" s="20" t="n">
        <v>6097</v>
      </c>
      <c r="F221" s="20" t="n">
        <v>4616</v>
      </c>
      <c r="G221" s="20" t="n">
        <v>5971</v>
      </c>
      <c r="H221" s="20" t="n">
        <v>5686</v>
      </c>
      <c r="J221" s="20" t="n">
        <v>6815</v>
      </c>
      <c r="K221" s="20" t="n">
        <v>7442</v>
      </c>
      <c r="L221" s="20" t="n">
        <v>6006</v>
      </c>
      <c r="N221" s="20" t="n">
        <v>7254</v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IF(OR(G221="",C221=""),"",IF(C221&lt;=0,"",IFERROR(G221/C221-1,"")))</f>
        <v/>
      </c>
      <c r="H222" s="15">
        <f>IF(OR(H221="",D221=""),"",IF(D221&lt;=0,"",IFERROR(H221/D221-1,"")))</f>
        <v/>
      </c>
      <c r="J222" s="15">
        <f>IF(OR(J221="",F221=""),"",IF(F221&lt;=0,"",IFERROR(J221/F221-1,"")))</f>
        <v/>
      </c>
      <c r="K222" s="15">
        <f>IF(OR(K221="",G221=""),"",IF(G221&lt;=0,"",IFERROR(K221/G221-1,"")))</f>
        <v/>
      </c>
      <c r="L222" s="15">
        <f>IF(OR(L221="",H221=""),"",IF(H221&lt;=0,"",IFERROR(L221/H221-1,"")))</f>
        <v/>
      </c>
      <c r="N222" s="15">
        <f>IF(OR(N221="",J221=""),"",IF(J221&lt;=0,"",IFERROR(N221/J221-1,"")))</f>
        <v/>
      </c>
    </row>
    <row r="223">
      <c r="A223" s="18" t="inlineStr">
        <is>
          <t>부문 · Revenue From External Customers</t>
        </is>
      </c>
      <c r="C223" s="20" t="n">
        <v>7824</v>
      </c>
      <c r="D223" s="20" t="n">
        <v>8264</v>
      </c>
      <c r="F223" s="20" t="n">
        <v>7159</v>
      </c>
      <c r="G223" s="20" t="n">
        <v>6363</v>
      </c>
      <c r="H223" s="20" t="n">
        <v>6908</v>
      </c>
      <c r="J223" s="20" t="n">
        <v>6719</v>
      </c>
      <c r="K223" s="20" t="n">
        <v>7581</v>
      </c>
      <c r="L223" s="20" t="n">
        <v>5746</v>
      </c>
      <c r="N223" s="20" t="n">
        <v>7188</v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IF(OR(G223="",C223=""),"",IF(C223&lt;=0,"",IFERROR(G223/C223-1,"")))</f>
        <v/>
      </c>
      <c r="H224" s="15">
        <f>IF(OR(H223="",D223=""),"",IF(D223&lt;=0,"",IFERROR(H223/D223-1,"")))</f>
        <v/>
      </c>
      <c r="J224" s="15">
        <f>IF(OR(J223="",F223=""),"",IF(F223&lt;=0,"",IFERROR(J223/F223-1,"")))</f>
        <v/>
      </c>
      <c r="K224" s="15">
        <f>IF(OR(K223="",G223=""),"",IF(G223&lt;=0,"",IFERROR(K223/G223-1,"")))</f>
        <v/>
      </c>
      <c r="L224" s="15">
        <f>IF(OR(L223="",H223=""),"",IF(H223&lt;=0,"",IFERROR(L223/H223-1,"")))</f>
        <v/>
      </c>
      <c r="N224" s="15">
        <f>IF(OR(N223="",J223=""),"",IF(J223&lt;=0,"",IFERROR(N223/J223-1,"")))</f>
        <v/>
      </c>
    </row>
    <row r="225">
      <c r="A225" s="18" t="inlineStr">
        <is>
          <t>합계 · Revenue From External Customers</t>
        </is>
      </c>
      <c r="F225" s="20" t="n">
        <v>142094</v>
      </c>
      <c r="G225" s="20" t="n">
        <v>141345</v>
      </c>
      <c r="H225" s="20" t="n">
        <v>150522</v>
      </c>
      <c r="J225" s="20" t="n">
        <v>142352</v>
      </c>
      <c r="K225" s="20" t="n">
        <v>142147</v>
      </c>
      <c r="L225" s="20" t="n">
        <v>145731</v>
      </c>
      <c r="N225" s="20" t="n">
        <v>163530</v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IF(OR(G225="",C225=""),"",IF(C225&lt;=0,"",IFERROR(G225/C225-1,"")))</f>
        <v/>
      </c>
      <c r="H226" s="15">
        <f>IF(OR(H225="",D225=""),"",IF(D225&lt;=0,"",IFERROR(H225/D225-1,"")))</f>
        <v/>
      </c>
      <c r="J226" s="15">
        <f>IF(OR(J225="",F225=""),"",IF(F225&lt;=0,"",IFERROR(J225/F225-1,"")))</f>
        <v/>
      </c>
      <c r="K226" s="15">
        <f>IF(OR(K225="",G225=""),"",IF(G225&lt;=0,"",IFERROR(K225/G225-1,"")))</f>
        <v/>
      </c>
      <c r="L226" s="15">
        <f>IF(OR(L225="",H225=""),"",IF(H225&lt;=0,"",IFERROR(L225/H225-1,"")))</f>
        <v/>
      </c>
      <c r="N226" s="15">
        <f>IF(OR(N225="",J225=""),"",IF(J225&lt;=0,"",IFERROR(N225/J225-1,"")))</f>
        <v/>
      </c>
    </row>
    <row r="227">
      <c r="A227" s="18" t="inlineStr">
        <is>
          <t>조정액 · Revenue From External Customers</t>
        </is>
      </c>
      <c r="C227" s="20" t="n">
        <v>0</v>
      </c>
      <c r="D227" s="20" t="n">
        <v>0</v>
      </c>
      <c r="E227" s="20" t="n">
        <v>0</v>
      </c>
      <c r="F227" s="20" t="n">
        <v>0</v>
      </c>
      <c r="G227" s="20" t="n">
        <v>0</v>
      </c>
      <c r="H227" s="20" t="n">
        <v>0</v>
      </c>
      <c r="I227" s="20" t="n">
        <v>0</v>
      </c>
      <c r="J227" s="20" t="n">
        <v>0</v>
      </c>
      <c r="K227" s="20" t="n">
        <v>0</v>
      </c>
      <c r="L227" s="20" t="n">
        <v>0</v>
      </c>
      <c r="M227" s="20" t="n">
        <v>0</v>
      </c>
      <c r="N227" s="20" t="n">
        <v>0</v>
      </c>
      <c r="V227" s="20" t="n">
        <v>0</v>
      </c>
      <c r="W227" s="20" t="n">
        <v>0</v>
      </c>
      <c r="X227" s="20" t="n">
        <v>0</v>
      </c>
    </row>
    <row r="228">
      <c r="A228" s="9" t="inlineStr">
        <is>
          <t>Revenue From External Customers</t>
        </is>
      </c>
      <c r="C228" s="12" t="n">
        <v>145349</v>
      </c>
      <c r="D228" s="12" t="n">
        <v>151534</v>
      </c>
      <c r="E228" s="12" t="n">
        <v>139795</v>
      </c>
      <c r="F228" s="12" t="n">
        <v>142094</v>
      </c>
      <c r="G228" s="12" t="n">
        <v>141345</v>
      </c>
      <c r="H228" s="12" t="n">
        <v>150522</v>
      </c>
      <c r="I228" s="12" t="n">
        <v>140984</v>
      </c>
      <c r="J228" s="12" t="n">
        <v>142352</v>
      </c>
      <c r="K228" s="12" t="n">
        <v>142147</v>
      </c>
      <c r="L228" s="12" t="n">
        <v>145731</v>
      </c>
      <c r="M228" s="12" t="n">
        <v>147899</v>
      </c>
      <c r="N228" s="12" t="n">
        <v>163530</v>
      </c>
      <c r="V228" s="12" t="n">
        <v>139795</v>
      </c>
      <c r="W228" s="12" t="n">
        <v>140984</v>
      </c>
      <c r="X228" s="12" t="n">
        <v>147899</v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IF(OR(G228="",C228=""),"",IF(C228&lt;=0,"",IFERROR(G228/C228-1,"")))</f>
        <v/>
      </c>
      <c r="H229" s="15">
        <f>IF(OR(H228="",D228=""),"",IF(D228&lt;=0,"",IFERROR(H228/D228-1,"")))</f>
        <v/>
      </c>
      <c r="I229" s="15">
        <f>IF(OR(I228="",E228=""),"",IF(E228&lt;=0,"",IFERROR(I228/E228-1,"")))</f>
        <v/>
      </c>
      <c r="J229" s="15">
        <f>IF(OR(J228="",F228=""),"",IF(F228&lt;=0,"",IFERROR(J228/F228-1,"")))</f>
        <v/>
      </c>
      <c r="K229" s="15">
        <f>IF(OR(K228="",G228=""),"",IF(G228&lt;=0,"",IFERROR(K228/G228-1,"")))</f>
        <v/>
      </c>
      <c r="L229" s="15">
        <f>IF(OR(L228="",H228=""),"",IF(H228&lt;=0,"",IFERROR(L228/H228-1,"")))</f>
        <v/>
      </c>
      <c r="M229" s="15">
        <f>IF(OR(M228="",I228=""),"",IF(I228&lt;=0,"",IFERROR(M228/I228-1,"")))</f>
        <v/>
      </c>
      <c r="N229" s="15">
        <f>IF(OR(N228="",J228=""),"",IF(J228&lt;=0,"",IFERROR(N228/J228-1,"")))</f>
        <v/>
      </c>
      <c r="V229" s="15">
        <f>IF(OR(V228="",U228=""),"",IF(U228&lt;=0,"",IFERROR(V228/U228-1,"")))</f>
        <v/>
      </c>
      <c r="W229" s="15">
        <f>IF(OR(W228="",V228=""),"",IF(V228&lt;=0,"",IFERROR(W228/V228-1,"")))</f>
        <v/>
      </c>
      <c r="X229" s="15">
        <f>IF(OR(X228="",W228=""),"",IF(W228&lt;=0,"",IFERROR(X228/W228-1,"")))</f>
        <v/>
      </c>
    </row>
    <row r="230">
      <c r="A230" s="18" t="inlineStr">
        <is>
          <t>보고부문 합계 · Intersegment Revenue</t>
        </is>
      </c>
      <c r="D230" s="20" t="n">
        <v>34000</v>
      </c>
      <c r="E230" s="20" t="n">
        <v>33799</v>
      </c>
      <c r="H230" s="20" t="n">
        <v>36006</v>
      </c>
      <c r="I230" s="20" t="n">
        <v>35532</v>
      </c>
      <c r="V230" s="20" t="n">
        <v>33799</v>
      </c>
      <c r="W230" s="20" t="n">
        <v>35532</v>
      </c>
    </row>
    <row r="231">
      <c r="A231" s="18" t="inlineStr">
        <is>
          <t>부문 · Intersegment Revenue</t>
        </is>
      </c>
      <c r="C231" s="20" t="n">
        <v>14476</v>
      </c>
      <c r="D231" s="20" t="n">
        <v>15730</v>
      </c>
      <c r="F231" s="20" t="n">
        <v>18112</v>
      </c>
      <c r="G231" s="20" t="n">
        <v>17801</v>
      </c>
      <c r="H231" s="20" t="n">
        <v>17902</v>
      </c>
      <c r="J231" s="20" t="n">
        <v>16718</v>
      </c>
      <c r="K231" s="20" t="n">
        <v>16280</v>
      </c>
      <c r="L231" s="20" t="n">
        <v>17360</v>
      </c>
      <c r="N231" s="20" t="n">
        <v>21247</v>
      </c>
    </row>
    <row r="232">
      <c r="A232" s="18" t="inlineStr">
        <is>
          <t>부문 · Intersegment Revenue</t>
        </is>
      </c>
      <c r="C232" s="20" t="n">
        <v>4344</v>
      </c>
      <c r="D232" s="20" t="n">
        <v>4698</v>
      </c>
      <c r="F232" s="20" t="n">
        <v>4641</v>
      </c>
      <c r="G232" s="20" t="n">
        <v>4683</v>
      </c>
      <c r="H232" s="20" t="n">
        <v>5208</v>
      </c>
      <c r="J232" s="20" t="n">
        <v>4399</v>
      </c>
      <c r="K232" s="20" t="n">
        <v>3776</v>
      </c>
      <c r="L232" s="20" t="n">
        <v>4133</v>
      </c>
      <c r="N232" s="20" t="n">
        <v>5553</v>
      </c>
    </row>
    <row r="233">
      <c r="A233" s="18" t="inlineStr">
        <is>
          <t>부문 · Intersegment Revenue</t>
        </is>
      </c>
      <c r="C233" s="20" t="n">
        <v>7668</v>
      </c>
      <c r="D233" s="20" t="n">
        <v>9204</v>
      </c>
      <c r="F233" s="20" t="n">
        <v>9012</v>
      </c>
      <c r="G233" s="20" t="n">
        <v>8411</v>
      </c>
      <c r="H233" s="20" t="n">
        <v>7836</v>
      </c>
      <c r="J233" s="20" t="n">
        <v>8356</v>
      </c>
      <c r="K233" s="20" t="n">
        <v>6529</v>
      </c>
      <c r="L233" s="20" t="n">
        <v>8346</v>
      </c>
      <c r="N233" s="20" t="n">
        <v>9177</v>
      </c>
    </row>
    <row r="234">
      <c r="A234" s="18" t="inlineStr">
        <is>
          <t>부문 · Intersegment Revenue</t>
        </is>
      </c>
      <c r="C234" s="20" t="n">
        <v>167</v>
      </c>
      <c r="D234" s="20" t="n">
        <v>115</v>
      </c>
      <c r="F234" s="20" t="n">
        <v>156</v>
      </c>
      <c r="G234" s="20" t="n">
        <v>176</v>
      </c>
      <c r="H234" s="20" t="n">
        <v>138</v>
      </c>
      <c r="J234" s="20" t="n">
        <v>130</v>
      </c>
      <c r="K234" s="20" t="n">
        <v>213</v>
      </c>
      <c r="L234" s="20" t="n">
        <v>341</v>
      </c>
      <c r="N234" s="20" t="n">
        <v>420</v>
      </c>
    </row>
    <row r="235">
      <c r="A235" s="18" t="inlineStr">
        <is>
          <t>부문 · Intersegment Revenue</t>
        </is>
      </c>
      <c r="C235" s="20" t="n">
        <v>4413</v>
      </c>
      <c r="D235" s="20" t="n">
        <v>4255</v>
      </c>
      <c r="F235" s="20" t="n">
        <v>4638</v>
      </c>
      <c r="G235" s="20" t="n">
        <v>4970</v>
      </c>
      <c r="H235" s="20" t="n">
        <v>4921</v>
      </c>
      <c r="J235" s="20" t="n">
        <v>5158</v>
      </c>
      <c r="K235" s="20" t="n">
        <v>5136</v>
      </c>
      <c r="L235" s="20" t="n">
        <v>5754</v>
      </c>
      <c r="N235" s="20" t="n">
        <v>5771</v>
      </c>
    </row>
    <row r="236">
      <c r="A236" s="18" t="inlineStr">
        <is>
          <t>합계 · Intersegment Revenue</t>
        </is>
      </c>
      <c r="F236" s="20" t="n">
        <v>36560</v>
      </c>
      <c r="G236" s="20" t="n">
        <v>36041</v>
      </c>
      <c r="H236" s="20" t="n">
        <v>36006</v>
      </c>
      <c r="J236" s="20" t="n">
        <v>34762</v>
      </c>
      <c r="K236" s="20" t="n">
        <v>31934</v>
      </c>
      <c r="L236" s="20" t="n">
        <v>35934</v>
      </c>
      <c r="N236" s="20" t="n">
        <v>42170</v>
      </c>
    </row>
    <row r="237">
      <c r="A237" s="18" t="inlineStr">
        <is>
          <t>조정액 · Intersegment Revenue</t>
        </is>
      </c>
      <c r="C237" s="20" t="n">
        <v>-31070</v>
      </c>
      <c r="D237" s="20" t="n">
        <v>-34000</v>
      </c>
      <c r="E237" s="20" t="n">
        <v>-33799</v>
      </c>
      <c r="F237" s="20" t="n">
        <v>-36560</v>
      </c>
      <c r="G237" s="20" t="n">
        <v>-36041</v>
      </c>
      <c r="H237" s="20" t="n">
        <v>-36006</v>
      </c>
      <c r="I237" s="20" t="n">
        <v>-35532</v>
      </c>
      <c r="J237" s="20" t="n">
        <v>-34762</v>
      </c>
      <c r="K237" s="20" t="n">
        <v>-31934</v>
      </c>
      <c r="L237" s="20" t="n">
        <v>-35934</v>
      </c>
      <c r="M237" s="20" t="n">
        <v>-36285</v>
      </c>
      <c r="N237" s="20" t="n">
        <v>-42170</v>
      </c>
      <c r="V237" s="20" t="n">
        <v>-33799</v>
      </c>
      <c r="W237" s="20" t="n">
        <v>-35532</v>
      </c>
      <c r="X237" s="20" t="n">
        <v>-36285</v>
      </c>
    </row>
    <row r="238">
      <c r="A238" s="18" t="inlineStr">
        <is>
          <t>Intersegment Revenue</t>
        </is>
      </c>
      <c r="C238" s="20" t="n">
        <v>0</v>
      </c>
      <c r="D238" s="20" t="n">
        <v>0</v>
      </c>
      <c r="E238" s="20" t="n">
        <v>0</v>
      </c>
      <c r="F238" s="20" t="n">
        <v>0</v>
      </c>
      <c r="G238" s="20" t="n">
        <v>0</v>
      </c>
      <c r="H238" s="20" t="n">
        <v>0</v>
      </c>
      <c r="I238" s="20" t="n">
        <v>0</v>
      </c>
      <c r="J238" s="20" t="n">
        <v>0</v>
      </c>
      <c r="K238" s="20" t="n">
        <v>0</v>
      </c>
      <c r="L238" s="20" t="n">
        <v>0</v>
      </c>
      <c r="M238" s="20" t="n">
        <v>0</v>
      </c>
      <c r="N238" s="20" t="n">
        <v>0</v>
      </c>
      <c r="V238" s="20" t="n">
        <v>0</v>
      </c>
      <c r="W238" s="20" t="n">
        <v>0</v>
      </c>
      <c r="X238" s="20" t="n">
        <v>0</v>
      </c>
    </row>
    <row r="239">
      <c r="A239" s="18" t="inlineStr">
        <is>
          <t>보고부문 합계 · 합계</t>
        </is>
      </c>
      <c r="D239" s="20" t="n">
        <v>185534</v>
      </c>
      <c r="E239" s="20" t="n">
        <v>173594</v>
      </c>
      <c r="H239" s="20" t="n">
        <v>186528</v>
      </c>
      <c r="I239" s="20" t="n">
        <v>176516</v>
      </c>
      <c r="V239" s="20" t="n">
        <v>173594</v>
      </c>
      <c r="W239" s="20" t="n">
        <v>176516</v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H240" s="15">
        <f>IF(OR(H239="",D239=""),"",IF(D239&lt;=0,"",IFERROR(H239/D239-1,"")))</f>
        <v/>
      </c>
      <c r="I240" s="15">
        <f>IF(OR(I239="",E239=""),"",IF(E239&lt;=0,"",IFERROR(I239/E239-1,"")))</f>
        <v/>
      </c>
      <c r="V240" s="15">
        <f>IF(OR(V239="",U239=""),"",IF(U239&lt;=0,"",IFERROR(V239/U239-1,"")))</f>
        <v/>
      </c>
      <c r="W240" s="15">
        <f>IF(OR(W239="",V239=""),"",IF(V239&lt;=0,"",IFERROR(W239/V239-1,"")))</f>
        <v/>
      </c>
    </row>
    <row r="241">
      <c r="A241" s="18" t="inlineStr">
        <is>
          <t>부문 · 합계</t>
        </is>
      </c>
      <c r="C241" s="20" t="n">
        <v>67882</v>
      </c>
      <c r="D241" s="20" t="n">
        <v>74602</v>
      </c>
      <c r="F241" s="20" t="n">
        <v>71539</v>
      </c>
      <c r="G241" s="20" t="n">
        <v>69852</v>
      </c>
      <c r="H241" s="20" t="n">
        <v>72848</v>
      </c>
      <c r="J241" s="20" t="n">
        <v>67934</v>
      </c>
      <c r="K241" s="20" t="n">
        <v>65043</v>
      </c>
      <c r="L241" s="20" t="n">
        <v>70403</v>
      </c>
      <c r="N241" s="20" t="n">
        <v>80650</v>
      </c>
    </row>
    <row r="242">
      <c r="A242" s="43" t="inlineStr">
        <is>
          <t>YoY</t>
        </is>
      </c>
      <c r="B242" s="3" t="inlineStr">
        <is>
          <t>전년 같은 분기·전년 대비</t>
        </is>
      </c>
      <c r="G242" s="15">
        <f>IF(OR(G241="",C241=""),"",IF(C241&lt;=0,"",IFERROR(G241/C241-1,"")))</f>
        <v/>
      </c>
      <c r="H242" s="15">
        <f>IF(OR(H241="",D241=""),"",IF(D241&lt;=0,"",IFERROR(H241/D241-1,"")))</f>
        <v/>
      </c>
      <c r="J242" s="15">
        <f>IF(OR(J241="",F241=""),"",IF(F241&lt;=0,"",IFERROR(J241/F241-1,"")))</f>
        <v/>
      </c>
      <c r="K242" s="15">
        <f>IF(OR(K241="",G241=""),"",IF(G241&lt;=0,"",IFERROR(K241/G241-1,"")))</f>
        <v/>
      </c>
      <c r="L242" s="15">
        <f>IF(OR(L241="",H241=""),"",IF(H241&lt;=0,"",IFERROR(L241/H241-1,"")))</f>
        <v/>
      </c>
      <c r="N242" s="15">
        <f>IF(OR(N241="",J241=""),"",IF(J241&lt;=0,"",IFERROR(N241/J241-1,"")))</f>
        <v/>
      </c>
    </row>
    <row r="243">
      <c r="A243" s="18" t="inlineStr">
        <is>
          <t>부문 · 합계</t>
        </is>
      </c>
      <c r="C243" s="20" t="n">
        <v>55521</v>
      </c>
      <c r="D243" s="20" t="n">
        <v>55439</v>
      </c>
      <c r="F243" s="20" t="n">
        <v>54336</v>
      </c>
      <c r="G243" s="20" t="n">
        <v>55105</v>
      </c>
      <c r="H243" s="20" t="n">
        <v>58175</v>
      </c>
      <c r="J243" s="20" t="n">
        <v>52702</v>
      </c>
      <c r="K243" s="20" t="n">
        <v>52267</v>
      </c>
      <c r="L243" s="20" t="n">
        <v>55262</v>
      </c>
      <c r="N243" s="20" t="n">
        <v>63596</v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G244" s="15">
        <f>IF(OR(G243="",C243=""),"",IF(C243&lt;=0,"",IFERROR(G243/C243-1,"")))</f>
        <v/>
      </c>
      <c r="H244" s="15">
        <f>IF(OR(H243="",D243=""),"",IF(D243&lt;=0,"",IFERROR(H243/D243-1,"")))</f>
        <v/>
      </c>
      <c r="J244" s="15">
        <f>IF(OR(J243="",F243=""),"",IF(F243&lt;=0,"",IFERROR(J243/F243-1,"")))</f>
        <v/>
      </c>
      <c r="K244" s="15">
        <f>IF(OR(K243="",G243=""),"",IF(G243&lt;=0,"",IFERROR(K243/G243-1,"")))</f>
        <v/>
      </c>
      <c r="L244" s="15">
        <f>IF(OR(L243="",H243=""),"",IF(H243&lt;=0,"",IFERROR(L243/H243-1,"")))</f>
        <v/>
      </c>
      <c r="N244" s="15">
        <f>IF(OR(N243="",J243=""),"",IF(J243&lt;=0,"",IFERROR(N243/J243-1,"")))</f>
        <v/>
      </c>
    </row>
    <row r="245">
      <c r="A245" s="18" t="inlineStr">
        <is>
          <t>부문 · 합계</t>
        </is>
      </c>
      <c r="C245" s="20" t="n">
        <v>34624</v>
      </c>
      <c r="D245" s="20" t="n">
        <v>36763</v>
      </c>
      <c r="F245" s="20" t="n">
        <v>36208</v>
      </c>
      <c r="G245" s="20" t="n">
        <v>34949</v>
      </c>
      <c r="H245" s="20" t="n">
        <v>37852</v>
      </c>
      <c r="J245" s="20" t="n">
        <v>37655</v>
      </c>
      <c r="K245" s="20" t="n">
        <v>36396</v>
      </c>
      <c r="L245" s="20" t="n">
        <v>38155</v>
      </c>
      <c r="N245" s="20" t="n">
        <v>40818</v>
      </c>
    </row>
    <row r="246">
      <c r="A246" s="43" t="inlineStr">
        <is>
          <t>YoY</t>
        </is>
      </c>
      <c r="B246" s="3" t="inlineStr">
        <is>
          <t>전년 같은 분기·전년 대비</t>
        </is>
      </c>
      <c r="G246" s="15">
        <f>IF(OR(G245="",C245=""),"",IF(C245&lt;=0,"",IFERROR(G245/C245-1,"")))</f>
        <v/>
      </c>
      <c r="H246" s="15">
        <f>IF(OR(H245="",D245=""),"",IF(D245&lt;=0,"",IFERROR(H245/D245-1,"")))</f>
        <v/>
      </c>
      <c r="J246" s="15">
        <f>IF(OR(J245="",F245=""),"",IF(F245&lt;=0,"",IFERROR(J245/F245-1,"")))</f>
        <v/>
      </c>
      <c r="K246" s="15">
        <f>IF(OR(K245="",G245=""),"",IF(G245&lt;=0,"",IFERROR(K245/G245-1,"")))</f>
        <v/>
      </c>
      <c r="L246" s="15">
        <f>IF(OR(L245="",H245=""),"",IF(H245&lt;=0,"",IFERROR(L245/H245-1,"")))</f>
        <v/>
      </c>
      <c r="N246" s="15">
        <f>IF(OR(N245="",J245=""),"",IF(J245&lt;=0,"",IFERROR(N245/J245-1,"")))</f>
        <v/>
      </c>
    </row>
    <row r="247">
      <c r="A247" s="18" t="inlineStr">
        <is>
          <t>부문 · 합계</t>
        </is>
      </c>
      <c r="C247" s="20" t="n">
        <v>6155</v>
      </c>
      <c r="D247" s="20" t="n">
        <v>6211</v>
      </c>
      <c r="F247" s="20" t="n">
        <v>4772</v>
      </c>
      <c r="G247" s="20" t="n">
        <v>6148</v>
      </c>
      <c r="H247" s="20" t="n">
        <v>5824</v>
      </c>
      <c r="J247" s="20" t="n">
        <v>6945</v>
      </c>
      <c r="K247" s="20" t="n">
        <v>7655</v>
      </c>
      <c r="L247" s="20" t="n">
        <v>6348</v>
      </c>
      <c r="N247" s="20" t="n">
        <v>7674</v>
      </c>
    </row>
    <row r="248">
      <c r="A248" s="43" t="inlineStr">
        <is>
          <t>YoY</t>
        </is>
      </c>
      <c r="B248" s="3" t="inlineStr">
        <is>
          <t>전년 같은 분기·전년 대비</t>
        </is>
      </c>
      <c r="G248" s="15">
        <f>IF(OR(G247="",C247=""),"",IF(C247&lt;=0,"",IFERROR(G247/C247-1,"")))</f>
        <v/>
      </c>
      <c r="H248" s="15">
        <f>IF(OR(H247="",D247=""),"",IF(D247&lt;=0,"",IFERROR(H247/D247-1,"")))</f>
        <v/>
      </c>
      <c r="J248" s="15">
        <f>IF(OR(J247="",F247=""),"",IF(F247&lt;=0,"",IFERROR(J247/F247-1,"")))</f>
        <v/>
      </c>
      <c r="K248" s="15">
        <f>IF(OR(K247="",G247=""),"",IF(G247&lt;=0,"",IFERROR(K247/G247-1,"")))</f>
        <v/>
      </c>
      <c r="L248" s="15">
        <f>IF(OR(L247="",H247=""),"",IF(H247&lt;=0,"",IFERROR(L247/H247-1,"")))</f>
        <v/>
      </c>
      <c r="N248" s="15">
        <f>IF(OR(N247="",J247=""),"",IF(J247&lt;=0,"",IFERROR(N247/J247-1,"")))</f>
        <v/>
      </c>
    </row>
    <row r="249">
      <c r="A249" s="18" t="inlineStr">
        <is>
          <t>부문 · 합계</t>
        </is>
      </c>
      <c r="C249" s="20" t="n">
        <v>12237</v>
      </c>
      <c r="D249" s="20" t="n">
        <v>12518</v>
      </c>
      <c r="F249" s="20" t="n">
        <v>11797</v>
      </c>
      <c r="G249" s="20" t="n">
        <v>11334</v>
      </c>
      <c r="H249" s="20" t="n">
        <v>11828</v>
      </c>
      <c r="J249" s="20" t="n">
        <v>11878</v>
      </c>
      <c r="K249" s="20" t="n">
        <v>12717</v>
      </c>
      <c r="L249" s="20" t="n">
        <v>11499</v>
      </c>
      <c r="N249" s="20" t="n">
        <v>12960</v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G250" s="15">
        <f>IF(OR(G249="",C249=""),"",IF(C249&lt;=0,"",IFERROR(G249/C249-1,"")))</f>
        <v/>
      </c>
      <c r="H250" s="15">
        <f>IF(OR(H249="",D249=""),"",IF(D249&lt;=0,"",IFERROR(H249/D249-1,"")))</f>
        <v/>
      </c>
      <c r="J250" s="15">
        <f>IF(OR(J249="",F249=""),"",IF(F249&lt;=0,"",IFERROR(J249/F249-1,"")))</f>
        <v/>
      </c>
      <c r="K250" s="15">
        <f>IF(OR(K249="",G249=""),"",IF(G249&lt;=0,"",IFERROR(K249/G249-1,"")))</f>
        <v/>
      </c>
      <c r="L250" s="15">
        <f>IF(OR(L249="",H249=""),"",IF(H249&lt;=0,"",IFERROR(L249/H249-1,"")))</f>
        <v/>
      </c>
      <c r="N250" s="15">
        <f>IF(OR(N249="",J249=""),"",IF(J249&lt;=0,"",IFERROR(N249/J249-1,"")))</f>
        <v/>
      </c>
    </row>
    <row r="251">
      <c r="A251" s="18" t="inlineStr">
        <is>
          <t>합계 · 합계</t>
        </is>
      </c>
      <c r="F251" s="20" t="n">
        <v>178654</v>
      </c>
      <c r="G251" s="20" t="n">
        <v>177387</v>
      </c>
      <c r="H251" s="20" t="n">
        <v>186528</v>
      </c>
      <c r="J251" s="20" t="n">
        <v>177115</v>
      </c>
      <c r="K251" s="20" t="n">
        <v>174080</v>
      </c>
      <c r="L251" s="20" t="n">
        <v>181665</v>
      </c>
      <c r="N251" s="20" t="n">
        <v>205700</v>
      </c>
    </row>
    <row r="252">
      <c r="A252" s="43" t="inlineStr">
        <is>
          <t>YoY</t>
        </is>
      </c>
      <c r="B252" s="3" t="inlineStr">
        <is>
          <t>전년 같은 분기·전년 대비</t>
        </is>
      </c>
      <c r="G252" s="15">
        <f>IF(OR(G251="",C251=""),"",IF(C251&lt;=0,"",IFERROR(G251/C251-1,"")))</f>
        <v/>
      </c>
      <c r="H252" s="15">
        <f>IF(OR(H251="",D251=""),"",IF(D251&lt;=0,"",IFERROR(H251/D251-1,"")))</f>
        <v/>
      </c>
      <c r="J252" s="15">
        <f>IF(OR(J251="",F251=""),"",IF(F251&lt;=0,"",IFERROR(J251/F251-1,"")))</f>
        <v/>
      </c>
      <c r="K252" s="15">
        <f>IF(OR(K251="",G251=""),"",IF(G251&lt;=0,"",IFERROR(K251/G251-1,"")))</f>
        <v/>
      </c>
      <c r="L252" s="15">
        <f>IF(OR(L251="",H251=""),"",IF(H251&lt;=0,"",IFERROR(L251/H251-1,"")))</f>
        <v/>
      </c>
      <c r="N252" s="15">
        <f>IF(OR(N251="",J251=""),"",IF(J251&lt;=0,"",IFERROR(N251/J251-1,"")))</f>
        <v/>
      </c>
    </row>
    <row r="253">
      <c r="A253" s="18" t="inlineStr">
        <is>
          <t>조정액 · 합계</t>
        </is>
      </c>
      <c r="C253" s="20" t="n">
        <v>-31070</v>
      </c>
      <c r="D253" s="20" t="n">
        <v>-34000</v>
      </c>
      <c r="E253" s="20" t="n">
        <v>-33799</v>
      </c>
      <c r="F253" s="20" t="n">
        <v>-36560</v>
      </c>
      <c r="G253" s="20" t="n">
        <v>-36041</v>
      </c>
      <c r="H253" s="20" t="n">
        <v>-36006</v>
      </c>
      <c r="I253" s="20" t="n">
        <v>-35532</v>
      </c>
      <c r="J253" s="20" t="n">
        <v>-34762</v>
      </c>
      <c r="K253" s="20" t="n">
        <v>-31934</v>
      </c>
      <c r="L253" s="20" t="n">
        <v>-35934</v>
      </c>
      <c r="M253" s="20" t="n">
        <v>-36285</v>
      </c>
      <c r="N253" s="20" t="n">
        <v>-42170</v>
      </c>
      <c r="V253" s="20" t="n">
        <v>-33799</v>
      </c>
      <c r="W253" s="20" t="n">
        <v>-35532</v>
      </c>
      <c r="X253" s="20" t="n">
        <v>-36285</v>
      </c>
    </row>
    <row r="254">
      <c r="A254" s="9" t="inlineStr">
        <is>
          <t>합계</t>
        </is>
      </c>
      <c r="C254" s="12" t="n">
        <v>145349</v>
      </c>
      <c r="D254" s="12" t="n">
        <v>151534</v>
      </c>
      <c r="E254" s="12" t="n">
        <v>139795</v>
      </c>
      <c r="F254" s="12" t="n">
        <v>142094</v>
      </c>
      <c r="G254" s="12" t="n">
        <v>141345</v>
      </c>
      <c r="H254" s="12" t="n">
        <v>150522</v>
      </c>
      <c r="I254" s="12" t="n">
        <v>140984</v>
      </c>
      <c r="J254" s="12" t="n">
        <v>142352</v>
      </c>
      <c r="K254" s="12" t="n">
        <v>142147</v>
      </c>
      <c r="L254" s="12" t="n">
        <v>145731</v>
      </c>
      <c r="M254" s="12" t="n">
        <v>147899</v>
      </c>
      <c r="N254" s="12" t="n">
        <v>163530</v>
      </c>
      <c r="V254" s="12" t="n">
        <v>139795</v>
      </c>
      <c r="W254" s="12" t="n">
        <v>140984</v>
      </c>
      <c r="X254" s="12" t="n">
        <v>147899</v>
      </c>
    </row>
    <row r="255">
      <c r="A255" s="43" t="inlineStr">
        <is>
          <t>YoY</t>
        </is>
      </c>
      <c r="B255" s="3" t="inlineStr">
        <is>
          <t>전년 같은 분기·전년 대비</t>
        </is>
      </c>
      <c r="G255" s="15">
        <f>IF(OR(G254="",C254=""),"",IF(C254&lt;=0,"",IFERROR(G254/C254-1,"")))</f>
        <v/>
      </c>
      <c r="H255" s="15">
        <f>IF(OR(H254="",D254=""),"",IF(D254&lt;=0,"",IFERROR(H254/D254-1,"")))</f>
        <v/>
      </c>
      <c r="I255" s="15">
        <f>IF(OR(I254="",E254=""),"",IF(E254&lt;=0,"",IFERROR(I254/E254-1,"")))</f>
        <v/>
      </c>
      <c r="J255" s="15">
        <f>IF(OR(J254="",F254=""),"",IF(F254&lt;=0,"",IFERROR(J254/F254-1,"")))</f>
        <v/>
      </c>
      <c r="K255" s="15">
        <f>IF(OR(K254="",G254=""),"",IF(G254&lt;=0,"",IFERROR(K254/G254-1,"")))</f>
        <v/>
      </c>
      <c r="L255" s="15">
        <f>IF(OR(L254="",H254=""),"",IF(H254&lt;=0,"",IFERROR(L254/H254-1,"")))</f>
        <v/>
      </c>
      <c r="M255" s="15">
        <f>IF(OR(M254="",I254=""),"",IF(I254&lt;=0,"",IFERROR(M254/I254-1,"")))</f>
        <v/>
      </c>
      <c r="N255" s="15">
        <f>IF(OR(N254="",J254=""),"",IF(J254&lt;=0,"",IFERROR(N254/J254-1,"")))</f>
        <v/>
      </c>
      <c r="V255" s="15">
        <f>IF(OR(V254="",U254=""),"",IF(U254&lt;=0,"",IFERROR(V254/U254-1,"")))</f>
        <v/>
      </c>
      <c r="W255" s="15">
        <f>IF(OR(W254="",V254=""),"",IF(V254&lt;=0,"",IFERROR(W254/V254-1,"")))</f>
        <v/>
      </c>
      <c r="X255" s="15">
        <f>IF(OR(X254="",W254=""),"",IF(W254&lt;=0,"",IFERROR(X254/W254-1,"")))</f>
        <v/>
      </c>
    </row>
    <row r="256">
      <c r="A256" s="18" t="inlineStr">
        <is>
          <t>보고부문 합계 · 부문 이익</t>
        </is>
      </c>
      <c r="D256" s="20" t="n">
        <v>20447</v>
      </c>
      <c r="E256" s="20" t="n">
        <v>4102</v>
      </c>
      <c r="H256" s="20" t="n">
        <v>15830</v>
      </c>
      <c r="I256" s="20" t="n">
        <v>5335</v>
      </c>
      <c r="V256" s="20" t="n">
        <v>4102</v>
      </c>
      <c r="W256" s="20" t="n">
        <v>5335</v>
      </c>
    </row>
    <row r="257">
      <c r="A257" s="43" t="inlineStr">
        <is>
          <t>OPM</t>
        </is>
      </c>
      <c r="B257" s="3" t="inlineStr">
        <is>
          <t>영업이익 ÷ 매출</t>
        </is>
      </c>
      <c r="D257" s="15">
        <f>IF(OR(D256="",D239=""),"",IF(D239&lt;=0,"",IFERROR(D256/D239,"")))</f>
        <v/>
      </c>
      <c r="E257" s="15">
        <f>IF(OR(E256="",E239=""),"",IF(E239&lt;=0,"",IFERROR(E256/E239,"")))</f>
        <v/>
      </c>
      <c r="H257" s="15">
        <f>IF(OR(H256="",H239=""),"",IF(H239&lt;=0,"",IFERROR(H256/H239,"")))</f>
        <v/>
      </c>
      <c r="I257" s="15">
        <f>IF(OR(I256="",I239=""),"",IF(I239&lt;=0,"",IFERROR(I256/I239,"")))</f>
        <v/>
      </c>
      <c r="V257" s="15">
        <f>IF(OR(V256="",V239=""),"",IF(V239&lt;=0,"",IFERROR(V256/V239,"")))</f>
        <v/>
      </c>
      <c r="W257" s="15">
        <f>IF(OR(W256="",W239=""),"",IF(W239&lt;=0,"",IFERROR(W256/W239,"")))</f>
        <v/>
      </c>
    </row>
    <row r="258">
      <c r="A258" s="43" t="inlineStr">
        <is>
          <t>YoY</t>
        </is>
      </c>
      <c r="B258" s="3" t="inlineStr">
        <is>
          <t>전년 같은 분기·전년 대비</t>
        </is>
      </c>
      <c r="H258" s="15">
        <f>IF(OR(H256="",D256=""),"",IF(D256&lt;=0,"",IFERROR(H256/D256-1,"")))</f>
        <v/>
      </c>
      <c r="I258" s="15">
        <f>IF(OR(I256="",E256=""),"",IF(E256&lt;=0,"",IFERROR(I256/E256-1,"")))</f>
        <v/>
      </c>
      <c r="V258" s="15">
        <f>IF(OR(V256="",U256=""),"",IF(U256&lt;=0,"",IFERROR(V256/U256-1,"")))</f>
        <v/>
      </c>
      <c r="W258" s="15">
        <f>IF(OR(W256="",V256=""),"",IF(V256&lt;=0,"",IFERROR(W256/V256-1,"")))</f>
        <v/>
      </c>
    </row>
    <row r="259">
      <c r="A259" s="18" t="inlineStr">
        <is>
          <t>부문 · 부문 이익</t>
        </is>
      </c>
      <c r="C259" s="20" t="n">
        <v>3605</v>
      </c>
      <c r="D259" s="20" t="n">
        <v>6008</v>
      </c>
      <c r="F259" s="20" t="n">
        <v>3319</v>
      </c>
      <c r="G259" s="20" t="n">
        <v>2793</v>
      </c>
      <c r="H259" s="20" t="n">
        <v>5117</v>
      </c>
      <c r="J259" s="20" t="n">
        <v>2596</v>
      </c>
      <c r="K259" s="20" t="n">
        <v>2828</v>
      </c>
      <c r="L259" s="20" t="n">
        <v>3783</v>
      </c>
      <c r="N259" s="20" t="n">
        <v>3155</v>
      </c>
    </row>
    <row r="260">
      <c r="A260" s="43" t="inlineStr">
        <is>
          <t>OPM</t>
        </is>
      </c>
      <c r="B260" s="3" t="inlineStr">
        <is>
          <t>영업이익 ÷ 매출</t>
        </is>
      </c>
      <c r="C260" s="15">
        <f>IF(OR(C259="",C241=""),"",IF(C241&lt;=0,"",IFERROR(C259/C241,"")))</f>
        <v/>
      </c>
      <c r="D260" s="15">
        <f>IF(OR(D259="",D241=""),"",IF(D241&lt;=0,"",IFERROR(D259/D241,"")))</f>
        <v/>
      </c>
      <c r="F260" s="15">
        <f>IF(OR(F259="",F241=""),"",IF(F241&lt;=0,"",IFERROR(F259/F241,"")))</f>
        <v/>
      </c>
      <c r="G260" s="15">
        <f>IF(OR(G259="",G241=""),"",IF(G241&lt;=0,"",IFERROR(G259/G241,"")))</f>
        <v/>
      </c>
      <c r="H260" s="15">
        <f>IF(OR(H259="",H241=""),"",IF(H241&lt;=0,"",IFERROR(H259/H241,"")))</f>
        <v/>
      </c>
      <c r="J260" s="15">
        <f>IF(OR(J259="",J241=""),"",IF(J241&lt;=0,"",IFERROR(J259/J241,"")))</f>
        <v/>
      </c>
      <c r="K260" s="15">
        <f>IF(OR(K259="",K241=""),"",IF(K241&lt;=0,"",IFERROR(K259/K241,"")))</f>
        <v/>
      </c>
      <c r="L260" s="15">
        <f>IF(OR(L259="",L241=""),"",IF(L241&lt;=0,"",IFERROR(L259/L241,"")))</f>
        <v/>
      </c>
      <c r="N260" s="15">
        <f>IF(OR(N259="",N241=""),"",IF(N241&lt;=0,"",IFERROR(N259/N241,"")))</f>
        <v/>
      </c>
    </row>
    <row r="261">
      <c r="A261" s="43" t="inlineStr">
        <is>
          <t>YoY</t>
        </is>
      </c>
      <c r="B261" s="3" t="inlineStr">
        <is>
          <t>전년 같은 분기·전년 대비</t>
        </is>
      </c>
      <c r="G261" s="15">
        <f>IF(OR(G259="",C259=""),"",IF(C259&lt;=0,"",IFERROR(G259/C259-1,"")))</f>
        <v/>
      </c>
      <c r="H261" s="15">
        <f>IF(OR(H259="",D259=""),"",IF(D259&lt;=0,"",IFERROR(H259/D259-1,"")))</f>
        <v/>
      </c>
      <c r="J261" s="15">
        <f>IF(OR(J259="",F259=""),"",IF(F259&lt;=0,"",IFERROR(J259/F259-1,"")))</f>
        <v/>
      </c>
      <c r="K261" s="15">
        <f>IF(OR(K259="",G259=""),"",IF(G259&lt;=0,"",IFERROR(K259/G259-1,"")))</f>
        <v/>
      </c>
      <c r="L261" s="15">
        <f>IF(OR(L259="",H259=""),"",IF(H259&lt;=0,"",IFERROR(L259/H259-1,"")))</f>
        <v/>
      </c>
      <c r="N261" s="15">
        <f>IF(OR(N259="",J259=""),"",IF(J259&lt;=0,"",IFERROR(N259/J259-1,"")))</f>
        <v/>
      </c>
    </row>
    <row r="262">
      <c r="A262" s="18" t="inlineStr">
        <is>
          <t>부문 · 부문 이익</t>
        </is>
      </c>
      <c r="C262" s="20" t="n">
        <v>1427</v>
      </c>
      <c r="D262" s="20" t="n">
        <v>3456</v>
      </c>
      <c r="F262" s="20" t="n">
        <v>2962</v>
      </c>
      <c r="G262" s="20" t="n">
        <v>2119</v>
      </c>
      <c r="H262" s="20" t="n">
        <v>5515</v>
      </c>
      <c r="J262" s="20" t="n">
        <v>3057</v>
      </c>
      <c r="K262" s="20" t="n">
        <v>3259</v>
      </c>
      <c r="L262" s="20" t="n">
        <v>4574</v>
      </c>
      <c r="N262" s="20" t="n">
        <v>5790</v>
      </c>
    </row>
    <row r="263">
      <c r="A263" s="43" t="inlineStr">
        <is>
          <t>OPM</t>
        </is>
      </c>
      <c r="B263" s="3" t="inlineStr">
        <is>
          <t>영업이익 ÷ 매출</t>
        </is>
      </c>
      <c r="C263" s="15">
        <f>IF(OR(C262="",C243=""),"",IF(C243&lt;=0,"",IFERROR(C262/C243,"")))</f>
        <v/>
      </c>
      <c r="D263" s="15">
        <f>IF(OR(D262="",D243=""),"",IF(D243&lt;=0,"",IFERROR(D262/D243,"")))</f>
        <v/>
      </c>
      <c r="F263" s="15">
        <f>IF(OR(F262="",F243=""),"",IF(F243&lt;=0,"",IFERROR(F262/F243,"")))</f>
        <v/>
      </c>
      <c r="G263" s="15">
        <f>IF(OR(G262="",G243=""),"",IF(G243&lt;=0,"",IFERROR(G262/G243,"")))</f>
        <v/>
      </c>
      <c r="H263" s="15">
        <f>IF(OR(H262="",H243=""),"",IF(H243&lt;=0,"",IFERROR(H262/H243,"")))</f>
        <v/>
      </c>
      <c r="J263" s="15">
        <f>IF(OR(J262="",J243=""),"",IF(J243&lt;=0,"",IFERROR(J262/J243,"")))</f>
        <v/>
      </c>
      <c r="K263" s="15">
        <f>IF(OR(K262="",K243=""),"",IF(K243&lt;=0,"",IFERROR(K262/K243,"")))</f>
        <v/>
      </c>
      <c r="L263" s="15">
        <f>IF(OR(L262="",L243=""),"",IF(L243&lt;=0,"",IFERROR(L262/L243,"")))</f>
        <v/>
      </c>
      <c r="N263" s="15">
        <f>IF(OR(N262="",N243=""),"",IF(N243&lt;=0,"",IFERROR(N262/N243,"")))</f>
        <v/>
      </c>
    </row>
    <row r="264">
      <c r="A264" s="43" t="inlineStr">
        <is>
          <t>YoY</t>
        </is>
      </c>
      <c r="B264" s="3" t="inlineStr">
        <is>
          <t>전년 같은 분기·전년 대비</t>
        </is>
      </c>
      <c r="G264" s="15">
        <f>IF(OR(G262="",C262=""),"",IF(C262&lt;=0,"",IFERROR(G262/C262-1,"")))</f>
        <v/>
      </c>
      <c r="H264" s="15">
        <f>IF(OR(H262="",D262=""),"",IF(D262&lt;=0,"",IFERROR(H262/D262-1,"")))</f>
        <v/>
      </c>
      <c r="J264" s="15">
        <f>IF(OR(J262="",F262=""),"",IF(F262&lt;=0,"",IFERROR(J262/F262-1,"")))</f>
        <v/>
      </c>
      <c r="K264" s="15">
        <f>IF(OR(K262="",G262=""),"",IF(G262&lt;=0,"",IFERROR(K262/G262-1,"")))</f>
        <v/>
      </c>
      <c r="L264" s="15">
        <f>IF(OR(L262="",H262=""),"",IF(H262&lt;=0,"",IFERROR(L262/H262-1,"")))</f>
        <v/>
      </c>
      <c r="N264" s="15">
        <f>IF(OR(N262="",J262=""),"",IF(J262&lt;=0,"",IFERROR(N262/J262-1,"")))</f>
        <v/>
      </c>
    </row>
    <row r="265">
      <c r="A265" s="18" t="inlineStr">
        <is>
          <t>부문 · 부문 이익</t>
        </is>
      </c>
      <c r="C265" s="20" t="n">
        <v>2335</v>
      </c>
      <c r="D265" s="20" t="n">
        <v>2212</v>
      </c>
      <c r="F265" s="20" t="n">
        <v>2800</v>
      </c>
      <c r="G265" s="20" t="n">
        <v>2029</v>
      </c>
      <c r="H265" s="20" t="n">
        <v>3950</v>
      </c>
      <c r="J265" s="20" t="n">
        <v>1446</v>
      </c>
      <c r="K265" s="20" t="n">
        <v>2155</v>
      </c>
      <c r="L265" s="20" t="n">
        <v>2823</v>
      </c>
      <c r="N265" s="20" t="n">
        <v>2879</v>
      </c>
    </row>
    <row r="266">
      <c r="A266" s="43" t="inlineStr">
        <is>
          <t>OPM</t>
        </is>
      </c>
      <c r="B266" s="3" t="inlineStr">
        <is>
          <t>영업이익 ÷ 매출</t>
        </is>
      </c>
      <c r="C266" s="15">
        <f>IF(OR(C265="",C245=""),"",IF(C245&lt;=0,"",IFERROR(C265/C245,"")))</f>
        <v/>
      </c>
      <c r="D266" s="15">
        <f>IF(OR(D265="",D245=""),"",IF(D245&lt;=0,"",IFERROR(D265/D245,"")))</f>
        <v/>
      </c>
      <c r="F266" s="15">
        <f>IF(OR(F265="",F245=""),"",IF(F245&lt;=0,"",IFERROR(F265/F245,"")))</f>
        <v/>
      </c>
      <c r="G266" s="15">
        <f>IF(OR(G265="",G245=""),"",IF(G245&lt;=0,"",IFERROR(G265/G245,"")))</f>
        <v/>
      </c>
      <c r="H266" s="15">
        <f>IF(OR(H265="",H245=""),"",IF(H245&lt;=0,"",IFERROR(H265/H245,"")))</f>
        <v/>
      </c>
      <c r="J266" s="15">
        <f>IF(OR(J265="",J245=""),"",IF(J245&lt;=0,"",IFERROR(J265/J245,"")))</f>
        <v/>
      </c>
      <c r="K266" s="15">
        <f>IF(OR(K265="",K245=""),"",IF(K245&lt;=0,"",IFERROR(K265/K245,"")))</f>
        <v/>
      </c>
      <c r="L266" s="15">
        <f>IF(OR(L265="",L245=""),"",IF(L245&lt;=0,"",IFERROR(L265/L245,"")))</f>
        <v/>
      </c>
      <c r="N266" s="15">
        <f>IF(OR(N265="",N245=""),"",IF(N245&lt;=0,"",IFERROR(N265/N245,"")))</f>
        <v/>
      </c>
    </row>
    <row r="267">
      <c r="A267" s="43" t="inlineStr">
        <is>
          <t>YoY</t>
        </is>
      </c>
      <c r="B267" s="3" t="inlineStr">
        <is>
          <t>전년 같은 분기·전년 대비</t>
        </is>
      </c>
      <c r="G267" s="15">
        <f>IF(OR(G265="",C265=""),"",IF(C265&lt;=0,"",IFERROR(G265/C265-1,"")))</f>
        <v/>
      </c>
      <c r="H267" s="15">
        <f>IF(OR(H265="",D265=""),"",IF(D265&lt;=0,"",IFERROR(H265/D265-1,"")))</f>
        <v/>
      </c>
      <c r="J267" s="15">
        <f>IF(OR(J265="",F265=""),"",IF(F265&lt;=0,"",IFERROR(J265/F265-1,"")))</f>
        <v/>
      </c>
      <c r="K267" s="15">
        <f>IF(OR(K265="",G265=""),"",IF(G265&lt;=0,"",IFERROR(K265/G265-1,"")))</f>
        <v/>
      </c>
      <c r="L267" s="15">
        <f>IF(OR(L265="",H265=""),"",IF(H265&lt;=0,"",IFERROR(L265/H265-1,"")))</f>
        <v/>
      </c>
      <c r="N267" s="15">
        <f>IF(OR(N265="",J265=""),"",IF(J265&lt;=0,"",IFERROR(N265/J265-1,"")))</f>
        <v/>
      </c>
    </row>
    <row r="268">
      <c r="A268" s="18" t="inlineStr">
        <is>
          <t>부문 · 부문 이익</t>
        </is>
      </c>
      <c r="C268" s="20" t="n">
        <v>524</v>
      </c>
      <c r="D268" s="20" t="n">
        <v>669</v>
      </c>
      <c r="F268" s="20" t="n">
        <v>240</v>
      </c>
      <c r="G268" s="20" t="n">
        <v>569</v>
      </c>
      <c r="H268" s="20" t="n">
        <v>487</v>
      </c>
      <c r="J268" s="20" t="n">
        <v>680</v>
      </c>
      <c r="K268" s="20" t="n">
        <v>595</v>
      </c>
      <c r="L268" s="20" t="n">
        <v>685</v>
      </c>
      <c r="N268" s="20" t="n">
        <v>229</v>
      </c>
    </row>
    <row r="269">
      <c r="A269" s="43" t="inlineStr">
        <is>
          <t>OPM</t>
        </is>
      </c>
      <c r="B269" s="3" t="inlineStr">
        <is>
          <t>영업이익 ÷ 매출</t>
        </is>
      </c>
      <c r="C269" s="15">
        <f>IF(OR(C268="",C247=""),"",IF(C247&lt;=0,"",IFERROR(C268/C247,"")))</f>
        <v/>
      </c>
      <c r="D269" s="15">
        <f>IF(OR(D268="",D247=""),"",IF(D247&lt;=0,"",IFERROR(D268/D247,"")))</f>
        <v/>
      </c>
      <c r="F269" s="15">
        <f>IF(OR(F268="",F247=""),"",IF(F247&lt;=0,"",IFERROR(F268/F247,"")))</f>
        <v/>
      </c>
      <c r="G269" s="15">
        <f>IF(OR(G268="",G247=""),"",IF(G247&lt;=0,"",IFERROR(G268/G247,"")))</f>
        <v/>
      </c>
      <c r="H269" s="15">
        <f>IF(OR(H268="",H247=""),"",IF(H247&lt;=0,"",IFERROR(H268/H247,"")))</f>
        <v/>
      </c>
      <c r="J269" s="15">
        <f>IF(OR(J268="",J247=""),"",IF(J247&lt;=0,"",IFERROR(J268/J247,"")))</f>
        <v/>
      </c>
      <c r="K269" s="15">
        <f>IF(OR(K268="",K247=""),"",IF(K247&lt;=0,"",IFERROR(K268/K247,"")))</f>
        <v/>
      </c>
      <c r="L269" s="15">
        <f>IF(OR(L268="",L247=""),"",IF(L247&lt;=0,"",IFERROR(L268/L247,"")))</f>
        <v/>
      </c>
      <c r="N269" s="15">
        <f>IF(OR(N268="",N247=""),"",IF(N247&lt;=0,"",IFERROR(N268/N247,"")))</f>
        <v/>
      </c>
    </row>
    <row r="270">
      <c r="A270" s="43" t="inlineStr">
        <is>
          <t>YoY</t>
        </is>
      </c>
      <c r="B270" s="3" t="inlineStr">
        <is>
          <t>전년 같은 분기·전년 대비</t>
        </is>
      </c>
      <c r="G270" s="15">
        <f>IF(OR(G268="",C268=""),"",IF(C268&lt;=0,"",IFERROR(G268/C268-1,"")))</f>
        <v/>
      </c>
      <c r="H270" s="15">
        <f>IF(OR(H268="",D268=""),"",IF(D268&lt;=0,"",IFERROR(H268/D268-1,"")))</f>
        <v/>
      </c>
      <c r="J270" s="15">
        <f>IF(OR(J268="",F268=""),"",IF(F268&lt;=0,"",IFERROR(J268/F268-1,"")))</f>
        <v/>
      </c>
      <c r="K270" s="15">
        <f>IF(OR(K268="",G268=""),"",IF(G268&lt;=0,"",IFERROR(K268/G268-1,"")))</f>
        <v/>
      </c>
      <c r="L270" s="15">
        <f>IF(OR(L268="",H268=""),"",IF(H268&lt;=0,"",IFERROR(L268/H268-1,"")))</f>
        <v/>
      </c>
      <c r="N270" s="15">
        <f>IF(OR(N268="",J268=""),"",IF(J268&lt;=0,"",IFERROR(N268/J268-1,"")))</f>
        <v/>
      </c>
    </row>
    <row r="271">
      <c r="A271" s="18" t="inlineStr">
        <is>
          <t>부문 · 부문 이익</t>
        </is>
      </c>
      <c r="C271" s="20" t="n">
        <v>1048</v>
      </c>
      <c r="D271" s="20" t="n">
        <v>8103</v>
      </c>
      <c r="F271" s="20" t="n">
        <v>754</v>
      </c>
      <c r="G271" s="20" t="n">
        <v>674</v>
      </c>
      <c r="H271" s="20" t="n">
        <v>762</v>
      </c>
      <c r="J271" s="20" t="n">
        <v>851</v>
      </c>
      <c r="K271" s="20" t="n">
        <v>945</v>
      </c>
      <c r="L271" s="20" t="n">
        <v>876</v>
      </c>
      <c r="N271" s="20" t="n">
        <v>1054</v>
      </c>
    </row>
    <row r="272">
      <c r="A272" s="43" t="inlineStr">
        <is>
          <t>OPM</t>
        </is>
      </c>
      <c r="B272" s="3" t="inlineStr">
        <is>
          <t>영업이익 ÷ 매출</t>
        </is>
      </c>
      <c r="C272" s="15">
        <f>IF(OR(C271="",C249=""),"",IF(C249&lt;=0,"",IFERROR(C271/C249,"")))</f>
        <v/>
      </c>
      <c r="D272" s="15">
        <f>IF(OR(D271="",D249=""),"",IF(D249&lt;=0,"",IFERROR(D271/D249,"")))</f>
        <v/>
      </c>
      <c r="F272" s="15">
        <f>IF(OR(F271="",F249=""),"",IF(F249&lt;=0,"",IFERROR(F271/F249,"")))</f>
        <v/>
      </c>
      <c r="G272" s="15">
        <f>IF(OR(G271="",G249=""),"",IF(G249&lt;=0,"",IFERROR(G271/G249,"")))</f>
        <v/>
      </c>
      <c r="H272" s="15">
        <f>IF(OR(H271="",H249=""),"",IF(H249&lt;=0,"",IFERROR(H271/H249,"")))</f>
        <v/>
      </c>
      <c r="J272" s="15">
        <f>IF(OR(J271="",J249=""),"",IF(J249&lt;=0,"",IFERROR(J271/J249,"")))</f>
        <v/>
      </c>
      <c r="K272" s="15">
        <f>IF(OR(K271="",K249=""),"",IF(K249&lt;=0,"",IFERROR(K271/K249,"")))</f>
        <v/>
      </c>
      <c r="L272" s="15">
        <f>IF(OR(L271="",L249=""),"",IF(L249&lt;=0,"",IFERROR(L271/L249,"")))</f>
        <v/>
      </c>
      <c r="N272" s="15">
        <f>IF(OR(N271="",N249=""),"",IF(N249&lt;=0,"",IFERROR(N271/N249,"")))</f>
        <v/>
      </c>
    </row>
    <row r="273">
      <c r="A273" s="43" t="inlineStr">
        <is>
          <t>YoY</t>
        </is>
      </c>
      <c r="B273" s="3" t="inlineStr">
        <is>
          <t>전년 같은 분기·전년 대비</t>
        </is>
      </c>
      <c r="G273" s="15">
        <f>IF(OR(G271="",C271=""),"",IF(C271&lt;=0,"",IFERROR(G271/C271-1,"")))</f>
        <v/>
      </c>
      <c r="H273" s="15">
        <f>IF(OR(H271="",D271=""),"",IF(D271&lt;=0,"",IFERROR(H271/D271-1,"")))</f>
        <v/>
      </c>
      <c r="J273" s="15">
        <f>IF(OR(J271="",F271=""),"",IF(F271&lt;=0,"",IFERROR(J271/F271-1,"")))</f>
        <v/>
      </c>
      <c r="K273" s="15">
        <f>IF(OR(K271="",G271=""),"",IF(G271&lt;=0,"",IFERROR(K271/G271-1,"")))</f>
        <v/>
      </c>
      <c r="L273" s="15">
        <f>IF(OR(L271="",H271=""),"",IF(H271&lt;=0,"",IFERROR(L271/H271-1,"")))</f>
        <v/>
      </c>
      <c r="N273" s="15">
        <f>IF(OR(N271="",J271=""),"",IF(J271&lt;=0,"",IFERROR(N271/J271-1,"")))</f>
        <v/>
      </c>
    </row>
    <row r="274">
      <c r="A274" s="18" t="inlineStr">
        <is>
          <t>합계 · 부문 이익</t>
        </is>
      </c>
      <c r="F274" s="20" t="n">
        <v>10077</v>
      </c>
      <c r="G274" s="20" t="n">
        <v>8184</v>
      </c>
      <c r="H274" s="20" t="n">
        <v>15830</v>
      </c>
      <c r="J274" s="20" t="n">
        <v>8633</v>
      </c>
      <c r="K274" s="20" t="n">
        <v>9781</v>
      </c>
      <c r="L274" s="20" t="n">
        <v>12740</v>
      </c>
      <c r="N274" s="20" t="n">
        <v>13109</v>
      </c>
    </row>
    <row r="275">
      <c r="A275" s="43" t="inlineStr">
        <is>
          <t>OPM</t>
        </is>
      </c>
      <c r="B275" s="3" t="inlineStr">
        <is>
          <t>영업이익 ÷ 매출</t>
        </is>
      </c>
      <c r="F275" s="15">
        <f>IF(OR(F274="",F251=""),"",IF(F251&lt;=0,"",IFERROR(F274/F251,"")))</f>
        <v/>
      </c>
      <c r="G275" s="15">
        <f>IF(OR(G274="",G251=""),"",IF(G251&lt;=0,"",IFERROR(G274/G251,"")))</f>
        <v/>
      </c>
      <c r="H275" s="15">
        <f>IF(OR(H274="",H251=""),"",IF(H251&lt;=0,"",IFERROR(H274/H251,"")))</f>
        <v/>
      </c>
      <c r="J275" s="15">
        <f>IF(OR(J274="",J251=""),"",IF(J251&lt;=0,"",IFERROR(J274/J251,"")))</f>
        <v/>
      </c>
      <c r="K275" s="15">
        <f>IF(OR(K274="",K251=""),"",IF(K251&lt;=0,"",IFERROR(K274/K251,"")))</f>
        <v/>
      </c>
      <c r="L275" s="15">
        <f>IF(OR(L274="",L251=""),"",IF(L251&lt;=0,"",IFERROR(L274/L251,"")))</f>
        <v/>
      </c>
      <c r="N275" s="15">
        <f>IF(OR(N274="",N251=""),"",IF(N251&lt;=0,"",IFERROR(N274/N251,"")))</f>
        <v/>
      </c>
    </row>
    <row r="276">
      <c r="A276" s="43" t="inlineStr">
        <is>
          <t>YoY</t>
        </is>
      </c>
      <c r="B276" s="3" t="inlineStr">
        <is>
          <t>전년 같은 분기·전년 대비</t>
        </is>
      </c>
      <c r="G276" s="15">
        <f>IF(OR(G274="",C274=""),"",IF(C274&lt;=0,"",IFERROR(G274/C274-1,"")))</f>
        <v/>
      </c>
      <c r="H276" s="15">
        <f>IF(OR(H274="",D274=""),"",IF(D274&lt;=0,"",IFERROR(H274/D274-1,"")))</f>
        <v/>
      </c>
      <c r="J276" s="15">
        <f>IF(OR(J274="",F274=""),"",IF(F274&lt;=0,"",IFERROR(J274/F274-1,"")))</f>
        <v/>
      </c>
      <c r="K276" s="15">
        <f>IF(OR(K274="",G274=""),"",IF(G274&lt;=0,"",IFERROR(K274/G274-1,"")))</f>
        <v/>
      </c>
      <c r="L276" s="15">
        <f>IF(OR(L274="",H274=""),"",IF(H274&lt;=0,"",IFERROR(L274/H274-1,"")))</f>
        <v/>
      </c>
      <c r="N276" s="15">
        <f>IF(OR(N274="",J274=""),"",IF(J274&lt;=0,"",IFERROR(N274/J274-1,"")))</f>
        <v/>
      </c>
    </row>
    <row r="277">
      <c r="A277" s="18" t="inlineStr">
        <is>
          <t>조정액 · 부문 이익</t>
        </is>
      </c>
      <c r="C277" s="20" t="n">
        <v>18</v>
      </c>
      <c r="D277" s="20" t="n">
        <v>-14</v>
      </c>
      <c r="E277" s="20" t="n">
        <v>20</v>
      </c>
      <c r="F277" s="20" t="n">
        <v>-10</v>
      </c>
      <c r="G277" s="20" t="n">
        <v>8</v>
      </c>
      <c r="H277" s="20" t="n">
        <v>-19</v>
      </c>
      <c r="I277" s="20" t="n">
        <v>4</v>
      </c>
      <c r="J277" s="20" t="n">
        <v>25</v>
      </c>
      <c r="K277" s="20" t="n">
        <v>24</v>
      </c>
      <c r="L277" s="20" t="n">
        <v>-13</v>
      </c>
      <c r="M277" s="20" t="n">
        <v>-25</v>
      </c>
      <c r="N277" s="20" t="n">
        <v>3</v>
      </c>
      <c r="V277" s="20" t="n">
        <v>20</v>
      </c>
      <c r="W277" s="20" t="n">
        <v>4</v>
      </c>
      <c r="X277" s="20" t="n">
        <v>-25</v>
      </c>
    </row>
    <row r="278">
      <c r="A278" s="18" t="inlineStr">
        <is>
          <t>부문 이익</t>
        </is>
      </c>
      <c r="C278" s="20" t="n">
        <v>8956</v>
      </c>
      <c r="D278" s="20" t="n">
        <v>20433</v>
      </c>
      <c r="E278" s="20" t="n">
        <v>4122</v>
      </c>
      <c r="F278" s="20" t="n">
        <v>10067</v>
      </c>
      <c r="G278" s="20" t="n">
        <v>8191</v>
      </c>
      <c r="H278" s="20" t="n">
        <v>15812</v>
      </c>
      <c r="I278" s="20" t="n">
        <v>5338</v>
      </c>
      <c r="J278" s="20" t="n">
        <v>8658</v>
      </c>
      <c r="K278" s="20" t="n">
        <v>9806</v>
      </c>
      <c r="L278" s="20" t="n">
        <v>12726</v>
      </c>
      <c r="M278" s="20" t="n">
        <v>10891</v>
      </c>
      <c r="N278" s="20" t="n">
        <v>13112</v>
      </c>
      <c r="V278" s="20" t="n">
        <v>4122</v>
      </c>
      <c r="W278" s="20" t="n">
        <v>5338</v>
      </c>
      <c r="X278" s="20" t="n">
        <v>10891</v>
      </c>
    </row>
    <row r="279">
      <c r="A279" s="43" t="inlineStr">
        <is>
          <t>OPM</t>
        </is>
      </c>
      <c r="B279" s="3" t="inlineStr">
        <is>
          <t>영업이익 ÷ 매출</t>
        </is>
      </c>
      <c r="C279" s="15">
        <f>IF(OR(C278="",C228=""),"",IF(C228&lt;=0,"",IFERROR(C278/C228,"")))</f>
        <v/>
      </c>
      <c r="D279" s="15">
        <f>IF(OR(D278="",D228=""),"",IF(D228&lt;=0,"",IFERROR(D278/D228,"")))</f>
        <v/>
      </c>
      <c r="E279" s="15">
        <f>IF(OR(E278="",E228=""),"",IF(E228&lt;=0,"",IFERROR(E278/E228,"")))</f>
        <v/>
      </c>
      <c r="F279" s="15">
        <f>IF(OR(F278="",F228=""),"",IF(F228&lt;=0,"",IFERROR(F278/F228,"")))</f>
        <v/>
      </c>
      <c r="G279" s="15">
        <f>IF(OR(G278="",G228=""),"",IF(G228&lt;=0,"",IFERROR(G278/G228,"")))</f>
        <v/>
      </c>
      <c r="H279" s="15">
        <f>IF(OR(H278="",H228=""),"",IF(H228&lt;=0,"",IFERROR(H278/H228,"")))</f>
        <v/>
      </c>
      <c r="I279" s="15">
        <f>IF(OR(I278="",I228=""),"",IF(I228&lt;=0,"",IFERROR(I278/I228,"")))</f>
        <v/>
      </c>
      <c r="J279" s="15">
        <f>IF(OR(J278="",J228=""),"",IF(J228&lt;=0,"",IFERROR(J278/J228,"")))</f>
        <v/>
      </c>
      <c r="K279" s="15">
        <f>IF(OR(K278="",K228=""),"",IF(K228&lt;=0,"",IFERROR(K278/K228,"")))</f>
        <v/>
      </c>
      <c r="L279" s="15">
        <f>IF(OR(L278="",L228=""),"",IF(L228&lt;=0,"",IFERROR(L278/L228,"")))</f>
        <v/>
      </c>
      <c r="M279" s="15">
        <f>IF(OR(M278="",M228=""),"",IF(M228&lt;=0,"",IFERROR(M278/M228,"")))</f>
        <v/>
      </c>
      <c r="N279" s="15">
        <f>IF(OR(N278="",N228=""),"",IF(N228&lt;=0,"",IFERROR(N278/N228,"")))</f>
        <v/>
      </c>
      <c r="V279" s="15">
        <f>IF(OR(V278="",V228=""),"",IF(V228&lt;=0,"",IFERROR(V278/V228,"")))</f>
        <v/>
      </c>
      <c r="W279" s="15">
        <f>IF(OR(W278="",W228=""),"",IF(W228&lt;=0,"",IFERROR(W278/W228,"")))</f>
        <v/>
      </c>
      <c r="X279" s="15">
        <f>IF(OR(X278="",X228=""),"",IF(X228&lt;=0,"",IFERROR(X278/X228,"")))</f>
        <v/>
      </c>
    </row>
    <row r="280">
      <c r="A280" s="43" t="inlineStr">
        <is>
          <t>YoY</t>
        </is>
      </c>
      <c r="B280" s="3" t="inlineStr">
        <is>
          <t>전년 같은 분기·전년 대비</t>
        </is>
      </c>
      <c r="G280" s="15">
        <f>IF(OR(G278="",C278=""),"",IF(C278&lt;=0,"",IFERROR(G278/C278-1,"")))</f>
        <v/>
      </c>
      <c r="H280" s="15">
        <f>IF(OR(H278="",D278=""),"",IF(D278&lt;=0,"",IFERROR(H278/D278-1,"")))</f>
        <v/>
      </c>
      <c r="I280" s="15">
        <f>IF(OR(I278="",E278=""),"",IF(E278&lt;=0,"",IFERROR(I278/E278-1,"")))</f>
        <v/>
      </c>
      <c r="J280" s="15">
        <f>IF(OR(J278="",F278=""),"",IF(F278&lt;=0,"",IFERROR(J278/F278-1,"")))</f>
        <v/>
      </c>
      <c r="K280" s="15">
        <f>IF(OR(K278="",G278=""),"",IF(G278&lt;=0,"",IFERROR(K278/G278-1,"")))</f>
        <v/>
      </c>
      <c r="L280" s="15">
        <f>IF(OR(L278="",H278=""),"",IF(H278&lt;=0,"",IFERROR(L278/H278-1,"")))</f>
        <v/>
      </c>
      <c r="M280" s="15">
        <f>IF(OR(M278="",I278=""),"",IF(I278&lt;=0,"",IFERROR(M278/I278-1,"")))</f>
        <v/>
      </c>
      <c r="N280" s="15">
        <f>IF(OR(N278="",J278=""),"",IF(J278&lt;=0,"",IFERROR(N278/J278-1,"")))</f>
        <v/>
      </c>
      <c r="V280" s="15">
        <f>IF(OR(V278="",U278=""),"",IF(U278&lt;=0,"",IFERROR(V278/U278-1,"")))</f>
        <v/>
      </c>
      <c r="W280" s="15">
        <f>IF(OR(W278="",V278=""),"",IF(V278&lt;=0,"",IFERROR(W278/V278-1,"")))</f>
        <v/>
      </c>
      <c r="X280" s="15">
        <f>IF(OR(X278="",W278=""),"",IF(W278&lt;=0,"",IFERROR(X278/W278-1,"")))</f>
        <v/>
      </c>
    </row>
    <row r="281">
      <c r="A281" s="18" t="inlineStr">
        <is>
          <t>보고부문 합계 · Revenue From External Customers</t>
        </is>
      </c>
      <c r="D281" s="20" t="n">
        <v>151534</v>
      </c>
      <c r="E281" s="20" t="n">
        <v>139795</v>
      </c>
      <c r="H281" s="20" t="n">
        <v>150522</v>
      </c>
      <c r="I281" s="20" t="n">
        <v>140984</v>
      </c>
      <c r="V281" s="20" t="n">
        <v>139795</v>
      </c>
      <c r="W281" s="20" t="n">
        <v>140984</v>
      </c>
    </row>
    <row r="282">
      <c r="A282" s="43" t="inlineStr">
        <is>
          <t>YoY</t>
        </is>
      </c>
      <c r="B282" s="3" t="inlineStr">
        <is>
          <t>전년 같은 분기·전년 대비</t>
        </is>
      </c>
      <c r="H282" s="15">
        <f>IF(OR(H281="",D281=""),"",IF(D281&lt;=0,"",IFERROR(H281/D281-1,"")))</f>
        <v/>
      </c>
      <c r="I282" s="15">
        <f>IF(OR(I281="",E281=""),"",IF(E281&lt;=0,"",IFERROR(I281/E281-1,"")))</f>
        <v/>
      </c>
      <c r="V282" s="15">
        <f>IF(OR(V281="",U281=""),"",IF(U281&lt;=0,"",IFERROR(V281/U281-1,"")))</f>
        <v/>
      </c>
      <c r="W282" s="15">
        <f>IF(OR(W281="",V281=""),"",IF(V281&lt;=0,"",IFERROR(W281/V281-1,"")))</f>
        <v/>
      </c>
    </row>
    <row r="284">
      <c r="A284" s="16" t="inlineStr">
        <is>
          <t>현금흐름표 · 전 항목</t>
        </is>
      </c>
      <c r="B284" s="42" t="inlineStr">
        <is>
          <t>분기 = 결산기 첫날부터 누계(공시 그대로)</t>
        </is>
      </c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  <c r="AA284" s="16" t="n"/>
      <c r="AB284" s="16" t="n"/>
      <c r="AC284" s="16" t="n"/>
    </row>
    <row r="285">
      <c r="A285" s="5" t="inlineStr">
        <is>
          <t>항목</t>
        </is>
      </c>
      <c r="B285" s="5" t="inlineStr">
        <is>
          <t>참고</t>
        </is>
      </c>
      <c r="C285" s="5" t="inlineStr">
        <is>
          <t>2024.2Q</t>
        </is>
      </c>
      <c r="D285" s="5" t="inlineStr">
        <is>
          <t>2024.3Q</t>
        </is>
      </c>
      <c r="E285" s="5" t="inlineStr">
        <is>
          <t>2024.4Q</t>
        </is>
      </c>
      <c r="F285" s="5" t="inlineStr">
        <is>
          <t>2025.1Q</t>
        </is>
      </c>
      <c r="G285" s="5" t="inlineStr">
        <is>
          <t>2025.2Q</t>
        </is>
      </c>
      <c r="H285" s="5" t="inlineStr">
        <is>
          <t>2025.3Q</t>
        </is>
      </c>
      <c r="I285" s="5" t="inlineStr">
        <is>
          <t>2025.4Q</t>
        </is>
      </c>
      <c r="J285" s="5" t="inlineStr">
        <is>
          <t>2026.1Q</t>
        </is>
      </c>
      <c r="K285" s="5" t="inlineStr">
        <is>
          <t>2026.2Q</t>
        </is>
      </c>
      <c r="L285" s="5" t="inlineStr">
        <is>
          <t>2026.3Q</t>
        </is>
      </c>
      <c r="M285" s="5" t="inlineStr">
        <is>
          <t>2026.4Q</t>
        </is>
      </c>
      <c r="N285" s="5" t="inlineStr">
        <is>
          <t>2027.1Q</t>
        </is>
      </c>
      <c r="O285" s="5" t="inlineStr">
        <is>
          <t>2017</t>
        </is>
      </c>
      <c r="P285" s="5" t="inlineStr">
        <is>
          <t>2018</t>
        </is>
      </c>
      <c r="Q285" s="5" t="inlineStr">
        <is>
          <t>2019</t>
        </is>
      </c>
      <c r="R285" s="5" t="inlineStr">
        <is>
          <t>2020</t>
        </is>
      </c>
      <c r="S285" s="5" t="inlineStr">
        <is>
          <t>2021</t>
        </is>
      </c>
      <c r="T285" s="5" t="inlineStr">
        <is>
          <t>2022</t>
        </is>
      </c>
      <c r="U285" s="5" t="inlineStr">
        <is>
          <t>2023</t>
        </is>
      </c>
      <c r="V285" s="5" t="inlineStr">
        <is>
          <t>2024</t>
        </is>
      </c>
      <c r="W285" s="5" t="inlineStr">
        <is>
          <t>2025</t>
        </is>
      </c>
      <c r="X285" s="5" t="inlineStr">
        <is>
          <t>2026</t>
        </is>
      </c>
      <c r="Y285" s="5" t="inlineStr">
        <is>
          <t>2027(MW)</t>
        </is>
      </c>
      <c r="Z285" s="5" t="inlineStr">
        <is>
          <t>2028(MW)</t>
        </is>
      </c>
      <c r="AA285" s="5" t="inlineStr">
        <is>
          <t>2029(MW)</t>
        </is>
      </c>
      <c r="AB285" s="5" t="inlineStr">
        <is>
          <t>2030(MW)</t>
        </is>
      </c>
      <c r="AC285" s="5" t="inlineStr">
        <is>
          <t>2031(MW)</t>
        </is>
      </c>
    </row>
    <row r="286">
      <c r="A286" s="9" t="inlineStr">
        <is>
          <t>법인세차감전 이익</t>
        </is>
      </c>
      <c r="C286" s="12" t="n">
        <v>18973</v>
      </c>
      <c r="E286" s="12" t="n">
        <v>45068</v>
      </c>
      <c r="G286" s="12" t="n">
        <v>19608</v>
      </c>
      <c r="I286" s="12" t="n">
        <v>42653</v>
      </c>
      <c r="K286" s="12" t="n">
        <v>19650</v>
      </c>
      <c r="M286" s="12" t="n">
        <v>44756</v>
      </c>
      <c r="U286" s="12" t="n">
        <v>52557</v>
      </c>
      <c r="V286" s="12" t="n">
        <v>45068</v>
      </c>
      <c r="W286" s="12" t="n">
        <v>42653</v>
      </c>
      <c r="X286" s="12" t="n">
        <v>44756</v>
      </c>
    </row>
    <row r="287">
      <c r="A287" s="18" t="inlineStr">
        <is>
          <t>감가상각비 및 상각비</t>
        </is>
      </c>
      <c r="C287" s="20" t="n">
        <v>14923</v>
      </c>
      <c r="E287" s="20" t="n">
        <v>29764</v>
      </c>
      <c r="G287" s="20" t="n">
        <v>14832</v>
      </c>
      <c r="I287" s="20" t="n">
        <v>30265</v>
      </c>
      <c r="K287" s="20" t="n">
        <v>15203</v>
      </c>
      <c r="M287" s="20" t="n">
        <v>31129</v>
      </c>
      <c r="U287" s="20" t="n">
        <v>29567</v>
      </c>
      <c r="V287" s="20" t="n">
        <v>29764</v>
      </c>
      <c r="W287" s="20" t="n">
        <v>30265</v>
      </c>
      <c r="X287" s="20" t="n">
        <v>31129</v>
      </c>
    </row>
    <row r="288">
      <c r="A288" s="18" t="inlineStr">
        <is>
          <t>손상차손</t>
        </is>
      </c>
      <c r="C288" s="20" t="n">
        <v>918</v>
      </c>
      <c r="E288" s="20" t="n">
        <v>2649</v>
      </c>
      <c r="G288" s="20" t="n">
        <v>249</v>
      </c>
      <c r="I288" s="20" t="n">
        <v>828</v>
      </c>
      <c r="K288" s="20" t="n">
        <v>296</v>
      </c>
      <c r="M288" s="20" t="n">
        <v>521</v>
      </c>
      <c r="U288" s="20" t="n">
        <v>884</v>
      </c>
      <c r="V288" s="20" t="n">
        <v>2649</v>
      </c>
      <c r="W288" s="20" t="n">
        <v>828</v>
      </c>
      <c r="X288" s="20" t="n">
        <v>521</v>
      </c>
    </row>
    <row r="289">
      <c r="A289" s="18" t="inlineStr">
        <is>
          <t>부의 영업권 발생이익</t>
        </is>
      </c>
      <c r="I289" s="20" t="n">
        <v>0</v>
      </c>
      <c r="M289" s="20" t="n">
        <v>-5336</v>
      </c>
      <c r="W289" s="20" t="n">
        <v>0</v>
      </c>
      <c r="X289" s="20" t="n">
        <v>-5336</v>
      </c>
    </row>
    <row r="290">
      <c r="A290" s="18" t="inlineStr">
        <is>
          <t>이자·배당금 수익</t>
        </is>
      </c>
      <c r="C290" s="20" t="n">
        <v>-1482</v>
      </c>
      <c r="E290" s="20" t="n">
        <v>-2962</v>
      </c>
      <c r="G290" s="20" t="n">
        <v>-1574</v>
      </c>
      <c r="I290" s="20" t="n">
        <v>-2966</v>
      </c>
      <c r="K290" s="20" t="n">
        <v>-1238</v>
      </c>
      <c r="M290" s="20" t="n">
        <v>-2275</v>
      </c>
      <c r="U290" s="20" t="n">
        <v>-2529</v>
      </c>
      <c r="V290" s="20" t="n">
        <v>-2962</v>
      </c>
      <c r="W290" s="20" t="n">
        <v>-2966</v>
      </c>
      <c r="X290" s="20" t="n">
        <v>-2275</v>
      </c>
    </row>
    <row r="291">
      <c r="A291" s="18" t="inlineStr">
        <is>
          <t>이자비용</t>
        </is>
      </c>
      <c r="C291" s="20" t="n">
        <v>580</v>
      </c>
      <c r="E291" s="20" t="n">
        <v>1160</v>
      </c>
      <c r="G291" s="20" t="n">
        <v>641</v>
      </c>
      <c r="I291" s="20" t="n">
        <v>1368</v>
      </c>
      <c r="K291" s="20" t="n">
        <v>759</v>
      </c>
      <c r="M291" s="20" t="n">
        <v>1588</v>
      </c>
      <c r="U291" s="20" t="n">
        <v>968</v>
      </c>
      <c r="V291" s="20" t="n">
        <v>1160</v>
      </c>
      <c r="W291" s="20" t="n">
        <v>1368</v>
      </c>
      <c r="X291" s="20" t="n">
        <v>1588</v>
      </c>
    </row>
    <row r="292">
      <c r="A292" s="18" t="inlineStr">
        <is>
          <t>지분법손익</t>
        </is>
      </c>
      <c r="C292" s="20" t="n">
        <v>-313</v>
      </c>
      <c r="E292" s="20" t="n">
        <v>-881</v>
      </c>
      <c r="G292" s="20" t="n">
        <v>-264</v>
      </c>
      <c r="I292" s="20" t="n">
        <v>-1217</v>
      </c>
      <c r="K292" s="20" t="n">
        <v>-282</v>
      </c>
      <c r="M292" s="20" t="n">
        <v>-1275</v>
      </c>
      <c r="U292" s="20" t="n">
        <v>-812</v>
      </c>
      <c r="V292" s="20" t="n">
        <v>-881</v>
      </c>
      <c r="W292" s="20" t="n">
        <v>-1217</v>
      </c>
      <c r="X292" s="20" t="n">
        <v>-1275</v>
      </c>
    </row>
    <row r="293">
      <c r="A293" s="18" t="inlineStr">
        <is>
          <t>고정자산 매각손익</t>
        </is>
      </c>
      <c r="C293" s="20" t="n">
        <v>8</v>
      </c>
      <c r="E293" s="20" t="n">
        <v>-7376</v>
      </c>
      <c r="G293" s="20" t="n">
        <v>-27</v>
      </c>
      <c r="I293" s="20" t="n">
        <v>-998</v>
      </c>
      <c r="K293" s="20" t="n">
        <v>-4</v>
      </c>
      <c r="M293" s="20" t="n">
        <v>-21</v>
      </c>
      <c r="U293" s="20" t="n">
        <v>-1645</v>
      </c>
      <c r="V293" s="20" t="n">
        <v>-7376</v>
      </c>
      <c r="W293" s="20" t="n">
        <v>-998</v>
      </c>
      <c r="X293" s="20" t="n">
        <v>-21</v>
      </c>
    </row>
    <row r="294">
      <c r="A294" s="18" t="inlineStr">
        <is>
          <t>매출채권 및 기타채권 증감액</t>
        </is>
      </c>
      <c r="C294" s="20" t="n">
        <v>-11341</v>
      </c>
      <c r="E294" s="20" t="n">
        <v>-12490</v>
      </c>
      <c r="G294" s="20" t="n">
        <v>23400</v>
      </c>
      <c r="I294" s="20" t="n">
        <v>23578</v>
      </c>
      <c r="K294" s="20" t="n">
        <v>-3561</v>
      </c>
      <c r="M294" s="20" t="n">
        <v>-2577</v>
      </c>
      <c r="U294" s="20" t="n">
        <v>-10384</v>
      </c>
      <c r="V294" s="20" t="n">
        <v>-12490</v>
      </c>
      <c r="W294" s="20" t="n">
        <v>23578</v>
      </c>
      <c r="X294" s="20" t="n">
        <v>-2577</v>
      </c>
    </row>
    <row r="295">
      <c r="A295" s="18" t="inlineStr">
        <is>
          <t>재고자산 증감</t>
        </is>
      </c>
      <c r="C295" s="20" t="n">
        <v>783</v>
      </c>
      <c r="E295" s="20" t="n">
        <v>6880</v>
      </c>
      <c r="G295" s="20" t="n">
        <v>-14262</v>
      </c>
      <c r="I295" s="20" t="n">
        <v>-8352</v>
      </c>
      <c r="K295" s="20" t="n">
        <v>4124</v>
      </c>
      <c r="M295" s="20" t="n">
        <v>801</v>
      </c>
      <c r="U295" s="20" t="n">
        <v>-24379</v>
      </c>
      <c r="V295" s="20" t="n">
        <v>6880</v>
      </c>
      <c r="W295" s="20" t="n">
        <v>-8352</v>
      </c>
      <c r="X295" s="20" t="n">
        <v>801</v>
      </c>
    </row>
    <row r="296">
      <c r="A296" s="18" t="inlineStr">
        <is>
          <t>매입채무 및 기타채무 증감액</t>
        </is>
      </c>
      <c r="C296" s="20" t="n">
        <v>-259</v>
      </c>
      <c r="E296" s="20" t="n">
        <v>-1620</v>
      </c>
      <c r="G296" s="20" t="n">
        <v>-4587</v>
      </c>
      <c r="I296" s="20" t="n">
        <v>-5469</v>
      </c>
      <c r="K296" s="20" t="n">
        <v>-1266</v>
      </c>
      <c r="M296" s="20" t="n">
        <v>-677</v>
      </c>
      <c r="U296" s="20" t="n">
        <v>-5771</v>
      </c>
      <c r="V296" s="20" t="n">
        <v>-1620</v>
      </c>
      <c r="W296" s="20" t="n">
        <v>-5469</v>
      </c>
      <c r="X296" s="20" t="n">
        <v>-677</v>
      </c>
    </row>
    <row r="297">
      <c r="A297" s="18" t="inlineStr">
        <is>
          <t>계약부채 증감</t>
        </is>
      </c>
      <c r="G297" s="20" t="n">
        <v>642</v>
      </c>
      <c r="I297" s="20" t="n">
        <v>792</v>
      </c>
      <c r="K297" s="20" t="n">
        <v>11388</v>
      </c>
      <c r="M297" s="20" t="n">
        <v>12335</v>
      </c>
      <c r="W297" s="20" t="n">
        <v>792</v>
      </c>
      <c r="X297" s="20" t="n">
        <v>12335</v>
      </c>
    </row>
    <row r="298">
      <c r="A298" s="18" t="inlineStr">
        <is>
          <t>기타</t>
        </is>
      </c>
      <c r="C298" s="20" t="n">
        <v>-3949</v>
      </c>
      <c r="E298" s="20" t="n">
        <v>1527</v>
      </c>
      <c r="G298" s="20" t="n">
        <v>-4160</v>
      </c>
      <c r="I298" s="20" t="n">
        <v>-3374</v>
      </c>
      <c r="K298" s="20" t="n">
        <v>179</v>
      </c>
      <c r="M298" s="20" t="n">
        <v>2891</v>
      </c>
      <c r="U298" s="20" t="n">
        <v>4363</v>
      </c>
      <c r="V298" s="20" t="n">
        <v>1527</v>
      </c>
      <c r="W298" s="20" t="n">
        <v>-3374</v>
      </c>
      <c r="X298" s="20" t="n">
        <v>2891</v>
      </c>
    </row>
    <row r="299">
      <c r="A299" s="18" t="inlineStr">
        <is>
          <t>소계</t>
        </is>
      </c>
      <c r="C299" s="20" t="n">
        <v>18840</v>
      </c>
      <c r="E299" s="20" t="n">
        <v>61720</v>
      </c>
      <c r="G299" s="20" t="n">
        <v>34499</v>
      </c>
      <c r="I299" s="20" t="n">
        <v>77107</v>
      </c>
      <c r="K299" s="20" t="n">
        <v>45249</v>
      </c>
      <c r="M299" s="20" t="n">
        <v>81861</v>
      </c>
      <c r="U299" s="20" t="n">
        <v>42817</v>
      </c>
      <c r="V299" s="20" t="n">
        <v>61720</v>
      </c>
      <c r="W299" s="20" t="n">
        <v>77107</v>
      </c>
      <c r="X299" s="20" t="n">
        <v>81861</v>
      </c>
    </row>
    <row r="300">
      <c r="A300" s="18" t="inlineStr">
        <is>
          <t>이자 수취</t>
        </is>
      </c>
      <c r="C300" s="20" t="n">
        <v>181</v>
      </c>
      <c r="E300" s="20" t="n">
        <v>386</v>
      </c>
      <c r="G300" s="20" t="n">
        <v>184</v>
      </c>
      <c r="I300" s="20" t="n">
        <v>349</v>
      </c>
      <c r="K300" s="20" t="n">
        <v>186</v>
      </c>
      <c r="M300" s="20" t="n">
        <v>335</v>
      </c>
      <c r="U300" s="20" t="n">
        <v>226</v>
      </c>
      <c r="V300" s="20" t="n">
        <v>386</v>
      </c>
      <c r="W300" s="20" t="n">
        <v>349</v>
      </c>
      <c r="X300" s="20" t="n">
        <v>335</v>
      </c>
    </row>
    <row r="301">
      <c r="A301" s="18" t="inlineStr">
        <is>
          <t>배당금 수취액</t>
        </is>
      </c>
      <c r="C301" s="20" t="n">
        <v>1346</v>
      </c>
      <c r="E301" s="20" t="n">
        <v>2721</v>
      </c>
      <c r="G301" s="20" t="n">
        <v>1416</v>
      </c>
      <c r="I301" s="20" t="n">
        <v>2813</v>
      </c>
      <c r="K301" s="20" t="n">
        <v>1085</v>
      </c>
      <c r="M301" s="20" t="n">
        <v>2110</v>
      </c>
      <c r="U301" s="20" t="n">
        <v>2470</v>
      </c>
      <c r="V301" s="20" t="n">
        <v>2721</v>
      </c>
      <c r="W301" s="20" t="n">
        <v>2813</v>
      </c>
      <c r="X301" s="20" t="n">
        <v>2110</v>
      </c>
    </row>
    <row r="302">
      <c r="A302" s="18" t="inlineStr">
        <is>
          <t>이자 지급</t>
        </is>
      </c>
      <c r="C302" s="20" t="n">
        <v>-578</v>
      </c>
      <c r="E302" s="20" t="n">
        <v>-1125</v>
      </c>
      <c r="G302" s="20" t="n">
        <v>-632</v>
      </c>
      <c r="I302" s="20" t="n">
        <v>-1352</v>
      </c>
      <c r="K302" s="20" t="n">
        <v>-662</v>
      </c>
      <c r="M302" s="20" t="n">
        <v>-1474</v>
      </c>
      <c r="U302" s="20" t="n">
        <v>-931</v>
      </c>
      <c r="V302" s="20" t="n">
        <v>-1125</v>
      </c>
      <c r="W302" s="20" t="n">
        <v>-1352</v>
      </c>
      <c r="X302" s="20" t="n">
        <v>-1474</v>
      </c>
    </row>
    <row r="303">
      <c r="A303" s="18" t="inlineStr">
        <is>
          <t>법인소득세 지급액</t>
        </is>
      </c>
      <c r="G303" s="20" t="n">
        <v>-15278</v>
      </c>
      <c r="K303" s="20" t="n">
        <v>-7971</v>
      </c>
    </row>
    <row r="304">
      <c r="A304" s="18" t="inlineStr">
        <is>
          <t>법인소득세 지급액</t>
        </is>
      </c>
      <c r="C304" s="20" t="n">
        <v>-6693</v>
      </c>
      <c r="E304" s="20" t="n">
        <v>-13463</v>
      </c>
      <c r="G304" s="20" t="n">
        <v>-15278</v>
      </c>
      <c r="I304" s="20" t="n">
        <v>-25400</v>
      </c>
      <c r="M304" s="20" t="n">
        <v>-16737</v>
      </c>
      <c r="U304" s="20" t="n">
        <v>-16675</v>
      </c>
      <c r="V304" s="20" t="n">
        <v>-13463</v>
      </c>
      <c r="W304" s="20" t="n">
        <v>-25400</v>
      </c>
      <c r="X304" s="20" t="n">
        <v>-16737</v>
      </c>
    </row>
    <row r="305">
      <c r="A305" s="9" t="inlineStr">
        <is>
          <t>영업활동 현금흐름</t>
        </is>
      </c>
      <c r="C305" s="12" t="n">
        <v>13096</v>
      </c>
      <c r="E305" s="12" t="n">
        <v>50239</v>
      </c>
      <c r="G305" s="12" t="n">
        <v>20189</v>
      </c>
      <c r="I305" s="12" t="n">
        <v>53516</v>
      </c>
      <c r="K305" s="12" t="n">
        <v>37888</v>
      </c>
      <c r="M305" s="12" t="n">
        <v>66096</v>
      </c>
      <c r="U305" s="12" t="n">
        <v>27907</v>
      </c>
      <c r="V305" s="12" t="n">
        <v>50239</v>
      </c>
      <c r="W305" s="12" t="n">
        <v>53516</v>
      </c>
      <c r="X305" s="12" t="n">
        <v>66096</v>
      </c>
    </row>
    <row r="306">
      <c r="A306" s="18" t="inlineStr">
        <is>
          <t>Purchase Of Property Plant And Equipment Intangible Assets And Investment Property Inv CF</t>
        </is>
      </c>
      <c r="C306" s="20" t="n">
        <v>-15253</v>
      </c>
      <c r="E306" s="20" t="n">
        <v>-32355</v>
      </c>
      <c r="G306" s="20" t="n">
        <v>-20221</v>
      </c>
      <c r="I306" s="20" t="n">
        <v>-41646</v>
      </c>
      <c r="K306" s="20" t="n">
        <v>-25410</v>
      </c>
      <c r="M306" s="20" t="n">
        <v>-52555</v>
      </c>
      <c r="U306" s="20" t="n">
        <v>-27030</v>
      </c>
      <c r="V306" s="20" t="n">
        <v>-32355</v>
      </c>
      <c r="W306" s="20" t="n">
        <v>-41646</v>
      </c>
      <c r="X306" s="20" t="n">
        <v>-52555</v>
      </c>
    </row>
    <row r="307">
      <c r="A307" s="18" t="inlineStr">
        <is>
          <t>Proceeds From Sale Of Property Plant And Equipment Intangible Assets And Investment Property Inv CF</t>
        </is>
      </c>
      <c r="C307" s="20" t="n">
        <v>15</v>
      </c>
      <c r="E307" s="20" t="n">
        <v>10372</v>
      </c>
      <c r="G307" s="20" t="n">
        <v>29</v>
      </c>
      <c r="I307" s="20" t="n">
        <v>1679</v>
      </c>
      <c r="K307" s="20" t="n">
        <v>51</v>
      </c>
      <c r="M307" s="20" t="n">
        <v>132</v>
      </c>
      <c r="U307" s="20" t="n">
        <v>2084</v>
      </c>
      <c r="V307" s="20" t="n">
        <v>10372</v>
      </c>
      <c r="W307" s="20" t="n">
        <v>1679</v>
      </c>
      <c r="X307" s="20" t="n">
        <v>132</v>
      </c>
    </row>
    <row r="308">
      <c r="A308" s="18" t="inlineStr">
        <is>
          <t>자본성 금융상품 취득</t>
        </is>
      </c>
      <c r="C308" s="20" t="n">
        <v>-12</v>
      </c>
      <c r="E308" s="20" t="n">
        <v>-23</v>
      </c>
      <c r="G308" s="20" t="n">
        <v>-13</v>
      </c>
      <c r="I308" s="20" t="n">
        <v>-25</v>
      </c>
      <c r="K308" s="20" t="n">
        <v>-11</v>
      </c>
      <c r="M308" s="20" t="n">
        <v>-23</v>
      </c>
      <c r="U308" s="20" t="n">
        <v>-521</v>
      </c>
      <c r="V308" s="20" t="n">
        <v>-23</v>
      </c>
      <c r="W308" s="20" t="n">
        <v>-25</v>
      </c>
      <c r="X308" s="20" t="n">
        <v>-23</v>
      </c>
    </row>
    <row r="309">
      <c r="A309" s="18" t="inlineStr">
        <is>
          <t>자본성 금융상품 매각</t>
        </is>
      </c>
      <c r="C309" s="20" t="n">
        <v>0</v>
      </c>
      <c r="E309" s="20" t="n">
        <v>35771</v>
      </c>
      <c r="G309" s="20" t="n">
        <v>35</v>
      </c>
      <c r="I309" s="20" t="n">
        <v>24203</v>
      </c>
      <c r="K309" s="20" t="n">
        <v>0</v>
      </c>
      <c r="M309" s="20" t="n">
        <v>14292</v>
      </c>
      <c r="U309" s="20" t="n">
        <v>1623</v>
      </c>
      <c r="V309" s="20" t="n">
        <v>35771</v>
      </c>
      <c r="W309" s="20" t="n">
        <v>24203</v>
      </c>
      <c r="X309" s="20" t="n">
        <v>14292</v>
      </c>
    </row>
    <row r="310">
      <c r="A310" s="18" t="inlineStr">
        <is>
          <t>자회사 취득 지출</t>
        </is>
      </c>
      <c r="I310" s="20" t="n">
        <v>-799</v>
      </c>
      <c r="M310" s="20" t="n">
        <v>-10190</v>
      </c>
      <c r="W310" s="20" t="n">
        <v>-799</v>
      </c>
      <c r="X310" s="20" t="n">
        <v>-10190</v>
      </c>
    </row>
    <row r="311">
      <c r="A311" s="18" t="inlineStr">
        <is>
          <t>기타</t>
        </is>
      </c>
      <c r="C311" s="20" t="n">
        <v>292</v>
      </c>
      <c r="E311" s="20" t="n">
        <v>-146</v>
      </c>
      <c r="G311" s="20" t="n">
        <v>-760</v>
      </c>
      <c r="I311" s="20" t="n">
        <v>1002</v>
      </c>
      <c r="K311" s="20" t="n">
        <v>16</v>
      </c>
      <c r="M311" s="20" t="n">
        <v>95</v>
      </c>
      <c r="U311" s="20" t="n">
        <v>-57</v>
      </c>
      <c r="V311" s="20" t="n">
        <v>-146</v>
      </c>
      <c r="W311" s="20" t="n">
        <v>1002</v>
      </c>
      <c r="X311" s="20" t="n">
        <v>95</v>
      </c>
    </row>
    <row r="312">
      <c r="A312" s="9" t="inlineStr">
        <is>
          <t>투자활동 현금흐름</t>
        </is>
      </c>
      <c r="C312" s="12" t="n">
        <v>-14958</v>
      </c>
      <c r="E312" s="12" t="n">
        <v>13618</v>
      </c>
      <c r="G312" s="12" t="n">
        <v>-20930</v>
      </c>
      <c r="I312" s="12" t="n">
        <v>-15586</v>
      </c>
      <c r="K312" s="12" t="n">
        <v>-25354</v>
      </c>
      <c r="M312" s="12" t="n">
        <v>-48248</v>
      </c>
      <c r="U312" s="12" t="n">
        <v>-23902</v>
      </c>
      <c r="V312" s="12" t="n">
        <v>13618</v>
      </c>
      <c r="W312" s="12" t="n">
        <v>-15586</v>
      </c>
      <c r="X312" s="12" t="n">
        <v>-48248</v>
      </c>
    </row>
    <row r="313">
      <c r="A313" s="18" t="inlineStr">
        <is>
          <t>단기차입금 순증감</t>
        </is>
      </c>
      <c r="C313" s="20" t="n">
        <v>2788</v>
      </c>
      <c r="E313" s="20" t="n">
        <v>-40278</v>
      </c>
      <c r="G313" s="20" t="n">
        <v>22902</v>
      </c>
      <c r="I313" s="20" t="n">
        <v>11993</v>
      </c>
      <c r="K313" s="20" t="n">
        <v>-6630</v>
      </c>
      <c r="M313" s="20" t="n">
        <v>7527</v>
      </c>
      <c r="U313" s="20" t="n">
        <v>1346</v>
      </c>
      <c r="V313" s="20" t="n">
        <v>-40278</v>
      </c>
      <c r="W313" s="20" t="n">
        <v>11993</v>
      </c>
      <c r="X313" s="20" t="n">
        <v>7527</v>
      </c>
    </row>
    <row r="314">
      <c r="A314" s="18" t="inlineStr">
        <is>
          <t>Increase Decrease In Commercial Papers Fin CFIFRS</t>
        </is>
      </c>
      <c r="C314" s="20" t="n">
        <v>0</v>
      </c>
      <c r="G314" s="20" t="n">
        <v>11000</v>
      </c>
    </row>
    <row r="315">
      <c r="A315" s="18" t="inlineStr">
        <is>
          <t>Increase Decrease In Commercial Papers Fin CF</t>
        </is>
      </c>
      <c r="E315" s="20" t="n">
        <v>0</v>
      </c>
      <c r="G315" s="20" t="n">
        <v>11000</v>
      </c>
      <c r="K315" s="20" t="n">
        <v>0</v>
      </c>
      <c r="U315" s="20" t="n">
        <v>-7000</v>
      </c>
      <c r="V315" s="20" t="n">
        <v>0</v>
      </c>
    </row>
    <row r="316">
      <c r="A316" s="18" t="inlineStr">
        <is>
          <t>Proceeds From Borrowings Fin CF</t>
        </is>
      </c>
      <c r="C316" s="20" t="n">
        <v>51092</v>
      </c>
      <c r="E316" s="20" t="n">
        <v>70419</v>
      </c>
      <c r="G316" s="20" t="n">
        <v>9646</v>
      </c>
      <c r="I316" s="20" t="n">
        <v>18090</v>
      </c>
      <c r="K316" s="20" t="n">
        <v>27952</v>
      </c>
      <c r="M316" s="20" t="n">
        <v>40658</v>
      </c>
      <c r="U316" s="20" t="n">
        <v>130012</v>
      </c>
      <c r="V316" s="20" t="n">
        <v>70419</v>
      </c>
      <c r="W316" s="20" t="n">
        <v>18090</v>
      </c>
      <c r="X316" s="20" t="n">
        <v>40658</v>
      </c>
    </row>
    <row r="317">
      <c r="A317" s="18" t="inlineStr">
        <is>
          <t>차입금 상환 지출</t>
        </is>
      </c>
      <c r="C317" s="20" t="n">
        <v>-61032</v>
      </c>
      <c r="E317" s="20" t="n">
        <v>-93960</v>
      </c>
      <c r="G317" s="20" t="n">
        <v>-21882</v>
      </c>
      <c r="I317" s="20" t="n">
        <v>-30833</v>
      </c>
      <c r="K317" s="20" t="n">
        <v>-22642</v>
      </c>
      <c r="M317" s="20" t="n">
        <v>-45943</v>
      </c>
      <c r="U317" s="20" t="n">
        <v>-127012</v>
      </c>
      <c r="V317" s="20" t="n">
        <v>-93960</v>
      </c>
      <c r="W317" s="20" t="n">
        <v>-30833</v>
      </c>
      <c r="X317" s="20" t="n">
        <v>-45943</v>
      </c>
    </row>
    <row r="318">
      <c r="A318" s="18" t="inlineStr">
        <is>
          <t>사채 발행</t>
        </is>
      </c>
      <c r="E318" s="20" t="n">
        <v>0</v>
      </c>
      <c r="U318" s="20" t="n">
        <v>9946</v>
      </c>
      <c r="V318" s="20" t="n">
        <v>0</v>
      </c>
    </row>
    <row r="319">
      <c r="A319" s="18" t="inlineStr">
        <is>
          <t>리스부채 상환 지출</t>
        </is>
      </c>
      <c r="C319" s="20" t="n">
        <v>-1013</v>
      </c>
      <c r="E319" s="20" t="n">
        <v>-1938</v>
      </c>
      <c r="G319" s="20" t="n">
        <v>-1016</v>
      </c>
      <c r="I319" s="20" t="n">
        <v>-2098</v>
      </c>
      <c r="K319" s="20" t="n">
        <v>-1080</v>
      </c>
      <c r="M319" s="20" t="n">
        <v>-2241</v>
      </c>
      <c r="U319" s="20" t="n">
        <v>-1977</v>
      </c>
      <c r="V319" s="20" t="n">
        <v>-1938</v>
      </c>
      <c r="W319" s="20" t="n">
        <v>-2098</v>
      </c>
      <c r="X319" s="20" t="n">
        <v>-2241</v>
      </c>
    </row>
    <row r="320">
      <c r="A320" s="18" t="inlineStr">
        <is>
          <t>자기주식 취득</t>
        </is>
      </c>
      <c r="E320" s="20" t="n">
        <v>-6</v>
      </c>
      <c r="G320" s="20" t="n">
        <v>-1</v>
      </c>
      <c r="I320" s="20" t="n">
        <v>-8500</v>
      </c>
      <c r="K320" s="20" t="n">
        <v>-6603</v>
      </c>
      <c r="M320" s="20" t="n">
        <v>-6604</v>
      </c>
      <c r="V320" s="20" t="n">
        <v>-6</v>
      </c>
      <c r="W320" s="20" t="n">
        <v>-8500</v>
      </c>
      <c r="X320" s="20" t="n">
        <v>-6604</v>
      </c>
    </row>
    <row r="321">
      <c r="A321" s="18" t="inlineStr">
        <is>
          <t>배당금 지급</t>
        </is>
      </c>
      <c r="C321" s="20" t="n">
        <v>-5532</v>
      </c>
      <c r="E321" s="20" t="n">
        <v>-9802</v>
      </c>
      <c r="G321" s="20" t="n">
        <v>-5545</v>
      </c>
      <c r="I321" s="20" t="n">
        <v>-10033</v>
      </c>
      <c r="K321" s="20" t="n">
        <v>-5361</v>
      </c>
      <c r="M321" s="20" t="n">
        <v>-9765</v>
      </c>
      <c r="U321" s="20" t="n">
        <v>-8519</v>
      </c>
      <c r="V321" s="20" t="n">
        <v>-9802</v>
      </c>
      <c r="W321" s="20" t="n">
        <v>-10033</v>
      </c>
      <c r="X321" s="20" t="n">
        <v>-9765</v>
      </c>
    </row>
    <row r="322">
      <c r="A322" s="18" t="inlineStr">
        <is>
          <t>비지배지분 배당금 지급액</t>
        </is>
      </c>
      <c r="C322" s="20" t="n">
        <v>-429</v>
      </c>
      <c r="E322" s="20" t="n">
        <v>-906</v>
      </c>
      <c r="G322" s="20" t="n">
        <v>-515</v>
      </c>
      <c r="I322" s="20" t="n">
        <v>-1034</v>
      </c>
      <c r="K322" s="20" t="n">
        <v>-617</v>
      </c>
      <c r="M322" s="20" t="n">
        <v>-972</v>
      </c>
      <c r="U322" s="20" t="n">
        <v>-881</v>
      </c>
      <c r="V322" s="20" t="n">
        <v>-906</v>
      </c>
      <c r="W322" s="20" t="n">
        <v>-1034</v>
      </c>
      <c r="X322" s="20" t="n">
        <v>-972</v>
      </c>
    </row>
    <row r="323">
      <c r="A323" s="18" t="inlineStr">
        <is>
          <t>기타</t>
        </is>
      </c>
      <c r="C323" s="20" t="n">
        <v>41</v>
      </c>
      <c r="E323" s="20" t="n">
        <v>-11</v>
      </c>
      <c r="G323" s="20" t="n">
        <v>-102</v>
      </c>
      <c r="I323" s="20" t="n">
        <v>-298</v>
      </c>
      <c r="K323" s="20" t="n">
        <v>-146</v>
      </c>
      <c r="M323" s="20" t="n">
        <v>-1117</v>
      </c>
      <c r="U323" s="20" t="n">
        <v>-19</v>
      </c>
      <c r="V323" s="20" t="n">
        <v>-11</v>
      </c>
      <c r="W323" s="20" t="n">
        <v>-298</v>
      </c>
      <c r="X323" s="20" t="n">
        <v>-1117</v>
      </c>
    </row>
    <row r="324">
      <c r="A324" s="9" t="inlineStr">
        <is>
          <t>재무활동 현금흐름</t>
        </is>
      </c>
      <c r="C324" s="12" t="n">
        <v>-14086</v>
      </c>
      <c r="E324" s="12" t="n">
        <v>-76484</v>
      </c>
      <c r="G324" s="12" t="n">
        <v>14484</v>
      </c>
      <c r="I324" s="12" t="n">
        <v>-22715</v>
      </c>
      <c r="K324" s="12" t="n">
        <v>-15129</v>
      </c>
      <c r="M324" s="12" t="n">
        <v>-18459</v>
      </c>
      <c r="U324" s="12" t="n">
        <v>-4105</v>
      </c>
      <c r="V324" s="12" t="n">
        <v>-76484</v>
      </c>
      <c r="W324" s="12" t="n">
        <v>-22715</v>
      </c>
      <c r="X324" s="12" t="n">
        <v>-18459</v>
      </c>
    </row>
    <row r="325">
      <c r="A325" s="18" t="inlineStr">
        <is>
          <t>Effect Of Exchange Rate Changes On Cash And Cash Equivalents</t>
        </is>
      </c>
      <c r="C325" s="20" t="n">
        <v>1628</v>
      </c>
      <c r="E325" s="20" t="n">
        <v>2146</v>
      </c>
      <c r="G325" s="20" t="n">
        <v>-488</v>
      </c>
      <c r="I325" s="20" t="n">
        <v>-4</v>
      </c>
      <c r="K325" s="20" t="n">
        <v>476</v>
      </c>
      <c r="M325" s="20" t="n">
        <v>2465</v>
      </c>
      <c r="U325" s="20" t="n">
        <v>945</v>
      </c>
      <c r="V325" s="20" t="n">
        <v>2146</v>
      </c>
      <c r="W325" s="20" t="n">
        <v>-4</v>
      </c>
      <c r="X325" s="20" t="n">
        <v>2465</v>
      </c>
    </row>
    <row r="326">
      <c r="A326" s="18" t="inlineStr">
        <is>
          <t>현금성자산 증감</t>
        </is>
      </c>
      <c r="C326" s="20" t="n">
        <v>-14319</v>
      </c>
      <c r="E326" s="20" t="n">
        <v>-10480</v>
      </c>
      <c r="G326" s="20" t="n">
        <v>13255</v>
      </c>
      <c r="I326" s="20" t="n">
        <v>15210</v>
      </c>
      <c r="K326" s="20" t="n">
        <v>-2119</v>
      </c>
      <c r="M326" s="20" t="n">
        <v>1853</v>
      </c>
      <c r="U326" s="20" t="n">
        <v>844</v>
      </c>
      <c r="V326" s="20" t="n">
        <v>-10480</v>
      </c>
      <c r="W326" s="20" t="n">
        <v>15210</v>
      </c>
      <c r="X326" s="20" t="n">
        <v>1853</v>
      </c>
    </row>
    <row r="327">
      <c r="A327" s="9" t="inlineStr">
        <is>
          <t>법인세차감전 순이익</t>
        </is>
      </c>
      <c r="C327" s="12" t="n">
        <v>18403</v>
      </c>
      <c r="E327" s="12" t="n">
        <v>73560</v>
      </c>
      <c r="P327" s="12" t="n">
        <v>36831</v>
      </c>
      <c r="Q327" s="12" t="n">
        <v>33110</v>
      </c>
      <c r="R327" s="12" t="n">
        <v>21170</v>
      </c>
      <c r="S327" s="12" t="n">
        <v>10065</v>
      </c>
      <c r="T327" s="12" t="n">
        <v>40746</v>
      </c>
      <c r="U327" s="12" t="n">
        <v>49363</v>
      </c>
      <c r="V327" s="12" t="n">
        <v>73560</v>
      </c>
    </row>
    <row r="328">
      <c r="A328" s="18" t="inlineStr">
        <is>
          <t>감가상각비</t>
        </is>
      </c>
      <c r="C328" s="20" t="n">
        <v>13182</v>
      </c>
      <c r="E328" s="20" t="n">
        <v>26508</v>
      </c>
      <c r="P328" s="20" t="n">
        <v>20740</v>
      </c>
      <c r="Q328" s="20" t="n">
        <v>23171</v>
      </c>
      <c r="R328" s="20" t="n">
        <v>24662</v>
      </c>
      <c r="S328" s="20" t="n">
        <v>25912</v>
      </c>
      <c r="T328" s="20" t="n">
        <v>26797</v>
      </c>
      <c r="U328" s="20" t="n">
        <v>26054</v>
      </c>
      <c r="V328" s="20" t="n">
        <v>26508</v>
      </c>
    </row>
    <row r="329">
      <c r="A329" s="18" t="inlineStr">
        <is>
          <t>손상차손</t>
        </is>
      </c>
      <c r="C329" s="20" t="n">
        <v>960</v>
      </c>
      <c r="E329" s="20" t="n">
        <v>2804</v>
      </c>
      <c r="Q329" s="20" t="n">
        <v>0</v>
      </c>
      <c r="R329" s="20" t="n">
        <v>5842</v>
      </c>
      <c r="S329" s="20" t="n">
        <v>2720</v>
      </c>
      <c r="T329" s="20" t="n">
        <v>3519</v>
      </c>
      <c r="U329" s="20" t="n">
        <v>1112</v>
      </c>
      <c r="V329" s="20" t="n">
        <v>2804</v>
      </c>
    </row>
    <row r="330">
      <c r="A330" s="18" t="inlineStr">
        <is>
          <t>대손충당금 증감</t>
        </is>
      </c>
      <c r="C330" s="20" t="n">
        <v>1</v>
      </c>
      <c r="E330" s="20" t="n">
        <v>-4</v>
      </c>
      <c r="P330" s="20" t="n">
        <v>-131</v>
      </c>
      <c r="Q330" s="20" t="n">
        <v>57</v>
      </c>
      <c r="R330" s="20" t="n">
        <v>61</v>
      </c>
      <c r="S330" s="20" t="n">
        <v>-74</v>
      </c>
      <c r="T330" s="20" t="n">
        <v>-34</v>
      </c>
      <c r="U330" s="20" t="n">
        <v>-47</v>
      </c>
      <c r="V330" s="20" t="n">
        <v>-4</v>
      </c>
    </row>
    <row r="331">
      <c r="A331" s="18" t="inlineStr">
        <is>
          <t>상여충당금 증감</t>
        </is>
      </c>
      <c r="C331" s="20" t="n">
        <v>11</v>
      </c>
      <c r="E331" s="20" t="n">
        <v>139</v>
      </c>
      <c r="P331" s="20" t="n">
        <v>652</v>
      </c>
      <c r="Q331" s="20" t="n">
        <v>115</v>
      </c>
      <c r="R331" s="20" t="n">
        <v>-347</v>
      </c>
      <c r="S331" s="20" t="n">
        <v>-1007</v>
      </c>
      <c r="T331" s="20" t="n">
        <v>1190</v>
      </c>
      <c r="U331" s="20" t="n">
        <v>251</v>
      </c>
      <c r="V331" s="20" t="n">
        <v>139</v>
      </c>
    </row>
    <row r="332">
      <c r="A332" s="18" t="inlineStr">
        <is>
          <t>기타 충당금 증감</t>
        </is>
      </c>
      <c r="C332" s="20" t="n">
        <v>-359</v>
      </c>
    </row>
    <row r="333">
      <c r="A333" s="18" t="inlineStr">
        <is>
          <t>임원 상여충당금 증감</t>
        </is>
      </c>
      <c r="E333" s="20" t="n">
        <v>86</v>
      </c>
      <c r="P333" s="20" t="n">
        <v>49</v>
      </c>
      <c r="Q333" s="20" t="n">
        <v>-52</v>
      </c>
      <c r="R333" s="20" t="n">
        <v>-71</v>
      </c>
      <c r="S333" s="20" t="n">
        <v>-45</v>
      </c>
      <c r="T333" s="20" t="n">
        <v>77</v>
      </c>
      <c r="U333" s="20" t="n">
        <v>9</v>
      </c>
      <c r="V333" s="20" t="n">
        <v>86</v>
      </c>
    </row>
    <row r="334">
      <c r="A334" s="18" t="inlineStr">
        <is>
          <t>임원 퇴직위로 충당금 증감</t>
        </is>
      </c>
      <c r="E334" s="20" t="n">
        <v>44</v>
      </c>
      <c r="P334" s="20" t="n">
        <v>-34</v>
      </c>
      <c r="Q334" s="20" t="n">
        <v>-5</v>
      </c>
      <c r="R334" s="20" t="n">
        <v>-26</v>
      </c>
      <c r="S334" s="20" t="n">
        <v>-94</v>
      </c>
      <c r="T334" s="20" t="n">
        <v>71</v>
      </c>
      <c r="U334" s="20" t="n">
        <v>-60</v>
      </c>
      <c r="V334" s="20" t="n">
        <v>44</v>
      </c>
    </row>
    <row r="335">
      <c r="A335" s="18" t="inlineStr">
        <is>
          <t>주식급여 충당금 증감</t>
        </is>
      </c>
      <c r="E335" s="20" t="n">
        <v>149</v>
      </c>
      <c r="U335" s="20" t="n">
        <v>33</v>
      </c>
      <c r="V335" s="20" t="n">
        <v>149</v>
      </c>
    </row>
    <row r="336">
      <c r="A336" s="18" t="inlineStr">
        <is>
          <t>환경대책 충당금 증감</t>
        </is>
      </c>
      <c r="E336" s="20" t="n">
        <v>-263</v>
      </c>
      <c r="P336" s="20" t="n">
        <v>-91</v>
      </c>
      <c r="Q336" s="20" t="n">
        <v>476</v>
      </c>
      <c r="R336" s="20" t="n">
        <v>704</v>
      </c>
      <c r="S336" s="20" t="n">
        <v>44</v>
      </c>
      <c r="T336" s="20" t="n">
        <v>-1197</v>
      </c>
      <c r="U336" s="20" t="n">
        <v>-253</v>
      </c>
      <c r="V336" s="20" t="n">
        <v>-263</v>
      </c>
    </row>
    <row r="337">
      <c r="A337" s="18" t="inlineStr">
        <is>
          <t>퇴직급여자산 증감</t>
        </is>
      </c>
      <c r="C337" s="20" t="n">
        <v>-477</v>
      </c>
      <c r="E337" s="20" t="n">
        <v>-1097</v>
      </c>
      <c r="P337" s="20" t="n">
        <v>1039</v>
      </c>
      <c r="Q337" s="20" t="n">
        <v>-180</v>
      </c>
      <c r="R337" s="20" t="n">
        <v>-1663</v>
      </c>
      <c r="S337" s="20" t="n">
        <v>764</v>
      </c>
      <c r="T337" s="20" t="n">
        <v>434</v>
      </c>
      <c r="U337" s="20" t="n">
        <v>-670</v>
      </c>
      <c r="V337" s="20" t="n">
        <v>-1097</v>
      </c>
    </row>
    <row r="338">
      <c r="A338" s="18" t="inlineStr">
        <is>
          <t>퇴직급여부채 증감</t>
        </is>
      </c>
      <c r="C338" s="20" t="n">
        <v>278</v>
      </c>
      <c r="E338" s="20" t="n">
        <v>87</v>
      </c>
      <c r="P338" s="20" t="n">
        <v>422</v>
      </c>
      <c r="Q338" s="20" t="n">
        <v>432</v>
      </c>
      <c r="R338" s="20" t="n">
        <v>630</v>
      </c>
      <c r="S338" s="20" t="n">
        <v>2223</v>
      </c>
      <c r="T338" s="20" t="n">
        <v>1339</v>
      </c>
      <c r="U338" s="20" t="n">
        <v>-21</v>
      </c>
      <c r="V338" s="20" t="n">
        <v>87</v>
      </c>
    </row>
    <row r="339">
      <c r="A339" s="18" t="inlineStr">
        <is>
          <t>이자·배당금 수익</t>
        </is>
      </c>
      <c r="C339" s="20" t="n">
        <v>-1414</v>
      </c>
      <c r="E339" s="20" t="n">
        <v>-2838</v>
      </c>
      <c r="P339" s="20" t="n">
        <v>-1936</v>
      </c>
      <c r="Q339" s="20" t="n">
        <v>-2529</v>
      </c>
      <c r="R339" s="20" t="n">
        <v>-2091</v>
      </c>
      <c r="S339" s="20" t="n">
        <v>-1630</v>
      </c>
      <c r="T339" s="20" t="n">
        <v>-2149</v>
      </c>
      <c r="U339" s="20" t="n">
        <v>-2483</v>
      </c>
      <c r="V339" s="20" t="n">
        <v>-2838</v>
      </c>
    </row>
    <row r="340">
      <c r="A340" s="18" t="inlineStr">
        <is>
          <t>이자비용</t>
        </is>
      </c>
      <c r="C340" s="20" t="n">
        <v>569</v>
      </c>
      <c r="E340" s="20" t="n">
        <v>1143</v>
      </c>
      <c r="P340" s="20" t="n">
        <v>941</v>
      </c>
      <c r="Q340" s="20" t="n">
        <v>922</v>
      </c>
      <c r="R340" s="20" t="n">
        <v>793</v>
      </c>
      <c r="S340" s="20" t="n">
        <v>823</v>
      </c>
      <c r="T340" s="20" t="n">
        <v>823</v>
      </c>
      <c r="U340" s="20" t="n">
        <v>938</v>
      </c>
      <c r="V340" s="20" t="n">
        <v>1143</v>
      </c>
    </row>
    <row r="341">
      <c r="A341" s="18" t="inlineStr">
        <is>
          <t>외환차손익</t>
        </is>
      </c>
      <c r="C341" s="20" t="n">
        <v>-522</v>
      </c>
      <c r="E341" s="20" t="n">
        <v>-713</v>
      </c>
      <c r="P341" s="20" t="n">
        <v>142</v>
      </c>
      <c r="Q341" s="20" t="n">
        <v>-118</v>
      </c>
      <c r="R341" s="20" t="n">
        <v>31</v>
      </c>
      <c r="S341" s="20" t="n">
        <v>-90</v>
      </c>
      <c r="T341" s="20" t="n">
        <v>-247</v>
      </c>
      <c r="U341" s="20" t="n">
        <v>-380</v>
      </c>
      <c r="V341" s="20" t="n">
        <v>-713</v>
      </c>
    </row>
    <row r="342">
      <c r="A342" s="18" t="inlineStr">
        <is>
          <t>지분법손익</t>
        </is>
      </c>
      <c r="C342" s="20" t="n">
        <v>-317</v>
      </c>
      <c r="E342" s="20" t="n">
        <v>-581</v>
      </c>
      <c r="P342" s="20" t="n">
        <v>-978</v>
      </c>
      <c r="Q342" s="20" t="n">
        <v>-1134</v>
      </c>
      <c r="R342" s="20" t="n">
        <v>-760</v>
      </c>
      <c r="S342" s="20" t="n">
        <v>189</v>
      </c>
      <c r="T342" s="20" t="n">
        <v>-621</v>
      </c>
      <c r="U342" s="20" t="n">
        <v>-458</v>
      </c>
      <c r="V342" s="20" t="n">
        <v>-581</v>
      </c>
    </row>
    <row r="343">
      <c r="A343" s="18" t="inlineStr">
        <is>
          <t>투자유가증권 매각손익</t>
        </is>
      </c>
      <c r="C343" s="20" t="n">
        <v>0</v>
      </c>
      <c r="E343" s="20" t="n">
        <v>-26696</v>
      </c>
      <c r="P343" s="20" t="n">
        <v>1</v>
      </c>
      <c r="Q343" s="20" t="n">
        <v>9</v>
      </c>
      <c r="R343" s="20" t="n">
        <v>-48</v>
      </c>
      <c r="S343" s="20" t="n">
        <v>-143</v>
      </c>
      <c r="T343" s="20" t="n">
        <v>-5497</v>
      </c>
      <c r="U343" s="20" t="n">
        <v>-748</v>
      </c>
      <c r="V343" s="20" t="n">
        <v>-26696</v>
      </c>
    </row>
    <row r="344">
      <c r="A344" s="18" t="inlineStr">
        <is>
          <t>투자유가증권 평가손익</t>
        </is>
      </c>
      <c r="C344" s="20" t="n">
        <v>0</v>
      </c>
      <c r="E344" s="20" t="n">
        <v>0</v>
      </c>
      <c r="P344" s="20" t="n">
        <v>0</v>
      </c>
      <c r="Q344" s="20" t="n">
        <v>6</v>
      </c>
      <c r="R344" s="20" t="n">
        <v>2072</v>
      </c>
      <c r="S344" s="20" t="n">
        <v>8</v>
      </c>
      <c r="T344" s="20" t="n">
        <v>0</v>
      </c>
      <c r="U344" s="20" t="n">
        <v>6</v>
      </c>
      <c r="V344" s="20" t="n">
        <v>0</v>
      </c>
    </row>
    <row r="345">
      <c r="A345" s="18" t="inlineStr">
        <is>
          <t>유형자산 매각손익</t>
        </is>
      </c>
      <c r="C345" s="20" t="n">
        <v>-3</v>
      </c>
      <c r="E345" s="20" t="n">
        <v>-7053</v>
      </c>
      <c r="P345" s="20" t="n">
        <v>-741</v>
      </c>
      <c r="Q345" s="20" t="n">
        <v>2</v>
      </c>
      <c r="R345" s="20" t="n">
        <v>-7794</v>
      </c>
      <c r="S345" s="20" t="n">
        <v>-140</v>
      </c>
      <c r="T345" s="20" t="n">
        <v>-166</v>
      </c>
      <c r="U345" s="20" t="n">
        <v>-1703</v>
      </c>
      <c r="V345" s="20" t="n">
        <v>-7053</v>
      </c>
    </row>
    <row r="346">
      <c r="A346" s="18" t="inlineStr">
        <is>
          <t>매출채권·계약자산 증감</t>
        </is>
      </c>
      <c r="C346" s="20" t="n">
        <v>4731</v>
      </c>
      <c r="S346" s="20" t="n">
        <v>0</v>
      </c>
      <c r="T346" s="20" t="n">
        <v>-23896</v>
      </c>
      <c r="U346" s="20" t="n">
        <v>-7997</v>
      </c>
    </row>
    <row r="347">
      <c r="A347" s="18" t="inlineStr">
        <is>
          <t>유형자산 제각손실</t>
        </is>
      </c>
      <c r="C347" s="20" t="n">
        <v>94</v>
      </c>
      <c r="E347" s="20" t="n">
        <v>327</v>
      </c>
      <c r="P347" s="20" t="n">
        <v>1010</v>
      </c>
      <c r="Q347" s="20" t="n">
        <v>997</v>
      </c>
      <c r="R347" s="20" t="n">
        <v>1091</v>
      </c>
      <c r="S347" s="20" t="n">
        <v>952</v>
      </c>
      <c r="T347" s="20" t="n">
        <v>689</v>
      </c>
      <c r="U347" s="20" t="n">
        <v>589</v>
      </c>
      <c r="V347" s="20" t="n">
        <v>327</v>
      </c>
    </row>
    <row r="348">
      <c r="A348" s="18" t="inlineStr">
        <is>
          <t>고정자산 압축손실</t>
        </is>
      </c>
      <c r="Q348" s="20" t="n">
        <v>0</v>
      </c>
      <c r="R348" s="20" t="n">
        <v>2772</v>
      </c>
      <c r="S348" s="20" t="n">
        <v>0</v>
      </c>
    </row>
    <row r="349">
      <c r="A349" s="18" t="inlineStr">
        <is>
          <t>매출채권 증감</t>
        </is>
      </c>
      <c r="P349" s="20" t="n">
        <v>-20750</v>
      </c>
      <c r="Q349" s="20" t="n">
        <v>1258</v>
      </c>
      <c r="R349" s="20" t="n">
        <v>16128</v>
      </c>
      <c r="S349" s="20" t="n">
        <v>-7949</v>
      </c>
      <c r="T349" s="20" t="n">
        <v>0</v>
      </c>
    </row>
    <row r="350">
      <c r="A350" s="18" t="inlineStr">
        <is>
          <t>매출채권·계약자산 증감</t>
        </is>
      </c>
      <c r="E350" s="20" t="n">
        <v>4773</v>
      </c>
      <c r="U350" s="20" t="n">
        <v>-7997</v>
      </c>
      <c r="V350" s="20" t="n">
        <v>4773</v>
      </c>
    </row>
    <row r="351">
      <c r="A351" s="18" t="inlineStr">
        <is>
          <t>재고자산 증감</t>
        </is>
      </c>
      <c r="C351" s="20" t="n">
        <v>338</v>
      </c>
      <c r="E351" s="20" t="n">
        <v>5805</v>
      </c>
      <c r="P351" s="20" t="n">
        <v>-16346</v>
      </c>
      <c r="Q351" s="20" t="n">
        <v>-17206</v>
      </c>
      <c r="R351" s="20" t="n">
        <v>9109</v>
      </c>
      <c r="S351" s="20" t="n">
        <v>8333</v>
      </c>
      <c r="T351" s="20" t="n">
        <v>-50893</v>
      </c>
      <c r="U351" s="20" t="n">
        <v>-25732</v>
      </c>
      <c r="V351" s="20" t="n">
        <v>5805</v>
      </c>
    </row>
    <row r="352">
      <c r="A352" s="18" t="inlineStr">
        <is>
          <t>매입채무 증감</t>
        </is>
      </c>
      <c r="C352" s="20" t="n">
        <v>-4302</v>
      </c>
      <c r="E352" s="20" t="n">
        <v>-6508</v>
      </c>
      <c r="P352" s="20" t="n">
        <v>15146</v>
      </c>
      <c r="Q352" s="20" t="n">
        <v>-3163</v>
      </c>
      <c r="R352" s="20" t="n">
        <v>-22242</v>
      </c>
      <c r="S352" s="20" t="n">
        <v>-760</v>
      </c>
      <c r="T352" s="20" t="n">
        <v>-2817</v>
      </c>
      <c r="U352" s="20" t="n">
        <v>-5938</v>
      </c>
      <c r="V352" s="20" t="n">
        <v>-6508</v>
      </c>
    </row>
    <row r="353">
      <c r="A353" s="18" t="inlineStr">
        <is>
          <t>기타</t>
        </is>
      </c>
      <c r="C353" s="20" t="n">
        <v>-1224</v>
      </c>
      <c r="E353" s="20" t="n">
        <v>1071</v>
      </c>
      <c r="P353" s="20" t="n">
        <v>2149</v>
      </c>
      <c r="Q353" s="20" t="n">
        <v>2788</v>
      </c>
      <c r="R353" s="20" t="n">
        <v>-275</v>
      </c>
      <c r="S353" s="20" t="n">
        <v>-1259</v>
      </c>
      <c r="T353" s="20" t="n">
        <v>-2523</v>
      </c>
      <c r="U353" s="20" t="n">
        <v>5734</v>
      </c>
      <c r="V353" s="20" t="n">
        <v>1071</v>
      </c>
    </row>
    <row r="354">
      <c r="A354" s="18" t="inlineStr">
        <is>
          <t>소계</t>
        </is>
      </c>
      <c r="C354" s="20" t="n">
        <v>29952</v>
      </c>
      <c r="E354" s="20" t="n">
        <v>70744</v>
      </c>
      <c r="P354" s="20" t="n">
        <v>38118</v>
      </c>
      <c r="Q354" s="20" t="n">
        <v>38960</v>
      </c>
      <c r="R354" s="20" t="n">
        <v>49750</v>
      </c>
      <c r="S354" s="20" t="n">
        <v>38843</v>
      </c>
      <c r="T354" s="20" t="n">
        <v>-14353</v>
      </c>
      <c r="U354" s="20" t="n">
        <v>37597</v>
      </c>
      <c r="V354" s="20" t="n">
        <v>70744</v>
      </c>
    </row>
    <row r="355">
      <c r="A355" s="18" t="inlineStr">
        <is>
          <t>이자·배당금 수취</t>
        </is>
      </c>
      <c r="C355" s="20" t="n">
        <v>1459</v>
      </c>
      <c r="E355" s="20" t="n">
        <v>2983</v>
      </c>
      <c r="P355" s="20" t="n">
        <v>2134</v>
      </c>
      <c r="Q355" s="20" t="n">
        <v>2737</v>
      </c>
      <c r="R355" s="20" t="n">
        <v>2394</v>
      </c>
      <c r="S355" s="20" t="n">
        <v>1759</v>
      </c>
      <c r="T355" s="20" t="n">
        <v>2279</v>
      </c>
      <c r="U355" s="20" t="n">
        <v>2650</v>
      </c>
      <c r="V355" s="20" t="n">
        <v>2983</v>
      </c>
    </row>
    <row r="356">
      <c r="A356" s="18" t="inlineStr">
        <is>
          <t>이자 지급</t>
        </is>
      </c>
      <c r="C356" s="20" t="n">
        <v>-582</v>
      </c>
      <c r="E356" s="20" t="n">
        <v>-1137</v>
      </c>
      <c r="P356" s="20" t="n">
        <v>-946</v>
      </c>
      <c r="Q356" s="20" t="n">
        <v>-954</v>
      </c>
      <c r="R356" s="20" t="n">
        <v>-812</v>
      </c>
      <c r="S356" s="20" t="n">
        <v>-820</v>
      </c>
      <c r="T356" s="20" t="n">
        <v>-818</v>
      </c>
      <c r="U356" s="20" t="n">
        <v>-920</v>
      </c>
      <c r="V356" s="20" t="n">
        <v>-1137</v>
      </c>
    </row>
    <row r="357">
      <c r="A357" s="18" t="inlineStr">
        <is>
          <t>법인세 납부</t>
        </is>
      </c>
      <c r="C357" s="20" t="n">
        <v>-6688</v>
      </c>
      <c r="E357" s="20" t="n">
        <v>-13931</v>
      </c>
      <c r="P357" s="20" t="n">
        <v>-8263</v>
      </c>
      <c r="Q357" s="20" t="n">
        <v>-12629</v>
      </c>
      <c r="R357" s="20" t="n">
        <v>-10298</v>
      </c>
      <c r="S357" s="20" t="n">
        <v>-6015</v>
      </c>
      <c r="T357" s="20" t="n">
        <v>-3792</v>
      </c>
      <c r="U357" s="20" t="n">
        <v>-16693</v>
      </c>
      <c r="V357" s="20" t="n">
        <v>-13931</v>
      </c>
    </row>
    <row r="358">
      <c r="A358" s="9" t="inlineStr">
        <is>
          <t>영업활동 현금흐름</t>
        </is>
      </c>
      <c r="C358" s="12" t="n">
        <v>24140</v>
      </c>
      <c r="E358" s="12" t="n">
        <v>58657</v>
      </c>
      <c r="P358" s="12" t="n">
        <v>31043</v>
      </c>
      <c r="Q358" s="12" t="n">
        <v>28114</v>
      </c>
      <c r="R358" s="12" t="n">
        <v>41033</v>
      </c>
      <c r="S358" s="12" t="n">
        <v>33766</v>
      </c>
      <c r="T358" s="12" t="n">
        <v>-16684</v>
      </c>
      <c r="U358" s="12" t="n">
        <v>22634</v>
      </c>
      <c r="V358" s="12" t="n">
        <v>58657</v>
      </c>
    </row>
    <row r="359">
      <c r="A359" s="18" t="inlineStr">
        <is>
          <t>정기예금 예입</t>
        </is>
      </c>
      <c r="C359" s="20" t="n">
        <v>-172</v>
      </c>
      <c r="E359" s="20" t="n">
        <v>-622</v>
      </c>
      <c r="P359" s="20" t="n">
        <v>-1056</v>
      </c>
      <c r="Q359" s="20" t="n">
        <v>-269</v>
      </c>
      <c r="R359" s="20" t="n">
        <v>-885</v>
      </c>
      <c r="S359" s="20" t="n">
        <v>-845</v>
      </c>
      <c r="T359" s="20" t="n">
        <v>-866</v>
      </c>
      <c r="U359" s="20" t="n">
        <v>-519</v>
      </c>
      <c r="V359" s="20" t="n">
        <v>-622</v>
      </c>
    </row>
    <row r="360">
      <c r="A360" s="18" t="inlineStr">
        <is>
          <t>정기예금 인출</t>
        </is>
      </c>
      <c r="C360" s="20" t="n">
        <v>585</v>
      </c>
      <c r="E360" s="20" t="n">
        <v>559</v>
      </c>
      <c r="P360" s="20" t="n">
        <v>464</v>
      </c>
      <c r="Q360" s="20" t="n">
        <v>1128</v>
      </c>
      <c r="R360" s="20" t="n">
        <v>128</v>
      </c>
      <c r="S360" s="20" t="n">
        <v>851</v>
      </c>
      <c r="T360" s="20" t="n">
        <v>404</v>
      </c>
      <c r="U360" s="20" t="n">
        <v>1334</v>
      </c>
      <c r="V360" s="20" t="n">
        <v>559</v>
      </c>
    </row>
    <row r="361">
      <c r="A361" s="18" t="inlineStr">
        <is>
          <t>유형자산 취득(설비투자)</t>
        </is>
      </c>
      <c r="C361" s="20" t="n">
        <v>-13064</v>
      </c>
      <c r="E361" s="20" t="n">
        <v>-27226</v>
      </c>
      <c r="P361" s="20" t="n">
        <v>-30254</v>
      </c>
      <c r="Q361" s="20" t="n">
        <v>-34355</v>
      </c>
      <c r="R361" s="20" t="n">
        <v>-45415</v>
      </c>
      <c r="S361" s="20" t="n">
        <v>-27819</v>
      </c>
      <c r="T361" s="20" t="n">
        <v>-19066</v>
      </c>
      <c r="U361" s="20" t="n">
        <v>-21450</v>
      </c>
      <c r="V361" s="20" t="n">
        <v>-27226</v>
      </c>
    </row>
    <row r="362">
      <c r="A362" s="18" t="inlineStr">
        <is>
          <t>유형자산 매각</t>
        </is>
      </c>
      <c r="C362" s="20" t="n">
        <v>30</v>
      </c>
      <c r="E362" s="20" t="n">
        <v>10413</v>
      </c>
      <c r="P362" s="20" t="n">
        <v>1352</v>
      </c>
      <c r="Q362" s="20" t="n">
        <v>143</v>
      </c>
      <c r="R362" s="20" t="n">
        <v>8406</v>
      </c>
      <c r="S362" s="20" t="n">
        <v>169</v>
      </c>
      <c r="T362" s="20" t="n">
        <v>230</v>
      </c>
      <c r="U362" s="20" t="n">
        <v>2103</v>
      </c>
      <c r="V362" s="20" t="n">
        <v>10413</v>
      </c>
    </row>
    <row r="363">
      <c r="A363" s="18" t="inlineStr">
        <is>
          <t>투자유가증권 취득</t>
        </is>
      </c>
      <c r="C363" s="20" t="n">
        <v>-12</v>
      </c>
      <c r="E363" s="20" t="n">
        <v>-23</v>
      </c>
      <c r="P363" s="20" t="n">
        <v>-18</v>
      </c>
      <c r="Q363" s="20" t="n">
        <v>-519</v>
      </c>
      <c r="R363" s="20" t="n">
        <v>-874</v>
      </c>
      <c r="S363" s="20" t="n">
        <v>-214</v>
      </c>
      <c r="T363" s="20" t="n">
        <v>-19</v>
      </c>
      <c r="U363" s="20" t="n">
        <v>-521</v>
      </c>
      <c r="V363" s="20" t="n">
        <v>-23</v>
      </c>
    </row>
    <row r="364">
      <c r="A364" s="18" t="inlineStr">
        <is>
          <t>투자유가증권 매각</t>
        </is>
      </c>
      <c r="C364" s="20" t="n">
        <v>0</v>
      </c>
      <c r="E364" s="20" t="n">
        <v>35771</v>
      </c>
      <c r="P364" s="20" t="n">
        <v>6</v>
      </c>
      <c r="Q364" s="20" t="n">
        <v>86</v>
      </c>
      <c r="R364" s="20" t="n">
        <v>60</v>
      </c>
      <c r="S364" s="20" t="n">
        <v>259</v>
      </c>
      <c r="T364" s="20" t="n">
        <v>7715</v>
      </c>
      <c r="U364" s="20" t="n">
        <v>1622</v>
      </c>
      <c r="V364" s="20" t="n">
        <v>35771</v>
      </c>
    </row>
    <row r="365">
      <c r="A365" s="18" t="inlineStr">
        <is>
          <t>대여</t>
        </is>
      </c>
      <c r="C365" s="20" t="n">
        <v>-14</v>
      </c>
      <c r="E365" s="20" t="n">
        <v>-28</v>
      </c>
      <c r="P365" s="20" t="n">
        <v>-123</v>
      </c>
      <c r="Q365" s="20" t="n">
        <v>-276</v>
      </c>
      <c r="R365" s="20" t="n">
        <v>-84</v>
      </c>
      <c r="S365" s="20" t="n">
        <v>-40</v>
      </c>
      <c r="T365" s="20" t="n">
        <v>-8</v>
      </c>
      <c r="U365" s="20" t="n">
        <v>-20</v>
      </c>
      <c r="V365" s="20" t="n">
        <v>-28</v>
      </c>
    </row>
    <row r="366">
      <c r="A366" s="18" t="inlineStr">
        <is>
          <t>대여금 회수</t>
        </is>
      </c>
      <c r="C366" s="20" t="n">
        <v>12</v>
      </c>
      <c r="E366" s="20" t="n">
        <v>23</v>
      </c>
      <c r="P366" s="20" t="n">
        <v>123</v>
      </c>
      <c r="Q366" s="20" t="n">
        <v>249</v>
      </c>
      <c r="R366" s="20" t="n">
        <v>37</v>
      </c>
      <c r="S366" s="20" t="n">
        <v>84</v>
      </c>
      <c r="T366" s="20" t="n">
        <v>37</v>
      </c>
      <c r="U366" s="20" t="n">
        <v>27</v>
      </c>
      <c r="V366" s="20" t="n">
        <v>23</v>
      </c>
    </row>
    <row r="367">
      <c r="A367" s="18" t="inlineStr">
        <is>
          <t>연결범위 변경 자회사 주식 취득</t>
        </is>
      </c>
      <c r="C367" s="20" t="n">
        <v>-118</v>
      </c>
      <c r="E367" s="20" t="n">
        <v>-118</v>
      </c>
      <c r="S367" s="20" t="n">
        <v>0</v>
      </c>
      <c r="T367" s="20" t="n">
        <v>-524</v>
      </c>
      <c r="U367" s="20" t="n">
        <v>0</v>
      </c>
      <c r="V367" s="20" t="n">
        <v>-118</v>
      </c>
    </row>
    <row r="368">
      <c r="A368" s="18" t="inlineStr">
        <is>
          <t>연결범위 변경 자회사 주식 매각(지출)</t>
        </is>
      </c>
      <c r="R368" s="20" t="n">
        <v>0</v>
      </c>
      <c r="S368" s="20" t="n">
        <v>-288</v>
      </c>
      <c r="T368" s="20" t="n">
        <v>0</v>
      </c>
    </row>
    <row r="369">
      <c r="A369" s="18" t="inlineStr">
        <is>
          <t>사업양수 지출</t>
        </is>
      </c>
      <c r="E369" s="20" t="n">
        <v>0</v>
      </c>
      <c r="T369" s="20" t="n">
        <v>0</v>
      </c>
      <c r="U369" s="20" t="n">
        <v>-518</v>
      </c>
      <c r="V369" s="20" t="n">
        <v>0</v>
      </c>
    </row>
    <row r="370">
      <c r="A370" s="18" t="inlineStr">
        <is>
          <t>기타</t>
        </is>
      </c>
      <c r="C370" s="20" t="n">
        <v>-736</v>
      </c>
      <c r="E370" s="20" t="n">
        <v>-1970</v>
      </c>
      <c r="P370" s="20" t="n">
        <v>-710</v>
      </c>
      <c r="Q370" s="20" t="n">
        <v>104</v>
      </c>
      <c r="R370" s="20" t="n">
        <v>-698</v>
      </c>
      <c r="S370" s="20" t="n">
        <v>-1553</v>
      </c>
      <c r="T370" s="20" t="n">
        <v>-2470</v>
      </c>
      <c r="U370" s="20" t="n">
        <v>-2141</v>
      </c>
      <c r="V370" s="20" t="n">
        <v>-1970</v>
      </c>
    </row>
    <row r="371">
      <c r="A371" s="9" t="inlineStr">
        <is>
          <t>투자활동 현금흐름</t>
        </is>
      </c>
      <c r="C371" s="12" t="n">
        <v>-13489</v>
      </c>
      <c r="E371" s="12" t="n">
        <v>16777</v>
      </c>
      <c r="P371" s="12" t="n">
        <v>-30215</v>
      </c>
      <c r="Q371" s="12" t="n">
        <v>-33707</v>
      </c>
      <c r="R371" s="12" t="n">
        <v>-39326</v>
      </c>
      <c r="S371" s="12" t="n">
        <v>-29395</v>
      </c>
      <c r="T371" s="12" t="n">
        <v>-14568</v>
      </c>
      <c r="U371" s="12" t="n">
        <v>-20084</v>
      </c>
      <c r="V371" s="12" t="n">
        <v>16777</v>
      </c>
    </row>
    <row r="372">
      <c r="A372" s="18" t="inlineStr">
        <is>
          <t>단기차입금 순증감</t>
        </is>
      </c>
      <c r="C372" s="20" t="n">
        <v>9853</v>
      </c>
      <c r="E372" s="20" t="n">
        <v>-31406</v>
      </c>
      <c r="P372" s="20" t="n">
        <v>17418</v>
      </c>
      <c r="Q372" s="20" t="n">
        <v>7602</v>
      </c>
      <c r="R372" s="20" t="n">
        <v>3108</v>
      </c>
      <c r="S372" s="20" t="n">
        <v>-2511</v>
      </c>
      <c r="T372" s="20" t="n">
        <v>3734</v>
      </c>
      <c r="U372" s="20" t="n">
        <v>2075</v>
      </c>
      <c r="V372" s="20" t="n">
        <v>-31406</v>
      </c>
    </row>
    <row r="373">
      <c r="A373" s="18" t="inlineStr">
        <is>
          <t>Increase Decrease In Commercial Papers Fin CF</t>
        </is>
      </c>
      <c r="C373" s="20" t="n">
        <v>-9000</v>
      </c>
      <c r="E373" s="20" t="n">
        <v>-26000</v>
      </c>
      <c r="P373" s="20" t="n">
        <v>0</v>
      </c>
      <c r="Q373" s="20" t="n">
        <v>8000</v>
      </c>
      <c r="R373" s="20" t="n">
        <v>9000</v>
      </c>
      <c r="S373" s="20" t="n">
        <v>-7000</v>
      </c>
      <c r="T373" s="20" t="n">
        <v>37000</v>
      </c>
      <c r="U373" s="20" t="n">
        <v>-21000</v>
      </c>
      <c r="V373" s="20" t="n">
        <v>-26000</v>
      </c>
    </row>
    <row r="374">
      <c r="A374" s="18" t="inlineStr">
        <is>
          <t>장기차입</t>
        </is>
      </c>
      <c r="C374" s="20" t="n">
        <v>21200</v>
      </c>
      <c r="E374" s="20" t="n">
        <v>23200</v>
      </c>
      <c r="P374" s="20" t="n">
        <v>10653</v>
      </c>
      <c r="Q374" s="20" t="n">
        <v>17422</v>
      </c>
      <c r="R374" s="20" t="n">
        <v>15934</v>
      </c>
      <c r="S374" s="20" t="n">
        <v>32791</v>
      </c>
      <c r="T374" s="20" t="n">
        <v>7800</v>
      </c>
      <c r="U374" s="20" t="n">
        <v>36267</v>
      </c>
      <c r="V374" s="20" t="n">
        <v>23200</v>
      </c>
    </row>
    <row r="375">
      <c r="A375" s="18" t="inlineStr">
        <is>
          <t>장기차입금 상환</t>
        </is>
      </c>
      <c r="C375" s="20" t="n">
        <v>-24824</v>
      </c>
      <c r="E375" s="20" t="n">
        <v>-26296</v>
      </c>
      <c r="P375" s="20" t="n">
        <v>-15894</v>
      </c>
      <c r="Q375" s="20" t="n">
        <v>-30676</v>
      </c>
      <c r="R375" s="20" t="n">
        <v>-16355</v>
      </c>
      <c r="S375" s="20" t="n">
        <v>-17773</v>
      </c>
      <c r="T375" s="20" t="n">
        <v>-10369</v>
      </c>
      <c r="U375" s="20" t="n">
        <v>-20002</v>
      </c>
      <c r="V375" s="20" t="n">
        <v>-26296</v>
      </c>
    </row>
    <row r="376">
      <c r="A376" s="18" t="inlineStr">
        <is>
          <t>사채 발행</t>
        </is>
      </c>
      <c r="C376" s="20" t="n">
        <v>0</v>
      </c>
      <c r="E376" s="20" t="n">
        <v>0</v>
      </c>
      <c r="P376" s="20" t="n">
        <v>0</v>
      </c>
      <c r="Q376" s="20" t="n">
        <v>10000</v>
      </c>
      <c r="R376" s="20" t="n">
        <v>15000</v>
      </c>
      <c r="S376" s="20" t="n">
        <v>0</v>
      </c>
      <c r="T376" s="20" t="n">
        <v>0</v>
      </c>
      <c r="U376" s="20" t="n">
        <v>10000</v>
      </c>
      <c r="V376" s="20" t="n">
        <v>0</v>
      </c>
    </row>
    <row r="377">
      <c r="A377" s="18" t="inlineStr">
        <is>
          <t>사채 상환</t>
        </is>
      </c>
      <c r="Q377" s="20" t="n">
        <v>0</v>
      </c>
      <c r="R377" s="20" t="n">
        <v>-10000</v>
      </c>
      <c r="S377" s="20" t="n">
        <v>0</v>
      </c>
      <c r="T377" s="20" t="n">
        <v>-10000</v>
      </c>
      <c r="U377" s="20" t="n">
        <v>0</v>
      </c>
    </row>
    <row r="378">
      <c r="A378" s="18" t="inlineStr">
        <is>
          <t>자기주식 매각</t>
        </is>
      </c>
      <c r="C378" s="20" t="n">
        <v>639</v>
      </c>
      <c r="E378" s="20" t="n">
        <v>639</v>
      </c>
      <c r="U378" s="20" t="n">
        <v>0</v>
      </c>
      <c r="V378" s="20" t="n">
        <v>639</v>
      </c>
    </row>
    <row r="379">
      <c r="A379" s="18" t="inlineStr">
        <is>
          <t>자기주식 취득</t>
        </is>
      </c>
      <c r="C379" s="20" t="n">
        <v>-643</v>
      </c>
      <c r="E379" s="20" t="n">
        <v>-645</v>
      </c>
      <c r="P379" s="20" t="n">
        <v>-31</v>
      </c>
      <c r="Q379" s="20" t="n">
        <v>-7</v>
      </c>
      <c r="R379" s="20" t="n">
        <v>-5</v>
      </c>
      <c r="S379" s="20" t="n">
        <v>-4</v>
      </c>
      <c r="T379" s="20" t="n">
        <v>-3</v>
      </c>
      <c r="U379" s="20" t="n">
        <v>-4</v>
      </c>
      <c r="V379" s="20" t="n">
        <v>-645</v>
      </c>
    </row>
    <row r="380">
      <c r="A380" s="18" t="inlineStr">
        <is>
          <t>자회사 자기주식 취득 지출</t>
        </is>
      </c>
      <c r="C380" s="20" t="n">
        <v>-0</v>
      </c>
      <c r="E380" s="20" t="n">
        <v>-24</v>
      </c>
      <c r="P380" s="20" t="n">
        <v>-588</v>
      </c>
      <c r="Q380" s="20" t="n">
        <v>-0</v>
      </c>
      <c r="R380" s="20" t="n">
        <v>-0</v>
      </c>
      <c r="S380" s="20" t="n">
        <v>-1</v>
      </c>
      <c r="T380" s="20" t="n">
        <v>-212</v>
      </c>
      <c r="U380" s="20" t="n">
        <v>-1</v>
      </c>
      <c r="V380" s="20" t="n">
        <v>-24</v>
      </c>
    </row>
    <row r="381">
      <c r="A381" s="18" t="inlineStr">
        <is>
          <t>배당금 지급</t>
        </is>
      </c>
      <c r="C381" s="20" t="n">
        <v>-5532</v>
      </c>
      <c r="E381" s="20" t="n">
        <v>-9802</v>
      </c>
      <c r="P381" s="20" t="n">
        <v>-5115</v>
      </c>
      <c r="Q381" s="20" t="n">
        <v>-5330</v>
      </c>
      <c r="R381" s="20" t="n">
        <v>-5114</v>
      </c>
      <c r="S381" s="20" t="n">
        <v>-1074</v>
      </c>
      <c r="T381" s="20" t="n">
        <v>-4476</v>
      </c>
      <c r="U381" s="20" t="n">
        <v>-8519</v>
      </c>
      <c r="V381" s="20" t="n">
        <v>-9802</v>
      </c>
    </row>
    <row r="382">
      <c r="A382" s="18" t="inlineStr">
        <is>
          <t>비지배주주 배당금 지급</t>
        </is>
      </c>
      <c r="C382" s="20" t="n">
        <v>-484</v>
      </c>
      <c r="E382" s="20" t="n">
        <v>-937</v>
      </c>
      <c r="P382" s="20" t="n">
        <v>-634</v>
      </c>
      <c r="Q382" s="20" t="n">
        <v>-686</v>
      </c>
      <c r="R382" s="20" t="n">
        <v>-647</v>
      </c>
      <c r="S382" s="20" t="n">
        <v>-426</v>
      </c>
      <c r="T382" s="20" t="n">
        <v>-859</v>
      </c>
      <c r="U382" s="20" t="n">
        <v>-891</v>
      </c>
      <c r="V382" s="20" t="n">
        <v>-937</v>
      </c>
    </row>
    <row r="383">
      <c r="A383" s="18" t="inlineStr">
        <is>
          <t>연결범위 변경 없는 자회사 주식 취득</t>
        </is>
      </c>
      <c r="P383" s="20" t="n">
        <v>0</v>
      </c>
      <c r="Q383" s="20" t="n">
        <v>-359</v>
      </c>
      <c r="R383" s="20" t="n">
        <v>0</v>
      </c>
      <c r="S383" s="20" t="n">
        <v>-519</v>
      </c>
      <c r="T383" s="20" t="n">
        <v>-2662</v>
      </c>
      <c r="U383" s="20" t="n">
        <v>0</v>
      </c>
    </row>
    <row r="384">
      <c r="A384" s="18" t="inlineStr">
        <is>
          <t>기타</t>
        </is>
      </c>
      <c r="C384" s="20" t="n">
        <v>-429</v>
      </c>
      <c r="E384" s="20" t="n">
        <v>-536</v>
      </c>
      <c r="P384" s="20" t="n">
        <v>-332</v>
      </c>
      <c r="Q384" s="20" t="n">
        <v>-374</v>
      </c>
      <c r="R384" s="20" t="n">
        <v>-392</v>
      </c>
      <c r="S384" s="20" t="n">
        <v>-480</v>
      </c>
      <c r="T384" s="20" t="n">
        <v>-549</v>
      </c>
      <c r="U384" s="20" t="n">
        <v>-592</v>
      </c>
      <c r="V384" s="20" t="n">
        <v>-536</v>
      </c>
    </row>
    <row r="385">
      <c r="A385" s="9" t="inlineStr">
        <is>
          <t>재무활동 현금흐름</t>
        </is>
      </c>
      <c r="C385" s="12" t="n">
        <v>-9222</v>
      </c>
      <c r="E385" s="12" t="n">
        <v>-71810</v>
      </c>
      <c r="P385" s="12" t="n">
        <v>5477</v>
      </c>
      <c r="Q385" s="12" t="n">
        <v>5589</v>
      </c>
      <c r="R385" s="12" t="n">
        <v>10526</v>
      </c>
      <c r="S385" s="12" t="n">
        <v>2999</v>
      </c>
      <c r="T385" s="12" t="n">
        <v>19402</v>
      </c>
      <c r="U385" s="12" t="n">
        <v>-2668</v>
      </c>
      <c r="V385" s="12" t="n">
        <v>-71810</v>
      </c>
    </row>
    <row r="386">
      <c r="A386" s="18" t="inlineStr">
        <is>
          <t>현금성자산 환산차이</t>
        </is>
      </c>
      <c r="C386" s="20" t="n">
        <v>1696</v>
      </c>
      <c r="E386" s="20" t="n">
        <v>2150</v>
      </c>
      <c r="P386" s="20" t="n">
        <v>-173</v>
      </c>
      <c r="Q386" s="20" t="n">
        <v>-11</v>
      </c>
      <c r="R386" s="20" t="n">
        <v>-89</v>
      </c>
      <c r="S386" s="20" t="n">
        <v>17</v>
      </c>
      <c r="T386" s="20" t="n">
        <v>1936</v>
      </c>
      <c r="U386" s="20" t="n">
        <v>963</v>
      </c>
      <c r="V386" s="20" t="n">
        <v>2150</v>
      </c>
    </row>
    <row r="387">
      <c r="A387" s="18" t="inlineStr">
        <is>
          <t>현금성자산 증감</t>
        </is>
      </c>
      <c r="C387" s="20" t="n">
        <v>3125</v>
      </c>
      <c r="E387" s="20" t="n">
        <v>5775</v>
      </c>
      <c r="P387" s="20" t="n">
        <v>6131</v>
      </c>
      <c r="Q387" s="20" t="n">
        <v>-15</v>
      </c>
      <c r="R387" s="20" t="n">
        <v>12144</v>
      </c>
      <c r="S387" s="20" t="n">
        <v>7387</v>
      </c>
      <c r="T387" s="20" t="n">
        <v>-9914</v>
      </c>
      <c r="U387" s="20" t="n">
        <v>844</v>
      </c>
      <c r="V387" s="20" t="n">
        <v>5775</v>
      </c>
    </row>
    <row r="388">
      <c r="A388" s="18" t="inlineStr">
        <is>
          <t>신규 연결 현금성자산 증가</t>
        </is>
      </c>
      <c r="P388" s="20" t="n">
        <v>441</v>
      </c>
      <c r="Q388" s="20" t="n">
        <v>485</v>
      </c>
      <c r="R388" s="20" t="n">
        <v>4970</v>
      </c>
      <c r="S388" s="20" t="n">
        <v>328</v>
      </c>
      <c r="T38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5471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418608</v>
      </c>
      <c r="D5" s="12" t="n">
        <v>415616</v>
      </c>
      <c r="E5" s="12" t="n">
        <v>434561</v>
      </c>
      <c r="F5" s="12" t="n">
        <v>447288</v>
      </c>
      <c r="G5" s="12" t="n">
        <v>480244</v>
      </c>
      <c r="H5" s="11" t="n">
        <v>382218</v>
      </c>
      <c r="I5" s="12" t="n">
        <v>416853</v>
      </c>
      <c r="J5" s="12" t="n">
        <v>415434</v>
      </c>
      <c r="K5" s="12" t="n">
        <v>416999</v>
      </c>
      <c r="L5" s="12" t="n">
        <v>447288</v>
      </c>
    </row>
    <row r="6">
      <c r="A6" s="18" t="inlineStr">
        <is>
          <t>현금및현금성자산</t>
        </is>
      </c>
      <c r="B6" s="10" t="n"/>
      <c r="C6" s="19" t="n">
        <v>62287</v>
      </c>
      <c r="D6" s="20" t="n">
        <v>59099</v>
      </c>
      <c r="E6" s="20" t="n">
        <v>56641</v>
      </c>
      <c r="F6" s="20" t="n">
        <v>63072</v>
      </c>
      <c r="G6" s="20" t="n">
        <v>66467</v>
      </c>
      <c r="H6" s="19" t="n">
        <v>55644</v>
      </c>
      <c r="I6" s="20" t="n">
        <v>56488</v>
      </c>
      <c r="J6" s="20" t="n">
        <v>46008</v>
      </c>
      <c r="K6" s="20" t="n">
        <v>61218</v>
      </c>
      <c r="L6" s="20" t="n">
        <v>63072</v>
      </c>
    </row>
    <row r="7">
      <c r="A7" s="18" t="inlineStr">
        <is>
          <t>단기금융상품</t>
        </is>
      </c>
      <c r="B7" s="10" t="n"/>
      <c r="C7" s="19" t="n">
        <v>1045</v>
      </c>
      <c r="D7" s="20" t="n">
        <v>1007</v>
      </c>
      <c r="E7" s="20" t="n">
        <v>1105</v>
      </c>
      <c r="F7" s="20" t="n">
        <v>1276</v>
      </c>
      <c r="G7" s="20" t="n">
        <v>1224</v>
      </c>
      <c r="H7" s="19" t="n">
        <v>2551</v>
      </c>
      <c r="I7" s="20" t="n">
        <v>1772</v>
      </c>
      <c r="J7" s="20" t="n">
        <v>1986</v>
      </c>
      <c r="K7" s="20" t="n">
        <v>939</v>
      </c>
      <c r="L7" s="20" t="n">
        <v>1276</v>
      </c>
    </row>
    <row r="8">
      <c r="A8" s="18" t="inlineStr">
        <is>
          <t>매출채권</t>
        </is>
      </c>
      <c r="B8" s="10" t="n"/>
      <c r="C8" s="19" t="n">
        <v>148023</v>
      </c>
      <c r="D8" s="20" t="n">
        <v>151407</v>
      </c>
      <c r="E8" s="20" t="n">
        <v>168800</v>
      </c>
      <c r="F8" s="20" t="n">
        <v>158935</v>
      </c>
      <c r="G8" s="20" t="n">
        <v>169893</v>
      </c>
      <c r="H8" s="19" t="n">
        <v>145541</v>
      </c>
      <c r="I8" s="20" t="n">
        <v>156737</v>
      </c>
      <c r="J8" s="20" t="n">
        <v>170907</v>
      </c>
      <c r="K8" s="20" t="n">
        <v>147433</v>
      </c>
      <c r="L8" s="20" t="n">
        <v>158935</v>
      </c>
    </row>
    <row r="9">
      <c r="A9" s="18" t="inlineStr">
        <is>
          <t>재고자산</t>
        </is>
      </c>
      <c r="B9" s="10" t="n"/>
      <c r="C9" s="19" t="n">
        <v>194981</v>
      </c>
      <c r="D9" s="20" t="n">
        <v>191755</v>
      </c>
      <c r="E9" s="20" t="n">
        <v>193386</v>
      </c>
      <c r="F9" s="20" t="n">
        <v>211501</v>
      </c>
      <c r="G9" s="20" t="n">
        <v>228728</v>
      </c>
      <c r="H9" s="19" t="n">
        <v>165828</v>
      </c>
      <c r="I9" s="20" t="n">
        <v>191361</v>
      </c>
      <c r="J9" s="20" t="n">
        <v>186717</v>
      </c>
      <c r="K9" s="20" t="n">
        <v>195483</v>
      </c>
      <c r="L9" s="20" t="n">
        <v>211501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372774</v>
      </c>
      <c r="D11" s="12" t="n">
        <v>386927</v>
      </c>
      <c r="E11" s="12" t="n">
        <v>380696</v>
      </c>
      <c r="F11" s="12" t="n">
        <v>409091</v>
      </c>
      <c r="G11" s="12" t="n">
        <v>425632</v>
      </c>
      <c r="H11" s="11" t="n">
        <v>346768</v>
      </c>
      <c r="I11" s="12" t="n">
        <v>355507</v>
      </c>
      <c r="J11" s="12" t="n">
        <v>373300</v>
      </c>
      <c r="K11" s="12" t="n">
        <v>365975</v>
      </c>
      <c r="L11" s="12" t="n">
        <v>409091</v>
      </c>
    </row>
    <row r="12">
      <c r="A12" s="18" t="inlineStr">
        <is>
          <t>유형자산</t>
        </is>
      </c>
      <c r="B12" s="10" t="n"/>
      <c r="C12" s="19" t="n">
        <v>237267</v>
      </c>
      <c r="D12" s="20" t="n">
        <v>245099</v>
      </c>
      <c r="E12" s="20" t="n">
        <v>248553</v>
      </c>
      <c r="F12" s="20" t="n">
        <v>255302</v>
      </c>
      <c r="G12" s="20" t="n">
        <v>259724</v>
      </c>
      <c r="H12" s="19" t="n">
        <v>218085</v>
      </c>
      <c r="I12" s="20" t="n">
        <v>217056</v>
      </c>
      <c r="J12" s="20" t="n">
        <v>220030</v>
      </c>
      <c r="K12" s="20" t="n">
        <v>234469</v>
      </c>
      <c r="L12" s="20" t="n">
        <v>255302</v>
      </c>
    </row>
    <row r="13">
      <c r="A13" s="18" t="inlineStr">
        <is>
          <t>무형자산</t>
        </is>
      </c>
      <c r="B13" s="10" t="n"/>
      <c r="C13" s="19" t="n">
        <v>6794</v>
      </c>
      <c r="D13" s="20" t="n">
        <v>7152</v>
      </c>
      <c r="E13" s="20" t="n">
        <v>7680</v>
      </c>
      <c r="F13" s="20" t="n">
        <v>8632</v>
      </c>
      <c r="G13" s="20" t="n">
        <v>9031</v>
      </c>
      <c r="H13" s="19" t="n">
        <v>3439</v>
      </c>
      <c r="I13" s="20" t="n">
        <v>4236</v>
      </c>
      <c r="J13" s="20" t="n">
        <v>4958</v>
      </c>
      <c r="K13" s="20" t="n">
        <v>6559</v>
      </c>
      <c r="L13" s="20" t="n">
        <v>8632</v>
      </c>
    </row>
    <row r="14">
      <c r="A14" s="18" t="inlineStr">
        <is>
          <t>투자부동산</t>
        </is>
      </c>
      <c r="B14" s="10" t="n"/>
      <c r="C14" s="19" t="n">
        <v>4293</v>
      </c>
      <c r="D14" s="20" t="n">
        <v>4270</v>
      </c>
      <c r="E14" s="20" t="n">
        <v>4239</v>
      </c>
      <c r="F14" s="20" t="n">
        <v>4258</v>
      </c>
      <c r="G14" s="20" t="n">
        <v>4228</v>
      </c>
      <c r="H14" s="19" t="n">
        <v>6504</v>
      </c>
      <c r="I14" s="20" t="n">
        <v>6205</v>
      </c>
      <c r="J14" s="20" t="n">
        <v>4370</v>
      </c>
      <c r="K14" s="20" t="n">
        <v>4224</v>
      </c>
      <c r="L14" s="20" t="n">
        <v>4258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791382</v>
      </c>
      <c r="D16" s="12" t="n">
        <v>802544</v>
      </c>
      <c r="E16" s="12" t="n">
        <v>815257</v>
      </c>
      <c r="F16" s="12" t="n">
        <v>856380</v>
      </c>
      <c r="G16" s="12" t="n">
        <v>905876</v>
      </c>
      <c r="H16" s="11" t="n">
        <v>728986</v>
      </c>
      <c r="I16" s="12" t="n">
        <v>772361</v>
      </c>
      <c r="J16" s="12" t="n">
        <v>788734</v>
      </c>
      <c r="K16" s="12" t="n">
        <v>782974</v>
      </c>
      <c r="L16" s="12" t="n">
        <v>856380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162522</v>
      </c>
      <c r="D18" s="12" t="n">
        <v>182127</v>
      </c>
      <c r="E18" s="12" t="n">
        <v>184072</v>
      </c>
      <c r="F18" s="12" t="n">
        <v>199699</v>
      </c>
      <c r="G18" s="12" t="n">
        <v>248723</v>
      </c>
      <c r="H18" s="11" t="n">
        <v>243270</v>
      </c>
      <c r="I18" s="12" t="n">
        <v>228880</v>
      </c>
      <c r="J18" s="12" t="n">
        <v>170658</v>
      </c>
      <c r="K18" s="12" t="n">
        <v>182259</v>
      </c>
      <c r="L18" s="12" t="n">
        <v>199699</v>
      </c>
    </row>
    <row r="19">
      <c r="A19" s="18" t="inlineStr">
        <is>
          <t>매입채무</t>
        </is>
      </c>
      <c r="B19" s="10" t="n"/>
      <c r="C19" s="19" t="n">
        <v>66984</v>
      </c>
      <c r="D19" s="20" t="n">
        <v>66522</v>
      </c>
      <c r="E19" s="20" t="n">
        <v>68928</v>
      </c>
      <c r="F19" s="20" t="n">
        <v>72039</v>
      </c>
      <c r="G19" s="20" t="n">
        <v>78541</v>
      </c>
      <c r="H19" s="19" t="n">
        <v>71679</v>
      </c>
      <c r="I19" s="20" t="n">
        <v>68908</v>
      </c>
      <c r="J19" s="20" t="n">
        <v>72275</v>
      </c>
      <c r="K19" s="20" t="n">
        <v>67998</v>
      </c>
      <c r="L19" s="20" t="n">
        <v>72039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84562</v>
      </c>
      <c r="I20" s="20" t="n">
        <v>93309</v>
      </c>
      <c r="J20" s="20" t="n">
        <v>53098</v>
      </c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0</v>
      </c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156865</v>
      </c>
      <c r="D23" s="12" t="n">
        <v>142428</v>
      </c>
      <c r="E23" s="12" t="n">
        <v>141805</v>
      </c>
      <c r="F23" s="12" t="n">
        <v>143223</v>
      </c>
      <c r="G23" s="12" t="n">
        <v>131840</v>
      </c>
      <c r="H23" s="11" t="n">
        <v>126307</v>
      </c>
      <c r="I23" s="12" t="n">
        <v>148713</v>
      </c>
      <c r="J23" s="12" t="n">
        <v>160762</v>
      </c>
      <c r="K23" s="12" t="n">
        <v>131571</v>
      </c>
      <c r="L23" s="12" t="n">
        <v>143223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69911</v>
      </c>
      <c r="I24" s="20" t="n">
        <v>79980</v>
      </c>
      <c r="J24" s="20" t="n">
        <v>86481</v>
      </c>
      <c r="K24" s="20" t="n"/>
      <c r="L24" s="20" t="n"/>
    </row>
    <row r="25">
      <c r="A25" s="18" t="inlineStr">
        <is>
          <t>사채</t>
        </is>
      </c>
      <c r="B25" s="10" t="n"/>
      <c r="C25" s="19" t="n">
        <v>120297</v>
      </c>
      <c r="D25" s="20" t="n">
        <v>105274</v>
      </c>
      <c r="E25" s="20" t="n">
        <v>104353</v>
      </c>
      <c r="F25" s="20" t="n">
        <v>101863</v>
      </c>
      <c r="G25" s="20" t="n">
        <v>88332</v>
      </c>
      <c r="H25" s="19" t="n">
        <v>94822</v>
      </c>
      <c r="I25" s="20" t="n">
        <v>114728</v>
      </c>
      <c r="J25" s="20" t="n">
        <v>121390</v>
      </c>
      <c r="K25" s="20" t="n">
        <v>98633</v>
      </c>
      <c r="L25" s="20" t="n">
        <v>101863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319388</v>
      </c>
      <c r="D27" s="12" t="n">
        <v>324556</v>
      </c>
      <c r="E27" s="12" t="n">
        <v>325877</v>
      </c>
      <c r="F27" s="12" t="n">
        <v>342922</v>
      </c>
      <c r="G27" s="12" t="n">
        <v>380564</v>
      </c>
      <c r="H27" s="11" t="n">
        <v>369577</v>
      </c>
      <c r="I27" s="12" t="n">
        <v>377593</v>
      </c>
      <c r="J27" s="12" t="n">
        <v>331420</v>
      </c>
      <c r="K27" s="12" t="n">
        <v>313830</v>
      </c>
      <c r="L27" s="12" t="n">
        <v>342922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432491</v>
      </c>
      <c r="D31" s="12" t="n">
        <v>437407</v>
      </c>
      <c r="E31" s="12" t="n">
        <v>448346</v>
      </c>
      <c r="F31" s="12" t="n">
        <v>472565</v>
      </c>
      <c r="G31" s="12" t="n">
        <v>484157</v>
      </c>
      <c r="H31" s="11" t="n">
        <v>324494</v>
      </c>
      <c r="I31" s="12" t="n">
        <v>358122</v>
      </c>
      <c r="J31" s="12" t="n">
        <v>418562</v>
      </c>
      <c r="K31" s="12" t="n">
        <v>429278</v>
      </c>
      <c r="L31" s="12" t="n">
        <v>472565</v>
      </c>
    </row>
    <row r="32">
      <c r="A32" s="18" t="inlineStr">
        <is>
          <t>자본금</t>
        </is>
      </c>
      <c r="B32" s="10" t="n"/>
      <c r="C32" s="19" t="n">
        <v>37172</v>
      </c>
      <c r="D32" s="20" t="n">
        <v>37172</v>
      </c>
      <c r="E32" s="20" t="n">
        <v>37172</v>
      </c>
      <c r="F32" s="20" t="n">
        <v>37172</v>
      </c>
      <c r="G32" s="20" t="n">
        <v>37172</v>
      </c>
      <c r="H32" s="19" t="n">
        <v>37172</v>
      </c>
      <c r="I32" s="20" t="n">
        <v>37172</v>
      </c>
      <c r="J32" s="20" t="n">
        <v>37172</v>
      </c>
      <c r="K32" s="20" t="n">
        <v>37172</v>
      </c>
      <c r="L32" s="20" t="n">
        <v>37172</v>
      </c>
    </row>
    <row r="33">
      <c r="A33" s="18" t="inlineStr">
        <is>
          <t>이익잉여금</t>
        </is>
      </c>
      <c r="B33" s="10" t="n"/>
      <c r="C33" s="19" t="n">
        <v>333941</v>
      </c>
      <c r="D33" s="20" t="n">
        <v>340462</v>
      </c>
      <c r="E33" s="20" t="n">
        <v>349876</v>
      </c>
      <c r="F33" s="20" t="n">
        <v>360715</v>
      </c>
      <c r="G33" s="20" t="n">
        <v>364433</v>
      </c>
      <c r="H33" s="19" t="n">
        <v>248574</v>
      </c>
      <c r="I33" s="20" t="n">
        <v>274326</v>
      </c>
      <c r="J33" s="20" t="n">
        <v>312243</v>
      </c>
      <c r="K33" s="20" t="n">
        <v>332888</v>
      </c>
      <c r="L33" s="20" t="n">
        <v>360715</v>
      </c>
    </row>
    <row r="34">
      <c r="A34" s="18" t="inlineStr">
        <is>
          <t>비지배지분</t>
        </is>
      </c>
      <c r="B34" s="10" t="n"/>
      <c r="C34" s="19" t="n">
        <v>39502</v>
      </c>
      <c r="D34" s="20" t="n">
        <v>40580</v>
      </c>
      <c r="E34" s="20" t="n">
        <v>41033</v>
      </c>
      <c r="F34" s="20" t="n">
        <v>40892</v>
      </c>
      <c r="G34" s="20" t="n">
        <v>41154</v>
      </c>
      <c r="H34" s="19" t="n">
        <v>34914</v>
      </c>
      <c r="I34" s="20" t="n">
        <v>36644</v>
      </c>
      <c r="J34" s="20" t="n">
        <v>38750</v>
      </c>
      <c r="K34" s="20" t="n">
        <v>39865</v>
      </c>
      <c r="L34" s="20" t="n">
        <v>40892</v>
      </c>
    </row>
    <row r="35">
      <c r="A35" s="9" t="inlineStr">
        <is>
          <t>자본총계</t>
        </is>
      </c>
      <c r="B35" s="10" t="n"/>
      <c r="C35" s="11" t="n">
        <v>471994</v>
      </c>
      <c r="D35" s="12" t="n">
        <v>477987</v>
      </c>
      <c r="E35" s="12" t="n">
        <v>489379</v>
      </c>
      <c r="F35" s="12" t="n">
        <v>513457</v>
      </c>
      <c r="G35" s="12" t="n">
        <v>525311</v>
      </c>
      <c r="H35" s="11" t="n">
        <v>359408</v>
      </c>
      <c r="I35" s="12" t="n">
        <v>394767</v>
      </c>
      <c r="J35" s="12" t="n">
        <v>457313</v>
      </c>
      <c r="K35" s="12" t="n">
        <v>469144</v>
      </c>
      <c r="L35" s="12" t="n">
        <v>513457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71215</v>
      </c>
      <c r="E37" s="12" t="n"/>
      <c r="F37" s="12" t="n">
        <v>66096</v>
      </c>
      <c r="G37" s="12" t="n"/>
      <c r="H37" s="11" t="n">
        <v>-16684</v>
      </c>
      <c r="I37" s="12" t="n">
        <v>27907</v>
      </c>
      <c r="J37" s="12" t="n">
        <v>50239</v>
      </c>
      <c r="K37" s="12" t="n">
        <v>53516</v>
      </c>
      <c r="L37" s="12" t="n">
        <v>66096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>
        <v>19066</v>
      </c>
      <c r="I38" s="20" t="n">
        <v>21450</v>
      </c>
      <c r="J38" s="20" t="n">
        <v>27226</v>
      </c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9849</v>
      </c>
      <c r="E40" s="20" t="n"/>
      <c r="F40" s="20" t="n">
        <v>9765</v>
      </c>
      <c r="G40" s="20" t="n"/>
      <c r="H40" s="19" t="n">
        <v>4476</v>
      </c>
      <c r="I40" s="20" t="n">
        <v>8519</v>
      </c>
      <c r="J40" s="20" t="n">
        <v>9802</v>
      </c>
      <c r="K40" s="20" t="n">
        <v>10033</v>
      </c>
      <c r="L40" s="20" t="n">
        <v>9765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IFERROR((IF(COUNT('연간'!G46:J46)&lt;4,"",SUM('연간'!G46:J46)))/(IF(COUNT('연간'!G68:J68)&lt;4,"",SUM('연간'!G68:J68))),"")</f>
        <v/>
      </c>
      <c r="D48" s="31">
        <f>IFERROR((IF(COUNT('연간'!H46:K46)&lt;4,"",SUM('연간'!H46:K46)))/(IF(COUNT('연간'!H68:K68)&lt;4,"",SUM('연간'!H68:K68))),"")</f>
        <v/>
      </c>
      <c r="E48" s="31">
        <f>IFERROR((IF(COUNT('연간'!I46:L46)&lt;4,"",SUM('연간'!I46:L46)))/(IF(COUNT('연간'!I68:L68)&lt;4,"",SUM('연간'!I68:L68))),"")</f>
        <v/>
      </c>
      <c r="F48" s="31">
        <f>IFERROR((IF(COUNT('연간'!J46:M46)&lt;4,"",SUM('연간'!J46:M46)))/(IF(COUNT('연간'!J68:M68)&lt;4,"",SUM('연간'!J68:M68))),"")</f>
        <v/>
      </c>
      <c r="G48" s="31">
        <f>IFERROR((IF(COUNT('연간'!K46:N46)&lt;4,"",SUM('연간'!K46:N46)))/(IF(COUNT('연간'!K68:N68)&lt;4,"",SUM('연간'!K68:N68))),"")</f>
        <v/>
      </c>
      <c r="H48" s="30">
        <f>IFERROR(('연간'!T46)/('연간'!T68),"")</f>
        <v/>
      </c>
      <c r="I48" s="31">
        <f>IFERROR(('연간'!U46)/('연간'!U68),"")</f>
        <v/>
      </c>
      <c r="J48" s="31">
        <f>IFERROR(('연간'!V46)/('연간'!V68),"")</f>
        <v/>
      </c>
      <c r="K48" s="31">
        <f>IFERROR(('연간'!W46)/('연간'!W68),"")</f>
        <v/>
      </c>
      <c r="L48" s="31">
        <f>IFERROR(('연간'!X46)/('연간'!X68),"")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IFERROR(IF((IF(COUNT('연간'!G76:J76)&lt;4,"",SUM('연간'!G76:J76)))&lt;=0,"적자",C28/(IF(COUNT('연간'!G76:J76)&lt;4,"",SUM('연간'!G76:J76)))),"")</f>
        <v/>
      </c>
      <c r="D49" s="47">
        <f>IFERROR(IF((IF(COUNT('연간'!H76:K76)&lt;4,"",SUM('연간'!H76:K76)))&lt;=0,"적자",D28/(IF(COUNT('연간'!H76:K76)&lt;4,"",SUM('연간'!H76:K76)))),"")</f>
        <v/>
      </c>
      <c r="E49" s="47">
        <f>IFERROR(IF((IF(COUNT('연간'!I76:L76)&lt;4,"",SUM('연간'!I76:L76)))&lt;=0,"적자",E28/(IF(COUNT('연간'!I76:L76)&lt;4,"",SUM('연간'!I76:L76)))),"")</f>
        <v/>
      </c>
      <c r="F49" s="47">
        <f>IFERROR(IF((IF(COUNT('연간'!J76:M76)&lt;4,"",SUM('연간'!J76:M76)))&lt;=0,"적자",F28/(IF(COUNT('연간'!J76:M76)&lt;4,"",SUM('연간'!J76:M76)))),"")</f>
        <v/>
      </c>
      <c r="G49" s="47">
        <f>IFERROR(IF((IF(COUNT('연간'!K76:N76)&lt;4,"",SUM('연간'!K76:N76)))&lt;=0,"적자",G28/(IF(COUNT('연간'!K76:N76)&lt;4,"",SUM('연간'!K76:N76)))),"")</f>
        <v/>
      </c>
      <c r="H49" s="46">
        <f>IFERROR(IF(('연간'!T76)&lt;=0,"적자",H28/('연간'!T76)),"")</f>
        <v/>
      </c>
      <c r="I49" s="47">
        <f>IFERROR(IF(('연간'!U76)&lt;=0,"적자",I28/('연간'!U76)),"")</f>
        <v/>
      </c>
      <c r="J49" s="47">
        <f>IFERROR(IF(('연간'!V76)&lt;=0,"적자",J28/('연간'!V76)),"")</f>
        <v/>
      </c>
      <c r="K49" s="47">
        <f>IFERROR(IF(('연간'!W76)&lt;=0,"적자",K28/('연간'!W76)),"")</f>
        <v/>
      </c>
      <c r="L49" s="47">
        <f>IFERROR(IF(('연간'!X76)&lt;=0,"적자",L28/('연간'!X76)),"")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IFERROR((IF(COUNT('연간'!G76:J76)&lt;4,"",SUM('연간'!G76:J76)))/C31,"")</f>
        <v/>
      </c>
      <c r="D51" s="36">
        <f>IFERROR((IF(COUNT('연간'!H76:K76)&lt;4,"",SUM('연간'!H76:K76)))/D31,"")</f>
        <v/>
      </c>
      <c r="E51" s="36">
        <f>IFERROR((IF(COUNT('연간'!I76:L76)&lt;4,"",SUM('연간'!I76:L76)))/E31,"")</f>
        <v/>
      </c>
      <c r="F51" s="36">
        <f>IFERROR((IF(COUNT('연간'!J76:M76)&lt;4,"",SUM('연간'!J76:M76)))/F31,"")</f>
        <v/>
      </c>
      <c r="G51" s="36">
        <f>IFERROR((IF(COUNT('연간'!K76:N76)&lt;4,"",SUM('연간'!K76:N76)))/G31,"")</f>
        <v/>
      </c>
      <c r="H51" s="35">
        <f>IFERROR(('연간'!T76)/H31,"")</f>
        <v/>
      </c>
      <c r="I51" s="36">
        <f>IFERROR(('연간'!U76)/I31,"")</f>
        <v/>
      </c>
      <c r="J51" s="36">
        <f>IFERROR(('연간'!V76)/J31,"")</f>
        <v/>
      </c>
      <c r="K51" s="36">
        <f>IFERROR(('연간'!W76)/K31,"")</f>
        <v/>
      </c>
      <c r="L51" s="36">
        <f>IFERROR(('연간'!X76)/L31,"")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IFERROR((IF(COUNT('연간'!G74:J74)&lt;4,"",SUM('연간'!G74:J74)))/C16,"")</f>
        <v/>
      </c>
      <c r="D52" s="36">
        <f>IFERROR((IF(COUNT('연간'!H74:K74)&lt;4,"",SUM('연간'!H74:K74)))/D16,"")</f>
        <v/>
      </c>
      <c r="E52" s="36">
        <f>IFERROR((IF(COUNT('연간'!I74:L74)&lt;4,"",SUM('연간'!I74:L74)))/E16,"")</f>
        <v/>
      </c>
      <c r="F52" s="36">
        <f>IFERROR((IF(COUNT('연간'!J74:M74)&lt;4,"",SUM('연간'!J74:M74)))/F16,"")</f>
        <v/>
      </c>
      <c r="G52" s="36">
        <f>IFERROR((IF(COUNT('연간'!K74:N74)&lt;4,"",SUM('연간'!K74:N74)))/G16,"")</f>
        <v/>
      </c>
      <c r="H52" s="35">
        <f>IFERROR(('연간'!T74)/H16,"")</f>
        <v/>
      </c>
      <c r="I52" s="36">
        <f>IFERROR(('연간'!U74)/I16,"")</f>
        <v/>
      </c>
      <c r="J52" s="36">
        <f>IFERROR(('연간'!V74)/J16,"")</f>
        <v/>
      </c>
      <c r="K52" s="36">
        <f>IFERROR(('연간'!W74)/K16,"")</f>
        <v/>
      </c>
      <c r="L52" s="36">
        <f>IFERROR(('연간'!X74)/L16,"")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IFERROR((IF(COUNT('연간'!G46:J46)&lt;4,"",SUM('연간'!G46:J46)))*(1-0.3)/(C35+C29),"")</f>
        <v/>
      </c>
      <c r="D53" s="36">
        <f>IFERROR((IF(COUNT('연간'!H46:K46)&lt;4,"",SUM('연간'!H46:K46)))*(1-0.3)/(D35+D29),"")</f>
        <v/>
      </c>
      <c r="E53" s="36">
        <f>IFERROR((IF(COUNT('연간'!I46:L46)&lt;4,"",SUM('연간'!I46:L46)))*(1-0.3)/(E35+E29),"")</f>
        <v/>
      </c>
      <c r="F53" s="36">
        <f>IFERROR((IF(COUNT('연간'!J46:M46)&lt;4,"",SUM('연간'!J46:M46)))*(1-0.3)/(F35+F29),"")</f>
        <v/>
      </c>
      <c r="G53" s="36">
        <f>IFERROR((IF(COUNT('연간'!K46:N46)&lt;4,"",SUM('연간'!K46:N46)))*(1-0.3)/(G35+G29),"")</f>
        <v/>
      </c>
      <c r="H53" s="35">
        <f>IFERROR(('연간'!T46)*(1-0.3)/(H35+H29),"")</f>
        <v/>
      </c>
      <c r="I53" s="36">
        <f>IFERROR(('연간'!U46)*(1-0.3)/(I35+I29),"")</f>
        <v/>
      </c>
      <c r="J53" s="36">
        <f>IFERROR(('연간'!V46)*(1-0.3)/(J35+J29),"")</f>
        <v/>
      </c>
      <c r="K53" s="36">
        <f>IFERROR(('연간'!W46)*(1-0.3)/(K35+K29),"")</f>
        <v/>
      </c>
      <c r="L53" s="36">
        <f>IFERROR(('연간'!X46)*(1-0.3)/(L35+L29),"")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IFERROR((IF(COUNT('연간'!G40:J40)&lt;4,"",SUM('연간'!G40:J40)))/(IF(COUNT('연간'!G4:J4)&lt;4,"",SUM('연간'!G4:J4))),"")</f>
        <v/>
      </c>
      <c r="D54" s="36">
        <f>IFERROR((IF(COUNT('연간'!H40:K40)&lt;4,"",SUM('연간'!H40:K40)))/(IF(COUNT('연간'!H4:K4)&lt;4,"",SUM('연간'!H4:K4))),"")</f>
        <v/>
      </c>
      <c r="E54" s="36">
        <f>IFERROR((IF(COUNT('연간'!I40:L40)&lt;4,"",SUM('연간'!I40:L40)))/(IF(COUNT('연간'!I4:L4)&lt;4,"",SUM('연간'!I4:L4))),"")</f>
        <v/>
      </c>
      <c r="F54" s="36">
        <f>IFERROR((IF(COUNT('연간'!J40:M40)&lt;4,"",SUM('연간'!J40:M40)))/(IF(COUNT('연간'!J4:M4)&lt;4,"",SUM('연간'!J4:M4))),"")</f>
        <v/>
      </c>
      <c r="G54" s="36">
        <f>IFERROR((IF(COUNT('연간'!K40:N40)&lt;4,"",SUM('연간'!K40:N40)))/(IF(COUNT('연간'!K4:N4)&lt;4,"",SUM('연간'!K4:N4))),"")</f>
        <v/>
      </c>
      <c r="H54" s="35">
        <f>IFERROR(('연간'!T40)/('연간'!T4),"")</f>
        <v/>
      </c>
      <c r="I54" s="36">
        <f>IFERROR(('연간'!U40)/('연간'!U4),"")</f>
        <v/>
      </c>
      <c r="J54" s="36">
        <f>IFERROR(('연간'!V40)/('연간'!V4),"")</f>
        <v/>
      </c>
      <c r="K54" s="36">
        <f>IFERROR(('연간'!W40)/('연간'!W4),"")</f>
        <v/>
      </c>
      <c r="L54" s="36">
        <f>IFERROR(('연간'!X40)/('연간'!X4),"")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IFERROR((IF(COUNT('연간'!G46:J46)&lt;4,"",SUM('연간'!G46:J46)))/(IF(COUNT('연간'!G4:J4)&lt;4,"",SUM('연간'!G4:J4))),"")</f>
        <v/>
      </c>
      <c r="D55" s="36">
        <f>IFERROR((IF(COUNT('연간'!H46:K46)&lt;4,"",SUM('연간'!H46:K46)))/(IF(COUNT('연간'!H4:K4)&lt;4,"",SUM('연간'!H4:K4))),"")</f>
        <v/>
      </c>
      <c r="E55" s="36">
        <f>IFERROR((IF(COUNT('연간'!I46:L46)&lt;4,"",SUM('연간'!I46:L46)))/(IF(COUNT('연간'!I4:L4)&lt;4,"",SUM('연간'!I4:L4))),"")</f>
        <v/>
      </c>
      <c r="F55" s="36">
        <f>IFERROR((IF(COUNT('연간'!J46:M46)&lt;4,"",SUM('연간'!J46:M46)))/(IF(COUNT('연간'!J4:M4)&lt;4,"",SUM('연간'!J4:M4))),"")</f>
        <v/>
      </c>
      <c r="G55" s="36">
        <f>IFERROR((IF(COUNT('연간'!K46:N46)&lt;4,"",SUM('연간'!K46:N46)))/(IF(COUNT('연간'!K4:N4)&lt;4,"",SUM('연간'!K4:N4))),"")</f>
        <v/>
      </c>
      <c r="H55" s="35">
        <f>IFERROR(('연간'!T46)/('연간'!T4),"")</f>
        <v/>
      </c>
      <c r="I55" s="36">
        <f>IFERROR(('연간'!U46)/('연간'!U4),"")</f>
        <v/>
      </c>
      <c r="J55" s="36">
        <f>IFERROR(('연간'!V46)/('연간'!V4),"")</f>
        <v/>
      </c>
      <c r="K55" s="36">
        <f>IFERROR(('연간'!W46)/('연간'!W4),"")</f>
        <v/>
      </c>
      <c r="L55" s="36">
        <f>IFERROR(('연간'!X46)/('연간'!X4),"")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IFERROR((IF(COUNT('연간'!G74:J74)&lt;4,"",SUM('연간'!G74:J74)))/(IF(COUNT('연간'!G4:J4)&lt;4,"",SUM('연간'!G4:J4))),"")</f>
        <v/>
      </c>
      <c r="D56" s="36">
        <f>IFERROR((IF(COUNT('연간'!H74:K74)&lt;4,"",SUM('연간'!H74:K74)))/(IF(COUNT('연간'!H4:K4)&lt;4,"",SUM('연간'!H4:K4))),"")</f>
        <v/>
      </c>
      <c r="E56" s="36">
        <f>IFERROR((IF(COUNT('연간'!I74:L74)&lt;4,"",SUM('연간'!I74:L74)))/(IF(COUNT('연간'!I4:L4)&lt;4,"",SUM('연간'!I4:L4))),"")</f>
        <v/>
      </c>
      <c r="F56" s="36">
        <f>IFERROR((IF(COUNT('연간'!J74:M74)&lt;4,"",SUM('연간'!J74:M74)))/(IF(COUNT('연간'!J4:M4)&lt;4,"",SUM('연간'!J4:M4))),"")</f>
        <v/>
      </c>
      <c r="G56" s="36">
        <f>IFERROR((IF(COUNT('연간'!K74:N74)&lt;4,"",SUM('연간'!K74:N74)))/(IF(COUNT('연간'!K4:N4)&lt;4,"",SUM('연간'!K4:N4))),"")</f>
        <v/>
      </c>
      <c r="H56" s="35">
        <f>IFERROR(('연간'!T74)/('연간'!T4),"")</f>
        <v/>
      </c>
      <c r="I56" s="36">
        <f>IFERROR(('연간'!U74)/('연간'!U4),"")</f>
        <v/>
      </c>
      <c r="J56" s="36">
        <f>IFERROR(('연간'!V74)/('연간'!V4),"")</f>
        <v/>
      </c>
      <c r="K56" s="36">
        <f>IFERROR(('연간'!W74)/('연간'!W4),"")</f>
        <v/>
      </c>
      <c r="L56" s="36">
        <f>IFERROR(('연간'!X74)/('연간'!X4),"")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IFERROR(C9/(IF(COUNT('연간'!G38:J38)&lt;4,"",SUM('연간'!G38:J38)))*365,"")</f>
        <v/>
      </c>
      <c r="D60" s="49">
        <f>IFERROR(D9/(IF(COUNT('연간'!H38:K38)&lt;4,"",SUM('연간'!H38:K38)))*365,"")</f>
        <v/>
      </c>
      <c r="E60" s="49">
        <f>IFERROR(E9/(IF(COUNT('연간'!I38:L38)&lt;4,"",SUM('연간'!I38:L38)))*365,"")</f>
        <v/>
      </c>
      <c r="F60" s="49">
        <f>IFERROR(F9/(IF(COUNT('연간'!J38:M38)&lt;4,"",SUM('연간'!J38:M38)))*365,"")</f>
        <v/>
      </c>
      <c r="G60" s="49">
        <f>IFERROR(G9/(IF(COUNT('연간'!K38:N38)&lt;4,"",SUM('연간'!K38:N38)))*365,"")</f>
        <v/>
      </c>
      <c r="H60" s="48">
        <f>IFERROR(H9/('연간'!T38)*365,"")</f>
        <v/>
      </c>
      <c r="I60" s="49">
        <f>IFERROR(I9/('연간'!U38)*365,"")</f>
        <v/>
      </c>
      <c r="J60" s="49">
        <f>IFERROR(J9/('연간'!V38)*365,"")</f>
        <v/>
      </c>
      <c r="K60" s="49">
        <f>IFERROR(K9/('연간'!W38)*365,"")</f>
        <v/>
      </c>
      <c r="L60" s="49">
        <f>IFERROR(L9/('연간'!X38)*365,"")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IFERROR(C19/(IF(COUNT('연간'!G38:J38)&lt;4,"",SUM('연간'!G38:J38)))*365,"")</f>
        <v/>
      </c>
      <c r="D61" s="49">
        <f>IFERROR(D19/(IF(COUNT('연간'!H38:K38)&lt;4,"",SUM('연간'!H38:K38)))*365,"")</f>
        <v/>
      </c>
      <c r="E61" s="49">
        <f>IFERROR(E19/(IF(COUNT('연간'!I38:L38)&lt;4,"",SUM('연간'!I38:L38)))*365,"")</f>
        <v/>
      </c>
      <c r="F61" s="49">
        <f>IFERROR(F19/(IF(COUNT('연간'!J38:M38)&lt;4,"",SUM('연간'!J38:M38)))*365,"")</f>
        <v/>
      </c>
      <c r="G61" s="49">
        <f>IFERROR(G19/(IF(COUNT('연간'!K38:N38)&lt;4,"",SUM('연간'!K38:N38)))*365,"")</f>
        <v/>
      </c>
      <c r="H61" s="48">
        <f>IFERROR(H19/('연간'!T38)*365,"")</f>
        <v/>
      </c>
      <c r="I61" s="49">
        <f>IFERROR(I19/('연간'!U38)*365,"")</f>
        <v/>
      </c>
      <c r="J61" s="49">
        <f>IFERROR(J19/('연간'!V38)*365,"")</f>
        <v/>
      </c>
      <c r="K61" s="49">
        <f>IFERROR(K19/('연간'!W38)*365,"")</f>
        <v/>
      </c>
      <c r="L61" s="49">
        <f>IFERROR(L19/('연간'!X38)*365,"")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IF(C37="","",IFERROR(C37/(IF(COUNT('연간'!G74:J74)&lt;4,"",SUM('연간'!G74:J74))),""))</f>
        <v/>
      </c>
      <c r="D64" s="31">
        <f>IF(D37="","",IFERROR(D37/(IF(COUNT('연간'!H74:K74)&lt;4,"",SUM('연간'!H74:K74))),""))</f>
        <v/>
      </c>
      <c r="E64" s="31">
        <f>IF(E37="","",IFERROR(E37/(IF(COUNT('연간'!I74:L74)&lt;4,"",SUM('연간'!I74:L74))),""))</f>
        <v/>
      </c>
      <c r="F64" s="31">
        <f>IF(F37="","",IFERROR(F37/(IF(COUNT('연간'!J74:M74)&lt;4,"",SUM('연간'!J74:M74))),""))</f>
        <v/>
      </c>
      <c r="G64" s="31">
        <f>IF(G37="","",IFERROR(G37/(IF(COUNT('연간'!K74:N74)&lt;4,"",SUM('연간'!K74:N74))),""))</f>
        <v/>
      </c>
      <c r="H64" s="30">
        <f>IF(H37="","",IFERROR(H37/('연간'!T74),""))</f>
        <v/>
      </c>
      <c r="I64" s="31">
        <f>IF(I37="","",IFERROR(I37/('연간'!U74),""))</f>
        <v/>
      </c>
      <c r="J64" s="31">
        <f>IF(J37="","",IFERROR(J37/('연간'!V74),""))</f>
        <v/>
      </c>
      <c r="K64" s="31">
        <f>IF(K37="","",IFERROR(K37/('연간'!W74),""))</f>
        <v/>
      </c>
      <c r="L64" s="31">
        <f>IF(L37="","",IFERROR(L37/('연간'!X74),""))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IF(C40="","",IFERROR(C40/(IF(COUNT('연간'!G76:J76)&lt;4,"",SUM('연간'!G76:J76))),""))</f>
        <v/>
      </c>
      <c r="D67" s="36">
        <f>IF(D40="","",IFERROR(D40/(IF(COUNT('연간'!H76:K76)&lt;4,"",SUM('연간'!H76:K76))),""))</f>
        <v/>
      </c>
      <c r="E67" s="36">
        <f>IF(E40="","",IFERROR(E40/(IF(COUNT('연간'!I76:L76)&lt;4,"",SUM('연간'!I76:L76))),""))</f>
        <v/>
      </c>
      <c r="F67" s="36">
        <f>IF(F40="","",IFERROR(F40/(IF(COUNT('연간'!J76:M76)&lt;4,"",SUM('연간'!J76:M76))),""))</f>
        <v/>
      </c>
      <c r="G67" s="36">
        <f>IF(G40="","",IFERROR(G40/(IF(COUNT('연간'!K76:N76)&lt;4,"",SUM('연간'!K76:N76))),""))</f>
        <v/>
      </c>
      <c r="H67" s="35">
        <f>IF(H40="","",IFERROR(H40/('연간'!T76),""))</f>
        <v/>
      </c>
      <c r="I67" s="36">
        <f>IF(I40="","",IFERROR(I40/('연간'!U76),""))</f>
        <v/>
      </c>
      <c r="J67" s="36">
        <f>IF(J40="","",IFERROR(J40/('연간'!V76),""))</f>
        <v/>
      </c>
      <c r="K67" s="36">
        <f>IF(K40="","",IFERROR(K40/('연간'!W76),""))</f>
        <v/>
      </c>
      <c r="L67" s="36">
        <f>IF(L40="","",IFERROR(L40/('연간'!X76),""))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62287</v>
      </c>
      <c r="D71" s="20" t="n">
        <v>59099</v>
      </c>
      <c r="E71" s="20" t="n">
        <v>56641</v>
      </c>
      <c r="F71" s="20" t="n">
        <v>63072</v>
      </c>
      <c r="G71" s="20" t="n">
        <v>66467</v>
      </c>
      <c r="H71" s="20" t="n">
        <v>55644</v>
      </c>
      <c r="I71" s="20" t="n">
        <v>56488</v>
      </c>
      <c r="J71" s="20" t="n">
        <v>46008</v>
      </c>
      <c r="K71" s="20" t="n">
        <v>61218</v>
      </c>
      <c r="L71" s="20" t="n">
        <v>63072</v>
      </c>
    </row>
    <row r="72">
      <c r="A72" s="18" t="inlineStr">
        <is>
          <t>영업채권 및 기타채권</t>
        </is>
      </c>
      <c r="C72" s="20" t="n">
        <v>148023</v>
      </c>
      <c r="D72" s="20" t="n">
        <v>151407</v>
      </c>
      <c r="E72" s="20" t="n">
        <v>168800</v>
      </c>
      <c r="F72" s="20" t="n">
        <v>158935</v>
      </c>
      <c r="G72" s="20" t="n">
        <v>169893</v>
      </c>
      <c r="H72" s="20" t="n">
        <v>145541</v>
      </c>
      <c r="I72" s="20" t="n">
        <v>156737</v>
      </c>
      <c r="J72" s="20" t="n">
        <v>170907</v>
      </c>
      <c r="K72" s="20" t="n">
        <v>147433</v>
      </c>
      <c r="L72" s="20" t="n">
        <v>158935</v>
      </c>
    </row>
    <row r="73">
      <c r="A73" s="18" t="inlineStr">
        <is>
          <t>계약자산</t>
        </is>
      </c>
      <c r="C73" s="20" t="n">
        <v>5515</v>
      </c>
      <c r="D73" s="20" t="n">
        <v>4736</v>
      </c>
      <c r="E73" s="20" t="n">
        <v>6471</v>
      </c>
      <c r="F73" s="20" t="n">
        <v>3060</v>
      </c>
      <c r="G73" s="20" t="n">
        <v>3704</v>
      </c>
      <c r="H73" s="20" t="n">
        <v>5018</v>
      </c>
      <c r="I73" s="20" t="n">
        <v>2780</v>
      </c>
      <c r="J73" s="20" t="n">
        <v>2803</v>
      </c>
      <c r="K73" s="20" t="n">
        <v>5419</v>
      </c>
      <c r="L73" s="20" t="n">
        <v>3060</v>
      </c>
    </row>
    <row r="74">
      <c r="A74" s="18" t="inlineStr">
        <is>
          <t>재고자산</t>
        </is>
      </c>
      <c r="C74" s="20" t="n">
        <v>194981</v>
      </c>
      <c r="D74" s="20" t="n">
        <v>191755</v>
      </c>
      <c r="E74" s="20" t="n">
        <v>193386</v>
      </c>
      <c r="F74" s="20" t="n">
        <v>211501</v>
      </c>
      <c r="G74" s="20" t="n">
        <v>228728</v>
      </c>
      <c r="H74" s="20" t="n">
        <v>165828</v>
      </c>
      <c r="I74" s="20" t="n">
        <v>191361</v>
      </c>
      <c r="J74" s="20" t="n">
        <v>186717</v>
      </c>
      <c r="K74" s="20" t="n">
        <v>195483</v>
      </c>
      <c r="L74" s="20" t="n">
        <v>211501</v>
      </c>
    </row>
    <row r="75">
      <c r="A75" s="18" t="inlineStr">
        <is>
          <t>기타금융자산</t>
        </is>
      </c>
      <c r="C75" s="20" t="n">
        <v>1045</v>
      </c>
      <c r="D75" s="20" t="n">
        <v>1007</v>
      </c>
      <c r="E75" s="20" t="n">
        <v>1105</v>
      </c>
      <c r="F75" s="20" t="n">
        <v>1276</v>
      </c>
      <c r="G75" s="20" t="n">
        <v>1224</v>
      </c>
      <c r="H75" s="20" t="n">
        <v>2551</v>
      </c>
      <c r="I75" s="20" t="n">
        <v>1772</v>
      </c>
      <c r="J75" s="20" t="n">
        <v>1986</v>
      </c>
      <c r="K75" s="20" t="n">
        <v>939</v>
      </c>
      <c r="L75" s="20" t="n">
        <v>1276</v>
      </c>
    </row>
    <row r="76">
      <c r="A76" s="18" t="inlineStr">
        <is>
          <t>기타유동자산</t>
        </is>
      </c>
      <c r="C76" s="20" t="n">
        <v>6754</v>
      </c>
      <c r="D76" s="20" t="n">
        <v>7609</v>
      </c>
      <c r="E76" s="20" t="n">
        <v>8155</v>
      </c>
      <c r="F76" s="20" t="n">
        <v>9442</v>
      </c>
      <c r="G76" s="20" t="n">
        <v>10225</v>
      </c>
      <c r="H76" s="20" t="n">
        <v>7634</v>
      </c>
      <c r="I76" s="20" t="n">
        <v>7713</v>
      </c>
      <c r="J76" s="20" t="n">
        <v>7011</v>
      </c>
      <c r="K76" s="20" t="n">
        <v>6505</v>
      </c>
      <c r="L76" s="20" t="n">
        <v>9442</v>
      </c>
    </row>
    <row r="77">
      <c r="A77" s="9" t="inlineStr">
        <is>
          <t>소계</t>
        </is>
      </c>
      <c r="J77" s="12" t="n">
        <v>415434</v>
      </c>
    </row>
    <row r="78">
      <c r="A78" s="18" t="inlineStr">
        <is>
          <t>매각예정 자산</t>
        </is>
      </c>
      <c r="J78" s="20" t="n">
        <v>0</v>
      </c>
    </row>
    <row r="79">
      <c r="A79" s="9" t="inlineStr">
        <is>
          <t>유동자산 합계</t>
        </is>
      </c>
      <c r="C79" s="12" t="n">
        <v>418608</v>
      </c>
      <c r="D79" s="12" t="n">
        <v>415616</v>
      </c>
      <c r="E79" s="12" t="n">
        <v>434561</v>
      </c>
      <c r="F79" s="12" t="n">
        <v>447288</v>
      </c>
      <c r="G79" s="12" t="n">
        <v>480244</v>
      </c>
      <c r="H79" s="12" t="n">
        <v>382218</v>
      </c>
      <c r="I79" s="12" t="n">
        <v>416853</v>
      </c>
      <c r="J79" s="12" t="n">
        <v>415434</v>
      </c>
      <c r="K79" s="12" t="n">
        <v>416999</v>
      </c>
      <c r="L79" s="12" t="n">
        <v>447288</v>
      </c>
    </row>
    <row r="80">
      <c r="A80" s="18" t="inlineStr">
        <is>
          <t>유형자산</t>
        </is>
      </c>
      <c r="C80" s="20" t="n">
        <v>237267</v>
      </c>
      <c r="D80" s="20" t="n">
        <v>245099</v>
      </c>
      <c r="E80" s="20" t="n">
        <v>248553</v>
      </c>
      <c r="F80" s="20" t="n">
        <v>255302</v>
      </c>
      <c r="G80" s="20" t="n">
        <v>259724</v>
      </c>
      <c r="H80" s="20" t="n">
        <v>218085</v>
      </c>
      <c r="I80" s="20" t="n">
        <v>217056</v>
      </c>
      <c r="J80" s="20" t="n">
        <v>220030</v>
      </c>
      <c r="K80" s="20" t="n">
        <v>234469</v>
      </c>
      <c r="L80" s="20" t="n">
        <v>255302</v>
      </c>
    </row>
    <row r="81">
      <c r="A81" s="18" t="inlineStr">
        <is>
          <t>사용권자산</t>
        </is>
      </c>
      <c r="C81" s="20" t="n">
        <v>6453</v>
      </c>
      <c r="D81" s="20" t="n">
        <v>6389</v>
      </c>
      <c r="E81" s="20" t="n">
        <v>6195</v>
      </c>
      <c r="F81" s="20" t="n">
        <v>6379</v>
      </c>
      <c r="G81" s="20" t="n">
        <v>6295</v>
      </c>
      <c r="H81" s="20" t="n">
        <v>5951</v>
      </c>
      <c r="I81" s="20" t="n">
        <v>6068</v>
      </c>
      <c r="J81" s="20" t="n">
        <v>5640</v>
      </c>
      <c r="K81" s="20" t="n">
        <v>6362</v>
      </c>
      <c r="L81" s="20" t="n">
        <v>6379</v>
      </c>
    </row>
    <row r="82">
      <c r="A82" s="18" t="inlineStr">
        <is>
          <t>무형자산</t>
        </is>
      </c>
      <c r="C82" s="20" t="n">
        <v>6794</v>
      </c>
      <c r="D82" s="20" t="n">
        <v>7152</v>
      </c>
      <c r="E82" s="20" t="n">
        <v>7680</v>
      </c>
      <c r="F82" s="20" t="n">
        <v>8632</v>
      </c>
      <c r="G82" s="20" t="n">
        <v>9031</v>
      </c>
      <c r="H82" s="20" t="n">
        <v>3439</v>
      </c>
      <c r="I82" s="20" t="n">
        <v>4236</v>
      </c>
      <c r="J82" s="20" t="n">
        <v>4958</v>
      </c>
      <c r="K82" s="20" t="n">
        <v>6559</v>
      </c>
      <c r="L82" s="20" t="n">
        <v>8632</v>
      </c>
    </row>
    <row r="83">
      <c r="A83" s="18" t="inlineStr">
        <is>
          <t>Investment Property</t>
        </is>
      </c>
      <c r="C83" s="20" t="n">
        <v>4293</v>
      </c>
      <c r="D83" s="20" t="n">
        <v>4270</v>
      </c>
      <c r="E83" s="20" t="n">
        <v>4239</v>
      </c>
      <c r="F83" s="20" t="n">
        <v>4258</v>
      </c>
      <c r="G83" s="20" t="n">
        <v>4228</v>
      </c>
      <c r="H83" s="20" t="n">
        <v>6504</v>
      </c>
      <c r="I83" s="20" t="n">
        <v>6205</v>
      </c>
      <c r="J83" s="20" t="n">
        <v>4370</v>
      </c>
      <c r="K83" s="20" t="n">
        <v>4224</v>
      </c>
      <c r="L83" s="20" t="n">
        <v>4258</v>
      </c>
    </row>
    <row r="84">
      <c r="A84" s="18" t="inlineStr">
        <is>
          <t>지분법 투자</t>
        </is>
      </c>
      <c r="C84" s="20" t="n">
        <v>21254</v>
      </c>
      <c r="D84" s="20" t="n">
        <v>21499</v>
      </c>
      <c r="E84" s="20" t="n">
        <v>21838</v>
      </c>
      <c r="F84" s="20" t="n">
        <v>22622</v>
      </c>
      <c r="G84" s="20" t="n">
        <v>23130</v>
      </c>
      <c r="H84" s="20" t="n">
        <v>18472</v>
      </c>
      <c r="I84" s="20" t="n">
        <v>19141</v>
      </c>
      <c r="J84" s="20" t="n">
        <v>20195</v>
      </c>
      <c r="K84" s="20" t="n">
        <v>21154</v>
      </c>
      <c r="L84" s="20" t="n">
        <v>22622</v>
      </c>
    </row>
    <row r="85">
      <c r="A85" s="18" t="inlineStr">
        <is>
          <t>기타금융자산</t>
        </is>
      </c>
      <c r="C85" s="20" t="n">
        <v>57949</v>
      </c>
      <c r="D85" s="20" t="n">
        <v>63213</v>
      </c>
      <c r="E85" s="20" t="n">
        <v>53191</v>
      </c>
      <c r="F85" s="20" t="n">
        <v>50781</v>
      </c>
      <c r="G85" s="20" t="n">
        <v>62239</v>
      </c>
      <c r="H85" s="20" t="n">
        <v>77732</v>
      </c>
      <c r="I85" s="20" t="n">
        <v>81513</v>
      </c>
      <c r="J85" s="20" t="n">
        <v>81699</v>
      </c>
      <c r="K85" s="20" t="n">
        <v>54454</v>
      </c>
      <c r="L85" s="20" t="n">
        <v>50781</v>
      </c>
    </row>
    <row r="86">
      <c r="A86" s="18" t="inlineStr">
        <is>
          <t>퇴직급여자산</t>
        </is>
      </c>
      <c r="C86" s="20" t="n">
        <v>34563</v>
      </c>
      <c r="D86" s="20" t="n">
        <v>34660</v>
      </c>
      <c r="E86" s="20" t="n">
        <v>34719</v>
      </c>
      <c r="F86" s="20" t="n">
        <v>56648</v>
      </c>
      <c r="G86" s="20" t="n">
        <v>56865</v>
      </c>
      <c r="H86" s="20" t="n">
        <v>12159</v>
      </c>
      <c r="I86" s="20" t="n">
        <v>16768</v>
      </c>
      <c r="J86" s="20" t="n">
        <v>30826</v>
      </c>
      <c r="K86" s="20" t="n">
        <v>34392</v>
      </c>
      <c r="L86" s="20" t="n">
        <v>56648</v>
      </c>
    </row>
    <row r="87">
      <c r="A87" s="18" t="inlineStr">
        <is>
          <t>이연법인세자산</t>
        </is>
      </c>
      <c r="C87" s="20" t="n">
        <v>3053</v>
      </c>
      <c r="D87" s="20" t="n">
        <v>3253</v>
      </c>
      <c r="E87" s="20" t="n">
        <v>3026</v>
      </c>
      <c r="F87" s="20" t="n">
        <v>3276</v>
      </c>
      <c r="G87" s="20" t="n">
        <v>3012</v>
      </c>
      <c r="H87" s="20" t="n">
        <v>3226</v>
      </c>
      <c r="I87" s="20" t="n">
        <v>3290</v>
      </c>
      <c r="J87" s="20" t="n">
        <v>3619</v>
      </c>
      <c r="K87" s="20" t="n">
        <v>3227</v>
      </c>
      <c r="L87" s="20" t="n">
        <v>3276</v>
      </c>
    </row>
    <row r="88">
      <c r="A88" s="18" t="inlineStr">
        <is>
          <t>기타비유동자산</t>
        </is>
      </c>
      <c r="C88" s="20" t="n">
        <v>1145</v>
      </c>
      <c r="D88" s="20" t="n">
        <v>1388</v>
      </c>
      <c r="E88" s="20" t="n">
        <v>1251</v>
      </c>
      <c r="F88" s="20" t="n">
        <v>1190</v>
      </c>
      <c r="G88" s="20" t="n">
        <v>1103</v>
      </c>
      <c r="H88" s="20" t="n">
        <v>1195</v>
      </c>
      <c r="I88" s="20" t="n">
        <v>1227</v>
      </c>
      <c r="J88" s="20" t="n">
        <v>1958</v>
      </c>
      <c r="K88" s="20" t="n">
        <v>1129</v>
      </c>
      <c r="L88" s="20" t="n">
        <v>1190</v>
      </c>
    </row>
    <row r="89">
      <c r="A89" s="18" t="inlineStr">
        <is>
          <t>비유동자산 합계</t>
        </is>
      </c>
      <c r="C89" s="20" t="n">
        <v>372774</v>
      </c>
      <c r="D89" s="20" t="n">
        <v>386927</v>
      </c>
      <c r="E89" s="20" t="n">
        <v>380696</v>
      </c>
      <c r="F89" s="20" t="n">
        <v>409091</v>
      </c>
      <c r="G89" s="20" t="n">
        <v>425632</v>
      </c>
      <c r="H89" s="20" t="n">
        <v>346768</v>
      </c>
      <c r="I89" s="20" t="n">
        <v>355507</v>
      </c>
      <c r="J89" s="20" t="n">
        <v>373300</v>
      </c>
      <c r="K89" s="20" t="n">
        <v>365975</v>
      </c>
      <c r="L89" s="20" t="n">
        <v>409091</v>
      </c>
    </row>
    <row r="90">
      <c r="A90" s="18" t="inlineStr">
        <is>
          <t>자산 합계</t>
        </is>
      </c>
      <c r="C90" s="20" t="n">
        <v>791382</v>
      </c>
      <c r="D90" s="20" t="n">
        <v>802544</v>
      </c>
      <c r="E90" s="20" t="n">
        <v>815257</v>
      </c>
      <c r="F90" s="20" t="n">
        <v>856380</v>
      </c>
      <c r="G90" s="20" t="n">
        <v>905876</v>
      </c>
      <c r="H90" s="20" t="n">
        <v>728986</v>
      </c>
      <c r="I90" s="20" t="n">
        <v>772361</v>
      </c>
      <c r="J90" s="20" t="n">
        <v>788734</v>
      </c>
      <c r="K90" s="20" t="n">
        <v>782974</v>
      </c>
      <c r="L90" s="20" t="n">
        <v>856380</v>
      </c>
    </row>
    <row r="91">
      <c r="A91" s="18" t="inlineStr">
        <is>
          <t>영업채무 및 기타채무</t>
        </is>
      </c>
      <c r="C91" s="20" t="n">
        <v>66984</v>
      </c>
      <c r="D91" s="20" t="n">
        <v>66522</v>
      </c>
      <c r="E91" s="20" t="n">
        <v>68928</v>
      </c>
      <c r="F91" s="20" t="n">
        <v>72039</v>
      </c>
      <c r="G91" s="20" t="n">
        <v>78541</v>
      </c>
      <c r="H91" s="20" t="n">
        <v>71679</v>
      </c>
      <c r="I91" s="20" t="n">
        <v>68908</v>
      </c>
      <c r="J91" s="20" t="n">
        <v>72275</v>
      </c>
      <c r="K91" s="20" t="n">
        <v>67998</v>
      </c>
      <c r="L91" s="20" t="n">
        <v>72039</v>
      </c>
    </row>
    <row r="92">
      <c r="A92" s="18" t="inlineStr">
        <is>
          <t>계약부채</t>
        </is>
      </c>
      <c r="C92" s="20" t="n">
        <v>1899</v>
      </c>
      <c r="D92" s="20" t="n">
        <v>14005</v>
      </c>
      <c r="E92" s="20" t="n">
        <v>14829</v>
      </c>
      <c r="F92" s="20" t="n">
        <v>15020</v>
      </c>
      <c r="G92" s="20" t="n">
        <v>14904</v>
      </c>
      <c r="H92" s="20" t="n">
        <v>1678</v>
      </c>
      <c r="I92" s="20" t="n">
        <v>2337</v>
      </c>
      <c r="J92" s="20" t="n">
        <v>1999</v>
      </c>
      <c r="K92" s="20" t="n">
        <v>2619</v>
      </c>
      <c r="L92" s="20" t="n">
        <v>15020</v>
      </c>
    </row>
    <row r="93">
      <c r="A93" s="18" t="inlineStr">
        <is>
          <t>사채 및 차입금</t>
        </is>
      </c>
      <c r="C93" s="20" t="n">
        <v>54029</v>
      </c>
      <c r="D93" s="20" t="n">
        <v>64376</v>
      </c>
      <c r="E93" s="20" t="n">
        <v>69026</v>
      </c>
      <c r="F93" s="20" t="n">
        <v>71751</v>
      </c>
      <c r="G93" s="20" t="n">
        <v>111286</v>
      </c>
      <c r="H93" s="20" t="n">
        <v>131562</v>
      </c>
      <c r="I93" s="20" t="n">
        <v>119443</v>
      </c>
      <c r="J93" s="20" t="n">
        <v>49698</v>
      </c>
      <c r="K93" s="20" t="n">
        <v>72203</v>
      </c>
      <c r="L93" s="20" t="n">
        <v>71751</v>
      </c>
    </row>
    <row r="94">
      <c r="A94" s="18" t="inlineStr">
        <is>
          <t>리스부채</t>
        </is>
      </c>
      <c r="C94" s="20" t="n">
        <v>1893</v>
      </c>
      <c r="D94" s="20" t="n">
        <v>1855</v>
      </c>
      <c r="E94" s="20" t="n">
        <v>1805</v>
      </c>
      <c r="F94" s="20" t="n">
        <v>2186</v>
      </c>
      <c r="G94" s="20" t="n">
        <v>2191</v>
      </c>
      <c r="H94" s="20" t="n">
        <v>1540</v>
      </c>
      <c r="I94" s="20" t="n">
        <v>1761</v>
      </c>
      <c r="J94" s="20" t="n">
        <v>1681</v>
      </c>
      <c r="K94" s="20" t="n">
        <v>1933</v>
      </c>
      <c r="L94" s="20" t="n">
        <v>2186</v>
      </c>
    </row>
    <row r="95">
      <c r="A95" s="18" t="inlineStr">
        <is>
          <t>기타금융부채</t>
        </is>
      </c>
      <c r="C95" s="20" t="n">
        <v>1769</v>
      </c>
      <c r="D95" s="20" t="n">
        <v>1781</v>
      </c>
      <c r="E95" s="20" t="n">
        <v>1919</v>
      </c>
      <c r="F95" s="20" t="n">
        <v>1900</v>
      </c>
      <c r="G95" s="20" t="n">
        <v>1854</v>
      </c>
      <c r="H95" s="20" t="n">
        <v>2585</v>
      </c>
      <c r="I95" s="20" t="n">
        <v>1864</v>
      </c>
      <c r="J95" s="20" t="n">
        <v>1940</v>
      </c>
      <c r="K95" s="20" t="n">
        <v>1716</v>
      </c>
      <c r="L95" s="20" t="n">
        <v>1900</v>
      </c>
    </row>
    <row r="96">
      <c r="A96" s="18" t="inlineStr">
        <is>
          <t>미지급법인세</t>
        </is>
      </c>
      <c r="C96" s="20" t="n">
        <v>1583</v>
      </c>
      <c r="D96" s="20" t="n">
        <v>5548</v>
      </c>
      <c r="E96" s="20" t="n">
        <v>1984</v>
      </c>
      <c r="F96" s="20" t="n">
        <v>6192</v>
      </c>
      <c r="G96" s="20" t="n">
        <v>5257</v>
      </c>
      <c r="H96" s="20" t="n">
        <v>9826</v>
      </c>
      <c r="I96" s="20" t="n">
        <v>6062</v>
      </c>
      <c r="J96" s="20" t="n">
        <v>15237</v>
      </c>
      <c r="K96" s="20" t="n">
        <v>7936</v>
      </c>
      <c r="L96" s="20" t="n">
        <v>6192</v>
      </c>
    </row>
    <row r="97">
      <c r="A97" s="18" t="inlineStr">
        <is>
          <t>충당금</t>
        </is>
      </c>
      <c r="C97" s="20" t="n">
        <v>729</v>
      </c>
      <c r="D97" s="20" t="n">
        <v>1186</v>
      </c>
      <c r="E97" s="20" t="n">
        <v>1242</v>
      </c>
      <c r="F97" s="20" t="n">
        <v>873</v>
      </c>
      <c r="G97" s="20" t="n">
        <v>1482</v>
      </c>
      <c r="H97" s="20" t="n">
        <v>666</v>
      </c>
      <c r="I97" s="20" t="n">
        <v>293</v>
      </c>
      <c r="J97" s="20" t="n">
        <v>368</v>
      </c>
      <c r="K97" s="20" t="n">
        <v>554</v>
      </c>
      <c r="L97" s="20" t="n">
        <v>873</v>
      </c>
    </row>
    <row r="98">
      <c r="A98" s="18" t="inlineStr">
        <is>
          <t>기타유동부채</t>
        </is>
      </c>
      <c r="C98" s="20" t="n">
        <v>33632</v>
      </c>
      <c r="D98" s="20" t="n">
        <v>26851</v>
      </c>
      <c r="E98" s="20" t="n">
        <v>24336</v>
      </c>
      <c r="F98" s="20" t="n">
        <v>29735</v>
      </c>
      <c r="G98" s="20" t="n">
        <v>33206</v>
      </c>
      <c r="H98" s="20" t="n">
        <v>23730</v>
      </c>
      <c r="I98" s="20" t="n">
        <v>28209</v>
      </c>
      <c r="J98" s="20" t="n">
        <v>27456</v>
      </c>
      <c r="K98" s="20" t="n">
        <v>27296</v>
      </c>
      <c r="L98" s="20" t="n">
        <v>29735</v>
      </c>
    </row>
    <row r="99">
      <c r="A99" s="18" t="inlineStr">
        <is>
          <t>소계</t>
        </is>
      </c>
      <c r="J99" s="20" t="n">
        <v>170658</v>
      </c>
    </row>
    <row r="100">
      <c r="A100" s="18" t="inlineStr">
        <is>
          <t>매각예정 자산 직접 관련 부채</t>
        </is>
      </c>
      <c r="J100" s="20" t="n">
        <v>0</v>
      </c>
    </row>
    <row r="101">
      <c r="A101" s="18" t="inlineStr">
        <is>
          <t>유동부채 합계</t>
        </is>
      </c>
      <c r="C101" s="20" t="n">
        <v>162522</v>
      </c>
      <c r="D101" s="20" t="n">
        <v>182127</v>
      </c>
      <c r="E101" s="20" t="n">
        <v>184072</v>
      </c>
      <c r="F101" s="20" t="n">
        <v>199699</v>
      </c>
      <c r="G101" s="20" t="n">
        <v>248723</v>
      </c>
      <c r="H101" s="20" t="n">
        <v>243270</v>
      </c>
      <c r="I101" s="20" t="n">
        <v>228880</v>
      </c>
      <c r="J101" s="20" t="n">
        <v>170658</v>
      </c>
      <c r="K101" s="20" t="n">
        <v>182259</v>
      </c>
      <c r="L101" s="20" t="n">
        <v>199699</v>
      </c>
    </row>
    <row r="102">
      <c r="A102" s="18" t="inlineStr">
        <is>
          <t>사채 및 차입금</t>
        </is>
      </c>
      <c r="C102" s="20" t="n">
        <v>120297</v>
      </c>
      <c r="D102" s="20" t="n">
        <v>105274</v>
      </c>
      <c r="E102" s="20" t="n">
        <v>104353</v>
      </c>
      <c r="F102" s="20" t="n">
        <v>101863</v>
      </c>
      <c r="G102" s="20" t="n">
        <v>88332</v>
      </c>
      <c r="H102" s="20" t="n">
        <v>94822</v>
      </c>
      <c r="I102" s="20" t="n">
        <v>114728</v>
      </c>
      <c r="J102" s="20" t="n">
        <v>121390</v>
      </c>
      <c r="K102" s="20" t="n">
        <v>98633</v>
      </c>
      <c r="L102" s="20" t="n">
        <v>101863</v>
      </c>
    </row>
    <row r="103">
      <c r="A103" s="18" t="inlineStr">
        <is>
          <t>리스부채</t>
        </is>
      </c>
      <c r="C103" s="20" t="n">
        <v>4213</v>
      </c>
      <c r="D103" s="20" t="n">
        <v>4210</v>
      </c>
      <c r="E103" s="20" t="n">
        <v>4098</v>
      </c>
      <c r="F103" s="20" t="n">
        <v>5960</v>
      </c>
      <c r="G103" s="20" t="n">
        <v>5830</v>
      </c>
      <c r="H103" s="20" t="n">
        <v>3782</v>
      </c>
      <c r="I103" s="20" t="n">
        <v>3720</v>
      </c>
      <c r="J103" s="20" t="n">
        <v>3464</v>
      </c>
      <c r="K103" s="20" t="n">
        <v>4077</v>
      </c>
      <c r="L103" s="20" t="n">
        <v>5960</v>
      </c>
    </row>
    <row r="104">
      <c r="A104" s="18" t="inlineStr">
        <is>
          <t>기타금융부채</t>
        </is>
      </c>
      <c r="C104" s="20" t="n">
        <v>743</v>
      </c>
      <c r="D104" s="20" t="n">
        <v>733</v>
      </c>
      <c r="E104" s="20" t="n">
        <v>801</v>
      </c>
      <c r="F104" s="20" t="n">
        <v>648</v>
      </c>
      <c r="G104" s="20" t="n">
        <v>640</v>
      </c>
      <c r="H104" s="20" t="n">
        <v>622</v>
      </c>
      <c r="I104" s="20" t="n">
        <v>599</v>
      </c>
      <c r="J104" s="20" t="n">
        <v>810</v>
      </c>
      <c r="K104" s="20" t="n">
        <v>747</v>
      </c>
      <c r="L104" s="20" t="n">
        <v>648</v>
      </c>
    </row>
    <row r="105">
      <c r="A105" s="18" t="inlineStr">
        <is>
          <t>퇴직급여부채</t>
        </is>
      </c>
      <c r="C105" s="20" t="n">
        <v>12181</v>
      </c>
      <c r="D105" s="20" t="n">
        <v>12297</v>
      </c>
      <c r="E105" s="20" t="n">
        <v>12448</v>
      </c>
      <c r="F105" s="20" t="n">
        <v>13559</v>
      </c>
      <c r="G105" s="20" t="n">
        <v>13491</v>
      </c>
      <c r="H105" s="20" t="n">
        <v>14037</v>
      </c>
      <c r="I105" s="20" t="n">
        <v>13424</v>
      </c>
      <c r="J105" s="20" t="n">
        <v>13393</v>
      </c>
      <c r="K105" s="20" t="n">
        <v>12103</v>
      </c>
      <c r="L105" s="20" t="n">
        <v>13559</v>
      </c>
    </row>
    <row r="106">
      <c r="A106" s="18" t="inlineStr">
        <is>
          <t>충당금</t>
        </is>
      </c>
      <c r="C106" s="20" t="n">
        <v>4505</v>
      </c>
      <c r="D106" s="20" t="n">
        <v>4565</v>
      </c>
      <c r="E106" s="20" t="n">
        <v>4417</v>
      </c>
      <c r="F106" s="20" t="n">
        <v>5426</v>
      </c>
      <c r="G106" s="20" t="n">
        <v>4413</v>
      </c>
      <c r="H106" s="20" t="n">
        <v>4057</v>
      </c>
      <c r="I106" s="20" t="n">
        <v>3782</v>
      </c>
      <c r="J106" s="20" t="n">
        <v>3399</v>
      </c>
      <c r="K106" s="20" t="n">
        <v>3411</v>
      </c>
      <c r="L106" s="20" t="n">
        <v>5426</v>
      </c>
    </row>
    <row r="107">
      <c r="A107" s="18" t="inlineStr">
        <is>
          <t>이연법인세부채</t>
        </is>
      </c>
      <c r="C107" s="20" t="n">
        <v>13676</v>
      </c>
      <c r="D107" s="20" t="n">
        <v>14100</v>
      </c>
      <c r="E107" s="20" t="n">
        <v>14449</v>
      </c>
      <c r="F107" s="20" t="n">
        <v>13661</v>
      </c>
      <c r="G107" s="20" t="n">
        <v>16544</v>
      </c>
      <c r="H107" s="20" t="n">
        <v>7943</v>
      </c>
      <c r="I107" s="20" t="n">
        <v>11342</v>
      </c>
      <c r="J107" s="20" t="n">
        <v>17102</v>
      </c>
      <c r="K107" s="20" t="n">
        <v>11355</v>
      </c>
      <c r="L107" s="20" t="n">
        <v>13661</v>
      </c>
    </row>
    <row r="108">
      <c r="A108" s="18" t="inlineStr">
        <is>
          <t>기타비유동부채</t>
        </is>
      </c>
      <c r="C108" s="20" t="n">
        <v>1247</v>
      </c>
      <c r="D108" s="20" t="n">
        <v>1245</v>
      </c>
      <c r="E108" s="20" t="n">
        <v>1235</v>
      </c>
      <c r="F108" s="20" t="n">
        <v>2102</v>
      </c>
      <c r="G108" s="20" t="n">
        <v>2587</v>
      </c>
      <c r="H108" s="20" t="n">
        <v>1042</v>
      </c>
      <c r="I108" s="20" t="n">
        <v>1116</v>
      </c>
      <c r="J108" s="20" t="n">
        <v>1201</v>
      </c>
      <c r="K108" s="20" t="n">
        <v>1242</v>
      </c>
      <c r="L108" s="20" t="n">
        <v>2102</v>
      </c>
    </row>
    <row r="109">
      <c r="A109" s="18" t="inlineStr">
        <is>
          <t>비유동부채 합계</t>
        </is>
      </c>
      <c r="C109" s="20" t="n">
        <v>156865</v>
      </c>
      <c r="D109" s="20" t="n">
        <v>142428</v>
      </c>
      <c r="E109" s="20" t="n">
        <v>141805</v>
      </c>
      <c r="F109" s="20" t="n">
        <v>143223</v>
      </c>
      <c r="G109" s="20" t="n">
        <v>131840</v>
      </c>
      <c r="H109" s="20" t="n">
        <v>126307</v>
      </c>
      <c r="I109" s="20" t="n">
        <v>148713</v>
      </c>
      <c r="J109" s="20" t="n">
        <v>160762</v>
      </c>
      <c r="K109" s="20" t="n">
        <v>131571</v>
      </c>
      <c r="L109" s="20" t="n">
        <v>143223</v>
      </c>
    </row>
    <row r="110">
      <c r="A110" s="18" t="inlineStr">
        <is>
          <t>부채 합계</t>
        </is>
      </c>
      <c r="C110" s="20" t="n">
        <v>319388</v>
      </c>
      <c r="D110" s="20" t="n">
        <v>324556</v>
      </c>
      <c r="E110" s="20" t="n">
        <v>325877</v>
      </c>
      <c r="F110" s="20" t="n">
        <v>342922</v>
      </c>
      <c r="G110" s="20" t="n">
        <v>380564</v>
      </c>
      <c r="H110" s="20" t="n">
        <v>369577</v>
      </c>
      <c r="I110" s="20" t="n">
        <v>377593</v>
      </c>
      <c r="J110" s="20" t="n">
        <v>331420</v>
      </c>
      <c r="K110" s="20" t="n">
        <v>313830</v>
      </c>
      <c r="L110" s="20" t="n">
        <v>342922</v>
      </c>
    </row>
    <row r="111">
      <c r="A111" s="18" t="inlineStr">
        <is>
          <t>자본금</t>
        </is>
      </c>
      <c r="C111" s="20" t="n">
        <v>37172</v>
      </c>
      <c r="D111" s="20" t="n">
        <v>37172</v>
      </c>
      <c r="E111" s="20" t="n">
        <v>37172</v>
      </c>
      <c r="F111" s="20" t="n">
        <v>37172</v>
      </c>
      <c r="G111" s="20" t="n">
        <v>37172</v>
      </c>
      <c r="H111" s="20" t="n">
        <v>37172</v>
      </c>
      <c r="I111" s="20" t="n">
        <v>37172</v>
      </c>
      <c r="J111" s="20" t="n">
        <v>37172</v>
      </c>
      <c r="K111" s="20" t="n">
        <v>37172</v>
      </c>
      <c r="L111" s="20" t="n">
        <v>37172</v>
      </c>
    </row>
    <row r="112">
      <c r="A112" s="18" t="inlineStr">
        <is>
          <t>자본잉여금</t>
        </is>
      </c>
      <c r="C112" s="20" t="n">
        <v>31544</v>
      </c>
      <c r="D112" s="20" t="n">
        <v>31403</v>
      </c>
      <c r="E112" s="20" t="n">
        <v>31702</v>
      </c>
      <c r="F112" s="20" t="n">
        <v>31882</v>
      </c>
      <c r="G112" s="20" t="n">
        <v>31899</v>
      </c>
      <c r="H112" s="20" t="n">
        <v>31344</v>
      </c>
      <c r="I112" s="20" t="n">
        <v>31346</v>
      </c>
      <c r="J112" s="20" t="n">
        <v>31411</v>
      </c>
      <c r="K112" s="20" t="n">
        <v>31438</v>
      </c>
      <c r="L112" s="20" t="n">
        <v>31882</v>
      </c>
    </row>
    <row r="113">
      <c r="A113" s="18" t="inlineStr">
        <is>
          <t>이익잉여금</t>
        </is>
      </c>
      <c r="C113" s="20" t="n">
        <v>333941</v>
      </c>
      <c r="D113" s="20" t="n">
        <v>340462</v>
      </c>
      <c r="E113" s="20" t="n">
        <v>349876</v>
      </c>
      <c r="F113" s="20" t="n">
        <v>360715</v>
      </c>
      <c r="G113" s="20" t="n">
        <v>364433</v>
      </c>
      <c r="H113" s="20" t="n">
        <v>248574</v>
      </c>
      <c r="I113" s="20" t="n">
        <v>274326</v>
      </c>
      <c r="J113" s="20" t="n">
        <v>312243</v>
      </c>
      <c r="K113" s="20" t="n">
        <v>332888</v>
      </c>
      <c r="L113" s="20" t="n">
        <v>360715</v>
      </c>
    </row>
    <row r="114">
      <c r="A114" s="18" t="inlineStr">
        <is>
          <t>자기주식</t>
        </is>
      </c>
      <c r="C114" s="20" t="n">
        <v>-12078</v>
      </c>
      <c r="D114" s="20" t="n">
        <v>-18610</v>
      </c>
      <c r="E114" s="20" t="n">
        <v>-18610</v>
      </c>
      <c r="F114" s="20" t="n">
        <v>-18610</v>
      </c>
      <c r="G114" s="20" t="n">
        <v>-18610</v>
      </c>
      <c r="H114" s="20" t="n">
        <v>-3663</v>
      </c>
      <c r="I114" s="20" t="n">
        <v>-3668</v>
      </c>
      <c r="J114" s="20" t="n">
        <v>-3674</v>
      </c>
      <c r="K114" s="20" t="n">
        <v>-12078</v>
      </c>
      <c r="L114" s="20" t="n">
        <v>-18610</v>
      </c>
    </row>
    <row r="115">
      <c r="A115" s="18" t="inlineStr">
        <is>
          <t>기타자본구성요소</t>
        </is>
      </c>
      <c r="C115" s="20" t="n">
        <v>41912</v>
      </c>
      <c r="D115" s="20" t="n">
        <v>46979</v>
      </c>
      <c r="E115" s="20" t="n">
        <v>48205</v>
      </c>
      <c r="F115" s="20" t="n">
        <v>61405</v>
      </c>
      <c r="G115" s="20" t="n">
        <v>69262</v>
      </c>
      <c r="H115" s="20" t="n">
        <v>11067</v>
      </c>
      <c r="I115" s="20" t="n">
        <v>18944</v>
      </c>
      <c r="J115" s="20" t="n">
        <v>41410</v>
      </c>
      <c r="K115" s="20" t="n">
        <v>39857</v>
      </c>
      <c r="L115" s="20" t="n">
        <v>61405</v>
      </c>
    </row>
    <row r="116">
      <c r="A116" s="18" t="inlineStr">
        <is>
          <t>Other Comprehensive Income Associated With Assets Held For Sale Equity</t>
        </is>
      </c>
      <c r="J116" s="20" t="n">
        <v>0</v>
      </c>
    </row>
    <row r="117">
      <c r="A117" s="18" t="inlineStr">
        <is>
          <t>지배기업 소유주 귀속 지분 합계</t>
        </is>
      </c>
      <c r="C117" s="20" t="n">
        <v>432491</v>
      </c>
      <c r="D117" s="20" t="n">
        <v>437407</v>
      </c>
      <c r="E117" s="20" t="n">
        <v>448346</v>
      </c>
      <c r="F117" s="20" t="n">
        <v>472565</v>
      </c>
      <c r="G117" s="20" t="n">
        <v>484157</v>
      </c>
      <c r="H117" s="20" t="n">
        <v>324494</v>
      </c>
      <c r="I117" s="20" t="n">
        <v>358122</v>
      </c>
      <c r="J117" s="20" t="n">
        <v>418562</v>
      </c>
      <c r="K117" s="20" t="n">
        <v>429278</v>
      </c>
      <c r="L117" s="20" t="n">
        <v>472565</v>
      </c>
    </row>
    <row r="118">
      <c r="A118" s="18" t="inlineStr">
        <is>
          <t>비지배지분</t>
        </is>
      </c>
      <c r="C118" s="20" t="n">
        <v>39502</v>
      </c>
      <c r="D118" s="20" t="n">
        <v>40580</v>
      </c>
      <c r="E118" s="20" t="n">
        <v>41033</v>
      </c>
      <c r="F118" s="20" t="n">
        <v>40892</v>
      </c>
      <c r="G118" s="20" t="n">
        <v>41154</v>
      </c>
      <c r="H118" s="20" t="n">
        <v>34914</v>
      </c>
      <c r="I118" s="20" t="n">
        <v>36644</v>
      </c>
      <c r="J118" s="20" t="n">
        <v>38750</v>
      </c>
      <c r="K118" s="20" t="n">
        <v>39865</v>
      </c>
      <c r="L118" s="20" t="n">
        <v>40892</v>
      </c>
    </row>
    <row r="119">
      <c r="A119" s="18" t="inlineStr">
        <is>
          <t>자본 합계</t>
        </is>
      </c>
      <c r="C119" s="20" t="n">
        <v>471994</v>
      </c>
      <c r="D119" s="20" t="n">
        <v>477987</v>
      </c>
      <c r="E119" s="20" t="n">
        <v>489379</v>
      </c>
      <c r="F119" s="20" t="n">
        <v>513457</v>
      </c>
      <c r="G119" s="20" t="n">
        <v>525311</v>
      </c>
      <c r="H119" s="20" t="n">
        <v>359408</v>
      </c>
      <c r="I119" s="20" t="n">
        <v>394767</v>
      </c>
      <c r="J119" s="20" t="n">
        <v>457313</v>
      </c>
      <c r="K119" s="20" t="n">
        <v>469144</v>
      </c>
      <c r="L119" s="20" t="n">
        <v>513457</v>
      </c>
    </row>
    <row r="120">
      <c r="A120" s="18" t="inlineStr">
        <is>
          <t>부채및자본 합계</t>
        </is>
      </c>
      <c r="C120" s="20" t="n">
        <v>791382</v>
      </c>
      <c r="D120" s="20" t="n">
        <v>802544</v>
      </c>
      <c r="E120" s="20" t="n">
        <v>815257</v>
      </c>
      <c r="F120" s="20" t="n">
        <v>856380</v>
      </c>
      <c r="G120" s="20" t="n">
        <v>905876</v>
      </c>
      <c r="H120" s="20" t="n">
        <v>728986</v>
      </c>
      <c r="I120" s="20" t="n">
        <v>772361</v>
      </c>
      <c r="J120" s="20" t="n">
        <v>788734</v>
      </c>
      <c r="K120" s="20" t="n">
        <v>782974</v>
      </c>
      <c r="L120" s="20" t="n">
        <v>856380</v>
      </c>
    </row>
    <row r="121">
      <c r="A121" s="18" t="inlineStr">
        <is>
          <t>현금 및 예금</t>
        </is>
      </c>
      <c r="H121" s="20" t="n">
        <v>58142</v>
      </c>
      <c r="I121" s="20" t="n">
        <v>58224</v>
      </c>
      <c r="J121" s="20" t="n">
        <v>64206</v>
      </c>
    </row>
    <row r="122">
      <c r="A122" s="18" t="inlineStr">
        <is>
          <t>받을어음·매출채권</t>
        </is>
      </c>
      <c r="H122" s="20" t="n">
        <v>0</v>
      </c>
    </row>
    <row r="123">
      <c r="A123" s="18" t="inlineStr">
        <is>
          <t>받을어음·매출채권·계약자산</t>
        </is>
      </c>
      <c r="H123" s="20" t="n">
        <v>125502</v>
      </c>
      <c r="I123" s="20" t="n">
        <v>127982</v>
      </c>
      <c r="J123" s="20" t="n">
        <v>127172</v>
      </c>
    </row>
    <row r="124">
      <c r="A124" s="18" t="inlineStr">
        <is>
          <t>전자기록채권</t>
        </is>
      </c>
      <c r="H124" s="20" t="n">
        <v>24345</v>
      </c>
      <c r="I124" s="20" t="n">
        <v>30671</v>
      </c>
      <c r="J124" s="20" t="n">
        <v>28352</v>
      </c>
    </row>
    <row r="125">
      <c r="A125" s="18" t="inlineStr">
        <is>
          <t>재고자산</t>
        </is>
      </c>
      <c r="H125" s="20" t="n">
        <v>174624</v>
      </c>
      <c r="I125" s="20" t="n">
        <v>201523</v>
      </c>
      <c r="J125" s="20" t="n">
        <v>198040</v>
      </c>
    </row>
    <row r="126">
      <c r="A126" s="18" t="inlineStr">
        <is>
          <t>기타</t>
        </is>
      </c>
      <c r="H126" s="20" t="n">
        <v>9150</v>
      </c>
      <c r="I126" s="20" t="n">
        <v>9767</v>
      </c>
      <c r="J126" s="20" t="n">
        <v>7737</v>
      </c>
    </row>
    <row r="127">
      <c r="A127" s="18" t="inlineStr">
        <is>
          <t>대손충당금</t>
        </is>
      </c>
      <c r="H127" s="20" t="n">
        <v>-78</v>
      </c>
      <c r="I127" s="20" t="n">
        <v>-50</v>
      </c>
      <c r="J127" s="20" t="n">
        <v>-54</v>
      </c>
    </row>
    <row r="128">
      <c r="A128" s="9" t="inlineStr">
        <is>
          <t>유동자산 합계</t>
        </is>
      </c>
      <c r="H128" s="12" t="n">
        <v>391686</v>
      </c>
      <c r="I128" s="12" t="n">
        <v>428118</v>
      </c>
      <c r="J128" s="12" t="n">
        <v>425455</v>
      </c>
    </row>
    <row r="129">
      <c r="A129" s="18" t="inlineStr">
        <is>
          <t>건물·구축물</t>
        </is>
      </c>
      <c r="H129" s="20" t="n">
        <v>212069</v>
      </c>
      <c r="I129" s="20" t="n">
        <v>215590</v>
      </c>
      <c r="J129" s="20" t="n">
        <v>213674</v>
      </c>
    </row>
    <row r="130">
      <c r="A130" s="18" t="inlineStr">
        <is>
          <t>감가상각누계액</t>
        </is>
      </c>
      <c r="H130" s="20" t="n">
        <v>-133236</v>
      </c>
      <c r="I130" s="20" t="n">
        <v>-137312</v>
      </c>
      <c r="J130" s="20" t="n">
        <v>-135519</v>
      </c>
    </row>
    <row r="131">
      <c r="A131" s="18" t="inlineStr">
        <is>
          <t>건물·구축물(순액)</t>
        </is>
      </c>
      <c r="H131" s="20" t="n">
        <v>78832</v>
      </c>
      <c r="I131" s="20" t="n">
        <v>78277</v>
      </c>
      <c r="J131" s="20" t="n">
        <v>78155</v>
      </c>
    </row>
    <row r="132">
      <c r="A132" s="18" t="inlineStr">
        <is>
          <t>기계장치·운반구</t>
        </is>
      </c>
      <c r="H132" s="20" t="n">
        <v>507661</v>
      </c>
      <c r="I132" s="20" t="n">
        <v>514790</v>
      </c>
      <c r="J132" s="20" t="n">
        <v>525903</v>
      </c>
    </row>
    <row r="133">
      <c r="A133" s="18" t="inlineStr">
        <is>
          <t>감가상각누계액</t>
        </is>
      </c>
      <c r="H133" s="20" t="n">
        <v>-412429</v>
      </c>
      <c r="I133" s="20" t="n">
        <v>-425210</v>
      </c>
      <c r="J133" s="20" t="n">
        <v>-438489</v>
      </c>
    </row>
    <row r="134">
      <c r="A134" s="18" t="inlineStr">
        <is>
          <t>기계장치·운반구(순액)</t>
        </is>
      </c>
      <c r="H134" s="20" t="n">
        <v>95232</v>
      </c>
      <c r="I134" s="20" t="n">
        <v>89579</v>
      </c>
      <c r="J134" s="20" t="n">
        <v>87414</v>
      </c>
    </row>
    <row r="135">
      <c r="A135" s="18" t="inlineStr">
        <is>
          <t>토지</t>
        </is>
      </c>
      <c r="H135" s="20" t="n">
        <v>36358</v>
      </c>
      <c r="I135" s="20" t="n">
        <v>36389</v>
      </c>
      <c r="J135" s="20" t="n">
        <v>36685</v>
      </c>
    </row>
    <row r="136">
      <c r="A136" s="18" t="inlineStr">
        <is>
          <t>건설중인자산</t>
        </is>
      </c>
      <c r="H136" s="20" t="n">
        <v>4944</v>
      </c>
      <c r="I136" s="20" t="n">
        <v>7438</v>
      </c>
      <c r="J136" s="20" t="n">
        <v>8304</v>
      </c>
    </row>
    <row r="137">
      <c r="A137" s="18" t="inlineStr">
        <is>
          <t>기타</t>
        </is>
      </c>
      <c r="H137" s="20" t="n">
        <v>33396</v>
      </c>
      <c r="I137" s="20" t="n">
        <v>34833</v>
      </c>
      <c r="J137" s="20" t="n">
        <v>35924</v>
      </c>
    </row>
    <row r="138">
      <c r="A138" s="18" t="inlineStr">
        <is>
          <t>감가상각누계액</t>
        </is>
      </c>
      <c r="H138" s="20" t="n">
        <v>-25062</v>
      </c>
      <c r="I138" s="20" t="n">
        <v>-26269</v>
      </c>
      <c r="J138" s="20" t="n">
        <v>-27370</v>
      </c>
    </row>
    <row r="139">
      <c r="A139" s="18" t="inlineStr">
        <is>
          <t>기타(순액)</t>
        </is>
      </c>
      <c r="H139" s="20" t="n">
        <v>8333</v>
      </c>
      <c r="I139" s="20" t="n">
        <v>8563</v>
      </c>
      <c r="J139" s="20" t="n">
        <v>8553</v>
      </c>
    </row>
    <row r="140">
      <c r="A140" s="18" t="inlineStr">
        <is>
          <t>유형자산 합계</t>
        </is>
      </c>
      <c r="H140" s="20" t="n">
        <v>223701</v>
      </c>
      <c r="I140" s="20" t="n">
        <v>220248</v>
      </c>
      <c r="J140" s="20" t="n">
        <v>219113</v>
      </c>
    </row>
    <row r="141">
      <c r="A141" s="18" t="inlineStr">
        <is>
          <t>무형자산</t>
        </is>
      </c>
      <c r="H141" s="20" t="n">
        <v>3776</v>
      </c>
      <c r="I141" s="20" t="n">
        <v>4530</v>
      </c>
      <c r="J141" s="20" t="n">
        <v>5013</v>
      </c>
    </row>
    <row r="142">
      <c r="A142" s="18" t="inlineStr">
        <is>
          <t>투자유가증권</t>
        </is>
      </c>
      <c r="H142" s="20" t="n">
        <v>86456</v>
      </c>
      <c r="I142" s="20" t="n">
        <v>90309</v>
      </c>
      <c r="J142" s="20" t="n">
        <v>89053</v>
      </c>
    </row>
    <row r="143">
      <c r="A143" s="18" t="inlineStr">
        <is>
          <t>이연법인세자산</t>
        </is>
      </c>
      <c r="H143" s="20" t="n">
        <v>3126</v>
      </c>
      <c r="I143" s="20" t="n">
        <v>1889</v>
      </c>
      <c r="J143" s="20" t="n">
        <v>2832</v>
      </c>
    </row>
    <row r="144">
      <c r="A144" s="18" t="inlineStr">
        <is>
          <t>퇴직급여자산</t>
        </is>
      </c>
      <c r="H144" s="20" t="n">
        <v>15840</v>
      </c>
      <c r="I144" s="20" t="n">
        <v>25078</v>
      </c>
      <c r="J144" s="20" t="n">
        <v>41461</v>
      </c>
    </row>
    <row r="145">
      <c r="A145" s="18" t="inlineStr">
        <is>
          <t>기타</t>
        </is>
      </c>
      <c r="H145" s="20" t="n">
        <v>3673</v>
      </c>
      <c r="I145" s="20" t="n">
        <v>3732</v>
      </c>
      <c r="J145" s="20" t="n">
        <v>4638</v>
      </c>
    </row>
    <row r="146">
      <c r="A146" s="18" t="inlineStr">
        <is>
          <t>대손충당금</t>
        </is>
      </c>
      <c r="H146" s="20" t="n">
        <v>-73</v>
      </c>
      <c r="I146" s="20" t="n">
        <v>-55</v>
      </c>
      <c r="J146" s="20" t="n">
        <v>-49</v>
      </c>
    </row>
    <row r="147">
      <c r="A147" s="18" t="inlineStr">
        <is>
          <t>투자 및 기타자산 합계</t>
        </is>
      </c>
      <c r="H147" s="20" t="n">
        <v>109022</v>
      </c>
      <c r="I147" s="20" t="n">
        <v>120954</v>
      </c>
      <c r="J147" s="20" t="n">
        <v>137935</v>
      </c>
    </row>
    <row r="148">
      <c r="A148" s="9" t="inlineStr">
        <is>
          <t>비유동자산 합계</t>
        </is>
      </c>
      <c r="H148" s="12" t="n">
        <v>336500</v>
      </c>
      <c r="I148" s="12" t="n">
        <v>345733</v>
      </c>
      <c r="J148" s="12" t="n">
        <v>362062</v>
      </c>
    </row>
    <row r="149">
      <c r="A149" s="9" t="inlineStr">
        <is>
          <t>자산 합계</t>
        </is>
      </c>
      <c r="H149" s="12" t="n">
        <v>728187</v>
      </c>
      <c r="I149" s="12" t="n">
        <v>773851</v>
      </c>
      <c r="J149" s="12" t="n">
        <v>787517</v>
      </c>
    </row>
    <row r="150">
      <c r="A150" s="18" t="inlineStr">
        <is>
          <t>지급어음·매입채무</t>
        </is>
      </c>
      <c r="H150" s="20" t="n">
        <v>53847</v>
      </c>
      <c r="I150" s="20" t="n">
        <v>48656</v>
      </c>
      <c r="J150" s="20" t="n">
        <v>44078</v>
      </c>
    </row>
    <row r="151">
      <c r="A151" s="18" t="inlineStr">
        <is>
          <t>전자기록채무</t>
        </is>
      </c>
      <c r="H151" s="20" t="n">
        <v>11321</v>
      </c>
      <c r="I151" s="20" t="n">
        <v>11424</v>
      </c>
      <c r="J151" s="20" t="n">
        <v>11015</v>
      </c>
    </row>
    <row r="152">
      <c r="A152" s="18" t="inlineStr">
        <is>
          <t>단기차입금</t>
        </is>
      </c>
      <c r="H152" s="20" t="n">
        <v>84562</v>
      </c>
      <c r="I152" s="20" t="n">
        <v>93309</v>
      </c>
      <c r="J152" s="20" t="n">
        <v>53098</v>
      </c>
    </row>
    <row r="153">
      <c r="A153" s="18" t="inlineStr">
        <is>
          <t>기업어음(CP)</t>
        </is>
      </c>
      <c r="H153" s="20" t="n">
        <v>47000</v>
      </c>
      <c r="I153" s="20" t="n">
        <v>26000</v>
      </c>
      <c r="J153" s="20" t="n">
        <v>0</v>
      </c>
    </row>
    <row r="154">
      <c r="A154" s="18" t="inlineStr">
        <is>
          <t>1년 내 상환 예정 사채</t>
        </is>
      </c>
      <c r="H154" s="20" t="n">
        <v>0</v>
      </c>
    </row>
    <row r="155">
      <c r="A155" s="18" t="inlineStr">
        <is>
          <t>미지급법인세</t>
        </is>
      </c>
      <c r="H155" s="20" t="n">
        <v>10157</v>
      </c>
      <c r="I155" s="20" t="n">
        <v>6390</v>
      </c>
      <c r="J155" s="20" t="n">
        <v>15628</v>
      </c>
    </row>
    <row r="156">
      <c r="A156" s="18" t="inlineStr">
        <is>
          <t>상여충당금</t>
        </is>
      </c>
      <c r="H156" s="20" t="n">
        <v>7789</v>
      </c>
      <c r="I156" s="20" t="n">
        <v>8051</v>
      </c>
      <c r="J156" s="20" t="n">
        <v>8210</v>
      </c>
    </row>
    <row r="157">
      <c r="A157" s="18" t="inlineStr">
        <is>
          <t>기타 충당금</t>
        </is>
      </c>
      <c r="H157" s="20" t="n">
        <v>528</v>
      </c>
      <c r="I157" s="20" t="n">
        <v>491</v>
      </c>
    </row>
    <row r="158">
      <c r="A158" s="18" t="inlineStr">
        <is>
          <t>임원 상여충당금</t>
        </is>
      </c>
      <c r="H158" s="20" t="n">
        <v>188</v>
      </c>
      <c r="I158" s="20" t="n">
        <v>198</v>
      </c>
      <c r="J158" s="20" t="n">
        <v>284</v>
      </c>
    </row>
    <row r="159">
      <c r="A159" s="18" t="inlineStr">
        <is>
          <t>주식급여 충당금</t>
        </is>
      </c>
      <c r="I159" s="20" t="n">
        <v>0</v>
      </c>
      <c r="J159" s="20" t="n">
        <v>115</v>
      </c>
    </row>
    <row r="160">
      <c r="A160" s="18" t="inlineStr">
        <is>
          <t>환경대책 충당금</t>
        </is>
      </c>
      <c r="H160" s="20" t="n">
        <v>272</v>
      </c>
      <c r="I160" s="20" t="n">
        <v>244</v>
      </c>
      <c r="J160" s="20" t="n">
        <v>368</v>
      </c>
    </row>
    <row r="161">
      <c r="A161" s="18" t="inlineStr">
        <is>
          <t>기타</t>
        </is>
      </c>
      <c r="H161" s="20" t="n">
        <v>14964</v>
      </c>
      <c r="I161" s="20" t="n">
        <v>20951</v>
      </c>
      <c r="J161" s="20" t="n">
        <v>21878</v>
      </c>
    </row>
    <row r="162">
      <c r="A162" s="9" t="inlineStr">
        <is>
          <t>유동부채 합계</t>
        </is>
      </c>
      <c r="H162" s="12" t="n">
        <v>230104</v>
      </c>
      <c r="I162" s="12" t="n">
        <v>215226</v>
      </c>
      <c r="J162" s="12" t="n">
        <v>154680</v>
      </c>
    </row>
    <row r="163">
      <c r="A163" s="18" t="inlineStr">
        <is>
          <t>사채</t>
        </is>
      </c>
      <c r="H163" s="20" t="n">
        <v>25000</v>
      </c>
      <c r="I163" s="20" t="n">
        <v>35000</v>
      </c>
      <c r="J163" s="20" t="n">
        <v>35000</v>
      </c>
    </row>
    <row r="164">
      <c r="A164" s="18" t="inlineStr">
        <is>
          <t>장기차입금</t>
        </is>
      </c>
      <c r="H164" s="20" t="n">
        <v>69911</v>
      </c>
      <c r="I164" s="20" t="n">
        <v>79980</v>
      </c>
      <c r="J164" s="20" t="n">
        <v>86481</v>
      </c>
    </row>
    <row r="165">
      <c r="A165" s="18" t="inlineStr">
        <is>
          <t>기타 충당금</t>
        </is>
      </c>
      <c r="H165" s="20" t="n">
        <v>4240</v>
      </c>
      <c r="I165" s="20" t="n">
        <v>3987</v>
      </c>
    </row>
    <row r="166">
      <c r="A166" s="18" t="inlineStr">
        <is>
          <t>이연법인세부채</t>
        </is>
      </c>
      <c r="H166" s="20" t="n">
        <v>14906</v>
      </c>
      <c r="I166" s="20" t="n">
        <v>15655</v>
      </c>
      <c r="J166" s="20" t="n">
        <v>21894</v>
      </c>
    </row>
    <row r="167">
      <c r="A167" s="18" t="inlineStr">
        <is>
          <t>재평가 관련 이연법인세부채</t>
        </is>
      </c>
      <c r="H167" s="20" t="n">
        <v>281</v>
      </c>
      <c r="I167" s="20" t="n">
        <v>281</v>
      </c>
      <c r="J167" s="20" t="n">
        <v>281</v>
      </c>
    </row>
    <row r="168">
      <c r="A168" s="18" t="inlineStr">
        <is>
          <t>임원 퇴직위로 충당금</t>
        </is>
      </c>
      <c r="H168" s="20" t="n">
        <v>746</v>
      </c>
      <c r="I168" s="20" t="n">
        <v>685</v>
      </c>
      <c r="J168" s="20" t="n">
        <v>730</v>
      </c>
    </row>
    <row r="169">
      <c r="A169" s="18" t="inlineStr">
        <is>
          <t>주식급여 충당금</t>
        </is>
      </c>
      <c r="I169" s="20" t="n">
        <v>33</v>
      </c>
      <c r="J169" s="20" t="n">
        <v>67</v>
      </c>
    </row>
    <row r="170">
      <c r="A170" s="18" t="inlineStr">
        <is>
          <t>환경대책 충당금</t>
        </is>
      </c>
      <c r="H170" s="20" t="n">
        <v>3494</v>
      </c>
      <c r="I170" s="20" t="n">
        <v>3267</v>
      </c>
      <c r="J170" s="20" t="n">
        <v>2879</v>
      </c>
    </row>
    <row r="171">
      <c r="A171" s="18" t="inlineStr">
        <is>
          <t>퇴직급여부채</t>
        </is>
      </c>
      <c r="H171" s="20" t="n">
        <v>13402</v>
      </c>
      <c r="I171" s="20" t="n">
        <v>12935</v>
      </c>
      <c r="J171" s="20" t="n">
        <v>12598</v>
      </c>
    </row>
    <row r="172">
      <c r="A172" s="18" t="inlineStr">
        <is>
          <t>기타</t>
        </is>
      </c>
      <c r="H172" s="20" t="n">
        <v>5336</v>
      </c>
      <c r="I172" s="20" t="n">
        <v>5304</v>
      </c>
      <c r="J172" s="20" t="n">
        <v>5216</v>
      </c>
    </row>
    <row r="173">
      <c r="A173" s="9" t="inlineStr">
        <is>
          <t>비유동부채 합계</t>
        </is>
      </c>
      <c r="H173" s="12" t="n">
        <v>133078</v>
      </c>
      <c r="I173" s="12" t="n">
        <v>153146</v>
      </c>
      <c r="J173" s="12" t="n">
        <v>165150</v>
      </c>
    </row>
    <row r="174">
      <c r="A174" s="9" t="inlineStr">
        <is>
          <t>부채 합계</t>
        </is>
      </c>
      <c r="H174" s="12" t="n">
        <v>363183</v>
      </c>
      <c r="I174" s="12" t="n">
        <v>368372</v>
      </c>
      <c r="J174" s="12" t="n">
        <v>319830</v>
      </c>
    </row>
    <row r="175">
      <c r="A175" s="18" t="inlineStr">
        <is>
          <t>자본금</t>
        </is>
      </c>
      <c r="H175" s="20" t="n">
        <v>37172</v>
      </c>
      <c r="I175" s="20" t="n">
        <v>37172</v>
      </c>
      <c r="J175" s="20" t="n">
        <v>37172</v>
      </c>
    </row>
    <row r="176">
      <c r="A176" s="18" t="inlineStr">
        <is>
          <t>자본잉여금</t>
        </is>
      </c>
      <c r="H176" s="20" t="n">
        <v>31228</v>
      </c>
      <c r="I176" s="20" t="n">
        <v>31231</v>
      </c>
      <c r="J176" s="20" t="n">
        <v>31399</v>
      </c>
    </row>
    <row r="177">
      <c r="A177" s="18" t="inlineStr">
        <is>
          <t>이익잉여금</t>
        </is>
      </c>
      <c r="H177" s="20" t="n">
        <v>238443</v>
      </c>
      <c r="I177" s="20" t="n">
        <v>266353</v>
      </c>
      <c r="J177" s="20" t="n">
        <v>306296</v>
      </c>
    </row>
    <row r="178">
      <c r="A178" s="18" t="inlineStr">
        <is>
          <t>자기주식</t>
        </is>
      </c>
      <c r="H178" s="20" t="n">
        <v>-3663</v>
      </c>
      <c r="I178" s="20" t="n">
        <v>-3668</v>
      </c>
      <c r="J178" s="20" t="n">
        <v>-3865</v>
      </c>
    </row>
    <row r="179">
      <c r="A179" s="9" t="inlineStr">
        <is>
          <t>주주자본 합계</t>
        </is>
      </c>
      <c r="H179" s="12" t="n">
        <v>303179</v>
      </c>
      <c r="I179" s="12" t="n">
        <v>331089</v>
      </c>
      <c r="J179" s="12" t="n">
        <v>371003</v>
      </c>
    </row>
    <row r="180">
      <c r="A180" s="18" t="inlineStr">
        <is>
          <t>기타유가증권 평가차액</t>
        </is>
      </c>
      <c r="H180" s="20" t="n">
        <v>21323</v>
      </c>
      <c r="I180" s="20" t="n">
        <v>24424</v>
      </c>
      <c r="J180" s="20" t="n">
        <v>29580</v>
      </c>
    </row>
    <row r="181">
      <c r="A181" s="18" t="inlineStr">
        <is>
          <t>이연헤지손익</t>
        </is>
      </c>
      <c r="H181" s="20" t="n">
        <v>10</v>
      </c>
      <c r="I181" s="20" t="n">
        <v>19</v>
      </c>
      <c r="J181" s="20" t="n">
        <v>9</v>
      </c>
    </row>
    <row r="182">
      <c r="A182" s="18" t="inlineStr">
        <is>
          <t>토지재평가차액금</t>
        </is>
      </c>
      <c r="H182" s="20" t="n">
        <v>657</v>
      </c>
      <c r="I182" s="20" t="n">
        <v>657</v>
      </c>
      <c r="J182" s="20" t="n">
        <v>657</v>
      </c>
    </row>
    <row r="183">
      <c r="A183" s="18" t="inlineStr">
        <is>
          <t>해외사업환산조정</t>
        </is>
      </c>
      <c r="H183" s="20" t="n">
        <v>4968</v>
      </c>
      <c r="I183" s="20" t="n">
        <v>6736</v>
      </c>
      <c r="J183" s="20" t="n">
        <v>10543</v>
      </c>
    </row>
    <row r="184">
      <c r="A184" s="18" t="inlineStr">
        <is>
          <t>퇴직급여 조정누계액</t>
        </is>
      </c>
      <c r="H184" s="20" t="n">
        <v>-426</v>
      </c>
      <c r="I184" s="20" t="n">
        <v>5790</v>
      </c>
      <c r="J184" s="20" t="n">
        <v>16563</v>
      </c>
    </row>
    <row r="185">
      <c r="A185" s="18" t="inlineStr">
        <is>
          <t>기타포괄손익누계액 합계</t>
        </is>
      </c>
      <c r="H185" s="20" t="n">
        <v>26533</v>
      </c>
      <c r="I185" s="20" t="n">
        <v>37628</v>
      </c>
      <c r="J185" s="20" t="n">
        <v>57355</v>
      </c>
    </row>
    <row r="186">
      <c r="A186" s="18" t="inlineStr">
        <is>
          <t>비지배지분</t>
        </is>
      </c>
      <c r="H186" s="20" t="n">
        <v>35290</v>
      </c>
      <c r="I186" s="20" t="n">
        <v>36760</v>
      </c>
      <c r="J186" s="20" t="n">
        <v>39327</v>
      </c>
    </row>
    <row r="187">
      <c r="A187" s="9" t="inlineStr">
        <is>
          <t>순자산 합계</t>
        </is>
      </c>
      <c r="H187" s="12" t="n">
        <v>365004</v>
      </c>
      <c r="I187" s="12" t="n">
        <v>405479</v>
      </c>
      <c r="J187" s="12" t="n">
        <v>467687</v>
      </c>
    </row>
    <row r="188">
      <c r="A188" s="9" t="inlineStr">
        <is>
          <t>부채·순자산 합계</t>
        </is>
      </c>
      <c r="H188" s="12" t="n">
        <v>728187</v>
      </c>
      <c r="I188" s="12" t="n">
        <v>773851</v>
      </c>
      <c r="J188" s="12" t="n">
        <v>787517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https://www2.jpx.co.jp/disc/54710/140120260728500455.pdf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https://www2.jpx.co.jp/disc/54710/140120260514535890.pdf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https://www2.jpx.co.jp/disc/54710/140120260129541116.pdf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https://www2.jpx.co.jp/disc/54710/140120251029581922.pdf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https://www2.jpx.co.jp/disc/54710/140120250728521406.pdf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https://www2.jpx.co.jp/disc/54710/140120250507532684.pdf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https://www2.jpx.co.jp/disc/54710/140120250130558537.pdf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https://www2.jpx.co.jp/disc/54710/140120241029505297.pdf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https://www2.jpx.co.jp/disc/54710/140120240726556000.pdf</t>
        </is>
      </c>
    </row>
    <row r="13">
      <c r="A13" t="inlineStr">
        <is>
          <t>2024-06-26</t>
        </is>
      </c>
      <c r="B13" t="inlineStr">
        <is>
          <t>2024년 3월 결산기 연간 결산단신</t>
        </is>
      </c>
      <c r="C13" t="inlineStr">
        <is>
          <t>https://www2.jpx.co.jp/disc/54710/140120240624535329.pdf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https://www2.jpx.co.jp/disc/54710/140120240509587471.pdf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https://www2.jpx.co.jp/disc/54710/140120240131522616.pdf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https://www2.jpx.co.jp/disc/54710/140120231027573643.pdf</t>
        </is>
      </c>
    </row>
    <row r="17">
      <c r="A17" t="inlineStr">
        <is>
          <t>2023-07-28</t>
        </is>
      </c>
      <c r="B17" t="inlineStr">
        <is>
          <t>2024년 3월 결산기 １분기 결산단신</t>
        </is>
      </c>
      <c r="C17" t="inlineStr">
        <is>
          <t>https://www2.jpx.co.jp/disc/54710/140120230727528442.pdf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https://www2.jpx.co.jp/disc/54710/140120230427555242.pdf</t>
        </is>
      </c>
    </row>
    <row r="19">
      <c r="A19" t="inlineStr">
        <is>
          <t>2023-01-30</t>
        </is>
      </c>
      <c r="B19" t="inlineStr">
        <is>
          <t>2023년 3월 결산기 ３분기 결산단신</t>
        </is>
      </c>
      <c r="C19" t="inlineStr">
        <is>
          <t>https://www2.jpx.co.jp/disc/54710/140120230127594886.pdf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https://www2.jpx.co.jp/disc/54710/140120220427530221.pdf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https://www2.jpx.co.jp/disc/54710/140120210428403263.pdf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https://www2.jpx.co.jp/disc/54710/140120200514414599.pdf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https://www2.jpx.co.jp/disc/54710/140120190425411231.pdf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2026-10-28T07:03:42Z</dcterms:created>
  <dcterms:modified xmlns:dcterms="http://purl.org/dc/terms/" xmlns:xsi="http://www.w3.org/2001/XMLSchema-instance" xsi:type="dcterms:W3CDTF">2026-10-28T07:03:43Z</dcterms:modified>
</cp:coreProperties>
</file>