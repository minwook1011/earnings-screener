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3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5471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IFRS · 2026.4Q = 2026년 3월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141938</v>
      </c>
      <c r="D4" s="12" t="n">
        <v>146656</v>
      </c>
      <c r="E4" s="12" t="n">
        <v>149769</v>
      </c>
      <c r="F4" s="12" t="n">
        <v>140201</v>
      </c>
      <c r="G4" s="12" t="n"/>
      <c r="H4" s="12" t="n"/>
      <c r="I4" s="12" t="n"/>
      <c r="J4" s="12" t="n"/>
      <c r="K4" s="12" t="n"/>
      <c r="L4" s="12" t="n"/>
      <c r="M4" s="12" t="n"/>
      <c r="N4" s="12" t="n"/>
      <c r="O4" s="11" t="n"/>
      <c r="P4" s="12" t="n">
        <v>505219</v>
      </c>
      <c r="Q4" s="12" t="n">
        <v>543255</v>
      </c>
      <c r="R4" s="12" t="n">
        <v>490421</v>
      </c>
      <c r="S4" s="12" t="n">
        <v>412722</v>
      </c>
      <c r="T4" s="12" t="n">
        <v>529667</v>
      </c>
      <c r="U4" s="12" t="n">
        <v>579013</v>
      </c>
      <c r="V4" s="12" t="n">
        <v>578564</v>
      </c>
      <c r="W4" s="12" t="n">
        <v>574945</v>
      </c>
      <c r="X4" s="12" t="n">
        <v>578129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부문</t>
        </is>
      </c>
      <c r="B7" s="10" t="n"/>
      <c r="C7" s="19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19" t="n"/>
      <c r="P7" s="20" t="n"/>
      <c r="Q7" s="20" t="n"/>
      <c r="R7" s="20" t="n"/>
      <c r="S7" s="20" t="n"/>
      <c r="T7" s="20" t="n"/>
      <c r="U7" s="20" t="n"/>
      <c r="V7" s="20" t="n">
        <v>218743</v>
      </c>
      <c r="W7" s="20" t="n">
        <v>210162</v>
      </c>
      <c r="X7" s="20" t="n">
        <v>207781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부문</t>
        </is>
      </c>
      <c r="B10" s="10" t="n"/>
      <c r="C10" s="19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202384</v>
      </c>
      <c r="W10" s="20" t="n">
        <v>200863</v>
      </c>
      <c r="X10" s="20" t="n">
        <v>199753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부문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104996</v>
      </c>
      <c r="W13" s="20" t="n">
        <v>113031</v>
      </c>
      <c r="X13" s="20" t="n">
        <v>117937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부문</t>
        </is>
      </c>
      <c r="B16" s="10" t="n"/>
      <c r="C16" s="19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>
        <v>23091</v>
      </c>
      <c r="W16" s="20" t="n">
        <v>24067</v>
      </c>
      <c r="X16" s="20" t="n">
        <v>26625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부문</t>
        </is>
      </c>
      <c r="B19" s="10" t="n"/>
      <c r="C19" s="19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>
        <v>29347</v>
      </c>
      <c r="W19" s="20" t="n">
        <v>26820</v>
      </c>
      <c r="X19" s="20" t="n">
        <v>26031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119731</v>
      </c>
      <c r="D23" s="20" t="n">
        <v>121222</v>
      </c>
      <c r="E23" s="20" t="n">
        <v>121320</v>
      </c>
      <c r="F23" s="20" t="n">
        <v>118345</v>
      </c>
      <c r="G23" s="20" t="n"/>
      <c r="H23" s="20" t="n"/>
      <c r="I23" s="20" t="n"/>
      <c r="J23" s="20" t="n"/>
      <c r="K23" s="20" t="n"/>
      <c r="L23" s="20" t="n"/>
      <c r="M23" s="20" t="n"/>
      <c r="N23" s="20" t="n"/>
      <c r="O23" s="19" t="n"/>
      <c r="P23" s="20" t="n">
        <v>412712</v>
      </c>
      <c r="Q23" s="20" t="n">
        <v>451755</v>
      </c>
      <c r="R23" s="20" t="n">
        <v>409382</v>
      </c>
      <c r="S23" s="20" t="n">
        <v>351526</v>
      </c>
      <c r="T23" s="20" t="n">
        <v>437556</v>
      </c>
      <c r="U23" s="20" t="n">
        <v>476064</v>
      </c>
      <c r="V23" s="20" t="n">
        <v>480618</v>
      </c>
      <c r="W23" s="20" t="n">
        <v>470757</v>
      </c>
      <c r="X23" s="20" t="n">
        <v>476828</v>
      </c>
      <c r="Y23" s="19" t="n"/>
      <c r="Z23" s="20" t="n"/>
      <c r="AA23" s="20" t="n"/>
      <c r="AB23" s="20" t="n"/>
      <c r="AC23" s="20" t="n"/>
    </row>
    <row r="24">
      <c r="A24" s="18" t="inlineStr">
        <is>
          <t>매출총이익</t>
        </is>
      </c>
      <c r="B24" s="10" t="n"/>
      <c r="C24" s="19">
        <f>IF(OR(C4="",C23=""),"",IFERROR(C4-C23,""))</f>
        <v/>
      </c>
      <c r="D24" s="20">
        <f>IF(OR(D4="",D23=""),"",IFERROR(D4-D23,""))</f>
        <v/>
      </c>
      <c r="E24" s="20">
        <f>IF(OR(E4="",E23=""),"",IFERROR(E4-E23,""))</f>
        <v/>
      </c>
      <c r="F24" s="20">
        <f>IF(OR(F4="",F23=""),"",IFERROR(F4-F23,""))</f>
        <v/>
      </c>
      <c r="G24" s="20">
        <f>IF(OR(G4="",G23=""),"",IFERROR(G4-G23,""))</f>
        <v/>
      </c>
      <c r="H24" s="20">
        <f>IF(OR(H4="",H23=""),"",IFERROR(H4-H23,""))</f>
        <v/>
      </c>
      <c r="I24" s="20">
        <f>IF(OR(I4="",I23=""),"",IFERROR(I4-I23,""))</f>
        <v/>
      </c>
      <c r="J24" s="20">
        <f>IF(OR(J4="",J23=""),"",IFERROR(J4-J23,""))</f>
        <v/>
      </c>
      <c r="K24" s="20">
        <f>IF(OR(K4="",K23=""),"",IFERROR(K4-K23,""))</f>
        <v/>
      </c>
      <c r="L24" s="20">
        <f>IF(OR(L4="",L23=""),"",IFERROR(L4-L23,""))</f>
        <v/>
      </c>
      <c r="M24" s="20">
        <f>IF(OR(M4="",M23=""),"",IFERROR(M4-M23,""))</f>
        <v/>
      </c>
      <c r="N24" s="20">
        <f>IF(OR(N4="",N23=""),"",IFERROR(N4-N23,""))</f>
        <v/>
      </c>
      <c r="O24" s="19">
        <f>IF(OR(O4="",O23=""),"",IFERROR(O4-O23,""))</f>
        <v/>
      </c>
      <c r="P24" s="20">
        <f>IF(OR(P4="",P23=""),"",IFERROR(P4-P23,""))</f>
        <v/>
      </c>
      <c r="Q24" s="20">
        <f>IF(OR(Q4="",Q23=""),"",IFERROR(Q4-Q23,""))</f>
        <v/>
      </c>
      <c r="R24" s="20">
        <f>IF(OR(R4="",R23=""),"",IFERROR(R4-R23,""))</f>
        <v/>
      </c>
      <c r="S24" s="20">
        <f>IF(OR(S4="",S23=""),"",IFERROR(S4-S23,""))</f>
        <v/>
      </c>
      <c r="T24" s="20">
        <f>IF(OR(T4="",T23=""),"",IFERROR(T4-T23,""))</f>
        <v/>
      </c>
      <c r="U24" s="20">
        <f>IF(OR(U4="",U23=""),"",IFERROR(U4-U23,""))</f>
        <v/>
      </c>
      <c r="V24" s="20">
        <f>IF(OR(V4="",V23=""),"",IFERROR(V4-V23,""))</f>
        <v/>
      </c>
      <c r="W24" s="20">
        <f>IF(OR(W4="",W23=""),"",IFERROR(W4-W23,""))</f>
        <v/>
      </c>
      <c r="X24" s="20">
        <f>IF(OR(X4="",X23=""),"",IFERROR(X4-X23,""))</f>
        <v/>
      </c>
      <c r="Y24" s="19" t="n"/>
      <c r="Z24" s="20" t="n"/>
      <c r="AA24" s="20" t="n"/>
      <c r="AB24" s="20" t="n"/>
      <c r="AC24" s="20" t="n"/>
    </row>
    <row r="25">
      <c r="A25" s="13" t="inlineStr">
        <is>
          <t>GPM</t>
        </is>
      </c>
      <c r="B25" s="10" t="n"/>
      <c r="C25" s="14">
        <f>IF(OR(C24="",C4=""),"",IFERROR(C24/C4,""))</f>
        <v/>
      </c>
      <c r="D25" s="15">
        <f>IF(OR(D24="",D4=""),"",IFERROR(D24/D4,""))</f>
        <v/>
      </c>
      <c r="E25" s="15">
        <f>IF(OR(E24="",E4=""),"",IFERROR(E24/E4,""))</f>
        <v/>
      </c>
      <c r="F25" s="15">
        <f>IF(OR(F24="",F4=""),"",IFERROR(F24/F4,""))</f>
        <v/>
      </c>
      <c r="G25" s="15">
        <f>IF(OR(G24="",G4=""),"",IFERROR(G24/G4,""))</f>
        <v/>
      </c>
      <c r="H25" s="15">
        <f>IF(OR(H24="",H4=""),"",IFERROR(H24/H4,""))</f>
        <v/>
      </c>
      <c r="I25" s="15">
        <f>IF(OR(I24="",I4=""),"",IFERROR(I24/I4,""))</f>
        <v/>
      </c>
      <c r="J25" s="15">
        <f>IF(OR(J24="",J4=""),"",IFERROR(J24/J4,""))</f>
        <v/>
      </c>
      <c r="K25" s="15">
        <f>IF(OR(K24="",K4=""),"",IFERROR(K24/K4,""))</f>
        <v/>
      </c>
      <c r="L25" s="15">
        <f>IF(OR(L24="",L4=""),"",IFERROR(L24/L4,""))</f>
        <v/>
      </c>
      <c r="M25" s="15">
        <f>IF(OR(M24="",M4=""),"",IFERROR(M24/M4,""))</f>
        <v/>
      </c>
      <c r="N25" s="15">
        <f>IF(OR(N24="",N4=""),"",IFERROR(N24/N4,""))</f>
        <v/>
      </c>
      <c r="O25" s="14">
        <f>IF(OR(O24="",O4=""),"",IFERROR(O24/O4,""))</f>
        <v/>
      </c>
      <c r="P25" s="15">
        <f>IF(OR(P24="",P4=""),"",IFERROR(P24/P4,""))</f>
        <v/>
      </c>
      <c r="Q25" s="15">
        <f>IF(OR(Q24="",Q4=""),"",IFERROR(Q24/Q4,""))</f>
        <v/>
      </c>
      <c r="R25" s="15">
        <f>IF(OR(R24="",R4=""),"",IFERROR(R24/R4,""))</f>
        <v/>
      </c>
      <c r="S25" s="15">
        <f>IF(OR(S24="",S4=""),"",IFERROR(S24/S4,""))</f>
        <v/>
      </c>
      <c r="T25" s="15">
        <f>IF(OR(T24="",T4=""),"",IFERROR(T24/T4,""))</f>
        <v/>
      </c>
      <c r="U25" s="15">
        <f>IF(OR(U24="",U4=""),"",IFERROR(U24/U4,""))</f>
        <v/>
      </c>
      <c r="V25" s="15">
        <f>IF(OR(V24="",V4=""),"",IFERROR(V24/V4,""))</f>
        <v/>
      </c>
      <c r="W25" s="15">
        <f>IF(OR(W24="",W4=""),"",IFERROR(W24/W4,""))</f>
        <v/>
      </c>
      <c r="X25" s="15">
        <f>IF(OR(X24="",X4=""),"",IFERROR(X24/X4,""))</f>
        <v/>
      </c>
      <c r="Y25" s="14">
        <f>IF(OR(Y24="",Y4=""),"",IFERROR(Y24/Y4,""))</f>
        <v/>
      </c>
      <c r="Z25" s="15">
        <f>IF(OR(Z24="",Z4=""),"",IFERROR(Z24/Z4,""))</f>
        <v/>
      </c>
      <c r="AA25" s="15">
        <f>IF(OR(AA24="",AA4=""),"",IFERROR(AA24/AA4,""))</f>
        <v/>
      </c>
      <c r="AB25" s="15">
        <f>IF(OR(AB24="",AB4=""),"",IFERROR(AB24/AB4,""))</f>
        <v/>
      </c>
      <c r="AC25" s="15">
        <f>IF(OR(AC24="",AC4=""),"",IFERROR(AC24/AC4,""))</f>
        <v/>
      </c>
    </row>
    <row r="26">
      <c r="A26" s="23" t="inlineStr">
        <is>
          <t>판매관리비</t>
        </is>
      </c>
      <c r="B26" s="23" t="n"/>
      <c r="C26" s="24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4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4" t="n"/>
      <c r="Z26" s="23" t="n"/>
      <c r="AA26" s="23" t="n"/>
      <c r="AB26" s="23" t="n"/>
      <c r="AC26" s="23" t="n"/>
    </row>
    <row r="27">
      <c r="A27" s="18" t="inlineStr">
        <is>
          <t>전체 판관비</t>
        </is>
      </c>
      <c r="B27" s="10" t="n"/>
      <c r="C27" s="19" t="n">
        <v>14227</v>
      </c>
      <c r="D27" s="20" t="n">
        <v>14410</v>
      </c>
      <c r="E27" s="20" t="n">
        <v>14401</v>
      </c>
      <c r="F27" s="20" t="n">
        <v>16035</v>
      </c>
      <c r="G27" s="20" t="n"/>
      <c r="H27" s="20" t="n"/>
      <c r="I27" s="20" t="n"/>
      <c r="J27" s="20" t="n"/>
      <c r="K27" s="20" t="n"/>
      <c r="L27" s="20" t="n"/>
      <c r="M27" s="20" t="n"/>
      <c r="N27" s="20" t="n"/>
      <c r="O27" s="19" t="n"/>
      <c r="P27" s="20" t="n">
        <v>56287</v>
      </c>
      <c r="Q27" s="20" t="n">
        <v>57684</v>
      </c>
      <c r="R27" s="20" t="n">
        <v>56270</v>
      </c>
      <c r="S27" s="20" t="n">
        <v>51126</v>
      </c>
      <c r="T27" s="20" t="n">
        <v>55128</v>
      </c>
      <c r="U27" s="20" t="n">
        <v>53173</v>
      </c>
      <c r="V27" s="20" t="n">
        <v>59073</v>
      </c>
      <c r="W27" s="20" t="n">
        <v>61335</v>
      </c>
      <c r="X27" s="20" t="n">
        <v>64790</v>
      </c>
      <c r="Y27" s="19" t="n"/>
      <c r="Z27" s="20" t="n"/>
      <c r="AA27" s="20" t="n"/>
      <c r="AB27" s="20" t="n"/>
      <c r="AC27" s="20" t="n"/>
    </row>
    <row r="28">
      <c r="A28" s="9" t="inlineStr">
        <is>
          <t>영업이익</t>
        </is>
      </c>
      <c r="B28" s="10" t="inlineStr">
        <is>
          <t>MW = 매출 × OPM</t>
        </is>
      </c>
      <c r="C28" s="11" t="n">
        <v>7979</v>
      </c>
      <c r="D28" s="12" t="n">
        <v>11024</v>
      </c>
      <c r="E28" s="12" t="n">
        <v>14048</v>
      </c>
      <c r="F28" s="12" t="n">
        <v>9199</v>
      </c>
      <c r="G28" s="12" t="n"/>
      <c r="H28" s="12" t="n"/>
      <c r="I28" s="12" t="n"/>
      <c r="J28" s="12" t="n"/>
      <c r="K28" s="12" t="n"/>
      <c r="L28" s="12" t="n"/>
      <c r="M28" s="12" t="n"/>
      <c r="N28" s="12" t="n"/>
      <c r="O28" s="11" t="n"/>
      <c r="P28" s="12" t="n">
        <v>36218</v>
      </c>
      <c r="Q28" s="12" t="n">
        <v>33815</v>
      </c>
      <c r="R28" s="12" t="n">
        <v>24768</v>
      </c>
      <c r="S28" s="12" t="n">
        <v>10070</v>
      </c>
      <c r="T28" s="12" t="n">
        <v>36982</v>
      </c>
      <c r="U28" s="12" t="n">
        <v>50025</v>
      </c>
      <c r="V28" s="12" t="n">
        <v>42250</v>
      </c>
      <c r="W28" s="12" t="n">
        <v>39408</v>
      </c>
      <c r="X28" s="12" t="n">
        <v>42081</v>
      </c>
      <c r="Y28" s="11">
        <f>IF(OR(Y4="",Y29=""),"",IFERROR(Y4*Y29,""))</f>
        <v/>
      </c>
      <c r="Z28" s="12">
        <f>IF(OR(Z4="",Z29=""),"",IFERROR(Z4*Z29,""))</f>
        <v/>
      </c>
      <c r="AA28" s="12">
        <f>IF(OR(AA4="",AA29=""),"",IFERROR(AA4*AA29,""))</f>
        <v/>
      </c>
      <c r="AB28" s="12">
        <f>IF(OR(AB4="",AB29=""),"",IFERROR(AB4*AB29,""))</f>
        <v/>
      </c>
      <c r="AC28" s="12">
        <f>IF(OR(AC4="",AC29=""),"",IFERROR(AC4*AC29,""))</f>
        <v/>
      </c>
    </row>
    <row r="29">
      <c r="A29" s="13" t="inlineStr">
        <is>
          <t>OPM</t>
        </is>
      </c>
      <c r="B29" s="10" t="inlineStr">
        <is>
          <t>MW 입력</t>
        </is>
      </c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25" t="n"/>
      <c r="Z29" s="26" t="n"/>
      <c r="AA29" s="26" t="n"/>
      <c r="AB29" s="26" t="n"/>
      <c r="AC29" s="26" t="n"/>
    </row>
    <row r="30">
      <c r="A30" s="13" t="inlineStr">
        <is>
          <t>증가율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비용의 성격별 분류</t>
        </is>
      </c>
      <c r="B31" s="16" t="inlineStr">
        <is>
          <t>참고 데이터</t>
        </is>
      </c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9" t="inlineStr">
        <is>
          <t>총 판관비</t>
        </is>
      </c>
      <c r="B32" s="10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1">
        <f>IF(O27="","",O27)</f>
        <v/>
      </c>
      <c r="P32" s="12">
        <f>IF(P27="","",P27)</f>
        <v/>
      </c>
      <c r="Q32" s="12">
        <f>IF(Q27="","",Q27)</f>
        <v/>
      </c>
      <c r="R32" s="12">
        <f>IF(R27="","",R27)</f>
        <v/>
      </c>
      <c r="S32" s="12">
        <f>IF(S27="","",S27)</f>
        <v/>
      </c>
      <c r="T32" s="12">
        <f>IF(T27="","",T27)</f>
        <v/>
      </c>
      <c r="U32" s="12">
        <f>IF(U27="","",U27)</f>
        <v/>
      </c>
      <c r="V32" s="12">
        <f>IF(V27="","",V27)</f>
        <v/>
      </c>
      <c r="W32" s="12">
        <f>IF(W27="","",W27)</f>
        <v/>
      </c>
      <c r="X32" s="12">
        <f>IF(X27="","",X27)</f>
        <v/>
      </c>
      <c r="Y32" s="11" t="n"/>
      <c r="Z32" s="12" t="n"/>
      <c r="AA32" s="12" t="n"/>
      <c r="AB32" s="12" t="n"/>
      <c r="AC32" s="12" t="n"/>
    </row>
    <row r="33">
      <c r="A33" s="18" t="inlineStr">
        <is>
          <t>급여</t>
        </is>
      </c>
      <c r="B33" s="10" t="inlineStr">
        <is>
          <t>고정비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감가상각비</t>
        </is>
      </c>
      <c r="B35" s="10" t="inlineStr">
        <is>
          <t>고정비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8" t="inlineStr">
        <is>
          <t>지급수수료</t>
        </is>
      </c>
      <c r="B37" s="10" t="inlineStr">
        <is>
          <t>고정비</t>
        </is>
      </c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19" t="n"/>
      <c r="Z37" s="20" t="n"/>
      <c r="AA37" s="20" t="n"/>
      <c r="AB37" s="20" t="n"/>
      <c r="AC37" s="20" t="n"/>
    </row>
    <row r="38">
      <c r="A38" s="13" t="inlineStr">
        <is>
          <t>% of Sales</t>
        </is>
      </c>
      <c r="B38" s="10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 t="n"/>
      <c r="Z38" s="15" t="n"/>
      <c r="AA38" s="15" t="n"/>
      <c r="AB38" s="15" t="n"/>
      <c r="AC38" s="15" t="n"/>
    </row>
    <row r="39">
      <c r="A39" s="18" t="inlineStr">
        <is>
          <t>연구개발비</t>
        </is>
      </c>
      <c r="B39" s="10" t="inlineStr">
        <is>
          <t>변동비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기타비용</t>
        </is>
      </c>
      <c r="B41" s="10" t="inlineStr">
        <is>
          <t>변동비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>
        <f>IF(OR(O32="",O33="",O35="",O37="",O39=""),"",IFERROR(O32-O33-O35-O37-O39,""))</f>
        <v/>
      </c>
      <c r="P41" s="20">
        <f>IF(OR(P32="",P33="",P35="",P37="",P39=""),"",IFERROR(P32-P33-P35-P37-P39,""))</f>
        <v/>
      </c>
      <c r="Q41" s="20">
        <f>IF(OR(Q32="",Q33="",Q35="",Q37="",Q39=""),"",IFERROR(Q32-Q33-Q35-Q37-Q39,""))</f>
        <v/>
      </c>
      <c r="R41" s="20">
        <f>IF(OR(R32="",R33="",R35="",R37="",R39=""),"",IFERROR(R32-R33-R35-R37-R39,""))</f>
        <v/>
      </c>
      <c r="S41" s="20">
        <f>IF(OR(S32="",S33="",S35="",S37="",S39=""),"",IFERROR(S32-S33-S35-S37-S39,""))</f>
        <v/>
      </c>
      <c r="T41" s="20">
        <f>IF(OR(T32="",T33="",T35="",T37="",T39=""),"",IFERROR(T32-T33-T35-T37-T39,""))</f>
        <v/>
      </c>
      <c r="U41" s="20">
        <f>IF(OR(U32="",U33="",U35="",U37="",U39=""),"",IFERROR(U32-U33-U35-U37-U39,""))</f>
        <v/>
      </c>
      <c r="V41" s="20">
        <f>IF(OR(V32="",V33="",V35="",V37="",V39=""),"",IFERROR(V32-V33-V35-V37-V39,""))</f>
        <v/>
      </c>
      <c r="W41" s="20">
        <f>IF(OR(W32="",W33="",W35="",W37="",W39=""),"",IFERROR(W32-W33-W35-W37-W39,""))</f>
        <v/>
      </c>
      <c r="X41" s="20">
        <f>IF(OR(X32="",X33="",X35="",X37="",X39=""),"",IFERROR(X32-X33-X35-X37-X39,""))</f>
        <v/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6" t="inlineStr">
        <is>
          <t>당기순이익 추정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기타이익</t>
        </is>
      </c>
      <c r="B44" s="10" t="n"/>
      <c r="C44" s="19" t="n"/>
      <c r="D44" s="20" t="n"/>
      <c r="E44" s="20" t="n">
        <v>0</v>
      </c>
      <c r="F44" s="20" t="n">
        <v>8317</v>
      </c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 t="n"/>
      <c r="P44" s="20" t="n">
        <v>769</v>
      </c>
      <c r="Q44" s="20" t="n">
        <v>28</v>
      </c>
      <c r="R44" s="20" t="n">
        <v>7686</v>
      </c>
      <c r="S44" s="20" t="n">
        <v>143</v>
      </c>
      <c r="T44" s="20" t="n">
        <v>5497</v>
      </c>
      <c r="U44" s="20" t="n">
        <v>1600</v>
      </c>
      <c r="V44" s="20" t="n">
        <v>8317</v>
      </c>
      <c r="W44" s="20" t="n">
        <v>1002</v>
      </c>
      <c r="X44" s="20" t="n">
        <v>6299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inlineStr">
        <is>
          <t>MW = 최근 3년 평균</t>
        </is>
      </c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18" t="inlineStr">
        <is>
          <t>기타손실</t>
        </is>
      </c>
      <c r="B46" s="10" t="n"/>
      <c r="C46" s="19" t="n"/>
      <c r="D46" s="20" t="n"/>
      <c r="E46" s="20" t="n">
        <v>637</v>
      </c>
      <c r="F46" s="20" t="n">
        <v>1622</v>
      </c>
      <c r="G46" s="20" t="n"/>
      <c r="H46" s="20" t="n"/>
      <c r="I46" s="20" t="n"/>
      <c r="J46" s="20" t="n"/>
      <c r="K46" s="20" t="n"/>
      <c r="L46" s="20" t="n"/>
      <c r="M46" s="20" t="n"/>
      <c r="N46" s="20" t="n"/>
      <c r="O46" s="19" t="n"/>
      <c r="P46" s="20" t="n">
        <v>68</v>
      </c>
      <c r="Q46" s="20" t="n">
        <v>1260</v>
      </c>
      <c r="R46" s="20" t="n">
        <v>10815</v>
      </c>
      <c r="S46" s="20" t="n">
        <v>2720</v>
      </c>
      <c r="T46" s="20" t="n">
        <v>3951</v>
      </c>
      <c r="U46" s="20" t="n">
        <v>1350</v>
      </c>
      <c r="V46" s="20" t="n">
        <v>4939</v>
      </c>
      <c r="W46" s="20" t="n">
        <v>4446</v>
      </c>
      <c r="X46" s="20" t="n">
        <v>729</v>
      </c>
      <c r="Y46" s="19">
        <f>IF(OR(Y4="",Y47=""),"",IFERROR(Y4*Y47,""))</f>
        <v/>
      </c>
      <c r="Z46" s="20">
        <f>IF(OR(Z4="",Z47=""),"",IFERROR(Z4*Z47,""))</f>
        <v/>
      </c>
      <c r="AA46" s="20">
        <f>IF(OR(AA4="",AA47=""),"",IFERROR(AA4*AA47,""))</f>
        <v/>
      </c>
      <c r="AB46" s="20">
        <f>IF(OR(AB4="",AB47=""),"",IFERROR(AB4*AB47,""))</f>
        <v/>
      </c>
      <c r="AC46" s="20">
        <f>IF(OR(AC4="",AC47=""),"",IFERROR(AC4*AC47,""))</f>
        <v/>
      </c>
    </row>
    <row r="47">
      <c r="A47" s="13" t="inlineStr">
        <is>
          <t>% of Sales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>
        <f>IFERROR(AVERAGE(V47,W47,X47),"")</f>
        <v/>
      </c>
      <c r="Z47" s="26">
        <f>Y47</f>
        <v/>
      </c>
      <c r="AA47" s="26">
        <f>Z47</f>
        <v/>
      </c>
      <c r="AB47" s="26">
        <f>AA47</f>
        <v/>
      </c>
      <c r="AC47" s="26">
        <f>AB47</f>
        <v/>
      </c>
    </row>
    <row r="48">
      <c r="A48" s="18" t="inlineStr">
        <is>
          <t>금융수익</t>
        </is>
      </c>
      <c r="B48" s="10" t="n"/>
      <c r="C48" s="19" t="n">
        <v>2316</v>
      </c>
      <c r="D48" s="20" t="n">
        <v>968</v>
      </c>
      <c r="E48" s="20" t="n">
        <v>912</v>
      </c>
      <c r="F48" s="20" t="n">
        <v>-1127</v>
      </c>
      <c r="G48" s="20" t="n"/>
      <c r="H48" s="20" t="n"/>
      <c r="I48" s="20" t="n"/>
      <c r="J48" s="20" t="n"/>
      <c r="K48" s="20" t="n"/>
      <c r="L48" s="20" t="n"/>
      <c r="M48" s="20" t="n"/>
      <c r="N48" s="20" t="n"/>
      <c r="O48" s="19" t="n"/>
      <c r="P48" s="20" t="n">
        <v>4334</v>
      </c>
      <c r="Q48" s="20" t="n">
        <v>5379</v>
      </c>
      <c r="R48" s="20" t="n">
        <v>3743</v>
      </c>
      <c r="S48" s="20" t="n">
        <v>6753</v>
      </c>
      <c r="T48" s="20" t="n">
        <v>4766</v>
      </c>
      <c r="U48" s="20" t="n">
        <v>2712</v>
      </c>
      <c r="V48" s="20" t="n">
        <v>3069</v>
      </c>
      <c r="W48" s="20" t="n">
        <v>3114</v>
      </c>
      <c r="X48" s="20" t="n">
        <v>2450</v>
      </c>
      <c r="Y48" s="19">
        <f>IF(OR(Y4="",Y49=""),"",IFERROR(Y4*Y49,""))</f>
        <v/>
      </c>
      <c r="Z48" s="20">
        <f>IF(OR(Z4="",Z49=""),"",IFERROR(Z4*Z49,""))</f>
        <v/>
      </c>
      <c r="AA48" s="20">
        <f>IF(OR(AA4="",AA49=""),"",IFERROR(AA4*AA49,""))</f>
        <v/>
      </c>
      <c r="AB48" s="20">
        <f>IF(OR(AB4="",AB49=""),"",IFERROR(AB4*AB49,""))</f>
        <v/>
      </c>
      <c r="AC48" s="20">
        <f>IF(OR(AC4="",AC49=""),"",IFERROR(AC4*AC49,""))</f>
        <v/>
      </c>
    </row>
    <row r="49">
      <c r="A49" s="13" t="inlineStr">
        <is>
          <t>% of Sales</t>
        </is>
      </c>
      <c r="B49" s="10" t="n"/>
      <c r="C49" s="14">
        <f>IF(OR(C48="",C4=""),"",IFERROR(C48/C4,""))</f>
        <v/>
      </c>
      <c r="D49" s="15">
        <f>IF(OR(D48="",D4=""),"",IFERROR(D48/D4,""))</f>
        <v/>
      </c>
      <c r="E49" s="15">
        <f>IF(OR(E48="",E4=""),"",IFERROR(E48/E4,""))</f>
        <v/>
      </c>
      <c r="F49" s="15">
        <f>IF(OR(F48="",F4=""),"",IFERROR(F48/F4,""))</f>
        <v/>
      </c>
      <c r="G49" s="15">
        <f>IF(OR(G48="",G4=""),"",IFERROR(G48/G4,""))</f>
        <v/>
      </c>
      <c r="H49" s="15">
        <f>IF(OR(H48="",H4=""),"",IFERROR(H48/H4,""))</f>
        <v/>
      </c>
      <c r="I49" s="15">
        <f>IF(OR(I48="",I4=""),"",IFERROR(I48/I4,""))</f>
        <v/>
      </c>
      <c r="J49" s="15">
        <f>IF(OR(J48="",J4=""),"",IFERROR(J48/J4,""))</f>
        <v/>
      </c>
      <c r="K49" s="15">
        <f>IF(OR(K48="",K4=""),"",IFERROR(K48/K4,""))</f>
        <v/>
      </c>
      <c r="L49" s="15">
        <f>IF(OR(L48="",L4=""),"",IFERROR(L48/L4,""))</f>
        <v/>
      </c>
      <c r="M49" s="15">
        <f>IF(OR(M48="",M4=""),"",IFERROR(M48/M4,""))</f>
        <v/>
      </c>
      <c r="N49" s="15">
        <f>IF(OR(N48="",N4=""),"",IFERROR(N48/N4,""))</f>
        <v/>
      </c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25">
        <f>IFERROR(AVERAGE(V49,W49,X49),"")</f>
        <v/>
      </c>
      <c r="Z49" s="26">
        <f>Y49</f>
        <v/>
      </c>
      <c r="AA49" s="26">
        <f>Z49</f>
        <v/>
      </c>
      <c r="AB49" s="26">
        <f>AA49</f>
        <v/>
      </c>
      <c r="AC49" s="26">
        <f>AB49</f>
        <v/>
      </c>
    </row>
    <row r="50">
      <c r="A50" s="18" t="inlineStr">
        <is>
          <t>금융원가</t>
        </is>
      </c>
      <c r="B50" s="10" t="n"/>
      <c r="C50" s="19" t="n">
        <v>604</v>
      </c>
      <c r="D50" s="20" t="n">
        <v>600</v>
      </c>
      <c r="E50" s="20" t="n">
        <v>685</v>
      </c>
      <c r="F50" s="20" t="n">
        <v>-756</v>
      </c>
      <c r="G50" s="20" t="n"/>
      <c r="H50" s="20" t="n"/>
      <c r="I50" s="20" t="n"/>
      <c r="J50" s="20" t="n"/>
      <c r="K50" s="20" t="n"/>
      <c r="L50" s="20" t="n"/>
      <c r="M50" s="20" t="n"/>
      <c r="N50" s="20" t="n"/>
      <c r="O50" s="19" t="n"/>
      <c r="P50" s="20" t="n">
        <v>4422</v>
      </c>
      <c r="Q50" s="20" t="n">
        <v>4851</v>
      </c>
      <c r="R50" s="20" t="n">
        <v>4214</v>
      </c>
      <c r="S50" s="20" t="n">
        <v>4181</v>
      </c>
      <c r="T50" s="20" t="n">
        <v>2548</v>
      </c>
      <c r="U50" s="20" t="n">
        <v>993</v>
      </c>
      <c r="V50" s="20" t="n">
        <v>1133</v>
      </c>
      <c r="W50" s="20" t="n">
        <v>1088</v>
      </c>
      <c r="X50" s="20" t="n">
        <v>1050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n"/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9" t="inlineStr">
        <is>
          <t>법인세비용차감전순이익(손실)</t>
        </is>
      </c>
      <c r="B52" s="10" t="n"/>
      <c r="C52" s="11" t="n">
        <v>9691</v>
      </c>
      <c r="D52" s="12" t="n">
        <v>8712</v>
      </c>
      <c r="E52" s="12" t="n">
        <v>13638</v>
      </c>
      <c r="F52" s="12" t="n">
        <v>13027</v>
      </c>
      <c r="G52" s="12" t="n"/>
      <c r="H52" s="12" t="n"/>
      <c r="I52" s="12" t="n"/>
      <c r="J52" s="12" t="n"/>
      <c r="K52" s="12" t="n"/>
      <c r="L52" s="12" t="n"/>
      <c r="M52" s="12" t="n"/>
      <c r="N52" s="12" t="n"/>
      <c r="O52" s="11" t="n"/>
      <c r="P52" s="12" t="n">
        <v>36831</v>
      </c>
      <c r="Q52" s="12" t="n">
        <v>33110</v>
      </c>
      <c r="R52" s="12" t="n">
        <v>21170</v>
      </c>
      <c r="S52" s="12" t="n">
        <v>10065</v>
      </c>
      <c r="T52" s="12" t="n">
        <v>40746</v>
      </c>
      <c r="U52" s="12" t="n">
        <v>52557</v>
      </c>
      <c r="V52" s="12" t="n">
        <v>45068</v>
      </c>
      <c r="W52" s="12" t="n">
        <v>42653</v>
      </c>
      <c r="X52" s="12" t="n">
        <v>44756</v>
      </c>
      <c r="Y52" s="11">
        <f>IF(OR(Y28=""),"",IFERROR(Y28+N(Y44)-N(Y46)+N(Y48)-N(Y50),""))</f>
        <v/>
      </c>
      <c r="Z52" s="12">
        <f>IF(OR(Z28=""),"",IFERROR(Z28+N(Z44)-N(Z46)+N(Z48)-N(Z50),""))</f>
        <v/>
      </c>
      <c r="AA52" s="12">
        <f>IF(OR(AA28=""),"",IFERROR(AA28+N(AA44)-N(AA46)+N(AA48)-N(AA50),""))</f>
        <v/>
      </c>
      <c r="AB52" s="12">
        <f>IF(OR(AB28=""),"",IFERROR(AB28+N(AB44)-N(AB46)+N(AB48)-N(AB50),""))</f>
        <v/>
      </c>
      <c r="AC52" s="12">
        <f>IF(OR(AC28=""),"",IFERROR(AC28+N(AC44)-N(AC46)+N(AC48)-N(AC50),""))</f>
        <v/>
      </c>
    </row>
    <row r="53">
      <c r="A53" s="18" t="inlineStr">
        <is>
          <t>법인세비용(수익)</t>
        </is>
      </c>
      <c r="B53" s="10" t="n"/>
      <c r="C53" s="19" t="n">
        <v>2880</v>
      </c>
      <c r="D53" s="20" t="n">
        <v>3061</v>
      </c>
      <c r="E53" s="20" t="n">
        <v>3819</v>
      </c>
      <c r="F53" s="20" t="n">
        <v>2733</v>
      </c>
      <c r="G53" s="20" t="n"/>
      <c r="H53" s="20" t="n"/>
      <c r="I53" s="20" t="n"/>
      <c r="J53" s="20" t="n"/>
      <c r="K53" s="20" t="n"/>
      <c r="L53" s="20" t="n"/>
      <c r="M53" s="20" t="n"/>
      <c r="N53" s="20" t="n"/>
      <c r="O53" s="19" t="n"/>
      <c r="P53" s="20" t="n">
        <v>10143</v>
      </c>
      <c r="Q53" s="20" t="n">
        <v>10224</v>
      </c>
      <c r="R53" s="20" t="n">
        <v>9095</v>
      </c>
      <c r="S53" s="20" t="n">
        <v>4097</v>
      </c>
      <c r="T53" s="20" t="n">
        <v>11120</v>
      </c>
      <c r="U53" s="20" t="n">
        <v>13981</v>
      </c>
      <c r="V53" s="20" t="n">
        <v>12493</v>
      </c>
      <c r="W53" s="20" t="n">
        <v>12092</v>
      </c>
      <c r="X53" s="20" t="n">
        <v>9878</v>
      </c>
      <c r="Y53" s="19">
        <f>IF(OR(Y52="",Y54=""),"",IFERROR(MAX(Y52,0)*Y54,""))</f>
        <v/>
      </c>
      <c r="Z53" s="20">
        <f>IF(OR(Z52="",Z54=""),"",IFERROR(MAX(Z52,0)*Z54,""))</f>
        <v/>
      </c>
      <c r="AA53" s="20">
        <f>IF(OR(AA52="",AA54=""),"",IFERROR(MAX(AA52,0)*AA54,""))</f>
        <v/>
      </c>
      <c r="AB53" s="20">
        <f>IF(OR(AB52="",AB54=""),"",IFERROR(MAX(AB52,0)*AB54,""))</f>
        <v/>
      </c>
      <c r="AC53" s="20">
        <f>IF(OR(AC52="",AC54=""),"",IFERROR(MAX(AC52,0)*AC54,""))</f>
        <v/>
      </c>
    </row>
    <row r="54">
      <c r="A54" s="13" t="inlineStr">
        <is>
          <t>법인세율</t>
        </is>
      </c>
      <c r="B54" s="10" t="inlineStr">
        <is>
          <t>MW 기본 30%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0.3</v>
      </c>
      <c r="Z54" s="26" t="n">
        <v>0.3</v>
      </c>
      <c r="AA54" s="26" t="n">
        <v>0.3</v>
      </c>
      <c r="AB54" s="26" t="n">
        <v>0.3</v>
      </c>
      <c r="AC54" s="26" t="n">
        <v>0.3</v>
      </c>
    </row>
    <row r="55">
      <c r="A55" s="9" t="inlineStr">
        <is>
          <t>당기순이익(손실)</t>
        </is>
      </c>
      <c r="B55" s="10" t="n"/>
      <c r="C55" s="11" t="n">
        <v>6810</v>
      </c>
      <c r="D55" s="12" t="n">
        <v>5652</v>
      </c>
      <c r="E55" s="12" t="n">
        <v>9818</v>
      </c>
      <c r="F55" s="12" t="n">
        <v>10294</v>
      </c>
      <c r="G55" s="12" t="n"/>
      <c r="H55" s="12" t="n"/>
      <c r="I55" s="12" t="n"/>
      <c r="J55" s="12" t="n"/>
      <c r="K55" s="12" t="n"/>
      <c r="L55" s="12" t="n"/>
      <c r="M55" s="12" t="n"/>
      <c r="N55" s="12" t="n"/>
      <c r="O55" s="11" t="n"/>
      <c r="P55" s="12" t="n">
        <v>26688</v>
      </c>
      <c r="Q55" s="12" t="n">
        <v>22886</v>
      </c>
      <c r="R55" s="12" t="n">
        <v>12075</v>
      </c>
      <c r="S55" s="12" t="n">
        <v>5968</v>
      </c>
      <c r="T55" s="12" t="n">
        <v>29625</v>
      </c>
      <c r="U55" s="12" t="n">
        <v>38576</v>
      </c>
      <c r="V55" s="12" t="n">
        <v>32574</v>
      </c>
      <c r="W55" s="12" t="n">
        <v>30560</v>
      </c>
      <c r="X55" s="12" t="n">
        <v>34878</v>
      </c>
      <c r="Y55" s="11">
        <f>IF(OR(Y52=""),"",IFERROR(Y52-Y53,""))</f>
        <v/>
      </c>
      <c r="Z55" s="12">
        <f>IF(OR(Z52=""),"",IFERROR(Z52-Z53,""))</f>
        <v/>
      </c>
      <c r="AA55" s="12">
        <f>IF(OR(AA52=""),"",IFERROR(AA52-AA53,""))</f>
        <v/>
      </c>
      <c r="AB55" s="12">
        <f>IF(OR(AB52=""),"",IFERROR(AB52-AB53,""))</f>
        <v/>
      </c>
      <c r="AC55" s="12">
        <f>IF(OR(AC52=""),"",IFERROR(AC52-AC53,""))</f>
        <v/>
      </c>
    </row>
    <row r="56">
      <c r="A56" s="9" t="inlineStr">
        <is>
          <t>지배주주 순이익</t>
        </is>
      </c>
      <c r="B56" s="10" t="n"/>
      <c r="C56" s="11" t="n">
        <v>6315</v>
      </c>
      <c r="D56" s="12" t="n">
        <v>5150</v>
      </c>
      <c r="E56" s="12" t="n">
        <v>9273</v>
      </c>
      <c r="F56" s="12" t="n">
        <v>9817</v>
      </c>
      <c r="G56" s="12" t="n"/>
      <c r="H56" s="12" t="n"/>
      <c r="I56" s="12" t="n"/>
      <c r="J56" s="12" t="n"/>
      <c r="K56" s="12" t="n"/>
      <c r="L56" s="12" t="n"/>
      <c r="M56" s="12" t="n"/>
      <c r="N56" s="12" t="n"/>
      <c r="O56" s="11" t="n"/>
      <c r="P56" s="12" t="n">
        <v>23920</v>
      </c>
      <c r="Q56" s="12" t="n">
        <v>21182</v>
      </c>
      <c r="R56" s="12" t="n">
        <v>10987</v>
      </c>
      <c r="S56" s="12" t="n">
        <v>4516</v>
      </c>
      <c r="T56" s="12" t="n">
        <v>26894</v>
      </c>
      <c r="U56" s="12" t="n">
        <v>36301</v>
      </c>
      <c r="V56" s="12" t="n">
        <v>30555</v>
      </c>
      <c r="W56" s="12" t="n">
        <v>28314</v>
      </c>
      <c r="X56" s="12" t="n">
        <v>32605</v>
      </c>
      <c r="Y56" s="11">
        <f>IF(OR(Y55="",Y57=""),"",IFERROR(Y55*Y57,""))</f>
        <v/>
      </c>
      <c r="Z56" s="12">
        <f>IF(OR(Z55="",Z57=""),"",IFERROR(Z55*Z57,""))</f>
        <v/>
      </c>
      <c r="AA56" s="12">
        <f>IF(OR(AA55="",AA57=""),"",IFERROR(AA55*AA57,""))</f>
        <v/>
      </c>
      <c r="AB56" s="12">
        <f>IF(OR(AB55="",AB57=""),"",IFERROR(AB55*AB57,""))</f>
        <v/>
      </c>
      <c r="AC56" s="12">
        <f>IF(OR(AC55="",AC57=""),"",IFERROR(AC55*AC57,""))</f>
        <v/>
      </c>
    </row>
    <row r="57">
      <c r="A57" s="13" t="inlineStr">
        <is>
          <t>지배주주 순이익률</t>
        </is>
      </c>
      <c r="B57" s="10" t="inlineStr">
        <is>
          <t>MW 기본 100%</t>
        </is>
      </c>
      <c r="C57" s="14">
        <f>IF(OR(C56="",C55=""),"",IFERROR(C56/C55,""))</f>
        <v/>
      </c>
      <c r="D57" s="15">
        <f>IF(OR(D56="",D55=""),"",IFERROR(D56/D55,""))</f>
        <v/>
      </c>
      <c r="E57" s="15">
        <f>IF(OR(E56="",E55=""),"",IFERROR(E56/E55,""))</f>
        <v/>
      </c>
      <c r="F57" s="15">
        <f>IF(OR(F56="",F55=""),"",IFERROR(F56/F55,""))</f>
        <v/>
      </c>
      <c r="G57" s="15">
        <f>IF(OR(G56="",G55=""),"",IFERROR(G56/G55,""))</f>
        <v/>
      </c>
      <c r="H57" s="15">
        <f>IF(OR(H56="",H55=""),"",IFERROR(H56/H55,""))</f>
        <v/>
      </c>
      <c r="I57" s="15">
        <f>IF(OR(I56="",I55=""),"",IFERROR(I56/I55,""))</f>
        <v/>
      </c>
      <c r="J57" s="15">
        <f>IF(OR(J56="",J55=""),"",IFERROR(J56/J55,""))</f>
        <v/>
      </c>
      <c r="K57" s="15">
        <f>IF(OR(K56="",K55=""),"",IFERROR(K56/K55,""))</f>
        <v/>
      </c>
      <c r="L57" s="15">
        <f>IF(OR(L56="",L55=""),"",IFERROR(L56/L55,""))</f>
        <v/>
      </c>
      <c r="M57" s="15">
        <f>IF(OR(M56="",M55=""),"",IFERROR(M56/M55,""))</f>
        <v/>
      </c>
      <c r="N57" s="15">
        <f>IF(OR(N56="",N55=""),"",IFERROR(N56/N55,""))</f>
        <v/>
      </c>
      <c r="O57" s="14">
        <f>IF(OR(O56="",O55=""),"",IFERROR(O56/O55,""))</f>
        <v/>
      </c>
      <c r="P57" s="15">
        <f>IF(OR(P56="",P55=""),"",IFERROR(P56/P55,""))</f>
        <v/>
      </c>
      <c r="Q57" s="15">
        <f>IF(OR(Q56="",Q55=""),"",IFERROR(Q56/Q55,""))</f>
        <v/>
      </c>
      <c r="R57" s="15">
        <f>IF(OR(R56="",R55=""),"",IFERROR(R56/R55,""))</f>
        <v/>
      </c>
      <c r="S57" s="15">
        <f>IF(OR(S56="",S55=""),"",IFERROR(S56/S55,""))</f>
        <v/>
      </c>
      <c r="T57" s="15">
        <f>IF(OR(T56="",T55=""),"",IFERROR(T56/T55,""))</f>
        <v/>
      </c>
      <c r="U57" s="15">
        <f>IF(OR(U56="",U55=""),"",IFERROR(U56/U55,""))</f>
        <v/>
      </c>
      <c r="V57" s="15">
        <f>IF(OR(V56="",V55=""),"",IFERROR(V56/V55,""))</f>
        <v/>
      </c>
      <c r="W57" s="15">
        <f>IF(OR(W56="",W55=""),"",IFERROR(W56/W55,""))</f>
        <v/>
      </c>
      <c r="X57" s="15">
        <f>IF(OR(X56="",X55=""),"",IFERROR(X56/X55,""))</f>
        <v/>
      </c>
      <c r="Y57" s="25" t="n">
        <v>1</v>
      </c>
      <c r="Z57" s="26" t="n">
        <v>1</v>
      </c>
      <c r="AA57" s="26" t="n">
        <v>1</v>
      </c>
      <c r="AB57" s="26" t="n">
        <v>1</v>
      </c>
      <c r="AC57" s="26" t="n">
        <v>1</v>
      </c>
    </row>
    <row r="58">
      <c r="A58" s="16" t="inlineStr">
        <is>
          <t>목표주가 산출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현재 주가 ()</t>
        </is>
      </c>
      <c r="B59" s="27" t="n"/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8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8" t="n"/>
      <c r="Z59" s="29" t="n"/>
      <c r="AA59" s="29" t="n"/>
      <c r="AB59" s="29" t="n"/>
      <c r="AC59" s="29" t="n"/>
    </row>
    <row r="60">
      <c r="A60" s="18" t="inlineStr">
        <is>
          <t>발행주식수 (보통주)</t>
        </is>
      </c>
      <c r="B60" s="27" t="n"/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8" t="n"/>
      <c r="Z60" s="29" t="n"/>
      <c r="AA60" s="29" t="n"/>
      <c r="AB60" s="29" t="n"/>
      <c r="AC60" s="29" t="n"/>
    </row>
    <row r="61">
      <c r="A61" s="18" t="inlineStr">
        <is>
          <t>시가총액 (백만엔)</t>
        </is>
      </c>
      <c r="B61" s="12">
        <f>IF(OR(B59="",B60=""),"",B59*B60/1000000.0)</f>
        <v/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OPM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IF(O29="","",O29)</f>
        <v/>
      </c>
      <c r="P62" s="15">
        <f>IF(P29="","",P29)</f>
        <v/>
      </c>
      <c r="Q62" s="15">
        <f>IF(Q29="","",Q29)</f>
        <v/>
      </c>
      <c r="R62" s="15">
        <f>IF(R29="","",R29)</f>
        <v/>
      </c>
      <c r="S62" s="15">
        <f>IF(S29="","",S29)</f>
        <v/>
      </c>
      <c r="T62" s="15">
        <f>IF(T29="","",T29)</f>
        <v/>
      </c>
      <c r="U62" s="15">
        <f>IF(U29="","",U29)</f>
        <v/>
      </c>
      <c r="V62" s="15">
        <f>IF(V29="","",V29)</f>
        <v/>
      </c>
      <c r="W62" s="15">
        <f>IF(W29="","",W29)</f>
        <v/>
      </c>
      <c r="X62" s="15">
        <f>IF(X29="","",X29)</f>
        <v/>
      </c>
      <c r="Y62" s="14">
        <f>IF(Y29="","",Y29)</f>
        <v/>
      </c>
      <c r="Z62" s="15">
        <f>IF(Z29="","",Z29)</f>
        <v/>
      </c>
      <c r="AA62" s="15">
        <f>IF(AA29="","",AA29)</f>
        <v/>
      </c>
      <c r="AB62" s="15">
        <f>IF(AB29="","",AB29)</f>
        <v/>
      </c>
      <c r="AC62" s="15">
        <f>IF(AC29="","",AC29)</f>
        <v/>
      </c>
    </row>
    <row r="63">
      <c r="A63" s="13" t="inlineStr">
        <is>
          <t>지배주주 순이익 증가율</t>
        </is>
      </c>
      <c r="B63" s="10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4" t="n"/>
      <c r="P63" s="15">
        <f>IF(OR(P56="",O56=""),"",IFERROR(P56/O56-1,""))</f>
        <v/>
      </c>
      <c r="Q63" s="15">
        <f>IF(OR(Q56="",P56=""),"",IFERROR(Q56/P56-1,""))</f>
        <v/>
      </c>
      <c r="R63" s="15">
        <f>IF(OR(R56="",Q56=""),"",IFERROR(R56/Q56-1,""))</f>
        <v/>
      </c>
      <c r="S63" s="15">
        <f>IF(OR(S56="",R56=""),"",IFERROR(S56/R56-1,""))</f>
        <v/>
      </c>
      <c r="T63" s="15">
        <f>IF(OR(T56="",S56=""),"",IFERROR(T56/S56-1,""))</f>
        <v/>
      </c>
      <c r="U63" s="15">
        <f>IF(OR(U56="",T56=""),"",IFERROR(U56/T56-1,""))</f>
        <v/>
      </c>
      <c r="V63" s="15">
        <f>IF(OR(V56="",U56=""),"",IFERROR(V56/U56-1,""))</f>
        <v/>
      </c>
      <c r="W63" s="15">
        <f>IF(OR(W56="",V56=""),"",IFERROR(W56/V56-1,""))</f>
        <v/>
      </c>
      <c r="X63" s="15">
        <f>IF(OR(X56="",W56=""),"",IFERROR(X56/W56-1,""))</f>
        <v/>
      </c>
      <c r="Y63" s="14">
        <f>IF(OR(Y56="",X56=""),"",IFERROR(Y56/X56-1,""))</f>
        <v/>
      </c>
      <c r="Z63" s="15">
        <f>IF(OR(Z56="",Y56=""),"",IFERROR(Z56/Y56-1,""))</f>
        <v/>
      </c>
      <c r="AA63" s="15">
        <f>IF(OR(AA56="",Z56=""),"",IFERROR(AA56/Z56-1,""))</f>
        <v/>
      </c>
      <c r="AB63" s="15">
        <f>IF(OR(AB56="",AA56=""),"",IFERROR(AB56/AA56-1,""))</f>
        <v/>
      </c>
      <c r="AC63" s="15">
        <f>IF(OR(AC56="",AB56=""),"",IFERROR(AC56/AB56-1,""))</f>
        <v/>
      </c>
    </row>
    <row r="64">
      <c r="A64" s="18" t="inlineStr">
        <is>
          <t>P/E (현재 주가)</t>
        </is>
      </c>
      <c r="B64" s="10" t="inlineStr">
        <is>
          <t>시총 ÷ 지배순이익</t>
        </is>
      </c>
      <c r="C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0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>
        <f>IF(OR($B$61="",X56=""),"",IFERROR($B$61/X56,""))</f>
        <v/>
      </c>
      <c r="Y64" s="30">
        <f>IF(OR($B$61="",Y56=""),"",IFERROR($B$61/Y56,""))</f>
        <v/>
      </c>
      <c r="Z64" s="31">
        <f>IF(OR($B$61="",Z56=""),"",IFERROR($B$61/Z56,""))</f>
        <v/>
      </c>
      <c r="AA64" s="31">
        <f>IF(OR($B$61="",AA56=""),"",IFERROR($B$61/AA56,""))</f>
        <v/>
      </c>
      <c r="AB64" s="31">
        <f>IF(OR($B$61="",AB56=""),"",IFERROR($B$61/AB56,""))</f>
        <v/>
      </c>
      <c r="AC64" s="31">
        <f>IF(OR($B$61="",AC56=""),"",IFERROR($B$61/AC56,""))</f>
        <v/>
      </c>
    </row>
    <row r="65">
      <c r="A65" s="18" t="inlineStr">
        <is>
          <t>Target P/E</t>
        </is>
      </c>
      <c r="B65" s="10" t="inlineStr">
        <is>
          <t>직접 입력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0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2" t="n"/>
      <c r="Z65" s="33" t="n"/>
      <c r="AA65" s="33" t="n"/>
      <c r="AB65" s="33" t="n"/>
      <c r="AC65" s="33" t="n"/>
    </row>
    <row r="66">
      <c r="A66" s="18" t="inlineStr">
        <is>
          <t>EPS</t>
        </is>
      </c>
      <c r="B66" s="10" t="inlineStr">
        <is>
          <t>지배순이익 ÷ 주식수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>
        <f>IF(OR(O56="",$B$60=""),"",IFERROR(O56*1000000.0/$B$60,""))</f>
        <v/>
      </c>
      <c r="P66" s="29">
        <f>IF(OR(P56="",$B$60=""),"",IFERROR(P56*1000000.0/$B$60,""))</f>
        <v/>
      </c>
      <c r="Q66" s="29">
        <f>IF(OR(Q56="",$B$60=""),"",IFERROR(Q56*1000000.0/$B$60,""))</f>
        <v/>
      </c>
      <c r="R66" s="29">
        <f>IF(OR(R56="",$B$60=""),"",IFERROR(R56*1000000.0/$B$60,""))</f>
        <v/>
      </c>
      <c r="S66" s="29">
        <f>IF(OR(S56="",$B$60=""),"",IFERROR(S56*1000000.0/$B$60,""))</f>
        <v/>
      </c>
      <c r="T66" s="29">
        <f>IF(OR(T56="",$B$60=""),"",IFERROR(T56*1000000.0/$B$60,""))</f>
        <v/>
      </c>
      <c r="U66" s="29">
        <f>IF(OR(U56="",$B$60=""),"",IFERROR(U56*1000000.0/$B$60,""))</f>
        <v/>
      </c>
      <c r="V66" s="29">
        <f>IF(OR(V56="",$B$60=""),"",IFERROR(V56*1000000.0/$B$60,""))</f>
        <v/>
      </c>
      <c r="W66" s="29">
        <f>IF(OR(W56="",$B$60=""),"",IFERROR(W56*1000000.0/$B$60,""))</f>
        <v/>
      </c>
      <c r="X66" s="29">
        <f>IF(OR(X56="",$B$60=""),"",IFERROR(X56*1000000.0/$B$60,""))</f>
        <v/>
      </c>
      <c r="Y66" s="28">
        <f>IF(OR(Y56="",$B$60=""),"",IFERROR(Y56*1000000.0/$B$60,""))</f>
        <v/>
      </c>
      <c r="Z66" s="29">
        <f>IF(OR(Z56="",$B$60=""),"",IFERROR(Z56*1000000.0/$B$60,""))</f>
        <v/>
      </c>
      <c r="AA66" s="29">
        <f>IF(OR(AA56="",$B$60=""),"",IFERROR(AA56*1000000.0/$B$60,""))</f>
        <v/>
      </c>
      <c r="AB66" s="29">
        <f>IF(OR(AB56="",$B$60=""),"",IFERROR(AB56*1000000.0/$B$60,""))</f>
        <v/>
      </c>
      <c r="AC66" s="29">
        <f>IF(OR(AC56="",$B$60=""),"",IFERROR(AC56*1000000.0/$B$60,""))</f>
        <v/>
      </c>
    </row>
    <row r="67">
      <c r="A67" s="9" t="inlineStr">
        <is>
          <t>목표주가</t>
        </is>
      </c>
      <c r="B67" s="10" t="n"/>
      <c r="C67" s="34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34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34">
        <f>IF(OR(Y66="",Y65=""),"",IFERROR(Y66*Y65,""))</f>
        <v/>
      </c>
      <c r="Z67" s="27">
        <f>IF(OR(Z66="",Z65=""),"",IFERROR(Z66*Z65,""))</f>
        <v/>
      </c>
      <c r="AA67" s="27">
        <f>IF(OR(AA66="",AA65=""),"",IFERROR(AA66*AA65,""))</f>
        <v/>
      </c>
      <c r="AB67" s="27">
        <f>IF(OR(AB66="",AB65=""),"",IFERROR(AB66*AB65,""))</f>
        <v/>
      </c>
      <c r="AC67" s="27">
        <f>IF(OR(AC66="",AC65=""),"",IFERROR(AC66*AC65,""))</f>
        <v/>
      </c>
    </row>
    <row r="68">
      <c r="A68" s="18" t="inlineStr">
        <is>
          <t>상승여력</t>
        </is>
      </c>
      <c r="B68" s="10" t="n"/>
      <c r="C68" s="35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5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7">
        <f>IF(OR(Y67="",$B$59=""),"",IFERROR(Y67/$B$59-1,""))</f>
        <v/>
      </c>
      <c r="Z68" s="38">
        <f>IF(OR(Z67="",$B$59=""),"",IFERROR(Z67/$B$59-1,""))</f>
        <v/>
      </c>
      <c r="AA68" s="38">
        <f>IF(OR(AA67="",$B$59=""),"",IFERROR(AA67/$B$59-1,""))</f>
        <v/>
      </c>
      <c r="AB68" s="38">
        <f>IF(OR(AB67="",$B$59=""),"",IFERROR(AB67/$B$59-1,""))</f>
        <v/>
      </c>
      <c r="AC68" s="38">
        <f>IF(OR(AC67="",$B$59=""),"",IFERROR(AC67/$B$59-1,""))</f>
        <v/>
      </c>
    </row>
    <row r="69">
      <c r="A69" s="16" t="inlineStr">
        <is>
          <t>자산가치 산출</t>
        </is>
      </c>
      <c r="B69" s="16" t="inlineStr">
        <is>
          <t>최신 분기 BS</t>
        </is>
      </c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7" t="n"/>
      <c r="Z69" s="16" t="n"/>
      <c r="AA69" s="16" t="n"/>
      <c r="AB69" s="16" t="n"/>
      <c r="AC69" s="16" t="n"/>
    </row>
    <row r="70">
      <c r="A70" s="18" t="inlineStr">
        <is>
          <t>현금및현금성자산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'재무상태표'!G6</f>
        <v/>
      </c>
      <c r="Y70" s="19">
        <f>'재무상태표'!G6</f>
        <v/>
      </c>
      <c r="Z70" s="20">
        <f>'재무상태표'!G6</f>
        <v/>
      </c>
      <c r="AA70" s="20">
        <f>'재무상태표'!G6</f>
        <v/>
      </c>
      <c r="AB70" s="20">
        <f>'재무상태표'!G6</f>
        <v/>
      </c>
      <c r="AC70" s="20">
        <f>'재무상태표'!G6</f>
        <v/>
      </c>
    </row>
    <row r="71">
      <c r="A71" s="18" t="inlineStr">
        <is>
          <t>단기금융상품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'재무상태표'!G7</f>
        <v/>
      </c>
      <c r="Y71" s="19">
        <f>'재무상태표'!G7</f>
        <v/>
      </c>
      <c r="Z71" s="20">
        <f>'재무상태표'!G7</f>
        <v/>
      </c>
      <c r="AA71" s="20">
        <f>'재무상태표'!G7</f>
        <v/>
      </c>
      <c r="AB71" s="20">
        <f>'재무상태표'!G7</f>
        <v/>
      </c>
      <c r="AC71" s="20">
        <f>'재무상태표'!G7</f>
        <v/>
      </c>
    </row>
    <row r="72">
      <c r="A72" s="18" t="inlineStr">
        <is>
          <t>투자부동산</t>
        </is>
      </c>
      <c r="B72" s="10" t="n"/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>
        <f>'재무상태표'!G14</f>
        <v/>
      </c>
      <c r="Y72" s="19">
        <f>'재무상태표'!G14</f>
        <v/>
      </c>
      <c r="Z72" s="20">
        <f>'재무상태표'!G14</f>
        <v/>
      </c>
      <c r="AA72" s="20">
        <f>'재무상태표'!G14</f>
        <v/>
      </c>
      <c r="AB72" s="20">
        <f>'재무상태표'!G14</f>
        <v/>
      </c>
      <c r="AC72" s="20">
        <f>'재무상태표'!G14</f>
        <v/>
      </c>
    </row>
    <row r="73">
      <c r="A73" s="18" t="inlineStr">
        <is>
          <t>지배자본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'재무상태표'!G31</f>
        <v/>
      </c>
      <c r="Y73" s="19">
        <f>'재무상태표'!G31</f>
        <v/>
      </c>
      <c r="Z73" s="20">
        <f>'재무상태표'!G31</f>
        <v/>
      </c>
      <c r="AA73" s="20">
        <f>'재무상태표'!G31</f>
        <v/>
      </c>
      <c r="AB73" s="20">
        <f>'재무상태표'!G31</f>
        <v/>
      </c>
      <c r="AC73" s="20">
        <f>'재무상태표'!G31</f>
        <v/>
      </c>
    </row>
    <row r="74">
      <c r="A74" s="18" t="inlineStr">
        <is>
          <t>부채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'재무상태표'!G27</f>
        <v/>
      </c>
      <c r="Y74" s="19">
        <f>'재무상태표'!G27</f>
        <v/>
      </c>
      <c r="Z74" s="20">
        <f>'재무상태표'!G27</f>
        <v/>
      </c>
      <c r="AA74" s="20">
        <f>'재무상태표'!G27</f>
        <v/>
      </c>
      <c r="AB74" s="20">
        <f>'재무상태표'!G27</f>
        <v/>
      </c>
      <c r="AC74" s="20">
        <f>'재무상태표'!G27</f>
        <v/>
      </c>
    </row>
    <row r="75">
      <c r="A75" s="13" t="inlineStr">
        <is>
          <t>부채비율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>
        <f>IF(OR(X74="",X73=""),"",IFERROR(X74/X73,""))</f>
        <v/>
      </c>
      <c r="Y75" s="14">
        <f>IF(OR(Y74="",Y73=""),"",IFERROR(Y74/Y73,""))</f>
        <v/>
      </c>
      <c r="Z75" s="15">
        <f>IF(OR(Z74="",Z73=""),"",IFERROR(Z74/Z73,""))</f>
        <v/>
      </c>
      <c r="AA75" s="15">
        <f>IF(OR(AA74="",AA73=""),"",IFERROR(AA74/AA73,""))</f>
        <v/>
      </c>
      <c r="AB75" s="15">
        <f>IF(OR(AB74="",AB73=""),"",IFERROR(AB74/AB73,""))</f>
        <v/>
      </c>
      <c r="AC75" s="15">
        <f>IF(OR(AC74="",AC73=""),"",IFERROR(AC74/AC73,""))</f>
        <v/>
      </c>
    </row>
    <row r="76">
      <c r="A76" s="9" t="inlineStr">
        <is>
          <t>자산가치</t>
        </is>
      </c>
      <c r="B76" s="10" t="inlineStr">
        <is>
          <t>현금+단기금융+투자부동산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>
        <f>SUM(X70,X71,X72)</f>
        <v/>
      </c>
      <c r="Y76" s="11">
        <f>SUM(Y70,Y71,Y72)</f>
        <v/>
      </c>
      <c r="Z76" s="12">
        <f>SUM(Z70,Z71,Z72)</f>
        <v/>
      </c>
      <c r="AA76" s="12">
        <f>SUM(AA70,AA71,AA72)</f>
        <v/>
      </c>
      <c r="AB76" s="12">
        <f>SUM(AB70,AB71,AB72)</f>
        <v/>
      </c>
      <c r="AC76" s="12">
        <f>SUM(AC70,AC71,AC72)</f>
        <v/>
      </c>
    </row>
    <row r="77">
      <c r="A77" s="16" t="inlineStr">
        <is>
          <t>기업가치 산출</t>
        </is>
      </c>
      <c r="B77" s="16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7" t="n"/>
      <c r="Z77" s="16" t="n"/>
      <c r="AA77" s="16" t="n"/>
      <c r="AB77" s="16" t="n"/>
      <c r="AC77" s="16" t="n"/>
    </row>
    <row r="78">
      <c r="A78" s="18" t="inlineStr">
        <is>
          <t>목표 시가총액 (P/E)</t>
        </is>
      </c>
      <c r="B78" s="10" t="inlineStr">
        <is>
          <t>지배순이익 × Target P/E</t>
        </is>
      </c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19">
        <f>IF(OR(Y56="",Y65=""),"",IFERROR(Y56*Y65,""))</f>
        <v/>
      </c>
      <c r="Z78" s="20">
        <f>IF(OR(Z56="",Z65=""),"",IFERROR(Z56*Z65,""))</f>
        <v/>
      </c>
      <c r="AA78" s="20">
        <f>IF(OR(AA56="",AA65=""),"",IFERROR(AA56*AA65,""))</f>
        <v/>
      </c>
      <c r="AB78" s="20">
        <f>IF(OR(AB56="",AB65=""),"",IFERROR(AB56*AB65,""))</f>
        <v/>
      </c>
      <c r="AC78" s="20">
        <f>IF(OR(AC56="",AC65=""),"",IFERROR(AC56*AC65,""))</f>
        <v/>
      </c>
    </row>
    <row r="79">
      <c r="A79" s="9" t="inlineStr">
        <is>
          <t>기업가치</t>
        </is>
      </c>
      <c r="B79" s="10" t="inlineStr">
        <is>
          <t>목표시총 + 자산가치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>
        <f>IF(OR(Y78=""),"",IFERROR(Y78+Y76,""))</f>
        <v/>
      </c>
      <c r="Z79" s="12">
        <f>IF(OR(Z78=""),"",IFERROR(Z78+Z76,""))</f>
        <v/>
      </c>
      <c r="AA79" s="12">
        <f>IF(OR(AA78=""),"",IFERROR(AA78+AA76,""))</f>
        <v/>
      </c>
      <c r="AB79" s="12">
        <f>IF(OR(AB78=""),"",IFERROR(AB78+AB76,""))</f>
        <v/>
      </c>
      <c r="AC79" s="12">
        <f>IF(OR(AC78=""),"",IFERROR(AC78+AC76,""))</f>
        <v/>
      </c>
    </row>
    <row r="80">
      <c r="A80" s="18" t="inlineStr">
        <is>
          <t>현재 시가총액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19">
        <f>$B$61</f>
        <v/>
      </c>
      <c r="Z80" s="20">
        <f>$B$61</f>
        <v/>
      </c>
      <c r="AA80" s="20">
        <f>$B$61</f>
        <v/>
      </c>
      <c r="AB80" s="20">
        <f>$B$61</f>
        <v/>
      </c>
      <c r="AC80" s="20">
        <f>$B$61</f>
        <v/>
      </c>
    </row>
    <row r="81">
      <c r="A81" s="18" t="inlineStr">
        <is>
          <t>상승여력</t>
        </is>
      </c>
      <c r="B81" s="10" t="n"/>
      <c r="C81" s="35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5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7">
        <f>IF(OR(Y79="",Y80=""),"",IFERROR(Y79/Y80-1,""))</f>
        <v/>
      </c>
      <c r="Z81" s="38">
        <f>IF(OR(Z79="",Z80=""),"",IFERROR(Z79/Z80-1,""))</f>
        <v/>
      </c>
      <c r="AA81" s="38">
        <f>IF(OR(AA79="",AA80=""),"",IFERROR(AA79/AA80-1,""))</f>
        <v/>
      </c>
      <c r="AB81" s="38">
        <f>IF(OR(AB79="",AB80=""),"",IFERROR(AB79/AB80-1,""))</f>
        <v/>
      </c>
      <c r="AC81" s="38">
        <f>IF(OR(AC79="",AC80=""),"",IFERROR(AC79/AC80-1,""))</f>
        <v/>
      </c>
    </row>
    <row r="82">
      <c r="C82" s="39" t="n"/>
      <c r="O82" s="39" t="n"/>
      <c r="Y82" s="39" t="n"/>
    </row>
    <row r="83">
      <c r="A83" s="40" t="inlineStr">
        <is>
          <t>출처</t>
        </is>
      </c>
      <c r="C83" s="39" t="n"/>
      <c r="O83" s="39" t="n"/>
      <c r="Y83" s="39" t="n"/>
    </row>
    <row r="84">
      <c r="A84" s="41" t="inlineStr">
        <is>
          <t>결산단신 XBRL(TDnet·JPX 보관소) — 쓴 문서는 '출처' 시트</t>
        </is>
      </c>
      <c r="C84" s="39" t="n"/>
      <c r="O84" s="39" t="n"/>
      <c r="Y84" s="39" t="n"/>
    </row>
    <row r="85">
      <c r="A85" s="41" t="inlineStr">
        <is>
          <t>분기 = 누계에서 앞 분기를 뺀 3개월 값</t>
        </is>
      </c>
      <c r="C85" s="39" t="n"/>
      <c r="O85" s="39" t="n"/>
      <c r="Y85" s="39" t="n"/>
    </row>
    <row r="86">
      <c r="A86" s="41" t="inlineStr">
        <is>
          <t>주가: 야후 파이낸스 일봉</t>
        </is>
      </c>
      <c r="C86" s="39" t="n"/>
      <c r="O86" s="39" t="n"/>
      <c r="Y86" s="39" t="n"/>
    </row>
    <row r="88">
      <c r="A88" s="16" t="inlineStr">
        <is>
          <t>손익계산서 · 전 항목</t>
        </is>
      </c>
      <c r="B88" s="42" t="inlineStr">
        <is>
          <t>분기 = 3개월 단독</t>
        </is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</row>
    <row r="89">
      <c r="A89" s="5" t="inlineStr">
        <is>
          <t>항목</t>
        </is>
      </c>
      <c r="B89" s="5" t="inlineStr">
        <is>
          <t>참고</t>
        </is>
      </c>
      <c r="C89" s="5" t="inlineStr">
        <is>
          <t>2024.1Q</t>
        </is>
      </c>
      <c r="D89" s="5" t="inlineStr">
        <is>
          <t>2024.2Q</t>
        </is>
      </c>
      <c r="E89" s="5" t="inlineStr">
        <is>
          <t>2024.3Q</t>
        </is>
      </c>
      <c r="F89" s="5" t="inlineStr">
        <is>
          <t>2024.4Q</t>
        </is>
      </c>
      <c r="G89" s="5" t="inlineStr">
        <is>
          <t>2025.1Q</t>
        </is>
      </c>
      <c r="H89" s="5" t="inlineStr">
        <is>
          <t>2025.2Q</t>
        </is>
      </c>
      <c r="I89" s="5" t="inlineStr">
        <is>
          <t>2025.3Q</t>
        </is>
      </c>
      <c r="J89" s="5" t="inlineStr">
        <is>
          <t>2025.4Q</t>
        </is>
      </c>
      <c r="K89" s="5" t="inlineStr">
        <is>
          <t>2026.1Q</t>
        </is>
      </c>
      <c r="L89" s="5" t="inlineStr">
        <is>
          <t>2026.2Q</t>
        </is>
      </c>
      <c r="M89" s="5" t="inlineStr">
        <is>
          <t>2026.3Q</t>
        </is>
      </c>
      <c r="N89" s="5" t="inlineStr">
        <is>
          <t>2026.4Q</t>
        </is>
      </c>
      <c r="O89" s="5" t="inlineStr">
        <is>
          <t>2017</t>
        </is>
      </c>
      <c r="P89" s="5" t="inlineStr">
        <is>
          <t>2018</t>
        </is>
      </c>
      <c r="Q89" s="5" t="inlineStr">
        <is>
          <t>2019</t>
        </is>
      </c>
      <c r="R89" s="5" t="inlineStr">
        <is>
          <t>2020</t>
        </is>
      </c>
      <c r="S89" s="5" t="inlineStr">
        <is>
          <t>2021</t>
        </is>
      </c>
      <c r="T89" s="5" t="inlineStr">
        <is>
          <t>2022</t>
        </is>
      </c>
      <c r="U89" s="5" t="inlineStr">
        <is>
          <t>2023</t>
        </is>
      </c>
      <c r="V89" s="5" t="inlineStr">
        <is>
          <t>2024</t>
        </is>
      </c>
      <c r="W89" s="5" t="inlineStr">
        <is>
          <t>2025</t>
        </is>
      </c>
      <c r="X89" s="5" t="inlineStr">
        <is>
          <t>2026</t>
        </is>
      </c>
      <c r="Y89" s="5" t="inlineStr">
        <is>
          <t>2027(MW)</t>
        </is>
      </c>
      <c r="Z89" s="5" t="inlineStr">
        <is>
          <t>2028(MW)</t>
        </is>
      </c>
      <c r="AA89" s="5" t="inlineStr">
        <is>
          <t>2029(MW)</t>
        </is>
      </c>
      <c r="AB89" s="5" t="inlineStr">
        <is>
          <t>2030(MW)</t>
        </is>
      </c>
      <c r="AC89" s="5" t="inlineStr">
        <is>
          <t>2031(MW)</t>
        </is>
      </c>
    </row>
    <row r="90">
      <c r="A90" s="9" t="inlineStr">
        <is>
          <t>매출액</t>
        </is>
      </c>
      <c r="C90" s="12" t="n">
        <v>141938</v>
      </c>
      <c r="D90" s="12" t="n">
        <v>146656</v>
      </c>
      <c r="E90" s="12" t="n">
        <v>149769</v>
      </c>
      <c r="F90" s="12" t="n">
        <v>142924</v>
      </c>
      <c r="T90" s="12" t="n">
        <v>139168</v>
      </c>
      <c r="U90" s="12" t="n">
        <v>143838</v>
      </c>
      <c r="V90" s="12" t="n">
        <v>142924</v>
      </c>
    </row>
    <row r="91">
      <c r="A91" s="18" t="inlineStr">
        <is>
          <t>매출원가</t>
        </is>
      </c>
      <c r="C91" s="20" t="n">
        <v>119731</v>
      </c>
      <c r="D91" s="20" t="n">
        <v>121222</v>
      </c>
      <c r="E91" s="20" t="n">
        <v>121320</v>
      </c>
      <c r="F91" s="20" t="n">
        <v>117499</v>
      </c>
      <c r="T91" s="20" t="n">
        <v>116464</v>
      </c>
      <c r="U91" s="20" t="n">
        <v>120401</v>
      </c>
      <c r="V91" s="20" t="n">
        <v>117499</v>
      </c>
    </row>
    <row r="92">
      <c r="A92" s="9" t="inlineStr">
        <is>
          <t>매출총이익</t>
        </is>
      </c>
      <c r="C92" s="12" t="n">
        <v>22206</v>
      </c>
      <c r="D92" s="12" t="n">
        <v>25434</v>
      </c>
      <c r="E92" s="12" t="n">
        <v>28450</v>
      </c>
      <c r="F92" s="12" t="n">
        <v>25425</v>
      </c>
      <c r="T92" s="12" t="n">
        <v>22705</v>
      </c>
      <c r="U92" s="12" t="n">
        <v>23438</v>
      </c>
      <c r="V92" s="12" t="n">
        <v>25425</v>
      </c>
    </row>
    <row r="93">
      <c r="A93" s="18" t="inlineStr">
        <is>
          <t>판매비와 관리비</t>
        </is>
      </c>
      <c r="C93" s="20" t="n">
        <v>14227</v>
      </c>
      <c r="D93" s="20" t="n">
        <v>14410</v>
      </c>
      <c r="E93" s="20" t="n">
        <v>14401</v>
      </c>
      <c r="F93" s="20" t="n">
        <v>16363</v>
      </c>
      <c r="T93" s="20" t="n">
        <v>14636</v>
      </c>
      <c r="U93" s="20" t="n">
        <v>14106</v>
      </c>
      <c r="V93" s="20" t="n">
        <v>16363</v>
      </c>
    </row>
    <row r="94">
      <c r="A94" s="9" t="inlineStr">
        <is>
          <t>영업이익</t>
        </is>
      </c>
      <c r="C94" s="12" t="n">
        <v>7979</v>
      </c>
      <c r="D94" s="12" t="n">
        <v>11024</v>
      </c>
      <c r="E94" s="12" t="n">
        <v>14048</v>
      </c>
      <c r="F94" s="12" t="n">
        <v>9062</v>
      </c>
      <c r="T94" s="12" t="n">
        <v>8068</v>
      </c>
      <c r="U94" s="12" t="n">
        <v>9332</v>
      </c>
      <c r="V94" s="12" t="n">
        <v>9062</v>
      </c>
    </row>
    <row r="95">
      <c r="A95" s="18" t="inlineStr">
        <is>
          <t>이자수익</t>
        </is>
      </c>
      <c r="C95" s="20" t="n">
        <v>62</v>
      </c>
      <c r="D95" s="20" t="n">
        <v>132</v>
      </c>
      <c r="E95" s="20" t="n">
        <v>67</v>
      </c>
      <c r="F95" s="20" t="n">
        <v>135</v>
      </c>
      <c r="T95" s="20" t="n">
        <v>36</v>
      </c>
      <c r="U95" s="20" t="n">
        <v>93</v>
      </c>
      <c r="V95" s="20" t="n">
        <v>135</v>
      </c>
    </row>
    <row r="96">
      <c r="A96" s="18" t="inlineStr">
        <is>
          <t>배당금수익</t>
        </is>
      </c>
      <c r="C96" s="20" t="n">
        <v>1187</v>
      </c>
      <c r="D96" s="20" t="n">
        <v>32</v>
      </c>
      <c r="E96" s="20" t="n">
        <v>1146</v>
      </c>
      <c r="F96" s="20" t="n">
        <v>77</v>
      </c>
      <c r="T96" s="20" t="n">
        <v>35</v>
      </c>
      <c r="U96" s="20" t="n">
        <v>38</v>
      </c>
      <c r="V96" s="20" t="n">
        <v>77</v>
      </c>
    </row>
    <row r="97">
      <c r="A97" s="18" t="inlineStr">
        <is>
          <t>지분법이익</t>
        </is>
      </c>
      <c r="C97" s="20" t="n">
        <v>194</v>
      </c>
      <c r="D97" s="20" t="n">
        <v>123</v>
      </c>
      <c r="E97" s="20" t="n">
        <v>156</v>
      </c>
      <c r="F97" s="20" t="n">
        <v>108</v>
      </c>
      <c r="T97" s="20" t="n">
        <v>107</v>
      </c>
      <c r="U97" s="20" t="n">
        <v>94</v>
      </c>
      <c r="V97" s="20" t="n">
        <v>108</v>
      </c>
    </row>
    <row r="98">
      <c r="A98" s="18" t="inlineStr">
        <is>
          <t>외환차익</t>
        </is>
      </c>
      <c r="C98" s="20" t="n">
        <v>588</v>
      </c>
      <c r="D98" s="20" t="n">
        <v>290</v>
      </c>
      <c r="E98" s="20" t="n">
        <v>-724</v>
      </c>
      <c r="F98" s="20" t="n">
        <v>732</v>
      </c>
      <c r="T98" s="20" t="n">
        <v>170</v>
      </c>
      <c r="U98" s="20" t="n">
        <v>0</v>
      </c>
      <c r="V98" s="20" t="n">
        <v>732</v>
      </c>
    </row>
    <row r="99">
      <c r="A99" s="18" t="inlineStr">
        <is>
          <t>기타</t>
        </is>
      </c>
      <c r="C99" s="20" t="n">
        <v>283</v>
      </c>
      <c r="D99" s="20" t="n">
        <v>392</v>
      </c>
      <c r="E99" s="20" t="n">
        <v>265</v>
      </c>
      <c r="F99" s="20" t="n">
        <v>400</v>
      </c>
      <c r="T99" s="20" t="n">
        <v>355</v>
      </c>
      <c r="U99" s="20" t="n">
        <v>413</v>
      </c>
      <c r="V99" s="20" t="n">
        <v>400</v>
      </c>
    </row>
    <row r="100">
      <c r="A100" s="18" t="inlineStr">
        <is>
          <t>영업외수익 합계</t>
        </is>
      </c>
      <c r="C100" s="20" t="n">
        <v>2316</v>
      </c>
      <c r="D100" s="20" t="n">
        <v>968</v>
      </c>
      <c r="E100" s="20" t="n">
        <v>912</v>
      </c>
      <c r="F100" s="20" t="n">
        <v>1450</v>
      </c>
      <c r="T100" s="20" t="n">
        <v>703</v>
      </c>
      <c r="U100" s="20" t="n">
        <v>638</v>
      </c>
      <c r="V100" s="20" t="n">
        <v>1450</v>
      </c>
    </row>
    <row r="101">
      <c r="A101" s="18" t="inlineStr">
        <is>
          <t>이자비용</t>
        </is>
      </c>
      <c r="C101" s="20" t="n">
        <v>281</v>
      </c>
      <c r="D101" s="20" t="n">
        <v>288</v>
      </c>
      <c r="E101" s="20" t="n">
        <v>277</v>
      </c>
      <c r="F101" s="20" t="n">
        <v>297</v>
      </c>
      <c r="T101" s="20" t="n">
        <v>218</v>
      </c>
      <c r="U101" s="20" t="n">
        <v>263</v>
      </c>
      <c r="V101" s="20" t="n">
        <v>297</v>
      </c>
    </row>
    <row r="102">
      <c r="A102" s="18" t="inlineStr">
        <is>
          <t>고정자산 제각손실</t>
        </is>
      </c>
      <c r="C102" s="20" t="n">
        <v>12</v>
      </c>
      <c r="D102" s="20" t="n">
        <v>56</v>
      </c>
      <c r="E102" s="20" t="n">
        <v>68</v>
      </c>
      <c r="F102" s="20" t="n">
        <v>98</v>
      </c>
      <c r="T102" s="20" t="n">
        <v>189</v>
      </c>
      <c r="U102" s="20" t="n">
        <v>100</v>
      </c>
      <c r="V102" s="20" t="n">
        <v>98</v>
      </c>
    </row>
    <row r="103">
      <c r="A103" s="18" t="inlineStr">
        <is>
          <t>외환차손</t>
        </is>
      </c>
      <c r="C103" s="20" t="n">
        <v>0</v>
      </c>
      <c r="D103" s="20" t="n">
        <v>0</v>
      </c>
      <c r="E103" s="20" t="n">
        <v>0</v>
      </c>
      <c r="F103" s="20" t="n">
        <v>0</v>
      </c>
      <c r="T103" s="20" t="n">
        <v>0</v>
      </c>
      <c r="U103" s="20" t="n">
        <v>-19</v>
      </c>
      <c r="V103" s="20" t="n">
        <v>0</v>
      </c>
    </row>
    <row r="104">
      <c r="A104" s="18" t="inlineStr">
        <is>
          <t>환경대책 충당금 전입</t>
        </is>
      </c>
      <c r="C104" s="20" t="n">
        <v>8</v>
      </c>
      <c r="D104" s="20" t="n">
        <v>5</v>
      </c>
      <c r="E104" s="20" t="n">
        <v>12</v>
      </c>
      <c r="F104" s="20" t="n">
        <v>-8</v>
      </c>
      <c r="T104" s="20" t="n">
        <v>149</v>
      </c>
      <c r="U104" s="20" t="n">
        <v>56</v>
      </c>
      <c r="V104" s="20" t="n">
        <v>-8</v>
      </c>
    </row>
    <row r="105">
      <c r="A105" s="18" t="inlineStr">
        <is>
          <t>환경대책비</t>
        </is>
      </c>
      <c r="C105" s="20" t="n">
        <v>0</v>
      </c>
      <c r="D105" s="20" t="n">
        <v>7</v>
      </c>
      <c r="E105" s="20" t="n">
        <v>0</v>
      </c>
      <c r="F105" s="20" t="n">
        <v>1</v>
      </c>
      <c r="T105" s="20" t="n">
        <v>1</v>
      </c>
      <c r="U105" s="20" t="n">
        <v>15</v>
      </c>
      <c r="V105" s="20" t="n">
        <v>1</v>
      </c>
    </row>
    <row r="106">
      <c r="A106" s="18" t="inlineStr">
        <is>
          <t>기타</t>
        </is>
      </c>
      <c r="C106" s="20" t="n">
        <v>301</v>
      </c>
      <c r="D106" s="20" t="n">
        <v>243</v>
      </c>
      <c r="E106" s="20" t="n">
        <v>329</v>
      </c>
      <c r="F106" s="20" t="n">
        <v>453</v>
      </c>
      <c r="T106" s="20" t="n">
        <v>188</v>
      </c>
      <c r="U106" s="20" t="n">
        <v>525</v>
      </c>
      <c r="V106" s="20" t="n">
        <v>453</v>
      </c>
    </row>
    <row r="107">
      <c r="A107" s="18" t="inlineStr">
        <is>
          <t>영업외비용 합계</t>
        </is>
      </c>
      <c r="C107" s="20" t="n">
        <v>604</v>
      </c>
      <c r="D107" s="20" t="n">
        <v>600</v>
      </c>
      <c r="E107" s="20" t="n">
        <v>685</v>
      </c>
      <c r="F107" s="20" t="n">
        <v>840</v>
      </c>
      <c r="T107" s="20" t="n">
        <v>744</v>
      </c>
      <c r="U107" s="20" t="n">
        <v>942</v>
      </c>
      <c r="V107" s="20" t="n">
        <v>840</v>
      </c>
    </row>
    <row r="108">
      <c r="A108" s="9" t="inlineStr">
        <is>
          <t>경상이익</t>
        </is>
      </c>
      <c r="C108" s="12" t="n">
        <v>9691</v>
      </c>
      <c r="D108" s="12" t="n">
        <v>11392</v>
      </c>
      <c r="E108" s="12" t="n">
        <v>14275</v>
      </c>
      <c r="F108" s="12" t="n">
        <v>9673</v>
      </c>
      <c r="T108" s="12" t="n">
        <v>8026</v>
      </c>
      <c r="U108" s="12" t="n">
        <v>9028</v>
      </c>
      <c r="V108" s="12" t="n">
        <v>9673</v>
      </c>
    </row>
    <row r="109">
      <c r="A109" s="18" t="inlineStr">
        <is>
          <t>투자유가증권 매각이익</t>
        </is>
      </c>
      <c r="E109" s="20" t="n">
        <v>0</v>
      </c>
      <c r="F109" s="20" t="n">
        <v>26696</v>
      </c>
      <c r="T109" s="20" t="n">
        <v>85</v>
      </c>
      <c r="U109" s="20" t="n">
        <v>709</v>
      </c>
      <c r="V109" s="20" t="n">
        <v>26696</v>
      </c>
    </row>
    <row r="110">
      <c r="A110" s="18" t="inlineStr">
        <is>
          <t>특별이익 합계</t>
        </is>
      </c>
      <c r="E110" s="20" t="n">
        <v>0</v>
      </c>
      <c r="F110" s="20" t="n">
        <v>33744</v>
      </c>
      <c r="T110" s="20" t="n">
        <v>85</v>
      </c>
      <c r="U110" s="20" t="n">
        <v>2310</v>
      </c>
      <c r="V110" s="20" t="n">
        <v>33744</v>
      </c>
    </row>
    <row r="111">
      <c r="A111" s="18" t="inlineStr">
        <is>
          <t>손상차손</t>
        </is>
      </c>
      <c r="E111" s="20" t="n">
        <v>173</v>
      </c>
      <c r="F111" s="20" t="n">
        <v>1671</v>
      </c>
      <c r="T111" s="20" t="n">
        <v>1238</v>
      </c>
      <c r="U111" s="20" t="n">
        <v>609</v>
      </c>
      <c r="V111" s="20" t="n">
        <v>1671</v>
      </c>
    </row>
    <row r="112">
      <c r="A112" s="18" t="inlineStr">
        <is>
          <t>사업정리 손실</t>
        </is>
      </c>
      <c r="T112" s="20" t="n">
        <v>7</v>
      </c>
      <c r="U112" s="20" t="n">
        <v>0</v>
      </c>
    </row>
    <row r="113">
      <c r="A113" s="18" t="inlineStr">
        <is>
          <t>관계회사 청산손실</t>
        </is>
      </c>
      <c r="E113" s="20" t="n">
        <v>464</v>
      </c>
      <c r="F113" s="20" t="n">
        <v>227</v>
      </c>
      <c r="U113" s="20" t="n">
        <v>0</v>
      </c>
      <c r="V113" s="20" t="n">
        <v>227</v>
      </c>
    </row>
    <row r="114">
      <c r="A114" s="18" t="inlineStr">
        <is>
          <t>특별손실 합계</t>
        </is>
      </c>
      <c r="E114" s="20" t="n">
        <v>637</v>
      </c>
      <c r="F114" s="20" t="n">
        <v>1898</v>
      </c>
      <c r="T114" s="20" t="n">
        <v>1246</v>
      </c>
      <c r="U114" s="20" t="n">
        <v>609</v>
      </c>
      <c r="V114" s="20" t="n">
        <v>1898</v>
      </c>
    </row>
    <row r="115">
      <c r="A115" s="9" t="inlineStr">
        <is>
          <t>법인세차감전 순이익</t>
        </is>
      </c>
      <c r="C115" s="12" t="n">
        <v>9691</v>
      </c>
      <c r="D115" s="12" t="n">
        <v>8712</v>
      </c>
      <c r="E115" s="12" t="n">
        <v>13638</v>
      </c>
      <c r="F115" s="12" t="n">
        <v>41519</v>
      </c>
      <c r="T115" s="12" t="n">
        <v>6865</v>
      </c>
      <c r="U115" s="12" t="n">
        <v>10728</v>
      </c>
      <c r="V115" s="12" t="n">
        <v>41519</v>
      </c>
    </row>
    <row r="116">
      <c r="A116" s="18" t="inlineStr">
        <is>
          <t>법인세·주민세·사업세</t>
        </is>
      </c>
      <c r="C116" s="20" t="n">
        <v>1157</v>
      </c>
      <c r="D116" s="20" t="n">
        <v>4752</v>
      </c>
      <c r="E116" s="20" t="n">
        <v>2715</v>
      </c>
      <c r="F116" s="20" t="n">
        <v>14483</v>
      </c>
      <c r="T116" s="20" t="n">
        <v>2882</v>
      </c>
      <c r="U116" s="20" t="n">
        <v>3218</v>
      </c>
      <c r="V116" s="20" t="n">
        <v>14483</v>
      </c>
    </row>
    <row r="117">
      <c r="A117" s="18" t="inlineStr">
        <is>
          <t>법인세 조정액</t>
        </is>
      </c>
      <c r="C117" s="20" t="n">
        <v>1723</v>
      </c>
      <c r="D117" s="20" t="n">
        <v>-1692</v>
      </c>
      <c r="E117" s="20" t="n">
        <v>1105</v>
      </c>
      <c r="F117" s="20" t="n">
        <v>-3004</v>
      </c>
      <c r="T117" s="20" t="n">
        <v>-1209</v>
      </c>
      <c r="U117" s="20" t="n">
        <v>-1106</v>
      </c>
      <c r="V117" s="20" t="n">
        <v>-3004</v>
      </c>
    </row>
    <row r="118">
      <c r="A118" s="18" t="inlineStr">
        <is>
          <t>법인세 등 합계</t>
        </is>
      </c>
      <c r="C118" s="20" t="n">
        <v>2880</v>
      </c>
      <c r="D118" s="20" t="n">
        <v>3061</v>
      </c>
      <c r="E118" s="20" t="n">
        <v>3819</v>
      </c>
      <c r="F118" s="20" t="n">
        <v>11478</v>
      </c>
      <c r="T118" s="20" t="n">
        <v>1672</v>
      </c>
      <c r="U118" s="20" t="n">
        <v>2113</v>
      </c>
      <c r="V118" s="20" t="n">
        <v>11478</v>
      </c>
    </row>
    <row r="119">
      <c r="A119" s="9" t="inlineStr">
        <is>
          <t>순이익</t>
        </is>
      </c>
      <c r="C119" s="12" t="n">
        <v>6810</v>
      </c>
      <c r="D119" s="12" t="n">
        <v>5652</v>
      </c>
      <c r="E119" s="12" t="n">
        <v>9818</v>
      </c>
      <c r="F119" s="12" t="n">
        <v>30041</v>
      </c>
      <c r="T119" s="12" t="n">
        <v>5193</v>
      </c>
      <c r="U119" s="12" t="n">
        <v>8616</v>
      </c>
      <c r="V119" s="12" t="n">
        <v>30041</v>
      </c>
    </row>
    <row r="120">
      <c r="A120" s="9" t="inlineStr">
        <is>
          <t>비지배주주 순이익</t>
        </is>
      </c>
      <c r="C120" s="12" t="n">
        <v>495</v>
      </c>
      <c r="D120" s="12" t="n">
        <v>501</v>
      </c>
      <c r="E120" s="12" t="n">
        <v>546</v>
      </c>
      <c r="F120" s="12" t="n">
        <v>1020</v>
      </c>
      <c r="T120" s="12" t="n">
        <v>501</v>
      </c>
      <c r="U120" s="12" t="n">
        <v>364</v>
      </c>
      <c r="V120" s="12" t="n">
        <v>1020</v>
      </c>
    </row>
    <row r="121">
      <c r="A121" s="9" t="inlineStr">
        <is>
          <t>지배주주 순이익</t>
        </is>
      </c>
      <c r="C121" s="12" t="n">
        <v>6315</v>
      </c>
      <c r="D121" s="12" t="n">
        <v>5150</v>
      </c>
      <c r="E121" s="12" t="n">
        <v>9273</v>
      </c>
      <c r="F121" s="12" t="n">
        <v>29021</v>
      </c>
      <c r="T121" s="12" t="n">
        <v>4691</v>
      </c>
      <c r="U121" s="12" t="n">
        <v>8252</v>
      </c>
      <c r="V121" s="12" t="n">
        <v>29021</v>
      </c>
    </row>
    <row r="123">
      <c r="A123" s="16" t="inlineStr">
        <is>
          <t>포괄손익 · 전 항목</t>
        </is>
      </c>
      <c r="B123" s="42" t="inlineStr">
        <is>
          <t>분기 = 3개월 단독</t>
        </is>
      </c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</row>
    <row r="124">
      <c r="A124" s="5" t="inlineStr">
        <is>
          <t>항목</t>
        </is>
      </c>
      <c r="B124" s="5" t="inlineStr">
        <is>
          <t>참고</t>
        </is>
      </c>
      <c r="C124" s="5" t="inlineStr">
        <is>
          <t>2024.1Q</t>
        </is>
      </c>
      <c r="D124" s="5" t="inlineStr">
        <is>
          <t>2024.2Q</t>
        </is>
      </c>
      <c r="E124" s="5" t="inlineStr">
        <is>
          <t>2024.3Q</t>
        </is>
      </c>
      <c r="F124" s="5" t="inlineStr">
        <is>
          <t>2024.4Q</t>
        </is>
      </c>
      <c r="G124" s="5" t="inlineStr">
        <is>
          <t>2025.1Q</t>
        </is>
      </c>
      <c r="H124" s="5" t="inlineStr">
        <is>
          <t>2025.2Q</t>
        </is>
      </c>
      <c r="I124" s="5" t="inlineStr">
        <is>
          <t>2025.3Q</t>
        </is>
      </c>
      <c r="J124" s="5" t="inlineStr">
        <is>
          <t>2025.4Q</t>
        </is>
      </c>
      <c r="K124" s="5" t="inlineStr">
        <is>
          <t>2026.1Q</t>
        </is>
      </c>
      <c r="L124" s="5" t="inlineStr">
        <is>
          <t>2026.2Q</t>
        </is>
      </c>
      <c r="M124" s="5" t="inlineStr">
        <is>
          <t>2026.3Q</t>
        </is>
      </c>
      <c r="N124" s="5" t="inlineStr">
        <is>
          <t>2026.4Q</t>
        </is>
      </c>
      <c r="O124" s="5" t="inlineStr">
        <is>
          <t>2017</t>
        </is>
      </c>
      <c r="P124" s="5" t="inlineStr">
        <is>
          <t>2018</t>
        </is>
      </c>
      <c r="Q124" s="5" t="inlineStr">
        <is>
          <t>2019</t>
        </is>
      </c>
      <c r="R124" s="5" t="inlineStr">
        <is>
          <t>2020</t>
        </is>
      </c>
      <c r="S124" s="5" t="inlineStr">
        <is>
          <t>2021</t>
        </is>
      </c>
      <c r="T124" s="5" t="inlineStr">
        <is>
          <t>2022</t>
        </is>
      </c>
      <c r="U124" s="5" t="inlineStr">
        <is>
          <t>2023</t>
        </is>
      </c>
      <c r="V124" s="5" t="inlineStr">
        <is>
          <t>2024</t>
        </is>
      </c>
      <c r="W124" s="5" t="inlineStr">
        <is>
          <t>2025</t>
        </is>
      </c>
      <c r="X124" s="5" t="inlineStr">
        <is>
          <t>2026</t>
        </is>
      </c>
      <c r="Y124" s="5" t="inlineStr">
        <is>
          <t>2027(MW)</t>
        </is>
      </c>
      <c r="Z124" s="5" t="inlineStr">
        <is>
          <t>2028(MW)</t>
        </is>
      </c>
      <c r="AA124" s="5" t="inlineStr">
        <is>
          <t>2029(MW)</t>
        </is>
      </c>
      <c r="AB124" s="5" t="inlineStr">
        <is>
          <t>2030(MW)</t>
        </is>
      </c>
      <c r="AC124" s="5" t="inlineStr">
        <is>
          <t>2031(MW)</t>
        </is>
      </c>
    </row>
    <row r="125">
      <c r="A125" s="9" t="inlineStr">
        <is>
          <t>순이익</t>
        </is>
      </c>
      <c r="C125" s="12" t="n">
        <v>6810</v>
      </c>
      <c r="D125" s="12" t="n">
        <v>5652</v>
      </c>
      <c r="E125" s="12" t="n">
        <v>9818</v>
      </c>
      <c r="F125" s="12" t="n">
        <v>30041</v>
      </c>
      <c r="T125" s="12" t="n">
        <v>5193</v>
      </c>
      <c r="U125" s="12" t="n">
        <v>8616</v>
      </c>
      <c r="V125" s="12" t="n">
        <v>30041</v>
      </c>
    </row>
    <row r="126">
      <c r="A126" s="18" t="inlineStr">
        <is>
          <t>기타유가증권 평가차액</t>
        </is>
      </c>
      <c r="C126" s="20" t="n">
        <v>8375</v>
      </c>
      <c r="D126" s="20" t="n">
        <v>5288</v>
      </c>
      <c r="E126" s="20" t="n">
        <v>-3010</v>
      </c>
      <c r="F126" s="20" t="n">
        <v>-5680</v>
      </c>
      <c r="T126" s="20" t="n">
        <v>-2796</v>
      </c>
      <c r="U126" s="20" t="n">
        <v>5911</v>
      </c>
      <c r="V126" s="20" t="n">
        <v>-5680</v>
      </c>
    </row>
    <row r="127">
      <c r="A127" s="18" t="inlineStr">
        <is>
          <t>이연헤지손익</t>
        </is>
      </c>
      <c r="C127" s="20" t="n">
        <v>-15</v>
      </c>
      <c r="D127" s="20" t="n">
        <v>7</v>
      </c>
      <c r="E127" s="20" t="n">
        <v>-3</v>
      </c>
      <c r="F127" s="20" t="n">
        <v>2</v>
      </c>
      <c r="T127" s="20" t="n">
        <v>23</v>
      </c>
      <c r="U127" s="20" t="n">
        <v>-43</v>
      </c>
      <c r="V127" s="20" t="n">
        <v>2</v>
      </c>
    </row>
    <row r="128">
      <c r="A128" s="18" t="inlineStr">
        <is>
          <t>해외사업환산조정</t>
        </is>
      </c>
      <c r="C128" s="20" t="n">
        <v>2286</v>
      </c>
      <c r="D128" s="20" t="n">
        <v>1334</v>
      </c>
      <c r="E128" s="20" t="n">
        <v>-1313</v>
      </c>
      <c r="F128" s="20" t="n">
        <v>2206</v>
      </c>
      <c r="T128" s="20" t="n">
        <v>2773</v>
      </c>
      <c r="U128" s="20" t="n">
        <v>730</v>
      </c>
      <c r="V128" s="20" t="n">
        <v>2206</v>
      </c>
    </row>
    <row r="129">
      <c r="A129" s="18" t="inlineStr">
        <is>
          <t>퇴직급여 조정액</t>
        </is>
      </c>
      <c r="C129" s="20" t="n">
        <v>-700</v>
      </c>
      <c r="D129" s="20" t="n">
        <v>144</v>
      </c>
      <c r="E129" s="20" t="n">
        <v>-121</v>
      </c>
      <c r="F129" s="20" t="n">
        <v>11567</v>
      </c>
      <c r="T129" s="20" t="n">
        <v>3186</v>
      </c>
      <c r="U129" s="20" t="n">
        <v>3218</v>
      </c>
      <c r="V129" s="20" t="n">
        <v>11567</v>
      </c>
    </row>
    <row r="130">
      <c r="A130" s="18" t="inlineStr">
        <is>
          <t>지분법 적용회사 지분 해당액</t>
        </is>
      </c>
      <c r="C130" s="20" t="n">
        <v>63</v>
      </c>
      <c r="D130" s="20" t="n">
        <v>74</v>
      </c>
      <c r="E130" s="20" t="n">
        <v>25</v>
      </c>
      <c r="F130" s="20" t="n">
        <v>56</v>
      </c>
      <c r="T130" s="20" t="n">
        <v>22</v>
      </c>
      <c r="U130" s="20" t="n">
        <v>17</v>
      </c>
      <c r="V130" s="20" t="n">
        <v>56</v>
      </c>
    </row>
    <row r="131">
      <c r="A131" s="18" t="inlineStr">
        <is>
          <t>기타포괄손익 합계</t>
        </is>
      </c>
      <c r="C131" s="20" t="n">
        <v>10010</v>
      </c>
      <c r="D131" s="20" t="n">
        <v>6846</v>
      </c>
      <c r="E131" s="20" t="n">
        <v>-4423</v>
      </c>
      <c r="F131" s="20" t="n">
        <v>8153</v>
      </c>
      <c r="T131" s="20" t="n">
        <v>3207</v>
      </c>
      <c r="U131" s="20" t="n">
        <v>9836</v>
      </c>
      <c r="V131" s="20" t="n">
        <v>8153</v>
      </c>
    </row>
    <row r="132">
      <c r="A132" s="9" t="inlineStr">
        <is>
          <t>포괄이익</t>
        </is>
      </c>
      <c r="C132" s="12" t="n">
        <v>16821</v>
      </c>
      <c r="D132" s="12" t="n">
        <v>12497</v>
      </c>
      <c r="E132" s="12" t="n">
        <v>5396</v>
      </c>
      <c r="F132" s="12" t="n">
        <v>38193</v>
      </c>
      <c r="T132" s="12" t="n">
        <v>8399</v>
      </c>
      <c r="U132" s="12" t="n">
        <v>18451</v>
      </c>
      <c r="V132" s="12" t="n">
        <v>38193</v>
      </c>
    </row>
    <row r="133">
      <c r="A133" s="9" t="inlineStr">
        <is>
          <t>지배주주 포괄이익</t>
        </is>
      </c>
      <c r="C133" s="12" t="n">
        <v>15953</v>
      </c>
      <c r="D133" s="12" t="n">
        <v>11795</v>
      </c>
      <c r="E133" s="12" t="n">
        <v>5054</v>
      </c>
      <c r="F133" s="12" t="n">
        <v>36686</v>
      </c>
      <c r="T133" s="12" t="n">
        <v>7476</v>
      </c>
      <c r="U133" s="12" t="n">
        <v>17948</v>
      </c>
      <c r="V133" s="12" t="n">
        <v>36686</v>
      </c>
    </row>
    <row r="134">
      <c r="A134" s="9" t="inlineStr">
        <is>
          <t>비지배주주 포괄이익</t>
        </is>
      </c>
      <c r="C134" s="12" t="n">
        <v>867</v>
      </c>
      <c r="D134" s="12" t="n">
        <v>703</v>
      </c>
      <c r="E134" s="12" t="n">
        <v>342</v>
      </c>
      <c r="F134" s="12" t="n">
        <v>1507</v>
      </c>
      <c r="T134" s="12" t="n">
        <v>923</v>
      </c>
      <c r="U134" s="12" t="n">
        <v>502</v>
      </c>
      <c r="V134" s="12" t="n">
        <v>1507</v>
      </c>
    </row>
    <row r="136">
      <c r="A136" s="16" t="inlineStr">
        <is>
          <t>현금흐름표 · 전 항목</t>
        </is>
      </c>
      <c r="B136" s="42" t="inlineStr">
        <is>
          <t>분기 = 결산기 첫날부터 누계(공시 그대로)</t>
        </is>
      </c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</row>
    <row r="137">
      <c r="A137" s="5" t="inlineStr">
        <is>
          <t>항목</t>
        </is>
      </c>
      <c r="B137" s="5" t="inlineStr">
        <is>
          <t>참고</t>
        </is>
      </c>
      <c r="C137" s="5" t="inlineStr">
        <is>
          <t>2024.1Q</t>
        </is>
      </c>
      <c r="D137" s="5" t="inlineStr">
        <is>
          <t>2024.2Q</t>
        </is>
      </c>
      <c r="E137" s="5" t="inlineStr">
        <is>
          <t>2024.3Q</t>
        </is>
      </c>
      <c r="F137" s="5" t="inlineStr">
        <is>
          <t>2024.4Q</t>
        </is>
      </c>
      <c r="G137" s="5" t="inlineStr">
        <is>
          <t>2025.1Q</t>
        </is>
      </c>
      <c r="H137" s="5" t="inlineStr">
        <is>
          <t>2025.2Q</t>
        </is>
      </c>
      <c r="I137" s="5" t="inlineStr">
        <is>
          <t>2025.3Q</t>
        </is>
      </c>
      <c r="J137" s="5" t="inlineStr">
        <is>
          <t>2025.4Q</t>
        </is>
      </c>
      <c r="K137" s="5" t="inlineStr">
        <is>
          <t>2026.1Q</t>
        </is>
      </c>
      <c r="L137" s="5" t="inlineStr">
        <is>
          <t>2026.2Q</t>
        </is>
      </c>
      <c r="M137" s="5" t="inlineStr">
        <is>
          <t>2026.3Q</t>
        </is>
      </c>
      <c r="N137" s="5" t="inlineStr">
        <is>
          <t>2026.4Q</t>
        </is>
      </c>
      <c r="O137" s="5" t="inlineStr">
        <is>
          <t>2017</t>
        </is>
      </c>
      <c r="P137" s="5" t="inlineStr">
        <is>
          <t>2018</t>
        </is>
      </c>
      <c r="Q137" s="5" t="inlineStr">
        <is>
          <t>2019</t>
        </is>
      </c>
      <c r="R137" s="5" t="inlineStr">
        <is>
          <t>2020</t>
        </is>
      </c>
      <c r="S137" s="5" t="inlineStr">
        <is>
          <t>2021</t>
        </is>
      </c>
      <c r="T137" s="5" t="inlineStr">
        <is>
          <t>2022</t>
        </is>
      </c>
      <c r="U137" s="5" t="inlineStr">
        <is>
          <t>2023</t>
        </is>
      </c>
      <c r="V137" s="5" t="inlineStr">
        <is>
          <t>2024</t>
        </is>
      </c>
      <c r="W137" s="5" t="inlineStr">
        <is>
          <t>2025</t>
        </is>
      </c>
      <c r="X137" s="5" t="inlineStr">
        <is>
          <t>2026</t>
        </is>
      </c>
      <c r="Y137" s="5" t="inlineStr">
        <is>
          <t>2027(MW)</t>
        </is>
      </c>
      <c r="Z137" s="5" t="inlineStr">
        <is>
          <t>2028(MW)</t>
        </is>
      </c>
      <c r="AA137" s="5" t="inlineStr">
        <is>
          <t>2029(MW)</t>
        </is>
      </c>
      <c r="AB137" s="5" t="inlineStr">
        <is>
          <t>2030(MW)</t>
        </is>
      </c>
      <c r="AC137" s="5" t="inlineStr">
        <is>
          <t>2031(MW)</t>
        </is>
      </c>
    </row>
    <row r="138">
      <c r="A138" s="9" t="inlineStr">
        <is>
          <t>법인세차감전 이익</t>
        </is>
      </c>
      <c r="F138" s="12" t="n">
        <v>45068</v>
      </c>
      <c r="J138" s="12" t="n">
        <v>42653</v>
      </c>
      <c r="N138" s="12" t="n">
        <v>44756</v>
      </c>
      <c r="U138" s="12" t="n">
        <v>52557</v>
      </c>
      <c r="V138" s="12" t="n">
        <v>45068</v>
      </c>
      <c r="W138" s="12" t="n">
        <v>42653</v>
      </c>
      <c r="X138" s="12" t="n">
        <v>44756</v>
      </c>
    </row>
    <row r="139">
      <c r="A139" s="18" t="inlineStr">
        <is>
          <t>감가상각비 및 상각비</t>
        </is>
      </c>
      <c r="F139" s="20" t="n">
        <v>29764</v>
      </c>
      <c r="J139" s="20" t="n">
        <v>30265</v>
      </c>
      <c r="N139" s="20" t="n">
        <v>31129</v>
      </c>
      <c r="U139" s="20" t="n">
        <v>29567</v>
      </c>
      <c r="V139" s="20" t="n">
        <v>29764</v>
      </c>
      <c r="W139" s="20" t="n">
        <v>30265</v>
      </c>
      <c r="X139" s="20" t="n">
        <v>31129</v>
      </c>
    </row>
    <row r="140">
      <c r="A140" s="18" t="inlineStr">
        <is>
          <t>손상차손</t>
        </is>
      </c>
      <c r="F140" s="20" t="n">
        <v>2649</v>
      </c>
      <c r="J140" s="20" t="n">
        <v>828</v>
      </c>
      <c r="N140" s="20" t="n">
        <v>521</v>
      </c>
      <c r="U140" s="20" t="n">
        <v>884</v>
      </c>
      <c r="V140" s="20" t="n">
        <v>2649</v>
      </c>
      <c r="W140" s="20" t="n">
        <v>828</v>
      </c>
      <c r="X140" s="20" t="n">
        <v>521</v>
      </c>
    </row>
    <row r="141">
      <c r="A141" s="18" t="inlineStr">
        <is>
          <t>부의 영업권 발생이익</t>
        </is>
      </c>
      <c r="J141" s="20" t="n">
        <v>0</v>
      </c>
      <c r="N141" s="20" t="n">
        <v>-5336</v>
      </c>
      <c r="W141" s="20" t="n">
        <v>0</v>
      </c>
      <c r="X141" s="20" t="n">
        <v>-5336</v>
      </c>
    </row>
    <row r="142">
      <c r="A142" s="18" t="inlineStr">
        <is>
          <t>이자·배당금 수익</t>
        </is>
      </c>
      <c r="F142" s="20" t="n">
        <v>-2962</v>
      </c>
      <c r="J142" s="20" t="n">
        <v>-2966</v>
      </c>
      <c r="N142" s="20" t="n">
        <v>-2275</v>
      </c>
      <c r="U142" s="20" t="n">
        <v>-2529</v>
      </c>
      <c r="V142" s="20" t="n">
        <v>-2962</v>
      </c>
      <c r="W142" s="20" t="n">
        <v>-2966</v>
      </c>
      <c r="X142" s="20" t="n">
        <v>-2275</v>
      </c>
    </row>
    <row r="143">
      <c r="A143" s="18" t="inlineStr">
        <is>
          <t>이자비용</t>
        </is>
      </c>
      <c r="F143" s="20" t="n">
        <v>1160</v>
      </c>
      <c r="J143" s="20" t="n">
        <v>1368</v>
      </c>
      <c r="N143" s="20" t="n">
        <v>1588</v>
      </c>
      <c r="U143" s="20" t="n">
        <v>968</v>
      </c>
      <c r="V143" s="20" t="n">
        <v>1160</v>
      </c>
      <c r="W143" s="20" t="n">
        <v>1368</v>
      </c>
      <c r="X143" s="20" t="n">
        <v>1588</v>
      </c>
    </row>
    <row r="144">
      <c r="A144" s="18" t="inlineStr">
        <is>
          <t>지분법손익</t>
        </is>
      </c>
      <c r="F144" s="20" t="n">
        <v>-881</v>
      </c>
      <c r="J144" s="20" t="n">
        <v>-1217</v>
      </c>
      <c r="N144" s="20" t="n">
        <v>-1275</v>
      </c>
      <c r="U144" s="20" t="n">
        <v>-812</v>
      </c>
      <c r="V144" s="20" t="n">
        <v>-881</v>
      </c>
      <c r="W144" s="20" t="n">
        <v>-1217</v>
      </c>
      <c r="X144" s="20" t="n">
        <v>-1275</v>
      </c>
    </row>
    <row r="145">
      <c r="A145" s="18" t="inlineStr">
        <is>
          <t>고정자산 매각손익</t>
        </is>
      </c>
      <c r="F145" s="20" t="n">
        <v>-7376</v>
      </c>
      <c r="J145" s="20" t="n">
        <v>-998</v>
      </c>
      <c r="N145" s="20" t="n">
        <v>-21</v>
      </c>
      <c r="U145" s="20" t="n">
        <v>-1645</v>
      </c>
      <c r="V145" s="20" t="n">
        <v>-7376</v>
      </c>
      <c r="W145" s="20" t="n">
        <v>-998</v>
      </c>
      <c r="X145" s="20" t="n">
        <v>-21</v>
      </c>
    </row>
    <row r="146">
      <c r="A146" s="18" t="inlineStr">
        <is>
          <t>매출채권 및 기타채권 증감액</t>
        </is>
      </c>
      <c r="F146" s="20" t="n">
        <v>-12490</v>
      </c>
      <c r="J146" s="20" t="n">
        <v>23578</v>
      </c>
      <c r="N146" s="20" t="n">
        <v>-2577</v>
      </c>
      <c r="U146" s="20" t="n">
        <v>-10384</v>
      </c>
      <c r="V146" s="20" t="n">
        <v>-12490</v>
      </c>
      <c r="W146" s="20" t="n">
        <v>23578</v>
      </c>
      <c r="X146" s="20" t="n">
        <v>-2577</v>
      </c>
    </row>
    <row r="147">
      <c r="A147" s="18" t="inlineStr">
        <is>
          <t>재고자산 증감</t>
        </is>
      </c>
      <c r="F147" s="20" t="n">
        <v>6880</v>
      </c>
      <c r="J147" s="20" t="n">
        <v>-8352</v>
      </c>
      <c r="N147" s="20" t="n">
        <v>801</v>
      </c>
      <c r="U147" s="20" t="n">
        <v>-24379</v>
      </c>
      <c r="V147" s="20" t="n">
        <v>6880</v>
      </c>
      <c r="W147" s="20" t="n">
        <v>-8352</v>
      </c>
      <c r="X147" s="20" t="n">
        <v>801</v>
      </c>
    </row>
    <row r="148">
      <c r="A148" s="18" t="inlineStr">
        <is>
          <t>매입채무 및 기타채무 증감액</t>
        </is>
      </c>
      <c r="F148" s="20" t="n">
        <v>-1620</v>
      </c>
      <c r="J148" s="20" t="n">
        <v>-5469</v>
      </c>
      <c r="N148" s="20" t="n">
        <v>-677</v>
      </c>
      <c r="U148" s="20" t="n">
        <v>-5771</v>
      </c>
      <c r="V148" s="20" t="n">
        <v>-1620</v>
      </c>
      <c r="W148" s="20" t="n">
        <v>-5469</v>
      </c>
      <c r="X148" s="20" t="n">
        <v>-677</v>
      </c>
    </row>
    <row r="149">
      <c r="A149" s="18" t="inlineStr">
        <is>
          <t>계약부채 증감</t>
        </is>
      </c>
      <c r="J149" s="20" t="n">
        <v>792</v>
      </c>
      <c r="N149" s="20" t="n">
        <v>12335</v>
      </c>
      <c r="W149" s="20" t="n">
        <v>792</v>
      </c>
      <c r="X149" s="20" t="n">
        <v>12335</v>
      </c>
    </row>
    <row r="150">
      <c r="A150" s="18" t="inlineStr">
        <is>
          <t>기타</t>
        </is>
      </c>
      <c r="F150" s="20" t="n">
        <v>1527</v>
      </c>
      <c r="J150" s="20" t="n">
        <v>-3374</v>
      </c>
      <c r="N150" s="20" t="n">
        <v>2891</v>
      </c>
      <c r="U150" s="20" t="n">
        <v>4363</v>
      </c>
      <c r="V150" s="20" t="n">
        <v>1527</v>
      </c>
      <c r="W150" s="20" t="n">
        <v>-3374</v>
      </c>
      <c r="X150" s="20" t="n">
        <v>2891</v>
      </c>
    </row>
    <row r="151">
      <c r="A151" s="18" t="inlineStr">
        <is>
          <t>소계</t>
        </is>
      </c>
      <c r="F151" s="20" t="n">
        <v>61720</v>
      </c>
      <c r="J151" s="20" t="n">
        <v>77107</v>
      </c>
      <c r="N151" s="20" t="n">
        <v>81861</v>
      </c>
      <c r="U151" s="20" t="n">
        <v>42817</v>
      </c>
      <c r="V151" s="20" t="n">
        <v>61720</v>
      </c>
      <c r="W151" s="20" t="n">
        <v>77107</v>
      </c>
      <c r="X151" s="20" t="n">
        <v>81861</v>
      </c>
    </row>
    <row r="152">
      <c r="A152" s="18" t="inlineStr">
        <is>
          <t>이자 수취</t>
        </is>
      </c>
      <c r="F152" s="20" t="n">
        <v>386</v>
      </c>
      <c r="J152" s="20" t="n">
        <v>349</v>
      </c>
      <c r="N152" s="20" t="n">
        <v>335</v>
      </c>
      <c r="U152" s="20" t="n">
        <v>226</v>
      </c>
      <c r="V152" s="20" t="n">
        <v>386</v>
      </c>
      <c r="W152" s="20" t="n">
        <v>349</v>
      </c>
      <c r="X152" s="20" t="n">
        <v>335</v>
      </c>
    </row>
    <row r="153">
      <c r="A153" s="18" t="inlineStr">
        <is>
          <t>배당금 수취액</t>
        </is>
      </c>
      <c r="F153" s="20" t="n">
        <v>2721</v>
      </c>
      <c r="J153" s="20" t="n">
        <v>2813</v>
      </c>
      <c r="N153" s="20" t="n">
        <v>2110</v>
      </c>
      <c r="U153" s="20" t="n">
        <v>2470</v>
      </c>
      <c r="V153" s="20" t="n">
        <v>2721</v>
      </c>
      <c r="W153" s="20" t="n">
        <v>2813</v>
      </c>
      <c r="X153" s="20" t="n">
        <v>2110</v>
      </c>
    </row>
    <row r="154">
      <c r="A154" s="18" t="inlineStr">
        <is>
          <t>이자 지급</t>
        </is>
      </c>
      <c r="F154" s="20" t="n">
        <v>-1125</v>
      </c>
      <c r="J154" s="20" t="n">
        <v>-1352</v>
      </c>
      <c r="N154" s="20" t="n">
        <v>-1474</v>
      </c>
      <c r="U154" s="20" t="n">
        <v>-931</v>
      </c>
      <c r="V154" s="20" t="n">
        <v>-1125</v>
      </c>
      <c r="W154" s="20" t="n">
        <v>-1352</v>
      </c>
      <c r="X154" s="20" t="n">
        <v>-1474</v>
      </c>
    </row>
    <row r="155">
      <c r="A155" s="18" t="inlineStr">
        <is>
          <t>법인소득세 지급액</t>
        </is>
      </c>
      <c r="F155" s="20" t="n">
        <v>-13463</v>
      </c>
      <c r="J155" s="20" t="n">
        <v>-25400</v>
      </c>
      <c r="N155" s="20" t="n">
        <v>-16737</v>
      </c>
      <c r="U155" s="20" t="n">
        <v>-16675</v>
      </c>
      <c r="V155" s="20" t="n">
        <v>-13463</v>
      </c>
      <c r="W155" s="20" t="n">
        <v>-25400</v>
      </c>
      <c r="X155" s="20" t="n">
        <v>-16737</v>
      </c>
    </row>
    <row r="156">
      <c r="A156" s="9" t="inlineStr">
        <is>
          <t>영업활동 현금흐름</t>
        </is>
      </c>
      <c r="F156" s="12" t="n">
        <v>50239</v>
      </c>
      <c r="J156" s="12" t="n">
        <v>53516</v>
      </c>
      <c r="N156" s="12" t="n">
        <v>66096</v>
      </c>
      <c r="U156" s="12" t="n">
        <v>27907</v>
      </c>
      <c r="V156" s="12" t="n">
        <v>50239</v>
      </c>
      <c r="W156" s="12" t="n">
        <v>53516</v>
      </c>
      <c r="X156" s="12" t="n">
        <v>66096</v>
      </c>
    </row>
    <row r="157">
      <c r="A157" s="18" t="inlineStr">
        <is>
          <t>Purchase Of Property Plant And Equipment Intangible Assets And Investment Property Inv CF</t>
        </is>
      </c>
      <c r="F157" s="20" t="n">
        <v>-32355</v>
      </c>
      <c r="J157" s="20" t="n">
        <v>-41646</v>
      </c>
      <c r="N157" s="20" t="n">
        <v>-52555</v>
      </c>
      <c r="U157" s="20" t="n">
        <v>-27030</v>
      </c>
      <c r="V157" s="20" t="n">
        <v>-32355</v>
      </c>
      <c r="W157" s="20" t="n">
        <v>-41646</v>
      </c>
      <c r="X157" s="20" t="n">
        <v>-52555</v>
      </c>
    </row>
    <row r="158">
      <c r="A158" s="18" t="inlineStr">
        <is>
          <t>Proceeds From Sale Of Property Plant And Equipment Intangible Assets And Investment Property Inv CF</t>
        </is>
      </c>
      <c r="F158" s="20" t="n">
        <v>10372</v>
      </c>
      <c r="J158" s="20" t="n">
        <v>1679</v>
      </c>
      <c r="N158" s="20" t="n">
        <v>132</v>
      </c>
      <c r="U158" s="20" t="n">
        <v>2084</v>
      </c>
      <c r="V158" s="20" t="n">
        <v>10372</v>
      </c>
      <c r="W158" s="20" t="n">
        <v>1679</v>
      </c>
      <c r="X158" s="20" t="n">
        <v>132</v>
      </c>
    </row>
    <row r="159">
      <c r="A159" s="18" t="inlineStr">
        <is>
          <t>자본성 금융상품 취득</t>
        </is>
      </c>
      <c r="F159" s="20" t="n">
        <v>-23</v>
      </c>
      <c r="J159" s="20" t="n">
        <v>-25</v>
      </c>
      <c r="N159" s="20" t="n">
        <v>-23</v>
      </c>
      <c r="U159" s="20" t="n">
        <v>-521</v>
      </c>
      <c r="V159" s="20" t="n">
        <v>-23</v>
      </c>
      <c r="W159" s="20" t="n">
        <v>-25</v>
      </c>
      <c r="X159" s="20" t="n">
        <v>-23</v>
      </c>
    </row>
    <row r="160">
      <c r="A160" s="18" t="inlineStr">
        <is>
          <t>자본성 금융상품 매각</t>
        </is>
      </c>
      <c r="F160" s="20" t="n">
        <v>35771</v>
      </c>
      <c r="J160" s="20" t="n">
        <v>24203</v>
      </c>
      <c r="N160" s="20" t="n">
        <v>14292</v>
      </c>
      <c r="U160" s="20" t="n">
        <v>1623</v>
      </c>
      <c r="V160" s="20" t="n">
        <v>35771</v>
      </c>
      <c r="W160" s="20" t="n">
        <v>24203</v>
      </c>
      <c r="X160" s="20" t="n">
        <v>14292</v>
      </c>
    </row>
    <row r="161">
      <c r="A161" s="18" t="inlineStr">
        <is>
          <t>자회사 취득 지출</t>
        </is>
      </c>
      <c r="J161" s="20" t="n">
        <v>-799</v>
      </c>
      <c r="N161" s="20" t="n">
        <v>-10190</v>
      </c>
      <c r="W161" s="20" t="n">
        <v>-799</v>
      </c>
      <c r="X161" s="20" t="n">
        <v>-10190</v>
      </c>
    </row>
    <row r="162">
      <c r="A162" s="18" t="inlineStr">
        <is>
          <t>기타</t>
        </is>
      </c>
      <c r="F162" s="20" t="n">
        <v>-146</v>
      </c>
      <c r="J162" s="20" t="n">
        <v>1002</v>
      </c>
      <c r="N162" s="20" t="n">
        <v>95</v>
      </c>
      <c r="U162" s="20" t="n">
        <v>-57</v>
      </c>
      <c r="V162" s="20" t="n">
        <v>-146</v>
      </c>
      <c r="W162" s="20" t="n">
        <v>1002</v>
      </c>
      <c r="X162" s="20" t="n">
        <v>95</v>
      </c>
    </row>
    <row r="163">
      <c r="A163" s="9" t="inlineStr">
        <is>
          <t>투자활동 현금흐름</t>
        </is>
      </c>
      <c r="F163" s="12" t="n">
        <v>13618</v>
      </c>
      <c r="J163" s="12" t="n">
        <v>-15586</v>
      </c>
      <c r="N163" s="12" t="n">
        <v>-48248</v>
      </c>
      <c r="U163" s="12" t="n">
        <v>-23902</v>
      </c>
      <c r="V163" s="12" t="n">
        <v>13618</v>
      </c>
      <c r="W163" s="12" t="n">
        <v>-15586</v>
      </c>
      <c r="X163" s="12" t="n">
        <v>-48248</v>
      </c>
    </row>
    <row r="164">
      <c r="A164" s="18" t="inlineStr">
        <is>
          <t>단기차입금 순증감</t>
        </is>
      </c>
      <c r="F164" s="20" t="n">
        <v>-40278</v>
      </c>
      <c r="J164" s="20" t="n">
        <v>11993</v>
      </c>
      <c r="N164" s="20" t="n">
        <v>7527</v>
      </c>
      <c r="U164" s="20" t="n">
        <v>1346</v>
      </c>
      <c r="V164" s="20" t="n">
        <v>-40278</v>
      </c>
      <c r="W164" s="20" t="n">
        <v>11993</v>
      </c>
      <c r="X164" s="20" t="n">
        <v>7527</v>
      </c>
    </row>
    <row r="165">
      <c r="A165" s="18" t="inlineStr">
        <is>
          <t>Increase Decrease In Commercial Papers Fin CF</t>
        </is>
      </c>
      <c r="F165" s="20" t="n">
        <v>0</v>
      </c>
      <c r="U165" s="20" t="n">
        <v>-7000</v>
      </c>
      <c r="V165" s="20" t="n">
        <v>0</v>
      </c>
    </row>
    <row r="166">
      <c r="A166" s="18" t="inlineStr">
        <is>
          <t>Proceeds From Borrowings Fin CF</t>
        </is>
      </c>
      <c r="F166" s="20" t="n">
        <v>70419</v>
      </c>
      <c r="J166" s="20" t="n">
        <v>18090</v>
      </c>
      <c r="N166" s="20" t="n">
        <v>40658</v>
      </c>
      <c r="U166" s="20" t="n">
        <v>130012</v>
      </c>
      <c r="V166" s="20" t="n">
        <v>70419</v>
      </c>
      <c r="W166" s="20" t="n">
        <v>18090</v>
      </c>
      <c r="X166" s="20" t="n">
        <v>40658</v>
      </c>
    </row>
    <row r="167">
      <c r="A167" s="18" t="inlineStr">
        <is>
          <t>Repayments Of Borrowings Fin CF</t>
        </is>
      </c>
      <c r="F167" s="20" t="n">
        <v>-93960</v>
      </c>
      <c r="J167" s="20" t="n">
        <v>-30833</v>
      </c>
      <c r="N167" s="20" t="n">
        <v>-45943</v>
      </c>
      <c r="U167" s="20" t="n">
        <v>-127012</v>
      </c>
      <c r="V167" s="20" t="n">
        <v>-93960</v>
      </c>
      <c r="W167" s="20" t="n">
        <v>-30833</v>
      </c>
      <c r="X167" s="20" t="n">
        <v>-45943</v>
      </c>
    </row>
    <row r="168">
      <c r="A168" s="18" t="inlineStr">
        <is>
          <t>사채 발행</t>
        </is>
      </c>
      <c r="F168" s="20" t="n">
        <v>0</v>
      </c>
      <c r="U168" s="20" t="n">
        <v>9946</v>
      </c>
      <c r="V168" s="20" t="n">
        <v>0</v>
      </c>
    </row>
    <row r="169">
      <c r="A169" s="18" t="inlineStr">
        <is>
          <t>리스부채 상환 지출</t>
        </is>
      </c>
      <c r="F169" s="20" t="n">
        <v>-1938</v>
      </c>
      <c r="J169" s="20" t="n">
        <v>-2098</v>
      </c>
      <c r="N169" s="20" t="n">
        <v>-2241</v>
      </c>
      <c r="U169" s="20" t="n">
        <v>-1977</v>
      </c>
      <c r="V169" s="20" t="n">
        <v>-1938</v>
      </c>
      <c r="W169" s="20" t="n">
        <v>-2098</v>
      </c>
      <c r="X169" s="20" t="n">
        <v>-2241</v>
      </c>
    </row>
    <row r="170">
      <c r="A170" s="18" t="inlineStr">
        <is>
          <t>자기주식 취득</t>
        </is>
      </c>
      <c r="F170" s="20" t="n">
        <v>-6</v>
      </c>
      <c r="J170" s="20" t="n">
        <v>-8500</v>
      </c>
      <c r="N170" s="20" t="n">
        <v>-6604</v>
      </c>
      <c r="V170" s="20" t="n">
        <v>-6</v>
      </c>
      <c r="W170" s="20" t="n">
        <v>-8500</v>
      </c>
      <c r="X170" s="20" t="n">
        <v>-6604</v>
      </c>
    </row>
    <row r="171">
      <c r="A171" s="18" t="inlineStr">
        <is>
          <t>배당금 지급</t>
        </is>
      </c>
      <c r="F171" s="20" t="n">
        <v>-9802</v>
      </c>
      <c r="J171" s="20" t="n">
        <v>-10033</v>
      </c>
      <c r="N171" s="20" t="n">
        <v>-9765</v>
      </c>
      <c r="U171" s="20" t="n">
        <v>-8519</v>
      </c>
      <c r="V171" s="20" t="n">
        <v>-9802</v>
      </c>
      <c r="W171" s="20" t="n">
        <v>-10033</v>
      </c>
      <c r="X171" s="20" t="n">
        <v>-9765</v>
      </c>
    </row>
    <row r="172">
      <c r="A172" s="18" t="inlineStr">
        <is>
          <t>비지배지분 배당금 지급액</t>
        </is>
      </c>
      <c r="F172" s="20" t="n">
        <v>-906</v>
      </c>
      <c r="J172" s="20" t="n">
        <v>-1034</v>
      </c>
      <c r="N172" s="20" t="n">
        <v>-972</v>
      </c>
      <c r="U172" s="20" t="n">
        <v>-881</v>
      </c>
      <c r="V172" s="20" t="n">
        <v>-906</v>
      </c>
      <c r="W172" s="20" t="n">
        <v>-1034</v>
      </c>
      <c r="X172" s="20" t="n">
        <v>-972</v>
      </c>
    </row>
    <row r="173">
      <c r="A173" s="18" t="inlineStr">
        <is>
          <t>기타</t>
        </is>
      </c>
      <c r="F173" s="20" t="n">
        <v>-11</v>
      </c>
      <c r="J173" s="20" t="n">
        <v>-298</v>
      </c>
      <c r="N173" s="20" t="n">
        <v>-1117</v>
      </c>
      <c r="U173" s="20" t="n">
        <v>-19</v>
      </c>
      <c r="V173" s="20" t="n">
        <v>-11</v>
      </c>
      <c r="W173" s="20" t="n">
        <v>-298</v>
      </c>
      <c r="X173" s="20" t="n">
        <v>-1117</v>
      </c>
    </row>
    <row r="174">
      <c r="A174" s="9" t="inlineStr">
        <is>
          <t>재무활동 현금흐름</t>
        </is>
      </c>
      <c r="F174" s="12" t="n">
        <v>-76484</v>
      </c>
      <c r="J174" s="12" t="n">
        <v>-22715</v>
      </c>
      <c r="N174" s="12" t="n">
        <v>-18459</v>
      </c>
      <c r="U174" s="12" t="n">
        <v>-4105</v>
      </c>
      <c r="V174" s="12" t="n">
        <v>-76484</v>
      </c>
      <c r="W174" s="12" t="n">
        <v>-22715</v>
      </c>
      <c r="X174" s="12" t="n">
        <v>-18459</v>
      </c>
    </row>
    <row r="175">
      <c r="A175" s="18" t="inlineStr">
        <is>
          <t>Effect Of Exchange Rate Changes On Cash And Cash Equivalents</t>
        </is>
      </c>
      <c r="F175" s="20" t="n">
        <v>2146</v>
      </c>
      <c r="J175" s="20" t="n">
        <v>-4</v>
      </c>
      <c r="N175" s="20" t="n">
        <v>2465</v>
      </c>
      <c r="U175" s="20" t="n">
        <v>945</v>
      </c>
      <c r="V175" s="20" t="n">
        <v>2146</v>
      </c>
      <c r="W175" s="20" t="n">
        <v>-4</v>
      </c>
      <c r="X175" s="20" t="n">
        <v>2465</v>
      </c>
    </row>
    <row r="176">
      <c r="A176" s="18" t="inlineStr">
        <is>
          <t>현금성자산 증감</t>
        </is>
      </c>
      <c r="F176" s="20" t="n">
        <v>-10480</v>
      </c>
      <c r="J176" s="20" t="n">
        <v>15210</v>
      </c>
      <c r="N176" s="20" t="n">
        <v>1853</v>
      </c>
      <c r="U176" s="20" t="n">
        <v>844</v>
      </c>
      <c r="V176" s="20" t="n">
        <v>-10480</v>
      </c>
      <c r="W176" s="20" t="n">
        <v>15210</v>
      </c>
      <c r="X176" s="20" t="n">
        <v>1853</v>
      </c>
    </row>
    <row r="177">
      <c r="A177" s="9" t="inlineStr">
        <is>
          <t>법인세차감전 순이익</t>
        </is>
      </c>
      <c r="D177" s="12" t="n">
        <v>18403</v>
      </c>
      <c r="F177" s="12" t="n">
        <v>73560</v>
      </c>
      <c r="P177" s="12" t="n">
        <v>36831</v>
      </c>
      <c r="Q177" s="12" t="n">
        <v>33110</v>
      </c>
      <c r="R177" s="12" t="n">
        <v>21170</v>
      </c>
      <c r="S177" s="12" t="n">
        <v>10065</v>
      </c>
      <c r="T177" s="12" t="n">
        <v>40746</v>
      </c>
      <c r="U177" s="12" t="n">
        <v>49363</v>
      </c>
      <c r="V177" s="12" t="n">
        <v>73560</v>
      </c>
    </row>
    <row r="178">
      <c r="A178" s="18" t="inlineStr">
        <is>
          <t>감가상각비</t>
        </is>
      </c>
      <c r="D178" s="20" t="n">
        <v>13182</v>
      </c>
      <c r="F178" s="20" t="n">
        <v>26508</v>
      </c>
      <c r="P178" s="20" t="n">
        <v>20740</v>
      </c>
      <c r="Q178" s="20" t="n">
        <v>23171</v>
      </c>
      <c r="R178" s="20" t="n">
        <v>24662</v>
      </c>
      <c r="S178" s="20" t="n">
        <v>25912</v>
      </c>
      <c r="T178" s="20" t="n">
        <v>26797</v>
      </c>
      <c r="U178" s="20" t="n">
        <v>26054</v>
      </c>
      <c r="V178" s="20" t="n">
        <v>26508</v>
      </c>
    </row>
    <row r="179">
      <c r="A179" s="18" t="inlineStr">
        <is>
          <t>손상차손</t>
        </is>
      </c>
      <c r="D179" s="20" t="n">
        <v>960</v>
      </c>
      <c r="F179" s="20" t="n">
        <v>2804</v>
      </c>
      <c r="Q179" s="20" t="n">
        <v>0</v>
      </c>
      <c r="R179" s="20" t="n">
        <v>5842</v>
      </c>
      <c r="S179" s="20" t="n">
        <v>2720</v>
      </c>
      <c r="T179" s="20" t="n">
        <v>3519</v>
      </c>
      <c r="U179" s="20" t="n">
        <v>1112</v>
      </c>
      <c r="V179" s="20" t="n">
        <v>2804</v>
      </c>
    </row>
    <row r="180">
      <c r="A180" s="18" t="inlineStr">
        <is>
          <t>대손충당금 증감</t>
        </is>
      </c>
      <c r="D180" s="20" t="n">
        <v>1</v>
      </c>
      <c r="F180" s="20" t="n">
        <v>-4</v>
      </c>
      <c r="P180" s="20" t="n">
        <v>-131</v>
      </c>
      <c r="Q180" s="20" t="n">
        <v>57</v>
      </c>
      <c r="R180" s="20" t="n">
        <v>61</v>
      </c>
      <c r="S180" s="20" t="n">
        <v>-74</v>
      </c>
      <c r="T180" s="20" t="n">
        <v>-34</v>
      </c>
      <c r="U180" s="20" t="n">
        <v>-47</v>
      </c>
      <c r="V180" s="20" t="n">
        <v>-4</v>
      </c>
    </row>
    <row r="181">
      <c r="A181" s="18" t="inlineStr">
        <is>
          <t>상여충당금 증감</t>
        </is>
      </c>
      <c r="D181" s="20" t="n">
        <v>11</v>
      </c>
      <c r="F181" s="20" t="n">
        <v>139</v>
      </c>
      <c r="P181" s="20" t="n">
        <v>652</v>
      </c>
      <c r="Q181" s="20" t="n">
        <v>115</v>
      </c>
      <c r="R181" s="20" t="n">
        <v>-347</v>
      </c>
      <c r="S181" s="20" t="n">
        <v>-1007</v>
      </c>
      <c r="T181" s="20" t="n">
        <v>1190</v>
      </c>
      <c r="U181" s="20" t="n">
        <v>251</v>
      </c>
      <c r="V181" s="20" t="n">
        <v>139</v>
      </c>
    </row>
    <row r="182">
      <c r="A182" s="18" t="inlineStr">
        <is>
          <t>기타 충당금 증감</t>
        </is>
      </c>
      <c r="D182" s="20" t="n">
        <v>-359</v>
      </c>
    </row>
    <row r="183">
      <c r="A183" s="18" t="inlineStr">
        <is>
          <t>임원 상여충당금 증감</t>
        </is>
      </c>
      <c r="F183" s="20" t="n">
        <v>86</v>
      </c>
      <c r="P183" s="20" t="n">
        <v>49</v>
      </c>
      <c r="Q183" s="20" t="n">
        <v>-52</v>
      </c>
      <c r="R183" s="20" t="n">
        <v>-71</v>
      </c>
      <c r="S183" s="20" t="n">
        <v>-45</v>
      </c>
      <c r="T183" s="20" t="n">
        <v>77</v>
      </c>
      <c r="U183" s="20" t="n">
        <v>9</v>
      </c>
      <c r="V183" s="20" t="n">
        <v>86</v>
      </c>
    </row>
    <row r="184">
      <c r="A184" s="18" t="inlineStr">
        <is>
          <t>임원 퇴직위로 충당금 증감</t>
        </is>
      </c>
      <c r="F184" s="20" t="n">
        <v>44</v>
      </c>
      <c r="P184" s="20" t="n">
        <v>-34</v>
      </c>
      <c r="Q184" s="20" t="n">
        <v>-5</v>
      </c>
      <c r="R184" s="20" t="n">
        <v>-26</v>
      </c>
      <c r="S184" s="20" t="n">
        <v>-94</v>
      </c>
      <c r="T184" s="20" t="n">
        <v>71</v>
      </c>
      <c r="U184" s="20" t="n">
        <v>-60</v>
      </c>
      <c r="V184" s="20" t="n">
        <v>44</v>
      </c>
    </row>
    <row r="185">
      <c r="A185" s="18" t="inlineStr">
        <is>
          <t>주식급여 충당금 증감</t>
        </is>
      </c>
      <c r="F185" s="20" t="n">
        <v>149</v>
      </c>
      <c r="U185" s="20" t="n">
        <v>33</v>
      </c>
      <c r="V185" s="20" t="n">
        <v>149</v>
      </c>
    </row>
    <row r="186">
      <c r="A186" s="18" t="inlineStr">
        <is>
          <t>환경대책 충당금 증감</t>
        </is>
      </c>
      <c r="F186" s="20" t="n">
        <v>-263</v>
      </c>
      <c r="P186" s="20" t="n">
        <v>-91</v>
      </c>
      <c r="Q186" s="20" t="n">
        <v>476</v>
      </c>
      <c r="R186" s="20" t="n">
        <v>704</v>
      </c>
      <c r="S186" s="20" t="n">
        <v>44</v>
      </c>
      <c r="T186" s="20" t="n">
        <v>-1197</v>
      </c>
      <c r="U186" s="20" t="n">
        <v>-253</v>
      </c>
      <c r="V186" s="20" t="n">
        <v>-263</v>
      </c>
    </row>
    <row r="187">
      <c r="A187" s="18" t="inlineStr">
        <is>
          <t>퇴직급여자산 증감</t>
        </is>
      </c>
      <c r="D187" s="20" t="n">
        <v>-477</v>
      </c>
      <c r="F187" s="20" t="n">
        <v>-1097</v>
      </c>
      <c r="P187" s="20" t="n">
        <v>1039</v>
      </c>
      <c r="Q187" s="20" t="n">
        <v>-180</v>
      </c>
      <c r="R187" s="20" t="n">
        <v>-1663</v>
      </c>
      <c r="S187" s="20" t="n">
        <v>764</v>
      </c>
      <c r="T187" s="20" t="n">
        <v>434</v>
      </c>
      <c r="U187" s="20" t="n">
        <v>-670</v>
      </c>
      <c r="V187" s="20" t="n">
        <v>-1097</v>
      </c>
    </row>
    <row r="188">
      <c r="A188" s="18" t="inlineStr">
        <is>
          <t>퇴직급여부채 증감</t>
        </is>
      </c>
      <c r="D188" s="20" t="n">
        <v>278</v>
      </c>
      <c r="F188" s="20" t="n">
        <v>87</v>
      </c>
      <c r="P188" s="20" t="n">
        <v>422</v>
      </c>
      <c r="Q188" s="20" t="n">
        <v>432</v>
      </c>
      <c r="R188" s="20" t="n">
        <v>630</v>
      </c>
      <c r="S188" s="20" t="n">
        <v>2223</v>
      </c>
      <c r="T188" s="20" t="n">
        <v>1339</v>
      </c>
      <c r="U188" s="20" t="n">
        <v>-21</v>
      </c>
      <c r="V188" s="20" t="n">
        <v>87</v>
      </c>
    </row>
    <row r="189">
      <c r="A189" s="18" t="inlineStr">
        <is>
          <t>이자·배당금 수익</t>
        </is>
      </c>
      <c r="D189" s="20" t="n">
        <v>-1414</v>
      </c>
      <c r="F189" s="20" t="n">
        <v>-2838</v>
      </c>
      <c r="P189" s="20" t="n">
        <v>-1936</v>
      </c>
      <c r="Q189" s="20" t="n">
        <v>-2529</v>
      </c>
      <c r="R189" s="20" t="n">
        <v>-2091</v>
      </c>
      <c r="S189" s="20" t="n">
        <v>-1630</v>
      </c>
      <c r="T189" s="20" t="n">
        <v>-2149</v>
      </c>
      <c r="U189" s="20" t="n">
        <v>-2483</v>
      </c>
      <c r="V189" s="20" t="n">
        <v>-2838</v>
      </c>
    </row>
    <row r="190">
      <c r="A190" s="18" t="inlineStr">
        <is>
          <t>이자비용</t>
        </is>
      </c>
      <c r="D190" s="20" t="n">
        <v>569</v>
      </c>
      <c r="F190" s="20" t="n">
        <v>1143</v>
      </c>
      <c r="P190" s="20" t="n">
        <v>941</v>
      </c>
      <c r="Q190" s="20" t="n">
        <v>922</v>
      </c>
      <c r="R190" s="20" t="n">
        <v>793</v>
      </c>
      <c r="S190" s="20" t="n">
        <v>823</v>
      </c>
      <c r="T190" s="20" t="n">
        <v>823</v>
      </c>
      <c r="U190" s="20" t="n">
        <v>938</v>
      </c>
      <c r="V190" s="20" t="n">
        <v>1143</v>
      </c>
    </row>
    <row r="191">
      <c r="A191" s="18" t="inlineStr">
        <is>
          <t>외환차손익</t>
        </is>
      </c>
      <c r="D191" s="20" t="n">
        <v>-522</v>
      </c>
      <c r="F191" s="20" t="n">
        <v>-713</v>
      </c>
      <c r="P191" s="20" t="n">
        <v>142</v>
      </c>
      <c r="Q191" s="20" t="n">
        <v>-118</v>
      </c>
      <c r="R191" s="20" t="n">
        <v>31</v>
      </c>
      <c r="S191" s="20" t="n">
        <v>-90</v>
      </c>
      <c r="T191" s="20" t="n">
        <v>-247</v>
      </c>
      <c r="U191" s="20" t="n">
        <v>-380</v>
      </c>
      <c r="V191" s="20" t="n">
        <v>-713</v>
      </c>
    </row>
    <row r="192">
      <c r="A192" s="18" t="inlineStr">
        <is>
          <t>지분법손익</t>
        </is>
      </c>
      <c r="D192" s="20" t="n">
        <v>-317</v>
      </c>
      <c r="F192" s="20" t="n">
        <v>-581</v>
      </c>
      <c r="P192" s="20" t="n">
        <v>-978</v>
      </c>
      <c r="Q192" s="20" t="n">
        <v>-1134</v>
      </c>
      <c r="R192" s="20" t="n">
        <v>-760</v>
      </c>
      <c r="S192" s="20" t="n">
        <v>189</v>
      </c>
      <c r="T192" s="20" t="n">
        <v>-621</v>
      </c>
      <c r="U192" s="20" t="n">
        <v>-458</v>
      </c>
      <c r="V192" s="20" t="n">
        <v>-581</v>
      </c>
    </row>
    <row r="193">
      <c r="A193" s="18" t="inlineStr">
        <is>
          <t>투자유가증권 매각손익</t>
        </is>
      </c>
      <c r="D193" s="20" t="n">
        <v>0</v>
      </c>
      <c r="F193" s="20" t="n">
        <v>-26696</v>
      </c>
      <c r="P193" s="20" t="n">
        <v>1</v>
      </c>
      <c r="Q193" s="20" t="n">
        <v>9</v>
      </c>
      <c r="R193" s="20" t="n">
        <v>-48</v>
      </c>
      <c r="S193" s="20" t="n">
        <v>-143</v>
      </c>
      <c r="T193" s="20" t="n">
        <v>-5497</v>
      </c>
      <c r="U193" s="20" t="n">
        <v>-748</v>
      </c>
      <c r="V193" s="20" t="n">
        <v>-26696</v>
      </c>
    </row>
    <row r="194">
      <c r="A194" s="18" t="inlineStr">
        <is>
          <t>투자유가증권 평가손익</t>
        </is>
      </c>
      <c r="D194" s="20" t="n">
        <v>0</v>
      </c>
      <c r="F194" s="20" t="n">
        <v>0</v>
      </c>
      <c r="P194" s="20" t="n">
        <v>0</v>
      </c>
      <c r="Q194" s="20" t="n">
        <v>6</v>
      </c>
      <c r="R194" s="20" t="n">
        <v>2072</v>
      </c>
      <c r="S194" s="20" t="n">
        <v>8</v>
      </c>
      <c r="T194" s="20" t="n">
        <v>0</v>
      </c>
      <c r="U194" s="20" t="n">
        <v>6</v>
      </c>
      <c r="V194" s="20" t="n">
        <v>0</v>
      </c>
    </row>
    <row r="195">
      <c r="A195" s="18" t="inlineStr">
        <is>
          <t>유형자산 매각손익</t>
        </is>
      </c>
      <c r="D195" s="20" t="n">
        <v>-3</v>
      </c>
      <c r="F195" s="20" t="n">
        <v>-7053</v>
      </c>
      <c r="P195" s="20" t="n">
        <v>-741</v>
      </c>
      <c r="Q195" s="20" t="n">
        <v>2</v>
      </c>
      <c r="R195" s="20" t="n">
        <v>-7794</v>
      </c>
      <c r="S195" s="20" t="n">
        <v>-140</v>
      </c>
      <c r="T195" s="20" t="n">
        <v>-166</v>
      </c>
      <c r="U195" s="20" t="n">
        <v>-1703</v>
      </c>
      <c r="V195" s="20" t="n">
        <v>-7053</v>
      </c>
    </row>
    <row r="196">
      <c r="A196" s="18" t="inlineStr">
        <is>
          <t>매출채권·계약자산 증감</t>
        </is>
      </c>
      <c r="D196" s="20" t="n">
        <v>4731</v>
      </c>
      <c r="S196" s="20" t="n">
        <v>0</v>
      </c>
      <c r="T196" s="20" t="n">
        <v>-23896</v>
      </c>
      <c r="U196" s="20" t="n">
        <v>-7997</v>
      </c>
    </row>
    <row r="197">
      <c r="A197" s="18" t="inlineStr">
        <is>
          <t>유형자산 제각손실</t>
        </is>
      </c>
      <c r="D197" s="20" t="n">
        <v>94</v>
      </c>
      <c r="F197" s="20" t="n">
        <v>327</v>
      </c>
      <c r="P197" s="20" t="n">
        <v>1010</v>
      </c>
      <c r="Q197" s="20" t="n">
        <v>997</v>
      </c>
      <c r="R197" s="20" t="n">
        <v>1091</v>
      </c>
      <c r="S197" s="20" t="n">
        <v>952</v>
      </c>
      <c r="T197" s="20" t="n">
        <v>689</v>
      </c>
      <c r="U197" s="20" t="n">
        <v>589</v>
      </c>
      <c r="V197" s="20" t="n">
        <v>327</v>
      </c>
    </row>
    <row r="198">
      <c r="A198" s="18" t="inlineStr">
        <is>
          <t>고정자산 압축손실</t>
        </is>
      </c>
      <c r="Q198" s="20" t="n">
        <v>0</v>
      </c>
      <c r="R198" s="20" t="n">
        <v>2772</v>
      </c>
      <c r="S198" s="20" t="n">
        <v>0</v>
      </c>
    </row>
    <row r="199">
      <c r="A199" s="18" t="inlineStr">
        <is>
          <t>매출채권 증감</t>
        </is>
      </c>
      <c r="P199" s="20" t="n">
        <v>-20750</v>
      </c>
      <c r="Q199" s="20" t="n">
        <v>1258</v>
      </c>
      <c r="R199" s="20" t="n">
        <v>16128</v>
      </c>
      <c r="S199" s="20" t="n">
        <v>-7949</v>
      </c>
      <c r="T199" s="20" t="n">
        <v>0</v>
      </c>
    </row>
    <row r="200">
      <c r="A200" s="18" t="inlineStr">
        <is>
          <t>매출채권·계약자산 증감</t>
        </is>
      </c>
      <c r="F200" s="20" t="n">
        <v>4773</v>
      </c>
      <c r="U200" s="20" t="n">
        <v>-7997</v>
      </c>
      <c r="V200" s="20" t="n">
        <v>4773</v>
      </c>
    </row>
    <row r="201">
      <c r="A201" s="18" t="inlineStr">
        <is>
          <t>재고자산 증감</t>
        </is>
      </c>
      <c r="D201" s="20" t="n">
        <v>338</v>
      </c>
      <c r="F201" s="20" t="n">
        <v>5805</v>
      </c>
      <c r="P201" s="20" t="n">
        <v>-16346</v>
      </c>
      <c r="Q201" s="20" t="n">
        <v>-17206</v>
      </c>
      <c r="R201" s="20" t="n">
        <v>9109</v>
      </c>
      <c r="S201" s="20" t="n">
        <v>8333</v>
      </c>
      <c r="T201" s="20" t="n">
        <v>-50893</v>
      </c>
      <c r="U201" s="20" t="n">
        <v>-25732</v>
      </c>
      <c r="V201" s="20" t="n">
        <v>5805</v>
      </c>
    </row>
    <row r="202">
      <c r="A202" s="18" t="inlineStr">
        <is>
          <t>매입채무 증감</t>
        </is>
      </c>
      <c r="D202" s="20" t="n">
        <v>-4302</v>
      </c>
      <c r="F202" s="20" t="n">
        <v>-6508</v>
      </c>
      <c r="P202" s="20" t="n">
        <v>15146</v>
      </c>
      <c r="Q202" s="20" t="n">
        <v>-3163</v>
      </c>
      <c r="R202" s="20" t="n">
        <v>-22242</v>
      </c>
      <c r="S202" s="20" t="n">
        <v>-760</v>
      </c>
      <c r="T202" s="20" t="n">
        <v>-2817</v>
      </c>
      <c r="U202" s="20" t="n">
        <v>-5938</v>
      </c>
      <c r="V202" s="20" t="n">
        <v>-6508</v>
      </c>
    </row>
    <row r="203">
      <c r="A203" s="18" t="inlineStr">
        <is>
          <t>기타</t>
        </is>
      </c>
      <c r="D203" s="20" t="n">
        <v>-1224</v>
      </c>
      <c r="F203" s="20" t="n">
        <v>1071</v>
      </c>
      <c r="P203" s="20" t="n">
        <v>2149</v>
      </c>
      <c r="Q203" s="20" t="n">
        <v>2788</v>
      </c>
      <c r="R203" s="20" t="n">
        <v>-275</v>
      </c>
      <c r="S203" s="20" t="n">
        <v>-1259</v>
      </c>
      <c r="T203" s="20" t="n">
        <v>-2523</v>
      </c>
      <c r="U203" s="20" t="n">
        <v>5734</v>
      </c>
      <c r="V203" s="20" t="n">
        <v>1071</v>
      </c>
    </row>
    <row r="204">
      <c r="A204" s="18" t="inlineStr">
        <is>
          <t>소계</t>
        </is>
      </c>
      <c r="D204" s="20" t="n">
        <v>29952</v>
      </c>
      <c r="F204" s="20" t="n">
        <v>70744</v>
      </c>
      <c r="P204" s="20" t="n">
        <v>38118</v>
      </c>
      <c r="Q204" s="20" t="n">
        <v>38960</v>
      </c>
      <c r="R204" s="20" t="n">
        <v>49750</v>
      </c>
      <c r="S204" s="20" t="n">
        <v>38843</v>
      </c>
      <c r="T204" s="20" t="n">
        <v>-14353</v>
      </c>
      <c r="U204" s="20" t="n">
        <v>37597</v>
      </c>
      <c r="V204" s="20" t="n">
        <v>70744</v>
      </c>
    </row>
    <row r="205">
      <c r="A205" s="18" t="inlineStr">
        <is>
          <t>이자·배당금 수취</t>
        </is>
      </c>
      <c r="D205" s="20" t="n">
        <v>1459</v>
      </c>
      <c r="F205" s="20" t="n">
        <v>2983</v>
      </c>
      <c r="P205" s="20" t="n">
        <v>2134</v>
      </c>
      <c r="Q205" s="20" t="n">
        <v>2737</v>
      </c>
      <c r="R205" s="20" t="n">
        <v>2394</v>
      </c>
      <c r="S205" s="20" t="n">
        <v>1759</v>
      </c>
      <c r="T205" s="20" t="n">
        <v>2279</v>
      </c>
      <c r="U205" s="20" t="n">
        <v>2650</v>
      </c>
      <c r="V205" s="20" t="n">
        <v>2983</v>
      </c>
    </row>
    <row r="206">
      <c r="A206" s="18" t="inlineStr">
        <is>
          <t>이자 지급</t>
        </is>
      </c>
      <c r="D206" s="20" t="n">
        <v>-582</v>
      </c>
      <c r="F206" s="20" t="n">
        <v>-1137</v>
      </c>
      <c r="P206" s="20" t="n">
        <v>-946</v>
      </c>
      <c r="Q206" s="20" t="n">
        <v>-954</v>
      </c>
      <c r="R206" s="20" t="n">
        <v>-812</v>
      </c>
      <c r="S206" s="20" t="n">
        <v>-820</v>
      </c>
      <c r="T206" s="20" t="n">
        <v>-818</v>
      </c>
      <c r="U206" s="20" t="n">
        <v>-920</v>
      </c>
      <c r="V206" s="20" t="n">
        <v>-1137</v>
      </c>
    </row>
    <row r="207">
      <c r="A207" s="18" t="inlineStr">
        <is>
          <t>법인세 납부</t>
        </is>
      </c>
      <c r="D207" s="20" t="n">
        <v>-6688</v>
      </c>
      <c r="F207" s="20" t="n">
        <v>-13931</v>
      </c>
      <c r="P207" s="20" t="n">
        <v>-8263</v>
      </c>
      <c r="Q207" s="20" t="n">
        <v>-12629</v>
      </c>
      <c r="R207" s="20" t="n">
        <v>-10298</v>
      </c>
      <c r="S207" s="20" t="n">
        <v>-6015</v>
      </c>
      <c r="T207" s="20" t="n">
        <v>-3792</v>
      </c>
      <c r="U207" s="20" t="n">
        <v>-16693</v>
      </c>
      <c r="V207" s="20" t="n">
        <v>-13931</v>
      </c>
    </row>
    <row r="208">
      <c r="A208" s="9" t="inlineStr">
        <is>
          <t>영업활동 현금흐름</t>
        </is>
      </c>
      <c r="D208" s="12" t="n">
        <v>24140</v>
      </c>
      <c r="F208" s="12" t="n">
        <v>58657</v>
      </c>
      <c r="P208" s="12" t="n">
        <v>31043</v>
      </c>
      <c r="Q208" s="12" t="n">
        <v>28114</v>
      </c>
      <c r="R208" s="12" t="n">
        <v>41033</v>
      </c>
      <c r="S208" s="12" t="n">
        <v>33766</v>
      </c>
      <c r="T208" s="12" t="n">
        <v>-16684</v>
      </c>
      <c r="U208" s="12" t="n">
        <v>22634</v>
      </c>
      <c r="V208" s="12" t="n">
        <v>58657</v>
      </c>
    </row>
    <row r="209">
      <c r="A209" s="18" t="inlineStr">
        <is>
          <t>정기예금 예입</t>
        </is>
      </c>
      <c r="D209" s="20" t="n">
        <v>-172</v>
      </c>
      <c r="F209" s="20" t="n">
        <v>-622</v>
      </c>
      <c r="P209" s="20" t="n">
        <v>-1056</v>
      </c>
      <c r="Q209" s="20" t="n">
        <v>-269</v>
      </c>
      <c r="R209" s="20" t="n">
        <v>-885</v>
      </c>
      <c r="S209" s="20" t="n">
        <v>-845</v>
      </c>
      <c r="T209" s="20" t="n">
        <v>-866</v>
      </c>
      <c r="U209" s="20" t="n">
        <v>-519</v>
      </c>
      <c r="V209" s="20" t="n">
        <v>-622</v>
      </c>
    </row>
    <row r="210">
      <c r="A210" s="18" t="inlineStr">
        <is>
          <t>정기예금 인출</t>
        </is>
      </c>
      <c r="D210" s="20" t="n">
        <v>585</v>
      </c>
      <c r="F210" s="20" t="n">
        <v>559</v>
      </c>
      <c r="P210" s="20" t="n">
        <v>464</v>
      </c>
      <c r="Q210" s="20" t="n">
        <v>1128</v>
      </c>
      <c r="R210" s="20" t="n">
        <v>128</v>
      </c>
      <c r="S210" s="20" t="n">
        <v>851</v>
      </c>
      <c r="T210" s="20" t="n">
        <v>404</v>
      </c>
      <c r="U210" s="20" t="n">
        <v>1334</v>
      </c>
      <c r="V210" s="20" t="n">
        <v>559</v>
      </c>
    </row>
    <row r="211">
      <c r="A211" s="18" t="inlineStr">
        <is>
          <t>유형자산 취득(설비투자)</t>
        </is>
      </c>
      <c r="D211" s="20" t="n">
        <v>-13064</v>
      </c>
      <c r="F211" s="20" t="n">
        <v>-27226</v>
      </c>
      <c r="P211" s="20" t="n">
        <v>-30254</v>
      </c>
      <c r="Q211" s="20" t="n">
        <v>-34355</v>
      </c>
      <c r="R211" s="20" t="n">
        <v>-45415</v>
      </c>
      <c r="S211" s="20" t="n">
        <v>-27819</v>
      </c>
      <c r="T211" s="20" t="n">
        <v>-19066</v>
      </c>
      <c r="U211" s="20" t="n">
        <v>-21450</v>
      </c>
      <c r="V211" s="20" t="n">
        <v>-27226</v>
      </c>
    </row>
    <row r="212">
      <c r="A212" s="18" t="inlineStr">
        <is>
          <t>유형자산 매각</t>
        </is>
      </c>
      <c r="D212" s="20" t="n">
        <v>30</v>
      </c>
      <c r="F212" s="20" t="n">
        <v>10413</v>
      </c>
      <c r="P212" s="20" t="n">
        <v>1352</v>
      </c>
      <c r="Q212" s="20" t="n">
        <v>143</v>
      </c>
      <c r="R212" s="20" t="n">
        <v>8406</v>
      </c>
      <c r="S212" s="20" t="n">
        <v>169</v>
      </c>
      <c r="T212" s="20" t="n">
        <v>230</v>
      </c>
      <c r="U212" s="20" t="n">
        <v>2103</v>
      </c>
      <c r="V212" s="20" t="n">
        <v>10413</v>
      </c>
    </row>
    <row r="213">
      <c r="A213" s="18" t="inlineStr">
        <is>
          <t>투자유가증권 취득</t>
        </is>
      </c>
      <c r="D213" s="20" t="n">
        <v>-12</v>
      </c>
      <c r="F213" s="20" t="n">
        <v>-23</v>
      </c>
      <c r="P213" s="20" t="n">
        <v>-18</v>
      </c>
      <c r="Q213" s="20" t="n">
        <v>-519</v>
      </c>
      <c r="R213" s="20" t="n">
        <v>-874</v>
      </c>
      <c r="S213" s="20" t="n">
        <v>-214</v>
      </c>
      <c r="T213" s="20" t="n">
        <v>-19</v>
      </c>
      <c r="U213" s="20" t="n">
        <v>-521</v>
      </c>
      <c r="V213" s="20" t="n">
        <v>-23</v>
      </c>
    </row>
    <row r="214">
      <c r="A214" s="18" t="inlineStr">
        <is>
          <t>투자유가증권 매각</t>
        </is>
      </c>
      <c r="D214" s="20" t="n">
        <v>0</v>
      </c>
      <c r="F214" s="20" t="n">
        <v>35771</v>
      </c>
      <c r="P214" s="20" t="n">
        <v>6</v>
      </c>
      <c r="Q214" s="20" t="n">
        <v>86</v>
      </c>
      <c r="R214" s="20" t="n">
        <v>60</v>
      </c>
      <c r="S214" s="20" t="n">
        <v>259</v>
      </c>
      <c r="T214" s="20" t="n">
        <v>7715</v>
      </c>
      <c r="U214" s="20" t="n">
        <v>1622</v>
      </c>
      <c r="V214" s="20" t="n">
        <v>35771</v>
      </c>
    </row>
    <row r="215">
      <c r="A215" s="18" t="inlineStr">
        <is>
          <t>대여</t>
        </is>
      </c>
      <c r="D215" s="20" t="n">
        <v>-14</v>
      </c>
      <c r="F215" s="20" t="n">
        <v>-28</v>
      </c>
      <c r="P215" s="20" t="n">
        <v>-123</v>
      </c>
      <c r="Q215" s="20" t="n">
        <v>-276</v>
      </c>
      <c r="R215" s="20" t="n">
        <v>-84</v>
      </c>
      <c r="S215" s="20" t="n">
        <v>-40</v>
      </c>
      <c r="T215" s="20" t="n">
        <v>-8</v>
      </c>
      <c r="U215" s="20" t="n">
        <v>-20</v>
      </c>
      <c r="V215" s="20" t="n">
        <v>-28</v>
      </c>
    </row>
    <row r="216">
      <c r="A216" s="18" t="inlineStr">
        <is>
          <t>대여금 회수</t>
        </is>
      </c>
      <c r="D216" s="20" t="n">
        <v>12</v>
      </c>
      <c r="F216" s="20" t="n">
        <v>23</v>
      </c>
      <c r="P216" s="20" t="n">
        <v>123</v>
      </c>
      <c r="Q216" s="20" t="n">
        <v>249</v>
      </c>
      <c r="R216" s="20" t="n">
        <v>37</v>
      </c>
      <c r="S216" s="20" t="n">
        <v>84</v>
      </c>
      <c r="T216" s="20" t="n">
        <v>37</v>
      </c>
      <c r="U216" s="20" t="n">
        <v>27</v>
      </c>
      <c r="V216" s="20" t="n">
        <v>23</v>
      </c>
    </row>
    <row r="217">
      <c r="A217" s="18" t="inlineStr">
        <is>
          <t>연결범위 변경 자회사 주식 취득</t>
        </is>
      </c>
      <c r="D217" s="20" t="n">
        <v>-118</v>
      </c>
      <c r="F217" s="20" t="n">
        <v>-118</v>
      </c>
      <c r="S217" s="20" t="n">
        <v>0</v>
      </c>
      <c r="T217" s="20" t="n">
        <v>-524</v>
      </c>
      <c r="U217" s="20" t="n">
        <v>0</v>
      </c>
      <c r="V217" s="20" t="n">
        <v>-118</v>
      </c>
    </row>
    <row r="218">
      <c r="A218" s="18" t="inlineStr">
        <is>
          <t>연결범위 변경 자회사 주식 매각(지출)</t>
        </is>
      </c>
      <c r="R218" s="20" t="n">
        <v>0</v>
      </c>
      <c r="S218" s="20" t="n">
        <v>-288</v>
      </c>
      <c r="T218" s="20" t="n">
        <v>0</v>
      </c>
    </row>
    <row r="219">
      <c r="A219" s="18" t="inlineStr">
        <is>
          <t>사업양수 지출</t>
        </is>
      </c>
      <c r="F219" s="20" t="n">
        <v>0</v>
      </c>
      <c r="T219" s="20" t="n">
        <v>0</v>
      </c>
      <c r="U219" s="20" t="n">
        <v>-518</v>
      </c>
      <c r="V219" s="20" t="n">
        <v>0</v>
      </c>
    </row>
    <row r="220">
      <c r="A220" s="18" t="inlineStr">
        <is>
          <t>기타</t>
        </is>
      </c>
      <c r="D220" s="20" t="n">
        <v>-736</v>
      </c>
      <c r="F220" s="20" t="n">
        <v>-1970</v>
      </c>
      <c r="P220" s="20" t="n">
        <v>-710</v>
      </c>
      <c r="Q220" s="20" t="n">
        <v>104</v>
      </c>
      <c r="R220" s="20" t="n">
        <v>-698</v>
      </c>
      <c r="S220" s="20" t="n">
        <v>-1553</v>
      </c>
      <c r="T220" s="20" t="n">
        <v>-2470</v>
      </c>
      <c r="U220" s="20" t="n">
        <v>-2141</v>
      </c>
      <c r="V220" s="20" t="n">
        <v>-1970</v>
      </c>
    </row>
    <row r="221">
      <c r="A221" s="9" t="inlineStr">
        <is>
          <t>투자활동 현금흐름</t>
        </is>
      </c>
      <c r="D221" s="12" t="n">
        <v>-13489</v>
      </c>
      <c r="F221" s="12" t="n">
        <v>16777</v>
      </c>
      <c r="P221" s="12" t="n">
        <v>-30215</v>
      </c>
      <c r="Q221" s="12" t="n">
        <v>-33707</v>
      </c>
      <c r="R221" s="12" t="n">
        <v>-39326</v>
      </c>
      <c r="S221" s="12" t="n">
        <v>-29395</v>
      </c>
      <c r="T221" s="12" t="n">
        <v>-14568</v>
      </c>
      <c r="U221" s="12" t="n">
        <v>-20084</v>
      </c>
      <c r="V221" s="12" t="n">
        <v>16777</v>
      </c>
    </row>
    <row r="222">
      <c r="A222" s="18" t="inlineStr">
        <is>
          <t>단기차입금 순증감</t>
        </is>
      </c>
      <c r="D222" s="20" t="n">
        <v>9853</v>
      </c>
      <c r="F222" s="20" t="n">
        <v>-31406</v>
      </c>
      <c r="P222" s="20" t="n">
        <v>17418</v>
      </c>
      <c r="Q222" s="20" t="n">
        <v>7602</v>
      </c>
      <c r="R222" s="20" t="n">
        <v>3108</v>
      </c>
      <c r="S222" s="20" t="n">
        <v>-2511</v>
      </c>
      <c r="T222" s="20" t="n">
        <v>3734</v>
      </c>
      <c r="U222" s="20" t="n">
        <v>2075</v>
      </c>
      <c r="V222" s="20" t="n">
        <v>-31406</v>
      </c>
    </row>
    <row r="223">
      <c r="A223" s="18" t="inlineStr">
        <is>
          <t>Increase Decrease In Commercial Papers Fin CF</t>
        </is>
      </c>
      <c r="D223" s="20" t="n">
        <v>-9000</v>
      </c>
      <c r="F223" s="20" t="n">
        <v>-26000</v>
      </c>
      <c r="P223" s="20" t="n">
        <v>0</v>
      </c>
      <c r="Q223" s="20" t="n">
        <v>8000</v>
      </c>
      <c r="R223" s="20" t="n">
        <v>9000</v>
      </c>
      <c r="S223" s="20" t="n">
        <v>-7000</v>
      </c>
      <c r="T223" s="20" t="n">
        <v>37000</v>
      </c>
      <c r="U223" s="20" t="n">
        <v>-21000</v>
      </c>
      <c r="V223" s="20" t="n">
        <v>-26000</v>
      </c>
    </row>
    <row r="224">
      <c r="A224" s="18" t="inlineStr">
        <is>
          <t>장기차입</t>
        </is>
      </c>
      <c r="D224" s="20" t="n">
        <v>21200</v>
      </c>
      <c r="F224" s="20" t="n">
        <v>23200</v>
      </c>
      <c r="P224" s="20" t="n">
        <v>10653</v>
      </c>
      <c r="Q224" s="20" t="n">
        <v>17422</v>
      </c>
      <c r="R224" s="20" t="n">
        <v>15934</v>
      </c>
      <c r="S224" s="20" t="n">
        <v>32791</v>
      </c>
      <c r="T224" s="20" t="n">
        <v>7800</v>
      </c>
      <c r="U224" s="20" t="n">
        <v>36267</v>
      </c>
      <c r="V224" s="20" t="n">
        <v>23200</v>
      </c>
    </row>
    <row r="225">
      <c r="A225" s="18" t="inlineStr">
        <is>
          <t>장기차입금 상환</t>
        </is>
      </c>
      <c r="D225" s="20" t="n">
        <v>-24824</v>
      </c>
      <c r="F225" s="20" t="n">
        <v>-26296</v>
      </c>
      <c r="P225" s="20" t="n">
        <v>-15894</v>
      </c>
      <c r="Q225" s="20" t="n">
        <v>-30676</v>
      </c>
      <c r="R225" s="20" t="n">
        <v>-16355</v>
      </c>
      <c r="S225" s="20" t="n">
        <v>-17773</v>
      </c>
      <c r="T225" s="20" t="n">
        <v>-10369</v>
      </c>
      <c r="U225" s="20" t="n">
        <v>-20002</v>
      </c>
      <c r="V225" s="20" t="n">
        <v>-26296</v>
      </c>
    </row>
    <row r="226">
      <c r="A226" s="18" t="inlineStr">
        <is>
          <t>사채 발행</t>
        </is>
      </c>
      <c r="D226" s="20" t="n">
        <v>0</v>
      </c>
      <c r="F226" s="20" t="n">
        <v>0</v>
      </c>
      <c r="P226" s="20" t="n">
        <v>0</v>
      </c>
      <c r="Q226" s="20" t="n">
        <v>10000</v>
      </c>
      <c r="R226" s="20" t="n">
        <v>15000</v>
      </c>
      <c r="S226" s="20" t="n">
        <v>0</v>
      </c>
      <c r="T226" s="20" t="n">
        <v>0</v>
      </c>
      <c r="U226" s="20" t="n">
        <v>10000</v>
      </c>
      <c r="V226" s="20" t="n">
        <v>0</v>
      </c>
    </row>
    <row r="227">
      <c r="A227" s="18" t="inlineStr">
        <is>
          <t>사채 상환</t>
        </is>
      </c>
      <c r="Q227" s="20" t="n">
        <v>0</v>
      </c>
      <c r="R227" s="20" t="n">
        <v>-10000</v>
      </c>
      <c r="S227" s="20" t="n">
        <v>0</v>
      </c>
      <c r="T227" s="20" t="n">
        <v>-10000</v>
      </c>
      <c r="U227" s="20" t="n">
        <v>0</v>
      </c>
    </row>
    <row r="228">
      <c r="A228" s="18" t="inlineStr">
        <is>
          <t>자기주식 매각</t>
        </is>
      </c>
      <c r="D228" s="20" t="n">
        <v>639</v>
      </c>
      <c r="F228" s="20" t="n">
        <v>639</v>
      </c>
      <c r="U228" s="20" t="n">
        <v>0</v>
      </c>
      <c r="V228" s="20" t="n">
        <v>639</v>
      </c>
    </row>
    <row r="229">
      <c r="A229" s="18" t="inlineStr">
        <is>
          <t>자기주식 취득</t>
        </is>
      </c>
      <c r="D229" s="20" t="n">
        <v>-643</v>
      </c>
      <c r="F229" s="20" t="n">
        <v>-645</v>
      </c>
      <c r="P229" s="20" t="n">
        <v>-31</v>
      </c>
      <c r="Q229" s="20" t="n">
        <v>-7</v>
      </c>
      <c r="R229" s="20" t="n">
        <v>-5</v>
      </c>
      <c r="S229" s="20" t="n">
        <v>-4</v>
      </c>
      <c r="T229" s="20" t="n">
        <v>-3</v>
      </c>
      <c r="U229" s="20" t="n">
        <v>-4</v>
      </c>
      <c r="V229" s="20" t="n">
        <v>-645</v>
      </c>
    </row>
    <row r="230">
      <c r="A230" s="18" t="inlineStr">
        <is>
          <t>Purchase Of Treasury Stock Of Subsidiaries In Consolidation Fin CF</t>
        </is>
      </c>
      <c r="D230" s="20" t="n">
        <v>-0</v>
      </c>
      <c r="F230" s="20" t="n">
        <v>-24</v>
      </c>
      <c r="P230" s="20" t="n">
        <v>-588</v>
      </c>
      <c r="Q230" s="20" t="n">
        <v>-0</v>
      </c>
      <c r="R230" s="20" t="n">
        <v>-0</v>
      </c>
      <c r="S230" s="20" t="n">
        <v>-1</v>
      </c>
      <c r="T230" s="20" t="n">
        <v>-212</v>
      </c>
      <c r="U230" s="20" t="n">
        <v>-1</v>
      </c>
      <c r="V230" s="20" t="n">
        <v>-24</v>
      </c>
    </row>
    <row r="231">
      <c r="A231" s="18" t="inlineStr">
        <is>
          <t>배당금 지급</t>
        </is>
      </c>
      <c r="D231" s="20" t="n">
        <v>-5532</v>
      </c>
      <c r="F231" s="20" t="n">
        <v>-9802</v>
      </c>
      <c r="P231" s="20" t="n">
        <v>-5115</v>
      </c>
      <c r="Q231" s="20" t="n">
        <v>-5330</v>
      </c>
      <c r="R231" s="20" t="n">
        <v>-5114</v>
      </c>
      <c r="S231" s="20" t="n">
        <v>-1074</v>
      </c>
      <c r="T231" s="20" t="n">
        <v>-4476</v>
      </c>
      <c r="U231" s="20" t="n">
        <v>-8519</v>
      </c>
      <c r="V231" s="20" t="n">
        <v>-9802</v>
      </c>
    </row>
    <row r="232">
      <c r="A232" s="18" t="inlineStr">
        <is>
          <t>비지배주주 배당금 지급</t>
        </is>
      </c>
      <c r="D232" s="20" t="n">
        <v>-484</v>
      </c>
      <c r="F232" s="20" t="n">
        <v>-937</v>
      </c>
      <c r="P232" s="20" t="n">
        <v>-634</v>
      </c>
      <c r="Q232" s="20" t="n">
        <v>-686</v>
      </c>
      <c r="R232" s="20" t="n">
        <v>-647</v>
      </c>
      <c r="S232" s="20" t="n">
        <v>-426</v>
      </c>
      <c r="T232" s="20" t="n">
        <v>-859</v>
      </c>
      <c r="U232" s="20" t="n">
        <v>-891</v>
      </c>
      <c r="V232" s="20" t="n">
        <v>-937</v>
      </c>
    </row>
    <row r="233">
      <c r="A233" s="18" t="inlineStr">
        <is>
          <t>연결범위 변경 없는 자회사 주식 취득</t>
        </is>
      </c>
      <c r="P233" s="20" t="n">
        <v>0</v>
      </c>
      <c r="Q233" s="20" t="n">
        <v>-359</v>
      </c>
      <c r="R233" s="20" t="n">
        <v>0</v>
      </c>
      <c r="S233" s="20" t="n">
        <v>-519</v>
      </c>
      <c r="T233" s="20" t="n">
        <v>-2662</v>
      </c>
      <c r="U233" s="20" t="n">
        <v>0</v>
      </c>
    </row>
    <row r="234">
      <c r="A234" s="18" t="inlineStr">
        <is>
          <t>기타</t>
        </is>
      </c>
      <c r="D234" s="20" t="n">
        <v>-429</v>
      </c>
      <c r="F234" s="20" t="n">
        <v>-536</v>
      </c>
      <c r="P234" s="20" t="n">
        <v>-332</v>
      </c>
      <c r="Q234" s="20" t="n">
        <v>-374</v>
      </c>
      <c r="R234" s="20" t="n">
        <v>-392</v>
      </c>
      <c r="S234" s="20" t="n">
        <v>-480</v>
      </c>
      <c r="T234" s="20" t="n">
        <v>-549</v>
      </c>
      <c r="U234" s="20" t="n">
        <v>-592</v>
      </c>
      <c r="V234" s="20" t="n">
        <v>-536</v>
      </c>
    </row>
    <row r="235">
      <c r="A235" s="9" t="inlineStr">
        <is>
          <t>재무활동 현금흐름</t>
        </is>
      </c>
      <c r="D235" s="12" t="n">
        <v>-9222</v>
      </c>
      <c r="F235" s="12" t="n">
        <v>-71810</v>
      </c>
      <c r="P235" s="12" t="n">
        <v>5477</v>
      </c>
      <c r="Q235" s="12" t="n">
        <v>5589</v>
      </c>
      <c r="R235" s="12" t="n">
        <v>10526</v>
      </c>
      <c r="S235" s="12" t="n">
        <v>2999</v>
      </c>
      <c r="T235" s="12" t="n">
        <v>19402</v>
      </c>
      <c r="U235" s="12" t="n">
        <v>-2668</v>
      </c>
      <c r="V235" s="12" t="n">
        <v>-71810</v>
      </c>
    </row>
    <row r="236">
      <c r="A236" s="18" t="inlineStr">
        <is>
          <t>현금성자산 환산차이</t>
        </is>
      </c>
      <c r="D236" s="20" t="n">
        <v>1696</v>
      </c>
      <c r="F236" s="20" t="n">
        <v>2150</v>
      </c>
      <c r="P236" s="20" t="n">
        <v>-173</v>
      </c>
      <c r="Q236" s="20" t="n">
        <v>-11</v>
      </c>
      <c r="R236" s="20" t="n">
        <v>-89</v>
      </c>
      <c r="S236" s="20" t="n">
        <v>17</v>
      </c>
      <c r="T236" s="20" t="n">
        <v>1936</v>
      </c>
      <c r="U236" s="20" t="n">
        <v>963</v>
      </c>
      <c r="V236" s="20" t="n">
        <v>2150</v>
      </c>
    </row>
    <row r="237">
      <c r="A237" s="18" t="inlineStr">
        <is>
          <t>현금성자산 증감</t>
        </is>
      </c>
      <c r="D237" s="20" t="n">
        <v>3125</v>
      </c>
      <c r="F237" s="20" t="n">
        <v>5775</v>
      </c>
      <c r="P237" s="20" t="n">
        <v>6131</v>
      </c>
      <c r="Q237" s="20" t="n">
        <v>-15</v>
      </c>
      <c r="R237" s="20" t="n">
        <v>12144</v>
      </c>
      <c r="S237" s="20" t="n">
        <v>7387</v>
      </c>
      <c r="T237" s="20" t="n">
        <v>-9914</v>
      </c>
      <c r="U237" s="20" t="n">
        <v>844</v>
      </c>
      <c r="V237" s="20" t="n">
        <v>5775</v>
      </c>
    </row>
    <row r="238">
      <c r="A238" s="18" t="inlineStr">
        <is>
          <t>신규 연결 현금성자산 증가</t>
        </is>
      </c>
      <c r="P238" s="20" t="n">
        <v>441</v>
      </c>
      <c r="Q238" s="20" t="n">
        <v>485</v>
      </c>
      <c r="R238" s="20" t="n">
        <v>4970</v>
      </c>
      <c r="S238" s="20" t="n">
        <v>328</v>
      </c>
      <c r="T238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8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5471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416999</v>
      </c>
      <c r="D5" s="12" t="n"/>
      <c r="E5" s="12" t="n"/>
      <c r="F5" s="12" t="n"/>
      <c r="G5" s="12" t="n">
        <v>447288</v>
      </c>
      <c r="H5" s="11" t="n">
        <v>382218</v>
      </c>
      <c r="I5" s="12" t="n">
        <v>416853</v>
      </c>
      <c r="J5" s="12" t="n">
        <v>415434</v>
      </c>
      <c r="K5" s="12" t="n">
        <v>416999</v>
      </c>
      <c r="L5" s="12" t="n">
        <v>447288</v>
      </c>
    </row>
    <row r="6">
      <c r="A6" s="18" t="inlineStr">
        <is>
          <t>현금및현금성자산</t>
        </is>
      </c>
      <c r="B6" s="10" t="n"/>
      <c r="C6" s="19" t="n">
        <v>61218</v>
      </c>
      <c r="D6" s="20" t="n"/>
      <c r="E6" s="20" t="n"/>
      <c r="F6" s="20" t="n"/>
      <c r="G6" s="20" t="n">
        <v>63072</v>
      </c>
      <c r="H6" s="19" t="n">
        <v>55644</v>
      </c>
      <c r="I6" s="20" t="n">
        <v>56488</v>
      </c>
      <c r="J6" s="20" t="n">
        <v>46008</v>
      </c>
      <c r="K6" s="20" t="n">
        <v>61218</v>
      </c>
      <c r="L6" s="20" t="n">
        <v>63072</v>
      </c>
    </row>
    <row r="7">
      <c r="A7" s="18" t="inlineStr">
        <is>
          <t>단기금융상품</t>
        </is>
      </c>
      <c r="B7" s="10" t="n"/>
      <c r="C7" s="19" t="n">
        <v>939</v>
      </c>
      <c r="D7" s="20" t="n"/>
      <c r="E7" s="20" t="n"/>
      <c r="F7" s="20" t="n"/>
      <c r="G7" s="20" t="n">
        <v>1276</v>
      </c>
      <c r="H7" s="19" t="n">
        <v>2551</v>
      </c>
      <c r="I7" s="20" t="n">
        <v>1772</v>
      </c>
      <c r="J7" s="20" t="n">
        <v>1986</v>
      </c>
      <c r="K7" s="20" t="n">
        <v>939</v>
      </c>
      <c r="L7" s="20" t="n">
        <v>1276</v>
      </c>
    </row>
    <row r="8">
      <c r="A8" s="18" t="inlineStr">
        <is>
          <t>매출채권</t>
        </is>
      </c>
      <c r="B8" s="10" t="n"/>
      <c r="C8" s="19" t="n">
        <v>147433</v>
      </c>
      <c r="D8" s="20" t="n"/>
      <c r="E8" s="20" t="n"/>
      <c r="F8" s="20" t="n"/>
      <c r="G8" s="20" t="n">
        <v>158935</v>
      </c>
      <c r="H8" s="19" t="n">
        <v>145541</v>
      </c>
      <c r="I8" s="20" t="n">
        <v>156737</v>
      </c>
      <c r="J8" s="20" t="n">
        <v>170907</v>
      </c>
      <c r="K8" s="20" t="n">
        <v>147433</v>
      </c>
      <c r="L8" s="20" t="n">
        <v>158935</v>
      </c>
    </row>
    <row r="9">
      <c r="A9" s="18" t="inlineStr">
        <is>
          <t>재고자산</t>
        </is>
      </c>
      <c r="B9" s="10" t="n"/>
      <c r="C9" s="19" t="n">
        <v>195483</v>
      </c>
      <c r="D9" s="20" t="n"/>
      <c r="E9" s="20" t="n"/>
      <c r="F9" s="20" t="n"/>
      <c r="G9" s="20" t="n">
        <v>211501</v>
      </c>
      <c r="H9" s="19" t="n">
        <v>165828</v>
      </c>
      <c r="I9" s="20" t="n">
        <v>191361</v>
      </c>
      <c r="J9" s="20" t="n">
        <v>186717</v>
      </c>
      <c r="K9" s="20" t="n">
        <v>195483</v>
      </c>
      <c r="L9" s="20" t="n">
        <v>211501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365975</v>
      </c>
      <c r="D11" s="12" t="n"/>
      <c r="E11" s="12" t="n"/>
      <c r="F11" s="12" t="n"/>
      <c r="G11" s="12" t="n">
        <v>409091</v>
      </c>
      <c r="H11" s="11" t="n">
        <v>346768</v>
      </c>
      <c r="I11" s="12" t="n">
        <v>355507</v>
      </c>
      <c r="J11" s="12" t="n">
        <v>373300</v>
      </c>
      <c r="K11" s="12" t="n">
        <v>365975</v>
      </c>
      <c r="L11" s="12" t="n">
        <v>409091</v>
      </c>
    </row>
    <row r="12">
      <c r="A12" s="18" t="inlineStr">
        <is>
          <t>유형자산</t>
        </is>
      </c>
      <c r="B12" s="10" t="n"/>
      <c r="C12" s="19" t="n">
        <v>234469</v>
      </c>
      <c r="D12" s="20" t="n"/>
      <c r="E12" s="20" t="n"/>
      <c r="F12" s="20" t="n"/>
      <c r="G12" s="20" t="n">
        <v>255302</v>
      </c>
      <c r="H12" s="19" t="n">
        <v>218085</v>
      </c>
      <c r="I12" s="20" t="n">
        <v>217056</v>
      </c>
      <c r="J12" s="20" t="n">
        <v>220030</v>
      </c>
      <c r="K12" s="20" t="n">
        <v>234469</v>
      </c>
      <c r="L12" s="20" t="n">
        <v>255302</v>
      </c>
    </row>
    <row r="13">
      <c r="A13" s="18" t="inlineStr">
        <is>
          <t>무형자산</t>
        </is>
      </c>
      <c r="B13" s="10" t="n"/>
      <c r="C13" s="19" t="n">
        <v>6559</v>
      </c>
      <c r="D13" s="20" t="n"/>
      <c r="E13" s="20" t="n"/>
      <c r="F13" s="20" t="n"/>
      <c r="G13" s="20" t="n">
        <v>8632</v>
      </c>
      <c r="H13" s="19" t="n">
        <v>3439</v>
      </c>
      <c r="I13" s="20" t="n">
        <v>4236</v>
      </c>
      <c r="J13" s="20" t="n">
        <v>4958</v>
      </c>
      <c r="K13" s="20" t="n">
        <v>6559</v>
      </c>
      <c r="L13" s="20" t="n">
        <v>8632</v>
      </c>
    </row>
    <row r="14">
      <c r="A14" s="18" t="inlineStr">
        <is>
          <t>투자부동산</t>
        </is>
      </c>
      <c r="B14" s="10" t="n"/>
      <c r="C14" s="19" t="n">
        <v>4224</v>
      </c>
      <c r="D14" s="20" t="n"/>
      <c r="E14" s="20" t="n"/>
      <c r="F14" s="20" t="n"/>
      <c r="G14" s="20" t="n">
        <v>4258</v>
      </c>
      <c r="H14" s="19" t="n">
        <v>6504</v>
      </c>
      <c r="I14" s="20" t="n">
        <v>6205</v>
      </c>
      <c r="J14" s="20" t="n">
        <v>4370</v>
      </c>
      <c r="K14" s="20" t="n">
        <v>4224</v>
      </c>
      <c r="L14" s="20" t="n">
        <v>4258</v>
      </c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782974</v>
      </c>
      <c r="D16" s="12" t="n"/>
      <c r="E16" s="12" t="n"/>
      <c r="F16" s="12" t="n"/>
      <c r="G16" s="12" t="n">
        <v>856380</v>
      </c>
      <c r="H16" s="11" t="n">
        <v>728986</v>
      </c>
      <c r="I16" s="12" t="n">
        <v>772361</v>
      </c>
      <c r="J16" s="12" t="n">
        <v>788734</v>
      </c>
      <c r="K16" s="12" t="n">
        <v>782974</v>
      </c>
      <c r="L16" s="12" t="n">
        <v>856380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182259</v>
      </c>
      <c r="D18" s="12" t="n"/>
      <c r="E18" s="12" t="n"/>
      <c r="F18" s="12" t="n"/>
      <c r="G18" s="12" t="n">
        <v>199699</v>
      </c>
      <c r="H18" s="11" t="n">
        <v>243270</v>
      </c>
      <c r="I18" s="12" t="n">
        <v>228880</v>
      </c>
      <c r="J18" s="12" t="n">
        <v>170658</v>
      </c>
      <c r="K18" s="12" t="n">
        <v>182259</v>
      </c>
      <c r="L18" s="12" t="n">
        <v>199699</v>
      </c>
    </row>
    <row r="19">
      <c r="A19" s="18" t="inlineStr">
        <is>
          <t>매입채무</t>
        </is>
      </c>
      <c r="B19" s="10" t="n"/>
      <c r="C19" s="19" t="n">
        <v>67998</v>
      </c>
      <c r="D19" s="20" t="n"/>
      <c r="E19" s="20" t="n"/>
      <c r="F19" s="20" t="n"/>
      <c r="G19" s="20" t="n">
        <v>72039</v>
      </c>
      <c r="H19" s="19" t="n">
        <v>71679</v>
      </c>
      <c r="I19" s="20" t="n">
        <v>68908</v>
      </c>
      <c r="J19" s="20" t="n">
        <v>72275</v>
      </c>
      <c r="K19" s="20" t="n">
        <v>67998</v>
      </c>
      <c r="L19" s="20" t="n">
        <v>72039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>
        <v>84562</v>
      </c>
      <c r="I20" s="20" t="n">
        <v>93309</v>
      </c>
      <c r="J20" s="20" t="n">
        <v>53098</v>
      </c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>
        <v>0</v>
      </c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131571</v>
      </c>
      <c r="D23" s="12" t="n"/>
      <c r="E23" s="12" t="n"/>
      <c r="F23" s="12" t="n"/>
      <c r="G23" s="12" t="n">
        <v>143223</v>
      </c>
      <c r="H23" s="11" t="n">
        <v>126307</v>
      </c>
      <c r="I23" s="12" t="n">
        <v>148713</v>
      </c>
      <c r="J23" s="12" t="n">
        <v>160762</v>
      </c>
      <c r="K23" s="12" t="n">
        <v>131571</v>
      </c>
      <c r="L23" s="12" t="n">
        <v>143223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>
        <v>69911</v>
      </c>
      <c r="I24" s="20" t="n">
        <v>79980</v>
      </c>
      <c r="J24" s="20" t="n">
        <v>86481</v>
      </c>
      <c r="K24" s="20" t="n"/>
      <c r="L24" s="20" t="n"/>
    </row>
    <row r="25">
      <c r="A25" s="18" t="inlineStr">
        <is>
          <t>사채</t>
        </is>
      </c>
      <c r="B25" s="10" t="n"/>
      <c r="C25" s="19" t="n">
        <v>98633</v>
      </c>
      <c r="D25" s="20" t="n"/>
      <c r="E25" s="20" t="n"/>
      <c r="F25" s="20" t="n"/>
      <c r="G25" s="20" t="n">
        <v>101863</v>
      </c>
      <c r="H25" s="19" t="n">
        <v>94822</v>
      </c>
      <c r="I25" s="20" t="n">
        <v>114728</v>
      </c>
      <c r="J25" s="20" t="n">
        <v>121390</v>
      </c>
      <c r="K25" s="20" t="n">
        <v>98633</v>
      </c>
      <c r="L25" s="20" t="n">
        <v>101863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313830</v>
      </c>
      <c r="D27" s="12" t="n"/>
      <c r="E27" s="12" t="n"/>
      <c r="F27" s="12" t="n"/>
      <c r="G27" s="12" t="n">
        <v>342922</v>
      </c>
      <c r="H27" s="11" t="n">
        <v>369577</v>
      </c>
      <c r="I27" s="12" t="n">
        <v>377593</v>
      </c>
      <c r="J27" s="12" t="n">
        <v>331420</v>
      </c>
      <c r="K27" s="12" t="n">
        <v>313830</v>
      </c>
      <c r="L27" s="12" t="n">
        <v>342922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429278</v>
      </c>
      <c r="D31" s="12" t="n"/>
      <c r="E31" s="12" t="n"/>
      <c r="F31" s="12" t="n"/>
      <c r="G31" s="12" t="n">
        <v>472565</v>
      </c>
      <c r="H31" s="11" t="n">
        <v>324494</v>
      </c>
      <c r="I31" s="12" t="n">
        <v>358122</v>
      </c>
      <c r="J31" s="12" t="n">
        <v>418562</v>
      </c>
      <c r="K31" s="12" t="n">
        <v>429278</v>
      </c>
      <c r="L31" s="12" t="n">
        <v>472565</v>
      </c>
    </row>
    <row r="32">
      <c r="A32" s="18" t="inlineStr">
        <is>
          <t>자본금</t>
        </is>
      </c>
      <c r="B32" s="10" t="n"/>
      <c r="C32" s="19" t="n">
        <v>37172</v>
      </c>
      <c r="D32" s="20" t="n"/>
      <c r="E32" s="20" t="n"/>
      <c r="F32" s="20" t="n"/>
      <c r="G32" s="20" t="n">
        <v>37172</v>
      </c>
      <c r="H32" s="19" t="n">
        <v>37172</v>
      </c>
      <c r="I32" s="20" t="n">
        <v>37172</v>
      </c>
      <c r="J32" s="20" t="n">
        <v>37172</v>
      </c>
      <c r="K32" s="20" t="n">
        <v>37172</v>
      </c>
      <c r="L32" s="20" t="n">
        <v>37172</v>
      </c>
    </row>
    <row r="33">
      <c r="A33" s="18" t="inlineStr">
        <is>
          <t>이익잉여금</t>
        </is>
      </c>
      <c r="B33" s="10" t="n"/>
      <c r="C33" s="19" t="n">
        <v>332888</v>
      </c>
      <c r="D33" s="20" t="n"/>
      <c r="E33" s="20" t="n"/>
      <c r="F33" s="20" t="n"/>
      <c r="G33" s="20" t="n">
        <v>360715</v>
      </c>
      <c r="H33" s="19" t="n">
        <v>248574</v>
      </c>
      <c r="I33" s="20" t="n">
        <v>274326</v>
      </c>
      <c r="J33" s="20" t="n">
        <v>312243</v>
      </c>
      <c r="K33" s="20" t="n">
        <v>332888</v>
      </c>
      <c r="L33" s="20" t="n">
        <v>360715</v>
      </c>
    </row>
    <row r="34">
      <c r="A34" s="18" t="inlineStr">
        <is>
          <t>비지배지분</t>
        </is>
      </c>
      <c r="B34" s="10" t="n"/>
      <c r="C34" s="19" t="n">
        <v>39865</v>
      </c>
      <c r="D34" s="20" t="n"/>
      <c r="E34" s="20" t="n"/>
      <c r="F34" s="20" t="n"/>
      <c r="G34" s="20" t="n">
        <v>40892</v>
      </c>
      <c r="H34" s="19" t="n">
        <v>34914</v>
      </c>
      <c r="I34" s="20" t="n">
        <v>36644</v>
      </c>
      <c r="J34" s="20" t="n">
        <v>38750</v>
      </c>
      <c r="K34" s="20" t="n">
        <v>39865</v>
      </c>
      <c r="L34" s="20" t="n">
        <v>40892</v>
      </c>
    </row>
    <row r="35">
      <c r="A35" s="9" t="inlineStr">
        <is>
          <t>자본총계</t>
        </is>
      </c>
      <c r="B35" s="10" t="n"/>
      <c r="C35" s="11" t="n">
        <v>469144</v>
      </c>
      <c r="D35" s="12" t="n"/>
      <c r="E35" s="12" t="n"/>
      <c r="F35" s="12" t="n"/>
      <c r="G35" s="12" t="n">
        <v>513457</v>
      </c>
      <c r="H35" s="11" t="n">
        <v>359408</v>
      </c>
      <c r="I35" s="12" t="n">
        <v>394767</v>
      </c>
      <c r="J35" s="12" t="n">
        <v>457313</v>
      </c>
      <c r="K35" s="12" t="n">
        <v>469144</v>
      </c>
      <c r="L35" s="12" t="n">
        <v>513457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53516</v>
      </c>
      <c r="D37" s="12" t="n"/>
      <c r="E37" s="12" t="n"/>
      <c r="F37" s="12" t="n"/>
      <c r="G37" s="12" t="n">
        <v>66096</v>
      </c>
      <c r="H37" s="11" t="n">
        <v>-16684</v>
      </c>
      <c r="I37" s="12" t="n">
        <v>27907</v>
      </c>
      <c r="J37" s="12" t="n">
        <v>50239</v>
      </c>
      <c r="K37" s="12" t="n">
        <v>53516</v>
      </c>
      <c r="L37" s="12" t="n">
        <v>66096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/>
      <c r="G38" s="20" t="n"/>
      <c r="H38" s="19" t="n">
        <v>19066</v>
      </c>
      <c r="I38" s="20" t="n">
        <v>21450</v>
      </c>
      <c r="J38" s="20" t="n">
        <v>27226</v>
      </c>
      <c r="K38" s="20" t="n"/>
      <c r="L38" s="20" t="n"/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10033</v>
      </c>
      <c r="D40" s="20" t="n"/>
      <c r="E40" s="20" t="n"/>
      <c r="F40" s="20" t="n"/>
      <c r="G40" s="20" t="n">
        <v>9765</v>
      </c>
      <c r="H40" s="19" t="n">
        <v>4476</v>
      </c>
      <c r="I40" s="20" t="n">
        <v>8519</v>
      </c>
      <c r="J40" s="20" t="n">
        <v>9802</v>
      </c>
      <c r="K40" s="20" t="n">
        <v>10033</v>
      </c>
      <c r="L40" s="20" t="n">
        <v>9765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IFERROR((IF(COUNT('연간'!G28:J28)&lt;4,"",SUM('연간'!G28:J28)))/(IF(COUNT('연간'!G50:J50)&lt;4,"",SUM('연간'!G50:J50))),"")</f>
        <v/>
      </c>
      <c r="D48" s="31">
        <f>IFERROR((IF(COUNT('연간'!H28:K28)&lt;4,"",SUM('연간'!H28:K28)))/(IF(COUNT('연간'!H50:K50)&lt;4,"",SUM('연간'!H50:K50))),"")</f>
        <v/>
      </c>
      <c r="E48" s="31">
        <f>IFERROR((IF(COUNT('연간'!I28:L28)&lt;4,"",SUM('연간'!I28:L28)))/(IF(COUNT('연간'!I50:L50)&lt;4,"",SUM('연간'!I50:L50))),"")</f>
        <v/>
      </c>
      <c r="F48" s="31">
        <f>IFERROR((IF(COUNT('연간'!J28:M28)&lt;4,"",SUM('연간'!J28:M28)))/(IF(COUNT('연간'!J50:M50)&lt;4,"",SUM('연간'!J50:M50))),"")</f>
        <v/>
      </c>
      <c r="G48" s="31">
        <f>IFERROR((IF(COUNT('연간'!K28:N28)&lt;4,"",SUM('연간'!K28:N28)))/(IF(COUNT('연간'!K50:N50)&lt;4,"",SUM('연간'!K50:N50))),"")</f>
        <v/>
      </c>
      <c r="H48" s="30">
        <f>IFERROR(('연간'!T28)/('연간'!T50),"")</f>
        <v/>
      </c>
      <c r="I48" s="31">
        <f>IFERROR(('연간'!U28)/('연간'!U50),"")</f>
        <v/>
      </c>
      <c r="J48" s="31">
        <f>IFERROR(('연간'!V28)/('연간'!V50),"")</f>
        <v/>
      </c>
      <c r="K48" s="31">
        <f>IFERROR(('연간'!W28)/('연간'!W50),"")</f>
        <v/>
      </c>
      <c r="L48" s="31">
        <f>IFERROR(('연간'!X28)/('연간'!X50),"")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IFERROR(IF((IF(COUNT('연간'!G56:J56)&lt;4,"",SUM('연간'!G56:J56)))&lt;=0,"적자",C28/(IF(COUNT('연간'!G56:J56)&lt;4,"",SUM('연간'!G56:J56)))),"")</f>
        <v/>
      </c>
      <c r="D49" s="46">
        <f>IFERROR(IF((IF(COUNT('연간'!H56:K56)&lt;4,"",SUM('연간'!H56:K56)))&lt;=0,"적자",D28/(IF(COUNT('연간'!H56:K56)&lt;4,"",SUM('연간'!H56:K56)))),"")</f>
        <v/>
      </c>
      <c r="E49" s="46">
        <f>IFERROR(IF((IF(COUNT('연간'!I56:L56)&lt;4,"",SUM('연간'!I56:L56)))&lt;=0,"적자",E28/(IF(COUNT('연간'!I56:L56)&lt;4,"",SUM('연간'!I56:L56)))),"")</f>
        <v/>
      </c>
      <c r="F49" s="46">
        <f>IFERROR(IF((IF(COUNT('연간'!J56:M56)&lt;4,"",SUM('연간'!J56:M56)))&lt;=0,"적자",F28/(IF(COUNT('연간'!J56:M56)&lt;4,"",SUM('연간'!J56:M56)))),"")</f>
        <v/>
      </c>
      <c r="G49" s="46">
        <f>IFERROR(IF((IF(COUNT('연간'!K56:N56)&lt;4,"",SUM('연간'!K56:N56)))&lt;=0,"적자",G28/(IF(COUNT('연간'!K56:N56)&lt;4,"",SUM('연간'!K56:N56)))),"")</f>
        <v/>
      </c>
      <c r="H49" s="45">
        <f>IFERROR(IF(('연간'!T56)&lt;=0,"적자",H28/('연간'!T56)),"")</f>
        <v/>
      </c>
      <c r="I49" s="46">
        <f>IFERROR(IF(('연간'!U56)&lt;=0,"적자",I28/('연간'!U56)),"")</f>
        <v/>
      </c>
      <c r="J49" s="46">
        <f>IFERROR(IF(('연간'!V56)&lt;=0,"적자",J28/('연간'!V56)),"")</f>
        <v/>
      </c>
      <c r="K49" s="46">
        <f>IFERROR(IF(('연간'!W56)&lt;=0,"적자",K28/('연간'!W56)),"")</f>
        <v/>
      </c>
      <c r="L49" s="46">
        <f>IFERROR(IF(('연간'!X56)&lt;=0,"적자",L28/('연간'!X56)),"")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IFERROR((IF(COUNT('연간'!G56:J56)&lt;4,"",SUM('연간'!G56:J56)))/C31,"")</f>
        <v/>
      </c>
      <c r="D51" s="36">
        <f>IFERROR((IF(COUNT('연간'!H56:K56)&lt;4,"",SUM('연간'!H56:K56)))/D31,"")</f>
        <v/>
      </c>
      <c r="E51" s="36">
        <f>IFERROR((IF(COUNT('연간'!I56:L56)&lt;4,"",SUM('연간'!I56:L56)))/E31,"")</f>
        <v/>
      </c>
      <c r="F51" s="36">
        <f>IFERROR((IF(COUNT('연간'!J56:M56)&lt;4,"",SUM('연간'!J56:M56)))/F31,"")</f>
        <v/>
      </c>
      <c r="G51" s="36">
        <f>IFERROR((IF(COUNT('연간'!K56:N56)&lt;4,"",SUM('연간'!K56:N56)))/G31,"")</f>
        <v/>
      </c>
      <c r="H51" s="35">
        <f>IFERROR(('연간'!T56)/H31,"")</f>
        <v/>
      </c>
      <c r="I51" s="36">
        <f>IFERROR(('연간'!U56)/I31,"")</f>
        <v/>
      </c>
      <c r="J51" s="36">
        <f>IFERROR(('연간'!V56)/J31,"")</f>
        <v/>
      </c>
      <c r="K51" s="36">
        <f>IFERROR(('연간'!W56)/K31,"")</f>
        <v/>
      </c>
      <c r="L51" s="36">
        <f>IFERROR(('연간'!X56)/L31,"")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IFERROR((IF(COUNT('연간'!G55:J55)&lt;4,"",SUM('연간'!G55:J55)))/C16,"")</f>
        <v/>
      </c>
      <c r="D52" s="36">
        <f>IFERROR((IF(COUNT('연간'!H55:K55)&lt;4,"",SUM('연간'!H55:K55)))/D16,"")</f>
        <v/>
      </c>
      <c r="E52" s="36">
        <f>IFERROR((IF(COUNT('연간'!I55:L55)&lt;4,"",SUM('연간'!I55:L55)))/E16,"")</f>
        <v/>
      </c>
      <c r="F52" s="36">
        <f>IFERROR((IF(COUNT('연간'!J55:M55)&lt;4,"",SUM('연간'!J55:M55)))/F16,"")</f>
        <v/>
      </c>
      <c r="G52" s="36">
        <f>IFERROR((IF(COUNT('연간'!K55:N55)&lt;4,"",SUM('연간'!K55:N55)))/G16,"")</f>
        <v/>
      </c>
      <c r="H52" s="35">
        <f>IFERROR(('연간'!T55)/H16,"")</f>
        <v/>
      </c>
      <c r="I52" s="36">
        <f>IFERROR(('연간'!U55)/I16,"")</f>
        <v/>
      </c>
      <c r="J52" s="36">
        <f>IFERROR(('연간'!V55)/J16,"")</f>
        <v/>
      </c>
      <c r="K52" s="36">
        <f>IFERROR(('연간'!W55)/K16,"")</f>
        <v/>
      </c>
      <c r="L52" s="36">
        <f>IFERROR(('연간'!X55)/L16,"")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IFERROR((IF(COUNT('연간'!G28:J28)&lt;4,"",SUM('연간'!G28:J28)))*(1-0.3)/(C35+C29),"")</f>
        <v/>
      </c>
      <c r="D53" s="36">
        <f>IFERROR((IF(COUNT('연간'!H28:K28)&lt;4,"",SUM('연간'!H28:K28)))*(1-0.3)/(D35+D29),"")</f>
        <v/>
      </c>
      <c r="E53" s="36">
        <f>IFERROR((IF(COUNT('연간'!I28:L28)&lt;4,"",SUM('연간'!I28:L28)))*(1-0.3)/(E35+E29),"")</f>
        <v/>
      </c>
      <c r="F53" s="36">
        <f>IFERROR((IF(COUNT('연간'!J28:M28)&lt;4,"",SUM('연간'!J28:M28)))*(1-0.3)/(F35+F29),"")</f>
        <v/>
      </c>
      <c r="G53" s="36">
        <f>IFERROR((IF(COUNT('연간'!K28:N28)&lt;4,"",SUM('연간'!K28:N28)))*(1-0.3)/(G35+G29),"")</f>
        <v/>
      </c>
      <c r="H53" s="35">
        <f>IFERROR(('연간'!T28)*(1-0.3)/(H35+H29),"")</f>
        <v/>
      </c>
      <c r="I53" s="36">
        <f>IFERROR(('연간'!U28)*(1-0.3)/(I35+I29),"")</f>
        <v/>
      </c>
      <c r="J53" s="36">
        <f>IFERROR(('연간'!V28)*(1-0.3)/(J35+J29),"")</f>
        <v/>
      </c>
      <c r="K53" s="36">
        <f>IFERROR(('연간'!W28)*(1-0.3)/(K35+K29),"")</f>
        <v/>
      </c>
      <c r="L53" s="36">
        <f>IFERROR(('연간'!X28)*(1-0.3)/(L35+L29),"")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IFERROR((IF(COUNT('연간'!G24:J24)&lt;4,"",SUM('연간'!G24:J24)))/(IF(COUNT('연간'!G4:J4)&lt;4,"",SUM('연간'!G4:J4))),"")</f>
        <v/>
      </c>
      <c r="D54" s="36">
        <f>IFERROR((IF(COUNT('연간'!H24:K24)&lt;4,"",SUM('연간'!H24:K24)))/(IF(COUNT('연간'!H4:K4)&lt;4,"",SUM('연간'!H4:K4))),"")</f>
        <v/>
      </c>
      <c r="E54" s="36">
        <f>IFERROR((IF(COUNT('연간'!I24:L24)&lt;4,"",SUM('연간'!I24:L24)))/(IF(COUNT('연간'!I4:L4)&lt;4,"",SUM('연간'!I4:L4))),"")</f>
        <v/>
      </c>
      <c r="F54" s="36">
        <f>IFERROR((IF(COUNT('연간'!J24:M24)&lt;4,"",SUM('연간'!J24:M24)))/(IF(COUNT('연간'!J4:M4)&lt;4,"",SUM('연간'!J4:M4))),"")</f>
        <v/>
      </c>
      <c r="G54" s="36">
        <f>IFERROR((IF(COUNT('연간'!K24:N24)&lt;4,"",SUM('연간'!K24:N24)))/(IF(COUNT('연간'!K4:N4)&lt;4,"",SUM('연간'!K4:N4))),"")</f>
        <v/>
      </c>
      <c r="H54" s="35">
        <f>IFERROR(('연간'!T24)/('연간'!T4),"")</f>
        <v/>
      </c>
      <c r="I54" s="36">
        <f>IFERROR(('연간'!U24)/('연간'!U4),"")</f>
        <v/>
      </c>
      <c r="J54" s="36">
        <f>IFERROR(('연간'!V24)/('연간'!V4),"")</f>
        <v/>
      </c>
      <c r="K54" s="36">
        <f>IFERROR(('연간'!W24)/('연간'!W4),"")</f>
        <v/>
      </c>
      <c r="L54" s="36">
        <f>IFERROR(('연간'!X24)/('연간'!X4),"")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IFERROR((IF(COUNT('연간'!G28:J28)&lt;4,"",SUM('연간'!G28:J28)))/(IF(COUNT('연간'!G4:J4)&lt;4,"",SUM('연간'!G4:J4))),"")</f>
        <v/>
      </c>
      <c r="D55" s="36">
        <f>IFERROR((IF(COUNT('연간'!H28:K28)&lt;4,"",SUM('연간'!H28:K28)))/(IF(COUNT('연간'!H4:K4)&lt;4,"",SUM('연간'!H4:K4))),"")</f>
        <v/>
      </c>
      <c r="E55" s="36">
        <f>IFERROR((IF(COUNT('연간'!I28:L28)&lt;4,"",SUM('연간'!I28:L28)))/(IF(COUNT('연간'!I4:L4)&lt;4,"",SUM('연간'!I4:L4))),"")</f>
        <v/>
      </c>
      <c r="F55" s="36">
        <f>IFERROR((IF(COUNT('연간'!J28:M28)&lt;4,"",SUM('연간'!J28:M28)))/(IF(COUNT('연간'!J4:M4)&lt;4,"",SUM('연간'!J4:M4))),"")</f>
        <v/>
      </c>
      <c r="G55" s="36">
        <f>IFERROR((IF(COUNT('연간'!K28:N28)&lt;4,"",SUM('연간'!K28:N28)))/(IF(COUNT('연간'!K4:N4)&lt;4,"",SUM('연간'!K4:N4))),"")</f>
        <v/>
      </c>
      <c r="H55" s="35">
        <f>IFERROR(('연간'!T28)/('연간'!T4),"")</f>
        <v/>
      </c>
      <c r="I55" s="36">
        <f>IFERROR(('연간'!U28)/('연간'!U4),"")</f>
        <v/>
      </c>
      <c r="J55" s="36">
        <f>IFERROR(('연간'!V28)/('연간'!V4),"")</f>
        <v/>
      </c>
      <c r="K55" s="36">
        <f>IFERROR(('연간'!W28)/('연간'!W4),"")</f>
        <v/>
      </c>
      <c r="L55" s="36">
        <f>IFERROR(('연간'!X28)/('연간'!X4),"")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IFERROR((IF(COUNT('연간'!G55:J55)&lt;4,"",SUM('연간'!G55:J55)))/(IF(COUNT('연간'!G4:J4)&lt;4,"",SUM('연간'!G4:J4))),"")</f>
        <v/>
      </c>
      <c r="D56" s="36">
        <f>IFERROR((IF(COUNT('연간'!H55:K55)&lt;4,"",SUM('연간'!H55:K55)))/(IF(COUNT('연간'!H4:K4)&lt;4,"",SUM('연간'!H4:K4))),"")</f>
        <v/>
      </c>
      <c r="E56" s="36">
        <f>IFERROR((IF(COUNT('연간'!I55:L55)&lt;4,"",SUM('연간'!I55:L55)))/(IF(COUNT('연간'!I4:L4)&lt;4,"",SUM('연간'!I4:L4))),"")</f>
        <v/>
      </c>
      <c r="F56" s="36">
        <f>IFERROR((IF(COUNT('연간'!J55:M55)&lt;4,"",SUM('연간'!J55:M55)))/(IF(COUNT('연간'!J4:M4)&lt;4,"",SUM('연간'!J4:M4))),"")</f>
        <v/>
      </c>
      <c r="G56" s="36">
        <f>IFERROR((IF(COUNT('연간'!K55:N55)&lt;4,"",SUM('연간'!K55:N55)))/(IF(COUNT('연간'!K4:N4)&lt;4,"",SUM('연간'!K4:N4))),"")</f>
        <v/>
      </c>
      <c r="H56" s="35">
        <f>IFERROR(('연간'!T55)/('연간'!T4),"")</f>
        <v/>
      </c>
      <c r="I56" s="36">
        <f>IFERROR(('연간'!U55)/('연간'!U4),"")</f>
        <v/>
      </c>
      <c r="J56" s="36">
        <f>IFERROR(('연간'!V55)/('연간'!V4),"")</f>
        <v/>
      </c>
      <c r="K56" s="36">
        <f>IFERROR(('연간'!W55)/('연간'!W4),"")</f>
        <v/>
      </c>
      <c r="L56" s="36">
        <f>IFERROR(('연간'!X55)/('연간'!X4),"")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IFERROR(C9/(IF(COUNT('연간'!G23:J23)&lt;4,"",SUM('연간'!G23:J23)))*365,"")</f>
        <v/>
      </c>
      <c r="D60" s="48">
        <f>IFERROR(D9/(IF(COUNT('연간'!H23:K23)&lt;4,"",SUM('연간'!H23:K23)))*365,"")</f>
        <v/>
      </c>
      <c r="E60" s="48">
        <f>IFERROR(E9/(IF(COUNT('연간'!I23:L23)&lt;4,"",SUM('연간'!I23:L23)))*365,"")</f>
        <v/>
      </c>
      <c r="F60" s="48">
        <f>IFERROR(F9/(IF(COUNT('연간'!J23:M23)&lt;4,"",SUM('연간'!J23:M23)))*365,"")</f>
        <v/>
      </c>
      <c r="G60" s="48">
        <f>IFERROR(G9/(IF(COUNT('연간'!K23:N23)&lt;4,"",SUM('연간'!K23:N23)))*365,"")</f>
        <v/>
      </c>
      <c r="H60" s="47">
        <f>IFERROR(H9/('연간'!T23)*365,"")</f>
        <v/>
      </c>
      <c r="I60" s="48">
        <f>IFERROR(I9/('연간'!U23)*365,"")</f>
        <v/>
      </c>
      <c r="J60" s="48">
        <f>IFERROR(J9/('연간'!V23)*365,"")</f>
        <v/>
      </c>
      <c r="K60" s="48">
        <f>IFERROR(K9/('연간'!W23)*365,"")</f>
        <v/>
      </c>
      <c r="L60" s="48">
        <f>IFERROR(L9/('연간'!X23)*365,"")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IFERROR(C19/(IF(COUNT('연간'!G23:J23)&lt;4,"",SUM('연간'!G23:J23)))*365,"")</f>
        <v/>
      </c>
      <c r="D61" s="48">
        <f>IFERROR(D19/(IF(COUNT('연간'!H23:K23)&lt;4,"",SUM('연간'!H23:K23)))*365,"")</f>
        <v/>
      </c>
      <c r="E61" s="48">
        <f>IFERROR(E19/(IF(COUNT('연간'!I23:L23)&lt;4,"",SUM('연간'!I23:L23)))*365,"")</f>
        <v/>
      </c>
      <c r="F61" s="48">
        <f>IFERROR(F19/(IF(COUNT('연간'!J23:M23)&lt;4,"",SUM('연간'!J23:M23)))*365,"")</f>
        <v/>
      </c>
      <c r="G61" s="48">
        <f>IFERROR(G19/(IF(COUNT('연간'!K23:N23)&lt;4,"",SUM('연간'!K23:N23)))*365,"")</f>
        <v/>
      </c>
      <c r="H61" s="47">
        <f>IFERROR(H19/('연간'!T23)*365,"")</f>
        <v/>
      </c>
      <c r="I61" s="48">
        <f>IFERROR(I19/('연간'!U23)*365,"")</f>
        <v/>
      </c>
      <c r="J61" s="48">
        <f>IFERROR(J19/('연간'!V23)*365,"")</f>
        <v/>
      </c>
      <c r="K61" s="48">
        <f>IFERROR(K19/('연간'!W23)*365,"")</f>
        <v/>
      </c>
      <c r="L61" s="48">
        <f>IFERROR(L19/('연간'!X23)*365,"")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IF(C37="","",IFERROR(C37/(IF(COUNT('연간'!G55:J55)&lt;4,"",SUM('연간'!G55:J55))),""))</f>
        <v/>
      </c>
      <c r="D64" s="31">
        <f>IF(D37="","",IFERROR(D37/(IF(COUNT('연간'!H55:K55)&lt;4,"",SUM('연간'!H55:K55))),""))</f>
        <v/>
      </c>
      <c r="E64" s="31">
        <f>IF(E37="","",IFERROR(E37/(IF(COUNT('연간'!I55:L55)&lt;4,"",SUM('연간'!I55:L55))),""))</f>
        <v/>
      </c>
      <c r="F64" s="31">
        <f>IF(F37="","",IFERROR(F37/(IF(COUNT('연간'!J55:M55)&lt;4,"",SUM('연간'!J55:M55))),""))</f>
        <v/>
      </c>
      <c r="G64" s="31">
        <f>IF(G37="","",IFERROR(G37/(IF(COUNT('연간'!K55:N55)&lt;4,"",SUM('연간'!K55:N55))),""))</f>
        <v/>
      </c>
      <c r="H64" s="30">
        <f>IF(H37="","",IFERROR(H37/('연간'!T55),""))</f>
        <v/>
      </c>
      <c r="I64" s="31">
        <f>IF(I37="","",IFERROR(I37/('연간'!U55),""))</f>
        <v/>
      </c>
      <c r="J64" s="31">
        <f>IF(J37="","",IFERROR(J37/('연간'!V55),""))</f>
        <v/>
      </c>
      <c r="K64" s="31">
        <f>IF(K37="","",IFERROR(K37/('연간'!W55),""))</f>
        <v/>
      </c>
      <c r="L64" s="31">
        <f>IF(L37="","",IFERROR(L37/('연간'!X55),""))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IF(C40="","",IFERROR(C40/(IF(COUNT('연간'!G56:J56)&lt;4,"",SUM('연간'!G56:J56))),""))</f>
        <v/>
      </c>
      <c r="D67" s="36">
        <f>IF(D40="","",IFERROR(D40/(IF(COUNT('연간'!H56:K56)&lt;4,"",SUM('연간'!H56:K56))),""))</f>
        <v/>
      </c>
      <c r="E67" s="36">
        <f>IF(E40="","",IFERROR(E40/(IF(COUNT('연간'!I56:L56)&lt;4,"",SUM('연간'!I56:L56))),""))</f>
        <v/>
      </c>
      <c r="F67" s="36">
        <f>IF(F40="","",IFERROR(F40/(IF(COUNT('연간'!J56:M56)&lt;4,"",SUM('연간'!J56:M56))),""))</f>
        <v/>
      </c>
      <c r="G67" s="36">
        <f>IF(G40="","",IFERROR(G40/(IF(COUNT('연간'!K56:N56)&lt;4,"",SUM('연간'!K56:N56))),""))</f>
        <v/>
      </c>
      <c r="H67" s="35">
        <f>IF(H40="","",IFERROR(H40/('연간'!T56),""))</f>
        <v/>
      </c>
      <c r="I67" s="36">
        <f>IF(I40="","",IFERROR(I40/('연간'!U56),""))</f>
        <v/>
      </c>
      <c r="J67" s="36">
        <f>IF(J40="","",IFERROR(J40/('연간'!V56),""))</f>
        <v/>
      </c>
      <c r="K67" s="36">
        <f>IF(K40="","",IFERROR(K40/('연간'!W56),""))</f>
        <v/>
      </c>
      <c r="L67" s="36">
        <f>IF(L40="","",IFERROR(L40/('연간'!X56),""))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현금및현금성자산</t>
        </is>
      </c>
      <c r="C71" s="20" t="n">
        <v>61218</v>
      </c>
      <c r="G71" s="20" t="n">
        <v>63072</v>
      </c>
      <c r="H71" s="20" t="n">
        <v>55644</v>
      </c>
      <c r="I71" s="20" t="n">
        <v>56488</v>
      </c>
      <c r="J71" s="20" t="n">
        <v>46008</v>
      </c>
      <c r="K71" s="20" t="n">
        <v>61218</v>
      </c>
      <c r="L71" s="20" t="n">
        <v>63072</v>
      </c>
    </row>
    <row r="72">
      <c r="A72" s="18" t="inlineStr">
        <is>
          <t>영업채권 및 기타채권</t>
        </is>
      </c>
      <c r="C72" s="20" t="n">
        <v>147433</v>
      </c>
      <c r="G72" s="20" t="n">
        <v>158935</v>
      </c>
      <c r="H72" s="20" t="n">
        <v>145541</v>
      </c>
      <c r="I72" s="20" t="n">
        <v>156737</v>
      </c>
      <c r="J72" s="20" t="n">
        <v>170907</v>
      </c>
      <c r="K72" s="20" t="n">
        <v>147433</v>
      </c>
      <c r="L72" s="20" t="n">
        <v>158935</v>
      </c>
    </row>
    <row r="73">
      <c r="A73" s="18" t="inlineStr">
        <is>
          <t>계약자산</t>
        </is>
      </c>
      <c r="C73" s="20" t="n">
        <v>5419</v>
      </c>
      <c r="G73" s="20" t="n">
        <v>3060</v>
      </c>
      <c r="H73" s="20" t="n">
        <v>5018</v>
      </c>
      <c r="I73" s="20" t="n">
        <v>2780</v>
      </c>
      <c r="J73" s="20" t="n">
        <v>2803</v>
      </c>
      <c r="K73" s="20" t="n">
        <v>5419</v>
      </c>
      <c r="L73" s="20" t="n">
        <v>3060</v>
      </c>
    </row>
    <row r="74">
      <c r="A74" s="18" t="inlineStr">
        <is>
          <t>재고자산</t>
        </is>
      </c>
      <c r="C74" s="20" t="n">
        <v>195483</v>
      </c>
      <c r="G74" s="20" t="n">
        <v>211501</v>
      </c>
      <c r="H74" s="20" t="n">
        <v>165828</v>
      </c>
      <c r="I74" s="20" t="n">
        <v>191361</v>
      </c>
      <c r="J74" s="20" t="n">
        <v>186717</v>
      </c>
      <c r="K74" s="20" t="n">
        <v>195483</v>
      </c>
      <c r="L74" s="20" t="n">
        <v>211501</v>
      </c>
    </row>
    <row r="75">
      <c r="A75" s="18" t="inlineStr">
        <is>
          <t>기타금융자산</t>
        </is>
      </c>
      <c r="C75" s="20" t="n">
        <v>939</v>
      </c>
      <c r="G75" s="20" t="n">
        <v>1276</v>
      </c>
      <c r="H75" s="20" t="n">
        <v>2551</v>
      </c>
      <c r="I75" s="20" t="n">
        <v>1772</v>
      </c>
      <c r="J75" s="20" t="n">
        <v>1986</v>
      </c>
      <c r="K75" s="20" t="n">
        <v>939</v>
      </c>
      <c r="L75" s="20" t="n">
        <v>1276</v>
      </c>
    </row>
    <row r="76">
      <c r="A76" s="18" t="inlineStr">
        <is>
          <t>기타유동자산</t>
        </is>
      </c>
      <c r="C76" s="20" t="n">
        <v>6505</v>
      </c>
      <c r="G76" s="20" t="n">
        <v>9442</v>
      </c>
      <c r="H76" s="20" t="n">
        <v>7634</v>
      </c>
      <c r="I76" s="20" t="n">
        <v>7713</v>
      </c>
      <c r="J76" s="20" t="n">
        <v>7011</v>
      </c>
      <c r="K76" s="20" t="n">
        <v>6505</v>
      </c>
      <c r="L76" s="20" t="n">
        <v>9442</v>
      </c>
    </row>
    <row r="77">
      <c r="A77" s="9" t="inlineStr">
        <is>
          <t>유동자산 합계</t>
        </is>
      </c>
      <c r="C77" s="12" t="n">
        <v>416999</v>
      </c>
      <c r="G77" s="12" t="n">
        <v>447288</v>
      </c>
      <c r="H77" s="12" t="n">
        <v>382218</v>
      </c>
      <c r="I77" s="12" t="n">
        <v>416853</v>
      </c>
      <c r="J77" s="12" t="n">
        <v>415434</v>
      </c>
      <c r="K77" s="12" t="n">
        <v>416999</v>
      </c>
      <c r="L77" s="12" t="n">
        <v>447288</v>
      </c>
    </row>
    <row r="78">
      <c r="A78" s="18" t="inlineStr">
        <is>
          <t>유형자산</t>
        </is>
      </c>
      <c r="C78" s="20" t="n">
        <v>234469</v>
      </c>
      <c r="G78" s="20" t="n">
        <v>255302</v>
      </c>
      <c r="H78" s="20" t="n">
        <v>218085</v>
      </c>
      <c r="I78" s="20" t="n">
        <v>217056</v>
      </c>
      <c r="J78" s="20" t="n">
        <v>220030</v>
      </c>
      <c r="K78" s="20" t="n">
        <v>234469</v>
      </c>
      <c r="L78" s="20" t="n">
        <v>255302</v>
      </c>
    </row>
    <row r="79">
      <c r="A79" s="18" t="inlineStr">
        <is>
          <t>사용권자산</t>
        </is>
      </c>
      <c r="C79" s="20" t="n">
        <v>6362</v>
      </c>
      <c r="G79" s="20" t="n">
        <v>6379</v>
      </c>
      <c r="H79" s="20" t="n">
        <v>5951</v>
      </c>
      <c r="I79" s="20" t="n">
        <v>6068</v>
      </c>
      <c r="J79" s="20" t="n">
        <v>5640</v>
      </c>
      <c r="K79" s="20" t="n">
        <v>6362</v>
      </c>
      <c r="L79" s="20" t="n">
        <v>6379</v>
      </c>
    </row>
    <row r="80">
      <c r="A80" s="18" t="inlineStr">
        <is>
          <t>무형자산</t>
        </is>
      </c>
      <c r="C80" s="20" t="n">
        <v>6559</v>
      </c>
      <c r="G80" s="20" t="n">
        <v>8632</v>
      </c>
      <c r="H80" s="20" t="n">
        <v>3439</v>
      </c>
      <c r="I80" s="20" t="n">
        <v>4236</v>
      </c>
      <c r="J80" s="20" t="n">
        <v>4958</v>
      </c>
      <c r="K80" s="20" t="n">
        <v>6559</v>
      </c>
      <c r="L80" s="20" t="n">
        <v>8632</v>
      </c>
    </row>
    <row r="81">
      <c r="A81" s="18" t="inlineStr">
        <is>
          <t>Investment Property</t>
        </is>
      </c>
      <c r="C81" s="20" t="n">
        <v>4224</v>
      </c>
      <c r="G81" s="20" t="n">
        <v>4258</v>
      </c>
      <c r="H81" s="20" t="n">
        <v>6504</v>
      </c>
      <c r="I81" s="20" t="n">
        <v>6205</v>
      </c>
      <c r="J81" s="20" t="n">
        <v>4370</v>
      </c>
      <c r="K81" s="20" t="n">
        <v>4224</v>
      </c>
      <c r="L81" s="20" t="n">
        <v>4258</v>
      </c>
    </row>
    <row r="82">
      <c r="A82" s="18" t="inlineStr">
        <is>
          <t>지분법 투자</t>
        </is>
      </c>
      <c r="C82" s="20" t="n">
        <v>21154</v>
      </c>
      <c r="G82" s="20" t="n">
        <v>22622</v>
      </c>
      <c r="H82" s="20" t="n">
        <v>18472</v>
      </c>
      <c r="I82" s="20" t="n">
        <v>19141</v>
      </c>
      <c r="J82" s="20" t="n">
        <v>20195</v>
      </c>
      <c r="K82" s="20" t="n">
        <v>21154</v>
      </c>
      <c r="L82" s="20" t="n">
        <v>22622</v>
      </c>
    </row>
    <row r="83">
      <c r="A83" s="18" t="inlineStr">
        <is>
          <t>기타금융자산</t>
        </is>
      </c>
      <c r="C83" s="20" t="n">
        <v>54454</v>
      </c>
      <c r="G83" s="20" t="n">
        <v>50781</v>
      </c>
      <c r="H83" s="20" t="n">
        <v>77732</v>
      </c>
      <c r="I83" s="20" t="n">
        <v>81513</v>
      </c>
      <c r="J83" s="20" t="n">
        <v>81699</v>
      </c>
      <c r="K83" s="20" t="n">
        <v>54454</v>
      </c>
      <c r="L83" s="20" t="n">
        <v>50781</v>
      </c>
    </row>
    <row r="84">
      <c r="A84" s="18" t="inlineStr">
        <is>
          <t>퇴직급여자산</t>
        </is>
      </c>
      <c r="C84" s="20" t="n">
        <v>34392</v>
      </c>
      <c r="G84" s="20" t="n">
        <v>56648</v>
      </c>
      <c r="H84" s="20" t="n">
        <v>12159</v>
      </c>
      <c r="I84" s="20" t="n">
        <v>16768</v>
      </c>
      <c r="J84" s="20" t="n">
        <v>30826</v>
      </c>
      <c r="K84" s="20" t="n">
        <v>34392</v>
      </c>
      <c r="L84" s="20" t="n">
        <v>56648</v>
      </c>
    </row>
    <row r="85">
      <c r="A85" s="18" t="inlineStr">
        <is>
          <t>이연법인세자산</t>
        </is>
      </c>
      <c r="C85" s="20" t="n">
        <v>3227</v>
      </c>
      <c r="G85" s="20" t="n">
        <v>3276</v>
      </c>
      <c r="H85" s="20" t="n">
        <v>3226</v>
      </c>
      <c r="I85" s="20" t="n">
        <v>3290</v>
      </c>
      <c r="J85" s="20" t="n">
        <v>3619</v>
      </c>
      <c r="K85" s="20" t="n">
        <v>3227</v>
      </c>
      <c r="L85" s="20" t="n">
        <v>3276</v>
      </c>
    </row>
    <row r="86">
      <c r="A86" s="18" t="inlineStr">
        <is>
          <t>기타비유동자산</t>
        </is>
      </c>
      <c r="C86" s="20" t="n">
        <v>1129</v>
      </c>
      <c r="G86" s="20" t="n">
        <v>1190</v>
      </c>
      <c r="H86" s="20" t="n">
        <v>1195</v>
      </c>
      <c r="I86" s="20" t="n">
        <v>1227</v>
      </c>
      <c r="J86" s="20" t="n">
        <v>1958</v>
      </c>
      <c r="K86" s="20" t="n">
        <v>1129</v>
      </c>
      <c r="L86" s="20" t="n">
        <v>1190</v>
      </c>
    </row>
    <row r="87">
      <c r="A87" s="18" t="inlineStr">
        <is>
          <t>비유동자산 합계</t>
        </is>
      </c>
      <c r="C87" s="20" t="n">
        <v>365975</v>
      </c>
      <c r="G87" s="20" t="n">
        <v>409091</v>
      </c>
      <c r="H87" s="20" t="n">
        <v>346768</v>
      </c>
      <c r="I87" s="20" t="n">
        <v>355507</v>
      </c>
      <c r="J87" s="20" t="n">
        <v>373300</v>
      </c>
      <c r="K87" s="20" t="n">
        <v>365975</v>
      </c>
      <c r="L87" s="20" t="n">
        <v>409091</v>
      </c>
    </row>
    <row r="88">
      <c r="A88" s="18" t="inlineStr">
        <is>
          <t>자산 합계</t>
        </is>
      </c>
      <c r="C88" s="20" t="n">
        <v>782974</v>
      </c>
      <c r="G88" s="20" t="n">
        <v>856380</v>
      </c>
      <c r="H88" s="20" t="n">
        <v>728986</v>
      </c>
      <c r="I88" s="20" t="n">
        <v>772361</v>
      </c>
      <c r="J88" s="20" t="n">
        <v>788734</v>
      </c>
      <c r="K88" s="20" t="n">
        <v>782974</v>
      </c>
      <c r="L88" s="20" t="n">
        <v>856380</v>
      </c>
    </row>
    <row r="89">
      <c r="A89" s="18" t="inlineStr">
        <is>
          <t>영업채무 및 기타채무</t>
        </is>
      </c>
      <c r="C89" s="20" t="n">
        <v>67998</v>
      </c>
      <c r="G89" s="20" t="n">
        <v>72039</v>
      </c>
      <c r="H89" s="20" t="n">
        <v>71679</v>
      </c>
      <c r="I89" s="20" t="n">
        <v>68908</v>
      </c>
      <c r="J89" s="20" t="n">
        <v>72275</v>
      </c>
      <c r="K89" s="20" t="n">
        <v>67998</v>
      </c>
      <c r="L89" s="20" t="n">
        <v>72039</v>
      </c>
    </row>
    <row r="90">
      <c r="A90" s="18" t="inlineStr">
        <is>
          <t>계약부채</t>
        </is>
      </c>
      <c r="C90" s="20" t="n">
        <v>2619</v>
      </c>
      <c r="G90" s="20" t="n">
        <v>15020</v>
      </c>
      <c r="H90" s="20" t="n">
        <v>1678</v>
      </c>
      <c r="I90" s="20" t="n">
        <v>2337</v>
      </c>
      <c r="J90" s="20" t="n">
        <v>1999</v>
      </c>
      <c r="K90" s="20" t="n">
        <v>2619</v>
      </c>
      <c r="L90" s="20" t="n">
        <v>15020</v>
      </c>
    </row>
    <row r="91">
      <c r="A91" s="18" t="inlineStr">
        <is>
          <t>사채 및 차입금</t>
        </is>
      </c>
      <c r="C91" s="20" t="n">
        <v>72203</v>
      </c>
      <c r="G91" s="20" t="n">
        <v>71751</v>
      </c>
      <c r="H91" s="20" t="n">
        <v>131562</v>
      </c>
      <c r="I91" s="20" t="n">
        <v>119443</v>
      </c>
      <c r="J91" s="20" t="n">
        <v>49698</v>
      </c>
      <c r="K91" s="20" t="n">
        <v>72203</v>
      </c>
      <c r="L91" s="20" t="n">
        <v>71751</v>
      </c>
    </row>
    <row r="92">
      <c r="A92" s="18" t="inlineStr">
        <is>
          <t>리스부채</t>
        </is>
      </c>
      <c r="C92" s="20" t="n">
        <v>1933</v>
      </c>
      <c r="G92" s="20" t="n">
        <v>2186</v>
      </c>
      <c r="H92" s="20" t="n">
        <v>1540</v>
      </c>
      <c r="I92" s="20" t="n">
        <v>1761</v>
      </c>
      <c r="J92" s="20" t="n">
        <v>1681</v>
      </c>
      <c r="K92" s="20" t="n">
        <v>1933</v>
      </c>
      <c r="L92" s="20" t="n">
        <v>2186</v>
      </c>
    </row>
    <row r="93">
      <c r="A93" s="18" t="inlineStr">
        <is>
          <t>기타금융부채</t>
        </is>
      </c>
      <c r="C93" s="20" t="n">
        <v>1716</v>
      </c>
      <c r="G93" s="20" t="n">
        <v>1900</v>
      </c>
      <c r="H93" s="20" t="n">
        <v>2585</v>
      </c>
      <c r="I93" s="20" t="n">
        <v>1864</v>
      </c>
      <c r="J93" s="20" t="n">
        <v>1940</v>
      </c>
      <c r="K93" s="20" t="n">
        <v>1716</v>
      </c>
      <c r="L93" s="20" t="n">
        <v>1900</v>
      </c>
    </row>
    <row r="94">
      <c r="A94" s="18" t="inlineStr">
        <is>
          <t>미지급법인세</t>
        </is>
      </c>
      <c r="C94" s="20" t="n">
        <v>7936</v>
      </c>
      <c r="G94" s="20" t="n">
        <v>6192</v>
      </c>
      <c r="H94" s="20" t="n">
        <v>9826</v>
      </c>
      <c r="I94" s="20" t="n">
        <v>6062</v>
      </c>
      <c r="J94" s="20" t="n">
        <v>15237</v>
      </c>
      <c r="K94" s="20" t="n">
        <v>7936</v>
      </c>
      <c r="L94" s="20" t="n">
        <v>6192</v>
      </c>
    </row>
    <row r="95">
      <c r="A95" s="18" t="inlineStr">
        <is>
          <t>충당금</t>
        </is>
      </c>
      <c r="C95" s="20" t="n">
        <v>554</v>
      </c>
      <c r="G95" s="20" t="n">
        <v>873</v>
      </c>
      <c r="H95" s="20" t="n">
        <v>666</v>
      </c>
      <c r="I95" s="20" t="n">
        <v>293</v>
      </c>
      <c r="J95" s="20" t="n">
        <v>368</v>
      </c>
      <c r="K95" s="20" t="n">
        <v>554</v>
      </c>
      <c r="L95" s="20" t="n">
        <v>873</v>
      </c>
    </row>
    <row r="96">
      <c r="A96" s="18" t="inlineStr">
        <is>
          <t>기타유동부채</t>
        </is>
      </c>
      <c r="C96" s="20" t="n">
        <v>27296</v>
      </c>
      <c r="G96" s="20" t="n">
        <v>29735</v>
      </c>
      <c r="H96" s="20" t="n">
        <v>23730</v>
      </c>
      <c r="I96" s="20" t="n">
        <v>28209</v>
      </c>
      <c r="J96" s="20" t="n">
        <v>27456</v>
      </c>
      <c r="K96" s="20" t="n">
        <v>27296</v>
      </c>
      <c r="L96" s="20" t="n">
        <v>29735</v>
      </c>
    </row>
    <row r="97">
      <c r="A97" s="18" t="inlineStr">
        <is>
          <t>유동부채 합계</t>
        </is>
      </c>
      <c r="C97" s="20" t="n">
        <v>182259</v>
      </c>
      <c r="G97" s="20" t="n">
        <v>199699</v>
      </c>
      <c r="H97" s="20" t="n">
        <v>243270</v>
      </c>
      <c r="I97" s="20" t="n">
        <v>228880</v>
      </c>
      <c r="J97" s="20" t="n">
        <v>170658</v>
      </c>
      <c r="K97" s="20" t="n">
        <v>182259</v>
      </c>
      <c r="L97" s="20" t="n">
        <v>199699</v>
      </c>
    </row>
    <row r="98">
      <c r="A98" s="18" t="inlineStr">
        <is>
          <t>사채 및 차입금</t>
        </is>
      </c>
      <c r="C98" s="20" t="n">
        <v>98633</v>
      </c>
      <c r="G98" s="20" t="n">
        <v>101863</v>
      </c>
      <c r="H98" s="20" t="n">
        <v>94822</v>
      </c>
      <c r="I98" s="20" t="n">
        <v>114728</v>
      </c>
      <c r="J98" s="20" t="n">
        <v>121390</v>
      </c>
      <c r="K98" s="20" t="n">
        <v>98633</v>
      </c>
      <c r="L98" s="20" t="n">
        <v>101863</v>
      </c>
    </row>
    <row r="99">
      <c r="A99" s="18" t="inlineStr">
        <is>
          <t>리스부채</t>
        </is>
      </c>
      <c r="C99" s="20" t="n">
        <v>4077</v>
      </c>
      <c r="G99" s="20" t="n">
        <v>5960</v>
      </c>
      <c r="H99" s="20" t="n">
        <v>3782</v>
      </c>
      <c r="I99" s="20" t="n">
        <v>3720</v>
      </c>
      <c r="J99" s="20" t="n">
        <v>3464</v>
      </c>
      <c r="K99" s="20" t="n">
        <v>4077</v>
      </c>
      <c r="L99" s="20" t="n">
        <v>5960</v>
      </c>
    </row>
    <row r="100">
      <c r="A100" s="18" t="inlineStr">
        <is>
          <t>기타금융부채</t>
        </is>
      </c>
      <c r="C100" s="20" t="n">
        <v>747</v>
      </c>
      <c r="G100" s="20" t="n">
        <v>648</v>
      </c>
      <c r="H100" s="20" t="n">
        <v>622</v>
      </c>
      <c r="I100" s="20" t="n">
        <v>599</v>
      </c>
      <c r="J100" s="20" t="n">
        <v>810</v>
      </c>
      <c r="K100" s="20" t="n">
        <v>747</v>
      </c>
      <c r="L100" s="20" t="n">
        <v>648</v>
      </c>
    </row>
    <row r="101">
      <c r="A101" s="18" t="inlineStr">
        <is>
          <t>퇴직급여부채</t>
        </is>
      </c>
      <c r="C101" s="20" t="n">
        <v>12103</v>
      </c>
      <c r="G101" s="20" t="n">
        <v>13559</v>
      </c>
      <c r="H101" s="20" t="n">
        <v>14037</v>
      </c>
      <c r="I101" s="20" t="n">
        <v>13424</v>
      </c>
      <c r="J101" s="20" t="n">
        <v>13393</v>
      </c>
      <c r="K101" s="20" t="n">
        <v>12103</v>
      </c>
      <c r="L101" s="20" t="n">
        <v>13559</v>
      </c>
    </row>
    <row r="102">
      <c r="A102" s="18" t="inlineStr">
        <is>
          <t>충당금</t>
        </is>
      </c>
      <c r="C102" s="20" t="n">
        <v>3411</v>
      </c>
      <c r="G102" s="20" t="n">
        <v>5426</v>
      </c>
      <c r="H102" s="20" t="n">
        <v>4057</v>
      </c>
      <c r="I102" s="20" t="n">
        <v>3782</v>
      </c>
      <c r="J102" s="20" t="n">
        <v>3399</v>
      </c>
      <c r="K102" s="20" t="n">
        <v>3411</v>
      </c>
      <c r="L102" s="20" t="n">
        <v>5426</v>
      </c>
    </row>
    <row r="103">
      <c r="A103" s="18" t="inlineStr">
        <is>
          <t>이연법인세부채</t>
        </is>
      </c>
      <c r="C103" s="20" t="n">
        <v>11355</v>
      </c>
      <c r="G103" s="20" t="n">
        <v>13661</v>
      </c>
      <c r="H103" s="20" t="n">
        <v>7943</v>
      </c>
      <c r="I103" s="20" t="n">
        <v>11342</v>
      </c>
      <c r="J103" s="20" t="n">
        <v>17102</v>
      </c>
      <c r="K103" s="20" t="n">
        <v>11355</v>
      </c>
      <c r="L103" s="20" t="n">
        <v>13661</v>
      </c>
    </row>
    <row r="104">
      <c r="A104" s="18" t="inlineStr">
        <is>
          <t>기타비유동부채</t>
        </is>
      </c>
      <c r="C104" s="20" t="n">
        <v>1242</v>
      </c>
      <c r="G104" s="20" t="n">
        <v>2102</v>
      </c>
      <c r="H104" s="20" t="n">
        <v>1042</v>
      </c>
      <c r="I104" s="20" t="n">
        <v>1116</v>
      </c>
      <c r="J104" s="20" t="n">
        <v>1201</v>
      </c>
      <c r="K104" s="20" t="n">
        <v>1242</v>
      </c>
      <c r="L104" s="20" t="n">
        <v>2102</v>
      </c>
    </row>
    <row r="105">
      <c r="A105" s="18" t="inlineStr">
        <is>
          <t>비유동부채 합계</t>
        </is>
      </c>
      <c r="C105" s="20" t="n">
        <v>131571</v>
      </c>
      <c r="G105" s="20" t="n">
        <v>143223</v>
      </c>
      <c r="H105" s="20" t="n">
        <v>126307</v>
      </c>
      <c r="I105" s="20" t="n">
        <v>148713</v>
      </c>
      <c r="J105" s="20" t="n">
        <v>160762</v>
      </c>
      <c r="K105" s="20" t="n">
        <v>131571</v>
      </c>
      <c r="L105" s="20" t="n">
        <v>143223</v>
      </c>
    </row>
    <row r="106">
      <c r="A106" s="18" t="inlineStr">
        <is>
          <t>부채 합계</t>
        </is>
      </c>
      <c r="C106" s="20" t="n">
        <v>313830</v>
      </c>
      <c r="G106" s="20" t="n">
        <v>342922</v>
      </c>
      <c r="H106" s="20" t="n">
        <v>369577</v>
      </c>
      <c r="I106" s="20" t="n">
        <v>377593</v>
      </c>
      <c r="J106" s="20" t="n">
        <v>331420</v>
      </c>
      <c r="K106" s="20" t="n">
        <v>313830</v>
      </c>
      <c r="L106" s="20" t="n">
        <v>342922</v>
      </c>
    </row>
    <row r="107">
      <c r="A107" s="18" t="inlineStr">
        <is>
          <t>자본금</t>
        </is>
      </c>
      <c r="C107" s="20" t="n">
        <v>37172</v>
      </c>
      <c r="G107" s="20" t="n">
        <v>37172</v>
      </c>
      <c r="H107" s="20" t="n">
        <v>37172</v>
      </c>
      <c r="I107" s="20" t="n">
        <v>37172</v>
      </c>
      <c r="J107" s="20" t="n">
        <v>37172</v>
      </c>
      <c r="K107" s="20" t="n">
        <v>37172</v>
      </c>
      <c r="L107" s="20" t="n">
        <v>37172</v>
      </c>
    </row>
    <row r="108">
      <c r="A108" s="18" t="inlineStr">
        <is>
          <t>자본잉여금</t>
        </is>
      </c>
      <c r="C108" s="20" t="n">
        <v>31438</v>
      </c>
      <c r="G108" s="20" t="n">
        <v>31882</v>
      </c>
      <c r="H108" s="20" t="n">
        <v>31344</v>
      </c>
      <c r="I108" s="20" t="n">
        <v>31346</v>
      </c>
      <c r="J108" s="20" t="n">
        <v>31411</v>
      </c>
      <c r="K108" s="20" t="n">
        <v>31438</v>
      </c>
      <c r="L108" s="20" t="n">
        <v>31882</v>
      </c>
    </row>
    <row r="109">
      <c r="A109" s="18" t="inlineStr">
        <is>
          <t>이익잉여금</t>
        </is>
      </c>
      <c r="C109" s="20" t="n">
        <v>332888</v>
      </c>
      <c r="G109" s="20" t="n">
        <v>360715</v>
      </c>
      <c r="H109" s="20" t="n">
        <v>248574</v>
      </c>
      <c r="I109" s="20" t="n">
        <v>274326</v>
      </c>
      <c r="J109" s="20" t="n">
        <v>312243</v>
      </c>
      <c r="K109" s="20" t="n">
        <v>332888</v>
      </c>
      <c r="L109" s="20" t="n">
        <v>360715</v>
      </c>
    </row>
    <row r="110">
      <c r="A110" s="18" t="inlineStr">
        <is>
          <t>자기주식</t>
        </is>
      </c>
      <c r="C110" s="20" t="n">
        <v>-12078</v>
      </c>
      <c r="G110" s="20" t="n">
        <v>-18610</v>
      </c>
      <c r="H110" s="20" t="n">
        <v>-3663</v>
      </c>
      <c r="I110" s="20" t="n">
        <v>-3668</v>
      </c>
      <c r="J110" s="20" t="n">
        <v>-3674</v>
      </c>
      <c r="K110" s="20" t="n">
        <v>-12078</v>
      </c>
      <c r="L110" s="20" t="n">
        <v>-18610</v>
      </c>
    </row>
    <row r="111">
      <c r="A111" s="18" t="inlineStr">
        <is>
          <t>기타자본구성요소</t>
        </is>
      </c>
      <c r="C111" s="20" t="n">
        <v>39857</v>
      </c>
      <c r="G111" s="20" t="n">
        <v>61405</v>
      </c>
      <c r="H111" s="20" t="n">
        <v>11067</v>
      </c>
      <c r="I111" s="20" t="n">
        <v>18944</v>
      </c>
      <c r="J111" s="20" t="n">
        <v>41410</v>
      </c>
      <c r="K111" s="20" t="n">
        <v>39857</v>
      </c>
      <c r="L111" s="20" t="n">
        <v>61405</v>
      </c>
    </row>
    <row r="112">
      <c r="A112" s="18" t="inlineStr">
        <is>
          <t>지배기업 소유주 귀속 지분 합계</t>
        </is>
      </c>
      <c r="C112" s="20" t="n">
        <v>429278</v>
      </c>
      <c r="G112" s="20" t="n">
        <v>472565</v>
      </c>
      <c r="H112" s="20" t="n">
        <v>324494</v>
      </c>
      <c r="I112" s="20" t="n">
        <v>358122</v>
      </c>
      <c r="J112" s="20" t="n">
        <v>418562</v>
      </c>
      <c r="K112" s="20" t="n">
        <v>429278</v>
      </c>
      <c r="L112" s="20" t="n">
        <v>472565</v>
      </c>
    </row>
    <row r="113">
      <c r="A113" s="18" t="inlineStr">
        <is>
          <t>비지배지분</t>
        </is>
      </c>
      <c r="C113" s="20" t="n">
        <v>39865</v>
      </c>
      <c r="G113" s="20" t="n">
        <v>40892</v>
      </c>
      <c r="H113" s="20" t="n">
        <v>34914</v>
      </c>
      <c r="I113" s="20" t="n">
        <v>36644</v>
      </c>
      <c r="J113" s="20" t="n">
        <v>38750</v>
      </c>
      <c r="K113" s="20" t="n">
        <v>39865</v>
      </c>
      <c r="L113" s="20" t="n">
        <v>40892</v>
      </c>
    </row>
    <row r="114">
      <c r="A114" s="18" t="inlineStr">
        <is>
          <t>자본 합계</t>
        </is>
      </c>
      <c r="C114" s="20" t="n">
        <v>469144</v>
      </c>
      <c r="G114" s="20" t="n">
        <v>513457</v>
      </c>
      <c r="H114" s="20" t="n">
        <v>359408</v>
      </c>
      <c r="I114" s="20" t="n">
        <v>394767</v>
      </c>
      <c r="J114" s="20" t="n">
        <v>457313</v>
      </c>
      <c r="K114" s="20" t="n">
        <v>469144</v>
      </c>
      <c r="L114" s="20" t="n">
        <v>513457</v>
      </c>
    </row>
    <row r="115">
      <c r="A115" s="18" t="inlineStr">
        <is>
          <t>부채및자본 합계</t>
        </is>
      </c>
      <c r="C115" s="20" t="n">
        <v>782974</v>
      </c>
      <c r="G115" s="20" t="n">
        <v>856380</v>
      </c>
      <c r="H115" s="20" t="n">
        <v>728986</v>
      </c>
      <c r="I115" s="20" t="n">
        <v>772361</v>
      </c>
      <c r="J115" s="20" t="n">
        <v>788734</v>
      </c>
      <c r="K115" s="20" t="n">
        <v>782974</v>
      </c>
      <c r="L115" s="20" t="n">
        <v>856380</v>
      </c>
    </row>
    <row r="116">
      <c r="A116" s="18" t="inlineStr">
        <is>
          <t>현금 및 예금</t>
        </is>
      </c>
      <c r="H116" s="20" t="n">
        <v>58142</v>
      </c>
      <c r="I116" s="20" t="n">
        <v>58224</v>
      </c>
      <c r="J116" s="20" t="n">
        <v>64206</v>
      </c>
    </row>
    <row r="117">
      <c r="A117" s="18" t="inlineStr">
        <is>
          <t>받을어음·매출채권</t>
        </is>
      </c>
      <c r="H117" s="20" t="n">
        <v>0</v>
      </c>
    </row>
    <row r="118">
      <c r="A118" s="18" t="inlineStr">
        <is>
          <t>받을어음·매출채권·계약자산</t>
        </is>
      </c>
      <c r="H118" s="20" t="n">
        <v>125502</v>
      </c>
      <c r="I118" s="20" t="n">
        <v>127982</v>
      </c>
      <c r="J118" s="20" t="n">
        <v>127172</v>
      </c>
    </row>
    <row r="119">
      <c r="A119" s="18" t="inlineStr">
        <is>
          <t>전자기록채권</t>
        </is>
      </c>
      <c r="H119" s="20" t="n">
        <v>24345</v>
      </c>
      <c r="I119" s="20" t="n">
        <v>30671</v>
      </c>
      <c r="J119" s="20" t="n">
        <v>28352</v>
      </c>
    </row>
    <row r="120">
      <c r="A120" s="18" t="inlineStr">
        <is>
          <t>재고자산</t>
        </is>
      </c>
      <c r="H120" s="20" t="n">
        <v>174624</v>
      </c>
      <c r="I120" s="20" t="n">
        <v>201523</v>
      </c>
      <c r="J120" s="20" t="n">
        <v>198040</v>
      </c>
    </row>
    <row r="121">
      <c r="A121" s="18" t="inlineStr">
        <is>
          <t>기타</t>
        </is>
      </c>
      <c r="H121" s="20" t="n">
        <v>9150</v>
      </c>
      <c r="I121" s="20" t="n">
        <v>9767</v>
      </c>
      <c r="J121" s="20" t="n">
        <v>7737</v>
      </c>
    </row>
    <row r="122">
      <c r="A122" s="18" t="inlineStr">
        <is>
          <t>대손충당금</t>
        </is>
      </c>
      <c r="H122" s="20" t="n">
        <v>-78</v>
      </c>
      <c r="I122" s="20" t="n">
        <v>-50</v>
      </c>
      <c r="J122" s="20" t="n">
        <v>-54</v>
      </c>
    </row>
    <row r="123">
      <c r="A123" s="9" t="inlineStr">
        <is>
          <t>유동자산 합계</t>
        </is>
      </c>
      <c r="H123" s="12" t="n">
        <v>391686</v>
      </c>
      <c r="I123" s="12" t="n">
        <v>428118</v>
      </c>
      <c r="J123" s="12" t="n">
        <v>425455</v>
      </c>
    </row>
    <row r="124">
      <c r="A124" s="18" t="inlineStr">
        <is>
          <t>건물·구축물</t>
        </is>
      </c>
      <c r="H124" s="20" t="n">
        <v>212069</v>
      </c>
      <c r="I124" s="20" t="n">
        <v>215590</v>
      </c>
      <c r="J124" s="20" t="n">
        <v>213674</v>
      </c>
    </row>
    <row r="125">
      <c r="A125" s="18" t="inlineStr">
        <is>
          <t>감가상각누계액</t>
        </is>
      </c>
      <c r="H125" s="20" t="n">
        <v>-133236</v>
      </c>
      <c r="I125" s="20" t="n">
        <v>-137312</v>
      </c>
      <c r="J125" s="20" t="n">
        <v>-135519</v>
      </c>
    </row>
    <row r="126">
      <c r="A126" s="18" t="inlineStr">
        <is>
          <t>건물·구축물(순액)</t>
        </is>
      </c>
      <c r="H126" s="20" t="n">
        <v>78832</v>
      </c>
      <c r="I126" s="20" t="n">
        <v>78277</v>
      </c>
      <c r="J126" s="20" t="n">
        <v>78155</v>
      </c>
    </row>
    <row r="127">
      <c r="A127" s="18" t="inlineStr">
        <is>
          <t>기계장치·운반구</t>
        </is>
      </c>
      <c r="H127" s="20" t="n">
        <v>507661</v>
      </c>
      <c r="I127" s="20" t="n">
        <v>514790</v>
      </c>
      <c r="J127" s="20" t="n">
        <v>525903</v>
      </c>
    </row>
    <row r="128">
      <c r="A128" s="18" t="inlineStr">
        <is>
          <t>감가상각누계액</t>
        </is>
      </c>
      <c r="H128" s="20" t="n">
        <v>-412429</v>
      </c>
      <c r="I128" s="20" t="n">
        <v>-425210</v>
      </c>
      <c r="J128" s="20" t="n">
        <v>-438489</v>
      </c>
    </row>
    <row r="129">
      <c r="A129" s="18" t="inlineStr">
        <is>
          <t>기계장치·운반구(순액)</t>
        </is>
      </c>
      <c r="H129" s="20" t="n">
        <v>95232</v>
      </c>
      <c r="I129" s="20" t="n">
        <v>89579</v>
      </c>
      <c r="J129" s="20" t="n">
        <v>87414</v>
      </c>
    </row>
    <row r="130">
      <c r="A130" s="18" t="inlineStr">
        <is>
          <t>토지</t>
        </is>
      </c>
      <c r="H130" s="20" t="n">
        <v>36358</v>
      </c>
      <c r="I130" s="20" t="n">
        <v>36389</v>
      </c>
      <c r="J130" s="20" t="n">
        <v>36685</v>
      </c>
    </row>
    <row r="131">
      <c r="A131" s="18" t="inlineStr">
        <is>
          <t>건설중인자산</t>
        </is>
      </c>
      <c r="H131" s="20" t="n">
        <v>4944</v>
      </c>
      <c r="I131" s="20" t="n">
        <v>7438</v>
      </c>
      <c r="J131" s="20" t="n">
        <v>8304</v>
      </c>
    </row>
    <row r="132">
      <c r="A132" s="18" t="inlineStr">
        <is>
          <t>기타</t>
        </is>
      </c>
      <c r="H132" s="20" t="n">
        <v>33396</v>
      </c>
      <c r="I132" s="20" t="n">
        <v>34833</v>
      </c>
      <c r="J132" s="20" t="n">
        <v>35924</v>
      </c>
    </row>
    <row r="133">
      <c r="A133" s="18" t="inlineStr">
        <is>
          <t>감가상각누계액</t>
        </is>
      </c>
      <c r="H133" s="20" t="n">
        <v>-25062</v>
      </c>
      <c r="I133" s="20" t="n">
        <v>-26269</v>
      </c>
      <c r="J133" s="20" t="n">
        <v>-27370</v>
      </c>
    </row>
    <row r="134">
      <c r="A134" s="18" t="inlineStr">
        <is>
          <t>기타(순액)</t>
        </is>
      </c>
      <c r="H134" s="20" t="n">
        <v>8333</v>
      </c>
      <c r="I134" s="20" t="n">
        <v>8563</v>
      </c>
      <c r="J134" s="20" t="n">
        <v>8553</v>
      </c>
    </row>
    <row r="135">
      <c r="A135" s="18" t="inlineStr">
        <is>
          <t>유형자산 합계</t>
        </is>
      </c>
      <c r="H135" s="20" t="n">
        <v>223701</v>
      </c>
      <c r="I135" s="20" t="n">
        <v>220248</v>
      </c>
      <c r="J135" s="20" t="n">
        <v>219113</v>
      </c>
    </row>
    <row r="136">
      <c r="A136" s="18" t="inlineStr">
        <is>
          <t>무형자산</t>
        </is>
      </c>
      <c r="H136" s="20" t="n">
        <v>3776</v>
      </c>
      <c r="I136" s="20" t="n">
        <v>4530</v>
      </c>
      <c r="J136" s="20" t="n">
        <v>5013</v>
      </c>
    </row>
    <row r="137">
      <c r="A137" s="18" t="inlineStr">
        <is>
          <t>투자유가증권</t>
        </is>
      </c>
      <c r="H137" s="20" t="n">
        <v>86456</v>
      </c>
      <c r="I137" s="20" t="n">
        <v>90309</v>
      </c>
      <c r="J137" s="20" t="n">
        <v>89053</v>
      </c>
    </row>
    <row r="138">
      <c r="A138" s="18" t="inlineStr">
        <is>
          <t>이연법인세자산</t>
        </is>
      </c>
      <c r="H138" s="20" t="n">
        <v>3126</v>
      </c>
      <c r="I138" s="20" t="n">
        <v>1889</v>
      </c>
      <c r="J138" s="20" t="n">
        <v>2832</v>
      </c>
    </row>
    <row r="139">
      <c r="A139" s="18" t="inlineStr">
        <is>
          <t>퇴직급여자산</t>
        </is>
      </c>
      <c r="H139" s="20" t="n">
        <v>15840</v>
      </c>
      <c r="I139" s="20" t="n">
        <v>25078</v>
      </c>
      <c r="J139" s="20" t="n">
        <v>41461</v>
      </c>
    </row>
    <row r="140">
      <c r="A140" s="18" t="inlineStr">
        <is>
          <t>기타</t>
        </is>
      </c>
      <c r="H140" s="20" t="n">
        <v>3673</v>
      </c>
      <c r="I140" s="20" t="n">
        <v>3732</v>
      </c>
      <c r="J140" s="20" t="n">
        <v>4638</v>
      </c>
    </row>
    <row r="141">
      <c r="A141" s="18" t="inlineStr">
        <is>
          <t>대손충당금</t>
        </is>
      </c>
      <c r="H141" s="20" t="n">
        <v>-73</v>
      </c>
      <c r="I141" s="20" t="n">
        <v>-55</v>
      </c>
      <c r="J141" s="20" t="n">
        <v>-49</v>
      </c>
    </row>
    <row r="142">
      <c r="A142" s="18" t="inlineStr">
        <is>
          <t>투자 및 기타자산 합계</t>
        </is>
      </c>
      <c r="H142" s="20" t="n">
        <v>109022</v>
      </c>
      <c r="I142" s="20" t="n">
        <v>120954</v>
      </c>
      <c r="J142" s="20" t="n">
        <v>137935</v>
      </c>
    </row>
    <row r="143">
      <c r="A143" s="9" t="inlineStr">
        <is>
          <t>비유동자산 합계</t>
        </is>
      </c>
      <c r="H143" s="12" t="n">
        <v>336500</v>
      </c>
      <c r="I143" s="12" t="n">
        <v>345733</v>
      </c>
      <c r="J143" s="12" t="n">
        <v>362062</v>
      </c>
    </row>
    <row r="144">
      <c r="A144" s="9" t="inlineStr">
        <is>
          <t>자산 합계</t>
        </is>
      </c>
      <c r="H144" s="12" t="n">
        <v>728187</v>
      </c>
      <c r="I144" s="12" t="n">
        <v>773851</v>
      </c>
      <c r="J144" s="12" t="n">
        <v>787517</v>
      </c>
    </row>
    <row r="145">
      <c r="A145" s="18" t="inlineStr">
        <is>
          <t>지급어음·매입채무</t>
        </is>
      </c>
      <c r="H145" s="20" t="n">
        <v>53847</v>
      </c>
      <c r="I145" s="20" t="n">
        <v>48656</v>
      </c>
      <c r="J145" s="20" t="n">
        <v>44078</v>
      </c>
    </row>
    <row r="146">
      <c r="A146" s="18" t="inlineStr">
        <is>
          <t>전자기록채무</t>
        </is>
      </c>
      <c r="H146" s="20" t="n">
        <v>11321</v>
      </c>
      <c r="I146" s="20" t="n">
        <v>11424</v>
      </c>
      <c r="J146" s="20" t="n">
        <v>11015</v>
      </c>
    </row>
    <row r="147">
      <c r="A147" s="18" t="inlineStr">
        <is>
          <t>단기차입금</t>
        </is>
      </c>
      <c r="H147" s="20" t="n">
        <v>84562</v>
      </c>
      <c r="I147" s="20" t="n">
        <v>93309</v>
      </c>
      <c r="J147" s="20" t="n">
        <v>53098</v>
      </c>
    </row>
    <row r="148">
      <c r="A148" s="18" t="inlineStr">
        <is>
          <t>기업어음(CP)</t>
        </is>
      </c>
      <c r="H148" s="20" t="n">
        <v>47000</v>
      </c>
      <c r="I148" s="20" t="n">
        <v>26000</v>
      </c>
      <c r="J148" s="20" t="n">
        <v>0</v>
      </c>
    </row>
    <row r="149">
      <c r="A149" s="18" t="inlineStr">
        <is>
          <t>1년 내 상환 예정 사채</t>
        </is>
      </c>
      <c r="H149" s="20" t="n">
        <v>0</v>
      </c>
    </row>
    <row r="150">
      <c r="A150" s="18" t="inlineStr">
        <is>
          <t>미지급법인세</t>
        </is>
      </c>
      <c r="H150" s="20" t="n">
        <v>10157</v>
      </c>
      <c r="I150" s="20" t="n">
        <v>6390</v>
      </c>
      <c r="J150" s="20" t="n">
        <v>15628</v>
      </c>
    </row>
    <row r="151">
      <c r="A151" s="18" t="inlineStr">
        <is>
          <t>상여충당금</t>
        </is>
      </c>
      <c r="H151" s="20" t="n">
        <v>7789</v>
      </c>
      <c r="I151" s="20" t="n">
        <v>8051</v>
      </c>
      <c r="J151" s="20" t="n">
        <v>8210</v>
      </c>
    </row>
    <row r="152">
      <c r="A152" s="18" t="inlineStr">
        <is>
          <t>기타 충당금</t>
        </is>
      </c>
      <c r="H152" s="20" t="n">
        <v>528</v>
      </c>
      <c r="I152" s="20" t="n">
        <v>491</v>
      </c>
    </row>
    <row r="153">
      <c r="A153" s="18" t="inlineStr">
        <is>
          <t>임원 상여충당금</t>
        </is>
      </c>
      <c r="H153" s="20" t="n">
        <v>188</v>
      </c>
      <c r="I153" s="20" t="n">
        <v>198</v>
      </c>
      <c r="J153" s="20" t="n">
        <v>284</v>
      </c>
    </row>
    <row r="154">
      <c r="A154" s="18" t="inlineStr">
        <is>
          <t>주식급여 충당금</t>
        </is>
      </c>
      <c r="I154" s="20" t="n">
        <v>0</v>
      </c>
      <c r="J154" s="20" t="n">
        <v>115</v>
      </c>
    </row>
    <row r="155">
      <c r="A155" s="18" t="inlineStr">
        <is>
          <t>환경대책 충당금</t>
        </is>
      </c>
      <c r="H155" s="20" t="n">
        <v>272</v>
      </c>
      <c r="I155" s="20" t="n">
        <v>244</v>
      </c>
      <c r="J155" s="20" t="n">
        <v>368</v>
      </c>
    </row>
    <row r="156">
      <c r="A156" s="18" t="inlineStr">
        <is>
          <t>기타</t>
        </is>
      </c>
      <c r="H156" s="20" t="n">
        <v>14964</v>
      </c>
      <c r="I156" s="20" t="n">
        <v>20951</v>
      </c>
      <c r="J156" s="20" t="n">
        <v>21878</v>
      </c>
    </row>
    <row r="157">
      <c r="A157" s="9" t="inlineStr">
        <is>
          <t>유동부채 합계</t>
        </is>
      </c>
      <c r="H157" s="12" t="n">
        <v>230104</v>
      </c>
      <c r="I157" s="12" t="n">
        <v>215226</v>
      </c>
      <c r="J157" s="12" t="n">
        <v>154680</v>
      </c>
    </row>
    <row r="158">
      <c r="A158" s="18" t="inlineStr">
        <is>
          <t>사채</t>
        </is>
      </c>
      <c r="H158" s="20" t="n">
        <v>25000</v>
      </c>
      <c r="I158" s="20" t="n">
        <v>35000</v>
      </c>
      <c r="J158" s="20" t="n">
        <v>35000</v>
      </c>
    </row>
    <row r="159">
      <c r="A159" s="18" t="inlineStr">
        <is>
          <t>장기차입금</t>
        </is>
      </c>
      <c r="H159" s="20" t="n">
        <v>69911</v>
      </c>
      <c r="I159" s="20" t="n">
        <v>79980</v>
      </c>
      <c r="J159" s="20" t="n">
        <v>86481</v>
      </c>
    </row>
    <row r="160">
      <c r="A160" s="18" t="inlineStr">
        <is>
          <t>기타 충당금</t>
        </is>
      </c>
      <c r="H160" s="20" t="n">
        <v>4240</v>
      </c>
      <c r="I160" s="20" t="n">
        <v>3987</v>
      </c>
    </row>
    <row r="161">
      <c r="A161" s="18" t="inlineStr">
        <is>
          <t>이연법인세부채</t>
        </is>
      </c>
      <c r="H161" s="20" t="n">
        <v>14906</v>
      </c>
      <c r="I161" s="20" t="n">
        <v>15655</v>
      </c>
      <c r="J161" s="20" t="n">
        <v>21894</v>
      </c>
    </row>
    <row r="162">
      <c r="A162" s="18" t="inlineStr">
        <is>
          <t>재평가 관련 이연법인세부채</t>
        </is>
      </c>
      <c r="H162" s="20" t="n">
        <v>281</v>
      </c>
      <c r="I162" s="20" t="n">
        <v>281</v>
      </c>
      <c r="J162" s="20" t="n">
        <v>281</v>
      </c>
    </row>
    <row r="163">
      <c r="A163" s="18" t="inlineStr">
        <is>
          <t>임원 퇴직위로 충당금</t>
        </is>
      </c>
      <c r="H163" s="20" t="n">
        <v>746</v>
      </c>
      <c r="I163" s="20" t="n">
        <v>685</v>
      </c>
      <c r="J163" s="20" t="n">
        <v>730</v>
      </c>
    </row>
    <row r="164">
      <c r="A164" s="18" t="inlineStr">
        <is>
          <t>주식급여 충당금</t>
        </is>
      </c>
      <c r="I164" s="20" t="n">
        <v>33</v>
      </c>
      <c r="J164" s="20" t="n">
        <v>67</v>
      </c>
    </row>
    <row r="165">
      <c r="A165" s="18" t="inlineStr">
        <is>
          <t>환경대책 충당금</t>
        </is>
      </c>
      <c r="H165" s="20" t="n">
        <v>3494</v>
      </c>
      <c r="I165" s="20" t="n">
        <v>3267</v>
      </c>
      <c r="J165" s="20" t="n">
        <v>2879</v>
      </c>
    </row>
    <row r="166">
      <c r="A166" s="18" t="inlineStr">
        <is>
          <t>퇴직급여부채</t>
        </is>
      </c>
      <c r="H166" s="20" t="n">
        <v>13402</v>
      </c>
      <c r="I166" s="20" t="n">
        <v>12935</v>
      </c>
      <c r="J166" s="20" t="n">
        <v>12598</v>
      </c>
    </row>
    <row r="167">
      <c r="A167" s="18" t="inlineStr">
        <is>
          <t>기타</t>
        </is>
      </c>
      <c r="H167" s="20" t="n">
        <v>5336</v>
      </c>
      <c r="I167" s="20" t="n">
        <v>5304</v>
      </c>
      <c r="J167" s="20" t="n">
        <v>5216</v>
      </c>
    </row>
    <row r="168">
      <c r="A168" s="9" t="inlineStr">
        <is>
          <t>비유동부채 합계</t>
        </is>
      </c>
      <c r="H168" s="12" t="n">
        <v>133078</v>
      </c>
      <c r="I168" s="12" t="n">
        <v>153146</v>
      </c>
      <c r="J168" s="12" t="n">
        <v>165150</v>
      </c>
    </row>
    <row r="169">
      <c r="A169" s="9" t="inlineStr">
        <is>
          <t>부채 합계</t>
        </is>
      </c>
      <c r="H169" s="12" t="n">
        <v>363183</v>
      </c>
      <c r="I169" s="12" t="n">
        <v>368372</v>
      </c>
      <c r="J169" s="12" t="n">
        <v>319830</v>
      </c>
    </row>
    <row r="170">
      <c r="A170" s="18" t="inlineStr">
        <is>
          <t>자본금</t>
        </is>
      </c>
      <c r="H170" s="20" t="n">
        <v>37172</v>
      </c>
      <c r="I170" s="20" t="n">
        <v>37172</v>
      </c>
      <c r="J170" s="20" t="n">
        <v>37172</v>
      </c>
    </row>
    <row r="171">
      <c r="A171" s="18" t="inlineStr">
        <is>
          <t>자본잉여금</t>
        </is>
      </c>
      <c r="H171" s="20" t="n">
        <v>31228</v>
      </c>
      <c r="I171" s="20" t="n">
        <v>31231</v>
      </c>
      <c r="J171" s="20" t="n">
        <v>31399</v>
      </c>
    </row>
    <row r="172">
      <c r="A172" s="18" t="inlineStr">
        <is>
          <t>이익잉여금</t>
        </is>
      </c>
      <c r="H172" s="20" t="n">
        <v>238443</v>
      </c>
      <c r="I172" s="20" t="n">
        <v>266353</v>
      </c>
      <c r="J172" s="20" t="n">
        <v>306296</v>
      </c>
    </row>
    <row r="173">
      <c r="A173" s="18" t="inlineStr">
        <is>
          <t>자기주식</t>
        </is>
      </c>
      <c r="H173" s="20" t="n">
        <v>-3663</v>
      </c>
      <c r="I173" s="20" t="n">
        <v>-3668</v>
      </c>
      <c r="J173" s="20" t="n">
        <v>-3865</v>
      </c>
    </row>
    <row r="174">
      <c r="A174" s="9" t="inlineStr">
        <is>
          <t>주주자본 합계</t>
        </is>
      </c>
      <c r="H174" s="12" t="n">
        <v>303179</v>
      </c>
      <c r="I174" s="12" t="n">
        <v>331089</v>
      </c>
      <c r="J174" s="12" t="n">
        <v>371003</v>
      </c>
    </row>
    <row r="175">
      <c r="A175" s="18" t="inlineStr">
        <is>
          <t>기타유가증권 평가차액</t>
        </is>
      </c>
      <c r="H175" s="20" t="n">
        <v>21323</v>
      </c>
      <c r="I175" s="20" t="n">
        <v>24424</v>
      </c>
      <c r="J175" s="20" t="n">
        <v>29580</v>
      </c>
    </row>
    <row r="176">
      <c r="A176" s="18" t="inlineStr">
        <is>
          <t>이연헤지손익</t>
        </is>
      </c>
      <c r="H176" s="20" t="n">
        <v>10</v>
      </c>
      <c r="I176" s="20" t="n">
        <v>19</v>
      </c>
      <c r="J176" s="20" t="n">
        <v>9</v>
      </c>
    </row>
    <row r="177">
      <c r="A177" s="18" t="inlineStr">
        <is>
          <t>토지재평가차액금</t>
        </is>
      </c>
      <c r="H177" s="20" t="n">
        <v>657</v>
      </c>
      <c r="I177" s="20" t="n">
        <v>657</v>
      </c>
      <c r="J177" s="20" t="n">
        <v>657</v>
      </c>
    </row>
    <row r="178">
      <c r="A178" s="18" t="inlineStr">
        <is>
          <t>해외사업환산조정</t>
        </is>
      </c>
      <c r="H178" s="20" t="n">
        <v>4968</v>
      </c>
      <c r="I178" s="20" t="n">
        <v>6736</v>
      </c>
      <c r="J178" s="20" t="n">
        <v>10543</v>
      </c>
    </row>
    <row r="179">
      <c r="A179" s="18" t="inlineStr">
        <is>
          <t>퇴직급여 조정누계액</t>
        </is>
      </c>
      <c r="H179" s="20" t="n">
        <v>-426</v>
      </c>
      <c r="I179" s="20" t="n">
        <v>5790</v>
      </c>
      <c r="J179" s="20" t="n">
        <v>16563</v>
      </c>
    </row>
    <row r="180">
      <c r="A180" s="18" t="inlineStr">
        <is>
          <t>기타포괄손익누계액 합계</t>
        </is>
      </c>
      <c r="H180" s="20" t="n">
        <v>26533</v>
      </c>
      <c r="I180" s="20" t="n">
        <v>37628</v>
      </c>
      <c r="J180" s="20" t="n">
        <v>57355</v>
      </c>
    </row>
    <row r="181">
      <c r="A181" s="18" t="inlineStr">
        <is>
          <t>비지배지분</t>
        </is>
      </c>
      <c r="H181" s="20" t="n">
        <v>35290</v>
      </c>
      <c r="I181" s="20" t="n">
        <v>36760</v>
      </c>
      <c r="J181" s="20" t="n">
        <v>39327</v>
      </c>
    </row>
    <row r="182">
      <c r="A182" s="9" t="inlineStr">
        <is>
          <t>순자산 합계</t>
        </is>
      </c>
      <c r="H182" s="12" t="n">
        <v>365004</v>
      </c>
      <c r="I182" s="12" t="n">
        <v>405479</v>
      </c>
      <c r="J182" s="12" t="n">
        <v>467687</v>
      </c>
    </row>
    <row r="183">
      <c r="A183" s="9" t="inlineStr">
        <is>
          <t>부채·순자산 합계</t>
        </is>
      </c>
      <c r="H183" s="12" t="n">
        <v>728187</v>
      </c>
      <c r="I183" s="12" t="n">
        <v>773851</v>
      </c>
      <c r="J183" s="12" t="n">
        <v>787517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2026-05-15</t>
        </is>
      </c>
      <c r="B4" t="inlineStr">
        <is>
          <t>2026년 3월 결산기 연간 결산단신</t>
        </is>
      </c>
      <c r="C4" t="inlineStr">
        <is>
          <t>https://www2.jpx.co.jp/disc/54710/140120260514535890.pdf</t>
        </is>
      </c>
    </row>
    <row r="5">
      <c r="A5" t="inlineStr">
        <is>
          <t>2025-05-08</t>
        </is>
      </c>
      <c r="B5" t="inlineStr">
        <is>
          <t>2025년 3월 결산기 연간 결산단신</t>
        </is>
      </c>
      <c r="C5" t="inlineStr">
        <is>
          <t>https://www2.jpx.co.jp/disc/54710/140120250507532684.pdf</t>
        </is>
      </c>
    </row>
    <row r="6">
      <c r="A6" t="inlineStr">
        <is>
          <t>2024-06-26</t>
        </is>
      </c>
      <c r="B6" t="inlineStr">
        <is>
          <t>2024년 3월 결산기 연간 결산단신</t>
        </is>
      </c>
      <c r="C6" t="inlineStr">
        <is>
          <t>https://www2.jpx.co.jp/disc/54710/140120240624535329.pdf</t>
        </is>
      </c>
    </row>
    <row r="7">
      <c r="A7" t="inlineStr">
        <is>
          <t>2024-05-10</t>
        </is>
      </c>
      <c r="B7" t="inlineStr">
        <is>
          <t>2024년 3월 결산기 연간 결산단신</t>
        </is>
      </c>
      <c r="C7" t="inlineStr">
        <is>
          <t>https://www2.jpx.co.jp/disc/54710/140120240509587471.pdf</t>
        </is>
      </c>
    </row>
    <row r="8">
      <c r="A8" t="inlineStr">
        <is>
          <t>2024-01-31</t>
        </is>
      </c>
      <c r="B8" t="inlineStr">
        <is>
          <t>2024년 3월 결산기 ３분기 결산단신</t>
        </is>
      </c>
      <c r="C8" t="inlineStr">
        <is>
          <t>https://www2.jpx.co.jp/disc/54710/140120240131522616.pdf</t>
        </is>
      </c>
    </row>
    <row r="9">
      <c r="A9" t="inlineStr">
        <is>
          <t>2023-10-30</t>
        </is>
      </c>
      <c r="B9" t="inlineStr">
        <is>
          <t>2024년 3월 결산기 ２분기 결산단신</t>
        </is>
      </c>
      <c r="C9" t="inlineStr">
        <is>
          <t>https://www2.jpx.co.jp/disc/54710/140120231027573643.pdf</t>
        </is>
      </c>
    </row>
    <row r="10">
      <c r="A10" t="inlineStr">
        <is>
          <t>2023-07-28</t>
        </is>
      </c>
      <c r="B10" t="inlineStr">
        <is>
          <t>2024년 3월 결산기 １분기 결산단신</t>
        </is>
      </c>
      <c r="C10" t="inlineStr">
        <is>
          <t>https://www2.jpx.co.jp/disc/54710/140120230727528442.pdf</t>
        </is>
      </c>
    </row>
    <row r="11">
      <c r="A11" t="inlineStr">
        <is>
          <t>2023-04-28</t>
        </is>
      </c>
      <c r="B11" t="inlineStr">
        <is>
          <t>2023년 3월 결산기 연간 결산단신</t>
        </is>
      </c>
      <c r="C11" t="inlineStr">
        <is>
          <t>https://www2.jpx.co.jp/disc/54710/140120230427555242.pdf</t>
        </is>
      </c>
    </row>
    <row r="12">
      <c r="A12" t="inlineStr">
        <is>
          <t>2023-01-30</t>
        </is>
      </c>
      <c r="B12" t="inlineStr">
        <is>
          <t>2023년 3월 결산기 ３분기 결산단신</t>
        </is>
      </c>
      <c r="C12" t="inlineStr">
        <is>
          <t>https://www2.jpx.co.jp/disc/54710/140120230127594886.pdf</t>
        </is>
      </c>
    </row>
    <row r="13">
      <c r="A13" t="inlineStr">
        <is>
          <t>2022-04-28</t>
        </is>
      </c>
      <c r="B13" t="inlineStr">
        <is>
          <t>2022년 3월 결산기 연간 결산단신</t>
        </is>
      </c>
      <c r="C13" t="inlineStr">
        <is>
          <t>https://www2.jpx.co.jp/disc/54710/140120220427530221.pdf</t>
        </is>
      </c>
    </row>
    <row r="14">
      <c r="A14" t="inlineStr">
        <is>
          <t>2021-04-30</t>
        </is>
      </c>
      <c r="B14" t="inlineStr">
        <is>
          <t>2021년 3월 결산기 연간 결산단신</t>
        </is>
      </c>
      <c r="C14" t="inlineStr">
        <is>
          <t>https://www2.jpx.co.jp/disc/54710/140120210428403263.pdf</t>
        </is>
      </c>
    </row>
    <row r="15">
      <c r="A15" t="inlineStr">
        <is>
          <t>2020-05-15</t>
        </is>
      </c>
      <c r="B15" t="inlineStr">
        <is>
          <t>2020년 3월 결산기 연간 결산단신</t>
        </is>
      </c>
      <c r="C15" t="inlineStr">
        <is>
          <t>https://www2.jpx.co.jp/disc/54710/140120200514414599.pdf</t>
        </is>
      </c>
    </row>
    <row r="16">
      <c r="A16" t="inlineStr">
        <is>
          <t>2019-04-26</t>
        </is>
      </c>
      <c r="B16" t="inlineStr">
        <is>
          <t>2019년 3월 결산기 연간 결산단신</t>
        </is>
      </c>
      <c r="C16" t="inlineStr">
        <is>
          <t>https://www2.jpx.co.jp/disc/54710/140120190425411231.pdf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2026-10-25T14:30:29Z</dcterms:created>
  <dcterms:modified xmlns:dcterms="http://purl.org/dc/terms/" xmlns:xsi="http://www.w3.org/2001/XMLSchema-instance" xsi:type="dcterms:W3CDTF">2026-10-25T14:30:30Z</dcterms:modified>
</cp:coreProperties>
</file>