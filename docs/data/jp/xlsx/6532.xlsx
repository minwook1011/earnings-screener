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베이커런트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IFRS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23991</v>
      </c>
      <c r="D4" s="12" t="n">
        <v>26192</v>
      </c>
      <c r="E4" s="12" t="n">
        <v>27297</v>
      </c>
      <c r="F4" s="12" t="n">
        <v>26797</v>
      </c>
      <c r="G4" s="12" t="n">
        <v>29431</v>
      </c>
      <c r="H4" s="12" t="n">
        <v>32531</v>
      </c>
      <c r="I4" s="12" t="n">
        <v>34307</v>
      </c>
      <c r="J4" s="12" t="n">
        <v>34155</v>
      </c>
      <c r="K4" s="12" t="n">
        <v>37474</v>
      </c>
      <c r="L4" s="12" t="n">
        <v>42396</v>
      </c>
      <c r="M4" s="12" t="n">
        <v>44576</v>
      </c>
      <c r="N4" s="12" t="n">
        <v>48337</v>
      </c>
      <c r="O4" s="11" t="n"/>
      <c r="P4" s="12" t="n"/>
      <c r="Q4" s="12" t="n">
        <v>24294</v>
      </c>
      <c r="R4" s="12" t="n">
        <v>32978</v>
      </c>
      <c r="S4" s="12" t="n">
        <v>42873</v>
      </c>
      <c r="T4" s="12" t="n">
        <v>57642</v>
      </c>
      <c r="U4" s="12" t="n">
        <v>76090</v>
      </c>
      <c r="V4" s="12" t="n">
        <v>93909</v>
      </c>
      <c r="W4" s="12" t="n">
        <v>116056</v>
      </c>
      <c r="X4" s="12" t="n">
        <v>148332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10906</v>
      </c>
      <c r="D11" s="22" t="n">
        <v>11530</v>
      </c>
      <c r="E11" s="22" t="n">
        <v>12673</v>
      </c>
      <c r="F11" s="22" t="n">
        <v>13587</v>
      </c>
      <c r="G11" s="22" t="n">
        <v>13572</v>
      </c>
      <c r="H11" s="22" t="n">
        <v>13769</v>
      </c>
      <c r="I11" s="22" t="n">
        <v>15085</v>
      </c>
      <c r="J11" s="22" t="n">
        <v>15455</v>
      </c>
      <c r="K11" s="22" t="n">
        <v>16275</v>
      </c>
      <c r="L11" s="22" t="n">
        <v>17531</v>
      </c>
      <c r="M11" s="22" t="n">
        <v>18529</v>
      </c>
      <c r="N11" s="22" t="n">
        <v>20228</v>
      </c>
      <c r="O11" s="21" t="n"/>
      <c r="P11" s="22" t="n"/>
      <c r="Q11" s="22" t="n">
        <v>14168</v>
      </c>
      <c r="R11" s="22" t="n">
        <v>18671</v>
      </c>
      <c r="S11" s="22" t="n">
        <v>22648</v>
      </c>
      <c r="T11" s="22" t="n">
        <v>27069</v>
      </c>
      <c r="U11" s="22" t="n">
        <v>33669</v>
      </c>
      <c r="V11" s="22" t="n">
        <v>42643</v>
      </c>
      <c r="W11" s="22" t="n">
        <v>53601</v>
      </c>
      <c r="X11" s="22" t="n">
        <v>64346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4389</v>
      </c>
      <c r="D17" s="22" t="n">
        <v>4637</v>
      </c>
      <c r="E17" s="22" t="n">
        <v>5170</v>
      </c>
      <c r="F17" s="22" t="n">
        <v>4537</v>
      </c>
      <c r="G17" s="22" t="n">
        <v>5242</v>
      </c>
      <c r="H17" s="22" t="n">
        <v>4896</v>
      </c>
      <c r="I17" s="22" t="n">
        <v>7017</v>
      </c>
      <c r="J17" s="22" t="n">
        <v>7645</v>
      </c>
      <c r="K17" s="22" t="n">
        <v>9278</v>
      </c>
      <c r="L17" s="22" t="n">
        <v>9129</v>
      </c>
      <c r="M17" s="22" t="n">
        <v>11580</v>
      </c>
      <c r="N17" s="22" t="n">
        <v>12747</v>
      </c>
      <c r="O17" s="21" t="n"/>
      <c r="P17" s="22" t="n"/>
      <c r="Q17" s="22" t="n">
        <v>5631</v>
      </c>
      <c r="R17" s="22" t="n">
        <v>6269</v>
      </c>
      <c r="S17" s="22" t="n">
        <v>6676</v>
      </c>
      <c r="T17" s="22" t="n">
        <v>9057</v>
      </c>
      <c r="U17" s="22" t="n">
        <v>12506</v>
      </c>
      <c r="V17" s="22" t="n">
        <v>17048</v>
      </c>
      <c r="W17" s="22" t="n">
        <v>19845</v>
      </c>
      <c r="X17" s="22" t="n">
        <v>33069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8696</v>
      </c>
      <c r="D19" s="12" t="n">
        <v>10025</v>
      </c>
      <c r="E19" s="12" t="n">
        <v>9455</v>
      </c>
      <c r="F19" s="12" t="n">
        <v>8674</v>
      </c>
      <c r="G19" s="12" t="n">
        <v>10618</v>
      </c>
      <c r="H19" s="12" t="n">
        <v>13868</v>
      </c>
      <c r="I19" s="12" t="n">
        <v>12207</v>
      </c>
      <c r="J19" s="12" t="n">
        <v>11063</v>
      </c>
      <c r="K19" s="12" t="n">
        <v>11923</v>
      </c>
      <c r="L19" s="12" t="n">
        <v>15738</v>
      </c>
      <c r="M19" s="12" t="n">
        <v>14481</v>
      </c>
      <c r="N19" s="12" t="n">
        <v>15411</v>
      </c>
      <c r="O19" s="11" t="n"/>
      <c r="P19" s="12" t="n"/>
      <c r="Q19" s="12" t="n">
        <v>4489</v>
      </c>
      <c r="R19" s="12" t="n">
        <v>8038</v>
      </c>
      <c r="S19" s="12" t="n">
        <v>13551</v>
      </c>
      <c r="T19" s="12" t="n">
        <v>21518</v>
      </c>
      <c r="U19" s="12" t="n">
        <v>29916</v>
      </c>
      <c r="V19" s="12" t="n">
        <v>34219</v>
      </c>
      <c r="W19" s="12" t="n">
        <v>42615</v>
      </c>
      <c r="X19" s="12" t="n">
        <v>50931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기타이익</t>
        </is>
      </c>
      <c r="B35" s="10" t="n"/>
      <c r="C35" s="21" t="n">
        <v>0</v>
      </c>
      <c r="D35" s="22" t="n">
        <v>0</v>
      </c>
      <c r="E35" s="22" t="n">
        <v>1</v>
      </c>
      <c r="F35" s="22" t="n">
        <v>1</v>
      </c>
      <c r="G35" s="22" t="n">
        <v>1</v>
      </c>
      <c r="H35" s="22" t="n">
        <v>2</v>
      </c>
      <c r="I35" s="22" t="n">
        <v>2</v>
      </c>
      <c r="J35" s="22" t="n">
        <v>8</v>
      </c>
      <c r="K35" s="22" t="n">
        <v>2</v>
      </c>
      <c r="L35" s="22" t="n">
        <v>2</v>
      </c>
      <c r="M35" s="22" t="n">
        <v>14</v>
      </c>
      <c r="N35" s="22" t="n">
        <v>49</v>
      </c>
      <c r="O35" s="21" t="n"/>
      <c r="P35" s="22" t="n"/>
      <c r="Q35" s="22" t="n">
        <v>0</v>
      </c>
      <c r="R35" s="22" t="n">
        <v>0</v>
      </c>
      <c r="S35" s="22" t="n">
        <v>2</v>
      </c>
      <c r="T35" s="22" t="n">
        <v>2</v>
      </c>
      <c r="U35" s="22" t="n">
        <v>1</v>
      </c>
      <c r="V35" s="22" t="n">
        <v>1</v>
      </c>
      <c r="W35" s="22" t="n">
        <v>5</v>
      </c>
      <c r="X35" s="22" t="n">
        <v>14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기타손실</t>
        </is>
      </c>
      <c r="B37" s="10" t="n"/>
      <c r="C37" s="21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1" t="n"/>
      <c r="P37" s="22" t="n"/>
      <c r="Q37" s="22" t="n">
        <v>6</v>
      </c>
      <c r="R37" s="22" t="n">
        <v>0</v>
      </c>
      <c r="S37" s="22" t="n">
        <v>0</v>
      </c>
      <c r="T37" s="22" t="n"/>
      <c r="U37" s="22" t="n"/>
      <c r="V37" s="22" t="n"/>
      <c r="W37" s="22" t="n"/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금융수익</t>
        </is>
      </c>
      <c r="B39" s="10" t="n"/>
      <c r="C39" s="21" t="n"/>
      <c r="D39" s="22" t="n"/>
      <c r="E39" s="22" t="n"/>
      <c r="F39" s="22" t="n"/>
      <c r="G39" s="22" t="n">
        <v>0</v>
      </c>
      <c r="H39" s="22" t="n">
        <v>0</v>
      </c>
      <c r="I39" s="22" t="n">
        <v>0</v>
      </c>
      <c r="J39" s="22" t="n">
        <v>55</v>
      </c>
      <c r="K39" s="22" t="n">
        <v>6</v>
      </c>
      <c r="L39" s="22" t="n">
        <v>59</v>
      </c>
      <c r="M39" s="22" t="n">
        <v>8</v>
      </c>
      <c r="N39" s="22" t="n">
        <v>92</v>
      </c>
      <c r="O39" s="21" t="n"/>
      <c r="P39" s="22" t="n"/>
      <c r="Q39" s="22" t="n">
        <v>0</v>
      </c>
      <c r="R39" s="22" t="n">
        <v>0</v>
      </c>
      <c r="S39" s="22" t="n"/>
      <c r="T39" s="22" t="n"/>
      <c r="U39" s="22" t="n"/>
      <c r="V39" s="22" t="n"/>
      <c r="W39" s="22" t="n">
        <v>0</v>
      </c>
      <c r="X39" s="22" t="n">
        <v>120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금융원가</t>
        </is>
      </c>
      <c r="B41" s="10" t="n"/>
      <c r="C41" s="21" t="n">
        <v>18</v>
      </c>
      <c r="D41" s="22" t="n">
        <v>18</v>
      </c>
      <c r="E41" s="22" t="n">
        <v>19</v>
      </c>
      <c r="F41" s="22" t="n">
        <v>21</v>
      </c>
      <c r="G41" s="22" t="n">
        <v>19</v>
      </c>
      <c r="H41" s="22" t="n">
        <v>10</v>
      </c>
      <c r="I41" s="22" t="n">
        <v>17</v>
      </c>
      <c r="J41" s="22" t="n">
        <v>16</v>
      </c>
      <c r="K41" s="22" t="n">
        <v>15</v>
      </c>
      <c r="L41" s="22" t="n">
        <v>15</v>
      </c>
      <c r="M41" s="22" t="n">
        <v>18</v>
      </c>
      <c r="N41" s="22" t="n">
        <v>31</v>
      </c>
      <c r="O41" s="21" t="n"/>
      <c r="P41" s="22" t="n"/>
      <c r="Q41" s="22" t="n">
        <v>103</v>
      </c>
      <c r="R41" s="22" t="n">
        <v>62</v>
      </c>
      <c r="S41" s="22" t="n">
        <v>74</v>
      </c>
      <c r="T41" s="22" t="n">
        <v>49</v>
      </c>
      <c r="U41" s="22" t="n">
        <v>41</v>
      </c>
      <c r="V41" s="22" t="n">
        <v>59</v>
      </c>
      <c r="W41" s="22" t="n">
        <v>69</v>
      </c>
      <c r="X41" s="22" t="n">
        <v>63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8678</v>
      </c>
      <c r="D43" s="12" t="n">
        <v>10007</v>
      </c>
      <c r="E43" s="12" t="n">
        <v>9436</v>
      </c>
      <c r="F43" s="12" t="n">
        <v>8653</v>
      </c>
      <c r="G43" s="12" t="n">
        <v>10599</v>
      </c>
      <c r="H43" s="12" t="n">
        <v>13858</v>
      </c>
      <c r="I43" s="12" t="n">
        <v>12190</v>
      </c>
      <c r="J43" s="12" t="n">
        <v>11102</v>
      </c>
      <c r="K43" s="12" t="n">
        <v>11914</v>
      </c>
      <c r="L43" s="12" t="n">
        <v>15782</v>
      </c>
      <c r="M43" s="12" t="n">
        <v>14471</v>
      </c>
      <c r="N43" s="12" t="n">
        <v>15472</v>
      </c>
      <c r="O43" s="11" t="n"/>
      <c r="P43" s="12" t="n"/>
      <c r="Q43" s="12" t="n">
        <v>4386</v>
      </c>
      <c r="R43" s="12" t="n">
        <v>7976</v>
      </c>
      <c r="S43" s="12" t="n">
        <v>13477</v>
      </c>
      <c r="T43" s="12" t="n">
        <v>21469</v>
      </c>
      <c r="U43" s="12" t="n">
        <v>29875</v>
      </c>
      <c r="V43" s="12" t="n">
        <v>34160</v>
      </c>
      <c r="W43" s="12" t="n">
        <v>42546</v>
      </c>
      <c r="X43" s="12" t="n">
        <v>50988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2356</v>
      </c>
      <c r="D45" s="22" t="n">
        <v>2221</v>
      </c>
      <c r="E45" s="22" t="n">
        <v>2463</v>
      </c>
      <c r="F45" s="22" t="n">
        <v>2258</v>
      </c>
      <c r="G45" s="22" t="n">
        <v>2767</v>
      </c>
      <c r="H45" s="22" t="n">
        <v>4298</v>
      </c>
      <c r="I45" s="22" t="n">
        <v>3174</v>
      </c>
      <c r="J45" s="22" t="n">
        <v>2889</v>
      </c>
      <c r="K45" s="22" t="n">
        <v>3100</v>
      </c>
      <c r="L45" s="22" t="n">
        <v>3985</v>
      </c>
      <c r="M45" s="22" t="n">
        <v>3738</v>
      </c>
      <c r="N45" s="22" t="n">
        <v>3996</v>
      </c>
      <c r="O45" s="21" t="n"/>
      <c r="P45" s="22" t="n"/>
      <c r="Q45" s="22" t="n">
        <v>1283</v>
      </c>
      <c r="R45" s="22" t="n">
        <v>2064</v>
      </c>
      <c r="S45" s="22" t="n">
        <v>3463</v>
      </c>
      <c r="T45" s="22" t="n">
        <v>5925</v>
      </c>
      <c r="U45" s="22" t="n">
        <v>7965</v>
      </c>
      <c r="V45" s="22" t="n">
        <v>8778</v>
      </c>
      <c r="W45" s="22" t="n">
        <v>11786</v>
      </c>
      <c r="X45" s="22" t="n">
        <v>13148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6322</v>
      </c>
      <c r="D47" s="12" t="n">
        <v>7786</v>
      </c>
      <c r="E47" s="12" t="n">
        <v>6973</v>
      </c>
      <c r="F47" s="12" t="n">
        <v>6395</v>
      </c>
      <c r="G47" s="12" t="n">
        <v>7832</v>
      </c>
      <c r="H47" s="12" t="n">
        <v>9560</v>
      </c>
      <c r="I47" s="12" t="n">
        <v>9016</v>
      </c>
      <c r="J47" s="12" t="n">
        <v>8213</v>
      </c>
      <c r="K47" s="12" t="n">
        <v>8814</v>
      </c>
      <c r="L47" s="12" t="n">
        <v>11797</v>
      </c>
      <c r="M47" s="12" t="n">
        <v>10733</v>
      </c>
      <c r="N47" s="12" t="n">
        <v>11476</v>
      </c>
      <c r="O47" s="11" t="n"/>
      <c r="P47" s="12" t="n"/>
      <c r="Q47" s="12" t="n">
        <v>3103</v>
      </c>
      <c r="R47" s="12" t="n">
        <v>5912</v>
      </c>
      <c r="S47" s="12" t="n">
        <v>10014</v>
      </c>
      <c r="T47" s="12" t="n">
        <v>15544</v>
      </c>
      <c r="U47" s="12" t="n">
        <v>21910</v>
      </c>
      <c r="V47" s="12" t="n">
        <v>25382</v>
      </c>
      <c r="W47" s="12" t="n">
        <v>30760</v>
      </c>
      <c r="X47" s="12" t="n">
        <v>37840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>
        <v>7786</v>
      </c>
      <c r="E49" s="12" t="n">
        <v>6973</v>
      </c>
      <c r="F49" s="12" t="n">
        <v>6395</v>
      </c>
      <c r="G49" s="12" t="n">
        <v>7832</v>
      </c>
      <c r="H49" s="12" t="n">
        <v>9560</v>
      </c>
      <c r="I49" s="12" t="n">
        <v>9016</v>
      </c>
      <c r="J49" s="12" t="n">
        <v>8213</v>
      </c>
      <c r="K49" s="12" t="n">
        <v>8814</v>
      </c>
      <c r="L49" s="12" t="n">
        <v>11797</v>
      </c>
      <c r="M49" s="12" t="n">
        <v>10733</v>
      </c>
      <c r="N49" s="12" t="n">
        <v>11476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25382</v>
      </c>
      <c r="W49" s="12" t="n">
        <v>30760</v>
      </c>
      <c r="X49" s="12" t="n">
        <v>37840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11330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150227210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매출수익</t>
        </is>
      </c>
      <c r="C84" s="12" t="n">
        <v>23991</v>
      </c>
      <c r="D84" s="12" t="n">
        <v>26192</v>
      </c>
      <c r="E84" s="12" t="n">
        <v>27297</v>
      </c>
      <c r="F84" s="12" t="n">
        <v>26797</v>
      </c>
      <c r="G84" s="12" t="n">
        <v>29431</v>
      </c>
      <c r="H84" s="12" t="n">
        <v>32531</v>
      </c>
      <c r="I84" s="12" t="n">
        <v>34307</v>
      </c>
      <c r="J84" s="12" t="n">
        <v>34155</v>
      </c>
      <c r="K84" s="12" t="n">
        <v>37474</v>
      </c>
      <c r="L84" s="12" t="n">
        <v>42396</v>
      </c>
      <c r="M84" s="12" t="n">
        <v>44576</v>
      </c>
      <c r="N84" s="12" t="n">
        <v>48337</v>
      </c>
      <c r="T84" s="12" t="n">
        <v>16059</v>
      </c>
      <c r="U84" s="12" t="n">
        <v>21163</v>
      </c>
      <c r="V84" s="12" t="n">
        <v>26192</v>
      </c>
      <c r="W84" s="12" t="n">
        <v>32531</v>
      </c>
      <c r="X84" s="12" t="n">
        <v>42396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10906</v>
      </c>
      <c r="D86" s="22" t="n">
        <v>11530</v>
      </c>
      <c r="E86" s="22" t="n">
        <v>12673</v>
      </c>
      <c r="F86" s="22" t="n">
        <v>13587</v>
      </c>
      <c r="G86" s="22" t="n">
        <v>13572</v>
      </c>
      <c r="H86" s="22" t="n">
        <v>13769</v>
      </c>
      <c r="I86" s="22" t="n">
        <v>15085</v>
      </c>
      <c r="J86" s="22" t="n">
        <v>15455</v>
      </c>
      <c r="K86" s="22" t="n">
        <v>16275</v>
      </c>
      <c r="L86" s="22" t="n">
        <v>17531</v>
      </c>
      <c r="M86" s="22" t="n">
        <v>18529</v>
      </c>
      <c r="N86" s="22" t="n">
        <v>20228</v>
      </c>
      <c r="T86" s="22" t="n">
        <v>7191</v>
      </c>
      <c r="U86" s="22" t="n">
        <v>8755</v>
      </c>
      <c r="V86" s="22" t="n">
        <v>11530</v>
      </c>
      <c r="W86" s="22" t="n">
        <v>13769</v>
      </c>
      <c r="X86" s="22" t="n">
        <v>17531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13085</v>
      </c>
      <c r="D88" s="12" t="n">
        <v>14662</v>
      </c>
      <c r="E88" s="12" t="n">
        <v>14624</v>
      </c>
      <c r="F88" s="12" t="n">
        <v>13210</v>
      </c>
      <c r="G88" s="12" t="n">
        <v>15859</v>
      </c>
      <c r="H88" s="12" t="n">
        <v>18762</v>
      </c>
      <c r="I88" s="12" t="n">
        <v>19222</v>
      </c>
      <c r="J88" s="12" t="n">
        <v>18700</v>
      </c>
      <c r="K88" s="12" t="n">
        <v>21199</v>
      </c>
      <c r="L88" s="12" t="n">
        <v>24865</v>
      </c>
      <c r="M88" s="12" t="n">
        <v>26047</v>
      </c>
      <c r="N88" s="12" t="n">
        <v>28109</v>
      </c>
      <c r="T88" s="12" t="n">
        <v>8868</v>
      </c>
      <c r="U88" s="12" t="n">
        <v>12408</v>
      </c>
      <c r="V88" s="12" t="n">
        <v>14662</v>
      </c>
      <c r="W88" s="12" t="n">
        <v>18762</v>
      </c>
      <c r="X88" s="12" t="n">
        <v>24865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4389</v>
      </c>
      <c r="D90" s="22" t="n">
        <v>4637</v>
      </c>
      <c r="E90" s="22" t="n">
        <v>5170</v>
      </c>
      <c r="F90" s="22" t="n">
        <v>4537</v>
      </c>
      <c r="G90" s="22" t="n">
        <v>5242</v>
      </c>
      <c r="H90" s="22" t="n">
        <v>4896</v>
      </c>
      <c r="I90" s="22" t="n">
        <v>7017</v>
      </c>
      <c r="J90" s="22" t="n">
        <v>7645</v>
      </c>
      <c r="K90" s="22" t="n">
        <v>9278</v>
      </c>
      <c r="L90" s="22" t="n">
        <v>9129</v>
      </c>
      <c r="M90" s="22" t="n">
        <v>11580</v>
      </c>
      <c r="N90" s="22" t="n">
        <v>12747</v>
      </c>
      <c r="T90" s="22" t="n">
        <v>2621</v>
      </c>
      <c r="U90" s="22" t="n">
        <v>3394</v>
      </c>
      <c r="V90" s="22" t="n">
        <v>4637</v>
      </c>
      <c r="W90" s="22" t="n">
        <v>4896</v>
      </c>
      <c r="X90" s="22" t="n">
        <v>9129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20" t="inlineStr">
        <is>
          <t>기타수익</t>
        </is>
      </c>
      <c r="C92" s="22" t="n">
        <v>0</v>
      </c>
      <c r="D92" s="22" t="n">
        <v>0</v>
      </c>
      <c r="E92" s="22" t="n">
        <v>1</v>
      </c>
      <c r="F92" s="22" t="n">
        <v>1</v>
      </c>
      <c r="G92" s="22" t="n">
        <v>1</v>
      </c>
      <c r="H92" s="22" t="n">
        <v>2</v>
      </c>
      <c r="I92" s="22" t="n">
        <v>2</v>
      </c>
      <c r="J92" s="22" t="n">
        <v>8</v>
      </c>
      <c r="K92" s="22" t="n">
        <v>2</v>
      </c>
      <c r="L92" s="22" t="n">
        <v>2</v>
      </c>
      <c r="M92" s="22" t="n">
        <v>14</v>
      </c>
      <c r="N92" s="22" t="n">
        <v>49</v>
      </c>
      <c r="T92" s="22" t="n">
        <v>0</v>
      </c>
      <c r="U92" s="22" t="n">
        <v>1</v>
      </c>
      <c r="V92" s="22" t="n">
        <v>0</v>
      </c>
      <c r="W92" s="22" t="n">
        <v>2</v>
      </c>
      <c r="X92" s="22" t="n">
        <v>2</v>
      </c>
    </row>
    <row r="93">
      <c r="A93" s="20" t="inlineStr">
        <is>
          <t>영업이익</t>
        </is>
      </c>
      <c r="C93" s="22" t="n">
        <v>8696</v>
      </c>
      <c r="D93" s="22" t="n">
        <v>10025</v>
      </c>
      <c r="E93" s="22" t="n">
        <v>9455</v>
      </c>
      <c r="F93" s="22" t="n">
        <v>8674</v>
      </c>
      <c r="G93" s="22" t="n">
        <v>10618</v>
      </c>
      <c r="H93" s="22" t="n">
        <v>13868</v>
      </c>
      <c r="I93" s="22" t="n">
        <v>12207</v>
      </c>
      <c r="J93" s="22" t="n">
        <v>11063</v>
      </c>
      <c r="K93" s="22" t="n">
        <v>11923</v>
      </c>
      <c r="L93" s="22" t="n">
        <v>15738</v>
      </c>
      <c r="M93" s="22" t="n">
        <v>14481</v>
      </c>
      <c r="N93" s="22" t="n">
        <v>15411</v>
      </c>
      <c r="T93" s="22" t="n">
        <v>6247</v>
      </c>
      <c r="U93" s="22" t="n">
        <v>9015</v>
      </c>
      <c r="V93" s="22" t="n">
        <v>10025</v>
      </c>
      <c r="W93" s="22" t="n">
        <v>13868</v>
      </c>
      <c r="X93" s="22" t="n">
        <v>15738</v>
      </c>
    </row>
    <row r="94">
      <c r="A94" s="45" t="inlineStr">
        <is>
          <t>OPM</t>
        </is>
      </c>
      <c r="B94" s="3" t="inlineStr">
        <is>
          <t>영업이익 ÷ 매출</t>
        </is>
      </c>
      <c r="C94" s="17">
        <f>IF(OR(C93="",C84=""),"",IF(C84&lt;=0,"",IFERROR(C93/C84,"")))</f>
        <v/>
      </c>
      <c r="D94" s="17">
        <f>IF(OR(D93="",D84=""),"",IF(D84&lt;=0,"",IFERROR(D93/D84,"")))</f>
        <v/>
      </c>
      <c r="E94" s="17">
        <f>IF(OR(E93="",E84=""),"",IF(E84&lt;=0,"",IFERROR(E93/E84,"")))</f>
        <v/>
      </c>
      <c r="F94" s="17">
        <f>IF(OR(F93="",F84=""),"",IF(F84&lt;=0,"",IFERROR(F93/F84,"")))</f>
        <v/>
      </c>
      <c r="G94" s="17">
        <f>IF(OR(G93="",G84=""),"",IF(G84&lt;=0,"",IFERROR(G93/G84,"")))</f>
        <v/>
      </c>
      <c r="H94" s="17">
        <f>IF(OR(H93="",H84=""),"",IF(H84&lt;=0,"",IFERROR(H93/H84,"")))</f>
        <v/>
      </c>
      <c r="I94" s="17">
        <f>IF(OR(I93="",I84=""),"",IF(I84&lt;=0,"",IFERROR(I93/I84,"")))</f>
        <v/>
      </c>
      <c r="J94" s="17">
        <f>IF(OR(J93="",J84=""),"",IF(J84&lt;=0,"",IFERROR(J93/J84,"")))</f>
        <v/>
      </c>
      <c r="K94" s="17">
        <f>IF(OR(K93="",K84=""),"",IF(K84&lt;=0,"",IFERROR(K93/K84,"")))</f>
        <v/>
      </c>
      <c r="L94" s="17">
        <f>IF(OR(L93="",L84=""),"",IF(L84&lt;=0,"",IFERROR(L93/L84,"")))</f>
        <v/>
      </c>
      <c r="M94" s="17">
        <f>IF(OR(M93="",M84=""),"",IF(M84&lt;=0,"",IFERROR(M93/M84,"")))</f>
        <v/>
      </c>
      <c r="N94" s="17">
        <f>IF(OR(N93="",N84=""),"",IF(N84&lt;=0,"",IFERROR(N93/N84,"")))</f>
        <v/>
      </c>
      <c r="T94" s="17">
        <f>IF(OR(T93="",T84=""),"",IF(T84&lt;=0,"",IFERROR(T93/T84,"")))</f>
        <v/>
      </c>
      <c r="U94" s="17">
        <f>IF(OR(U93="",U84=""),"",IF(U84&lt;=0,"",IFERROR(U93/U84,"")))</f>
        <v/>
      </c>
      <c r="V94" s="17">
        <f>IF(OR(V93="",V84=""),"",IF(V84&lt;=0,"",IFERROR(V93/V84,"")))</f>
        <v/>
      </c>
      <c r="W94" s="17">
        <f>IF(OR(W93="",W84=""),"",IF(W84&lt;=0,"",IFERROR(W93/W84,"")))</f>
        <v/>
      </c>
      <c r="X94" s="17">
        <f>IF(OR(X93="",X84=""),"",IF(X84&lt;=0,"",IFERROR(X93/X84,"")))</f>
        <v/>
      </c>
    </row>
    <row r="95">
      <c r="A95" s="45" t="inlineStr">
        <is>
          <t>YoY</t>
        </is>
      </c>
      <c r="B95" s="3" t="inlineStr">
        <is>
          <t>전년 같은 분기·전년 대비</t>
        </is>
      </c>
      <c r="G95" s="17">
        <f>IF(OR(G93="",C93=""),"",IF(C93&lt;=0,"",IFERROR(G93/C93-1,"")))</f>
        <v/>
      </c>
      <c r="H95" s="17">
        <f>IF(OR(H93="",D93=""),"",IF(D93&lt;=0,"",IFERROR(H93/D93-1,"")))</f>
        <v/>
      </c>
      <c r="I95" s="17">
        <f>IF(OR(I93="",E93=""),"",IF(E93&lt;=0,"",IFERROR(I93/E93-1,"")))</f>
        <v/>
      </c>
      <c r="J95" s="17">
        <f>IF(OR(J93="",F93=""),"",IF(F93&lt;=0,"",IFERROR(J93/F93-1,"")))</f>
        <v/>
      </c>
      <c r="K95" s="17">
        <f>IF(OR(K93="",G93=""),"",IF(G93&lt;=0,"",IFERROR(K93/G93-1,"")))</f>
        <v/>
      </c>
      <c r="L95" s="17">
        <f>IF(OR(L93="",H93=""),"",IF(H93&lt;=0,"",IFERROR(L93/H93-1,"")))</f>
        <v/>
      </c>
      <c r="M95" s="17">
        <f>IF(OR(M93="",I93=""),"",IF(I93&lt;=0,"",IFERROR(M93/I93-1,"")))</f>
        <v/>
      </c>
      <c r="N95" s="17">
        <f>IF(OR(N93="",J93=""),"",IF(J93&lt;=0,"",IFERROR(N93/J93-1,"")))</f>
        <v/>
      </c>
      <c r="T95" s="17">
        <f>IF(OR(T93="",S93=""),"",IF(S93&lt;=0,"",IFERROR(T93/S93-1,"")))</f>
        <v/>
      </c>
      <c r="U95" s="17">
        <f>IF(OR(U93="",T93=""),"",IF(T93&lt;=0,"",IFERROR(U93/T93-1,"")))</f>
        <v/>
      </c>
      <c r="V95" s="17">
        <f>IF(OR(V93="",U93=""),"",IF(U93&lt;=0,"",IFERROR(V93/U93-1,"")))</f>
        <v/>
      </c>
      <c r="W95" s="17">
        <f>IF(OR(W93="",V93=""),"",IF(V93&lt;=0,"",IFERROR(W93/V93-1,"")))</f>
        <v/>
      </c>
      <c r="X95" s="17">
        <f>IF(OR(X93="",W93=""),"",IF(W93&lt;=0,"",IFERROR(X93/W93-1,"")))</f>
        <v/>
      </c>
    </row>
    <row r="96">
      <c r="A96" s="20" t="inlineStr">
        <is>
          <t>금융수익</t>
        </is>
      </c>
      <c r="G96" s="22" t="n">
        <v>0</v>
      </c>
      <c r="H96" s="22" t="n">
        <v>0</v>
      </c>
      <c r="I96" s="22" t="n">
        <v>0</v>
      </c>
      <c r="J96" s="22" t="n">
        <v>55</v>
      </c>
      <c r="K96" s="22" t="n">
        <v>6</v>
      </c>
      <c r="L96" s="22" t="n">
        <v>59</v>
      </c>
      <c r="M96" s="22" t="n">
        <v>8</v>
      </c>
      <c r="N96" s="22" t="n">
        <v>92</v>
      </c>
      <c r="W96" s="22" t="n">
        <v>0</v>
      </c>
      <c r="X96" s="22" t="n">
        <v>59</v>
      </c>
    </row>
    <row r="97">
      <c r="A97" s="45" t="inlineStr">
        <is>
          <t>YoY</t>
        </is>
      </c>
      <c r="B97" s="3" t="inlineStr">
        <is>
          <t>전년 같은 분기·전년 대비</t>
        </is>
      </c>
      <c r="G97" s="17">
        <f>IF(OR(G96="",C96=""),"",IF(G96*C96&lt;=0,"",IFERROR(G96/C96-1,"")))</f>
        <v/>
      </c>
      <c r="H97" s="17">
        <f>IF(OR(H96="",D96=""),"",IF(H96*D96&lt;=0,"",IFERROR(H96/D96-1,"")))</f>
        <v/>
      </c>
      <c r="I97" s="17">
        <f>IF(OR(I96="",E96=""),"",IF(I96*E96&lt;=0,"",IFERROR(I96/E96-1,"")))</f>
        <v/>
      </c>
      <c r="J97" s="17">
        <f>IF(OR(J96="",F96=""),"",IF(J96*F96&lt;=0,"",IFERROR(J96/F96-1,"")))</f>
        <v/>
      </c>
      <c r="K97" s="17">
        <f>IF(OR(K96="",G96=""),"",IF(K96*G96&lt;=0,"",IFERROR(K96/G96-1,"")))</f>
        <v/>
      </c>
      <c r="L97" s="17">
        <f>IF(OR(L96="",H96=""),"",IF(L96*H96&lt;=0,"",IFERROR(L96/H96-1,"")))</f>
        <v/>
      </c>
      <c r="M97" s="17">
        <f>IF(OR(M96="",I96=""),"",IF(M96*I96&lt;=0,"",IFERROR(M96/I96-1,"")))</f>
        <v/>
      </c>
      <c r="N97" s="17">
        <f>IF(OR(N96="",J96=""),"",IF(N96*J96&lt;=0,"",IFERROR(N96/J96-1,"")))</f>
        <v/>
      </c>
      <c r="W97" s="17">
        <f>IF(OR(W96="",V96=""),"",IF(W96*V96&lt;=0,"",IFERROR(W96/V96-1,"")))</f>
        <v/>
      </c>
      <c r="X97" s="17">
        <f>IF(OR(X96="",W96=""),"",IF(X96*W96&lt;=0,"",IFERROR(X96/W96-1,"")))</f>
        <v/>
      </c>
    </row>
    <row r="98">
      <c r="A98" s="20" t="inlineStr">
        <is>
          <t>금융비용</t>
        </is>
      </c>
      <c r="C98" s="22" t="n">
        <v>18</v>
      </c>
      <c r="D98" s="22" t="n">
        <v>18</v>
      </c>
      <c r="E98" s="22" t="n">
        <v>19</v>
      </c>
      <c r="F98" s="22" t="n">
        <v>21</v>
      </c>
      <c r="G98" s="22" t="n">
        <v>19</v>
      </c>
      <c r="H98" s="22" t="n">
        <v>10</v>
      </c>
      <c r="I98" s="22" t="n">
        <v>17</v>
      </c>
      <c r="J98" s="22" t="n">
        <v>16</v>
      </c>
      <c r="K98" s="22" t="n">
        <v>15</v>
      </c>
      <c r="L98" s="22" t="n">
        <v>15</v>
      </c>
      <c r="M98" s="22" t="n">
        <v>18</v>
      </c>
      <c r="N98" s="22" t="n">
        <v>31</v>
      </c>
      <c r="T98" s="22" t="n">
        <v>11</v>
      </c>
      <c r="U98" s="22" t="n">
        <v>9</v>
      </c>
      <c r="V98" s="22" t="n">
        <v>18</v>
      </c>
      <c r="W98" s="22" t="n">
        <v>10</v>
      </c>
      <c r="X98" s="22" t="n">
        <v>15</v>
      </c>
    </row>
    <row r="99">
      <c r="A99" s="45" t="inlineStr">
        <is>
          <t>YoY</t>
        </is>
      </c>
      <c r="B99" s="3" t="inlineStr">
        <is>
          <t>전년 같은 분기·전년 대비</t>
        </is>
      </c>
      <c r="G99" s="17">
        <f>IF(OR(G98="",C98=""),"",IF(G98*C98&lt;=0,"",IFERROR(G98/C98-1,"")))</f>
        <v/>
      </c>
      <c r="H99" s="17">
        <f>IF(OR(H98="",D98=""),"",IF(H98*D98&lt;=0,"",IFERROR(H98/D98-1,"")))</f>
        <v/>
      </c>
      <c r="I99" s="17">
        <f>IF(OR(I98="",E98=""),"",IF(I98*E98&lt;=0,"",IFERROR(I98/E98-1,"")))</f>
        <v/>
      </c>
      <c r="J99" s="17">
        <f>IF(OR(J98="",F98=""),"",IF(J98*F98&lt;=0,"",IFERROR(J98/F98-1,"")))</f>
        <v/>
      </c>
      <c r="K99" s="17">
        <f>IF(OR(K98="",G98=""),"",IF(K98*G98&lt;=0,"",IFERROR(K98/G98-1,"")))</f>
        <v/>
      </c>
      <c r="L99" s="17">
        <f>IF(OR(L98="",H98=""),"",IF(L98*H98&lt;=0,"",IFERROR(L98/H98-1,"")))</f>
        <v/>
      </c>
      <c r="M99" s="17">
        <f>IF(OR(M98="",I98=""),"",IF(M98*I98&lt;=0,"",IFERROR(M98/I98-1,"")))</f>
        <v/>
      </c>
      <c r="N99" s="17">
        <f>IF(OR(N98="",J98=""),"",IF(N98*J98&lt;=0,"",IFERROR(N98/J98-1,"")))</f>
        <v/>
      </c>
      <c r="T99" s="17">
        <f>IF(OR(T98="",S98=""),"",IF(T98*S98&lt;=0,"",IFERROR(T98/S98-1,"")))</f>
        <v/>
      </c>
      <c r="U99" s="17">
        <f>IF(OR(U98="",T98=""),"",IF(U98*T98&lt;=0,"",IFERROR(U98/T98-1,"")))</f>
        <v/>
      </c>
      <c r="V99" s="17">
        <f>IF(OR(V98="",U98=""),"",IF(V98*U98&lt;=0,"",IFERROR(V98/U98-1,"")))</f>
        <v/>
      </c>
      <c r="W99" s="17">
        <f>IF(OR(W98="",V98=""),"",IF(W98*V98&lt;=0,"",IFERROR(W98/V98-1,"")))</f>
        <v/>
      </c>
      <c r="X99" s="17">
        <f>IF(OR(X98="",W98=""),"",IF(X98*W98&lt;=0,"",IFERROR(X98/W98-1,"")))</f>
        <v/>
      </c>
    </row>
    <row r="100">
      <c r="A100" s="9" t="inlineStr">
        <is>
          <t>법인세비용차감전 중간이익</t>
        </is>
      </c>
      <c r="C100" s="12" t="n">
        <v>8678</v>
      </c>
      <c r="D100" s="12" t="n">
        <v>10007</v>
      </c>
      <c r="E100" s="12" t="n">
        <v>9436</v>
      </c>
      <c r="F100" s="12" t="n">
        <v>8653</v>
      </c>
      <c r="G100" s="12" t="n">
        <v>10599</v>
      </c>
      <c r="H100" s="12" t="n">
        <v>13858</v>
      </c>
      <c r="I100" s="12" t="n">
        <v>12190</v>
      </c>
      <c r="J100" s="12" t="n">
        <v>11102</v>
      </c>
      <c r="K100" s="12" t="n">
        <v>11914</v>
      </c>
      <c r="L100" s="12" t="n">
        <v>15782</v>
      </c>
      <c r="M100" s="12" t="n">
        <v>14471</v>
      </c>
      <c r="N100" s="12" t="n">
        <v>15472</v>
      </c>
      <c r="T100" s="12" t="n">
        <v>6236</v>
      </c>
      <c r="U100" s="12" t="n">
        <v>9006</v>
      </c>
      <c r="V100" s="12" t="n">
        <v>10007</v>
      </c>
      <c r="W100" s="12" t="n">
        <v>13858</v>
      </c>
      <c r="X100" s="12" t="n">
        <v>15782</v>
      </c>
    </row>
    <row r="101">
      <c r="A101" s="20" t="inlineStr">
        <is>
          <t>법인소득세 비용</t>
        </is>
      </c>
      <c r="C101" s="22" t="n">
        <v>2356</v>
      </c>
      <c r="D101" s="22" t="n">
        <v>2221</v>
      </c>
      <c r="E101" s="22" t="n">
        <v>2463</v>
      </c>
      <c r="F101" s="22" t="n">
        <v>2258</v>
      </c>
      <c r="G101" s="22" t="n">
        <v>2767</v>
      </c>
      <c r="H101" s="22" t="n">
        <v>4298</v>
      </c>
      <c r="I101" s="22" t="n">
        <v>3174</v>
      </c>
      <c r="J101" s="22" t="n">
        <v>2889</v>
      </c>
      <c r="K101" s="22" t="n">
        <v>3100</v>
      </c>
      <c r="L101" s="22" t="n">
        <v>3985</v>
      </c>
      <c r="M101" s="22" t="n">
        <v>3738</v>
      </c>
      <c r="N101" s="22" t="n">
        <v>3996</v>
      </c>
      <c r="T101" s="22" t="n">
        <v>1725</v>
      </c>
      <c r="U101" s="22" t="n">
        <v>1919</v>
      </c>
      <c r="V101" s="22" t="n">
        <v>2221</v>
      </c>
      <c r="W101" s="22" t="n">
        <v>4298</v>
      </c>
      <c r="X101" s="22" t="n">
        <v>3985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9" t="inlineStr">
        <is>
          <t>중간이익</t>
        </is>
      </c>
      <c r="C103" s="12" t="n">
        <v>6322</v>
      </c>
      <c r="D103" s="12" t="n">
        <v>7786</v>
      </c>
      <c r="E103" s="12" t="n">
        <v>6973</v>
      </c>
      <c r="F103" s="12" t="n">
        <v>6395</v>
      </c>
      <c r="G103" s="12" t="n">
        <v>7832</v>
      </c>
      <c r="H103" s="12" t="n">
        <v>9560</v>
      </c>
      <c r="I103" s="12" t="n">
        <v>9016</v>
      </c>
      <c r="J103" s="12" t="n">
        <v>8213</v>
      </c>
      <c r="K103" s="12" t="n">
        <v>8814</v>
      </c>
      <c r="L103" s="12" t="n">
        <v>11797</v>
      </c>
      <c r="M103" s="12" t="n">
        <v>10733</v>
      </c>
      <c r="N103" s="12" t="n">
        <v>11476</v>
      </c>
      <c r="T103" s="12" t="n">
        <v>4511</v>
      </c>
      <c r="U103" s="12" t="n">
        <v>7087</v>
      </c>
      <c r="V103" s="12" t="n">
        <v>7786</v>
      </c>
      <c r="W103" s="12" t="n">
        <v>9560</v>
      </c>
      <c r="X103" s="12" t="n">
        <v>11797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IF(OR(G103="",C103=""),"",IF(C103&lt;=0,"",IFERROR(G103/C103-1,"")))</f>
        <v/>
      </c>
      <c r="H104" s="17">
        <f>IF(OR(H103="",D103=""),"",IF(D103&lt;=0,"",IFERROR(H103/D103-1,"")))</f>
        <v/>
      </c>
      <c r="I104" s="17">
        <f>IF(OR(I103="",E103=""),"",IF(E103&lt;=0,"",IFERROR(I103/E103-1,"")))</f>
        <v/>
      </c>
      <c r="J104" s="17">
        <f>IF(OR(J103="",F103=""),"",IF(F103&lt;=0,"",IFERROR(J103/F103-1,"")))</f>
        <v/>
      </c>
      <c r="K104" s="17">
        <f>IF(OR(K103="",G103=""),"",IF(G103&lt;=0,"",IFERROR(K103/G103-1,"")))</f>
        <v/>
      </c>
      <c r="L104" s="17">
        <f>IF(OR(L103="",H103=""),"",IF(H103&lt;=0,"",IFERROR(L103/H103-1,"")))</f>
        <v/>
      </c>
      <c r="M104" s="17">
        <f>IF(OR(M103="",I103=""),"",IF(I103&lt;=0,"",IFERROR(M103/I103-1,"")))</f>
        <v/>
      </c>
      <c r="N104" s="17">
        <f>IF(OR(N103="",J103=""),"",IF(J103&lt;=0,"",IFERROR(N103/J103-1,"")))</f>
        <v/>
      </c>
      <c r="T104" s="17">
        <f>IF(OR(T103="",S103=""),"",IF(S103&lt;=0,"",IFERROR(T103/S103-1,"")))</f>
        <v/>
      </c>
      <c r="U104" s="17">
        <f>IF(OR(U103="",T103=""),"",IF(T103&lt;=0,"",IFERROR(U103/T103-1,"")))</f>
        <v/>
      </c>
      <c r="V104" s="17">
        <f>IF(OR(V103="",U103=""),"",IF(U103&lt;=0,"",IFERROR(V103/U103-1,"")))</f>
        <v/>
      </c>
      <c r="W104" s="17">
        <f>IF(OR(W103="",V103=""),"",IF(V103&lt;=0,"",IFERROR(W103/V103-1,"")))</f>
        <v/>
      </c>
      <c r="X104" s="17">
        <f>IF(OR(X103="",W103=""),"",IF(W103&lt;=0,"",IFERROR(X103/W103-1,"")))</f>
        <v/>
      </c>
    </row>
    <row r="105">
      <c r="A105" s="20" t="inlineStr">
        <is>
          <t>기본 주당 중간이익(엔)</t>
        </is>
      </c>
      <c r="C105" s="22" t="n">
        <v>4.138000000000001e-05</v>
      </c>
      <c r="D105" s="22" t="n">
        <v>5.094999999999999e-05</v>
      </c>
      <c r="E105" s="22" t="n">
        <v>4.571e-05</v>
      </c>
      <c r="F105" s="22" t="n">
        <v>4.209e-05</v>
      </c>
      <c r="G105" s="22" t="n">
        <v>5.151000000000001e-05</v>
      </c>
      <c r="H105" s="22" t="n">
        <v>6.285e-05</v>
      </c>
      <c r="I105" s="22" t="n">
        <v>5.932e-05</v>
      </c>
      <c r="J105" s="22" t="n">
        <v>5.412e-05</v>
      </c>
      <c r="K105" s="22" t="n">
        <v>5.803999999999999e-05</v>
      </c>
      <c r="L105" s="22" t="n">
        <v>7.768e-05</v>
      </c>
      <c r="M105" s="22" t="n">
        <v>7.099e-05</v>
      </c>
      <c r="N105" s="22" t="n">
        <v>7.764e-05</v>
      </c>
      <c r="T105" s="22" t="n">
        <v>2.938e-05</v>
      </c>
      <c r="U105" s="22" t="n">
        <v>4.625000000000001e-05</v>
      </c>
      <c r="V105" s="22" t="n">
        <v>5.094999999999999e-05</v>
      </c>
      <c r="W105" s="22" t="n">
        <v>6.285e-05</v>
      </c>
      <c r="X105" s="22" t="n">
        <v>7.768e-05</v>
      </c>
    </row>
    <row r="106">
      <c r="A106" s="20" t="inlineStr">
        <is>
          <t>희석 주당 중간이익(엔)</t>
        </is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T106" s="22" t="n">
        <v>2.930000000000001e-05</v>
      </c>
      <c r="U106" s="22" t="n">
        <v>0</v>
      </c>
      <c r="V106" s="22" t="n">
        <v>0</v>
      </c>
      <c r="W106" s="22" t="n">
        <v>0</v>
      </c>
      <c r="X106" s="22" t="n">
        <v>0</v>
      </c>
    </row>
    <row r="107">
      <c r="A107" s="9" t="inlineStr">
        <is>
          <t>지배기업 소유주</t>
        </is>
      </c>
      <c r="D107" s="12" t="n">
        <v>7786</v>
      </c>
      <c r="E107" s="12" t="n">
        <v>6973</v>
      </c>
      <c r="F107" s="12" t="n">
        <v>6395</v>
      </c>
      <c r="G107" s="12" t="n">
        <v>7832</v>
      </c>
      <c r="H107" s="12" t="n">
        <v>9560</v>
      </c>
      <c r="I107" s="12" t="n">
        <v>9016</v>
      </c>
      <c r="J107" s="12" t="n">
        <v>8213</v>
      </c>
      <c r="K107" s="12" t="n">
        <v>8814</v>
      </c>
      <c r="L107" s="12" t="n">
        <v>11797</v>
      </c>
      <c r="M107" s="12" t="n">
        <v>10733</v>
      </c>
      <c r="N107" s="12" t="n">
        <v>11476</v>
      </c>
      <c r="V107" s="12" t="n">
        <v>7786</v>
      </c>
      <c r="W107" s="12" t="n">
        <v>9560</v>
      </c>
      <c r="X107" s="12" t="n">
        <v>11797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IF(OR(G107="",C107=""),"",IF(C107&lt;=0,"",IFERROR(G107/C107-1,"")))</f>
        <v/>
      </c>
      <c r="H108" s="17">
        <f>IF(OR(H107="",D107=""),"",IF(D107&lt;=0,"",IFERROR(H107/D107-1,"")))</f>
        <v/>
      </c>
      <c r="I108" s="17">
        <f>IF(OR(I107="",E107=""),"",IF(E107&lt;=0,"",IFERROR(I107/E107-1,"")))</f>
        <v/>
      </c>
      <c r="J108" s="17">
        <f>IF(OR(J107="",F107=""),"",IF(F107&lt;=0,"",IFERROR(J107/F107-1,"")))</f>
        <v/>
      </c>
      <c r="K108" s="17">
        <f>IF(OR(K107="",G107=""),"",IF(G107&lt;=0,"",IFERROR(K107/G107-1,"")))</f>
        <v/>
      </c>
      <c r="L108" s="17">
        <f>IF(OR(L107="",H107=""),"",IF(H107&lt;=0,"",IFERROR(L107/H107-1,"")))</f>
        <v/>
      </c>
      <c r="M108" s="17">
        <f>IF(OR(M107="",I107=""),"",IF(I107&lt;=0,"",IFERROR(M107/I107-1,"")))</f>
        <v/>
      </c>
      <c r="N108" s="17">
        <f>IF(OR(N107="",J107=""),"",IF(J107&lt;=0,"",IFERROR(N107/J107-1,"")))</f>
        <v/>
      </c>
      <c r="V108" s="17">
        <f>IF(OR(V107="",U107=""),"",IF(U107&lt;=0,"",IFERROR(V107/U107-1,"")))</f>
        <v/>
      </c>
      <c r="W108" s="17">
        <f>IF(OR(W107="",V107=""),"",IF(V107&lt;=0,"",IFERROR(W107/V107-1,"")))</f>
        <v/>
      </c>
      <c r="X108" s="17">
        <f>IF(OR(X107="",W107=""),"",IF(W107&lt;=0,"",IFERROR(X107/W107-1,"")))</f>
        <v/>
      </c>
    </row>
    <row r="110">
      <c r="A110" s="18" t="inlineStr">
        <is>
          <t>포괄손익 · 전 항목</t>
        </is>
      </c>
      <c r="B110" s="44" t="inlineStr">
        <is>
          <t>분기 = 3개월 단독</t>
        </is>
      </c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</row>
    <row r="111">
      <c r="A111" s="5" t="inlineStr">
        <is>
          <t>항목</t>
        </is>
      </c>
      <c r="B111" s="5" t="inlineStr">
        <is>
          <t>참고</t>
        </is>
      </c>
      <c r="C111" s="5" t="inlineStr">
        <is>
          <t>2024.3Q</t>
        </is>
      </c>
      <c r="D111" s="5" t="inlineStr">
        <is>
          <t>2024.4Q</t>
        </is>
      </c>
      <c r="E111" s="5" t="inlineStr">
        <is>
          <t>2025.1Q</t>
        </is>
      </c>
      <c r="F111" s="5" t="inlineStr">
        <is>
          <t>2025.2Q</t>
        </is>
      </c>
      <c r="G111" s="5" t="inlineStr">
        <is>
          <t>2025.3Q</t>
        </is>
      </c>
      <c r="H111" s="5" t="inlineStr">
        <is>
          <t>2025.4Q</t>
        </is>
      </c>
      <c r="I111" s="5" t="inlineStr">
        <is>
          <t>2026.1Q</t>
        </is>
      </c>
      <c r="J111" s="5" t="inlineStr">
        <is>
          <t>2026.2Q</t>
        </is>
      </c>
      <c r="K111" s="5" t="inlineStr">
        <is>
          <t>2026.3Q</t>
        </is>
      </c>
      <c r="L111" s="5" t="inlineStr">
        <is>
          <t>2026.4Q</t>
        </is>
      </c>
      <c r="M111" s="5" t="inlineStr">
        <is>
          <t>2027.1Q</t>
        </is>
      </c>
      <c r="N111" s="5" t="inlineStr">
        <is>
          <t>2027.2Q</t>
        </is>
      </c>
      <c r="O111" s="5" t="inlineStr">
        <is>
          <t>2017</t>
        </is>
      </c>
      <c r="P111" s="5" t="inlineStr">
        <is>
          <t>2018</t>
        </is>
      </c>
      <c r="Q111" s="5" t="inlineStr">
        <is>
          <t>2019</t>
        </is>
      </c>
      <c r="R111" s="5" t="inlineStr">
        <is>
          <t>2020</t>
        </is>
      </c>
      <c r="S111" s="5" t="inlineStr">
        <is>
          <t>2021</t>
        </is>
      </c>
      <c r="T111" s="5" t="inlineStr">
        <is>
          <t>2022</t>
        </is>
      </c>
      <c r="U111" s="5" t="inlineStr">
        <is>
          <t>2023</t>
        </is>
      </c>
      <c r="V111" s="5" t="inlineStr">
        <is>
          <t>2024</t>
        </is>
      </c>
      <c r="W111" s="5" t="inlineStr">
        <is>
          <t>2025</t>
        </is>
      </c>
      <c r="X111" s="5" t="inlineStr">
        <is>
          <t>2026</t>
        </is>
      </c>
      <c r="Y111" s="5" t="inlineStr">
        <is>
          <t>2027(MW)</t>
        </is>
      </c>
      <c r="Z111" s="5" t="inlineStr">
        <is>
          <t>2028(MW)</t>
        </is>
      </c>
      <c r="AA111" s="5" t="inlineStr">
        <is>
          <t>2029(MW)</t>
        </is>
      </c>
      <c r="AB111" s="5" t="inlineStr">
        <is>
          <t>2030(MW)</t>
        </is>
      </c>
      <c r="AC111" s="5" t="inlineStr">
        <is>
          <t>2031(MW)</t>
        </is>
      </c>
    </row>
    <row r="112">
      <c r="A112" s="9" t="inlineStr">
        <is>
          <t>중간이익</t>
        </is>
      </c>
      <c r="C112" s="12" t="n">
        <v>6322</v>
      </c>
      <c r="D112" s="12" t="n">
        <v>7786</v>
      </c>
      <c r="E112" s="12" t="n">
        <v>6973</v>
      </c>
      <c r="F112" s="12" t="n">
        <v>6395</v>
      </c>
      <c r="G112" s="12" t="n">
        <v>7832</v>
      </c>
      <c r="H112" s="12" t="n">
        <v>9560</v>
      </c>
      <c r="I112" s="12" t="n">
        <v>9016</v>
      </c>
      <c r="J112" s="12" t="n">
        <v>8213</v>
      </c>
      <c r="K112" s="12" t="n">
        <v>8814</v>
      </c>
      <c r="L112" s="12" t="n">
        <v>11797</v>
      </c>
      <c r="M112" s="12" t="n">
        <v>10733</v>
      </c>
      <c r="N112" s="12" t="n">
        <v>11476</v>
      </c>
      <c r="T112" s="12" t="n">
        <v>4511</v>
      </c>
      <c r="U112" s="12" t="n">
        <v>7087</v>
      </c>
      <c r="V112" s="12" t="n">
        <v>7786</v>
      </c>
      <c r="W112" s="12" t="n">
        <v>9560</v>
      </c>
      <c r="X112" s="12" t="n">
        <v>11797</v>
      </c>
    </row>
    <row r="113">
      <c r="A113" s="20" t="inlineStr">
        <is>
          <t>기타포괄손익-공정가치 측정 금융자산</t>
        </is>
      </c>
      <c r="G113" s="22" t="n">
        <v>0</v>
      </c>
      <c r="I113" s="22" t="n">
        <v>0</v>
      </c>
      <c r="J113" s="22" t="n">
        <v>-0</v>
      </c>
      <c r="K113" s="22" t="n">
        <v>5</v>
      </c>
      <c r="M113" s="22" t="n">
        <v>-4</v>
      </c>
      <c r="N113" s="22" t="n">
        <v>8</v>
      </c>
    </row>
    <row r="114">
      <c r="A114" s="20" t="inlineStr">
        <is>
          <t>기타포괄손익 합계</t>
        </is>
      </c>
      <c r="C114" s="22" t="n">
        <v>0</v>
      </c>
      <c r="D114" s="22" t="n">
        <v>0</v>
      </c>
      <c r="E114" s="22" t="n">
        <v>0</v>
      </c>
      <c r="F114" s="22" t="n">
        <v>0</v>
      </c>
      <c r="G114" s="22" t="n">
        <v>0</v>
      </c>
      <c r="H114" s="22" t="n">
        <v>0</v>
      </c>
      <c r="I114" s="22" t="n">
        <v>0</v>
      </c>
      <c r="J114" s="22" t="n">
        <v>-0</v>
      </c>
      <c r="K114" s="22" t="n">
        <v>5</v>
      </c>
      <c r="L114" s="22" t="n">
        <v>9</v>
      </c>
      <c r="M114" s="22" t="n">
        <v>-4</v>
      </c>
      <c r="N114" s="22" t="n">
        <v>8</v>
      </c>
      <c r="T114" s="22" t="n">
        <v>0</v>
      </c>
      <c r="U114" s="22" t="n">
        <v>0</v>
      </c>
      <c r="V114" s="22" t="n">
        <v>0</v>
      </c>
      <c r="W114" s="22" t="n">
        <v>0</v>
      </c>
      <c r="X114" s="22" t="n">
        <v>9</v>
      </c>
    </row>
    <row r="115">
      <c r="A115" s="9" t="inlineStr">
        <is>
          <t>포괄이익</t>
        </is>
      </c>
      <c r="C115" s="12" t="n">
        <v>6322</v>
      </c>
      <c r="D115" s="12" t="n">
        <v>7786</v>
      </c>
      <c r="E115" s="12" t="n">
        <v>6973</v>
      </c>
      <c r="F115" s="12" t="n">
        <v>6395</v>
      </c>
      <c r="G115" s="12" t="n">
        <v>7832</v>
      </c>
      <c r="H115" s="12" t="n">
        <v>9560</v>
      </c>
      <c r="I115" s="12" t="n">
        <v>9016</v>
      </c>
      <c r="J115" s="12" t="n">
        <v>8213</v>
      </c>
      <c r="K115" s="12" t="n">
        <v>8819</v>
      </c>
      <c r="L115" s="12" t="n">
        <v>11806</v>
      </c>
      <c r="M115" s="12" t="n">
        <v>10729</v>
      </c>
      <c r="N115" s="12" t="n">
        <v>11484</v>
      </c>
      <c r="T115" s="12" t="n">
        <v>4511</v>
      </c>
      <c r="U115" s="12" t="n">
        <v>7087</v>
      </c>
      <c r="V115" s="12" t="n">
        <v>7786</v>
      </c>
      <c r="W115" s="12" t="n">
        <v>9560</v>
      </c>
      <c r="X115" s="12" t="n">
        <v>11806</v>
      </c>
    </row>
    <row r="116">
      <c r="A116" s="9" t="inlineStr">
        <is>
          <t>지배기업 소유주</t>
        </is>
      </c>
      <c r="D116" s="12" t="n">
        <v>7786</v>
      </c>
      <c r="E116" s="12" t="n">
        <v>6973</v>
      </c>
      <c r="F116" s="12" t="n">
        <v>6395</v>
      </c>
      <c r="G116" s="12" t="n">
        <v>7832</v>
      </c>
      <c r="H116" s="12" t="n">
        <v>9560</v>
      </c>
      <c r="I116" s="12" t="n">
        <v>9016</v>
      </c>
      <c r="J116" s="12" t="n">
        <v>8213</v>
      </c>
      <c r="K116" s="12" t="n">
        <v>8819</v>
      </c>
      <c r="L116" s="12" t="n">
        <v>11806</v>
      </c>
      <c r="M116" s="12" t="n">
        <v>10729</v>
      </c>
      <c r="N116" s="12" t="n">
        <v>11484</v>
      </c>
      <c r="V116" s="12" t="n">
        <v>7786</v>
      </c>
      <c r="W116" s="12" t="n">
        <v>9560</v>
      </c>
      <c r="X116" s="12" t="n">
        <v>11806</v>
      </c>
    </row>
    <row r="118">
      <c r="A118" s="18" t="inlineStr">
        <is>
          <t>현금흐름표 · 전 항목</t>
        </is>
      </c>
      <c r="B118" s="44" t="inlineStr">
        <is>
          <t>분기 = 결산기 첫날부터 누계(공시 그대로)</t>
        </is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</row>
    <row r="119">
      <c r="A119" s="5" t="inlineStr">
        <is>
          <t>항목</t>
        </is>
      </c>
      <c r="B119" s="5" t="inlineStr">
        <is>
          <t>참고</t>
        </is>
      </c>
      <c r="C119" s="5" t="inlineStr">
        <is>
          <t>2024.3Q</t>
        </is>
      </c>
      <c r="D119" s="5" t="inlineStr">
        <is>
          <t>2024.4Q</t>
        </is>
      </c>
      <c r="E119" s="5" t="inlineStr">
        <is>
          <t>2025.1Q</t>
        </is>
      </c>
      <c r="F119" s="5" t="inlineStr">
        <is>
          <t>2025.2Q</t>
        </is>
      </c>
      <c r="G119" s="5" t="inlineStr">
        <is>
          <t>2025.3Q</t>
        </is>
      </c>
      <c r="H119" s="5" t="inlineStr">
        <is>
          <t>2025.4Q</t>
        </is>
      </c>
      <c r="I119" s="5" t="inlineStr">
        <is>
          <t>2026.1Q</t>
        </is>
      </c>
      <c r="J119" s="5" t="inlineStr">
        <is>
          <t>2026.2Q</t>
        </is>
      </c>
      <c r="K119" s="5" t="inlineStr">
        <is>
          <t>2026.3Q</t>
        </is>
      </c>
      <c r="L119" s="5" t="inlineStr">
        <is>
          <t>2026.4Q</t>
        </is>
      </c>
      <c r="M119" s="5" t="inlineStr">
        <is>
          <t>2027.1Q</t>
        </is>
      </c>
      <c r="N119" s="5" t="inlineStr">
        <is>
          <t>2027.2Q</t>
        </is>
      </c>
      <c r="O119" s="5" t="inlineStr">
        <is>
          <t>2017</t>
        </is>
      </c>
      <c r="P119" s="5" t="inlineStr">
        <is>
          <t>2018</t>
        </is>
      </c>
      <c r="Q119" s="5" t="inlineStr">
        <is>
          <t>2019</t>
        </is>
      </c>
      <c r="R119" s="5" t="inlineStr">
        <is>
          <t>2020</t>
        </is>
      </c>
      <c r="S119" s="5" t="inlineStr">
        <is>
          <t>2021</t>
        </is>
      </c>
      <c r="T119" s="5" t="inlineStr">
        <is>
          <t>2022</t>
        </is>
      </c>
      <c r="U119" s="5" t="inlineStr">
        <is>
          <t>2023</t>
        </is>
      </c>
      <c r="V119" s="5" t="inlineStr">
        <is>
          <t>2024</t>
        </is>
      </c>
      <c r="W119" s="5" t="inlineStr">
        <is>
          <t>2025</t>
        </is>
      </c>
      <c r="X119" s="5" t="inlineStr">
        <is>
          <t>2026</t>
        </is>
      </c>
      <c r="Y119" s="5" t="inlineStr">
        <is>
          <t>2027(MW)</t>
        </is>
      </c>
      <c r="Z119" s="5" t="inlineStr">
        <is>
          <t>2028(MW)</t>
        </is>
      </c>
      <c r="AA119" s="5" t="inlineStr">
        <is>
          <t>2029(MW)</t>
        </is>
      </c>
      <c r="AB119" s="5" t="inlineStr">
        <is>
          <t>2030(MW)</t>
        </is>
      </c>
      <c r="AC119" s="5" t="inlineStr">
        <is>
          <t>2031(MW)</t>
        </is>
      </c>
    </row>
    <row r="120">
      <c r="A120" s="9" t="inlineStr">
        <is>
          <t>법인세비용차감전 중간이익</t>
        </is>
      </c>
      <c r="C120" s="12" t="n">
        <v>24153</v>
      </c>
      <c r="D120" s="12" t="n">
        <v>34160</v>
      </c>
      <c r="E120" s="12" t="n">
        <v>9436</v>
      </c>
      <c r="F120" s="12" t="n">
        <v>18089</v>
      </c>
      <c r="G120" s="12" t="n">
        <v>28688</v>
      </c>
      <c r="H120" s="12" t="n">
        <v>42546</v>
      </c>
      <c r="I120" s="12" t="n">
        <v>12190</v>
      </c>
      <c r="J120" s="12" t="n">
        <v>23292</v>
      </c>
      <c r="K120" s="12" t="n">
        <v>35206</v>
      </c>
      <c r="L120" s="12" t="n">
        <v>50988</v>
      </c>
      <c r="M120" s="12" t="n">
        <v>14471</v>
      </c>
      <c r="N120" s="12" t="n">
        <v>29943</v>
      </c>
      <c r="Q120" s="12" t="n">
        <v>4386</v>
      </c>
      <c r="R120" s="12" t="n">
        <v>7976</v>
      </c>
      <c r="S120" s="12" t="n">
        <v>13477</v>
      </c>
      <c r="T120" s="12" t="n">
        <v>21469</v>
      </c>
      <c r="U120" s="12" t="n">
        <v>29875</v>
      </c>
      <c r="V120" s="12" t="n">
        <v>34160</v>
      </c>
      <c r="W120" s="12" t="n">
        <v>42546</v>
      </c>
      <c r="X120" s="12" t="n">
        <v>50988</v>
      </c>
    </row>
    <row r="121">
      <c r="A121" s="20" t="inlineStr">
        <is>
          <t>감가상각비 및 상각비</t>
        </is>
      </c>
      <c r="C121" s="22" t="n">
        <v>1662</v>
      </c>
      <c r="D121" s="22" t="n">
        <v>2415</v>
      </c>
      <c r="E121" s="22" t="n">
        <v>569</v>
      </c>
      <c r="F121" s="22" t="n">
        <v>1274</v>
      </c>
      <c r="G121" s="22" t="n">
        <v>1886</v>
      </c>
      <c r="H121" s="22" t="n">
        <v>2489</v>
      </c>
      <c r="I121" s="22" t="n">
        <v>608</v>
      </c>
      <c r="J121" s="22" t="n">
        <v>1217</v>
      </c>
      <c r="K121" s="22" t="n">
        <v>1825</v>
      </c>
      <c r="L121" s="22" t="n">
        <v>2525</v>
      </c>
      <c r="M121" s="22" t="n">
        <v>921</v>
      </c>
      <c r="N121" s="22" t="n">
        <v>2016</v>
      </c>
      <c r="Q121" s="22" t="n">
        <v>238</v>
      </c>
      <c r="R121" s="22" t="n">
        <v>817</v>
      </c>
      <c r="S121" s="22" t="n">
        <v>989</v>
      </c>
      <c r="T121" s="22" t="n">
        <v>841</v>
      </c>
      <c r="U121" s="22" t="n">
        <v>1064</v>
      </c>
      <c r="V121" s="22" t="n">
        <v>2415</v>
      </c>
      <c r="W121" s="22" t="n">
        <v>2489</v>
      </c>
      <c r="X121" s="22" t="n">
        <v>2525</v>
      </c>
    </row>
    <row r="122">
      <c r="A122" s="20" t="inlineStr">
        <is>
          <t>주식보상비용</t>
        </is>
      </c>
      <c r="C122" s="22" t="n">
        <v>522</v>
      </c>
      <c r="D122" s="22" t="n">
        <v>679</v>
      </c>
      <c r="E122" s="22" t="n">
        <v>161</v>
      </c>
      <c r="F122" s="22" t="n">
        <v>359</v>
      </c>
      <c r="G122" s="22" t="n">
        <v>546</v>
      </c>
      <c r="H122" s="22" t="n">
        <v>739</v>
      </c>
      <c r="I122" s="22" t="n">
        <v>318</v>
      </c>
      <c r="J122" s="22" t="n">
        <v>549</v>
      </c>
      <c r="K122" s="22" t="n">
        <v>773</v>
      </c>
      <c r="L122" s="22" t="n">
        <v>1002</v>
      </c>
      <c r="M122" s="22" t="n">
        <v>201</v>
      </c>
      <c r="N122" s="22" t="n">
        <v>644</v>
      </c>
      <c r="Q122" s="22" t="n">
        <v>54</v>
      </c>
      <c r="R122" s="22" t="n">
        <v>152</v>
      </c>
      <c r="S122" s="22" t="n">
        <v>306</v>
      </c>
      <c r="T122" s="22" t="n">
        <v>465</v>
      </c>
      <c r="U122" s="22" t="n">
        <v>579</v>
      </c>
      <c r="V122" s="22" t="n">
        <v>679</v>
      </c>
      <c r="W122" s="22" t="n">
        <v>739</v>
      </c>
      <c r="X122" s="22" t="n">
        <v>1002</v>
      </c>
    </row>
    <row r="123">
      <c r="A123" s="20" t="inlineStr">
        <is>
          <t>금융수익</t>
        </is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-55</v>
      </c>
      <c r="K123" s="22" t="n">
        <v>-61</v>
      </c>
      <c r="L123" s="22" t="n">
        <v>-120</v>
      </c>
      <c r="M123" s="22" t="n">
        <v>-8</v>
      </c>
      <c r="N123" s="22" t="n">
        <v>-100</v>
      </c>
      <c r="W123" s="22" t="n">
        <v>0</v>
      </c>
      <c r="X123" s="22" t="n">
        <v>-120</v>
      </c>
    </row>
    <row r="124">
      <c r="A124" s="20" t="inlineStr">
        <is>
          <t>금융비용</t>
        </is>
      </c>
      <c r="C124" s="22" t="n">
        <v>41</v>
      </c>
      <c r="D124" s="22" t="n">
        <v>59</v>
      </c>
      <c r="E124" s="22" t="n">
        <v>19</v>
      </c>
      <c r="F124" s="22" t="n">
        <v>40</v>
      </c>
      <c r="G124" s="22" t="n">
        <v>59</v>
      </c>
      <c r="H124" s="22" t="n">
        <v>69</v>
      </c>
      <c r="I124" s="22" t="n">
        <v>17</v>
      </c>
      <c r="J124" s="22" t="n">
        <v>33</v>
      </c>
      <c r="K124" s="22" t="n">
        <v>48</v>
      </c>
      <c r="L124" s="22" t="n">
        <v>63</v>
      </c>
      <c r="M124" s="22" t="n">
        <v>18</v>
      </c>
      <c r="N124" s="22" t="n">
        <v>49</v>
      </c>
      <c r="Q124" s="22" t="n">
        <v>103</v>
      </c>
      <c r="R124" s="22" t="n">
        <v>62</v>
      </c>
      <c r="S124" s="22" t="n">
        <v>74</v>
      </c>
      <c r="T124" s="22" t="n">
        <v>49</v>
      </c>
      <c r="U124" s="22" t="n">
        <v>41</v>
      </c>
      <c r="V124" s="22" t="n">
        <v>59</v>
      </c>
      <c r="W124" s="22" t="n">
        <v>69</v>
      </c>
      <c r="X124" s="22" t="n">
        <v>63</v>
      </c>
    </row>
    <row r="125">
      <c r="A125" s="20" t="inlineStr">
        <is>
          <t>매출채권 및 기타채권 증감액</t>
        </is>
      </c>
      <c r="C125" s="22" t="n">
        <v>-465</v>
      </c>
      <c r="D125" s="22" t="n">
        <v>-3951</v>
      </c>
      <c r="E125" s="22" t="n">
        <v>3699</v>
      </c>
      <c r="F125" s="22" t="n">
        <v>40</v>
      </c>
      <c r="G125" s="22" t="n">
        <v>-792</v>
      </c>
      <c r="H125" s="22" t="n">
        <v>-6631</v>
      </c>
      <c r="I125" s="22" t="n">
        <v>3550</v>
      </c>
      <c r="J125" s="22" t="n">
        <v>721</v>
      </c>
      <c r="K125" s="22" t="n">
        <v>-774</v>
      </c>
      <c r="L125" s="22" t="n">
        <v>-11434</v>
      </c>
      <c r="M125" s="22" t="n">
        <v>7740</v>
      </c>
      <c r="N125" s="22" t="n">
        <v>1166</v>
      </c>
      <c r="Q125" s="22" t="n">
        <v>-1108</v>
      </c>
      <c r="R125" s="22" t="n">
        <v>-1396</v>
      </c>
      <c r="S125" s="22" t="n">
        <v>-900</v>
      </c>
      <c r="T125" s="22" t="n">
        <v>-2757</v>
      </c>
      <c r="U125" s="22" t="n">
        <v>-3559</v>
      </c>
      <c r="V125" s="22" t="n">
        <v>-3951</v>
      </c>
      <c r="W125" s="22" t="n">
        <v>-6631</v>
      </c>
      <c r="X125" s="22" t="n">
        <v>-11434</v>
      </c>
    </row>
    <row r="126">
      <c r="A126" s="20" t="inlineStr">
        <is>
          <t>재고자산 증감</t>
        </is>
      </c>
      <c r="C126" s="22" t="n">
        <v>-72</v>
      </c>
      <c r="D126" s="22" t="n">
        <v>-206</v>
      </c>
      <c r="E126" s="22" t="n">
        <v>256</v>
      </c>
      <c r="F126" s="22" t="n">
        <v>116</v>
      </c>
      <c r="G126" s="22" t="n">
        <v>141</v>
      </c>
      <c r="H126" s="22" t="n">
        <v>-250</v>
      </c>
      <c r="I126" s="22" t="n">
        <v>252</v>
      </c>
      <c r="J126" s="22" t="n">
        <v>231</v>
      </c>
      <c r="K126" s="22" t="n">
        <v>219</v>
      </c>
      <c r="L126" s="22" t="n">
        <v>295</v>
      </c>
      <c r="M126" s="22" t="n">
        <v>347</v>
      </c>
      <c r="N126" s="22" t="n">
        <v>596</v>
      </c>
      <c r="Q126" s="22" t="n">
        <v>15</v>
      </c>
      <c r="R126" s="22" t="n">
        <v>-74</v>
      </c>
      <c r="S126" s="22" t="n">
        <v>-199</v>
      </c>
      <c r="T126" s="22" t="n">
        <v>107</v>
      </c>
      <c r="U126" s="22" t="n">
        <v>-27</v>
      </c>
      <c r="V126" s="22" t="n">
        <v>-206</v>
      </c>
      <c r="W126" s="22" t="n">
        <v>-250</v>
      </c>
      <c r="X126" s="22" t="n">
        <v>295</v>
      </c>
    </row>
    <row r="127">
      <c r="A127" s="20" t="inlineStr">
        <is>
          <t>기타 유동자산 증감</t>
        </is>
      </c>
      <c r="C127" s="22" t="n">
        <v>-117</v>
      </c>
      <c r="D127" s="22" t="n">
        <v>-163</v>
      </c>
      <c r="E127" s="22" t="n">
        <v>-64</v>
      </c>
      <c r="F127" s="22" t="n">
        <v>208</v>
      </c>
      <c r="G127" s="22" t="n">
        <v>342</v>
      </c>
      <c r="H127" s="22" t="n">
        <v>-749</v>
      </c>
      <c r="I127" s="22" t="n">
        <v>-374</v>
      </c>
      <c r="J127" s="22" t="n">
        <v>-444</v>
      </c>
      <c r="K127" s="22" t="n">
        <v>-516</v>
      </c>
      <c r="L127" s="22" t="n">
        <v>-301</v>
      </c>
      <c r="M127" s="22" t="n">
        <v>-78</v>
      </c>
      <c r="N127" s="22" t="n">
        <v>281</v>
      </c>
      <c r="Q127" s="22" t="n">
        <v>-6</v>
      </c>
      <c r="R127" s="22" t="n">
        <v>3</v>
      </c>
      <c r="S127" s="22" t="n">
        <v>4</v>
      </c>
      <c r="T127" s="22" t="n">
        <v>-61</v>
      </c>
      <c r="U127" s="22" t="n">
        <v>-397</v>
      </c>
      <c r="V127" s="22" t="n">
        <v>-163</v>
      </c>
      <c r="W127" s="22" t="n">
        <v>-749</v>
      </c>
      <c r="X127" s="22" t="n">
        <v>-301</v>
      </c>
    </row>
    <row r="128">
      <c r="A128" s="20" t="inlineStr">
        <is>
          <t>기타 금융부채 증감(△는 감소)</t>
        </is>
      </c>
      <c r="C128" s="22" t="n">
        <v>28</v>
      </c>
      <c r="D128" s="22" t="n">
        <v>41</v>
      </c>
      <c r="E128" s="22" t="n">
        <v>1</v>
      </c>
      <c r="F128" s="22" t="n">
        <v>70</v>
      </c>
      <c r="G128" s="22" t="n">
        <v>48</v>
      </c>
      <c r="H128" s="22" t="n">
        <v>300</v>
      </c>
      <c r="I128" s="22" t="n">
        <v>29</v>
      </c>
      <c r="J128" s="22" t="n">
        <v>149</v>
      </c>
      <c r="K128" s="22" t="n">
        <v>-108</v>
      </c>
      <c r="L128" s="22" t="n">
        <v>630</v>
      </c>
      <c r="M128" s="22" t="n">
        <v>733</v>
      </c>
      <c r="N128" s="22" t="n">
        <v>577</v>
      </c>
      <c r="Q128" s="22" t="n">
        <v>-33</v>
      </c>
      <c r="R128" s="22" t="n">
        <v>51</v>
      </c>
      <c r="S128" s="22" t="n">
        <v>-2</v>
      </c>
      <c r="T128" s="22" t="n">
        <v>146</v>
      </c>
      <c r="U128" s="22" t="n">
        <v>118</v>
      </c>
      <c r="V128" s="22" t="n">
        <v>41</v>
      </c>
      <c r="W128" s="22" t="n">
        <v>300</v>
      </c>
      <c r="X128" s="22" t="n">
        <v>630</v>
      </c>
    </row>
    <row r="129">
      <c r="A129" s="20" t="inlineStr">
        <is>
          <t>기타 유동부채 증감</t>
        </is>
      </c>
      <c r="C129" s="22" t="n">
        <v>1356</v>
      </c>
      <c r="D129" s="22" t="n">
        <v>786</v>
      </c>
      <c r="E129" s="22" t="n">
        <v>2673</v>
      </c>
      <c r="F129" s="22" t="n">
        <v>1198</v>
      </c>
      <c r="G129" s="22" t="n">
        <v>4949</v>
      </c>
      <c r="H129" s="22" t="n">
        <v>4245</v>
      </c>
      <c r="I129" s="22" t="n">
        <v>2780</v>
      </c>
      <c r="J129" s="22" t="n">
        <v>244</v>
      </c>
      <c r="K129" s="22" t="n">
        <v>4508</v>
      </c>
      <c r="L129" s="22" t="n">
        <v>7088</v>
      </c>
      <c r="M129" s="22" t="n">
        <v>26</v>
      </c>
      <c r="N129" s="22" t="n">
        <v>-4588</v>
      </c>
      <c r="Q129" s="22" t="n">
        <v>489</v>
      </c>
      <c r="R129" s="22" t="n">
        <v>1905</v>
      </c>
      <c r="S129" s="22" t="n">
        <v>1123</v>
      </c>
      <c r="T129" s="22" t="n">
        <v>516</v>
      </c>
      <c r="U129" s="22" t="n">
        <v>1543</v>
      </c>
      <c r="V129" s="22" t="n">
        <v>786</v>
      </c>
      <c r="W129" s="22" t="n">
        <v>4245</v>
      </c>
      <c r="X129" s="22" t="n">
        <v>7088</v>
      </c>
    </row>
    <row r="130">
      <c r="A130" s="20" t="inlineStr">
        <is>
          <t>기타</t>
        </is>
      </c>
      <c r="C130" s="22" t="n">
        <v>12</v>
      </c>
      <c r="D130" s="22" t="n">
        <v>-17</v>
      </c>
      <c r="E130" s="22" t="n">
        <v>15</v>
      </c>
      <c r="F130" s="22" t="n">
        <v>-8</v>
      </c>
      <c r="G130" s="22" t="n">
        <v>-10</v>
      </c>
      <c r="H130" s="22" t="n">
        <v>-39</v>
      </c>
      <c r="I130" s="22" t="n">
        <v>-16</v>
      </c>
      <c r="J130" s="22" t="n">
        <v>-8</v>
      </c>
      <c r="K130" s="22" t="n">
        <v>37</v>
      </c>
      <c r="L130" s="22" t="n">
        <v>25</v>
      </c>
      <c r="M130" s="22" t="n">
        <v>8</v>
      </c>
      <c r="N130" s="22" t="n">
        <v>17</v>
      </c>
      <c r="Q130" s="22" t="n">
        <v>10</v>
      </c>
      <c r="R130" s="22" t="n">
        <v>5</v>
      </c>
      <c r="S130" s="22" t="n">
        <v>-11</v>
      </c>
      <c r="T130" s="22" t="n">
        <v>-3</v>
      </c>
      <c r="U130" s="22" t="n">
        <v>-58</v>
      </c>
      <c r="V130" s="22" t="n">
        <v>-17</v>
      </c>
      <c r="W130" s="22" t="n">
        <v>-39</v>
      </c>
      <c r="X130" s="22" t="n">
        <v>25</v>
      </c>
    </row>
    <row r="131">
      <c r="A131" s="20" t="inlineStr">
        <is>
          <t>소계</t>
        </is>
      </c>
      <c r="C131" s="22" t="n">
        <v>27120</v>
      </c>
      <c r="D131" s="22" t="n">
        <v>33803</v>
      </c>
      <c r="E131" s="22" t="n">
        <v>16765</v>
      </c>
      <c r="F131" s="22" t="n">
        <v>21386</v>
      </c>
      <c r="G131" s="22" t="n">
        <v>35857</v>
      </c>
      <c r="H131" s="22" t="n">
        <v>42719</v>
      </c>
      <c r="I131" s="22" t="n">
        <v>19354</v>
      </c>
      <c r="J131" s="22" t="n">
        <v>25929</v>
      </c>
      <c r="K131" s="22" t="n">
        <v>41157</v>
      </c>
      <c r="L131" s="22" t="n">
        <v>50761</v>
      </c>
      <c r="M131" s="22" t="n">
        <v>24379</v>
      </c>
      <c r="N131" s="22" t="n">
        <v>30601</v>
      </c>
      <c r="Q131" s="22" t="n">
        <v>4148</v>
      </c>
      <c r="R131" s="22" t="n">
        <v>9501</v>
      </c>
      <c r="S131" s="22" t="n">
        <v>14861</v>
      </c>
      <c r="T131" s="22" t="n">
        <v>20772</v>
      </c>
      <c r="U131" s="22" t="n">
        <v>29179</v>
      </c>
      <c r="V131" s="22" t="n">
        <v>33803</v>
      </c>
      <c r="W131" s="22" t="n">
        <v>42719</v>
      </c>
      <c r="X131" s="22" t="n">
        <v>50761</v>
      </c>
    </row>
    <row r="132">
      <c r="A132" s="20" t="inlineStr">
        <is>
          <t>이자·배당금 수취</t>
        </is>
      </c>
      <c r="G132" s="22" t="n">
        <v>0</v>
      </c>
      <c r="H132" s="22" t="n">
        <v>0</v>
      </c>
      <c r="K132" s="22" t="n">
        <v>42</v>
      </c>
      <c r="L132" s="22" t="n">
        <v>119</v>
      </c>
      <c r="W132" s="22" t="n">
        <v>0</v>
      </c>
      <c r="X132" s="22" t="n">
        <v>119</v>
      </c>
    </row>
    <row r="133">
      <c r="A133" s="20" t="inlineStr">
        <is>
          <t>이자 수취</t>
        </is>
      </c>
      <c r="F133" s="22" t="n">
        <v>0</v>
      </c>
      <c r="J133" s="22" t="n">
        <v>42</v>
      </c>
      <c r="N133" s="22" t="n">
        <v>84</v>
      </c>
      <c r="Q133" s="22" t="n">
        <v>0</v>
      </c>
      <c r="R133" s="22" t="n">
        <v>0</v>
      </c>
    </row>
    <row r="134">
      <c r="A134" s="20" t="inlineStr">
        <is>
          <t>이자 지급</t>
        </is>
      </c>
      <c r="C134" s="22" t="n">
        <v>-35</v>
      </c>
      <c r="D134" s="22" t="n">
        <v>-50</v>
      </c>
      <c r="E134" s="22" t="n">
        <v>-15</v>
      </c>
      <c r="F134" s="22" t="n">
        <v>-31</v>
      </c>
      <c r="G134" s="22" t="n">
        <v>-47</v>
      </c>
      <c r="H134" s="22" t="n">
        <v>-52</v>
      </c>
      <c r="I134" s="22" t="n">
        <v>-14</v>
      </c>
      <c r="J134" s="22" t="n">
        <v>-27</v>
      </c>
      <c r="K134" s="22" t="n">
        <v>-38</v>
      </c>
      <c r="L134" s="22" t="n">
        <v>-51</v>
      </c>
      <c r="M134" s="22" t="n">
        <v>-14</v>
      </c>
      <c r="N134" s="22" t="n">
        <v>-41</v>
      </c>
      <c r="Q134" s="22" t="n">
        <v>-133</v>
      </c>
      <c r="R134" s="22" t="n">
        <v>-46</v>
      </c>
      <c r="S134" s="22" t="n">
        <v>-44</v>
      </c>
      <c r="T134" s="22" t="n">
        <v>-37</v>
      </c>
      <c r="U134" s="22" t="n">
        <v>-31</v>
      </c>
      <c r="V134" s="22" t="n">
        <v>-50</v>
      </c>
      <c r="W134" s="22" t="n">
        <v>-52</v>
      </c>
      <c r="X134" s="22" t="n">
        <v>-51</v>
      </c>
    </row>
    <row r="135">
      <c r="A135" s="20" t="inlineStr">
        <is>
          <t>법인소득세 지급액</t>
        </is>
      </c>
      <c r="C135" s="22" t="n">
        <v>-9405</v>
      </c>
      <c r="D135" s="22" t="n">
        <v>-9405</v>
      </c>
      <c r="E135" s="22" t="n">
        <v>-5265</v>
      </c>
      <c r="F135" s="22" t="n">
        <v>-5265</v>
      </c>
      <c r="Q135" s="22" t="n">
        <v>-1506</v>
      </c>
      <c r="R135" s="22" t="n">
        <v>-1479</v>
      </c>
      <c r="S135" s="22" t="n">
        <v>-2682</v>
      </c>
      <c r="T135" s="22" t="n">
        <v>-4717</v>
      </c>
      <c r="U135" s="22" t="n">
        <v>-7513</v>
      </c>
      <c r="V135" s="22" t="n">
        <v>-9405</v>
      </c>
    </row>
    <row r="136">
      <c r="A136" s="20" t="inlineStr">
        <is>
          <t>법인소득세 지급액</t>
        </is>
      </c>
      <c r="C136" s="22" t="n">
        <v>-9405</v>
      </c>
      <c r="D136" s="22" t="n">
        <v>-9405</v>
      </c>
      <c r="E136" s="22" t="n">
        <v>-5265</v>
      </c>
      <c r="F136" s="22" t="n">
        <v>-5265</v>
      </c>
      <c r="G136" s="22" t="n">
        <v>-9988</v>
      </c>
      <c r="H136" s="22" t="n">
        <v>-10019</v>
      </c>
      <c r="I136" s="22" t="n">
        <v>-7471</v>
      </c>
      <c r="J136" s="22" t="n">
        <v>-7234</v>
      </c>
      <c r="K136" s="22" t="n">
        <v>-13213</v>
      </c>
      <c r="L136" s="22" t="n">
        <v>-13213</v>
      </c>
      <c r="M136" s="22" t="n">
        <v>-10862</v>
      </c>
      <c r="N136" s="22" t="n">
        <v>-8449</v>
      </c>
      <c r="V136" s="22" t="n">
        <v>-9405</v>
      </c>
      <c r="W136" s="22" t="n">
        <v>-10019</v>
      </c>
      <c r="X136" s="22" t="n">
        <v>-13213</v>
      </c>
    </row>
    <row r="137">
      <c r="A137" s="9" t="inlineStr">
        <is>
          <t>영업활동 현금흐름</t>
        </is>
      </c>
      <c r="C137" s="12" t="n">
        <v>17680</v>
      </c>
      <c r="D137" s="12" t="n">
        <v>24348</v>
      </c>
      <c r="E137" s="12" t="n">
        <v>11485</v>
      </c>
      <c r="F137" s="12" t="n">
        <v>16090</v>
      </c>
      <c r="G137" s="12" t="n">
        <v>25822</v>
      </c>
      <c r="H137" s="12" t="n">
        <v>32648</v>
      </c>
      <c r="I137" s="12" t="n">
        <v>11869</v>
      </c>
      <c r="J137" s="12" t="n">
        <v>18710</v>
      </c>
      <c r="K137" s="12" t="n">
        <v>27948</v>
      </c>
      <c r="L137" s="12" t="n">
        <v>37616</v>
      </c>
      <c r="M137" s="12" t="n">
        <v>13503</v>
      </c>
      <c r="N137" s="12" t="n">
        <v>22195</v>
      </c>
      <c r="Q137" s="12" t="n">
        <v>2509</v>
      </c>
      <c r="R137" s="12" t="n">
        <v>7976</v>
      </c>
      <c r="S137" s="12" t="n">
        <v>12135</v>
      </c>
      <c r="T137" s="12" t="n">
        <v>16018</v>
      </c>
      <c r="U137" s="12" t="n">
        <v>21635</v>
      </c>
      <c r="V137" s="12" t="n">
        <v>24348</v>
      </c>
      <c r="W137" s="12" t="n">
        <v>32648</v>
      </c>
      <c r="X137" s="12" t="n">
        <v>37616</v>
      </c>
    </row>
    <row r="138">
      <c r="A138" s="20" t="inlineStr">
        <is>
          <t>정기예금 예입</t>
        </is>
      </c>
      <c r="D138" s="22" t="n">
        <v>0</v>
      </c>
      <c r="H138" s="22" t="n">
        <v>-3000</v>
      </c>
      <c r="L138" s="22" t="n">
        <v>-3020</v>
      </c>
      <c r="V138" s="22" t="n">
        <v>0</v>
      </c>
      <c r="W138" s="22" t="n">
        <v>-3000</v>
      </c>
      <c r="X138" s="22" t="n">
        <v>-3020</v>
      </c>
    </row>
    <row r="139">
      <c r="A139" s="20" t="inlineStr">
        <is>
          <t>정기예금 인출</t>
        </is>
      </c>
      <c r="H139" s="22" t="n">
        <v>0</v>
      </c>
      <c r="L139" s="22" t="n">
        <v>3000</v>
      </c>
      <c r="W139" s="22" t="n">
        <v>0</v>
      </c>
      <c r="X139" s="22" t="n">
        <v>3000</v>
      </c>
    </row>
    <row r="140">
      <c r="A140" s="20" t="inlineStr">
        <is>
          <t>대여</t>
        </is>
      </c>
      <c r="H140" s="22" t="n">
        <v>0</v>
      </c>
      <c r="L140" s="22" t="n">
        <v>-2300</v>
      </c>
      <c r="W140" s="22" t="n">
        <v>0</v>
      </c>
      <c r="X140" s="22" t="n">
        <v>-2300</v>
      </c>
    </row>
    <row r="141">
      <c r="A141" s="20" t="inlineStr">
        <is>
          <t>유형자산 취득(설비투자)</t>
        </is>
      </c>
      <c r="C141" s="22" t="n">
        <v>-140</v>
      </c>
      <c r="D141" s="22" t="n">
        <v>-3632</v>
      </c>
      <c r="E141" s="22" t="n">
        <v>-409</v>
      </c>
      <c r="F141" s="22" t="n">
        <v>-750</v>
      </c>
      <c r="G141" s="22" t="n">
        <v>-824</v>
      </c>
      <c r="H141" s="22" t="n">
        <v>-866</v>
      </c>
      <c r="I141" s="22" t="n">
        <v>-175</v>
      </c>
      <c r="J141" s="22" t="n">
        <v>-257</v>
      </c>
      <c r="K141" s="22" t="n">
        <v>-360</v>
      </c>
      <c r="L141" s="22" t="n">
        <v>-2645</v>
      </c>
      <c r="M141" s="22" t="n">
        <v>-320</v>
      </c>
      <c r="N141" s="22" t="n">
        <v>-585</v>
      </c>
      <c r="Q141" s="22" t="n">
        <v>-45</v>
      </c>
      <c r="R141" s="22" t="n">
        <v>-10</v>
      </c>
      <c r="S141" s="22" t="n">
        <v>-204</v>
      </c>
      <c r="T141" s="22" t="n">
        <v>-75</v>
      </c>
      <c r="U141" s="22" t="n">
        <v>-386</v>
      </c>
      <c r="V141" s="22" t="n">
        <v>-3632</v>
      </c>
      <c r="W141" s="22" t="n">
        <v>-866</v>
      </c>
      <c r="X141" s="22" t="n">
        <v>-2645</v>
      </c>
    </row>
    <row r="142">
      <c r="A142" s="20" t="inlineStr">
        <is>
          <t>임차보증금 납입</t>
        </is>
      </c>
      <c r="C142" s="22" t="n">
        <v>0</v>
      </c>
      <c r="D142" s="22" t="n">
        <v>-0</v>
      </c>
      <c r="E142" s="22" t="n">
        <v>-387</v>
      </c>
      <c r="F142" s="22" t="n">
        <v>-387</v>
      </c>
      <c r="G142" s="22" t="n">
        <v>-387</v>
      </c>
      <c r="H142" s="22" t="n">
        <v>-387</v>
      </c>
      <c r="I142" s="22" t="n">
        <v>0</v>
      </c>
      <c r="J142" s="22" t="n">
        <v>-417</v>
      </c>
      <c r="K142" s="22" t="n">
        <v>-670</v>
      </c>
      <c r="L142" s="22" t="n">
        <v>-1367</v>
      </c>
      <c r="M142" s="22" t="n">
        <v>-290</v>
      </c>
      <c r="N142" s="22" t="n">
        <v>-295</v>
      </c>
      <c r="Q142" s="22" t="n">
        <v>-68</v>
      </c>
      <c r="R142" s="22" t="n">
        <v>-91</v>
      </c>
      <c r="S142" s="22" t="n">
        <v>-108</v>
      </c>
      <c r="T142" s="22" t="n">
        <v>-82</v>
      </c>
      <c r="U142" s="22" t="n">
        <v>-1864</v>
      </c>
      <c r="V142" s="22" t="n">
        <v>-0</v>
      </c>
      <c r="W142" s="22" t="n">
        <v>-387</v>
      </c>
      <c r="X142" s="22" t="n">
        <v>-1367</v>
      </c>
    </row>
    <row r="143">
      <c r="A143" s="20" t="inlineStr">
        <is>
          <t>임차보증금 회수</t>
        </is>
      </c>
      <c r="C143" s="22" t="n">
        <v>5</v>
      </c>
      <c r="D143" s="22" t="n">
        <v>5</v>
      </c>
      <c r="E143" s="22" t="n">
        <v>545</v>
      </c>
      <c r="F143" s="22" t="n">
        <v>793</v>
      </c>
      <c r="G143" s="22" t="n">
        <v>943</v>
      </c>
      <c r="H143" s="22" t="n">
        <v>943</v>
      </c>
      <c r="I143" s="22" t="n">
        <v>0</v>
      </c>
      <c r="J143" s="22" t="n">
        <v>0</v>
      </c>
      <c r="K143" s="22" t="n">
        <v>1</v>
      </c>
      <c r="L143" s="22" t="n">
        <v>1</v>
      </c>
      <c r="S143" s="22" t="n">
        <v>0</v>
      </c>
      <c r="T143" s="22" t="n">
        <v>65</v>
      </c>
      <c r="U143" s="22" t="n">
        <v>0</v>
      </c>
      <c r="V143" s="22" t="n">
        <v>5</v>
      </c>
      <c r="W143" s="22" t="n">
        <v>943</v>
      </c>
      <c r="X143" s="22" t="n">
        <v>1</v>
      </c>
    </row>
    <row r="144">
      <c r="A144" s="20" t="inlineStr">
        <is>
          <t>기타</t>
        </is>
      </c>
      <c r="C144" s="22" t="n">
        <v>-53</v>
      </c>
      <c r="D144" s="22" t="n">
        <v>-127</v>
      </c>
      <c r="E144" s="22" t="n">
        <v>-169</v>
      </c>
      <c r="F144" s="22" t="n">
        <v>-176</v>
      </c>
      <c r="G144" s="22" t="n">
        <v>-210</v>
      </c>
      <c r="H144" s="22" t="n">
        <v>-222</v>
      </c>
      <c r="I144" s="22" t="n">
        <v>-65</v>
      </c>
      <c r="J144" s="22" t="n">
        <v>-112</v>
      </c>
      <c r="K144" s="22" t="n">
        <v>-154</v>
      </c>
      <c r="L144" s="22" t="n">
        <v>-177</v>
      </c>
      <c r="M144" s="22" t="n">
        <v>-53</v>
      </c>
      <c r="N144" s="22" t="n">
        <v>-84</v>
      </c>
      <c r="Q144" s="22" t="n">
        <v>-4</v>
      </c>
      <c r="R144" s="22" t="n">
        <v>-6</v>
      </c>
      <c r="S144" s="22" t="n">
        <v>-52</v>
      </c>
      <c r="T144" s="22" t="n">
        <v>-55</v>
      </c>
      <c r="U144" s="22" t="n">
        <v>-6</v>
      </c>
      <c r="V144" s="22" t="n">
        <v>-127</v>
      </c>
      <c r="W144" s="22" t="n">
        <v>-222</v>
      </c>
      <c r="X144" s="22" t="n">
        <v>-177</v>
      </c>
    </row>
    <row r="145">
      <c r="A145" s="9" t="inlineStr">
        <is>
          <t>투자활동 현금흐름</t>
        </is>
      </c>
      <c r="C145" s="12" t="n">
        <v>-188</v>
      </c>
      <c r="D145" s="12" t="n">
        <v>-3754</v>
      </c>
      <c r="E145" s="12" t="n">
        <v>-420</v>
      </c>
      <c r="F145" s="12" t="n">
        <v>-520</v>
      </c>
      <c r="G145" s="12" t="n">
        <v>-478</v>
      </c>
      <c r="H145" s="12" t="n">
        <v>-3532</v>
      </c>
      <c r="I145" s="12" t="n">
        <v>-240</v>
      </c>
      <c r="J145" s="12" t="n">
        <v>-786</v>
      </c>
      <c r="K145" s="12" t="n">
        <v>-1183</v>
      </c>
      <c r="L145" s="12" t="n">
        <v>-6508</v>
      </c>
      <c r="M145" s="12" t="n">
        <v>-663</v>
      </c>
      <c r="N145" s="12" t="n">
        <v>-964</v>
      </c>
      <c r="Q145" s="12" t="n">
        <v>-117</v>
      </c>
      <c r="R145" s="12" t="n">
        <v>-107</v>
      </c>
      <c r="S145" s="12" t="n">
        <v>-364</v>
      </c>
      <c r="T145" s="12" t="n">
        <v>-147</v>
      </c>
      <c r="U145" s="12" t="n">
        <v>-2256</v>
      </c>
      <c r="V145" s="12" t="n">
        <v>-3754</v>
      </c>
      <c r="W145" s="12" t="n">
        <v>-3532</v>
      </c>
      <c r="X145" s="12" t="n">
        <v>-6508</v>
      </c>
    </row>
    <row r="146">
      <c r="A146" s="20" t="inlineStr">
        <is>
          <t>장기차입</t>
        </is>
      </c>
      <c r="Q146" s="22" t="n">
        <v>8400</v>
      </c>
      <c r="R146" s="22" t="n">
        <v>0</v>
      </c>
    </row>
    <row r="147">
      <c r="A147" s="20" t="inlineStr">
        <is>
          <t>장기차입금 상환</t>
        </is>
      </c>
      <c r="C147" s="22" t="n">
        <v>-788</v>
      </c>
      <c r="D147" s="22" t="n">
        <v>-1050</v>
      </c>
      <c r="E147" s="22" t="n">
        <v>-263</v>
      </c>
      <c r="F147" s="22" t="n">
        <v>-525</v>
      </c>
      <c r="G147" s="22" t="n">
        <v>-788</v>
      </c>
      <c r="H147" s="22" t="n">
        <v>-1050</v>
      </c>
      <c r="I147" s="22" t="n">
        <v>-263</v>
      </c>
      <c r="J147" s="22" t="n">
        <v>-525</v>
      </c>
      <c r="K147" s="22" t="n">
        <v>-788</v>
      </c>
      <c r="L147" s="22" t="n">
        <v>-1050</v>
      </c>
      <c r="M147" s="22" t="n">
        <v>-263</v>
      </c>
      <c r="N147" s="22" t="n">
        <v>-263</v>
      </c>
      <c r="Q147" s="22" t="n">
        <v>-9463</v>
      </c>
      <c r="R147" s="22" t="n">
        <v>-1050</v>
      </c>
      <c r="S147" s="22" t="n">
        <v>-1050</v>
      </c>
      <c r="T147" s="22" t="n">
        <v>-1050</v>
      </c>
      <c r="U147" s="22" t="n">
        <v>-1050</v>
      </c>
      <c r="V147" s="22" t="n">
        <v>-1050</v>
      </c>
      <c r="W147" s="22" t="n">
        <v>-1050</v>
      </c>
      <c r="X147" s="22" t="n">
        <v>-1050</v>
      </c>
    </row>
    <row r="148">
      <c r="A148" s="20" t="inlineStr">
        <is>
          <t>리스부채 상환 지출</t>
        </is>
      </c>
      <c r="Q148" s="22" t="n">
        <v>0</v>
      </c>
      <c r="R148" s="22" t="n">
        <v>-581</v>
      </c>
    </row>
    <row r="149">
      <c r="A149" s="20" t="inlineStr">
        <is>
          <t>리스부채 상환 지출</t>
        </is>
      </c>
      <c r="C149" s="22" t="n">
        <v>-586</v>
      </c>
      <c r="D149" s="22" t="n">
        <v>-1093</v>
      </c>
      <c r="E149" s="22" t="n">
        <v>-478</v>
      </c>
      <c r="F149" s="22" t="n">
        <v>-1033</v>
      </c>
      <c r="G149" s="22" t="n">
        <v>-1549</v>
      </c>
      <c r="H149" s="22" t="n">
        <v>-2066</v>
      </c>
      <c r="I149" s="22" t="n">
        <v>-517</v>
      </c>
      <c r="J149" s="22" t="n">
        <v>-1034</v>
      </c>
      <c r="K149" s="22" t="n">
        <v>-1552</v>
      </c>
      <c r="L149" s="22" t="n">
        <v>-2078</v>
      </c>
      <c r="M149" s="22" t="n">
        <v>-521</v>
      </c>
      <c r="N149" s="22" t="n">
        <v>-1171</v>
      </c>
      <c r="R149" s="22" t="n">
        <v>-581</v>
      </c>
      <c r="S149" s="22" t="n">
        <v>-704</v>
      </c>
      <c r="T149" s="22" t="n">
        <v>-732</v>
      </c>
      <c r="U149" s="22" t="n">
        <v>-929</v>
      </c>
      <c r="V149" s="22" t="n">
        <v>-1093</v>
      </c>
      <c r="W149" s="22" t="n">
        <v>-2066</v>
      </c>
      <c r="X149" s="22" t="n">
        <v>-2078</v>
      </c>
    </row>
    <row r="150">
      <c r="A150" s="20" t="inlineStr">
        <is>
          <t>자기주식 취득</t>
        </is>
      </c>
      <c r="C150" s="22" t="n">
        <v>-3006</v>
      </c>
      <c r="D150" s="22" t="n">
        <v>-3006</v>
      </c>
      <c r="E150" s="22" t="n">
        <v>-3607</v>
      </c>
      <c r="F150" s="22" t="n">
        <v>-3607</v>
      </c>
      <c r="G150" s="22" t="n">
        <v>-3608</v>
      </c>
      <c r="H150" s="22" t="n">
        <v>-3608</v>
      </c>
      <c r="I150" s="22" t="n">
        <v>-3006</v>
      </c>
      <c r="J150" s="22" t="n">
        <v>-3006</v>
      </c>
      <c r="K150" s="22" t="n">
        <v>-3006</v>
      </c>
      <c r="L150" s="22" t="n">
        <v>-3006</v>
      </c>
      <c r="M150" s="22" t="n">
        <v>-10448</v>
      </c>
      <c r="N150" s="22" t="n">
        <v>-30031</v>
      </c>
      <c r="Q150" s="22" t="n">
        <v>-498</v>
      </c>
      <c r="R150" s="22" t="n">
        <v>-309</v>
      </c>
      <c r="S150" s="22" t="n">
        <v>-1</v>
      </c>
      <c r="T150" s="22" t="n">
        <v>-1206</v>
      </c>
      <c r="U150" s="22" t="n">
        <v>-2097</v>
      </c>
      <c r="V150" s="22" t="n">
        <v>-3006</v>
      </c>
      <c r="W150" s="22" t="n">
        <v>-3608</v>
      </c>
      <c r="X150" s="22" t="n">
        <v>-3006</v>
      </c>
    </row>
    <row r="151">
      <c r="A151" s="20" t="inlineStr">
        <is>
          <t>배당금 지급</t>
        </is>
      </c>
      <c r="C151" s="22" t="n">
        <v>-6248</v>
      </c>
      <c r="D151" s="22" t="n">
        <v>-6273</v>
      </c>
      <c r="E151" s="22" t="n">
        <v>-3771</v>
      </c>
      <c r="F151" s="22" t="n">
        <v>-3816</v>
      </c>
      <c r="G151" s="22" t="n">
        <v>-7584</v>
      </c>
      <c r="H151" s="22" t="n">
        <v>-7618</v>
      </c>
      <c r="I151" s="22" t="n">
        <v>-5591</v>
      </c>
      <c r="J151" s="22" t="n">
        <v>-5626</v>
      </c>
      <c r="K151" s="22" t="n">
        <v>-13174</v>
      </c>
      <c r="L151" s="22" t="n">
        <v>-13218</v>
      </c>
      <c r="M151" s="22" t="n">
        <v>-7534</v>
      </c>
      <c r="N151" s="22" t="n">
        <v>-7591</v>
      </c>
      <c r="Q151" s="22" t="n">
        <v>-991</v>
      </c>
      <c r="R151" s="22" t="n">
        <v>-913</v>
      </c>
      <c r="S151" s="22" t="n">
        <v>-1758</v>
      </c>
      <c r="T151" s="22" t="n">
        <v>-3141</v>
      </c>
      <c r="U151" s="22" t="n">
        <v>-4753</v>
      </c>
      <c r="V151" s="22" t="n">
        <v>-6273</v>
      </c>
      <c r="W151" s="22" t="n">
        <v>-7618</v>
      </c>
      <c r="X151" s="22" t="n">
        <v>-13218</v>
      </c>
    </row>
    <row r="152">
      <c r="A152" s="20" t="inlineStr">
        <is>
          <t>기타</t>
        </is>
      </c>
      <c r="Q152" s="22" t="n">
        <v>9</v>
      </c>
      <c r="R152" s="22" t="n">
        <v>27</v>
      </c>
      <c r="S152" s="22" t="n">
        <v>9</v>
      </c>
      <c r="T152" s="22" t="n">
        <v>19</v>
      </c>
      <c r="U152" s="22" t="n">
        <v>0</v>
      </c>
    </row>
    <row r="153">
      <c r="A153" s="9" t="inlineStr">
        <is>
          <t>재무활동 현금흐름</t>
        </is>
      </c>
      <c r="C153" s="12" t="n">
        <v>-10628</v>
      </c>
      <c r="D153" s="12" t="n">
        <v>-11422</v>
      </c>
      <c r="E153" s="12" t="n">
        <v>-8119</v>
      </c>
      <c r="F153" s="12" t="n">
        <v>-8981</v>
      </c>
      <c r="G153" s="12" t="n">
        <v>-13529</v>
      </c>
      <c r="H153" s="12" t="n">
        <v>-14342</v>
      </c>
      <c r="I153" s="12" t="n">
        <v>-9377</v>
      </c>
      <c r="J153" s="12" t="n">
        <v>-10191</v>
      </c>
      <c r="K153" s="12" t="n">
        <v>-18520</v>
      </c>
      <c r="L153" s="12" t="n">
        <v>-19352</v>
      </c>
      <c r="M153" s="12" t="n">
        <v>-18766</v>
      </c>
      <c r="N153" s="12" t="n">
        <v>-39056</v>
      </c>
      <c r="Q153" s="12" t="n">
        <v>-2543</v>
      </c>
      <c r="R153" s="12" t="n">
        <v>-2826</v>
      </c>
      <c r="S153" s="12" t="n">
        <v>-3504</v>
      </c>
      <c r="T153" s="12" t="n">
        <v>-6110</v>
      </c>
      <c r="U153" s="12" t="n">
        <v>-8829</v>
      </c>
      <c r="V153" s="12" t="n">
        <v>-11422</v>
      </c>
      <c r="W153" s="12" t="n">
        <v>-14342</v>
      </c>
      <c r="X153" s="12" t="n">
        <v>-19352</v>
      </c>
    </row>
    <row r="154">
      <c r="A154" s="20" t="inlineStr">
        <is>
          <t>현금성자산 증감</t>
        </is>
      </c>
      <c r="C154" s="22" t="n">
        <v>6864</v>
      </c>
      <c r="D154" s="22" t="n">
        <v>9172</v>
      </c>
      <c r="E154" s="22" t="n">
        <v>2946</v>
      </c>
      <c r="F154" s="22" t="n">
        <v>6589</v>
      </c>
      <c r="G154" s="22" t="n">
        <v>11815</v>
      </c>
      <c r="H154" s="22" t="n">
        <v>14774</v>
      </c>
      <c r="I154" s="22" t="n">
        <v>2252</v>
      </c>
      <c r="J154" s="22" t="n">
        <v>7733</v>
      </c>
      <c r="K154" s="22" t="n">
        <v>8245</v>
      </c>
      <c r="L154" s="22" t="n">
        <v>11756</v>
      </c>
      <c r="M154" s="22" t="n">
        <v>-5926</v>
      </c>
      <c r="N154" s="22" t="n">
        <v>-17825</v>
      </c>
      <c r="Q154" s="22" t="n">
        <v>-151</v>
      </c>
      <c r="R154" s="22" t="n">
        <v>5043</v>
      </c>
      <c r="S154" s="22" t="n">
        <v>8267</v>
      </c>
      <c r="T154" s="22" t="n">
        <v>9761</v>
      </c>
      <c r="U154" s="22" t="n">
        <v>10550</v>
      </c>
      <c r="V154" s="22" t="n">
        <v>9172</v>
      </c>
      <c r="W154" s="22" t="n">
        <v>14774</v>
      </c>
      <c r="X154" s="22" t="n">
        <v>11756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베이커런트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95836</v>
      </c>
      <c r="D5" s="12" t="n">
        <v>97933</v>
      </c>
      <c r="E5" s="12" t="n">
        <v>114292</v>
      </c>
      <c r="F5" s="12" t="n">
        <v>101264</v>
      </c>
      <c r="G5" s="12" t="n">
        <v>92863</v>
      </c>
      <c r="H5" s="11" t="n">
        <v>35173</v>
      </c>
      <c r="I5" s="12" t="n">
        <v>49705</v>
      </c>
      <c r="J5" s="12" t="n">
        <v>64011</v>
      </c>
      <c r="K5" s="12" t="n">
        <v>88599</v>
      </c>
      <c r="L5" s="12" t="n">
        <v>114292</v>
      </c>
    </row>
    <row r="6">
      <c r="A6" s="20" t="inlineStr">
        <is>
          <t>현금및현금성자산</t>
        </is>
      </c>
      <c r="B6" s="10" t="n"/>
      <c r="C6" s="21" t="n">
        <v>68285</v>
      </c>
      <c r="D6" s="22" t="n">
        <v>68797</v>
      </c>
      <c r="E6" s="22" t="n">
        <v>72308</v>
      </c>
      <c r="F6" s="22" t="n">
        <v>66382</v>
      </c>
      <c r="G6" s="22" t="n">
        <v>54483</v>
      </c>
      <c r="H6" s="21" t="n">
        <v>26056</v>
      </c>
      <c r="I6" s="22" t="n">
        <v>36606</v>
      </c>
      <c r="J6" s="22" t="n">
        <v>45778</v>
      </c>
      <c r="K6" s="22" t="n">
        <v>60552</v>
      </c>
      <c r="L6" s="22" t="n">
        <v>72308</v>
      </c>
    </row>
    <row r="7">
      <c r="A7" s="20" t="inlineStr">
        <is>
          <t>단기금융상품</t>
        </is>
      </c>
      <c r="B7" s="10" t="n"/>
      <c r="C7" s="21" t="n">
        <v>3000</v>
      </c>
      <c r="D7" s="22" t="n">
        <v>3000</v>
      </c>
      <c r="E7" s="22" t="n">
        <v>3020</v>
      </c>
      <c r="F7" s="22" t="n">
        <v>3020</v>
      </c>
      <c r="G7" s="22" t="n">
        <v>3020</v>
      </c>
      <c r="H7" s="21" t="n">
        <v>0</v>
      </c>
      <c r="I7" s="22" t="n">
        <v>0</v>
      </c>
      <c r="J7" s="22" t="n">
        <v>793</v>
      </c>
      <c r="K7" s="22" t="n">
        <v>3000</v>
      </c>
      <c r="L7" s="22" t="n">
        <v>3020</v>
      </c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/>
      <c r="I8" s="22" t="n"/>
      <c r="J8" s="22" t="n"/>
      <c r="K8" s="22" t="n"/>
      <c r="L8" s="22" t="n"/>
    </row>
    <row r="9">
      <c r="A9" s="20" t="inlineStr">
        <is>
          <t>재고자산</t>
        </is>
      </c>
      <c r="B9" s="10" t="n"/>
      <c r="C9" s="21" t="n">
        <v>688</v>
      </c>
      <c r="D9" s="22" t="n">
        <v>700</v>
      </c>
      <c r="E9" s="22" t="n">
        <v>624</v>
      </c>
      <c r="F9" s="22" t="n">
        <v>277</v>
      </c>
      <c r="G9" s="22" t="n">
        <v>28</v>
      </c>
      <c r="H9" s="21" t="n">
        <v>436</v>
      </c>
      <c r="I9" s="22" t="n">
        <v>463</v>
      </c>
      <c r="J9" s="22" t="n">
        <v>669</v>
      </c>
      <c r="K9" s="22" t="n">
        <v>919</v>
      </c>
      <c r="L9" s="22" t="n">
        <v>624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35682</v>
      </c>
      <c r="D11" s="12" t="n">
        <v>35537</v>
      </c>
      <c r="E11" s="12" t="n">
        <v>43193</v>
      </c>
      <c r="F11" s="12" t="n">
        <v>42715</v>
      </c>
      <c r="G11" s="12" t="n">
        <v>46004</v>
      </c>
      <c r="H11" s="11" t="n">
        <v>22963</v>
      </c>
      <c r="I11" s="12" t="n">
        <v>25560</v>
      </c>
      <c r="J11" s="12" t="n">
        <v>35872</v>
      </c>
      <c r="K11" s="12" t="n">
        <v>36066</v>
      </c>
      <c r="L11" s="12" t="n">
        <v>43193</v>
      </c>
    </row>
    <row r="12">
      <c r="A12" s="20" t="inlineStr">
        <is>
          <t>유형자산</t>
        </is>
      </c>
      <c r="B12" s="10" t="n"/>
      <c r="C12" s="21" t="n">
        <v>10645</v>
      </c>
      <c r="D12" s="22" t="n">
        <v>10173</v>
      </c>
      <c r="E12" s="22" t="n">
        <v>13631</v>
      </c>
      <c r="F12" s="22" t="n">
        <v>12771</v>
      </c>
      <c r="G12" s="22" t="n">
        <v>15951</v>
      </c>
      <c r="H12" s="21" t="n">
        <v>1323</v>
      </c>
      <c r="I12" s="22" t="n">
        <v>1621</v>
      </c>
      <c r="J12" s="22" t="n">
        <v>11949</v>
      </c>
      <c r="K12" s="22" t="n">
        <v>11620</v>
      </c>
      <c r="L12" s="22" t="n">
        <v>13631</v>
      </c>
    </row>
    <row r="13">
      <c r="A13" s="20" t="inlineStr">
        <is>
          <t>무형자산</t>
        </is>
      </c>
      <c r="B13" s="10" t="n"/>
      <c r="C13" s="21" t="n">
        <v>106</v>
      </c>
      <c r="D13" s="22" t="n">
        <v>102</v>
      </c>
      <c r="E13" s="22" t="n">
        <v>95</v>
      </c>
      <c r="F13" s="22" t="n">
        <v>147</v>
      </c>
      <c r="G13" s="22" t="n">
        <v>169</v>
      </c>
      <c r="H13" s="21" t="n">
        <v>69</v>
      </c>
      <c r="I13" s="22" t="n">
        <v>60</v>
      </c>
      <c r="J13" s="22" t="n">
        <v>73</v>
      </c>
      <c r="K13" s="22" t="n">
        <v>58</v>
      </c>
      <c r="L13" s="22" t="n">
        <v>95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131518</v>
      </c>
      <c r="D16" s="12" t="n">
        <v>133470</v>
      </c>
      <c r="E16" s="12" t="n">
        <v>157485</v>
      </c>
      <c r="F16" s="12" t="n">
        <v>143979</v>
      </c>
      <c r="G16" s="12" t="n">
        <v>138867</v>
      </c>
      <c r="H16" s="11" t="n">
        <v>58136</v>
      </c>
      <c r="I16" s="12" t="n">
        <v>75265</v>
      </c>
      <c r="J16" s="12" t="n">
        <v>99883</v>
      </c>
      <c r="K16" s="12" t="n">
        <v>124665</v>
      </c>
      <c r="L16" s="12" t="n">
        <v>157485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23156</v>
      </c>
      <c r="D18" s="12" t="n">
        <v>24176</v>
      </c>
      <c r="E18" s="12" t="n">
        <v>35486</v>
      </c>
      <c r="F18" s="12" t="n">
        <v>29760</v>
      </c>
      <c r="G18" s="12" t="n">
        <v>29613</v>
      </c>
      <c r="H18" s="11" t="n">
        <v>12750</v>
      </c>
      <c r="I18" s="12" t="n">
        <v>15204</v>
      </c>
      <c r="J18" s="12" t="n">
        <v>17840</v>
      </c>
      <c r="K18" s="12" t="n">
        <v>24159</v>
      </c>
      <c r="L18" s="12" t="n">
        <v>35486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>
        <v>787</v>
      </c>
      <c r="D20" s="22" t="n">
        <v>525</v>
      </c>
      <c r="E20" s="22" t="n">
        <v>262</v>
      </c>
      <c r="F20" s="22" t="n">
        <v>0</v>
      </c>
      <c r="G20" s="22" t="n">
        <v>0</v>
      </c>
      <c r="H20" s="21" t="n">
        <v>1050</v>
      </c>
      <c r="I20" s="22" t="n">
        <v>1050</v>
      </c>
      <c r="J20" s="22" t="n">
        <v>1050</v>
      </c>
      <c r="K20" s="22" t="n">
        <v>1050</v>
      </c>
      <c r="L20" s="22" t="n">
        <v>262</v>
      </c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4810</v>
      </c>
      <c r="D23" s="12" t="n">
        <v>4291</v>
      </c>
      <c r="E23" s="12" t="n">
        <v>4961</v>
      </c>
      <c r="F23" s="12" t="n">
        <v>4278</v>
      </c>
      <c r="G23" s="12" t="n">
        <v>6950</v>
      </c>
      <c r="H23" s="11" t="n">
        <v>3685</v>
      </c>
      <c r="I23" s="12" t="n">
        <v>2720</v>
      </c>
      <c r="J23" s="12" t="n">
        <v>7916</v>
      </c>
      <c r="K23" s="12" t="n">
        <v>6105</v>
      </c>
      <c r="L23" s="12" t="n">
        <v>4961</v>
      </c>
    </row>
    <row r="24">
      <c r="A24" s="20" t="inlineStr">
        <is>
          <t>장기차입금</t>
        </is>
      </c>
      <c r="B24" s="10" t="n"/>
      <c r="C24" s="21" t="n">
        <v>0</v>
      </c>
      <c r="D24" s="22" t="n">
        <v>0</v>
      </c>
      <c r="E24" s="22" t="n">
        <v>0</v>
      </c>
      <c r="F24" s="22" t="n"/>
      <c r="G24" s="22" t="n"/>
      <c r="H24" s="21" t="n">
        <v>3390</v>
      </c>
      <c r="I24" s="22" t="n">
        <v>2349</v>
      </c>
      <c r="J24" s="22" t="n">
        <v>1306</v>
      </c>
      <c r="K24" s="22" t="n">
        <v>261</v>
      </c>
      <c r="L24" s="22" t="n">
        <v>0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27966</v>
      </c>
      <c r="D27" s="12" t="n">
        <v>28467</v>
      </c>
      <c r="E27" s="12" t="n">
        <v>40447</v>
      </c>
      <c r="F27" s="12" t="n">
        <v>34038</v>
      </c>
      <c r="G27" s="12" t="n">
        <v>36563</v>
      </c>
      <c r="H27" s="11" t="n">
        <v>16435</v>
      </c>
      <c r="I27" s="12" t="n">
        <v>17924</v>
      </c>
      <c r="J27" s="12" t="n">
        <v>25756</v>
      </c>
      <c r="K27" s="12" t="n">
        <v>30264</v>
      </c>
      <c r="L27" s="12" t="n">
        <v>40447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103552</v>
      </c>
      <c r="D31" s="12" t="n">
        <v>105003</v>
      </c>
      <c r="E31" s="12" t="n">
        <v>117038</v>
      </c>
      <c r="F31" s="12" t="n">
        <v>109941</v>
      </c>
      <c r="G31" s="12" t="n">
        <v>102304</v>
      </c>
      <c r="H31" s="11" t="n"/>
      <c r="I31" s="12" t="n"/>
      <c r="J31" s="12" t="n">
        <v>74127</v>
      </c>
      <c r="K31" s="12" t="n">
        <v>94401</v>
      </c>
      <c r="L31" s="12" t="n">
        <v>117038</v>
      </c>
    </row>
    <row r="32">
      <c r="A32" s="20" t="inlineStr">
        <is>
          <t>자본금</t>
        </is>
      </c>
      <c r="B32" s="10" t="n"/>
      <c r="C32" s="21" t="n">
        <v>282</v>
      </c>
      <c r="D32" s="22" t="n">
        <v>282</v>
      </c>
      <c r="E32" s="22" t="n">
        <v>282</v>
      </c>
      <c r="F32" s="22" t="n">
        <v>282</v>
      </c>
      <c r="G32" s="22" t="n">
        <v>282</v>
      </c>
      <c r="H32" s="21" t="n">
        <v>282</v>
      </c>
      <c r="I32" s="22" t="n">
        <v>282</v>
      </c>
      <c r="J32" s="22" t="n">
        <v>282</v>
      </c>
      <c r="K32" s="22" t="n">
        <v>282</v>
      </c>
      <c r="L32" s="22" t="n">
        <v>282</v>
      </c>
    </row>
    <row r="33">
      <c r="A33" s="20" t="inlineStr">
        <is>
          <t>이익잉여금</t>
        </is>
      </c>
      <c r="B33" s="10" t="n"/>
      <c r="C33" s="21" t="n">
        <v>106226</v>
      </c>
      <c r="D33" s="22" t="n">
        <v>107448</v>
      </c>
      <c r="E33" s="22" t="n">
        <v>119245</v>
      </c>
      <c r="F33" s="22" t="n">
        <v>122385</v>
      </c>
      <c r="G33" s="22" t="n">
        <v>117225</v>
      </c>
      <c r="H33" s="21" t="n">
        <v>35228</v>
      </c>
      <c r="I33" s="22" t="n">
        <v>52382</v>
      </c>
      <c r="J33" s="22" t="n">
        <v>71489</v>
      </c>
      <c r="K33" s="22" t="n">
        <v>94624</v>
      </c>
      <c r="L33" s="22" t="n">
        <v>119245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103552</v>
      </c>
      <c r="D35" s="12" t="n">
        <v>105003</v>
      </c>
      <c r="E35" s="12" t="n">
        <v>117038</v>
      </c>
      <c r="F35" s="12" t="n">
        <v>109941</v>
      </c>
      <c r="G35" s="12" t="n">
        <v>102304</v>
      </c>
      <c r="H35" s="11" t="n">
        <v>41701</v>
      </c>
      <c r="I35" s="12" t="n">
        <v>57341</v>
      </c>
      <c r="J35" s="12" t="n">
        <v>74127</v>
      </c>
      <c r="K35" s="12" t="n">
        <v>94401</v>
      </c>
      <c r="L35" s="12" t="n">
        <v>117038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35268</v>
      </c>
      <c r="D37" s="12" t="n">
        <v>34774</v>
      </c>
      <c r="E37" s="12" t="n">
        <v>37616</v>
      </c>
      <c r="F37" s="12" t="n">
        <v>39250</v>
      </c>
      <c r="G37" s="12" t="n">
        <v>41101</v>
      </c>
      <c r="H37" s="11" t="n">
        <v>16018</v>
      </c>
      <c r="I37" s="12" t="n">
        <v>21635</v>
      </c>
      <c r="J37" s="12" t="n">
        <v>24348</v>
      </c>
      <c r="K37" s="12" t="n">
        <v>32648</v>
      </c>
      <c r="L37" s="12" t="n">
        <v>37616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373</v>
      </c>
      <c r="D38" s="22" t="n">
        <v>402</v>
      </c>
      <c r="E38" s="22" t="n">
        <v>2645</v>
      </c>
      <c r="F38" s="22" t="n">
        <v>2790</v>
      </c>
      <c r="G38" s="22" t="n">
        <v>2973</v>
      </c>
      <c r="H38" s="21" t="n">
        <v>75</v>
      </c>
      <c r="I38" s="22" t="n">
        <v>386</v>
      </c>
      <c r="J38" s="22" t="n">
        <v>3632</v>
      </c>
      <c r="K38" s="22" t="n">
        <v>866</v>
      </c>
      <c r="L38" s="22" t="n">
        <v>2645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9428</v>
      </c>
      <c r="D40" s="22" t="n">
        <v>13208</v>
      </c>
      <c r="E40" s="22" t="n">
        <v>13218</v>
      </c>
      <c r="F40" s="22" t="n">
        <v>15161</v>
      </c>
      <c r="G40" s="22" t="n">
        <v>15183</v>
      </c>
      <c r="H40" s="21" t="n">
        <v>3141</v>
      </c>
      <c r="I40" s="22" t="n">
        <v>4753</v>
      </c>
      <c r="J40" s="22" t="n">
        <v>6273</v>
      </c>
      <c r="K40" s="22" t="n">
        <v>7618</v>
      </c>
      <c r="L40" s="22" t="n">
        <v>13218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현금및현금성자산</t>
        </is>
      </c>
      <c r="C71" s="22" t="n">
        <v>68285</v>
      </c>
      <c r="D71" s="22" t="n">
        <v>68797</v>
      </c>
      <c r="E71" s="22" t="n">
        <v>72308</v>
      </c>
      <c r="F71" s="22" t="n">
        <v>66382</v>
      </c>
      <c r="G71" s="22" t="n">
        <v>54483</v>
      </c>
      <c r="H71" s="22" t="n">
        <v>26056</v>
      </c>
      <c r="I71" s="22" t="n">
        <v>36606</v>
      </c>
      <c r="J71" s="22" t="n">
        <v>45778</v>
      </c>
      <c r="K71" s="22" t="n">
        <v>60552</v>
      </c>
      <c r="L71" s="22" t="n">
        <v>72308</v>
      </c>
    </row>
    <row r="72">
      <c r="A72" s="20" t="inlineStr">
        <is>
          <t>매출채권 및 기타채권</t>
        </is>
      </c>
      <c r="C72" s="22" t="n">
        <v>21978</v>
      </c>
      <c r="D72" s="22" t="n">
        <v>23473</v>
      </c>
      <c r="E72" s="22" t="n">
        <v>36610</v>
      </c>
      <c r="F72" s="22" t="n">
        <v>28870</v>
      </c>
      <c r="G72" s="22" t="n">
        <v>32967</v>
      </c>
      <c r="H72" s="22" t="n">
        <v>8558</v>
      </c>
      <c r="I72" s="22" t="n">
        <v>12117</v>
      </c>
      <c r="J72" s="22" t="n">
        <v>16068</v>
      </c>
      <c r="K72" s="22" t="n">
        <v>22699</v>
      </c>
      <c r="L72" s="22" t="n">
        <v>36610</v>
      </c>
    </row>
    <row r="73">
      <c r="A73" s="20" t="inlineStr">
        <is>
          <t>재고자산</t>
        </is>
      </c>
      <c r="C73" s="22" t="n">
        <v>688</v>
      </c>
      <c r="D73" s="22" t="n">
        <v>700</v>
      </c>
      <c r="E73" s="22" t="n">
        <v>624</v>
      </c>
      <c r="F73" s="22" t="n">
        <v>277</v>
      </c>
      <c r="G73" s="22" t="n">
        <v>28</v>
      </c>
      <c r="H73" s="22" t="n">
        <v>436</v>
      </c>
      <c r="I73" s="22" t="n">
        <v>463</v>
      </c>
      <c r="J73" s="22" t="n">
        <v>669</v>
      </c>
      <c r="K73" s="22" t="n">
        <v>919</v>
      </c>
      <c r="L73" s="22" t="n">
        <v>624</v>
      </c>
    </row>
    <row r="74">
      <c r="A74" s="20" t="inlineStr">
        <is>
          <t>기타금융자산</t>
        </is>
      </c>
      <c r="C74" s="22" t="n">
        <v>3000</v>
      </c>
      <c r="D74" s="22" t="n">
        <v>3000</v>
      </c>
      <c r="E74" s="22" t="n">
        <v>3020</v>
      </c>
      <c r="F74" s="22" t="n">
        <v>3020</v>
      </c>
      <c r="G74" s="22" t="n">
        <v>3020</v>
      </c>
      <c r="H74" s="22" t="n">
        <v>0</v>
      </c>
      <c r="I74" s="22" t="n">
        <v>0</v>
      </c>
      <c r="J74" s="22" t="n">
        <v>793</v>
      </c>
      <c r="K74" s="22" t="n">
        <v>3000</v>
      </c>
      <c r="L74" s="22" t="n">
        <v>3020</v>
      </c>
    </row>
    <row r="75">
      <c r="A75" s="20" t="inlineStr">
        <is>
          <t>기타유동자산</t>
        </is>
      </c>
      <c r="C75" s="22" t="n">
        <v>1885</v>
      </c>
      <c r="D75" s="22" t="n">
        <v>1963</v>
      </c>
      <c r="E75" s="22" t="n">
        <v>1730</v>
      </c>
      <c r="F75" s="22" t="n">
        <v>2715</v>
      </c>
      <c r="G75" s="22" t="n">
        <v>2365</v>
      </c>
      <c r="H75" s="22" t="n">
        <v>123</v>
      </c>
      <c r="I75" s="22" t="n">
        <v>519</v>
      </c>
      <c r="J75" s="22" t="n">
        <v>703</v>
      </c>
      <c r="K75" s="22" t="n">
        <v>1429</v>
      </c>
      <c r="L75" s="22" t="n">
        <v>1730</v>
      </c>
    </row>
    <row r="76">
      <c r="A76" s="9" t="inlineStr">
        <is>
          <t>유동자산 합계</t>
        </is>
      </c>
      <c r="C76" s="12" t="n">
        <v>95836</v>
      </c>
      <c r="D76" s="12" t="n">
        <v>97933</v>
      </c>
      <c r="E76" s="12" t="n">
        <v>114292</v>
      </c>
      <c r="F76" s="12" t="n">
        <v>101264</v>
      </c>
      <c r="G76" s="12" t="n">
        <v>92863</v>
      </c>
      <c r="H76" s="12" t="n">
        <v>35173</v>
      </c>
      <c r="I76" s="12" t="n">
        <v>49705</v>
      </c>
      <c r="J76" s="12" t="n">
        <v>64011</v>
      </c>
      <c r="K76" s="12" t="n">
        <v>88599</v>
      </c>
      <c r="L76" s="12" t="n">
        <v>114292</v>
      </c>
    </row>
    <row r="77">
      <c r="A77" s="20" t="inlineStr">
        <is>
          <t>유형자산</t>
        </is>
      </c>
      <c r="C77" s="22" t="n">
        <v>10645</v>
      </c>
      <c r="D77" s="22" t="n">
        <v>10173</v>
      </c>
      <c r="E77" s="22" t="n">
        <v>13631</v>
      </c>
      <c r="F77" s="22" t="n">
        <v>12771</v>
      </c>
      <c r="G77" s="22" t="n">
        <v>15951</v>
      </c>
      <c r="H77" s="22" t="n">
        <v>1323</v>
      </c>
      <c r="I77" s="22" t="n">
        <v>1621</v>
      </c>
      <c r="J77" s="22" t="n">
        <v>11949</v>
      </c>
      <c r="K77" s="22" t="n">
        <v>11620</v>
      </c>
      <c r="L77" s="22" t="n">
        <v>13631</v>
      </c>
    </row>
    <row r="78">
      <c r="A78" s="20" t="inlineStr">
        <is>
          <t>영업권</t>
        </is>
      </c>
      <c r="C78" s="22" t="n">
        <v>19187</v>
      </c>
      <c r="D78" s="22" t="n">
        <v>19187</v>
      </c>
      <c r="E78" s="22" t="n">
        <v>19187</v>
      </c>
      <c r="F78" s="22" t="n">
        <v>19187</v>
      </c>
      <c r="G78" s="22" t="n">
        <v>19187</v>
      </c>
      <c r="H78" s="22" t="n">
        <v>19187</v>
      </c>
      <c r="I78" s="22" t="n">
        <v>19187</v>
      </c>
      <c r="J78" s="22" t="n">
        <v>19187</v>
      </c>
      <c r="K78" s="22" t="n">
        <v>19187</v>
      </c>
      <c r="L78" s="22" t="n">
        <v>19187</v>
      </c>
    </row>
    <row r="79">
      <c r="A79" s="20" t="inlineStr">
        <is>
          <t>무형자산</t>
        </is>
      </c>
      <c r="C79" s="22" t="n">
        <v>106</v>
      </c>
      <c r="D79" s="22" t="n">
        <v>102</v>
      </c>
      <c r="E79" s="22" t="n">
        <v>95</v>
      </c>
      <c r="F79" s="22" t="n">
        <v>147</v>
      </c>
      <c r="G79" s="22" t="n">
        <v>169</v>
      </c>
      <c r="H79" s="22" t="n">
        <v>69</v>
      </c>
      <c r="I79" s="22" t="n">
        <v>60</v>
      </c>
      <c r="J79" s="22" t="n">
        <v>73</v>
      </c>
      <c r="K79" s="22" t="n">
        <v>58</v>
      </c>
      <c r="L79" s="22" t="n">
        <v>95</v>
      </c>
    </row>
    <row r="80">
      <c r="A80" s="20" t="inlineStr">
        <is>
          <t>기타금융자산</t>
        </is>
      </c>
      <c r="C80" s="22" t="n">
        <v>2697</v>
      </c>
      <c r="D80" s="22" t="n">
        <v>2997</v>
      </c>
      <c r="E80" s="22" t="n">
        <v>6029</v>
      </c>
      <c r="F80" s="22" t="n">
        <v>6313</v>
      </c>
      <c r="G80" s="22" t="n">
        <v>6335</v>
      </c>
      <c r="H80" s="22" t="n">
        <v>810</v>
      </c>
      <c r="I80" s="22" t="n">
        <v>2673</v>
      </c>
      <c r="J80" s="22" t="n">
        <v>1927</v>
      </c>
      <c r="K80" s="22" t="n">
        <v>2234</v>
      </c>
      <c r="L80" s="22" t="n">
        <v>6029</v>
      </c>
    </row>
    <row r="81">
      <c r="A81" s="20" t="inlineStr">
        <is>
          <t>기타비유동자산</t>
        </is>
      </c>
      <c r="C81" s="22" t="n">
        <v>112</v>
      </c>
      <c r="D81" s="22" t="n">
        <v>70</v>
      </c>
      <c r="E81" s="22" t="n">
        <v>79</v>
      </c>
      <c r="F81" s="22" t="n">
        <v>83</v>
      </c>
      <c r="G81" s="22" t="n">
        <v>95</v>
      </c>
      <c r="H81" s="22" t="n">
        <v>12</v>
      </c>
      <c r="I81" s="22" t="n">
        <v>57</v>
      </c>
      <c r="J81" s="22" t="n">
        <v>105</v>
      </c>
      <c r="K81" s="22" t="n">
        <v>99</v>
      </c>
      <c r="L81" s="22" t="n">
        <v>79</v>
      </c>
    </row>
    <row r="82">
      <c r="A82" s="20" t="inlineStr">
        <is>
          <t>이연법인세자산</t>
        </is>
      </c>
      <c r="C82" s="22" t="n">
        <v>2935</v>
      </c>
      <c r="D82" s="22" t="n">
        <v>3008</v>
      </c>
      <c r="E82" s="22" t="n">
        <v>4172</v>
      </c>
      <c r="F82" s="22" t="n">
        <v>4214</v>
      </c>
      <c r="G82" s="22" t="n">
        <v>4267</v>
      </c>
      <c r="H82" s="22" t="n">
        <v>1562</v>
      </c>
      <c r="I82" s="22" t="n">
        <v>1962</v>
      </c>
      <c r="J82" s="22" t="n">
        <v>2631</v>
      </c>
      <c r="K82" s="22" t="n">
        <v>2868</v>
      </c>
      <c r="L82" s="22" t="n">
        <v>4172</v>
      </c>
    </row>
    <row r="83">
      <c r="A83" s="20" t="inlineStr">
        <is>
          <t>비유동자산 합계</t>
        </is>
      </c>
      <c r="C83" s="22" t="n">
        <v>35682</v>
      </c>
      <c r="D83" s="22" t="n">
        <v>35537</v>
      </c>
      <c r="E83" s="22" t="n">
        <v>43193</v>
      </c>
      <c r="F83" s="22" t="n">
        <v>42715</v>
      </c>
      <c r="G83" s="22" t="n">
        <v>46004</v>
      </c>
      <c r="H83" s="22" t="n">
        <v>22963</v>
      </c>
      <c r="I83" s="22" t="n">
        <v>25560</v>
      </c>
      <c r="J83" s="22" t="n">
        <v>35872</v>
      </c>
      <c r="K83" s="22" t="n">
        <v>36066</v>
      </c>
      <c r="L83" s="22" t="n">
        <v>43193</v>
      </c>
    </row>
    <row r="84">
      <c r="A84" s="20" t="inlineStr">
        <is>
          <t>자산 합계</t>
        </is>
      </c>
      <c r="C84" s="22" t="n">
        <v>131518</v>
      </c>
      <c r="D84" s="22" t="n">
        <v>133470</v>
      </c>
      <c r="E84" s="22" t="n">
        <v>157485</v>
      </c>
      <c r="F84" s="22" t="n">
        <v>143979</v>
      </c>
      <c r="G84" s="22" t="n">
        <v>138867</v>
      </c>
      <c r="H84" s="22" t="n">
        <v>58136</v>
      </c>
      <c r="I84" s="22" t="n">
        <v>75265</v>
      </c>
      <c r="J84" s="22" t="n">
        <v>99883</v>
      </c>
      <c r="K84" s="22" t="n">
        <v>124665</v>
      </c>
      <c r="L84" s="22" t="n">
        <v>157485</v>
      </c>
    </row>
    <row r="85">
      <c r="A85" s="20" t="inlineStr">
        <is>
          <t>차입금</t>
        </is>
      </c>
      <c r="C85" s="22" t="n">
        <v>787</v>
      </c>
      <c r="D85" s="22" t="n">
        <v>525</v>
      </c>
      <c r="E85" s="22" t="n">
        <v>262</v>
      </c>
      <c r="F85" s="22" t="n">
        <v>0</v>
      </c>
      <c r="G85" s="22" t="n">
        <v>0</v>
      </c>
      <c r="H85" s="22" t="n">
        <v>1050</v>
      </c>
      <c r="I85" s="22" t="n">
        <v>1050</v>
      </c>
      <c r="J85" s="22" t="n">
        <v>1050</v>
      </c>
      <c r="K85" s="22" t="n">
        <v>1050</v>
      </c>
      <c r="L85" s="22" t="n">
        <v>262</v>
      </c>
    </row>
    <row r="86">
      <c r="A86" s="20" t="inlineStr">
        <is>
          <t>리스부채</t>
        </is>
      </c>
      <c r="C86" s="22" t="n">
        <v>2080</v>
      </c>
      <c r="D86" s="22" t="n">
        <v>2084</v>
      </c>
      <c r="E86" s="22" t="n">
        <v>2512</v>
      </c>
      <c r="F86" s="22" t="n">
        <v>2676</v>
      </c>
      <c r="G86" s="22" t="n">
        <v>3201</v>
      </c>
      <c r="H86" s="22" t="n">
        <v>611</v>
      </c>
      <c r="I86" s="22" t="n">
        <v>554</v>
      </c>
      <c r="J86" s="22" t="n">
        <v>1770</v>
      </c>
      <c r="K86" s="22" t="n">
        <v>2074</v>
      </c>
      <c r="L86" s="22" t="n">
        <v>2512</v>
      </c>
    </row>
    <row r="87">
      <c r="A87" s="20" t="inlineStr">
        <is>
          <t>기타금융부채</t>
        </is>
      </c>
      <c r="C87" s="22" t="n">
        <v>985</v>
      </c>
      <c r="D87" s="22" t="n">
        <v>799</v>
      </c>
      <c r="E87" s="22" t="n">
        <v>1738</v>
      </c>
      <c r="F87" s="22" t="n">
        <v>2264</v>
      </c>
      <c r="G87" s="22" t="n">
        <v>2087</v>
      </c>
      <c r="H87" s="22" t="n">
        <v>366</v>
      </c>
      <c r="I87" s="22" t="n">
        <v>489</v>
      </c>
      <c r="J87" s="22" t="n">
        <v>918</v>
      </c>
      <c r="K87" s="22" t="n">
        <v>870</v>
      </c>
      <c r="L87" s="22" t="n">
        <v>1738</v>
      </c>
    </row>
    <row r="88">
      <c r="A88" s="20" t="inlineStr">
        <is>
          <t>미지급법인세</t>
        </is>
      </c>
      <c r="C88" s="22" t="n">
        <v>6796</v>
      </c>
      <c r="D88" s="22" t="n">
        <v>3834</v>
      </c>
      <c r="E88" s="22" t="n">
        <v>10828</v>
      </c>
      <c r="F88" s="22" t="n">
        <v>4344</v>
      </c>
      <c r="G88" s="22" t="n">
        <v>8716</v>
      </c>
      <c r="H88" s="22" t="n">
        <v>4696</v>
      </c>
      <c r="I88" s="22" t="n">
        <v>5623</v>
      </c>
      <c r="J88" s="22" t="n">
        <v>5713</v>
      </c>
      <c r="K88" s="22" t="n">
        <v>7830</v>
      </c>
      <c r="L88" s="22" t="n">
        <v>10828</v>
      </c>
    </row>
    <row r="89">
      <c r="A89" s="20" t="inlineStr">
        <is>
          <t>충당금</t>
        </is>
      </c>
      <c r="E89" s="22" t="n">
        <v>0</v>
      </c>
      <c r="G89" s="22" t="n">
        <v>109</v>
      </c>
      <c r="H89" s="22" t="n">
        <v>0</v>
      </c>
      <c r="I89" s="22" t="n">
        <v>0</v>
      </c>
      <c r="J89" s="22" t="n">
        <v>167</v>
      </c>
      <c r="K89" s="22" t="n">
        <v>0</v>
      </c>
      <c r="L89" s="22" t="n">
        <v>0</v>
      </c>
    </row>
    <row r="90">
      <c r="A90" s="20" t="inlineStr">
        <is>
          <t>기타유동부채</t>
        </is>
      </c>
      <c r="C90" s="22" t="n">
        <v>12508</v>
      </c>
      <c r="D90" s="22" t="n">
        <v>16934</v>
      </c>
      <c r="E90" s="22" t="n">
        <v>20146</v>
      </c>
      <c r="F90" s="22" t="n">
        <v>20476</v>
      </c>
      <c r="G90" s="22" t="n">
        <v>15500</v>
      </c>
      <c r="H90" s="22" t="n">
        <v>6027</v>
      </c>
      <c r="I90" s="22" t="n">
        <v>7488</v>
      </c>
      <c r="J90" s="22" t="n">
        <v>8222</v>
      </c>
      <c r="K90" s="22" t="n">
        <v>12335</v>
      </c>
      <c r="L90" s="22" t="n">
        <v>20146</v>
      </c>
    </row>
    <row r="91">
      <c r="A91" s="20" t="inlineStr">
        <is>
          <t>유동부채 합계</t>
        </is>
      </c>
      <c r="C91" s="22" t="n">
        <v>23156</v>
      </c>
      <c r="D91" s="22" t="n">
        <v>24176</v>
      </c>
      <c r="E91" s="22" t="n">
        <v>35486</v>
      </c>
      <c r="F91" s="22" t="n">
        <v>29760</v>
      </c>
      <c r="G91" s="22" t="n">
        <v>29613</v>
      </c>
      <c r="H91" s="22" t="n">
        <v>12750</v>
      </c>
      <c r="I91" s="22" t="n">
        <v>15204</v>
      </c>
      <c r="J91" s="22" t="n">
        <v>17840</v>
      </c>
      <c r="K91" s="22" t="n">
        <v>24159</v>
      </c>
      <c r="L91" s="22" t="n">
        <v>35486</v>
      </c>
    </row>
    <row r="92">
      <c r="A92" s="20" t="inlineStr">
        <is>
          <t>차입금</t>
        </is>
      </c>
      <c r="C92" s="22" t="n">
        <v>0</v>
      </c>
      <c r="D92" s="22" t="n">
        <v>0</v>
      </c>
      <c r="E92" s="22" t="n">
        <v>0</v>
      </c>
      <c r="H92" s="22" t="n">
        <v>3390</v>
      </c>
      <c r="I92" s="22" t="n">
        <v>2349</v>
      </c>
      <c r="J92" s="22" t="n">
        <v>1306</v>
      </c>
      <c r="K92" s="22" t="n">
        <v>261</v>
      </c>
      <c r="L92" s="22" t="n">
        <v>0</v>
      </c>
    </row>
    <row r="93">
      <c r="A93" s="20" t="inlineStr">
        <is>
          <t>리스부채</t>
        </is>
      </c>
      <c r="C93" s="22" t="n">
        <v>3656</v>
      </c>
      <c r="D93" s="22" t="n">
        <v>3134</v>
      </c>
      <c r="E93" s="22" t="n">
        <v>3801</v>
      </c>
      <c r="F93" s="22" t="n">
        <v>3115</v>
      </c>
      <c r="G93" s="22" t="n">
        <v>5672</v>
      </c>
      <c r="H93" s="22" t="n">
        <v>156</v>
      </c>
      <c r="I93" s="22" t="n">
        <v>186</v>
      </c>
      <c r="J93" s="22" t="n">
        <v>5529</v>
      </c>
      <c r="K93" s="22" t="n">
        <v>4697</v>
      </c>
      <c r="L93" s="22" t="n">
        <v>3801</v>
      </c>
    </row>
    <row r="94">
      <c r="A94" s="20" t="inlineStr">
        <is>
          <t>충당금</t>
        </is>
      </c>
      <c r="C94" s="22" t="n">
        <v>1154</v>
      </c>
      <c r="D94" s="22" t="n">
        <v>1157</v>
      </c>
      <c r="E94" s="22" t="n">
        <v>1160</v>
      </c>
      <c r="F94" s="22" t="n">
        <v>1163</v>
      </c>
      <c r="G94" s="22" t="n">
        <v>1278</v>
      </c>
      <c r="H94" s="22" t="n">
        <v>139</v>
      </c>
      <c r="I94" s="22" t="n">
        <v>185</v>
      </c>
      <c r="J94" s="22" t="n">
        <v>1081</v>
      </c>
      <c r="K94" s="22" t="n">
        <v>1147</v>
      </c>
      <c r="L94" s="22" t="n">
        <v>1160</v>
      </c>
    </row>
    <row r="95">
      <c r="A95" s="20" t="inlineStr">
        <is>
          <t>비유동부채 합계</t>
        </is>
      </c>
      <c r="C95" s="22" t="n">
        <v>4810</v>
      </c>
      <c r="D95" s="22" t="n">
        <v>4291</v>
      </c>
      <c r="E95" s="22" t="n">
        <v>4961</v>
      </c>
      <c r="F95" s="22" t="n">
        <v>4278</v>
      </c>
      <c r="G95" s="22" t="n">
        <v>6950</v>
      </c>
      <c r="H95" s="22" t="n">
        <v>3685</v>
      </c>
      <c r="I95" s="22" t="n">
        <v>2720</v>
      </c>
      <c r="J95" s="22" t="n">
        <v>7916</v>
      </c>
      <c r="K95" s="22" t="n">
        <v>6105</v>
      </c>
      <c r="L95" s="22" t="n">
        <v>4961</v>
      </c>
    </row>
    <row r="96">
      <c r="A96" s="20" t="inlineStr">
        <is>
          <t>부채 합계</t>
        </is>
      </c>
      <c r="C96" s="22" t="n">
        <v>27966</v>
      </c>
      <c r="D96" s="22" t="n">
        <v>28467</v>
      </c>
      <c r="E96" s="22" t="n">
        <v>40447</v>
      </c>
      <c r="F96" s="22" t="n">
        <v>34038</v>
      </c>
      <c r="G96" s="22" t="n">
        <v>36563</v>
      </c>
      <c r="H96" s="22" t="n">
        <v>16435</v>
      </c>
      <c r="I96" s="22" t="n">
        <v>17924</v>
      </c>
      <c r="J96" s="22" t="n">
        <v>25756</v>
      </c>
      <c r="K96" s="22" t="n">
        <v>30264</v>
      </c>
      <c r="L96" s="22" t="n">
        <v>40447</v>
      </c>
    </row>
    <row r="97">
      <c r="A97" s="20" t="inlineStr">
        <is>
          <t>자본금</t>
        </is>
      </c>
      <c r="C97" s="22" t="n">
        <v>282</v>
      </c>
      <c r="D97" s="22" t="n">
        <v>282</v>
      </c>
      <c r="E97" s="22" t="n">
        <v>282</v>
      </c>
      <c r="F97" s="22" t="n">
        <v>282</v>
      </c>
      <c r="G97" s="22" t="n">
        <v>282</v>
      </c>
      <c r="H97" s="22" t="n">
        <v>282</v>
      </c>
      <c r="I97" s="22" t="n">
        <v>282</v>
      </c>
      <c r="J97" s="22" t="n">
        <v>282</v>
      </c>
      <c r="K97" s="22" t="n">
        <v>282</v>
      </c>
      <c r="L97" s="22" t="n">
        <v>282</v>
      </c>
    </row>
    <row r="98">
      <c r="A98" s="20" t="inlineStr">
        <is>
          <t>자본잉여금</t>
        </is>
      </c>
      <c r="C98" s="22" t="n">
        <v>8069</v>
      </c>
      <c r="D98" s="22" t="n">
        <v>8293</v>
      </c>
      <c r="E98" s="22" t="n">
        <v>8522</v>
      </c>
      <c r="F98" s="22" t="n">
        <v>8723</v>
      </c>
      <c r="G98" s="22" t="n">
        <v>0</v>
      </c>
      <c r="H98" s="22" t="n">
        <v>7524</v>
      </c>
      <c r="I98" s="22" t="n">
        <v>7791</v>
      </c>
      <c r="J98" s="22" t="n">
        <v>8190</v>
      </c>
      <c r="K98" s="22" t="n">
        <v>8069</v>
      </c>
      <c r="L98" s="22" t="n">
        <v>8522</v>
      </c>
    </row>
    <row r="99">
      <c r="A99" s="20" t="inlineStr">
        <is>
          <t>자기주식</t>
        </is>
      </c>
      <c r="C99" s="22" t="n">
        <v>-11025</v>
      </c>
      <c r="D99" s="22" t="n">
        <v>-11025</v>
      </c>
      <c r="E99" s="22" t="n">
        <v>-11025</v>
      </c>
      <c r="F99" s="22" t="n">
        <v>-21459</v>
      </c>
      <c r="G99" s="22" t="n">
        <v>-15221</v>
      </c>
      <c r="H99" s="22" t="n">
        <v>-1333</v>
      </c>
      <c r="I99" s="22" t="n">
        <v>-3114</v>
      </c>
      <c r="J99" s="22" t="n">
        <v>-5834</v>
      </c>
      <c r="K99" s="22" t="n">
        <v>-8574</v>
      </c>
      <c r="L99" s="22" t="n">
        <v>-11025</v>
      </c>
    </row>
    <row r="100">
      <c r="A100" s="20" t="inlineStr">
        <is>
          <t>이익잉여금</t>
        </is>
      </c>
      <c r="C100" s="22" t="n">
        <v>106226</v>
      </c>
      <c r="D100" s="22" t="n">
        <v>107448</v>
      </c>
      <c r="E100" s="22" t="n">
        <v>119245</v>
      </c>
      <c r="F100" s="22" t="n">
        <v>122385</v>
      </c>
      <c r="G100" s="22" t="n">
        <v>117225</v>
      </c>
      <c r="H100" s="22" t="n">
        <v>35228</v>
      </c>
      <c r="I100" s="22" t="n">
        <v>52382</v>
      </c>
      <c r="J100" s="22" t="n">
        <v>71489</v>
      </c>
      <c r="K100" s="22" t="n">
        <v>94624</v>
      </c>
      <c r="L100" s="22" t="n">
        <v>119245</v>
      </c>
    </row>
    <row r="101">
      <c r="A101" s="20" t="inlineStr">
        <is>
          <t>기타자본구성요소</t>
        </is>
      </c>
      <c r="C101" s="22" t="n">
        <v>-0</v>
      </c>
      <c r="D101" s="22" t="n">
        <v>5</v>
      </c>
      <c r="E101" s="22" t="n">
        <v>14</v>
      </c>
      <c r="F101" s="22" t="n">
        <v>10</v>
      </c>
      <c r="G101" s="22" t="n">
        <v>18</v>
      </c>
      <c r="K101" s="22" t="n">
        <v>0</v>
      </c>
      <c r="L101" s="22" t="n">
        <v>14</v>
      </c>
    </row>
    <row r="102">
      <c r="A102" s="20" t="inlineStr">
        <is>
          <t>지배기업 소유주 귀속 지분 합계</t>
        </is>
      </c>
      <c r="C102" s="22" t="n">
        <v>103552</v>
      </c>
      <c r="D102" s="22" t="n">
        <v>105003</v>
      </c>
      <c r="E102" s="22" t="n">
        <v>117038</v>
      </c>
      <c r="F102" s="22" t="n">
        <v>109941</v>
      </c>
      <c r="G102" s="22" t="n">
        <v>102304</v>
      </c>
      <c r="J102" s="22" t="n">
        <v>74127</v>
      </c>
      <c r="K102" s="22" t="n">
        <v>94401</v>
      </c>
      <c r="L102" s="22" t="n">
        <v>117038</v>
      </c>
    </row>
    <row r="103">
      <c r="A103" s="20" t="inlineStr">
        <is>
          <t>자본 합계</t>
        </is>
      </c>
      <c r="C103" s="22" t="n">
        <v>103552</v>
      </c>
      <c r="D103" s="22" t="n">
        <v>105003</v>
      </c>
      <c r="E103" s="22" t="n">
        <v>117038</v>
      </c>
      <c r="F103" s="22" t="n">
        <v>109941</v>
      </c>
      <c r="G103" s="22" t="n">
        <v>102304</v>
      </c>
      <c r="H103" s="22" t="n">
        <v>41701</v>
      </c>
      <c r="I103" s="22" t="n">
        <v>57341</v>
      </c>
      <c r="J103" s="22" t="n">
        <v>74127</v>
      </c>
      <c r="K103" s="22" t="n">
        <v>94401</v>
      </c>
      <c r="L103" s="22" t="n">
        <v>117038</v>
      </c>
    </row>
    <row r="104">
      <c r="A104" s="20" t="inlineStr">
        <is>
          <t>부채및자본 합계</t>
        </is>
      </c>
      <c r="C104" s="22" t="n">
        <v>131518</v>
      </c>
      <c r="D104" s="22" t="n">
        <v>133470</v>
      </c>
      <c r="E104" s="22" t="n">
        <v>157485</v>
      </c>
      <c r="F104" s="22" t="n">
        <v>143979</v>
      </c>
      <c r="G104" s="22" t="n">
        <v>138867</v>
      </c>
      <c r="H104" s="22" t="n">
        <v>58136</v>
      </c>
      <c r="I104" s="22" t="n">
        <v>75265</v>
      </c>
      <c r="J104" s="22" t="n">
        <v>99883</v>
      </c>
      <c r="K104" s="22" t="n">
        <v>124665</v>
      </c>
      <c r="L104" s="22" t="n">
        <v>157485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2" t="inlineStr">
        <is>
          <t>베이커런트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quarter</t>
        </is>
      </c>
      <c r="B4" s="54" t="n"/>
      <c r="C4" s="54" t="n"/>
    </row>
    <row r="5">
      <c r="A5" s="55" t="inlineStr">
        <is>
          <t>항목</t>
        </is>
      </c>
      <c r="B5" s="55" t="inlineStr">
        <is>
          <t>값</t>
        </is>
      </c>
      <c r="C5" s="55" t="inlineStr">
        <is>
          <t>출처</t>
        </is>
      </c>
    </row>
    <row r="6">
      <c r="A6" s="56" t="inlineStr">
        <is>
          <t>2Q 매출</t>
        </is>
      </c>
      <c r="B6" s="57" t="n">
        <v>483.4</v>
      </c>
      <c r="C6" s="58" t="inlineStr">
        <is>
          <t>2단계 보고서 자료(회사 설명회 자료·공시)</t>
        </is>
      </c>
    </row>
    <row r="7">
      <c r="A7" s="56" t="inlineStr">
        <is>
          <t>2Q 영업이익</t>
        </is>
      </c>
      <c r="B7" s="57" t="n">
        <v>154.1</v>
      </c>
    </row>
    <row r="8">
      <c r="A8" s="56" t="inlineStr">
        <is>
          <t>상반기 매출</t>
        </is>
      </c>
      <c r="B8" s="57" t="n">
        <v>929.1</v>
      </c>
    </row>
    <row r="9">
      <c r="A9" s="56" t="inlineStr">
        <is>
          <t>상반기 영업이익</t>
        </is>
      </c>
      <c r="B9" s="57" t="n">
        <v>298.9</v>
      </c>
    </row>
    <row r="10">
      <c r="A10" s="56" t="inlineStr">
        <is>
          <t>상반기 순이익</t>
        </is>
      </c>
      <c r="B10" s="57" t="n">
        <v>222.1</v>
      </c>
    </row>
    <row r="11">
      <c r="A11" s="56" t="inlineStr">
        <is>
          <t>상반기 EPS</t>
        </is>
      </c>
      <c r="B11" s="57" t="n">
        <v>148.63</v>
      </c>
    </row>
    <row r="12">
      <c r="A12" s="56" t="inlineStr">
        <is>
          <t>revised</t>
        </is>
      </c>
      <c r="B12" s="59" t="b">
        <v>0</v>
      </c>
    </row>
    <row r="14">
      <c r="A14" s="54" t="inlineStr">
        <is>
          <t>this quarter · guide</t>
        </is>
      </c>
      <c r="B14" s="54" t="n"/>
      <c r="C14" s="54" t="n"/>
    </row>
    <row r="15">
      <c r="A15" s="55" t="inlineStr">
        <is>
          <t>항목</t>
        </is>
      </c>
      <c r="B15" s="55" t="inlineStr">
        <is>
          <t>값</t>
        </is>
      </c>
      <c r="C15" s="55" t="inlineStr">
        <is>
          <t>출처</t>
        </is>
      </c>
    </row>
    <row r="16">
      <c r="A16" s="56" t="inlineStr">
        <is>
          <t>매출</t>
        </is>
      </c>
      <c r="B16" s="59" t="n">
        <v>1900</v>
      </c>
      <c r="C16" s="58" t="inlineStr">
        <is>
          <t>2단계 보고서 자료(회사 설명회 자료·공시)</t>
        </is>
      </c>
    </row>
    <row r="17">
      <c r="A17" s="56" t="inlineStr">
        <is>
          <t>영업이익</t>
        </is>
      </c>
      <c r="B17" s="59" t="n">
        <v>648</v>
      </c>
    </row>
    <row r="18">
      <c r="A18" s="56" t="inlineStr">
        <is>
          <t>순이익</t>
        </is>
      </c>
      <c r="B18" s="59" t="n">
        <v>481</v>
      </c>
    </row>
    <row r="19">
      <c r="A19" s="56" t="inlineStr">
        <is>
          <t>EPS</t>
        </is>
      </c>
      <c r="B19" s="57" t="n">
        <v>323.79</v>
      </c>
    </row>
    <row r="20">
      <c r="A20" s="56" t="inlineStr">
        <is>
          <t>dps</t>
        </is>
      </c>
      <c r="B20" s="59" t="n">
        <v>130</v>
      </c>
    </row>
    <row r="22">
      <c r="A22" s="54" t="inlineStr">
        <is>
          <t>컨센서스</t>
        </is>
      </c>
      <c r="B22" s="54" t="n"/>
      <c r="C22" s="54" t="n"/>
    </row>
    <row r="23">
      <c r="A23" s="55" t="inlineStr">
        <is>
          <t>항목</t>
        </is>
      </c>
      <c r="B23" s="55" t="inlineStr">
        <is>
          <t>값</t>
        </is>
      </c>
      <c r="C23" s="55" t="inlineStr">
        <is>
          <t>출처</t>
        </is>
      </c>
    </row>
    <row r="24">
      <c r="A24" s="56" t="inlineStr">
        <is>
          <t>3Q 매출</t>
        </is>
      </c>
      <c r="B24" s="57" t="n">
        <v>495</v>
      </c>
      <c r="C24" s="58" t="inlineStr">
        <is>
          <t>야후 파이낸스(jp_consensus)</t>
        </is>
      </c>
    </row>
    <row r="25">
      <c r="A25" s="56" t="inlineStr">
        <is>
          <t>3Q 매출 애널리스트 수</t>
        </is>
      </c>
      <c r="B25" s="59" t="n">
        <v>6</v>
      </c>
    </row>
    <row r="26">
      <c r="A26" s="56" t="inlineStr">
        <is>
          <t>3Q EPS</t>
        </is>
      </c>
      <c r="B26" s="57" t="n">
        <v>78.09999999999999</v>
      </c>
    </row>
    <row r="27">
      <c r="A27" s="56" t="inlineStr">
        <is>
          <t>3Q EPS 애널리스트 수</t>
        </is>
      </c>
      <c r="B27" s="59" t="n">
        <v>2</v>
      </c>
    </row>
    <row r="28">
      <c r="A28" s="56" t="inlineStr">
        <is>
          <t>FY27 매출</t>
        </is>
      </c>
      <c r="B28" s="57" t="n">
        <v>1950.3</v>
      </c>
    </row>
    <row r="29">
      <c r="A29" s="56" t="inlineStr">
        <is>
          <t>FY27 EPS</t>
        </is>
      </c>
      <c r="B29" s="57" t="n">
        <v>327.46</v>
      </c>
    </row>
    <row r="30">
      <c r="A30" s="56" t="inlineStr">
        <is>
          <t>FY27 애널리스트 수</t>
        </is>
      </c>
      <c r="B30" s="59" t="n">
        <v>14</v>
      </c>
    </row>
    <row r="31">
      <c r="A31" s="56" t="inlineStr">
        <is>
          <t>FY28 매출</t>
        </is>
      </c>
      <c r="B31" s="57" t="n">
        <v>2438.7</v>
      </c>
    </row>
    <row r="32">
      <c r="A32" s="56" t="inlineStr">
        <is>
          <t>FY28 EPS</t>
        </is>
      </c>
      <c r="B32" s="57" t="n">
        <v>410.62</v>
      </c>
    </row>
    <row r="33">
      <c r="A33" s="56" t="inlineStr">
        <is>
          <t>FY28 애널리스트 수</t>
        </is>
      </c>
      <c r="B33" s="59" t="n">
        <v>14</v>
      </c>
    </row>
    <row r="34">
      <c r="A34" s="56" t="inlineStr">
        <is>
          <t>tp 평균</t>
        </is>
      </c>
      <c r="B34" s="59" t="n">
        <v>9342</v>
      </c>
    </row>
    <row r="35">
      <c r="A35" s="56" t="inlineStr">
        <is>
          <t>tp 최고</t>
        </is>
      </c>
      <c r="B35" s="59" t="n">
        <v>11200</v>
      </c>
    </row>
    <row r="36">
      <c r="A36" s="56" t="inlineStr">
        <is>
          <t>tp 최저</t>
        </is>
      </c>
      <c r="B36" s="59" t="n">
        <v>8000</v>
      </c>
    </row>
    <row r="37">
      <c r="A37" s="56" t="inlineStr">
        <is>
          <t>tp 애널리스트 수</t>
        </is>
      </c>
      <c r="B37" s="59" t="n">
        <v>13</v>
      </c>
    </row>
    <row r="39">
      <c r="A39" s="54" t="inlineStr">
        <is>
          <t>핵심 지표</t>
        </is>
      </c>
      <c r="B39" s="54" t="n"/>
      <c r="C39" s="54" t="n"/>
    </row>
    <row r="40">
      <c r="A40" s="55" t="inlineStr">
        <is>
          <t>항목</t>
        </is>
      </c>
      <c r="B40" s="55" t="inlineStr">
        <is>
          <t>값</t>
        </is>
      </c>
      <c r="C40" s="55" t="inlineStr">
        <is>
          <t>출처</t>
        </is>
      </c>
    </row>
    <row r="41">
      <c r="A41" s="56" t="inlineStr">
        <is>
          <t>상반기 cases YoY</t>
        </is>
      </c>
      <c r="B41" s="57" t="n">
        <v>25.5</v>
      </c>
      <c r="C41" s="58" t="inlineStr">
        <is>
          <t>2단계 보고서 자료(회사 설명회 자료·공시)</t>
        </is>
      </c>
    </row>
    <row r="42">
      <c r="A42" s="56" t="inlineStr">
        <is>
          <t>상반기 매출 PER consultant YoY</t>
        </is>
      </c>
      <c r="B42" s="57" t="n">
        <v>6.6</v>
      </c>
    </row>
    <row r="44">
      <c r="A44" s="54" t="inlineStr">
        <is>
          <t>핵심 지표 · employees yearend</t>
        </is>
      </c>
      <c r="B44" s="54" t="n"/>
      <c r="C44" s="54" t="n"/>
    </row>
    <row r="45">
      <c r="A45" s="55" t="inlineStr">
        <is>
          <t>항목</t>
        </is>
      </c>
      <c r="B45" s="55" t="inlineStr">
        <is>
          <t>값</t>
        </is>
      </c>
      <c r="C45" s="55" t="inlineStr">
        <is>
          <t>출처</t>
        </is>
      </c>
    </row>
    <row r="46">
      <c r="A46" s="56" t="inlineStr">
        <is>
          <t>FY2022</t>
        </is>
      </c>
      <c r="B46" s="59" t="n">
        <v>2638</v>
      </c>
      <c r="C46" s="58" t="inlineStr">
        <is>
          <t>2단계 보고서 자료(회사 설명회 자료·공시)</t>
        </is>
      </c>
    </row>
    <row r="47">
      <c r="A47" s="56" t="inlineStr">
        <is>
          <t>FY2023</t>
        </is>
      </c>
      <c r="B47" s="59" t="n">
        <v>3310</v>
      </c>
    </row>
    <row r="48">
      <c r="A48" s="56" t="inlineStr">
        <is>
          <t>FY2024</t>
        </is>
      </c>
      <c r="B48" s="59" t="n">
        <v>4321</v>
      </c>
    </row>
    <row r="49">
      <c r="A49" s="56" t="inlineStr">
        <is>
          <t>FY2025</t>
        </is>
      </c>
      <c r="B49" s="59" t="n">
        <v>5467</v>
      </c>
    </row>
    <row r="50">
      <c r="A50" s="56" t="inlineStr">
        <is>
          <t>FY2026</t>
        </is>
      </c>
      <c r="B50" s="59" t="n">
        <v>6788</v>
      </c>
    </row>
    <row r="52">
      <c r="A52" s="54" t="inlineStr">
        <is>
          <t>핵심 지표 · consultants</t>
        </is>
      </c>
      <c r="B52" s="54" t="n"/>
      <c r="C52" s="54" t="n"/>
    </row>
    <row r="53">
      <c r="A53" s="55" t="inlineStr">
        <is>
          <t>항목</t>
        </is>
      </c>
      <c r="B53" s="55" t="inlineStr">
        <is>
          <t>값</t>
        </is>
      </c>
      <c r="C53" s="55" t="inlineStr">
        <is>
          <t>출처</t>
        </is>
      </c>
    </row>
    <row r="54">
      <c r="A54" s="56" t="inlineStr">
        <is>
          <t>2026-Q4</t>
        </is>
      </c>
      <c r="B54" s="59" t="n">
        <v>5590</v>
      </c>
      <c r="C54" s="58" t="inlineStr">
        <is>
          <t>2단계 보고서 자료(회사 설명회 자료·공시)</t>
        </is>
      </c>
    </row>
    <row r="55">
      <c r="A55" s="56" t="inlineStr">
        <is>
          <t>2027-Q1</t>
        </is>
      </c>
      <c r="B55" s="59" t="n">
        <v>5676</v>
      </c>
    </row>
    <row r="56">
      <c r="A56" s="56" t="inlineStr">
        <is>
          <t>2027-Q2</t>
        </is>
      </c>
      <c r="B56" s="59" t="n">
        <v>6339</v>
      </c>
    </row>
    <row r="57">
      <c r="A57" s="56" t="inlineStr">
        <is>
          <t>2026-Q2(계산)</t>
        </is>
      </c>
      <c r="B57" s="59" t="n">
        <v>4843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https://www2.jpx.co.jp/disc/65320/140120261009548418.pdf</t>
        </is>
      </c>
    </row>
    <row r="5">
      <c r="A5" t="inlineStr">
        <is>
          <t>2026-07-15</t>
        </is>
      </c>
      <c r="B5" t="inlineStr">
        <is>
          <t>2027년 2월 결산기 １분기 결산단신</t>
        </is>
      </c>
      <c r="C5" t="inlineStr">
        <is>
          <t>https://www2.jpx.co.jp/disc/65320/140120260708589953.pdf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https://www2.jpx.co.jp/disc/65320/140120260408500135.pdf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https://www2.jpx.co.jp/disc/65320/140120260108531069.pdf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https://www2.jpx.co.jp/disc/65320/140120250911556459.pdf</t>
        </is>
      </c>
    </row>
    <row r="9">
      <c r="A9" t="inlineStr">
        <is>
          <t>2025-07-15</t>
        </is>
      </c>
      <c r="B9" t="inlineStr">
        <is>
          <t>2026년 2월 결산기 １분기 결산단신</t>
        </is>
      </c>
      <c r="C9" t="inlineStr">
        <is>
          <t>https://www2.jpx.co.jp/disc/65320/140120250708510050.pdf</t>
        </is>
      </c>
    </row>
    <row r="10">
      <c r="A10" t="inlineStr">
        <is>
          <t>2025-04-10</t>
        </is>
      </c>
      <c r="B10" t="inlineStr">
        <is>
          <t>2025년 2월 결산기 연간 결산단신</t>
        </is>
      </c>
      <c r="C10" t="inlineStr">
        <is>
          <t>https://www2.jpx.co.jp/disc/65320/140120250402507816.pdf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https://www2.jpx.co.jp/disc/65320/140120241129531845.pdf</t>
        </is>
      </c>
    </row>
    <row r="12">
      <c r="A12" t="inlineStr">
        <is>
          <t>2024-10-10</t>
        </is>
      </c>
      <c r="B12" t="inlineStr">
        <is>
          <t>2025년 2월 결산기 ２분기 결산단신</t>
        </is>
      </c>
      <c r="C12" t="inlineStr">
        <is>
          <t>https://www2.jpx.co.jp/disc/65320/140120241009595655.pdf</t>
        </is>
      </c>
    </row>
    <row r="13">
      <c r="A13" t="inlineStr">
        <is>
          <t>2024-07-11</t>
        </is>
      </c>
      <c r="B13" t="inlineStr">
        <is>
          <t>2025년 2월 결산기 １분기 결산단신</t>
        </is>
      </c>
      <c r="C13" t="inlineStr">
        <is>
          <t>https://www2.jpx.co.jp/disc/65320/140120240522503822.pdf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https://www2.jpx.co.jp/disc/65320/140120240215537800.pdf</t>
        </is>
      </c>
    </row>
    <row r="15">
      <c r="A15" t="inlineStr">
        <is>
          <t>2024-01-12</t>
        </is>
      </c>
      <c r="B15" t="inlineStr">
        <is>
          <t>2024년 2월 결산기 ３분기 결산단신</t>
        </is>
      </c>
      <c r="C15" t="inlineStr">
        <is>
          <t>https://www2.jpx.co.jp/disc/65320/140120231201598214.pdf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https://www2.jpx.co.jp/disc/65320/140120230919555772.pdf</t>
        </is>
      </c>
    </row>
    <row r="17">
      <c r="A17" t="inlineStr">
        <is>
          <t>2023-07-14</t>
        </is>
      </c>
      <c r="B17" t="inlineStr">
        <is>
          <t>2024년 2월 결산기 １분기 결산단신</t>
        </is>
      </c>
      <c r="C17" t="inlineStr">
        <is>
          <t>https://www2.jpx.co.jp/disc/65320/140120230517574772.pdf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https://www2.jpx.co.jp/disc/65320/140120230411545470.pdf</t>
        </is>
      </c>
    </row>
    <row r="19">
      <c r="A19" t="inlineStr">
        <is>
          <t>2023-01-13</t>
        </is>
      </c>
      <c r="B19" t="inlineStr">
        <is>
          <t>2023년 2월 결산기 ３분기 결산단신</t>
        </is>
      </c>
      <c r="C19" t="inlineStr">
        <is>
          <t>https://www2.jpx.co.jp/disc/65320/140120221206575447.pdf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https://www2.jpx.co.jp/disc/65320/140120220408519476.pdf</t>
        </is>
      </c>
    </row>
    <row r="21">
      <c r="A21" t="inlineStr">
        <is>
          <t>2021-04-14</t>
        </is>
      </c>
      <c r="B21" t="inlineStr">
        <is>
          <t>2021년 2월 결산기 연간 결산단신</t>
        </is>
      </c>
      <c r="C21" t="inlineStr">
        <is>
          <t>https://www2.jpx.co.jp/disc/65320/140120210408491799.pdf</t>
        </is>
      </c>
    </row>
    <row r="22">
      <c r="A22" t="inlineStr">
        <is>
          <t>2020-04-14</t>
        </is>
      </c>
      <c r="B22" t="inlineStr">
        <is>
          <t>2020년 2월 결산기 연간 결산단신</t>
        </is>
      </c>
      <c r="C22" t="inlineStr">
        <is>
          <t>https://www2.jpx.co.jp/disc/65320/140120200406490167.pdf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2026-10-28T07:04:31Z</dcterms:created>
  <dcterms:modified xmlns:dcterms="http://purl.org/dc/terms/" xmlns:xsi="http://www.w3.org/2001/XMLSchema-instance" xsi:type="dcterms:W3CDTF">2026-10-28T07:04:31Z</dcterms:modified>
</cp:coreProperties>
</file>