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5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9818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6203.6</v>
      </c>
      <c r="D4" s="12" t="n">
        <v>8054.539</v>
      </c>
      <c r="E4" s="12" t="n">
        <v>8828.164000000001</v>
      </c>
      <c r="F4" s="12" t="n">
        <v>7609.105</v>
      </c>
      <c r="G4" s="12" t="n">
        <v>7230.247</v>
      </c>
      <c r="H4" s="12" t="n">
        <v>8554.617</v>
      </c>
      <c r="I4" s="12" t="n">
        <v>10024.635</v>
      </c>
      <c r="J4" s="12" t="n">
        <v>7892.435</v>
      </c>
      <c r="K4" s="12" t="n">
        <v>7057.969</v>
      </c>
      <c r="L4" s="12" t="n">
        <v>8350.628000000001</v>
      </c>
      <c r="M4" s="12" t="n">
        <v>9396.59</v>
      </c>
      <c r="N4" s="12" t="n">
        <v>9073.216</v>
      </c>
      <c r="O4" s="11" t="n">
        <v>15246.109</v>
      </c>
      <c r="P4" s="12" t="n">
        <v>16564.896</v>
      </c>
      <c r="Q4" s="12" t="n">
        <v>17246.014</v>
      </c>
      <c r="R4" s="12" t="n">
        <v>18535.213</v>
      </c>
      <c r="S4" s="12" t="n">
        <v>21417.891</v>
      </c>
      <c r="T4" s="12" t="n">
        <v>26507.748</v>
      </c>
      <c r="U4" s="12" t="n">
        <v>30635.302</v>
      </c>
      <c r="V4" s="12" t="n">
        <v>29905.18</v>
      </c>
      <c r="W4" s="12" t="n">
        <v>33418.604</v>
      </c>
      <c r="X4" s="12" t="n">
        <v>32697.622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Living Reportable Segments</t>
        </is>
      </c>
      <c r="B7" s="10" t="n"/>
      <c r="C7" s="19" t="n">
        <v>4077.99</v>
      </c>
      <c r="D7" s="20" t="n">
        <v>5869.351</v>
      </c>
      <c r="E7" s="20" t="n">
        <v>6637.057</v>
      </c>
      <c r="F7" s="20" t="n">
        <v>5442.113</v>
      </c>
      <c r="G7" s="20" t="n">
        <v>4810.815</v>
      </c>
      <c r="H7" s="20" t="n">
        <v>6180.455</v>
      </c>
      <c r="I7" s="20" t="n">
        <v>7611.136</v>
      </c>
      <c r="J7" s="20" t="n">
        <v>5429.375</v>
      </c>
      <c r="K7" s="20" t="n">
        <v>4478.611</v>
      </c>
      <c r="L7" s="20" t="n">
        <v>5787.919</v>
      </c>
      <c r="M7" s="20" t="n">
        <v>6783.975</v>
      </c>
      <c r="N7" s="20" t="n">
        <v>6381.994</v>
      </c>
      <c r="O7" s="19" t="n"/>
      <c r="P7" s="20" t="n"/>
      <c r="Q7" s="20" t="n"/>
      <c r="R7" s="20" t="n"/>
      <c r="S7" s="20" t="n"/>
      <c r="T7" s="20" t="n"/>
      <c r="U7" s="20" t="n"/>
      <c r="V7" s="20" t="n">
        <v>21367.915</v>
      </c>
      <c r="W7" s="20" t="n">
        <v>24044.519</v>
      </c>
      <c r="X7" s="20" t="n">
        <v>22479.88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Aqua Reportable Segments</t>
        </is>
      </c>
      <c r="B10" s="10" t="n"/>
      <c r="C10" s="19" t="n">
        <v>337.884</v>
      </c>
      <c r="D10" s="20" t="n">
        <v>307.625</v>
      </c>
      <c r="E10" s="20" t="n">
        <v>270.045</v>
      </c>
      <c r="F10" s="20" t="n">
        <v>296.374</v>
      </c>
      <c r="G10" s="20" t="n">
        <v>341.153</v>
      </c>
      <c r="H10" s="20" t="n">
        <v>309.584</v>
      </c>
      <c r="I10" s="20" t="n">
        <v>282.279</v>
      </c>
      <c r="J10" s="20" t="n">
        <v>306.301</v>
      </c>
      <c r="K10" s="20" t="n">
        <v>353.432</v>
      </c>
      <c r="L10" s="20" t="n">
        <v>309.65</v>
      </c>
      <c r="M10" s="20" t="n">
        <v>284.477</v>
      </c>
      <c r="N10" s="20" t="n">
        <v>320.396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1215.687</v>
      </c>
      <c r="W10" s="20" t="n">
        <v>1229.39</v>
      </c>
      <c r="X10" s="20" t="n">
        <v>1253.86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Medical And Industrial Gas Reportable Segments</t>
        </is>
      </c>
      <c r="B13" s="10" t="n"/>
      <c r="C13" s="19" t="n">
        <v>1787.724</v>
      </c>
      <c r="D13" s="20" t="n">
        <v>1877.563</v>
      </c>
      <c r="E13" s="20" t="n">
        <v>1921.063</v>
      </c>
      <c r="F13" s="20" t="n">
        <v>1870.617</v>
      </c>
      <c r="G13" s="20" t="n">
        <v>2078.278</v>
      </c>
      <c r="H13" s="20" t="n">
        <v>2064.579</v>
      </c>
      <c r="I13" s="20" t="n">
        <v>2131.22</v>
      </c>
      <c r="J13" s="20" t="n">
        <v>2156.758</v>
      </c>
      <c r="K13" s="20" t="n">
        <v>2225.926</v>
      </c>
      <c r="L13" s="20" t="n">
        <v>2253.06</v>
      </c>
      <c r="M13" s="20" t="n">
        <v>2328.137</v>
      </c>
      <c r="N13" s="20" t="n">
        <v>2370.825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7321.577</v>
      </c>
      <c r="W13" s="20" t="n">
        <v>8144.694</v>
      </c>
      <c r="X13" s="20" t="n">
        <v>8963.880999999999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>
        <v>0</v>
      </c>
      <c r="D16" s="20" t="n">
        <v>0</v>
      </c>
      <c r="E16" s="20" t="n"/>
      <c r="F16" s="20" t="n">
        <v>0</v>
      </c>
      <c r="G16" s="20" t="n">
        <v>0</v>
      </c>
      <c r="H16" s="20" t="n">
        <v>0</v>
      </c>
      <c r="I16" s="20" t="n"/>
      <c r="J16" s="20" t="n">
        <v>0</v>
      </c>
      <c r="K16" s="20" t="n">
        <v>0</v>
      </c>
      <c r="L16" s="20" t="n">
        <v>0</v>
      </c>
      <c r="M16" s="20" t="n"/>
      <c r="N16" s="20" t="n">
        <v>0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3989.391</v>
      </c>
      <c r="D20" s="20" t="n">
        <v>5513.786</v>
      </c>
      <c r="E20" s="20" t="n">
        <v>5977.483</v>
      </c>
      <c r="F20" s="20" t="n">
        <v>5147.919</v>
      </c>
      <c r="G20" s="20" t="n">
        <v>4957.678</v>
      </c>
      <c r="H20" s="20" t="n">
        <v>6050.801</v>
      </c>
      <c r="I20" s="20" t="n">
        <v>7031.68</v>
      </c>
      <c r="J20" s="20" t="n">
        <v>5315.893</v>
      </c>
      <c r="K20" s="20" t="n">
        <v>4722.365</v>
      </c>
      <c r="L20" s="20" t="n">
        <v>5752.888</v>
      </c>
      <c r="M20" s="20" t="n">
        <v>6388.236</v>
      </c>
      <c r="N20" s="20" t="n">
        <v>6269.601</v>
      </c>
      <c r="O20" s="19" t="n">
        <v>8753.421</v>
      </c>
      <c r="P20" s="20" t="n">
        <v>9983.73</v>
      </c>
      <c r="Q20" s="20" t="n">
        <v>10552.679</v>
      </c>
      <c r="R20" s="20" t="n">
        <v>11069.063</v>
      </c>
      <c r="S20" s="20" t="n">
        <v>13209.566</v>
      </c>
      <c r="T20" s="20" t="n">
        <v>17868.665</v>
      </c>
      <c r="U20" s="20" t="n">
        <v>21101.185</v>
      </c>
      <c r="V20" s="20" t="n">
        <v>19942.009</v>
      </c>
      <c r="W20" s="20" t="n">
        <v>23188.078</v>
      </c>
      <c r="X20" s="20" t="n">
        <v>22179.382</v>
      </c>
      <c r="Y20" s="19" t="n"/>
      <c r="Z20" s="20" t="n"/>
      <c r="AA20" s="20" t="n"/>
      <c r="AB20" s="20" t="n"/>
      <c r="AC20" s="20" t="n"/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IF(OR(G20="",C20=""),"",IF(C20&lt;=0,"",IFERROR(G20/C20-1,"")))</f>
        <v/>
      </c>
      <c r="H21" s="15">
        <f>IF(OR(H20="",D20=""),"",IF(D20&lt;=0,"",IFERROR(H20/D20-1,"")))</f>
        <v/>
      </c>
      <c r="I21" s="15">
        <f>IF(OR(I20="",E20=""),"",IF(E20&lt;=0,"",IFERROR(I20/E20-1,"")))</f>
        <v/>
      </c>
      <c r="J21" s="15">
        <f>IF(OR(J20="",F20=""),"",IF(F20&lt;=0,"",IFERROR(J20/F20-1,"")))</f>
        <v/>
      </c>
      <c r="K21" s="15">
        <f>IF(OR(K20="",G20=""),"",IF(G20&lt;=0,"",IFERROR(K20/G20-1,"")))</f>
        <v/>
      </c>
      <c r="L21" s="15">
        <f>IF(OR(L20="",H20=""),"",IF(H20&lt;=0,"",IFERROR(L20/H20-1,"")))</f>
        <v/>
      </c>
      <c r="M21" s="15">
        <f>IF(OR(M20="",I20=""),"",IF(I20&lt;=0,"",IFERROR(M20/I20-1,"")))</f>
        <v/>
      </c>
      <c r="N21" s="15">
        <f>IF(OR(N20="",J20=""),"",IF(J20&lt;=0,"",IFERROR(N20/J20-1,"")))</f>
        <v/>
      </c>
      <c r="O21" s="14" t="n"/>
      <c r="P21" s="15">
        <f>IF(OR(P20="",O20=""),"",IF(O20&lt;=0,"",IFERROR(P20/O20-1,"")))</f>
        <v/>
      </c>
      <c r="Q21" s="15">
        <f>IF(OR(Q20="",P20=""),"",IF(P20&lt;=0,"",IFERROR(Q20/P20-1,"")))</f>
        <v/>
      </c>
      <c r="R21" s="15">
        <f>IF(OR(R20="",Q20=""),"",IF(Q20&lt;=0,"",IFERROR(R20/Q20-1,"")))</f>
        <v/>
      </c>
      <c r="S21" s="15">
        <f>IF(OR(S20="",R20=""),"",IF(R20&lt;=0,"",IFERROR(S20/R20-1,"")))</f>
        <v/>
      </c>
      <c r="T21" s="15">
        <f>IF(OR(T20="",S20=""),"",IF(S20&lt;=0,"",IFERROR(T20/S20-1,"")))</f>
        <v/>
      </c>
      <c r="U21" s="15">
        <f>IF(OR(U20="",T20=""),"",IF(T20&lt;=0,"",IFERROR(U20/T20-1,"")))</f>
        <v/>
      </c>
      <c r="V21" s="15">
        <f>IF(OR(V20="",U20=""),"",IF(U20&lt;=0,"",IFERROR(V20/U20-1,"")))</f>
        <v/>
      </c>
      <c r="W21" s="15">
        <f>IF(OR(W20="",V20=""),"",IF(V20&lt;=0,"",IFERROR(W20/V20-1,"")))</f>
        <v/>
      </c>
      <c r="X21" s="15">
        <f>IF(OR(X20="",W20=""),"",IF(W20&lt;=0,"",IFERROR(X20/W20-1,"")))</f>
        <v/>
      </c>
      <c r="Y21" s="14">
        <f>IF(OR(Y20="",X20=""),"",IF(X20&lt;=0,"",IFERROR(Y20/X20-1,"")))</f>
        <v/>
      </c>
      <c r="Z21" s="15">
        <f>IF(OR(Z20="",Y20=""),"",IF(Y20&lt;=0,"",IFERROR(Z20/Y20-1,"")))</f>
        <v/>
      </c>
      <c r="AA21" s="15">
        <f>IF(OR(AA20="",Z20=""),"",IF(Z20&lt;=0,"",IFERROR(AA20/Z20-1,"")))</f>
        <v/>
      </c>
      <c r="AB21" s="15">
        <f>IF(OR(AB20="",AA20=""),"",IF(AA20&lt;=0,"",IFERROR(AB20/AA20-1,"")))</f>
        <v/>
      </c>
      <c r="AC21" s="15">
        <f>IF(OR(AC20="",AB20=""),"",IF(AB20&lt;=0,"",IFERROR(AC20/AB20-1,"")))</f>
        <v/>
      </c>
    </row>
    <row r="22">
      <c r="A22" s="18" t="inlineStr">
        <is>
          <t>매출총이익</t>
        </is>
      </c>
      <c r="B22" s="10" t="n"/>
      <c r="C22" s="19">
        <f>IF(OR(C4="",C20=""),"",IFERROR(C4-C20,""))</f>
        <v/>
      </c>
      <c r="D22" s="20">
        <f>IF(OR(D4="",D20=""),"",IFERROR(D4-D20,""))</f>
        <v/>
      </c>
      <c r="E22" s="20">
        <f>IF(OR(E4="",E20=""),"",IFERROR(E4-E20,""))</f>
        <v/>
      </c>
      <c r="F22" s="20">
        <f>IF(OR(F4="",F20=""),"",IFERROR(F4-F20,""))</f>
        <v/>
      </c>
      <c r="G22" s="20">
        <f>IF(OR(G4="",G20=""),"",IFERROR(G4-G20,""))</f>
        <v/>
      </c>
      <c r="H22" s="20">
        <f>IF(OR(H4="",H20=""),"",IFERROR(H4-H20,""))</f>
        <v/>
      </c>
      <c r="I22" s="20">
        <f>IF(OR(I4="",I20=""),"",IFERROR(I4-I20,""))</f>
        <v/>
      </c>
      <c r="J22" s="20">
        <f>IF(OR(J4="",J20=""),"",IFERROR(J4-J20,""))</f>
        <v/>
      </c>
      <c r="K22" s="20">
        <f>IF(OR(K4="",K20=""),"",IFERROR(K4-K20,""))</f>
        <v/>
      </c>
      <c r="L22" s="20">
        <f>IF(OR(L4="",L20=""),"",IFERROR(L4-L20,""))</f>
        <v/>
      </c>
      <c r="M22" s="20">
        <f>IF(OR(M4="",M20=""),"",IFERROR(M4-M20,""))</f>
        <v/>
      </c>
      <c r="N22" s="20">
        <f>IF(OR(N4="",N20=""),"",IFERROR(N4-N20,""))</f>
        <v/>
      </c>
      <c r="O22" s="19">
        <f>IF(OR(O4="",O20=""),"",IFERROR(O4-O20,""))</f>
        <v/>
      </c>
      <c r="P22" s="20">
        <f>IF(OR(P4="",P20=""),"",IFERROR(P4-P20,""))</f>
        <v/>
      </c>
      <c r="Q22" s="20">
        <f>IF(OR(Q4="",Q20=""),"",IFERROR(Q4-Q20,""))</f>
        <v/>
      </c>
      <c r="R22" s="20">
        <f>IF(OR(R4="",R20=""),"",IFERROR(R4-R20,""))</f>
        <v/>
      </c>
      <c r="S22" s="20">
        <f>IF(OR(S4="",S20=""),"",IFERROR(S4-S20,""))</f>
        <v/>
      </c>
      <c r="T22" s="20">
        <f>IF(OR(T4="",T20=""),"",IFERROR(T4-T20,""))</f>
        <v/>
      </c>
      <c r="U22" s="20">
        <f>IF(OR(U4="",U20=""),"",IFERROR(U4-U20,""))</f>
        <v/>
      </c>
      <c r="V22" s="20">
        <f>IF(OR(V4="",V20=""),"",IFERROR(V4-V20,""))</f>
        <v/>
      </c>
      <c r="W22" s="20">
        <f>IF(OR(W4="",W20=""),"",IFERROR(W4-W20,""))</f>
        <v/>
      </c>
      <c r="X22" s="20">
        <f>IF(OR(X4="",X20=""),"",IFERROR(X4-X20,""))</f>
        <v/>
      </c>
      <c r="Y22" s="19" t="n"/>
      <c r="Z22" s="20" t="n"/>
      <c r="AA22" s="20" t="n"/>
      <c r="AB22" s="20" t="n"/>
      <c r="AC22" s="20" t="n"/>
    </row>
    <row r="23">
      <c r="A23" s="13" t="inlineStr">
        <is>
          <t>GPM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IF(OR(G22="",C22=""),"",IF(C22&lt;=0,"",IFERROR(G22/C22-1,"")))</f>
        <v/>
      </c>
      <c r="H24" s="15">
        <f>IF(OR(H22="",D22=""),"",IF(D22&lt;=0,"",IFERROR(H22/D22-1,"")))</f>
        <v/>
      </c>
      <c r="I24" s="15">
        <f>IF(OR(I22="",E22=""),"",IF(E22&lt;=0,"",IFERROR(I22/E22-1,"")))</f>
        <v/>
      </c>
      <c r="J24" s="15">
        <f>IF(OR(J22="",F22=""),"",IF(F22&lt;=0,"",IFERROR(J22/F22-1,"")))</f>
        <v/>
      </c>
      <c r="K24" s="15">
        <f>IF(OR(K22="",G22=""),"",IF(G22&lt;=0,"",IFERROR(K22/G22-1,"")))</f>
        <v/>
      </c>
      <c r="L24" s="15">
        <f>IF(OR(L22="",H22=""),"",IF(H22&lt;=0,"",IFERROR(L22/H22-1,"")))</f>
        <v/>
      </c>
      <c r="M24" s="15">
        <f>IF(OR(M22="",I22=""),"",IF(I22&lt;=0,"",IFERROR(M22/I22-1,"")))</f>
        <v/>
      </c>
      <c r="N24" s="15">
        <f>IF(OR(N22="",J22=""),"",IF(J22&lt;=0,"",IFERROR(N22/J22-1,"")))</f>
        <v/>
      </c>
      <c r="O24" s="14" t="n"/>
      <c r="P24" s="15">
        <f>IF(OR(P22="",O22=""),"",IF(O22&lt;=0,"",IFERROR(P22/O22-1,"")))</f>
        <v/>
      </c>
      <c r="Q24" s="15">
        <f>IF(OR(Q22="",P22=""),"",IF(P22&lt;=0,"",IFERROR(Q22/P22-1,"")))</f>
        <v/>
      </c>
      <c r="R24" s="15">
        <f>IF(OR(R22="",Q22=""),"",IF(Q22&lt;=0,"",IFERROR(R22/Q22-1,"")))</f>
        <v/>
      </c>
      <c r="S24" s="15">
        <f>IF(OR(S22="",R22=""),"",IF(R22&lt;=0,"",IFERROR(S22/R22-1,"")))</f>
        <v/>
      </c>
      <c r="T24" s="15">
        <f>IF(OR(T22="",S22=""),"",IF(S22&lt;=0,"",IFERROR(T22/S22-1,"")))</f>
        <v/>
      </c>
      <c r="U24" s="15">
        <f>IF(OR(U22="",T22=""),"",IF(T22&lt;=0,"",IFERROR(U22/T22-1,"")))</f>
        <v/>
      </c>
      <c r="V24" s="15">
        <f>IF(OR(V22="",U22=""),"",IF(U22&lt;=0,"",IFERROR(V22/U22-1,"")))</f>
        <v/>
      </c>
      <c r="W24" s="15">
        <f>IF(OR(W22="",V22=""),"",IF(V22&lt;=0,"",IFERROR(W22/V22-1,"")))</f>
        <v/>
      </c>
      <c r="X24" s="15">
        <f>IF(OR(X22="",W22=""),"",IF(W22&lt;=0,"",IFERROR(X22/W22-1,"")))</f>
        <v/>
      </c>
      <c r="Y24" s="14">
        <f>IF(OR(Y22="",X22=""),"",IF(X22&lt;=0,"",IFERROR(Y22/X22-1,"")))</f>
        <v/>
      </c>
      <c r="Z24" s="15">
        <f>IF(OR(Z22="",Y22=""),"",IF(Y22&lt;=0,"",IFERROR(Z22/Y22-1,"")))</f>
        <v/>
      </c>
      <c r="AA24" s="15">
        <f>IF(OR(AA22="",Z22=""),"",IF(Z22&lt;=0,"",IFERROR(AA22/Z22-1,"")))</f>
        <v/>
      </c>
      <c r="AB24" s="15">
        <f>IF(OR(AB22="",AA22=""),"",IF(AA22&lt;=0,"",IFERROR(AB22/AA22-1,"")))</f>
        <v/>
      </c>
      <c r="AC24" s="15">
        <f>IF(OR(AC22="",AB22=""),"",IF(AB22&lt;=0,"",IFERROR(AC22/AB22-1,"")))</f>
        <v/>
      </c>
    </row>
    <row r="25">
      <c r="A25" s="23" t="inlineStr">
        <is>
          <t>판매관리비</t>
        </is>
      </c>
      <c r="B25" s="23" t="n"/>
      <c r="C25" s="24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4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4" t="n"/>
      <c r="Z25" s="23" t="n"/>
      <c r="AA25" s="23" t="n"/>
      <c r="AB25" s="23" t="n"/>
      <c r="AC25" s="23" t="n"/>
    </row>
    <row r="26">
      <c r="A26" s="18" t="inlineStr">
        <is>
          <t>전체 판관비</t>
        </is>
      </c>
      <c r="B26" s="10" t="n"/>
      <c r="C26" s="19" t="n">
        <v>2203.104</v>
      </c>
      <c r="D26" s="20" t="n">
        <v>2227.601</v>
      </c>
      <c r="E26" s="20" t="n">
        <v>2272.037</v>
      </c>
      <c r="F26" s="20" t="n">
        <v>2205.27</v>
      </c>
      <c r="G26" s="20" t="n">
        <v>2184.688</v>
      </c>
      <c r="H26" s="20" t="n">
        <v>2253.714</v>
      </c>
      <c r="I26" s="20" t="n">
        <v>2320.665</v>
      </c>
      <c r="J26" s="20" t="n">
        <v>2285.306</v>
      </c>
      <c r="K26" s="20" t="n">
        <v>2270.648</v>
      </c>
      <c r="L26" s="20" t="n">
        <v>2294.467</v>
      </c>
      <c r="M26" s="20" t="n">
        <v>2367.753</v>
      </c>
      <c r="N26" s="20" t="n">
        <v>2337.932</v>
      </c>
      <c r="O26" s="19" t="n">
        <v>5673.46</v>
      </c>
      <c r="P26" s="20" t="n">
        <v>5775.772</v>
      </c>
      <c r="Q26" s="20" t="n">
        <v>5865.607</v>
      </c>
      <c r="R26" s="20" t="n">
        <v>6626.085</v>
      </c>
      <c r="S26" s="20" t="n">
        <v>7217.235</v>
      </c>
      <c r="T26" s="20" t="n">
        <v>7651.329</v>
      </c>
      <c r="U26" s="20" t="n">
        <v>8499.405000000001</v>
      </c>
      <c r="V26" s="20" t="n">
        <v>8908.4</v>
      </c>
      <c r="W26" s="20" t="n">
        <v>8964.337</v>
      </c>
      <c r="X26" s="20" t="n">
        <v>9218.174000000001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11.105</v>
      </c>
      <c r="D28" s="12" t="n">
        <v>313.152</v>
      </c>
      <c r="E28" s="12" t="n">
        <v>578.643</v>
      </c>
      <c r="F28" s="12" t="n">
        <v>255.914</v>
      </c>
      <c r="G28" s="12" t="n">
        <v>87.881</v>
      </c>
      <c r="H28" s="12" t="n">
        <v>250.103</v>
      </c>
      <c r="I28" s="12" t="n">
        <v>672.29</v>
      </c>
      <c r="J28" s="12" t="n">
        <v>291.235</v>
      </c>
      <c r="K28" s="12" t="n">
        <v>64.95699999999999</v>
      </c>
      <c r="L28" s="12" t="n">
        <v>303.272</v>
      </c>
      <c r="M28" s="12" t="n">
        <v>640.602</v>
      </c>
      <c r="N28" s="12" t="n">
        <v>465.682</v>
      </c>
      <c r="O28" s="11" t="n">
        <v>819.227</v>
      </c>
      <c r="P28" s="12" t="n">
        <v>805.394</v>
      </c>
      <c r="Q28" s="12" t="n">
        <v>827.726</v>
      </c>
      <c r="R28" s="12" t="n">
        <v>840.064</v>
      </c>
      <c r="S28" s="12" t="n">
        <v>991.09</v>
      </c>
      <c r="T28" s="12" t="n">
        <v>987.753</v>
      </c>
      <c r="U28" s="12" t="n">
        <v>1034.71</v>
      </c>
      <c r="V28" s="12" t="n">
        <v>1054.769</v>
      </c>
      <c r="W28" s="12" t="n">
        <v>1266.188</v>
      </c>
      <c r="X28" s="12" t="n">
        <v>1300.066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IF(O26="","",O26)</f>
        <v/>
      </c>
      <c r="P32" s="12">
        <f>IF(P26="","",P26)</f>
        <v/>
      </c>
      <c r="Q32" s="12">
        <f>IF(Q26="","",Q26)</f>
        <v/>
      </c>
      <c r="R32" s="12">
        <f>IF(R26="","",R26)</f>
        <v/>
      </c>
      <c r="S32" s="12">
        <f>IF(S26="","",S26)</f>
        <v/>
      </c>
      <c r="T32" s="12">
        <f>IF(T26="","",T26)</f>
        <v/>
      </c>
      <c r="U32" s="12">
        <f>IF(U26="","",U26)</f>
        <v/>
      </c>
      <c r="V32" s="12">
        <f>IF(V26="","",V26)</f>
        <v/>
      </c>
      <c r="W32" s="12">
        <f>IF(W26="","",W26)</f>
        <v/>
      </c>
      <c r="X32" s="12">
        <f>IF(X26="","",X26)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>
        <v>3.263</v>
      </c>
      <c r="D44" s="20" t="n">
        <v>8.489000000000001</v>
      </c>
      <c r="E44" s="20" t="n">
        <v>5.036</v>
      </c>
      <c r="F44" s="20" t="n">
        <v>2.162</v>
      </c>
      <c r="G44" s="20" t="n">
        <v>27.257</v>
      </c>
      <c r="H44" s="20" t="n">
        <v>3.045</v>
      </c>
      <c r="I44" s="20" t="n">
        <v>2.462</v>
      </c>
      <c r="J44" s="20" t="n">
        <v>4.586</v>
      </c>
      <c r="K44" s="20" t="n">
        <v>1.371</v>
      </c>
      <c r="L44" s="20" t="n">
        <v>85.29600000000001</v>
      </c>
      <c r="M44" s="20" t="n">
        <v>0.641</v>
      </c>
      <c r="N44" s="20" t="n">
        <v>5.283</v>
      </c>
      <c r="O44" s="19" t="n">
        <v>12.635</v>
      </c>
      <c r="P44" s="20" t="n">
        <v>21.854</v>
      </c>
      <c r="Q44" s="20" t="n">
        <v>47.369</v>
      </c>
      <c r="R44" s="20" t="n">
        <v>414.642</v>
      </c>
      <c r="S44" s="20" t="n">
        <v>22.888</v>
      </c>
      <c r="T44" s="20" t="n">
        <v>141.944</v>
      </c>
      <c r="U44" s="20" t="n">
        <v>174.16</v>
      </c>
      <c r="V44" s="20" t="n">
        <v>28.263</v>
      </c>
      <c r="W44" s="20" t="n">
        <v>34.926</v>
      </c>
      <c r="X44" s="20" t="n">
        <v>91.89400000000001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>
        <v>0.768</v>
      </c>
      <c r="D46" s="20" t="n">
        <v>0.5610000000000001</v>
      </c>
      <c r="E46" s="20" t="n">
        <v>4.514</v>
      </c>
      <c r="F46" s="20" t="n">
        <v>0.221</v>
      </c>
      <c r="G46" s="20" t="n">
        <v>3.221</v>
      </c>
      <c r="H46" s="20" t="n">
        <v>0.457</v>
      </c>
      <c r="I46" s="20" t="n">
        <v>3.956</v>
      </c>
      <c r="J46" s="20" t="n">
        <v>0.388</v>
      </c>
      <c r="K46" s="20" t="n">
        <v>5.301</v>
      </c>
      <c r="L46" s="20" t="n">
        <v>6.906</v>
      </c>
      <c r="M46" s="20" t="n">
        <v>5.744</v>
      </c>
      <c r="N46" s="20" t="n">
        <v>2.669</v>
      </c>
      <c r="O46" s="19" t="n">
        <v>1.141</v>
      </c>
      <c r="P46" s="20" t="n">
        <v>134.728</v>
      </c>
      <c r="Q46" s="20" t="n">
        <v>1.81</v>
      </c>
      <c r="R46" s="20" t="n">
        <v>22.165</v>
      </c>
      <c r="S46" s="20" t="n">
        <v>58.641</v>
      </c>
      <c r="T46" s="20" t="n">
        <v>116.94</v>
      </c>
      <c r="U46" s="20" t="n">
        <v>129.527</v>
      </c>
      <c r="V46" s="20" t="n">
        <v>9.199999999999999</v>
      </c>
      <c r="W46" s="20" t="n">
        <v>7.855</v>
      </c>
      <c r="X46" s="20" t="n">
        <v>18.339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27.782</v>
      </c>
      <c r="D48" s="20" t="n">
        <v>40.622</v>
      </c>
      <c r="E48" s="20" t="n">
        <v>35.546</v>
      </c>
      <c r="F48" s="20" t="n">
        <v>31.087</v>
      </c>
      <c r="G48" s="20" t="n">
        <v>26.836</v>
      </c>
      <c r="H48" s="20" t="n">
        <v>19.931</v>
      </c>
      <c r="I48" s="20" t="n">
        <v>32.718</v>
      </c>
      <c r="J48" s="20" t="n">
        <v>31.845</v>
      </c>
      <c r="K48" s="20" t="n">
        <v>25.623</v>
      </c>
      <c r="L48" s="20" t="n">
        <v>26.693</v>
      </c>
      <c r="M48" s="20" t="n">
        <v>39.017</v>
      </c>
      <c r="N48" s="20" t="n">
        <v>62.646</v>
      </c>
      <c r="O48" s="19" t="n">
        <v>51.827</v>
      </c>
      <c r="P48" s="20" t="n">
        <v>66.754</v>
      </c>
      <c r="Q48" s="20" t="n">
        <v>81.038</v>
      </c>
      <c r="R48" s="20" t="n">
        <v>120.242</v>
      </c>
      <c r="S48" s="20" t="n">
        <v>127.761</v>
      </c>
      <c r="T48" s="20" t="n">
        <v>84.64100000000001</v>
      </c>
      <c r="U48" s="20" t="n">
        <v>101.982</v>
      </c>
      <c r="V48" s="20" t="n">
        <v>134.609</v>
      </c>
      <c r="W48" s="20" t="n">
        <v>110.572</v>
      </c>
      <c r="X48" s="20" t="n">
        <v>123.178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5.166</v>
      </c>
      <c r="D50" s="20" t="n">
        <v>6.614</v>
      </c>
      <c r="E50" s="20" t="n">
        <v>5.687</v>
      </c>
      <c r="F50" s="20" t="n">
        <v>4.899</v>
      </c>
      <c r="G50" s="20" t="n">
        <v>4.31</v>
      </c>
      <c r="H50" s="20" t="n">
        <v>4.755</v>
      </c>
      <c r="I50" s="20" t="n">
        <v>5.813</v>
      </c>
      <c r="J50" s="20" t="n">
        <v>5.235</v>
      </c>
      <c r="K50" s="20" t="n">
        <v>5.739</v>
      </c>
      <c r="L50" s="20" t="n">
        <v>5.774</v>
      </c>
      <c r="M50" s="20" t="n">
        <v>5.479</v>
      </c>
      <c r="N50" s="20" t="n">
        <v>5.178</v>
      </c>
      <c r="O50" s="19" t="n">
        <v>3.952</v>
      </c>
      <c r="P50" s="20" t="n">
        <v>5.623</v>
      </c>
      <c r="Q50" s="20" t="n">
        <v>5.035</v>
      </c>
      <c r="R50" s="20" t="n">
        <v>14.273</v>
      </c>
      <c r="S50" s="20" t="n">
        <v>16.416</v>
      </c>
      <c r="T50" s="20" t="n">
        <v>13.025</v>
      </c>
      <c r="U50" s="20" t="n">
        <v>16.482</v>
      </c>
      <c r="V50" s="20" t="n">
        <v>23.61</v>
      </c>
      <c r="W50" s="20" t="n">
        <v>19.777</v>
      </c>
      <c r="X50" s="20" t="n">
        <v>22.227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36.215</v>
      </c>
      <c r="D52" s="12" t="n">
        <v>355.089</v>
      </c>
      <c r="E52" s="12" t="n">
        <v>609.025</v>
      </c>
      <c r="F52" s="12" t="n">
        <v>284.042</v>
      </c>
      <c r="G52" s="12" t="n">
        <v>134.444</v>
      </c>
      <c r="H52" s="12" t="n">
        <v>267.867</v>
      </c>
      <c r="I52" s="12" t="n">
        <v>697.7</v>
      </c>
      <c r="J52" s="12" t="n">
        <v>322.043</v>
      </c>
      <c r="K52" s="12" t="n">
        <v>80.91200000000001</v>
      </c>
      <c r="L52" s="12" t="n">
        <v>402.581</v>
      </c>
      <c r="M52" s="12" t="n">
        <v>669.037</v>
      </c>
      <c r="N52" s="12" t="n">
        <v>525.764</v>
      </c>
      <c r="O52" s="11" t="n">
        <v>878.597</v>
      </c>
      <c r="P52" s="12" t="n">
        <v>753.651</v>
      </c>
      <c r="Q52" s="12" t="n">
        <v>949.289</v>
      </c>
      <c r="R52" s="12" t="n">
        <v>1338.51</v>
      </c>
      <c r="S52" s="12" t="n">
        <v>1066.682</v>
      </c>
      <c r="T52" s="12" t="n">
        <v>1084.373</v>
      </c>
      <c r="U52" s="12" t="n">
        <v>1164.843</v>
      </c>
      <c r="V52" s="12" t="n">
        <v>1184.832</v>
      </c>
      <c r="W52" s="12" t="n">
        <v>1384.053</v>
      </c>
      <c r="X52" s="12" t="n">
        <v>1474.573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3" t="inlineStr">
        <is>
          <t>YoY</t>
        </is>
      </c>
      <c r="B53" s="10" t="n"/>
      <c r="C53" s="14" t="n"/>
      <c r="D53" s="15" t="n"/>
      <c r="E53" s="15" t="n"/>
      <c r="F53" s="15" t="n"/>
      <c r="G53" s="15">
        <f>IF(OR(G52="",C52=""),"",IF(C52&lt;=0,"",IFERROR(G52/C52-1,"")))</f>
        <v/>
      </c>
      <c r="H53" s="15">
        <f>IF(OR(H52="",D52=""),"",IF(D52&lt;=0,"",IFERROR(H52/D52-1,"")))</f>
        <v/>
      </c>
      <c r="I53" s="15">
        <f>IF(OR(I52="",E52=""),"",IF(E52&lt;=0,"",IFERROR(I52/E52-1,"")))</f>
        <v/>
      </c>
      <c r="J53" s="15">
        <f>IF(OR(J52="",F52=""),"",IF(F52&lt;=0,"",IFERROR(J52/F52-1,"")))</f>
        <v/>
      </c>
      <c r="K53" s="15">
        <f>IF(OR(K52="",G52=""),"",IF(G52&lt;=0,"",IFERROR(K52/G52-1,"")))</f>
        <v/>
      </c>
      <c r="L53" s="15">
        <f>IF(OR(L52="",H52=""),"",IF(H52&lt;=0,"",IFERROR(L52/H52-1,"")))</f>
        <v/>
      </c>
      <c r="M53" s="15">
        <f>IF(OR(M52="",I52=""),"",IF(I52&lt;=0,"",IFERROR(M52/I52-1,"")))</f>
        <v/>
      </c>
      <c r="N53" s="15">
        <f>IF(OR(N52="",J52=""),"",IF(J52&lt;=0,"",IFERROR(N52/J52-1,"")))</f>
        <v/>
      </c>
      <c r="O53" s="14" t="n"/>
      <c r="P53" s="15">
        <f>IF(OR(P52="",O52=""),"",IF(O52&lt;=0,"",IFERROR(P52/O52-1,"")))</f>
        <v/>
      </c>
      <c r="Q53" s="15">
        <f>IF(OR(Q52="",P52=""),"",IF(P52&lt;=0,"",IFERROR(Q52/P52-1,"")))</f>
        <v/>
      </c>
      <c r="R53" s="15">
        <f>IF(OR(R52="",Q52=""),"",IF(Q52&lt;=0,"",IFERROR(R52/Q52-1,"")))</f>
        <v/>
      </c>
      <c r="S53" s="15">
        <f>IF(OR(S52="",R52=""),"",IF(R52&lt;=0,"",IFERROR(S52/R52-1,"")))</f>
        <v/>
      </c>
      <c r="T53" s="15">
        <f>IF(OR(T52="",S52=""),"",IF(S52&lt;=0,"",IFERROR(T52/S52-1,"")))</f>
        <v/>
      </c>
      <c r="U53" s="15">
        <f>IF(OR(U52="",T52=""),"",IF(T52&lt;=0,"",IFERROR(U52/T52-1,"")))</f>
        <v/>
      </c>
      <c r="V53" s="15">
        <f>IF(OR(V52="",U52=""),"",IF(U52&lt;=0,"",IFERROR(V52/U52-1,"")))</f>
        <v/>
      </c>
      <c r="W53" s="15">
        <f>IF(OR(W52="",V52=""),"",IF(V52&lt;=0,"",IFERROR(W52/V52-1,"")))</f>
        <v/>
      </c>
      <c r="X53" s="15">
        <f>IF(OR(X52="",W52=""),"",IF(W52&lt;=0,"",IFERROR(X52/W52-1,"")))</f>
        <v/>
      </c>
      <c r="Y53" s="14">
        <f>IF(OR(Y52="",X52=""),"",IF(X52&lt;=0,"",IFERROR(Y52/X52-1,"")))</f>
        <v/>
      </c>
      <c r="Z53" s="15">
        <f>IF(OR(Z52="",Y52=""),"",IF(Y52&lt;=0,"",IFERROR(Z52/Y52-1,"")))</f>
        <v/>
      </c>
      <c r="AA53" s="15">
        <f>IF(OR(AA52="",Z52=""),"",IF(Z52&lt;=0,"",IFERROR(AA52/Z52-1,"")))</f>
        <v/>
      </c>
      <c r="AB53" s="15">
        <f>IF(OR(AB52="",AA52=""),"",IF(AA52&lt;=0,"",IFERROR(AB52/AA52-1,"")))</f>
        <v/>
      </c>
      <c r="AC53" s="15">
        <f>IF(OR(AC52="",AB52=""),"",IF(AB52&lt;=0,"",IFERROR(AC52/AB52-1,"")))</f>
        <v/>
      </c>
    </row>
    <row r="54">
      <c r="A54" s="18" t="inlineStr">
        <is>
          <t>법인세비용(수익)</t>
        </is>
      </c>
      <c r="B54" s="10" t="n"/>
      <c r="C54" s="19" t="n">
        <v>36.159</v>
      </c>
      <c r="D54" s="20" t="n">
        <v>124.862</v>
      </c>
      <c r="E54" s="20" t="n">
        <v>210.766</v>
      </c>
      <c r="F54" s="20" t="n">
        <v>103.752</v>
      </c>
      <c r="G54" s="20" t="n">
        <v>61.507</v>
      </c>
      <c r="H54" s="20" t="n">
        <v>99.288</v>
      </c>
      <c r="I54" s="20" t="n">
        <v>230.777</v>
      </c>
      <c r="J54" s="20" t="n">
        <v>133.986</v>
      </c>
      <c r="K54" s="20" t="n">
        <v>54.174</v>
      </c>
      <c r="L54" s="20" t="n">
        <v>112.622</v>
      </c>
      <c r="M54" s="20" t="n">
        <v>213.765</v>
      </c>
      <c r="N54" s="20" t="n">
        <v>174.929</v>
      </c>
      <c r="O54" s="19" t="n">
        <v>304.522</v>
      </c>
      <c r="P54" s="20" t="n">
        <v>275.619</v>
      </c>
      <c r="Q54" s="20" t="n">
        <v>351.47</v>
      </c>
      <c r="R54" s="20" t="n">
        <v>490.472</v>
      </c>
      <c r="S54" s="20" t="n">
        <v>395.703</v>
      </c>
      <c r="T54" s="20" t="n">
        <v>328.981</v>
      </c>
      <c r="U54" s="20" t="n">
        <v>478.304</v>
      </c>
      <c r="V54" s="20" t="n">
        <v>451.121</v>
      </c>
      <c r="W54" s="20" t="n">
        <v>495.324</v>
      </c>
      <c r="X54" s="20" t="n">
        <v>514.547</v>
      </c>
      <c r="Y54" s="19">
        <f>IF(OR(Y52="",Y55=""),"",IFERROR(MAX(Y52,0)*Y55,""))</f>
        <v/>
      </c>
      <c r="Z54" s="20">
        <f>IF(OR(Z52="",Z55=""),"",IFERROR(MAX(Z52,0)*Z55,""))</f>
        <v/>
      </c>
      <c r="AA54" s="20">
        <f>IF(OR(AA52="",AA55=""),"",IFERROR(MAX(AA52,0)*AA55,""))</f>
        <v/>
      </c>
      <c r="AB54" s="20">
        <f>IF(OR(AB52="",AB55=""),"",IFERROR(MAX(AB52,0)*AB55,""))</f>
        <v/>
      </c>
      <c r="AC54" s="20">
        <f>IF(OR(AC52="",AC55=""),"",IFERROR(MAX(AC52,0)*AC55,""))</f>
        <v/>
      </c>
    </row>
    <row r="55">
      <c r="A55" s="13" t="inlineStr">
        <is>
          <t>법인세율</t>
        </is>
      </c>
      <c r="B55" s="10" t="inlineStr">
        <is>
          <t>MW 기본 30%</t>
        </is>
      </c>
      <c r="C55" s="14">
        <f>IF(OR(C54="",C52=""),"",IFERROR(C54/C52,""))</f>
        <v/>
      </c>
      <c r="D55" s="15">
        <f>IF(OR(D54="",D52=""),"",IFERROR(D54/D52,""))</f>
        <v/>
      </c>
      <c r="E55" s="15">
        <f>IF(OR(E54="",E52=""),"",IFERROR(E54/E52,""))</f>
        <v/>
      </c>
      <c r="F55" s="15">
        <f>IF(OR(F54="",F52=""),"",IFERROR(F54/F52,""))</f>
        <v/>
      </c>
      <c r="G55" s="15">
        <f>IF(OR(G54="",G52=""),"",IFERROR(G54/G52,""))</f>
        <v/>
      </c>
      <c r="H55" s="15">
        <f>IF(OR(H54="",H52=""),"",IFERROR(H54/H52,""))</f>
        <v/>
      </c>
      <c r="I55" s="15">
        <f>IF(OR(I54="",I52=""),"",IFERROR(I54/I52,""))</f>
        <v/>
      </c>
      <c r="J55" s="15">
        <f>IF(OR(J54="",J52=""),"",IFERROR(J54/J52,""))</f>
        <v/>
      </c>
      <c r="K55" s="15">
        <f>IF(OR(K54="",K52=""),"",IFERROR(K54/K52,""))</f>
        <v/>
      </c>
      <c r="L55" s="15">
        <f>IF(OR(L54="",L52=""),"",IFERROR(L54/L52,""))</f>
        <v/>
      </c>
      <c r="M55" s="15">
        <f>IF(OR(M54="",M52=""),"",IFERROR(M54/M52,""))</f>
        <v/>
      </c>
      <c r="N55" s="15">
        <f>IF(OR(N54="",N52=""),"",IFERROR(N54/N52,""))</f>
        <v/>
      </c>
      <c r="O55" s="14">
        <f>IF(OR(O54="",O52=""),"",IFERROR(O54/O52,""))</f>
        <v/>
      </c>
      <c r="P55" s="15">
        <f>IF(OR(P54="",P52=""),"",IFERROR(P54/P52,""))</f>
        <v/>
      </c>
      <c r="Q55" s="15">
        <f>IF(OR(Q54="",Q52=""),"",IFERROR(Q54/Q52,""))</f>
        <v/>
      </c>
      <c r="R55" s="15">
        <f>IF(OR(R54="",R52=""),"",IFERROR(R54/R52,""))</f>
        <v/>
      </c>
      <c r="S55" s="15">
        <f>IF(OR(S54="",S52=""),"",IFERROR(S54/S52,""))</f>
        <v/>
      </c>
      <c r="T55" s="15">
        <f>IF(OR(T54="",T52=""),"",IFERROR(T54/T52,""))</f>
        <v/>
      </c>
      <c r="U55" s="15">
        <f>IF(OR(U54="",U52=""),"",IFERROR(U54/U52,""))</f>
        <v/>
      </c>
      <c r="V55" s="15">
        <f>IF(OR(V54="",V52=""),"",IFERROR(V54/V52,""))</f>
        <v/>
      </c>
      <c r="W55" s="15">
        <f>IF(OR(W54="",W52=""),"",IFERROR(W54/W52,""))</f>
        <v/>
      </c>
      <c r="X55" s="15">
        <f>IF(OR(X54="",X52=""),"",IFERROR(X54/X52,""))</f>
        <v/>
      </c>
      <c r="Y55" s="25" t="n">
        <v>0.3</v>
      </c>
      <c r="Z55" s="26" t="n">
        <v>0.3</v>
      </c>
      <c r="AA55" s="26" t="n">
        <v>0.3</v>
      </c>
      <c r="AB55" s="26" t="n">
        <v>0.3</v>
      </c>
      <c r="AC55" s="26" t="n">
        <v>0.3</v>
      </c>
    </row>
    <row r="56">
      <c r="A56" s="9" t="inlineStr">
        <is>
          <t>당기순이익(손실)</t>
        </is>
      </c>
      <c r="B56" s="10" t="n"/>
      <c r="C56" s="11" t="n">
        <v>0.057</v>
      </c>
      <c r="D56" s="12" t="n">
        <v>230.226</v>
      </c>
      <c r="E56" s="12" t="n">
        <v>398.259</v>
      </c>
      <c r="F56" s="12" t="n">
        <v>180.29</v>
      </c>
      <c r="G56" s="12" t="n">
        <v>72.93600000000001</v>
      </c>
      <c r="H56" s="12" t="n">
        <v>168.58</v>
      </c>
      <c r="I56" s="12" t="n">
        <v>466.923</v>
      </c>
      <c r="J56" s="12" t="n">
        <v>188.057</v>
      </c>
      <c r="K56" s="12" t="n">
        <v>26.737</v>
      </c>
      <c r="L56" s="12" t="n">
        <v>289.959</v>
      </c>
      <c r="M56" s="12" t="n">
        <v>455.273</v>
      </c>
      <c r="N56" s="12" t="n">
        <v>350.834</v>
      </c>
      <c r="O56" s="11" t="n">
        <v>574.074</v>
      </c>
      <c r="P56" s="12" t="n">
        <v>478.032</v>
      </c>
      <c r="Q56" s="12" t="n">
        <v>597.819</v>
      </c>
      <c r="R56" s="12" t="n">
        <v>848.037</v>
      </c>
      <c r="S56" s="12" t="n">
        <v>670.978</v>
      </c>
      <c r="T56" s="12" t="n">
        <v>755.391</v>
      </c>
      <c r="U56" s="12" t="n">
        <v>686.538</v>
      </c>
      <c r="V56" s="12" t="n">
        <v>733.71</v>
      </c>
      <c r="W56" s="12" t="n">
        <v>888.729</v>
      </c>
      <c r="X56" s="12" t="n">
        <v>960.026</v>
      </c>
      <c r="Y56" s="11">
        <f>IF(OR(Y52=""),"",IFERROR(Y52-Y54,""))</f>
        <v/>
      </c>
      <c r="Z56" s="12">
        <f>IF(OR(Z52=""),"",IFERROR(Z52-Z54,""))</f>
        <v/>
      </c>
      <c r="AA56" s="12">
        <f>IF(OR(AA52=""),"",IFERROR(AA52-AA54,""))</f>
        <v/>
      </c>
      <c r="AB56" s="12">
        <f>IF(OR(AB52=""),"",IFERROR(AB52-AB54,""))</f>
        <v/>
      </c>
      <c r="AC56" s="12">
        <f>IF(OR(AC52=""),"",IFERROR(AC52-AC54,""))</f>
        <v/>
      </c>
    </row>
    <row r="57">
      <c r="A57" s="13" t="inlineStr">
        <is>
          <t>YoY</t>
        </is>
      </c>
      <c r="B57" s="10" t="n"/>
      <c r="C57" s="14" t="n"/>
      <c r="D57" s="15" t="n"/>
      <c r="E57" s="15" t="n"/>
      <c r="F57" s="15" t="n"/>
      <c r="G57" s="15">
        <f>IF(OR(G56="",C56=""),"",IF(C56&lt;=0,"",IFERROR(G56/C56-1,"")))</f>
        <v/>
      </c>
      <c r="H57" s="15">
        <f>IF(OR(H56="",D56=""),"",IF(D56&lt;=0,"",IFERROR(H56/D56-1,"")))</f>
        <v/>
      </c>
      <c r="I57" s="15">
        <f>IF(OR(I56="",E56=""),"",IF(E56&lt;=0,"",IFERROR(I56/E56-1,"")))</f>
        <v/>
      </c>
      <c r="J57" s="15">
        <f>IF(OR(J56="",F56=""),"",IF(F56&lt;=0,"",IFERROR(J56/F56-1,"")))</f>
        <v/>
      </c>
      <c r="K57" s="15">
        <f>IF(OR(K56="",G56=""),"",IF(G56&lt;=0,"",IFERROR(K56/G56-1,"")))</f>
        <v/>
      </c>
      <c r="L57" s="15">
        <f>IF(OR(L56="",H56=""),"",IF(H56&lt;=0,"",IFERROR(L56/H56-1,"")))</f>
        <v/>
      </c>
      <c r="M57" s="15">
        <f>IF(OR(M56="",I56=""),"",IF(I56&lt;=0,"",IFERROR(M56/I56-1,"")))</f>
        <v/>
      </c>
      <c r="N57" s="15">
        <f>IF(OR(N56="",J56=""),"",IF(J56&lt;=0,"",IFERROR(N56/J56-1,"")))</f>
        <v/>
      </c>
      <c r="O57" s="14" t="n"/>
      <c r="P57" s="15">
        <f>IF(OR(P56="",O56=""),"",IF(O56&lt;=0,"",IFERROR(P56/O56-1,"")))</f>
        <v/>
      </c>
      <c r="Q57" s="15">
        <f>IF(OR(Q56="",P56=""),"",IF(P56&lt;=0,"",IFERROR(Q56/P56-1,"")))</f>
        <v/>
      </c>
      <c r="R57" s="15">
        <f>IF(OR(R56="",Q56=""),"",IF(Q56&lt;=0,"",IFERROR(R56/Q56-1,"")))</f>
        <v/>
      </c>
      <c r="S57" s="15">
        <f>IF(OR(S56="",R56=""),"",IF(R56&lt;=0,"",IFERROR(S56/R56-1,"")))</f>
        <v/>
      </c>
      <c r="T57" s="15">
        <f>IF(OR(T56="",S56=""),"",IF(S56&lt;=0,"",IFERROR(T56/S56-1,"")))</f>
        <v/>
      </c>
      <c r="U57" s="15">
        <f>IF(OR(U56="",T56=""),"",IF(T56&lt;=0,"",IFERROR(U56/T56-1,"")))</f>
        <v/>
      </c>
      <c r="V57" s="15">
        <f>IF(OR(V56="",U56=""),"",IF(U56&lt;=0,"",IFERROR(V56/U56-1,"")))</f>
        <v/>
      </c>
      <c r="W57" s="15">
        <f>IF(OR(W56="",V56=""),"",IF(V56&lt;=0,"",IFERROR(W56/V56-1,"")))</f>
        <v/>
      </c>
      <c r="X57" s="15">
        <f>IF(OR(X56="",W56=""),"",IF(W56&lt;=0,"",IFERROR(X56/W56-1,"")))</f>
        <v/>
      </c>
      <c r="Y57" s="14">
        <f>IF(OR(Y56="",X56=""),"",IF(X56&lt;=0,"",IFERROR(Y56/X56-1,"")))</f>
        <v/>
      </c>
      <c r="Z57" s="15">
        <f>IF(OR(Z56="",Y56=""),"",IF(Y56&lt;=0,"",IFERROR(Z56/Y56-1,"")))</f>
        <v/>
      </c>
      <c r="AA57" s="15">
        <f>IF(OR(AA56="",Z56=""),"",IF(Z56&lt;=0,"",IFERROR(AA56/Z56-1,"")))</f>
        <v/>
      </c>
      <c r="AB57" s="15">
        <f>IF(OR(AB56="",AA56=""),"",IF(AA56&lt;=0,"",IFERROR(AB56/AA56-1,"")))</f>
        <v/>
      </c>
      <c r="AC57" s="15">
        <f>IF(OR(AC56="",AB56=""),"",IF(AB56&lt;=0,"",IFERROR(AC56/AB56-1,"")))</f>
        <v/>
      </c>
    </row>
    <row r="58">
      <c r="A58" s="9" t="inlineStr">
        <is>
          <t>지배주주 순이익</t>
        </is>
      </c>
      <c r="B58" s="10" t="n"/>
      <c r="C58" s="11" t="n">
        <v>0.057</v>
      </c>
      <c r="D58" s="12" t="n">
        <v>230.226</v>
      </c>
      <c r="E58" s="12" t="n">
        <v>398.259</v>
      </c>
      <c r="F58" s="12" t="n">
        <v>180.29</v>
      </c>
      <c r="G58" s="12" t="n">
        <v>72.93600000000001</v>
      </c>
      <c r="H58" s="12" t="n">
        <v>168.58</v>
      </c>
      <c r="I58" s="12" t="n">
        <v>466.923</v>
      </c>
      <c r="J58" s="12" t="n">
        <v>188.057</v>
      </c>
      <c r="K58" s="12" t="n">
        <v>26.737</v>
      </c>
      <c r="L58" s="12" t="n">
        <v>289.959</v>
      </c>
      <c r="M58" s="12" t="n">
        <v>455.273</v>
      </c>
      <c r="N58" s="12" t="n">
        <v>350.834</v>
      </c>
      <c r="O58" s="11" t="n">
        <v>574.074</v>
      </c>
      <c r="P58" s="12" t="n">
        <v>478.032</v>
      </c>
      <c r="Q58" s="12" t="n">
        <v>597.819</v>
      </c>
      <c r="R58" s="12" t="n">
        <v>848.037</v>
      </c>
      <c r="S58" s="12" t="n">
        <v>670.978</v>
      </c>
      <c r="T58" s="12" t="n">
        <v>755.391</v>
      </c>
      <c r="U58" s="12" t="n">
        <v>660.7910000000001</v>
      </c>
      <c r="V58" s="12" t="n">
        <v>733.71</v>
      </c>
      <c r="W58" s="12" t="n">
        <v>888.729</v>
      </c>
      <c r="X58" s="12" t="n">
        <v>960.026</v>
      </c>
      <c r="Y58" s="11">
        <f>IF(OR(Y56="",Y59=""),"",IFERROR(Y56*Y59,""))</f>
        <v/>
      </c>
      <c r="Z58" s="12">
        <f>IF(OR(Z56="",Z59=""),"",IFERROR(Z56*Z59,""))</f>
        <v/>
      </c>
      <c r="AA58" s="12">
        <f>IF(OR(AA56="",AA59=""),"",IFERROR(AA56*AA59,""))</f>
        <v/>
      </c>
      <c r="AB58" s="12">
        <f>IF(OR(AB56="",AB59=""),"",IFERROR(AB56*AB59,""))</f>
        <v/>
      </c>
      <c r="AC58" s="12">
        <f>IF(OR(AC56="",AC59=""),"",IFERROR(AC56*AC59,""))</f>
        <v/>
      </c>
    </row>
    <row r="59">
      <c r="A59" s="13" t="inlineStr">
        <is>
          <t>지배주주 순이익률</t>
        </is>
      </c>
      <c r="B59" s="10" t="inlineStr">
        <is>
          <t>MW 기본 100%</t>
        </is>
      </c>
      <c r="C59" s="14">
        <f>IF(OR(C58="",C56=""),"",IFERROR(C58/C56,""))</f>
        <v/>
      </c>
      <c r="D59" s="15">
        <f>IF(OR(D58="",D56=""),"",IFERROR(D58/D56,""))</f>
        <v/>
      </c>
      <c r="E59" s="15">
        <f>IF(OR(E58="",E56=""),"",IFERROR(E58/E56,""))</f>
        <v/>
      </c>
      <c r="F59" s="15">
        <f>IF(OR(F58="",F56=""),"",IFERROR(F58/F56,""))</f>
        <v/>
      </c>
      <c r="G59" s="15">
        <f>IF(OR(G58="",G56=""),"",IFERROR(G58/G56,""))</f>
        <v/>
      </c>
      <c r="H59" s="15">
        <f>IF(OR(H58="",H56=""),"",IFERROR(H58/H56,""))</f>
        <v/>
      </c>
      <c r="I59" s="15">
        <f>IF(OR(I58="",I56=""),"",IFERROR(I58/I56,""))</f>
        <v/>
      </c>
      <c r="J59" s="15">
        <f>IF(OR(J58="",J56=""),"",IFERROR(J58/J56,""))</f>
        <v/>
      </c>
      <c r="K59" s="15">
        <f>IF(OR(K58="",K56=""),"",IFERROR(K58/K56,""))</f>
        <v/>
      </c>
      <c r="L59" s="15">
        <f>IF(OR(L58="",L56=""),"",IFERROR(L58/L56,""))</f>
        <v/>
      </c>
      <c r="M59" s="15">
        <f>IF(OR(M58="",M56=""),"",IFERROR(M58/M56,""))</f>
        <v/>
      </c>
      <c r="N59" s="15">
        <f>IF(OR(N58="",N56=""),"",IFERROR(N58/N56,""))</f>
        <v/>
      </c>
      <c r="O59" s="14">
        <f>IF(OR(O58="",O56=""),"",IFERROR(O58/O56,""))</f>
        <v/>
      </c>
      <c r="P59" s="15">
        <f>IF(OR(P58="",P56=""),"",IFERROR(P58/P56,""))</f>
        <v/>
      </c>
      <c r="Q59" s="15">
        <f>IF(OR(Q58="",Q56=""),"",IFERROR(Q58/Q56,""))</f>
        <v/>
      </c>
      <c r="R59" s="15">
        <f>IF(OR(R58="",R56=""),"",IFERROR(R58/R56,""))</f>
        <v/>
      </c>
      <c r="S59" s="15">
        <f>IF(OR(S58="",S56=""),"",IFERROR(S58/S56,""))</f>
        <v/>
      </c>
      <c r="T59" s="15">
        <f>IF(OR(T58="",T56=""),"",IFERROR(T58/T56,""))</f>
        <v/>
      </c>
      <c r="U59" s="15">
        <f>IF(OR(U58="",U56=""),"",IFERROR(U58/U56,""))</f>
        <v/>
      </c>
      <c r="V59" s="15">
        <f>IF(OR(V58="",V56=""),"",IFERROR(V58/V56,""))</f>
        <v/>
      </c>
      <c r="W59" s="15">
        <f>IF(OR(W58="",W56=""),"",IFERROR(W58/W56,""))</f>
        <v/>
      </c>
      <c r="X59" s="15">
        <f>IF(OR(X58="",X56=""),"",IFERROR(X58/X56,""))</f>
        <v/>
      </c>
      <c r="Y59" s="25" t="n">
        <v>1</v>
      </c>
      <c r="Z59" s="26" t="n">
        <v>1</v>
      </c>
      <c r="AA59" s="26" t="n">
        <v>1</v>
      </c>
      <c r="AB59" s="26" t="n">
        <v>1</v>
      </c>
      <c r="AC59" s="26" t="n">
        <v>1</v>
      </c>
    </row>
    <row r="60">
      <c r="A60" s="13" t="inlineStr">
        <is>
          <t>지배주주 순이익 YoY</t>
        </is>
      </c>
      <c r="B60" s="10" t="n"/>
      <c r="C60" s="14" t="n"/>
      <c r="D60" s="15" t="n"/>
      <c r="E60" s="15" t="n"/>
      <c r="F60" s="15" t="n"/>
      <c r="G60" s="15">
        <f>IF(OR(G58="",C58=""),"",IF(C58&lt;=0,"",IFERROR(G58/C58-1,"")))</f>
        <v/>
      </c>
      <c r="H60" s="15">
        <f>IF(OR(H58="",D58=""),"",IF(D58&lt;=0,"",IFERROR(H58/D58-1,"")))</f>
        <v/>
      </c>
      <c r="I60" s="15">
        <f>IF(OR(I58="",E58=""),"",IF(E58&lt;=0,"",IFERROR(I58/E58-1,"")))</f>
        <v/>
      </c>
      <c r="J60" s="15">
        <f>IF(OR(J58="",F58=""),"",IF(F58&lt;=0,"",IFERROR(J58/F58-1,"")))</f>
        <v/>
      </c>
      <c r="K60" s="15">
        <f>IF(OR(K58="",G58=""),"",IF(G58&lt;=0,"",IFERROR(K58/G58-1,"")))</f>
        <v/>
      </c>
      <c r="L60" s="15">
        <f>IF(OR(L58="",H58=""),"",IF(H58&lt;=0,"",IFERROR(L58/H58-1,"")))</f>
        <v/>
      </c>
      <c r="M60" s="15">
        <f>IF(OR(M58="",I58=""),"",IF(I58&lt;=0,"",IFERROR(M58/I58-1,"")))</f>
        <v/>
      </c>
      <c r="N60" s="15">
        <f>IF(OR(N58="",J58=""),"",IF(J58&lt;=0,"",IFERROR(N58/J58-1,"")))</f>
        <v/>
      </c>
      <c r="O60" s="14" t="n"/>
      <c r="P60" s="15">
        <f>IF(OR(P58="",O58=""),"",IF(O58&lt;=0,"",IFERROR(P58/O58-1,"")))</f>
        <v/>
      </c>
      <c r="Q60" s="15">
        <f>IF(OR(Q58="",P58=""),"",IF(P58&lt;=0,"",IFERROR(Q58/P58-1,"")))</f>
        <v/>
      </c>
      <c r="R60" s="15">
        <f>IF(OR(R58="",Q58=""),"",IF(Q58&lt;=0,"",IFERROR(R58/Q58-1,"")))</f>
        <v/>
      </c>
      <c r="S60" s="15">
        <f>IF(OR(S58="",R58=""),"",IF(R58&lt;=0,"",IFERROR(S58/R58-1,"")))</f>
        <v/>
      </c>
      <c r="T60" s="15">
        <f>IF(OR(T58="",S58=""),"",IF(S58&lt;=0,"",IFERROR(T58/S58-1,"")))</f>
        <v/>
      </c>
      <c r="U60" s="15">
        <f>IF(OR(U58="",T58=""),"",IF(T58&lt;=0,"",IFERROR(U58/T58-1,"")))</f>
        <v/>
      </c>
      <c r="V60" s="15">
        <f>IF(OR(V58="",U58=""),"",IF(U58&lt;=0,"",IFERROR(V58/U58-1,"")))</f>
        <v/>
      </c>
      <c r="W60" s="15">
        <f>IF(OR(W58="",V58=""),"",IF(V58&lt;=0,"",IFERROR(W58/V58-1,"")))</f>
        <v/>
      </c>
      <c r="X60" s="15">
        <f>IF(OR(X58="",W58=""),"",IF(W58&lt;=0,"",IFERROR(X58/W58-1,"")))</f>
        <v/>
      </c>
      <c r="Y60" s="14">
        <f>IF(OR(Y58="",X58=""),"",IF(X58&lt;=0,"",IFERROR(Y58/X58-1,"")))</f>
        <v/>
      </c>
      <c r="Z60" s="15">
        <f>IF(OR(Z58="",Y58=""),"",IF(Y58&lt;=0,"",IFERROR(Z58/Y58-1,"")))</f>
        <v/>
      </c>
      <c r="AA60" s="15">
        <f>IF(OR(AA58="",Z58=""),"",IF(Z58&lt;=0,"",IFERROR(AA58/Z58-1,"")))</f>
        <v/>
      </c>
      <c r="AB60" s="15">
        <f>IF(OR(AB58="",AA58=""),"",IF(AA58&lt;=0,"",IFERROR(AB58/AA58-1,"")))</f>
        <v/>
      </c>
      <c r="AC60" s="15">
        <f>IF(OR(AC58="",AB58=""),"",IF(AB58&lt;=0,"",IFERROR(AC58/AB58-1,"")))</f>
        <v/>
      </c>
    </row>
    <row r="61">
      <c r="A61" s="16" t="inlineStr">
        <is>
          <t>목표주가 산출</t>
        </is>
      </c>
      <c r="B61" s="16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7" t="n"/>
      <c r="Z61" s="16" t="n"/>
      <c r="AA61" s="16" t="n"/>
      <c r="AB61" s="16" t="n"/>
      <c r="AC61" s="16" t="n"/>
    </row>
    <row r="62">
      <c r="A62" s="18" t="inlineStr">
        <is>
          <t>현재 주가 (2026.10.28)</t>
        </is>
      </c>
      <c r="B62" s="27" t="n">
        <v>1542</v>
      </c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8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8" t="n"/>
      <c r="Z62" s="29" t="n"/>
      <c r="AA62" s="29" t="n"/>
      <c r="AB62" s="29" t="n"/>
      <c r="AC62" s="29" t="n"/>
    </row>
    <row r="63">
      <c r="A63" s="18" t="inlineStr">
        <is>
          <t>발행주식수 (보통주)</t>
        </is>
      </c>
      <c r="B63" s="27" t="n">
        <v>8046500</v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8" t="n"/>
      <c r="Z63" s="29" t="n"/>
      <c r="AA63" s="29" t="n"/>
      <c r="AB63" s="29" t="n"/>
      <c r="AC63" s="29" t="n"/>
    </row>
    <row r="64">
      <c r="A64" s="18" t="inlineStr">
        <is>
          <t>시가총액 (백만엔)</t>
        </is>
      </c>
      <c r="B64" s="12">
        <f>IF(OR(B62="",B63=""),"",B62*B63/1000000.0)</f>
        <v/>
      </c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19" t="n"/>
      <c r="Z64" s="20" t="n"/>
      <c r="AA64" s="20" t="n"/>
      <c r="AB64" s="20" t="n"/>
      <c r="AC64" s="20" t="n"/>
    </row>
    <row r="65">
      <c r="A65" s="13" t="inlineStr">
        <is>
          <t>OPM</t>
        </is>
      </c>
      <c r="B65" s="10" t="n"/>
      <c r="C65" s="14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4">
        <f>IF(O29="","",O29)</f>
        <v/>
      </c>
      <c r="P65" s="15">
        <f>IF(P29="","",P29)</f>
        <v/>
      </c>
      <c r="Q65" s="15">
        <f>IF(Q29="","",Q29)</f>
        <v/>
      </c>
      <c r="R65" s="15">
        <f>IF(R29="","",R29)</f>
        <v/>
      </c>
      <c r="S65" s="15">
        <f>IF(S29="","",S29)</f>
        <v/>
      </c>
      <c r="T65" s="15">
        <f>IF(T29="","",T29)</f>
        <v/>
      </c>
      <c r="U65" s="15">
        <f>IF(U29="","",U29)</f>
        <v/>
      </c>
      <c r="V65" s="15">
        <f>IF(V29="","",V29)</f>
        <v/>
      </c>
      <c r="W65" s="15">
        <f>IF(W29="","",W29)</f>
        <v/>
      </c>
      <c r="X65" s="15">
        <f>IF(X29="","",X29)</f>
        <v/>
      </c>
      <c r="Y65" s="14">
        <f>IF(Y29="","",Y29)</f>
        <v/>
      </c>
      <c r="Z65" s="15">
        <f>IF(Z29="","",Z29)</f>
        <v/>
      </c>
      <c r="AA65" s="15">
        <f>IF(AA29="","",AA29)</f>
        <v/>
      </c>
      <c r="AB65" s="15">
        <f>IF(AB29="","",AB29)</f>
        <v/>
      </c>
      <c r="AC65" s="15">
        <f>IF(AC29="","",AC29)</f>
        <v/>
      </c>
    </row>
    <row r="66">
      <c r="A66" s="13" t="inlineStr">
        <is>
          <t>지배주주 순이익 증가율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>
        <f>IF(OR(P58="",O58=""),"",IFERROR(P58/O58-1,""))</f>
        <v/>
      </c>
      <c r="Q66" s="15">
        <f>IF(OR(Q58="",P58=""),"",IFERROR(Q58/P58-1,""))</f>
        <v/>
      </c>
      <c r="R66" s="15">
        <f>IF(OR(R58="",Q58=""),"",IFERROR(R58/Q58-1,""))</f>
        <v/>
      </c>
      <c r="S66" s="15">
        <f>IF(OR(S58="",R58=""),"",IFERROR(S58/R58-1,""))</f>
        <v/>
      </c>
      <c r="T66" s="15">
        <f>IF(OR(T58="",S58=""),"",IFERROR(T58/S58-1,""))</f>
        <v/>
      </c>
      <c r="U66" s="15">
        <f>IF(OR(U58="",T58=""),"",IFERROR(U58/T58-1,""))</f>
        <v/>
      </c>
      <c r="V66" s="15">
        <f>IF(OR(V58="",U58=""),"",IFERROR(V58/U58-1,""))</f>
        <v/>
      </c>
      <c r="W66" s="15">
        <f>IF(OR(W58="",V58=""),"",IFERROR(W58/V58-1,""))</f>
        <v/>
      </c>
      <c r="X66" s="15">
        <f>IF(OR(X58="",W58=""),"",IFERROR(X58/W58-1,""))</f>
        <v/>
      </c>
      <c r="Y66" s="14">
        <f>IF(OR(Y58="",X58=""),"",IFERROR(Y58/X58-1,""))</f>
        <v/>
      </c>
      <c r="Z66" s="15">
        <f>IF(OR(Z58="",Y58=""),"",IFERROR(Z58/Y58-1,""))</f>
        <v/>
      </c>
      <c r="AA66" s="15">
        <f>IF(OR(AA58="",Z58=""),"",IFERROR(AA58/Z58-1,""))</f>
        <v/>
      </c>
      <c r="AB66" s="15">
        <f>IF(OR(AB58="",AA58=""),"",IFERROR(AB58/AA58-1,""))</f>
        <v/>
      </c>
      <c r="AC66" s="15">
        <f>IF(OR(AC58="",AB58=""),"",IFERROR(AC58/AB58-1,""))</f>
        <v/>
      </c>
    </row>
    <row r="67">
      <c r="A67" s="18" t="inlineStr">
        <is>
          <t>P/E (현재 주가)</t>
        </is>
      </c>
      <c r="B67" s="10" t="inlineStr">
        <is>
          <t>시총 ÷ 지배순이익</t>
        </is>
      </c>
      <c r="C67" s="30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0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>
        <f>IF(OR($B$64="",X58=""),"",IFERROR($B$64/X58,""))</f>
        <v/>
      </c>
      <c r="Y67" s="30">
        <f>IF(OR($B$64="",Y58=""),"",IFERROR($B$64/Y58,""))</f>
        <v/>
      </c>
      <c r="Z67" s="31">
        <f>IF(OR($B$64="",Z58=""),"",IFERROR($B$64/Z58,""))</f>
        <v/>
      </c>
      <c r="AA67" s="31">
        <f>IF(OR($B$64="",AA58=""),"",IFERROR($B$64/AA58,""))</f>
        <v/>
      </c>
      <c r="AB67" s="31">
        <f>IF(OR($B$64="",AB58=""),"",IFERROR($B$64/AB58,""))</f>
        <v/>
      </c>
      <c r="AC67" s="31">
        <f>IF(OR($B$64="",AC58=""),"",IFERROR($B$64/AC58,""))</f>
        <v/>
      </c>
    </row>
    <row r="68">
      <c r="A68" s="18" t="inlineStr">
        <is>
          <t>Target P/E</t>
        </is>
      </c>
      <c r="B68" s="10" t="inlineStr">
        <is>
          <t>직접 입력</t>
        </is>
      </c>
      <c r="C68" s="30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0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2" t="n"/>
      <c r="Z68" s="33" t="n"/>
      <c r="AA68" s="33" t="n"/>
      <c r="AB68" s="33" t="n"/>
      <c r="AC68" s="33" t="n"/>
    </row>
    <row r="69">
      <c r="A69" s="18" t="inlineStr">
        <is>
          <t>EPS</t>
        </is>
      </c>
      <c r="B69" s="10" t="inlineStr">
        <is>
          <t>지배순이익 ÷ 주식수</t>
        </is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>
        <f>IF(OR(O58="",$B$63=""),"",IFERROR(O58*1000000.0/$B$63,""))</f>
        <v/>
      </c>
      <c r="P69" s="29">
        <f>IF(OR(P58="",$B$63=""),"",IFERROR(P58*1000000.0/$B$63,""))</f>
        <v/>
      </c>
      <c r="Q69" s="29">
        <f>IF(OR(Q58="",$B$63=""),"",IFERROR(Q58*1000000.0/$B$63,""))</f>
        <v/>
      </c>
      <c r="R69" s="29">
        <f>IF(OR(R58="",$B$63=""),"",IFERROR(R58*1000000.0/$B$63,""))</f>
        <v/>
      </c>
      <c r="S69" s="29">
        <f>IF(OR(S58="",$B$63=""),"",IFERROR(S58*1000000.0/$B$63,""))</f>
        <v/>
      </c>
      <c r="T69" s="29">
        <f>IF(OR(T58="",$B$63=""),"",IFERROR(T58*1000000.0/$B$63,""))</f>
        <v/>
      </c>
      <c r="U69" s="29">
        <f>IF(OR(U58="",$B$63=""),"",IFERROR(U58*1000000.0/$B$63,""))</f>
        <v/>
      </c>
      <c r="V69" s="29">
        <f>IF(OR(V58="",$B$63=""),"",IFERROR(V58*1000000.0/$B$63,""))</f>
        <v/>
      </c>
      <c r="W69" s="29">
        <f>IF(OR(W58="",$B$63=""),"",IFERROR(W58*1000000.0/$B$63,""))</f>
        <v/>
      </c>
      <c r="X69" s="29">
        <f>IF(OR(X58="",$B$63=""),"",IFERROR(X58*1000000.0/$B$63,""))</f>
        <v/>
      </c>
      <c r="Y69" s="28">
        <f>IF(OR(Y58="",$B$63=""),"",IFERROR(Y58*1000000.0/$B$63,""))</f>
        <v/>
      </c>
      <c r="Z69" s="29">
        <f>IF(OR(Z58="",$B$63=""),"",IFERROR(Z58*1000000.0/$B$63,""))</f>
        <v/>
      </c>
      <c r="AA69" s="29">
        <f>IF(OR(AA58="",$B$63=""),"",IFERROR(AA58*1000000.0/$B$63,""))</f>
        <v/>
      </c>
      <c r="AB69" s="29">
        <f>IF(OR(AB58="",$B$63=""),"",IFERROR(AB58*1000000.0/$B$63,""))</f>
        <v/>
      </c>
      <c r="AC69" s="29">
        <f>IF(OR(AC58="",$B$63=""),"",IFERROR(AC58*1000000.0/$B$63,""))</f>
        <v/>
      </c>
    </row>
    <row r="70">
      <c r="A70" s="9" t="inlineStr">
        <is>
          <t>목표주가</t>
        </is>
      </c>
      <c r="B70" s="10" t="n"/>
      <c r="C70" s="34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34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34">
        <f>IF(OR(Y69="",Y68=""),"",IFERROR(Y69*Y68,""))</f>
        <v/>
      </c>
      <c r="Z70" s="27">
        <f>IF(OR(Z69="",Z68=""),"",IFERROR(Z69*Z68,""))</f>
        <v/>
      </c>
      <c r="AA70" s="27">
        <f>IF(OR(AA69="",AA68=""),"",IFERROR(AA69*AA68,""))</f>
        <v/>
      </c>
      <c r="AB70" s="27">
        <f>IF(OR(AB69="",AB68=""),"",IFERROR(AB69*AB68,""))</f>
        <v/>
      </c>
      <c r="AC70" s="27">
        <f>IF(OR(AC69="",AC68=""),"",IFERROR(AC69*AC68,""))</f>
        <v/>
      </c>
    </row>
    <row r="71">
      <c r="A71" s="18" t="inlineStr">
        <is>
          <t>상승여력</t>
        </is>
      </c>
      <c r="B71" s="10" t="n"/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5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7">
        <f>IF(OR(Y70="",$B$62=""),"",IFERROR(Y70/$B$62-1,""))</f>
        <v/>
      </c>
      <c r="Z71" s="38">
        <f>IF(OR(Z70="",$B$62=""),"",IFERROR(Z70/$B$62-1,""))</f>
        <v/>
      </c>
      <c r="AA71" s="38">
        <f>IF(OR(AA70="",$B$62=""),"",IFERROR(AA70/$B$62-1,""))</f>
        <v/>
      </c>
      <c r="AB71" s="38">
        <f>IF(OR(AB70="",$B$62=""),"",IFERROR(AB70/$B$62-1,""))</f>
        <v/>
      </c>
      <c r="AC71" s="38">
        <f>IF(OR(AC70="",$B$62=""),"",IFERROR(AC70/$B$62-1,""))</f>
        <v/>
      </c>
    </row>
    <row r="72">
      <c r="A72" s="16" t="inlineStr">
        <is>
          <t>자산가치 산출</t>
        </is>
      </c>
      <c r="B72" s="16" t="inlineStr">
        <is>
          <t>최신 분기 BS</t>
        </is>
      </c>
      <c r="C72" s="17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7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7" t="n"/>
      <c r="Z72" s="16" t="n"/>
      <c r="AA72" s="16" t="n"/>
      <c r="AB72" s="16" t="n"/>
      <c r="AC72" s="16" t="n"/>
    </row>
    <row r="73">
      <c r="A73" s="18" t="inlineStr">
        <is>
          <t>현금및현금성자산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'재무상태표'!G6</f>
        <v/>
      </c>
      <c r="Y73" s="19">
        <f>'재무상태표'!G6</f>
        <v/>
      </c>
      <c r="Z73" s="20">
        <f>'재무상태표'!G6</f>
        <v/>
      </c>
      <c r="AA73" s="20">
        <f>'재무상태표'!G6</f>
        <v/>
      </c>
      <c r="AB73" s="20">
        <f>'재무상태표'!G6</f>
        <v/>
      </c>
      <c r="AC73" s="20">
        <f>'재무상태표'!G6</f>
        <v/>
      </c>
    </row>
    <row r="74">
      <c r="A74" s="18" t="inlineStr">
        <is>
          <t>단기금융상품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'재무상태표'!G7</f>
        <v/>
      </c>
      <c r="Y74" s="19">
        <f>'재무상태표'!G7</f>
        <v/>
      </c>
      <c r="Z74" s="20">
        <f>'재무상태표'!G7</f>
        <v/>
      </c>
      <c r="AA74" s="20">
        <f>'재무상태표'!G7</f>
        <v/>
      </c>
      <c r="AB74" s="20">
        <f>'재무상태표'!G7</f>
        <v/>
      </c>
      <c r="AC74" s="20">
        <f>'재무상태표'!G7</f>
        <v/>
      </c>
    </row>
    <row r="75">
      <c r="A75" s="18" t="inlineStr">
        <is>
          <t>투자부동산</t>
        </is>
      </c>
      <c r="B75" s="10" t="n"/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>
        <f>'재무상태표'!G14</f>
        <v/>
      </c>
      <c r="Y75" s="19">
        <f>'재무상태표'!G14</f>
        <v/>
      </c>
      <c r="Z75" s="20">
        <f>'재무상태표'!G14</f>
        <v/>
      </c>
      <c r="AA75" s="20">
        <f>'재무상태표'!G14</f>
        <v/>
      </c>
      <c r="AB75" s="20">
        <f>'재무상태표'!G14</f>
        <v/>
      </c>
      <c r="AC75" s="20">
        <f>'재무상태표'!G14</f>
        <v/>
      </c>
    </row>
    <row r="76">
      <c r="A76" s="18" t="inlineStr">
        <is>
          <t>지배자본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'재무상태표'!G31</f>
        <v/>
      </c>
      <c r="Y76" s="19">
        <f>'재무상태표'!G31</f>
        <v/>
      </c>
      <c r="Z76" s="20">
        <f>'재무상태표'!G31</f>
        <v/>
      </c>
      <c r="AA76" s="20">
        <f>'재무상태표'!G31</f>
        <v/>
      </c>
      <c r="AB76" s="20">
        <f>'재무상태표'!G31</f>
        <v/>
      </c>
      <c r="AC76" s="20">
        <f>'재무상태표'!G31</f>
        <v/>
      </c>
    </row>
    <row r="77">
      <c r="A77" s="18" t="inlineStr">
        <is>
          <t>부채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'재무상태표'!G27</f>
        <v/>
      </c>
      <c r="Y77" s="19">
        <f>'재무상태표'!G27</f>
        <v/>
      </c>
      <c r="Z77" s="20">
        <f>'재무상태표'!G27</f>
        <v/>
      </c>
      <c r="AA77" s="20">
        <f>'재무상태표'!G27</f>
        <v/>
      </c>
      <c r="AB77" s="20">
        <f>'재무상태표'!G27</f>
        <v/>
      </c>
      <c r="AC77" s="20">
        <f>'재무상태표'!G27</f>
        <v/>
      </c>
    </row>
    <row r="78">
      <c r="A78" s="13" t="inlineStr">
        <is>
          <t>부채비율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>
        <f>IF(OR(X77="",X76=""),"",IFERROR(X77/X76,""))</f>
        <v/>
      </c>
      <c r="Y78" s="14">
        <f>IF(OR(Y77="",Y76=""),"",IFERROR(Y77/Y76,""))</f>
        <v/>
      </c>
      <c r="Z78" s="15">
        <f>IF(OR(Z77="",Z76=""),"",IFERROR(Z77/Z76,""))</f>
        <v/>
      </c>
      <c r="AA78" s="15">
        <f>IF(OR(AA77="",AA76=""),"",IFERROR(AA77/AA76,""))</f>
        <v/>
      </c>
      <c r="AB78" s="15">
        <f>IF(OR(AB77="",AB76=""),"",IFERROR(AB77/AB76,""))</f>
        <v/>
      </c>
      <c r="AC78" s="15">
        <f>IF(OR(AC77="",AC76=""),"",IFERROR(AC77/AC76,""))</f>
        <v/>
      </c>
    </row>
    <row r="79">
      <c r="A79" s="9" t="inlineStr">
        <is>
          <t>자산가치</t>
        </is>
      </c>
      <c r="B79" s="10" t="inlineStr">
        <is>
          <t>현금+단기금융+투자부동산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>
        <f>SUM(X73,X74,X75)</f>
        <v/>
      </c>
      <c r="Y79" s="11">
        <f>SUM(Y73,Y74,Y75)</f>
        <v/>
      </c>
      <c r="Z79" s="12">
        <f>SUM(Z73,Z74,Z75)</f>
        <v/>
      </c>
      <c r="AA79" s="12">
        <f>SUM(AA73,AA74,AA75)</f>
        <v/>
      </c>
      <c r="AB79" s="12">
        <f>SUM(AB73,AB74,AB75)</f>
        <v/>
      </c>
      <c r="AC79" s="12">
        <f>SUM(AC73,AC74,AC75)</f>
        <v/>
      </c>
    </row>
    <row r="80">
      <c r="A80" s="16" t="inlineStr">
        <is>
          <t>기업가치 산출</t>
        </is>
      </c>
      <c r="B80" s="16" t="n"/>
      <c r="C80" s="17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7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7" t="n"/>
      <c r="Z80" s="16" t="n"/>
      <c r="AA80" s="16" t="n"/>
      <c r="AB80" s="16" t="n"/>
      <c r="AC80" s="16" t="n"/>
    </row>
    <row r="81">
      <c r="A81" s="18" t="inlineStr">
        <is>
          <t>목표 시가총액 (P/E)</t>
        </is>
      </c>
      <c r="B81" s="10" t="inlineStr">
        <is>
          <t>지배순이익 × Target P/E</t>
        </is>
      </c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19">
        <f>IF(OR(Y58="",Y68=""),"",IFERROR(Y58*Y68,""))</f>
        <v/>
      </c>
      <c r="Z81" s="20">
        <f>IF(OR(Z58="",Z68=""),"",IFERROR(Z58*Z68,""))</f>
        <v/>
      </c>
      <c r="AA81" s="20">
        <f>IF(OR(AA58="",AA68=""),"",IFERROR(AA58*AA68,""))</f>
        <v/>
      </c>
      <c r="AB81" s="20">
        <f>IF(OR(AB58="",AB68=""),"",IFERROR(AB58*AB68,""))</f>
        <v/>
      </c>
      <c r="AC81" s="20">
        <f>IF(OR(AC58="",AC68=""),"",IFERROR(AC58*AC68,""))</f>
        <v/>
      </c>
    </row>
    <row r="82">
      <c r="A82" s="9" t="inlineStr">
        <is>
          <t>기업가치</t>
        </is>
      </c>
      <c r="B82" s="10" t="inlineStr">
        <is>
          <t>목표시총 + 자산가치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1">
        <f>IF(OR(Y81=""),"",IFERROR(Y81+Y79,""))</f>
        <v/>
      </c>
      <c r="Z82" s="12">
        <f>IF(OR(Z81=""),"",IFERROR(Z81+Z79,""))</f>
        <v/>
      </c>
      <c r="AA82" s="12">
        <f>IF(OR(AA81=""),"",IFERROR(AA81+AA79,""))</f>
        <v/>
      </c>
      <c r="AB82" s="12">
        <f>IF(OR(AB81=""),"",IFERROR(AB81+AB79,""))</f>
        <v/>
      </c>
      <c r="AC82" s="12">
        <f>IF(OR(AC81=""),"",IFERROR(AC81+AC79,""))</f>
        <v/>
      </c>
    </row>
    <row r="83">
      <c r="A83" s="18" t="inlineStr">
        <is>
          <t>현재 시가총액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19">
        <f>$B$64</f>
        <v/>
      </c>
      <c r="Z83" s="20">
        <f>$B$64</f>
        <v/>
      </c>
      <c r="AA83" s="20">
        <f>$B$64</f>
        <v/>
      </c>
      <c r="AB83" s="20">
        <f>$B$64</f>
        <v/>
      </c>
      <c r="AC83" s="20">
        <f>$B$64</f>
        <v/>
      </c>
    </row>
    <row r="84">
      <c r="A84" s="18" t="inlineStr">
        <is>
          <t>상승여력</t>
        </is>
      </c>
      <c r="B84" s="10" t="n"/>
      <c r="C84" s="35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5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7">
        <f>IF(OR(Y82="",Y83=""),"",IFERROR(Y82/Y83-1,""))</f>
        <v/>
      </c>
      <c r="Z84" s="38">
        <f>IF(OR(Z82="",Z83=""),"",IFERROR(Z82/Z83-1,""))</f>
        <v/>
      </c>
      <c r="AA84" s="38">
        <f>IF(OR(AA82="",AA83=""),"",IFERROR(AA82/AA83-1,""))</f>
        <v/>
      </c>
      <c r="AB84" s="38">
        <f>IF(OR(AB82="",AB83=""),"",IFERROR(AB82/AB83-1,""))</f>
        <v/>
      </c>
      <c r="AC84" s="38">
        <f>IF(OR(AC82="",AC83=""),"",IFERROR(AC82/AC83-1,""))</f>
        <v/>
      </c>
    </row>
    <row r="85">
      <c r="C85" s="39" t="n"/>
      <c r="O85" s="39" t="n"/>
      <c r="Y85" s="39" t="n"/>
    </row>
    <row r="86">
      <c r="A86" s="40" t="inlineStr">
        <is>
          <t>출처</t>
        </is>
      </c>
      <c r="C86" s="39" t="n"/>
      <c r="O86" s="39" t="n"/>
      <c r="Y86" s="39" t="n"/>
    </row>
    <row r="87">
      <c r="A87" s="41" t="inlineStr">
        <is>
          <t>결산단신 XBRL(TDnet·JPX 보관소) — 쓴 문서는 '출처' 시트</t>
        </is>
      </c>
      <c r="C87" s="39" t="n"/>
      <c r="O87" s="39" t="n"/>
      <c r="Y87" s="39" t="n"/>
    </row>
    <row r="88">
      <c r="A88" s="41" t="inlineStr">
        <is>
          <t>분기 = 누계에서 앞 분기를 뺀 3개월 값</t>
        </is>
      </c>
      <c r="C88" s="39" t="n"/>
      <c r="O88" s="39" t="n"/>
      <c r="Y88" s="39" t="n"/>
    </row>
    <row r="89">
      <c r="A89" s="41" t="inlineStr">
        <is>
          <t>주가: 야후 파이낸스 일봉 2026.10.28</t>
        </is>
      </c>
      <c r="C89" s="39" t="n"/>
      <c r="O89" s="39" t="n"/>
      <c r="Y89" s="39" t="n"/>
    </row>
    <row r="91">
      <c r="A91" s="16" t="inlineStr">
        <is>
          <t>손익계산서 · 전 항목</t>
        </is>
      </c>
      <c r="B91" s="42" t="inlineStr">
        <is>
          <t>분기 = 3개월 단독</t>
        </is>
      </c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</row>
    <row r="92">
      <c r="A92" s="5" t="inlineStr">
        <is>
          <t>항목</t>
        </is>
      </c>
      <c r="B92" s="5" t="inlineStr">
        <is>
          <t>참고</t>
        </is>
      </c>
      <c r="C92" s="5" t="inlineStr">
        <is>
          <t>2024.2Q</t>
        </is>
      </c>
      <c r="D92" s="5" t="inlineStr">
        <is>
          <t>2024.3Q</t>
        </is>
      </c>
      <c r="E92" s="5" t="inlineStr">
        <is>
          <t>2024.4Q</t>
        </is>
      </c>
      <c r="F92" s="5" t="inlineStr">
        <is>
          <t>2025.1Q</t>
        </is>
      </c>
      <c r="G92" s="5" t="inlineStr">
        <is>
          <t>2025.2Q</t>
        </is>
      </c>
      <c r="H92" s="5" t="inlineStr">
        <is>
          <t>2025.3Q</t>
        </is>
      </c>
      <c r="I92" s="5" t="inlineStr">
        <is>
          <t>2025.4Q</t>
        </is>
      </c>
      <c r="J92" s="5" t="inlineStr">
        <is>
          <t>2026.1Q</t>
        </is>
      </c>
      <c r="K92" s="5" t="inlineStr">
        <is>
          <t>2026.2Q</t>
        </is>
      </c>
      <c r="L92" s="5" t="inlineStr">
        <is>
          <t>2026.3Q</t>
        </is>
      </c>
      <c r="M92" s="5" t="inlineStr">
        <is>
          <t>2026.4Q</t>
        </is>
      </c>
      <c r="N92" s="5" t="inlineStr">
        <is>
          <t>2027.1Q</t>
        </is>
      </c>
      <c r="O92" s="5" t="inlineStr">
        <is>
          <t>2017</t>
        </is>
      </c>
      <c r="P92" s="5" t="inlineStr">
        <is>
          <t>2018</t>
        </is>
      </c>
      <c r="Q92" s="5" t="inlineStr">
        <is>
          <t>2019</t>
        </is>
      </c>
      <c r="R92" s="5" t="inlineStr">
        <is>
          <t>2020</t>
        </is>
      </c>
      <c r="S92" s="5" t="inlineStr">
        <is>
          <t>2021</t>
        </is>
      </c>
      <c r="T92" s="5" t="inlineStr">
        <is>
          <t>2022</t>
        </is>
      </c>
      <c r="U92" s="5" t="inlineStr">
        <is>
          <t>2023</t>
        </is>
      </c>
      <c r="V92" s="5" t="inlineStr">
        <is>
          <t>2024</t>
        </is>
      </c>
      <c r="W92" s="5" t="inlineStr">
        <is>
          <t>2025</t>
        </is>
      </c>
      <c r="X92" s="5" t="inlineStr">
        <is>
          <t>2026</t>
        </is>
      </c>
      <c r="Y92" s="5" t="inlineStr">
        <is>
          <t>2027(MW)</t>
        </is>
      </c>
      <c r="Z92" s="5" t="inlineStr">
        <is>
          <t>2028(MW)</t>
        </is>
      </c>
      <c r="AA92" s="5" t="inlineStr">
        <is>
          <t>2029(MW)</t>
        </is>
      </c>
      <c r="AB92" s="5" t="inlineStr">
        <is>
          <t>2030(MW)</t>
        </is>
      </c>
      <c r="AC92" s="5" t="inlineStr">
        <is>
          <t>2031(MW)</t>
        </is>
      </c>
    </row>
    <row r="93">
      <c r="A93" s="9" t="inlineStr">
        <is>
          <t>매출액</t>
        </is>
      </c>
      <c r="C93" s="12" t="n">
        <v>6203.6</v>
      </c>
      <c r="D93" s="12" t="n">
        <v>8054.539</v>
      </c>
      <c r="E93" s="12" t="n">
        <v>8828.164000000001</v>
      </c>
      <c r="F93" s="12" t="n">
        <v>7609.105</v>
      </c>
      <c r="G93" s="12" t="n">
        <v>7230.247</v>
      </c>
      <c r="H93" s="12" t="n">
        <v>8554.617</v>
      </c>
      <c r="I93" s="12" t="n">
        <v>10024.635</v>
      </c>
      <c r="J93" s="12" t="n">
        <v>7892.435</v>
      </c>
      <c r="K93" s="12" t="n">
        <v>7057.969</v>
      </c>
      <c r="L93" s="12" t="n">
        <v>8350.628000000001</v>
      </c>
      <c r="M93" s="12" t="n">
        <v>9396.59</v>
      </c>
      <c r="N93" s="12" t="n">
        <v>9073.216</v>
      </c>
      <c r="T93" s="12" t="n">
        <v>8305.946</v>
      </c>
      <c r="U93" s="12" t="n">
        <v>8737.879000000001</v>
      </c>
      <c r="V93" s="12" t="n">
        <v>8828.164000000001</v>
      </c>
      <c r="W93" s="12" t="n">
        <v>10024.635</v>
      </c>
      <c r="X93" s="12" t="n">
        <v>9396.59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매출원가</t>
        </is>
      </c>
      <c r="C95" s="20" t="n">
        <v>3989.391</v>
      </c>
      <c r="D95" s="20" t="n">
        <v>5513.786</v>
      </c>
      <c r="E95" s="20" t="n">
        <v>5977.483</v>
      </c>
      <c r="F95" s="20" t="n">
        <v>5147.919</v>
      </c>
      <c r="G95" s="20" t="n">
        <v>4957.678</v>
      </c>
      <c r="H95" s="20" t="n">
        <v>6050.801</v>
      </c>
      <c r="I95" s="20" t="n">
        <v>7031.68</v>
      </c>
      <c r="J95" s="20" t="n">
        <v>5315.893</v>
      </c>
      <c r="K95" s="20" t="n">
        <v>4722.365</v>
      </c>
      <c r="L95" s="20" t="n">
        <v>5752.888</v>
      </c>
      <c r="M95" s="20" t="n">
        <v>6388.236</v>
      </c>
      <c r="N95" s="20" t="n">
        <v>6269.601</v>
      </c>
      <c r="T95" s="20" t="n">
        <v>5779.905</v>
      </c>
      <c r="U95" s="20" t="n">
        <v>5913.218</v>
      </c>
      <c r="V95" s="20" t="n">
        <v>5977.483</v>
      </c>
      <c r="W95" s="20" t="n">
        <v>7031.68</v>
      </c>
      <c r="X95" s="20" t="n">
        <v>6388.236</v>
      </c>
    </row>
    <row r="96">
      <c r="A96" s="43" t="inlineStr">
        <is>
          <t>YoY</t>
        </is>
      </c>
      <c r="B96" s="3" t="inlineStr">
        <is>
          <t>전년 같은 분기·전년 대비</t>
        </is>
      </c>
      <c r="G96" s="15">
        <f>IF(OR(G95="",C95=""),"",IF(G95*C95&lt;=0,"",IFERROR(G95/C95-1,"")))</f>
        <v/>
      </c>
      <c r="H96" s="15">
        <f>IF(OR(H95="",D95=""),"",IF(H95*D95&lt;=0,"",IFERROR(H95/D95-1,"")))</f>
        <v/>
      </c>
      <c r="I96" s="15">
        <f>IF(OR(I95="",E95=""),"",IF(I95*E95&lt;=0,"",IFERROR(I95/E95-1,"")))</f>
        <v/>
      </c>
      <c r="J96" s="15">
        <f>IF(OR(J95="",F95=""),"",IF(J95*F95&lt;=0,"",IFERROR(J95/F95-1,"")))</f>
        <v/>
      </c>
      <c r="K96" s="15">
        <f>IF(OR(K95="",G95=""),"",IF(K95*G95&lt;=0,"",IFERROR(K95/G95-1,"")))</f>
        <v/>
      </c>
      <c r="L96" s="15">
        <f>IF(OR(L95="",H95=""),"",IF(L95*H95&lt;=0,"",IFERROR(L95/H95-1,"")))</f>
        <v/>
      </c>
      <c r="M96" s="15">
        <f>IF(OR(M95="",I95=""),"",IF(M95*I95&lt;=0,"",IFERROR(M95/I95-1,"")))</f>
        <v/>
      </c>
      <c r="N96" s="15">
        <f>IF(OR(N95="",J95=""),"",IF(N95*J95&lt;=0,"",IFERROR(N95/J95-1,"")))</f>
        <v/>
      </c>
      <c r="T96" s="15">
        <f>IF(OR(T95="",S95=""),"",IF(T95*S95&lt;=0,"",IFERROR(T95/S95-1,"")))</f>
        <v/>
      </c>
      <c r="U96" s="15">
        <f>IF(OR(U95="",T95=""),"",IF(U95*T95&lt;=0,"",IFERROR(U95/T95-1,"")))</f>
        <v/>
      </c>
      <c r="V96" s="15">
        <f>IF(OR(V95="",U95=""),"",IF(V95*U95&lt;=0,"",IFERROR(V95/U95-1,"")))</f>
        <v/>
      </c>
      <c r="W96" s="15">
        <f>IF(OR(W95="",V95=""),"",IF(W95*V95&lt;=0,"",IFERROR(W95/V95-1,"")))</f>
        <v/>
      </c>
      <c r="X96" s="15">
        <f>IF(OR(X95="",W95=""),"",IF(X95*W95&lt;=0,"",IFERROR(X95/W95-1,"")))</f>
        <v/>
      </c>
    </row>
    <row r="97">
      <c r="A97" s="9" t="inlineStr">
        <is>
          <t>매출총이익</t>
        </is>
      </c>
      <c r="C97" s="12" t="n">
        <v>2214.209</v>
      </c>
      <c r="D97" s="12" t="n">
        <v>2540.753</v>
      </c>
      <c r="E97" s="12" t="n">
        <v>2850.68</v>
      </c>
      <c r="F97" s="12" t="n">
        <v>2461.185</v>
      </c>
      <c r="G97" s="12" t="n">
        <v>2272.569</v>
      </c>
      <c r="H97" s="12" t="n">
        <v>2503.817</v>
      </c>
      <c r="I97" s="12" t="n">
        <v>2992.954</v>
      </c>
      <c r="J97" s="12" t="n">
        <v>2576.541</v>
      </c>
      <c r="K97" s="12" t="n">
        <v>2335.605</v>
      </c>
      <c r="L97" s="12" t="n">
        <v>2597.739</v>
      </c>
      <c r="M97" s="12" t="n">
        <v>3008.355</v>
      </c>
      <c r="N97" s="12" t="n">
        <v>2803.615</v>
      </c>
      <c r="T97" s="12" t="n">
        <v>2526.04</v>
      </c>
      <c r="U97" s="12" t="n">
        <v>2824.661</v>
      </c>
      <c r="V97" s="12" t="n">
        <v>2850.68</v>
      </c>
      <c r="W97" s="12" t="n">
        <v>2992.954</v>
      </c>
      <c r="X97" s="12" t="n">
        <v>3008.355</v>
      </c>
    </row>
    <row r="98">
      <c r="A98" s="43" t="inlineStr">
        <is>
          <t>YoY</t>
        </is>
      </c>
      <c r="B98" s="3" t="inlineStr">
        <is>
          <t>전년 같은 분기·전년 대비</t>
        </is>
      </c>
      <c r="G98" s="15">
        <f>IF(OR(G97="",C97=""),"",IF(C97&lt;=0,"",IFERROR(G97/C97-1,"")))</f>
        <v/>
      </c>
      <c r="H98" s="15">
        <f>IF(OR(H97="",D97=""),"",IF(D97&lt;=0,"",IFERROR(H97/D97-1,"")))</f>
        <v/>
      </c>
      <c r="I98" s="15">
        <f>IF(OR(I97="",E97=""),"",IF(E97&lt;=0,"",IFERROR(I97/E97-1,"")))</f>
        <v/>
      </c>
      <c r="J98" s="15">
        <f>IF(OR(J97="",F97=""),"",IF(F97&lt;=0,"",IFERROR(J97/F97-1,"")))</f>
        <v/>
      </c>
      <c r="K98" s="15">
        <f>IF(OR(K97="",G97=""),"",IF(G97&lt;=0,"",IFERROR(K97/G97-1,"")))</f>
        <v/>
      </c>
      <c r="L98" s="15">
        <f>IF(OR(L97="",H97=""),"",IF(H97&lt;=0,"",IFERROR(L97/H97-1,"")))</f>
        <v/>
      </c>
      <c r="M98" s="15">
        <f>IF(OR(M97="",I97=""),"",IF(I97&lt;=0,"",IFERROR(M97/I97-1,"")))</f>
        <v/>
      </c>
      <c r="N98" s="15">
        <f>IF(OR(N97="",J97=""),"",IF(J97&lt;=0,"",IFERROR(N97/J97-1,"")))</f>
        <v/>
      </c>
      <c r="T98" s="15">
        <f>IF(OR(T97="",S97=""),"",IF(S97&lt;=0,"",IFERROR(T97/S97-1,"")))</f>
        <v/>
      </c>
      <c r="U98" s="15">
        <f>IF(OR(U97="",T97=""),"",IF(T97&lt;=0,"",IFERROR(U97/T97-1,"")))</f>
        <v/>
      </c>
      <c r="V98" s="15">
        <f>IF(OR(V97="",U97=""),"",IF(U97&lt;=0,"",IFERROR(V97/U97-1,"")))</f>
        <v/>
      </c>
      <c r="W98" s="15">
        <f>IF(OR(W97="",V97=""),"",IF(V97&lt;=0,"",IFERROR(W97/V97-1,"")))</f>
        <v/>
      </c>
      <c r="X98" s="15">
        <f>IF(OR(X97="",W97=""),"",IF(W97&lt;=0,"",IFERROR(X97/W97-1,"")))</f>
        <v/>
      </c>
    </row>
    <row r="99">
      <c r="A99" s="18" t="inlineStr">
        <is>
          <t>판매비와 관리비</t>
        </is>
      </c>
      <c r="C99" s="20" t="n">
        <v>2203.104</v>
      </c>
      <c r="D99" s="20" t="n">
        <v>2227.601</v>
      </c>
      <c r="E99" s="20" t="n">
        <v>2272.037</v>
      </c>
      <c r="F99" s="20" t="n">
        <v>2205.27</v>
      </c>
      <c r="G99" s="20" t="n">
        <v>2184.688</v>
      </c>
      <c r="H99" s="20" t="n">
        <v>2253.714</v>
      </c>
      <c r="I99" s="20" t="n">
        <v>2320.665</v>
      </c>
      <c r="J99" s="20" t="n">
        <v>2285.306</v>
      </c>
      <c r="K99" s="20" t="n">
        <v>2270.648</v>
      </c>
      <c r="L99" s="20" t="n">
        <v>2294.467</v>
      </c>
      <c r="M99" s="20" t="n">
        <v>2367.753</v>
      </c>
      <c r="N99" s="20" t="n">
        <v>2337.932</v>
      </c>
      <c r="T99" s="20" t="n">
        <v>2067.822</v>
      </c>
      <c r="U99" s="20" t="n">
        <v>2254.268</v>
      </c>
      <c r="V99" s="20" t="n">
        <v>2272.037</v>
      </c>
      <c r="W99" s="20" t="n">
        <v>2320.665</v>
      </c>
      <c r="X99" s="20" t="n">
        <v>2367.753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IF(OR(G99="",C99=""),"",IF(G99*C99&lt;=0,"",IFERROR(G99/C99-1,"")))</f>
        <v/>
      </c>
      <c r="H100" s="15">
        <f>IF(OR(H99="",D99=""),"",IF(H99*D99&lt;=0,"",IFERROR(H99/D99-1,"")))</f>
        <v/>
      </c>
      <c r="I100" s="15">
        <f>IF(OR(I99="",E99=""),"",IF(I99*E99&lt;=0,"",IFERROR(I99/E99-1,"")))</f>
        <v/>
      </c>
      <c r="J100" s="15">
        <f>IF(OR(J99="",F99=""),"",IF(J99*F99&lt;=0,"",IFERROR(J99/F99-1,"")))</f>
        <v/>
      </c>
      <c r="K100" s="15">
        <f>IF(OR(K99="",G99=""),"",IF(K99*G99&lt;=0,"",IFERROR(K99/G99-1,"")))</f>
        <v/>
      </c>
      <c r="L100" s="15">
        <f>IF(OR(L99="",H99=""),"",IF(L99*H99&lt;=0,"",IFERROR(L99/H99-1,"")))</f>
        <v/>
      </c>
      <c r="M100" s="15">
        <f>IF(OR(M99="",I99=""),"",IF(M99*I99&lt;=0,"",IFERROR(M99/I99-1,"")))</f>
        <v/>
      </c>
      <c r="N100" s="15">
        <f>IF(OR(N99="",J99=""),"",IF(N99*J99&lt;=0,"",IFERROR(N99/J99-1,"")))</f>
        <v/>
      </c>
      <c r="T100" s="15">
        <f>IF(OR(T99="",S99=""),"",IF(T99*S99&lt;=0,"",IFERROR(T99/S99-1,"")))</f>
        <v/>
      </c>
      <c r="U100" s="15">
        <f>IF(OR(U99="",T99=""),"",IF(U99*T99&lt;=0,"",IFERROR(U99/T99-1,"")))</f>
        <v/>
      </c>
      <c r="V100" s="15">
        <f>IF(OR(V99="",U99=""),"",IF(V99*U99&lt;=0,"",IFERROR(V99/U99-1,"")))</f>
        <v/>
      </c>
      <c r="W100" s="15">
        <f>IF(OR(W99="",V99=""),"",IF(W99*V99&lt;=0,"",IFERROR(W99/V99-1,"")))</f>
        <v/>
      </c>
      <c r="X100" s="15">
        <f>IF(OR(X99="",W99=""),"",IF(X99*W99&lt;=0,"",IFERROR(X99/W99-1,"")))</f>
        <v/>
      </c>
    </row>
    <row r="101">
      <c r="A101" s="9" t="inlineStr">
        <is>
          <t>영업이익</t>
        </is>
      </c>
      <c r="C101" s="12" t="n">
        <v>11.105</v>
      </c>
      <c r="D101" s="12" t="n">
        <v>313.152</v>
      </c>
      <c r="E101" s="12" t="n">
        <v>578.643</v>
      </c>
      <c r="F101" s="12" t="n">
        <v>255.914</v>
      </c>
      <c r="G101" s="12" t="n">
        <v>87.881</v>
      </c>
      <c r="H101" s="12" t="n">
        <v>250.103</v>
      </c>
      <c r="I101" s="12" t="n">
        <v>672.29</v>
      </c>
      <c r="J101" s="12" t="n">
        <v>291.235</v>
      </c>
      <c r="K101" s="12" t="n">
        <v>64.95699999999999</v>
      </c>
      <c r="L101" s="12" t="n">
        <v>303.272</v>
      </c>
      <c r="M101" s="12" t="n">
        <v>640.602</v>
      </c>
      <c r="N101" s="12" t="n">
        <v>465.682</v>
      </c>
      <c r="T101" s="12" t="n">
        <v>458.219</v>
      </c>
      <c r="U101" s="12" t="n">
        <v>570.393</v>
      </c>
      <c r="V101" s="12" t="n">
        <v>578.643</v>
      </c>
      <c r="W101" s="12" t="n">
        <v>672.29</v>
      </c>
      <c r="X101" s="12" t="n">
        <v>640.602</v>
      </c>
    </row>
    <row r="102">
      <c r="A102" s="43" t="inlineStr">
        <is>
          <t>OPM</t>
        </is>
      </c>
      <c r="B102" s="3" t="inlineStr">
        <is>
          <t>영업이익 ÷ 매출</t>
        </is>
      </c>
      <c r="C102" s="15">
        <f>IF(OR(C101="",C93=""),"",IF(C93&lt;=0,"",IFERROR(C101/C93,"")))</f>
        <v/>
      </c>
      <c r="D102" s="15">
        <f>IF(OR(D101="",D93=""),"",IF(D93&lt;=0,"",IFERROR(D101/D93,"")))</f>
        <v/>
      </c>
      <c r="E102" s="15">
        <f>IF(OR(E101="",E93=""),"",IF(E93&lt;=0,"",IFERROR(E101/E93,"")))</f>
        <v/>
      </c>
      <c r="F102" s="15">
        <f>IF(OR(F101="",F93=""),"",IF(F93&lt;=0,"",IFERROR(F101/F93,"")))</f>
        <v/>
      </c>
      <c r="G102" s="15">
        <f>IF(OR(G101="",G93=""),"",IF(G93&lt;=0,"",IFERROR(G101/G93,"")))</f>
        <v/>
      </c>
      <c r="H102" s="15">
        <f>IF(OR(H101="",H93=""),"",IF(H93&lt;=0,"",IFERROR(H101/H93,"")))</f>
        <v/>
      </c>
      <c r="I102" s="15">
        <f>IF(OR(I101="",I93=""),"",IF(I93&lt;=0,"",IFERROR(I101/I93,"")))</f>
        <v/>
      </c>
      <c r="J102" s="15">
        <f>IF(OR(J101="",J93=""),"",IF(J93&lt;=0,"",IFERROR(J101/J93,"")))</f>
        <v/>
      </c>
      <c r="K102" s="15">
        <f>IF(OR(K101="",K93=""),"",IF(K93&lt;=0,"",IFERROR(K101/K93,"")))</f>
        <v/>
      </c>
      <c r="L102" s="15">
        <f>IF(OR(L101="",L93=""),"",IF(L93&lt;=0,"",IFERROR(L101/L93,"")))</f>
        <v/>
      </c>
      <c r="M102" s="15">
        <f>IF(OR(M101="",M93=""),"",IF(M93&lt;=0,"",IFERROR(M101/M93,"")))</f>
        <v/>
      </c>
      <c r="N102" s="15">
        <f>IF(OR(N101="",N93=""),"",IF(N93&lt;=0,"",IFERROR(N101/N93,"")))</f>
        <v/>
      </c>
      <c r="T102" s="15">
        <f>IF(OR(T101="",T93=""),"",IF(T93&lt;=0,"",IFERROR(T101/T93,"")))</f>
        <v/>
      </c>
      <c r="U102" s="15">
        <f>IF(OR(U101="",U93=""),"",IF(U93&lt;=0,"",IFERROR(U101/U93,"")))</f>
        <v/>
      </c>
      <c r="V102" s="15">
        <f>IF(OR(V101="",V93=""),"",IF(V93&lt;=0,"",IFERROR(V101/V93,"")))</f>
        <v/>
      </c>
      <c r="W102" s="15">
        <f>IF(OR(W101="",W93=""),"",IF(W93&lt;=0,"",IFERROR(W101/W93,"")))</f>
        <v/>
      </c>
      <c r="X102" s="15">
        <f>IF(OR(X101="",X93=""),"",IF(X93&lt;=0,"",IFERROR(X101/X93,"")))</f>
        <v/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IF(OR(G101="",C101=""),"",IF(C101&lt;=0,"",IFERROR(G101/C101-1,"")))</f>
        <v/>
      </c>
      <c r="H103" s="15">
        <f>IF(OR(H101="",D101=""),"",IF(D101&lt;=0,"",IFERROR(H101/D101-1,"")))</f>
        <v/>
      </c>
      <c r="I103" s="15">
        <f>IF(OR(I101="",E101=""),"",IF(E101&lt;=0,"",IFERROR(I101/E101-1,"")))</f>
        <v/>
      </c>
      <c r="J103" s="15">
        <f>IF(OR(J101="",F101=""),"",IF(F101&lt;=0,"",IFERROR(J101/F101-1,"")))</f>
        <v/>
      </c>
      <c r="K103" s="15">
        <f>IF(OR(K101="",G101=""),"",IF(G101&lt;=0,"",IFERROR(K101/G101-1,"")))</f>
        <v/>
      </c>
      <c r="L103" s="15">
        <f>IF(OR(L101="",H101=""),"",IF(H101&lt;=0,"",IFERROR(L101/H101-1,"")))</f>
        <v/>
      </c>
      <c r="M103" s="15">
        <f>IF(OR(M101="",I101=""),"",IF(I101&lt;=0,"",IFERROR(M101/I101-1,"")))</f>
        <v/>
      </c>
      <c r="N103" s="15">
        <f>IF(OR(N101="",J101=""),"",IF(J101&lt;=0,"",IFERROR(N101/J101-1,"")))</f>
        <v/>
      </c>
      <c r="T103" s="15">
        <f>IF(OR(T101="",S101=""),"",IF(S101&lt;=0,"",IFERROR(T101/S101-1,"")))</f>
        <v/>
      </c>
      <c r="U103" s="15">
        <f>IF(OR(U101="",T101=""),"",IF(T101&lt;=0,"",IFERROR(U101/T101-1,"")))</f>
        <v/>
      </c>
      <c r="V103" s="15">
        <f>IF(OR(V101="",U101=""),"",IF(U101&lt;=0,"",IFERROR(V101/U101-1,"")))</f>
        <v/>
      </c>
      <c r="W103" s="15">
        <f>IF(OR(W101="",V101=""),"",IF(V101&lt;=0,"",IFERROR(W101/V101-1,"")))</f>
        <v/>
      </c>
      <c r="X103" s="15">
        <f>IF(OR(X101="",W101=""),"",IF(W101&lt;=0,"",IFERROR(X101/W101-1,"")))</f>
        <v/>
      </c>
    </row>
    <row r="104">
      <c r="A104" s="18" t="inlineStr">
        <is>
          <t>이자수익</t>
        </is>
      </c>
      <c r="C104" s="20" t="n">
        <v>0.108</v>
      </c>
      <c r="D104" s="20" t="n">
        <v>0.001</v>
      </c>
      <c r="E104" s="20" t="n">
        <v>0.007</v>
      </c>
      <c r="F104" s="20" t="n">
        <v>0.004</v>
      </c>
      <c r="G104" s="20" t="n">
        <v>0.082</v>
      </c>
      <c r="H104" s="20" t="n">
        <v>0.025</v>
      </c>
      <c r="I104" s="20" t="n">
        <v>0.07000000000000001</v>
      </c>
      <c r="J104" s="20" t="n">
        <v>0.152</v>
      </c>
      <c r="K104" s="20" t="n">
        <v>0.261</v>
      </c>
      <c r="L104" s="20" t="n">
        <v>0.261</v>
      </c>
      <c r="M104" s="20" t="n">
        <v>0.25</v>
      </c>
      <c r="N104" s="20" t="n">
        <v>0.495</v>
      </c>
      <c r="T104" s="20" t="n">
        <v>0.016</v>
      </c>
      <c r="U104" s="20" t="n">
        <v>0.051</v>
      </c>
      <c r="V104" s="20" t="n">
        <v>0.007</v>
      </c>
      <c r="W104" s="20" t="n">
        <v>0.07000000000000001</v>
      </c>
      <c r="X104" s="20" t="n">
        <v>0.25</v>
      </c>
    </row>
    <row r="105">
      <c r="A105" s="18" t="inlineStr">
        <is>
          <t>배당금수익</t>
        </is>
      </c>
      <c r="C105" s="20" t="n">
        <v>0.827</v>
      </c>
      <c r="D105" s="20" t="n">
        <v>1.744</v>
      </c>
      <c r="E105" s="20" t="n">
        <v>0.429</v>
      </c>
      <c r="F105" s="20" t="n">
        <v>12.723</v>
      </c>
      <c r="G105" s="20" t="n">
        <v>0.958</v>
      </c>
      <c r="H105" s="20" t="n">
        <v>2.233</v>
      </c>
      <c r="I105" s="20" t="n">
        <v>0.655</v>
      </c>
      <c r="J105" s="20" t="n">
        <v>16.292</v>
      </c>
      <c r="K105" s="20" t="n">
        <v>2.078</v>
      </c>
      <c r="L105" s="20" t="n">
        <v>2.915</v>
      </c>
      <c r="M105" s="20" t="n">
        <v>0.769</v>
      </c>
      <c r="N105" s="20" t="n">
        <v>24.131</v>
      </c>
      <c r="T105" s="20" t="n">
        <v>0.828</v>
      </c>
      <c r="U105" s="20" t="n">
        <v>0.514</v>
      </c>
      <c r="V105" s="20" t="n">
        <v>0.429</v>
      </c>
      <c r="W105" s="20" t="n">
        <v>0.655</v>
      </c>
      <c r="X105" s="20" t="n">
        <v>0.769</v>
      </c>
    </row>
    <row r="106">
      <c r="A106" s="18" t="inlineStr">
        <is>
          <t>임대료 수익</t>
        </is>
      </c>
      <c r="C106" s="20" t="n">
        <v>6.569</v>
      </c>
      <c r="D106" s="20" t="n">
        <v>6.548</v>
      </c>
      <c r="E106" s="20" t="n">
        <v>6.569</v>
      </c>
      <c r="F106" s="20" t="n">
        <v>6.731</v>
      </c>
      <c r="G106" s="20" t="n">
        <v>6.578</v>
      </c>
      <c r="H106" s="20" t="n">
        <v>6.579</v>
      </c>
      <c r="I106" s="20" t="n">
        <v>6.598</v>
      </c>
      <c r="J106" s="20" t="n">
        <v>6.578</v>
      </c>
      <c r="K106" s="20" t="n">
        <v>6.558</v>
      </c>
      <c r="L106" s="20" t="n">
        <v>6.129</v>
      </c>
      <c r="M106" s="20" t="n">
        <v>6.608</v>
      </c>
      <c r="N106" s="20" t="n">
        <v>7.208</v>
      </c>
      <c r="T106" s="20" t="n">
        <v>1.85</v>
      </c>
      <c r="U106" s="20" t="n">
        <v>6.248</v>
      </c>
      <c r="V106" s="20" t="n">
        <v>6.569</v>
      </c>
      <c r="W106" s="20" t="n">
        <v>6.598</v>
      </c>
      <c r="X106" s="20" t="n">
        <v>6.608</v>
      </c>
    </row>
    <row r="107">
      <c r="A107" s="18" t="inlineStr">
        <is>
          <t>보험 해약환급금</t>
        </is>
      </c>
      <c r="J107" s="20" t="n">
        <v>0</v>
      </c>
      <c r="N107" s="20" t="n">
        <v>14.347</v>
      </c>
    </row>
    <row r="108">
      <c r="A108" s="18" t="inlineStr">
        <is>
          <t>기타</t>
        </is>
      </c>
      <c r="C108" s="20" t="n">
        <v>20.28</v>
      </c>
      <c r="D108" s="20" t="n">
        <v>32.329</v>
      </c>
      <c r="E108" s="20" t="n">
        <v>20.671</v>
      </c>
      <c r="F108" s="20" t="n">
        <v>11.627</v>
      </c>
      <c r="G108" s="20" t="n">
        <v>19.218</v>
      </c>
      <c r="H108" s="20" t="n">
        <v>11.094</v>
      </c>
      <c r="I108" s="20" t="n">
        <v>14.625</v>
      </c>
      <c r="J108" s="20" t="n">
        <v>8.823</v>
      </c>
      <c r="K108" s="20" t="n">
        <v>16.725</v>
      </c>
      <c r="L108" s="20" t="n">
        <v>17.389</v>
      </c>
      <c r="M108" s="20" t="n">
        <v>15.535</v>
      </c>
      <c r="N108" s="20" t="n">
        <v>16.463</v>
      </c>
      <c r="T108" s="20" t="n">
        <v>14.871</v>
      </c>
      <c r="U108" s="20" t="n">
        <v>13.853</v>
      </c>
      <c r="V108" s="20" t="n">
        <v>20.671</v>
      </c>
      <c r="W108" s="20" t="n">
        <v>14.625</v>
      </c>
      <c r="X108" s="20" t="n">
        <v>15.535</v>
      </c>
    </row>
    <row r="109">
      <c r="A109" s="18" t="inlineStr">
        <is>
          <t>영업외수익 합계</t>
        </is>
      </c>
      <c r="C109" s="20" t="n">
        <v>27.782</v>
      </c>
      <c r="D109" s="20" t="n">
        <v>40.622</v>
      </c>
      <c r="E109" s="20" t="n">
        <v>35.546</v>
      </c>
      <c r="F109" s="20" t="n">
        <v>31.087</v>
      </c>
      <c r="G109" s="20" t="n">
        <v>26.836</v>
      </c>
      <c r="H109" s="20" t="n">
        <v>19.931</v>
      </c>
      <c r="I109" s="20" t="n">
        <v>32.718</v>
      </c>
      <c r="J109" s="20" t="n">
        <v>31.845</v>
      </c>
      <c r="K109" s="20" t="n">
        <v>25.623</v>
      </c>
      <c r="L109" s="20" t="n">
        <v>26.693</v>
      </c>
      <c r="M109" s="20" t="n">
        <v>39.017</v>
      </c>
      <c r="N109" s="20" t="n">
        <v>62.646</v>
      </c>
      <c r="T109" s="20" t="n">
        <v>23.78</v>
      </c>
      <c r="U109" s="20" t="n">
        <v>29.291</v>
      </c>
      <c r="V109" s="20" t="n">
        <v>35.546</v>
      </c>
      <c r="W109" s="20" t="n">
        <v>32.718</v>
      </c>
      <c r="X109" s="20" t="n">
        <v>39.017</v>
      </c>
    </row>
    <row r="110">
      <c r="A110" s="43" t="inlineStr">
        <is>
          <t>YoY</t>
        </is>
      </c>
      <c r="B110" s="3" t="inlineStr">
        <is>
          <t>전년 같은 분기·전년 대비</t>
        </is>
      </c>
      <c r="G110" s="15">
        <f>IF(OR(G109="",C109=""),"",IF(G109*C109&lt;=0,"",IFERROR(G109/C109-1,"")))</f>
        <v/>
      </c>
      <c r="H110" s="15">
        <f>IF(OR(H109="",D109=""),"",IF(H109*D109&lt;=0,"",IFERROR(H109/D109-1,"")))</f>
        <v/>
      </c>
      <c r="I110" s="15">
        <f>IF(OR(I109="",E109=""),"",IF(I109*E109&lt;=0,"",IFERROR(I109/E109-1,"")))</f>
        <v/>
      </c>
      <c r="J110" s="15">
        <f>IF(OR(J109="",F109=""),"",IF(J109*F109&lt;=0,"",IFERROR(J109/F109-1,"")))</f>
        <v/>
      </c>
      <c r="K110" s="15">
        <f>IF(OR(K109="",G109=""),"",IF(K109*G109&lt;=0,"",IFERROR(K109/G109-1,"")))</f>
        <v/>
      </c>
      <c r="L110" s="15">
        <f>IF(OR(L109="",H109=""),"",IF(L109*H109&lt;=0,"",IFERROR(L109/H109-1,"")))</f>
        <v/>
      </c>
      <c r="M110" s="15">
        <f>IF(OR(M109="",I109=""),"",IF(M109*I109&lt;=0,"",IFERROR(M109/I109-1,"")))</f>
        <v/>
      </c>
      <c r="N110" s="15">
        <f>IF(OR(N109="",J109=""),"",IF(N109*J109&lt;=0,"",IFERROR(N109/J109-1,"")))</f>
        <v/>
      </c>
      <c r="T110" s="15">
        <f>IF(OR(T109="",S109=""),"",IF(T109*S109&lt;=0,"",IFERROR(T109/S109-1,"")))</f>
        <v/>
      </c>
      <c r="U110" s="15">
        <f>IF(OR(U109="",T109=""),"",IF(U109*T109&lt;=0,"",IFERROR(U109/T109-1,"")))</f>
        <v/>
      </c>
      <c r="V110" s="15">
        <f>IF(OR(V109="",U109=""),"",IF(V109*U109&lt;=0,"",IFERROR(V109/U109-1,"")))</f>
        <v/>
      </c>
      <c r="W110" s="15">
        <f>IF(OR(W109="",V109=""),"",IF(W109*V109&lt;=0,"",IFERROR(W109/V109-1,"")))</f>
        <v/>
      </c>
      <c r="X110" s="15">
        <f>IF(OR(X109="",W109=""),"",IF(X109*W109&lt;=0,"",IFERROR(X109/W109-1,"")))</f>
        <v/>
      </c>
    </row>
    <row r="111">
      <c r="A111" s="18" t="inlineStr">
        <is>
          <t>이자비용</t>
        </is>
      </c>
      <c r="C111" s="20" t="n">
        <v>2.17</v>
      </c>
      <c r="D111" s="20" t="n">
        <v>2.557</v>
      </c>
      <c r="E111" s="20" t="n">
        <v>1.995</v>
      </c>
      <c r="F111" s="20" t="n">
        <v>2.072</v>
      </c>
      <c r="G111" s="20" t="n">
        <v>2.123</v>
      </c>
      <c r="H111" s="20" t="n">
        <v>2.004</v>
      </c>
      <c r="I111" s="20" t="n">
        <v>1.974</v>
      </c>
      <c r="J111" s="20" t="n">
        <v>1.901</v>
      </c>
      <c r="K111" s="20" t="n">
        <v>2.557</v>
      </c>
      <c r="L111" s="20" t="n">
        <v>2.778</v>
      </c>
      <c r="M111" s="20" t="n">
        <v>3.266</v>
      </c>
      <c r="N111" s="20" t="n">
        <v>3.112</v>
      </c>
      <c r="T111" s="20" t="n">
        <v>1.941</v>
      </c>
      <c r="U111" s="20" t="n">
        <v>2.185</v>
      </c>
      <c r="V111" s="20" t="n">
        <v>1.995</v>
      </c>
      <c r="W111" s="20" t="n">
        <v>1.974</v>
      </c>
      <c r="X111" s="20" t="n">
        <v>3.266</v>
      </c>
    </row>
    <row r="112">
      <c r="A112" s="18" t="inlineStr">
        <is>
          <t>Rent Expenses On Real Estates NOE</t>
        </is>
      </c>
      <c r="C112" s="20" t="n">
        <v>2.032</v>
      </c>
      <c r="D112" s="20" t="n">
        <v>2.033</v>
      </c>
      <c r="E112" s="20" t="n">
        <v>2.178</v>
      </c>
      <c r="F112" s="20" t="n">
        <v>2.024</v>
      </c>
      <c r="G112" s="20" t="n">
        <v>2.024</v>
      </c>
      <c r="H112" s="20" t="n">
        <v>2.024</v>
      </c>
      <c r="I112" s="20" t="n">
        <v>2.17</v>
      </c>
      <c r="J112" s="20" t="n">
        <v>2.035</v>
      </c>
      <c r="K112" s="20" t="n">
        <v>2.035</v>
      </c>
      <c r="L112" s="20" t="n">
        <v>2.036</v>
      </c>
      <c r="M112" s="20" t="n">
        <v>2.11</v>
      </c>
      <c r="N112" s="20" t="n">
        <v>2.029</v>
      </c>
      <c r="T112" s="20" t="n">
        <v>0</v>
      </c>
      <c r="U112" s="20" t="n">
        <v>1.951</v>
      </c>
      <c r="V112" s="20" t="n">
        <v>2.178</v>
      </c>
      <c r="W112" s="20" t="n">
        <v>2.17</v>
      </c>
      <c r="X112" s="20" t="n">
        <v>2.11</v>
      </c>
    </row>
    <row r="113">
      <c r="A113" s="18" t="inlineStr">
        <is>
          <t>기타</t>
        </is>
      </c>
      <c r="C113" s="20" t="n">
        <v>0.964</v>
      </c>
      <c r="D113" s="20" t="n">
        <v>2.025</v>
      </c>
      <c r="E113" s="20" t="n">
        <v>1.513</v>
      </c>
      <c r="F113" s="20" t="n">
        <v>0.802</v>
      </c>
      <c r="G113" s="20" t="n">
        <v>0.163</v>
      </c>
      <c r="H113" s="20" t="n">
        <v>0.727</v>
      </c>
      <c r="I113" s="20" t="n">
        <v>1.67</v>
      </c>
      <c r="J113" s="20" t="n">
        <v>1.299</v>
      </c>
      <c r="K113" s="20" t="n">
        <v>1.146</v>
      </c>
      <c r="L113" s="20" t="n">
        <v>0.96</v>
      </c>
      <c r="M113" s="20" t="n">
        <v>0.103</v>
      </c>
      <c r="N113" s="20" t="n">
        <v>0.035</v>
      </c>
      <c r="T113" s="20" t="n">
        <v>2.781</v>
      </c>
      <c r="U113" s="20" t="n">
        <v>1.259</v>
      </c>
      <c r="V113" s="20" t="n">
        <v>1.513</v>
      </c>
      <c r="W113" s="20" t="n">
        <v>1.67</v>
      </c>
      <c r="X113" s="20" t="n">
        <v>0.103</v>
      </c>
    </row>
    <row r="114">
      <c r="A114" s="18" t="inlineStr">
        <is>
          <t>영업외비용 합계</t>
        </is>
      </c>
      <c r="C114" s="20" t="n">
        <v>5.166</v>
      </c>
      <c r="D114" s="20" t="n">
        <v>6.614</v>
      </c>
      <c r="E114" s="20" t="n">
        <v>5.687</v>
      </c>
      <c r="F114" s="20" t="n">
        <v>4.899</v>
      </c>
      <c r="G114" s="20" t="n">
        <v>4.31</v>
      </c>
      <c r="H114" s="20" t="n">
        <v>4.755</v>
      </c>
      <c r="I114" s="20" t="n">
        <v>5.813</v>
      </c>
      <c r="J114" s="20" t="n">
        <v>5.235</v>
      </c>
      <c r="K114" s="20" t="n">
        <v>5.739</v>
      </c>
      <c r="L114" s="20" t="n">
        <v>5.774</v>
      </c>
      <c r="M114" s="20" t="n">
        <v>5.479</v>
      </c>
      <c r="N114" s="20" t="n">
        <v>5.178</v>
      </c>
      <c r="T114" s="20" t="n">
        <v>4.723</v>
      </c>
      <c r="U114" s="20" t="n">
        <v>5.395</v>
      </c>
      <c r="V114" s="20" t="n">
        <v>5.687</v>
      </c>
      <c r="W114" s="20" t="n">
        <v>5.813</v>
      </c>
      <c r="X114" s="20" t="n">
        <v>5.479</v>
      </c>
    </row>
    <row r="115">
      <c r="A115" s="43" t="inlineStr">
        <is>
          <t>YoY</t>
        </is>
      </c>
      <c r="B115" s="3" t="inlineStr">
        <is>
          <t>전년 같은 분기·전년 대비</t>
        </is>
      </c>
      <c r="G115" s="15">
        <f>IF(OR(G114="",C114=""),"",IF(G114*C114&lt;=0,"",IFERROR(G114/C114-1,"")))</f>
        <v/>
      </c>
      <c r="H115" s="15">
        <f>IF(OR(H114="",D114=""),"",IF(H114*D114&lt;=0,"",IFERROR(H114/D114-1,"")))</f>
        <v/>
      </c>
      <c r="I115" s="15">
        <f>IF(OR(I114="",E114=""),"",IF(I114*E114&lt;=0,"",IFERROR(I114/E114-1,"")))</f>
        <v/>
      </c>
      <c r="J115" s="15">
        <f>IF(OR(J114="",F114=""),"",IF(J114*F114&lt;=0,"",IFERROR(J114/F114-1,"")))</f>
        <v/>
      </c>
      <c r="K115" s="15">
        <f>IF(OR(K114="",G114=""),"",IF(K114*G114&lt;=0,"",IFERROR(K114/G114-1,"")))</f>
        <v/>
      </c>
      <c r="L115" s="15">
        <f>IF(OR(L114="",H114=""),"",IF(L114*H114&lt;=0,"",IFERROR(L114/H114-1,"")))</f>
        <v/>
      </c>
      <c r="M115" s="15">
        <f>IF(OR(M114="",I114=""),"",IF(M114*I114&lt;=0,"",IFERROR(M114/I114-1,"")))</f>
        <v/>
      </c>
      <c r="N115" s="15">
        <f>IF(OR(N114="",J114=""),"",IF(N114*J114&lt;=0,"",IFERROR(N114/J114-1,"")))</f>
        <v/>
      </c>
      <c r="T115" s="15">
        <f>IF(OR(T114="",S114=""),"",IF(T114*S114&lt;=0,"",IFERROR(T114/S114-1,"")))</f>
        <v/>
      </c>
      <c r="U115" s="15">
        <f>IF(OR(U114="",T114=""),"",IF(U114*T114&lt;=0,"",IFERROR(U114/T114-1,"")))</f>
        <v/>
      </c>
      <c r="V115" s="15">
        <f>IF(OR(V114="",U114=""),"",IF(V114*U114&lt;=0,"",IFERROR(V114/U114-1,"")))</f>
        <v/>
      </c>
      <c r="W115" s="15">
        <f>IF(OR(W114="",V114=""),"",IF(W114*V114&lt;=0,"",IFERROR(W114/V114-1,"")))</f>
        <v/>
      </c>
      <c r="X115" s="15">
        <f>IF(OR(X114="",W114=""),"",IF(X114*W114&lt;=0,"",IFERROR(X114/W114-1,"")))</f>
        <v/>
      </c>
    </row>
    <row r="116">
      <c r="A116" s="9" t="inlineStr">
        <is>
          <t>경상이익</t>
        </is>
      </c>
      <c r="C116" s="12" t="n">
        <v>33.721</v>
      </c>
      <c r="D116" s="12" t="n">
        <v>347.161</v>
      </c>
      <c r="E116" s="12" t="n">
        <v>608.501</v>
      </c>
      <c r="F116" s="12" t="n">
        <v>282.102</v>
      </c>
      <c r="G116" s="12" t="n">
        <v>110.407</v>
      </c>
      <c r="H116" s="12" t="n">
        <v>265.279</v>
      </c>
      <c r="I116" s="12" t="n">
        <v>699.194</v>
      </c>
      <c r="J116" s="12" t="n">
        <v>317.845</v>
      </c>
      <c r="K116" s="12" t="n">
        <v>84.84099999999999</v>
      </c>
      <c r="L116" s="12" t="n">
        <v>324.192</v>
      </c>
      <c r="M116" s="12" t="n">
        <v>674.139</v>
      </c>
      <c r="N116" s="12" t="n">
        <v>523.15</v>
      </c>
      <c r="T116" s="12" t="n">
        <v>477.276</v>
      </c>
      <c r="U116" s="12" t="n">
        <v>594.289</v>
      </c>
      <c r="V116" s="12" t="n">
        <v>608.501</v>
      </c>
      <c r="W116" s="12" t="n">
        <v>699.194</v>
      </c>
      <c r="X116" s="12" t="n">
        <v>674.139</v>
      </c>
    </row>
    <row r="117">
      <c r="A117" s="43" t="inlineStr">
        <is>
          <t>YoY</t>
        </is>
      </c>
      <c r="B117" s="3" t="inlineStr">
        <is>
          <t>전년 같은 분기·전년 대비</t>
        </is>
      </c>
      <c r="G117" s="15">
        <f>IF(OR(G116="",C116=""),"",IF(C116&lt;=0,"",IFERROR(G116/C116-1,"")))</f>
        <v/>
      </c>
      <c r="H117" s="15">
        <f>IF(OR(H116="",D116=""),"",IF(D116&lt;=0,"",IFERROR(H116/D116-1,"")))</f>
        <v/>
      </c>
      <c r="I117" s="15">
        <f>IF(OR(I116="",E116=""),"",IF(E116&lt;=0,"",IFERROR(I116/E116-1,"")))</f>
        <v/>
      </c>
      <c r="J117" s="15">
        <f>IF(OR(J116="",F116=""),"",IF(F116&lt;=0,"",IFERROR(J116/F116-1,"")))</f>
        <v/>
      </c>
      <c r="K117" s="15">
        <f>IF(OR(K116="",G116=""),"",IF(G116&lt;=0,"",IFERROR(K116/G116-1,"")))</f>
        <v/>
      </c>
      <c r="L117" s="15">
        <f>IF(OR(L116="",H116=""),"",IF(H116&lt;=0,"",IFERROR(L116/H116-1,"")))</f>
        <v/>
      </c>
      <c r="M117" s="15">
        <f>IF(OR(M116="",I116=""),"",IF(I116&lt;=0,"",IFERROR(M116/I116-1,"")))</f>
        <v/>
      </c>
      <c r="N117" s="15">
        <f>IF(OR(N116="",J116=""),"",IF(J116&lt;=0,"",IFERROR(N116/J116-1,"")))</f>
        <v/>
      </c>
      <c r="T117" s="15">
        <f>IF(OR(T116="",S116=""),"",IF(S116&lt;=0,"",IFERROR(T116/S116-1,"")))</f>
        <v/>
      </c>
      <c r="U117" s="15">
        <f>IF(OR(U116="",T116=""),"",IF(T116&lt;=0,"",IFERROR(U116/T116-1,"")))</f>
        <v/>
      </c>
      <c r="V117" s="15">
        <f>IF(OR(V116="",U116=""),"",IF(U116&lt;=0,"",IFERROR(V116/U116-1,"")))</f>
        <v/>
      </c>
      <c r="W117" s="15">
        <f>IF(OR(W116="",V116=""),"",IF(V116&lt;=0,"",IFERROR(W116/V116-1,"")))</f>
        <v/>
      </c>
      <c r="X117" s="15">
        <f>IF(OR(X116="",W116=""),"",IF(W116&lt;=0,"",IFERROR(X116/W116-1,"")))</f>
        <v/>
      </c>
    </row>
    <row r="118">
      <c r="A118" s="18" t="inlineStr">
        <is>
          <t>고정자산 매각이익</t>
        </is>
      </c>
      <c r="C118" s="20" t="n">
        <v>3.263</v>
      </c>
      <c r="D118" s="20" t="n">
        <v>8.489000000000001</v>
      </c>
      <c r="E118" s="20" t="n">
        <v>5.036</v>
      </c>
      <c r="F118" s="20" t="n">
        <v>2.162</v>
      </c>
      <c r="G118" s="20" t="n">
        <v>10.72</v>
      </c>
      <c r="H118" s="20" t="n">
        <v>3.045</v>
      </c>
      <c r="I118" s="20" t="n">
        <v>2.462</v>
      </c>
      <c r="J118" s="20" t="n">
        <v>2.006</v>
      </c>
      <c r="K118" s="20" t="n">
        <v>1.371</v>
      </c>
      <c r="L118" s="20" t="n">
        <v>85.29600000000001</v>
      </c>
      <c r="M118" s="20" t="n">
        <v>0.641</v>
      </c>
      <c r="N118" s="20" t="n">
        <v>5.283</v>
      </c>
      <c r="T118" s="20" t="n">
        <v>12.891</v>
      </c>
      <c r="U118" s="20" t="n">
        <v>5.073</v>
      </c>
      <c r="V118" s="20" t="n">
        <v>5.036</v>
      </c>
      <c r="W118" s="20" t="n">
        <v>2.462</v>
      </c>
      <c r="X118" s="20" t="n">
        <v>0.641</v>
      </c>
    </row>
    <row r="119">
      <c r="A119" s="18" t="inlineStr">
        <is>
          <t>투자유가증권 매각이익</t>
        </is>
      </c>
      <c r="C119" s="20" t="n">
        <v>0</v>
      </c>
      <c r="D119" s="20" t="n">
        <v>0</v>
      </c>
      <c r="E119" s="20" t="n">
        <v>0</v>
      </c>
      <c r="F119" s="20" t="n">
        <v>0</v>
      </c>
      <c r="G119" s="20" t="n">
        <v>0</v>
      </c>
      <c r="H119" s="20" t="n">
        <v>0</v>
      </c>
      <c r="I119" s="20" t="n">
        <v>0</v>
      </c>
      <c r="J119" s="20" t="n">
        <v>2.58</v>
      </c>
      <c r="K119" s="20" t="n">
        <v>0</v>
      </c>
      <c r="L119" s="20" t="n">
        <v>0</v>
      </c>
      <c r="M119" s="20" t="n">
        <v>0</v>
      </c>
      <c r="N119" s="20" t="n">
        <v>0</v>
      </c>
      <c r="T119" s="20" t="n">
        <v>53.068</v>
      </c>
      <c r="U119" s="20" t="n">
        <v>1.199</v>
      </c>
      <c r="V119" s="20" t="n">
        <v>0</v>
      </c>
      <c r="W119" s="20" t="n">
        <v>0</v>
      </c>
      <c r="X119" s="20" t="n">
        <v>0</v>
      </c>
    </row>
    <row r="120">
      <c r="A120" s="18" t="inlineStr">
        <is>
          <t>Gain On Liquidation Of Investment Securities Special Profits EI</t>
        </is>
      </c>
      <c r="D120" s="20" t="n">
        <v>0</v>
      </c>
      <c r="E120" s="20" t="n">
        <v>0</v>
      </c>
      <c r="H120" s="20" t="n">
        <v>0</v>
      </c>
      <c r="I120" s="20" t="n">
        <v>0</v>
      </c>
      <c r="L120" s="20" t="n">
        <v>0</v>
      </c>
      <c r="M120" s="20" t="n">
        <v>0</v>
      </c>
      <c r="V120" s="20" t="n">
        <v>0</v>
      </c>
      <c r="W120" s="20" t="n">
        <v>0</v>
      </c>
      <c r="X120" s="20" t="n">
        <v>0</v>
      </c>
    </row>
    <row r="121">
      <c r="A121" s="18" t="inlineStr">
        <is>
          <t>특별이익 합계</t>
        </is>
      </c>
      <c r="C121" s="20" t="n">
        <v>3.263</v>
      </c>
      <c r="D121" s="20" t="n">
        <v>8.489000000000001</v>
      </c>
      <c r="E121" s="20" t="n">
        <v>5.036</v>
      </c>
      <c r="F121" s="20" t="n">
        <v>2.162</v>
      </c>
      <c r="G121" s="20" t="n">
        <v>27.257</v>
      </c>
      <c r="H121" s="20" t="n">
        <v>3.045</v>
      </c>
      <c r="I121" s="20" t="n">
        <v>2.462</v>
      </c>
      <c r="J121" s="20" t="n">
        <v>4.586</v>
      </c>
      <c r="K121" s="20" t="n">
        <v>1.371</v>
      </c>
      <c r="L121" s="20" t="n">
        <v>85.29600000000001</v>
      </c>
      <c r="M121" s="20" t="n">
        <v>0.641</v>
      </c>
      <c r="N121" s="20" t="n">
        <v>5.283</v>
      </c>
      <c r="T121" s="20" t="n">
        <v>65.959</v>
      </c>
      <c r="U121" s="20" t="n">
        <v>6.271</v>
      </c>
      <c r="V121" s="20" t="n">
        <v>5.036</v>
      </c>
      <c r="W121" s="20" t="n">
        <v>2.462</v>
      </c>
      <c r="X121" s="20" t="n">
        <v>0.641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IF(OR(G121="",C121=""),"",IF(G121*C121&lt;=0,"",IFERROR(G121/C121-1,"")))</f>
        <v/>
      </c>
      <c r="H122" s="15">
        <f>IF(OR(H121="",D121=""),"",IF(H121*D121&lt;=0,"",IFERROR(H121/D121-1,"")))</f>
        <v/>
      </c>
      <c r="I122" s="15">
        <f>IF(OR(I121="",E121=""),"",IF(I121*E121&lt;=0,"",IFERROR(I121/E121-1,"")))</f>
        <v/>
      </c>
      <c r="J122" s="15">
        <f>IF(OR(J121="",F121=""),"",IF(J121*F121&lt;=0,"",IFERROR(J121/F121-1,"")))</f>
        <v/>
      </c>
      <c r="K122" s="15">
        <f>IF(OR(K121="",G121=""),"",IF(K121*G121&lt;=0,"",IFERROR(K121/G121-1,"")))</f>
        <v/>
      </c>
      <c r="L122" s="15">
        <f>IF(OR(L121="",H121=""),"",IF(L121*H121&lt;=0,"",IFERROR(L121/H121-1,"")))</f>
        <v/>
      </c>
      <c r="M122" s="15">
        <f>IF(OR(M121="",I121=""),"",IF(M121*I121&lt;=0,"",IFERROR(M121/I121-1,"")))</f>
        <v/>
      </c>
      <c r="N122" s="15">
        <f>IF(OR(N121="",J121=""),"",IF(N121*J121&lt;=0,"",IFERROR(N121/J121-1,"")))</f>
        <v/>
      </c>
      <c r="T122" s="15">
        <f>IF(OR(T121="",S121=""),"",IF(T121*S121&lt;=0,"",IFERROR(T121/S121-1,"")))</f>
        <v/>
      </c>
      <c r="U122" s="15">
        <f>IF(OR(U121="",T121=""),"",IF(U121*T121&lt;=0,"",IFERROR(U121/T121-1,"")))</f>
        <v/>
      </c>
      <c r="V122" s="15">
        <f>IF(OR(V121="",U121=""),"",IF(V121*U121&lt;=0,"",IFERROR(V121/U121-1,"")))</f>
        <v/>
      </c>
      <c r="W122" s="15">
        <f>IF(OR(W121="",V121=""),"",IF(W121*V121&lt;=0,"",IFERROR(W121/V121-1,"")))</f>
        <v/>
      </c>
      <c r="X122" s="15">
        <f>IF(OR(X121="",W121=""),"",IF(X121*W121&lt;=0,"",IFERROR(X121/W121-1,"")))</f>
        <v/>
      </c>
    </row>
    <row r="123">
      <c r="A123" s="18" t="inlineStr">
        <is>
          <t>고정자산 제각·매각손실</t>
        </is>
      </c>
      <c r="C123" s="20" t="n">
        <v>0.768</v>
      </c>
      <c r="D123" s="20" t="n">
        <v>0.5610000000000001</v>
      </c>
      <c r="E123" s="20" t="n">
        <v>4.514</v>
      </c>
      <c r="F123" s="20" t="n">
        <v>0.221</v>
      </c>
      <c r="G123" s="20" t="n">
        <v>3.221</v>
      </c>
      <c r="H123" s="20" t="n">
        <v>0.457</v>
      </c>
      <c r="I123" s="20" t="n">
        <v>3.956</v>
      </c>
      <c r="J123" s="20" t="n">
        <v>0.388</v>
      </c>
      <c r="K123" s="20" t="n">
        <v>5.301</v>
      </c>
      <c r="L123" s="20" t="n">
        <v>6.906</v>
      </c>
      <c r="M123" s="20" t="n">
        <v>5.744</v>
      </c>
      <c r="N123" s="20" t="n">
        <v>2.669</v>
      </c>
      <c r="T123" s="20" t="n">
        <v>62.23</v>
      </c>
      <c r="U123" s="20" t="n">
        <v>13.167</v>
      </c>
      <c r="V123" s="20" t="n">
        <v>4.514</v>
      </c>
      <c r="W123" s="20" t="n">
        <v>3.956</v>
      </c>
      <c r="X123" s="20" t="n">
        <v>5.744</v>
      </c>
    </row>
    <row r="124">
      <c r="A124" s="18" t="inlineStr">
        <is>
          <t>특별손실 합계</t>
        </is>
      </c>
      <c r="C124" s="20" t="n">
        <v>0.768</v>
      </c>
      <c r="D124" s="20" t="n">
        <v>0.5610000000000001</v>
      </c>
      <c r="E124" s="20" t="n">
        <v>4.514</v>
      </c>
      <c r="F124" s="20" t="n">
        <v>0.221</v>
      </c>
      <c r="G124" s="20" t="n">
        <v>3.221</v>
      </c>
      <c r="H124" s="20" t="n">
        <v>0.457</v>
      </c>
      <c r="I124" s="20" t="n">
        <v>3.956</v>
      </c>
      <c r="J124" s="20" t="n">
        <v>0.388</v>
      </c>
      <c r="K124" s="20" t="n">
        <v>5.301</v>
      </c>
      <c r="L124" s="20" t="n">
        <v>6.906</v>
      </c>
      <c r="M124" s="20" t="n">
        <v>5.744</v>
      </c>
      <c r="N124" s="20" t="n">
        <v>2.669</v>
      </c>
      <c r="T124" s="20" t="n">
        <v>110.083</v>
      </c>
      <c r="U124" s="20" t="n">
        <v>121.017</v>
      </c>
      <c r="V124" s="20" t="n">
        <v>4.514</v>
      </c>
      <c r="W124" s="20" t="n">
        <v>3.956</v>
      </c>
      <c r="X124" s="20" t="n">
        <v>5.744</v>
      </c>
    </row>
    <row r="125">
      <c r="A125" s="43" t="inlineStr">
        <is>
          <t>YoY</t>
        </is>
      </c>
      <c r="B125" s="3" t="inlineStr">
        <is>
          <t>전년 같은 분기·전년 대비</t>
        </is>
      </c>
      <c r="G125" s="15">
        <f>IF(OR(G124="",C124=""),"",IF(G124*C124&lt;=0,"",IFERROR(G124/C124-1,"")))</f>
        <v/>
      </c>
      <c r="H125" s="15">
        <f>IF(OR(H124="",D124=""),"",IF(H124*D124&lt;=0,"",IFERROR(H124/D124-1,"")))</f>
        <v/>
      </c>
      <c r="I125" s="15">
        <f>IF(OR(I124="",E124=""),"",IF(I124*E124&lt;=0,"",IFERROR(I124/E124-1,"")))</f>
        <v/>
      </c>
      <c r="J125" s="15">
        <f>IF(OR(J124="",F124=""),"",IF(J124*F124&lt;=0,"",IFERROR(J124/F124-1,"")))</f>
        <v/>
      </c>
      <c r="K125" s="15">
        <f>IF(OR(K124="",G124=""),"",IF(K124*G124&lt;=0,"",IFERROR(K124/G124-1,"")))</f>
        <v/>
      </c>
      <c r="L125" s="15">
        <f>IF(OR(L124="",H124=""),"",IF(L124*H124&lt;=0,"",IFERROR(L124/H124-1,"")))</f>
        <v/>
      </c>
      <c r="M125" s="15">
        <f>IF(OR(M124="",I124=""),"",IF(M124*I124&lt;=0,"",IFERROR(M124/I124-1,"")))</f>
        <v/>
      </c>
      <c r="N125" s="15">
        <f>IF(OR(N124="",J124=""),"",IF(N124*J124&lt;=0,"",IFERROR(N124/J124-1,"")))</f>
        <v/>
      </c>
      <c r="T125" s="15">
        <f>IF(OR(T124="",S124=""),"",IF(T124*S124&lt;=0,"",IFERROR(T124/S124-1,"")))</f>
        <v/>
      </c>
      <c r="U125" s="15">
        <f>IF(OR(U124="",T124=""),"",IF(U124*T124&lt;=0,"",IFERROR(U124/T124-1,"")))</f>
        <v/>
      </c>
      <c r="V125" s="15">
        <f>IF(OR(V124="",U124=""),"",IF(V124*U124&lt;=0,"",IFERROR(V124/U124-1,"")))</f>
        <v/>
      </c>
      <c r="W125" s="15">
        <f>IF(OR(W124="",V124=""),"",IF(W124*V124&lt;=0,"",IFERROR(W124/V124-1,"")))</f>
        <v/>
      </c>
      <c r="X125" s="15">
        <f>IF(OR(X124="",W124=""),"",IF(X124*W124&lt;=0,"",IFERROR(X124/W124-1,"")))</f>
        <v/>
      </c>
    </row>
    <row r="126">
      <c r="A126" s="9" t="inlineStr">
        <is>
          <t>법인세차감전 순이익</t>
        </is>
      </c>
      <c r="C126" s="12" t="n">
        <v>36.215</v>
      </c>
      <c r="D126" s="12" t="n">
        <v>355.089</v>
      </c>
      <c r="E126" s="12" t="n">
        <v>609.025</v>
      </c>
      <c r="F126" s="12" t="n">
        <v>284.042</v>
      </c>
      <c r="G126" s="12" t="n">
        <v>134.444</v>
      </c>
      <c r="H126" s="12" t="n">
        <v>267.867</v>
      </c>
      <c r="I126" s="12" t="n">
        <v>697.7</v>
      </c>
      <c r="J126" s="12" t="n">
        <v>322.043</v>
      </c>
      <c r="K126" s="12" t="n">
        <v>80.91200000000001</v>
      </c>
      <c r="L126" s="12" t="n">
        <v>402.581</v>
      </c>
      <c r="M126" s="12" t="n">
        <v>669.037</v>
      </c>
      <c r="N126" s="12" t="n">
        <v>525.764</v>
      </c>
      <c r="T126" s="12" t="n">
        <v>433.153</v>
      </c>
      <c r="U126" s="12" t="n">
        <v>479.544</v>
      </c>
      <c r="V126" s="12" t="n">
        <v>609.025</v>
      </c>
      <c r="W126" s="12" t="n">
        <v>697.7</v>
      </c>
      <c r="X126" s="12" t="n">
        <v>669.037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IF(OR(G126="",C126=""),"",IF(C126&lt;=0,"",IFERROR(G126/C126-1,"")))</f>
        <v/>
      </c>
      <c r="H127" s="15">
        <f>IF(OR(H126="",D126=""),"",IF(D126&lt;=0,"",IFERROR(H126/D126-1,"")))</f>
        <v/>
      </c>
      <c r="I127" s="15">
        <f>IF(OR(I126="",E126=""),"",IF(E126&lt;=0,"",IFERROR(I126/E126-1,"")))</f>
        <v/>
      </c>
      <c r="J127" s="15">
        <f>IF(OR(J126="",F126=""),"",IF(F126&lt;=0,"",IFERROR(J126/F126-1,"")))</f>
        <v/>
      </c>
      <c r="K127" s="15">
        <f>IF(OR(K126="",G126=""),"",IF(G126&lt;=0,"",IFERROR(K126/G126-1,"")))</f>
        <v/>
      </c>
      <c r="L127" s="15">
        <f>IF(OR(L126="",H126=""),"",IF(H126&lt;=0,"",IFERROR(L126/H126-1,"")))</f>
        <v/>
      </c>
      <c r="M127" s="15">
        <f>IF(OR(M126="",I126=""),"",IF(I126&lt;=0,"",IFERROR(M126/I126-1,"")))</f>
        <v/>
      </c>
      <c r="N127" s="15">
        <f>IF(OR(N126="",J126=""),"",IF(J126&lt;=0,"",IFERROR(N126/J126-1,"")))</f>
        <v/>
      </c>
      <c r="T127" s="15">
        <f>IF(OR(T126="",S126=""),"",IF(S126&lt;=0,"",IFERROR(T126/S126-1,"")))</f>
        <v/>
      </c>
      <c r="U127" s="15">
        <f>IF(OR(U126="",T126=""),"",IF(T126&lt;=0,"",IFERROR(U126/T126-1,"")))</f>
        <v/>
      </c>
      <c r="V127" s="15">
        <f>IF(OR(V126="",U126=""),"",IF(U126&lt;=0,"",IFERROR(V126/U126-1,"")))</f>
        <v/>
      </c>
      <c r="W127" s="15">
        <f>IF(OR(W126="",V126=""),"",IF(V126&lt;=0,"",IFERROR(W126/V126-1,"")))</f>
        <v/>
      </c>
      <c r="X127" s="15">
        <f>IF(OR(X126="",W126=""),"",IF(W126&lt;=0,"",IFERROR(X126/W126-1,"")))</f>
        <v/>
      </c>
    </row>
    <row r="128">
      <c r="A128" s="18" t="inlineStr">
        <is>
          <t>법인세·주민세·사업세</t>
        </is>
      </c>
      <c r="C128" s="20" t="n">
        <v>79.17400000000001</v>
      </c>
      <c r="D128" s="20" t="n">
        <v>92.173</v>
      </c>
      <c r="E128" s="20" t="n">
        <v>279.193</v>
      </c>
      <c r="F128" s="20" t="n">
        <v>52.892</v>
      </c>
      <c r="G128" s="20" t="n">
        <v>113.719</v>
      </c>
      <c r="H128" s="20" t="n">
        <v>56.478</v>
      </c>
      <c r="I128" s="20" t="n">
        <v>291.287</v>
      </c>
      <c r="J128" s="20" t="n">
        <v>56.959</v>
      </c>
      <c r="K128" s="20" t="n">
        <v>109.219</v>
      </c>
      <c r="L128" s="20" t="n">
        <v>68.209</v>
      </c>
      <c r="M128" s="20" t="n">
        <v>292.757</v>
      </c>
      <c r="N128" s="20" t="n">
        <v>113.657</v>
      </c>
      <c r="T128" s="20" t="n">
        <v>214.162</v>
      </c>
      <c r="U128" s="20" t="n">
        <v>245.051</v>
      </c>
      <c r="V128" s="20" t="n">
        <v>279.193</v>
      </c>
      <c r="W128" s="20" t="n">
        <v>291.287</v>
      </c>
      <c r="X128" s="20" t="n">
        <v>292.757</v>
      </c>
    </row>
    <row r="129">
      <c r="A129" s="18" t="inlineStr">
        <is>
          <t>법인세 조정액</t>
        </is>
      </c>
      <c r="C129" s="20" t="n">
        <v>-43.015</v>
      </c>
      <c r="D129" s="20" t="n">
        <v>32.689</v>
      </c>
      <c r="E129" s="20" t="n">
        <v>-68.42700000000001</v>
      </c>
      <c r="F129" s="20" t="n">
        <v>50.86</v>
      </c>
      <c r="G129" s="20" t="n">
        <v>-52.211</v>
      </c>
      <c r="H129" s="20" t="n">
        <v>42.809</v>
      </c>
      <c r="I129" s="20" t="n">
        <v>-60.509</v>
      </c>
      <c r="J129" s="20" t="n">
        <v>77.027</v>
      </c>
      <c r="K129" s="20" t="n">
        <v>-55.046</v>
      </c>
      <c r="L129" s="20" t="n">
        <v>44.414</v>
      </c>
      <c r="M129" s="20" t="n">
        <v>-78.992</v>
      </c>
      <c r="N129" s="20" t="n">
        <v>61.272</v>
      </c>
      <c r="T129" s="20" t="n">
        <v>-114.852</v>
      </c>
      <c r="U129" s="20" t="n">
        <v>-47.498</v>
      </c>
      <c r="V129" s="20" t="n">
        <v>-68.42700000000001</v>
      </c>
      <c r="W129" s="20" t="n">
        <v>-60.509</v>
      </c>
      <c r="X129" s="20" t="n">
        <v>-78.992</v>
      </c>
    </row>
    <row r="130">
      <c r="A130" s="18" t="inlineStr">
        <is>
          <t>법인세 등 합계</t>
        </is>
      </c>
      <c r="C130" s="20" t="n">
        <v>36.159</v>
      </c>
      <c r="D130" s="20" t="n">
        <v>124.862</v>
      </c>
      <c r="E130" s="20" t="n">
        <v>210.766</v>
      </c>
      <c r="F130" s="20" t="n">
        <v>103.752</v>
      </c>
      <c r="G130" s="20" t="n">
        <v>61.507</v>
      </c>
      <c r="H130" s="20" t="n">
        <v>99.288</v>
      </c>
      <c r="I130" s="20" t="n">
        <v>230.777</v>
      </c>
      <c r="J130" s="20" t="n">
        <v>133.986</v>
      </c>
      <c r="K130" s="20" t="n">
        <v>54.174</v>
      </c>
      <c r="L130" s="20" t="n">
        <v>112.622</v>
      </c>
      <c r="M130" s="20" t="n">
        <v>213.765</v>
      </c>
      <c r="N130" s="20" t="n">
        <v>174.929</v>
      </c>
      <c r="T130" s="20" t="n">
        <v>99.31100000000001</v>
      </c>
      <c r="U130" s="20" t="n">
        <v>197.553</v>
      </c>
      <c r="V130" s="20" t="n">
        <v>210.766</v>
      </c>
      <c r="W130" s="20" t="n">
        <v>230.777</v>
      </c>
      <c r="X130" s="20" t="n">
        <v>213.765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IF(OR(G130="",C130=""),"",IF(G130*C130&lt;=0,"",IFERROR(G130/C130-1,"")))</f>
        <v/>
      </c>
      <c r="H131" s="15">
        <f>IF(OR(H130="",D130=""),"",IF(H130*D130&lt;=0,"",IFERROR(H130/D130-1,"")))</f>
        <v/>
      </c>
      <c r="I131" s="15">
        <f>IF(OR(I130="",E130=""),"",IF(I130*E130&lt;=0,"",IFERROR(I130/E130-1,"")))</f>
        <v/>
      </c>
      <c r="J131" s="15">
        <f>IF(OR(J130="",F130=""),"",IF(J130*F130&lt;=0,"",IFERROR(J130/F130-1,"")))</f>
        <v/>
      </c>
      <c r="K131" s="15">
        <f>IF(OR(K130="",G130=""),"",IF(K130*G130&lt;=0,"",IFERROR(K130/G130-1,"")))</f>
        <v/>
      </c>
      <c r="L131" s="15">
        <f>IF(OR(L130="",H130=""),"",IF(L130*H130&lt;=0,"",IFERROR(L130/H130-1,"")))</f>
        <v/>
      </c>
      <c r="M131" s="15">
        <f>IF(OR(M130="",I130=""),"",IF(M130*I130&lt;=0,"",IFERROR(M130/I130-1,"")))</f>
        <v/>
      </c>
      <c r="N131" s="15">
        <f>IF(OR(N130="",J130=""),"",IF(N130*J130&lt;=0,"",IFERROR(N130/J130-1,"")))</f>
        <v/>
      </c>
      <c r="T131" s="15">
        <f>IF(OR(T130="",S130=""),"",IF(T130*S130&lt;=0,"",IFERROR(T130/S130-1,"")))</f>
        <v/>
      </c>
      <c r="U131" s="15">
        <f>IF(OR(U130="",T130=""),"",IF(U130*T130&lt;=0,"",IFERROR(U130/T130-1,"")))</f>
        <v/>
      </c>
      <c r="V131" s="15">
        <f>IF(OR(V130="",U130=""),"",IF(V130*U130&lt;=0,"",IFERROR(V130/U130-1,"")))</f>
        <v/>
      </c>
      <c r="W131" s="15">
        <f>IF(OR(W130="",V130=""),"",IF(W130*V130&lt;=0,"",IFERROR(W130/V130-1,"")))</f>
        <v/>
      </c>
      <c r="X131" s="15">
        <f>IF(OR(X130="",W130=""),"",IF(X130*W130&lt;=0,"",IFERROR(X130/W130-1,"")))</f>
        <v/>
      </c>
    </row>
    <row r="132">
      <c r="A132" s="9" t="inlineStr">
        <is>
          <t>순이익</t>
        </is>
      </c>
      <c r="C132" s="12" t="n">
        <v>0.057</v>
      </c>
      <c r="D132" s="12" t="n">
        <v>230.226</v>
      </c>
      <c r="E132" s="12" t="n">
        <v>398.259</v>
      </c>
      <c r="F132" s="12" t="n">
        <v>180.29</v>
      </c>
      <c r="G132" s="12" t="n">
        <v>72.93600000000001</v>
      </c>
      <c r="H132" s="12" t="n">
        <v>168.58</v>
      </c>
      <c r="I132" s="12" t="n">
        <v>466.923</v>
      </c>
      <c r="J132" s="12" t="n">
        <v>188.057</v>
      </c>
      <c r="K132" s="12" t="n">
        <v>26.737</v>
      </c>
      <c r="L132" s="12" t="n">
        <v>289.959</v>
      </c>
      <c r="M132" s="12" t="n">
        <v>455.273</v>
      </c>
      <c r="N132" s="12" t="n">
        <v>350.834</v>
      </c>
      <c r="T132" s="12" t="n">
        <v>333.842</v>
      </c>
      <c r="U132" s="12" t="n">
        <v>281.99</v>
      </c>
      <c r="V132" s="12" t="n">
        <v>398.259</v>
      </c>
      <c r="W132" s="12" t="n">
        <v>466.923</v>
      </c>
      <c r="X132" s="12" t="n">
        <v>455.273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IF(OR(G132="",C132=""),"",IF(C132&lt;=0,"",IFERROR(G132/C132-1,"")))</f>
        <v/>
      </c>
      <c r="H133" s="15">
        <f>IF(OR(H132="",D132=""),"",IF(D132&lt;=0,"",IFERROR(H132/D132-1,"")))</f>
        <v/>
      </c>
      <c r="I133" s="15">
        <f>IF(OR(I132="",E132=""),"",IF(E132&lt;=0,"",IFERROR(I132/E132-1,"")))</f>
        <v/>
      </c>
      <c r="J133" s="15">
        <f>IF(OR(J132="",F132=""),"",IF(F132&lt;=0,"",IFERROR(J132/F132-1,"")))</f>
        <v/>
      </c>
      <c r="K133" s="15">
        <f>IF(OR(K132="",G132=""),"",IF(G132&lt;=0,"",IFERROR(K132/G132-1,"")))</f>
        <v/>
      </c>
      <c r="L133" s="15">
        <f>IF(OR(L132="",H132=""),"",IF(H132&lt;=0,"",IFERROR(L132/H132-1,"")))</f>
        <v/>
      </c>
      <c r="M133" s="15">
        <f>IF(OR(M132="",I132=""),"",IF(I132&lt;=0,"",IFERROR(M132/I132-1,"")))</f>
        <v/>
      </c>
      <c r="N133" s="15">
        <f>IF(OR(N132="",J132=""),"",IF(J132&lt;=0,"",IFERROR(N132/J132-1,"")))</f>
        <v/>
      </c>
      <c r="T133" s="15">
        <f>IF(OR(T132="",S132=""),"",IF(S132&lt;=0,"",IFERROR(T132/S132-1,"")))</f>
        <v/>
      </c>
      <c r="U133" s="15">
        <f>IF(OR(U132="",T132=""),"",IF(T132&lt;=0,"",IFERROR(U132/T132-1,"")))</f>
        <v/>
      </c>
      <c r="V133" s="15">
        <f>IF(OR(V132="",U132=""),"",IF(U132&lt;=0,"",IFERROR(V132/U132-1,"")))</f>
        <v/>
      </c>
      <c r="W133" s="15">
        <f>IF(OR(W132="",V132=""),"",IF(V132&lt;=0,"",IFERROR(W132/V132-1,"")))</f>
        <v/>
      </c>
      <c r="X133" s="15">
        <f>IF(OR(X132="",W132=""),"",IF(W132&lt;=0,"",IFERROR(X132/W132-1,"")))</f>
        <v/>
      </c>
    </row>
    <row r="134">
      <c r="A134" s="9" t="inlineStr">
        <is>
          <t>지배주주 순이익</t>
        </is>
      </c>
      <c r="C134" s="12" t="n">
        <v>0.057</v>
      </c>
      <c r="D134" s="12" t="n">
        <v>230.226</v>
      </c>
      <c r="E134" s="12" t="n">
        <v>398.259</v>
      </c>
      <c r="F134" s="12" t="n">
        <v>180.29</v>
      </c>
      <c r="G134" s="12" t="n">
        <v>72.93600000000001</v>
      </c>
      <c r="H134" s="12" t="n">
        <v>168.58</v>
      </c>
      <c r="I134" s="12" t="n">
        <v>466.923</v>
      </c>
      <c r="J134" s="12" t="n">
        <v>188.057</v>
      </c>
      <c r="K134" s="12" t="n">
        <v>26.737</v>
      </c>
      <c r="L134" s="12" t="n">
        <v>289.959</v>
      </c>
      <c r="M134" s="12" t="n">
        <v>455.273</v>
      </c>
      <c r="N134" s="12" t="n">
        <v>350.834</v>
      </c>
      <c r="T134" s="12" t="n">
        <v>333.842</v>
      </c>
      <c r="U134" s="12" t="n">
        <v>271.923</v>
      </c>
      <c r="V134" s="12" t="n">
        <v>398.259</v>
      </c>
      <c r="W134" s="12" t="n">
        <v>466.923</v>
      </c>
      <c r="X134" s="12" t="n">
        <v>455.273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IF(OR(G134="",C134=""),"",IF(C134&lt;=0,"",IFERROR(G134/C134-1,"")))</f>
        <v/>
      </c>
      <c r="H135" s="15">
        <f>IF(OR(H134="",D134=""),"",IF(D134&lt;=0,"",IFERROR(H134/D134-1,"")))</f>
        <v/>
      </c>
      <c r="I135" s="15">
        <f>IF(OR(I134="",E134=""),"",IF(E134&lt;=0,"",IFERROR(I134/E134-1,"")))</f>
        <v/>
      </c>
      <c r="J135" s="15">
        <f>IF(OR(J134="",F134=""),"",IF(F134&lt;=0,"",IFERROR(J134/F134-1,"")))</f>
        <v/>
      </c>
      <c r="K135" s="15">
        <f>IF(OR(K134="",G134=""),"",IF(G134&lt;=0,"",IFERROR(K134/G134-1,"")))</f>
        <v/>
      </c>
      <c r="L135" s="15">
        <f>IF(OR(L134="",H134=""),"",IF(H134&lt;=0,"",IFERROR(L134/H134-1,"")))</f>
        <v/>
      </c>
      <c r="M135" s="15">
        <f>IF(OR(M134="",I134=""),"",IF(I134&lt;=0,"",IFERROR(M134/I134-1,"")))</f>
        <v/>
      </c>
      <c r="N135" s="15">
        <f>IF(OR(N134="",J134=""),"",IF(J134&lt;=0,"",IFERROR(N134/J134-1,"")))</f>
        <v/>
      </c>
      <c r="T135" s="15">
        <f>IF(OR(T134="",S134=""),"",IF(S134&lt;=0,"",IFERROR(T134/S134-1,"")))</f>
        <v/>
      </c>
      <c r="U135" s="15">
        <f>IF(OR(U134="",T134=""),"",IF(T134&lt;=0,"",IFERROR(U134/T134-1,"")))</f>
        <v/>
      </c>
      <c r="V135" s="15">
        <f>IF(OR(V134="",U134=""),"",IF(U134&lt;=0,"",IFERROR(V134/U134-1,"")))</f>
        <v/>
      </c>
      <c r="W135" s="15">
        <f>IF(OR(W134="",V134=""),"",IF(V134&lt;=0,"",IFERROR(W134/V134-1,"")))</f>
        <v/>
      </c>
      <c r="X135" s="15">
        <f>IF(OR(X134="",W134=""),"",IF(W134&lt;=0,"",IFERROR(X134/W134-1,"")))</f>
        <v/>
      </c>
    </row>
    <row r="136">
      <c r="A136" s="9" t="inlineStr">
        <is>
          <t>비지배주주 순이익</t>
        </is>
      </c>
      <c r="D136" s="12" t="n">
        <v>0</v>
      </c>
      <c r="E136" s="12" t="n">
        <v>0</v>
      </c>
      <c r="T136" s="12" t="n">
        <v>0</v>
      </c>
      <c r="U136" s="12" t="n">
        <v>10.068</v>
      </c>
      <c r="V136" s="12" t="n">
        <v>0</v>
      </c>
    </row>
    <row r="137">
      <c r="A137" s="18" t="inlineStr">
        <is>
          <t>기타유가증권 평가차액</t>
        </is>
      </c>
      <c r="C137" s="20" t="n">
        <v>-32.715</v>
      </c>
      <c r="D137" s="20" t="n">
        <v>23.534</v>
      </c>
      <c r="E137" s="20" t="n">
        <v>15.578</v>
      </c>
      <c r="F137" s="20" t="n">
        <v>30.757</v>
      </c>
      <c r="G137" s="20" t="n">
        <v>-2.036</v>
      </c>
      <c r="H137" s="20" t="n">
        <v>36.738</v>
      </c>
      <c r="I137" s="20" t="n">
        <v>-4.307</v>
      </c>
      <c r="J137" s="20" t="n">
        <v>19.577</v>
      </c>
      <c r="K137" s="20" t="n">
        <v>138.429</v>
      </c>
      <c r="L137" s="20" t="n">
        <v>11.55</v>
      </c>
      <c r="M137" s="20" t="n">
        <v>93.143</v>
      </c>
      <c r="N137" s="20" t="n">
        <v>11.284</v>
      </c>
      <c r="T137" s="20" t="n">
        <v>-92.693</v>
      </c>
      <c r="U137" s="20" t="n">
        <v>12.434</v>
      </c>
      <c r="V137" s="20" t="n">
        <v>15.578</v>
      </c>
      <c r="W137" s="20" t="n">
        <v>-4.307</v>
      </c>
      <c r="X137" s="20" t="n">
        <v>93.143</v>
      </c>
    </row>
    <row r="138">
      <c r="A138" s="18" t="inlineStr">
        <is>
          <t>기타포괄손익 합계</t>
        </is>
      </c>
      <c r="C138" s="20" t="n">
        <v>-32.715</v>
      </c>
      <c r="D138" s="20" t="n">
        <v>23.534</v>
      </c>
      <c r="E138" s="20" t="n">
        <v>15.578</v>
      </c>
      <c r="F138" s="20" t="n">
        <v>30.757</v>
      </c>
      <c r="G138" s="20" t="n">
        <v>-2.036</v>
      </c>
      <c r="H138" s="20" t="n">
        <v>36.738</v>
      </c>
      <c r="I138" s="20" t="n">
        <v>-4.307</v>
      </c>
      <c r="J138" s="20" t="n">
        <v>19.577</v>
      </c>
      <c r="K138" s="20" t="n">
        <v>138.429</v>
      </c>
      <c r="L138" s="20" t="n">
        <v>11.55</v>
      </c>
      <c r="M138" s="20" t="n">
        <v>93.143</v>
      </c>
      <c r="N138" s="20" t="n">
        <v>11.284</v>
      </c>
      <c r="T138" s="20" t="n">
        <v>-92.693</v>
      </c>
      <c r="U138" s="20" t="n">
        <v>12.434</v>
      </c>
      <c r="V138" s="20" t="n">
        <v>15.578</v>
      </c>
      <c r="W138" s="20" t="n">
        <v>-4.307</v>
      </c>
      <c r="X138" s="20" t="n">
        <v>93.143</v>
      </c>
    </row>
    <row r="139">
      <c r="A139" s="9" t="inlineStr">
        <is>
          <t>포괄이익</t>
        </is>
      </c>
      <c r="C139" s="12" t="n">
        <v>-32.657</v>
      </c>
      <c r="D139" s="12" t="n">
        <v>253.76</v>
      </c>
      <c r="E139" s="12" t="n">
        <v>413.837</v>
      </c>
      <c r="F139" s="12" t="n">
        <v>211.047</v>
      </c>
      <c r="G139" s="12" t="n">
        <v>70.901</v>
      </c>
      <c r="H139" s="12" t="n">
        <v>205.318</v>
      </c>
      <c r="I139" s="12" t="n">
        <v>462.616</v>
      </c>
      <c r="J139" s="12" t="n">
        <v>207.634</v>
      </c>
      <c r="K139" s="12" t="n">
        <v>165.167</v>
      </c>
      <c r="L139" s="12" t="n">
        <v>301.509</v>
      </c>
      <c r="M139" s="12" t="n">
        <v>548.4160000000001</v>
      </c>
      <c r="N139" s="12" t="n">
        <v>362.118</v>
      </c>
      <c r="T139" s="12" t="n">
        <v>241.148</v>
      </c>
      <c r="U139" s="12" t="n">
        <v>294.425</v>
      </c>
      <c r="V139" s="12" t="n">
        <v>413.837</v>
      </c>
      <c r="W139" s="12" t="n">
        <v>462.616</v>
      </c>
      <c r="X139" s="12" t="n">
        <v>548.4160000000001</v>
      </c>
    </row>
    <row r="140">
      <c r="A140" s="9" t="inlineStr">
        <is>
          <t>지배주주 포괄이익</t>
        </is>
      </c>
      <c r="C140" s="12" t="n">
        <v>-32.657</v>
      </c>
      <c r="D140" s="12" t="n">
        <v>253.76</v>
      </c>
      <c r="E140" s="12" t="n">
        <v>413.837</v>
      </c>
      <c r="F140" s="12" t="n">
        <v>211.047</v>
      </c>
      <c r="G140" s="12" t="n">
        <v>70.901</v>
      </c>
      <c r="H140" s="12" t="n">
        <v>205.318</v>
      </c>
      <c r="I140" s="12" t="n">
        <v>462.616</v>
      </c>
      <c r="J140" s="12" t="n">
        <v>207.634</v>
      </c>
      <c r="K140" s="12" t="n">
        <v>165.167</v>
      </c>
      <c r="L140" s="12" t="n">
        <v>301.509</v>
      </c>
      <c r="M140" s="12" t="n">
        <v>548.4160000000001</v>
      </c>
      <c r="N140" s="12" t="n">
        <v>362.118</v>
      </c>
      <c r="T140" s="12" t="n">
        <v>241.148</v>
      </c>
      <c r="U140" s="12" t="n">
        <v>284.378</v>
      </c>
      <c r="V140" s="12" t="n">
        <v>413.837</v>
      </c>
      <c r="W140" s="12" t="n">
        <v>462.616</v>
      </c>
      <c r="X140" s="12" t="n">
        <v>548.4160000000001</v>
      </c>
    </row>
    <row r="141">
      <c r="A141" s="9" t="inlineStr">
        <is>
          <t>비지배주주 포괄이익</t>
        </is>
      </c>
      <c r="D141" s="12" t="n">
        <v>0</v>
      </c>
      <c r="E141" s="12" t="n">
        <v>0</v>
      </c>
      <c r="T141" s="12" t="n">
        <v>0</v>
      </c>
      <c r="U141" s="12" t="n">
        <v>10.046</v>
      </c>
      <c r="V141" s="12" t="n">
        <v>0</v>
      </c>
    </row>
    <row r="143">
      <c r="A143" s="16" t="inlineStr">
        <is>
          <t>부문 · 전 항목</t>
        </is>
      </c>
      <c r="B143" s="42" t="inlineStr">
        <is>
          <t>부문 · 항목</t>
        </is>
      </c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</row>
    <row r="144">
      <c r="A144" s="5" t="inlineStr">
        <is>
          <t>항목</t>
        </is>
      </c>
      <c r="B144" s="5" t="inlineStr">
        <is>
          <t>참고</t>
        </is>
      </c>
      <c r="C144" s="5" t="inlineStr">
        <is>
          <t>2024.2Q</t>
        </is>
      </c>
      <c r="D144" s="5" t="inlineStr">
        <is>
          <t>2024.3Q</t>
        </is>
      </c>
      <c r="E144" s="5" t="inlineStr">
        <is>
          <t>2024.4Q</t>
        </is>
      </c>
      <c r="F144" s="5" t="inlineStr">
        <is>
          <t>2025.1Q</t>
        </is>
      </c>
      <c r="G144" s="5" t="inlineStr">
        <is>
          <t>2025.2Q</t>
        </is>
      </c>
      <c r="H144" s="5" t="inlineStr">
        <is>
          <t>2025.3Q</t>
        </is>
      </c>
      <c r="I144" s="5" t="inlineStr">
        <is>
          <t>2025.4Q</t>
        </is>
      </c>
      <c r="J144" s="5" t="inlineStr">
        <is>
          <t>2026.1Q</t>
        </is>
      </c>
      <c r="K144" s="5" t="inlineStr">
        <is>
          <t>2026.2Q</t>
        </is>
      </c>
      <c r="L144" s="5" t="inlineStr">
        <is>
          <t>2026.3Q</t>
        </is>
      </c>
      <c r="M144" s="5" t="inlineStr">
        <is>
          <t>2026.4Q</t>
        </is>
      </c>
      <c r="N144" s="5" t="inlineStr">
        <is>
          <t>2027.1Q</t>
        </is>
      </c>
      <c r="O144" s="5" t="inlineStr">
        <is>
          <t>2017</t>
        </is>
      </c>
      <c r="P144" s="5" t="inlineStr">
        <is>
          <t>2018</t>
        </is>
      </c>
      <c r="Q144" s="5" t="inlineStr">
        <is>
          <t>2019</t>
        </is>
      </c>
      <c r="R144" s="5" t="inlineStr">
        <is>
          <t>2020</t>
        </is>
      </c>
      <c r="S144" s="5" t="inlineStr">
        <is>
          <t>2021</t>
        </is>
      </c>
      <c r="T144" s="5" t="inlineStr">
        <is>
          <t>2022</t>
        </is>
      </c>
      <c r="U144" s="5" t="inlineStr">
        <is>
          <t>2023</t>
        </is>
      </c>
      <c r="V144" s="5" t="inlineStr">
        <is>
          <t>2024</t>
        </is>
      </c>
      <c r="W144" s="5" t="inlineStr">
        <is>
          <t>2025</t>
        </is>
      </c>
      <c r="X144" s="5" t="inlineStr">
        <is>
          <t>2026</t>
        </is>
      </c>
      <c r="Y144" s="5" t="inlineStr">
        <is>
          <t>2027(MW)</t>
        </is>
      </c>
      <c r="Z144" s="5" t="inlineStr">
        <is>
          <t>2028(MW)</t>
        </is>
      </c>
      <c r="AA144" s="5" t="inlineStr">
        <is>
          <t>2029(MW)</t>
        </is>
      </c>
      <c r="AB144" s="5" t="inlineStr">
        <is>
          <t>2030(MW)</t>
        </is>
      </c>
      <c r="AC144" s="5" t="inlineStr">
        <is>
          <t>2031(MW)</t>
        </is>
      </c>
    </row>
    <row r="145">
      <c r="A145" s="18" t="inlineStr">
        <is>
          <t>부문 · 외부 고객 매출</t>
        </is>
      </c>
      <c r="C145" s="20" t="n">
        <v>4077.99</v>
      </c>
      <c r="D145" s="20" t="n">
        <v>5869.351</v>
      </c>
      <c r="E145" s="20" t="n">
        <v>6637.057</v>
      </c>
      <c r="F145" s="20" t="n">
        <v>5442.113</v>
      </c>
      <c r="G145" s="20" t="n">
        <v>4810.815</v>
      </c>
      <c r="H145" s="20" t="n">
        <v>6180.455</v>
      </c>
      <c r="I145" s="20" t="n">
        <v>7611.136</v>
      </c>
      <c r="J145" s="20" t="n">
        <v>5429.375</v>
      </c>
      <c r="K145" s="20" t="n">
        <v>4478.611</v>
      </c>
      <c r="L145" s="20" t="n">
        <v>5787.919</v>
      </c>
      <c r="M145" s="20" t="n">
        <v>6783.975</v>
      </c>
      <c r="N145" s="20" t="n">
        <v>6381.994</v>
      </c>
      <c r="V145" s="20" t="n">
        <v>6637.057</v>
      </c>
      <c r="W145" s="20" t="n">
        <v>7611.136</v>
      </c>
      <c r="X145" s="20" t="n">
        <v>6783.975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IF(OR(G145="",C145=""),"",IF(C145&lt;=0,"",IFERROR(G145/C145-1,"")))</f>
        <v/>
      </c>
      <c r="H146" s="15">
        <f>IF(OR(H145="",D145=""),"",IF(D145&lt;=0,"",IFERROR(H145/D145-1,"")))</f>
        <v/>
      </c>
      <c r="I146" s="15">
        <f>IF(OR(I145="",E145=""),"",IF(E145&lt;=0,"",IFERROR(I145/E145-1,"")))</f>
        <v/>
      </c>
      <c r="J146" s="15">
        <f>IF(OR(J145="",F145=""),"",IF(F145&lt;=0,"",IFERROR(J145/F145-1,"")))</f>
        <v/>
      </c>
      <c r="K146" s="15">
        <f>IF(OR(K145="",G145=""),"",IF(G145&lt;=0,"",IFERROR(K145/G145-1,"")))</f>
        <v/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N146" s="15">
        <f>IF(OR(N145="",J145=""),"",IF(J145&lt;=0,"",IFERROR(N145/J145-1,"")))</f>
        <v/>
      </c>
      <c r="V146" s="15">
        <f>IF(OR(V145="",U145=""),"",IF(U145&lt;=0,"",IFERROR(V145/U145-1,"")))</f>
        <v/>
      </c>
      <c r="W146" s="15">
        <f>IF(OR(W145="",V145=""),"",IF(V145&lt;=0,"",IFERROR(W145/V145-1,"")))</f>
        <v/>
      </c>
      <c r="X146" s="15">
        <f>IF(OR(X145="",W145=""),"",IF(W145&lt;=0,"",IFERROR(X145/W145-1,"")))</f>
        <v/>
      </c>
    </row>
    <row r="147">
      <c r="A147" s="18" t="inlineStr">
        <is>
          <t>부문 · 외부 고객 매출</t>
        </is>
      </c>
      <c r="C147" s="20" t="n">
        <v>337.884</v>
      </c>
      <c r="D147" s="20" t="n">
        <v>307.625</v>
      </c>
      <c r="E147" s="20" t="n">
        <v>270.045</v>
      </c>
      <c r="F147" s="20" t="n">
        <v>296.374</v>
      </c>
      <c r="G147" s="20" t="n">
        <v>341.153</v>
      </c>
      <c r="H147" s="20" t="n">
        <v>309.584</v>
      </c>
      <c r="I147" s="20" t="n">
        <v>282.279</v>
      </c>
      <c r="J147" s="20" t="n">
        <v>306.301</v>
      </c>
      <c r="K147" s="20" t="n">
        <v>353.432</v>
      </c>
      <c r="L147" s="20" t="n">
        <v>309.65</v>
      </c>
      <c r="M147" s="20" t="n">
        <v>284.477</v>
      </c>
      <c r="N147" s="20" t="n">
        <v>320.396</v>
      </c>
      <c r="V147" s="20" t="n">
        <v>270.045</v>
      </c>
      <c r="W147" s="20" t="n">
        <v>282.279</v>
      </c>
      <c r="X147" s="20" t="n">
        <v>284.477</v>
      </c>
    </row>
    <row r="148">
      <c r="A148" s="43" t="inlineStr">
        <is>
          <t>YoY</t>
        </is>
      </c>
      <c r="B148" s="3" t="inlineStr">
        <is>
          <t>전년 같은 분기·전년 대비</t>
        </is>
      </c>
      <c r="G148" s="15">
        <f>IF(OR(G147="",C147=""),"",IF(C147&lt;=0,"",IFERROR(G147/C147-1,"")))</f>
        <v/>
      </c>
      <c r="H148" s="15">
        <f>IF(OR(H147="",D147=""),"",IF(D147&lt;=0,"",IFERROR(H147/D147-1,"")))</f>
        <v/>
      </c>
      <c r="I148" s="15">
        <f>IF(OR(I147="",E147=""),"",IF(E147&lt;=0,"",IFERROR(I147/E147-1,"")))</f>
        <v/>
      </c>
      <c r="J148" s="15">
        <f>IF(OR(J147="",F147=""),"",IF(F147&lt;=0,"",IFERROR(J147/F147-1,"")))</f>
        <v/>
      </c>
      <c r="K148" s="15">
        <f>IF(OR(K147="",G147=""),"",IF(G147&lt;=0,"",IFERROR(K147/G147-1,"")))</f>
        <v/>
      </c>
      <c r="L148" s="15">
        <f>IF(OR(L147="",H147=""),"",IF(H147&lt;=0,"",IFERROR(L147/H147-1,"")))</f>
        <v/>
      </c>
      <c r="M148" s="15">
        <f>IF(OR(M147="",I147=""),"",IF(I147&lt;=0,"",IFERROR(M147/I147-1,"")))</f>
        <v/>
      </c>
      <c r="N148" s="15">
        <f>IF(OR(N147="",J147=""),"",IF(J147&lt;=0,"",IFERROR(N147/J147-1,"")))</f>
        <v/>
      </c>
      <c r="V148" s="15">
        <f>IF(OR(V147="",U147=""),"",IF(U147&lt;=0,"",IFERROR(V147/U147-1,"")))</f>
        <v/>
      </c>
      <c r="W148" s="15">
        <f>IF(OR(W147="",V147=""),"",IF(V147&lt;=0,"",IFERROR(W147/V147-1,"")))</f>
        <v/>
      </c>
      <c r="X148" s="15">
        <f>IF(OR(X147="",W147=""),"",IF(W147&lt;=0,"",IFERROR(X147/W147-1,"")))</f>
        <v/>
      </c>
    </row>
    <row r="149">
      <c r="A149" s="18" t="inlineStr">
        <is>
          <t>부문 · 외부 고객 매출</t>
        </is>
      </c>
      <c r="C149" s="20" t="n">
        <v>1787.724</v>
      </c>
      <c r="D149" s="20" t="n">
        <v>1877.563</v>
      </c>
      <c r="E149" s="20" t="n">
        <v>1921.063</v>
      </c>
      <c r="F149" s="20" t="n">
        <v>1870.617</v>
      </c>
      <c r="G149" s="20" t="n">
        <v>2078.278</v>
      </c>
      <c r="H149" s="20" t="n">
        <v>2064.579</v>
      </c>
      <c r="I149" s="20" t="n">
        <v>2131.22</v>
      </c>
      <c r="J149" s="20" t="n">
        <v>2156.758</v>
      </c>
      <c r="K149" s="20" t="n">
        <v>2225.926</v>
      </c>
      <c r="L149" s="20" t="n">
        <v>2253.06</v>
      </c>
      <c r="M149" s="20" t="n">
        <v>2328.137</v>
      </c>
      <c r="N149" s="20" t="n">
        <v>2370.825</v>
      </c>
      <c r="V149" s="20" t="n">
        <v>1921.063</v>
      </c>
      <c r="W149" s="20" t="n">
        <v>2131.22</v>
      </c>
      <c r="X149" s="20" t="n">
        <v>2328.137</v>
      </c>
    </row>
    <row r="150">
      <c r="A150" s="43" t="inlineStr">
        <is>
          <t>YoY</t>
        </is>
      </c>
      <c r="B150" s="3" t="inlineStr">
        <is>
          <t>전년 같은 분기·전년 대비</t>
        </is>
      </c>
      <c r="G150" s="15">
        <f>IF(OR(G149="",C149=""),"",IF(C149&lt;=0,"",IFERROR(G149/C149-1,"")))</f>
        <v/>
      </c>
      <c r="H150" s="15">
        <f>IF(OR(H149="",D149=""),"",IF(D149&lt;=0,"",IFERROR(H149/D149-1,"")))</f>
        <v/>
      </c>
      <c r="I150" s="15">
        <f>IF(OR(I149="",E149=""),"",IF(E149&lt;=0,"",IFERROR(I149/E149-1,"")))</f>
        <v/>
      </c>
      <c r="J150" s="15">
        <f>IF(OR(J149="",F149=""),"",IF(F149&lt;=0,"",IFERROR(J149/F149-1,"")))</f>
        <v/>
      </c>
      <c r="K150" s="15">
        <f>IF(OR(K149="",G149=""),"",IF(G149&lt;=0,"",IFERROR(K149/G149-1,"")))</f>
        <v/>
      </c>
      <c r="L150" s="15">
        <f>IF(OR(L149="",H149=""),"",IF(H149&lt;=0,"",IFERROR(L149/H149-1,"")))</f>
        <v/>
      </c>
      <c r="M150" s="15">
        <f>IF(OR(M149="",I149=""),"",IF(I149&lt;=0,"",IFERROR(M149/I149-1,"")))</f>
        <v/>
      </c>
      <c r="N150" s="15">
        <f>IF(OR(N149="",J149=""),"",IF(J149&lt;=0,"",IFERROR(N149/J149-1,"")))</f>
        <v/>
      </c>
      <c r="V150" s="15">
        <f>IF(OR(V149="",U149=""),"",IF(U149&lt;=0,"",IFERROR(V149/U149-1,"")))</f>
        <v/>
      </c>
      <c r="W150" s="15">
        <f>IF(OR(W149="",V149=""),"",IF(V149&lt;=0,"",IFERROR(W149/V149-1,"")))</f>
        <v/>
      </c>
      <c r="X150" s="15">
        <f>IF(OR(X149="",W149=""),"",IF(W149&lt;=0,"",IFERROR(X149/W149-1,"")))</f>
        <v/>
      </c>
    </row>
    <row r="151">
      <c r="A151" s="18" t="inlineStr">
        <is>
          <t>보고부문 합계 · 외부 고객 매출</t>
        </is>
      </c>
      <c r="C151" s="20" t="n">
        <v>6203.6</v>
      </c>
      <c r="D151" s="20" t="n">
        <v>8054.539</v>
      </c>
      <c r="E151" s="20" t="n">
        <v>8828.164000000001</v>
      </c>
      <c r="F151" s="20" t="n">
        <v>7609.105</v>
      </c>
      <c r="G151" s="20" t="n">
        <v>7230.247</v>
      </c>
      <c r="H151" s="20" t="n">
        <v>8554.617</v>
      </c>
      <c r="I151" s="20" t="n">
        <v>10024.635</v>
      </c>
      <c r="J151" s="20" t="n">
        <v>7892.435</v>
      </c>
      <c r="K151" s="20" t="n">
        <v>7057.969</v>
      </c>
      <c r="L151" s="20" t="n">
        <v>8350.628000000001</v>
      </c>
      <c r="M151" s="20" t="n">
        <v>9396.59</v>
      </c>
      <c r="N151" s="20" t="n">
        <v>9073.216</v>
      </c>
      <c r="V151" s="20" t="n">
        <v>8828.164000000001</v>
      </c>
      <c r="W151" s="20" t="n">
        <v>10024.635</v>
      </c>
      <c r="X151" s="20" t="n">
        <v>9396.59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G152" s="15">
        <f>IF(OR(G151="",C151=""),"",IF(C151&lt;=0,"",IFERROR(G151/C151-1,"")))</f>
        <v/>
      </c>
      <c r="H152" s="15">
        <f>IF(OR(H151="",D151=""),"",IF(D151&lt;=0,"",IFERROR(H151/D151-1,"")))</f>
        <v/>
      </c>
      <c r="I152" s="15">
        <f>IF(OR(I151="",E151=""),"",IF(E151&lt;=0,"",IFERROR(I151/E151-1,"")))</f>
        <v/>
      </c>
      <c r="J152" s="15">
        <f>IF(OR(J151="",F151=""),"",IF(F151&lt;=0,"",IFERROR(J151/F151-1,"")))</f>
        <v/>
      </c>
      <c r="K152" s="15">
        <f>IF(OR(K151="",G151=""),"",IF(G151&lt;=0,"",IFERROR(K151/G151-1,"")))</f>
        <v/>
      </c>
      <c r="L152" s="15">
        <f>IF(OR(L151="",H151=""),"",IF(H151&lt;=0,"",IFERROR(L151/H151-1,"")))</f>
        <v/>
      </c>
      <c r="M152" s="15">
        <f>IF(OR(M151="",I151=""),"",IF(I151&lt;=0,"",IFERROR(M151/I151-1,"")))</f>
        <v/>
      </c>
      <c r="N152" s="15">
        <f>IF(OR(N151="",J151=""),"",IF(J151&lt;=0,"",IFERROR(N151/J151-1,"")))</f>
        <v/>
      </c>
      <c r="V152" s="15">
        <f>IF(OR(V151="",U151=""),"",IF(U151&lt;=0,"",IFERROR(V151/U151-1,"")))</f>
        <v/>
      </c>
      <c r="W152" s="15">
        <f>IF(OR(W151="",V151=""),"",IF(V151&lt;=0,"",IFERROR(W151/V151-1,"")))</f>
        <v/>
      </c>
      <c r="X152" s="15">
        <f>IF(OR(X151="",W151=""),"",IF(W151&lt;=0,"",IFERROR(X151/W151-1,"")))</f>
        <v/>
      </c>
    </row>
    <row r="153">
      <c r="A153" s="18" t="inlineStr">
        <is>
          <t>기타 · 외부 고객 매출</t>
        </is>
      </c>
      <c r="C153" s="20" t="n">
        <v>0</v>
      </c>
      <c r="D153" s="20" t="n">
        <v>0</v>
      </c>
      <c r="F153" s="20" t="n">
        <v>0</v>
      </c>
      <c r="G153" s="20" t="n">
        <v>0</v>
      </c>
      <c r="H153" s="20" t="n">
        <v>0</v>
      </c>
      <c r="J153" s="20" t="n">
        <v>0</v>
      </c>
      <c r="K153" s="20" t="n">
        <v>0</v>
      </c>
      <c r="L153" s="20" t="n">
        <v>0</v>
      </c>
      <c r="N153" s="20" t="n">
        <v>0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IF(OR(G153="",C153=""),"",IF(C153&lt;=0,"",IFERROR(G153/C153-1,"")))</f>
        <v/>
      </c>
      <c r="H154" s="15">
        <f>IF(OR(H153="",D153=""),"",IF(D153&lt;=0,"",IFERROR(H153/D153-1,"")))</f>
        <v/>
      </c>
      <c r="J154" s="15">
        <f>IF(OR(J153="",F153=""),"",IF(F153&lt;=0,"",IFERROR(J153/F153-1,"")))</f>
        <v/>
      </c>
      <c r="K154" s="15">
        <f>IF(OR(K153="",G153=""),"",IF(G153&lt;=0,"",IFERROR(K153/G153-1,"")))</f>
        <v/>
      </c>
      <c r="L154" s="15">
        <f>IF(OR(L153="",H153=""),"",IF(H153&lt;=0,"",IFERROR(L153/H153-1,"")))</f>
        <v/>
      </c>
      <c r="N154" s="15">
        <f>IF(OR(N153="",J153=""),"",IF(J153&lt;=0,"",IFERROR(N153/J153-1,"")))</f>
        <v/>
      </c>
    </row>
    <row r="155">
      <c r="A155" s="9" t="inlineStr">
        <is>
          <t>외부 고객 매출</t>
        </is>
      </c>
      <c r="C155" s="12" t="n">
        <v>6203.6</v>
      </c>
      <c r="D155" s="12" t="n">
        <v>8054.539</v>
      </c>
      <c r="E155" s="12" t="n">
        <v>8828.164000000001</v>
      </c>
      <c r="F155" s="12" t="n">
        <v>7609.105</v>
      </c>
      <c r="G155" s="12" t="n">
        <v>7230.247</v>
      </c>
      <c r="H155" s="12" t="n">
        <v>8554.617</v>
      </c>
      <c r="I155" s="12" t="n">
        <v>10024.635</v>
      </c>
      <c r="J155" s="12" t="n">
        <v>7892.435</v>
      </c>
      <c r="K155" s="12" t="n">
        <v>7057.969</v>
      </c>
      <c r="L155" s="12" t="n">
        <v>8350.628000000001</v>
      </c>
      <c r="M155" s="12" t="n">
        <v>9396.59</v>
      </c>
      <c r="N155" s="12" t="n">
        <v>9073.216</v>
      </c>
      <c r="V155" s="12" t="n">
        <v>8828.164000000001</v>
      </c>
      <c r="W155" s="12" t="n">
        <v>10024.635</v>
      </c>
      <c r="X155" s="12" t="n">
        <v>9396.59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H156" s="15">
        <f>IF(OR(H155="",D155=""),"",IF(D155&lt;=0,"",IFERROR(H155/D155-1,"")))</f>
        <v/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K156" s="15">
        <f>IF(OR(K155="",G155=""),"",IF(G155&lt;=0,"",IFERROR(K155/G155-1,"")))</f>
        <v/>
      </c>
      <c r="L156" s="15">
        <f>IF(OR(L155="",H155=""),"",IF(H155&lt;=0,"",IFERROR(L155/H155-1,"")))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  <c r="V156" s="15">
        <f>IF(OR(V155="",U155=""),"",IF(U155&lt;=0,"",IFERROR(V155/U155-1,"")))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18" t="inlineStr">
        <is>
          <t>부문 · 부문 간 내부매출·대체</t>
        </is>
      </c>
      <c r="C157" s="20" t="n">
        <v>0</v>
      </c>
      <c r="D157" s="20" t="n">
        <v>0</v>
      </c>
      <c r="E157" s="20" t="n">
        <v>0</v>
      </c>
      <c r="F157" s="20" t="n">
        <v>0</v>
      </c>
      <c r="G157" s="20" t="n">
        <v>0</v>
      </c>
      <c r="H157" s="20" t="n">
        <v>0</v>
      </c>
      <c r="I157" s="20" t="n">
        <v>0</v>
      </c>
      <c r="J157" s="20" t="n">
        <v>0</v>
      </c>
      <c r="K157" s="20" t="n">
        <v>0</v>
      </c>
      <c r="L157" s="20" t="n">
        <v>0</v>
      </c>
      <c r="M157" s="20" t="n">
        <v>0</v>
      </c>
      <c r="N157" s="20" t="n">
        <v>0</v>
      </c>
      <c r="V157" s="20" t="n">
        <v>0</v>
      </c>
      <c r="W157" s="20" t="n">
        <v>0</v>
      </c>
      <c r="X157" s="20" t="n">
        <v>0</v>
      </c>
    </row>
    <row r="158">
      <c r="A158" s="18" t="inlineStr">
        <is>
          <t>부문 · 부문 간 내부매출·대체</t>
        </is>
      </c>
      <c r="C158" s="20" t="n">
        <v>0</v>
      </c>
      <c r="D158" s="20" t="n">
        <v>0</v>
      </c>
      <c r="E158" s="20" t="n">
        <v>0</v>
      </c>
      <c r="F158" s="20" t="n">
        <v>0</v>
      </c>
      <c r="G158" s="20" t="n">
        <v>0</v>
      </c>
      <c r="H158" s="20" t="n">
        <v>0</v>
      </c>
      <c r="I158" s="20" t="n">
        <v>0</v>
      </c>
      <c r="J158" s="20" t="n">
        <v>0</v>
      </c>
      <c r="K158" s="20" t="n">
        <v>0</v>
      </c>
      <c r="L158" s="20" t="n">
        <v>0</v>
      </c>
      <c r="M158" s="20" t="n">
        <v>0</v>
      </c>
      <c r="N158" s="20" t="n">
        <v>0</v>
      </c>
      <c r="V158" s="20" t="n">
        <v>0</v>
      </c>
      <c r="W158" s="20" t="n">
        <v>0</v>
      </c>
      <c r="X158" s="20" t="n">
        <v>0</v>
      </c>
    </row>
    <row r="159">
      <c r="A159" s="18" t="inlineStr">
        <is>
          <t>부문 · 부문 간 내부매출·대체</t>
        </is>
      </c>
      <c r="C159" s="20" t="n">
        <v>0</v>
      </c>
      <c r="D159" s="20" t="n">
        <v>0</v>
      </c>
      <c r="E159" s="20" t="n">
        <v>0</v>
      </c>
      <c r="F159" s="20" t="n">
        <v>0</v>
      </c>
      <c r="G159" s="20" t="n">
        <v>0</v>
      </c>
      <c r="H159" s="20" t="n">
        <v>0</v>
      </c>
      <c r="I159" s="20" t="n">
        <v>0</v>
      </c>
      <c r="J159" s="20" t="n">
        <v>0</v>
      </c>
      <c r="K159" s="20" t="n">
        <v>0</v>
      </c>
      <c r="L159" s="20" t="n">
        <v>0</v>
      </c>
      <c r="M159" s="20" t="n">
        <v>0</v>
      </c>
      <c r="N159" s="20" t="n">
        <v>0</v>
      </c>
      <c r="V159" s="20" t="n">
        <v>0</v>
      </c>
      <c r="W159" s="20" t="n">
        <v>0</v>
      </c>
      <c r="X159" s="20" t="n">
        <v>0</v>
      </c>
    </row>
    <row r="160">
      <c r="A160" s="18" t="inlineStr">
        <is>
          <t>보고부문 합계 · 부문 간 내부매출·대체</t>
        </is>
      </c>
      <c r="C160" s="20" t="n">
        <v>0</v>
      </c>
      <c r="D160" s="20" t="n">
        <v>0</v>
      </c>
      <c r="E160" s="20" t="n">
        <v>0</v>
      </c>
      <c r="F160" s="20" t="n">
        <v>0</v>
      </c>
      <c r="G160" s="20" t="n">
        <v>0</v>
      </c>
      <c r="H160" s="20" t="n">
        <v>0</v>
      </c>
      <c r="I160" s="20" t="n">
        <v>0</v>
      </c>
      <c r="J160" s="20" t="n">
        <v>0</v>
      </c>
      <c r="K160" s="20" t="n">
        <v>0</v>
      </c>
      <c r="L160" s="20" t="n">
        <v>0</v>
      </c>
      <c r="M160" s="20" t="n">
        <v>0</v>
      </c>
      <c r="N160" s="20" t="n">
        <v>0</v>
      </c>
      <c r="V160" s="20" t="n">
        <v>0</v>
      </c>
      <c r="W160" s="20" t="n">
        <v>0</v>
      </c>
      <c r="X160" s="20" t="n">
        <v>0</v>
      </c>
    </row>
    <row r="161">
      <c r="A161" s="18" t="inlineStr">
        <is>
          <t>기타 · 부문 간 내부매출·대체</t>
        </is>
      </c>
      <c r="C161" s="20" t="n">
        <v>0</v>
      </c>
      <c r="D161" s="20" t="n">
        <v>0</v>
      </c>
      <c r="F161" s="20" t="n">
        <v>0</v>
      </c>
      <c r="G161" s="20" t="n">
        <v>0</v>
      </c>
      <c r="H161" s="20" t="n">
        <v>0</v>
      </c>
      <c r="J161" s="20" t="n">
        <v>0</v>
      </c>
      <c r="K161" s="20" t="n">
        <v>0</v>
      </c>
      <c r="L161" s="20" t="n">
        <v>0</v>
      </c>
      <c r="N161" s="20" t="n">
        <v>0</v>
      </c>
    </row>
    <row r="162">
      <c r="A162" s="18" t="inlineStr">
        <is>
          <t>부문 간 내부매출·대체</t>
        </is>
      </c>
      <c r="C162" s="20" t="n">
        <v>0</v>
      </c>
      <c r="D162" s="20" t="n">
        <v>0</v>
      </c>
      <c r="E162" s="20" t="n">
        <v>0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0</v>
      </c>
      <c r="K162" s="20" t="n">
        <v>0</v>
      </c>
      <c r="L162" s="20" t="n">
        <v>0</v>
      </c>
      <c r="M162" s="20" t="n">
        <v>0</v>
      </c>
      <c r="N162" s="20" t="n">
        <v>0</v>
      </c>
      <c r="V162" s="20" t="n">
        <v>0</v>
      </c>
      <c r="W162" s="20" t="n">
        <v>0</v>
      </c>
      <c r="X162" s="20" t="n">
        <v>0</v>
      </c>
    </row>
    <row r="163">
      <c r="A163" s="18" t="inlineStr">
        <is>
          <t>부문 · 계</t>
        </is>
      </c>
      <c r="C163" s="20" t="n">
        <v>4077.99</v>
      </c>
      <c r="D163" s="20" t="n">
        <v>5869.351</v>
      </c>
      <c r="E163" s="20" t="n">
        <v>6637.057</v>
      </c>
      <c r="F163" s="20" t="n">
        <v>5442.113</v>
      </c>
      <c r="G163" s="20" t="n">
        <v>4810.815</v>
      </c>
      <c r="H163" s="20" t="n">
        <v>6180.455</v>
      </c>
      <c r="I163" s="20" t="n">
        <v>7611.136</v>
      </c>
      <c r="J163" s="20" t="n">
        <v>5429.375</v>
      </c>
      <c r="K163" s="20" t="n">
        <v>4478.611</v>
      </c>
      <c r="L163" s="20" t="n">
        <v>5787.919</v>
      </c>
      <c r="M163" s="20" t="n">
        <v>6783.975</v>
      </c>
      <c r="N163" s="20" t="n">
        <v>6381.994</v>
      </c>
      <c r="V163" s="20" t="n">
        <v>6637.057</v>
      </c>
      <c r="W163" s="20" t="n">
        <v>7611.136</v>
      </c>
      <c r="X163" s="20" t="n">
        <v>6783.975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부문 · 계</t>
        </is>
      </c>
      <c r="C165" s="20" t="n">
        <v>337.884</v>
      </c>
      <c r="D165" s="20" t="n">
        <v>307.625</v>
      </c>
      <c r="E165" s="20" t="n">
        <v>270.045</v>
      </c>
      <c r="F165" s="20" t="n">
        <v>296.374</v>
      </c>
      <c r="G165" s="20" t="n">
        <v>341.153</v>
      </c>
      <c r="H165" s="20" t="n">
        <v>309.584</v>
      </c>
      <c r="I165" s="20" t="n">
        <v>282.279</v>
      </c>
      <c r="J165" s="20" t="n">
        <v>306.301</v>
      </c>
      <c r="K165" s="20" t="n">
        <v>353.432</v>
      </c>
      <c r="L165" s="20" t="n">
        <v>309.65</v>
      </c>
      <c r="M165" s="20" t="n">
        <v>284.477</v>
      </c>
      <c r="N165" s="20" t="n">
        <v>320.396</v>
      </c>
      <c r="V165" s="20" t="n">
        <v>270.045</v>
      </c>
      <c r="W165" s="20" t="n">
        <v>282.279</v>
      </c>
      <c r="X165" s="20" t="n">
        <v>284.477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K166" s="15">
        <f>IF(OR(K165="",G165=""),"",IF(G165&lt;=0,"",IFERROR(K165/G165-1,"")))</f>
        <v/>
      </c>
      <c r="L166" s="15">
        <f>IF(OR(L165="",H165=""),"",IF(H165&lt;=0,"",IFERROR(L165/H165-1,"")))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  <c r="V166" s="15">
        <f>IF(OR(V165="",U165=""),"",IF(U165&lt;=0,"",IFERROR(V165/U165-1,"")))</f>
        <v/>
      </c>
      <c r="W166" s="15">
        <f>IF(OR(W165="",V165=""),"",IF(V165&lt;=0,"",IFERROR(W165/V165-1,"")))</f>
        <v/>
      </c>
      <c r="X166" s="15">
        <f>IF(OR(X165="",W165=""),"",IF(W165&lt;=0,"",IFERROR(X165/W165-1,"")))</f>
        <v/>
      </c>
    </row>
    <row r="167">
      <c r="A167" s="18" t="inlineStr">
        <is>
          <t>부문 · 계</t>
        </is>
      </c>
      <c r="C167" s="20" t="n">
        <v>1787.724</v>
      </c>
      <c r="D167" s="20" t="n">
        <v>1877.563</v>
      </c>
      <c r="E167" s="20" t="n">
        <v>1921.063</v>
      </c>
      <c r="F167" s="20" t="n">
        <v>1870.617</v>
      </c>
      <c r="G167" s="20" t="n">
        <v>2078.278</v>
      </c>
      <c r="H167" s="20" t="n">
        <v>2064.579</v>
      </c>
      <c r="I167" s="20" t="n">
        <v>2131.22</v>
      </c>
      <c r="J167" s="20" t="n">
        <v>2156.758</v>
      </c>
      <c r="K167" s="20" t="n">
        <v>2225.926</v>
      </c>
      <c r="L167" s="20" t="n">
        <v>2253.06</v>
      </c>
      <c r="M167" s="20" t="n">
        <v>2328.137</v>
      </c>
      <c r="N167" s="20" t="n">
        <v>2370.825</v>
      </c>
      <c r="V167" s="20" t="n">
        <v>1921.063</v>
      </c>
      <c r="W167" s="20" t="n">
        <v>2131.22</v>
      </c>
      <c r="X167" s="20" t="n">
        <v>2328.137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보고부문 합계 · 계</t>
        </is>
      </c>
      <c r="C169" s="20" t="n">
        <v>6203.6</v>
      </c>
      <c r="D169" s="20" t="n">
        <v>8054.539</v>
      </c>
      <c r="E169" s="20" t="n">
        <v>8828.164000000001</v>
      </c>
      <c r="F169" s="20" t="n">
        <v>7609.105</v>
      </c>
      <c r="G169" s="20" t="n">
        <v>7230.247</v>
      </c>
      <c r="H169" s="20" t="n">
        <v>8554.617</v>
      </c>
      <c r="I169" s="20" t="n">
        <v>10024.635</v>
      </c>
      <c r="J169" s="20" t="n">
        <v>7892.435</v>
      </c>
      <c r="K169" s="20" t="n">
        <v>7057.969</v>
      </c>
      <c r="L169" s="20" t="n">
        <v>8350.628000000001</v>
      </c>
      <c r="M169" s="20" t="n">
        <v>9396.59</v>
      </c>
      <c r="N169" s="20" t="n">
        <v>9073.216</v>
      </c>
      <c r="V169" s="20" t="n">
        <v>8828.164000000001</v>
      </c>
      <c r="W169" s="20" t="n">
        <v>10024.635</v>
      </c>
      <c r="X169" s="20" t="n">
        <v>9396.59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J170" s="15">
        <f>IF(OR(J169="",F169=""),"",IF(F169&lt;=0,"",IFERROR(J169/F169-1,"")))</f>
        <v/>
      </c>
      <c r="K170" s="15">
        <f>IF(OR(K169="",G169=""),"",IF(G169&lt;=0,"",IFERROR(K169/G169-1,"")))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N170" s="15">
        <f>IF(OR(N169="",J169=""),"",IF(J169&lt;=0,"",IFERROR(N169/J169-1,"")))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기타 · 계</t>
        </is>
      </c>
      <c r="C171" s="20" t="n">
        <v>0</v>
      </c>
      <c r="D171" s="20" t="n">
        <v>0</v>
      </c>
      <c r="F171" s="20" t="n">
        <v>0</v>
      </c>
      <c r="G171" s="20" t="n">
        <v>0</v>
      </c>
      <c r="H171" s="20" t="n">
        <v>0</v>
      </c>
      <c r="J171" s="20" t="n">
        <v>0</v>
      </c>
      <c r="K171" s="20" t="n">
        <v>0</v>
      </c>
      <c r="L171" s="20" t="n">
        <v>0</v>
      </c>
      <c r="N171" s="20" t="n">
        <v>0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H172" s="15">
        <f>IF(OR(H171="",D171=""),"",IF(D171&lt;=0,"",IFERROR(H171/D171-1,"")))</f>
        <v/>
      </c>
      <c r="J172" s="15">
        <f>IF(OR(J171="",F171=""),"",IF(F171&lt;=0,"",IFERROR(J171/F171-1,"")))</f>
        <v/>
      </c>
      <c r="K172" s="15">
        <f>IF(OR(K171="",G171=""),"",IF(G171&lt;=0,"",IFERROR(K171/G171-1,"")))</f>
        <v/>
      </c>
      <c r="L172" s="15">
        <f>IF(OR(L171="",H171=""),"",IF(H171&lt;=0,"",IFERROR(L171/H171-1,"")))</f>
        <v/>
      </c>
      <c r="N172" s="15">
        <f>IF(OR(N171="",J171=""),"",IF(J171&lt;=0,"",IFERROR(N171/J171-1,"")))</f>
        <v/>
      </c>
    </row>
    <row r="173">
      <c r="A173" s="9" t="inlineStr">
        <is>
          <t>계</t>
        </is>
      </c>
      <c r="C173" s="12" t="n">
        <v>6203.6</v>
      </c>
      <c r="D173" s="12" t="n">
        <v>8054.539</v>
      </c>
      <c r="E173" s="12" t="n">
        <v>8828.164000000001</v>
      </c>
      <c r="F173" s="12" t="n">
        <v>7609.105</v>
      </c>
      <c r="G173" s="12" t="n">
        <v>7230.247</v>
      </c>
      <c r="H173" s="12" t="n">
        <v>8554.617</v>
      </c>
      <c r="I173" s="12" t="n">
        <v>10024.635</v>
      </c>
      <c r="J173" s="12" t="n">
        <v>7892.435</v>
      </c>
      <c r="K173" s="12" t="n">
        <v>7057.969</v>
      </c>
      <c r="L173" s="12" t="n">
        <v>8350.628000000001</v>
      </c>
      <c r="M173" s="12" t="n">
        <v>9396.59</v>
      </c>
      <c r="N173" s="12" t="n">
        <v>9073.216</v>
      </c>
      <c r="V173" s="12" t="n">
        <v>8828.164000000001</v>
      </c>
      <c r="W173" s="12" t="n">
        <v>10024.635</v>
      </c>
      <c r="X173" s="12" t="n">
        <v>9396.59</v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IF(OR(G173="",C173=""),"",IF(C173&lt;=0,"",IFERROR(G173/C173-1,"")))</f>
        <v/>
      </c>
      <c r="H174" s="15">
        <f>IF(OR(H173="",D173=""),"",IF(D173&lt;=0,"",IFERROR(H173/D173-1,"")))</f>
        <v/>
      </c>
      <c r="I174" s="15">
        <f>IF(OR(I173="",E173=""),"",IF(E173&lt;=0,"",IFERROR(I173/E173-1,"")))</f>
        <v/>
      </c>
      <c r="J174" s="15">
        <f>IF(OR(J173="",F173=""),"",IF(F173&lt;=0,"",IFERROR(J173/F173-1,"")))</f>
        <v/>
      </c>
      <c r="K174" s="15">
        <f>IF(OR(K173="",G173=""),"",IF(G173&lt;=0,"",IFERROR(K173/G173-1,"")))</f>
        <v/>
      </c>
      <c r="L174" s="15">
        <f>IF(OR(L173="",H173=""),"",IF(H173&lt;=0,"",IFERROR(L173/H173-1,"")))</f>
        <v/>
      </c>
      <c r="M174" s="15">
        <f>IF(OR(M173="",I173=""),"",IF(I173&lt;=0,"",IFERROR(M173/I173-1,"")))</f>
        <v/>
      </c>
      <c r="N174" s="15">
        <f>IF(OR(N173="",J173=""),"",IF(J173&lt;=0,"",IFERROR(N173/J173-1,"")))</f>
        <v/>
      </c>
      <c r="V174" s="15">
        <f>IF(OR(V173="",U173=""),"",IF(U173&lt;=0,"",IFERROR(V173/U173-1,"")))</f>
        <v/>
      </c>
      <c r="W174" s="15">
        <f>IF(OR(W173="",V173=""),"",IF(V173&lt;=0,"",IFERROR(W173/V173-1,"")))</f>
        <v/>
      </c>
      <c r="X174" s="15">
        <f>IF(OR(X173="",W173=""),"",IF(W173&lt;=0,"",IFERROR(X173/W173-1,"")))</f>
        <v/>
      </c>
    </row>
    <row r="175">
      <c r="A175" s="18" t="inlineStr">
        <is>
          <t>부문 · 부문 이익</t>
        </is>
      </c>
      <c r="C175" s="20" t="n">
        <v>-103.806</v>
      </c>
      <c r="D175" s="20" t="n">
        <v>206.103</v>
      </c>
      <c r="E175" s="20" t="n">
        <v>470.601</v>
      </c>
      <c r="F175" s="20" t="n">
        <v>122.15</v>
      </c>
      <c r="G175" s="20" t="n">
        <v>-76.47199999999999</v>
      </c>
      <c r="H175" s="20" t="n">
        <v>127.636</v>
      </c>
      <c r="I175" s="20" t="n">
        <v>563.778</v>
      </c>
      <c r="J175" s="20" t="n">
        <v>161.14</v>
      </c>
      <c r="K175" s="20" t="n">
        <v>-80.751</v>
      </c>
      <c r="L175" s="20" t="n">
        <v>189.392</v>
      </c>
      <c r="M175" s="20" t="n">
        <v>505.858</v>
      </c>
      <c r="N175" s="20" t="n">
        <v>285.403</v>
      </c>
      <c r="V175" s="20" t="n">
        <v>470.601</v>
      </c>
      <c r="W175" s="20" t="n">
        <v>563.778</v>
      </c>
      <c r="X175" s="20" t="n">
        <v>505.858</v>
      </c>
    </row>
    <row r="176">
      <c r="A176" s="43" t="inlineStr">
        <is>
          <t>OPM</t>
        </is>
      </c>
      <c r="B176" s="3" t="inlineStr">
        <is>
          <t>영업이익 ÷ 매출</t>
        </is>
      </c>
      <c r="C176" s="15">
        <f>IF(OR(C175="",C163=""),"",IF(C163&lt;=0,"",IFERROR(C175/C163,"")))</f>
        <v/>
      </c>
      <c r="D176" s="15">
        <f>IF(OR(D175="",D163=""),"",IF(D163&lt;=0,"",IFERROR(D175/D163,"")))</f>
        <v/>
      </c>
      <c r="E176" s="15">
        <f>IF(OR(E175="",E163=""),"",IF(E163&lt;=0,"",IFERROR(E175/E163,"")))</f>
        <v/>
      </c>
      <c r="F176" s="15">
        <f>IF(OR(F175="",F163=""),"",IF(F163&lt;=0,"",IFERROR(F175/F163,"")))</f>
        <v/>
      </c>
      <c r="G176" s="15">
        <f>IF(OR(G175="",G163=""),"",IF(G163&lt;=0,"",IFERROR(G175/G163,"")))</f>
        <v/>
      </c>
      <c r="H176" s="15">
        <f>IF(OR(H175="",H163=""),"",IF(H163&lt;=0,"",IFERROR(H175/H163,"")))</f>
        <v/>
      </c>
      <c r="I176" s="15">
        <f>IF(OR(I175="",I163=""),"",IF(I163&lt;=0,"",IFERROR(I175/I163,"")))</f>
        <v/>
      </c>
      <c r="J176" s="15">
        <f>IF(OR(J175="",J163=""),"",IF(J163&lt;=0,"",IFERROR(J175/J163,"")))</f>
        <v/>
      </c>
      <c r="K176" s="15">
        <f>IF(OR(K175="",K163=""),"",IF(K163&lt;=0,"",IFERROR(K175/K163,"")))</f>
        <v/>
      </c>
      <c r="L176" s="15">
        <f>IF(OR(L175="",L163=""),"",IF(L163&lt;=0,"",IFERROR(L175/L163,"")))</f>
        <v/>
      </c>
      <c r="M176" s="15">
        <f>IF(OR(M175="",M163=""),"",IF(M163&lt;=0,"",IFERROR(M175/M163,"")))</f>
        <v/>
      </c>
      <c r="N176" s="15">
        <f>IF(OR(N175="",N163=""),"",IF(N163&lt;=0,"",IFERROR(N175/N163,"")))</f>
        <v/>
      </c>
      <c r="V176" s="15">
        <f>IF(OR(V175="",V163=""),"",IF(V163&lt;=0,"",IFERROR(V175/V163,"")))</f>
        <v/>
      </c>
      <c r="W176" s="15">
        <f>IF(OR(W175="",W163=""),"",IF(W163&lt;=0,"",IFERROR(W175/W163,"")))</f>
        <v/>
      </c>
      <c r="X176" s="15">
        <f>IF(OR(X175="",X163=""),"",IF(X163&lt;=0,"",IFERROR(X175/X163,"")))</f>
        <v/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IF(OR(G175="",C175=""),"",IF(C175&lt;=0,"",IFERROR(G175/C175-1,"")))</f>
        <v/>
      </c>
      <c r="H177" s="15">
        <f>IF(OR(H175="",D175=""),"",IF(D175&lt;=0,"",IFERROR(H175/D175-1,"")))</f>
        <v/>
      </c>
      <c r="I177" s="15">
        <f>IF(OR(I175="",E175=""),"",IF(E175&lt;=0,"",IFERROR(I175/E175-1,"")))</f>
        <v/>
      </c>
      <c r="J177" s="15">
        <f>IF(OR(J175="",F175=""),"",IF(F175&lt;=0,"",IFERROR(J175/F175-1,"")))</f>
        <v/>
      </c>
      <c r="K177" s="15">
        <f>IF(OR(K175="",G175=""),"",IF(G175&lt;=0,"",IFERROR(K175/G175-1,"")))</f>
        <v/>
      </c>
      <c r="L177" s="15">
        <f>IF(OR(L175="",H175=""),"",IF(H175&lt;=0,"",IFERROR(L175/H175-1,"")))</f>
        <v/>
      </c>
      <c r="M177" s="15">
        <f>IF(OR(M175="",I175=""),"",IF(I175&lt;=0,"",IFERROR(M175/I175-1,"")))</f>
        <v/>
      </c>
      <c r="N177" s="15">
        <f>IF(OR(N175="",J175=""),"",IF(J175&lt;=0,"",IFERROR(N175/J175-1,"")))</f>
        <v/>
      </c>
      <c r="V177" s="15">
        <f>IF(OR(V175="",U175=""),"",IF(U175&lt;=0,"",IFERROR(V175/U175-1,"")))</f>
        <v/>
      </c>
      <c r="W177" s="15">
        <f>IF(OR(W175="",V175=""),"",IF(V175&lt;=0,"",IFERROR(W175/V175-1,"")))</f>
        <v/>
      </c>
      <c r="X177" s="15">
        <f>IF(OR(X175="",W175=""),"",IF(W175&lt;=0,"",IFERROR(X175/W175-1,"")))</f>
        <v/>
      </c>
    </row>
    <row r="178">
      <c r="A178" s="18" t="inlineStr">
        <is>
          <t>부문 · 부문 이익</t>
        </is>
      </c>
      <c r="C178" s="20" t="n">
        <v>29.028</v>
      </c>
      <c r="D178" s="20" t="n">
        <v>20.41</v>
      </c>
      <c r="E178" s="20" t="n">
        <v>-1.427</v>
      </c>
      <c r="F178" s="20" t="n">
        <v>11.908</v>
      </c>
      <c r="G178" s="20" t="n">
        <v>39.259</v>
      </c>
      <c r="H178" s="20" t="n">
        <v>21.323</v>
      </c>
      <c r="I178" s="20" t="n">
        <v>-10.35</v>
      </c>
      <c r="J178" s="20" t="n">
        <v>4.905</v>
      </c>
      <c r="K178" s="20" t="n">
        <v>40.452</v>
      </c>
      <c r="L178" s="20" t="n">
        <v>8.462999999999999</v>
      </c>
      <c r="M178" s="20" t="n">
        <v>-2.414</v>
      </c>
      <c r="N178" s="20" t="n">
        <v>13.257</v>
      </c>
      <c r="V178" s="20" t="n">
        <v>-1.427</v>
      </c>
      <c r="W178" s="20" t="n">
        <v>-10.35</v>
      </c>
      <c r="X178" s="20" t="n">
        <v>-2.414</v>
      </c>
    </row>
    <row r="179">
      <c r="A179" s="43" t="inlineStr">
        <is>
          <t>OPM</t>
        </is>
      </c>
      <c r="B179" s="3" t="inlineStr">
        <is>
          <t>영업이익 ÷ 매출</t>
        </is>
      </c>
      <c r="C179" s="15">
        <f>IF(OR(C178="",C165=""),"",IF(C165&lt;=0,"",IFERROR(C178/C165,"")))</f>
        <v/>
      </c>
      <c r="D179" s="15">
        <f>IF(OR(D178="",D165=""),"",IF(D165&lt;=0,"",IFERROR(D178/D165,"")))</f>
        <v/>
      </c>
      <c r="E179" s="15">
        <f>IF(OR(E178="",E165=""),"",IF(E165&lt;=0,"",IFERROR(E178/E165,"")))</f>
        <v/>
      </c>
      <c r="F179" s="15">
        <f>IF(OR(F178="",F165=""),"",IF(F165&lt;=0,"",IFERROR(F178/F165,"")))</f>
        <v/>
      </c>
      <c r="G179" s="15">
        <f>IF(OR(G178="",G165=""),"",IF(G165&lt;=0,"",IFERROR(G178/G165,"")))</f>
        <v/>
      </c>
      <c r="H179" s="15">
        <f>IF(OR(H178="",H165=""),"",IF(H165&lt;=0,"",IFERROR(H178/H165,"")))</f>
        <v/>
      </c>
      <c r="I179" s="15">
        <f>IF(OR(I178="",I165=""),"",IF(I165&lt;=0,"",IFERROR(I178/I165,"")))</f>
        <v/>
      </c>
      <c r="J179" s="15">
        <f>IF(OR(J178="",J165=""),"",IF(J165&lt;=0,"",IFERROR(J178/J165,"")))</f>
        <v/>
      </c>
      <c r="K179" s="15">
        <f>IF(OR(K178="",K165=""),"",IF(K165&lt;=0,"",IFERROR(K178/K165,"")))</f>
        <v/>
      </c>
      <c r="L179" s="15">
        <f>IF(OR(L178="",L165=""),"",IF(L165&lt;=0,"",IFERROR(L178/L165,"")))</f>
        <v/>
      </c>
      <c r="M179" s="15">
        <f>IF(OR(M178="",M165=""),"",IF(M165&lt;=0,"",IFERROR(M178/M165,"")))</f>
        <v/>
      </c>
      <c r="N179" s="15">
        <f>IF(OR(N178="",N165=""),"",IF(N165&lt;=0,"",IFERROR(N178/N165,"")))</f>
        <v/>
      </c>
      <c r="V179" s="15">
        <f>IF(OR(V178="",V165=""),"",IF(V165&lt;=0,"",IFERROR(V178/V165,"")))</f>
        <v/>
      </c>
      <c r="W179" s="15">
        <f>IF(OR(W178="",W165=""),"",IF(W165&lt;=0,"",IFERROR(W178/W165,"")))</f>
        <v/>
      </c>
      <c r="X179" s="15">
        <f>IF(OR(X178="",X165=""),"",IF(X165&lt;=0,"",IFERROR(X178/X165,"")))</f>
        <v/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IF(OR(G178="",C178=""),"",IF(C178&lt;=0,"",IFERROR(G178/C178-1,"")))</f>
        <v/>
      </c>
      <c r="H180" s="15">
        <f>IF(OR(H178="",D178=""),"",IF(D178&lt;=0,"",IFERROR(H178/D178-1,"")))</f>
        <v/>
      </c>
      <c r="I180" s="15">
        <f>IF(OR(I178="",E178=""),"",IF(E178&lt;=0,"",IFERROR(I178/E178-1,"")))</f>
        <v/>
      </c>
      <c r="J180" s="15">
        <f>IF(OR(J178="",F178=""),"",IF(F178&lt;=0,"",IFERROR(J178/F178-1,"")))</f>
        <v/>
      </c>
      <c r="K180" s="15">
        <f>IF(OR(K178="",G178=""),"",IF(G178&lt;=0,"",IFERROR(K178/G178-1,"")))</f>
        <v/>
      </c>
      <c r="L180" s="15">
        <f>IF(OR(L178="",H178=""),"",IF(H178&lt;=0,"",IFERROR(L178/H178-1,"")))</f>
        <v/>
      </c>
      <c r="M180" s="15">
        <f>IF(OR(M178="",I178=""),"",IF(I178&lt;=0,"",IFERROR(M178/I178-1,"")))</f>
        <v/>
      </c>
      <c r="N180" s="15">
        <f>IF(OR(N178="",J178=""),"",IF(J178&lt;=0,"",IFERROR(N178/J178-1,"")))</f>
        <v/>
      </c>
      <c r="V180" s="15">
        <f>IF(OR(V178="",U178=""),"",IF(U178&lt;=0,"",IFERROR(V178/U178-1,"")))</f>
        <v/>
      </c>
      <c r="W180" s="15">
        <f>IF(OR(W178="",V178=""),"",IF(V178&lt;=0,"",IFERROR(W178/V178-1,"")))</f>
        <v/>
      </c>
      <c r="X180" s="15">
        <f>IF(OR(X178="",W178=""),"",IF(W178&lt;=0,"",IFERROR(X178/W178-1,"")))</f>
        <v/>
      </c>
    </row>
    <row r="181">
      <c r="A181" s="18" t="inlineStr">
        <is>
          <t>부문 · 부문 이익</t>
        </is>
      </c>
      <c r="C181" s="20" t="n">
        <v>85.88500000000001</v>
      </c>
      <c r="D181" s="20" t="n">
        <v>86.637</v>
      </c>
      <c r="E181" s="20" t="n">
        <v>109.47</v>
      </c>
      <c r="F181" s="20" t="n">
        <v>121.856</v>
      </c>
      <c r="G181" s="20" t="n">
        <v>125.094</v>
      </c>
      <c r="H181" s="20" t="n">
        <v>101.143</v>
      </c>
      <c r="I181" s="20" t="n">
        <v>118.862</v>
      </c>
      <c r="J181" s="20" t="n">
        <v>125.189</v>
      </c>
      <c r="K181" s="20" t="n">
        <v>105.256</v>
      </c>
      <c r="L181" s="20" t="n">
        <v>105.417</v>
      </c>
      <c r="M181" s="20" t="n">
        <v>137.159</v>
      </c>
      <c r="N181" s="20" t="n">
        <v>167.021</v>
      </c>
      <c r="V181" s="20" t="n">
        <v>109.47</v>
      </c>
      <c r="W181" s="20" t="n">
        <v>118.862</v>
      </c>
      <c r="X181" s="20" t="n">
        <v>137.159</v>
      </c>
    </row>
    <row r="182">
      <c r="A182" s="43" t="inlineStr">
        <is>
          <t>OPM</t>
        </is>
      </c>
      <c r="B182" s="3" t="inlineStr">
        <is>
          <t>영업이익 ÷ 매출</t>
        </is>
      </c>
      <c r="C182" s="15">
        <f>IF(OR(C181="",C167=""),"",IF(C167&lt;=0,"",IFERROR(C181/C167,"")))</f>
        <v/>
      </c>
      <c r="D182" s="15">
        <f>IF(OR(D181="",D167=""),"",IF(D167&lt;=0,"",IFERROR(D181/D167,"")))</f>
        <v/>
      </c>
      <c r="E182" s="15">
        <f>IF(OR(E181="",E167=""),"",IF(E167&lt;=0,"",IFERROR(E181/E167,"")))</f>
        <v/>
      </c>
      <c r="F182" s="15">
        <f>IF(OR(F181="",F167=""),"",IF(F167&lt;=0,"",IFERROR(F181/F167,"")))</f>
        <v/>
      </c>
      <c r="G182" s="15">
        <f>IF(OR(G181="",G167=""),"",IF(G167&lt;=0,"",IFERROR(G181/G167,"")))</f>
        <v/>
      </c>
      <c r="H182" s="15">
        <f>IF(OR(H181="",H167=""),"",IF(H167&lt;=0,"",IFERROR(H181/H167,"")))</f>
        <v/>
      </c>
      <c r="I182" s="15">
        <f>IF(OR(I181="",I167=""),"",IF(I167&lt;=0,"",IFERROR(I181/I167,"")))</f>
        <v/>
      </c>
      <c r="J182" s="15">
        <f>IF(OR(J181="",J167=""),"",IF(J167&lt;=0,"",IFERROR(J181/J167,"")))</f>
        <v/>
      </c>
      <c r="K182" s="15">
        <f>IF(OR(K181="",K167=""),"",IF(K167&lt;=0,"",IFERROR(K181/K167,"")))</f>
        <v/>
      </c>
      <c r="L182" s="15">
        <f>IF(OR(L181="",L167=""),"",IF(L167&lt;=0,"",IFERROR(L181/L167,"")))</f>
        <v/>
      </c>
      <c r="M182" s="15">
        <f>IF(OR(M181="",M167=""),"",IF(M167&lt;=0,"",IFERROR(M181/M167,"")))</f>
        <v/>
      </c>
      <c r="N182" s="15">
        <f>IF(OR(N181="",N167=""),"",IF(N167&lt;=0,"",IFERROR(N181/N167,"")))</f>
        <v/>
      </c>
      <c r="V182" s="15">
        <f>IF(OR(V181="",V167=""),"",IF(V167&lt;=0,"",IFERROR(V181/V167,"")))</f>
        <v/>
      </c>
      <c r="W182" s="15">
        <f>IF(OR(W181="",W167=""),"",IF(W167&lt;=0,"",IFERROR(W181/W167,"")))</f>
        <v/>
      </c>
      <c r="X182" s="15">
        <f>IF(OR(X181="",X167=""),"",IF(X167&lt;=0,"",IFERROR(X181/X167,"")))</f>
        <v/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IF(OR(G181="",C181=""),"",IF(C181&lt;=0,"",IFERROR(G181/C181-1,"")))</f>
        <v/>
      </c>
      <c r="H183" s="15">
        <f>IF(OR(H181="",D181=""),"",IF(D181&lt;=0,"",IFERROR(H181/D181-1,"")))</f>
        <v/>
      </c>
      <c r="I183" s="15">
        <f>IF(OR(I181="",E181=""),"",IF(E181&lt;=0,"",IFERROR(I181/E181-1,"")))</f>
        <v/>
      </c>
      <c r="J183" s="15">
        <f>IF(OR(J181="",F181=""),"",IF(F181&lt;=0,"",IFERROR(J181/F181-1,"")))</f>
        <v/>
      </c>
      <c r="K183" s="15">
        <f>IF(OR(K181="",G181=""),"",IF(G181&lt;=0,"",IFERROR(K181/G181-1,"")))</f>
        <v/>
      </c>
      <c r="L183" s="15">
        <f>IF(OR(L181="",H181=""),"",IF(H181&lt;=0,"",IFERROR(L181/H181-1,"")))</f>
        <v/>
      </c>
      <c r="M183" s="15">
        <f>IF(OR(M181="",I181=""),"",IF(I181&lt;=0,"",IFERROR(M181/I181-1,"")))</f>
        <v/>
      </c>
      <c r="N183" s="15">
        <f>IF(OR(N181="",J181=""),"",IF(J181&lt;=0,"",IFERROR(N181/J181-1,"")))</f>
        <v/>
      </c>
      <c r="V183" s="15">
        <f>IF(OR(V181="",U181=""),"",IF(U181&lt;=0,"",IFERROR(V181/U181-1,"")))</f>
        <v/>
      </c>
      <c r="W183" s="15">
        <f>IF(OR(W181="",V181=""),"",IF(V181&lt;=0,"",IFERROR(W181/V181-1,"")))</f>
        <v/>
      </c>
      <c r="X183" s="15">
        <f>IF(OR(X181="",W181=""),"",IF(W181&lt;=0,"",IFERROR(X181/W181-1,"")))</f>
        <v/>
      </c>
    </row>
    <row r="184">
      <c r="A184" s="18" t="inlineStr">
        <is>
          <t>보고부문 합계 · 부문 이익</t>
        </is>
      </c>
      <c r="C184" s="20" t="n">
        <v>11.105</v>
      </c>
      <c r="D184" s="20" t="n">
        <v>313.152</v>
      </c>
      <c r="E184" s="20" t="n">
        <v>578.643</v>
      </c>
      <c r="F184" s="20" t="n">
        <v>255.914</v>
      </c>
      <c r="G184" s="20" t="n">
        <v>87.881</v>
      </c>
      <c r="H184" s="20" t="n">
        <v>250.103</v>
      </c>
      <c r="I184" s="20" t="n">
        <v>672.29</v>
      </c>
      <c r="J184" s="20" t="n">
        <v>291.235</v>
      </c>
      <c r="K184" s="20" t="n">
        <v>64.95699999999999</v>
      </c>
      <c r="L184" s="20" t="n">
        <v>303.272</v>
      </c>
      <c r="M184" s="20" t="n">
        <v>640.602</v>
      </c>
      <c r="N184" s="20" t="n">
        <v>465.682</v>
      </c>
      <c r="V184" s="20" t="n">
        <v>578.643</v>
      </c>
      <c r="W184" s="20" t="n">
        <v>672.29</v>
      </c>
      <c r="X184" s="20" t="n">
        <v>640.602</v>
      </c>
    </row>
    <row r="185">
      <c r="A185" s="43" t="inlineStr">
        <is>
          <t>OPM</t>
        </is>
      </c>
      <c r="B185" s="3" t="inlineStr">
        <is>
          <t>영업이익 ÷ 매출</t>
        </is>
      </c>
      <c r="C185" s="15">
        <f>IF(OR(C184="",C169=""),"",IF(C169&lt;=0,"",IFERROR(C184/C169,"")))</f>
        <v/>
      </c>
      <c r="D185" s="15">
        <f>IF(OR(D184="",D169=""),"",IF(D169&lt;=0,"",IFERROR(D184/D169,"")))</f>
        <v/>
      </c>
      <c r="E185" s="15">
        <f>IF(OR(E184="",E169=""),"",IF(E169&lt;=0,"",IFERROR(E184/E169,"")))</f>
        <v/>
      </c>
      <c r="F185" s="15">
        <f>IF(OR(F184="",F169=""),"",IF(F169&lt;=0,"",IFERROR(F184/F169,"")))</f>
        <v/>
      </c>
      <c r="G185" s="15">
        <f>IF(OR(G184="",G169=""),"",IF(G169&lt;=0,"",IFERROR(G184/G169,"")))</f>
        <v/>
      </c>
      <c r="H185" s="15">
        <f>IF(OR(H184="",H169=""),"",IF(H169&lt;=0,"",IFERROR(H184/H169,"")))</f>
        <v/>
      </c>
      <c r="I185" s="15">
        <f>IF(OR(I184="",I169=""),"",IF(I169&lt;=0,"",IFERROR(I184/I169,"")))</f>
        <v/>
      </c>
      <c r="J185" s="15">
        <f>IF(OR(J184="",J169=""),"",IF(J169&lt;=0,"",IFERROR(J184/J169,"")))</f>
        <v/>
      </c>
      <c r="K185" s="15">
        <f>IF(OR(K184="",K169=""),"",IF(K169&lt;=0,"",IFERROR(K184/K169,"")))</f>
        <v/>
      </c>
      <c r="L185" s="15">
        <f>IF(OR(L184="",L169=""),"",IF(L169&lt;=0,"",IFERROR(L184/L169,"")))</f>
        <v/>
      </c>
      <c r="M185" s="15">
        <f>IF(OR(M184="",M169=""),"",IF(M169&lt;=0,"",IFERROR(M184/M169,"")))</f>
        <v/>
      </c>
      <c r="N185" s="15">
        <f>IF(OR(N184="",N169=""),"",IF(N169&lt;=0,"",IFERROR(N184/N169,"")))</f>
        <v/>
      </c>
      <c r="V185" s="15">
        <f>IF(OR(V184="",V169=""),"",IF(V169&lt;=0,"",IFERROR(V184/V169,"")))</f>
        <v/>
      </c>
      <c r="W185" s="15">
        <f>IF(OR(W184="",W169=""),"",IF(W169&lt;=0,"",IFERROR(W184/W169,"")))</f>
        <v/>
      </c>
      <c r="X185" s="15">
        <f>IF(OR(X184="",X169=""),"",IF(X169&lt;=0,"",IFERROR(X184/X169,"")))</f>
        <v/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G186" s="15">
        <f>IF(OR(G184="",C184=""),"",IF(C184&lt;=0,"",IFERROR(G184/C184-1,"")))</f>
        <v/>
      </c>
      <c r="H186" s="15">
        <f>IF(OR(H184="",D184=""),"",IF(D184&lt;=0,"",IFERROR(H184/D184-1,"")))</f>
        <v/>
      </c>
      <c r="I186" s="15">
        <f>IF(OR(I184="",E184=""),"",IF(E184&lt;=0,"",IFERROR(I184/E184-1,"")))</f>
        <v/>
      </c>
      <c r="J186" s="15">
        <f>IF(OR(J184="",F184=""),"",IF(F184&lt;=0,"",IFERROR(J184/F184-1,"")))</f>
        <v/>
      </c>
      <c r="K186" s="15">
        <f>IF(OR(K184="",G184=""),"",IF(G184&lt;=0,"",IFERROR(K184/G184-1,"")))</f>
        <v/>
      </c>
      <c r="L186" s="15">
        <f>IF(OR(L184="",H184=""),"",IF(H184&lt;=0,"",IFERROR(L184/H184-1,"")))</f>
        <v/>
      </c>
      <c r="M186" s="15">
        <f>IF(OR(M184="",I184=""),"",IF(I184&lt;=0,"",IFERROR(M184/I184-1,"")))</f>
        <v/>
      </c>
      <c r="N186" s="15">
        <f>IF(OR(N184="",J184=""),"",IF(J184&lt;=0,"",IFERROR(N184/J184-1,"")))</f>
        <v/>
      </c>
      <c r="V186" s="15">
        <f>IF(OR(V184="",U184=""),"",IF(U184&lt;=0,"",IFERROR(V184/U184-1,"")))</f>
        <v/>
      </c>
      <c r="W186" s="15">
        <f>IF(OR(W184="",V184=""),"",IF(V184&lt;=0,"",IFERROR(W184/V184-1,"")))</f>
        <v/>
      </c>
      <c r="X186" s="15">
        <f>IF(OR(X184="",W184=""),"",IF(W184&lt;=0,"",IFERROR(X184/W184-1,"")))</f>
        <v/>
      </c>
    </row>
    <row r="187">
      <c r="A187" s="18" t="inlineStr">
        <is>
          <t>기타 · 부문 이익</t>
        </is>
      </c>
      <c r="C187" s="20" t="n">
        <v>0</v>
      </c>
      <c r="D187" s="20" t="n">
        <v>0</v>
      </c>
      <c r="F187" s="20" t="n">
        <v>0</v>
      </c>
      <c r="G187" s="20" t="n">
        <v>0</v>
      </c>
      <c r="H187" s="20" t="n">
        <v>0</v>
      </c>
      <c r="J187" s="20" t="n">
        <v>0</v>
      </c>
      <c r="K187" s="20" t="n">
        <v>0</v>
      </c>
      <c r="L187" s="20" t="n">
        <v>0</v>
      </c>
      <c r="N187" s="20" t="n">
        <v>0</v>
      </c>
    </row>
    <row r="188">
      <c r="A188" s="43" t="inlineStr">
        <is>
          <t>OPM</t>
        </is>
      </c>
      <c r="B188" s="3" t="inlineStr">
        <is>
          <t>영업이익 ÷ 매출</t>
        </is>
      </c>
      <c r="C188" s="15">
        <f>IF(OR(C187="",C171=""),"",IF(C171&lt;=0,"",IFERROR(C187/C171,"")))</f>
        <v/>
      </c>
      <c r="D188" s="15">
        <f>IF(OR(D187="",D171=""),"",IF(D171&lt;=0,"",IFERROR(D187/D171,"")))</f>
        <v/>
      </c>
      <c r="F188" s="15">
        <f>IF(OR(F187="",F171=""),"",IF(F171&lt;=0,"",IFERROR(F187/F171,"")))</f>
        <v/>
      </c>
      <c r="G188" s="15">
        <f>IF(OR(G187="",G171=""),"",IF(G171&lt;=0,"",IFERROR(G187/G171,"")))</f>
        <v/>
      </c>
      <c r="H188" s="15">
        <f>IF(OR(H187="",H171=""),"",IF(H171&lt;=0,"",IFERROR(H187/H171,"")))</f>
        <v/>
      </c>
      <c r="J188" s="15">
        <f>IF(OR(J187="",J171=""),"",IF(J171&lt;=0,"",IFERROR(J187/J171,"")))</f>
        <v/>
      </c>
      <c r="K188" s="15">
        <f>IF(OR(K187="",K171=""),"",IF(K171&lt;=0,"",IFERROR(K187/K171,"")))</f>
        <v/>
      </c>
      <c r="L188" s="15">
        <f>IF(OR(L187="",L171=""),"",IF(L171&lt;=0,"",IFERROR(L187/L171,"")))</f>
        <v/>
      </c>
      <c r="N188" s="15">
        <f>IF(OR(N187="",N171=""),"",IF(N171&lt;=0,"",IFERROR(N187/N171,"")))</f>
        <v/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G189" s="15">
        <f>IF(OR(G187="",C187=""),"",IF(C187&lt;=0,"",IFERROR(G187/C187-1,"")))</f>
        <v/>
      </c>
      <c r="H189" s="15">
        <f>IF(OR(H187="",D187=""),"",IF(D187&lt;=0,"",IFERROR(H187/D187-1,"")))</f>
        <v/>
      </c>
      <c r="J189" s="15">
        <f>IF(OR(J187="",F187=""),"",IF(F187&lt;=0,"",IFERROR(J187/F187-1,"")))</f>
        <v/>
      </c>
      <c r="K189" s="15">
        <f>IF(OR(K187="",G187=""),"",IF(G187&lt;=0,"",IFERROR(K187/G187-1,"")))</f>
        <v/>
      </c>
      <c r="L189" s="15">
        <f>IF(OR(L187="",H187=""),"",IF(H187&lt;=0,"",IFERROR(L187/H187-1,"")))</f>
        <v/>
      </c>
      <c r="N189" s="15">
        <f>IF(OR(N187="",J187=""),"",IF(J187&lt;=0,"",IFERROR(N187/J187-1,"")))</f>
        <v/>
      </c>
    </row>
    <row r="190">
      <c r="A190" s="9" t="inlineStr">
        <is>
          <t>부문 이익</t>
        </is>
      </c>
      <c r="C190" s="12" t="n">
        <v>11.105</v>
      </c>
      <c r="D190" s="12" t="n">
        <v>313.152</v>
      </c>
      <c r="E190" s="12" t="n">
        <v>578.643</v>
      </c>
      <c r="F190" s="12" t="n">
        <v>255.914</v>
      </c>
      <c r="G190" s="12" t="n">
        <v>87.881</v>
      </c>
      <c r="H190" s="12" t="n">
        <v>250.103</v>
      </c>
      <c r="I190" s="12" t="n">
        <v>672.29</v>
      </c>
      <c r="J190" s="12" t="n">
        <v>291.235</v>
      </c>
      <c r="K190" s="12" t="n">
        <v>64.95699999999999</v>
      </c>
      <c r="L190" s="12" t="n">
        <v>303.272</v>
      </c>
      <c r="M190" s="12" t="n">
        <v>640.602</v>
      </c>
      <c r="N190" s="12" t="n">
        <v>465.682</v>
      </c>
      <c r="V190" s="12" t="n">
        <v>578.643</v>
      </c>
      <c r="W190" s="12" t="n">
        <v>672.29</v>
      </c>
      <c r="X190" s="12" t="n">
        <v>640.602</v>
      </c>
    </row>
    <row r="191">
      <c r="A191" s="43" t="inlineStr">
        <is>
          <t>OPM</t>
        </is>
      </c>
      <c r="B191" s="3" t="inlineStr">
        <is>
          <t>영업이익 ÷ 매출</t>
        </is>
      </c>
      <c r="C191" s="15">
        <f>IF(OR(C190="",C155=""),"",IF(C155&lt;=0,"",IFERROR(C190/C155,"")))</f>
        <v/>
      </c>
      <c r="D191" s="15">
        <f>IF(OR(D190="",D155=""),"",IF(D155&lt;=0,"",IFERROR(D190/D155,"")))</f>
        <v/>
      </c>
      <c r="E191" s="15">
        <f>IF(OR(E190="",E155=""),"",IF(E155&lt;=0,"",IFERROR(E190/E155,"")))</f>
        <v/>
      </c>
      <c r="F191" s="15">
        <f>IF(OR(F190="",F155=""),"",IF(F155&lt;=0,"",IFERROR(F190/F155,"")))</f>
        <v/>
      </c>
      <c r="G191" s="15">
        <f>IF(OR(G190="",G155=""),"",IF(G155&lt;=0,"",IFERROR(G190/G155,"")))</f>
        <v/>
      </c>
      <c r="H191" s="15">
        <f>IF(OR(H190="",H155=""),"",IF(H155&lt;=0,"",IFERROR(H190/H155,"")))</f>
        <v/>
      </c>
      <c r="I191" s="15">
        <f>IF(OR(I190="",I155=""),"",IF(I155&lt;=0,"",IFERROR(I190/I155,"")))</f>
        <v/>
      </c>
      <c r="J191" s="15">
        <f>IF(OR(J190="",J155=""),"",IF(J155&lt;=0,"",IFERROR(J190/J155,"")))</f>
        <v/>
      </c>
      <c r="K191" s="15">
        <f>IF(OR(K190="",K155=""),"",IF(K155&lt;=0,"",IFERROR(K190/K155,"")))</f>
        <v/>
      </c>
      <c r="L191" s="15">
        <f>IF(OR(L190="",L155=""),"",IF(L155&lt;=0,"",IFERROR(L190/L155,"")))</f>
        <v/>
      </c>
      <c r="M191" s="15">
        <f>IF(OR(M190="",M155=""),"",IF(M155&lt;=0,"",IFERROR(M190/M155,"")))</f>
        <v/>
      </c>
      <c r="N191" s="15">
        <f>IF(OR(N190="",N155=""),"",IF(N155&lt;=0,"",IFERROR(N190/N155,"")))</f>
        <v/>
      </c>
      <c r="V191" s="15">
        <f>IF(OR(V190="",V155=""),"",IF(V155&lt;=0,"",IFERROR(V190/V155,"")))</f>
        <v/>
      </c>
      <c r="W191" s="15">
        <f>IF(OR(W190="",W155=""),"",IF(W155&lt;=0,"",IFERROR(W190/W155,"")))</f>
        <v/>
      </c>
      <c r="X191" s="15">
        <f>IF(OR(X190="",X155=""),"",IF(X155&lt;=0,"",IFERROR(X190/X155,"")))</f>
        <v/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G192" s="15">
        <f>IF(OR(G190="",C190=""),"",IF(C190&lt;=0,"",IFERROR(G190/C190-1,"")))</f>
        <v/>
      </c>
      <c r="H192" s="15">
        <f>IF(OR(H190="",D190=""),"",IF(D190&lt;=0,"",IFERROR(H190/D190-1,"")))</f>
        <v/>
      </c>
      <c r="I192" s="15">
        <f>IF(OR(I190="",E190=""),"",IF(E190&lt;=0,"",IFERROR(I190/E190-1,"")))</f>
        <v/>
      </c>
      <c r="J192" s="15">
        <f>IF(OR(J190="",F190=""),"",IF(F190&lt;=0,"",IFERROR(J190/F190-1,"")))</f>
        <v/>
      </c>
      <c r="K192" s="15">
        <f>IF(OR(K190="",G190=""),"",IF(G190&lt;=0,"",IFERROR(K190/G190-1,"")))</f>
        <v/>
      </c>
      <c r="L192" s="15">
        <f>IF(OR(L190="",H190=""),"",IF(H190&lt;=0,"",IFERROR(L190/H190-1,"")))</f>
        <v/>
      </c>
      <c r="M192" s="15">
        <f>IF(OR(M190="",I190=""),"",IF(I190&lt;=0,"",IFERROR(M190/I190-1,"")))</f>
        <v/>
      </c>
      <c r="N192" s="15">
        <f>IF(OR(N190="",J190=""),"",IF(J190&lt;=0,"",IFERROR(N190/J190-1,"")))</f>
        <v/>
      </c>
      <c r="V192" s="15">
        <f>IF(OR(V190="",U190=""),"",IF(U190&lt;=0,"",IFERROR(V190/U190-1,"")))</f>
        <v/>
      </c>
      <c r="W192" s="15">
        <f>IF(OR(W190="",V190=""),"",IF(V190&lt;=0,"",IFERROR(W190/V190-1,"")))</f>
        <v/>
      </c>
      <c r="X192" s="15">
        <f>IF(OR(X190="",W190=""),"",IF(W190&lt;=0,"",IFERROR(X190/W190-1,"")))</f>
        <v/>
      </c>
    </row>
    <row r="194">
      <c r="A194" s="16" t="inlineStr">
        <is>
          <t>현금흐름표 · 전 항목</t>
        </is>
      </c>
      <c r="B194" s="42" t="inlineStr">
        <is>
          <t>분기 = 결산기 첫날부터 누계(공시 그대로)</t>
        </is>
      </c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</row>
    <row r="195">
      <c r="A195" s="5" t="inlineStr">
        <is>
          <t>항목</t>
        </is>
      </c>
      <c r="B195" s="5" t="inlineStr">
        <is>
          <t>참고</t>
        </is>
      </c>
      <c r="C195" s="5" t="inlineStr">
        <is>
          <t>2024.2Q</t>
        </is>
      </c>
      <c r="D195" s="5" t="inlineStr">
        <is>
          <t>2024.3Q</t>
        </is>
      </c>
      <c r="E195" s="5" t="inlineStr">
        <is>
          <t>2024.4Q</t>
        </is>
      </c>
      <c r="F195" s="5" t="inlineStr">
        <is>
          <t>2025.1Q</t>
        </is>
      </c>
      <c r="G195" s="5" t="inlineStr">
        <is>
          <t>2025.2Q</t>
        </is>
      </c>
      <c r="H195" s="5" t="inlineStr">
        <is>
          <t>2025.3Q</t>
        </is>
      </c>
      <c r="I195" s="5" t="inlineStr">
        <is>
          <t>2025.4Q</t>
        </is>
      </c>
      <c r="J195" s="5" t="inlineStr">
        <is>
          <t>2026.1Q</t>
        </is>
      </c>
      <c r="K195" s="5" t="inlineStr">
        <is>
          <t>2026.2Q</t>
        </is>
      </c>
      <c r="L195" s="5" t="inlineStr">
        <is>
          <t>2026.3Q</t>
        </is>
      </c>
      <c r="M195" s="5" t="inlineStr">
        <is>
          <t>2026.4Q</t>
        </is>
      </c>
      <c r="N195" s="5" t="inlineStr">
        <is>
          <t>2027.1Q</t>
        </is>
      </c>
      <c r="O195" s="5" t="inlineStr">
        <is>
          <t>2017</t>
        </is>
      </c>
      <c r="P195" s="5" t="inlineStr">
        <is>
          <t>2018</t>
        </is>
      </c>
      <c r="Q195" s="5" t="inlineStr">
        <is>
          <t>2019</t>
        </is>
      </c>
      <c r="R195" s="5" t="inlineStr">
        <is>
          <t>2020</t>
        </is>
      </c>
      <c r="S195" s="5" t="inlineStr">
        <is>
          <t>2021</t>
        </is>
      </c>
      <c r="T195" s="5" t="inlineStr">
        <is>
          <t>2022</t>
        </is>
      </c>
      <c r="U195" s="5" t="inlineStr">
        <is>
          <t>2023</t>
        </is>
      </c>
      <c r="V195" s="5" t="inlineStr">
        <is>
          <t>2024</t>
        </is>
      </c>
      <c r="W195" s="5" t="inlineStr">
        <is>
          <t>2025</t>
        </is>
      </c>
      <c r="X195" s="5" t="inlineStr">
        <is>
          <t>2026</t>
        </is>
      </c>
      <c r="Y195" s="5" t="inlineStr">
        <is>
          <t>2027(MW)</t>
        </is>
      </c>
      <c r="Z195" s="5" t="inlineStr">
        <is>
          <t>2028(MW)</t>
        </is>
      </c>
      <c r="AA195" s="5" t="inlineStr">
        <is>
          <t>2029(MW)</t>
        </is>
      </c>
      <c r="AB195" s="5" t="inlineStr">
        <is>
          <t>2030(MW)</t>
        </is>
      </c>
      <c r="AC195" s="5" t="inlineStr">
        <is>
          <t>2031(MW)</t>
        </is>
      </c>
    </row>
    <row r="196">
      <c r="A196" s="9" t="inlineStr">
        <is>
          <t>법인세차감전 순이익</t>
        </is>
      </c>
      <c r="E196" s="12" t="n">
        <v>1184.832</v>
      </c>
      <c r="I196" s="12" t="n">
        <v>1384.053</v>
      </c>
      <c r="M196" s="12" t="n">
        <v>1474.573</v>
      </c>
      <c r="O196" s="12" t="n">
        <v>878.597</v>
      </c>
      <c r="P196" s="12" t="n">
        <v>753.651</v>
      </c>
      <c r="Q196" s="12" t="n">
        <v>949.289</v>
      </c>
      <c r="R196" s="12" t="n">
        <v>1338.51</v>
      </c>
      <c r="S196" s="12" t="n">
        <v>1066.682</v>
      </c>
      <c r="T196" s="12" t="n">
        <v>1084.373</v>
      </c>
      <c r="U196" s="12" t="n">
        <v>1164.843</v>
      </c>
      <c r="V196" s="12" t="n">
        <v>1184.832</v>
      </c>
      <c r="W196" s="12" t="n">
        <v>1384.053</v>
      </c>
      <c r="X196" s="12" t="n">
        <v>1474.573</v>
      </c>
    </row>
    <row r="197">
      <c r="A197" s="18" t="inlineStr">
        <is>
          <t>감가상각비</t>
        </is>
      </c>
      <c r="E197" s="20" t="n">
        <v>1031.421</v>
      </c>
      <c r="I197" s="20" t="n">
        <v>1200.249</v>
      </c>
      <c r="M197" s="20" t="n">
        <v>1429.271</v>
      </c>
      <c r="O197" s="20" t="n">
        <v>536.901</v>
      </c>
      <c r="P197" s="20" t="n">
        <v>581.648</v>
      </c>
      <c r="Q197" s="20" t="n">
        <v>618.504</v>
      </c>
      <c r="R197" s="20" t="n">
        <v>665.24</v>
      </c>
      <c r="S197" s="20" t="n">
        <v>815.301</v>
      </c>
      <c r="T197" s="20" t="n">
        <v>875.011</v>
      </c>
      <c r="U197" s="20" t="n">
        <v>1011.975</v>
      </c>
      <c r="V197" s="20" t="n">
        <v>1031.421</v>
      </c>
      <c r="W197" s="20" t="n">
        <v>1200.249</v>
      </c>
      <c r="X197" s="20" t="n">
        <v>1429.271</v>
      </c>
    </row>
    <row r="198">
      <c r="A198" s="18" t="inlineStr">
        <is>
          <t>영업권 상각</t>
        </is>
      </c>
      <c r="E198" s="20" t="n">
        <v>480.883</v>
      </c>
      <c r="I198" s="20" t="n">
        <v>415.312</v>
      </c>
      <c r="M198" s="20" t="n">
        <v>363.342</v>
      </c>
      <c r="O198" s="20" t="n">
        <v>237.789</v>
      </c>
      <c r="P198" s="20" t="n">
        <v>226.526</v>
      </c>
      <c r="Q198" s="20" t="n">
        <v>175.968</v>
      </c>
      <c r="R198" s="20" t="n">
        <v>271.413</v>
      </c>
      <c r="S198" s="20" t="n">
        <v>388.028</v>
      </c>
      <c r="T198" s="20" t="n">
        <v>427.383</v>
      </c>
      <c r="U198" s="20" t="n">
        <v>470.953</v>
      </c>
      <c r="V198" s="20" t="n">
        <v>480.883</v>
      </c>
      <c r="W198" s="20" t="n">
        <v>415.312</v>
      </c>
      <c r="X198" s="20" t="n">
        <v>363.342</v>
      </c>
    </row>
    <row r="199">
      <c r="A199" s="18" t="inlineStr">
        <is>
          <t>손상차손</t>
        </is>
      </c>
      <c r="E199" s="20" t="n">
        <v>0</v>
      </c>
      <c r="O199" s="20" t="n">
        <v>0</v>
      </c>
      <c r="P199" s="20" t="n">
        <v>111.451</v>
      </c>
      <c r="Q199" s="20" t="n">
        <v>0</v>
      </c>
      <c r="R199" s="20" t="n">
        <v>0</v>
      </c>
      <c r="S199" s="20" t="n">
        <v>49.638</v>
      </c>
      <c r="T199" s="20" t="n">
        <v>47.852</v>
      </c>
      <c r="U199" s="20" t="n">
        <v>107.85</v>
      </c>
      <c r="V199" s="20" t="n">
        <v>0</v>
      </c>
    </row>
    <row r="200">
      <c r="A200" s="18" t="inlineStr">
        <is>
          <t>임원 상여충당금 증감</t>
        </is>
      </c>
      <c r="E200" s="20" t="n">
        <v>-4.22</v>
      </c>
      <c r="I200" s="20" t="n">
        <v>-18.2</v>
      </c>
      <c r="M200" s="20" t="n">
        <v>-0.72</v>
      </c>
      <c r="O200" s="20" t="n">
        <v>-0.38</v>
      </c>
      <c r="P200" s="20" t="n">
        <v>-6.46</v>
      </c>
      <c r="Q200" s="20" t="n">
        <v>-3.62</v>
      </c>
      <c r="R200" s="20" t="n">
        <v>5.96</v>
      </c>
      <c r="S200" s="20" t="n">
        <v>-1.3</v>
      </c>
      <c r="T200" s="20" t="n">
        <v>-1.23</v>
      </c>
      <c r="U200" s="20" t="n">
        <v>1.33</v>
      </c>
      <c r="V200" s="20" t="n">
        <v>-4.22</v>
      </c>
      <c r="W200" s="20" t="n">
        <v>-18.2</v>
      </c>
      <c r="X200" s="20" t="n">
        <v>-0.72</v>
      </c>
    </row>
    <row r="201">
      <c r="A201" s="18" t="inlineStr">
        <is>
          <t>임원 퇴직위로 충당금 증감</t>
        </is>
      </c>
      <c r="E201" s="20" t="n">
        <v>-149.345</v>
      </c>
      <c r="I201" s="20" t="n">
        <v>10.474</v>
      </c>
      <c r="M201" s="20" t="n">
        <v>2.635</v>
      </c>
      <c r="O201" s="20" t="n">
        <v>22.502</v>
      </c>
      <c r="P201" s="20" t="n">
        <v>-63.613</v>
      </c>
      <c r="Q201" s="20" t="n">
        <v>-32.92</v>
      </c>
      <c r="R201" s="20" t="n">
        <v>29.612</v>
      </c>
      <c r="S201" s="20" t="n">
        <v>-30.063</v>
      </c>
      <c r="T201" s="20" t="n">
        <v>-122.988</v>
      </c>
      <c r="U201" s="20" t="n">
        <v>34.781</v>
      </c>
      <c r="V201" s="20" t="n">
        <v>-149.345</v>
      </c>
      <c r="W201" s="20" t="n">
        <v>10.474</v>
      </c>
      <c r="X201" s="20" t="n">
        <v>2.635</v>
      </c>
    </row>
    <row r="202">
      <c r="A202" s="18" t="inlineStr">
        <is>
          <t>퇴직급여부채 증감</t>
        </is>
      </c>
      <c r="E202" s="20" t="n">
        <v>0.293</v>
      </c>
      <c r="I202" s="20" t="n">
        <v>2.321</v>
      </c>
      <c r="M202" s="20" t="n">
        <v>5.642</v>
      </c>
      <c r="T202" s="20" t="n">
        <v>0</v>
      </c>
      <c r="U202" s="20" t="n">
        <v>1.446</v>
      </c>
      <c r="V202" s="20" t="n">
        <v>0.293</v>
      </c>
      <c r="W202" s="20" t="n">
        <v>2.321</v>
      </c>
      <c r="X202" s="20" t="n">
        <v>5.642</v>
      </c>
    </row>
    <row r="203">
      <c r="A203" s="18" t="inlineStr">
        <is>
          <t>장기미지급금 증감</t>
        </is>
      </c>
      <c r="O203" s="20" t="n">
        <v>-3.161</v>
      </c>
      <c r="P203" s="20" t="n">
        <v>-6.602</v>
      </c>
      <c r="Q203" s="20" t="n">
        <v>-5.16</v>
      </c>
      <c r="R203" s="20" t="n">
        <v>-11.57</v>
      </c>
      <c r="S203" s="20" t="n">
        <v>-12.329</v>
      </c>
      <c r="T203" s="20" t="n">
        <v>-15.406</v>
      </c>
      <c r="U203" s="20" t="n">
        <v>-36.498</v>
      </c>
    </row>
    <row r="204">
      <c r="A204" s="18" t="inlineStr">
        <is>
          <t>이자·배당금 수익</t>
        </is>
      </c>
      <c r="E204" s="20" t="n">
        <v>-17.243</v>
      </c>
      <c r="I204" s="20" t="n">
        <v>-16.751</v>
      </c>
      <c r="M204" s="20" t="n">
        <v>-22.978</v>
      </c>
      <c r="O204" s="20" t="n">
        <v>-10.002</v>
      </c>
      <c r="P204" s="20" t="n">
        <v>-10.453</v>
      </c>
      <c r="Q204" s="20" t="n">
        <v>-10.813</v>
      </c>
      <c r="R204" s="20" t="n">
        <v>-17.457</v>
      </c>
      <c r="S204" s="20" t="n">
        <v>-14.279</v>
      </c>
      <c r="T204" s="20" t="n">
        <v>-16.772</v>
      </c>
      <c r="U204" s="20" t="n">
        <v>-15.679</v>
      </c>
      <c r="V204" s="20" t="n">
        <v>-17.243</v>
      </c>
      <c r="W204" s="20" t="n">
        <v>-16.751</v>
      </c>
      <c r="X204" s="20" t="n">
        <v>-22.978</v>
      </c>
    </row>
    <row r="205">
      <c r="A205" s="18" t="inlineStr">
        <is>
          <t>이자비용</t>
        </is>
      </c>
      <c r="E205" s="20" t="n">
        <v>9.332000000000001</v>
      </c>
      <c r="I205" s="20" t="n">
        <v>8.173</v>
      </c>
      <c r="M205" s="20" t="n">
        <v>10.502</v>
      </c>
      <c r="O205" s="20" t="n">
        <v>0.728</v>
      </c>
      <c r="P205" s="20" t="n">
        <v>2.308</v>
      </c>
      <c r="Q205" s="20" t="n">
        <v>0.616</v>
      </c>
      <c r="R205" s="20" t="n">
        <v>5.079</v>
      </c>
      <c r="S205" s="20" t="n">
        <v>9.672000000000001</v>
      </c>
      <c r="T205" s="20" t="n">
        <v>7.8</v>
      </c>
      <c r="U205" s="20" t="n">
        <v>8.300000000000001</v>
      </c>
      <c r="V205" s="20" t="n">
        <v>9.332000000000001</v>
      </c>
      <c r="W205" s="20" t="n">
        <v>8.173</v>
      </c>
      <c r="X205" s="20" t="n">
        <v>10.502</v>
      </c>
    </row>
    <row r="206">
      <c r="A206" s="18" t="inlineStr">
        <is>
          <t>유형자산 매각손익</t>
        </is>
      </c>
      <c r="E206" s="20" t="n">
        <v>-16.614</v>
      </c>
      <c r="O206" s="20" t="n">
        <v>-10.679</v>
      </c>
      <c r="P206" s="20" t="n">
        <v>-15.995</v>
      </c>
      <c r="Q206" s="20" t="n">
        <v>-37.344</v>
      </c>
      <c r="R206" s="20" t="n">
        <v>5.125</v>
      </c>
      <c r="S206" s="20" t="n">
        <v>-14.656</v>
      </c>
      <c r="T206" s="20" t="n">
        <v>-13.798</v>
      </c>
      <c r="U206" s="20" t="n">
        <v>13.565</v>
      </c>
      <c r="V206" s="20" t="n">
        <v>-16.614</v>
      </c>
    </row>
    <row r="207">
      <c r="A207" s="18" t="inlineStr">
        <is>
          <t>유형자산 제각·매각손익</t>
        </is>
      </c>
      <c r="E207" s="20" t="n">
        <v>-16.614</v>
      </c>
      <c r="I207" s="20" t="n">
        <v>-8.951000000000001</v>
      </c>
      <c r="M207" s="20" t="n">
        <v>-70.97499999999999</v>
      </c>
      <c r="V207" s="20" t="n">
        <v>-16.614</v>
      </c>
      <c r="W207" s="20" t="n">
        <v>-8.951000000000001</v>
      </c>
      <c r="X207" s="20" t="n">
        <v>-70.97499999999999</v>
      </c>
    </row>
    <row r="208">
      <c r="A208" s="18" t="inlineStr">
        <is>
          <t>투자유가증권 매각손익</t>
        </is>
      </c>
      <c r="E208" s="20" t="n">
        <v>-1.57</v>
      </c>
      <c r="I208" s="20" t="n">
        <v>0</v>
      </c>
      <c r="M208" s="20" t="n">
        <v>-2.58</v>
      </c>
      <c r="O208" s="20" t="n">
        <v>0</v>
      </c>
      <c r="P208" s="20" t="n">
        <v>-0.732</v>
      </c>
      <c r="Q208" s="20" t="n">
        <v>-3.51</v>
      </c>
      <c r="R208" s="20" t="n">
        <v>-398.366</v>
      </c>
      <c r="S208" s="20" t="n">
        <v>-0.33</v>
      </c>
      <c r="T208" s="20" t="n">
        <v>-58.294</v>
      </c>
      <c r="U208" s="20" t="n">
        <v>-163.536</v>
      </c>
      <c r="V208" s="20" t="n">
        <v>-1.57</v>
      </c>
      <c r="W208" s="20" t="n">
        <v>0</v>
      </c>
      <c r="X208" s="20" t="n">
        <v>-2.58</v>
      </c>
    </row>
    <row r="209">
      <c r="A209" s="18" t="inlineStr">
        <is>
          <t>투자유가증권 평가손익</t>
        </is>
      </c>
      <c r="Q209" s="20" t="n">
        <v>0</v>
      </c>
      <c r="R209" s="20" t="n">
        <v>1.556</v>
      </c>
      <c r="S209" s="20" t="n">
        <v>0</v>
      </c>
    </row>
    <row r="210">
      <c r="A210" s="18" t="inlineStr">
        <is>
          <t>Gain On Liquidation Of Investment Securities2Ope CF</t>
        </is>
      </c>
      <c r="E210" s="20" t="n">
        <v>0</v>
      </c>
      <c r="I210" s="20" t="n">
        <v>-16.536</v>
      </c>
      <c r="M210" s="20" t="n">
        <v>0</v>
      </c>
      <c r="V210" s="20" t="n">
        <v>0</v>
      </c>
      <c r="W210" s="20" t="n">
        <v>-16.536</v>
      </c>
      <c r="X210" s="20" t="n">
        <v>0</v>
      </c>
    </row>
    <row r="211">
      <c r="A211" s="18" t="inlineStr">
        <is>
          <t>매출채권 증감</t>
        </is>
      </c>
      <c r="E211" s="20" t="n">
        <v>-55.465</v>
      </c>
      <c r="I211" s="20" t="n">
        <v>-431.076</v>
      </c>
      <c r="M211" s="20" t="n">
        <v>236.371</v>
      </c>
      <c r="O211" s="20" t="n">
        <v>-338.42</v>
      </c>
      <c r="P211" s="20" t="n">
        <v>27.943</v>
      </c>
      <c r="Q211" s="20" t="n">
        <v>41.789</v>
      </c>
      <c r="R211" s="20" t="n">
        <v>136.725</v>
      </c>
      <c r="S211" s="20" t="n">
        <v>-202.213</v>
      </c>
      <c r="T211" s="20" t="n">
        <v>-1079.062</v>
      </c>
      <c r="U211" s="20" t="n">
        <v>19.167</v>
      </c>
      <c r="V211" s="20" t="n">
        <v>-55.465</v>
      </c>
      <c r="W211" s="20" t="n">
        <v>-431.076</v>
      </c>
      <c r="X211" s="20" t="n">
        <v>236.371</v>
      </c>
    </row>
    <row r="212">
      <c r="A212" s="18" t="inlineStr">
        <is>
          <t>재고자산 증감</t>
        </is>
      </c>
      <c r="E212" s="20" t="n">
        <v>-40.428</v>
      </c>
      <c r="I212" s="20" t="n">
        <v>-53.918</v>
      </c>
      <c r="M212" s="20" t="n">
        <v>82.76900000000001</v>
      </c>
      <c r="O212" s="20" t="n">
        <v>-90.63200000000001</v>
      </c>
      <c r="P212" s="20" t="n">
        <v>3.507</v>
      </c>
      <c r="Q212" s="20" t="n">
        <v>8.565</v>
      </c>
      <c r="R212" s="20" t="n">
        <v>21.187</v>
      </c>
      <c r="S212" s="20" t="n">
        <v>-4.051</v>
      </c>
      <c r="T212" s="20" t="n">
        <v>-163.502</v>
      </c>
      <c r="U212" s="20" t="n">
        <v>-68.057</v>
      </c>
      <c r="V212" s="20" t="n">
        <v>-40.428</v>
      </c>
      <c r="W212" s="20" t="n">
        <v>-53.918</v>
      </c>
      <c r="X212" s="20" t="n">
        <v>82.76900000000001</v>
      </c>
    </row>
    <row r="213">
      <c r="A213" s="18" t="inlineStr">
        <is>
          <t>매입채무 증감</t>
        </is>
      </c>
      <c r="E213" s="20" t="n">
        <v>68.90900000000001</v>
      </c>
      <c r="I213" s="20" t="n">
        <v>-36.929</v>
      </c>
      <c r="M213" s="20" t="n">
        <v>-252.04</v>
      </c>
      <c r="O213" s="20" t="n">
        <v>221.633</v>
      </c>
      <c r="P213" s="20" t="n">
        <v>123.613</v>
      </c>
      <c r="Q213" s="20" t="n">
        <v>166.031</v>
      </c>
      <c r="R213" s="20" t="n">
        <v>-565.869</v>
      </c>
      <c r="S213" s="20" t="n">
        <v>130.054</v>
      </c>
      <c r="T213" s="20" t="n">
        <v>371.336</v>
      </c>
      <c r="U213" s="20" t="n">
        <v>179.2</v>
      </c>
      <c r="V213" s="20" t="n">
        <v>68.90900000000001</v>
      </c>
      <c r="W213" s="20" t="n">
        <v>-36.929</v>
      </c>
      <c r="X213" s="20" t="n">
        <v>-252.04</v>
      </c>
    </row>
    <row r="214">
      <c r="A214" s="18" t="inlineStr">
        <is>
          <t>기타</t>
        </is>
      </c>
      <c r="E214" s="20" t="n">
        <v>279.141</v>
      </c>
      <c r="I214" s="20" t="n">
        <v>104.863</v>
      </c>
      <c r="M214" s="20" t="n">
        <v>-49.492</v>
      </c>
      <c r="O214" s="20" t="n">
        <v>-169.947</v>
      </c>
      <c r="P214" s="20" t="n">
        <v>197.987</v>
      </c>
      <c r="Q214" s="20" t="n">
        <v>-44.09</v>
      </c>
      <c r="R214" s="20" t="n">
        <v>-4.155</v>
      </c>
      <c r="S214" s="20" t="n">
        <v>75.218</v>
      </c>
      <c r="T214" s="20" t="n">
        <v>118.517</v>
      </c>
      <c r="U214" s="20" t="n">
        <v>-35.262</v>
      </c>
      <c r="V214" s="20" t="n">
        <v>279.141</v>
      </c>
      <c r="W214" s="20" t="n">
        <v>104.863</v>
      </c>
      <c r="X214" s="20" t="n">
        <v>-49.492</v>
      </c>
    </row>
    <row r="215">
      <c r="A215" s="18" t="inlineStr">
        <is>
          <t>소계</t>
        </is>
      </c>
      <c r="E215" s="20" t="n">
        <v>2769.926</v>
      </c>
      <c r="I215" s="20" t="n">
        <v>2543.083</v>
      </c>
      <c r="M215" s="20" t="n">
        <v>3206.322</v>
      </c>
      <c r="O215" s="20" t="n">
        <v>1274.927</v>
      </c>
      <c r="P215" s="20" t="n">
        <v>1924.78</v>
      </c>
      <c r="Q215" s="20" t="n">
        <v>1823.306</v>
      </c>
      <c r="R215" s="20" t="n">
        <v>1482.991</v>
      </c>
      <c r="S215" s="20" t="n">
        <v>2255.374</v>
      </c>
      <c r="T215" s="20" t="n">
        <v>1461.221</v>
      </c>
      <c r="U215" s="20" t="n">
        <v>2730.88</v>
      </c>
      <c r="V215" s="20" t="n">
        <v>2769.926</v>
      </c>
      <c r="W215" s="20" t="n">
        <v>2543.083</v>
      </c>
      <c r="X215" s="20" t="n">
        <v>3206.322</v>
      </c>
    </row>
    <row r="216">
      <c r="A216" s="18" t="inlineStr">
        <is>
          <t>이자·배당금 수취</t>
        </is>
      </c>
      <c r="E216" s="20" t="n">
        <v>17.243</v>
      </c>
      <c r="I216" s="20" t="n">
        <v>16.751</v>
      </c>
      <c r="M216" s="20" t="n">
        <v>22.978</v>
      </c>
      <c r="O216" s="20" t="n">
        <v>10.002</v>
      </c>
      <c r="P216" s="20" t="n">
        <v>10.453</v>
      </c>
      <c r="Q216" s="20" t="n">
        <v>10.813</v>
      </c>
      <c r="R216" s="20" t="n">
        <v>17.457</v>
      </c>
      <c r="S216" s="20" t="n">
        <v>14.279</v>
      </c>
      <c r="T216" s="20" t="n">
        <v>16.772</v>
      </c>
      <c r="U216" s="20" t="n">
        <v>15.679</v>
      </c>
      <c r="V216" s="20" t="n">
        <v>17.243</v>
      </c>
      <c r="W216" s="20" t="n">
        <v>16.751</v>
      </c>
      <c r="X216" s="20" t="n">
        <v>22.978</v>
      </c>
    </row>
    <row r="217">
      <c r="A217" s="18" t="inlineStr">
        <is>
          <t>이자 지급</t>
        </is>
      </c>
      <c r="E217" s="20" t="n">
        <v>-9.332000000000001</v>
      </c>
      <c r="I217" s="20" t="n">
        <v>-8.173</v>
      </c>
      <c r="M217" s="20" t="n">
        <v>-10.502</v>
      </c>
      <c r="O217" s="20" t="n">
        <v>-0.728</v>
      </c>
      <c r="P217" s="20" t="n">
        <v>-2.308</v>
      </c>
      <c r="Q217" s="20" t="n">
        <v>-0.616</v>
      </c>
      <c r="R217" s="20" t="n">
        <v>-5.079</v>
      </c>
      <c r="S217" s="20" t="n">
        <v>-9.672000000000001</v>
      </c>
      <c r="T217" s="20" t="n">
        <v>-7.8</v>
      </c>
      <c r="U217" s="20" t="n">
        <v>-8.300000000000001</v>
      </c>
      <c r="V217" s="20" t="n">
        <v>-9.332000000000001</v>
      </c>
      <c r="W217" s="20" t="n">
        <v>-8.173</v>
      </c>
      <c r="X217" s="20" t="n">
        <v>-10.502</v>
      </c>
    </row>
    <row r="218">
      <c r="A218" s="18" t="inlineStr">
        <is>
          <t>법인세 납부</t>
        </is>
      </c>
      <c r="E218" s="20" t="n">
        <v>-499.353</v>
      </c>
      <c r="I218" s="20" t="n">
        <v>-530.461</v>
      </c>
      <c r="M218" s="20" t="n">
        <v>-493.021</v>
      </c>
      <c r="O218" s="20" t="n">
        <v>-322.006</v>
      </c>
      <c r="P218" s="20" t="n">
        <v>-307.758</v>
      </c>
      <c r="Q218" s="20" t="n">
        <v>-298.16</v>
      </c>
      <c r="R218" s="20" t="n">
        <v>-357.429</v>
      </c>
      <c r="S218" s="20" t="n">
        <v>-563.068</v>
      </c>
      <c r="T218" s="20" t="n">
        <v>-414.446</v>
      </c>
      <c r="U218" s="20" t="n">
        <v>-482.16</v>
      </c>
      <c r="V218" s="20" t="n">
        <v>-499.353</v>
      </c>
      <c r="W218" s="20" t="n">
        <v>-530.461</v>
      </c>
      <c r="X218" s="20" t="n">
        <v>-493.021</v>
      </c>
    </row>
    <row r="219">
      <c r="A219" s="9" t="inlineStr">
        <is>
          <t>영업활동 현금흐름</t>
        </is>
      </c>
      <c r="E219" s="12" t="n">
        <v>2278.484</v>
      </c>
      <c r="I219" s="12" t="n">
        <v>2021.199</v>
      </c>
      <c r="M219" s="12" t="n">
        <v>2725.777</v>
      </c>
      <c r="O219" s="12" t="n">
        <v>962.1950000000001</v>
      </c>
      <c r="P219" s="12" t="n">
        <v>1625.166</v>
      </c>
      <c r="Q219" s="12" t="n">
        <v>1535.342</v>
      </c>
      <c r="R219" s="12" t="n">
        <v>1137.939</v>
      </c>
      <c r="S219" s="12" t="n">
        <v>1696.912</v>
      </c>
      <c r="T219" s="12" t="n">
        <v>1055.747</v>
      </c>
      <c r="U219" s="12" t="n">
        <v>2256.098</v>
      </c>
      <c r="V219" s="12" t="n">
        <v>2278.484</v>
      </c>
      <c r="W219" s="12" t="n">
        <v>2021.199</v>
      </c>
      <c r="X219" s="12" t="n">
        <v>2725.777</v>
      </c>
    </row>
    <row r="220">
      <c r="A220" s="18" t="inlineStr">
        <is>
          <t>정기예금 예입</t>
        </is>
      </c>
      <c r="E220" s="20" t="n">
        <v>-109.201</v>
      </c>
      <c r="I220" s="20" t="n">
        <v>-161.131</v>
      </c>
      <c r="M220" s="20" t="n">
        <v>-208.662</v>
      </c>
      <c r="T220" s="20" t="n">
        <v>0</v>
      </c>
      <c r="U220" s="20" t="n">
        <v>-60.106</v>
      </c>
      <c r="V220" s="20" t="n">
        <v>-109.201</v>
      </c>
      <c r="W220" s="20" t="n">
        <v>-161.131</v>
      </c>
      <c r="X220" s="20" t="n">
        <v>-208.662</v>
      </c>
    </row>
    <row r="221">
      <c r="A221" s="18" t="inlineStr">
        <is>
          <t>정기예금 인출</t>
        </is>
      </c>
      <c r="E221" s="20" t="n">
        <v>80.40000000000001</v>
      </c>
      <c r="I221" s="20" t="n">
        <v>129.922</v>
      </c>
      <c r="M221" s="20" t="n">
        <v>179.688</v>
      </c>
      <c r="T221" s="20" t="n">
        <v>0</v>
      </c>
      <c r="U221" s="20" t="n">
        <v>44.205</v>
      </c>
      <c r="V221" s="20" t="n">
        <v>80.40000000000001</v>
      </c>
      <c r="W221" s="20" t="n">
        <v>129.922</v>
      </c>
      <c r="X221" s="20" t="n">
        <v>179.688</v>
      </c>
    </row>
    <row r="222">
      <c r="A222" s="18" t="inlineStr">
        <is>
          <t>유형자산 취득(설비투자)</t>
        </is>
      </c>
      <c r="E222" s="20" t="n">
        <v>-1174.012</v>
      </c>
      <c r="I222" s="20" t="n">
        <v>-1353.978</v>
      </c>
      <c r="M222" s="20" t="n">
        <v>-2391.51</v>
      </c>
      <c r="O222" s="20" t="n">
        <v>-785.707</v>
      </c>
      <c r="P222" s="20" t="n">
        <v>-1224.343</v>
      </c>
      <c r="Q222" s="20" t="n">
        <v>-796.813</v>
      </c>
      <c r="R222" s="20" t="n">
        <v>-1337.851</v>
      </c>
      <c r="S222" s="20" t="n">
        <v>-842.313</v>
      </c>
      <c r="T222" s="20" t="n">
        <v>-1396.409</v>
      </c>
      <c r="U222" s="20" t="n">
        <v>-998.627</v>
      </c>
      <c r="V222" s="20" t="n">
        <v>-1174.012</v>
      </c>
      <c r="W222" s="20" t="n">
        <v>-1353.978</v>
      </c>
      <c r="X222" s="20" t="n">
        <v>-2391.51</v>
      </c>
    </row>
    <row r="223">
      <c r="A223" s="18" t="inlineStr">
        <is>
          <t>유형자산 매각</t>
        </is>
      </c>
      <c r="E223" s="20" t="n">
        <v>32.11</v>
      </c>
      <c r="I223" s="20" t="n">
        <v>24.366</v>
      </c>
      <c r="M223" s="20" t="n">
        <v>216.874</v>
      </c>
      <c r="O223" s="20" t="n">
        <v>15.549</v>
      </c>
      <c r="P223" s="20" t="n">
        <v>33.138</v>
      </c>
      <c r="Q223" s="20" t="n">
        <v>148.801</v>
      </c>
      <c r="R223" s="20" t="n">
        <v>50.72</v>
      </c>
      <c r="S223" s="20" t="n">
        <v>146.58</v>
      </c>
      <c r="T223" s="20" t="n">
        <v>109.838</v>
      </c>
      <c r="U223" s="20" t="n">
        <v>12.234</v>
      </c>
      <c r="V223" s="20" t="n">
        <v>32.11</v>
      </c>
      <c r="W223" s="20" t="n">
        <v>24.366</v>
      </c>
      <c r="X223" s="20" t="n">
        <v>216.874</v>
      </c>
    </row>
    <row r="224">
      <c r="A224" s="18" t="inlineStr">
        <is>
          <t>무형자산 취득</t>
        </is>
      </c>
      <c r="E224" s="20" t="n">
        <v>-293.672</v>
      </c>
      <c r="I224" s="20" t="n">
        <v>-322.406</v>
      </c>
      <c r="M224" s="20" t="n">
        <v>-66.396</v>
      </c>
      <c r="O224" s="20" t="n">
        <v>-63.09</v>
      </c>
      <c r="P224" s="20" t="n">
        <v>-67.98999999999999</v>
      </c>
      <c r="Q224" s="20" t="n">
        <v>-193.539</v>
      </c>
      <c r="R224" s="20" t="n">
        <v>-205.483</v>
      </c>
      <c r="S224" s="20" t="n">
        <v>-305.954</v>
      </c>
      <c r="T224" s="20" t="n">
        <v>-227.422</v>
      </c>
      <c r="U224" s="20" t="n">
        <v>-129.096</v>
      </c>
      <c r="V224" s="20" t="n">
        <v>-293.672</v>
      </c>
      <c r="W224" s="20" t="n">
        <v>-322.406</v>
      </c>
      <c r="X224" s="20" t="n">
        <v>-66.396</v>
      </c>
    </row>
    <row r="225">
      <c r="A225" s="18" t="inlineStr">
        <is>
          <t>무형자산 매각 수입</t>
        </is>
      </c>
      <c r="E225" s="20" t="n">
        <v>2.086</v>
      </c>
      <c r="I225" s="20" t="n">
        <v>1.582</v>
      </c>
      <c r="M225" s="20" t="n">
        <v>0</v>
      </c>
      <c r="O225" s="20" t="n">
        <v>0.925</v>
      </c>
      <c r="P225" s="20" t="n">
        <v>0.858</v>
      </c>
      <c r="Q225" s="20" t="n">
        <v>5.289</v>
      </c>
      <c r="R225" s="20" t="n">
        <v>1.513</v>
      </c>
      <c r="S225" s="20" t="n">
        <v>0.454</v>
      </c>
      <c r="T225" s="20" t="n">
        <v>4.207</v>
      </c>
      <c r="U225" s="20" t="n">
        <v>5.468</v>
      </c>
      <c r="V225" s="20" t="n">
        <v>2.086</v>
      </c>
      <c r="W225" s="20" t="n">
        <v>1.582</v>
      </c>
      <c r="X225" s="20" t="n">
        <v>0</v>
      </c>
    </row>
    <row r="226">
      <c r="A226" s="18" t="inlineStr">
        <is>
          <t>자산복구부채 이행 지출</t>
        </is>
      </c>
      <c r="E226" s="20" t="n">
        <v>0</v>
      </c>
      <c r="I226" s="20" t="n">
        <v>0</v>
      </c>
      <c r="M226" s="20" t="n">
        <v>-3.05</v>
      </c>
      <c r="T226" s="20" t="n">
        <v>0</v>
      </c>
      <c r="U226" s="20" t="n">
        <v>-15.7</v>
      </c>
      <c r="V226" s="20" t="n">
        <v>0</v>
      </c>
      <c r="W226" s="20" t="n">
        <v>0</v>
      </c>
      <c r="X226" s="20" t="n">
        <v>-3.05</v>
      </c>
    </row>
    <row r="227">
      <c r="A227" s="18" t="inlineStr">
        <is>
          <t>투자유가증권 취득</t>
        </is>
      </c>
      <c r="E227" s="20" t="n">
        <v>-0.12</v>
      </c>
      <c r="I227" s="20" t="n">
        <v>-0.245</v>
      </c>
      <c r="M227" s="20" t="n">
        <v>-0.298</v>
      </c>
      <c r="P227" s="20" t="n">
        <v>0</v>
      </c>
      <c r="Q227" s="20" t="n">
        <v>-429.385</v>
      </c>
      <c r="R227" s="20" t="n">
        <v>-112.06</v>
      </c>
      <c r="S227" s="20" t="n">
        <v>0</v>
      </c>
      <c r="T227" s="20" t="n">
        <v>-312</v>
      </c>
      <c r="U227" s="20" t="n">
        <v>-0.182</v>
      </c>
      <c r="V227" s="20" t="n">
        <v>-0.12</v>
      </c>
      <c r="W227" s="20" t="n">
        <v>-0.245</v>
      </c>
      <c r="X227" s="20" t="n">
        <v>-0.298</v>
      </c>
    </row>
    <row r="228">
      <c r="A228" s="18" t="inlineStr">
        <is>
          <t>투자유가증권 매각</t>
        </is>
      </c>
      <c r="E228" s="20" t="n">
        <v>14.065</v>
      </c>
      <c r="I228" s="20" t="n">
        <v>0</v>
      </c>
      <c r="M228" s="20" t="n">
        <v>3.6</v>
      </c>
      <c r="O228" s="20" t="n">
        <v>0</v>
      </c>
      <c r="P228" s="20" t="n">
        <v>1.03</v>
      </c>
      <c r="Q228" s="20" t="n">
        <v>5.706</v>
      </c>
      <c r="R228" s="20" t="n">
        <v>746.429</v>
      </c>
      <c r="S228" s="20" t="n">
        <v>0.998</v>
      </c>
      <c r="T228" s="20" t="n">
        <v>74.33499999999999</v>
      </c>
      <c r="U228" s="20" t="n">
        <v>165.315</v>
      </c>
      <c r="V228" s="20" t="n">
        <v>14.065</v>
      </c>
      <c r="W228" s="20" t="n">
        <v>0</v>
      </c>
      <c r="X228" s="20" t="n">
        <v>3.6</v>
      </c>
    </row>
    <row r="229">
      <c r="A229" s="18" t="inlineStr">
        <is>
          <t>투자부동산 매각</t>
        </is>
      </c>
      <c r="S229" s="20" t="n">
        <v>0</v>
      </c>
      <c r="T229" s="20" t="n">
        <v>88.953</v>
      </c>
      <c r="U229" s="20" t="n">
        <v>0</v>
      </c>
    </row>
    <row r="230">
      <c r="A230" s="18" t="inlineStr">
        <is>
          <t>투자유가증권 청산 수입</t>
        </is>
      </c>
      <c r="E230" s="20" t="n">
        <v>0</v>
      </c>
      <c r="I230" s="20" t="n">
        <v>16.553</v>
      </c>
      <c r="M230" s="20" t="n">
        <v>0</v>
      </c>
      <c r="V230" s="20" t="n">
        <v>0</v>
      </c>
      <c r="W230" s="20" t="n">
        <v>16.553</v>
      </c>
      <c r="X230" s="20" t="n">
        <v>0</v>
      </c>
    </row>
    <row r="231">
      <c r="A231" s="18" t="inlineStr">
        <is>
          <t>Payments For Investments In Real Estates Inv CF</t>
        </is>
      </c>
      <c r="E231" s="20" t="n">
        <v>-4.417</v>
      </c>
      <c r="I231" s="20" t="n">
        <v>0</v>
      </c>
      <c r="U231" s="20" t="n">
        <v>0</v>
      </c>
      <c r="V231" s="20" t="n">
        <v>-4.417</v>
      </c>
      <c r="W231" s="20" t="n">
        <v>0</v>
      </c>
    </row>
    <row r="232">
      <c r="A232" s="18" t="inlineStr">
        <is>
          <t>연결범위 변경 자회사 주식 취득</t>
        </is>
      </c>
      <c r="E232" s="20" t="n">
        <v>0</v>
      </c>
      <c r="Q232" s="20" t="n">
        <v>0</v>
      </c>
      <c r="R232" s="20" t="n">
        <v>-508.322</v>
      </c>
      <c r="S232" s="20" t="n">
        <v>0</v>
      </c>
      <c r="T232" s="20" t="n">
        <v>-306.818</v>
      </c>
      <c r="U232" s="20" t="n">
        <v>-518.609</v>
      </c>
      <c r="V232" s="20" t="n">
        <v>0</v>
      </c>
    </row>
    <row r="233">
      <c r="A233" s="18" t="inlineStr">
        <is>
          <t>대여</t>
        </is>
      </c>
      <c r="O233" s="20" t="n">
        <v>-0.54</v>
      </c>
      <c r="P233" s="20" t="n">
        <v>0</v>
      </c>
      <c r="Q233" s="20" t="n">
        <v>0</v>
      </c>
      <c r="R233" s="20" t="n">
        <v>-5.016</v>
      </c>
      <c r="S233" s="20" t="n">
        <v>0</v>
      </c>
    </row>
    <row r="234">
      <c r="A234" s="18" t="inlineStr">
        <is>
          <t>관계회사 주식 취득</t>
        </is>
      </c>
      <c r="S234" s="20" t="n">
        <v>0</v>
      </c>
      <c r="T234" s="20" t="n">
        <v>-288.397</v>
      </c>
      <c r="U234" s="20" t="n">
        <v>0</v>
      </c>
    </row>
    <row r="235">
      <c r="A235" s="18" t="inlineStr">
        <is>
          <t>대여금 회수</t>
        </is>
      </c>
      <c r="E235" s="20" t="n">
        <v>1.31</v>
      </c>
      <c r="I235" s="20" t="n">
        <v>0.08500000000000001</v>
      </c>
      <c r="M235" s="20" t="n">
        <v>0</v>
      </c>
      <c r="O235" s="20" t="n">
        <v>22.863</v>
      </c>
      <c r="P235" s="20" t="n">
        <v>0.54</v>
      </c>
      <c r="Q235" s="20" t="n">
        <v>0</v>
      </c>
      <c r="R235" s="20" t="n">
        <v>0.368</v>
      </c>
      <c r="S235" s="20" t="n">
        <v>3.655</v>
      </c>
      <c r="T235" s="20" t="n">
        <v>0.6860000000000001</v>
      </c>
      <c r="U235" s="20" t="n">
        <v>3.1</v>
      </c>
      <c r="V235" s="20" t="n">
        <v>1.31</v>
      </c>
      <c r="W235" s="20" t="n">
        <v>0.08500000000000001</v>
      </c>
      <c r="X235" s="20" t="n">
        <v>0</v>
      </c>
    </row>
    <row r="236">
      <c r="A236" s="18" t="inlineStr">
        <is>
          <t>사업양수 지출</t>
        </is>
      </c>
      <c r="R236" s="20" t="n">
        <v>0</v>
      </c>
      <c r="S236" s="20" t="n">
        <v>-600</v>
      </c>
      <c r="T236" s="20" t="n">
        <v>0</v>
      </c>
    </row>
    <row r="237">
      <c r="A237" s="18" t="inlineStr">
        <is>
          <t>기타</t>
        </is>
      </c>
      <c r="E237" s="20" t="n">
        <v>-0.003</v>
      </c>
      <c r="I237" s="20" t="n">
        <v>-1.203</v>
      </c>
      <c r="M237" s="20" t="n">
        <v>-2.786</v>
      </c>
      <c r="O237" s="20" t="n">
        <v>5.05</v>
      </c>
      <c r="P237" s="20" t="n">
        <v>0.05</v>
      </c>
      <c r="Q237" s="20" t="n">
        <v>-2.84</v>
      </c>
      <c r="R237" s="20" t="n">
        <v>20.932</v>
      </c>
      <c r="S237" s="20" t="n">
        <v>31.75</v>
      </c>
      <c r="T237" s="20" t="n">
        <v>3.796</v>
      </c>
      <c r="U237" s="20" t="n">
        <v>-0.109</v>
      </c>
      <c r="V237" s="20" t="n">
        <v>-0.003</v>
      </c>
      <c r="W237" s="20" t="n">
        <v>-1.203</v>
      </c>
      <c r="X237" s="20" t="n">
        <v>-2.786</v>
      </c>
    </row>
    <row r="238">
      <c r="A238" s="9" t="inlineStr">
        <is>
          <t>투자활동 현금흐름</t>
        </is>
      </c>
      <c r="E238" s="12" t="n">
        <v>-1451.453</v>
      </c>
      <c r="I238" s="12" t="n">
        <v>-1666.454</v>
      </c>
      <c r="M238" s="12" t="n">
        <v>-2272.54</v>
      </c>
      <c r="O238" s="12" t="n">
        <v>-804.949</v>
      </c>
      <c r="P238" s="12" t="n">
        <v>-1256.715</v>
      </c>
      <c r="Q238" s="12" t="n">
        <v>-1262.782</v>
      </c>
      <c r="R238" s="12" t="n">
        <v>-1348.771</v>
      </c>
      <c r="S238" s="12" t="n">
        <v>-1564.828</v>
      </c>
      <c r="T238" s="12" t="n">
        <v>-2249.229</v>
      </c>
      <c r="U238" s="12" t="n">
        <v>-1492.105</v>
      </c>
      <c r="V238" s="12" t="n">
        <v>-1451.453</v>
      </c>
      <c r="W238" s="12" t="n">
        <v>-1666.454</v>
      </c>
      <c r="X238" s="12" t="n">
        <v>-2272.54</v>
      </c>
    </row>
    <row r="239">
      <c r="A239" s="18" t="inlineStr">
        <is>
          <t>단기차입</t>
        </is>
      </c>
      <c r="E239" s="20" t="n">
        <v>1670</v>
      </c>
      <c r="I239" s="20" t="n">
        <v>1360</v>
      </c>
      <c r="M239" s="20" t="n">
        <v>840</v>
      </c>
      <c r="O239" s="20" t="n">
        <v>300</v>
      </c>
      <c r="P239" s="20" t="n">
        <v>900</v>
      </c>
      <c r="Q239" s="20" t="n">
        <v>300</v>
      </c>
      <c r="R239" s="20" t="n">
        <v>300</v>
      </c>
      <c r="S239" s="20" t="n">
        <v>1110</v>
      </c>
      <c r="T239" s="20" t="n">
        <v>1680</v>
      </c>
      <c r="U239" s="20" t="n">
        <v>1390</v>
      </c>
      <c r="V239" s="20" t="n">
        <v>1670</v>
      </c>
      <c r="W239" s="20" t="n">
        <v>1360</v>
      </c>
      <c r="X239" s="20" t="n">
        <v>840</v>
      </c>
    </row>
    <row r="240">
      <c r="A240" s="18" t="inlineStr">
        <is>
          <t>단기차입금 상환</t>
        </is>
      </c>
      <c r="E240" s="20" t="n">
        <v>-1700</v>
      </c>
      <c r="I240" s="20" t="n">
        <v>-1360</v>
      </c>
      <c r="M240" s="20" t="n">
        <v>-870</v>
      </c>
      <c r="O240" s="20" t="n">
        <v>-300</v>
      </c>
      <c r="P240" s="20" t="n">
        <v>-900</v>
      </c>
      <c r="Q240" s="20" t="n">
        <v>-300</v>
      </c>
      <c r="R240" s="20" t="n">
        <v>-300</v>
      </c>
      <c r="S240" s="20" t="n">
        <v>-1080</v>
      </c>
      <c r="T240" s="20" t="n">
        <v>-1680</v>
      </c>
      <c r="U240" s="20" t="n">
        <v>-1360</v>
      </c>
      <c r="V240" s="20" t="n">
        <v>-1700</v>
      </c>
      <c r="W240" s="20" t="n">
        <v>-1360</v>
      </c>
      <c r="X240" s="20" t="n">
        <v>-870</v>
      </c>
    </row>
    <row r="241">
      <c r="A241" s="18" t="inlineStr">
        <is>
          <t>장기차입</t>
        </is>
      </c>
      <c r="E241" s="20" t="n">
        <v>650</v>
      </c>
      <c r="I241" s="20" t="n">
        <v>50</v>
      </c>
      <c r="M241" s="20" t="n">
        <v>550</v>
      </c>
      <c r="Q241" s="20" t="n">
        <v>0</v>
      </c>
      <c r="R241" s="20" t="n">
        <v>2390.002</v>
      </c>
      <c r="S241" s="20" t="n">
        <v>429.2</v>
      </c>
      <c r="T241" s="20" t="n">
        <v>500</v>
      </c>
      <c r="U241" s="20" t="n">
        <v>973.38</v>
      </c>
      <c r="V241" s="20" t="n">
        <v>650</v>
      </c>
      <c r="W241" s="20" t="n">
        <v>50</v>
      </c>
      <c r="X241" s="20" t="n">
        <v>550</v>
      </c>
    </row>
    <row r="242">
      <c r="A242" s="18" t="inlineStr">
        <is>
          <t>장기차입금 상환</t>
        </is>
      </c>
      <c r="E242" s="20" t="n">
        <v>-653.352</v>
      </c>
      <c r="I242" s="20" t="n">
        <v>-580.356</v>
      </c>
      <c r="M242" s="20" t="n">
        <v>-488.266</v>
      </c>
      <c r="O242" s="20" t="n">
        <v>-38.17</v>
      </c>
      <c r="P242" s="20" t="n">
        <v>0</v>
      </c>
      <c r="Q242" s="20" t="n">
        <v>0</v>
      </c>
      <c r="R242" s="20" t="n">
        <v>-1157.133</v>
      </c>
      <c r="S242" s="20" t="n">
        <v>-646.628</v>
      </c>
      <c r="T242" s="20" t="n">
        <v>-754.828</v>
      </c>
      <c r="U242" s="20" t="n">
        <v>-1028.821</v>
      </c>
      <c r="V242" s="20" t="n">
        <v>-653.352</v>
      </c>
      <c r="W242" s="20" t="n">
        <v>-580.356</v>
      </c>
      <c r="X242" s="20" t="n">
        <v>-488.266</v>
      </c>
    </row>
    <row r="243">
      <c r="A243" s="18" t="inlineStr">
        <is>
          <t>배당금 지급</t>
        </is>
      </c>
      <c r="E243" s="20" t="n">
        <v>-183.213</v>
      </c>
      <c r="I243" s="20" t="n">
        <v>-198.346</v>
      </c>
      <c r="M243" s="20" t="n">
        <v>-214.665</v>
      </c>
      <c r="O243" s="20" t="n">
        <v>-122.115</v>
      </c>
      <c r="P243" s="20" t="n">
        <v>-115.946</v>
      </c>
      <c r="Q243" s="20" t="n">
        <v>-121.788</v>
      </c>
      <c r="R243" s="20" t="n">
        <v>-129.467</v>
      </c>
      <c r="S243" s="20" t="n">
        <v>-144.543</v>
      </c>
      <c r="T243" s="20" t="n">
        <v>-160.056</v>
      </c>
      <c r="U243" s="20" t="n">
        <v>-166.996</v>
      </c>
      <c r="V243" s="20" t="n">
        <v>-183.213</v>
      </c>
      <c r="W243" s="20" t="n">
        <v>-198.346</v>
      </c>
      <c r="X243" s="20" t="n">
        <v>-214.665</v>
      </c>
    </row>
    <row r="244">
      <c r="A244" s="18" t="inlineStr">
        <is>
          <t>리스부채 상환</t>
        </is>
      </c>
      <c r="E244" s="20" t="n">
        <v>-112.062</v>
      </c>
      <c r="I244" s="20" t="n">
        <v>-129.619</v>
      </c>
      <c r="M244" s="20" t="n">
        <v>-155.43</v>
      </c>
      <c r="O244" s="20" t="n">
        <v>-88.33</v>
      </c>
      <c r="P244" s="20" t="n">
        <v>-100.226</v>
      </c>
      <c r="Q244" s="20" t="n">
        <v>-105.877</v>
      </c>
      <c r="R244" s="20" t="n">
        <v>-99.569</v>
      </c>
      <c r="S244" s="20" t="n">
        <v>-112.742</v>
      </c>
      <c r="T244" s="20" t="n">
        <v>-115.719</v>
      </c>
      <c r="U244" s="20" t="n">
        <v>-120.072</v>
      </c>
      <c r="V244" s="20" t="n">
        <v>-112.062</v>
      </c>
      <c r="W244" s="20" t="n">
        <v>-129.619</v>
      </c>
      <c r="X244" s="20" t="n">
        <v>-155.43</v>
      </c>
    </row>
    <row r="245">
      <c r="A245" s="18" t="inlineStr">
        <is>
          <t>자기주식 취득</t>
        </is>
      </c>
      <c r="E245" s="20" t="n">
        <v>-0.048</v>
      </c>
      <c r="I245" s="20" t="n">
        <v>-0.044</v>
      </c>
      <c r="M245" s="20" t="n">
        <v>-0.016</v>
      </c>
      <c r="O245" s="20" t="n">
        <v>0</v>
      </c>
      <c r="P245" s="20" t="n">
        <v>-52.658</v>
      </c>
      <c r="Q245" s="20" t="n">
        <v>0</v>
      </c>
      <c r="R245" s="20" t="n">
        <v>-0.739</v>
      </c>
      <c r="S245" s="20" t="n">
        <v>-0.011</v>
      </c>
      <c r="T245" s="20" t="n">
        <v>-0.067</v>
      </c>
      <c r="U245" s="20" t="n">
        <v>-0.098</v>
      </c>
      <c r="V245" s="20" t="n">
        <v>-0.048</v>
      </c>
      <c r="W245" s="20" t="n">
        <v>-0.044</v>
      </c>
      <c r="X245" s="20" t="n">
        <v>-0.016</v>
      </c>
    </row>
    <row r="246">
      <c r="A246" s="18" t="inlineStr">
        <is>
          <t>자기주식 매각</t>
        </is>
      </c>
      <c r="E246" s="20" t="n">
        <v>0</v>
      </c>
      <c r="T246" s="20" t="n">
        <v>0</v>
      </c>
      <c r="U246" s="20" t="n">
        <v>13.115</v>
      </c>
      <c r="V246" s="20" t="n">
        <v>0</v>
      </c>
    </row>
    <row r="247">
      <c r="A247" s="18" t="inlineStr">
        <is>
          <t>연결범위 변경 없는 자회사 주식 취득</t>
        </is>
      </c>
      <c r="E247" s="20" t="n">
        <v>-651.95</v>
      </c>
      <c r="I247" s="20" t="n">
        <v>0</v>
      </c>
      <c r="U247" s="20" t="n">
        <v>0</v>
      </c>
      <c r="V247" s="20" t="n">
        <v>-651.95</v>
      </c>
      <c r="W247" s="20" t="n">
        <v>0</v>
      </c>
    </row>
    <row r="248">
      <c r="A248" s="18" t="inlineStr">
        <is>
          <t>기타</t>
        </is>
      </c>
      <c r="E248" s="20" t="n">
        <v>0</v>
      </c>
      <c r="T248" s="20" t="n">
        <v>0</v>
      </c>
      <c r="U248" s="20" t="n">
        <v>8.9</v>
      </c>
      <c r="V248" s="20" t="n">
        <v>0</v>
      </c>
    </row>
    <row r="249">
      <c r="A249" s="9" t="inlineStr">
        <is>
          <t>재무활동 현금흐름</t>
        </is>
      </c>
      <c r="E249" s="12" t="n">
        <v>-980.626</v>
      </c>
      <c r="I249" s="12" t="n">
        <v>-858.366</v>
      </c>
      <c r="M249" s="12" t="n">
        <v>-338.378</v>
      </c>
      <c r="O249" s="12" t="n">
        <v>-248.616</v>
      </c>
      <c r="P249" s="12" t="n">
        <v>-268.831</v>
      </c>
      <c r="Q249" s="12" t="n">
        <v>-227.666</v>
      </c>
      <c r="R249" s="12" t="n">
        <v>1003.092</v>
      </c>
      <c r="S249" s="12" t="n">
        <v>-444.725</v>
      </c>
      <c r="T249" s="12" t="n">
        <v>-530.671</v>
      </c>
      <c r="U249" s="12" t="n">
        <v>-290.593</v>
      </c>
      <c r="V249" s="12" t="n">
        <v>-980.626</v>
      </c>
      <c r="W249" s="12" t="n">
        <v>-858.366</v>
      </c>
      <c r="X249" s="12" t="n">
        <v>-338.378</v>
      </c>
    </row>
    <row r="250">
      <c r="A250" s="18" t="inlineStr">
        <is>
          <t>현금성자산 증감</t>
        </is>
      </c>
      <c r="E250" s="20" t="n">
        <v>-153.595</v>
      </c>
      <c r="I250" s="20" t="n">
        <v>-503.621</v>
      </c>
      <c r="M250" s="20" t="n">
        <v>114.859</v>
      </c>
      <c r="O250" s="20" t="n">
        <v>-91.369</v>
      </c>
      <c r="P250" s="20" t="n">
        <v>99.619</v>
      </c>
      <c r="Q250" s="20" t="n">
        <v>44.893</v>
      </c>
      <c r="R250" s="20" t="n">
        <v>792.261</v>
      </c>
      <c r="S250" s="20" t="n">
        <v>-312.642</v>
      </c>
      <c r="T250" s="20" t="n">
        <v>-1724.153</v>
      </c>
      <c r="U250" s="20" t="n">
        <v>473.398</v>
      </c>
      <c r="V250" s="20" t="n">
        <v>-153.595</v>
      </c>
      <c r="W250" s="20" t="n">
        <v>-503.621</v>
      </c>
      <c r="X250" s="20" t="n">
        <v>114.859</v>
      </c>
    </row>
    <row r="251">
      <c r="A251" s="18" t="inlineStr">
        <is>
          <t>신규 연결 현금성자산 증가</t>
        </is>
      </c>
      <c r="E251" s="20" t="n">
        <v>223.78</v>
      </c>
      <c r="I251" s="20" t="n">
        <v>0</v>
      </c>
      <c r="U251" s="20" t="n">
        <v>0</v>
      </c>
      <c r="V251" s="20" t="n">
        <v>223.78</v>
      </c>
      <c r="W251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9818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8750.059999999999</v>
      </c>
      <c r="D5" s="12" t="n">
        <v>8243.737999999999</v>
      </c>
      <c r="E5" s="12" t="n">
        <v>9133.546</v>
      </c>
      <c r="F5" s="12" t="n">
        <v>9534.654</v>
      </c>
      <c r="G5" s="12" t="n">
        <v>9536.884</v>
      </c>
      <c r="H5" s="11" t="n">
        <v>8554.442999999999</v>
      </c>
      <c r="I5" s="12" t="n">
        <v>9395.163</v>
      </c>
      <c r="J5" s="12" t="n">
        <v>9688.625</v>
      </c>
      <c r="K5" s="12" t="n">
        <v>9624.002</v>
      </c>
      <c r="L5" s="12" t="n">
        <v>9534.654</v>
      </c>
    </row>
    <row r="6">
      <c r="A6" s="18" t="inlineStr">
        <is>
          <t>현금및현금성자산</t>
        </is>
      </c>
      <c r="B6" s="10" t="n"/>
      <c r="C6" s="19" t="n">
        <v>3296.087</v>
      </c>
      <c r="D6" s="20" t="n">
        <v>3288.12</v>
      </c>
      <c r="E6" s="20" t="n">
        <v>3247.945</v>
      </c>
      <c r="F6" s="20" t="n">
        <v>3362.368</v>
      </c>
      <c r="G6" s="20" t="n">
        <v>3152.984</v>
      </c>
      <c r="H6" s="19" t="n">
        <v>3067.475</v>
      </c>
      <c r="I6" s="20" t="n">
        <v>3591.964</v>
      </c>
      <c r="J6" s="20" t="n">
        <v>3690.95</v>
      </c>
      <c r="K6" s="20" t="n">
        <v>3218.536</v>
      </c>
      <c r="L6" s="20" t="n">
        <v>3362.368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3619.102</v>
      </c>
      <c r="D8" s="20" t="n">
        <v>3414.834</v>
      </c>
      <c r="E8" s="20" t="n">
        <v>4140.562</v>
      </c>
      <c r="F8" s="20" t="n">
        <v>4443.198</v>
      </c>
      <c r="G8" s="20" t="n">
        <v>4248.416</v>
      </c>
      <c r="H8" s="19" t="n">
        <v>4177.731</v>
      </c>
      <c r="I8" s="20" t="n">
        <v>4248.091</v>
      </c>
      <c r="J8" s="20" t="n">
        <v>4354.588</v>
      </c>
      <c r="K8" s="20" t="n">
        <v>4738.103</v>
      </c>
      <c r="L8" s="20" t="n">
        <v>4443.198</v>
      </c>
    </row>
    <row r="9">
      <c r="A9" s="18" t="inlineStr">
        <is>
          <t>재고자산</t>
        </is>
      </c>
      <c r="B9" s="10" t="n"/>
      <c r="C9" s="19" t="n">
        <v>827.7670000000001</v>
      </c>
      <c r="D9" s="20" t="n">
        <v>760.318</v>
      </c>
      <c r="E9" s="20" t="n">
        <v>774.4299999999999</v>
      </c>
      <c r="F9" s="20" t="n">
        <v>793.9589999999999</v>
      </c>
      <c r="G9" s="20" t="n">
        <v>993.748</v>
      </c>
      <c r="H9" s="19" t="n">
        <v>636.569</v>
      </c>
      <c r="I9" s="20" t="n">
        <v>782.381</v>
      </c>
      <c r="J9" s="20" t="n">
        <v>822.8099999999999</v>
      </c>
      <c r="K9" s="20" t="n">
        <v>876.729</v>
      </c>
      <c r="L9" s="20" t="n">
        <v>793.9589999999999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12629.056</v>
      </c>
      <c r="D11" s="12" t="n">
        <v>13364.052</v>
      </c>
      <c r="E11" s="12" t="n">
        <v>13462.653</v>
      </c>
      <c r="F11" s="12" t="n">
        <v>13634.087</v>
      </c>
      <c r="G11" s="12" t="n">
        <v>13538.653</v>
      </c>
      <c r="H11" s="11" t="n">
        <v>11668.709</v>
      </c>
      <c r="I11" s="12" t="n">
        <v>12416.614</v>
      </c>
      <c r="J11" s="12" t="n">
        <v>12139.573</v>
      </c>
      <c r="K11" s="12" t="n">
        <v>12506.591</v>
      </c>
      <c r="L11" s="12" t="n">
        <v>13634.087</v>
      </c>
    </row>
    <row r="12">
      <c r="A12" s="18" t="inlineStr">
        <is>
          <t>유형자산</t>
        </is>
      </c>
      <c r="B12" s="10" t="n"/>
      <c r="C12" s="19" t="n">
        <v>9385.037</v>
      </c>
      <c r="D12" s="20" t="n">
        <v>9998.77</v>
      </c>
      <c r="E12" s="20" t="n">
        <v>10180.67</v>
      </c>
      <c r="F12" s="20" t="n">
        <v>10309.305</v>
      </c>
      <c r="G12" s="20" t="n">
        <v>10361.716</v>
      </c>
      <c r="H12" s="19" t="n">
        <v>7789.305</v>
      </c>
      <c r="I12" s="20" t="n">
        <v>8390.288</v>
      </c>
      <c r="J12" s="20" t="n">
        <v>8719.835999999999</v>
      </c>
      <c r="K12" s="20" t="n">
        <v>9178.076999999999</v>
      </c>
      <c r="L12" s="20" t="n">
        <v>10309.305</v>
      </c>
    </row>
    <row r="13">
      <c r="A13" s="18" t="inlineStr">
        <is>
          <t>무형자산</t>
        </is>
      </c>
      <c r="B13" s="10" t="n"/>
      <c r="C13" s="19" t="n">
        <v>2077.102</v>
      </c>
      <c r="D13" s="20" t="n">
        <v>1985.371</v>
      </c>
      <c r="E13" s="20" t="n">
        <v>1882.693</v>
      </c>
      <c r="F13" s="20" t="n">
        <v>1777.218</v>
      </c>
      <c r="G13" s="20" t="n">
        <v>1673.138</v>
      </c>
      <c r="H13" s="19" t="n">
        <v>2189.026</v>
      </c>
      <c r="I13" s="20" t="n">
        <v>2633.489</v>
      </c>
      <c r="J13" s="20" t="n">
        <v>2349.091</v>
      </c>
      <c r="K13" s="20" t="n">
        <v>2177.263</v>
      </c>
      <c r="L13" s="20" t="n">
        <v>1777.218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21379.116</v>
      </c>
      <c r="D16" s="12" t="n">
        <v>21607.79</v>
      </c>
      <c r="E16" s="12" t="n">
        <v>22596.2</v>
      </c>
      <c r="F16" s="12" t="n">
        <v>23168.741</v>
      </c>
      <c r="G16" s="12" t="n">
        <v>23075.537</v>
      </c>
      <c r="H16" s="11" t="n">
        <v>20223.153</v>
      </c>
      <c r="I16" s="12" t="n">
        <v>21811.777</v>
      </c>
      <c r="J16" s="12" t="n">
        <v>21828.198</v>
      </c>
      <c r="K16" s="12" t="n">
        <v>22130.593</v>
      </c>
      <c r="L16" s="12" t="n">
        <v>23168.741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4591.957</v>
      </c>
      <c r="D18" s="12" t="n">
        <v>4560.559</v>
      </c>
      <c r="E18" s="12" t="n">
        <v>5222.601</v>
      </c>
      <c r="F18" s="12" t="n">
        <v>5352.127</v>
      </c>
      <c r="G18" s="12" t="n">
        <v>5125.207</v>
      </c>
      <c r="H18" s="11" t="n">
        <v>5017.517</v>
      </c>
      <c r="I18" s="12" t="n">
        <v>5356.228</v>
      </c>
      <c r="J18" s="12" t="n">
        <v>5559.981</v>
      </c>
      <c r="K18" s="12" t="n">
        <v>5397.967</v>
      </c>
      <c r="L18" s="12" t="n">
        <v>5352.127</v>
      </c>
    </row>
    <row r="19">
      <c r="A19" s="18" t="inlineStr">
        <is>
          <t>매입채무</t>
        </is>
      </c>
      <c r="B19" s="10" t="n"/>
      <c r="C19" s="19" t="n">
        <v>1550.444</v>
      </c>
      <c r="D19" s="20" t="n">
        <v>1495.026</v>
      </c>
      <c r="E19" s="20" t="n">
        <v>1772.625</v>
      </c>
      <c r="F19" s="20" t="n">
        <v>1728.286</v>
      </c>
      <c r="G19" s="20" t="n">
        <v>1807.303</v>
      </c>
      <c r="H19" s="19" t="n">
        <v>2266.286</v>
      </c>
      <c r="I19" s="20" t="n">
        <v>2424.752</v>
      </c>
      <c r="J19" s="20" t="n">
        <v>1805.15</v>
      </c>
      <c r="K19" s="20" t="n">
        <v>2007.858</v>
      </c>
      <c r="L19" s="20" t="n">
        <v>1728.286</v>
      </c>
    </row>
    <row r="20">
      <c r="A20" s="18" t="inlineStr">
        <is>
          <t>단기차입금</t>
        </is>
      </c>
      <c r="B20" s="10" t="n"/>
      <c r="C20" s="19" t="n">
        <v>140</v>
      </c>
      <c r="D20" s="20" t="n">
        <v>0</v>
      </c>
      <c r="E20" s="20" t="n">
        <v>90</v>
      </c>
      <c r="F20" s="20" t="n">
        <v>0</v>
      </c>
      <c r="G20" s="20" t="n">
        <v>120</v>
      </c>
      <c r="H20" s="19" t="n">
        <v>30</v>
      </c>
      <c r="I20" s="20" t="n">
        <v>60</v>
      </c>
      <c r="J20" s="20" t="n">
        <v>30</v>
      </c>
      <c r="K20" s="20" t="n">
        <v>30</v>
      </c>
      <c r="L20" s="20" t="n">
        <v>0</v>
      </c>
    </row>
    <row r="21">
      <c r="A21" s="18" t="inlineStr">
        <is>
          <t>유동성장기부채</t>
        </is>
      </c>
      <c r="B21" s="10" t="n"/>
      <c r="C21" s="19" t="n">
        <v>439.524</v>
      </c>
      <c r="D21" s="20" t="n">
        <v>489.516</v>
      </c>
      <c r="E21" s="20" t="n">
        <v>529.908</v>
      </c>
      <c r="F21" s="20" t="n">
        <v>502.773</v>
      </c>
      <c r="G21" s="20" t="n">
        <v>470.434</v>
      </c>
      <c r="H21" s="19" t="n">
        <v>673.534</v>
      </c>
      <c r="I21" s="20" t="n">
        <v>536.726</v>
      </c>
      <c r="J21" s="20" t="n">
        <v>577.02</v>
      </c>
      <c r="K21" s="20" t="n">
        <v>439.524</v>
      </c>
      <c r="L21" s="20" t="n">
        <v>502.773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1776.799</v>
      </c>
      <c r="D23" s="12" t="n">
        <v>1836.732</v>
      </c>
      <c r="E23" s="12" t="n">
        <v>1969.052</v>
      </c>
      <c r="F23" s="12" t="n">
        <v>1863.652</v>
      </c>
      <c r="G23" s="12" t="n">
        <v>1750.369</v>
      </c>
      <c r="H23" s="11" t="n">
        <v>1838.889</v>
      </c>
      <c r="I23" s="12" t="n">
        <v>2225.853</v>
      </c>
      <c r="J23" s="12" t="n">
        <v>2133.937</v>
      </c>
      <c r="K23" s="12" t="n">
        <v>1822.727</v>
      </c>
      <c r="L23" s="12" t="n">
        <v>1863.652</v>
      </c>
    </row>
    <row r="24">
      <c r="A24" s="18" t="inlineStr">
        <is>
          <t>장기차입금</t>
        </is>
      </c>
      <c r="B24" s="10" t="n"/>
      <c r="C24" s="19" t="n">
        <v>574.516</v>
      </c>
      <c r="D24" s="20" t="n">
        <v>656.311</v>
      </c>
      <c r="E24" s="20" t="n">
        <v>753.381</v>
      </c>
      <c r="F24" s="20" t="n">
        <v>682.8819999999999</v>
      </c>
      <c r="G24" s="20" t="n">
        <v>580.3440000000001</v>
      </c>
      <c r="H24" s="19" t="n">
        <v>1000.943</v>
      </c>
      <c r="I24" s="20" t="n">
        <v>1120.903</v>
      </c>
      <c r="J24" s="20" t="n">
        <v>1077.257</v>
      </c>
      <c r="K24" s="20" t="n">
        <v>684.397</v>
      </c>
      <c r="L24" s="20" t="n">
        <v>682.8819999999999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6368.757</v>
      </c>
      <c r="D27" s="12" t="n">
        <v>6397.292</v>
      </c>
      <c r="E27" s="12" t="n">
        <v>7191.654</v>
      </c>
      <c r="F27" s="12" t="n">
        <v>7215.78</v>
      </c>
      <c r="G27" s="12" t="n">
        <v>6875.576</v>
      </c>
      <c r="H27" s="11" t="n">
        <v>6856.406</v>
      </c>
      <c r="I27" s="12" t="n">
        <v>7582.082</v>
      </c>
      <c r="J27" s="12" t="n">
        <v>7693.919</v>
      </c>
      <c r="K27" s="12" t="n">
        <v>7220.695</v>
      </c>
      <c r="L27" s="12" t="n">
        <v>7215.78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15010.359</v>
      </c>
      <c r="D31" s="12" t="n">
        <v>15210.498</v>
      </c>
      <c r="E31" s="12" t="n">
        <v>15404.545</v>
      </c>
      <c r="F31" s="12" t="n">
        <v>15952.961</v>
      </c>
      <c r="G31" s="12" t="n">
        <v>16199.96</v>
      </c>
      <c r="H31" s="11" t="n">
        <v>13366.747</v>
      </c>
      <c r="I31" s="12" t="n">
        <v>13799.796</v>
      </c>
      <c r="J31" s="12" t="n">
        <v>14134.279</v>
      </c>
      <c r="K31" s="12" t="n">
        <v>14909.898</v>
      </c>
      <c r="L31" s="12" t="n">
        <v>15952.961</v>
      </c>
    </row>
    <row r="32">
      <c r="A32" s="18" t="inlineStr">
        <is>
          <t>자본금</t>
        </is>
      </c>
      <c r="B32" s="10" t="n"/>
      <c r="C32" s="19" t="n">
        <v>870.5</v>
      </c>
      <c r="D32" s="20" t="n">
        <v>870.5</v>
      </c>
      <c r="E32" s="20" t="n">
        <v>870.5</v>
      </c>
      <c r="F32" s="20" t="n">
        <v>870.5</v>
      </c>
      <c r="G32" s="20" t="n">
        <v>870.5</v>
      </c>
      <c r="H32" s="19" t="n">
        <v>870.5</v>
      </c>
      <c r="I32" s="20" t="n">
        <v>870.5</v>
      </c>
      <c r="J32" s="20" t="n">
        <v>870.5</v>
      </c>
      <c r="K32" s="20" t="n">
        <v>870.5</v>
      </c>
      <c r="L32" s="20" t="n">
        <v>870.5</v>
      </c>
    </row>
    <row r="33">
      <c r="A33" s="18" t="inlineStr">
        <is>
          <t>이익잉여금</t>
        </is>
      </c>
      <c r="B33" s="10" t="n"/>
      <c r="C33" s="19" t="n">
        <v>13142.226</v>
      </c>
      <c r="D33" s="20" t="n">
        <v>13168.964</v>
      </c>
      <c r="E33" s="20" t="n">
        <v>13351.478</v>
      </c>
      <c r="F33" s="20" t="n">
        <v>13806.751</v>
      </c>
      <c r="G33" s="20" t="n">
        <v>14042.466</v>
      </c>
      <c r="H33" s="19" t="n">
        <v>11327.516</v>
      </c>
      <c r="I33" s="20" t="n">
        <v>11820.874</v>
      </c>
      <c r="J33" s="20" t="n">
        <v>12371.461</v>
      </c>
      <c r="K33" s="20" t="n">
        <v>13061.343</v>
      </c>
      <c r="L33" s="20" t="n">
        <v>13806.751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>
        <v>0</v>
      </c>
      <c r="I34" s="20" t="n">
        <v>429.899</v>
      </c>
      <c r="J34" s="20" t="n">
        <v>0</v>
      </c>
      <c r="K34" s="20" t="n"/>
      <c r="L34" s="20" t="n"/>
    </row>
    <row r="35">
      <c r="A35" s="9" t="inlineStr">
        <is>
          <t>자본총계</t>
        </is>
      </c>
      <c r="B35" s="10" t="n"/>
      <c r="C35" s="11" t="n">
        <v>15010.359</v>
      </c>
      <c r="D35" s="12" t="n">
        <v>15210.498</v>
      </c>
      <c r="E35" s="12" t="n">
        <v>15404.545</v>
      </c>
      <c r="F35" s="12" t="n">
        <v>15952.961</v>
      </c>
      <c r="G35" s="12" t="n">
        <v>16199.96</v>
      </c>
      <c r="H35" s="11" t="n">
        <v>13366.747</v>
      </c>
      <c r="I35" s="12" t="n">
        <v>14229.695</v>
      </c>
      <c r="J35" s="12" t="n">
        <v>14134.279</v>
      </c>
      <c r="K35" s="12" t="n">
        <v>14909.898</v>
      </c>
      <c r="L35" s="12" t="n">
        <v>15952.961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/>
      <c r="F37" s="12" t="n">
        <v>2725.777</v>
      </c>
      <c r="G37" s="12" t="n"/>
      <c r="H37" s="11" t="n">
        <v>1055.747</v>
      </c>
      <c r="I37" s="12" t="n">
        <v>2256.098</v>
      </c>
      <c r="J37" s="12" t="n">
        <v>2278.484</v>
      </c>
      <c r="K37" s="12" t="n">
        <v>2021.199</v>
      </c>
      <c r="L37" s="12" t="n">
        <v>2725.777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>
        <v>2457.906</v>
      </c>
      <c r="G38" s="20" t="n"/>
      <c r="H38" s="19" t="n">
        <v>1623.831</v>
      </c>
      <c r="I38" s="20" t="n">
        <v>1127.723</v>
      </c>
      <c r="J38" s="20" t="n">
        <v>1467.684</v>
      </c>
      <c r="K38" s="20" t="n">
        <v>1676.384</v>
      </c>
      <c r="L38" s="20" t="n">
        <v>2457.906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>
        <v>214.665</v>
      </c>
      <c r="G40" s="20" t="n"/>
      <c r="H40" s="19" t="n">
        <v>160.056</v>
      </c>
      <c r="I40" s="20" t="n">
        <v>166.996</v>
      </c>
      <c r="J40" s="20" t="n">
        <v>183.213</v>
      </c>
      <c r="K40" s="20" t="n">
        <v>198.346</v>
      </c>
      <c r="L40" s="20" t="n">
        <v>214.665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IFERROR(IF((IF(COUNT('연간'!G58:J58)&lt;4,"",SUM('연간'!G58:J58)))&lt;=0,"적자",C28/(IF(COUNT('연간'!G58:J58)&lt;4,"",SUM('연간'!G58:J58)))),"")</f>
        <v/>
      </c>
      <c r="D49" s="47">
        <f>IFERROR(IF((IF(COUNT('연간'!H58:K58)&lt;4,"",SUM('연간'!H58:K58)))&lt;=0,"적자",D28/(IF(COUNT('연간'!H58:K58)&lt;4,"",SUM('연간'!H58:K58)))),"")</f>
        <v/>
      </c>
      <c r="E49" s="47">
        <f>IFERROR(IF((IF(COUNT('연간'!I58:L58)&lt;4,"",SUM('연간'!I58:L58)))&lt;=0,"적자",E28/(IF(COUNT('연간'!I58:L58)&lt;4,"",SUM('연간'!I58:L58)))),"")</f>
        <v/>
      </c>
      <c r="F49" s="47">
        <f>IFERROR(IF((IF(COUNT('연간'!J58:M58)&lt;4,"",SUM('연간'!J58:M58)))&lt;=0,"적자",F28/(IF(COUNT('연간'!J58:M58)&lt;4,"",SUM('연간'!J58:M58)))),"")</f>
        <v/>
      </c>
      <c r="G49" s="47">
        <f>IFERROR(IF((IF(COUNT('연간'!K58:N58)&lt;4,"",SUM('연간'!K58:N58)))&lt;=0,"적자",G28/(IF(COUNT('연간'!K58:N58)&lt;4,"",SUM('연간'!K58:N58)))),"")</f>
        <v/>
      </c>
      <c r="H49" s="46">
        <f>IFERROR(IF(('연간'!T58)&lt;=0,"적자",H28/('연간'!T58)),"")</f>
        <v/>
      </c>
      <c r="I49" s="47">
        <f>IFERROR(IF(('연간'!U58)&lt;=0,"적자",I28/('연간'!U58)),"")</f>
        <v/>
      </c>
      <c r="J49" s="47">
        <f>IFERROR(IF(('연간'!V58)&lt;=0,"적자",J28/('연간'!V58)),"")</f>
        <v/>
      </c>
      <c r="K49" s="47">
        <f>IFERROR(IF(('연간'!W58)&lt;=0,"적자",K28/('연간'!W58)),"")</f>
        <v/>
      </c>
      <c r="L49" s="47">
        <f>IFERROR(IF(('연간'!X58)&lt;=0,"적자",L28/('연간'!X58)),"")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IFERROR((IF(COUNT('연간'!G58:J58)&lt;4,"",SUM('연간'!G58:J58)))/C31,"")</f>
        <v/>
      </c>
      <c r="D51" s="36">
        <f>IFERROR((IF(COUNT('연간'!H58:K58)&lt;4,"",SUM('연간'!H58:K58)))/D31,"")</f>
        <v/>
      </c>
      <c r="E51" s="36">
        <f>IFERROR((IF(COUNT('연간'!I58:L58)&lt;4,"",SUM('연간'!I58:L58)))/E31,"")</f>
        <v/>
      </c>
      <c r="F51" s="36">
        <f>IFERROR((IF(COUNT('연간'!J58:M58)&lt;4,"",SUM('연간'!J58:M58)))/F31,"")</f>
        <v/>
      </c>
      <c r="G51" s="36">
        <f>IFERROR((IF(COUNT('연간'!K58:N58)&lt;4,"",SUM('연간'!K58:N58)))/G31,"")</f>
        <v/>
      </c>
      <c r="H51" s="35">
        <f>IFERROR(('연간'!T58)/H31,"")</f>
        <v/>
      </c>
      <c r="I51" s="36">
        <f>IFERROR(('연간'!U58)/I31,"")</f>
        <v/>
      </c>
      <c r="J51" s="36">
        <f>IFERROR(('연간'!V58)/J31,"")</f>
        <v/>
      </c>
      <c r="K51" s="36">
        <f>IFERROR(('연간'!W58)/K31,"")</f>
        <v/>
      </c>
      <c r="L51" s="36">
        <f>IFERROR(('연간'!X58)/L31,"")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IFERROR((IF(COUNT('연간'!G56:J56)&lt;4,"",SUM('연간'!G56:J56)))/C16,"")</f>
        <v/>
      </c>
      <c r="D52" s="36">
        <f>IFERROR((IF(COUNT('연간'!H56:K56)&lt;4,"",SUM('연간'!H56:K56)))/D16,"")</f>
        <v/>
      </c>
      <c r="E52" s="36">
        <f>IFERROR((IF(COUNT('연간'!I56:L56)&lt;4,"",SUM('연간'!I56:L56)))/E16,"")</f>
        <v/>
      </c>
      <c r="F52" s="36">
        <f>IFERROR((IF(COUNT('연간'!J56:M56)&lt;4,"",SUM('연간'!J56:M56)))/F16,"")</f>
        <v/>
      </c>
      <c r="G52" s="36">
        <f>IFERROR((IF(COUNT('연간'!K56:N56)&lt;4,"",SUM('연간'!K56:N56)))/G16,"")</f>
        <v/>
      </c>
      <c r="H52" s="35">
        <f>IFERROR(('연간'!T56)/H16,"")</f>
        <v/>
      </c>
      <c r="I52" s="36">
        <f>IFERROR(('연간'!U56)/I16,"")</f>
        <v/>
      </c>
      <c r="J52" s="36">
        <f>IFERROR(('연간'!V56)/J16,"")</f>
        <v/>
      </c>
      <c r="K52" s="36">
        <f>IFERROR(('연간'!W56)/K16,"")</f>
        <v/>
      </c>
      <c r="L52" s="36">
        <f>IFERROR(('연간'!X56)/L16,"")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IFERROR((IF(COUNT('연간'!G22:J22)&lt;4,"",SUM('연간'!G22:J22)))/(IF(COUNT('연간'!G4:J4)&lt;4,"",SUM('연간'!G4:J4))),"")</f>
        <v/>
      </c>
      <c r="D54" s="36">
        <f>IFERROR((IF(COUNT('연간'!H22:K22)&lt;4,"",SUM('연간'!H22:K22)))/(IF(COUNT('연간'!H4:K4)&lt;4,"",SUM('연간'!H4:K4))),"")</f>
        <v/>
      </c>
      <c r="E54" s="36">
        <f>IFERROR((IF(COUNT('연간'!I22:L22)&lt;4,"",SUM('연간'!I22:L22)))/(IF(COUNT('연간'!I4:L4)&lt;4,"",SUM('연간'!I4:L4))),"")</f>
        <v/>
      </c>
      <c r="F54" s="36">
        <f>IFERROR((IF(COUNT('연간'!J22:M22)&lt;4,"",SUM('연간'!J22:M22)))/(IF(COUNT('연간'!J4:M4)&lt;4,"",SUM('연간'!J4:M4))),"")</f>
        <v/>
      </c>
      <c r="G54" s="36">
        <f>IFERROR((IF(COUNT('연간'!K22:N22)&lt;4,"",SUM('연간'!K22:N22)))/(IF(COUNT('연간'!K4:N4)&lt;4,"",SUM('연간'!K4:N4))),"")</f>
        <v/>
      </c>
      <c r="H54" s="35">
        <f>IFERROR(('연간'!T22)/('연간'!T4),"")</f>
        <v/>
      </c>
      <c r="I54" s="36">
        <f>IFERROR(('연간'!U22)/('연간'!U4),"")</f>
        <v/>
      </c>
      <c r="J54" s="36">
        <f>IFERROR(('연간'!V22)/('연간'!V4),"")</f>
        <v/>
      </c>
      <c r="K54" s="36">
        <f>IFERROR(('연간'!W22)/('연간'!W4),"")</f>
        <v/>
      </c>
      <c r="L54" s="36">
        <f>IFERROR(('연간'!X22)/('연간'!X4),"")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IFERROR((IF(COUNT('연간'!G56:J56)&lt;4,"",SUM('연간'!G56:J56)))/(IF(COUNT('연간'!G4:J4)&lt;4,"",SUM('연간'!G4:J4))),"")</f>
        <v/>
      </c>
      <c r="D56" s="36">
        <f>IFERROR((IF(COUNT('연간'!H56:K56)&lt;4,"",SUM('연간'!H56:K56)))/(IF(COUNT('연간'!H4:K4)&lt;4,"",SUM('연간'!H4:K4))),"")</f>
        <v/>
      </c>
      <c r="E56" s="36">
        <f>IFERROR((IF(COUNT('연간'!I56:L56)&lt;4,"",SUM('연간'!I56:L56)))/(IF(COUNT('연간'!I4:L4)&lt;4,"",SUM('연간'!I4:L4))),"")</f>
        <v/>
      </c>
      <c r="F56" s="36">
        <f>IFERROR((IF(COUNT('연간'!J56:M56)&lt;4,"",SUM('연간'!J56:M56)))/(IF(COUNT('연간'!J4:M4)&lt;4,"",SUM('연간'!J4:M4))),"")</f>
        <v/>
      </c>
      <c r="G56" s="36">
        <f>IFERROR((IF(COUNT('연간'!K56:N56)&lt;4,"",SUM('연간'!K56:N56)))/(IF(COUNT('연간'!K4:N4)&lt;4,"",SUM('연간'!K4:N4))),"")</f>
        <v/>
      </c>
      <c r="H56" s="35">
        <f>IFERROR(('연간'!T56)/('연간'!T4),"")</f>
        <v/>
      </c>
      <c r="I56" s="36">
        <f>IFERROR(('연간'!U56)/('연간'!U4),"")</f>
        <v/>
      </c>
      <c r="J56" s="36">
        <f>IFERROR(('연간'!V56)/('연간'!V4),"")</f>
        <v/>
      </c>
      <c r="K56" s="36">
        <f>IFERROR(('연간'!W56)/('연간'!W4),"")</f>
        <v/>
      </c>
      <c r="L56" s="36">
        <f>IFERROR(('연간'!X56)/('연간'!X4),"")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IFERROR(C9/(IF(COUNT('연간'!G20:J20)&lt;4,"",SUM('연간'!G20:J20)))*365,"")</f>
        <v/>
      </c>
      <c r="D60" s="49">
        <f>IFERROR(D9/(IF(COUNT('연간'!H20:K20)&lt;4,"",SUM('연간'!H20:K20)))*365,"")</f>
        <v/>
      </c>
      <c r="E60" s="49">
        <f>IFERROR(E9/(IF(COUNT('연간'!I20:L20)&lt;4,"",SUM('연간'!I20:L20)))*365,"")</f>
        <v/>
      </c>
      <c r="F60" s="49">
        <f>IFERROR(F9/(IF(COUNT('연간'!J20:M20)&lt;4,"",SUM('연간'!J20:M20)))*365,"")</f>
        <v/>
      </c>
      <c r="G60" s="49">
        <f>IFERROR(G9/(IF(COUNT('연간'!K20:N20)&lt;4,"",SUM('연간'!K20:N20)))*365,"")</f>
        <v/>
      </c>
      <c r="H60" s="48">
        <f>IFERROR(H9/('연간'!T20)*365,"")</f>
        <v/>
      </c>
      <c r="I60" s="49">
        <f>IFERROR(I9/('연간'!U20)*365,"")</f>
        <v/>
      </c>
      <c r="J60" s="49">
        <f>IFERROR(J9/('연간'!V20)*365,"")</f>
        <v/>
      </c>
      <c r="K60" s="49">
        <f>IFERROR(K9/('연간'!W20)*365,"")</f>
        <v/>
      </c>
      <c r="L60" s="49">
        <f>IFERROR(L9/('연간'!X20)*365,"")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IFERROR(C19/(IF(COUNT('연간'!G20:J20)&lt;4,"",SUM('연간'!G20:J20)))*365,"")</f>
        <v/>
      </c>
      <c r="D61" s="49">
        <f>IFERROR(D19/(IF(COUNT('연간'!H20:K20)&lt;4,"",SUM('연간'!H20:K20)))*365,"")</f>
        <v/>
      </c>
      <c r="E61" s="49">
        <f>IFERROR(E19/(IF(COUNT('연간'!I20:L20)&lt;4,"",SUM('연간'!I20:L20)))*365,"")</f>
        <v/>
      </c>
      <c r="F61" s="49">
        <f>IFERROR(F19/(IF(COUNT('연간'!J20:M20)&lt;4,"",SUM('연간'!J20:M20)))*365,"")</f>
        <v/>
      </c>
      <c r="G61" s="49">
        <f>IFERROR(G19/(IF(COUNT('연간'!K20:N20)&lt;4,"",SUM('연간'!K20:N20)))*365,"")</f>
        <v/>
      </c>
      <c r="H61" s="48">
        <f>IFERROR(H19/('연간'!T20)*365,"")</f>
        <v/>
      </c>
      <c r="I61" s="49">
        <f>IFERROR(I19/('연간'!U20)*365,"")</f>
        <v/>
      </c>
      <c r="J61" s="49">
        <f>IFERROR(J19/('연간'!V20)*365,"")</f>
        <v/>
      </c>
      <c r="K61" s="49">
        <f>IFERROR(K19/('연간'!W20)*365,"")</f>
        <v/>
      </c>
      <c r="L61" s="49">
        <f>IFERROR(L19/('연간'!X20)*365,"")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IF(C37="","",IFERROR(C37/(IF(COUNT('연간'!G56:J56)&lt;4,"",SUM('연간'!G56:J56))),""))</f>
        <v/>
      </c>
      <c r="D64" s="31">
        <f>IF(D37="","",IFERROR(D37/(IF(COUNT('연간'!H56:K56)&lt;4,"",SUM('연간'!H56:K56))),""))</f>
        <v/>
      </c>
      <c r="E64" s="31">
        <f>IF(E37="","",IFERROR(E37/(IF(COUNT('연간'!I56:L56)&lt;4,"",SUM('연간'!I56:L56))),""))</f>
        <v/>
      </c>
      <c r="F64" s="31">
        <f>IF(F37="","",IFERROR(F37/(IF(COUNT('연간'!J56:M56)&lt;4,"",SUM('연간'!J56:M56))),""))</f>
        <v/>
      </c>
      <c r="G64" s="31">
        <f>IF(G37="","",IFERROR(G37/(IF(COUNT('연간'!K56:N56)&lt;4,"",SUM('연간'!K56:N56))),""))</f>
        <v/>
      </c>
      <c r="H64" s="30">
        <f>IF(H37="","",IFERROR(H37/('연간'!T56),""))</f>
        <v/>
      </c>
      <c r="I64" s="31">
        <f>IF(I37="","",IFERROR(I37/('연간'!U56),""))</f>
        <v/>
      </c>
      <c r="J64" s="31">
        <f>IF(J37="","",IFERROR(J37/('연간'!V56),""))</f>
        <v/>
      </c>
      <c r="K64" s="31">
        <f>IF(K37="","",IFERROR(K37/('연간'!W56),""))</f>
        <v/>
      </c>
      <c r="L64" s="31">
        <f>IF(L37="","",IFERROR(L37/('연간'!X56),""))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IF(C40="","",IFERROR(C40/(IF(COUNT('연간'!G58:J58)&lt;4,"",SUM('연간'!G58:J58))),""))</f>
        <v/>
      </c>
      <c r="D67" s="36">
        <f>IF(D40="","",IFERROR(D40/(IF(COUNT('연간'!H58:K58)&lt;4,"",SUM('연간'!H58:K58))),""))</f>
        <v/>
      </c>
      <c r="E67" s="36">
        <f>IF(E40="","",IFERROR(E40/(IF(COUNT('연간'!I58:L58)&lt;4,"",SUM('연간'!I58:L58))),""))</f>
        <v/>
      </c>
      <c r="F67" s="36">
        <f>IF(F40="","",IFERROR(F40/(IF(COUNT('연간'!J58:M58)&lt;4,"",SUM('연간'!J58:M58))),""))</f>
        <v/>
      </c>
      <c r="G67" s="36">
        <f>IF(G40="","",IFERROR(G40/(IF(COUNT('연간'!K58:N58)&lt;4,"",SUM('연간'!K58:N58))),""))</f>
        <v/>
      </c>
      <c r="H67" s="35">
        <f>IF(H40="","",IFERROR(H40/('연간'!T58),""))</f>
        <v/>
      </c>
      <c r="I67" s="36">
        <f>IF(I40="","",IFERROR(I40/('연간'!U58),""))</f>
        <v/>
      </c>
      <c r="J67" s="36">
        <f>IF(J40="","",IFERROR(J40/('연간'!V58),""))</f>
        <v/>
      </c>
      <c r="K67" s="36">
        <f>IF(K40="","",IFERROR(K40/('연간'!W58),""))</f>
        <v/>
      </c>
      <c r="L67" s="36">
        <f>IF(L40="","",IFERROR(L40/('연간'!X58),""))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3296.087</v>
      </c>
      <c r="D71" s="20" t="n">
        <v>3288.12</v>
      </c>
      <c r="E71" s="20" t="n">
        <v>3247.945</v>
      </c>
      <c r="F71" s="20" t="n">
        <v>3362.368</v>
      </c>
      <c r="G71" s="20" t="n">
        <v>3152.984</v>
      </c>
      <c r="H71" s="20" t="n">
        <v>3067.475</v>
      </c>
      <c r="I71" s="20" t="n">
        <v>3591.964</v>
      </c>
      <c r="J71" s="20" t="n">
        <v>3690.95</v>
      </c>
      <c r="K71" s="20" t="n">
        <v>3218.536</v>
      </c>
      <c r="L71" s="20" t="n">
        <v>3362.368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</t>
        </is>
      </c>
      <c r="F73" s="20" t="n">
        <v>81.76600000000001</v>
      </c>
      <c r="H73" s="20" t="n">
        <v>422.507</v>
      </c>
      <c r="I73" s="20" t="n">
        <v>297.536</v>
      </c>
      <c r="J73" s="20" t="n">
        <v>273.908</v>
      </c>
      <c r="K73" s="20" t="n">
        <v>165.675</v>
      </c>
      <c r="L73" s="20" t="n">
        <v>81.76600000000001</v>
      </c>
    </row>
    <row r="74">
      <c r="A74" s="18" t="inlineStr">
        <is>
          <t>받을어음·매출채권·계약자산</t>
        </is>
      </c>
      <c r="C74" s="20" t="n">
        <v>3619.102</v>
      </c>
      <c r="D74" s="20" t="n">
        <v>3414.834</v>
      </c>
      <c r="E74" s="20" t="n">
        <v>4140.562</v>
      </c>
      <c r="F74" s="20" t="n">
        <v>4443.198</v>
      </c>
      <c r="G74" s="20" t="n">
        <v>4248.416</v>
      </c>
      <c r="H74" s="20" t="n">
        <v>4177.731</v>
      </c>
      <c r="I74" s="20" t="n">
        <v>4248.091</v>
      </c>
      <c r="J74" s="20" t="n">
        <v>4354.588</v>
      </c>
      <c r="K74" s="20" t="n">
        <v>4738.103</v>
      </c>
      <c r="L74" s="20" t="n">
        <v>4443.198</v>
      </c>
    </row>
    <row r="75">
      <c r="A75" s="18" t="inlineStr">
        <is>
          <t>전자기록채권</t>
        </is>
      </c>
      <c r="C75" s="20" t="n">
        <v>317.918</v>
      </c>
      <c r="D75" s="20" t="n">
        <v>335.384</v>
      </c>
      <c r="E75" s="20" t="n">
        <v>383.03</v>
      </c>
      <c r="F75" s="20" t="n">
        <v>380.6</v>
      </c>
      <c r="G75" s="20" t="n">
        <v>420.913</v>
      </c>
      <c r="H75" s="20" t="n">
        <v>165.593</v>
      </c>
      <c r="I75" s="20" t="n">
        <v>223.073</v>
      </c>
      <c r="J75" s="20" t="n">
        <v>271.878</v>
      </c>
      <c r="K75" s="20" t="n">
        <v>322.067</v>
      </c>
      <c r="L75" s="20" t="n">
        <v>380.6</v>
      </c>
    </row>
    <row r="76">
      <c r="A76" s="18" t="inlineStr">
        <is>
          <t>매출채권</t>
        </is>
      </c>
      <c r="F76" s="20" t="n">
        <v>3909.576</v>
      </c>
      <c r="H76" s="20" t="n">
        <v>3389.997</v>
      </c>
      <c r="I76" s="20" t="n">
        <v>3532.547</v>
      </c>
      <c r="J76" s="20" t="n">
        <v>3634.708</v>
      </c>
      <c r="K76" s="20" t="n">
        <v>4022.543</v>
      </c>
      <c r="L76" s="20" t="n">
        <v>3909.576</v>
      </c>
    </row>
    <row r="77">
      <c r="A77" s="18" t="inlineStr">
        <is>
          <t>계약자산</t>
        </is>
      </c>
      <c r="F77" s="20" t="n">
        <v>451.856</v>
      </c>
      <c r="H77" s="20" t="n">
        <v>365.226</v>
      </c>
      <c r="I77" s="20" t="n">
        <v>418.007</v>
      </c>
      <c r="J77" s="20" t="n">
        <v>445.971</v>
      </c>
      <c r="K77" s="20" t="n">
        <v>549.885</v>
      </c>
      <c r="L77" s="20" t="n">
        <v>451.856</v>
      </c>
    </row>
    <row r="78">
      <c r="A78" s="18" t="inlineStr">
        <is>
          <t>상품·제품</t>
        </is>
      </c>
      <c r="C78" s="20" t="n">
        <v>827.7670000000001</v>
      </c>
      <c r="D78" s="20" t="n">
        <v>760.318</v>
      </c>
      <c r="E78" s="20" t="n">
        <v>774.4299999999999</v>
      </c>
      <c r="F78" s="20" t="n">
        <v>793.9589999999999</v>
      </c>
      <c r="G78" s="20" t="n">
        <v>993.748</v>
      </c>
      <c r="H78" s="20" t="n">
        <v>636.569</v>
      </c>
      <c r="I78" s="20" t="n">
        <v>782.381</v>
      </c>
      <c r="J78" s="20" t="n">
        <v>822.8099999999999</v>
      </c>
      <c r="K78" s="20" t="n">
        <v>876.729</v>
      </c>
      <c r="L78" s="20" t="n">
        <v>793.9589999999999</v>
      </c>
    </row>
    <row r="79">
      <c r="A79" s="18" t="inlineStr">
        <is>
          <t>기타</t>
        </is>
      </c>
      <c r="C79" s="20" t="n">
        <v>713.938</v>
      </c>
      <c r="D79" s="20" t="n">
        <v>467.521</v>
      </c>
      <c r="E79" s="20" t="n">
        <v>614.293</v>
      </c>
      <c r="F79" s="20" t="n">
        <v>583.04</v>
      </c>
      <c r="G79" s="20" t="n">
        <v>748.163</v>
      </c>
      <c r="H79" s="20" t="n">
        <v>541.893</v>
      </c>
      <c r="I79" s="20" t="n">
        <v>575.9589999999999</v>
      </c>
      <c r="J79" s="20" t="n">
        <v>575.684</v>
      </c>
      <c r="K79" s="20" t="n">
        <v>498.479</v>
      </c>
      <c r="L79" s="20" t="n">
        <v>583.04</v>
      </c>
    </row>
    <row r="80">
      <c r="A80" s="18" t="inlineStr">
        <is>
          <t>대손충당금</t>
        </is>
      </c>
      <c r="C80" s="20" t="n">
        <v>-24.753</v>
      </c>
      <c r="D80" s="20" t="n">
        <v>-22.44</v>
      </c>
      <c r="E80" s="20" t="n">
        <v>-26.714</v>
      </c>
      <c r="F80" s="20" t="n">
        <v>-28.513</v>
      </c>
      <c r="G80" s="20" t="n">
        <v>-27.342</v>
      </c>
      <c r="H80" s="20" t="n">
        <v>-34.819</v>
      </c>
      <c r="I80" s="20" t="n">
        <v>-26.306</v>
      </c>
      <c r="J80" s="20" t="n">
        <v>-27.285</v>
      </c>
      <c r="K80" s="20" t="n">
        <v>-29.913</v>
      </c>
      <c r="L80" s="20" t="n">
        <v>-28.513</v>
      </c>
    </row>
    <row r="81">
      <c r="A81" s="9" t="inlineStr">
        <is>
          <t>유동자산 합계</t>
        </is>
      </c>
      <c r="C81" s="12" t="n">
        <v>8750.059999999999</v>
      </c>
      <c r="D81" s="12" t="n">
        <v>8243.737999999999</v>
      </c>
      <c r="E81" s="12" t="n">
        <v>9133.546</v>
      </c>
      <c r="F81" s="12" t="n">
        <v>9534.654</v>
      </c>
      <c r="G81" s="12" t="n">
        <v>9536.884</v>
      </c>
      <c r="H81" s="12" t="n">
        <v>8554.442999999999</v>
      </c>
      <c r="I81" s="12" t="n">
        <v>9395.163</v>
      </c>
      <c r="J81" s="12" t="n">
        <v>9688.625</v>
      </c>
      <c r="K81" s="12" t="n">
        <v>9624.002</v>
      </c>
      <c r="L81" s="12" t="n">
        <v>9534.654</v>
      </c>
    </row>
    <row r="82">
      <c r="A82" s="18" t="inlineStr">
        <is>
          <t>건물·구축물</t>
        </is>
      </c>
      <c r="F82" s="20" t="n">
        <v>7785.236</v>
      </c>
      <c r="H82" s="20" t="n">
        <v>5963.873</v>
      </c>
      <c r="I82" s="20" t="n">
        <v>6543.802</v>
      </c>
      <c r="J82" s="20" t="n">
        <v>6726.108</v>
      </c>
      <c r="K82" s="20" t="n">
        <v>6922.845</v>
      </c>
      <c r="L82" s="20" t="n">
        <v>7785.236</v>
      </c>
    </row>
    <row r="83">
      <c r="A83" s="18" t="inlineStr">
        <is>
          <t>감가상각누계액</t>
        </is>
      </c>
      <c r="F83" s="20" t="n">
        <v>-4354.231</v>
      </c>
      <c r="H83" s="20" t="n">
        <v>-3279.119</v>
      </c>
      <c r="I83" s="20" t="n">
        <v>-3780.357</v>
      </c>
      <c r="J83" s="20" t="n">
        <v>-3995.767</v>
      </c>
      <c r="K83" s="20" t="n">
        <v>-4230.401</v>
      </c>
      <c r="L83" s="20" t="n">
        <v>-4354.231</v>
      </c>
    </row>
    <row r="84">
      <c r="A84" s="18" t="inlineStr">
        <is>
          <t>건물·구축물(순액)</t>
        </is>
      </c>
      <c r="C84" s="20" t="n">
        <v>2656.654</v>
      </c>
      <c r="D84" s="20" t="n">
        <v>3000.352</v>
      </c>
      <c r="E84" s="20" t="n">
        <v>2953.031</v>
      </c>
      <c r="F84" s="20" t="n">
        <v>3431.005</v>
      </c>
      <c r="G84" s="20" t="n">
        <v>3372.67</v>
      </c>
      <c r="H84" s="20" t="n">
        <v>2684.754</v>
      </c>
      <c r="I84" s="20" t="n">
        <v>2763.444</v>
      </c>
      <c r="J84" s="20" t="n">
        <v>2730.34</v>
      </c>
      <c r="K84" s="20" t="n">
        <v>2692.444</v>
      </c>
      <c r="L84" s="20" t="n">
        <v>3431.005</v>
      </c>
    </row>
    <row r="85">
      <c r="A85" s="18" t="inlineStr">
        <is>
          <t>기계장치·운반구</t>
        </is>
      </c>
      <c r="F85" s="20" t="n">
        <v>6161.123</v>
      </c>
      <c r="H85" s="20" t="n">
        <v>5369.142</v>
      </c>
      <c r="I85" s="20" t="n">
        <v>6037.974</v>
      </c>
      <c r="J85" s="20" t="n">
        <v>6125.533</v>
      </c>
      <c r="K85" s="20" t="n">
        <v>6096.502</v>
      </c>
      <c r="L85" s="20" t="n">
        <v>6161.123</v>
      </c>
    </row>
    <row r="86">
      <c r="A86" s="18" t="inlineStr">
        <is>
          <t>감가상각누계액</t>
        </is>
      </c>
      <c r="F86" s="20" t="n">
        <v>-5659.243</v>
      </c>
      <c r="H86" s="20" t="n">
        <v>-4836.462</v>
      </c>
      <c r="I86" s="20" t="n">
        <v>-5421.497</v>
      </c>
      <c r="J86" s="20" t="n">
        <v>-5525.785</v>
      </c>
      <c r="K86" s="20" t="n">
        <v>-5555.278</v>
      </c>
      <c r="L86" s="20" t="n">
        <v>-5659.243</v>
      </c>
    </row>
    <row r="87">
      <c r="A87" s="18" t="inlineStr">
        <is>
          <t>기계장치·운반구(순액)</t>
        </is>
      </c>
      <c r="C87" s="20" t="n">
        <v>515.454</v>
      </c>
      <c r="D87" s="20" t="n">
        <v>529.875</v>
      </c>
      <c r="E87" s="20" t="n">
        <v>526.033</v>
      </c>
      <c r="F87" s="20" t="n">
        <v>501.88</v>
      </c>
      <c r="G87" s="20" t="n">
        <v>486.339</v>
      </c>
      <c r="H87" s="20" t="n">
        <v>532.679</v>
      </c>
      <c r="I87" s="20" t="n">
        <v>616.477</v>
      </c>
      <c r="J87" s="20" t="n">
        <v>599.748</v>
      </c>
      <c r="K87" s="20" t="n">
        <v>541.224</v>
      </c>
      <c r="L87" s="20" t="n">
        <v>501.88</v>
      </c>
    </row>
    <row r="88">
      <c r="A88" s="18" t="inlineStr">
        <is>
          <t>공구·기구·비품</t>
        </is>
      </c>
      <c r="F88" s="20" t="n">
        <v>5982.378</v>
      </c>
      <c r="I88" s="20" t="n">
        <v>3636.326</v>
      </c>
      <c r="J88" s="20" t="n">
        <v>4192.29</v>
      </c>
      <c r="K88" s="20" t="n">
        <v>4993.003</v>
      </c>
      <c r="L88" s="20" t="n">
        <v>5982.378</v>
      </c>
    </row>
    <row r="89">
      <c r="A89" s="18" t="inlineStr">
        <is>
          <t>감가상각누계액</t>
        </is>
      </c>
      <c r="F89" s="20" t="n">
        <v>-3855.327</v>
      </c>
      <c r="I89" s="20" t="n">
        <v>-2597.179</v>
      </c>
      <c r="J89" s="20" t="n">
        <v>-2933.471</v>
      </c>
      <c r="K89" s="20" t="n">
        <v>-3375.347</v>
      </c>
      <c r="L89" s="20" t="n">
        <v>-3855.327</v>
      </c>
    </row>
    <row r="90">
      <c r="A90" s="18" t="inlineStr">
        <is>
          <t>공구·기구·비품(순액)</t>
        </is>
      </c>
      <c r="C90" s="20" t="n">
        <v>1722.677</v>
      </c>
      <c r="D90" s="20" t="n">
        <v>1905.65</v>
      </c>
      <c r="E90" s="20" t="n">
        <v>2063.787</v>
      </c>
      <c r="F90" s="20" t="n">
        <v>2127.051</v>
      </c>
      <c r="G90" s="20" t="n">
        <v>2217.602</v>
      </c>
      <c r="I90" s="20" t="n">
        <v>1039.147</v>
      </c>
      <c r="J90" s="20" t="n">
        <v>1258.819</v>
      </c>
      <c r="K90" s="20" t="n">
        <v>1617.655</v>
      </c>
      <c r="L90" s="20" t="n">
        <v>2127.051</v>
      </c>
    </row>
    <row r="91">
      <c r="A91" s="18" t="inlineStr">
        <is>
          <t>토지</t>
        </is>
      </c>
      <c r="C91" s="20" t="n">
        <v>3828.186</v>
      </c>
      <c r="D91" s="20" t="n">
        <v>3981.926</v>
      </c>
      <c r="E91" s="20" t="n">
        <v>3875.384</v>
      </c>
      <c r="F91" s="20" t="n">
        <v>3875.384</v>
      </c>
      <c r="G91" s="20" t="n">
        <v>3875.384</v>
      </c>
      <c r="H91" s="20" t="n">
        <v>3239.869</v>
      </c>
      <c r="I91" s="20" t="n">
        <v>3671.547</v>
      </c>
      <c r="J91" s="20" t="n">
        <v>3824.576</v>
      </c>
      <c r="K91" s="20" t="n">
        <v>3828.186</v>
      </c>
      <c r="L91" s="20" t="n">
        <v>3875.384</v>
      </c>
    </row>
    <row r="92">
      <c r="A92" s="18" t="inlineStr">
        <is>
          <t>리스자산</t>
        </is>
      </c>
      <c r="F92" s="20" t="n">
        <v>687.01</v>
      </c>
      <c r="H92" s="20" t="n">
        <v>614.813</v>
      </c>
      <c r="I92" s="20" t="n">
        <v>559.397</v>
      </c>
      <c r="J92" s="20" t="n">
        <v>590.2</v>
      </c>
      <c r="K92" s="20" t="n">
        <v>684.096</v>
      </c>
      <c r="L92" s="20" t="n">
        <v>687.01</v>
      </c>
    </row>
    <row r="93">
      <c r="A93" s="18" t="inlineStr">
        <is>
          <t>감가상각누계액</t>
        </is>
      </c>
      <c r="F93" s="20" t="n">
        <v>-360.952</v>
      </c>
      <c r="H93" s="20" t="n">
        <v>-305.368</v>
      </c>
      <c r="I93" s="20" t="n">
        <v>-272.045</v>
      </c>
      <c r="J93" s="20" t="n">
        <v>-293.868</v>
      </c>
      <c r="K93" s="20" t="n">
        <v>-315.028</v>
      </c>
      <c r="L93" s="20" t="n">
        <v>-360.952</v>
      </c>
    </row>
    <row r="94">
      <c r="A94" s="18" t="inlineStr">
        <is>
          <t>리스자산(순액)</t>
        </is>
      </c>
      <c r="C94" s="20" t="n">
        <v>367.229</v>
      </c>
      <c r="D94" s="20" t="n">
        <v>336.981</v>
      </c>
      <c r="E94" s="20" t="n">
        <v>327.749</v>
      </c>
      <c r="F94" s="20" t="n">
        <v>326.058</v>
      </c>
      <c r="G94" s="20" t="n">
        <v>327.17</v>
      </c>
      <c r="H94" s="20" t="n">
        <v>309.444</v>
      </c>
      <c r="I94" s="20" t="n">
        <v>287.351</v>
      </c>
      <c r="J94" s="20" t="n">
        <v>296.332</v>
      </c>
      <c r="K94" s="20" t="n">
        <v>369.067</v>
      </c>
      <c r="L94" s="20" t="n">
        <v>326.058</v>
      </c>
    </row>
    <row r="95">
      <c r="A95" s="18" t="inlineStr">
        <is>
          <t>기타(순액)</t>
        </is>
      </c>
      <c r="H95" s="20" t="n">
        <v>1022.557</v>
      </c>
      <c r="I95" s="20" t="n">
        <v>1051.468</v>
      </c>
    </row>
    <row r="96">
      <c r="A96" s="18" t="inlineStr">
        <is>
          <t>기타</t>
        </is>
      </c>
      <c r="C96" s="20" t="n">
        <v>294.835</v>
      </c>
      <c r="D96" s="20" t="n">
        <v>243.983</v>
      </c>
      <c r="E96" s="20" t="n">
        <v>434.683</v>
      </c>
      <c r="F96" s="20" t="n">
        <v>47.926</v>
      </c>
      <c r="G96" s="20" t="n">
        <v>82.55</v>
      </c>
      <c r="H96" s="20" t="n">
        <v>3351.005</v>
      </c>
      <c r="I96" s="20" t="n">
        <v>12.321</v>
      </c>
      <c r="J96" s="20" t="n">
        <v>10.02</v>
      </c>
      <c r="K96" s="20" t="n">
        <v>129.499</v>
      </c>
      <c r="L96" s="20" t="n">
        <v>47.926</v>
      </c>
    </row>
    <row r="97">
      <c r="A97" s="18" t="inlineStr">
        <is>
          <t>감가상각누계액</t>
        </is>
      </c>
      <c r="H97" s="20" t="n">
        <v>-2328.447</v>
      </c>
      <c r="I97" s="20" t="n">
        <v>-2597.179</v>
      </c>
    </row>
    <row r="98">
      <c r="A98" s="18" t="inlineStr">
        <is>
          <t>유형자산 합계</t>
        </is>
      </c>
      <c r="C98" s="20" t="n">
        <v>9385.037</v>
      </c>
      <c r="D98" s="20" t="n">
        <v>9998.77</v>
      </c>
      <c r="E98" s="20" t="n">
        <v>10180.67</v>
      </c>
      <c r="F98" s="20" t="n">
        <v>10309.305</v>
      </c>
      <c r="G98" s="20" t="n">
        <v>10361.716</v>
      </c>
      <c r="H98" s="20" t="n">
        <v>7789.305</v>
      </c>
      <c r="I98" s="20" t="n">
        <v>8390.288</v>
      </c>
      <c r="J98" s="20" t="n">
        <v>8719.835999999999</v>
      </c>
      <c r="K98" s="20" t="n">
        <v>9178.076999999999</v>
      </c>
      <c r="L98" s="20" t="n">
        <v>10309.305</v>
      </c>
    </row>
    <row r="99">
      <c r="A99" s="18" t="inlineStr">
        <is>
          <t>영업권</t>
        </is>
      </c>
      <c r="C99" s="20" t="n">
        <v>1353.494</v>
      </c>
      <c r="D99" s="20" t="n">
        <v>1267.502</v>
      </c>
      <c r="E99" s="20" t="n">
        <v>1187.631</v>
      </c>
      <c r="F99" s="20" t="n">
        <v>1102.301</v>
      </c>
      <c r="G99" s="20" t="n">
        <v>1017.438</v>
      </c>
      <c r="H99" s="20" t="n">
        <v>1860.661</v>
      </c>
      <c r="I99" s="20" t="n">
        <v>1771.659</v>
      </c>
      <c r="J99" s="20" t="n">
        <v>1548.943</v>
      </c>
      <c r="K99" s="20" t="n">
        <v>1441.104</v>
      </c>
      <c r="L99" s="20" t="n">
        <v>1102.301</v>
      </c>
    </row>
    <row r="100">
      <c r="A100" s="18" t="inlineStr">
        <is>
          <t>고객관계자산</t>
        </is>
      </c>
      <c r="I100" s="20" t="n">
        <v>778.687</v>
      </c>
      <c r="J100" s="20" t="n">
        <v>717.6369999999999</v>
      </c>
    </row>
    <row r="101">
      <c r="A101" s="18" t="inlineStr">
        <is>
          <t>고객관계자산</t>
        </is>
      </c>
      <c r="E101" s="20" t="n">
        <v>610.799</v>
      </c>
      <c r="H101" s="20" t="n">
        <v>233.249</v>
      </c>
      <c r="I101" s="20" t="n">
        <v>778.687</v>
      </c>
      <c r="J101" s="20" t="n">
        <v>717.6369999999999</v>
      </c>
      <c r="K101" s="20" t="n">
        <v>656.587</v>
      </c>
    </row>
    <row r="102">
      <c r="A102" s="18" t="inlineStr">
        <is>
          <t>고객관계자산</t>
        </is>
      </c>
      <c r="C102" s="20" t="n">
        <v>641.324</v>
      </c>
      <c r="D102" s="20" t="n">
        <v>626.062</v>
      </c>
      <c r="F102" s="20" t="n">
        <v>595.537</v>
      </c>
      <c r="G102" s="20" t="n">
        <v>580.274</v>
      </c>
      <c r="J102" s="20" t="n">
        <v>717.6369999999999</v>
      </c>
      <c r="K102" s="20" t="n">
        <v>656.587</v>
      </c>
      <c r="L102" s="20" t="n">
        <v>595.537</v>
      </c>
    </row>
    <row r="103">
      <c r="A103" s="18" t="inlineStr">
        <is>
          <t>기타</t>
        </is>
      </c>
      <c r="C103" s="20" t="n">
        <v>82.283</v>
      </c>
      <c r="D103" s="20" t="n">
        <v>91.806</v>
      </c>
      <c r="E103" s="20" t="n">
        <v>84.262</v>
      </c>
      <c r="F103" s="20" t="n">
        <v>79.378</v>
      </c>
      <c r="G103" s="20" t="n">
        <v>75.425</v>
      </c>
      <c r="H103" s="20" t="n">
        <v>95.11499999999999</v>
      </c>
      <c r="I103" s="20" t="n">
        <v>83.142</v>
      </c>
      <c r="J103" s="20" t="n">
        <v>82.51000000000001</v>
      </c>
      <c r="K103" s="20" t="n">
        <v>79.56999999999999</v>
      </c>
      <c r="L103" s="20" t="n">
        <v>79.378</v>
      </c>
    </row>
    <row r="104">
      <c r="A104" s="18" t="inlineStr">
        <is>
          <t>무형자산 합계</t>
        </is>
      </c>
      <c r="C104" s="20" t="n">
        <v>2077.102</v>
      </c>
      <c r="D104" s="20" t="n">
        <v>1985.371</v>
      </c>
      <c r="E104" s="20" t="n">
        <v>1882.693</v>
      </c>
      <c r="F104" s="20" t="n">
        <v>1777.218</v>
      </c>
      <c r="G104" s="20" t="n">
        <v>1673.138</v>
      </c>
      <c r="H104" s="20" t="n">
        <v>2189.026</v>
      </c>
      <c r="I104" s="20" t="n">
        <v>2633.489</v>
      </c>
      <c r="J104" s="20" t="n">
        <v>2349.091</v>
      </c>
      <c r="K104" s="20" t="n">
        <v>2177.263</v>
      </c>
      <c r="L104" s="20" t="n">
        <v>1777.218</v>
      </c>
    </row>
    <row r="105">
      <c r="A105" s="18" t="inlineStr">
        <is>
          <t>투자유가증권</t>
        </is>
      </c>
      <c r="C105" s="20" t="n">
        <v>801.79</v>
      </c>
      <c r="D105" s="20" t="n">
        <v>1004.062</v>
      </c>
      <c r="E105" s="20" t="n">
        <v>1020.828</v>
      </c>
      <c r="F105" s="20" t="n">
        <v>1156.892</v>
      </c>
      <c r="G105" s="20" t="n">
        <v>1173.371</v>
      </c>
      <c r="H105" s="20" t="n">
        <v>1113.101</v>
      </c>
      <c r="I105" s="20" t="n">
        <v>717.672</v>
      </c>
      <c r="J105" s="20" t="n">
        <v>682.168</v>
      </c>
      <c r="K105" s="20" t="n">
        <v>774.2</v>
      </c>
      <c r="L105" s="20" t="n">
        <v>1156.892</v>
      </c>
    </row>
    <row r="106">
      <c r="A106" s="18" t="inlineStr">
        <is>
          <t>관계회사 주식</t>
        </is>
      </c>
      <c r="C106" s="20" t="n">
        <v>9.4</v>
      </c>
      <c r="D106" s="20" t="n">
        <v>9.4</v>
      </c>
      <c r="E106" s="20" t="n">
        <v>9.4</v>
      </c>
      <c r="F106" s="20" t="n">
        <v>9.4</v>
      </c>
      <c r="G106" s="20" t="n">
        <v>9.4</v>
      </c>
      <c r="H106" s="20" t="n">
        <v>297.797</v>
      </c>
      <c r="I106" s="20" t="n">
        <v>297.797</v>
      </c>
      <c r="J106" s="20" t="n">
        <v>9.4</v>
      </c>
      <c r="K106" s="20" t="n">
        <v>9.4</v>
      </c>
      <c r="L106" s="20" t="n">
        <v>9.4</v>
      </c>
    </row>
    <row r="107">
      <c r="A107" s="18" t="inlineStr">
        <is>
          <t>이연법인세자산</t>
        </is>
      </c>
      <c r="C107" s="20" t="n">
        <v>75.508</v>
      </c>
      <c r="D107" s="20" t="n">
        <v>77.399</v>
      </c>
      <c r="E107" s="20" t="n">
        <v>71.505</v>
      </c>
      <c r="F107" s="20" t="n">
        <v>74.43600000000001</v>
      </c>
      <c r="G107" s="20" t="n">
        <v>67.748</v>
      </c>
      <c r="H107" s="20" t="n">
        <v>76.60299999999999</v>
      </c>
      <c r="I107" s="20" t="n">
        <v>86.60899999999999</v>
      </c>
      <c r="J107" s="20" t="n">
        <v>91.504</v>
      </c>
      <c r="K107" s="20" t="n">
        <v>87.123</v>
      </c>
      <c r="L107" s="20" t="n">
        <v>74.43600000000001</v>
      </c>
    </row>
    <row r="108">
      <c r="A108" s="18" t="inlineStr">
        <is>
          <t>기타</t>
        </is>
      </c>
      <c r="C108" s="20" t="n">
        <v>282.742</v>
      </c>
      <c r="D108" s="20" t="n">
        <v>290.314</v>
      </c>
      <c r="E108" s="20" t="n">
        <v>298.822</v>
      </c>
      <c r="F108" s="20" t="n">
        <v>308.592</v>
      </c>
      <c r="G108" s="20" t="n">
        <v>255.036</v>
      </c>
      <c r="H108" s="20" t="n">
        <v>207.302</v>
      </c>
      <c r="I108" s="20" t="n">
        <v>292.843</v>
      </c>
      <c r="J108" s="20" t="n">
        <v>287.572</v>
      </c>
      <c r="K108" s="20" t="n">
        <v>283.051</v>
      </c>
      <c r="L108" s="20" t="n">
        <v>308.592</v>
      </c>
    </row>
    <row r="109">
      <c r="A109" s="18" t="inlineStr">
        <is>
          <t>대손충당금</t>
        </is>
      </c>
      <c r="C109" s="20" t="n">
        <v>-2.524</v>
      </c>
      <c r="D109" s="20" t="n">
        <v>-1.266</v>
      </c>
      <c r="E109" s="20" t="n">
        <v>-1.266</v>
      </c>
      <c r="F109" s="20" t="n">
        <v>-1.758</v>
      </c>
      <c r="G109" s="20" t="n">
        <v>-1.758</v>
      </c>
      <c r="H109" s="20" t="n">
        <v>-4.426</v>
      </c>
      <c r="I109" s="20" t="n">
        <v>-2.086</v>
      </c>
      <c r="J109" s="20" t="n">
        <v>0</v>
      </c>
      <c r="K109" s="20" t="n">
        <v>-2.524</v>
      </c>
      <c r="L109" s="20" t="n">
        <v>-1.758</v>
      </c>
    </row>
    <row r="110">
      <c r="A110" s="18" t="inlineStr">
        <is>
          <t>투자 및 기타자산 합계</t>
        </is>
      </c>
      <c r="C110" s="20" t="n">
        <v>1166.916</v>
      </c>
      <c r="D110" s="20" t="n">
        <v>1379.909</v>
      </c>
      <c r="E110" s="20" t="n">
        <v>1399.29</v>
      </c>
      <c r="F110" s="20" t="n">
        <v>1547.563</v>
      </c>
      <c r="G110" s="20" t="n">
        <v>1503.798</v>
      </c>
      <c r="H110" s="20" t="n">
        <v>1690.378</v>
      </c>
      <c r="I110" s="20" t="n">
        <v>1392.836</v>
      </c>
      <c r="J110" s="20" t="n">
        <v>1070.644</v>
      </c>
      <c r="K110" s="20" t="n">
        <v>1151.25</v>
      </c>
      <c r="L110" s="20" t="n">
        <v>1547.563</v>
      </c>
    </row>
    <row r="111">
      <c r="A111" s="9" t="inlineStr">
        <is>
          <t>비유동자산 합계</t>
        </is>
      </c>
      <c r="C111" s="12" t="n">
        <v>12629.056</v>
      </c>
      <c r="D111" s="12" t="n">
        <v>13364.052</v>
      </c>
      <c r="E111" s="12" t="n">
        <v>13462.653</v>
      </c>
      <c r="F111" s="12" t="n">
        <v>13634.087</v>
      </c>
      <c r="G111" s="12" t="n">
        <v>13538.653</v>
      </c>
      <c r="H111" s="12" t="n">
        <v>11668.709</v>
      </c>
      <c r="I111" s="12" t="n">
        <v>12416.614</v>
      </c>
      <c r="J111" s="12" t="n">
        <v>12139.573</v>
      </c>
      <c r="K111" s="12" t="n">
        <v>12506.591</v>
      </c>
      <c r="L111" s="12" t="n">
        <v>13634.087</v>
      </c>
    </row>
    <row r="112">
      <c r="A112" s="9" t="inlineStr">
        <is>
          <t>자산 합계</t>
        </is>
      </c>
      <c r="C112" s="12" t="n">
        <v>21379.116</v>
      </c>
      <c r="D112" s="12" t="n">
        <v>21607.79</v>
      </c>
      <c r="E112" s="12" t="n">
        <v>22596.2</v>
      </c>
      <c r="F112" s="12" t="n">
        <v>23168.741</v>
      </c>
      <c r="G112" s="12" t="n">
        <v>23075.537</v>
      </c>
      <c r="H112" s="12" t="n">
        <v>20223.153</v>
      </c>
      <c r="I112" s="12" t="n">
        <v>21811.777</v>
      </c>
      <c r="J112" s="12" t="n">
        <v>21828.198</v>
      </c>
      <c r="K112" s="12" t="n">
        <v>22130.593</v>
      </c>
      <c r="L112" s="12" t="n">
        <v>23168.741</v>
      </c>
    </row>
    <row r="113">
      <c r="A113" s="18" t="inlineStr">
        <is>
          <t>지급어음·매입채무</t>
        </is>
      </c>
      <c r="C113" s="20" t="n">
        <v>1550.444</v>
      </c>
      <c r="D113" s="20" t="n">
        <v>1495.026</v>
      </c>
      <c r="E113" s="20" t="n">
        <v>1772.625</v>
      </c>
      <c r="F113" s="20" t="n">
        <v>1728.286</v>
      </c>
      <c r="G113" s="20" t="n">
        <v>1807.303</v>
      </c>
      <c r="H113" s="20" t="n">
        <v>2266.286</v>
      </c>
      <c r="I113" s="20" t="n">
        <v>2424.752</v>
      </c>
      <c r="J113" s="20" t="n">
        <v>1805.15</v>
      </c>
      <c r="K113" s="20" t="n">
        <v>2007.858</v>
      </c>
      <c r="L113" s="20" t="n">
        <v>1728.286</v>
      </c>
    </row>
    <row r="114">
      <c r="A114" s="18" t="inlineStr">
        <is>
          <t>전자기록채무</t>
        </is>
      </c>
      <c r="C114" s="20" t="n">
        <v>1439.638</v>
      </c>
      <c r="D114" s="20" t="n">
        <v>1410.232</v>
      </c>
      <c r="E114" s="20" t="n">
        <v>1862.218</v>
      </c>
      <c r="F114" s="20" t="n">
        <v>1558.519</v>
      </c>
      <c r="G114" s="20" t="n">
        <v>1562.552</v>
      </c>
      <c r="H114" s="20" t="n">
        <v>834.48</v>
      </c>
      <c r="I114" s="20" t="n">
        <v>1036.174</v>
      </c>
      <c r="J114" s="20" t="n">
        <v>1770.624</v>
      </c>
      <c r="K114" s="20" t="n">
        <v>1530.987</v>
      </c>
      <c r="L114" s="20" t="n">
        <v>1558.519</v>
      </c>
    </row>
    <row r="115">
      <c r="A115" s="18" t="inlineStr">
        <is>
          <t>단기차입금</t>
        </is>
      </c>
      <c r="C115" s="20" t="n">
        <v>140</v>
      </c>
      <c r="D115" s="20" t="n">
        <v>0</v>
      </c>
      <c r="E115" s="20" t="n">
        <v>90</v>
      </c>
      <c r="F115" s="20" t="n">
        <v>0</v>
      </c>
      <c r="G115" s="20" t="n">
        <v>120</v>
      </c>
      <c r="H115" s="20" t="n">
        <v>30</v>
      </c>
      <c r="I115" s="20" t="n">
        <v>60</v>
      </c>
      <c r="J115" s="20" t="n">
        <v>30</v>
      </c>
      <c r="K115" s="20" t="n">
        <v>30</v>
      </c>
      <c r="L115" s="20" t="n">
        <v>0</v>
      </c>
    </row>
    <row r="116">
      <c r="A116" s="18" t="inlineStr">
        <is>
          <t>1년 내 상환 장기차입금</t>
        </is>
      </c>
      <c r="C116" s="20" t="n">
        <v>439.524</v>
      </c>
      <c r="D116" s="20" t="n">
        <v>489.516</v>
      </c>
      <c r="E116" s="20" t="n">
        <v>529.908</v>
      </c>
      <c r="F116" s="20" t="n">
        <v>502.773</v>
      </c>
      <c r="G116" s="20" t="n">
        <v>470.434</v>
      </c>
      <c r="H116" s="20" t="n">
        <v>673.534</v>
      </c>
      <c r="I116" s="20" t="n">
        <v>536.726</v>
      </c>
      <c r="J116" s="20" t="n">
        <v>577.02</v>
      </c>
      <c r="K116" s="20" t="n">
        <v>439.524</v>
      </c>
      <c r="L116" s="20" t="n">
        <v>502.773</v>
      </c>
    </row>
    <row r="117">
      <c r="A117" s="18" t="inlineStr">
        <is>
          <t>리스부채</t>
        </is>
      </c>
      <c r="C117" s="20" t="n">
        <v>138.646</v>
      </c>
      <c r="D117" s="20" t="n">
        <v>134.128</v>
      </c>
      <c r="E117" s="20" t="n">
        <v>131.038</v>
      </c>
      <c r="F117" s="20" t="n">
        <v>134.503</v>
      </c>
      <c r="G117" s="20" t="n">
        <v>131.653</v>
      </c>
      <c r="H117" s="20" t="n">
        <v>118.411</v>
      </c>
      <c r="I117" s="20" t="n">
        <v>110.843</v>
      </c>
      <c r="J117" s="20" t="n">
        <v>116.827</v>
      </c>
      <c r="K117" s="20" t="n">
        <v>138.392</v>
      </c>
      <c r="L117" s="20" t="n">
        <v>134.503</v>
      </c>
    </row>
    <row r="118">
      <c r="A118" s="18" t="inlineStr">
        <is>
          <t>미지급법인세</t>
        </is>
      </c>
      <c r="C118" s="20" t="n">
        <v>55.586</v>
      </c>
      <c r="D118" s="20" t="n">
        <v>187.05</v>
      </c>
      <c r="E118" s="20" t="n">
        <v>88.01900000000001</v>
      </c>
      <c r="F118" s="20" t="n">
        <v>386.608</v>
      </c>
      <c r="G118" s="20" t="n">
        <v>111.662</v>
      </c>
      <c r="H118" s="20" t="n">
        <v>335.978</v>
      </c>
      <c r="I118" s="20" t="n">
        <v>361.777</v>
      </c>
      <c r="J118" s="20" t="n">
        <v>367.17</v>
      </c>
      <c r="K118" s="20" t="n">
        <v>350.884</v>
      </c>
      <c r="L118" s="20" t="n">
        <v>386.608</v>
      </c>
    </row>
    <row r="119">
      <c r="A119" s="18" t="inlineStr">
        <is>
          <t>계약부채</t>
        </is>
      </c>
      <c r="C119" s="20" t="n">
        <v>57.353</v>
      </c>
      <c r="D119" s="20" t="n">
        <v>54.134</v>
      </c>
      <c r="E119" s="20" t="n">
        <v>19.784</v>
      </c>
      <c r="F119" s="20" t="n">
        <v>21.201</v>
      </c>
      <c r="G119" s="20" t="n">
        <v>86.105</v>
      </c>
      <c r="H119" s="20" t="n">
        <v>2.197</v>
      </c>
      <c r="I119" s="20" t="n">
        <v>15.96</v>
      </c>
      <c r="J119" s="20" t="n">
        <v>54.719</v>
      </c>
      <c r="K119" s="20" t="n">
        <v>24.495</v>
      </c>
      <c r="L119" s="20" t="n">
        <v>21.201</v>
      </c>
    </row>
    <row r="120">
      <c r="A120" s="18" t="inlineStr">
        <is>
          <t>임원 상여충당금</t>
        </is>
      </c>
      <c r="C120" s="20" t="n">
        <v>0</v>
      </c>
      <c r="D120" s="20" t="n">
        <v>0</v>
      </c>
      <c r="E120" s="20" t="n">
        <v>0</v>
      </c>
      <c r="F120" s="20" t="n">
        <v>3.26</v>
      </c>
      <c r="G120" s="20" t="n">
        <v>0</v>
      </c>
      <c r="H120" s="20" t="n">
        <v>25.07</v>
      </c>
      <c r="I120" s="20" t="n">
        <v>26.4</v>
      </c>
      <c r="J120" s="20" t="n">
        <v>22.18</v>
      </c>
      <c r="K120" s="20" t="n">
        <v>3.98</v>
      </c>
      <c r="L120" s="20" t="n">
        <v>3.26</v>
      </c>
    </row>
    <row r="121">
      <c r="A121" s="18" t="inlineStr">
        <is>
          <t>기타</t>
        </is>
      </c>
      <c r="C121" s="20" t="n">
        <v>770.764</v>
      </c>
      <c r="D121" s="20" t="n">
        <v>790.471</v>
      </c>
      <c r="E121" s="20" t="n">
        <v>729.0069999999999</v>
      </c>
      <c r="F121" s="20" t="n">
        <v>1016.975</v>
      </c>
      <c r="G121" s="20" t="n">
        <v>835.496</v>
      </c>
      <c r="H121" s="20" t="n">
        <v>731.558</v>
      </c>
      <c r="I121" s="20" t="n">
        <v>783.5940000000001</v>
      </c>
      <c r="J121" s="20" t="n">
        <v>816.289</v>
      </c>
      <c r="K121" s="20" t="n">
        <v>871.845</v>
      </c>
      <c r="L121" s="20" t="n">
        <v>1016.975</v>
      </c>
    </row>
    <row r="122">
      <c r="A122" s="9" t="inlineStr">
        <is>
          <t>유동부채 합계</t>
        </is>
      </c>
      <c r="C122" s="12" t="n">
        <v>4591.957</v>
      </c>
      <c r="D122" s="12" t="n">
        <v>4560.559</v>
      </c>
      <c r="E122" s="12" t="n">
        <v>5222.601</v>
      </c>
      <c r="F122" s="12" t="n">
        <v>5352.127</v>
      </c>
      <c r="G122" s="12" t="n">
        <v>5125.207</v>
      </c>
      <c r="H122" s="12" t="n">
        <v>5017.517</v>
      </c>
      <c r="I122" s="12" t="n">
        <v>5356.228</v>
      </c>
      <c r="J122" s="12" t="n">
        <v>5559.981</v>
      </c>
      <c r="K122" s="12" t="n">
        <v>5397.967</v>
      </c>
      <c r="L122" s="12" t="n">
        <v>5352.127</v>
      </c>
    </row>
    <row r="123">
      <c r="A123" s="18" t="inlineStr">
        <is>
          <t>장기차입금</t>
        </is>
      </c>
      <c r="C123" s="20" t="n">
        <v>574.516</v>
      </c>
      <c r="D123" s="20" t="n">
        <v>656.311</v>
      </c>
      <c r="E123" s="20" t="n">
        <v>753.381</v>
      </c>
      <c r="F123" s="20" t="n">
        <v>682.8819999999999</v>
      </c>
      <c r="G123" s="20" t="n">
        <v>580.3440000000001</v>
      </c>
      <c r="H123" s="20" t="n">
        <v>1000.943</v>
      </c>
      <c r="I123" s="20" t="n">
        <v>1120.903</v>
      </c>
      <c r="J123" s="20" t="n">
        <v>1077.257</v>
      </c>
      <c r="K123" s="20" t="n">
        <v>684.397</v>
      </c>
      <c r="L123" s="20" t="n">
        <v>682.8819999999999</v>
      </c>
    </row>
    <row r="124">
      <c r="A124" s="18" t="inlineStr">
        <is>
          <t>장기미지급금</t>
        </is>
      </c>
      <c r="H124" s="20" t="n">
        <v>162.153</v>
      </c>
      <c r="I124" s="20" t="n">
        <v>125.655</v>
      </c>
    </row>
    <row r="125">
      <c r="A125" s="18" t="inlineStr">
        <is>
          <t>리스부채</t>
        </is>
      </c>
      <c r="C125" s="20" t="n">
        <v>265.305</v>
      </c>
      <c r="D125" s="20" t="n">
        <v>236.551</v>
      </c>
      <c r="E125" s="20" t="n">
        <v>229.485</v>
      </c>
      <c r="F125" s="20" t="n">
        <v>224.16</v>
      </c>
      <c r="G125" s="20" t="n">
        <v>228.234</v>
      </c>
      <c r="H125" s="20" t="n">
        <v>220.688</v>
      </c>
      <c r="I125" s="20" t="n">
        <v>204.686</v>
      </c>
      <c r="J125" s="20" t="n">
        <v>209.047</v>
      </c>
      <c r="K125" s="20" t="n">
        <v>267.582</v>
      </c>
      <c r="L125" s="20" t="n">
        <v>224.16</v>
      </c>
    </row>
    <row r="126">
      <c r="A126" s="18" t="inlineStr">
        <is>
          <t>이연법인세부채</t>
        </is>
      </c>
      <c r="C126" s="20" t="n">
        <v>357.181</v>
      </c>
      <c r="D126" s="20" t="n">
        <v>367.742</v>
      </c>
      <c r="E126" s="20" t="n">
        <v>411.368</v>
      </c>
      <c r="F126" s="20" t="n">
        <v>378.197</v>
      </c>
      <c r="G126" s="20" t="n">
        <v>437.945</v>
      </c>
      <c r="H126" s="20" t="n">
        <v>146.678</v>
      </c>
      <c r="I126" s="20" t="n">
        <v>325.052</v>
      </c>
      <c r="J126" s="20" t="n">
        <v>275.548</v>
      </c>
      <c r="K126" s="20" t="n">
        <v>282.766</v>
      </c>
      <c r="L126" s="20" t="n">
        <v>378.197</v>
      </c>
    </row>
    <row r="127">
      <c r="A127" s="18" t="inlineStr">
        <is>
          <t>임원 퇴직위로 충당금</t>
        </is>
      </c>
      <c r="C127" s="20" t="n">
        <v>199.103</v>
      </c>
      <c r="D127" s="20" t="n">
        <v>198.279</v>
      </c>
      <c r="E127" s="20" t="n">
        <v>200.809</v>
      </c>
      <c r="F127" s="20" t="n">
        <v>203.339</v>
      </c>
      <c r="G127" s="20" t="n">
        <v>135.099</v>
      </c>
      <c r="H127" s="20" t="n">
        <v>229.826</v>
      </c>
      <c r="I127" s="20" t="n">
        <v>338.658</v>
      </c>
      <c r="J127" s="20" t="n">
        <v>190.229</v>
      </c>
      <c r="K127" s="20" t="n">
        <v>200.704</v>
      </c>
      <c r="L127" s="20" t="n">
        <v>203.339</v>
      </c>
    </row>
    <row r="128">
      <c r="A128" s="18" t="inlineStr">
        <is>
          <t>퇴직급여부채</t>
        </is>
      </c>
      <c r="C128" s="20" t="n">
        <v>28.765</v>
      </c>
      <c r="D128" s="20" t="n">
        <v>30.505</v>
      </c>
      <c r="E128" s="20" t="n">
        <v>31.926</v>
      </c>
      <c r="F128" s="20" t="n">
        <v>33.346</v>
      </c>
      <c r="G128" s="20" t="n">
        <v>29.987</v>
      </c>
      <c r="H128" s="20" t="n">
        <v>0</v>
      </c>
      <c r="I128" s="20" t="n">
        <v>25.089</v>
      </c>
      <c r="J128" s="20" t="n">
        <v>25.383</v>
      </c>
      <c r="K128" s="20" t="n">
        <v>27.704</v>
      </c>
      <c r="L128" s="20" t="n">
        <v>33.346</v>
      </c>
    </row>
    <row r="129">
      <c r="A129" s="18" t="inlineStr">
        <is>
          <t>기타</t>
        </is>
      </c>
      <c r="C129" s="20" t="n">
        <v>351.927</v>
      </c>
      <c r="D129" s="20" t="n">
        <v>347.341</v>
      </c>
      <c r="E129" s="20" t="n">
        <v>342.082</v>
      </c>
      <c r="F129" s="20" t="n">
        <v>341.726</v>
      </c>
      <c r="G129" s="20" t="n">
        <v>338.758</v>
      </c>
      <c r="H129" s="20" t="n">
        <v>78.59699999999999</v>
      </c>
      <c r="I129" s="20" t="n">
        <v>211.463</v>
      </c>
      <c r="J129" s="20" t="n">
        <v>356.471</v>
      </c>
      <c r="K129" s="20" t="n">
        <v>359.572</v>
      </c>
      <c r="L129" s="20" t="n">
        <v>341.726</v>
      </c>
    </row>
    <row r="130">
      <c r="A130" s="9" t="inlineStr">
        <is>
          <t>비유동부채 합계</t>
        </is>
      </c>
      <c r="C130" s="12" t="n">
        <v>1776.799</v>
      </c>
      <c r="D130" s="12" t="n">
        <v>1836.732</v>
      </c>
      <c r="E130" s="12" t="n">
        <v>1969.052</v>
      </c>
      <c r="F130" s="12" t="n">
        <v>1863.652</v>
      </c>
      <c r="G130" s="12" t="n">
        <v>1750.369</v>
      </c>
      <c r="H130" s="12" t="n">
        <v>1838.889</v>
      </c>
      <c r="I130" s="12" t="n">
        <v>2225.853</v>
      </c>
      <c r="J130" s="12" t="n">
        <v>2133.937</v>
      </c>
      <c r="K130" s="12" t="n">
        <v>1822.727</v>
      </c>
      <c r="L130" s="12" t="n">
        <v>1863.652</v>
      </c>
    </row>
    <row r="131">
      <c r="A131" s="9" t="inlineStr">
        <is>
          <t>부채 합계</t>
        </is>
      </c>
      <c r="C131" s="12" t="n">
        <v>6368.757</v>
      </c>
      <c r="D131" s="12" t="n">
        <v>6397.292</v>
      </c>
      <c r="E131" s="12" t="n">
        <v>7191.654</v>
      </c>
      <c r="F131" s="12" t="n">
        <v>7215.78</v>
      </c>
      <c r="G131" s="12" t="n">
        <v>6875.576</v>
      </c>
      <c r="H131" s="12" t="n">
        <v>6856.406</v>
      </c>
      <c r="I131" s="12" t="n">
        <v>7582.082</v>
      </c>
      <c r="J131" s="12" t="n">
        <v>7693.919</v>
      </c>
      <c r="K131" s="12" t="n">
        <v>7220.695</v>
      </c>
      <c r="L131" s="12" t="n">
        <v>7215.78</v>
      </c>
    </row>
    <row r="132">
      <c r="A132" s="18" t="inlineStr">
        <is>
          <t>자본금</t>
        </is>
      </c>
      <c r="C132" s="20" t="n">
        <v>870.5</v>
      </c>
      <c r="D132" s="20" t="n">
        <v>870.5</v>
      </c>
      <c r="E132" s="20" t="n">
        <v>870.5</v>
      </c>
      <c r="F132" s="20" t="n">
        <v>870.5</v>
      </c>
      <c r="G132" s="20" t="n">
        <v>870.5</v>
      </c>
      <c r="H132" s="20" t="n">
        <v>870.5</v>
      </c>
      <c r="I132" s="20" t="n">
        <v>870.5</v>
      </c>
      <c r="J132" s="20" t="n">
        <v>870.5</v>
      </c>
      <c r="K132" s="20" t="n">
        <v>870.5</v>
      </c>
      <c r="L132" s="20" t="n">
        <v>870.5</v>
      </c>
    </row>
    <row r="133">
      <c r="A133" s="18" t="inlineStr">
        <is>
          <t>자본잉여금</t>
        </is>
      </c>
      <c r="C133" s="20" t="n">
        <v>988.29</v>
      </c>
      <c r="D133" s="20" t="n">
        <v>1009.4</v>
      </c>
      <c r="E133" s="20" t="n">
        <v>1009.4</v>
      </c>
      <c r="F133" s="20" t="n">
        <v>1009.4</v>
      </c>
      <c r="G133" s="20" t="n">
        <v>1009.4</v>
      </c>
      <c r="H133" s="20" t="n">
        <v>1185.972</v>
      </c>
      <c r="I133" s="20" t="n">
        <v>1189.126</v>
      </c>
      <c r="J133" s="20" t="n">
        <v>974.1849999999999</v>
      </c>
      <c r="K133" s="20" t="n">
        <v>988.29</v>
      </c>
      <c r="L133" s="20" t="n">
        <v>1009.4</v>
      </c>
    </row>
    <row r="134">
      <c r="A134" s="18" t="inlineStr">
        <is>
          <t>이익잉여금</t>
        </is>
      </c>
      <c r="C134" s="20" t="n">
        <v>13142.226</v>
      </c>
      <c r="D134" s="20" t="n">
        <v>13168.964</v>
      </c>
      <c r="E134" s="20" t="n">
        <v>13351.478</v>
      </c>
      <c r="F134" s="20" t="n">
        <v>13806.751</v>
      </c>
      <c r="G134" s="20" t="n">
        <v>14042.466</v>
      </c>
      <c r="H134" s="20" t="n">
        <v>11327.516</v>
      </c>
      <c r="I134" s="20" t="n">
        <v>11820.874</v>
      </c>
      <c r="J134" s="20" t="n">
        <v>12371.461</v>
      </c>
      <c r="K134" s="20" t="n">
        <v>13061.343</v>
      </c>
      <c r="L134" s="20" t="n">
        <v>13806.751</v>
      </c>
    </row>
    <row r="135">
      <c r="A135" s="18" t="inlineStr">
        <is>
          <t>자기주식</t>
        </is>
      </c>
      <c r="C135" s="20" t="n">
        <v>-280.362</v>
      </c>
      <c r="D135" s="20" t="n">
        <v>-266.5</v>
      </c>
      <c r="E135" s="20" t="n">
        <v>-266.517</v>
      </c>
      <c r="F135" s="20" t="n">
        <v>-266.517</v>
      </c>
      <c r="G135" s="20" t="n">
        <v>-266.517</v>
      </c>
      <c r="H135" s="20" t="n">
        <v>-305.824</v>
      </c>
      <c r="I135" s="20" t="n">
        <v>-305.824</v>
      </c>
      <c r="J135" s="20" t="n">
        <v>-290.842</v>
      </c>
      <c r="K135" s="20" t="n">
        <v>-280.362</v>
      </c>
      <c r="L135" s="20" t="n">
        <v>-266.517</v>
      </c>
    </row>
    <row r="136">
      <c r="A136" s="9" t="inlineStr">
        <is>
          <t>주주자본 합계</t>
        </is>
      </c>
      <c r="C136" s="12" t="n">
        <v>14720.653</v>
      </c>
      <c r="D136" s="12" t="n">
        <v>14782.363</v>
      </c>
      <c r="E136" s="12" t="n">
        <v>14964.861</v>
      </c>
      <c r="F136" s="12" t="n">
        <v>15420.134</v>
      </c>
      <c r="G136" s="12" t="n">
        <v>15655.849</v>
      </c>
      <c r="H136" s="12" t="n">
        <v>13078.164</v>
      </c>
      <c r="I136" s="12" t="n">
        <v>13574.676</v>
      </c>
      <c r="J136" s="12" t="n">
        <v>13925.304</v>
      </c>
      <c r="K136" s="12" t="n">
        <v>14639.77</v>
      </c>
      <c r="L136" s="12" t="n">
        <v>15420.134</v>
      </c>
    </row>
    <row r="137">
      <c r="A137" s="18" t="inlineStr">
        <is>
          <t>기타유가증권 평가차액</t>
        </is>
      </c>
      <c r="C137" s="20" t="n">
        <v>289.705</v>
      </c>
      <c r="D137" s="20" t="n">
        <v>428.134</v>
      </c>
      <c r="E137" s="20" t="n">
        <v>439.683</v>
      </c>
      <c r="F137" s="20" t="n">
        <v>532.827</v>
      </c>
      <c r="G137" s="20" t="n">
        <v>544.111</v>
      </c>
      <c r="H137" s="20" t="n">
        <v>288.582</v>
      </c>
      <c r="I137" s="20" t="n">
        <v>225.119</v>
      </c>
      <c r="J137" s="20" t="n">
        <v>208.974</v>
      </c>
      <c r="K137" s="20" t="n">
        <v>270.127</v>
      </c>
      <c r="L137" s="20" t="n">
        <v>532.827</v>
      </c>
    </row>
    <row r="138">
      <c r="A138" s="18" t="inlineStr">
        <is>
          <t>기타포괄손익누계액 합계</t>
        </is>
      </c>
      <c r="C138" s="20" t="n">
        <v>289.705</v>
      </c>
      <c r="D138" s="20" t="n">
        <v>428.134</v>
      </c>
      <c r="E138" s="20" t="n">
        <v>439.683</v>
      </c>
      <c r="F138" s="20" t="n">
        <v>532.827</v>
      </c>
      <c r="G138" s="20" t="n">
        <v>544.111</v>
      </c>
      <c r="H138" s="20" t="n">
        <v>288.582</v>
      </c>
      <c r="I138" s="20" t="n">
        <v>225.119</v>
      </c>
      <c r="J138" s="20" t="n">
        <v>208.974</v>
      </c>
      <c r="K138" s="20" t="n">
        <v>270.127</v>
      </c>
      <c r="L138" s="20" t="n">
        <v>532.827</v>
      </c>
    </row>
    <row r="139">
      <c r="A139" s="18" t="inlineStr">
        <is>
          <t>비지배지분</t>
        </is>
      </c>
      <c r="H139" s="20" t="n">
        <v>0</v>
      </c>
      <c r="I139" s="20" t="n">
        <v>429.899</v>
      </c>
      <c r="J139" s="20" t="n">
        <v>0</v>
      </c>
    </row>
    <row r="140">
      <c r="A140" s="9" t="inlineStr">
        <is>
          <t>순자산 합계</t>
        </is>
      </c>
      <c r="C140" s="12" t="n">
        <v>15010.359</v>
      </c>
      <c r="D140" s="12" t="n">
        <v>15210.498</v>
      </c>
      <c r="E140" s="12" t="n">
        <v>15404.545</v>
      </c>
      <c r="F140" s="12" t="n">
        <v>15952.961</v>
      </c>
      <c r="G140" s="12" t="n">
        <v>16199.96</v>
      </c>
      <c r="H140" s="12" t="n">
        <v>13366.747</v>
      </c>
      <c r="I140" s="12" t="n">
        <v>14229.695</v>
      </c>
      <c r="J140" s="12" t="n">
        <v>14134.279</v>
      </c>
      <c r="K140" s="12" t="n">
        <v>14909.898</v>
      </c>
      <c r="L140" s="12" t="n">
        <v>15952.961</v>
      </c>
    </row>
    <row r="141">
      <c r="A141" s="9" t="inlineStr">
        <is>
          <t>부채·순자산 합계</t>
        </is>
      </c>
      <c r="C141" s="12" t="n">
        <v>21379.116</v>
      </c>
      <c r="D141" s="12" t="n">
        <v>21607.79</v>
      </c>
      <c r="E141" s="12" t="n">
        <v>22596.2</v>
      </c>
      <c r="F141" s="12" t="n">
        <v>23168.741</v>
      </c>
      <c r="G141" s="12" t="n">
        <v>23075.537</v>
      </c>
      <c r="H141" s="12" t="n">
        <v>20223.153</v>
      </c>
      <c r="I141" s="12" t="n">
        <v>21811.777</v>
      </c>
      <c r="J141" s="12" t="n">
        <v>21828.198</v>
      </c>
      <c r="K141" s="12" t="n">
        <v>22130.593</v>
      </c>
      <c r="L141" s="12" t="n">
        <v>23168.741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2026-07-30</t>
        </is>
      </c>
      <c r="B4" t="inlineStr">
        <is>
          <t>2027년 3월 결산기 １분기 결산단신</t>
        </is>
      </c>
      <c r="C4" t="inlineStr">
        <is>
          <t>https://www2.jpx.co.jp/disc/98180/140120260728501054.pdf</t>
        </is>
      </c>
    </row>
    <row r="5">
      <c r="A5" t="inlineStr">
        <is>
          <t>2026-05-14</t>
        </is>
      </c>
      <c r="B5" t="inlineStr">
        <is>
          <t>2026년 3월 결산기 연간 결산단신</t>
        </is>
      </c>
      <c r="C5" t="inlineStr">
        <is>
          <t>https://www2.jpx.co.jp/disc/98180/140120260512526912.pdf</t>
        </is>
      </c>
    </row>
    <row r="6">
      <c r="A6" t="inlineStr">
        <is>
          <t>2026-01-28</t>
        </is>
      </c>
      <c r="B6" t="inlineStr">
        <is>
          <t>2026년 3월 결산기 ３분기 결산단신</t>
        </is>
      </c>
      <c r="C6" t="inlineStr">
        <is>
          <t>https://www2.jpx.co.jp/disc/98180/140120260127539488.pdf</t>
        </is>
      </c>
    </row>
    <row r="7">
      <c r="A7" t="inlineStr">
        <is>
          <t>2025-10-23</t>
        </is>
      </c>
      <c r="B7" t="inlineStr">
        <is>
          <t>2026년 3월 결산기 ２분기 결산단신</t>
        </is>
      </c>
      <c r="C7" t="inlineStr">
        <is>
          <t>https://www2.jpx.co.jp/disc/98180/140120251022577254.pdf</t>
        </is>
      </c>
    </row>
    <row r="8">
      <c r="A8" t="inlineStr">
        <is>
          <t>2025-07-25</t>
        </is>
      </c>
      <c r="B8" t="inlineStr">
        <is>
          <t>2026년 3월 결산기 １분기 결산단신</t>
        </is>
      </c>
      <c r="C8" t="inlineStr">
        <is>
          <t>https://www2.jpx.co.jp/disc/98180/140120250724519536.pdf</t>
        </is>
      </c>
    </row>
    <row r="9">
      <c r="A9" t="inlineStr">
        <is>
          <t>2025-05-14</t>
        </is>
      </c>
      <c r="B9" t="inlineStr">
        <is>
          <t>2025년 3월 결산기 연간 결산단신</t>
        </is>
      </c>
      <c r="C9" t="inlineStr">
        <is>
          <t>https://www2.jpx.co.jp/disc/98180/140120250512543123.pdf</t>
        </is>
      </c>
    </row>
    <row r="10">
      <c r="A10" t="inlineStr">
        <is>
          <t>2025-01-30</t>
        </is>
      </c>
      <c r="B10" t="inlineStr">
        <is>
          <t>2025년 3월 결산기 ３분기 결산단신</t>
        </is>
      </c>
      <c r="C10" t="inlineStr">
        <is>
          <t>https://www2.jpx.co.jp/disc/98180/140120250129556876.pdf</t>
        </is>
      </c>
    </row>
    <row r="11">
      <c r="A11" t="inlineStr">
        <is>
          <t>2024-10-24</t>
        </is>
      </c>
      <c r="B11" t="inlineStr">
        <is>
          <t>2025년 3월 결산기 ２분기 결산단신</t>
        </is>
      </c>
      <c r="C11" t="inlineStr">
        <is>
          <t>https://www2.jpx.co.jp/disc/98180/140120241023501623.pdf</t>
        </is>
      </c>
    </row>
    <row r="12">
      <c r="A12" t="inlineStr">
        <is>
          <t>2024-07-25</t>
        </is>
      </c>
      <c r="B12" t="inlineStr">
        <is>
          <t>2025년 3월 결산기 １분기 결산단신</t>
        </is>
      </c>
      <c r="C12" t="inlineStr">
        <is>
          <t>https://www2.jpx.co.jp/disc/98180/140120240724554044.pdf</t>
        </is>
      </c>
    </row>
    <row r="13">
      <c r="A13" t="inlineStr">
        <is>
          <t>2024-05-14</t>
        </is>
      </c>
      <c r="B13" t="inlineStr">
        <is>
          <t>2024년 3월 결산기 연간 결산단신</t>
        </is>
      </c>
      <c r="C13" t="inlineStr">
        <is>
          <t>https://www2.jpx.co.jp/disc/98180/140120240513592728.pdf</t>
        </is>
      </c>
    </row>
    <row r="14">
      <c r="A14" t="inlineStr">
        <is>
          <t>2024-01-25</t>
        </is>
      </c>
      <c r="B14" t="inlineStr">
        <is>
          <t>2024년 3월 결산기 ３분기 결산단신</t>
        </is>
      </c>
      <c r="C14" t="inlineStr">
        <is>
          <t>https://www2.jpx.co.jp/disc/98180/140120240124518736.pdf</t>
        </is>
      </c>
    </row>
    <row r="15">
      <c r="A15" t="inlineStr">
        <is>
          <t>2023-10-26</t>
        </is>
      </c>
      <c r="B15" t="inlineStr">
        <is>
          <t>2024년 3월 결산기 ２분기 결산단신</t>
        </is>
      </c>
      <c r="C15" t="inlineStr">
        <is>
          <t>https://www2.jpx.co.jp/disc/98180/140120231025571153.pdf</t>
        </is>
      </c>
    </row>
    <row r="16">
      <c r="A16" t="inlineStr">
        <is>
          <t>2023-07-27</t>
        </is>
      </c>
      <c r="B16" t="inlineStr">
        <is>
          <t>2024년 3월 결산기 １분기 결산단신</t>
        </is>
      </c>
      <c r="C16" t="inlineStr">
        <is>
          <t>https://www2.jpx.co.jp/disc/98180/140120230725526814.pdf</t>
        </is>
      </c>
    </row>
    <row r="17">
      <c r="A17" t="inlineStr">
        <is>
          <t>2023-05-11</t>
        </is>
      </c>
      <c r="B17" t="inlineStr">
        <is>
          <t>2023년 3월 결산기 연간 결산단신</t>
        </is>
      </c>
      <c r="C17" t="inlineStr">
        <is>
          <t>https://www2.jpx.co.jp/disc/98180/140120230511564780.pdf</t>
        </is>
      </c>
    </row>
    <row r="18">
      <c r="A18" t="inlineStr">
        <is>
          <t>2023-01-26</t>
        </is>
      </c>
      <c r="B18" t="inlineStr">
        <is>
          <t>2023년 3월 결산기 ３분기 결산단신</t>
        </is>
      </c>
      <c r="C18" t="inlineStr">
        <is>
          <t>https://www2.jpx.co.jp/disc/98180/140120230126593734.pdf</t>
        </is>
      </c>
    </row>
    <row r="19">
      <c r="A19" t="inlineStr">
        <is>
          <t>2022-10-27</t>
        </is>
      </c>
      <c r="B19" t="inlineStr">
        <is>
          <t>2023년 3월 결산기 ２분기 결산단신</t>
        </is>
      </c>
      <c r="C19" t="inlineStr">
        <is>
          <t>https://www2.jpx.co.jp/disc/98180/140120221027550470.pdf</t>
        </is>
      </c>
    </row>
    <row r="20">
      <c r="A20" t="inlineStr">
        <is>
          <t>2022-05-12</t>
        </is>
      </c>
      <c r="B20" t="inlineStr">
        <is>
          <t>2022년 3월 결산기 연간 결산단신</t>
        </is>
      </c>
      <c r="C20" t="inlineStr">
        <is>
          <t>https://www2.jpx.co.jp/disc/98180/140120220512540124.pdf</t>
        </is>
      </c>
    </row>
    <row r="21">
      <c r="A21" t="inlineStr">
        <is>
          <t>2021-05-13</t>
        </is>
      </c>
      <c r="B21" t="inlineStr">
        <is>
          <t>2021년 3월 결산기 연간 결산단신</t>
        </is>
      </c>
      <c r="C21" t="inlineStr">
        <is>
          <t>https://www2.jpx.co.jp/disc/98180/140120210512414367.pdf</t>
        </is>
      </c>
    </row>
    <row r="22">
      <c r="A22" t="inlineStr">
        <is>
          <t>2020-05-14</t>
        </is>
      </c>
      <c r="B22" t="inlineStr">
        <is>
          <t>2020년 3월 결산기 연간 결산단신</t>
        </is>
      </c>
      <c r="C22" t="inlineStr">
        <is>
          <t>https://www2.jpx.co.jp/disc/98180/140120200513412315.pdf</t>
        </is>
      </c>
    </row>
    <row r="23">
      <c r="A23" t="inlineStr">
        <is>
          <t>2019-05-14</t>
        </is>
      </c>
      <c r="B23" t="inlineStr">
        <is>
          <t>2019년 3월 결산기 연간 결산단신</t>
        </is>
      </c>
      <c r="C23" t="inlineStr">
        <is>
          <t>https://www2.jpx.co.jp/disc/98180/140120190513423775.pdf</t>
        </is>
      </c>
    </row>
    <row r="24">
      <c r="A24" t="inlineStr">
        <is>
          <t>2018-05-10</t>
        </is>
      </c>
      <c r="B24" t="inlineStr">
        <is>
          <t>연간 결산단신</t>
        </is>
      </c>
      <c r="C24" t="inlineStr">
        <is>
          <t>https://www2.jpx.co.jp/disc/98180/140120180509430830.pdf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2026-10-28T07:01:13Z</dcterms:created>
  <dcterms:modified xmlns:dcterms="http://purl.org/dc/terms/" xmlns:xsi="http://www.w3.org/2001/XMLSchema-instance" xsi:type="dcterms:W3CDTF">2026-10-28T07:01:13Z</dcterms:modified>
</cp:coreProperties>
</file>