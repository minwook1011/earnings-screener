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6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4" fillId="8" borderId="0" applyAlignment="1" pivotButton="0" quotePrefix="0" xfId="0">
      <alignment horizontal="center"/>
    </xf>
    <xf numFmtId="0" fontId="25" fillId="0" borderId="0" pivotButton="0" quotePrefix="0" xfId="0"/>
    <xf numFmtId="3" fontId="25" fillId="0" borderId="0" pivotButton="0" quotePrefix="0" xfId="0"/>
    <xf numFmtId="170" fontId="25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25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7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5257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12월 결산 · 일본 기준 · 2026.3Q = 2026년 12월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1426.668</v>
      </c>
      <c r="D4" s="12" t="n">
        <v>1584.021</v>
      </c>
      <c r="E4" s="12" t="n">
        <v>1511.883</v>
      </c>
      <c r="F4" s="12" t="n">
        <v>1648.352</v>
      </c>
      <c r="G4" s="12" t="n">
        <v>1717.573</v>
      </c>
      <c r="H4" s="12" t="n">
        <v>1676.977</v>
      </c>
      <c r="I4" s="12" t="n">
        <v>1617.122</v>
      </c>
      <c r="J4" s="12" t="n">
        <v>1690.535</v>
      </c>
      <c r="K4" s="12" t="n">
        <v>1731.555</v>
      </c>
      <c r="L4" s="12" t="n">
        <v>1718.008</v>
      </c>
      <c r="M4" s="12" t="n">
        <v>1797.601</v>
      </c>
      <c r="N4" s="12" t="n">
        <v>1859.032</v>
      </c>
      <c r="O4" s="11" t="n"/>
      <c r="P4" s="12" t="n"/>
      <c r="Q4" s="12" t="n"/>
      <c r="R4" s="12" t="n"/>
      <c r="S4" s="12" t="n"/>
      <c r="T4" s="12" t="n"/>
      <c r="U4" s="12" t="n">
        <v>4626.211</v>
      </c>
      <c r="V4" s="12" t="n">
        <v>5422.716</v>
      </c>
      <c r="W4" s="12" t="n">
        <v>6461.829</v>
      </c>
      <c r="X4" s="12" t="n">
        <v>6716.189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1109.397</v>
      </c>
      <c r="D11" s="22" t="n">
        <v>1213.005</v>
      </c>
      <c r="E11" s="22" t="n">
        <v>1202.67</v>
      </c>
      <c r="F11" s="22" t="n">
        <v>1316.258</v>
      </c>
      <c r="G11" s="22" t="n">
        <v>1305.314</v>
      </c>
      <c r="H11" s="22" t="n">
        <v>1355.062</v>
      </c>
      <c r="I11" s="22" t="n">
        <v>1343.012</v>
      </c>
      <c r="J11" s="22" t="n">
        <v>1396.342</v>
      </c>
      <c r="K11" s="22" t="n">
        <v>1324.905</v>
      </c>
      <c r="L11" s="22" t="n">
        <v>1342.983</v>
      </c>
      <c r="M11" s="22" t="n">
        <v>1336.124</v>
      </c>
      <c r="N11" s="22" t="n">
        <v>1429.576</v>
      </c>
      <c r="O11" s="21" t="n"/>
      <c r="P11" s="22" t="n"/>
      <c r="Q11" s="22" t="n"/>
      <c r="R11" s="22" t="n"/>
      <c r="S11" s="22" t="n"/>
      <c r="T11" s="22" t="n"/>
      <c r="U11" s="22" t="n">
        <v>3598.047</v>
      </c>
      <c r="V11" s="22" t="n">
        <v>4088.889</v>
      </c>
      <c r="W11" s="22" t="n">
        <v>5037.247</v>
      </c>
      <c r="X11" s="22" t="n">
        <v>5419.321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221.552</v>
      </c>
      <c r="D17" s="22" t="n">
        <v>212.357</v>
      </c>
      <c r="E17" s="22" t="n">
        <v>260.958</v>
      </c>
      <c r="F17" s="22" t="n">
        <v>209.522</v>
      </c>
      <c r="G17" s="22" t="n">
        <v>213.559</v>
      </c>
      <c r="H17" s="22" t="n">
        <v>226.234</v>
      </c>
      <c r="I17" s="22" t="n">
        <v>281.883</v>
      </c>
      <c r="J17" s="22" t="n">
        <v>221.582</v>
      </c>
      <c r="K17" s="22" t="n">
        <v>242.406</v>
      </c>
      <c r="L17" s="22" t="n">
        <v>253.926</v>
      </c>
      <c r="M17" s="22" t="n">
        <v>308.434</v>
      </c>
      <c r="N17" s="22" t="n">
        <v>269.497</v>
      </c>
      <c r="O17" s="21" t="n"/>
      <c r="P17" s="22" t="n"/>
      <c r="Q17" s="22" t="n"/>
      <c r="R17" s="22" t="n"/>
      <c r="S17" s="22" t="n"/>
      <c r="T17" s="22" t="n"/>
      <c r="U17" s="22" t="n">
        <v>698.0940000000001</v>
      </c>
      <c r="V17" s="22" t="n">
        <v>843.051</v>
      </c>
      <c r="W17" s="22" t="n">
        <v>896.396</v>
      </c>
      <c r="X17" s="22" t="n">
        <v>972.105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95.72</v>
      </c>
      <c r="D19" s="12" t="n">
        <v>158.657</v>
      </c>
      <c r="E19" s="12" t="n">
        <v>48.256</v>
      </c>
      <c r="F19" s="12" t="n">
        <v>122.573</v>
      </c>
      <c r="G19" s="12" t="n">
        <v>198.7</v>
      </c>
      <c r="H19" s="12" t="n">
        <v>95.68000000000001</v>
      </c>
      <c r="I19" s="12" t="n">
        <v>-7.773</v>
      </c>
      <c r="J19" s="12" t="n">
        <v>72.611</v>
      </c>
      <c r="K19" s="12" t="n">
        <v>164.244</v>
      </c>
      <c r="L19" s="12" t="n">
        <v>121.098</v>
      </c>
      <c r="M19" s="12" t="n">
        <v>153.043</v>
      </c>
      <c r="N19" s="12" t="n">
        <v>159.96</v>
      </c>
      <c r="O19" s="11" t="n"/>
      <c r="P19" s="12" t="n"/>
      <c r="Q19" s="12" t="n"/>
      <c r="R19" s="12" t="n"/>
      <c r="S19" s="12" t="n"/>
      <c r="T19" s="12" t="n"/>
      <c r="U19" s="12" t="n">
        <v>330.07</v>
      </c>
      <c r="V19" s="12" t="n">
        <v>490.776</v>
      </c>
      <c r="W19" s="12" t="n">
        <v>528.186</v>
      </c>
      <c r="X19" s="12" t="n">
        <v>324.762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>
        <v>0</v>
      </c>
      <c r="G35" s="22" t="n">
        <v>0.909</v>
      </c>
      <c r="H35" s="22" t="n">
        <v>0</v>
      </c>
      <c r="I35" s="22" t="n">
        <v>0.378</v>
      </c>
      <c r="J35" s="22" t="n">
        <v>0</v>
      </c>
      <c r="K35" s="22" t="n">
        <v>0</v>
      </c>
      <c r="L35" s="22" t="n">
        <v>1.174</v>
      </c>
      <c r="M35" s="22" t="n">
        <v>0</v>
      </c>
      <c r="N35" s="22" t="n">
        <v>0</v>
      </c>
      <c r="O35" s="21" t="n"/>
      <c r="P35" s="22" t="n"/>
      <c r="Q35" s="22" t="n"/>
      <c r="R35" s="22" t="n"/>
      <c r="S35" s="22" t="n"/>
      <c r="T35" s="22" t="n"/>
      <c r="U35" s="22" t="n">
        <v>0</v>
      </c>
      <c r="V35" s="22" t="n">
        <v>3.997</v>
      </c>
      <c r="W35" s="22" t="n">
        <v>0.909</v>
      </c>
      <c r="X35" s="22" t="n">
        <v>0.378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1.268</v>
      </c>
      <c r="D37" s="22" t="n"/>
      <c r="E37" s="22" t="n"/>
      <c r="F37" s="22" t="n"/>
      <c r="G37" s="22" t="n"/>
      <c r="H37" s="22" t="n">
        <v>0</v>
      </c>
      <c r="I37" s="22" t="n">
        <v>0</v>
      </c>
      <c r="J37" s="22" t="n">
        <v>0</v>
      </c>
      <c r="K37" s="22" t="n">
        <v>16.288</v>
      </c>
      <c r="L37" s="22" t="n">
        <v>22.5</v>
      </c>
      <c r="M37" s="22" t="n">
        <v>1.111</v>
      </c>
      <c r="N37" s="22" t="n">
        <v>4.282</v>
      </c>
      <c r="O37" s="21" t="n"/>
      <c r="P37" s="22" t="n"/>
      <c r="Q37" s="22" t="n"/>
      <c r="R37" s="22" t="n"/>
      <c r="S37" s="22" t="n"/>
      <c r="T37" s="22" t="n"/>
      <c r="U37" s="22" t="n">
        <v>2.618</v>
      </c>
      <c r="V37" s="22" t="n">
        <v>1.268</v>
      </c>
      <c r="W37" s="22" t="n">
        <v>12.952</v>
      </c>
      <c r="X37" s="22" t="n">
        <v>16.288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5.814</v>
      </c>
      <c r="D39" s="22" t="n">
        <v>2.777</v>
      </c>
      <c r="E39" s="22" t="n">
        <v>7.217</v>
      </c>
      <c r="F39" s="22" t="n">
        <v>3.467</v>
      </c>
      <c r="G39" s="22" t="n">
        <v>14.365</v>
      </c>
      <c r="H39" s="22" t="n">
        <v>12.953</v>
      </c>
      <c r="I39" s="22" t="n">
        <v>7.225</v>
      </c>
      <c r="J39" s="22" t="n">
        <v>4.921</v>
      </c>
      <c r="K39" s="22" t="n">
        <v>25.524</v>
      </c>
      <c r="L39" s="22" t="n">
        <v>5.009</v>
      </c>
      <c r="M39" s="22" t="n">
        <v>8.797000000000001</v>
      </c>
      <c r="N39" s="22" t="n">
        <v>11.329</v>
      </c>
      <c r="O39" s="21" t="n"/>
      <c r="P39" s="22" t="n"/>
      <c r="Q39" s="22" t="n"/>
      <c r="R39" s="22" t="n"/>
      <c r="S39" s="22" t="n"/>
      <c r="T39" s="22" t="n"/>
      <c r="U39" s="22" t="n">
        <v>18.577</v>
      </c>
      <c r="V39" s="22" t="n">
        <v>18.128</v>
      </c>
      <c r="W39" s="22" t="n">
        <v>27.826</v>
      </c>
      <c r="X39" s="22" t="n">
        <v>50.623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1.652</v>
      </c>
      <c r="D41" s="22" t="n">
        <v>1.238</v>
      </c>
      <c r="E41" s="22" t="n">
        <v>1.281</v>
      </c>
      <c r="F41" s="22" t="n">
        <v>1.324</v>
      </c>
      <c r="G41" s="22" t="n">
        <v>1.089</v>
      </c>
      <c r="H41" s="22" t="n">
        <v>1.59</v>
      </c>
      <c r="I41" s="22" t="n">
        <v>2.149</v>
      </c>
      <c r="J41" s="22" t="n">
        <v>1.938</v>
      </c>
      <c r="K41" s="22" t="n">
        <v>6.012</v>
      </c>
      <c r="L41" s="22" t="n">
        <v>3.56</v>
      </c>
      <c r="M41" s="22" t="n">
        <v>3.337</v>
      </c>
      <c r="N41" s="22" t="n">
        <v>3.673</v>
      </c>
      <c r="O41" s="21" t="n"/>
      <c r="P41" s="22" t="n"/>
      <c r="Q41" s="22" t="n"/>
      <c r="R41" s="22" t="n"/>
      <c r="S41" s="22" t="n"/>
      <c r="T41" s="22" t="n"/>
      <c r="U41" s="22" t="n">
        <v>11.087</v>
      </c>
      <c r="V41" s="22" t="n">
        <v>25.49</v>
      </c>
      <c r="W41" s="22" t="n">
        <v>4.932</v>
      </c>
      <c r="X41" s="22" t="n">
        <v>11.689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102.61</v>
      </c>
      <c r="D43" s="12" t="n">
        <v>160.196</v>
      </c>
      <c r="E43" s="12" t="n">
        <v>54.192</v>
      </c>
      <c r="F43" s="12" t="n">
        <v>124.715</v>
      </c>
      <c r="G43" s="12" t="n">
        <v>199.934</v>
      </c>
      <c r="H43" s="12" t="n">
        <v>107.043</v>
      </c>
      <c r="I43" s="12" t="n">
        <v>-2.318</v>
      </c>
      <c r="J43" s="12" t="n">
        <v>75.59399999999999</v>
      </c>
      <c r="K43" s="12" t="n">
        <v>167.466</v>
      </c>
      <c r="L43" s="12" t="n">
        <v>101.221</v>
      </c>
      <c r="M43" s="12" t="n">
        <v>157.392</v>
      </c>
      <c r="N43" s="12" t="n">
        <v>163.333</v>
      </c>
      <c r="O43" s="11" t="n"/>
      <c r="P43" s="12" t="n"/>
      <c r="Q43" s="12" t="n"/>
      <c r="R43" s="12" t="n"/>
      <c r="S43" s="12" t="n"/>
      <c r="T43" s="12" t="n"/>
      <c r="U43" s="12" t="n">
        <v>334.941</v>
      </c>
      <c r="V43" s="12" t="n">
        <v>486.142</v>
      </c>
      <c r="W43" s="12" t="n">
        <v>539.037</v>
      </c>
      <c r="X43" s="12" t="n">
        <v>347.785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19.085</v>
      </c>
      <c r="D45" s="22" t="n">
        <v>51.051</v>
      </c>
      <c r="E45" s="22" t="n">
        <v>18.025</v>
      </c>
      <c r="F45" s="22" t="n">
        <v>39.604</v>
      </c>
      <c r="G45" s="22" t="n">
        <v>35.68</v>
      </c>
      <c r="H45" s="22" t="n">
        <v>34.178</v>
      </c>
      <c r="I45" s="22" t="n">
        <v>0.843</v>
      </c>
      <c r="J45" s="22" t="n">
        <v>25.216</v>
      </c>
      <c r="K45" s="22" t="n">
        <v>53.489</v>
      </c>
      <c r="L45" s="22" t="n">
        <v>31.433</v>
      </c>
      <c r="M45" s="22" t="n">
        <v>51.612</v>
      </c>
      <c r="N45" s="22" t="n">
        <v>51.353</v>
      </c>
      <c r="O45" s="21" t="n"/>
      <c r="P45" s="22" t="n"/>
      <c r="Q45" s="22" t="n"/>
      <c r="R45" s="22" t="n"/>
      <c r="S45" s="22" t="n"/>
      <c r="T45" s="22" t="n"/>
      <c r="U45" s="22" t="n">
        <v>122.379</v>
      </c>
      <c r="V45" s="22" t="n">
        <v>143.907</v>
      </c>
      <c r="W45" s="22" t="n">
        <v>144.36</v>
      </c>
      <c r="X45" s="22" t="n">
        <v>113.726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83.526</v>
      </c>
      <c r="D47" s="12" t="n">
        <v>109.145</v>
      </c>
      <c r="E47" s="12" t="n">
        <v>36.167</v>
      </c>
      <c r="F47" s="12" t="n">
        <v>85.111</v>
      </c>
      <c r="G47" s="12" t="n">
        <v>164.253</v>
      </c>
      <c r="H47" s="12" t="n">
        <v>72.864</v>
      </c>
      <c r="I47" s="12" t="n">
        <v>-3.161</v>
      </c>
      <c r="J47" s="12" t="n">
        <v>50.379</v>
      </c>
      <c r="K47" s="12" t="n">
        <v>113.977</v>
      </c>
      <c r="L47" s="12" t="n">
        <v>69.78700000000001</v>
      </c>
      <c r="M47" s="12" t="n">
        <v>105.781</v>
      </c>
      <c r="N47" s="12" t="n">
        <v>111.98</v>
      </c>
      <c r="O47" s="11" t="n"/>
      <c r="P47" s="12" t="n"/>
      <c r="Q47" s="12" t="n"/>
      <c r="R47" s="12" t="n"/>
      <c r="S47" s="12" t="n"/>
      <c r="T47" s="12" t="n"/>
      <c r="U47" s="12" t="n">
        <v>212.562</v>
      </c>
      <c r="V47" s="12" t="n">
        <v>342.235</v>
      </c>
      <c r="W47" s="12" t="n">
        <v>394.676</v>
      </c>
      <c r="X47" s="12" t="n">
        <v>234.059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83.526</v>
      </c>
      <c r="D49" s="12" t="n">
        <v>109.145</v>
      </c>
      <c r="E49" s="12" t="n">
        <v>36.167</v>
      </c>
      <c r="F49" s="12" t="n">
        <v>85.111</v>
      </c>
      <c r="G49" s="12" t="n">
        <v>164.253</v>
      </c>
      <c r="H49" s="12" t="n">
        <v>72.864</v>
      </c>
      <c r="I49" s="12" t="n">
        <v>-3.161</v>
      </c>
      <c r="J49" s="12" t="n">
        <v>50.379</v>
      </c>
      <c r="K49" s="12" t="n">
        <v>113.977</v>
      </c>
      <c r="L49" s="12" t="n">
        <v>69.78700000000001</v>
      </c>
      <c r="M49" s="12" t="n">
        <v>105.781</v>
      </c>
      <c r="N49" s="12" t="n">
        <v>111.98</v>
      </c>
      <c r="O49" s="11" t="n"/>
      <c r="P49" s="12" t="n"/>
      <c r="Q49" s="12" t="n"/>
      <c r="R49" s="12" t="n"/>
      <c r="S49" s="12" t="n"/>
      <c r="T49" s="12" t="n"/>
      <c r="U49" s="12" t="n">
        <v>212.562</v>
      </c>
      <c r="V49" s="12" t="n">
        <v>342.235</v>
      </c>
      <c r="W49" s="12" t="n">
        <v>394.676</v>
      </c>
      <c r="X49" s="12" t="n">
        <v>234.059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2023.4Q</t>
        </is>
      </c>
      <c r="D83" s="5" t="inlineStr">
        <is>
          <t>2024.1Q</t>
        </is>
      </c>
      <c r="E83" s="5" t="inlineStr">
        <is>
          <t>2024.2Q</t>
        </is>
      </c>
      <c r="F83" s="5" t="inlineStr">
        <is>
          <t>2024.3Q</t>
        </is>
      </c>
      <c r="G83" s="5" t="inlineStr">
        <is>
          <t>2024.4Q</t>
        </is>
      </c>
      <c r="H83" s="5" t="inlineStr">
        <is>
          <t>2025.1Q</t>
        </is>
      </c>
      <c r="I83" s="5" t="inlineStr">
        <is>
          <t>2025.2Q</t>
        </is>
      </c>
      <c r="J83" s="5" t="inlineStr">
        <is>
          <t>2025.3Q</t>
        </is>
      </c>
      <c r="K83" s="5" t="inlineStr">
        <is>
          <t>2025.4Q</t>
        </is>
      </c>
      <c r="L83" s="5" t="inlineStr">
        <is>
          <t>2026.1Q</t>
        </is>
      </c>
      <c r="M83" s="5" t="inlineStr">
        <is>
          <t>2026.2Q</t>
        </is>
      </c>
      <c r="N83" s="5" t="inlineStr">
        <is>
          <t>2026.3Q</t>
        </is>
      </c>
      <c r="O83" s="5" t="inlineStr">
        <is>
          <t>2016</t>
        </is>
      </c>
      <c r="P83" s="5" t="inlineStr">
        <is>
          <t>2017</t>
        </is>
      </c>
      <c r="Q83" s="5" t="inlineStr">
        <is>
          <t>2018</t>
        </is>
      </c>
      <c r="R83" s="5" t="inlineStr">
        <is>
          <t>2019</t>
        </is>
      </c>
      <c r="S83" s="5" t="inlineStr">
        <is>
          <t>2020</t>
        </is>
      </c>
      <c r="T83" s="5" t="inlineStr">
        <is>
          <t>2021</t>
        </is>
      </c>
      <c r="U83" s="5" t="inlineStr">
        <is>
          <t>2022</t>
        </is>
      </c>
      <c r="V83" s="5" t="inlineStr">
        <is>
          <t>2023</t>
        </is>
      </c>
      <c r="W83" s="5" t="inlineStr">
        <is>
          <t>2024</t>
        </is>
      </c>
      <c r="X83" s="5" t="inlineStr">
        <is>
          <t>2025</t>
        </is>
      </c>
      <c r="Y83" s="5" t="inlineStr">
        <is>
          <t>2026(MW)</t>
        </is>
      </c>
      <c r="Z83" s="5" t="inlineStr">
        <is>
          <t>2027(MW)</t>
        </is>
      </c>
      <c r="AA83" s="5" t="inlineStr">
        <is>
          <t>2028(MW)</t>
        </is>
      </c>
      <c r="AB83" s="5" t="inlineStr">
        <is>
          <t>2029(MW)</t>
        </is>
      </c>
      <c r="AC83" s="5" t="inlineStr">
        <is>
          <t>2030(MW)</t>
        </is>
      </c>
    </row>
    <row r="84">
      <c r="A84" s="9" t="inlineStr">
        <is>
          <t>매출액</t>
        </is>
      </c>
      <c r="C84" s="12" t="n">
        <v>1426.668</v>
      </c>
      <c r="D84" s="12" t="n">
        <v>1584.021</v>
      </c>
      <c r="E84" s="12" t="n">
        <v>1511.883</v>
      </c>
      <c r="F84" s="12" t="n">
        <v>1648.352</v>
      </c>
      <c r="G84" s="12" t="n">
        <v>1717.573</v>
      </c>
      <c r="H84" s="12" t="n">
        <v>1676.977</v>
      </c>
      <c r="I84" s="12" t="n">
        <v>1617.122</v>
      </c>
      <c r="J84" s="12" t="n">
        <v>1690.535</v>
      </c>
      <c r="K84" s="12" t="n">
        <v>1731.555</v>
      </c>
      <c r="L84" s="12" t="n">
        <v>1718.008</v>
      </c>
      <c r="M84" s="12" t="n">
        <v>1797.601</v>
      </c>
      <c r="N84" s="12" t="n">
        <v>1859.032</v>
      </c>
      <c r="U84" s="12" t="n">
        <v>1284.041</v>
      </c>
      <c r="V84" s="12" t="n">
        <v>1426.668</v>
      </c>
      <c r="W84" s="12" t="n">
        <v>1717.573</v>
      </c>
      <c r="X84" s="12" t="n">
        <v>1731.555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1109.397</v>
      </c>
      <c r="D86" s="22" t="n">
        <v>1213.005</v>
      </c>
      <c r="E86" s="22" t="n">
        <v>1202.67</v>
      </c>
      <c r="F86" s="22" t="n">
        <v>1316.258</v>
      </c>
      <c r="G86" s="22" t="n">
        <v>1305.314</v>
      </c>
      <c r="H86" s="22" t="n">
        <v>1355.062</v>
      </c>
      <c r="I86" s="22" t="n">
        <v>1343.012</v>
      </c>
      <c r="J86" s="22" t="n">
        <v>1396.342</v>
      </c>
      <c r="K86" s="22" t="n">
        <v>1324.905</v>
      </c>
      <c r="L86" s="22" t="n">
        <v>1342.983</v>
      </c>
      <c r="M86" s="22" t="n">
        <v>1336.124</v>
      </c>
      <c r="N86" s="22" t="n">
        <v>1429.576</v>
      </c>
      <c r="U86" s="22" t="n">
        <v>965.249</v>
      </c>
      <c r="V86" s="22" t="n">
        <v>1109.397</v>
      </c>
      <c r="W86" s="22" t="n">
        <v>1305.314</v>
      </c>
      <c r="X86" s="22" t="n">
        <v>1324.905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317.271</v>
      </c>
      <c r="D88" s="12" t="n">
        <v>371.015</v>
      </c>
      <c r="E88" s="12" t="n">
        <v>309.214</v>
      </c>
      <c r="F88" s="12" t="n">
        <v>332.094</v>
      </c>
      <c r="G88" s="12" t="n">
        <v>412.259</v>
      </c>
      <c r="H88" s="12" t="n">
        <v>321.914</v>
      </c>
      <c r="I88" s="12" t="n">
        <v>274.11</v>
      </c>
      <c r="J88" s="12" t="n">
        <v>294.193</v>
      </c>
      <c r="K88" s="12" t="n">
        <v>406.65</v>
      </c>
      <c r="L88" s="12" t="n">
        <v>375.024</v>
      </c>
      <c r="M88" s="12" t="n">
        <v>461.478</v>
      </c>
      <c r="N88" s="12" t="n">
        <v>429.456</v>
      </c>
      <c r="U88" s="12" t="n">
        <v>318.793</v>
      </c>
      <c r="V88" s="12" t="n">
        <v>317.271</v>
      </c>
      <c r="W88" s="12" t="n">
        <v>412.259</v>
      </c>
      <c r="X88" s="12" t="n">
        <v>406.65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221.552</v>
      </c>
      <c r="D90" s="22" t="n">
        <v>212.357</v>
      </c>
      <c r="E90" s="22" t="n">
        <v>260.958</v>
      </c>
      <c r="F90" s="22" t="n">
        <v>209.522</v>
      </c>
      <c r="G90" s="22" t="n">
        <v>213.559</v>
      </c>
      <c r="H90" s="22" t="n">
        <v>226.234</v>
      </c>
      <c r="I90" s="22" t="n">
        <v>281.883</v>
      </c>
      <c r="J90" s="22" t="n">
        <v>221.582</v>
      </c>
      <c r="K90" s="22" t="n">
        <v>242.406</v>
      </c>
      <c r="L90" s="22" t="n">
        <v>253.926</v>
      </c>
      <c r="M90" s="22" t="n">
        <v>308.434</v>
      </c>
      <c r="N90" s="22" t="n">
        <v>269.497</v>
      </c>
      <c r="U90" s="22" t="n">
        <v>182.958</v>
      </c>
      <c r="V90" s="22" t="n">
        <v>221.552</v>
      </c>
      <c r="W90" s="22" t="n">
        <v>213.559</v>
      </c>
      <c r="X90" s="22" t="n">
        <v>242.406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95.72</v>
      </c>
      <c r="D92" s="12" t="n">
        <v>158.657</v>
      </c>
      <c r="E92" s="12" t="n">
        <v>48.256</v>
      </c>
      <c r="F92" s="12" t="n">
        <v>122.573</v>
      </c>
      <c r="G92" s="12" t="n">
        <v>198.7</v>
      </c>
      <c r="H92" s="12" t="n">
        <v>95.68000000000001</v>
      </c>
      <c r="I92" s="12" t="n">
        <v>-7.773</v>
      </c>
      <c r="J92" s="12" t="n">
        <v>72.611</v>
      </c>
      <c r="K92" s="12" t="n">
        <v>164.244</v>
      </c>
      <c r="L92" s="12" t="n">
        <v>121.098</v>
      </c>
      <c r="M92" s="12" t="n">
        <v>153.043</v>
      </c>
      <c r="N92" s="12" t="n">
        <v>159.96</v>
      </c>
      <c r="U92" s="12" t="n">
        <v>135.835</v>
      </c>
      <c r="V92" s="12" t="n">
        <v>95.72</v>
      </c>
      <c r="W92" s="12" t="n">
        <v>198.7</v>
      </c>
      <c r="X92" s="12" t="n">
        <v>164.244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배당금수익</t>
        </is>
      </c>
      <c r="C95" s="22" t="n">
        <v>1.625</v>
      </c>
      <c r="F95" s="22" t="n">
        <v>0</v>
      </c>
      <c r="G95" s="22" t="n">
        <v>3.282</v>
      </c>
      <c r="J95" s="22" t="n">
        <v>0</v>
      </c>
      <c r="K95" s="22" t="n">
        <v>3.678</v>
      </c>
      <c r="N95" s="22" t="n">
        <v>0</v>
      </c>
      <c r="U95" s="22" t="n">
        <v>1.42</v>
      </c>
      <c r="V95" s="22" t="n">
        <v>1.625</v>
      </c>
      <c r="W95" s="22" t="n">
        <v>3.282</v>
      </c>
      <c r="X95" s="22" t="n">
        <v>3.678</v>
      </c>
    </row>
    <row r="96">
      <c r="A96" s="20" t="inlineStr">
        <is>
          <t>임대료 수익</t>
        </is>
      </c>
      <c r="C96" s="22" t="n">
        <v>2.145</v>
      </c>
      <c r="D96" s="22" t="n">
        <v>1.967</v>
      </c>
      <c r="E96" s="22" t="n">
        <v>2.081</v>
      </c>
      <c r="F96" s="22" t="n">
        <v>2.161</v>
      </c>
      <c r="G96" s="22" t="n">
        <v>1.918</v>
      </c>
      <c r="H96" s="22" t="n">
        <v>2.133</v>
      </c>
      <c r="I96" s="22" t="n">
        <v>2.438</v>
      </c>
      <c r="J96" s="22" t="n">
        <v>3.072</v>
      </c>
      <c r="K96" s="22" t="n">
        <v>3.867</v>
      </c>
      <c r="L96" s="22" t="n">
        <v>3.962</v>
      </c>
      <c r="M96" s="22" t="n">
        <v>3.985</v>
      </c>
      <c r="N96" s="22" t="n">
        <v>4.315</v>
      </c>
      <c r="U96" s="22" t="n">
        <v>2.33</v>
      </c>
      <c r="V96" s="22" t="n">
        <v>2.145</v>
      </c>
      <c r="W96" s="22" t="n">
        <v>1.918</v>
      </c>
      <c r="X96" s="22" t="n">
        <v>3.867</v>
      </c>
    </row>
    <row r="97">
      <c r="A97" s="20" t="inlineStr">
        <is>
          <t>보조금 수입</t>
        </is>
      </c>
      <c r="D97" s="22" t="n">
        <v>0</v>
      </c>
      <c r="E97" s="22" t="n">
        <v>0.733</v>
      </c>
      <c r="F97" s="22" t="n">
        <v>0</v>
      </c>
      <c r="G97" s="22" t="n">
        <v>7.926</v>
      </c>
      <c r="H97" s="22" t="n">
        <v>7.926</v>
      </c>
      <c r="I97" s="22" t="n">
        <v>0</v>
      </c>
      <c r="J97" s="22" t="n">
        <v>0</v>
      </c>
      <c r="K97" s="22" t="n">
        <v>17.264</v>
      </c>
      <c r="L97" s="22" t="n">
        <v>0</v>
      </c>
      <c r="M97" s="22" t="n">
        <v>0</v>
      </c>
      <c r="N97" s="22" t="n">
        <v>5.022</v>
      </c>
      <c r="W97" s="22" t="n">
        <v>7.926</v>
      </c>
      <c r="X97" s="22" t="n">
        <v>17.264</v>
      </c>
    </row>
    <row r="98">
      <c r="A98" s="20" t="inlineStr">
        <is>
          <t>기타</t>
        </is>
      </c>
      <c r="C98" s="22" t="n">
        <v>-1.162</v>
      </c>
      <c r="D98" s="22" t="n">
        <v>0.8090000000000001</v>
      </c>
      <c r="E98" s="22" t="n">
        <v>0.66</v>
      </c>
      <c r="F98" s="22" t="n">
        <v>1.306</v>
      </c>
      <c r="G98" s="22" t="n">
        <v>-0.361</v>
      </c>
      <c r="H98" s="22" t="n">
        <v>2.894</v>
      </c>
      <c r="I98" s="22" t="n">
        <v>1.298</v>
      </c>
      <c r="J98" s="22" t="n">
        <v>1.849</v>
      </c>
      <c r="K98" s="22" t="n">
        <v>-1.796</v>
      </c>
      <c r="L98" s="22" t="n">
        <v>1.046</v>
      </c>
      <c r="M98" s="22" t="n">
        <v>0.747</v>
      </c>
      <c r="N98" s="22" t="n">
        <v>1.992</v>
      </c>
      <c r="U98" s="22" t="n">
        <v>-0.668</v>
      </c>
      <c r="V98" s="22" t="n">
        <v>-1.162</v>
      </c>
      <c r="W98" s="22" t="n">
        <v>-0.361</v>
      </c>
      <c r="X98" s="22" t="n">
        <v>-1.796</v>
      </c>
    </row>
    <row r="99">
      <c r="A99" s="20" t="inlineStr">
        <is>
          <t>영업외수익 합계</t>
        </is>
      </c>
      <c r="C99" s="22" t="n">
        <v>5.814</v>
      </c>
      <c r="D99" s="22" t="n">
        <v>2.777</v>
      </c>
      <c r="E99" s="22" t="n">
        <v>7.217</v>
      </c>
      <c r="F99" s="22" t="n">
        <v>3.467</v>
      </c>
      <c r="G99" s="22" t="n">
        <v>14.365</v>
      </c>
      <c r="H99" s="22" t="n">
        <v>12.953</v>
      </c>
      <c r="I99" s="22" t="n">
        <v>7.225</v>
      </c>
      <c r="J99" s="22" t="n">
        <v>4.921</v>
      </c>
      <c r="K99" s="22" t="n">
        <v>25.524</v>
      </c>
      <c r="L99" s="22" t="n">
        <v>5.009</v>
      </c>
      <c r="M99" s="22" t="n">
        <v>8.797000000000001</v>
      </c>
      <c r="N99" s="22" t="n">
        <v>11.329</v>
      </c>
      <c r="U99" s="22" t="n">
        <v>5.301</v>
      </c>
      <c r="V99" s="22" t="n">
        <v>5.814</v>
      </c>
      <c r="W99" s="22" t="n">
        <v>14.365</v>
      </c>
      <c r="X99" s="22" t="n">
        <v>25.524</v>
      </c>
    </row>
    <row r="100">
      <c r="A100" s="45" t="inlineStr">
        <is>
          <t>YoY</t>
        </is>
      </c>
      <c r="B100" s="3" t="inlineStr">
        <is>
          <t>전년 같은 분기·전년 대비</t>
        </is>
      </c>
      <c r="G100" s="17">
        <f>IF(OR(G99="",C99=""),"",IF(G99*C99&lt;=0,"",IFERROR(G99/C99-1,"")))</f>
        <v/>
      </c>
      <c r="H100" s="17">
        <f>IF(OR(H99="",D99=""),"",IF(H99*D99&lt;=0,"",IFERROR(H99/D99-1,"")))</f>
        <v/>
      </c>
      <c r="I100" s="17">
        <f>IF(OR(I99="",E99=""),"",IF(I99*E99&lt;=0,"",IFERROR(I99/E99-1,"")))</f>
        <v/>
      </c>
      <c r="J100" s="17">
        <f>IF(OR(J99="",F99=""),"",IF(J99*F99&lt;=0,"",IFERROR(J99/F99-1,"")))</f>
        <v/>
      </c>
      <c r="K100" s="17">
        <f>IF(OR(K99="",G99=""),"",IF(K99*G99&lt;=0,"",IFERROR(K99/G99-1,"")))</f>
        <v/>
      </c>
      <c r="L100" s="17">
        <f>IF(OR(L99="",H99=""),"",IF(L99*H99&lt;=0,"",IFERROR(L99/H99-1,"")))</f>
        <v/>
      </c>
      <c r="M100" s="17">
        <f>IF(OR(M99="",I99=""),"",IF(M99*I99&lt;=0,"",IFERROR(M99/I99-1,"")))</f>
        <v/>
      </c>
      <c r="N100" s="17">
        <f>IF(OR(N99="",J99=""),"",IF(N99*J99&lt;=0,"",IFERROR(N99/J99-1,"")))</f>
        <v/>
      </c>
      <c r="U100" s="17">
        <f>IF(OR(U99="",T99=""),"",IF(U99*T99&lt;=0,"",IFERROR(U99/T99-1,"")))</f>
        <v/>
      </c>
      <c r="V100" s="17">
        <f>IF(OR(V99="",U99=""),"",IF(V99*U99&lt;=0,"",IFERROR(V99/U99-1,"")))</f>
        <v/>
      </c>
      <c r="W100" s="17">
        <f>IF(OR(W99="",V99=""),"",IF(W99*V99&lt;=0,"",IFERROR(W99/V99-1,"")))</f>
        <v/>
      </c>
      <c r="X100" s="17">
        <f>IF(OR(X99="",W99=""),"",IF(X99*W99&lt;=0,"",IFERROR(X99/W99-1,"")))</f>
        <v/>
      </c>
    </row>
    <row r="101">
      <c r="A101" s="20" t="inlineStr">
        <is>
          <t>이자비용</t>
        </is>
      </c>
      <c r="C101" s="22" t="n">
        <v>1.526</v>
      </c>
      <c r="D101" s="22" t="n">
        <v>1.115</v>
      </c>
      <c r="E101" s="22" t="n">
        <v>1.247</v>
      </c>
      <c r="F101" s="22" t="n">
        <v>1.135</v>
      </c>
      <c r="G101" s="22" t="n">
        <v>1.086</v>
      </c>
      <c r="H101" s="22" t="n">
        <v>1.435</v>
      </c>
      <c r="I101" s="22" t="n">
        <v>2.13</v>
      </c>
      <c r="J101" s="22" t="n">
        <v>1.938</v>
      </c>
      <c r="K101" s="22" t="n">
        <v>1.696</v>
      </c>
      <c r="L101" s="22" t="n">
        <v>2.347</v>
      </c>
      <c r="M101" s="22" t="n">
        <v>3.066</v>
      </c>
      <c r="N101" s="22" t="n">
        <v>3.111</v>
      </c>
      <c r="U101" s="22" t="n">
        <v>1.766</v>
      </c>
      <c r="V101" s="22" t="n">
        <v>1.526</v>
      </c>
      <c r="W101" s="22" t="n">
        <v>1.086</v>
      </c>
      <c r="X101" s="22" t="n">
        <v>1.696</v>
      </c>
    </row>
    <row r="102">
      <c r="A102" s="20" t="inlineStr">
        <is>
          <t>상장 관련 비용</t>
        </is>
      </c>
      <c r="C102" s="22" t="n">
        <v>0</v>
      </c>
      <c r="D102" s="22" t="n">
        <v>0</v>
      </c>
      <c r="E102" s="22" t="n">
        <v>0</v>
      </c>
      <c r="F102" s="22" t="n">
        <v>0</v>
      </c>
      <c r="G102" s="22" t="n">
        <v>0</v>
      </c>
      <c r="U102" s="22" t="n">
        <v>3</v>
      </c>
      <c r="V102" s="22" t="n">
        <v>0</v>
      </c>
      <c r="W102" s="22" t="n">
        <v>0</v>
      </c>
    </row>
    <row r="103">
      <c r="A103" s="20" t="inlineStr">
        <is>
          <t>Advisory Cost NOE</t>
        </is>
      </c>
      <c r="H103" s="22" t="n">
        <v>0</v>
      </c>
      <c r="L103" s="22" t="n">
        <v>1.2</v>
      </c>
    </row>
    <row r="104">
      <c r="A104" s="20" t="inlineStr">
        <is>
          <t>Advisory Fee NOE</t>
        </is>
      </c>
      <c r="J104" s="22" t="n">
        <v>0</v>
      </c>
      <c r="N104" s="22" t="n">
        <v>0</v>
      </c>
    </row>
    <row r="105">
      <c r="A105" s="20" t="inlineStr">
        <is>
          <t>기타</t>
        </is>
      </c>
      <c r="C105" s="22" t="n">
        <v>-0.513</v>
      </c>
      <c r="D105" s="22" t="n">
        <v>0.122</v>
      </c>
      <c r="E105" s="22" t="n">
        <v>0.035</v>
      </c>
      <c r="F105" s="22" t="n">
        <v>0.189</v>
      </c>
      <c r="G105" s="22" t="n">
        <v>0.003</v>
      </c>
      <c r="H105" s="22" t="n">
        <v>0.155</v>
      </c>
      <c r="I105" s="22" t="n">
        <v>0.018</v>
      </c>
      <c r="J105" s="22" t="n">
        <v>0</v>
      </c>
      <c r="K105" s="22" t="n">
        <v>0</v>
      </c>
      <c r="L105" s="22" t="n">
        <v>0.013</v>
      </c>
      <c r="M105" s="22" t="n">
        <v>0.27</v>
      </c>
      <c r="N105" s="22" t="n">
        <v>0.5629999999999999</v>
      </c>
      <c r="U105" s="22" t="n">
        <v>-0.894</v>
      </c>
      <c r="V105" s="22" t="n">
        <v>-0.513</v>
      </c>
      <c r="W105" s="22" t="n">
        <v>0.003</v>
      </c>
      <c r="X105" s="22" t="n">
        <v>0</v>
      </c>
    </row>
    <row r="106">
      <c r="A106" s="20" t="inlineStr">
        <is>
          <t>영업외비용 합계</t>
        </is>
      </c>
      <c r="C106" s="22" t="n">
        <v>1.652</v>
      </c>
      <c r="D106" s="22" t="n">
        <v>1.238</v>
      </c>
      <c r="E106" s="22" t="n">
        <v>1.281</v>
      </c>
      <c r="F106" s="22" t="n">
        <v>1.324</v>
      </c>
      <c r="G106" s="22" t="n">
        <v>1.089</v>
      </c>
      <c r="H106" s="22" t="n">
        <v>1.59</v>
      </c>
      <c r="I106" s="22" t="n">
        <v>2.149</v>
      </c>
      <c r="J106" s="22" t="n">
        <v>1.938</v>
      </c>
      <c r="K106" s="22" t="n">
        <v>6.012</v>
      </c>
      <c r="L106" s="22" t="n">
        <v>3.56</v>
      </c>
      <c r="M106" s="22" t="n">
        <v>3.337</v>
      </c>
      <c r="N106" s="22" t="n">
        <v>3.673</v>
      </c>
      <c r="U106" s="22" t="n">
        <v>5.113</v>
      </c>
      <c r="V106" s="22" t="n">
        <v>1.652</v>
      </c>
      <c r="W106" s="22" t="n">
        <v>1.089</v>
      </c>
      <c r="X106" s="22" t="n">
        <v>6.012</v>
      </c>
    </row>
    <row r="107">
      <c r="A107" s="45" t="inlineStr">
        <is>
          <t>YoY</t>
        </is>
      </c>
      <c r="B107" s="3" t="inlineStr">
        <is>
          <t>전년 같은 분기·전년 대비</t>
        </is>
      </c>
      <c r="G107" s="17">
        <f>IF(OR(G106="",C106=""),"",IF(G106*C106&lt;=0,"",IFERROR(G106/C106-1,"")))</f>
        <v/>
      </c>
      <c r="H107" s="17">
        <f>IF(OR(H106="",D106=""),"",IF(H106*D106&lt;=0,"",IFERROR(H106/D106-1,"")))</f>
        <v/>
      </c>
      <c r="I107" s="17">
        <f>IF(OR(I106="",E106=""),"",IF(I106*E106&lt;=0,"",IFERROR(I106/E106-1,"")))</f>
        <v/>
      </c>
      <c r="J107" s="17">
        <f>IF(OR(J106="",F106=""),"",IF(J106*F106&lt;=0,"",IFERROR(J106/F106-1,"")))</f>
        <v/>
      </c>
      <c r="K107" s="17">
        <f>IF(OR(K106="",G106=""),"",IF(K106*G106&lt;=0,"",IFERROR(K106/G106-1,"")))</f>
        <v/>
      </c>
      <c r="L107" s="17">
        <f>IF(OR(L106="",H106=""),"",IF(L106*H106&lt;=0,"",IFERROR(L106/H106-1,"")))</f>
        <v/>
      </c>
      <c r="M107" s="17">
        <f>IF(OR(M106="",I106=""),"",IF(M106*I106&lt;=0,"",IFERROR(M106/I106-1,"")))</f>
        <v/>
      </c>
      <c r="N107" s="17">
        <f>IF(OR(N106="",J106=""),"",IF(N106*J106&lt;=0,"",IFERROR(N106/J106-1,"")))</f>
        <v/>
      </c>
      <c r="U107" s="17">
        <f>IF(OR(U106="",T106=""),"",IF(U106*T106&lt;=0,"",IFERROR(U106/T106-1,"")))</f>
        <v/>
      </c>
      <c r="V107" s="17">
        <f>IF(OR(V106="",U106=""),"",IF(V106*U106&lt;=0,"",IFERROR(V106/U106-1,"")))</f>
        <v/>
      </c>
      <c r="W107" s="17">
        <f>IF(OR(W106="",V106=""),"",IF(W106*V106&lt;=0,"",IFERROR(W106/V106-1,"")))</f>
        <v/>
      </c>
      <c r="X107" s="17">
        <f>IF(OR(X106="",W106=""),"",IF(X106*W106&lt;=0,"",IFERROR(X106/W106-1,"")))</f>
        <v/>
      </c>
    </row>
    <row r="108">
      <c r="A108" s="9" t="inlineStr">
        <is>
          <t>경상이익</t>
        </is>
      </c>
      <c r="C108" s="12" t="n">
        <v>99.881</v>
      </c>
      <c r="D108" s="12" t="n">
        <v>160.196</v>
      </c>
      <c r="E108" s="12" t="n">
        <v>54.192</v>
      </c>
      <c r="F108" s="12" t="n">
        <v>124.715</v>
      </c>
      <c r="G108" s="12" t="n">
        <v>211.976</v>
      </c>
      <c r="H108" s="12" t="n">
        <v>107.043</v>
      </c>
      <c r="I108" s="12" t="n">
        <v>-2.697</v>
      </c>
      <c r="J108" s="12" t="n">
        <v>75.595</v>
      </c>
      <c r="K108" s="12" t="n">
        <v>183.755</v>
      </c>
      <c r="L108" s="12" t="n">
        <v>122.546</v>
      </c>
      <c r="M108" s="12" t="n">
        <v>158.504</v>
      </c>
      <c r="N108" s="12" t="n">
        <v>167.615</v>
      </c>
      <c r="U108" s="12" t="n">
        <v>136.023</v>
      </c>
      <c r="V108" s="12" t="n">
        <v>99.881</v>
      </c>
      <c r="W108" s="12" t="n">
        <v>211.976</v>
      </c>
      <c r="X108" s="12" t="n">
        <v>183.755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G109" s="17">
        <f>IF(OR(G108="",C108=""),"",IF(C108&lt;=0,"",IFERROR(G108/C108-1,"")))</f>
        <v/>
      </c>
      <c r="H109" s="17">
        <f>IF(OR(H108="",D108=""),"",IF(D108&lt;=0,"",IFERROR(H108/D108-1,"")))</f>
        <v/>
      </c>
      <c r="I109" s="17">
        <f>IF(OR(I108="",E108=""),"",IF(E108&lt;=0,"",IFERROR(I108/E108-1,"")))</f>
        <v/>
      </c>
      <c r="J109" s="17">
        <f>IF(OR(J108="",F108=""),"",IF(F108&lt;=0,"",IFERROR(J108/F108-1,"")))</f>
        <v/>
      </c>
      <c r="K109" s="17">
        <f>IF(OR(K108="",G108=""),"",IF(G108&lt;=0,"",IFERROR(K108/G108-1,"")))</f>
        <v/>
      </c>
      <c r="L109" s="17">
        <f>IF(OR(L108="",H108=""),"",IF(H108&lt;=0,"",IFERROR(L108/H108-1,"")))</f>
        <v/>
      </c>
      <c r="M109" s="17">
        <f>IF(OR(M108="",I108=""),"",IF(I108&lt;=0,"",IFERROR(M108/I108-1,"")))</f>
        <v/>
      </c>
      <c r="N109" s="17">
        <f>IF(OR(N108="",J108=""),"",IF(J108&lt;=0,"",IFERROR(N108/J108-1,"")))</f>
        <v/>
      </c>
      <c r="U109" s="17">
        <f>IF(OR(U108="",T108=""),"",IF(T108&lt;=0,"",IFERROR(U108/T108-1,"")))</f>
        <v/>
      </c>
      <c r="V109" s="17">
        <f>IF(OR(V108="",U108=""),"",IF(U108&lt;=0,"",IFERROR(V108/U108-1,"")))</f>
        <v/>
      </c>
      <c r="W109" s="17">
        <f>IF(OR(W108="",V108=""),"",IF(V108&lt;=0,"",IFERROR(W108/V108-1,"")))</f>
        <v/>
      </c>
      <c r="X109" s="17">
        <f>IF(OR(X108="",W108=""),"",IF(W108&lt;=0,"",IFERROR(X108/W108-1,"")))</f>
        <v/>
      </c>
    </row>
    <row r="110">
      <c r="A110" s="20" t="inlineStr">
        <is>
          <t>고정자산 매각이익</t>
        </is>
      </c>
      <c r="H110" s="22" t="n">
        <v>0</v>
      </c>
      <c r="I110" s="22" t="n">
        <v>0</v>
      </c>
      <c r="J110" s="22" t="n">
        <v>0</v>
      </c>
      <c r="K110" s="22" t="n">
        <v>0</v>
      </c>
      <c r="L110" s="22" t="n">
        <v>1.174</v>
      </c>
      <c r="M110" s="22" t="n">
        <v>0</v>
      </c>
      <c r="N110" s="22" t="n">
        <v>0</v>
      </c>
      <c r="X110" s="22" t="n">
        <v>0</v>
      </c>
    </row>
    <row r="111">
      <c r="A111" s="20" t="inlineStr">
        <is>
          <t>투자유가증권 매각이익</t>
        </is>
      </c>
      <c r="F111" s="22" t="n">
        <v>0</v>
      </c>
      <c r="G111" s="22" t="n">
        <v>0</v>
      </c>
      <c r="J111" s="22" t="n">
        <v>0</v>
      </c>
      <c r="K111" s="22" t="n">
        <v>0</v>
      </c>
      <c r="N111" s="22" t="n">
        <v>0</v>
      </c>
      <c r="W111" s="22" t="n">
        <v>0</v>
      </c>
      <c r="X111" s="22" t="n">
        <v>0</v>
      </c>
    </row>
    <row r="112">
      <c r="A112" s="20" t="inlineStr">
        <is>
          <t>특별이익 합계</t>
        </is>
      </c>
      <c r="F112" s="22" t="n">
        <v>0</v>
      </c>
      <c r="G112" s="22" t="n">
        <v>0.909</v>
      </c>
      <c r="H112" s="22" t="n">
        <v>0</v>
      </c>
      <c r="I112" s="22" t="n">
        <v>0.378</v>
      </c>
      <c r="J112" s="22" t="n">
        <v>0</v>
      </c>
      <c r="K112" s="22" t="n">
        <v>0</v>
      </c>
      <c r="L112" s="22" t="n">
        <v>1.174</v>
      </c>
      <c r="M112" s="22" t="n">
        <v>0</v>
      </c>
      <c r="N112" s="22" t="n">
        <v>0</v>
      </c>
      <c r="W112" s="22" t="n">
        <v>0.909</v>
      </c>
      <c r="X112" s="22" t="n">
        <v>0</v>
      </c>
    </row>
    <row r="113">
      <c r="A113" s="45" t="inlineStr">
        <is>
          <t>YoY</t>
        </is>
      </c>
      <c r="B113" s="3" t="inlineStr">
        <is>
          <t>전년 같은 분기·전년 대비</t>
        </is>
      </c>
      <c r="G113" s="17">
        <f>IF(OR(G112="",C112=""),"",IF(G112*C112&lt;=0,"",IFERROR(G112/C112-1,"")))</f>
        <v/>
      </c>
      <c r="H113" s="17">
        <f>IF(OR(H112="",D112=""),"",IF(H112*D112&lt;=0,"",IFERROR(H112/D112-1,"")))</f>
        <v/>
      </c>
      <c r="I113" s="17">
        <f>IF(OR(I112="",E112=""),"",IF(I112*E112&lt;=0,"",IFERROR(I112/E112-1,"")))</f>
        <v/>
      </c>
      <c r="J113" s="17">
        <f>IF(OR(J112="",F112=""),"",IF(J112*F112&lt;=0,"",IFERROR(J112/F112-1,"")))</f>
        <v/>
      </c>
      <c r="K113" s="17">
        <f>IF(OR(K112="",G112=""),"",IF(K112*G112&lt;=0,"",IFERROR(K112/G112-1,"")))</f>
        <v/>
      </c>
      <c r="L113" s="17">
        <f>IF(OR(L112="",H112=""),"",IF(L112*H112&lt;=0,"",IFERROR(L112/H112-1,"")))</f>
        <v/>
      </c>
      <c r="M113" s="17">
        <f>IF(OR(M112="",I112=""),"",IF(M112*I112&lt;=0,"",IFERROR(M112/I112-1,"")))</f>
        <v/>
      </c>
      <c r="N113" s="17">
        <f>IF(OR(N112="",J112=""),"",IF(N112*J112&lt;=0,"",IFERROR(N112/J112-1,"")))</f>
        <v/>
      </c>
      <c r="W113" s="17">
        <f>IF(OR(W112="",V112=""),"",IF(W112*V112&lt;=0,"",IFERROR(W112/V112-1,"")))</f>
        <v/>
      </c>
      <c r="X113" s="17">
        <f>IF(OR(X112="",W112=""),"",IF(X112*W112&lt;=0,"",IFERROR(X112/W112-1,"")))</f>
        <v/>
      </c>
    </row>
    <row r="114">
      <c r="A114" s="20" t="inlineStr">
        <is>
          <t>고정자산 제각손실</t>
        </is>
      </c>
      <c r="C114" s="22" t="n">
        <v>1.268</v>
      </c>
      <c r="J114" s="22" t="n">
        <v>0</v>
      </c>
      <c r="K114" s="22" t="n">
        <v>16.288</v>
      </c>
      <c r="N114" s="22" t="n">
        <v>0</v>
      </c>
      <c r="U114" s="22" t="n">
        <v>0</v>
      </c>
      <c r="V114" s="22" t="n">
        <v>1.268</v>
      </c>
      <c r="X114" s="22" t="n">
        <v>16.288</v>
      </c>
    </row>
    <row r="115">
      <c r="A115" s="20" t="inlineStr">
        <is>
          <t>임원 퇴직위로금</t>
        </is>
      </c>
      <c r="H115" s="22" t="n">
        <v>0</v>
      </c>
      <c r="I115" s="22" t="n">
        <v>0</v>
      </c>
      <c r="J115" s="22" t="n">
        <v>0</v>
      </c>
      <c r="L115" s="22" t="n">
        <v>22.5</v>
      </c>
      <c r="M115" s="22" t="n">
        <v>0</v>
      </c>
      <c r="N115" s="22" t="n">
        <v>0</v>
      </c>
    </row>
    <row r="116">
      <c r="A116" s="20" t="inlineStr">
        <is>
          <t>특별손실 합계</t>
        </is>
      </c>
      <c r="C116" s="22" t="n">
        <v>1.268</v>
      </c>
      <c r="H116" s="22" t="n">
        <v>0</v>
      </c>
      <c r="I116" s="22" t="n">
        <v>0</v>
      </c>
      <c r="J116" s="22" t="n">
        <v>0</v>
      </c>
      <c r="K116" s="22" t="n">
        <v>16.288</v>
      </c>
      <c r="L116" s="22" t="n">
        <v>22.5</v>
      </c>
      <c r="M116" s="22" t="n">
        <v>1.111</v>
      </c>
      <c r="N116" s="22" t="n">
        <v>4.282</v>
      </c>
      <c r="U116" s="22" t="n">
        <v>-0.07000000000000001</v>
      </c>
      <c r="V116" s="22" t="n">
        <v>1.268</v>
      </c>
      <c r="X116" s="22" t="n">
        <v>16.288</v>
      </c>
    </row>
    <row r="117">
      <c r="A117" s="45" t="inlineStr">
        <is>
          <t>YoY</t>
        </is>
      </c>
      <c r="B117" s="3" t="inlineStr">
        <is>
          <t>전년 같은 분기·전년 대비</t>
        </is>
      </c>
      <c r="H117" s="17">
        <f>IF(OR(H116="",D116=""),"",IF(H116*D116&lt;=0,"",IFERROR(H116/D116-1,"")))</f>
        <v/>
      </c>
      <c r="I117" s="17">
        <f>IF(OR(I116="",E116=""),"",IF(I116*E116&lt;=0,"",IFERROR(I116/E116-1,"")))</f>
        <v/>
      </c>
      <c r="J117" s="17">
        <f>IF(OR(J116="",F116=""),"",IF(J116*F116&lt;=0,"",IFERROR(J116/F116-1,"")))</f>
        <v/>
      </c>
      <c r="K117" s="17">
        <f>IF(OR(K116="",G116=""),"",IF(K116*G116&lt;=0,"",IFERROR(K116/G116-1,"")))</f>
        <v/>
      </c>
      <c r="L117" s="17">
        <f>IF(OR(L116="",H116=""),"",IF(L116*H116&lt;=0,"",IFERROR(L116/H116-1,"")))</f>
        <v/>
      </c>
      <c r="M117" s="17">
        <f>IF(OR(M116="",I116=""),"",IF(M116*I116&lt;=0,"",IFERROR(M116/I116-1,"")))</f>
        <v/>
      </c>
      <c r="N117" s="17">
        <f>IF(OR(N116="",J116=""),"",IF(N116*J116&lt;=0,"",IFERROR(N116/J116-1,"")))</f>
        <v/>
      </c>
      <c r="U117" s="17">
        <f>IF(OR(U116="",T116=""),"",IF(U116*T116&lt;=0,"",IFERROR(U116/T116-1,"")))</f>
        <v/>
      </c>
      <c r="V117" s="17">
        <f>IF(OR(V116="",U116=""),"",IF(V116*U116&lt;=0,"",IFERROR(V116/U116-1,"")))</f>
        <v/>
      </c>
      <c r="X117" s="17">
        <f>IF(OR(X116="",W116=""),"",IF(X116*W116&lt;=0,"",IFERROR(X116/W116-1,"")))</f>
        <v/>
      </c>
    </row>
    <row r="118">
      <c r="A118" s="9" t="inlineStr">
        <is>
          <t>법인세차감전 순이익</t>
        </is>
      </c>
      <c r="C118" s="12" t="n">
        <v>102.61</v>
      </c>
      <c r="D118" s="12" t="n">
        <v>160.196</v>
      </c>
      <c r="E118" s="12" t="n">
        <v>54.192</v>
      </c>
      <c r="F118" s="12" t="n">
        <v>124.715</v>
      </c>
      <c r="G118" s="12" t="n">
        <v>199.934</v>
      </c>
      <c r="H118" s="12" t="n">
        <v>107.043</v>
      </c>
      <c r="I118" s="12" t="n">
        <v>-2.318</v>
      </c>
      <c r="J118" s="12" t="n">
        <v>75.59399999999999</v>
      </c>
      <c r="K118" s="12" t="n">
        <v>167.466</v>
      </c>
      <c r="L118" s="12" t="n">
        <v>101.221</v>
      </c>
      <c r="M118" s="12" t="n">
        <v>157.392</v>
      </c>
      <c r="N118" s="12" t="n">
        <v>163.333</v>
      </c>
      <c r="U118" s="12" t="n">
        <v>136.093</v>
      </c>
      <c r="V118" s="12" t="n">
        <v>102.61</v>
      </c>
      <c r="W118" s="12" t="n">
        <v>199.934</v>
      </c>
      <c r="X118" s="12" t="n">
        <v>167.466</v>
      </c>
    </row>
    <row r="119">
      <c r="A119" s="45" t="inlineStr">
        <is>
          <t>YoY</t>
        </is>
      </c>
      <c r="B119" s="3" t="inlineStr">
        <is>
          <t>전년 같은 분기·전년 대비</t>
        </is>
      </c>
      <c r="G119" s="17">
        <f>IF(OR(G118="",C118=""),"",IF(C118&lt;=0,"",IFERROR(G118/C118-1,"")))</f>
        <v/>
      </c>
      <c r="H119" s="17">
        <f>IF(OR(H118="",D118=""),"",IF(D118&lt;=0,"",IFERROR(H118/D118-1,"")))</f>
        <v/>
      </c>
      <c r="I119" s="17">
        <f>IF(OR(I118="",E118=""),"",IF(E118&lt;=0,"",IFERROR(I118/E118-1,"")))</f>
        <v/>
      </c>
      <c r="J119" s="17">
        <f>IF(OR(J118="",F118=""),"",IF(F118&lt;=0,"",IFERROR(J118/F118-1,"")))</f>
        <v/>
      </c>
      <c r="K119" s="17">
        <f>IF(OR(K118="",G118=""),"",IF(G118&lt;=0,"",IFERROR(K118/G118-1,"")))</f>
        <v/>
      </c>
      <c r="L119" s="17">
        <f>IF(OR(L118="",H118=""),"",IF(H118&lt;=0,"",IFERROR(L118/H118-1,"")))</f>
        <v/>
      </c>
      <c r="M119" s="17">
        <f>IF(OR(M118="",I118=""),"",IF(I118&lt;=0,"",IFERROR(M118/I118-1,"")))</f>
        <v/>
      </c>
      <c r="N119" s="17">
        <f>IF(OR(N118="",J118=""),"",IF(J118&lt;=0,"",IFERROR(N118/J118-1,"")))</f>
        <v/>
      </c>
      <c r="U119" s="17">
        <f>IF(OR(U118="",T118=""),"",IF(T118&lt;=0,"",IFERROR(U118/T118-1,"")))</f>
        <v/>
      </c>
      <c r="V119" s="17">
        <f>IF(OR(V118="",U118=""),"",IF(U118&lt;=0,"",IFERROR(V118/U118-1,"")))</f>
        <v/>
      </c>
      <c r="W119" s="17">
        <f>IF(OR(W118="",V118=""),"",IF(V118&lt;=0,"",IFERROR(W118/V118-1,"")))</f>
        <v/>
      </c>
      <c r="X119" s="17">
        <f>IF(OR(X118="",W118=""),"",IF(W118&lt;=0,"",IFERROR(X118/W118-1,"")))</f>
        <v/>
      </c>
    </row>
    <row r="120">
      <c r="A120" s="20" t="inlineStr">
        <is>
          <t>법인세·주민세·사업세</t>
        </is>
      </c>
      <c r="C120" s="22" t="n">
        <v>-9.912000000000001</v>
      </c>
      <c r="D120" s="22" t="n">
        <v>77.423</v>
      </c>
      <c r="E120" s="22" t="n">
        <v>-8.441000000000001</v>
      </c>
      <c r="F120" s="22" t="n">
        <v>76.813</v>
      </c>
      <c r="G120" s="22" t="n">
        <v>1.586</v>
      </c>
      <c r="H120" s="22" t="n">
        <v>68.999</v>
      </c>
      <c r="I120" s="22" t="n">
        <v>-30.007</v>
      </c>
      <c r="J120" s="22" t="n">
        <v>65.925</v>
      </c>
      <c r="K120" s="22" t="n">
        <v>12.721</v>
      </c>
      <c r="L120" s="22" t="n">
        <v>66.97</v>
      </c>
      <c r="M120" s="22" t="n">
        <v>15.934</v>
      </c>
      <c r="N120" s="22" t="n">
        <v>89.16</v>
      </c>
      <c r="U120" s="22" t="n">
        <v>15.652</v>
      </c>
      <c r="V120" s="22" t="n">
        <v>-9.912000000000001</v>
      </c>
      <c r="W120" s="22" t="n">
        <v>1.586</v>
      </c>
      <c r="X120" s="22" t="n">
        <v>12.721</v>
      </c>
    </row>
    <row r="121">
      <c r="A121" s="20" t="inlineStr">
        <is>
          <t>법인세 조정액</t>
        </is>
      </c>
      <c r="C121" s="22" t="n">
        <v>28.997</v>
      </c>
      <c r="D121" s="22" t="n">
        <v>-26.371</v>
      </c>
      <c r="E121" s="22" t="n">
        <v>26.464</v>
      </c>
      <c r="F121" s="22" t="n">
        <v>-37.207</v>
      </c>
      <c r="G121" s="22" t="n">
        <v>34.094</v>
      </c>
      <c r="H121" s="22" t="n">
        <v>-34.821</v>
      </c>
      <c r="I121" s="22" t="n">
        <v>30.85</v>
      </c>
      <c r="J121" s="22" t="n">
        <v>-40.709</v>
      </c>
      <c r="K121" s="22" t="n">
        <v>40.769</v>
      </c>
      <c r="L121" s="22" t="n">
        <v>-35.536</v>
      </c>
      <c r="M121" s="22" t="n">
        <v>35.677</v>
      </c>
      <c r="N121" s="22" t="n">
        <v>-37.807</v>
      </c>
      <c r="U121" s="22" t="n">
        <v>28.306</v>
      </c>
      <c r="V121" s="22" t="n">
        <v>28.997</v>
      </c>
      <c r="W121" s="22" t="n">
        <v>34.094</v>
      </c>
      <c r="X121" s="22" t="n">
        <v>40.769</v>
      </c>
    </row>
    <row r="122">
      <c r="A122" s="20" t="inlineStr">
        <is>
          <t>법인세 등 합계</t>
        </is>
      </c>
      <c r="C122" s="22" t="n">
        <v>19.085</v>
      </c>
      <c r="D122" s="22" t="n">
        <v>51.051</v>
      </c>
      <c r="E122" s="22" t="n">
        <v>18.025</v>
      </c>
      <c r="F122" s="22" t="n">
        <v>39.604</v>
      </c>
      <c r="G122" s="22" t="n">
        <v>35.68</v>
      </c>
      <c r="H122" s="22" t="n">
        <v>34.178</v>
      </c>
      <c r="I122" s="22" t="n">
        <v>0.843</v>
      </c>
      <c r="J122" s="22" t="n">
        <v>25.216</v>
      </c>
      <c r="K122" s="22" t="n">
        <v>53.489</v>
      </c>
      <c r="L122" s="22" t="n">
        <v>31.433</v>
      </c>
      <c r="M122" s="22" t="n">
        <v>51.612</v>
      </c>
      <c r="N122" s="22" t="n">
        <v>51.353</v>
      </c>
      <c r="U122" s="22" t="n">
        <v>43.959</v>
      </c>
      <c r="V122" s="22" t="n">
        <v>19.085</v>
      </c>
      <c r="W122" s="22" t="n">
        <v>35.68</v>
      </c>
      <c r="X122" s="22" t="n">
        <v>53.489</v>
      </c>
    </row>
    <row r="123">
      <c r="A123" s="45" t="inlineStr">
        <is>
          <t>YoY</t>
        </is>
      </c>
      <c r="B123" s="3" t="inlineStr">
        <is>
          <t>전년 같은 분기·전년 대비</t>
        </is>
      </c>
      <c r="G123" s="17">
        <f>IF(OR(G122="",C122=""),"",IF(G122*C122&lt;=0,"",IFERROR(G122/C122-1,"")))</f>
        <v/>
      </c>
      <c r="H123" s="17">
        <f>IF(OR(H122="",D122=""),"",IF(H122*D122&lt;=0,"",IFERROR(H122/D122-1,"")))</f>
        <v/>
      </c>
      <c r="I123" s="17">
        <f>IF(OR(I122="",E122=""),"",IF(I122*E122&lt;=0,"",IFERROR(I122/E122-1,"")))</f>
        <v/>
      </c>
      <c r="J123" s="17">
        <f>IF(OR(J122="",F122=""),"",IF(J122*F122&lt;=0,"",IFERROR(J122/F122-1,"")))</f>
        <v/>
      </c>
      <c r="K123" s="17">
        <f>IF(OR(K122="",G122=""),"",IF(K122*G122&lt;=0,"",IFERROR(K122/G122-1,"")))</f>
        <v/>
      </c>
      <c r="L123" s="17">
        <f>IF(OR(L122="",H122=""),"",IF(L122*H122&lt;=0,"",IFERROR(L122/H122-1,"")))</f>
        <v/>
      </c>
      <c r="M123" s="17">
        <f>IF(OR(M122="",I122=""),"",IF(M122*I122&lt;=0,"",IFERROR(M122/I122-1,"")))</f>
        <v/>
      </c>
      <c r="N123" s="17">
        <f>IF(OR(N122="",J122=""),"",IF(N122*J122&lt;=0,"",IFERROR(N122/J122-1,"")))</f>
        <v/>
      </c>
      <c r="U123" s="17">
        <f>IF(OR(U122="",T122=""),"",IF(U122*T122&lt;=0,"",IFERROR(U122/T122-1,"")))</f>
        <v/>
      </c>
      <c r="V123" s="17">
        <f>IF(OR(V122="",U122=""),"",IF(V122*U122&lt;=0,"",IFERROR(V122/U122-1,"")))</f>
        <v/>
      </c>
      <c r="W123" s="17">
        <f>IF(OR(W122="",V122=""),"",IF(W122*V122&lt;=0,"",IFERROR(W122/V122-1,"")))</f>
        <v/>
      </c>
      <c r="X123" s="17">
        <f>IF(OR(X122="",W122=""),"",IF(X122*W122&lt;=0,"",IFERROR(X122/W122-1,"")))</f>
        <v/>
      </c>
    </row>
    <row r="124">
      <c r="A124" s="9" t="inlineStr">
        <is>
          <t>순이익</t>
        </is>
      </c>
      <c r="C124" s="12" t="n">
        <v>83.526</v>
      </c>
      <c r="D124" s="12" t="n">
        <v>109.145</v>
      </c>
      <c r="E124" s="12" t="n">
        <v>36.167</v>
      </c>
      <c r="F124" s="12" t="n">
        <v>85.111</v>
      </c>
      <c r="G124" s="12" t="n">
        <v>164.253</v>
      </c>
      <c r="H124" s="12" t="n">
        <v>72.864</v>
      </c>
      <c r="I124" s="12" t="n">
        <v>-3.161</v>
      </c>
      <c r="J124" s="12" t="n">
        <v>50.379</v>
      </c>
      <c r="K124" s="12" t="n">
        <v>113.977</v>
      </c>
      <c r="L124" s="12" t="n">
        <v>69.78700000000001</v>
      </c>
      <c r="M124" s="12" t="n">
        <v>105.781</v>
      </c>
      <c r="N124" s="12" t="n">
        <v>111.98</v>
      </c>
      <c r="U124" s="12" t="n">
        <v>92.13500000000001</v>
      </c>
      <c r="V124" s="12" t="n">
        <v>83.526</v>
      </c>
      <c r="W124" s="12" t="n">
        <v>164.253</v>
      </c>
      <c r="X124" s="12" t="n">
        <v>113.977</v>
      </c>
    </row>
    <row r="125">
      <c r="A125" s="45" t="inlineStr">
        <is>
          <t>YoY</t>
        </is>
      </c>
      <c r="B125" s="3" t="inlineStr">
        <is>
          <t>전년 같은 분기·전년 대비</t>
        </is>
      </c>
      <c r="G125" s="17">
        <f>IF(OR(G124="",C124=""),"",IF(C124&lt;=0,"",IFERROR(G124/C124-1,"")))</f>
        <v/>
      </c>
      <c r="H125" s="17">
        <f>IF(OR(H124="",D124=""),"",IF(D124&lt;=0,"",IFERROR(H124/D124-1,"")))</f>
        <v/>
      </c>
      <c r="I125" s="17">
        <f>IF(OR(I124="",E124=""),"",IF(E124&lt;=0,"",IFERROR(I124/E124-1,"")))</f>
        <v/>
      </c>
      <c r="J125" s="17">
        <f>IF(OR(J124="",F124=""),"",IF(F124&lt;=0,"",IFERROR(J124/F124-1,"")))</f>
        <v/>
      </c>
      <c r="K125" s="17">
        <f>IF(OR(K124="",G124=""),"",IF(G124&lt;=0,"",IFERROR(K124/G124-1,"")))</f>
        <v/>
      </c>
      <c r="L125" s="17">
        <f>IF(OR(L124="",H124=""),"",IF(H124&lt;=0,"",IFERROR(L124/H124-1,"")))</f>
        <v/>
      </c>
      <c r="M125" s="17">
        <f>IF(OR(M124="",I124=""),"",IF(I124&lt;=0,"",IFERROR(M124/I124-1,"")))</f>
        <v/>
      </c>
      <c r="N125" s="17">
        <f>IF(OR(N124="",J124=""),"",IF(J124&lt;=0,"",IFERROR(N124/J124-1,"")))</f>
        <v/>
      </c>
      <c r="U125" s="17">
        <f>IF(OR(U124="",T124=""),"",IF(T124&lt;=0,"",IFERROR(U124/T124-1,"")))</f>
        <v/>
      </c>
      <c r="V125" s="17">
        <f>IF(OR(V124="",U124=""),"",IF(U124&lt;=0,"",IFERROR(V124/U124-1,"")))</f>
        <v/>
      </c>
      <c r="W125" s="17">
        <f>IF(OR(W124="",V124=""),"",IF(V124&lt;=0,"",IFERROR(W124/V124-1,"")))</f>
        <v/>
      </c>
      <c r="X125" s="17">
        <f>IF(OR(X124="",W124=""),"",IF(W124&lt;=0,"",IFERROR(X124/W124-1,"")))</f>
        <v/>
      </c>
    </row>
    <row r="127">
      <c r="A127" s="18" t="inlineStr">
        <is>
          <t>현금흐름표 · 전 항목</t>
        </is>
      </c>
      <c r="B127" s="44" t="inlineStr">
        <is>
          <t>분기 = 결산기 첫날부터 누계(공시 그대로)</t>
        </is>
      </c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</row>
    <row r="128">
      <c r="A128" s="5" t="inlineStr">
        <is>
          <t>항목</t>
        </is>
      </c>
      <c r="B128" s="5" t="inlineStr">
        <is>
          <t>참고</t>
        </is>
      </c>
      <c r="C128" s="5" t="inlineStr">
        <is>
          <t>2023.4Q</t>
        </is>
      </c>
      <c r="D128" s="5" t="inlineStr">
        <is>
          <t>2024.1Q</t>
        </is>
      </c>
      <c r="E128" s="5" t="inlineStr">
        <is>
          <t>2024.2Q</t>
        </is>
      </c>
      <c r="F128" s="5" t="inlineStr">
        <is>
          <t>2024.3Q</t>
        </is>
      </c>
      <c r="G128" s="5" t="inlineStr">
        <is>
          <t>2024.4Q</t>
        </is>
      </c>
      <c r="H128" s="5" t="inlineStr">
        <is>
          <t>2025.1Q</t>
        </is>
      </c>
      <c r="I128" s="5" t="inlineStr">
        <is>
          <t>2025.2Q</t>
        </is>
      </c>
      <c r="J128" s="5" t="inlineStr">
        <is>
          <t>2025.3Q</t>
        </is>
      </c>
      <c r="K128" s="5" t="inlineStr">
        <is>
          <t>2025.4Q</t>
        </is>
      </c>
      <c r="L128" s="5" t="inlineStr">
        <is>
          <t>2026.1Q</t>
        </is>
      </c>
      <c r="M128" s="5" t="inlineStr">
        <is>
          <t>2026.2Q</t>
        </is>
      </c>
      <c r="N128" s="5" t="inlineStr">
        <is>
          <t>2026.3Q</t>
        </is>
      </c>
      <c r="O128" s="5" t="inlineStr">
        <is>
          <t>2016</t>
        </is>
      </c>
      <c r="P128" s="5" t="inlineStr">
        <is>
          <t>2017</t>
        </is>
      </c>
      <c r="Q128" s="5" t="inlineStr">
        <is>
          <t>2018</t>
        </is>
      </c>
      <c r="R128" s="5" t="inlineStr">
        <is>
          <t>2019</t>
        </is>
      </c>
      <c r="S128" s="5" t="inlineStr">
        <is>
          <t>2020</t>
        </is>
      </c>
      <c r="T128" s="5" t="inlineStr">
        <is>
          <t>2021</t>
        </is>
      </c>
      <c r="U128" s="5" t="inlineStr">
        <is>
          <t>2022</t>
        </is>
      </c>
      <c r="V128" s="5" t="inlineStr">
        <is>
          <t>2023</t>
        </is>
      </c>
      <c r="W128" s="5" t="inlineStr">
        <is>
          <t>2024</t>
        </is>
      </c>
      <c r="X128" s="5" t="inlineStr">
        <is>
          <t>2025</t>
        </is>
      </c>
      <c r="Y128" s="5" t="inlineStr">
        <is>
          <t>2026(MW)</t>
        </is>
      </c>
      <c r="Z128" s="5" t="inlineStr">
        <is>
          <t>2027(MW)</t>
        </is>
      </c>
      <c r="AA128" s="5" t="inlineStr">
        <is>
          <t>2028(MW)</t>
        </is>
      </c>
      <c r="AB128" s="5" t="inlineStr">
        <is>
          <t>2029(MW)</t>
        </is>
      </c>
      <c r="AC128" s="5" t="inlineStr">
        <is>
          <t>2030(MW)</t>
        </is>
      </c>
    </row>
    <row r="129">
      <c r="A129" s="9" t="inlineStr">
        <is>
          <t>법인세차감전 순이익</t>
        </is>
      </c>
      <c r="C129" s="12" t="n">
        <v>486.142</v>
      </c>
      <c r="E129" s="12" t="n">
        <v>214.388</v>
      </c>
      <c r="G129" s="12" t="n">
        <v>539.037</v>
      </c>
      <c r="I129" s="12" t="n">
        <v>104.725</v>
      </c>
      <c r="K129" s="12" t="n">
        <v>347.785</v>
      </c>
      <c r="M129" s="12" t="n">
        <v>258.613</v>
      </c>
      <c r="U129" s="12" t="n">
        <v>334.941</v>
      </c>
      <c r="V129" s="12" t="n">
        <v>486.142</v>
      </c>
      <c r="W129" s="12" t="n">
        <v>539.037</v>
      </c>
      <c r="X129" s="12" t="n">
        <v>347.785</v>
      </c>
    </row>
    <row r="130">
      <c r="A130" s="20" t="inlineStr">
        <is>
          <t>감가상각비</t>
        </is>
      </c>
      <c r="C130" s="22" t="n">
        <v>58.443</v>
      </c>
      <c r="E130" s="22" t="n">
        <v>31.214</v>
      </c>
      <c r="G130" s="22" t="n">
        <v>63.083</v>
      </c>
      <c r="I130" s="22" t="n">
        <v>33.129</v>
      </c>
      <c r="K130" s="22" t="n">
        <v>70.76300000000001</v>
      </c>
      <c r="M130" s="22" t="n">
        <v>41.447</v>
      </c>
      <c r="U130" s="22" t="n">
        <v>28.393</v>
      </c>
      <c r="V130" s="22" t="n">
        <v>58.443</v>
      </c>
      <c r="W130" s="22" t="n">
        <v>63.083</v>
      </c>
      <c r="X130" s="22" t="n">
        <v>70.76300000000001</v>
      </c>
    </row>
    <row r="131">
      <c r="A131" s="20" t="inlineStr">
        <is>
          <t>대손충당금 증감</t>
        </is>
      </c>
      <c r="C131" s="22" t="n">
        <v>0</v>
      </c>
      <c r="G131" s="22" t="n">
        <v>0</v>
      </c>
      <c r="I131" s="22" t="n">
        <v>0</v>
      </c>
      <c r="K131" s="22" t="n">
        <v>0.229</v>
      </c>
      <c r="M131" s="22" t="n">
        <v>2.003</v>
      </c>
      <c r="U131" s="22" t="n">
        <v>-0.067</v>
      </c>
      <c r="V131" s="22" t="n">
        <v>0</v>
      </c>
      <c r="W131" s="22" t="n">
        <v>0</v>
      </c>
      <c r="X131" s="22" t="n">
        <v>0.229</v>
      </c>
    </row>
    <row r="132">
      <c r="A132" s="20" t="inlineStr">
        <is>
          <t>수주손실 충당금 증감</t>
        </is>
      </c>
      <c r="C132" s="22" t="n">
        <v>-0.233</v>
      </c>
      <c r="E132" s="22" t="n">
        <v>10.071</v>
      </c>
      <c r="G132" s="22" t="n">
        <v>5.258</v>
      </c>
      <c r="I132" s="22" t="n">
        <v>40.356</v>
      </c>
      <c r="K132" s="22" t="n">
        <v>18.467</v>
      </c>
      <c r="M132" s="22" t="n">
        <v>1.774</v>
      </c>
      <c r="U132" s="22" t="n">
        <v>-0.709</v>
      </c>
      <c r="V132" s="22" t="n">
        <v>-0.233</v>
      </c>
      <c r="W132" s="22" t="n">
        <v>5.258</v>
      </c>
      <c r="X132" s="22" t="n">
        <v>18.467</v>
      </c>
    </row>
    <row r="133">
      <c r="A133" s="20" t="inlineStr">
        <is>
          <t>이자·배당금 수익</t>
        </is>
      </c>
      <c r="C133" s="22" t="n">
        <v>-5.093</v>
      </c>
      <c r="E133" s="22" t="n">
        <v>-3.746</v>
      </c>
      <c r="G133" s="22" t="n">
        <v>-7.254</v>
      </c>
      <c r="I133" s="22" t="n">
        <v>-3.582</v>
      </c>
      <c r="K133" s="22" t="n">
        <v>-7.691</v>
      </c>
      <c r="M133" s="22" t="n">
        <v>-4.432</v>
      </c>
      <c r="U133" s="22" t="n">
        <v>-4.519</v>
      </c>
      <c r="V133" s="22" t="n">
        <v>-5.093</v>
      </c>
      <c r="W133" s="22" t="n">
        <v>-7.254</v>
      </c>
      <c r="X133" s="22" t="n">
        <v>-7.691</v>
      </c>
    </row>
    <row r="134">
      <c r="A134" s="20" t="inlineStr">
        <is>
          <t>이자비용</t>
        </is>
      </c>
      <c r="C134" s="22" t="n">
        <v>6.624</v>
      </c>
      <c r="E134" s="22" t="n">
        <v>2.362</v>
      </c>
      <c r="G134" s="22" t="n">
        <v>4.583</v>
      </c>
      <c r="I134" s="22" t="n">
        <v>3.565</v>
      </c>
      <c r="K134" s="22" t="n">
        <v>7.199</v>
      </c>
      <c r="M134" s="22" t="n">
        <v>5.413</v>
      </c>
      <c r="U134" s="22" t="n">
        <v>8.004</v>
      </c>
      <c r="V134" s="22" t="n">
        <v>6.624</v>
      </c>
      <c r="W134" s="22" t="n">
        <v>4.583</v>
      </c>
      <c r="X134" s="22" t="n">
        <v>7.199</v>
      </c>
    </row>
    <row r="135">
      <c r="A135" s="20" t="inlineStr">
        <is>
          <t>고정자산 매각손익</t>
        </is>
      </c>
      <c r="C135" s="22" t="n">
        <v>-3.997</v>
      </c>
      <c r="G135" s="22" t="n">
        <v>-0.909</v>
      </c>
      <c r="I135" s="22" t="n">
        <v>0</v>
      </c>
      <c r="K135" s="22" t="n">
        <v>0</v>
      </c>
      <c r="M135" s="22" t="n">
        <v>-1.174</v>
      </c>
      <c r="U135" s="22" t="n">
        <v>0</v>
      </c>
      <c r="V135" s="22" t="n">
        <v>-3.997</v>
      </c>
      <c r="W135" s="22" t="n">
        <v>-0.909</v>
      </c>
      <c r="X135" s="22" t="n">
        <v>0</v>
      </c>
    </row>
    <row r="136">
      <c r="A136" s="20" t="inlineStr">
        <is>
          <t>고정자산 제각손실</t>
        </is>
      </c>
      <c r="C136" s="22" t="n">
        <v>1.268</v>
      </c>
      <c r="G136" s="22" t="n">
        <v>0</v>
      </c>
      <c r="I136" s="22" t="n">
        <v>0</v>
      </c>
      <c r="K136" s="22" t="n">
        <v>16.288</v>
      </c>
      <c r="M136" s="22" t="n">
        <v>1.111</v>
      </c>
      <c r="U136" s="22" t="n">
        <v>2.618</v>
      </c>
      <c r="V136" s="22" t="n">
        <v>1.268</v>
      </c>
      <c r="W136" s="22" t="n">
        <v>0</v>
      </c>
      <c r="X136" s="22" t="n">
        <v>16.288</v>
      </c>
    </row>
    <row r="137">
      <c r="A137" s="20" t="inlineStr">
        <is>
          <t>화해금</t>
        </is>
      </c>
      <c r="C137" s="22" t="n">
        <v>0</v>
      </c>
      <c r="G137" s="22" t="n">
        <v>12.952</v>
      </c>
      <c r="K137" s="22" t="n">
        <v>0</v>
      </c>
      <c r="V137" s="22" t="n">
        <v>0</v>
      </c>
      <c r="W137" s="22" t="n">
        <v>12.952</v>
      </c>
      <c r="X137" s="22" t="n">
        <v>0</v>
      </c>
    </row>
    <row r="138">
      <c r="A138" s="20" t="inlineStr">
        <is>
          <t>매출채권 증감</t>
        </is>
      </c>
      <c r="C138" s="22" t="n">
        <v>-233.662</v>
      </c>
      <c r="E138" s="22" t="n">
        <v>-184.204</v>
      </c>
      <c r="G138" s="22" t="n">
        <v>-357.975</v>
      </c>
      <c r="I138" s="22" t="n">
        <v>48.921</v>
      </c>
      <c r="K138" s="22" t="n">
        <v>175.758</v>
      </c>
      <c r="M138" s="22" t="n">
        <v>120.567</v>
      </c>
      <c r="U138" s="22" t="n">
        <v>-156.657</v>
      </c>
      <c r="V138" s="22" t="n">
        <v>-233.662</v>
      </c>
      <c r="W138" s="22" t="n">
        <v>-357.975</v>
      </c>
      <c r="X138" s="22" t="n">
        <v>175.758</v>
      </c>
    </row>
    <row r="139">
      <c r="A139" s="20" t="inlineStr">
        <is>
          <t>재고자산 증감</t>
        </is>
      </c>
      <c r="C139" s="22" t="n">
        <v>10.733</v>
      </c>
      <c r="E139" s="22" t="n">
        <v>8.922000000000001</v>
      </c>
      <c r="G139" s="22" t="n">
        <v>13.441</v>
      </c>
      <c r="I139" s="22" t="n">
        <v>2.119</v>
      </c>
      <c r="K139" s="22" t="n">
        <v>-6.327</v>
      </c>
      <c r="M139" s="22" t="n">
        <v>-5.039</v>
      </c>
      <c r="U139" s="22" t="n">
        <v>-10.905</v>
      </c>
      <c r="V139" s="22" t="n">
        <v>10.733</v>
      </c>
      <c r="W139" s="22" t="n">
        <v>13.441</v>
      </c>
      <c r="X139" s="22" t="n">
        <v>-6.327</v>
      </c>
    </row>
    <row r="140">
      <c r="A140" s="20" t="inlineStr">
        <is>
          <t>미수금 증감</t>
        </is>
      </c>
      <c r="C140" s="22" t="n">
        <v>-11.812</v>
      </c>
      <c r="E140" s="22" t="n">
        <v>6.696</v>
      </c>
      <c r="G140" s="22" t="n">
        <v>-2.076</v>
      </c>
      <c r="I140" s="22" t="n">
        <v>9.250999999999999</v>
      </c>
      <c r="K140" s="22" t="n">
        <v>1.141</v>
      </c>
      <c r="M140" s="22" t="n">
        <v>8.228</v>
      </c>
      <c r="U140" s="22" t="n">
        <v>-0.327</v>
      </c>
      <c r="V140" s="22" t="n">
        <v>-11.812</v>
      </c>
      <c r="W140" s="22" t="n">
        <v>-2.076</v>
      </c>
      <c r="X140" s="22" t="n">
        <v>1.141</v>
      </c>
    </row>
    <row r="141">
      <c r="A141" s="20" t="inlineStr">
        <is>
          <t>선급비용 증감</t>
        </is>
      </c>
      <c r="C141" s="22" t="n">
        <v>5.965</v>
      </c>
      <c r="E141" s="22" t="n">
        <v>3.484</v>
      </c>
      <c r="G141" s="22" t="n">
        <v>0.066</v>
      </c>
      <c r="I141" s="22" t="n">
        <v>-5.994</v>
      </c>
      <c r="K141" s="22" t="n">
        <v>-2.496</v>
      </c>
      <c r="M141" s="22" t="n">
        <v>-13.726</v>
      </c>
      <c r="U141" s="22" t="n">
        <v>-17.912</v>
      </c>
      <c r="V141" s="22" t="n">
        <v>5.965</v>
      </c>
      <c r="W141" s="22" t="n">
        <v>0.066</v>
      </c>
      <c r="X141" s="22" t="n">
        <v>-2.496</v>
      </c>
    </row>
    <row r="142">
      <c r="A142" s="20" t="inlineStr">
        <is>
          <t>매입채무 증감</t>
        </is>
      </c>
      <c r="C142" s="22" t="n">
        <v>40.167</v>
      </c>
      <c r="E142" s="22" t="n">
        <v>42.835</v>
      </c>
      <c r="G142" s="22" t="n">
        <v>54.133</v>
      </c>
      <c r="I142" s="22" t="n">
        <v>8.207000000000001</v>
      </c>
      <c r="K142" s="22" t="n">
        <v>-18.758</v>
      </c>
      <c r="M142" s="22" t="n">
        <v>-0.569</v>
      </c>
      <c r="U142" s="22" t="n">
        <v>-59.759</v>
      </c>
      <c r="V142" s="22" t="n">
        <v>40.167</v>
      </c>
      <c r="W142" s="22" t="n">
        <v>54.133</v>
      </c>
      <c r="X142" s="22" t="n">
        <v>-18.758</v>
      </c>
    </row>
    <row r="143">
      <c r="A143" s="20" t="inlineStr">
        <is>
          <t>미지급 소비세 증감</t>
        </is>
      </c>
      <c r="C143" s="22" t="n">
        <v>-56.557</v>
      </c>
      <c r="E143" s="22" t="n">
        <v>78.297</v>
      </c>
      <c r="G143" s="22" t="n">
        <v>104.51</v>
      </c>
      <c r="I143" s="22" t="n">
        <v>-75.736</v>
      </c>
      <c r="K143" s="22" t="n">
        <v>-65.224</v>
      </c>
      <c r="M143" s="22" t="n">
        <v>4.121</v>
      </c>
      <c r="U143" s="22" t="n">
        <v>-11.42</v>
      </c>
      <c r="V143" s="22" t="n">
        <v>-56.557</v>
      </c>
      <c r="W143" s="22" t="n">
        <v>104.51</v>
      </c>
      <c r="X143" s="22" t="n">
        <v>-65.224</v>
      </c>
    </row>
    <row r="144">
      <c r="A144" s="20" t="inlineStr">
        <is>
          <t>미지급금 증감</t>
        </is>
      </c>
      <c r="C144" s="22" t="n">
        <v>12.745</v>
      </c>
      <c r="E144" s="22" t="n">
        <v>-26.139</v>
      </c>
      <c r="G144" s="22" t="n">
        <v>-21.175</v>
      </c>
      <c r="I144" s="22" t="n">
        <v>-13.855</v>
      </c>
      <c r="K144" s="22" t="n">
        <v>9.792</v>
      </c>
      <c r="M144" s="22" t="n">
        <v>-7.23</v>
      </c>
      <c r="U144" s="22" t="n">
        <v>8.436</v>
      </c>
      <c r="V144" s="22" t="n">
        <v>12.745</v>
      </c>
      <c r="W144" s="22" t="n">
        <v>-21.175</v>
      </c>
      <c r="X144" s="22" t="n">
        <v>9.792</v>
      </c>
    </row>
    <row r="145">
      <c r="A145" s="20" t="inlineStr">
        <is>
          <t>미지급비용 증감</t>
        </is>
      </c>
      <c r="C145" s="22" t="n">
        <v>3.981</v>
      </c>
      <c r="E145" s="22" t="n">
        <v>8.369999999999999</v>
      </c>
      <c r="G145" s="22" t="n">
        <v>9.231999999999999</v>
      </c>
      <c r="I145" s="22" t="n">
        <v>-21.794</v>
      </c>
      <c r="K145" s="22" t="n">
        <v>8.016</v>
      </c>
      <c r="M145" s="22" t="n">
        <v>-25.294</v>
      </c>
      <c r="U145" s="22" t="n">
        <v>3.038</v>
      </c>
      <c r="V145" s="22" t="n">
        <v>3.981</v>
      </c>
      <c r="W145" s="22" t="n">
        <v>9.231999999999999</v>
      </c>
      <c r="X145" s="22" t="n">
        <v>8.016</v>
      </c>
    </row>
    <row r="146">
      <c r="A146" s="20" t="inlineStr">
        <is>
          <t>예수금 증감</t>
        </is>
      </c>
      <c r="E146" s="22" t="n">
        <v>-16.186</v>
      </c>
      <c r="G146" s="22" t="n">
        <v>0</v>
      </c>
      <c r="I146" s="22" t="n">
        <v>-22.168</v>
      </c>
      <c r="K146" s="22" t="n">
        <v>7.887</v>
      </c>
      <c r="M146" s="22" t="n">
        <v>-25.093</v>
      </c>
      <c r="W146" s="22" t="n">
        <v>0</v>
      </c>
      <c r="X146" s="22" t="n">
        <v>7.887</v>
      </c>
    </row>
    <row r="147">
      <c r="A147" s="20" t="inlineStr">
        <is>
          <t>기타</t>
        </is>
      </c>
      <c r="C147" s="22" t="n">
        <v>9.436</v>
      </c>
      <c r="E147" s="22" t="n">
        <v>-19.354</v>
      </c>
      <c r="G147" s="22" t="n">
        <v>-8.286</v>
      </c>
      <c r="I147" s="22" t="n">
        <v>-10.879</v>
      </c>
      <c r="K147" s="22" t="n">
        <v>0.794</v>
      </c>
      <c r="M147" s="22" t="n">
        <v>-14.643</v>
      </c>
      <c r="U147" s="22" t="n">
        <v>-3.309</v>
      </c>
      <c r="V147" s="22" t="n">
        <v>9.436</v>
      </c>
      <c r="W147" s="22" t="n">
        <v>-8.286</v>
      </c>
      <c r="X147" s="22" t="n">
        <v>0.794</v>
      </c>
    </row>
    <row r="148">
      <c r="A148" s="20" t="inlineStr">
        <is>
          <t>소계</t>
        </is>
      </c>
      <c r="C148" s="22" t="n">
        <v>324.151</v>
      </c>
      <c r="E148" s="22" t="n">
        <v>157.01</v>
      </c>
      <c r="G148" s="22" t="n">
        <v>408.621</v>
      </c>
      <c r="I148" s="22" t="n">
        <v>96.264</v>
      </c>
      <c r="K148" s="22" t="n">
        <v>563.626</v>
      </c>
      <c r="M148" s="22" t="n">
        <v>346.075</v>
      </c>
      <c r="U148" s="22" t="n">
        <v>119.843</v>
      </c>
      <c r="V148" s="22" t="n">
        <v>324.151</v>
      </c>
      <c r="W148" s="22" t="n">
        <v>408.621</v>
      </c>
      <c r="X148" s="22" t="n">
        <v>563.626</v>
      </c>
    </row>
    <row r="149">
      <c r="A149" s="20" t="inlineStr">
        <is>
          <t>이자·배당금 수취</t>
        </is>
      </c>
      <c r="C149" s="22" t="n">
        <v>5.093</v>
      </c>
      <c r="E149" s="22" t="n">
        <v>3.746</v>
      </c>
      <c r="G149" s="22" t="n">
        <v>7.254</v>
      </c>
      <c r="I149" s="22" t="n">
        <v>1.8</v>
      </c>
      <c r="K149" s="22" t="n">
        <v>7.691</v>
      </c>
      <c r="M149" s="22" t="n">
        <v>4.432</v>
      </c>
      <c r="U149" s="22" t="n">
        <v>4.519</v>
      </c>
      <c r="V149" s="22" t="n">
        <v>5.093</v>
      </c>
      <c r="W149" s="22" t="n">
        <v>7.254</v>
      </c>
      <c r="X149" s="22" t="n">
        <v>7.691</v>
      </c>
    </row>
    <row r="150">
      <c r="A150" s="20" t="inlineStr">
        <is>
          <t>이자 지급</t>
        </is>
      </c>
      <c r="C150" s="22" t="n">
        <v>-7.026</v>
      </c>
      <c r="E150" s="22" t="n">
        <v>-2.391</v>
      </c>
      <c r="G150" s="22" t="n">
        <v>-4.684</v>
      </c>
      <c r="I150" s="22" t="n">
        <v>-3.968</v>
      </c>
      <c r="K150" s="22" t="n">
        <v>-7.428</v>
      </c>
      <c r="M150" s="22" t="n">
        <v>-5.806</v>
      </c>
      <c r="U150" s="22" t="n">
        <v>-8.132</v>
      </c>
      <c r="V150" s="22" t="n">
        <v>-7.026</v>
      </c>
      <c r="W150" s="22" t="n">
        <v>-4.684</v>
      </c>
      <c r="X150" s="22" t="n">
        <v>-7.428</v>
      </c>
    </row>
    <row r="151">
      <c r="A151" s="20" t="inlineStr">
        <is>
          <t>화해금 지급액</t>
        </is>
      </c>
      <c r="E151" s="22" t="n">
        <v>0</v>
      </c>
      <c r="G151" s="22" t="n">
        <v>0</v>
      </c>
      <c r="I151" s="22" t="n">
        <v>-14.247</v>
      </c>
      <c r="K151" s="22" t="n">
        <v>-14.247</v>
      </c>
      <c r="M151" s="22" t="n">
        <v>0</v>
      </c>
      <c r="W151" s="22" t="n">
        <v>0</v>
      </c>
      <c r="X151" s="22" t="n">
        <v>-14.247</v>
      </c>
    </row>
    <row r="152">
      <c r="A152" s="20" t="inlineStr">
        <is>
          <t>법인세 납부</t>
        </is>
      </c>
      <c r="C152" s="22" t="n">
        <v>-177.208</v>
      </c>
      <c r="E152" s="22" t="n">
        <v>-68.65900000000001</v>
      </c>
      <c r="G152" s="22" t="n">
        <v>-157.949</v>
      </c>
      <c r="I152" s="22" t="n">
        <v>-74.911</v>
      </c>
      <c r="K152" s="22" t="n">
        <v>-148.442</v>
      </c>
      <c r="M152" s="22" t="n">
        <v>-50.627</v>
      </c>
      <c r="U152" s="22" t="n">
        <v>-36.086</v>
      </c>
      <c r="V152" s="22" t="n">
        <v>-177.208</v>
      </c>
      <c r="W152" s="22" t="n">
        <v>-157.949</v>
      </c>
      <c r="X152" s="22" t="n">
        <v>-148.442</v>
      </c>
    </row>
    <row r="153">
      <c r="A153" s="9" t="inlineStr">
        <is>
          <t>영업활동 현금흐름</t>
        </is>
      </c>
      <c r="C153" s="12" t="n">
        <v>145.01</v>
      </c>
      <c r="E153" s="12" t="n">
        <v>89.706</v>
      </c>
      <c r="G153" s="12" t="n">
        <v>253.242</v>
      </c>
      <c r="I153" s="12" t="n">
        <v>4.938</v>
      </c>
      <c r="K153" s="12" t="n">
        <v>401.199</v>
      </c>
      <c r="M153" s="12" t="n">
        <v>294.074</v>
      </c>
      <c r="U153" s="12" t="n">
        <v>80.143</v>
      </c>
      <c r="V153" s="12" t="n">
        <v>145.01</v>
      </c>
      <c r="W153" s="12" t="n">
        <v>253.242</v>
      </c>
      <c r="X153" s="12" t="n">
        <v>401.199</v>
      </c>
    </row>
    <row r="154">
      <c r="A154" s="20" t="inlineStr">
        <is>
          <t>정기예금 예입</t>
        </is>
      </c>
      <c r="C154" s="22" t="n">
        <v>-139.403</v>
      </c>
      <c r="E154" s="22" t="n">
        <v>-64.20099999999999</v>
      </c>
      <c r="G154" s="22" t="n">
        <v>-135.392</v>
      </c>
      <c r="I154" s="22" t="n">
        <v>0</v>
      </c>
      <c r="K154" s="22" t="n">
        <v>0</v>
      </c>
      <c r="U154" s="22" t="n">
        <v>-159.503</v>
      </c>
      <c r="V154" s="22" t="n">
        <v>-139.403</v>
      </c>
      <c r="W154" s="22" t="n">
        <v>-135.392</v>
      </c>
      <c r="X154" s="22" t="n">
        <v>0</v>
      </c>
    </row>
    <row r="155">
      <c r="A155" s="20" t="inlineStr">
        <is>
          <t>정기예금 인출</t>
        </is>
      </c>
      <c r="C155" s="22" t="n">
        <v>119</v>
      </c>
      <c r="G155" s="22" t="n">
        <v>421.399</v>
      </c>
      <c r="K155" s="22" t="n">
        <v>0</v>
      </c>
      <c r="U155" s="22" t="n">
        <v>223.104</v>
      </c>
      <c r="V155" s="22" t="n">
        <v>119</v>
      </c>
      <c r="W155" s="22" t="n">
        <v>421.399</v>
      </c>
      <c r="X155" s="22" t="n">
        <v>0</v>
      </c>
    </row>
    <row r="156">
      <c r="A156" s="20" t="inlineStr">
        <is>
          <t>투자유가증권 취득</t>
        </is>
      </c>
      <c r="C156" s="22" t="n">
        <v>-3.302</v>
      </c>
      <c r="E156" s="22" t="n">
        <v>-2.001</v>
      </c>
      <c r="G156" s="22" t="n">
        <v>-3.416</v>
      </c>
      <c r="I156" s="22" t="n">
        <v>0</v>
      </c>
      <c r="K156" s="22" t="n">
        <v>0</v>
      </c>
      <c r="M156" s="22" t="n">
        <v>-115.736</v>
      </c>
      <c r="U156" s="22" t="n">
        <v>-3.026</v>
      </c>
      <c r="V156" s="22" t="n">
        <v>-3.302</v>
      </c>
      <c r="W156" s="22" t="n">
        <v>-3.416</v>
      </c>
      <c r="X156" s="22" t="n">
        <v>0</v>
      </c>
    </row>
    <row r="157">
      <c r="A157" s="20" t="inlineStr">
        <is>
          <t>유형자산 취득(설비투자)</t>
        </is>
      </c>
      <c r="C157" s="22" t="n">
        <v>-206.724</v>
      </c>
      <c r="E157" s="22" t="n">
        <v>-6.339</v>
      </c>
      <c r="G157" s="22" t="n">
        <v>-18.511</v>
      </c>
      <c r="I157" s="22" t="n">
        <v>-417.283</v>
      </c>
      <c r="K157" s="22" t="n">
        <v>-440.458</v>
      </c>
      <c r="M157" s="22" t="n">
        <v>-106.942</v>
      </c>
      <c r="U157" s="22" t="n">
        <v>-382.702</v>
      </c>
      <c r="V157" s="22" t="n">
        <v>-206.724</v>
      </c>
      <c r="W157" s="22" t="n">
        <v>-18.511</v>
      </c>
      <c r="X157" s="22" t="n">
        <v>-440.458</v>
      </c>
    </row>
    <row r="158">
      <c r="A158" s="20" t="inlineStr">
        <is>
          <t>유형자산 매각</t>
        </is>
      </c>
      <c r="C158" s="22" t="n">
        <v>13.516</v>
      </c>
      <c r="G158" s="22" t="n">
        <v>0.909</v>
      </c>
      <c r="I158" s="22" t="n">
        <v>0</v>
      </c>
      <c r="K158" s="22" t="n">
        <v>0</v>
      </c>
      <c r="M158" s="22" t="n">
        <v>1.175</v>
      </c>
      <c r="U158" s="22" t="n">
        <v>0</v>
      </c>
      <c r="V158" s="22" t="n">
        <v>13.516</v>
      </c>
      <c r="W158" s="22" t="n">
        <v>0.909</v>
      </c>
      <c r="X158" s="22" t="n">
        <v>0</v>
      </c>
    </row>
    <row r="159">
      <c r="A159" s="20" t="inlineStr">
        <is>
          <t>무형자산 취득</t>
        </is>
      </c>
      <c r="C159" s="22" t="n">
        <v>-4.484</v>
      </c>
      <c r="E159" s="22" t="n">
        <v>0</v>
      </c>
      <c r="G159" s="22" t="n">
        <v>0</v>
      </c>
      <c r="U159" s="22" t="n">
        <v>-7.928</v>
      </c>
      <c r="V159" s="22" t="n">
        <v>-4.484</v>
      </c>
      <c r="W159" s="22" t="n">
        <v>0</v>
      </c>
    </row>
    <row r="160">
      <c r="A160" s="20" t="inlineStr">
        <is>
          <t>보험적립금 해약</t>
        </is>
      </c>
      <c r="C160" s="22" t="n">
        <v>0</v>
      </c>
      <c r="U160" s="22" t="n">
        <v>0.955</v>
      </c>
      <c r="V160" s="22" t="n">
        <v>0</v>
      </c>
    </row>
    <row r="161">
      <c r="A161" s="20" t="inlineStr">
        <is>
          <t>임차보증금·보증금 납입</t>
        </is>
      </c>
      <c r="C161" s="22" t="n">
        <v>-17.264</v>
      </c>
      <c r="E161" s="22" t="n">
        <v>0</v>
      </c>
      <c r="G161" s="22" t="n">
        <v>-114.407</v>
      </c>
      <c r="I161" s="22" t="n">
        <v>-4.459</v>
      </c>
      <c r="K161" s="22" t="n">
        <v>-14.385</v>
      </c>
      <c r="M161" s="22" t="n">
        <v>0</v>
      </c>
      <c r="U161" s="22" t="n">
        <v>-0.05</v>
      </c>
      <c r="V161" s="22" t="n">
        <v>-17.264</v>
      </c>
      <c r="W161" s="22" t="n">
        <v>-114.407</v>
      </c>
      <c r="X161" s="22" t="n">
        <v>-14.385</v>
      </c>
    </row>
    <row r="162">
      <c r="A162" s="20" t="inlineStr">
        <is>
          <t>임차보증금·보증금 회수</t>
        </is>
      </c>
      <c r="C162" s="22" t="n">
        <v>0.269</v>
      </c>
      <c r="G162" s="22" t="n">
        <v>0.449</v>
      </c>
      <c r="I162" s="22" t="n">
        <v>0</v>
      </c>
      <c r="K162" s="22" t="n">
        <v>0.182</v>
      </c>
      <c r="M162" s="22" t="n">
        <v>19.728</v>
      </c>
      <c r="U162" s="22" t="n">
        <v>28.317</v>
      </c>
      <c r="V162" s="22" t="n">
        <v>0.269</v>
      </c>
      <c r="W162" s="22" t="n">
        <v>0.449</v>
      </c>
      <c r="X162" s="22" t="n">
        <v>0.182</v>
      </c>
    </row>
    <row r="163">
      <c r="A163" s="20" t="inlineStr">
        <is>
          <t>자산복구부채 이행 지출</t>
        </is>
      </c>
      <c r="C163" s="22" t="n">
        <v>0</v>
      </c>
      <c r="G163" s="22" t="n">
        <v>0</v>
      </c>
      <c r="I163" s="22" t="n">
        <v>0</v>
      </c>
      <c r="K163" s="22" t="n">
        <v>-9.85</v>
      </c>
      <c r="M163" s="22" t="n">
        <v>-2.64</v>
      </c>
      <c r="U163" s="22" t="n">
        <v>-7.395</v>
      </c>
      <c r="V163" s="22" t="n">
        <v>0</v>
      </c>
      <c r="W163" s="22" t="n">
        <v>0</v>
      </c>
      <c r="X163" s="22" t="n">
        <v>-9.85</v>
      </c>
    </row>
    <row r="164">
      <c r="A164" s="20" t="inlineStr">
        <is>
          <t>자회사 주식 취득</t>
        </is>
      </c>
      <c r="E164" s="22" t="n">
        <v>0</v>
      </c>
      <c r="G164" s="22" t="n">
        <v>0</v>
      </c>
      <c r="I164" s="22" t="n">
        <v>-9.807</v>
      </c>
      <c r="K164" s="22" t="n">
        <v>-9.202</v>
      </c>
      <c r="M164" s="22" t="n">
        <v>0</v>
      </c>
      <c r="W164" s="22" t="n">
        <v>0</v>
      </c>
      <c r="X164" s="22" t="n">
        <v>-9.202</v>
      </c>
    </row>
    <row r="165">
      <c r="A165" s="20" t="inlineStr">
        <is>
          <t>기타</t>
        </is>
      </c>
      <c r="C165" s="22" t="n">
        <v>14.679</v>
      </c>
      <c r="E165" s="22" t="n">
        <v>4.108</v>
      </c>
      <c r="G165" s="22" t="n">
        <v>7.855</v>
      </c>
      <c r="I165" s="22" t="n">
        <v>5.147</v>
      </c>
      <c r="K165" s="22" t="n">
        <v>12.476</v>
      </c>
      <c r="M165" s="22" t="n">
        <v>6.577</v>
      </c>
      <c r="U165" s="22" t="n">
        <v>9.119999999999999</v>
      </c>
      <c r="V165" s="22" t="n">
        <v>14.679</v>
      </c>
      <c r="W165" s="22" t="n">
        <v>7.855</v>
      </c>
      <c r="X165" s="22" t="n">
        <v>12.476</v>
      </c>
    </row>
    <row r="166">
      <c r="A166" s="9" t="inlineStr">
        <is>
          <t>투자활동 현금흐름</t>
        </is>
      </c>
      <c r="C166" s="12" t="n">
        <v>-223.712</v>
      </c>
      <c r="E166" s="12" t="n">
        <v>-68.434</v>
      </c>
      <c r="G166" s="12" t="n">
        <v>158.884</v>
      </c>
      <c r="I166" s="12" t="n">
        <v>-426.403</v>
      </c>
      <c r="K166" s="12" t="n">
        <v>-461.238</v>
      </c>
      <c r="M166" s="12" t="n">
        <v>-197.837</v>
      </c>
      <c r="U166" s="12" t="n">
        <v>-299.108</v>
      </c>
      <c r="V166" s="12" t="n">
        <v>-223.712</v>
      </c>
      <c r="W166" s="12" t="n">
        <v>158.884</v>
      </c>
      <c r="X166" s="12" t="n">
        <v>-461.238</v>
      </c>
    </row>
    <row r="167">
      <c r="A167" s="20" t="inlineStr">
        <is>
          <t>장기차입</t>
        </is>
      </c>
      <c r="C167" s="22" t="n">
        <v>600</v>
      </c>
      <c r="E167" s="22" t="n">
        <v>200</v>
      </c>
      <c r="G167" s="22" t="n">
        <v>300</v>
      </c>
      <c r="I167" s="22" t="n">
        <v>500</v>
      </c>
      <c r="K167" s="22" t="n">
        <v>500</v>
      </c>
      <c r="M167" s="22" t="n">
        <v>500</v>
      </c>
      <c r="U167" s="22" t="n">
        <v>300</v>
      </c>
      <c r="V167" s="22" t="n">
        <v>600</v>
      </c>
      <c r="W167" s="22" t="n">
        <v>300</v>
      </c>
      <c r="X167" s="22" t="n">
        <v>500</v>
      </c>
    </row>
    <row r="168">
      <c r="A168" s="20" t="inlineStr">
        <is>
          <t>장기차입금 상환</t>
        </is>
      </c>
      <c r="C168" s="22" t="n">
        <v>-343.581</v>
      </c>
      <c r="E168" s="22" t="n">
        <v>-199.559</v>
      </c>
      <c r="G168" s="22" t="n">
        <v>-515.836</v>
      </c>
      <c r="I168" s="22" t="n">
        <v>-220.311</v>
      </c>
      <c r="K168" s="22" t="n">
        <v>-444.285</v>
      </c>
      <c r="M168" s="22" t="n">
        <v>-256.805</v>
      </c>
      <c r="U168" s="22" t="n">
        <v>-197.823</v>
      </c>
      <c r="V168" s="22" t="n">
        <v>-343.581</v>
      </c>
      <c r="W168" s="22" t="n">
        <v>-515.836</v>
      </c>
      <c r="X168" s="22" t="n">
        <v>-444.285</v>
      </c>
    </row>
    <row r="169">
      <c r="A169" s="20" t="inlineStr">
        <is>
          <t>사채 상환</t>
        </is>
      </c>
      <c r="C169" s="22" t="n">
        <v>-265</v>
      </c>
      <c r="E169" s="22" t="n">
        <v>-50</v>
      </c>
      <c r="G169" s="22" t="n">
        <v>-50</v>
      </c>
      <c r="I169" s="22" t="n">
        <v>0</v>
      </c>
      <c r="K169" s="22" t="n">
        <v>0</v>
      </c>
      <c r="U169" s="22" t="n">
        <v>-130</v>
      </c>
      <c r="V169" s="22" t="n">
        <v>-265</v>
      </c>
      <c r="W169" s="22" t="n">
        <v>-50</v>
      </c>
      <c r="X169" s="22" t="n">
        <v>0</v>
      </c>
    </row>
    <row r="170">
      <c r="A170" s="20" t="inlineStr">
        <is>
          <t>주식 발행</t>
        </is>
      </c>
      <c r="C170" s="22" t="n">
        <v>316.71</v>
      </c>
      <c r="E170" s="22" t="n">
        <v>0</v>
      </c>
      <c r="G170" s="22" t="n">
        <v>0</v>
      </c>
      <c r="U170" s="22" t="n">
        <v>0</v>
      </c>
      <c r="V170" s="22" t="n">
        <v>316.71</v>
      </c>
      <c r="W170" s="22" t="n">
        <v>0</v>
      </c>
    </row>
    <row r="171">
      <c r="A171" s="20" t="inlineStr">
        <is>
          <t>자기주식 취득</t>
        </is>
      </c>
      <c r="E171" s="22" t="n">
        <v>0</v>
      </c>
      <c r="G171" s="22" t="n">
        <v>0</v>
      </c>
      <c r="I171" s="22" t="n">
        <v>-25.316</v>
      </c>
      <c r="K171" s="22" t="n">
        <v>-25.316</v>
      </c>
      <c r="M171" s="22" t="n">
        <v>-29.13</v>
      </c>
      <c r="W171" s="22" t="n">
        <v>0</v>
      </c>
      <c r="X171" s="22" t="n">
        <v>-25.316</v>
      </c>
    </row>
    <row r="172">
      <c r="A172" s="20" t="inlineStr">
        <is>
          <t>스톡옵션 행사 수입</t>
        </is>
      </c>
      <c r="G172" s="22" t="n">
        <v>0</v>
      </c>
      <c r="K172" s="22" t="n">
        <v>3.53</v>
      </c>
      <c r="W172" s="22" t="n">
        <v>0</v>
      </c>
      <c r="X172" s="22" t="n">
        <v>3.53</v>
      </c>
    </row>
    <row r="173">
      <c r="A173" s="20" t="inlineStr">
        <is>
          <t>자기주식 처분</t>
        </is>
      </c>
      <c r="E173" s="22" t="n">
        <v>0</v>
      </c>
      <c r="I173" s="22" t="n">
        <v>0.08400000000000001</v>
      </c>
      <c r="M173" s="22" t="n">
        <v>0</v>
      </c>
    </row>
    <row r="174">
      <c r="A174" s="20" t="inlineStr">
        <is>
          <t>배당금 지급</t>
        </is>
      </c>
      <c r="I174" s="22" t="n">
        <v>0</v>
      </c>
      <c r="M174" s="22" t="n">
        <v>-146.616</v>
      </c>
    </row>
    <row r="175">
      <c r="A175" s="9" t="inlineStr">
        <is>
          <t>재무활동 현금흐름</t>
        </is>
      </c>
      <c r="C175" s="12" t="n">
        <v>308.129</v>
      </c>
      <c r="E175" s="12" t="n">
        <v>-49.559</v>
      </c>
      <c r="G175" s="12" t="n">
        <v>-265.836</v>
      </c>
      <c r="I175" s="12" t="n">
        <v>254.456</v>
      </c>
      <c r="K175" s="12" t="n">
        <v>33.929</v>
      </c>
      <c r="M175" s="12" t="n">
        <v>67.44799999999999</v>
      </c>
      <c r="U175" s="12" t="n">
        <v>-27.823</v>
      </c>
      <c r="V175" s="12" t="n">
        <v>308.129</v>
      </c>
      <c r="W175" s="12" t="n">
        <v>-265.836</v>
      </c>
      <c r="X175" s="12" t="n">
        <v>33.929</v>
      </c>
    </row>
    <row r="176">
      <c r="A176" s="20" t="inlineStr">
        <is>
          <t>현금성자산 환산차이</t>
        </is>
      </c>
      <c r="C176" s="22" t="n">
        <v>0.004</v>
      </c>
      <c r="E176" s="22" t="n">
        <v>0.008</v>
      </c>
      <c r="G176" s="22" t="n">
        <v>0.006</v>
      </c>
      <c r="I176" s="22" t="n">
        <v>-0.01</v>
      </c>
      <c r="K176" s="22" t="n">
        <v>-0.003</v>
      </c>
      <c r="M176" s="22" t="n">
        <v>0.003</v>
      </c>
      <c r="U176" s="22" t="n">
        <v>0.008999999999999999</v>
      </c>
      <c r="V176" s="22" t="n">
        <v>0.004</v>
      </c>
      <c r="W176" s="22" t="n">
        <v>0.006</v>
      </c>
      <c r="X176" s="22" t="n">
        <v>-0.003</v>
      </c>
    </row>
    <row r="177">
      <c r="A177" s="20" t="inlineStr">
        <is>
          <t>현금성자산 증감</t>
        </is>
      </c>
      <c r="C177" s="22" t="n">
        <v>229.431</v>
      </c>
      <c r="E177" s="22" t="n">
        <v>-28.278</v>
      </c>
      <c r="G177" s="22" t="n">
        <v>146.297</v>
      </c>
      <c r="I177" s="22" t="n">
        <v>-167.018</v>
      </c>
      <c r="K177" s="22" t="n">
        <v>-26.113</v>
      </c>
      <c r="M177" s="22" t="n">
        <v>163.688</v>
      </c>
      <c r="U177" s="22" t="n">
        <v>-246.778</v>
      </c>
      <c r="V177" s="22" t="n">
        <v>229.431</v>
      </c>
      <c r="W177" s="22" t="n">
        <v>146.297</v>
      </c>
      <c r="X177" s="22" t="n">
        <v>-26.113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5257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</row>
    <row r="5">
      <c r="A5" s="9" t="inlineStr">
        <is>
          <t>유동자산</t>
        </is>
      </c>
      <c r="B5" s="10" t="n"/>
      <c r="C5" s="11" t="n">
        <v>1929.203</v>
      </c>
      <c r="D5" s="12" t="n">
        <v>1994.664</v>
      </c>
      <c r="E5" s="12" t="n">
        <v>2229.164</v>
      </c>
      <c r="F5" s="12" t="n">
        <v>2053.709</v>
      </c>
      <c r="G5" s="12" t="n">
        <v>2025.228</v>
      </c>
      <c r="H5" s="11" t="n">
        <v>1487.786</v>
      </c>
      <c r="I5" s="12" t="n">
        <v>1981.817</v>
      </c>
      <c r="J5" s="12" t="n">
        <v>2189.405</v>
      </c>
      <c r="K5" s="12" t="n">
        <v>1994.664</v>
      </c>
    </row>
    <row r="6">
      <c r="A6" s="20" t="inlineStr">
        <is>
          <t>현금및현금성자산</t>
        </is>
      </c>
      <c r="B6" s="10" t="n"/>
      <c r="C6" s="21" t="n">
        <v>721.249</v>
      </c>
      <c r="D6" s="22" t="n">
        <v>732.866</v>
      </c>
      <c r="E6" s="22" t="n">
        <v>1110.658</v>
      </c>
      <c r="F6" s="22" t="n">
        <v>896.554</v>
      </c>
      <c r="G6" s="22" t="n">
        <v>737.7190000000001</v>
      </c>
      <c r="H6" s="21" t="n">
        <v>633.554</v>
      </c>
      <c r="I6" s="22" t="n">
        <v>898.688</v>
      </c>
      <c r="J6" s="22" t="n">
        <v>758.979</v>
      </c>
      <c r="K6" s="22" t="n">
        <v>732.866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</row>
    <row r="8">
      <c r="A8" s="20" t="inlineStr">
        <is>
          <t>매출채권</t>
        </is>
      </c>
      <c r="B8" s="10" t="n"/>
      <c r="C8" s="21" t="n">
        <v>1127.434</v>
      </c>
      <c r="D8" s="22" t="n">
        <v>1198.613</v>
      </c>
      <c r="E8" s="22" t="n">
        <v>1052.535</v>
      </c>
      <c r="F8" s="22" t="n">
        <v>1078.045</v>
      </c>
      <c r="G8" s="22" t="n">
        <v>1188.498</v>
      </c>
      <c r="H8" s="21" t="n">
        <v>782.7329999999999</v>
      </c>
      <c r="I8" s="22" t="n">
        <v>1016.396</v>
      </c>
      <c r="J8" s="22" t="n">
        <v>1374.371</v>
      </c>
      <c r="K8" s="22" t="n">
        <v>1198.613</v>
      </c>
    </row>
    <row r="9">
      <c r="A9" s="20" t="inlineStr">
        <is>
          <t>재고자산</t>
        </is>
      </c>
      <c r="B9" s="10" t="n"/>
      <c r="C9" s="21" t="n">
        <v>15.878</v>
      </c>
      <c r="D9" s="22" t="n">
        <v>21.071</v>
      </c>
      <c r="E9" s="22" t="n">
        <v>25.046</v>
      </c>
      <c r="F9" s="22" t="n">
        <v>26.11</v>
      </c>
      <c r="G9" s="22" t="n">
        <v>26.536</v>
      </c>
      <c r="H9" s="21" t="n">
        <v>38.918</v>
      </c>
      <c r="I9" s="22" t="n">
        <v>28.185</v>
      </c>
      <c r="J9" s="22" t="n">
        <v>14.743</v>
      </c>
      <c r="K9" s="22" t="n">
        <v>21.071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</row>
    <row r="11">
      <c r="A11" s="9" t="inlineStr">
        <is>
          <t>비유동자산</t>
        </is>
      </c>
      <c r="B11" s="10" t="n"/>
      <c r="C11" s="11" t="n">
        <v>2056.76</v>
      </c>
      <c r="D11" s="12" t="n">
        <v>2093.009</v>
      </c>
      <c r="E11" s="12" t="n">
        <v>2005.244</v>
      </c>
      <c r="F11" s="12" t="n">
        <v>2124.31</v>
      </c>
      <c r="G11" s="12" t="n">
        <v>2174.179</v>
      </c>
      <c r="H11" s="11" t="n">
        <v>1299.173</v>
      </c>
      <c r="I11" s="12" t="n">
        <v>1400.702</v>
      </c>
      <c r="J11" s="12" t="n">
        <v>1541.072</v>
      </c>
      <c r="K11" s="12" t="n">
        <v>2093.009</v>
      </c>
    </row>
    <row r="12">
      <c r="A12" s="20" t="inlineStr">
        <is>
          <t>유형자산</t>
        </is>
      </c>
      <c r="B12" s="10" t="n"/>
      <c r="C12" s="21" t="n">
        <v>1352.109</v>
      </c>
      <c r="D12" s="22" t="n">
        <v>1353.908</v>
      </c>
      <c r="E12" s="22" t="n">
        <v>1459.674</v>
      </c>
      <c r="F12" s="22" t="n">
        <v>1461.624</v>
      </c>
      <c r="G12" s="22" t="n">
        <v>1441.524</v>
      </c>
      <c r="H12" s="21" t="n">
        <v>863.192</v>
      </c>
      <c r="I12" s="22" t="n">
        <v>1003.389</v>
      </c>
      <c r="J12" s="22" t="n">
        <v>966.751</v>
      </c>
      <c r="K12" s="22" t="n">
        <v>1353.908</v>
      </c>
    </row>
    <row r="13">
      <c r="A13" s="20" t="inlineStr">
        <is>
          <t>무형자산</t>
        </is>
      </c>
      <c r="B13" s="10" t="n"/>
      <c r="C13" s="21" t="n">
        <v>7.252</v>
      </c>
      <c r="D13" s="22" t="n">
        <v>6.532</v>
      </c>
      <c r="E13" s="22" t="n">
        <v>5.839</v>
      </c>
      <c r="F13" s="22" t="n">
        <v>5.197</v>
      </c>
      <c r="G13" s="22" t="n">
        <v>4.556</v>
      </c>
      <c r="H13" s="21" t="n">
        <v>19.218</v>
      </c>
      <c r="I13" s="22" t="n">
        <v>15.733</v>
      </c>
      <c r="J13" s="22" t="n">
        <v>10.574</v>
      </c>
      <c r="K13" s="22" t="n">
        <v>6.532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</row>
    <row r="16">
      <c r="A16" s="9" t="inlineStr">
        <is>
          <t>자산총계</t>
        </is>
      </c>
      <c r="B16" s="10" t="n"/>
      <c r="C16" s="11" t="n">
        <v>3985.963</v>
      </c>
      <c r="D16" s="12" t="n">
        <v>4087.674</v>
      </c>
      <c r="E16" s="12" t="n">
        <v>4234.409</v>
      </c>
      <c r="F16" s="12" t="n">
        <v>4178.02</v>
      </c>
      <c r="G16" s="12" t="n">
        <v>4199.407</v>
      </c>
      <c r="H16" s="11" t="n">
        <v>2786.959</v>
      </c>
      <c r="I16" s="12" t="n">
        <v>3382.52</v>
      </c>
      <c r="J16" s="12" t="n">
        <v>3730.478</v>
      </c>
      <c r="K16" s="12" t="n">
        <v>4087.674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</row>
    <row r="18">
      <c r="A18" s="9" t="inlineStr">
        <is>
          <t>유동부채</t>
        </is>
      </c>
      <c r="B18" s="10" t="n"/>
      <c r="C18" s="11" t="n">
        <v>1058.283</v>
      </c>
      <c r="D18" s="12" t="n">
        <v>1042.954</v>
      </c>
      <c r="E18" s="12" t="n">
        <v>1233.554</v>
      </c>
      <c r="F18" s="12" t="n">
        <v>1140.273</v>
      </c>
      <c r="G18" s="12" t="n">
        <v>1198.055</v>
      </c>
      <c r="H18" s="11" t="n">
        <v>1059.296</v>
      </c>
      <c r="I18" s="12" t="n">
        <v>980.647</v>
      </c>
      <c r="J18" s="12" t="n">
        <v>1043.657</v>
      </c>
      <c r="K18" s="12" t="n">
        <v>1042.954</v>
      </c>
    </row>
    <row r="19">
      <c r="A19" s="20" t="inlineStr">
        <is>
          <t>매입채무</t>
        </is>
      </c>
      <c r="B19" s="10" t="n"/>
      <c r="C19" s="21" t="n">
        <v>192.584</v>
      </c>
      <c r="D19" s="22" t="n">
        <v>193.018</v>
      </c>
      <c r="E19" s="22" t="n">
        <v>182.861</v>
      </c>
      <c r="F19" s="22" t="n">
        <v>192.448</v>
      </c>
      <c r="G19" s="22" t="n">
        <v>207.13</v>
      </c>
      <c r="H19" s="21" t="n">
        <v>117.475</v>
      </c>
      <c r="I19" s="22" t="n">
        <v>157.643</v>
      </c>
      <c r="J19" s="22" t="n">
        <v>211.777</v>
      </c>
      <c r="K19" s="22" t="n">
        <v>193.018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</row>
    <row r="21">
      <c r="A21" s="20" t="inlineStr">
        <is>
          <t>유동성장기부채</t>
        </is>
      </c>
      <c r="B21" s="10" t="n"/>
      <c r="C21" s="21" t="n">
        <v>400.232</v>
      </c>
      <c r="D21" s="22" t="n">
        <v>376.923</v>
      </c>
      <c r="E21" s="22" t="n">
        <v>521.318</v>
      </c>
      <c r="F21" s="22" t="n">
        <v>494.573</v>
      </c>
      <c r="G21" s="22" t="n">
        <v>465.079</v>
      </c>
      <c r="H21" s="21" t="n">
        <v>465.292</v>
      </c>
      <c r="I21" s="22" t="n">
        <v>411.946</v>
      </c>
      <c r="J21" s="22" t="n">
        <v>308.202</v>
      </c>
      <c r="K21" s="22" t="n">
        <v>376.923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</row>
    <row r="23">
      <c r="A23" s="9" t="inlineStr">
        <is>
          <t>비유동부채</t>
        </is>
      </c>
      <c r="B23" s="10" t="n"/>
      <c r="C23" s="11" t="n">
        <v>518.229</v>
      </c>
      <c r="D23" s="12" t="n">
        <v>492.787</v>
      </c>
      <c r="E23" s="12" t="n">
        <v>653.538</v>
      </c>
      <c r="F23" s="12" t="n">
        <v>603.102</v>
      </c>
      <c r="G23" s="12" t="n">
        <v>478.229</v>
      </c>
      <c r="H23" s="11" t="n">
        <v>564.641</v>
      </c>
      <c r="I23" s="12" t="n">
        <v>604.7</v>
      </c>
      <c r="J23" s="12" t="n">
        <v>452.836</v>
      </c>
      <c r="K23" s="12" t="n">
        <v>492.787</v>
      </c>
    </row>
    <row r="24">
      <c r="A24" s="20" t="inlineStr">
        <is>
          <t>장기차입금</t>
        </is>
      </c>
      <c r="B24" s="10" t="n"/>
      <c r="C24" s="21" t="n">
        <v>390.97</v>
      </c>
      <c r="D24" s="22" t="n">
        <v>307.026</v>
      </c>
      <c r="E24" s="22" t="n">
        <v>539.2089999999999</v>
      </c>
      <c r="F24" s="22" t="n">
        <v>432.571</v>
      </c>
      <c r="G24" s="22" t="n">
        <v>328.682</v>
      </c>
      <c r="H24" s="21" t="n">
        <v>387.359</v>
      </c>
      <c r="I24" s="22" t="n">
        <v>482.124</v>
      </c>
      <c r="J24" s="22" t="n">
        <v>320.032</v>
      </c>
      <c r="K24" s="22" t="n">
        <v>307.026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>
        <v>50</v>
      </c>
      <c r="I25" s="22" t="n">
        <v>0</v>
      </c>
      <c r="J25" s="22" t="n"/>
      <c r="K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</row>
    <row r="27">
      <c r="A27" s="9" t="inlineStr">
        <is>
          <t>부채총계</t>
        </is>
      </c>
      <c r="B27" s="10" t="n"/>
      <c r="C27" s="11" t="n">
        <v>1576.513</v>
      </c>
      <c r="D27" s="12" t="n">
        <v>1535.742</v>
      </c>
      <c r="E27" s="12" t="n">
        <v>1887.093</v>
      </c>
      <c r="F27" s="12" t="n">
        <v>1743.375</v>
      </c>
      <c r="G27" s="12" t="n">
        <v>1676.285</v>
      </c>
      <c r="H27" s="11" t="n">
        <v>1623.937</v>
      </c>
      <c r="I27" s="12" t="n">
        <v>1585.347</v>
      </c>
      <c r="J27" s="12" t="n">
        <v>1496.493</v>
      </c>
      <c r="K27" s="12" t="n">
        <v>1535.742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</row>
    <row r="31">
      <c r="A31" s="9" t="inlineStr">
        <is>
          <t>지배주주지분</t>
        </is>
      </c>
      <c r="B31" s="10" t="n"/>
      <c r="C31" s="11" t="n">
        <v>2409.45</v>
      </c>
      <c r="D31" s="12" t="n">
        <v>2551.931</v>
      </c>
      <c r="E31" s="12" t="n">
        <v>2347.315</v>
      </c>
      <c r="F31" s="12" t="n">
        <v>2434.644</v>
      </c>
      <c r="G31" s="12" t="n">
        <v>2523.122</v>
      </c>
      <c r="H31" s="11" t="n">
        <v>1163.022</v>
      </c>
      <c r="I31" s="12" t="n">
        <v>1797.172</v>
      </c>
      <c r="J31" s="12" t="n">
        <v>2233.984</v>
      </c>
      <c r="K31" s="12" t="n">
        <v>2551.931</v>
      </c>
    </row>
    <row r="32">
      <c r="A32" s="20" t="inlineStr">
        <is>
          <t>자본금</t>
        </is>
      </c>
      <c r="B32" s="10" t="n"/>
      <c r="C32" s="21" t="n">
        <v>298.105</v>
      </c>
      <c r="D32" s="22" t="n">
        <v>298.105</v>
      </c>
      <c r="E32" s="22" t="n">
        <v>298.105</v>
      </c>
      <c r="F32" s="22" t="n">
        <v>298.105</v>
      </c>
      <c r="G32" s="22" t="n">
        <v>298.105</v>
      </c>
      <c r="H32" s="21" t="n">
        <v>139.75</v>
      </c>
      <c r="I32" s="22" t="n">
        <v>298.105</v>
      </c>
      <c r="J32" s="22" t="n">
        <v>298.105</v>
      </c>
      <c r="K32" s="22" t="n">
        <v>298.105</v>
      </c>
    </row>
    <row r="33">
      <c r="A33" s="20" t="inlineStr">
        <is>
          <t>이익잉여금</t>
        </is>
      </c>
      <c r="B33" s="10" t="n"/>
      <c r="C33" s="21" t="n">
        <v>1559.008</v>
      </c>
      <c r="D33" s="22" t="n">
        <v>1661.604</v>
      </c>
      <c r="E33" s="22" t="n">
        <v>1584.359</v>
      </c>
      <c r="F33" s="22" t="n">
        <v>1689.896</v>
      </c>
      <c r="G33" s="22" t="n">
        <v>1791.997</v>
      </c>
      <c r="H33" s="21" t="n">
        <v>702.498</v>
      </c>
      <c r="I33" s="22" t="n">
        <v>1044.734</v>
      </c>
      <c r="J33" s="22" t="n">
        <v>1439.41</v>
      </c>
      <c r="K33" s="22" t="n">
        <v>1661.604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</row>
    <row r="35">
      <c r="A35" s="9" t="inlineStr">
        <is>
          <t>자본총계</t>
        </is>
      </c>
      <c r="B35" s="10" t="n"/>
      <c r="C35" s="11" t="n">
        <v>2409.45</v>
      </c>
      <c r="D35" s="12" t="n">
        <v>2551.931</v>
      </c>
      <c r="E35" s="12" t="n">
        <v>2347.315</v>
      </c>
      <c r="F35" s="12" t="n">
        <v>2434.644</v>
      </c>
      <c r="G35" s="12" t="n">
        <v>2523.122</v>
      </c>
      <c r="H35" s="11" t="n">
        <v>1163.022</v>
      </c>
      <c r="I35" s="12" t="n">
        <v>1797.172</v>
      </c>
      <c r="J35" s="12" t="n">
        <v>2233.984</v>
      </c>
      <c r="K35" s="12" t="n">
        <v>2551.931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</row>
    <row r="37">
      <c r="A37" s="9" t="inlineStr">
        <is>
          <t>영업활동현금흐름</t>
        </is>
      </c>
      <c r="B37" s="10" t="n"/>
      <c r="C37" s="11" t="n"/>
      <c r="D37" s="12" t="n">
        <v>401.199</v>
      </c>
      <c r="E37" s="12" t="n"/>
      <c r="F37" s="12" t="n">
        <v>690.335</v>
      </c>
      <c r="G37" s="12" t="n"/>
      <c r="H37" s="11" t="n">
        <v>80.143</v>
      </c>
      <c r="I37" s="12" t="n">
        <v>145.01</v>
      </c>
      <c r="J37" s="12" t="n">
        <v>253.242</v>
      </c>
      <c r="K37" s="12" t="n">
        <v>401.199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440.458</v>
      </c>
      <c r="E38" s="22" t="n"/>
      <c r="F38" s="22" t="n">
        <v>130.117</v>
      </c>
      <c r="G38" s="22" t="n"/>
      <c r="H38" s="21" t="n">
        <v>390.63</v>
      </c>
      <c r="I38" s="22" t="n">
        <v>211.208</v>
      </c>
      <c r="J38" s="22" t="n">
        <v>18.511</v>
      </c>
      <c r="K38" s="22" t="n">
        <v>440.458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/>
      <c r="G40" s="22" t="n"/>
      <c r="H40" s="21" t="n"/>
      <c r="I40" s="22" t="n"/>
      <c r="J40" s="22" t="n"/>
      <c r="K40" s="22" t="n"/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IFERROR(('연간'!U19)/('연간'!U41),"")</f>
        <v/>
      </c>
      <c r="I48" s="33">
        <f>IFERROR(('연간'!V19)/('연간'!V41),"")</f>
        <v/>
      </c>
      <c r="J48" s="33">
        <f>IFERROR(('연간'!W19)/('연간'!W41),"")</f>
        <v/>
      </c>
      <c r="K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IFERROR(IF(('연간'!U49)&lt;=0,"적자",H28/('연간'!U49)),"")</f>
        <v/>
      </c>
      <c r="I49" s="49">
        <f>IFERROR(IF(('연간'!V49)&lt;=0,"적자",I28/('연간'!V49)),"")</f>
        <v/>
      </c>
      <c r="J49" s="49">
        <f>IFERROR(IF(('연간'!W49)&lt;=0,"적자",J28/('연간'!W49)),"")</f>
        <v/>
      </c>
      <c r="K49" s="49">
        <f>IFERROR(IF(('연간'!X49)&lt;=0,"적자",K28/('연간'!X49)),"")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IFERROR(('연간'!U49)/H31,"")</f>
        <v/>
      </c>
      <c r="I51" s="38">
        <f>IFERROR(('연간'!V49)/I31,"")</f>
        <v/>
      </c>
      <c r="J51" s="38">
        <f>IFERROR(('연간'!W49)/J31,"")</f>
        <v/>
      </c>
      <c r="K51" s="38">
        <f>IFERROR(('연간'!X49)/K31,"")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IFERROR(('연간'!U47)/H16,"")</f>
        <v/>
      </c>
      <c r="I52" s="38">
        <f>IFERROR(('연간'!V47)/I16,"")</f>
        <v/>
      </c>
      <c r="J52" s="38">
        <f>IFERROR(('연간'!W47)/J16,"")</f>
        <v/>
      </c>
      <c r="K52" s="38">
        <f>IFERROR(('연간'!X47)/K16,"")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IFERROR(('연간'!U19)*(1-0.3)/(H35+H29),"")</f>
        <v/>
      </c>
      <c r="I53" s="38">
        <f>IFERROR(('연간'!V19)*(1-0.3)/(I35+I29),"")</f>
        <v/>
      </c>
      <c r="J53" s="38">
        <f>IFERROR(('연간'!W19)*(1-0.3)/(J35+J29),"")</f>
        <v/>
      </c>
      <c r="K53" s="38">
        <f>IFERROR(('연간'!X19)*(1-0.3)/(K35+K29),"")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IFERROR(('연간'!U13)/('연간'!U4),"")</f>
        <v/>
      </c>
      <c r="I54" s="38">
        <f>IFERROR(('연간'!V13)/('연간'!V4),"")</f>
        <v/>
      </c>
      <c r="J54" s="38">
        <f>IFERROR(('연간'!W13)/('연간'!W4),"")</f>
        <v/>
      </c>
      <c r="K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IFERROR(('연간'!U19)/('연간'!U4),"")</f>
        <v/>
      </c>
      <c r="I55" s="38">
        <f>IFERROR(('연간'!V19)/('연간'!V4),"")</f>
        <v/>
      </c>
      <c r="J55" s="38">
        <f>IFERROR(('연간'!W19)/('연간'!W4),"")</f>
        <v/>
      </c>
      <c r="K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IFERROR(('연간'!U47)/('연간'!U4),"")</f>
        <v/>
      </c>
      <c r="I56" s="38">
        <f>IFERROR(('연간'!V47)/('연간'!V4),"")</f>
        <v/>
      </c>
      <c r="J56" s="38">
        <f>IFERROR(('연간'!W47)/('연간'!W4),"")</f>
        <v/>
      </c>
      <c r="K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IFERROR(('연간'!U4)/H16,"")</f>
        <v/>
      </c>
      <c r="I58" s="33">
        <f>IFERROR(('연간'!V4)/I16,"")</f>
        <v/>
      </c>
      <c r="J58" s="33">
        <f>IFERROR(('연간'!W4)/J16,"")</f>
        <v/>
      </c>
      <c r="K58" s="33">
        <f>IFERROR(('연간'!X4)/K16,"")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IFERROR(H8/('연간'!U4)*365,"")</f>
        <v/>
      </c>
      <c r="I59" s="51">
        <f>IFERROR(I8/('연간'!V4)*365,"")</f>
        <v/>
      </c>
      <c r="J59" s="51">
        <f>IFERROR(J8/('연간'!W4)*365,"")</f>
        <v/>
      </c>
      <c r="K59" s="51">
        <f>IFERROR(K8/('연간'!X4)*365,"")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IFERROR(H9/('연간'!U11)*365,"")</f>
        <v/>
      </c>
      <c r="I60" s="51">
        <f>IFERROR(I9/('연간'!V11)*365,"")</f>
        <v/>
      </c>
      <c r="J60" s="51">
        <f>IFERROR(J9/('연간'!W11)*365,"")</f>
        <v/>
      </c>
      <c r="K60" s="51">
        <f>IFERROR(K9/('연간'!X11)*365,"")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IFERROR(H19/('연간'!U11)*365,"")</f>
        <v/>
      </c>
      <c r="I61" s="51">
        <f>IFERROR(I19/('연간'!V11)*365,"")</f>
        <v/>
      </c>
      <c r="J61" s="51">
        <f>IFERROR(J19/('연간'!W11)*365,"")</f>
        <v/>
      </c>
      <c r="K61" s="51">
        <f>IFERROR(K19/('연간'!X11)*365,"")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IF(H37="","",IFERROR(H37/('연간'!U47),""))</f>
        <v/>
      </c>
      <c r="I64" s="33">
        <f>IF(I37="","",IFERROR(I37/('연간'!V47),""))</f>
        <v/>
      </c>
      <c r="J64" s="33">
        <f>IF(J37="","",IFERROR(J37/('연간'!W47),""))</f>
        <v/>
      </c>
      <c r="K64" s="33">
        <f>IF(K37="","",IFERROR(K37/('연간'!X47),""))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IF(H39="","",IFERROR(H39/('연간'!U4),""))</f>
        <v/>
      </c>
      <c r="I65" s="38">
        <f>IF(I39="","",IFERROR(I39/('연간'!V4),""))</f>
        <v/>
      </c>
      <c r="J65" s="38">
        <f>IF(J39="","",IFERROR(J39/('연간'!W4),""))</f>
        <v/>
      </c>
      <c r="K65" s="38">
        <f>IF(K39="","",IFERROR(K39/('연간'!X4),""))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IF(H38="","",IFERROR(H38/('연간'!U4),""))</f>
        <v/>
      </c>
      <c r="I66" s="38">
        <f>IF(I38="","",IFERROR(I38/('연간'!V4),""))</f>
        <v/>
      </c>
      <c r="J66" s="38">
        <f>IF(J38="","",IFERROR(J38/('연간'!W4),""))</f>
        <v/>
      </c>
      <c r="K66" s="38">
        <f>IF(K38="","",IFERROR(K38/('연간'!X4),""))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IF(H40="","",IFERROR(H40/('연간'!U49),""))</f>
        <v/>
      </c>
      <c r="I67" s="38">
        <f>IF(I40="","",IFERROR(I40/('연간'!V49),""))</f>
        <v/>
      </c>
      <c r="J67" s="38">
        <f>IF(J40="","",IFERROR(J40/('연간'!W49),""))</f>
        <v/>
      </c>
      <c r="K67" s="38">
        <f>IF(K40="","",IFERROR(K40/('연간'!X49),""))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</row>
    <row r="71">
      <c r="A71" s="20" t="inlineStr">
        <is>
          <t>현금 및 예금</t>
        </is>
      </c>
      <c r="C71" s="22" t="n">
        <v>721.249</v>
      </c>
      <c r="D71" s="22" t="n">
        <v>732.866</v>
      </c>
      <c r="E71" s="22" t="n">
        <v>1110.658</v>
      </c>
      <c r="F71" s="22" t="n">
        <v>896.554</v>
      </c>
      <c r="G71" s="22" t="n">
        <v>737.7190000000001</v>
      </c>
      <c r="H71" s="22" t="n">
        <v>633.554</v>
      </c>
      <c r="I71" s="22" t="n">
        <v>898.688</v>
      </c>
      <c r="J71" s="22" t="n">
        <v>758.979</v>
      </c>
      <c r="K71" s="22" t="n">
        <v>732.866</v>
      </c>
    </row>
    <row r="72">
      <c r="A72" s="20" t="inlineStr">
        <is>
          <t>매출채권·계약자산</t>
        </is>
      </c>
      <c r="H72" s="22" t="n">
        <v>782.7329999999999</v>
      </c>
      <c r="I72" s="22" t="n">
        <v>1016.396</v>
      </c>
    </row>
    <row r="73">
      <c r="A73" s="20" t="inlineStr">
        <is>
          <t>매출채권·계약자산</t>
        </is>
      </c>
      <c r="H73" s="22" t="n">
        <v>782.7329999999999</v>
      </c>
      <c r="I73" s="22" t="n">
        <v>1016.396</v>
      </c>
    </row>
    <row r="74">
      <c r="A74" s="20" t="inlineStr">
        <is>
          <t>매출채권·계약자산</t>
        </is>
      </c>
      <c r="C74" s="22" t="n">
        <v>1127.434</v>
      </c>
      <c r="D74" s="22" t="n">
        <v>1198.613</v>
      </c>
      <c r="E74" s="22" t="n">
        <v>1052.535</v>
      </c>
      <c r="F74" s="22" t="n">
        <v>1078.045</v>
      </c>
      <c r="G74" s="22" t="n">
        <v>1188.498</v>
      </c>
      <c r="I74" s="22" t="n">
        <v>1016.396</v>
      </c>
      <c r="J74" s="22" t="n">
        <v>1374.371</v>
      </c>
      <c r="K74" s="22" t="n">
        <v>1198.613</v>
      </c>
    </row>
    <row r="75">
      <c r="A75" s="20" t="inlineStr">
        <is>
          <t>저장품</t>
        </is>
      </c>
      <c r="C75" s="22" t="n">
        <v>15.878</v>
      </c>
      <c r="D75" s="22" t="n">
        <v>21.071</v>
      </c>
      <c r="E75" s="22" t="n">
        <v>25.046</v>
      </c>
      <c r="F75" s="22" t="n">
        <v>26.11</v>
      </c>
      <c r="G75" s="22" t="n">
        <v>26.536</v>
      </c>
      <c r="H75" s="22" t="n">
        <v>38.918</v>
      </c>
      <c r="I75" s="22" t="n">
        <v>28.185</v>
      </c>
      <c r="J75" s="22" t="n">
        <v>14.743</v>
      </c>
      <c r="K75" s="22" t="n">
        <v>21.071</v>
      </c>
    </row>
    <row r="76">
      <c r="A76" s="20" t="inlineStr">
        <is>
          <t>선급금</t>
        </is>
      </c>
      <c r="D76" s="22" t="n">
        <v>0.424</v>
      </c>
      <c r="H76" s="22" t="n">
        <v>1.477</v>
      </c>
      <c r="I76" s="22" t="n">
        <v>0.714</v>
      </c>
      <c r="J76" s="22" t="n">
        <v>1.734</v>
      </c>
      <c r="K76" s="22" t="n">
        <v>0.424</v>
      </c>
    </row>
    <row r="77">
      <c r="A77" s="20" t="inlineStr">
        <is>
          <t>선급비용</t>
        </is>
      </c>
      <c r="D77" s="22" t="n">
        <v>26.455</v>
      </c>
      <c r="H77" s="22" t="n">
        <v>28.74</v>
      </c>
      <c r="I77" s="22" t="n">
        <v>22.856</v>
      </c>
      <c r="J77" s="22" t="n">
        <v>22.787</v>
      </c>
      <c r="K77" s="22" t="n">
        <v>26.455</v>
      </c>
    </row>
    <row r="78">
      <c r="A78" s="20" t="inlineStr">
        <is>
          <t>미수금</t>
        </is>
      </c>
      <c r="D78" s="22" t="n">
        <v>13.464</v>
      </c>
      <c r="H78" s="22" t="n">
        <v>0.717</v>
      </c>
      <c r="I78" s="22" t="n">
        <v>12.529</v>
      </c>
      <c r="J78" s="22" t="n">
        <v>14.606</v>
      </c>
      <c r="K78" s="22" t="n">
        <v>13.464</v>
      </c>
    </row>
    <row r="79">
      <c r="A79" s="20" t="inlineStr">
        <is>
          <t>기타</t>
        </is>
      </c>
      <c r="C79" s="22" t="n">
        <v>64.71899999999999</v>
      </c>
      <c r="D79" s="22" t="n">
        <v>42.421</v>
      </c>
      <c r="E79" s="22" t="n">
        <v>43.409</v>
      </c>
      <c r="F79" s="22" t="n">
        <v>55.308</v>
      </c>
      <c r="G79" s="22" t="n">
        <v>74.556</v>
      </c>
      <c r="H79" s="22" t="n">
        <v>1.722</v>
      </c>
      <c r="I79" s="22" t="n">
        <v>2.524</v>
      </c>
      <c r="J79" s="22" t="n">
        <v>2.261</v>
      </c>
      <c r="K79" s="22" t="n">
        <v>42.421</v>
      </c>
    </row>
    <row r="80">
      <c r="A80" s="20" t="inlineStr">
        <is>
          <t>대손충당금</t>
        </is>
      </c>
      <c r="C80" s="22" t="n">
        <v>-0.078</v>
      </c>
      <c r="D80" s="22" t="n">
        <v>-0.307</v>
      </c>
      <c r="E80" s="22" t="n">
        <v>-2.484</v>
      </c>
      <c r="F80" s="22" t="n">
        <v>-2.31</v>
      </c>
      <c r="G80" s="22" t="n">
        <v>-2.082</v>
      </c>
      <c r="H80" s="22" t="n">
        <v>-0.078</v>
      </c>
      <c r="I80" s="22" t="n">
        <v>-0.078</v>
      </c>
      <c r="J80" s="22" t="n">
        <v>-0.078</v>
      </c>
      <c r="K80" s="22" t="n">
        <v>-0.307</v>
      </c>
    </row>
    <row r="81">
      <c r="A81" s="9" t="inlineStr">
        <is>
          <t>유동자산 합계</t>
        </is>
      </c>
      <c r="C81" s="12" t="n">
        <v>1929.203</v>
      </c>
      <c r="D81" s="12" t="n">
        <v>1994.664</v>
      </c>
      <c r="E81" s="12" t="n">
        <v>2229.164</v>
      </c>
      <c r="F81" s="12" t="n">
        <v>2053.709</v>
      </c>
      <c r="G81" s="12" t="n">
        <v>2025.228</v>
      </c>
      <c r="H81" s="12" t="n">
        <v>1487.786</v>
      </c>
      <c r="I81" s="12" t="n">
        <v>1981.817</v>
      </c>
      <c r="J81" s="12" t="n">
        <v>2189.405</v>
      </c>
      <c r="K81" s="12" t="n">
        <v>1994.664</v>
      </c>
    </row>
    <row r="82">
      <c r="A82" s="20" t="inlineStr">
        <is>
          <t>건물(순액)</t>
        </is>
      </c>
      <c r="C82" s="22" t="n">
        <v>778.936</v>
      </c>
      <c r="D82" s="22" t="n">
        <v>779.336</v>
      </c>
      <c r="E82" s="22" t="n">
        <v>867.938</v>
      </c>
      <c r="F82" s="22" t="n">
        <v>876.246</v>
      </c>
      <c r="G82" s="22" t="n">
        <v>863.077</v>
      </c>
      <c r="H82" s="22" t="n">
        <v>284.278</v>
      </c>
      <c r="I82" s="22" t="n">
        <v>599.847</v>
      </c>
      <c r="J82" s="22" t="n">
        <v>568.095</v>
      </c>
      <c r="K82" s="22" t="n">
        <v>779.336</v>
      </c>
    </row>
    <row r="83">
      <c r="A83" s="20" t="inlineStr">
        <is>
          <t>구축물(순액)</t>
        </is>
      </c>
      <c r="C83" s="22" t="n">
        <v>121.994</v>
      </c>
      <c r="D83" s="22" t="n">
        <v>120.245</v>
      </c>
      <c r="E83" s="22" t="n">
        <v>118.497</v>
      </c>
      <c r="F83" s="22" t="n">
        <v>116.749</v>
      </c>
      <c r="G83" s="22" t="n">
        <v>115</v>
      </c>
      <c r="H83" s="22" t="n">
        <v>1.378</v>
      </c>
      <c r="I83" s="22" t="n">
        <v>134.232</v>
      </c>
      <c r="J83" s="22" t="n">
        <v>127.239</v>
      </c>
      <c r="K83" s="22" t="n">
        <v>120.245</v>
      </c>
    </row>
    <row r="84">
      <c r="A84" s="20" t="inlineStr">
        <is>
          <t>기계장치(순액)</t>
        </is>
      </c>
      <c r="C84" s="22" t="n">
        <v>2.756</v>
      </c>
      <c r="D84" s="22" t="n">
        <v>2.537</v>
      </c>
      <c r="E84" s="22" t="n">
        <v>2.32</v>
      </c>
      <c r="F84" s="22" t="n">
        <v>0.991</v>
      </c>
      <c r="G84" s="22" t="n">
        <v>0.96</v>
      </c>
      <c r="H84" s="22" t="n">
        <v>4.369</v>
      </c>
      <c r="I84" s="22" t="n">
        <v>3.119</v>
      </c>
      <c r="J84" s="22" t="n">
        <v>2.227</v>
      </c>
      <c r="K84" s="22" t="n">
        <v>2.537</v>
      </c>
    </row>
    <row r="85">
      <c r="A85" s="20" t="inlineStr">
        <is>
          <t>차량운반구(순액)</t>
        </is>
      </c>
      <c r="C85" s="22" t="n">
        <v>4.729</v>
      </c>
      <c r="D85" s="22" t="n">
        <v>9.951000000000001</v>
      </c>
      <c r="E85" s="22" t="n">
        <v>9.122999999999999</v>
      </c>
      <c r="F85" s="22" t="n">
        <v>8.294</v>
      </c>
      <c r="G85" s="22" t="n">
        <v>7.466</v>
      </c>
      <c r="H85" s="22" t="n">
        <v>0.241</v>
      </c>
      <c r="I85" s="22" t="n">
        <v>0</v>
      </c>
      <c r="J85" s="22" t="n">
        <v>6.303</v>
      </c>
      <c r="K85" s="22" t="n">
        <v>9.951000000000001</v>
      </c>
    </row>
    <row r="86">
      <c r="A86" s="20" t="inlineStr">
        <is>
          <t>공구·기구·비품(순액)</t>
        </is>
      </c>
      <c r="C86" s="22" t="n">
        <v>32.672</v>
      </c>
      <c r="D86" s="22" t="n">
        <v>30.816</v>
      </c>
      <c r="E86" s="22" t="n">
        <v>50.773</v>
      </c>
      <c r="F86" s="22" t="n">
        <v>48.321</v>
      </c>
      <c r="G86" s="22" t="n">
        <v>43.999</v>
      </c>
      <c r="H86" s="22" t="n">
        <v>22.235</v>
      </c>
      <c r="I86" s="22" t="n">
        <v>43.726</v>
      </c>
      <c r="J86" s="22" t="n">
        <v>30.423</v>
      </c>
      <c r="K86" s="22" t="n">
        <v>30.816</v>
      </c>
    </row>
    <row r="87">
      <c r="A87" s="20" t="inlineStr">
        <is>
          <t>토지</t>
        </is>
      </c>
      <c r="C87" s="22" t="n">
        <v>411.02</v>
      </c>
      <c r="D87" s="22" t="n">
        <v>411.02</v>
      </c>
      <c r="E87" s="22" t="n">
        <v>411.02</v>
      </c>
      <c r="F87" s="22" t="n">
        <v>411.02</v>
      </c>
      <c r="G87" s="22" t="n">
        <v>411.02</v>
      </c>
      <c r="H87" s="22" t="n">
        <v>191.817</v>
      </c>
      <c r="I87" s="22" t="n">
        <v>222.462</v>
      </c>
      <c r="J87" s="22" t="n">
        <v>222.462</v>
      </c>
      <c r="K87" s="22" t="n">
        <v>411.02</v>
      </c>
    </row>
    <row r="88">
      <c r="A88" s="20" t="inlineStr">
        <is>
          <t>건설중인자산</t>
        </is>
      </c>
      <c r="C88" s="22" t="n">
        <v>0</v>
      </c>
      <c r="D88" s="22" t="n">
        <v>0</v>
      </c>
      <c r="H88" s="22" t="n">
        <v>358.872</v>
      </c>
      <c r="I88" s="22" t="n">
        <v>0</v>
      </c>
      <c r="J88" s="22" t="n">
        <v>10</v>
      </c>
      <c r="K88" s="22" t="n">
        <v>0</v>
      </c>
    </row>
    <row r="89">
      <c r="A89" s="20" t="inlineStr">
        <is>
          <t>유형자산 합계</t>
        </is>
      </c>
      <c r="C89" s="22" t="n">
        <v>1352.109</v>
      </c>
      <c r="D89" s="22" t="n">
        <v>1353.908</v>
      </c>
      <c r="E89" s="22" t="n">
        <v>1459.674</v>
      </c>
      <c r="F89" s="22" t="n">
        <v>1461.624</v>
      </c>
      <c r="G89" s="22" t="n">
        <v>1441.524</v>
      </c>
      <c r="H89" s="22" t="n">
        <v>863.192</v>
      </c>
      <c r="I89" s="22" t="n">
        <v>1003.389</v>
      </c>
      <c r="J89" s="22" t="n">
        <v>966.751</v>
      </c>
      <c r="K89" s="22" t="n">
        <v>1353.908</v>
      </c>
    </row>
    <row r="90">
      <c r="A90" s="20" t="inlineStr">
        <is>
          <t>소프트웨어</t>
        </is>
      </c>
      <c r="C90" s="22" t="n">
        <v>5.304</v>
      </c>
      <c r="D90" s="22" t="n">
        <v>4.604</v>
      </c>
      <c r="E90" s="22" t="n">
        <v>3.93</v>
      </c>
      <c r="F90" s="22" t="n">
        <v>3.308</v>
      </c>
      <c r="G90" s="22" t="n">
        <v>2.686</v>
      </c>
      <c r="H90" s="22" t="n">
        <v>16.462</v>
      </c>
      <c r="I90" s="22" t="n">
        <v>11.873</v>
      </c>
      <c r="J90" s="22" t="n">
        <v>8.568</v>
      </c>
      <c r="K90" s="22" t="n">
        <v>4.604</v>
      </c>
    </row>
    <row r="91">
      <c r="A91" s="20" t="inlineStr">
        <is>
          <t>기타</t>
        </is>
      </c>
      <c r="C91" s="22" t="n">
        <v>1.947</v>
      </c>
      <c r="D91" s="22" t="n">
        <v>1.928</v>
      </c>
      <c r="E91" s="22" t="n">
        <v>1.909</v>
      </c>
      <c r="F91" s="22" t="n">
        <v>1.889</v>
      </c>
      <c r="G91" s="22" t="n">
        <v>1.87</v>
      </c>
      <c r="H91" s="22" t="n">
        <v>2.755</v>
      </c>
      <c r="I91" s="22" t="n">
        <v>3.859</v>
      </c>
      <c r="J91" s="22" t="n">
        <v>2.006</v>
      </c>
      <c r="K91" s="22" t="n">
        <v>1.928</v>
      </c>
    </row>
    <row r="92">
      <c r="A92" s="20" t="inlineStr">
        <is>
          <t>무형자산 합계</t>
        </is>
      </c>
      <c r="C92" s="22" t="n">
        <v>7.252</v>
      </c>
      <c r="D92" s="22" t="n">
        <v>6.532</v>
      </c>
      <c r="E92" s="22" t="n">
        <v>5.839</v>
      </c>
      <c r="F92" s="22" t="n">
        <v>5.197</v>
      </c>
      <c r="G92" s="22" t="n">
        <v>4.556</v>
      </c>
      <c r="H92" s="22" t="n">
        <v>19.218</v>
      </c>
      <c r="I92" s="22" t="n">
        <v>15.733</v>
      </c>
      <c r="J92" s="22" t="n">
        <v>10.574</v>
      </c>
      <c r="K92" s="22" t="n">
        <v>6.532</v>
      </c>
    </row>
    <row r="93">
      <c r="A93" s="20" t="inlineStr">
        <is>
          <t>투자유가증권</t>
        </is>
      </c>
      <c r="C93" s="22" t="n">
        <v>472.771</v>
      </c>
      <c r="D93" s="22" t="n">
        <v>508.877</v>
      </c>
      <c r="E93" s="22" t="n">
        <v>332.777</v>
      </c>
      <c r="F93" s="22" t="n">
        <v>452.728</v>
      </c>
      <c r="G93" s="22" t="n">
        <v>511.826</v>
      </c>
      <c r="H93" s="22" t="n">
        <v>330.293</v>
      </c>
      <c r="I93" s="22" t="n">
        <v>297.864</v>
      </c>
      <c r="J93" s="22" t="n">
        <v>362.099</v>
      </c>
      <c r="K93" s="22" t="n">
        <v>508.877</v>
      </c>
    </row>
    <row r="94">
      <c r="A94" s="20" t="inlineStr">
        <is>
          <t>관계회사 주식</t>
        </is>
      </c>
      <c r="D94" s="22" t="n">
        <v>13.519</v>
      </c>
      <c r="H94" s="22" t="n">
        <v>3.339</v>
      </c>
      <c r="I94" s="22" t="n">
        <v>3.339</v>
      </c>
      <c r="J94" s="22" t="n">
        <v>3.339</v>
      </c>
      <c r="K94" s="22" t="n">
        <v>13.519</v>
      </c>
    </row>
    <row r="95">
      <c r="A95" s="20" t="inlineStr">
        <is>
          <t>출자금</t>
        </is>
      </c>
      <c r="D95" s="22" t="n">
        <v>0.01</v>
      </c>
      <c r="H95" s="22" t="n">
        <v>5.601</v>
      </c>
      <c r="I95" s="22" t="n">
        <v>0</v>
      </c>
      <c r="J95" s="22" t="n">
        <v>0</v>
      </c>
      <c r="K95" s="22" t="n">
        <v>0.01</v>
      </c>
    </row>
    <row r="96">
      <c r="A96" s="20" t="inlineStr">
        <is>
          <t>장기선급비용</t>
        </is>
      </c>
      <c r="D96" s="22" t="n">
        <v>3.477</v>
      </c>
      <c r="H96" s="22" t="n">
        <v>0.702</v>
      </c>
      <c r="I96" s="22" t="n">
        <v>1.855</v>
      </c>
      <c r="J96" s="22" t="n">
        <v>5.828</v>
      </c>
      <c r="K96" s="22" t="n">
        <v>3.477</v>
      </c>
    </row>
    <row r="97">
      <c r="A97" s="20" t="inlineStr">
        <is>
          <t>임차보증금·보증금</t>
        </is>
      </c>
      <c r="D97" s="22" t="n">
        <v>205.527</v>
      </c>
      <c r="I97" s="22" t="n">
        <v>77.366</v>
      </c>
      <c r="J97" s="22" t="n">
        <v>191.323</v>
      </c>
      <c r="K97" s="22" t="n">
        <v>205.527</v>
      </c>
    </row>
    <row r="98">
      <c r="A98" s="20" t="inlineStr">
        <is>
          <t>기타</t>
        </is>
      </c>
      <c r="C98" s="22" t="n">
        <v>224.626</v>
      </c>
      <c r="D98" s="22" t="n">
        <v>223.69</v>
      </c>
      <c r="E98" s="22" t="n">
        <v>206.953</v>
      </c>
      <c r="F98" s="22" t="n">
        <v>204.76</v>
      </c>
      <c r="G98" s="22" t="n">
        <v>216.272</v>
      </c>
      <c r="H98" s="22" t="n">
        <v>76.82599999999999</v>
      </c>
      <c r="I98" s="22" t="n">
        <v>1.155</v>
      </c>
      <c r="J98" s="22" t="n">
        <v>1.155</v>
      </c>
      <c r="K98" s="22" t="n">
        <v>223.69</v>
      </c>
    </row>
    <row r="99">
      <c r="A99" s="20" t="inlineStr">
        <is>
          <t>투자 및 기타자산 합계</t>
        </is>
      </c>
      <c r="C99" s="22" t="n">
        <v>697.397</v>
      </c>
      <c r="D99" s="22" t="n">
        <v>732.567</v>
      </c>
      <c r="E99" s="22" t="n">
        <v>539.731</v>
      </c>
      <c r="F99" s="22" t="n">
        <v>657.4880000000001</v>
      </c>
      <c r="G99" s="22" t="n">
        <v>728.098</v>
      </c>
      <c r="H99" s="22" t="n">
        <v>416.761</v>
      </c>
      <c r="I99" s="22" t="n">
        <v>381.58</v>
      </c>
      <c r="J99" s="22" t="n">
        <v>563.746</v>
      </c>
      <c r="K99" s="22" t="n">
        <v>732.567</v>
      </c>
    </row>
    <row r="100">
      <c r="A100" s="9" t="inlineStr">
        <is>
          <t>비유동자산 합계</t>
        </is>
      </c>
      <c r="C100" s="12" t="n">
        <v>2056.76</v>
      </c>
      <c r="D100" s="12" t="n">
        <v>2093.009</v>
      </c>
      <c r="E100" s="12" t="n">
        <v>2005.244</v>
      </c>
      <c r="F100" s="12" t="n">
        <v>2124.31</v>
      </c>
      <c r="G100" s="12" t="n">
        <v>2174.179</v>
      </c>
      <c r="H100" s="12" t="n">
        <v>1299.173</v>
      </c>
      <c r="I100" s="12" t="n">
        <v>1400.702</v>
      </c>
      <c r="J100" s="12" t="n">
        <v>1541.072</v>
      </c>
      <c r="K100" s="12" t="n">
        <v>2093.009</v>
      </c>
    </row>
    <row r="101">
      <c r="A101" s="9" t="inlineStr">
        <is>
          <t>자산 합계</t>
        </is>
      </c>
      <c r="C101" s="12" t="n">
        <v>3985.963</v>
      </c>
      <c r="D101" s="12" t="n">
        <v>4087.674</v>
      </c>
      <c r="E101" s="12" t="n">
        <v>4234.409</v>
      </c>
      <c r="F101" s="12" t="n">
        <v>4178.02</v>
      </c>
      <c r="G101" s="12" t="n">
        <v>4199.407</v>
      </c>
      <c r="H101" s="12" t="n">
        <v>2786.959</v>
      </c>
      <c r="I101" s="12" t="n">
        <v>3382.52</v>
      </c>
      <c r="J101" s="12" t="n">
        <v>3730.478</v>
      </c>
      <c r="K101" s="12" t="n">
        <v>4087.674</v>
      </c>
    </row>
    <row r="102">
      <c r="A102" s="20" t="inlineStr">
        <is>
          <t>매입채무</t>
        </is>
      </c>
      <c r="C102" s="22" t="n">
        <v>192.584</v>
      </c>
      <c r="D102" s="22" t="n">
        <v>193.018</v>
      </c>
      <c r="E102" s="22" t="n">
        <v>182.861</v>
      </c>
      <c r="F102" s="22" t="n">
        <v>192.448</v>
      </c>
      <c r="G102" s="22" t="n">
        <v>207.13</v>
      </c>
      <c r="H102" s="22" t="n">
        <v>117.475</v>
      </c>
      <c r="I102" s="22" t="n">
        <v>157.643</v>
      </c>
      <c r="J102" s="22" t="n">
        <v>211.777</v>
      </c>
      <c r="K102" s="22" t="n">
        <v>193.018</v>
      </c>
    </row>
    <row r="103">
      <c r="A103" s="20" t="inlineStr">
        <is>
          <t>1년 내 상환 사채</t>
        </is>
      </c>
      <c r="H103" s="22" t="n">
        <v>265</v>
      </c>
      <c r="I103" s="22" t="n">
        <v>50</v>
      </c>
      <c r="J103" s="22" t="n">
        <v>0</v>
      </c>
    </row>
    <row r="104">
      <c r="A104" s="20" t="inlineStr">
        <is>
          <t>1년 내 상환 장기차입금</t>
        </is>
      </c>
      <c r="C104" s="22" t="n">
        <v>400.232</v>
      </c>
      <c r="D104" s="22" t="n">
        <v>376.923</v>
      </c>
      <c r="E104" s="22" t="n">
        <v>521.318</v>
      </c>
      <c r="F104" s="22" t="n">
        <v>494.573</v>
      </c>
      <c r="G104" s="22" t="n">
        <v>465.079</v>
      </c>
      <c r="H104" s="22" t="n">
        <v>200.292</v>
      </c>
      <c r="I104" s="22" t="n">
        <v>361.946</v>
      </c>
      <c r="J104" s="22" t="n">
        <v>308.202</v>
      </c>
      <c r="K104" s="22" t="n">
        <v>376.923</v>
      </c>
    </row>
    <row r="105">
      <c r="A105" s="20" t="inlineStr">
        <is>
          <t>미지급금</t>
        </is>
      </c>
      <c r="D105" s="22" t="n">
        <v>58.46</v>
      </c>
      <c r="H105" s="22" t="n">
        <v>63.843</v>
      </c>
      <c r="I105" s="22" t="n">
        <v>64.16</v>
      </c>
      <c r="J105" s="22" t="n">
        <v>58.573</v>
      </c>
      <c r="K105" s="22" t="n">
        <v>58.46</v>
      </c>
    </row>
    <row r="106">
      <c r="A106" s="20" t="inlineStr">
        <is>
          <t>미지급비용</t>
        </is>
      </c>
      <c r="D106" s="22" t="n">
        <v>116.256</v>
      </c>
      <c r="H106" s="22" t="n">
        <v>95.45</v>
      </c>
      <c r="I106" s="22" t="n">
        <v>99.111</v>
      </c>
      <c r="J106" s="22" t="n">
        <v>108.239</v>
      </c>
      <c r="K106" s="22" t="n">
        <v>116.256</v>
      </c>
    </row>
    <row r="107">
      <c r="A107" s="20" t="inlineStr">
        <is>
          <t>미지급법인세</t>
        </is>
      </c>
      <c r="C107" s="22" t="n">
        <v>41.184</v>
      </c>
      <c r="D107" s="22" t="n">
        <v>70.44199999999999</v>
      </c>
      <c r="E107" s="22" t="n">
        <v>79.044</v>
      </c>
      <c r="F107" s="22" t="n">
        <v>106.33</v>
      </c>
      <c r="G107" s="22" t="n">
        <v>128.539</v>
      </c>
      <c r="H107" s="22" t="n">
        <v>117.347</v>
      </c>
      <c r="I107" s="22" t="n">
        <v>101.79</v>
      </c>
      <c r="J107" s="22" t="n">
        <v>92.833</v>
      </c>
      <c r="K107" s="22" t="n">
        <v>70.44199999999999</v>
      </c>
    </row>
    <row r="108">
      <c r="A108" s="20" t="inlineStr">
        <is>
          <t>선수금</t>
        </is>
      </c>
      <c r="D108" s="22" t="n">
        <v>3.025</v>
      </c>
      <c r="H108" s="22" t="n">
        <v>0.839</v>
      </c>
      <c r="I108" s="22" t="n">
        <v>0.732</v>
      </c>
      <c r="J108" s="22" t="n">
        <v>1.408</v>
      </c>
      <c r="K108" s="22" t="n">
        <v>3.025</v>
      </c>
    </row>
    <row r="109">
      <c r="A109" s="20" t="inlineStr">
        <is>
          <t>상여충당금</t>
        </is>
      </c>
      <c r="C109" s="22" t="n">
        <v>103.028</v>
      </c>
      <c r="D109" s="22" t="n">
        <v>0</v>
      </c>
      <c r="E109" s="22" t="n">
        <v>102.245</v>
      </c>
      <c r="G109" s="22" t="n">
        <v>106.119</v>
      </c>
      <c r="H109" s="22" t="n">
        <v>0</v>
      </c>
      <c r="I109" s="22" t="n">
        <v>0</v>
      </c>
      <c r="J109" s="22" t="n">
        <v>0</v>
      </c>
      <c r="K109" s="22" t="n">
        <v>0</v>
      </c>
    </row>
    <row r="110">
      <c r="A110" s="20" t="inlineStr">
        <is>
          <t>수주손실 충당금</t>
        </is>
      </c>
      <c r="C110" s="22" t="n">
        <v>67.053</v>
      </c>
      <c r="D110" s="22" t="n">
        <v>23.818</v>
      </c>
      <c r="E110" s="22" t="n">
        <v>31.164</v>
      </c>
      <c r="F110" s="22" t="n">
        <v>25.592</v>
      </c>
      <c r="G110" s="22" t="n">
        <v>20.691</v>
      </c>
      <c r="H110" s="22" t="n">
        <v>0.325</v>
      </c>
      <c r="I110" s="22" t="n">
        <v>0.092</v>
      </c>
      <c r="J110" s="22" t="n">
        <v>5.351</v>
      </c>
      <c r="K110" s="22" t="n">
        <v>23.818</v>
      </c>
    </row>
    <row r="111">
      <c r="A111" s="20" t="inlineStr">
        <is>
          <t>제품보증 충당금</t>
        </is>
      </c>
      <c r="I111" s="22" t="n">
        <v>0</v>
      </c>
    </row>
    <row r="112">
      <c r="A112" s="20" t="inlineStr">
        <is>
          <t>자산복구부채</t>
        </is>
      </c>
      <c r="C112" s="22" t="n">
        <v>8.122999999999999</v>
      </c>
      <c r="D112" s="22" t="n">
        <v>1.074</v>
      </c>
      <c r="E112" s="22" t="n">
        <v>1.074</v>
      </c>
      <c r="F112" s="22" t="n">
        <v>0</v>
      </c>
      <c r="G112" s="22" t="n">
        <v>0</v>
      </c>
      <c r="J112" s="22" t="n">
        <v>0</v>
      </c>
      <c r="K112" s="22" t="n">
        <v>1.074</v>
      </c>
    </row>
    <row r="113">
      <c r="A113" s="20" t="inlineStr">
        <is>
          <t>기타</t>
        </is>
      </c>
      <c r="C113" s="22" t="n">
        <v>246.078</v>
      </c>
      <c r="D113" s="22" t="n">
        <v>377.677</v>
      </c>
      <c r="E113" s="22" t="n">
        <v>315.846</v>
      </c>
      <c r="F113" s="22" t="n">
        <v>321.327</v>
      </c>
      <c r="G113" s="22" t="n">
        <v>270.496</v>
      </c>
      <c r="H113" s="22" t="n">
        <v>198.721</v>
      </c>
      <c r="I113" s="22" t="n">
        <v>145.169</v>
      </c>
      <c r="J113" s="22" t="n">
        <v>257.272</v>
      </c>
      <c r="K113" s="22" t="n">
        <v>377.677</v>
      </c>
    </row>
    <row r="114">
      <c r="A114" s="9" t="inlineStr">
        <is>
          <t>유동부채 합계</t>
        </is>
      </c>
      <c r="C114" s="12" t="n">
        <v>1058.283</v>
      </c>
      <c r="D114" s="12" t="n">
        <v>1042.954</v>
      </c>
      <c r="E114" s="12" t="n">
        <v>1233.554</v>
      </c>
      <c r="F114" s="12" t="n">
        <v>1140.273</v>
      </c>
      <c r="G114" s="12" t="n">
        <v>1198.055</v>
      </c>
      <c r="H114" s="12" t="n">
        <v>1059.296</v>
      </c>
      <c r="I114" s="12" t="n">
        <v>980.647</v>
      </c>
      <c r="J114" s="12" t="n">
        <v>1043.657</v>
      </c>
      <c r="K114" s="12" t="n">
        <v>1042.954</v>
      </c>
    </row>
    <row r="115">
      <c r="A115" s="20" t="inlineStr">
        <is>
          <t>사채</t>
        </is>
      </c>
      <c r="H115" s="22" t="n">
        <v>50</v>
      </c>
      <c r="I115" s="22" t="n">
        <v>0</v>
      </c>
    </row>
    <row r="116">
      <c r="A116" s="20" t="inlineStr">
        <is>
          <t>장기차입금</t>
        </is>
      </c>
      <c r="C116" s="22" t="n">
        <v>390.97</v>
      </c>
      <c r="D116" s="22" t="n">
        <v>307.026</v>
      </c>
      <c r="E116" s="22" t="n">
        <v>539.2089999999999</v>
      </c>
      <c r="F116" s="22" t="n">
        <v>432.571</v>
      </c>
      <c r="G116" s="22" t="n">
        <v>328.682</v>
      </c>
      <c r="H116" s="22" t="n">
        <v>387.359</v>
      </c>
      <c r="I116" s="22" t="n">
        <v>482.124</v>
      </c>
      <c r="J116" s="22" t="n">
        <v>320.032</v>
      </c>
      <c r="K116" s="22" t="n">
        <v>307.026</v>
      </c>
    </row>
    <row r="117">
      <c r="A117" s="20" t="inlineStr">
        <is>
          <t>이연법인세부채</t>
        </is>
      </c>
      <c r="D117" s="22" t="n">
        <v>99.735</v>
      </c>
      <c r="H117" s="22" t="n">
        <v>55</v>
      </c>
      <c r="I117" s="22" t="n">
        <v>43.158</v>
      </c>
      <c r="J117" s="22" t="n">
        <v>58.715</v>
      </c>
      <c r="K117" s="22" t="n">
        <v>99.735</v>
      </c>
    </row>
    <row r="118">
      <c r="A118" s="20" t="inlineStr">
        <is>
          <t>자산복구부채</t>
        </is>
      </c>
      <c r="C118" s="22" t="n">
        <v>39.707</v>
      </c>
      <c r="D118" s="22" t="n">
        <v>48.958</v>
      </c>
      <c r="E118" s="22" t="n">
        <v>70.94199999999999</v>
      </c>
      <c r="F118" s="22" t="n">
        <v>91.343</v>
      </c>
      <c r="G118" s="22" t="n">
        <v>91.77500000000001</v>
      </c>
      <c r="H118" s="22" t="n">
        <v>26.522</v>
      </c>
      <c r="I118" s="22" t="n">
        <v>33.683</v>
      </c>
      <c r="J118" s="22" t="n">
        <v>33.823</v>
      </c>
      <c r="K118" s="22" t="n">
        <v>48.958</v>
      </c>
    </row>
    <row r="119">
      <c r="A119" s="20" t="inlineStr">
        <is>
          <t>기타</t>
        </is>
      </c>
      <c r="C119" s="22" t="n">
        <v>87.55200000000001</v>
      </c>
      <c r="D119" s="22" t="n">
        <v>136.803</v>
      </c>
      <c r="E119" s="22" t="n">
        <v>43.387</v>
      </c>
      <c r="F119" s="22" t="n">
        <v>79.187</v>
      </c>
      <c r="G119" s="22" t="n">
        <v>57.772</v>
      </c>
      <c r="H119" s="22" t="n">
        <v>45.758</v>
      </c>
      <c r="I119" s="22" t="n">
        <v>45.734</v>
      </c>
      <c r="J119" s="22" t="n">
        <v>40.264</v>
      </c>
      <c r="K119" s="22" t="n">
        <v>136.803</v>
      </c>
    </row>
    <row r="120">
      <c r="A120" s="9" t="inlineStr">
        <is>
          <t>비유동부채 합계</t>
        </is>
      </c>
      <c r="C120" s="12" t="n">
        <v>518.229</v>
      </c>
      <c r="D120" s="12" t="n">
        <v>492.787</v>
      </c>
      <c r="E120" s="12" t="n">
        <v>653.538</v>
      </c>
      <c r="F120" s="12" t="n">
        <v>603.102</v>
      </c>
      <c r="G120" s="12" t="n">
        <v>478.229</v>
      </c>
      <c r="H120" s="12" t="n">
        <v>564.641</v>
      </c>
      <c r="I120" s="12" t="n">
        <v>604.7</v>
      </c>
      <c r="J120" s="12" t="n">
        <v>452.836</v>
      </c>
      <c r="K120" s="12" t="n">
        <v>492.787</v>
      </c>
    </row>
    <row r="121">
      <c r="A121" s="9" t="inlineStr">
        <is>
          <t>부채 합계</t>
        </is>
      </c>
      <c r="C121" s="12" t="n">
        <v>1576.513</v>
      </c>
      <c r="D121" s="12" t="n">
        <v>1535.742</v>
      </c>
      <c r="E121" s="12" t="n">
        <v>1887.093</v>
      </c>
      <c r="F121" s="12" t="n">
        <v>1743.375</v>
      </c>
      <c r="G121" s="12" t="n">
        <v>1676.285</v>
      </c>
      <c r="H121" s="12" t="n">
        <v>1623.937</v>
      </c>
      <c r="I121" s="12" t="n">
        <v>1585.347</v>
      </c>
      <c r="J121" s="12" t="n">
        <v>1496.493</v>
      </c>
      <c r="K121" s="12" t="n">
        <v>1535.742</v>
      </c>
    </row>
    <row r="122">
      <c r="A122" s="20" t="inlineStr">
        <is>
          <t>자본금</t>
        </is>
      </c>
      <c r="C122" s="22" t="n">
        <v>298.105</v>
      </c>
      <c r="D122" s="22" t="n">
        <v>298.105</v>
      </c>
      <c r="E122" s="22" t="n">
        <v>298.105</v>
      </c>
      <c r="F122" s="22" t="n">
        <v>298.105</v>
      </c>
      <c r="G122" s="22" t="n">
        <v>298.105</v>
      </c>
      <c r="H122" s="22" t="n">
        <v>139.75</v>
      </c>
      <c r="I122" s="22" t="n">
        <v>298.105</v>
      </c>
      <c r="J122" s="22" t="n">
        <v>298.105</v>
      </c>
      <c r="K122" s="22" t="n">
        <v>298.105</v>
      </c>
    </row>
    <row r="123">
      <c r="A123" s="20" t="inlineStr">
        <is>
          <t>자본준비금</t>
        </is>
      </c>
      <c r="D123" s="22" t="n">
        <v>286.105</v>
      </c>
      <c r="H123" s="22" t="n">
        <v>127.75</v>
      </c>
      <c r="I123" s="22" t="n">
        <v>286.105</v>
      </c>
      <c r="J123" s="22" t="n">
        <v>286.105</v>
      </c>
      <c r="K123" s="22" t="n">
        <v>286.105</v>
      </c>
    </row>
    <row r="124">
      <c r="A124" s="20" t="inlineStr">
        <is>
          <t>자본잉여금</t>
        </is>
      </c>
      <c r="C124" s="22" t="n">
        <v>286.105</v>
      </c>
      <c r="D124" s="22" t="n">
        <v>286.105</v>
      </c>
      <c r="E124" s="22" t="n">
        <v>286.105</v>
      </c>
      <c r="F124" s="22" t="n">
        <v>286.105</v>
      </c>
      <c r="G124" s="22" t="n">
        <v>286.105</v>
      </c>
      <c r="H124" s="22" t="n">
        <v>127.75</v>
      </c>
      <c r="I124" s="22" t="n">
        <v>286.105</v>
      </c>
      <c r="J124" s="22" t="n">
        <v>286.105</v>
      </c>
      <c r="K124" s="22" t="n">
        <v>286.105</v>
      </c>
    </row>
    <row r="125">
      <c r="A125" s="20" t="inlineStr">
        <is>
          <t>이월이익잉여금</t>
        </is>
      </c>
      <c r="D125" s="22" t="n">
        <v>1661.604</v>
      </c>
      <c r="H125" s="22" t="n">
        <v>702.498</v>
      </c>
      <c r="I125" s="22" t="n">
        <v>1044.734</v>
      </c>
      <c r="J125" s="22" t="n">
        <v>1439.41</v>
      </c>
      <c r="K125" s="22" t="n">
        <v>1661.604</v>
      </c>
    </row>
    <row r="126">
      <c r="A126" s="20" t="inlineStr">
        <is>
          <t>이익잉여금</t>
        </is>
      </c>
      <c r="C126" s="22" t="n">
        <v>1559.008</v>
      </c>
      <c r="D126" s="22" t="n">
        <v>1661.604</v>
      </c>
      <c r="E126" s="22" t="n">
        <v>1584.359</v>
      </c>
      <c r="F126" s="22" t="n">
        <v>1689.896</v>
      </c>
      <c r="G126" s="22" t="n">
        <v>1791.997</v>
      </c>
      <c r="H126" s="22" t="n">
        <v>702.498</v>
      </c>
      <c r="I126" s="22" t="n">
        <v>1044.734</v>
      </c>
      <c r="J126" s="22" t="n">
        <v>1439.41</v>
      </c>
      <c r="K126" s="22" t="n">
        <v>1661.604</v>
      </c>
    </row>
    <row r="127">
      <c r="A127" s="20" t="inlineStr">
        <is>
          <t>자기주식</t>
        </is>
      </c>
      <c r="C127" s="22" t="n">
        <v>-20.977</v>
      </c>
      <c r="D127" s="22" t="n">
        <v>-6.149</v>
      </c>
      <c r="E127" s="22" t="n">
        <v>-6.149</v>
      </c>
      <c r="F127" s="22" t="n">
        <v>-32.44</v>
      </c>
      <c r="G127" s="22" t="n">
        <v>-83.593</v>
      </c>
      <c r="J127" s="22" t="n">
        <v>0</v>
      </c>
      <c r="K127" s="22" t="n">
        <v>-6.149</v>
      </c>
    </row>
    <row r="128">
      <c r="A128" s="9" t="inlineStr">
        <is>
          <t>주주자본 합계</t>
        </is>
      </c>
      <c r="C128" s="12" t="n">
        <v>2122.241</v>
      </c>
      <c r="D128" s="12" t="n">
        <v>2239.664</v>
      </c>
      <c r="E128" s="12" t="n">
        <v>2162.42</v>
      </c>
      <c r="F128" s="12" t="n">
        <v>2241.666</v>
      </c>
      <c r="G128" s="12" t="n">
        <v>2292.614</v>
      </c>
      <c r="H128" s="12" t="n">
        <v>969.998</v>
      </c>
      <c r="I128" s="12" t="n">
        <v>1628.944</v>
      </c>
      <c r="J128" s="12" t="n">
        <v>2023.62</v>
      </c>
      <c r="K128" s="12" t="n">
        <v>2239.664</v>
      </c>
    </row>
    <row r="129">
      <c r="A129" s="20" t="inlineStr">
        <is>
          <t>기타유가증권 평가차액</t>
        </is>
      </c>
      <c r="C129" s="22" t="n">
        <v>287.209</v>
      </c>
      <c r="D129" s="22" t="n">
        <v>312.266</v>
      </c>
      <c r="E129" s="22" t="n">
        <v>184.895</v>
      </c>
      <c r="F129" s="22" t="n">
        <v>192.978</v>
      </c>
      <c r="G129" s="22" t="n">
        <v>230.508</v>
      </c>
      <c r="H129" s="22" t="n">
        <v>193.023</v>
      </c>
      <c r="I129" s="22" t="n">
        <v>168.228</v>
      </c>
      <c r="J129" s="22" t="n">
        <v>210.363</v>
      </c>
      <c r="K129" s="22" t="n">
        <v>312.266</v>
      </c>
    </row>
    <row r="130">
      <c r="A130" s="20" t="inlineStr">
        <is>
          <t>평가·환산차액 합계</t>
        </is>
      </c>
      <c r="C130" s="22" t="n">
        <v>287.209</v>
      </c>
      <c r="D130" s="22" t="n">
        <v>312.266</v>
      </c>
      <c r="E130" s="22" t="n">
        <v>184.895</v>
      </c>
      <c r="F130" s="22" t="n">
        <v>192.978</v>
      </c>
      <c r="G130" s="22" t="n">
        <v>230.508</v>
      </c>
      <c r="H130" s="22" t="n">
        <v>193.023</v>
      </c>
      <c r="I130" s="22" t="n">
        <v>168.228</v>
      </c>
      <c r="J130" s="22" t="n">
        <v>210.363</v>
      </c>
      <c r="K130" s="22" t="n">
        <v>312.266</v>
      </c>
    </row>
    <row r="131">
      <c r="A131" s="9" t="inlineStr">
        <is>
          <t>순자산 합계</t>
        </is>
      </c>
      <c r="C131" s="12" t="n">
        <v>2409.45</v>
      </c>
      <c r="D131" s="12" t="n">
        <v>2551.931</v>
      </c>
      <c r="E131" s="12" t="n">
        <v>2347.315</v>
      </c>
      <c r="F131" s="12" t="n">
        <v>2434.644</v>
      </c>
      <c r="G131" s="12" t="n">
        <v>2523.122</v>
      </c>
      <c r="H131" s="12" t="n">
        <v>1163.022</v>
      </c>
      <c r="I131" s="12" t="n">
        <v>1797.172</v>
      </c>
      <c r="J131" s="12" t="n">
        <v>2233.984</v>
      </c>
      <c r="K131" s="12" t="n">
        <v>2551.931</v>
      </c>
    </row>
    <row r="132">
      <c r="A132" s="9" t="inlineStr">
        <is>
          <t>부채·순자산 합계</t>
        </is>
      </c>
      <c r="C132" s="12" t="n">
        <v>3985.963</v>
      </c>
      <c r="D132" s="12" t="n">
        <v>4087.674</v>
      </c>
      <c r="E132" s="12" t="n">
        <v>4234.409</v>
      </c>
      <c r="F132" s="12" t="n">
        <v>4178.02</v>
      </c>
      <c r="G132" s="12" t="n">
        <v>4199.407</v>
      </c>
      <c r="H132" s="12" t="n">
        <v>2786.959</v>
      </c>
      <c r="I132" s="12" t="n">
        <v>3382.52</v>
      </c>
      <c r="J132" s="12" t="n">
        <v>3730.478</v>
      </c>
      <c r="K132" s="12" t="n">
        <v>4087.674</v>
      </c>
    </row>
  </sheetData>
  <conditionalFormatting sqref="C43:K43">
    <cfRule type="expression" priority="1" dxfId="0">
      <formula>AND(ISNUMBER(C43),C43&gt;1.0)</formula>
    </cfRule>
  </conditionalFormatting>
  <conditionalFormatting sqref="C44:K44">
    <cfRule type="expression" priority="2" dxfId="0">
      <formula>AND(ISNUMBER(C44),C44&gt;0.5)</formula>
    </cfRule>
  </conditionalFormatting>
  <conditionalFormatting sqref="C45:K45">
    <cfRule type="expression" priority="3" dxfId="0">
      <formula>AND(ISNUMBER(C45),C45&lt;0.5)</formula>
    </cfRule>
  </conditionalFormatting>
  <conditionalFormatting sqref="C46:K46">
    <cfRule type="expression" priority="4" dxfId="0">
      <formula>AND(ISNUMBER(C46),C46&lt;1.5)</formula>
    </cfRule>
  </conditionalFormatting>
  <conditionalFormatting sqref="C47:K47">
    <cfRule type="expression" priority="5" dxfId="0">
      <formula>AND(ISNUMBER(C47),C47&lt;1.0)</formula>
    </cfRule>
  </conditionalFormatting>
  <conditionalFormatting sqref="C48:K48">
    <cfRule type="expression" priority="6" dxfId="0">
      <formula>AND(ISNUMBER(C48),C48&lt;5)</formula>
    </cfRule>
  </conditionalFormatting>
  <conditionalFormatting sqref="C49:K49">
    <cfRule type="expression" priority="7" dxfId="0">
      <formula>AND(ISNUMBER(C49),C49&gt;4)</formula>
    </cfRule>
  </conditionalFormatting>
  <conditionalFormatting sqref="C51:K51">
    <cfRule type="expression" priority="8" dxfId="0">
      <formula>AND(ISNUMBER(C51),C51&lt;0.15)</formula>
    </cfRule>
  </conditionalFormatting>
  <conditionalFormatting sqref="C52:K52">
    <cfRule type="expression" priority="9" dxfId="0">
      <formula>AND(ISNUMBER(C52),C52&lt;0.05)</formula>
    </cfRule>
  </conditionalFormatting>
  <conditionalFormatting sqref="C53:K53">
    <cfRule type="expression" priority="10" dxfId="0">
      <formula>AND(ISNUMBER(C53),C53&lt;0.1)</formula>
    </cfRule>
  </conditionalFormatting>
  <conditionalFormatting sqref="C54:K54">
    <cfRule type="expression" priority="11" dxfId="0">
      <formula>AND(ISNUMBER(C54),C54&lt;0.4)</formula>
    </cfRule>
  </conditionalFormatting>
  <conditionalFormatting sqref="C55:K55">
    <cfRule type="expression" priority="12" dxfId="0">
      <formula>AND(ISNUMBER(C55),C55&lt;0.15)</formula>
    </cfRule>
  </conditionalFormatting>
  <conditionalFormatting sqref="C56:K56">
    <cfRule type="expression" priority="13" dxfId="0">
      <formula>AND(ISNUMBER(C56),C56&lt;0.1)</formula>
    </cfRule>
  </conditionalFormatting>
  <conditionalFormatting sqref="C64:K64">
    <cfRule type="expression" priority="14" dxfId="0">
      <formula>AND(ISNUMBER(C64),C64&lt;1.0)</formula>
    </cfRule>
  </conditionalFormatting>
  <conditionalFormatting sqref="C65:K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44" customWidth="1" min="14" max="14"/>
  </cols>
  <sheetData>
    <row r="1">
      <c r="A1" s="52" t="inlineStr">
        <is>
          <t>5257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this_results · q3_standalone_억엔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</row>
    <row r="5">
      <c r="A5" s="55" t="inlineStr">
        <is>
          <t>항목</t>
        </is>
      </c>
      <c r="B5" s="55" t="inlineStr">
        <is>
          <t>값</t>
        </is>
      </c>
      <c r="N5" s="55" t="inlineStr">
        <is>
          <t>출처</t>
        </is>
      </c>
    </row>
    <row r="6">
      <c r="A6" s="56" t="inlineStr">
        <is>
          <t>매출</t>
        </is>
      </c>
      <c r="B6" s="57" t="n">
        <v>18.59</v>
      </c>
      <c r="N6" s="58" t="inlineStr">
        <is>
          <t>2단계 보고서 자료(회사 설명회 자료·공시)</t>
        </is>
      </c>
    </row>
    <row r="7">
      <c r="A7" s="56" t="inlineStr">
        <is>
          <t>영업이익</t>
        </is>
      </c>
      <c r="B7" s="57" t="n">
        <v>1.6</v>
      </c>
    </row>
    <row r="8">
      <c r="A8" s="56" t="inlineStr">
        <is>
          <t>경상이익</t>
        </is>
      </c>
      <c r="B8" s="57" t="n">
        <v>1.67</v>
      </c>
    </row>
    <row r="9">
      <c r="A9" s="56" t="inlineStr">
        <is>
          <t>순이익</t>
        </is>
      </c>
      <c r="B9" s="57" t="n">
        <v>1.12</v>
      </c>
    </row>
    <row r="10">
      <c r="A10" s="56" t="inlineStr">
        <is>
          <t>EPS_엔</t>
        </is>
      </c>
      <c r="B10" s="57" t="n">
        <v>80.95999999999999</v>
      </c>
    </row>
    <row r="11">
      <c r="A11" s="56" t="inlineStr">
        <is>
          <t>OPM_%</t>
        </is>
      </c>
      <c r="B11" s="57" t="n">
        <v>8.6</v>
      </c>
    </row>
    <row r="12">
      <c r="A12" s="56" t="inlineStr">
        <is>
          <t>YoY_매출_%</t>
        </is>
      </c>
      <c r="B12" s="57" t="n">
        <v>10</v>
      </c>
    </row>
    <row r="14">
      <c r="A14" s="54" t="inlineStr">
        <is>
          <t>this_results · ytd_9m_백만엔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</row>
    <row r="15">
      <c r="A15" s="55" t="inlineStr">
        <is>
          <t>항목</t>
        </is>
      </c>
      <c r="B15" s="55" t="inlineStr">
        <is>
          <t>값</t>
        </is>
      </c>
      <c r="N15" s="55" t="inlineStr">
        <is>
          <t>출처</t>
        </is>
      </c>
    </row>
    <row r="16">
      <c r="A16" s="56" t="inlineStr">
        <is>
          <t>매출</t>
        </is>
      </c>
      <c r="B16" s="57" t="n">
        <v>5374.6</v>
      </c>
      <c r="N16" s="58" t="inlineStr">
        <is>
          <t>2단계 보고서 자료(회사 설명회 자료·공시)</t>
        </is>
      </c>
    </row>
    <row r="17">
      <c r="A17" s="56" t="inlineStr">
        <is>
          <t>YoY</t>
        </is>
      </c>
      <c r="B17" s="57" t="n">
        <v>7.8</v>
      </c>
    </row>
    <row r="18">
      <c r="A18" s="56" t="inlineStr">
        <is>
          <t>SI매출</t>
        </is>
      </c>
      <c r="B18" s="57" t="n">
        <v>5285.2</v>
      </c>
    </row>
    <row r="19">
      <c r="A19" s="56" t="inlineStr">
        <is>
          <t>SI YoY</t>
        </is>
      </c>
      <c r="B19" s="57" t="n">
        <v>7.8</v>
      </c>
    </row>
    <row r="20">
      <c r="A20" s="56" t="inlineStr">
        <is>
          <t>클라우드매출</t>
        </is>
      </c>
      <c r="B20" s="57" t="n">
        <v>89.5</v>
      </c>
    </row>
    <row r="21">
      <c r="A21" s="56" t="inlineStr">
        <is>
          <t>클라우드_YoY</t>
        </is>
      </c>
      <c r="B21" s="57" t="n">
        <v>6.7</v>
      </c>
    </row>
    <row r="22">
      <c r="A22" s="56" t="inlineStr">
        <is>
          <t>매출원가</t>
        </is>
      </c>
      <c r="B22" s="57" t="n">
        <v>4108.7</v>
      </c>
    </row>
    <row r="23">
      <c r="A23" s="56" t="inlineStr">
        <is>
          <t>매출총이익</t>
        </is>
      </c>
      <c r="B23" s="57" t="n">
        <v>1266</v>
      </c>
    </row>
    <row r="24">
      <c r="A24" s="56" t="inlineStr">
        <is>
          <t>GP YoY</t>
        </is>
      </c>
      <c r="B24" s="57" t="n">
        <v>42.2</v>
      </c>
    </row>
    <row r="25">
      <c r="A25" s="56" t="inlineStr">
        <is>
          <t>판관비</t>
        </is>
      </c>
      <c r="B25" s="57" t="n">
        <v>831.9</v>
      </c>
    </row>
    <row r="26">
      <c r="A26" s="56" t="inlineStr">
        <is>
          <t>판관비_YoY</t>
        </is>
      </c>
      <c r="B26" s="57" t="n">
        <v>14</v>
      </c>
    </row>
    <row r="27">
      <c r="A27" s="56" t="inlineStr">
        <is>
          <t>영업이익</t>
        </is>
      </c>
      <c r="B27" s="57" t="n">
        <v>434.1</v>
      </c>
    </row>
    <row r="28">
      <c r="A28" s="56" t="inlineStr">
        <is>
          <t>영업이익 YoY</t>
        </is>
      </c>
      <c r="B28" s="57" t="n">
        <v>170.4</v>
      </c>
    </row>
    <row r="29">
      <c r="A29" s="56" t="inlineStr">
        <is>
          <t>영업이익률</t>
        </is>
      </c>
      <c r="B29" s="57" t="n">
        <v>8.1</v>
      </c>
    </row>
    <row r="30">
      <c r="A30" s="56" t="inlineStr">
        <is>
          <t>전년OPM</t>
        </is>
      </c>
      <c r="B30" s="57" t="n">
        <v>3.2</v>
      </c>
    </row>
    <row r="31">
      <c r="A31" s="56" t="inlineStr">
        <is>
          <t>경상이익</t>
        </is>
      </c>
      <c r="B31" s="57" t="n">
        <v>448.7</v>
      </c>
    </row>
    <row r="32">
      <c r="A32" s="56" t="inlineStr">
        <is>
          <t>순이익</t>
        </is>
      </c>
      <c r="B32" s="57" t="n">
        <v>287.5</v>
      </c>
    </row>
    <row r="33">
      <c r="A33" s="56" t="inlineStr">
        <is>
          <t>EPS</t>
        </is>
      </c>
      <c r="B33" s="57" t="n">
        <v>206.6</v>
      </c>
    </row>
    <row r="34">
      <c r="A34" s="56" t="inlineStr">
        <is>
          <t>세전이익</t>
        </is>
      </c>
      <c r="B34" s="57" t="n">
        <v>421.9</v>
      </c>
    </row>
    <row r="35">
      <c r="A35" s="56" t="inlineStr">
        <is>
          <t>법인세등</t>
        </is>
      </c>
      <c r="B35" s="57" t="n">
        <v>134.4</v>
      </c>
    </row>
    <row r="36">
      <c r="A36" s="56" t="inlineStr">
        <is>
          <t>감가상각비</t>
        </is>
      </c>
      <c r="B36" s="57" t="n">
        <v>61.5</v>
      </c>
    </row>
    <row r="38">
      <c r="A38" s="54" t="inlineStr">
        <is>
          <t>this_results · ytd_prev_9m_백만엔</t>
        </is>
      </c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</row>
    <row r="39">
      <c r="A39" s="55" t="inlineStr">
        <is>
          <t>항목</t>
        </is>
      </c>
      <c r="B39" s="55" t="inlineStr">
        <is>
          <t>값</t>
        </is>
      </c>
      <c r="N39" s="55" t="inlineStr">
        <is>
          <t>출처</t>
        </is>
      </c>
    </row>
    <row r="40">
      <c r="A40" s="56" t="inlineStr">
        <is>
          <t>매출</t>
        </is>
      </c>
      <c r="B40" s="57" t="n">
        <v>4984.6</v>
      </c>
      <c r="N40" s="58" t="inlineStr">
        <is>
          <t>2단계 보고서 자료(회사 설명회 자료·공시)</t>
        </is>
      </c>
    </row>
    <row r="41">
      <c r="A41" s="56" t="inlineStr">
        <is>
          <t>매출원가</t>
        </is>
      </c>
      <c r="B41" s="57" t="n">
        <v>4094.4</v>
      </c>
    </row>
    <row r="42">
      <c r="A42" s="56" t="inlineStr">
        <is>
          <t>매출총이익</t>
        </is>
      </c>
      <c r="B42" s="57" t="n">
        <v>890.2</v>
      </c>
    </row>
    <row r="43">
      <c r="A43" s="56" t="inlineStr">
        <is>
          <t>판관비</t>
        </is>
      </c>
      <c r="B43" s="57" t="n">
        <v>729.7</v>
      </c>
    </row>
    <row r="44">
      <c r="A44" s="56" t="inlineStr">
        <is>
          <t>영업이익</t>
        </is>
      </c>
      <c r="B44" s="57" t="n">
        <v>160.5</v>
      </c>
    </row>
    <row r="45">
      <c r="A45" s="56" t="inlineStr">
        <is>
          <t>경상이익</t>
        </is>
      </c>
      <c r="B45" s="57" t="n">
        <v>179.9</v>
      </c>
    </row>
    <row r="46">
      <c r="A46" s="56" t="inlineStr">
        <is>
          <t>특별이익</t>
        </is>
      </c>
      <c r="B46" s="57" t="n">
        <v>0.4</v>
      </c>
    </row>
    <row r="47">
      <c r="A47" s="56" t="inlineStr">
        <is>
          <t>세전</t>
        </is>
      </c>
      <c r="B47" s="57" t="n">
        <v>180.3</v>
      </c>
    </row>
    <row r="48">
      <c r="A48" s="56" t="inlineStr">
        <is>
          <t>법인세등</t>
        </is>
      </c>
      <c r="B48" s="57" t="n">
        <v>60.2</v>
      </c>
    </row>
    <row r="49">
      <c r="A49" s="56" t="inlineStr">
        <is>
          <t>순이익</t>
        </is>
      </c>
      <c r="B49" s="57" t="n">
        <v>120.1</v>
      </c>
    </row>
    <row r="51">
      <c r="A51" s="54" t="inlineStr">
        <is>
          <t>this_results · guidance_FY26_백만엔</t>
        </is>
      </c>
      <c r="B51" s="54" t="n"/>
      <c r="C51" s="54" t="n"/>
      <c r="D51" s="54" t="n"/>
      <c r="E51" s="54" t="n"/>
      <c r="F51" s="54" t="n"/>
      <c r="G51" s="54" t="n"/>
      <c r="H51" s="54" t="n"/>
      <c r="I51" s="54" t="n"/>
      <c r="J51" s="54" t="n"/>
      <c r="K51" s="54" t="n"/>
      <c r="L51" s="54" t="n"/>
      <c r="M51" s="54" t="n"/>
      <c r="N51" s="54" t="n"/>
    </row>
    <row r="52">
      <c r="A52" s="55" t="inlineStr">
        <is>
          <t>항목</t>
        </is>
      </c>
      <c r="B52" s="55" t="inlineStr">
        <is>
          <t>값</t>
        </is>
      </c>
      <c r="N52" s="55" t="inlineStr">
        <is>
          <t>출처</t>
        </is>
      </c>
    </row>
    <row r="53">
      <c r="A53" s="56" t="inlineStr">
        <is>
          <t>매출</t>
        </is>
      </c>
      <c r="B53" s="59" t="n">
        <v>7535</v>
      </c>
      <c r="N53" s="58" t="inlineStr">
        <is>
          <t>2단계 보고서 자료(회사 설명회 자료·공시)</t>
        </is>
      </c>
    </row>
    <row r="54">
      <c r="A54" s="56" t="inlineStr">
        <is>
          <t>SI</t>
        </is>
      </c>
      <c r="B54" s="59" t="n">
        <v>7405</v>
      </c>
    </row>
    <row r="55">
      <c r="A55" s="56" t="inlineStr">
        <is>
          <t>클라우드</t>
        </is>
      </c>
      <c r="B55" s="59" t="n">
        <v>130</v>
      </c>
    </row>
    <row r="56">
      <c r="A56" s="56" t="inlineStr">
        <is>
          <t>매출총이익</t>
        </is>
      </c>
      <c r="B56" s="59" t="n">
        <v>1715</v>
      </c>
    </row>
    <row r="57">
      <c r="A57" s="56" t="inlineStr">
        <is>
          <t>영업이익</t>
        </is>
      </c>
      <c r="B57" s="59" t="n">
        <v>617</v>
      </c>
    </row>
    <row r="58">
      <c r="A58" s="56" t="inlineStr">
        <is>
          <t>영업이익률</t>
        </is>
      </c>
      <c r="B58" s="57" t="n">
        <v>8.199999999999999</v>
      </c>
    </row>
    <row r="59">
      <c r="A59" s="56" t="inlineStr">
        <is>
          <t>경상</t>
        </is>
      </c>
      <c r="B59" s="59" t="n">
        <v>660</v>
      </c>
    </row>
    <row r="60">
      <c r="A60" s="56" t="inlineStr">
        <is>
          <t>순이익</t>
        </is>
      </c>
      <c r="B60" s="59" t="n">
        <v>442</v>
      </c>
    </row>
    <row r="61">
      <c r="A61" s="56" t="inlineStr">
        <is>
          <t>EPS</t>
        </is>
      </c>
      <c r="B61" s="57" t="n">
        <v>315.44</v>
      </c>
    </row>
    <row r="62">
      <c r="A62" s="56" t="inlineStr">
        <is>
          <t>DPS</t>
        </is>
      </c>
      <c r="B62" s="59" t="n">
        <v>105</v>
      </c>
    </row>
    <row r="64">
      <c r="A64" s="54" t="inlineStr">
        <is>
          <t>this_results · BS_3Q말_백만엔</t>
        </is>
      </c>
      <c r="B64" s="54" t="n"/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  <c r="M64" s="54" t="n"/>
      <c r="N64" s="54" t="n"/>
    </row>
    <row r="65">
      <c r="A65" s="55" t="inlineStr">
        <is>
          <t>항목</t>
        </is>
      </c>
      <c r="B65" s="55" t="inlineStr">
        <is>
          <t>값</t>
        </is>
      </c>
      <c r="N65" s="55" t="inlineStr">
        <is>
          <t>출처</t>
        </is>
      </c>
    </row>
    <row r="66">
      <c r="A66" s="56" t="inlineStr">
        <is>
          <t>현금</t>
        </is>
      </c>
      <c r="B66" s="57" t="n">
        <v>737.7</v>
      </c>
      <c r="N66" s="58" t="inlineStr">
        <is>
          <t>2단계 보고서 자료(회사 설명회 자료·공시)</t>
        </is>
      </c>
    </row>
    <row r="67">
      <c r="A67" s="56" t="inlineStr">
        <is>
          <t>매출채권·계약자산</t>
        </is>
      </c>
      <c r="B67" s="57" t="n">
        <v>1188.5</v>
      </c>
    </row>
    <row r="68">
      <c r="A68" s="56" t="inlineStr">
        <is>
          <t>유형자산</t>
        </is>
      </c>
      <c r="B68" s="57" t="n">
        <v>1441.5</v>
      </c>
    </row>
    <row r="69">
      <c r="A69" s="56" t="inlineStr">
        <is>
          <t>투자유가증권</t>
        </is>
      </c>
      <c r="B69" s="57" t="n">
        <v>511.8</v>
      </c>
    </row>
    <row r="70">
      <c r="A70" s="56" t="inlineStr">
        <is>
          <t>총자산</t>
        </is>
      </c>
      <c r="B70" s="57" t="n">
        <v>4199.4</v>
      </c>
    </row>
    <row r="71">
      <c r="A71" s="56" t="inlineStr">
        <is>
          <t>차입금(1년내+장기)</t>
        </is>
      </c>
      <c r="B71" s="57" t="n">
        <v>793.8</v>
      </c>
    </row>
    <row r="72">
      <c r="A72" s="56" t="inlineStr">
        <is>
          <t>순자산</t>
        </is>
      </c>
      <c r="B72" s="57" t="n">
        <v>2523.1</v>
      </c>
    </row>
    <row r="73">
      <c r="A73" s="56" t="inlineStr">
        <is>
          <t>자기자본비율</t>
        </is>
      </c>
      <c r="B73" s="57" t="n">
        <v>60.1</v>
      </c>
    </row>
    <row r="75">
      <c r="A75" s="54" t="inlineStr">
        <is>
          <t>this results · shares</t>
        </is>
      </c>
      <c r="B75" s="54" t="n"/>
      <c r="C75" s="54" t="n"/>
      <c r="D75" s="54" t="n"/>
      <c r="E75" s="54" t="n"/>
      <c r="F75" s="54" t="n"/>
      <c r="G75" s="54" t="n"/>
      <c r="H75" s="54" t="n"/>
      <c r="I75" s="54" t="n"/>
      <c r="J75" s="54" t="n"/>
      <c r="K75" s="54" t="n"/>
      <c r="L75" s="54" t="n"/>
      <c r="M75" s="54" t="n"/>
      <c r="N75" s="54" t="n"/>
    </row>
    <row r="76">
      <c r="A76" s="55" t="inlineStr">
        <is>
          <t>항목</t>
        </is>
      </c>
      <c r="B76" s="55" t="inlineStr">
        <is>
          <t>값</t>
        </is>
      </c>
      <c r="N76" s="55" t="inlineStr">
        <is>
          <t>출처</t>
        </is>
      </c>
    </row>
    <row r="77">
      <c r="A77" s="56" t="inlineStr">
        <is>
          <t>발행</t>
        </is>
      </c>
      <c r="B77" s="59" t="n">
        <v>1402500</v>
      </c>
      <c r="N77" s="58" t="inlineStr">
        <is>
          <t>2단계 보고서 자료(회사 설명회 자료·공시)</t>
        </is>
      </c>
    </row>
    <row r="78">
      <c r="A78" s="56" t="inlineStr">
        <is>
          <t>자사주</t>
        </is>
      </c>
      <c r="B78" s="59" t="n">
        <v>30811</v>
      </c>
    </row>
    <row r="79">
      <c r="A79" s="56" t="inlineStr">
        <is>
          <t>유통</t>
        </is>
      </c>
      <c r="B79" s="59" t="n">
        <v>1371689</v>
      </c>
    </row>
    <row r="80">
      <c r="A80" s="56" t="inlineStr">
        <is>
          <t>평균9M</t>
        </is>
      </c>
      <c r="B80" s="59" t="n">
        <v>1391787</v>
      </c>
    </row>
    <row r="82">
      <c r="A82" s="54" t="inlineStr">
        <is>
          <t>quarterly_억엔</t>
        </is>
      </c>
      <c r="B82" s="54" t="n"/>
      <c r="C82" s="54" t="n"/>
      <c r="D82" s="54" t="n"/>
      <c r="E82" s="54" t="n"/>
      <c r="F82" s="54" t="n"/>
      <c r="G82" s="54" t="n"/>
      <c r="H82" s="54" t="n"/>
      <c r="I82" s="54" t="n"/>
      <c r="J82" s="54" t="n"/>
      <c r="K82" s="54" t="n"/>
      <c r="L82" s="54" t="n"/>
      <c r="M82" s="54" t="n"/>
      <c r="N82" s="54" t="n"/>
    </row>
    <row r="83">
      <c r="A83" s="55" t="inlineStr">
        <is>
          <t>항목</t>
        </is>
      </c>
      <c r="B83" s="55" t="inlineStr">
        <is>
          <t>2023.4Q</t>
        </is>
      </c>
      <c r="C83" s="55" t="inlineStr">
        <is>
          <t>2024.1Q</t>
        </is>
      </c>
      <c r="D83" s="55" t="inlineStr">
        <is>
          <t>2024.2Q</t>
        </is>
      </c>
      <c r="E83" s="55" t="inlineStr">
        <is>
          <t>2024.3Q</t>
        </is>
      </c>
      <c r="F83" s="55" t="inlineStr">
        <is>
          <t>2024.4Q</t>
        </is>
      </c>
      <c r="G83" s="55" t="inlineStr">
        <is>
          <t>2025.1Q</t>
        </is>
      </c>
      <c r="H83" s="55" t="inlineStr">
        <is>
          <t>2025.2Q</t>
        </is>
      </c>
      <c r="I83" s="55" t="inlineStr">
        <is>
          <t>2025.3Q</t>
        </is>
      </c>
      <c r="J83" s="55" t="inlineStr">
        <is>
          <t>2025.4Q</t>
        </is>
      </c>
      <c r="K83" s="55" t="inlineStr">
        <is>
          <t>2026.1Q</t>
        </is>
      </c>
      <c r="L83" s="55" t="inlineStr">
        <is>
          <t>2026.2Q</t>
        </is>
      </c>
      <c r="M83" s="55" t="inlineStr">
        <is>
          <t>2026.3Q</t>
        </is>
      </c>
      <c r="N83" s="55" t="inlineStr">
        <is>
          <t>출처</t>
        </is>
      </c>
    </row>
    <row r="84">
      <c r="A84" s="56" t="inlineStr">
        <is>
          <t>매출</t>
        </is>
      </c>
      <c r="B84" s="57" t="n">
        <v>14.3</v>
      </c>
      <c r="C84" s="57" t="n">
        <v>15.8</v>
      </c>
      <c r="D84" s="57" t="n">
        <v>15.1</v>
      </c>
      <c r="E84" s="57" t="n">
        <v>16.5</v>
      </c>
      <c r="F84" s="57" t="n">
        <v>17.2</v>
      </c>
      <c r="G84" s="57" t="n">
        <v>16.8</v>
      </c>
      <c r="H84" s="57" t="n">
        <v>16.2</v>
      </c>
      <c r="I84" s="57" t="n">
        <v>16.9</v>
      </c>
      <c r="J84" s="57" t="n">
        <v>17.3</v>
      </c>
      <c r="K84" s="57" t="n">
        <v>17.2</v>
      </c>
      <c r="L84" s="57" t="n">
        <v>18</v>
      </c>
      <c r="M84" s="57" t="n">
        <v>18.6</v>
      </c>
      <c r="N84" s="58" t="inlineStr">
        <is>
          <t>2단계 보고서 자료(회사 설명회 자료·공시)</t>
        </is>
      </c>
    </row>
    <row r="85">
      <c r="A85" s="56" t="inlineStr">
        <is>
          <t>gp</t>
        </is>
      </c>
      <c r="B85" s="57" t="n">
        <v>3.2</v>
      </c>
      <c r="C85" s="57" t="n">
        <v>3.7</v>
      </c>
      <c r="D85" s="57" t="n">
        <v>3.1</v>
      </c>
      <c r="E85" s="57" t="n">
        <v>3.3</v>
      </c>
      <c r="F85" s="57" t="n">
        <v>4.1</v>
      </c>
      <c r="G85" s="57" t="n">
        <v>3.2</v>
      </c>
      <c r="H85" s="57" t="n">
        <v>2.7</v>
      </c>
      <c r="I85" s="57" t="n">
        <v>2.9</v>
      </c>
      <c r="J85" s="57" t="n">
        <v>4.1</v>
      </c>
      <c r="K85" s="57" t="n">
        <v>3.8</v>
      </c>
      <c r="L85" s="57" t="n">
        <v>4.6</v>
      </c>
      <c r="M85" s="57" t="n">
        <v>4.3</v>
      </c>
    </row>
    <row r="86">
      <c r="A86" s="56" t="inlineStr">
        <is>
          <t>sga</t>
        </is>
      </c>
      <c r="B86" s="57" t="n">
        <v>2.2</v>
      </c>
      <c r="C86" s="57" t="n">
        <v>2.1</v>
      </c>
      <c r="D86" s="57" t="n">
        <v>2.6</v>
      </c>
      <c r="E86" s="57" t="n">
        <v>2.1</v>
      </c>
      <c r="F86" s="57" t="n">
        <v>2.1</v>
      </c>
      <c r="G86" s="57" t="n">
        <v>2.3</v>
      </c>
      <c r="H86" s="57" t="n">
        <v>2.8</v>
      </c>
      <c r="I86" s="57" t="n">
        <v>2.2</v>
      </c>
      <c r="J86" s="57" t="n">
        <v>2.4</v>
      </c>
      <c r="K86" s="57" t="n">
        <v>2.5</v>
      </c>
      <c r="L86" s="57" t="n">
        <v>3.1</v>
      </c>
      <c r="M86" s="57" t="n">
        <v>2.7</v>
      </c>
    </row>
    <row r="87">
      <c r="A87" s="56" t="inlineStr">
        <is>
          <t>영업이익</t>
        </is>
      </c>
      <c r="B87" s="57" t="n">
        <v>1</v>
      </c>
      <c r="C87" s="57" t="n">
        <v>1.6</v>
      </c>
      <c r="D87" s="57" t="n">
        <v>0.5</v>
      </c>
      <c r="E87" s="57" t="n">
        <v>1.2</v>
      </c>
      <c r="F87" s="57" t="n">
        <v>2</v>
      </c>
      <c r="G87" s="57" t="n">
        <v>1</v>
      </c>
      <c r="H87" s="57" t="n">
        <v>-0.1</v>
      </c>
      <c r="I87" s="57" t="n">
        <v>0.7</v>
      </c>
      <c r="J87" s="57" t="n">
        <v>1.6</v>
      </c>
      <c r="K87" s="57" t="n">
        <v>1.2</v>
      </c>
      <c r="L87" s="57" t="n">
        <v>1.5</v>
      </c>
      <c r="M87" s="57" t="n">
        <v>1.6</v>
      </c>
    </row>
    <row r="88">
      <c r="A88" s="56" t="inlineStr">
        <is>
          <t>pbt</t>
        </is>
      </c>
      <c r="B88" s="57" t="n">
        <v>1</v>
      </c>
      <c r="C88" s="57" t="n">
        <v>1.6</v>
      </c>
      <c r="D88" s="57" t="n">
        <v>0.5</v>
      </c>
      <c r="E88" s="57" t="n">
        <v>1.2</v>
      </c>
      <c r="F88" s="57" t="n">
        <v>2</v>
      </c>
      <c r="G88" s="57" t="n">
        <v>1.1</v>
      </c>
      <c r="H88" s="57" t="n">
        <v>-0</v>
      </c>
      <c r="I88" s="57" t="n">
        <v>0.8</v>
      </c>
      <c r="J88" s="57" t="n">
        <v>1.7</v>
      </c>
      <c r="K88" s="57" t="n">
        <v>1</v>
      </c>
      <c r="L88" s="57" t="n">
        <v>1.6</v>
      </c>
      <c r="M88" s="57" t="n">
        <v>1.6</v>
      </c>
    </row>
    <row r="89">
      <c r="A89" s="56" t="inlineStr">
        <is>
          <t>순이익 owner</t>
        </is>
      </c>
      <c r="B89" s="57" t="n">
        <v>0.8</v>
      </c>
      <c r="C89" s="57" t="n">
        <v>1.1</v>
      </c>
      <c r="D89" s="57" t="n">
        <v>0.4</v>
      </c>
      <c r="E89" s="57" t="n">
        <v>0.9</v>
      </c>
      <c r="F89" s="57" t="n">
        <v>1.6</v>
      </c>
      <c r="G89" s="57" t="n">
        <v>0.7</v>
      </c>
      <c r="H89" s="57" t="n">
        <v>-0</v>
      </c>
      <c r="I89" s="57" t="n">
        <v>0.5</v>
      </c>
      <c r="J89" s="57" t="n">
        <v>1.1</v>
      </c>
      <c r="K89" s="57" t="n">
        <v>0.7</v>
      </c>
      <c r="L89" s="57" t="n">
        <v>1.1</v>
      </c>
      <c r="M89" s="57" t="n">
        <v>1.1</v>
      </c>
    </row>
    <row r="91">
      <c r="A91" s="54" t="inlineStr">
        <is>
          <t>annual_억엔</t>
        </is>
      </c>
      <c r="B91" s="54" t="n"/>
      <c r="C91" s="54" t="n"/>
      <c r="D91" s="54" t="n"/>
      <c r="E91" s="54" t="n"/>
      <c r="F91" s="54" t="n"/>
      <c r="G91" s="54" t="n"/>
      <c r="H91" s="54" t="n"/>
      <c r="I91" s="54" t="n"/>
      <c r="J91" s="54" t="n"/>
      <c r="K91" s="54" t="n"/>
      <c r="L91" s="54" t="n"/>
      <c r="M91" s="54" t="n"/>
      <c r="N91" s="54" t="n"/>
    </row>
    <row r="92">
      <c r="A92" s="55" t="inlineStr">
        <is>
          <t>항목</t>
        </is>
      </c>
      <c r="B92" s="55" t="inlineStr">
        <is>
          <t>2016</t>
        </is>
      </c>
      <c r="C92" s="55" t="inlineStr">
        <is>
          <t>2017</t>
        </is>
      </c>
      <c r="D92" s="55" t="inlineStr">
        <is>
          <t>2018</t>
        </is>
      </c>
      <c r="E92" s="55" t="inlineStr">
        <is>
          <t>2019</t>
        </is>
      </c>
      <c r="F92" s="55" t="inlineStr">
        <is>
          <t>2020</t>
        </is>
      </c>
      <c r="G92" s="55" t="inlineStr">
        <is>
          <t>2021</t>
        </is>
      </c>
      <c r="H92" s="55" t="inlineStr">
        <is>
          <t>2022</t>
        </is>
      </c>
      <c r="I92" s="55" t="inlineStr">
        <is>
          <t>2023</t>
        </is>
      </c>
      <c r="J92" s="55" t="inlineStr">
        <is>
          <t>2024</t>
        </is>
      </c>
      <c r="K92" s="55" t="inlineStr">
        <is>
          <t>2025</t>
        </is>
      </c>
      <c r="N92" s="55" t="inlineStr">
        <is>
          <t>출처</t>
        </is>
      </c>
    </row>
    <row r="93">
      <c r="A93" s="56" t="inlineStr">
        <is>
          <t>labels</t>
        </is>
      </c>
      <c r="B93" s="59" t="n">
        <v>2016</v>
      </c>
      <c r="C93" s="59" t="n">
        <v>2017</v>
      </c>
      <c r="D93" s="59" t="n">
        <v>2018</v>
      </c>
      <c r="E93" s="59" t="n">
        <v>2019</v>
      </c>
      <c r="F93" s="59" t="n">
        <v>2020</v>
      </c>
      <c r="G93" s="59" t="n">
        <v>2021</v>
      </c>
      <c r="H93" s="59" t="n">
        <v>2022</v>
      </c>
      <c r="I93" s="59" t="n">
        <v>2023</v>
      </c>
      <c r="J93" s="59" t="n">
        <v>2024</v>
      </c>
      <c r="K93" s="59" t="n">
        <v>2025</v>
      </c>
      <c r="N93" s="58" t="inlineStr">
        <is>
          <t>2단계 보고서 자료(회사 설명회 자료·공시)</t>
        </is>
      </c>
    </row>
    <row r="94">
      <c r="A94" s="56" t="inlineStr">
        <is>
          <t>매출</t>
        </is>
      </c>
      <c r="B94" s="60" t="n"/>
      <c r="C94" s="60" t="n"/>
      <c r="D94" s="60" t="n"/>
      <c r="E94" s="60" t="n"/>
      <c r="F94" s="60" t="n"/>
      <c r="G94" s="60" t="n"/>
      <c r="H94" s="57" t="n">
        <v>46.3</v>
      </c>
      <c r="I94" s="57" t="n">
        <v>54.2</v>
      </c>
      <c r="J94" s="57" t="n">
        <v>64.59999999999999</v>
      </c>
      <c r="K94" s="57" t="n">
        <v>67.2</v>
      </c>
    </row>
    <row r="95">
      <c r="A95" s="56" t="inlineStr">
        <is>
          <t>gp</t>
        </is>
      </c>
      <c r="B95" s="60" t="n"/>
      <c r="C95" s="60" t="n"/>
      <c r="D95" s="60" t="n"/>
      <c r="E95" s="60" t="n"/>
      <c r="F95" s="60" t="n"/>
      <c r="G95" s="60" t="n"/>
      <c r="H95" s="57" t="n">
        <v>10.3</v>
      </c>
      <c r="I95" s="57" t="n">
        <v>13.3</v>
      </c>
      <c r="J95" s="57" t="n">
        <v>14.2</v>
      </c>
      <c r="K95" s="57" t="n">
        <v>13</v>
      </c>
    </row>
    <row r="96">
      <c r="A96" s="56" t="inlineStr">
        <is>
          <t>sga</t>
        </is>
      </c>
      <c r="B96" s="60" t="n"/>
      <c r="C96" s="60" t="n"/>
      <c r="D96" s="60" t="n"/>
      <c r="E96" s="60" t="n"/>
      <c r="F96" s="60" t="n"/>
      <c r="G96" s="60" t="n"/>
      <c r="H96" s="57" t="n">
        <v>7</v>
      </c>
      <c r="I96" s="57" t="n">
        <v>8.4</v>
      </c>
      <c r="J96" s="57" t="n">
        <v>9</v>
      </c>
      <c r="K96" s="57" t="n">
        <v>9.699999999999999</v>
      </c>
    </row>
    <row r="97">
      <c r="A97" s="56" t="inlineStr">
        <is>
          <t>영업이익</t>
        </is>
      </c>
      <c r="B97" s="60" t="n"/>
      <c r="C97" s="60" t="n"/>
      <c r="D97" s="60" t="n"/>
      <c r="E97" s="60" t="n"/>
      <c r="F97" s="60" t="n"/>
      <c r="G97" s="60" t="n"/>
      <c r="H97" s="57" t="n">
        <v>3.3</v>
      </c>
      <c r="I97" s="57" t="n">
        <v>4.9</v>
      </c>
      <c r="J97" s="57" t="n">
        <v>5.3</v>
      </c>
      <c r="K97" s="57" t="n">
        <v>3.2</v>
      </c>
    </row>
    <row r="98">
      <c r="A98" s="56" t="inlineStr">
        <is>
          <t>pbt</t>
        </is>
      </c>
      <c r="B98" s="60" t="n"/>
      <c r="C98" s="60" t="n"/>
      <c r="D98" s="60" t="n"/>
      <c r="E98" s="60" t="n"/>
      <c r="F98" s="60" t="n"/>
      <c r="G98" s="60" t="n"/>
      <c r="H98" s="57" t="n">
        <v>3.3</v>
      </c>
      <c r="I98" s="57" t="n">
        <v>4.9</v>
      </c>
      <c r="J98" s="57" t="n">
        <v>5.4</v>
      </c>
      <c r="K98" s="57" t="n">
        <v>3.5</v>
      </c>
    </row>
    <row r="99">
      <c r="A99" s="56" t="inlineStr">
        <is>
          <t>순이익 owner</t>
        </is>
      </c>
      <c r="B99" s="60" t="n"/>
      <c r="C99" s="60" t="n"/>
      <c r="D99" s="60" t="n"/>
      <c r="E99" s="60" t="n"/>
      <c r="F99" s="60" t="n"/>
      <c r="G99" s="60" t="n"/>
      <c r="H99" s="57" t="n">
        <v>2.1</v>
      </c>
      <c r="I99" s="57" t="n">
        <v>3.4</v>
      </c>
      <c r="J99" s="57" t="n">
        <v>3.9</v>
      </c>
      <c r="K99" s="57" t="n">
        <v>2.3</v>
      </c>
    </row>
    <row r="101">
      <c r="A101" s="54" t="inlineStr">
        <is>
          <t>bs annual</t>
        </is>
      </c>
      <c r="B101" s="54" t="n"/>
      <c r="C101" s="54" t="n"/>
      <c r="D101" s="54" t="n"/>
      <c r="E101" s="54" t="n"/>
      <c r="F101" s="54" t="n"/>
      <c r="G101" s="54" t="n"/>
      <c r="H101" s="54" t="n"/>
      <c r="I101" s="54" t="n"/>
      <c r="J101" s="54" t="n"/>
      <c r="K101" s="54" t="n"/>
      <c r="L101" s="54" t="n"/>
      <c r="M101" s="54" t="n"/>
      <c r="N101" s="54" t="n"/>
    </row>
    <row r="102">
      <c r="A102" s="55" t="inlineStr">
        <is>
          <t>항목</t>
        </is>
      </c>
      <c r="B102" s="55" t="inlineStr">
        <is>
          <t>2022</t>
        </is>
      </c>
      <c r="C102" s="55" t="inlineStr">
        <is>
          <t>2023</t>
        </is>
      </c>
      <c r="D102" s="55" t="inlineStr">
        <is>
          <t>2024</t>
        </is>
      </c>
      <c r="E102" s="55" t="inlineStr">
        <is>
          <t>2025</t>
        </is>
      </c>
      <c r="N102" s="55" t="inlineStr">
        <is>
          <t>출처</t>
        </is>
      </c>
    </row>
    <row r="103">
      <c r="A103" s="56" t="inlineStr">
        <is>
          <t>labels</t>
        </is>
      </c>
      <c r="B103" s="59" t="n">
        <v>2022</v>
      </c>
      <c r="C103" s="59" t="n">
        <v>2023</v>
      </c>
      <c r="D103" s="59" t="n">
        <v>2024</v>
      </c>
      <c r="E103" s="59" t="n">
        <v>2025</v>
      </c>
      <c r="N103" s="58" t="inlineStr">
        <is>
          <t>2단계 보고서 자료(회사 설명회 자료·공시)</t>
        </is>
      </c>
    </row>
    <row r="104">
      <c r="A104" s="56" t="inlineStr">
        <is>
          <t>current assets</t>
        </is>
      </c>
      <c r="B104" s="57" t="n">
        <v>14.9</v>
      </c>
      <c r="C104" s="57" t="n">
        <v>19.8</v>
      </c>
      <c r="D104" s="57" t="n">
        <v>21.9</v>
      </c>
      <c r="E104" s="57" t="n">
        <v>19.9</v>
      </c>
    </row>
    <row r="105">
      <c r="A105" s="56" t="inlineStr">
        <is>
          <t>cash</t>
        </is>
      </c>
      <c r="B105" s="57" t="n">
        <v>6.3</v>
      </c>
      <c r="C105" s="57" t="n">
        <v>9</v>
      </c>
      <c r="D105" s="57" t="n">
        <v>7.6</v>
      </c>
      <c r="E105" s="57" t="n">
        <v>7.3</v>
      </c>
    </row>
    <row r="106">
      <c r="A106" s="56" t="inlineStr">
        <is>
          <t>st fin</t>
        </is>
      </c>
      <c r="B106" s="60" t="n"/>
      <c r="C106" s="60" t="n"/>
      <c r="D106" s="60" t="n"/>
      <c r="E106" s="60" t="n"/>
    </row>
    <row r="107">
      <c r="A107" s="56" t="inlineStr">
        <is>
          <t>receivables</t>
        </is>
      </c>
      <c r="B107" s="57" t="n">
        <v>7.8</v>
      </c>
      <c r="C107" s="57" t="n">
        <v>10.2</v>
      </c>
      <c r="D107" s="57" t="n">
        <v>13.7</v>
      </c>
      <c r="E107" s="57" t="n">
        <v>12</v>
      </c>
    </row>
    <row r="108">
      <c r="A108" s="56" t="inlineStr">
        <is>
          <t>inventory</t>
        </is>
      </c>
      <c r="B108" s="57" t="n">
        <v>0.4</v>
      </c>
      <c r="C108" s="57" t="n">
        <v>0.3</v>
      </c>
      <c r="D108" s="57" t="n">
        <v>0.1</v>
      </c>
      <c r="E108" s="57" t="n">
        <v>0.2</v>
      </c>
    </row>
    <row r="109">
      <c r="A109" s="56" t="inlineStr">
        <is>
          <t>noncurrent assets</t>
        </is>
      </c>
      <c r="B109" s="57" t="n">
        <v>13</v>
      </c>
      <c r="C109" s="57" t="n">
        <v>14</v>
      </c>
      <c r="D109" s="57" t="n">
        <v>15.4</v>
      </c>
      <c r="E109" s="57" t="n">
        <v>20.9</v>
      </c>
    </row>
    <row r="110">
      <c r="A110" s="56" t="inlineStr">
        <is>
          <t>ppe</t>
        </is>
      </c>
      <c r="B110" s="57" t="n">
        <v>8.6</v>
      </c>
      <c r="C110" s="57" t="n">
        <v>10</v>
      </c>
      <c r="D110" s="57" t="n">
        <v>9.699999999999999</v>
      </c>
      <c r="E110" s="57" t="n">
        <v>13.5</v>
      </c>
    </row>
    <row r="111">
      <c r="A111" s="56" t="inlineStr">
        <is>
          <t>intangibles</t>
        </is>
      </c>
      <c r="B111" s="57" t="n">
        <v>0.2</v>
      </c>
      <c r="C111" s="57" t="n">
        <v>0.2</v>
      </c>
      <c r="D111" s="57" t="n">
        <v>0.1</v>
      </c>
      <c r="E111" s="57" t="n">
        <v>0.1</v>
      </c>
    </row>
    <row r="112">
      <c r="A112" s="56" t="inlineStr">
        <is>
          <t>inv property</t>
        </is>
      </c>
      <c r="B112" s="60" t="n"/>
      <c r="C112" s="60" t="n"/>
      <c r="D112" s="60" t="n"/>
      <c r="E112" s="60" t="n"/>
    </row>
    <row r="113">
      <c r="A113" s="56" t="inlineStr">
        <is>
          <t>합계 assets</t>
        </is>
      </c>
      <c r="B113" s="57" t="n">
        <v>27.9</v>
      </c>
      <c r="C113" s="57" t="n">
        <v>33.8</v>
      </c>
      <c r="D113" s="57" t="n">
        <v>37.3</v>
      </c>
      <c r="E113" s="57" t="n">
        <v>40.9</v>
      </c>
    </row>
    <row r="114">
      <c r="A114" s="56" t="inlineStr">
        <is>
          <t>current liab</t>
        </is>
      </c>
      <c r="B114" s="57" t="n">
        <v>10.6</v>
      </c>
      <c r="C114" s="57" t="n">
        <v>9.800000000000001</v>
      </c>
      <c r="D114" s="57" t="n">
        <v>10.4</v>
      </c>
      <c r="E114" s="57" t="n">
        <v>10.4</v>
      </c>
    </row>
    <row r="115">
      <c r="A115" s="56" t="inlineStr">
        <is>
          <t>payables</t>
        </is>
      </c>
      <c r="B115" s="57" t="n">
        <v>1.2</v>
      </c>
      <c r="C115" s="57" t="n">
        <v>1.6</v>
      </c>
      <c r="D115" s="57" t="n">
        <v>2.1</v>
      </c>
      <c r="E115" s="57" t="n">
        <v>1.9</v>
      </c>
    </row>
    <row r="116">
      <c r="A116" s="56" t="inlineStr">
        <is>
          <t>st debt</t>
        </is>
      </c>
      <c r="B116" s="60" t="n"/>
      <c r="C116" s="60" t="n"/>
      <c r="D116" s="60" t="n"/>
      <c r="E116" s="60" t="n"/>
    </row>
    <row r="117">
      <c r="A117" s="56" t="inlineStr">
        <is>
          <t>noncurrent liab</t>
        </is>
      </c>
      <c r="B117" s="57" t="n">
        <v>5.6</v>
      </c>
      <c r="C117" s="57" t="n">
        <v>6</v>
      </c>
      <c r="D117" s="57" t="n">
        <v>4.5</v>
      </c>
      <c r="E117" s="57" t="n">
        <v>4.9</v>
      </c>
    </row>
    <row r="118">
      <c r="A118" s="56" t="inlineStr">
        <is>
          <t>lt debt</t>
        </is>
      </c>
      <c r="B118" s="57" t="n">
        <v>3.9</v>
      </c>
      <c r="C118" s="57" t="n">
        <v>4.8</v>
      </c>
      <c r="D118" s="57" t="n">
        <v>3.2</v>
      </c>
      <c r="E118" s="57" t="n">
        <v>3.1</v>
      </c>
    </row>
    <row r="119">
      <c r="A119" s="56" t="inlineStr">
        <is>
          <t>bonds</t>
        </is>
      </c>
      <c r="B119" s="57" t="n">
        <v>0.5</v>
      </c>
      <c r="C119" s="57" t="n">
        <v>0</v>
      </c>
      <c r="D119" s="60" t="n"/>
      <c r="E119" s="60" t="n"/>
    </row>
    <row r="120">
      <c r="A120" s="56" t="inlineStr">
        <is>
          <t>합계 liab</t>
        </is>
      </c>
      <c r="B120" s="57" t="n">
        <v>16.2</v>
      </c>
      <c r="C120" s="57" t="n">
        <v>15.9</v>
      </c>
      <c r="D120" s="57" t="n">
        <v>15</v>
      </c>
      <c r="E120" s="57" t="n">
        <v>15.4</v>
      </c>
    </row>
    <row r="121">
      <c r="A121" s="56" t="inlineStr">
        <is>
          <t>capital stock</t>
        </is>
      </c>
      <c r="B121" s="57" t="n">
        <v>1.4</v>
      </c>
      <c r="C121" s="57" t="n">
        <v>3</v>
      </c>
      <c r="D121" s="57" t="n">
        <v>3</v>
      </c>
      <c r="E121" s="57" t="n">
        <v>3</v>
      </c>
    </row>
    <row r="122">
      <c r="A122" s="56" t="inlineStr">
        <is>
          <t>retained</t>
        </is>
      </c>
      <c r="B122" s="57" t="n">
        <v>7</v>
      </c>
      <c r="C122" s="57" t="n">
        <v>10.4</v>
      </c>
      <c r="D122" s="57" t="n">
        <v>14.4</v>
      </c>
      <c r="E122" s="57" t="n">
        <v>16.6</v>
      </c>
    </row>
    <row r="123">
      <c r="A123" s="56" t="inlineStr">
        <is>
          <t>nci</t>
        </is>
      </c>
      <c r="B123" s="60" t="n"/>
      <c r="C123" s="60" t="n"/>
      <c r="D123" s="60" t="n"/>
      <c r="E123" s="60" t="n"/>
    </row>
    <row r="124">
      <c r="A124" s="56" t="inlineStr">
        <is>
          <t>합계 equity</t>
        </is>
      </c>
      <c r="B124" s="57" t="n">
        <v>11.6</v>
      </c>
      <c r="C124" s="57" t="n">
        <v>18</v>
      </c>
      <c r="D124" s="57" t="n">
        <v>22.3</v>
      </c>
      <c r="E124" s="57" t="n">
        <v>25.5</v>
      </c>
    </row>
    <row r="125">
      <c r="A125" s="56" t="inlineStr">
        <is>
          <t>current ltd</t>
        </is>
      </c>
      <c r="B125" s="57" t="n">
        <v>4.7</v>
      </c>
      <c r="C125" s="57" t="n">
        <v>4.1</v>
      </c>
      <c r="D125" s="57" t="n">
        <v>3.1</v>
      </c>
      <c r="E125" s="57" t="n">
        <v>3.8</v>
      </c>
    </row>
    <row r="126">
      <c r="A126" s="56" t="inlineStr">
        <is>
          <t>equity owner</t>
        </is>
      </c>
      <c r="B126" s="57" t="n">
        <v>11.6</v>
      </c>
      <c r="C126" s="57" t="n">
        <v>18</v>
      </c>
      <c r="D126" s="57" t="n">
        <v>22.3</v>
      </c>
      <c r="E126" s="57" t="n">
        <v>25.5</v>
      </c>
    </row>
    <row r="128">
      <c r="A128" s="54" t="inlineStr">
        <is>
          <t>cf annual</t>
        </is>
      </c>
      <c r="B128" s="54" t="n"/>
      <c r="C128" s="54" t="n"/>
      <c r="D128" s="54" t="n"/>
      <c r="E128" s="54" t="n"/>
      <c r="F128" s="54" t="n"/>
      <c r="G128" s="54" t="n"/>
      <c r="H128" s="54" t="n"/>
      <c r="I128" s="54" t="n"/>
      <c r="J128" s="54" t="n"/>
      <c r="K128" s="54" t="n"/>
      <c r="L128" s="54" t="n"/>
      <c r="M128" s="54" t="n"/>
      <c r="N128" s="54" t="n"/>
    </row>
    <row r="129">
      <c r="A129" s="55" t="inlineStr">
        <is>
          <t>항목</t>
        </is>
      </c>
      <c r="B129" s="55" t="inlineStr">
        <is>
          <t>2022</t>
        </is>
      </c>
      <c r="C129" s="55" t="inlineStr">
        <is>
          <t>2023</t>
        </is>
      </c>
      <c r="D129" s="55" t="inlineStr">
        <is>
          <t>2024</t>
        </is>
      </c>
      <c r="E129" s="55" t="inlineStr">
        <is>
          <t>2025</t>
        </is>
      </c>
      <c r="N129" s="55" t="inlineStr">
        <is>
          <t>출처</t>
        </is>
      </c>
    </row>
    <row r="130">
      <c r="A130" s="56" t="inlineStr">
        <is>
          <t>labels</t>
        </is>
      </c>
      <c r="B130" s="59" t="n">
        <v>2022</v>
      </c>
      <c r="C130" s="59" t="n">
        <v>2023</v>
      </c>
      <c r="D130" s="59" t="n">
        <v>2024</v>
      </c>
      <c r="E130" s="59" t="n">
        <v>2025</v>
      </c>
      <c r="N130" s="58" t="inlineStr">
        <is>
          <t>2단계 보고서 자료(회사 설명회 자료·공시)</t>
        </is>
      </c>
    </row>
    <row r="131">
      <c r="A131" s="56" t="inlineStr">
        <is>
          <t>ocf</t>
        </is>
      </c>
      <c r="B131" s="57" t="n">
        <v>0.8</v>
      </c>
      <c r="C131" s="57" t="n">
        <v>1.5</v>
      </c>
      <c r="D131" s="57" t="n">
        <v>2.5</v>
      </c>
      <c r="E131" s="57" t="n">
        <v>4</v>
      </c>
    </row>
    <row r="132">
      <c r="A132" s="56" t="inlineStr">
        <is>
          <t>설비투자</t>
        </is>
      </c>
      <c r="B132" s="57" t="n">
        <v>3.9</v>
      </c>
      <c r="C132" s="57" t="n">
        <v>2.1</v>
      </c>
      <c r="D132" s="57" t="n">
        <v>0.2</v>
      </c>
      <c r="E132" s="57" t="n">
        <v>4.4</v>
      </c>
    </row>
    <row r="133">
      <c r="A133" s="56" t="inlineStr">
        <is>
          <t>dividends</t>
        </is>
      </c>
      <c r="B133" s="60" t="n"/>
      <c r="C133" s="60" t="n"/>
      <c r="D133" s="60" t="n"/>
      <c r="E133" s="60" t="n"/>
    </row>
    <row r="135">
      <c r="A135" s="54" t="inlineStr">
        <is>
          <t>peers · price_2026-10-30_장중</t>
        </is>
      </c>
      <c r="B135" s="54" t="n"/>
      <c r="C135" s="54" t="n"/>
      <c r="D135" s="54" t="n"/>
      <c r="E135" s="54" t="n"/>
      <c r="F135" s="54" t="n"/>
      <c r="G135" s="54" t="n"/>
      <c r="H135" s="54" t="n"/>
      <c r="I135" s="54" t="n"/>
      <c r="J135" s="54" t="n"/>
      <c r="K135" s="54" t="n"/>
      <c r="L135" s="54" t="n"/>
      <c r="M135" s="54" t="n"/>
      <c r="N135" s="54" t="n"/>
    </row>
    <row r="136">
      <c r="A136" s="55" t="inlineStr">
        <is>
          <t>항목</t>
        </is>
      </c>
      <c r="B136" s="55" t="inlineStr">
        <is>
          <t>값</t>
        </is>
      </c>
      <c r="N136" s="55" t="inlineStr">
        <is>
          <t>출처</t>
        </is>
      </c>
    </row>
    <row r="137">
      <c r="A137" s="56" t="inlineStr">
        <is>
          <t>4674</t>
        </is>
      </c>
      <c r="B137" s="59" t="n">
        <v>2039</v>
      </c>
      <c r="N137" s="58" t="inlineStr">
        <is>
          <t>경쟁사 1년 일봉은 stock_price '5257.T,4674.T,9759.T,9702.T,3771.T' range=1y interval=1d max_points=0 한 콜(에이전트 ②가 peerpx용으로 받음). 3월 결산사는 FY 끝나는 해 기준(2026.3기=FY26)</t>
        </is>
      </c>
    </row>
    <row r="138">
      <c r="A138" s="56" t="inlineStr">
        <is>
          <t>9759</t>
        </is>
      </c>
      <c r="B138" s="59" t="n">
        <v>3091</v>
      </c>
    </row>
    <row r="139">
      <c r="A139" s="56" t="inlineStr">
        <is>
          <t>9702</t>
        </is>
      </c>
      <c r="B139" s="59" t="n">
        <v>2507</v>
      </c>
    </row>
    <row r="140">
      <c r="A140" s="56" t="inlineStr">
        <is>
          <t>3771</t>
        </is>
      </c>
      <c r="B140" s="59" t="n">
        <v>1885</v>
      </c>
    </row>
    <row r="142">
      <c r="A142" s="54" t="inlineStr">
        <is>
          <t>peers · PER_가이던스</t>
        </is>
      </c>
      <c r="B142" s="54" t="n"/>
      <c r="C142" s="54" t="n"/>
      <c r="D142" s="54" t="n"/>
      <c r="E142" s="54" t="n"/>
      <c r="F142" s="54" t="n"/>
      <c r="G142" s="54" t="n"/>
      <c r="H142" s="54" t="n"/>
      <c r="I142" s="54" t="n"/>
      <c r="J142" s="54" t="n"/>
      <c r="K142" s="54" t="n"/>
      <c r="L142" s="54" t="n"/>
      <c r="M142" s="54" t="n"/>
      <c r="N142" s="54" t="n"/>
    </row>
    <row r="143">
      <c r="A143" s="55" t="inlineStr">
        <is>
          <t>항목</t>
        </is>
      </c>
      <c r="B143" s="55" t="inlineStr">
        <is>
          <t>값</t>
        </is>
      </c>
      <c r="N143" s="55" t="inlineStr">
        <is>
          <t>출처</t>
        </is>
      </c>
    </row>
    <row r="144">
      <c r="A144" s="56" t="inlineStr">
        <is>
          <t>4674</t>
        </is>
      </c>
      <c r="B144" s="57" t="n">
        <v>14.8</v>
      </c>
      <c r="N144" s="58" t="inlineStr">
        <is>
          <t>경쟁사 1년 일봉은 stock_price '5257.T,4674.T,9759.T,9702.T,3771.T' range=1y interval=1d max_points=0 한 콜(에이전트 ②가 peerpx용으로 받음). 3월 결산사는 FY 끝나는 해 기준(2026.3기=FY26)</t>
        </is>
      </c>
    </row>
    <row r="145">
      <c r="A145" s="56" t="inlineStr">
        <is>
          <t>9759</t>
        </is>
      </c>
      <c r="B145" s="57" t="n">
        <v>17.5</v>
      </c>
    </row>
    <row r="146">
      <c r="A146" s="56" t="inlineStr">
        <is>
          <t>9702</t>
        </is>
      </c>
      <c r="B146" s="57" t="n">
        <v>15.5</v>
      </c>
    </row>
    <row r="147">
      <c r="A147" s="56" t="inlineStr">
        <is>
          <t>3771</t>
        </is>
      </c>
      <c r="B147" s="57" t="n">
        <v>11</v>
      </c>
    </row>
    <row r="148">
      <c r="A148" s="56" t="inlineStr">
        <is>
          <t>5257</t>
        </is>
      </c>
      <c r="B148" s="57" t="n">
        <v>8.4</v>
      </c>
    </row>
    <row r="150">
      <c r="A150" s="54" t="inlineStr">
        <is>
          <t>peers · 1y_return_%</t>
        </is>
      </c>
      <c r="B150" s="54" t="n"/>
      <c r="C150" s="54" t="n"/>
      <c r="D150" s="54" t="n"/>
      <c r="E150" s="54" t="n"/>
      <c r="F150" s="54" t="n"/>
      <c r="G150" s="54" t="n"/>
      <c r="H150" s="54" t="n"/>
      <c r="I150" s="54" t="n"/>
      <c r="J150" s="54" t="n"/>
      <c r="K150" s="54" t="n"/>
      <c r="L150" s="54" t="n"/>
      <c r="M150" s="54" t="n"/>
      <c r="N150" s="54" t="n"/>
    </row>
    <row r="151">
      <c r="A151" s="55" t="inlineStr">
        <is>
          <t>항목</t>
        </is>
      </c>
      <c r="B151" s="55" t="inlineStr">
        <is>
          <t>값</t>
        </is>
      </c>
      <c r="N151" s="55" t="inlineStr">
        <is>
          <t>출처</t>
        </is>
      </c>
    </row>
    <row r="152">
      <c r="A152" s="56" t="inlineStr">
        <is>
          <t>5257</t>
        </is>
      </c>
      <c r="B152" s="57" t="n">
        <v>4.3</v>
      </c>
      <c r="N152" s="58" t="inlineStr">
        <is>
          <t>경쟁사 1년 일봉은 stock_price '5257.T,4674.T,9759.T,9702.T,3771.T' range=1y interval=1d max_points=0 한 콜(에이전트 ②가 peerpx용으로 받음). 3월 결산사는 FY 끝나는 해 기준(2026.3기=FY26)</t>
        </is>
      </c>
    </row>
    <row r="153">
      <c r="A153" s="56" t="inlineStr">
        <is>
          <t>4674</t>
        </is>
      </c>
      <c r="B153" s="57" t="n">
        <v>34.2</v>
      </c>
    </row>
    <row r="154">
      <c r="A154" s="56" t="inlineStr">
        <is>
          <t>9759</t>
        </is>
      </c>
      <c r="B154" s="57" t="n">
        <v>-1.8</v>
      </c>
    </row>
    <row r="155">
      <c r="A155" s="56" t="inlineStr">
        <is>
          <t>9702</t>
        </is>
      </c>
      <c r="B155" s="57" t="n">
        <v>45.8</v>
      </c>
    </row>
    <row r="156">
      <c r="A156" s="56" t="inlineStr">
        <is>
          <t>3771</t>
        </is>
      </c>
      <c r="B156" s="57" t="n">
        <v>-4.3</v>
      </c>
    </row>
    <row r="158">
      <c r="A158" s="54" t="inlineStr">
        <is>
          <t>reactions</t>
        </is>
      </c>
      <c r="B158" s="54" t="n"/>
      <c r="C158" s="54" t="n"/>
      <c r="D158" s="54" t="n"/>
      <c r="E158" s="54" t="n"/>
      <c r="F158" s="54" t="n"/>
      <c r="G158" s="54" t="n"/>
      <c r="H158" s="54" t="n"/>
      <c r="I158" s="54" t="n"/>
      <c r="J158" s="54" t="n"/>
      <c r="K158" s="54" t="n"/>
      <c r="L158" s="54" t="n"/>
      <c r="M158" s="54" t="n"/>
      <c r="N158" s="54" t="n"/>
    </row>
    <row r="159">
      <c r="A159" s="55" t="inlineStr">
        <is>
          <t>항목</t>
        </is>
      </c>
      <c r="B159" s="55" t="inlineStr">
        <is>
          <t>기준일</t>
        </is>
      </c>
      <c r="C159" s="55" t="inlineStr">
        <is>
          <t>다음날</t>
        </is>
      </c>
      <c r="D159" s="55" t="inlineStr">
        <is>
          <t>등락%</t>
        </is>
      </c>
      <c r="N159" s="55" t="inlineStr">
        <is>
          <t>출처</t>
        </is>
      </c>
    </row>
    <row r="160">
      <c r="A160" s="56" t="inlineStr">
        <is>
          <t>2025-04-30</t>
        </is>
      </c>
      <c r="B160" s="60" t="inlineStr">
        <is>
          <t>2025-04-30</t>
        </is>
      </c>
      <c r="C160" s="60" t="inlineStr">
        <is>
          <t>2025-05-01</t>
        </is>
      </c>
      <c r="D160" s="57" t="n">
        <v>1.5</v>
      </c>
      <c r="N160" s="58" t="inlineStr">
        <is>
          <t>2단계 보고서 자료(회사 설명회 자료·공시)</t>
        </is>
      </c>
    </row>
    <row r="161">
      <c r="A161" s="56" t="inlineStr">
        <is>
          <t>2025-05-02</t>
        </is>
      </c>
      <c r="B161" s="60" t="inlineStr">
        <is>
          <t>2025-05-02</t>
        </is>
      </c>
      <c r="C161" s="60" t="inlineStr">
        <is>
          <t>2025-05-07</t>
        </is>
      </c>
      <c r="D161" s="57" t="n">
        <v>0</v>
      </c>
    </row>
    <row r="162">
      <c r="A162" s="56" t="inlineStr">
        <is>
          <t>2025-07-31</t>
        </is>
      </c>
      <c r="B162" s="60" t="inlineStr">
        <is>
          <t>2025-07-31</t>
        </is>
      </c>
      <c r="C162" s="60" t="inlineStr">
        <is>
          <t>2025-08-01</t>
        </is>
      </c>
      <c r="D162" s="57" t="n">
        <v>-4</v>
      </c>
    </row>
    <row r="163">
      <c r="A163" s="56" t="inlineStr">
        <is>
          <t>2025-10-31</t>
        </is>
      </c>
      <c r="B163" s="60" t="inlineStr">
        <is>
          <t>2025-10-31</t>
        </is>
      </c>
      <c r="C163" s="60" t="inlineStr">
        <is>
          <t>2025-11-04</t>
        </is>
      </c>
      <c r="D163" s="57" t="n">
        <v>2.8</v>
      </c>
    </row>
    <row r="164">
      <c r="A164" s="56" t="inlineStr">
        <is>
          <t>2026-02-13</t>
        </is>
      </c>
      <c r="B164" s="60" t="inlineStr">
        <is>
          <t>2026-02-13</t>
        </is>
      </c>
      <c r="C164" s="60" t="inlineStr">
        <is>
          <t>2026-02-16</t>
        </is>
      </c>
      <c r="D164" s="57" t="n">
        <v>-4.3</v>
      </c>
    </row>
    <row r="165">
      <c r="A165" s="56" t="inlineStr">
        <is>
          <t>2026-04-30</t>
        </is>
      </c>
      <c r="B165" s="60" t="inlineStr">
        <is>
          <t>2026-04-30</t>
        </is>
      </c>
      <c r="C165" s="60" t="inlineStr">
        <is>
          <t>2026-05-01</t>
        </is>
      </c>
      <c r="D165" s="57" t="n">
        <v>-1.2</v>
      </c>
    </row>
    <row r="166">
      <c r="A166" s="56" t="inlineStr">
        <is>
          <t>2026-07-31</t>
        </is>
      </c>
      <c r="B166" s="60" t="inlineStr">
        <is>
          <t>2026-07-31</t>
        </is>
      </c>
      <c r="C166" s="60" t="inlineStr">
        <is>
          <t>2026-08-03</t>
        </is>
      </c>
      <c r="D166" s="57" t="n">
        <v>3.8</v>
      </c>
    </row>
    <row r="167">
      <c r="A167" s="56" t="inlineStr">
        <is>
          <t>2026-10-30</t>
        </is>
      </c>
      <c r="B167" s="60" t="n"/>
      <c r="C167" s="60" t="n"/>
      <c r="D167" s="60" t="inlineStr">
        <is>
          <t>장중 -5.8% (2,825-&gt;2,660)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2026-10-30</t>
        </is>
      </c>
      <c r="B4" t="inlineStr">
        <is>
          <t>2026년 12월 결산기 ３분기 결산단신</t>
        </is>
      </c>
      <c r="C4" t="inlineStr">
        <is>
          <t>https://www2.jpx.co.jp/disc/52570/140120261029558756.pdf</t>
        </is>
      </c>
    </row>
    <row r="5">
      <c r="A5" t="inlineStr">
        <is>
          <t>2026-07-31</t>
        </is>
      </c>
      <c r="B5" t="inlineStr">
        <is>
          <t>2026년 12월 결산기 ２분기 결산단신</t>
        </is>
      </c>
      <c r="C5" t="inlineStr">
        <is>
          <t>https://www2.jpx.co.jp/disc/52570/140120260731504310.pdf</t>
        </is>
      </c>
    </row>
    <row r="6">
      <c r="A6" t="inlineStr">
        <is>
          <t>2026-04-30</t>
        </is>
      </c>
      <c r="B6" t="inlineStr">
        <is>
          <t>2026년 12월 결산기 １분기 결산단신</t>
        </is>
      </c>
      <c r="C6" t="inlineStr">
        <is>
          <t>https://www2.jpx.co.jp/disc/52570/140120260428513795.pdf</t>
        </is>
      </c>
    </row>
    <row r="7">
      <c r="A7" t="inlineStr">
        <is>
          <t>2026-02-13</t>
        </is>
      </c>
      <c r="B7" t="inlineStr">
        <is>
          <t>2025년 12월 결산기 연간 결산단신</t>
        </is>
      </c>
      <c r="C7" t="inlineStr">
        <is>
          <t>https://www2.jpx.co.jp/disc/52570/140120260213559062.pdf</t>
        </is>
      </c>
    </row>
    <row r="8">
      <c r="A8" t="inlineStr">
        <is>
          <t>2025-10-31</t>
        </is>
      </c>
      <c r="B8" t="inlineStr">
        <is>
          <t>2025년 12월 결산기 ３분기 결산단신</t>
        </is>
      </c>
      <c r="C8" t="inlineStr">
        <is>
          <t>https://www2.jpx.co.jp/disc/52570/140120251030582916.pdf</t>
        </is>
      </c>
    </row>
    <row r="9">
      <c r="A9" t="inlineStr">
        <is>
          <t>2025-07-31</t>
        </is>
      </c>
      <c r="B9" t="inlineStr">
        <is>
          <t>2025년 12월 결산기 ２분기 결산단신</t>
        </is>
      </c>
      <c r="C9" t="inlineStr">
        <is>
          <t>https://www2.jpx.co.jp/disc/52570/140120250730524474.pdf</t>
        </is>
      </c>
    </row>
    <row r="10">
      <c r="A10" t="inlineStr">
        <is>
          <t>2025-05-02</t>
        </is>
      </c>
      <c r="B10" t="inlineStr">
        <is>
          <t>2025년 12월 결산기 １분기 결산단신</t>
        </is>
      </c>
      <c r="C10" t="inlineStr">
        <is>
          <t>https://www2.jpx.co.jp/disc/52570/140120250501529021.pdf</t>
        </is>
      </c>
    </row>
    <row r="11">
      <c r="A11" t="inlineStr">
        <is>
          <t>2025-04-30</t>
        </is>
      </c>
      <c r="B11" t="inlineStr">
        <is>
          <t>2025년 12월 결산기 １분기 결산단신</t>
        </is>
      </c>
      <c r="C11" t="inlineStr">
        <is>
          <t>https://www2.jpx.co.jp/disc/52570/140120250425524884.pdf</t>
        </is>
      </c>
    </row>
    <row r="12">
      <c r="A12" t="inlineStr">
        <is>
          <t>2025-02-13</t>
        </is>
      </c>
      <c r="B12" t="inlineStr">
        <is>
          <t>2024년 12월 결산기 연간 결산단신</t>
        </is>
      </c>
      <c r="C12" t="inlineStr">
        <is>
          <t>https://www2.jpx.co.jp/disc/52570/140120250213572288.pdf</t>
        </is>
      </c>
    </row>
    <row r="13">
      <c r="A13" t="inlineStr">
        <is>
          <t>2024-10-31</t>
        </is>
      </c>
      <c r="B13" t="inlineStr">
        <is>
          <t>2024년 12월 결산기 ３분기 결산단신</t>
        </is>
      </c>
      <c r="C13" t="inlineStr">
        <is>
          <t>https://www2.jpx.co.jp/disc/52570/140120241030506335.pdf</t>
        </is>
      </c>
    </row>
    <row r="14">
      <c r="A14" t="inlineStr">
        <is>
          <t>2024-07-31</t>
        </is>
      </c>
      <c r="B14" t="inlineStr">
        <is>
          <t>2024년 12월 결산기 ２분기 결산단신</t>
        </is>
      </c>
      <c r="C14" t="inlineStr">
        <is>
          <t>https://www2.jpx.co.jp/disc/52570/140120240730557856.pdf</t>
        </is>
      </c>
    </row>
    <row r="15">
      <c r="A15" t="inlineStr">
        <is>
          <t>2024-04-30</t>
        </is>
      </c>
      <c r="B15" t="inlineStr">
        <is>
          <t>2024년 12월 결산기 １분기 결산단신</t>
        </is>
      </c>
      <c r="C15" t="inlineStr">
        <is>
          <t>https://www2.jpx.co.jp/disc/52570/140120240430579584.pdf</t>
        </is>
      </c>
    </row>
    <row r="16">
      <c r="A16" t="inlineStr">
        <is>
          <t>2024-02-14</t>
        </is>
      </c>
      <c r="B16" t="inlineStr">
        <is>
          <t>2023년 12월 결산기 연간 결산단신</t>
        </is>
      </c>
      <c r="C16" t="inlineStr">
        <is>
          <t>https://www2.jpx.co.jp/disc/52570/140120240214536167.pdf</t>
        </is>
      </c>
    </row>
    <row r="17">
      <c r="A17" t="inlineStr">
        <is>
          <t>2023-10-31</t>
        </is>
      </c>
      <c r="B17" t="inlineStr">
        <is>
          <t>2023년 12월 결산기 ３분기 결산단신</t>
        </is>
      </c>
      <c r="C17" t="inlineStr">
        <is>
          <t>https://www2.jpx.co.jp/disc/52570/140120231031575481.pdf</t>
        </is>
      </c>
    </row>
    <row r="18">
      <c r="A18" t="inlineStr">
        <is>
          <t>2023-07-31</t>
        </is>
      </c>
      <c r="B18" t="inlineStr">
        <is>
          <t>2023년 12월 결산기 ２분기 결산단신</t>
        </is>
      </c>
      <c r="C18" t="inlineStr">
        <is>
          <t>https://www2.jpx.co.jp/disc/52570/140120230731530253.pdf</t>
        </is>
      </c>
    </row>
    <row r="19">
      <c r="A19" t="inlineStr">
        <is>
          <t>2023-04-28</t>
        </is>
      </c>
      <c r="B19" t="inlineStr">
        <is>
          <t>2023년 12월 결산기 １분기 결산단신</t>
        </is>
      </c>
      <c r="C19" t="inlineStr">
        <is>
          <t>https://www2.jpx.co.jp/disc/52570/140120230426553659.pdf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2" t="inlineStr">
        <is>
          <t>5257 재무제표 한눈에 보기 — 최근 40개 분기(달력 분기, 3Q26 = 26.7~9) · 단위 억 엔</t>
        </is>
      </c>
    </row>
    <row r="2">
      <c r="A2" s="63" t="inlineStr">
        <is>
          <t>출처: 매출·영업이익 결산단신 XBRL · 재무상태표 등 결산단신 XBRL 16건(2023-04-28~2026-10-30). 부문·지역·수주·수출은 있을 때만(출처는 줄 끝). 총 차입금 = 이자 붙는 부채 전부(단기·장기 차입금, CP, 사채·전환사채, 리스부채)</t>
        </is>
      </c>
    </row>
    <row r="4">
      <c r="A4" s="64" t="inlineStr">
        <is>
          <t>항목</t>
        </is>
      </c>
      <c r="B4" s="65" t="inlineStr">
        <is>
          <t>4Q16</t>
        </is>
      </c>
      <c r="C4" s="65" t="inlineStr">
        <is>
          <t>1Q17</t>
        </is>
      </c>
      <c r="D4" s="65" t="inlineStr">
        <is>
          <t>2Q17</t>
        </is>
      </c>
      <c r="E4" s="65" t="inlineStr">
        <is>
          <t>3Q17</t>
        </is>
      </c>
      <c r="F4" s="65" t="inlineStr">
        <is>
          <t>4Q17</t>
        </is>
      </c>
      <c r="G4" s="65" t="inlineStr">
        <is>
          <t>1Q18</t>
        </is>
      </c>
      <c r="H4" s="65" t="inlineStr">
        <is>
          <t>2Q18</t>
        </is>
      </c>
      <c r="I4" s="65" t="inlineStr">
        <is>
          <t>3Q18</t>
        </is>
      </c>
      <c r="J4" s="65" t="inlineStr">
        <is>
          <t>4Q18</t>
        </is>
      </c>
      <c r="K4" s="65" t="inlineStr">
        <is>
          <t>1Q19</t>
        </is>
      </c>
      <c r="L4" s="65" t="inlineStr">
        <is>
          <t>2Q19</t>
        </is>
      </c>
      <c r="M4" s="65" t="inlineStr">
        <is>
          <t>3Q19</t>
        </is>
      </c>
      <c r="N4" s="65" t="inlineStr">
        <is>
          <t>4Q19</t>
        </is>
      </c>
      <c r="O4" s="65" t="inlineStr">
        <is>
          <t>1Q20</t>
        </is>
      </c>
      <c r="P4" s="65" t="inlineStr">
        <is>
          <t>2Q20</t>
        </is>
      </c>
      <c r="Q4" s="65" t="inlineStr">
        <is>
          <t>3Q20</t>
        </is>
      </c>
      <c r="R4" s="65" t="inlineStr">
        <is>
          <t>4Q20</t>
        </is>
      </c>
      <c r="S4" s="65" t="inlineStr">
        <is>
          <t>1Q21</t>
        </is>
      </c>
      <c r="T4" s="65" t="inlineStr">
        <is>
          <t>2Q21</t>
        </is>
      </c>
      <c r="U4" s="65" t="inlineStr">
        <is>
          <t>3Q21</t>
        </is>
      </c>
      <c r="V4" s="65" t="inlineStr">
        <is>
          <t>4Q21</t>
        </is>
      </c>
      <c r="W4" s="65" t="inlineStr">
        <is>
          <t>1Q22</t>
        </is>
      </c>
      <c r="X4" s="65" t="inlineStr">
        <is>
          <t>2Q22</t>
        </is>
      </c>
      <c r="Y4" s="65" t="inlineStr">
        <is>
          <t>3Q22</t>
        </is>
      </c>
      <c r="Z4" s="65" t="inlineStr">
        <is>
          <t>4Q22</t>
        </is>
      </c>
      <c r="AA4" s="65" t="inlineStr">
        <is>
          <t>1Q23</t>
        </is>
      </c>
      <c r="AB4" s="65" t="inlineStr">
        <is>
          <t>2Q23</t>
        </is>
      </c>
      <c r="AC4" s="65" t="inlineStr">
        <is>
          <t>3Q23</t>
        </is>
      </c>
      <c r="AD4" s="65" t="inlineStr">
        <is>
          <t>4Q23</t>
        </is>
      </c>
      <c r="AE4" s="65" t="inlineStr">
        <is>
          <t>1Q24</t>
        </is>
      </c>
      <c r="AF4" s="65" t="inlineStr">
        <is>
          <t>2Q24</t>
        </is>
      </c>
      <c r="AG4" s="65" t="inlineStr">
        <is>
          <t>3Q24</t>
        </is>
      </c>
      <c r="AH4" s="65" t="inlineStr">
        <is>
          <t>4Q24</t>
        </is>
      </c>
      <c r="AI4" s="65" t="inlineStr">
        <is>
          <t>1Q25</t>
        </is>
      </c>
      <c r="AJ4" s="65" t="inlineStr">
        <is>
          <t>2Q25</t>
        </is>
      </c>
      <c r="AK4" s="65" t="inlineStr">
        <is>
          <t>3Q25</t>
        </is>
      </c>
      <c r="AL4" s="65" t="inlineStr">
        <is>
          <t>4Q25</t>
        </is>
      </c>
      <c r="AM4" s="65" t="inlineStr">
        <is>
          <t>1Q26</t>
        </is>
      </c>
      <c r="AN4" s="65" t="inlineStr">
        <is>
          <t>2Q26</t>
        </is>
      </c>
      <c r="AO4" s="65" t="inlineStr">
        <is>
          <t>3Q26</t>
        </is>
      </c>
      <c r="AP4" s="64" t="inlineStr">
        <is>
          <t>출처</t>
        </is>
      </c>
    </row>
    <row r="5">
      <c r="A5" s="66" t="inlineStr">
        <is>
          <t>매출액</t>
        </is>
      </c>
      <c r="B5" s="67" t="n"/>
      <c r="C5" s="67" t="n"/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>
        <v>12.8</v>
      </c>
      <c r="AA5" s="67" t="n">
        <v>13.3</v>
      </c>
      <c r="AB5" s="67" t="n">
        <v>12.6</v>
      </c>
      <c r="AC5" s="67" t="n">
        <v>14.1</v>
      </c>
      <c r="AD5" s="67" t="n">
        <v>14.3</v>
      </c>
      <c r="AE5" s="67" t="n">
        <v>15.8</v>
      </c>
      <c r="AF5" s="67" t="n">
        <v>15.1</v>
      </c>
      <c r="AG5" s="67" t="n">
        <v>16.5</v>
      </c>
      <c r="AH5" s="67" t="n">
        <v>17.2</v>
      </c>
      <c r="AI5" s="67" t="n">
        <v>16.8</v>
      </c>
      <c r="AJ5" s="67" t="n">
        <v>16.2</v>
      </c>
      <c r="AK5" s="67" t="n">
        <v>16.9</v>
      </c>
      <c r="AL5" s="67" t="n">
        <v>17.3</v>
      </c>
      <c r="AM5" s="67" t="n">
        <v>17.2</v>
      </c>
      <c r="AN5" s="67" t="n">
        <v>18</v>
      </c>
      <c r="AO5" s="67" t="n">
        <v>18.6</v>
      </c>
    </row>
    <row r="6">
      <c r="A6" s="66" t="inlineStr">
        <is>
          <t>매출액 YoY</t>
        </is>
      </c>
      <c r="B6" s="68" t="n"/>
      <c r="C6" s="68" t="n"/>
      <c r="D6" s="68" t="n"/>
      <c r="E6" s="68" t="n"/>
      <c r="F6" s="68" t="n"/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  <c r="AA6" s="68" t="n"/>
      <c r="AB6" s="68" t="n"/>
      <c r="AC6" s="68" t="n"/>
      <c r="AD6" s="68" t="n">
        <v>11.7</v>
      </c>
      <c r="AE6" s="68" t="n">
        <v>18.8</v>
      </c>
      <c r="AF6" s="68" t="n">
        <v>19.8</v>
      </c>
      <c r="AG6" s="68" t="n">
        <v>17</v>
      </c>
      <c r="AH6" s="68" t="n">
        <v>20.3</v>
      </c>
      <c r="AI6" s="68" t="n">
        <v>6.3</v>
      </c>
      <c r="AJ6" s="68" t="n">
        <v>7.3</v>
      </c>
      <c r="AK6" s="68" t="n">
        <v>2.4</v>
      </c>
      <c r="AL6" s="68" t="n">
        <v>0.6</v>
      </c>
      <c r="AM6" s="68" t="n">
        <v>2.4</v>
      </c>
      <c r="AN6" s="68" t="n">
        <v>11.1</v>
      </c>
      <c r="AO6" s="68" t="n">
        <v>10.1</v>
      </c>
    </row>
    <row r="7">
      <c r="A7" s="66" t="inlineStr">
        <is>
          <t>영업이익</t>
        </is>
      </c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>
        <v>1.4</v>
      </c>
      <c r="AA7" s="67" t="n">
        <v>1.7</v>
      </c>
      <c r="AB7" s="67" t="n">
        <v>0.7</v>
      </c>
      <c r="AC7" s="67" t="n">
        <v>1.6</v>
      </c>
      <c r="AD7" s="67" t="n">
        <v>1</v>
      </c>
      <c r="AE7" s="67" t="n">
        <v>1.6</v>
      </c>
      <c r="AF7" s="67" t="n">
        <v>0.5</v>
      </c>
      <c r="AG7" s="67" t="n">
        <v>1.2</v>
      </c>
      <c r="AH7" s="67" t="n">
        <v>2</v>
      </c>
      <c r="AI7" s="67" t="n">
        <v>1</v>
      </c>
      <c r="AJ7" s="67" t="n">
        <v>-0.1</v>
      </c>
      <c r="AK7" s="67" t="n">
        <v>0.7</v>
      </c>
      <c r="AL7" s="67" t="n">
        <v>1.6</v>
      </c>
      <c r="AM7" s="67" t="n">
        <v>1.2</v>
      </c>
      <c r="AN7" s="67" t="n">
        <v>1.5</v>
      </c>
      <c r="AO7" s="67" t="n">
        <v>1.6</v>
      </c>
    </row>
    <row r="8">
      <c r="A8" s="66" t="inlineStr">
        <is>
          <t>영업이익률</t>
        </is>
      </c>
      <c r="B8" s="68" t="n"/>
      <c r="C8" s="68" t="n"/>
      <c r="D8" s="68" t="n"/>
      <c r="E8" s="68" t="n"/>
      <c r="F8" s="68" t="n"/>
      <c r="G8" s="68" t="n"/>
      <c r="H8" s="68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>
        <v>10.9</v>
      </c>
      <c r="AA8" s="68" t="n">
        <v>12.8</v>
      </c>
      <c r="AB8" s="68" t="n">
        <v>5.6</v>
      </c>
      <c r="AC8" s="68" t="n">
        <v>11.3</v>
      </c>
      <c r="AD8" s="68" t="n">
        <v>7</v>
      </c>
      <c r="AE8" s="68" t="n">
        <v>10.1</v>
      </c>
      <c r="AF8" s="68" t="n">
        <v>3.3</v>
      </c>
      <c r="AG8" s="68" t="n">
        <v>7.3</v>
      </c>
      <c r="AH8" s="68" t="n">
        <v>11.6</v>
      </c>
      <c r="AI8" s="68" t="n">
        <v>6</v>
      </c>
      <c r="AJ8" s="68" t="n">
        <v>-0.6</v>
      </c>
      <c r="AK8" s="68" t="n">
        <v>4.1</v>
      </c>
      <c r="AL8" s="68" t="n">
        <v>9.199999999999999</v>
      </c>
      <c r="AM8" s="68" t="n">
        <v>7</v>
      </c>
      <c r="AN8" s="68" t="n">
        <v>8.300000000000001</v>
      </c>
      <c r="AO8" s="68" t="n">
        <v>8.6</v>
      </c>
    </row>
    <row r="9">
      <c r="A9" s="66" t="inlineStr">
        <is>
          <t>영업이익 YoY</t>
        </is>
      </c>
      <c r="B9" s="68" t="n"/>
      <c r="C9" s="68" t="n"/>
      <c r="D9" s="68" t="n"/>
      <c r="E9" s="68" t="n"/>
      <c r="F9" s="68" t="n"/>
      <c r="G9" s="68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  <c r="AA9" s="68" t="n"/>
      <c r="AB9" s="68" t="n"/>
      <c r="AC9" s="68" t="n"/>
      <c r="AD9" s="68" t="n">
        <v>-28.6</v>
      </c>
      <c r="AE9" s="68" t="n">
        <v>-5.9</v>
      </c>
      <c r="AF9" s="68" t="n">
        <v>-28.6</v>
      </c>
      <c r="AG9" s="68" t="n">
        <v>-25</v>
      </c>
      <c r="AH9" s="68" t="n">
        <v>100</v>
      </c>
      <c r="AI9" s="68" t="n">
        <v>-37.5</v>
      </c>
      <c r="AJ9" s="68" t="n">
        <v>-120</v>
      </c>
      <c r="AK9" s="68" t="n">
        <v>-41.7</v>
      </c>
      <c r="AL9" s="68" t="n">
        <v>-20</v>
      </c>
      <c r="AM9" s="68" t="n">
        <v>20</v>
      </c>
      <c r="AN9" s="68" t="n"/>
      <c r="AO9" s="68" t="n">
        <v>128.6</v>
      </c>
    </row>
    <row r="10">
      <c r="A10" s="66" t="inlineStr">
        <is>
          <t>유동자산</t>
        </is>
      </c>
      <c r="B10" s="67" t="n"/>
      <c r="C10" s="67" t="n"/>
      <c r="D10" s="67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67" t="n">
        <v>14.9</v>
      </c>
      <c r="AA10" s="67" t="n">
        <v>19.5</v>
      </c>
      <c r="AB10" s="67" t="n">
        <v>18.4</v>
      </c>
      <c r="AC10" s="67" t="n">
        <v>19.3</v>
      </c>
      <c r="AD10" s="67" t="n">
        <v>19.8</v>
      </c>
      <c r="AE10" s="67" t="n">
        <v>22.4</v>
      </c>
      <c r="AF10" s="67" t="n">
        <v>21.8</v>
      </c>
      <c r="AG10" s="67" t="n">
        <v>21.2</v>
      </c>
      <c r="AH10" s="67" t="n">
        <v>21.9</v>
      </c>
      <c r="AI10" s="67" t="n">
        <v>24.5</v>
      </c>
      <c r="AJ10" s="67" t="n">
        <v>19.8</v>
      </c>
      <c r="AK10" s="67" t="n">
        <v>19.3</v>
      </c>
      <c r="AL10" s="67" t="n">
        <v>19.9</v>
      </c>
      <c r="AM10" s="67" t="n">
        <v>22.3</v>
      </c>
      <c r="AN10" s="67" t="n">
        <v>20.5</v>
      </c>
      <c r="AO10" s="67" t="n">
        <v>20.3</v>
      </c>
    </row>
    <row r="11">
      <c r="A11" s="66" t="inlineStr">
        <is>
          <t>유동부채</t>
        </is>
      </c>
      <c r="B11" s="67" t="n"/>
      <c r="C11" s="67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>
        <v>10.6</v>
      </c>
      <c r="AA11" s="67" t="n">
        <v>9.9</v>
      </c>
      <c r="AB11" s="67" t="n">
        <v>8.800000000000001</v>
      </c>
      <c r="AC11" s="67" t="n">
        <v>10</v>
      </c>
      <c r="AD11" s="67" t="n">
        <v>9.800000000000001</v>
      </c>
      <c r="AE11" s="67" t="n">
        <v>11</v>
      </c>
      <c r="AF11" s="67" t="n">
        <v>10.5</v>
      </c>
      <c r="AG11" s="67" t="n">
        <v>9.9</v>
      </c>
      <c r="AH11" s="67" t="n">
        <v>10.4</v>
      </c>
      <c r="AI11" s="67" t="n">
        <v>11.1</v>
      </c>
      <c r="AJ11" s="67" t="n">
        <v>10.3</v>
      </c>
      <c r="AK11" s="67" t="n">
        <v>10.6</v>
      </c>
      <c r="AL11" s="67" t="n">
        <v>10.4</v>
      </c>
      <c r="AM11" s="67" t="n">
        <v>12.3</v>
      </c>
      <c r="AN11" s="67" t="n">
        <v>11.4</v>
      </c>
      <c r="AO11" s="67" t="n">
        <v>12</v>
      </c>
    </row>
    <row r="12">
      <c r="A12" s="66" t="inlineStr">
        <is>
          <t>부채총계</t>
        </is>
      </c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>
        <v>16.2</v>
      </c>
      <c r="AA12" s="67" t="n">
        <v>18.4</v>
      </c>
      <c r="AB12" s="67" t="n">
        <v>16.8</v>
      </c>
      <c r="AC12" s="67" t="n">
        <v>16.6</v>
      </c>
      <c r="AD12" s="67" t="n">
        <v>15.9</v>
      </c>
      <c r="AE12" s="67" t="n">
        <v>17.3</v>
      </c>
      <c r="AF12" s="67" t="n">
        <v>16.1</v>
      </c>
      <c r="AG12" s="67" t="n">
        <v>14.7</v>
      </c>
      <c r="AH12" s="67" t="n">
        <v>15</v>
      </c>
      <c r="AI12" s="67" t="n">
        <v>17.3</v>
      </c>
      <c r="AJ12" s="67" t="n">
        <v>16.8</v>
      </c>
      <c r="AK12" s="67" t="n">
        <v>15.8</v>
      </c>
      <c r="AL12" s="67" t="n">
        <v>15.4</v>
      </c>
      <c r="AM12" s="67" t="n">
        <v>18.9</v>
      </c>
      <c r="AN12" s="67" t="n">
        <v>17.4</v>
      </c>
      <c r="AO12" s="67" t="n">
        <v>16.8</v>
      </c>
    </row>
    <row r="13">
      <c r="A13" s="66" t="inlineStr">
        <is>
          <t>자기자본</t>
        </is>
      </c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>
        <v>11.6</v>
      </c>
      <c r="AA13" s="68" t="n">
        <v>15</v>
      </c>
      <c r="AB13" s="68" t="n">
        <v>16.4</v>
      </c>
      <c r="AC13" s="68" t="n">
        <v>17.3</v>
      </c>
      <c r="AD13" s="68" t="n">
        <v>18</v>
      </c>
      <c r="AE13" s="68" t="n">
        <v>19.2</v>
      </c>
      <c r="AF13" s="68" t="n">
        <v>19.4</v>
      </c>
      <c r="AG13" s="68" t="n">
        <v>20.6</v>
      </c>
      <c r="AH13" s="68" t="n">
        <v>22.3</v>
      </c>
      <c r="AI13" s="68" t="n">
        <v>23.1</v>
      </c>
      <c r="AJ13" s="68" t="n">
        <v>23.6</v>
      </c>
      <c r="AK13" s="68" t="n">
        <v>24.1</v>
      </c>
      <c r="AL13" s="68" t="n">
        <v>25.5</v>
      </c>
      <c r="AM13" s="68" t="n">
        <v>23.5</v>
      </c>
      <c r="AN13" s="68" t="n">
        <v>24.3</v>
      </c>
      <c r="AO13" s="68" t="n">
        <v>25.2</v>
      </c>
    </row>
    <row r="14">
      <c r="A14" s="66" t="inlineStr">
        <is>
          <t>유동비율</t>
        </is>
      </c>
      <c r="B14" s="68" t="n"/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>
        <v>140.6</v>
      </c>
      <c r="AA14" s="68" t="n">
        <v>197</v>
      </c>
      <c r="AB14" s="68" t="n">
        <v>209.1</v>
      </c>
      <c r="AC14" s="68" t="n">
        <v>193</v>
      </c>
      <c r="AD14" s="68" t="n">
        <v>202</v>
      </c>
      <c r="AE14" s="68" t="n">
        <v>203.6</v>
      </c>
      <c r="AF14" s="68" t="n">
        <v>207.6</v>
      </c>
      <c r="AG14" s="68" t="n">
        <v>214.1</v>
      </c>
      <c r="AH14" s="68" t="n">
        <v>210.6</v>
      </c>
      <c r="AI14" s="68" t="n">
        <v>220.7</v>
      </c>
      <c r="AJ14" s="68" t="n">
        <v>192.2</v>
      </c>
      <c r="AK14" s="68" t="n">
        <v>182.1</v>
      </c>
      <c r="AL14" s="68" t="n">
        <v>191.3</v>
      </c>
      <c r="AM14" s="68" t="n">
        <v>181.3</v>
      </c>
      <c r="AN14" s="68" t="n">
        <v>179.8</v>
      </c>
      <c r="AO14" s="68" t="n">
        <v>169.2</v>
      </c>
    </row>
    <row r="15">
      <c r="A15" s="66" t="inlineStr">
        <is>
          <t>부채비율</t>
        </is>
      </c>
      <c r="B15" s="68" t="n"/>
      <c r="C15" s="68" t="n"/>
      <c r="D15" s="68" t="n"/>
      <c r="E15" s="68" t="n"/>
      <c r="F15" s="68" t="n"/>
      <c r="G15" s="68" t="n"/>
      <c r="H15" s="68" t="n"/>
      <c r="I15" s="68" t="n"/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>
        <v>139.7</v>
      </c>
      <c r="AA15" s="68" t="n">
        <v>122.7</v>
      </c>
      <c r="AB15" s="68" t="n">
        <v>102.4</v>
      </c>
      <c r="AC15" s="68" t="n">
        <v>96</v>
      </c>
      <c r="AD15" s="68" t="n">
        <v>88.3</v>
      </c>
      <c r="AE15" s="68" t="n">
        <v>90.09999999999999</v>
      </c>
      <c r="AF15" s="68" t="n">
        <v>83</v>
      </c>
      <c r="AG15" s="68" t="n">
        <v>71.40000000000001</v>
      </c>
      <c r="AH15" s="68" t="n">
        <v>67.3</v>
      </c>
      <c r="AI15" s="68" t="n">
        <v>74.90000000000001</v>
      </c>
      <c r="AJ15" s="68" t="n">
        <v>71.2</v>
      </c>
      <c r="AK15" s="68" t="n">
        <v>65.59999999999999</v>
      </c>
      <c r="AL15" s="68" t="n">
        <v>60.4</v>
      </c>
      <c r="AM15" s="68" t="n">
        <v>80.40000000000001</v>
      </c>
      <c r="AN15" s="68" t="n">
        <v>71.59999999999999</v>
      </c>
      <c r="AO15" s="68" t="n">
        <v>66.7</v>
      </c>
    </row>
    <row r="16">
      <c r="A16" s="66" t="inlineStr">
        <is>
          <t>순차입금/자기자본</t>
        </is>
      </c>
      <c r="B16" s="68" t="n"/>
      <c r="C16" s="68" t="n"/>
      <c r="D16" s="68" t="n"/>
      <c r="E16" s="68" t="n"/>
      <c r="F16" s="68" t="n"/>
      <c r="G16" s="68" t="n"/>
      <c r="H16" s="68" t="n"/>
      <c r="I16" s="68" t="n"/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>
        <v>23.3</v>
      </c>
      <c r="AA16" s="68" t="n">
        <v>8</v>
      </c>
      <c r="AB16" s="68" t="n">
        <v>10.4</v>
      </c>
      <c r="AC16" s="68" t="n">
        <v>4</v>
      </c>
      <c r="AD16" s="68" t="n">
        <v>-0.6</v>
      </c>
      <c r="AE16" s="68" t="n">
        <v>-2.6</v>
      </c>
      <c r="AF16" s="68" t="n">
        <v>-4.6</v>
      </c>
      <c r="AG16" s="68" t="n">
        <v>-7.8</v>
      </c>
      <c r="AH16" s="68" t="n">
        <v>-5.8</v>
      </c>
      <c r="AI16" s="68" t="n">
        <v>-14.7</v>
      </c>
      <c r="AJ16" s="68" t="n">
        <v>13.6</v>
      </c>
      <c r="AK16" s="68" t="n">
        <v>2.9</v>
      </c>
      <c r="AL16" s="68" t="n">
        <v>-1.6</v>
      </c>
      <c r="AM16" s="68" t="n">
        <v>-2.1</v>
      </c>
      <c r="AN16" s="68" t="n">
        <v>0.8</v>
      </c>
      <c r="AO16" s="68" t="n">
        <v>2.4</v>
      </c>
    </row>
    <row r="17">
      <c r="A17" s="66" t="inlineStr">
        <is>
          <t>재고자산</t>
        </is>
      </c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>
        <v>0.4</v>
      </c>
      <c r="AA17" s="67" t="n">
        <v>0.3</v>
      </c>
      <c r="AB17" s="67" t="n">
        <v>0.4</v>
      </c>
      <c r="AC17" s="67" t="n">
        <v>0.4</v>
      </c>
      <c r="AD17" s="67" t="n">
        <v>0.3</v>
      </c>
      <c r="AE17" s="67" t="n">
        <v>0.3</v>
      </c>
      <c r="AF17" s="67" t="n">
        <v>0.2</v>
      </c>
      <c r="AG17" s="67" t="n">
        <v>0.2</v>
      </c>
      <c r="AH17" s="67" t="n">
        <v>0.1</v>
      </c>
      <c r="AI17" s="67" t="n">
        <v>0.1</v>
      </c>
      <c r="AJ17" s="67" t="n">
        <v>0.1</v>
      </c>
      <c r="AK17" s="67" t="n">
        <v>0.2</v>
      </c>
      <c r="AL17" s="67" t="n">
        <v>0.2</v>
      </c>
      <c r="AM17" s="67" t="n">
        <v>0.3</v>
      </c>
      <c r="AN17" s="67" t="n">
        <v>0.3</v>
      </c>
      <c r="AO17" s="67" t="n">
        <v>0.3</v>
      </c>
    </row>
    <row r="18">
      <c r="A18" s="66" t="inlineStr">
        <is>
          <t>재고자산 회전일수</t>
        </is>
      </c>
      <c r="B18" s="67" t="n"/>
      <c r="C18" s="67" t="n"/>
      <c r="D18" s="67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>
        <v>4</v>
      </c>
      <c r="AA18" s="67" t="n">
        <v>3</v>
      </c>
      <c r="AB18" s="67" t="n">
        <v>4</v>
      </c>
      <c r="AC18" s="67" t="n">
        <v>3</v>
      </c>
      <c r="AD18" s="67" t="n">
        <v>2</v>
      </c>
      <c r="AE18" s="67" t="n">
        <v>2</v>
      </c>
      <c r="AF18" s="67" t="n">
        <v>2</v>
      </c>
      <c r="AG18" s="67" t="n">
        <v>1</v>
      </c>
      <c r="AH18" s="67" t="n">
        <v>1</v>
      </c>
      <c r="AI18" s="67" t="n">
        <v>1</v>
      </c>
      <c r="AJ18" s="67" t="n">
        <v>1</v>
      </c>
      <c r="AK18" s="67" t="n">
        <v>1</v>
      </c>
      <c r="AL18" s="67" t="n">
        <v>1</v>
      </c>
      <c r="AM18" s="67" t="n">
        <v>2</v>
      </c>
      <c r="AN18" s="67" t="n">
        <v>2</v>
      </c>
      <c r="AO18" s="67" t="n">
        <v>2</v>
      </c>
    </row>
    <row r="19">
      <c r="A19" s="66" t="inlineStr">
        <is>
          <t>매출채권 회전일수</t>
        </is>
      </c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67" t="n">
        <v>55</v>
      </c>
      <c r="AA19" s="67" t="n">
        <v>55</v>
      </c>
      <c r="AB19" s="67" t="n">
        <v>61</v>
      </c>
      <c r="AC19" s="67" t="n">
        <v>61</v>
      </c>
      <c r="AD19" s="67" t="n">
        <v>65</v>
      </c>
      <c r="AE19" s="67" t="n">
        <v>69</v>
      </c>
      <c r="AF19" s="67" t="n">
        <v>72</v>
      </c>
      <c r="AG19" s="67" t="n">
        <v>67</v>
      </c>
      <c r="AH19" s="67" t="n">
        <v>72</v>
      </c>
      <c r="AI19" s="67" t="n">
        <v>61</v>
      </c>
      <c r="AJ19" s="67" t="n">
        <v>75</v>
      </c>
      <c r="AK19" s="67" t="n">
        <v>61</v>
      </c>
      <c r="AL19" s="67" t="n">
        <v>63</v>
      </c>
      <c r="AM19" s="67" t="n">
        <v>56</v>
      </c>
      <c r="AN19" s="67" t="n">
        <v>55</v>
      </c>
      <c r="AO19" s="67" t="n">
        <v>58</v>
      </c>
    </row>
    <row r="20">
      <c r="A20" s="66" t="inlineStr">
        <is>
          <t>매입채무 회전일수</t>
        </is>
      </c>
      <c r="B20" s="67" t="n"/>
      <c r="C20" s="67" t="n"/>
      <c r="D20" s="67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67" t="n">
        <v>11</v>
      </c>
      <c r="AA20" s="67" t="n">
        <v>13</v>
      </c>
      <c r="AB20" s="67" t="n">
        <v>12</v>
      </c>
      <c r="AC20" s="67" t="n">
        <v>12</v>
      </c>
      <c r="AD20" s="67" t="n">
        <v>13</v>
      </c>
      <c r="AE20" s="67" t="n">
        <v>17</v>
      </c>
      <c r="AF20" s="67" t="n">
        <v>15</v>
      </c>
      <c r="AG20" s="67" t="n">
        <v>14</v>
      </c>
      <c r="AH20" s="67" t="n">
        <v>15</v>
      </c>
      <c r="AI20" s="67" t="n">
        <v>14</v>
      </c>
      <c r="AJ20" s="67" t="n">
        <v>15</v>
      </c>
      <c r="AK20" s="67" t="n">
        <v>12</v>
      </c>
      <c r="AL20" s="67" t="n">
        <v>13</v>
      </c>
      <c r="AM20" s="67" t="n">
        <v>12</v>
      </c>
      <c r="AN20" s="67" t="n">
        <v>13</v>
      </c>
      <c r="AO20" s="67" t="n">
        <v>13</v>
      </c>
    </row>
    <row r="21">
      <c r="A21" s="66" t="inlineStr">
        <is>
          <t>현금전환주기(CCC)</t>
        </is>
      </c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>
        <v>48</v>
      </c>
      <c r="AA21" s="67" t="n">
        <v>45</v>
      </c>
      <c r="AB21" s="67" t="n">
        <v>53</v>
      </c>
      <c r="AC21" s="67" t="n">
        <v>52</v>
      </c>
      <c r="AD21" s="67" t="n">
        <v>54</v>
      </c>
      <c r="AE21" s="67" t="n">
        <v>54</v>
      </c>
      <c r="AF21" s="67" t="n">
        <v>59</v>
      </c>
      <c r="AG21" s="67" t="n">
        <v>54</v>
      </c>
      <c r="AH21" s="67" t="n">
        <v>58</v>
      </c>
      <c r="AI21" s="67" t="n">
        <v>48</v>
      </c>
      <c r="AJ21" s="67" t="n">
        <v>61</v>
      </c>
      <c r="AK21" s="67" t="n">
        <v>50</v>
      </c>
      <c r="AL21" s="67" t="n">
        <v>51</v>
      </c>
      <c r="AM21" s="67" t="n">
        <v>46</v>
      </c>
      <c r="AN21" s="67" t="n">
        <v>44</v>
      </c>
      <c r="AO21" s="67" t="n">
        <v>47</v>
      </c>
    </row>
    <row r="22">
      <c r="A22" s="66" t="inlineStr">
        <is>
          <t>총 차입금</t>
        </is>
      </c>
      <c r="B22" s="67" t="n"/>
      <c r="C22" s="67" t="n"/>
      <c r="D22" s="67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67" t="n">
        <v>9</v>
      </c>
      <c r="AA22" s="67" t="n">
        <v>11.9</v>
      </c>
      <c r="AB22" s="67" t="n">
        <v>11</v>
      </c>
      <c r="AC22" s="67" t="n">
        <v>9.899999999999999</v>
      </c>
      <c r="AD22" s="67" t="n">
        <v>8.9</v>
      </c>
      <c r="AE22" s="67" t="n">
        <v>9.5</v>
      </c>
      <c r="AF22" s="67" t="n">
        <v>8.4</v>
      </c>
      <c r="AG22" s="67" t="n">
        <v>7.1</v>
      </c>
      <c r="AH22" s="67" t="n">
        <v>6.300000000000001</v>
      </c>
      <c r="AI22" s="67" t="n">
        <v>9.199999999999999</v>
      </c>
      <c r="AJ22" s="67" t="n">
        <v>9.1</v>
      </c>
      <c r="AK22" s="67" t="n">
        <v>7.9</v>
      </c>
      <c r="AL22" s="67" t="n">
        <v>6.9</v>
      </c>
      <c r="AM22" s="67" t="n">
        <v>10.6</v>
      </c>
      <c r="AN22" s="67" t="n">
        <v>9.199999999999999</v>
      </c>
      <c r="AO22" s="67" t="n">
        <v>8</v>
      </c>
    </row>
    <row r="23">
      <c r="A23" s="66" t="inlineStr">
        <is>
          <t>현금</t>
        </is>
      </c>
      <c r="B23" s="67" t="n"/>
      <c r="C23" s="67" t="n"/>
      <c r="D23" s="67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67" t="n">
        <v>6.3</v>
      </c>
      <c r="AA23" s="67" t="n">
        <v>10.7</v>
      </c>
      <c r="AB23" s="67" t="n">
        <v>9.300000000000001</v>
      </c>
      <c r="AC23" s="67" t="n">
        <v>9.199999999999999</v>
      </c>
      <c r="AD23" s="67" t="n">
        <v>9</v>
      </c>
      <c r="AE23" s="67" t="n">
        <v>10</v>
      </c>
      <c r="AF23" s="67" t="n">
        <v>9.300000000000001</v>
      </c>
      <c r="AG23" s="67" t="n">
        <v>8.699999999999999</v>
      </c>
      <c r="AH23" s="67" t="n">
        <v>7.6</v>
      </c>
      <c r="AI23" s="67" t="n">
        <v>12.6</v>
      </c>
      <c r="AJ23" s="67" t="n">
        <v>5.9</v>
      </c>
      <c r="AK23" s="67" t="n">
        <v>7.2</v>
      </c>
      <c r="AL23" s="67" t="n">
        <v>7.3</v>
      </c>
      <c r="AM23" s="67" t="n">
        <v>11.1</v>
      </c>
      <c r="AN23" s="67" t="n">
        <v>9</v>
      </c>
      <c r="AO23" s="67" t="n">
        <v>7.4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2026-10-30T07:43:14Z</dcterms:created>
  <dcterms:modified xmlns:dcterms="http://purl.org/dc/terms/" xmlns:xsi="http://www.w3.org/2001/XMLSchema-instance" xsi:type="dcterms:W3CDTF">2026-10-30T07:43:17Z</dcterms:modified>
</cp:coreProperties>
</file>