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4461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15316</v>
      </c>
      <c r="D4" s="12" t="n">
        <v>16434</v>
      </c>
      <c r="E4" s="12" t="n">
        <v>17484</v>
      </c>
      <c r="F4" s="12" t="n">
        <v>17531</v>
      </c>
      <c r="G4" s="12" t="n">
        <v>17900</v>
      </c>
      <c r="H4" s="12" t="n">
        <v>18840</v>
      </c>
      <c r="I4" s="12" t="n">
        <v>18984</v>
      </c>
      <c r="J4" s="12" t="n">
        <v>19046</v>
      </c>
      <c r="K4" s="12" t="n">
        <v>18565</v>
      </c>
      <c r="L4" s="12" t="n">
        <v>22598</v>
      </c>
      <c r="M4" s="12" t="n">
        <v>22677</v>
      </c>
      <c r="N4" s="12" t="n">
        <v>27501</v>
      </c>
      <c r="O4" s="11" t="n">
        <v>52254</v>
      </c>
      <c r="P4" s="12" t="n">
        <v>56955</v>
      </c>
      <c r="Q4" s="12" t="n">
        <v>59574</v>
      </c>
      <c r="R4" s="12" t="n">
        <v>61456</v>
      </c>
      <c r="S4" s="12" t="n">
        <v>59140</v>
      </c>
      <c r="T4" s="12" t="n">
        <v>62672</v>
      </c>
      <c r="U4" s="12" t="n">
        <v>65081</v>
      </c>
      <c r="V4" s="12" t="n">
        <v>63118</v>
      </c>
      <c r="W4" s="12" t="n">
        <v>73255</v>
      </c>
      <c r="X4" s="12" t="n">
        <v>82886</v>
      </c>
      <c r="Y4" s="11">
        <f>IF(COUNT(Y7,Y10,Y13,Y16,Y19,Y22,Y25,Y28,Y31,Y34,Y37)=0,"",SUM(Y7,Y10,Y13,Y16,Y19,Y22,Y25,Y28,Y31,Y34,Y37))</f>
        <v/>
      </c>
      <c r="Z4" s="12">
        <f>IF(COUNT(Z7,Z10,Z13,Z16,Z19,Z22,Z25,Z28,Z31,Z34,Z37)=0,"",SUM(Z7,Z10,Z13,Z16,Z19,Z22,Z25,Z28,Z31,Z34,Z37))</f>
        <v/>
      </c>
      <c r="AA4" s="12">
        <f>IF(COUNT(AA7,AA10,AA13,AA16,AA19,AA22,AA25,AA28,AA31,AA34,AA37)=0,"",SUM(AA7,AA10,AA13,AA16,AA19,AA22,AA25,AA28,AA31,AA34,AA37))</f>
        <v/>
      </c>
      <c r="AB4" s="12">
        <f>IF(COUNT(AB7,AB10,AB13,AB16,AB19,AB22,AB25,AB28,AB31,AB34,AB37)=0,"",SUM(AB7,AB10,AB13,AB16,AB19,AB22,AB25,AB28,AB31,AB34,AB37))</f>
        <v/>
      </c>
      <c r="AC4" s="12">
        <f>IF(COUNT(AC7,AC10,AC13,AC16,AC19,AC22,AC25,AC28,AC31,AC34,AC37)=0,"",SUM(AC7,AC10,AC13,AC16,AC19,AC22,AC25,AC28,AC31,AC34,AC37))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Electronics And ITRepotable Segments</t>
        </is>
      </c>
      <c r="B7" s="10" t="n"/>
      <c r="C7" s="19" t="n"/>
      <c r="D7" s="20" t="n"/>
      <c r="E7" s="20" t="n"/>
      <c r="F7" s="20" t="n">
        <v>6239</v>
      </c>
      <c r="G7" s="20" t="n">
        <v>6387</v>
      </c>
      <c r="H7" s="20" t="n">
        <v>6136</v>
      </c>
      <c r="I7" s="20" t="n">
        <v>6288</v>
      </c>
      <c r="J7" s="20" t="n">
        <v>6937</v>
      </c>
      <c r="K7" s="20" t="n">
        <v>7039</v>
      </c>
      <c r="L7" s="20" t="n">
        <v>8190</v>
      </c>
      <c r="M7" s="20" t="n">
        <v>8341</v>
      </c>
      <c r="N7" s="20" t="n">
        <v>10840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25050</v>
      </c>
      <c r="X7" s="20" t="n">
        <v>30507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Environment And Energy Repotable Segments</t>
        </is>
      </c>
      <c r="B10" s="10" t="n"/>
      <c r="C10" s="19" t="n"/>
      <c r="D10" s="20" t="n"/>
      <c r="E10" s="20" t="n"/>
      <c r="F10" s="20" t="n">
        <v>3976</v>
      </c>
      <c r="G10" s="20" t="n">
        <v>4308</v>
      </c>
      <c r="H10" s="20" t="n">
        <v>5049</v>
      </c>
      <c r="I10" s="20" t="n">
        <v>5380</v>
      </c>
      <c r="J10" s="20" t="n">
        <v>4627</v>
      </c>
      <c r="K10" s="20" t="n">
        <v>4704</v>
      </c>
      <c r="L10" s="20" t="n">
        <v>6708</v>
      </c>
      <c r="M10" s="20" t="n">
        <v>7265</v>
      </c>
      <c r="N10" s="20" t="n">
        <v>8416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18713</v>
      </c>
      <c r="X10" s="20" t="n">
        <v>23304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Life And Wellness Repotable Segments</t>
        </is>
      </c>
      <c r="B13" s="10" t="n"/>
      <c r="C13" s="19" t="n"/>
      <c r="D13" s="20" t="n"/>
      <c r="E13" s="20" t="n"/>
      <c r="F13" s="20" t="n">
        <v>3387</v>
      </c>
      <c r="G13" s="20" t="n">
        <v>3354</v>
      </c>
      <c r="H13" s="20" t="n">
        <v>3710</v>
      </c>
      <c r="I13" s="20" t="n">
        <v>3296</v>
      </c>
      <c r="J13" s="20" t="n">
        <v>3512</v>
      </c>
      <c r="K13" s="20" t="n">
        <v>3384</v>
      </c>
      <c r="L13" s="20" t="n">
        <v>3668</v>
      </c>
      <c r="M13" s="20" t="n">
        <v>3328</v>
      </c>
      <c r="N13" s="20" t="n">
        <v>3809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>
        <v>13747</v>
      </c>
      <c r="X13" s="20" t="n">
        <v>13892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Core Materials Repotable Segments</t>
        </is>
      </c>
      <c r="B16" s="10" t="n"/>
      <c r="C16" s="19" t="n"/>
      <c r="D16" s="20" t="n"/>
      <c r="E16" s="20" t="n"/>
      <c r="F16" s="20" t="n">
        <v>3927</v>
      </c>
      <c r="G16" s="20" t="n">
        <v>3852</v>
      </c>
      <c r="H16" s="20" t="n">
        <v>3944</v>
      </c>
      <c r="I16" s="20" t="n">
        <v>4020</v>
      </c>
      <c r="J16" s="20" t="n">
        <v>3969</v>
      </c>
      <c r="K16" s="20" t="n">
        <v>3437</v>
      </c>
      <c r="L16" s="20" t="n">
        <v>4032</v>
      </c>
      <c r="M16" s="20" t="n">
        <v>3744</v>
      </c>
      <c r="N16" s="20" t="n">
        <v>4435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15743</v>
      </c>
      <c r="X16" s="20" t="n">
        <v>15182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Surfactants Reportable Segments</t>
        </is>
      </c>
      <c r="B19" s="10" t="n"/>
      <c r="C19" s="19" t="n">
        <v>4522</v>
      </c>
      <c r="D19" s="20" t="n">
        <v>4863</v>
      </c>
      <c r="E19" s="20" t="n">
        <v>4857</v>
      </c>
      <c r="F19" s="20" t="n">
        <v>4886</v>
      </c>
      <c r="G19" s="20" t="n">
        <v>4581</v>
      </c>
      <c r="H19" s="20" t="n">
        <v>5113</v>
      </c>
      <c r="I19" s="20" t="n">
        <v>4738</v>
      </c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18529</v>
      </c>
      <c r="W19" s="20" t="n">
        <v>19318</v>
      </c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Amenity Materials Reportable Segments</t>
        </is>
      </c>
      <c r="B22" s="10" t="n"/>
      <c r="C22" s="19" t="n">
        <v>2024</v>
      </c>
      <c r="D22" s="20" t="n">
        <v>2196</v>
      </c>
      <c r="E22" s="20" t="n">
        <v>2241</v>
      </c>
      <c r="F22" s="20" t="n">
        <v>2306</v>
      </c>
      <c r="G22" s="20" t="n">
        <v>2287</v>
      </c>
      <c r="H22" s="20" t="n">
        <v>2218</v>
      </c>
      <c r="I22" s="20" t="n">
        <v>2319</v>
      </c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>
        <v>8430</v>
      </c>
      <c r="W22" s="20" t="n">
        <v>9130</v>
      </c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Polyurethane Materials Reportable Segments</t>
        </is>
      </c>
      <c r="B25" s="10" t="n"/>
      <c r="C25" s="19" t="n">
        <v>2244</v>
      </c>
      <c r="D25" s="20" t="n">
        <v>2129</v>
      </c>
      <c r="E25" s="20" t="n">
        <v>2346</v>
      </c>
      <c r="F25" s="20" t="n">
        <v>2228</v>
      </c>
      <c r="G25" s="20" t="n">
        <v>2266</v>
      </c>
      <c r="H25" s="20" t="n">
        <v>2222</v>
      </c>
      <c r="I25" s="20" t="n">
        <v>2531</v>
      </c>
      <c r="J25" s="20" t="n"/>
      <c r="K25" s="20" t="n"/>
      <c r="L25" s="20" t="n"/>
      <c r="M25" s="20" t="n"/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>
        <v>8870</v>
      </c>
      <c r="W25" s="20" t="n">
        <v>9247</v>
      </c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Functional Materials Reportable Segments</t>
        </is>
      </c>
      <c r="B28" s="10" t="n"/>
      <c r="C28" s="19" t="n">
        <v>5270</v>
      </c>
      <c r="D28" s="20" t="n">
        <v>6007</v>
      </c>
      <c r="E28" s="20" t="n">
        <v>6201</v>
      </c>
      <c r="F28" s="20" t="n">
        <v>6525</v>
      </c>
      <c r="G28" s="20" t="n">
        <v>7008</v>
      </c>
      <c r="H28" s="20" t="n">
        <v>6916</v>
      </c>
      <c r="I28" s="20" t="n">
        <v>6702</v>
      </c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>
        <v>21439</v>
      </c>
      <c r="W28" s="20" t="n">
        <v>27151</v>
      </c>
      <c r="X28" s="20" t="n"/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8" t="inlineStr">
        <is>
          <t>Electronic Devaices Materials Reportable Segments</t>
        </is>
      </c>
      <c r="B31" s="10" t="n"/>
      <c r="C31" s="19" t="n">
        <v>1190</v>
      </c>
      <c r="D31" s="20" t="n"/>
      <c r="E31" s="20" t="n"/>
      <c r="F31" s="20" t="n">
        <v>1504</v>
      </c>
      <c r="G31" s="20" t="n">
        <v>1642</v>
      </c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1" t="n"/>
      <c r="Z31" s="22" t="n"/>
      <c r="AA31" s="22" t="n"/>
      <c r="AB31" s="22" t="n"/>
      <c r="AC31" s="22" t="n"/>
    </row>
    <row r="32">
      <c r="A32" s="13" t="inlineStr">
        <is>
          <t>비중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8" t="inlineStr">
        <is>
          <t>Electronic Devices Materials Reportable Segments</t>
        </is>
      </c>
      <c r="B34" s="10" t="n"/>
      <c r="C34" s="19" t="n"/>
      <c r="D34" s="20" t="n"/>
      <c r="E34" s="20" t="n">
        <v>1696</v>
      </c>
      <c r="F34" s="20" t="n"/>
      <c r="G34" s="20" t="n"/>
      <c r="H34" s="20" t="n"/>
      <c r="I34" s="20" t="n">
        <v>2570</v>
      </c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>
        <v>5456</v>
      </c>
      <c r="W34" s="20" t="n">
        <v>7967</v>
      </c>
      <c r="X34" s="20" t="n"/>
      <c r="Y34" s="21" t="n"/>
      <c r="Z34" s="22" t="n"/>
      <c r="AA34" s="22" t="n"/>
      <c r="AB34" s="22" t="n"/>
      <c r="AC34" s="22" t="n"/>
    </row>
    <row r="35">
      <c r="A35" s="13" t="inlineStr">
        <is>
          <t>비중</t>
        </is>
      </c>
      <c r="B35" s="10" t="n"/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>
        <f>IF(OR(Y34="",Y4=""),"",IFERROR(Y34/Y4,""))</f>
        <v/>
      </c>
      <c r="Z35" s="15">
        <f>IF(OR(Z34="",Z4=""),"",IFERROR(Z34/Z4,""))</f>
        <v/>
      </c>
      <c r="AA35" s="15">
        <f>IF(OR(AA34="",AA4=""),"",IFERROR(AA34/AA4,""))</f>
        <v/>
      </c>
      <c r="AB35" s="15">
        <f>IF(OR(AB34="",AB4=""),"",IFERROR(AB34/AB4,""))</f>
        <v/>
      </c>
      <c r="AC35" s="15">
        <f>IF(OR(AC34="",AC4=""),"",IFERROR(AC34/AC4,""))</f>
        <v/>
      </c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8" t="inlineStr">
        <is>
          <t>Life Science Repotable Segments</t>
        </is>
      </c>
      <c r="B37" s="10" t="n"/>
      <c r="C37" s="19" t="n">
        <v>68</v>
      </c>
      <c r="D37" s="20" t="n">
        <v>92</v>
      </c>
      <c r="E37" s="20" t="n">
        <v>143</v>
      </c>
      <c r="F37" s="20" t="n">
        <v>79</v>
      </c>
      <c r="G37" s="20" t="n">
        <v>115</v>
      </c>
      <c r="H37" s="20" t="n">
        <v>121</v>
      </c>
      <c r="I37" s="20" t="n">
        <v>124</v>
      </c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>
        <v>392</v>
      </c>
      <c r="W37" s="20" t="n">
        <v>439</v>
      </c>
      <c r="X37" s="20" t="n"/>
      <c r="Y37" s="21" t="n"/>
      <c r="Z37" s="22" t="n"/>
      <c r="AA37" s="22" t="n"/>
      <c r="AB37" s="22" t="n"/>
      <c r="AC37" s="22" t="n"/>
    </row>
    <row r="38">
      <c r="A38" s="13" t="inlineStr">
        <is>
          <t>비중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>
        <f>IF(OR(Y37="",Y4=""),"",IFERROR(Y37/Y4,""))</f>
        <v/>
      </c>
      <c r="Z38" s="15">
        <f>IF(OR(Z37="",Z4=""),"",IFERROR(Z37/Z4,""))</f>
        <v/>
      </c>
      <c r="AA38" s="15">
        <f>IF(OR(AA37="",AA4=""),"",IFERROR(AA37/AA4,""))</f>
        <v/>
      </c>
      <c r="AB38" s="15">
        <f>IF(OR(AB37="",AB4=""),"",IFERROR(AB37/AB4,""))</f>
        <v/>
      </c>
      <c r="AC38" s="15">
        <f>IF(OR(AC37="",AC4=""),"",IFERROR(AC37/AC4,""))</f>
        <v/>
      </c>
    </row>
    <row r="39">
      <c r="A39" s="13" t="inlineStr">
        <is>
          <t>YoY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매출원가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전체 매출원가</t>
        </is>
      </c>
      <c r="B41" s="10" t="n"/>
      <c r="C41" s="19" t="n">
        <v>12461</v>
      </c>
      <c r="D41" s="20" t="n">
        <v>12616</v>
      </c>
      <c r="E41" s="20" t="n">
        <v>13073</v>
      </c>
      <c r="F41" s="20" t="n">
        <v>13450</v>
      </c>
      <c r="G41" s="20" t="n">
        <v>13256</v>
      </c>
      <c r="H41" s="20" t="n">
        <v>14180</v>
      </c>
      <c r="I41" s="20" t="n">
        <v>14131</v>
      </c>
      <c r="J41" s="20" t="n">
        <v>13960</v>
      </c>
      <c r="K41" s="20" t="n">
        <v>12996</v>
      </c>
      <c r="L41" s="20" t="n">
        <v>15501</v>
      </c>
      <c r="M41" s="20" t="n">
        <v>15641</v>
      </c>
      <c r="N41" s="20" t="n">
        <v>18504</v>
      </c>
      <c r="O41" s="19" t="n">
        <v>38532</v>
      </c>
      <c r="P41" s="20" t="n">
        <v>41896</v>
      </c>
      <c r="Q41" s="20" t="n">
        <v>44130</v>
      </c>
      <c r="R41" s="20" t="n">
        <v>45991</v>
      </c>
      <c r="S41" s="20" t="n">
        <v>43961</v>
      </c>
      <c r="T41" s="20" t="n">
        <v>46954</v>
      </c>
      <c r="U41" s="20" t="n">
        <v>52120</v>
      </c>
      <c r="V41" s="20" t="n">
        <v>49733</v>
      </c>
      <c r="W41" s="20" t="n">
        <v>55017</v>
      </c>
      <c r="X41" s="20" t="n">
        <v>58098</v>
      </c>
      <c r="Y41" s="19" t="n"/>
      <c r="Z41" s="20" t="n"/>
      <c r="AA41" s="20" t="n"/>
      <c r="AB41" s="20" t="n"/>
      <c r="AC41" s="20" t="n"/>
    </row>
    <row r="42">
      <c r="A42" s="13" t="inlineStr">
        <is>
          <t>YoY</t>
        </is>
      </c>
      <c r="B42" s="10" t="n"/>
      <c r="C42" s="14" t="n"/>
      <c r="D42" s="15" t="n"/>
      <c r="E42" s="15" t="n"/>
      <c r="F42" s="15" t="n"/>
      <c r="G42" s="15">
        <f>IF(OR(G41="",C41=""),"",IF(C41&lt;=0,"",IFERROR(G41/C41-1,"")))</f>
        <v/>
      </c>
      <c r="H42" s="15">
        <f>IF(OR(H41="",D41=""),"",IF(D41&lt;=0,"",IFERROR(H41/D41-1,"")))</f>
        <v/>
      </c>
      <c r="I42" s="15">
        <f>IF(OR(I41="",E41=""),"",IF(E41&lt;=0,"",IFERROR(I41/E41-1,"")))</f>
        <v/>
      </c>
      <c r="J42" s="15">
        <f>IF(OR(J41="",F41=""),"",IF(F41&lt;=0,"",IFERROR(J41/F41-1,"")))</f>
        <v/>
      </c>
      <c r="K42" s="15">
        <f>IF(OR(K41="",G41=""),"",IF(G41&lt;=0,"",IFERROR(K41/G41-1,"")))</f>
        <v/>
      </c>
      <c r="L42" s="15">
        <f>IF(OR(L41="",H41=""),"",IF(H41&lt;=0,"",IFERROR(L41/H41-1,"")))</f>
        <v/>
      </c>
      <c r="M42" s="15">
        <f>IF(OR(M41="",I41=""),"",IF(I41&lt;=0,"",IFERROR(M41/I41-1,"")))</f>
        <v/>
      </c>
      <c r="N42" s="15">
        <f>IF(OR(N41="",J41=""),"",IF(J41&lt;=0,"",IFERROR(N41/J41-1,"")))</f>
        <v/>
      </c>
      <c r="O42" s="14" t="n"/>
      <c r="P42" s="15">
        <f>IF(OR(P41="",O41=""),"",IF(O41&lt;=0,"",IFERROR(P41/O41-1,"")))</f>
        <v/>
      </c>
      <c r="Q42" s="15">
        <f>IF(OR(Q41="",P41=""),"",IF(P41&lt;=0,"",IFERROR(Q41/P41-1,"")))</f>
        <v/>
      </c>
      <c r="R42" s="15">
        <f>IF(OR(R41="",Q41=""),"",IF(Q41&lt;=0,"",IFERROR(R41/Q41-1,"")))</f>
        <v/>
      </c>
      <c r="S42" s="15">
        <f>IF(OR(S41="",R41=""),"",IF(R41&lt;=0,"",IFERROR(S41/R41-1,"")))</f>
        <v/>
      </c>
      <c r="T42" s="15">
        <f>IF(OR(T41="",S41=""),"",IF(S41&lt;=0,"",IFERROR(T41/S41-1,"")))</f>
        <v/>
      </c>
      <c r="U42" s="15">
        <f>IF(OR(U41="",T41=""),"",IF(T41&lt;=0,"",IFERROR(U41/T41-1,"")))</f>
        <v/>
      </c>
      <c r="V42" s="15">
        <f>IF(OR(V41="",U41=""),"",IF(U41&lt;=0,"",IFERROR(V41/U41-1,"")))</f>
        <v/>
      </c>
      <c r="W42" s="15">
        <f>IF(OR(W41="",V41=""),"",IF(V41&lt;=0,"",IFERROR(W41/V41-1,"")))</f>
        <v/>
      </c>
      <c r="X42" s="15">
        <f>IF(OR(X41="",W41=""),"",IF(W41&lt;=0,"",IFERROR(X41/W41-1,"")))</f>
        <v/>
      </c>
      <c r="Y42" s="14">
        <f>IF(OR(Y41="",X41=""),"",IF(X41&lt;=0,"",IFERROR(Y41/X41-1,"")))</f>
        <v/>
      </c>
      <c r="Z42" s="15">
        <f>IF(OR(Z41="",Y41=""),"",IF(Y41&lt;=0,"",IFERROR(Z41/Y41-1,"")))</f>
        <v/>
      </c>
      <c r="AA42" s="15">
        <f>IF(OR(AA41="",Z41=""),"",IF(Z41&lt;=0,"",IFERROR(AA41/Z41-1,"")))</f>
        <v/>
      </c>
      <c r="AB42" s="15">
        <f>IF(OR(AB41="",AA41=""),"",IF(AA41&lt;=0,"",IFERROR(AB41/AA41-1,"")))</f>
        <v/>
      </c>
      <c r="AC42" s="15">
        <f>IF(OR(AC41="",AB41=""),"",IF(AB41&lt;=0,"",IFERROR(AC41/AB41-1,"")))</f>
        <v/>
      </c>
    </row>
    <row r="43">
      <c r="A43" s="18" t="inlineStr">
        <is>
          <t>매출총이익</t>
        </is>
      </c>
      <c r="B43" s="10" t="n"/>
      <c r="C43" s="19">
        <f>IF(OR(C4="",C41=""),"",IFERROR(C4-C41,""))</f>
        <v/>
      </c>
      <c r="D43" s="20">
        <f>IF(OR(D4="",D41=""),"",IFERROR(D4-D41,""))</f>
        <v/>
      </c>
      <c r="E43" s="20">
        <f>IF(OR(E4="",E41=""),"",IFERROR(E4-E41,""))</f>
        <v/>
      </c>
      <c r="F43" s="20">
        <f>IF(OR(F4="",F41=""),"",IFERROR(F4-F41,""))</f>
        <v/>
      </c>
      <c r="G43" s="20">
        <f>IF(OR(G4="",G41=""),"",IFERROR(G4-G41,""))</f>
        <v/>
      </c>
      <c r="H43" s="20">
        <f>IF(OR(H4="",H41=""),"",IFERROR(H4-H41,""))</f>
        <v/>
      </c>
      <c r="I43" s="20">
        <f>IF(OR(I4="",I41=""),"",IFERROR(I4-I41,""))</f>
        <v/>
      </c>
      <c r="J43" s="20">
        <f>IF(OR(J4="",J41=""),"",IFERROR(J4-J41,""))</f>
        <v/>
      </c>
      <c r="K43" s="20">
        <f>IF(OR(K4="",K41=""),"",IFERROR(K4-K41,""))</f>
        <v/>
      </c>
      <c r="L43" s="20">
        <f>IF(OR(L4="",L41=""),"",IFERROR(L4-L41,""))</f>
        <v/>
      </c>
      <c r="M43" s="20">
        <f>IF(OR(M4="",M41=""),"",IFERROR(M4-M41,""))</f>
        <v/>
      </c>
      <c r="N43" s="20">
        <f>IF(OR(N4="",N41=""),"",IFERROR(N4-N41,""))</f>
        <v/>
      </c>
      <c r="O43" s="19">
        <f>IF(OR(O4="",O41=""),"",IFERROR(O4-O41,""))</f>
        <v/>
      </c>
      <c r="P43" s="20">
        <f>IF(OR(P4="",P41=""),"",IFERROR(P4-P41,""))</f>
        <v/>
      </c>
      <c r="Q43" s="20">
        <f>IF(OR(Q4="",Q41=""),"",IFERROR(Q4-Q41,""))</f>
        <v/>
      </c>
      <c r="R43" s="20">
        <f>IF(OR(R4="",R41=""),"",IFERROR(R4-R41,""))</f>
        <v/>
      </c>
      <c r="S43" s="20">
        <f>IF(OR(S4="",S41=""),"",IFERROR(S4-S41,""))</f>
        <v/>
      </c>
      <c r="T43" s="20">
        <f>IF(OR(T4="",T41=""),"",IFERROR(T4-T41,""))</f>
        <v/>
      </c>
      <c r="U43" s="20">
        <f>IF(OR(U4="",U41=""),"",IFERROR(U4-U41,""))</f>
        <v/>
      </c>
      <c r="V43" s="20">
        <f>IF(OR(V4="",V41=""),"",IFERROR(V4-V41,""))</f>
        <v/>
      </c>
      <c r="W43" s="20">
        <f>IF(OR(W4="",W41=""),"",IFERROR(W4-W41,""))</f>
        <v/>
      </c>
      <c r="X43" s="20">
        <f>IF(OR(X4="",X41=""),"",IFERROR(X4-X41,""))</f>
        <v/>
      </c>
      <c r="Y43" s="19" t="n"/>
      <c r="Z43" s="20" t="n"/>
      <c r="AA43" s="20" t="n"/>
      <c r="AB43" s="20" t="n"/>
      <c r="AC43" s="20" t="n"/>
    </row>
    <row r="44">
      <c r="A44" s="13" t="inlineStr">
        <is>
          <t>GPM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>
        <f>IF(OR(Y43="",Y4=""),"",IFERROR(Y43/Y4,""))</f>
        <v/>
      </c>
      <c r="Z44" s="15">
        <f>IF(OR(Z43="",Z4=""),"",IFERROR(Z43/Z4,""))</f>
        <v/>
      </c>
      <c r="AA44" s="15">
        <f>IF(OR(AA43="",AA4=""),"",IFERROR(AA43/AA4,""))</f>
        <v/>
      </c>
      <c r="AB44" s="15">
        <f>IF(OR(AB43="",AB4=""),"",IFERROR(AB43/AB4,""))</f>
        <v/>
      </c>
      <c r="AC44" s="15">
        <f>IF(OR(AC43="",AC4=""),"",IFERROR(AC43/AC4,""))</f>
        <v/>
      </c>
    </row>
    <row r="45">
      <c r="A45" s="13" t="inlineStr">
        <is>
          <t>YoY</t>
        </is>
      </c>
      <c r="B45" s="10" t="n"/>
      <c r="C45" s="14" t="n"/>
      <c r="D45" s="15" t="n"/>
      <c r="E45" s="15" t="n"/>
      <c r="F45" s="15" t="n"/>
      <c r="G45" s="15">
        <f>IF(OR(G43="",C43=""),"",IF(C43&lt;=0,"",IFERROR(G43/C43-1,"")))</f>
        <v/>
      </c>
      <c r="H45" s="15">
        <f>IF(OR(H43="",D43=""),"",IF(D43&lt;=0,"",IFERROR(H43/D43-1,"")))</f>
        <v/>
      </c>
      <c r="I45" s="15">
        <f>IF(OR(I43="",E43=""),"",IF(E43&lt;=0,"",IFERROR(I43/E43-1,"")))</f>
        <v/>
      </c>
      <c r="J45" s="15">
        <f>IF(OR(J43="",F43=""),"",IF(F43&lt;=0,"",IFERROR(J43/F43-1,"")))</f>
        <v/>
      </c>
      <c r="K45" s="15">
        <f>IF(OR(K43="",G43=""),"",IF(G43&lt;=0,"",IFERROR(K43/G43-1,"")))</f>
        <v/>
      </c>
      <c r="L45" s="15">
        <f>IF(OR(L43="",H43=""),"",IF(H43&lt;=0,"",IFERROR(L43/H43-1,"")))</f>
        <v/>
      </c>
      <c r="M45" s="15">
        <f>IF(OR(M43="",I43=""),"",IF(I43&lt;=0,"",IFERROR(M43/I43-1,"")))</f>
        <v/>
      </c>
      <c r="N45" s="15">
        <f>IF(OR(N43="",J43=""),"",IF(J43&lt;=0,"",IFERROR(N43/J43-1,"")))</f>
        <v/>
      </c>
      <c r="O45" s="14" t="n"/>
      <c r="P45" s="15">
        <f>IF(OR(P43="",O43=""),"",IF(O43&lt;=0,"",IFERROR(P43/O43-1,"")))</f>
        <v/>
      </c>
      <c r="Q45" s="15">
        <f>IF(OR(Q43="",P43=""),"",IF(P43&lt;=0,"",IFERROR(Q43/P43-1,"")))</f>
        <v/>
      </c>
      <c r="R45" s="15">
        <f>IF(OR(R43="",Q43=""),"",IF(Q43&lt;=0,"",IFERROR(R43/Q43-1,"")))</f>
        <v/>
      </c>
      <c r="S45" s="15">
        <f>IF(OR(S43="",R43=""),"",IF(R43&lt;=0,"",IFERROR(S43/R43-1,"")))</f>
        <v/>
      </c>
      <c r="T45" s="15">
        <f>IF(OR(T43="",S43=""),"",IF(S43&lt;=0,"",IFERROR(T43/S43-1,"")))</f>
        <v/>
      </c>
      <c r="U45" s="15">
        <f>IF(OR(U43="",T43=""),"",IF(T43&lt;=0,"",IFERROR(U43/T43-1,"")))</f>
        <v/>
      </c>
      <c r="V45" s="15">
        <f>IF(OR(V43="",U43=""),"",IF(U43&lt;=0,"",IFERROR(V43/U43-1,"")))</f>
        <v/>
      </c>
      <c r="W45" s="15">
        <f>IF(OR(W43="",V43=""),"",IF(V43&lt;=0,"",IFERROR(W43/V43-1,"")))</f>
        <v/>
      </c>
      <c r="X45" s="15">
        <f>IF(OR(X43="",W43=""),"",IF(W43&lt;=0,"",IFERROR(X43/W43-1,"")))</f>
        <v/>
      </c>
      <c r="Y45" s="14">
        <f>IF(OR(Y43="",X43=""),"",IF(X43&lt;=0,"",IFERROR(Y43/X43-1,"")))</f>
        <v/>
      </c>
      <c r="Z45" s="15">
        <f>IF(OR(Z43="",Y43=""),"",IF(Y43&lt;=0,"",IFERROR(Z43/Y43-1,"")))</f>
        <v/>
      </c>
      <c r="AA45" s="15">
        <f>IF(OR(AA43="",Z43=""),"",IF(Z43&lt;=0,"",IFERROR(AA43/Z43-1,"")))</f>
        <v/>
      </c>
      <c r="AB45" s="15">
        <f>IF(OR(AB43="",AA43=""),"",IF(AA43&lt;=0,"",IFERROR(AB43/AA43-1,"")))</f>
        <v/>
      </c>
      <c r="AC45" s="15">
        <f>IF(OR(AC43="",AB43=""),"",IF(AB43&lt;=0,"",IFERROR(AC43/AB43-1,"")))</f>
        <v/>
      </c>
    </row>
    <row r="46">
      <c r="A46" s="23" t="inlineStr">
        <is>
          <t>판매관리비</t>
        </is>
      </c>
      <c r="B46" s="23" t="n"/>
      <c r="C46" s="24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4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4" t="n"/>
      <c r="Z46" s="23" t="n"/>
      <c r="AA46" s="23" t="n"/>
      <c r="AB46" s="23" t="n"/>
      <c r="AC46" s="23" t="n"/>
    </row>
    <row r="47">
      <c r="A47" s="18" t="inlineStr">
        <is>
          <t>전체 판관비</t>
        </is>
      </c>
      <c r="B47" s="10" t="n"/>
      <c r="C47" s="19" t="n">
        <v>2733</v>
      </c>
      <c r="D47" s="20" t="n">
        <v>2838</v>
      </c>
      <c r="E47" s="20" t="n">
        <v>2864</v>
      </c>
      <c r="F47" s="20" t="n">
        <v>3022</v>
      </c>
      <c r="G47" s="20" t="n">
        <v>3228</v>
      </c>
      <c r="H47" s="20" t="n">
        <v>3331</v>
      </c>
      <c r="I47" s="20" t="n">
        <v>3305</v>
      </c>
      <c r="J47" s="20" t="n">
        <v>3362</v>
      </c>
      <c r="K47" s="20" t="n">
        <v>3424</v>
      </c>
      <c r="L47" s="20" t="n">
        <v>3906</v>
      </c>
      <c r="M47" s="20" t="n">
        <v>3988</v>
      </c>
      <c r="N47" s="20" t="n">
        <v>3880</v>
      </c>
      <c r="O47" s="19" t="n">
        <v>9777</v>
      </c>
      <c r="P47" s="20" t="n">
        <v>10006</v>
      </c>
      <c r="Q47" s="20" t="n">
        <v>11103</v>
      </c>
      <c r="R47" s="20" t="n">
        <v>11310</v>
      </c>
      <c r="S47" s="20" t="n">
        <v>10693</v>
      </c>
      <c r="T47" s="20" t="n">
        <v>11092</v>
      </c>
      <c r="U47" s="20" t="n">
        <v>11773</v>
      </c>
      <c r="V47" s="20" t="n">
        <v>11307</v>
      </c>
      <c r="W47" s="20" t="n">
        <v>12886</v>
      </c>
      <c r="X47" s="20" t="n">
        <v>14680</v>
      </c>
      <c r="Y47" s="19" t="n"/>
      <c r="Z47" s="20" t="n"/>
      <c r="AA47" s="20" t="n"/>
      <c r="AB47" s="20" t="n"/>
      <c r="AC47" s="20" t="n"/>
    </row>
    <row r="48">
      <c r="A48" s="13" t="inlineStr">
        <is>
          <t>YoY</t>
        </is>
      </c>
      <c r="B48" s="10" t="n"/>
      <c r="C48" s="14" t="n"/>
      <c r="D48" s="15" t="n"/>
      <c r="E48" s="15" t="n"/>
      <c r="F48" s="15" t="n"/>
      <c r="G48" s="15">
        <f>IF(OR(G47="",C47=""),"",IF(C47&lt;=0,"",IFERROR(G47/C47-1,"")))</f>
        <v/>
      </c>
      <c r="H48" s="15">
        <f>IF(OR(H47="",D47=""),"",IF(D47&lt;=0,"",IFERROR(H47/D47-1,"")))</f>
        <v/>
      </c>
      <c r="I48" s="15">
        <f>IF(OR(I47="",E47=""),"",IF(E47&lt;=0,"",IFERROR(I47/E47-1,"")))</f>
        <v/>
      </c>
      <c r="J48" s="15">
        <f>IF(OR(J47="",F47=""),"",IF(F47&lt;=0,"",IFERROR(J47/F47-1,"")))</f>
        <v/>
      </c>
      <c r="K48" s="15">
        <f>IF(OR(K47="",G47=""),"",IF(G47&lt;=0,"",IFERROR(K47/G47-1,"")))</f>
        <v/>
      </c>
      <c r="L48" s="15">
        <f>IF(OR(L47="",H47=""),"",IF(H47&lt;=0,"",IFERROR(L47/H47-1,"")))</f>
        <v/>
      </c>
      <c r="M48" s="15">
        <f>IF(OR(M47="",I47=""),"",IF(I47&lt;=0,"",IFERROR(M47/I47-1,"")))</f>
        <v/>
      </c>
      <c r="N48" s="15">
        <f>IF(OR(N47="",J47=""),"",IF(J47&lt;=0,"",IFERROR(N47/J47-1,"")))</f>
        <v/>
      </c>
      <c r="O48" s="14" t="n"/>
      <c r="P48" s="15">
        <f>IF(OR(P47="",O47=""),"",IF(O47&lt;=0,"",IFERROR(P47/O47-1,"")))</f>
        <v/>
      </c>
      <c r="Q48" s="15">
        <f>IF(OR(Q47="",P47=""),"",IF(P47&lt;=0,"",IFERROR(Q47/P47-1,"")))</f>
        <v/>
      </c>
      <c r="R48" s="15">
        <f>IF(OR(R47="",Q47=""),"",IF(Q47&lt;=0,"",IFERROR(R47/Q47-1,"")))</f>
        <v/>
      </c>
      <c r="S48" s="15">
        <f>IF(OR(S47="",R47=""),"",IF(R47&lt;=0,"",IFERROR(S47/R47-1,"")))</f>
        <v/>
      </c>
      <c r="T48" s="15">
        <f>IF(OR(T47="",S47=""),"",IF(S47&lt;=0,"",IFERROR(T47/S47-1,"")))</f>
        <v/>
      </c>
      <c r="U48" s="15">
        <f>IF(OR(U47="",T47=""),"",IF(T47&lt;=0,"",IFERROR(U47/T47-1,"")))</f>
        <v/>
      </c>
      <c r="V48" s="15">
        <f>IF(OR(V47="",U47=""),"",IF(U47&lt;=0,"",IFERROR(V47/U47-1,"")))</f>
        <v/>
      </c>
      <c r="W48" s="15">
        <f>IF(OR(W47="",V47=""),"",IF(V47&lt;=0,"",IFERROR(W47/V47-1,"")))</f>
        <v/>
      </c>
      <c r="X48" s="15">
        <f>IF(OR(X47="",W47=""),"",IF(W47&lt;=0,"",IFERROR(X47/W47-1,"")))</f>
        <v/>
      </c>
      <c r="Y48" s="14">
        <f>IF(OR(Y47="",X47=""),"",IF(X47&lt;=0,"",IFERROR(Y47/X47-1,"")))</f>
        <v/>
      </c>
      <c r="Z48" s="15">
        <f>IF(OR(Z47="",Y47=""),"",IF(Y47&lt;=0,"",IFERROR(Z47/Y47-1,"")))</f>
        <v/>
      </c>
      <c r="AA48" s="15">
        <f>IF(OR(AA47="",Z47=""),"",IF(Z47&lt;=0,"",IFERROR(AA47/Z47-1,"")))</f>
        <v/>
      </c>
      <c r="AB48" s="15">
        <f>IF(OR(AB47="",AA47=""),"",IF(AA47&lt;=0,"",IFERROR(AB47/AA47-1,"")))</f>
        <v/>
      </c>
      <c r="AC48" s="15">
        <f>IF(OR(AC47="",AB47=""),"",IF(AB47&lt;=0,"",IFERROR(AC47/AB47-1,"")))</f>
        <v/>
      </c>
    </row>
    <row r="49">
      <c r="A49" s="9" t="inlineStr">
        <is>
          <t>영업이익</t>
        </is>
      </c>
      <c r="B49" s="10" t="inlineStr">
        <is>
          <t>MW = 매출 × OPM</t>
        </is>
      </c>
      <c r="C49" s="11" t="n">
        <v>123</v>
      </c>
      <c r="D49" s="12" t="n">
        <v>978</v>
      </c>
      <c r="E49" s="12" t="n">
        <v>1548</v>
      </c>
      <c r="F49" s="12" t="n">
        <v>1058</v>
      </c>
      <c r="G49" s="12" t="n">
        <v>1416</v>
      </c>
      <c r="H49" s="12" t="n">
        <v>1328</v>
      </c>
      <c r="I49" s="12" t="n">
        <v>1549</v>
      </c>
      <c r="J49" s="12" t="n">
        <v>1723</v>
      </c>
      <c r="K49" s="12" t="n">
        <v>2145</v>
      </c>
      <c r="L49" s="12" t="n">
        <v>3191</v>
      </c>
      <c r="M49" s="12" t="n">
        <v>3048</v>
      </c>
      <c r="N49" s="12" t="n">
        <v>5117</v>
      </c>
      <c r="O49" s="11" t="n">
        <v>3944</v>
      </c>
      <c r="P49" s="12" t="n">
        <v>5053</v>
      </c>
      <c r="Q49" s="12" t="n">
        <v>4341</v>
      </c>
      <c r="R49" s="12" t="n">
        <v>4154</v>
      </c>
      <c r="S49" s="12" t="n">
        <v>4485</v>
      </c>
      <c r="T49" s="12" t="n">
        <v>4626</v>
      </c>
      <c r="U49" s="12" t="n">
        <v>1186</v>
      </c>
      <c r="V49" s="12" t="n">
        <v>2077</v>
      </c>
      <c r="W49" s="12" t="n">
        <v>5351</v>
      </c>
      <c r="X49" s="12" t="n">
        <v>10107</v>
      </c>
      <c r="Y49" s="11">
        <f>IF(OR(Y4="",Y50=""),"",IFERROR(Y4*Y50,""))</f>
        <v/>
      </c>
      <c r="Z49" s="12">
        <f>IF(OR(Z4="",Z50=""),"",IFERROR(Z4*Z50,""))</f>
        <v/>
      </c>
      <c r="AA49" s="12">
        <f>IF(OR(AA4="",AA50=""),"",IFERROR(AA4*AA50,""))</f>
        <v/>
      </c>
      <c r="AB49" s="12">
        <f>IF(OR(AB4="",AB50=""),"",IFERROR(AB4*AB50,""))</f>
        <v/>
      </c>
      <c r="AC49" s="12">
        <f>IF(OR(AC4="",AC50=""),"",IFERROR(AC4*AC50,""))</f>
        <v/>
      </c>
    </row>
    <row r="50">
      <c r="A50" s="13" t="inlineStr">
        <is>
          <t>OPM</t>
        </is>
      </c>
      <c r="B50" s="10" t="inlineStr">
        <is>
          <t>MW 입력</t>
        </is>
      </c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 t="n"/>
      <c r="Z50" s="26" t="n"/>
      <c r="AA50" s="26" t="n"/>
      <c r="AB50" s="26" t="n"/>
      <c r="AC50" s="26" t="n"/>
    </row>
    <row r="51">
      <c r="A51" s="13" t="inlineStr">
        <is>
          <t>증가율</t>
        </is>
      </c>
      <c r="B51" s="10" t="n"/>
      <c r="C51" s="14" t="n"/>
      <c r="D51" s="15" t="n"/>
      <c r="E51" s="15" t="n"/>
      <c r="F51" s="15" t="n"/>
      <c r="G51" s="15">
        <f>IF(OR(G49="",C49=""),"",IFERROR(G49/C49-1,""))</f>
        <v/>
      </c>
      <c r="H51" s="15">
        <f>IF(OR(H49="",D49=""),"",IFERROR(H49/D49-1,""))</f>
        <v/>
      </c>
      <c r="I51" s="15">
        <f>IF(OR(I49="",E49=""),"",IFERROR(I49/E49-1,""))</f>
        <v/>
      </c>
      <c r="J51" s="15">
        <f>IF(OR(J49="",F49=""),"",IFERROR(J49/F49-1,""))</f>
        <v/>
      </c>
      <c r="K51" s="15">
        <f>IF(OR(K49="",G49=""),"",IFERROR(K49/G49-1,""))</f>
        <v/>
      </c>
      <c r="L51" s="15">
        <f>IF(OR(L49="",H49=""),"",IFERROR(L49/H49-1,""))</f>
        <v/>
      </c>
      <c r="M51" s="15">
        <f>IF(OR(M49="",I49=""),"",IFERROR(M49/I49-1,""))</f>
        <v/>
      </c>
      <c r="N51" s="15">
        <f>IF(OR(N49="",J49=""),"",IFERROR(N49/J49-1,""))</f>
        <v/>
      </c>
      <c r="O51" s="14" t="n"/>
      <c r="P51" s="15">
        <f>IF(OR(P49="",O49=""),"",IFERROR(P49/O49-1,""))</f>
        <v/>
      </c>
      <c r="Q51" s="15">
        <f>IF(OR(Q49="",P49=""),"",IFERROR(Q49/P49-1,""))</f>
        <v/>
      </c>
      <c r="R51" s="15">
        <f>IF(OR(R49="",Q49=""),"",IFERROR(R49/Q49-1,""))</f>
        <v/>
      </c>
      <c r="S51" s="15">
        <f>IF(OR(S49="",R49=""),"",IFERROR(S49/R49-1,""))</f>
        <v/>
      </c>
      <c r="T51" s="15">
        <f>IF(OR(T49="",S49=""),"",IFERROR(T49/S49-1,""))</f>
        <v/>
      </c>
      <c r="U51" s="15">
        <f>IF(OR(U49="",T49=""),"",IFERROR(U49/T49-1,""))</f>
        <v/>
      </c>
      <c r="V51" s="15">
        <f>IF(OR(V49="",U49=""),"",IFERROR(V49/U49-1,""))</f>
        <v/>
      </c>
      <c r="W51" s="15">
        <f>IF(OR(W49="",V49=""),"",IFERROR(W49/V49-1,""))</f>
        <v/>
      </c>
      <c r="X51" s="15">
        <f>IF(OR(X49="",W49=""),"",IFERROR(X49/W49-1,""))</f>
        <v/>
      </c>
      <c r="Y51" s="14">
        <f>IF(OR(Y49="",X49=""),"",IFERROR(Y49/X49-1,""))</f>
        <v/>
      </c>
      <c r="Z51" s="15">
        <f>IF(OR(Z49="",Y49=""),"",IFERROR(Z49/Y49-1,""))</f>
        <v/>
      </c>
      <c r="AA51" s="15">
        <f>IF(OR(AA49="",Z49=""),"",IFERROR(AA49/Z49-1,""))</f>
        <v/>
      </c>
      <c r="AB51" s="15">
        <f>IF(OR(AB49="",AA49=""),"",IFERROR(AB49/AA49-1,""))</f>
        <v/>
      </c>
      <c r="AC51" s="15">
        <f>IF(OR(AC49="",AB49=""),"",IFERROR(AC49/AB49-1,""))</f>
        <v/>
      </c>
    </row>
    <row r="52">
      <c r="A52" s="16" t="inlineStr">
        <is>
          <t>비용의 성격별 분류</t>
        </is>
      </c>
      <c r="B52" s="16" t="inlineStr">
        <is>
          <t>참고 데이터</t>
        </is>
      </c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9" t="inlineStr">
        <is>
          <t>총 판관비</t>
        </is>
      </c>
      <c r="B53" s="10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1">
        <f>IF(O47="","",O47)</f>
        <v/>
      </c>
      <c r="P53" s="12">
        <f>IF(P47="","",P47)</f>
        <v/>
      </c>
      <c r="Q53" s="12">
        <f>IF(Q47="","",Q47)</f>
        <v/>
      </c>
      <c r="R53" s="12">
        <f>IF(R47="","",R47)</f>
        <v/>
      </c>
      <c r="S53" s="12">
        <f>IF(S47="","",S47)</f>
        <v/>
      </c>
      <c r="T53" s="12">
        <f>IF(T47="","",T47)</f>
        <v/>
      </c>
      <c r="U53" s="12">
        <f>IF(U47="","",U47)</f>
        <v/>
      </c>
      <c r="V53" s="12">
        <f>IF(V47="","",V47)</f>
        <v/>
      </c>
      <c r="W53" s="12">
        <f>IF(W47="","",W47)</f>
        <v/>
      </c>
      <c r="X53" s="12">
        <f>IF(X47="","",X47)</f>
        <v/>
      </c>
      <c r="Y53" s="11" t="n"/>
      <c r="Z53" s="12" t="n"/>
      <c r="AA53" s="12" t="n"/>
      <c r="AB53" s="12" t="n"/>
      <c r="AC53" s="12" t="n"/>
    </row>
    <row r="54">
      <c r="A54" s="18" t="inlineStr">
        <is>
          <t>급여</t>
        </is>
      </c>
      <c r="B54" s="10" t="inlineStr">
        <is>
          <t>고정비</t>
        </is>
      </c>
      <c r="C54" s="19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19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19" t="n"/>
      <c r="Z54" s="20" t="n"/>
      <c r="AA54" s="20" t="n"/>
      <c r="AB54" s="20" t="n"/>
      <c r="AC54" s="20" t="n"/>
    </row>
    <row r="55">
      <c r="A55" s="13" t="inlineStr">
        <is>
          <t>% of Sales</t>
        </is>
      </c>
      <c r="B55" s="10" t="n"/>
      <c r="C55" s="14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14" t="n"/>
      <c r="Z55" s="15" t="n"/>
      <c r="AA55" s="15" t="n"/>
      <c r="AB55" s="15" t="n"/>
      <c r="AC55" s="15" t="n"/>
    </row>
    <row r="56">
      <c r="A56" s="18" t="inlineStr">
        <is>
          <t>감가상각비</t>
        </is>
      </c>
      <c r="B56" s="10" t="inlineStr">
        <is>
          <t>고정비</t>
        </is>
      </c>
      <c r="C56" s="19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19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19" t="n"/>
      <c r="Z56" s="20" t="n"/>
      <c r="AA56" s="20" t="n"/>
      <c r="AB56" s="20" t="n"/>
      <c r="AC56" s="20" t="n"/>
    </row>
    <row r="57">
      <c r="A57" s="13" t="inlineStr">
        <is>
          <t>% of Sales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14" t="n"/>
      <c r="Z57" s="15" t="n"/>
      <c r="AA57" s="15" t="n"/>
      <c r="AB57" s="15" t="n"/>
      <c r="AC57" s="15" t="n"/>
    </row>
    <row r="58">
      <c r="A58" s="18" t="inlineStr">
        <is>
          <t>지급수수료</t>
        </is>
      </c>
      <c r="B58" s="10" t="inlineStr">
        <is>
          <t>고정비</t>
        </is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% of Sales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IF(OR(O58="",O4=""),"",IFERROR(O58/O4,""))</f>
        <v/>
      </c>
      <c r="P59" s="15">
        <f>IF(OR(P58="",P4=""),"",IFERROR(P58/P4,""))</f>
        <v/>
      </c>
      <c r="Q59" s="15">
        <f>IF(OR(Q58="",Q4=""),"",IFERROR(Q58/Q4,""))</f>
        <v/>
      </c>
      <c r="R59" s="15">
        <f>IF(OR(R58="",R4=""),"",IFERROR(R58/R4,""))</f>
        <v/>
      </c>
      <c r="S59" s="15">
        <f>IF(OR(S58="",S4=""),"",IFERROR(S58/S4,""))</f>
        <v/>
      </c>
      <c r="T59" s="15">
        <f>IF(OR(T58="",T4=""),"",IFERROR(T58/T4,""))</f>
        <v/>
      </c>
      <c r="U59" s="15">
        <f>IF(OR(U58="",U4=""),"",IFERROR(U58/U4,""))</f>
        <v/>
      </c>
      <c r="V59" s="15">
        <f>IF(OR(V58="",V4=""),"",IFERROR(V58/V4,""))</f>
        <v/>
      </c>
      <c r="W59" s="15">
        <f>IF(OR(W58="",W4=""),"",IFERROR(W58/W4,""))</f>
        <v/>
      </c>
      <c r="X59" s="15">
        <f>IF(OR(X58="",X4=""),"",IFERROR(X58/X4,""))</f>
        <v/>
      </c>
      <c r="Y59" s="14" t="n"/>
      <c r="Z59" s="15" t="n"/>
      <c r="AA59" s="15" t="n"/>
      <c r="AB59" s="15" t="n"/>
      <c r="AC59" s="15" t="n"/>
    </row>
    <row r="60">
      <c r="A60" s="18" t="inlineStr">
        <is>
          <t>연구개발비</t>
        </is>
      </c>
      <c r="B60" s="10" t="inlineStr">
        <is>
          <t>변동비</t>
        </is>
      </c>
      <c r="C60" s="19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19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19" t="n"/>
      <c r="Z60" s="20" t="n"/>
      <c r="AA60" s="20" t="n"/>
      <c r="AB60" s="20" t="n"/>
      <c r="AC60" s="20" t="n"/>
    </row>
    <row r="61">
      <c r="A61" s="13" t="inlineStr">
        <is>
          <t>% of Sales</t>
        </is>
      </c>
      <c r="B61" s="10" t="n"/>
      <c r="C61" s="14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4">
        <f>IF(OR(O60="",O4=""),"",IFERROR(O60/O4,""))</f>
        <v/>
      </c>
      <c r="P61" s="15">
        <f>IF(OR(P60="",P4=""),"",IFERROR(P60/P4,""))</f>
        <v/>
      </c>
      <c r="Q61" s="15">
        <f>IF(OR(Q60="",Q4=""),"",IFERROR(Q60/Q4,""))</f>
        <v/>
      </c>
      <c r="R61" s="15">
        <f>IF(OR(R60="",R4=""),"",IFERROR(R60/R4,""))</f>
        <v/>
      </c>
      <c r="S61" s="15">
        <f>IF(OR(S60="",S4=""),"",IFERROR(S60/S4,""))</f>
        <v/>
      </c>
      <c r="T61" s="15">
        <f>IF(OR(T60="",T4=""),"",IFERROR(T60/T4,""))</f>
        <v/>
      </c>
      <c r="U61" s="15">
        <f>IF(OR(U60="",U4=""),"",IFERROR(U60/U4,""))</f>
        <v/>
      </c>
      <c r="V61" s="15">
        <f>IF(OR(V60="",V4=""),"",IFERROR(V60/V4,""))</f>
        <v/>
      </c>
      <c r="W61" s="15">
        <f>IF(OR(W60="",W4=""),"",IFERROR(W60/W4,""))</f>
        <v/>
      </c>
      <c r="X61" s="15">
        <f>IF(OR(X60="",X4=""),"",IFERROR(X60/X4,""))</f>
        <v/>
      </c>
      <c r="Y61" s="14" t="n"/>
      <c r="Z61" s="15" t="n"/>
      <c r="AA61" s="15" t="n"/>
      <c r="AB61" s="15" t="n"/>
      <c r="AC61" s="15" t="n"/>
    </row>
    <row r="62">
      <c r="A62" s="18" t="inlineStr">
        <is>
          <t>기타비용</t>
        </is>
      </c>
      <c r="B62" s="10" t="inlineStr">
        <is>
          <t>변동비</t>
        </is>
      </c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>
        <f>IF(OR(O53="",O54="",O56="",O58="",O60=""),"",IFERROR(O53-O54-O56-O58-O60,""))</f>
        <v/>
      </c>
      <c r="P62" s="20">
        <f>IF(OR(P53="",P54="",P56="",P58="",P60=""),"",IFERROR(P53-P54-P56-P58-P60,""))</f>
        <v/>
      </c>
      <c r="Q62" s="20">
        <f>IF(OR(Q53="",Q54="",Q56="",Q58="",Q60=""),"",IFERROR(Q53-Q54-Q56-Q58-Q60,""))</f>
        <v/>
      </c>
      <c r="R62" s="20">
        <f>IF(OR(R53="",R54="",R56="",R58="",R60=""),"",IFERROR(R53-R54-R56-R58-R60,""))</f>
        <v/>
      </c>
      <c r="S62" s="20">
        <f>IF(OR(S53="",S54="",S56="",S58="",S60=""),"",IFERROR(S53-S54-S56-S58-S60,""))</f>
        <v/>
      </c>
      <c r="T62" s="20">
        <f>IF(OR(T53="",T54="",T56="",T58="",T60=""),"",IFERROR(T53-T54-T56-T58-T60,""))</f>
        <v/>
      </c>
      <c r="U62" s="20">
        <f>IF(OR(U53="",U54="",U56="",U58="",U60=""),"",IFERROR(U53-U54-U56-U58-U60,""))</f>
        <v/>
      </c>
      <c r="V62" s="20">
        <f>IF(OR(V53="",V54="",V56="",V58="",V60=""),"",IFERROR(V53-V54-V56-V58-V60,""))</f>
        <v/>
      </c>
      <c r="W62" s="20">
        <f>IF(OR(W53="",W54="",W56="",W58="",W60=""),"",IFERROR(W53-W54-W56-W58-W60,""))</f>
        <v/>
      </c>
      <c r="X62" s="20">
        <f>IF(OR(X53="",X54="",X56="",X58="",X60=""),"",IFERROR(X53-X54-X56-X58-X60,""))</f>
        <v/>
      </c>
      <c r="Y62" s="19" t="n"/>
      <c r="Z62" s="20" t="n"/>
      <c r="AA62" s="20" t="n"/>
      <c r="AB62" s="20" t="n"/>
      <c r="AC62" s="20" t="n"/>
    </row>
    <row r="63">
      <c r="A63" s="13" t="inlineStr">
        <is>
          <t>% of Sales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>
        <f>IF(OR(O62="",O4=""),"",IFERROR(O62/O4,""))</f>
        <v/>
      </c>
      <c r="P63" s="15">
        <f>IF(OR(P62="",P4=""),"",IFERROR(P62/P4,""))</f>
        <v/>
      </c>
      <c r="Q63" s="15">
        <f>IF(OR(Q62="",Q4=""),"",IFERROR(Q62/Q4,""))</f>
        <v/>
      </c>
      <c r="R63" s="15">
        <f>IF(OR(R62="",R4=""),"",IFERROR(R62/R4,""))</f>
        <v/>
      </c>
      <c r="S63" s="15">
        <f>IF(OR(S62="",S4=""),"",IFERROR(S62/S4,""))</f>
        <v/>
      </c>
      <c r="T63" s="15">
        <f>IF(OR(T62="",T4=""),"",IFERROR(T62/T4,""))</f>
        <v/>
      </c>
      <c r="U63" s="15">
        <f>IF(OR(U62="",U4=""),"",IFERROR(U62/U4,""))</f>
        <v/>
      </c>
      <c r="V63" s="15">
        <f>IF(OR(V62="",V4=""),"",IFERROR(V62/V4,""))</f>
        <v/>
      </c>
      <c r="W63" s="15">
        <f>IF(OR(W62="",W4=""),"",IFERROR(W62/W4,""))</f>
        <v/>
      </c>
      <c r="X63" s="15">
        <f>IF(OR(X62="",X4=""),"",IFERROR(X62/X4,""))</f>
        <v/>
      </c>
      <c r="Y63" s="14" t="n"/>
      <c r="Z63" s="15" t="n"/>
      <c r="AA63" s="15" t="n"/>
      <c r="AB63" s="15" t="n"/>
      <c r="AC63" s="15" t="n"/>
    </row>
    <row r="64">
      <c r="A64" s="16" t="inlineStr">
        <is>
          <t>당기순이익 추정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특별이익</t>
        </is>
      </c>
      <c r="B65" s="10" t="n"/>
      <c r="C65" s="19" t="n"/>
      <c r="D65" s="20" t="n"/>
      <c r="E65" s="20" t="n">
        <v>0</v>
      </c>
      <c r="F65" s="20" t="n"/>
      <c r="G65" s="20" t="n"/>
      <c r="H65" s="20" t="n"/>
      <c r="I65" s="20" t="n">
        <v>0</v>
      </c>
      <c r="J65" s="20" t="n"/>
      <c r="K65" s="20" t="n"/>
      <c r="L65" s="20" t="n"/>
      <c r="M65" s="20" t="n"/>
      <c r="N65" s="20" t="n"/>
      <c r="O65" s="19" t="n">
        <v>55</v>
      </c>
      <c r="P65" s="20" t="n">
        <v>1098</v>
      </c>
      <c r="Q65" s="20" t="n">
        <v>141</v>
      </c>
      <c r="R65" s="20" t="n">
        <v>0</v>
      </c>
      <c r="S65" s="20" t="n">
        <v>408</v>
      </c>
      <c r="T65" s="20" t="n">
        <v>194</v>
      </c>
      <c r="U65" s="20" t="n">
        <v>50</v>
      </c>
      <c r="V65" s="20" t="n">
        <v>408</v>
      </c>
      <c r="W65" s="20" t="n">
        <v>0</v>
      </c>
      <c r="X65" s="20" t="n"/>
      <c r="Y65" s="19">
        <f>IF(OR(Y4="",Y66=""),"",IFERROR(Y4*Y66,""))</f>
        <v/>
      </c>
      <c r="Z65" s="20">
        <f>IF(OR(Z4="",Z66=""),"",IFERROR(Z4*Z66,""))</f>
        <v/>
      </c>
      <c r="AA65" s="20">
        <f>IF(OR(AA4="",AA66=""),"",IFERROR(AA4*AA66,""))</f>
        <v/>
      </c>
      <c r="AB65" s="20">
        <f>IF(OR(AB4="",AB66=""),"",IFERROR(AB4*AB66,""))</f>
        <v/>
      </c>
      <c r="AC65" s="20">
        <f>IF(OR(AC4="",AC66=""),"",IFERROR(AC4*AC66,""))</f>
        <v/>
      </c>
    </row>
    <row r="66">
      <c r="A66" s="13" t="inlineStr">
        <is>
          <t>% of Sales</t>
        </is>
      </c>
      <c r="B66" s="10" t="inlineStr">
        <is>
          <t>MW = 최근 3년 평균</t>
        </is>
      </c>
      <c r="C66" s="14">
        <f>IF(OR(C65="",C4=""),"",IFERROR(C65/C4,""))</f>
        <v/>
      </c>
      <c r="D66" s="15">
        <f>IF(OR(D65="",D4=""),"",IFERROR(D65/D4,""))</f>
        <v/>
      </c>
      <c r="E66" s="15">
        <f>IF(OR(E65="",E4=""),"",IFERROR(E65/E4,""))</f>
        <v/>
      </c>
      <c r="F66" s="15">
        <f>IF(OR(F65="",F4=""),"",IFERROR(F65/F4,""))</f>
        <v/>
      </c>
      <c r="G66" s="15">
        <f>IF(OR(G65="",G4=""),"",IFERROR(G65/G4,""))</f>
        <v/>
      </c>
      <c r="H66" s="15">
        <f>IF(OR(H65="",H4=""),"",IFERROR(H65/H4,""))</f>
        <v/>
      </c>
      <c r="I66" s="15">
        <f>IF(OR(I65="",I4=""),"",IFERROR(I65/I4,""))</f>
        <v/>
      </c>
      <c r="J66" s="15">
        <f>IF(OR(J65="",J4=""),"",IFERROR(J65/J4,""))</f>
        <v/>
      </c>
      <c r="K66" s="15">
        <f>IF(OR(K65="",K4=""),"",IFERROR(K65/K4,""))</f>
        <v/>
      </c>
      <c r="L66" s="15">
        <f>IF(OR(L65="",L4=""),"",IFERROR(L65/L4,""))</f>
        <v/>
      </c>
      <c r="M66" s="15">
        <f>IF(OR(M65="",M4=""),"",IFERROR(M65/M4,""))</f>
        <v/>
      </c>
      <c r="N66" s="15">
        <f>IF(OR(N65="",N4=""),"",IFERROR(N65/N4,""))</f>
        <v/>
      </c>
      <c r="O66" s="14">
        <f>IF(OR(O65="",O4=""),"",IFERROR(O65/O4,""))</f>
        <v/>
      </c>
      <c r="P66" s="15">
        <f>IF(OR(P65="",P4=""),"",IFERROR(P65/P4,""))</f>
        <v/>
      </c>
      <c r="Q66" s="15">
        <f>IF(OR(Q65="",Q4=""),"",IFERROR(Q65/Q4,""))</f>
        <v/>
      </c>
      <c r="R66" s="15">
        <f>IF(OR(R65="",R4=""),"",IFERROR(R65/R4,""))</f>
        <v/>
      </c>
      <c r="S66" s="15">
        <f>IF(OR(S65="",S4=""),"",IFERROR(S65/S4,""))</f>
        <v/>
      </c>
      <c r="T66" s="15">
        <f>IF(OR(T65="",T4=""),"",IFERROR(T65/T4,""))</f>
        <v/>
      </c>
      <c r="U66" s="15">
        <f>IF(OR(U65="",U4=""),"",IFERROR(U65/U4,""))</f>
        <v/>
      </c>
      <c r="V66" s="15">
        <f>IF(OR(V65="",V4=""),"",IFERROR(V65/V4,""))</f>
        <v/>
      </c>
      <c r="W66" s="15">
        <f>IF(OR(W65="",W4=""),"",IFERROR(W65/W4,""))</f>
        <v/>
      </c>
      <c r="X66" s="15">
        <f>IF(OR(X65="",X4=""),"",IFERROR(X65/X4,""))</f>
        <v/>
      </c>
      <c r="Y66" s="25">
        <f>IFERROR(AVERAGE(V66,W66,X66),"")</f>
        <v/>
      </c>
      <c r="Z66" s="26">
        <f>Y66</f>
        <v/>
      </c>
      <c r="AA66" s="26">
        <f>Z66</f>
        <v/>
      </c>
      <c r="AB66" s="26">
        <f>AA66</f>
        <v/>
      </c>
      <c r="AC66" s="26">
        <f>AB66</f>
        <v/>
      </c>
    </row>
    <row r="67">
      <c r="A67" s="18" t="inlineStr">
        <is>
          <t>특별손실</t>
        </is>
      </c>
      <c r="B67" s="10" t="n"/>
      <c r="C67" s="19" t="n">
        <v>21</v>
      </c>
      <c r="D67" s="20" t="n">
        <v>16</v>
      </c>
      <c r="E67" s="20" t="n">
        <v>69</v>
      </c>
      <c r="F67" s="20" t="n">
        <v>10</v>
      </c>
      <c r="G67" s="20" t="n">
        <v>17</v>
      </c>
      <c r="H67" s="20" t="n">
        <v>15</v>
      </c>
      <c r="I67" s="20" t="n">
        <v>500</v>
      </c>
      <c r="J67" s="20" t="n">
        <v>53</v>
      </c>
      <c r="K67" s="20" t="n">
        <v>19</v>
      </c>
      <c r="L67" s="20" t="n">
        <v>47</v>
      </c>
      <c r="M67" s="20" t="n">
        <v>361</v>
      </c>
      <c r="N67" s="20" t="n">
        <v>58</v>
      </c>
      <c r="O67" s="19" t="n">
        <v>281</v>
      </c>
      <c r="P67" s="20" t="n">
        <v>314</v>
      </c>
      <c r="Q67" s="20" t="n">
        <v>337</v>
      </c>
      <c r="R67" s="20" t="n">
        <v>160</v>
      </c>
      <c r="S67" s="20" t="n">
        <v>963</v>
      </c>
      <c r="T67" s="20" t="n">
        <v>207</v>
      </c>
      <c r="U67" s="20" t="n">
        <v>1027</v>
      </c>
      <c r="V67" s="20" t="n">
        <v>125</v>
      </c>
      <c r="W67" s="20" t="n">
        <v>542</v>
      </c>
      <c r="X67" s="20" t="n">
        <v>480</v>
      </c>
      <c r="Y67" s="19">
        <f>IF(OR(Y4="",Y68=""),"",IFERROR(Y4*Y68,""))</f>
        <v/>
      </c>
      <c r="Z67" s="20">
        <f>IF(OR(Z4="",Z68=""),"",IFERROR(Z4*Z68,""))</f>
        <v/>
      </c>
      <c r="AA67" s="20">
        <f>IF(OR(AA4="",AA68=""),"",IFERROR(AA4*AA68,""))</f>
        <v/>
      </c>
      <c r="AB67" s="20">
        <f>IF(OR(AB4="",AB68=""),"",IFERROR(AB4*AB68,""))</f>
        <v/>
      </c>
      <c r="AC67" s="20">
        <f>IF(OR(AC4="",AC68=""),"",IFERROR(AC4*AC68,""))</f>
        <v/>
      </c>
    </row>
    <row r="68">
      <c r="A68" s="13" t="inlineStr">
        <is>
          <t>% of Sales</t>
        </is>
      </c>
      <c r="B68" s="10" t="n"/>
      <c r="C68" s="14">
        <f>IF(OR(C67="",C4=""),"",IFERROR(C67/C4,""))</f>
        <v/>
      </c>
      <c r="D68" s="15">
        <f>IF(OR(D67="",D4=""),"",IFERROR(D67/D4,""))</f>
        <v/>
      </c>
      <c r="E68" s="15">
        <f>IF(OR(E67="",E4=""),"",IFERROR(E67/E4,""))</f>
        <v/>
      </c>
      <c r="F68" s="15">
        <f>IF(OR(F67="",F4=""),"",IFERROR(F67/F4,""))</f>
        <v/>
      </c>
      <c r="G68" s="15">
        <f>IF(OR(G67="",G4=""),"",IFERROR(G67/G4,""))</f>
        <v/>
      </c>
      <c r="H68" s="15">
        <f>IF(OR(H67="",H4=""),"",IFERROR(H67/H4,""))</f>
        <v/>
      </c>
      <c r="I68" s="15">
        <f>IF(OR(I67="",I4=""),"",IFERROR(I67/I4,""))</f>
        <v/>
      </c>
      <c r="J68" s="15">
        <f>IF(OR(J67="",J4=""),"",IFERROR(J67/J4,""))</f>
        <v/>
      </c>
      <c r="K68" s="15">
        <f>IF(OR(K67="",K4=""),"",IFERROR(K67/K4,""))</f>
        <v/>
      </c>
      <c r="L68" s="15">
        <f>IF(OR(L67="",L4=""),"",IFERROR(L67/L4,""))</f>
        <v/>
      </c>
      <c r="M68" s="15">
        <f>IF(OR(M67="",M4=""),"",IFERROR(M67/M4,""))</f>
        <v/>
      </c>
      <c r="N68" s="15">
        <f>IF(OR(N67="",N4=""),"",IFERROR(N67/N4,""))</f>
        <v/>
      </c>
      <c r="O68" s="14">
        <f>IF(OR(O67="",O4=""),"",IFERROR(O67/O4,""))</f>
        <v/>
      </c>
      <c r="P68" s="15">
        <f>IF(OR(P67="",P4=""),"",IFERROR(P67/P4,""))</f>
        <v/>
      </c>
      <c r="Q68" s="15">
        <f>IF(OR(Q67="",Q4=""),"",IFERROR(Q67/Q4,""))</f>
        <v/>
      </c>
      <c r="R68" s="15">
        <f>IF(OR(R67="",R4=""),"",IFERROR(R67/R4,""))</f>
        <v/>
      </c>
      <c r="S68" s="15">
        <f>IF(OR(S67="",S4=""),"",IFERROR(S67/S4,""))</f>
        <v/>
      </c>
      <c r="T68" s="15">
        <f>IF(OR(T67="",T4=""),"",IFERROR(T67/T4,""))</f>
        <v/>
      </c>
      <c r="U68" s="15">
        <f>IF(OR(U67="",U4=""),"",IFERROR(U67/U4,""))</f>
        <v/>
      </c>
      <c r="V68" s="15">
        <f>IF(OR(V67="",V4=""),"",IFERROR(V67/V4,""))</f>
        <v/>
      </c>
      <c r="W68" s="15">
        <f>IF(OR(W67="",W4=""),"",IFERROR(W67/W4,""))</f>
        <v/>
      </c>
      <c r="X68" s="15">
        <f>IF(OR(X67="",X4=""),"",IFERROR(X67/X4,""))</f>
        <v/>
      </c>
      <c r="Y68" s="25">
        <f>IFERROR(AVERAGE(V68,W68,X68),"")</f>
        <v/>
      </c>
      <c r="Z68" s="26">
        <f>Y68</f>
        <v/>
      </c>
      <c r="AA68" s="26">
        <f>Z68</f>
        <v/>
      </c>
      <c r="AB68" s="26">
        <f>AA68</f>
        <v/>
      </c>
      <c r="AC68" s="26">
        <f>AB68</f>
        <v/>
      </c>
    </row>
    <row r="69">
      <c r="A69" s="18" t="inlineStr">
        <is>
          <t>영업외수익</t>
        </is>
      </c>
      <c r="B69" s="10" t="n"/>
      <c r="C69" s="19" t="n">
        <v>180</v>
      </c>
      <c r="D69" s="20" t="n">
        <v>118</v>
      </c>
      <c r="E69" s="20" t="n">
        <v>109</v>
      </c>
      <c r="F69" s="20" t="n">
        <v>235</v>
      </c>
      <c r="G69" s="20" t="n">
        <v>66</v>
      </c>
      <c r="H69" s="20" t="n">
        <v>53</v>
      </c>
      <c r="I69" s="20" t="n">
        <v>428</v>
      </c>
      <c r="J69" s="20" t="n">
        <v>65</v>
      </c>
      <c r="K69" s="20" t="n">
        <v>161</v>
      </c>
      <c r="L69" s="20" t="n">
        <v>54</v>
      </c>
      <c r="M69" s="20" t="n">
        <v>395</v>
      </c>
      <c r="N69" s="20" t="n">
        <v>261</v>
      </c>
      <c r="O69" s="19" t="n">
        <v>261</v>
      </c>
      <c r="P69" s="20" t="n">
        <v>238</v>
      </c>
      <c r="Q69" s="20" t="n">
        <v>251</v>
      </c>
      <c r="R69" s="20" t="n">
        <v>258</v>
      </c>
      <c r="S69" s="20" t="n">
        <v>246</v>
      </c>
      <c r="T69" s="20" t="n">
        <v>319</v>
      </c>
      <c r="U69" s="20" t="n">
        <v>421</v>
      </c>
      <c r="V69" s="20" t="n">
        <v>520</v>
      </c>
      <c r="W69" s="20" t="n">
        <v>782</v>
      </c>
      <c r="X69" s="20" t="n">
        <v>675</v>
      </c>
      <c r="Y69" s="19">
        <f>IF(OR(Y4="",Y70=""),"",IFERROR(Y4*Y70,""))</f>
        <v/>
      </c>
      <c r="Z69" s="20">
        <f>IF(OR(Z4="",Z70=""),"",IFERROR(Z4*Z70,""))</f>
        <v/>
      </c>
      <c r="AA69" s="20">
        <f>IF(OR(AA4="",AA70=""),"",IFERROR(AA4*AA70,""))</f>
        <v/>
      </c>
      <c r="AB69" s="20">
        <f>IF(OR(AB4="",AB70=""),"",IFERROR(AB4*AB70,""))</f>
        <v/>
      </c>
      <c r="AC69" s="20">
        <f>IF(OR(AC4="",AC70=""),"",IFERROR(AC4*AC70,""))</f>
        <v/>
      </c>
    </row>
    <row r="70">
      <c r="A70" s="13" t="inlineStr">
        <is>
          <t>% of Sales</t>
        </is>
      </c>
      <c r="B70" s="10" t="n"/>
      <c r="C70" s="14">
        <f>IF(OR(C69="",C4=""),"",IFERROR(C69/C4,""))</f>
        <v/>
      </c>
      <c r="D70" s="15">
        <f>IF(OR(D69="",D4=""),"",IFERROR(D69/D4,""))</f>
        <v/>
      </c>
      <c r="E70" s="15">
        <f>IF(OR(E69="",E4=""),"",IFERROR(E69/E4,""))</f>
        <v/>
      </c>
      <c r="F70" s="15">
        <f>IF(OR(F69="",F4=""),"",IFERROR(F69/F4,""))</f>
        <v/>
      </c>
      <c r="G70" s="15">
        <f>IF(OR(G69="",G4=""),"",IFERROR(G69/G4,""))</f>
        <v/>
      </c>
      <c r="H70" s="15">
        <f>IF(OR(H69="",H4=""),"",IFERROR(H69/H4,""))</f>
        <v/>
      </c>
      <c r="I70" s="15">
        <f>IF(OR(I69="",I4=""),"",IFERROR(I69/I4,""))</f>
        <v/>
      </c>
      <c r="J70" s="15">
        <f>IF(OR(J69="",J4=""),"",IFERROR(J69/J4,""))</f>
        <v/>
      </c>
      <c r="K70" s="15">
        <f>IF(OR(K69="",K4=""),"",IFERROR(K69/K4,""))</f>
        <v/>
      </c>
      <c r="L70" s="15">
        <f>IF(OR(L69="",L4=""),"",IFERROR(L69/L4,""))</f>
        <v/>
      </c>
      <c r="M70" s="15">
        <f>IF(OR(M69="",M4=""),"",IFERROR(M69/M4,""))</f>
        <v/>
      </c>
      <c r="N70" s="15">
        <f>IF(OR(N69="",N4=""),"",IFERROR(N69/N4,""))</f>
        <v/>
      </c>
      <c r="O70" s="14">
        <f>IF(OR(O69="",O4=""),"",IFERROR(O69/O4,""))</f>
        <v/>
      </c>
      <c r="P70" s="15">
        <f>IF(OR(P69="",P4=""),"",IFERROR(P69/P4,""))</f>
        <v/>
      </c>
      <c r="Q70" s="15">
        <f>IF(OR(Q69="",Q4=""),"",IFERROR(Q69/Q4,""))</f>
        <v/>
      </c>
      <c r="R70" s="15">
        <f>IF(OR(R69="",R4=""),"",IFERROR(R69/R4,""))</f>
        <v/>
      </c>
      <c r="S70" s="15">
        <f>IF(OR(S69="",S4=""),"",IFERROR(S69/S4,""))</f>
        <v/>
      </c>
      <c r="T70" s="15">
        <f>IF(OR(T69="",T4=""),"",IFERROR(T69/T4,""))</f>
        <v/>
      </c>
      <c r="U70" s="15">
        <f>IF(OR(U69="",U4=""),"",IFERROR(U69/U4,""))</f>
        <v/>
      </c>
      <c r="V70" s="15">
        <f>IF(OR(V69="",V4=""),"",IFERROR(V69/V4,""))</f>
        <v/>
      </c>
      <c r="W70" s="15">
        <f>IF(OR(W69="",W4=""),"",IFERROR(W69/W4,""))</f>
        <v/>
      </c>
      <c r="X70" s="15">
        <f>IF(OR(X69="",X4=""),"",IFERROR(X69/X4,""))</f>
        <v/>
      </c>
      <c r="Y70" s="25">
        <f>IFERROR(AVERAGE(V70,W70,X70),"")</f>
        <v/>
      </c>
      <c r="Z70" s="26">
        <f>Y70</f>
        <v/>
      </c>
      <c r="AA70" s="26">
        <f>Z70</f>
        <v/>
      </c>
      <c r="AB70" s="26">
        <f>AA70</f>
        <v/>
      </c>
      <c r="AC70" s="26">
        <f>AB70</f>
        <v/>
      </c>
    </row>
    <row r="71">
      <c r="A71" s="18" t="inlineStr">
        <is>
          <t>영업외비용</t>
        </is>
      </c>
      <c r="B71" s="10" t="n"/>
      <c r="C71" s="19" t="n">
        <v>124</v>
      </c>
      <c r="D71" s="20" t="n">
        <v>161</v>
      </c>
      <c r="E71" s="20" t="n">
        <v>153</v>
      </c>
      <c r="F71" s="20" t="n">
        <v>99</v>
      </c>
      <c r="G71" s="20" t="n">
        <v>97</v>
      </c>
      <c r="H71" s="20" t="n">
        <v>103</v>
      </c>
      <c r="I71" s="20" t="n">
        <v>97</v>
      </c>
      <c r="J71" s="20" t="n">
        <v>99</v>
      </c>
      <c r="K71" s="20" t="n">
        <v>392</v>
      </c>
      <c r="L71" s="20" t="n">
        <v>-77</v>
      </c>
      <c r="M71" s="20" t="n">
        <v>-4</v>
      </c>
      <c r="N71" s="20" t="n">
        <v>150</v>
      </c>
      <c r="O71" s="19" t="n">
        <v>432</v>
      </c>
      <c r="P71" s="20" t="n">
        <v>566</v>
      </c>
      <c r="Q71" s="20" t="n">
        <v>417</v>
      </c>
      <c r="R71" s="20" t="n">
        <v>888</v>
      </c>
      <c r="S71" s="20" t="n">
        <v>418</v>
      </c>
      <c r="T71" s="20" t="n">
        <v>753</v>
      </c>
      <c r="U71" s="20" t="n">
        <v>407</v>
      </c>
      <c r="V71" s="20" t="n">
        <v>537</v>
      </c>
      <c r="W71" s="20" t="n">
        <v>396</v>
      </c>
      <c r="X71" s="20" t="n">
        <v>410</v>
      </c>
      <c r="Y71" s="19">
        <f>IF(OR(Y4="",Y72=""),"",IFERROR(Y4*Y72,""))</f>
        <v/>
      </c>
      <c r="Z71" s="20">
        <f>IF(OR(Z4="",Z72=""),"",IFERROR(Z4*Z72,""))</f>
        <v/>
      </c>
      <c r="AA71" s="20">
        <f>IF(OR(AA4="",AA72=""),"",IFERROR(AA4*AA72,""))</f>
        <v/>
      </c>
      <c r="AB71" s="20">
        <f>IF(OR(AB4="",AB72=""),"",IFERROR(AB4*AB72,""))</f>
        <v/>
      </c>
      <c r="AC71" s="20">
        <f>IF(OR(AC4="",AC72=""),"",IFERROR(AC4*AC72,""))</f>
        <v/>
      </c>
    </row>
    <row r="72">
      <c r="A72" s="13" t="inlineStr">
        <is>
          <t>% of Sales</t>
        </is>
      </c>
      <c r="B72" s="10" t="n"/>
      <c r="C72" s="14">
        <f>IF(OR(C71="",C4=""),"",IFERROR(C71/C4,""))</f>
        <v/>
      </c>
      <c r="D72" s="15">
        <f>IF(OR(D71="",D4=""),"",IFERROR(D71/D4,""))</f>
        <v/>
      </c>
      <c r="E72" s="15">
        <f>IF(OR(E71="",E4=""),"",IFERROR(E71/E4,""))</f>
        <v/>
      </c>
      <c r="F72" s="15">
        <f>IF(OR(F71="",F4=""),"",IFERROR(F71/F4,""))</f>
        <v/>
      </c>
      <c r="G72" s="15">
        <f>IF(OR(G71="",G4=""),"",IFERROR(G71/G4,""))</f>
        <v/>
      </c>
      <c r="H72" s="15">
        <f>IF(OR(H71="",H4=""),"",IFERROR(H71/H4,""))</f>
        <v/>
      </c>
      <c r="I72" s="15">
        <f>IF(OR(I71="",I4=""),"",IFERROR(I71/I4,""))</f>
        <v/>
      </c>
      <c r="J72" s="15">
        <f>IF(OR(J71="",J4=""),"",IFERROR(J71/J4,""))</f>
        <v/>
      </c>
      <c r="K72" s="15">
        <f>IF(OR(K71="",K4=""),"",IFERROR(K71/K4,""))</f>
        <v/>
      </c>
      <c r="L72" s="15">
        <f>IF(OR(L71="",L4=""),"",IFERROR(L71/L4,""))</f>
        <v/>
      </c>
      <c r="M72" s="15">
        <f>IF(OR(M71="",M4=""),"",IFERROR(M71/M4,""))</f>
        <v/>
      </c>
      <c r="N72" s="15">
        <f>IF(OR(N71="",N4=""),"",IFERROR(N71/N4,""))</f>
        <v/>
      </c>
      <c r="O72" s="14">
        <f>IF(OR(O71="",O4=""),"",IFERROR(O71/O4,""))</f>
        <v/>
      </c>
      <c r="P72" s="15">
        <f>IF(OR(P71="",P4=""),"",IFERROR(P71/P4,""))</f>
        <v/>
      </c>
      <c r="Q72" s="15">
        <f>IF(OR(Q71="",Q4=""),"",IFERROR(Q71/Q4,""))</f>
        <v/>
      </c>
      <c r="R72" s="15">
        <f>IF(OR(R71="",R4=""),"",IFERROR(R71/R4,""))</f>
        <v/>
      </c>
      <c r="S72" s="15">
        <f>IF(OR(S71="",S4=""),"",IFERROR(S71/S4,""))</f>
        <v/>
      </c>
      <c r="T72" s="15">
        <f>IF(OR(T71="",T4=""),"",IFERROR(T71/T4,""))</f>
        <v/>
      </c>
      <c r="U72" s="15">
        <f>IF(OR(U71="",U4=""),"",IFERROR(U71/U4,""))</f>
        <v/>
      </c>
      <c r="V72" s="15">
        <f>IF(OR(V71="",V4=""),"",IFERROR(V71/V4,""))</f>
        <v/>
      </c>
      <c r="W72" s="15">
        <f>IF(OR(W71="",W4=""),"",IFERROR(W71/W4,""))</f>
        <v/>
      </c>
      <c r="X72" s="15">
        <f>IF(OR(X71="",X4=""),"",IFERROR(X71/X4,""))</f>
        <v/>
      </c>
      <c r="Y72" s="25">
        <f>IFERROR(AVERAGE(V72,W72,X72),"")</f>
        <v/>
      </c>
      <c r="Z72" s="26">
        <f>Y72</f>
        <v/>
      </c>
      <c r="AA72" s="26">
        <f>Z72</f>
        <v/>
      </c>
      <c r="AB72" s="26">
        <f>AA72</f>
        <v/>
      </c>
      <c r="AC72" s="26">
        <f>AB72</f>
        <v/>
      </c>
    </row>
    <row r="73">
      <c r="A73" s="9" t="inlineStr">
        <is>
          <t>법인세비용차감전순이익(손실)</t>
        </is>
      </c>
      <c r="B73" s="10" t="n"/>
      <c r="C73" s="11" t="n">
        <v>158</v>
      </c>
      <c r="D73" s="12" t="n">
        <v>1327</v>
      </c>
      <c r="E73" s="12" t="n">
        <v>1435</v>
      </c>
      <c r="F73" s="12" t="n">
        <v>1184</v>
      </c>
      <c r="G73" s="12" t="n">
        <v>1367</v>
      </c>
      <c r="H73" s="12" t="n">
        <v>1263</v>
      </c>
      <c r="I73" s="12" t="n">
        <v>1380</v>
      </c>
      <c r="J73" s="12" t="n">
        <v>1635</v>
      </c>
      <c r="K73" s="12" t="n">
        <v>1895</v>
      </c>
      <c r="L73" s="12" t="n">
        <v>3276</v>
      </c>
      <c r="M73" s="12" t="n">
        <v>3086</v>
      </c>
      <c r="N73" s="12" t="n">
        <v>5169</v>
      </c>
      <c r="O73" s="11" t="n">
        <v>3547</v>
      </c>
      <c r="P73" s="12" t="n">
        <v>5509</v>
      </c>
      <c r="Q73" s="12" t="n">
        <v>3979</v>
      </c>
      <c r="R73" s="12" t="n">
        <v>3364</v>
      </c>
      <c r="S73" s="12" t="n">
        <v>3759</v>
      </c>
      <c r="T73" s="12" t="n">
        <v>4179</v>
      </c>
      <c r="U73" s="12" t="n">
        <v>224</v>
      </c>
      <c r="V73" s="12" t="n">
        <v>2343</v>
      </c>
      <c r="W73" s="12" t="n">
        <v>5194</v>
      </c>
      <c r="X73" s="12" t="n">
        <v>9892</v>
      </c>
      <c r="Y73" s="11">
        <f>IF(OR(Y49=""),"",IFERROR(Y49+N(Y65)-N(Y67)+N(Y69)-N(Y71),""))</f>
        <v/>
      </c>
      <c r="Z73" s="12">
        <f>IF(OR(Z49=""),"",IFERROR(Z49+N(Z65)-N(Z67)+N(Z69)-N(Z71),""))</f>
        <v/>
      </c>
      <c r="AA73" s="12">
        <f>IF(OR(AA49=""),"",IFERROR(AA49+N(AA65)-N(AA67)+N(AA69)-N(AA71),""))</f>
        <v/>
      </c>
      <c r="AB73" s="12">
        <f>IF(OR(AB49=""),"",IFERROR(AB49+N(AB65)-N(AB67)+N(AB69)-N(AB71),""))</f>
        <v/>
      </c>
      <c r="AC73" s="12">
        <f>IF(OR(AC49=""),"",IFERROR(AC49+N(AC65)-N(AC67)+N(AC69)-N(AC71),""))</f>
        <v/>
      </c>
    </row>
    <row r="74">
      <c r="A74" s="13" t="inlineStr">
        <is>
          <t>YoY</t>
        </is>
      </c>
      <c r="B74" s="10" t="n"/>
      <c r="C74" s="14" t="n"/>
      <c r="D74" s="15" t="n"/>
      <c r="E74" s="15" t="n"/>
      <c r="F74" s="15" t="n"/>
      <c r="G74" s="15">
        <f>IF(OR(G73="",C73=""),"",IF(C73&lt;=0,"",IFERROR(G73/C73-1,"")))</f>
        <v/>
      </c>
      <c r="H74" s="15">
        <f>IF(OR(H73="",D73=""),"",IF(D73&lt;=0,"",IFERROR(H73/D73-1,"")))</f>
        <v/>
      </c>
      <c r="I74" s="15">
        <f>IF(OR(I73="",E73=""),"",IF(E73&lt;=0,"",IFERROR(I73/E73-1,"")))</f>
        <v/>
      </c>
      <c r="J74" s="15">
        <f>IF(OR(J73="",F73=""),"",IF(F73&lt;=0,"",IFERROR(J73/F73-1,"")))</f>
        <v/>
      </c>
      <c r="K74" s="15">
        <f>IF(OR(K73="",G73=""),"",IF(G73&lt;=0,"",IFERROR(K73/G73-1,"")))</f>
        <v/>
      </c>
      <c r="L74" s="15">
        <f>IF(OR(L73="",H73=""),"",IF(H73&lt;=0,"",IFERROR(L73/H73-1,"")))</f>
        <v/>
      </c>
      <c r="M74" s="15">
        <f>IF(OR(M73="",I73=""),"",IF(I73&lt;=0,"",IFERROR(M73/I73-1,"")))</f>
        <v/>
      </c>
      <c r="N74" s="15">
        <f>IF(OR(N73="",J73=""),"",IF(J73&lt;=0,"",IFERROR(N73/J73-1,"")))</f>
        <v/>
      </c>
      <c r="O74" s="14" t="n"/>
      <c r="P74" s="15">
        <f>IF(OR(P73="",O73=""),"",IF(O73&lt;=0,"",IFERROR(P73/O73-1,"")))</f>
        <v/>
      </c>
      <c r="Q74" s="15">
        <f>IF(OR(Q73="",P73=""),"",IF(P73&lt;=0,"",IFERROR(Q73/P73-1,"")))</f>
        <v/>
      </c>
      <c r="R74" s="15">
        <f>IF(OR(R73="",Q73=""),"",IF(Q73&lt;=0,"",IFERROR(R73/Q73-1,"")))</f>
        <v/>
      </c>
      <c r="S74" s="15">
        <f>IF(OR(S73="",R73=""),"",IF(R73&lt;=0,"",IFERROR(S73/R73-1,"")))</f>
        <v/>
      </c>
      <c r="T74" s="15">
        <f>IF(OR(T73="",S73=""),"",IF(S73&lt;=0,"",IFERROR(T73/S73-1,"")))</f>
        <v/>
      </c>
      <c r="U74" s="15">
        <f>IF(OR(U73="",T73=""),"",IF(T73&lt;=0,"",IFERROR(U73/T73-1,"")))</f>
        <v/>
      </c>
      <c r="V74" s="15">
        <f>IF(OR(V73="",U73=""),"",IF(U73&lt;=0,"",IFERROR(V73/U73-1,"")))</f>
        <v/>
      </c>
      <c r="W74" s="15">
        <f>IF(OR(W73="",V73=""),"",IF(V73&lt;=0,"",IFERROR(W73/V73-1,"")))</f>
        <v/>
      </c>
      <c r="X74" s="15">
        <f>IF(OR(X73="",W73=""),"",IF(W73&lt;=0,"",IFERROR(X73/W73-1,"")))</f>
        <v/>
      </c>
      <c r="Y74" s="14">
        <f>IF(OR(Y73="",X73=""),"",IF(X73&lt;=0,"",IFERROR(Y73/X73-1,"")))</f>
        <v/>
      </c>
      <c r="Z74" s="15">
        <f>IF(OR(Z73="",Y73=""),"",IF(Y73&lt;=0,"",IFERROR(Z73/Y73-1,"")))</f>
        <v/>
      </c>
      <c r="AA74" s="15">
        <f>IF(OR(AA73="",Z73=""),"",IF(Z73&lt;=0,"",IFERROR(AA73/Z73-1,"")))</f>
        <v/>
      </c>
      <c r="AB74" s="15">
        <f>IF(OR(AB73="",AA73=""),"",IF(AA73&lt;=0,"",IFERROR(AB73/AA73-1,"")))</f>
        <v/>
      </c>
      <c r="AC74" s="15">
        <f>IF(OR(AC73="",AB73=""),"",IF(AB73&lt;=0,"",IFERROR(AC73/AB73-1,"")))</f>
        <v/>
      </c>
    </row>
    <row r="75">
      <c r="A75" s="18" t="inlineStr">
        <is>
          <t>법인세비용(수익)</t>
        </is>
      </c>
      <c r="B75" s="10" t="n"/>
      <c r="C75" s="19" t="n">
        <v>70</v>
      </c>
      <c r="D75" s="20" t="n">
        <v>379</v>
      </c>
      <c r="E75" s="20" t="n">
        <v>406</v>
      </c>
      <c r="F75" s="20" t="n">
        <v>318</v>
      </c>
      <c r="G75" s="20" t="n">
        <v>361</v>
      </c>
      <c r="H75" s="20" t="n">
        <v>324</v>
      </c>
      <c r="I75" s="20" t="n">
        <v>370</v>
      </c>
      <c r="J75" s="20" t="n">
        <v>414</v>
      </c>
      <c r="K75" s="20" t="n">
        <v>563</v>
      </c>
      <c r="L75" s="20" t="n">
        <v>864</v>
      </c>
      <c r="M75" s="20" t="n">
        <v>751</v>
      </c>
      <c r="N75" s="20" t="n">
        <v>1436</v>
      </c>
      <c r="O75" s="19" t="n">
        <v>915</v>
      </c>
      <c r="P75" s="20" t="n">
        <v>1496</v>
      </c>
      <c r="Q75" s="20" t="n">
        <v>1168</v>
      </c>
      <c r="R75" s="20" t="n">
        <v>1013</v>
      </c>
      <c r="S75" s="20" t="n">
        <v>1010</v>
      </c>
      <c r="T75" s="20" t="n">
        <v>1139</v>
      </c>
      <c r="U75" s="20" t="n">
        <v>274</v>
      </c>
      <c r="V75" s="20" t="n">
        <v>700</v>
      </c>
      <c r="W75" s="20" t="n">
        <v>1373</v>
      </c>
      <c r="X75" s="20" t="n">
        <v>2592</v>
      </c>
      <c r="Y75" s="19">
        <f>IF(OR(Y73="",Y76=""),"",IFERROR(MAX(Y73,0)*Y76,""))</f>
        <v/>
      </c>
      <c r="Z75" s="20">
        <f>IF(OR(Z73="",Z76=""),"",IFERROR(MAX(Z73,0)*Z76,""))</f>
        <v/>
      </c>
      <c r="AA75" s="20">
        <f>IF(OR(AA73="",AA76=""),"",IFERROR(MAX(AA73,0)*AA76,""))</f>
        <v/>
      </c>
      <c r="AB75" s="20">
        <f>IF(OR(AB73="",AB76=""),"",IFERROR(MAX(AB73,0)*AB76,""))</f>
        <v/>
      </c>
      <c r="AC75" s="20">
        <f>IF(OR(AC73="",AC76=""),"",IFERROR(MAX(AC73,0)*AC76,""))</f>
        <v/>
      </c>
    </row>
    <row r="76">
      <c r="A76" s="13" t="inlineStr">
        <is>
          <t>법인세율</t>
        </is>
      </c>
      <c r="B76" s="10" t="inlineStr">
        <is>
          <t>MW 기본 30%</t>
        </is>
      </c>
      <c r="C76" s="14">
        <f>IF(OR(C75="",C73=""),"",IFERROR(C75/C73,""))</f>
        <v/>
      </c>
      <c r="D76" s="15">
        <f>IF(OR(D75="",D73=""),"",IFERROR(D75/D73,""))</f>
        <v/>
      </c>
      <c r="E76" s="15">
        <f>IF(OR(E75="",E73=""),"",IFERROR(E75/E73,""))</f>
        <v/>
      </c>
      <c r="F76" s="15">
        <f>IF(OR(F75="",F73=""),"",IFERROR(F75/F73,""))</f>
        <v/>
      </c>
      <c r="G76" s="15">
        <f>IF(OR(G75="",G73=""),"",IFERROR(G75/G73,""))</f>
        <v/>
      </c>
      <c r="H76" s="15">
        <f>IF(OR(H75="",H73=""),"",IFERROR(H75/H73,""))</f>
        <v/>
      </c>
      <c r="I76" s="15">
        <f>IF(OR(I75="",I73=""),"",IFERROR(I75/I73,""))</f>
        <v/>
      </c>
      <c r="J76" s="15">
        <f>IF(OR(J75="",J73=""),"",IFERROR(J75/J73,""))</f>
        <v/>
      </c>
      <c r="K76" s="15">
        <f>IF(OR(K75="",K73=""),"",IFERROR(K75/K73,""))</f>
        <v/>
      </c>
      <c r="L76" s="15">
        <f>IF(OR(L75="",L73=""),"",IFERROR(L75/L73,""))</f>
        <v/>
      </c>
      <c r="M76" s="15">
        <f>IF(OR(M75="",M73=""),"",IFERROR(M75/M73,""))</f>
        <v/>
      </c>
      <c r="N76" s="15">
        <f>IF(OR(N75="",N73=""),"",IFERROR(N75/N73,""))</f>
        <v/>
      </c>
      <c r="O76" s="14">
        <f>IF(OR(O75="",O73=""),"",IFERROR(O75/O73,""))</f>
        <v/>
      </c>
      <c r="P76" s="15">
        <f>IF(OR(P75="",P73=""),"",IFERROR(P75/P73,""))</f>
        <v/>
      </c>
      <c r="Q76" s="15">
        <f>IF(OR(Q75="",Q73=""),"",IFERROR(Q75/Q73,""))</f>
        <v/>
      </c>
      <c r="R76" s="15">
        <f>IF(OR(R75="",R73=""),"",IFERROR(R75/R73,""))</f>
        <v/>
      </c>
      <c r="S76" s="15">
        <f>IF(OR(S75="",S73=""),"",IFERROR(S75/S73,""))</f>
        <v/>
      </c>
      <c r="T76" s="15">
        <f>IF(OR(T75="",T73=""),"",IFERROR(T75/T73,""))</f>
        <v/>
      </c>
      <c r="U76" s="15">
        <f>IF(OR(U75="",U73=""),"",IFERROR(U75/U73,""))</f>
        <v/>
      </c>
      <c r="V76" s="15">
        <f>IF(OR(V75="",V73=""),"",IFERROR(V75/V73,""))</f>
        <v/>
      </c>
      <c r="W76" s="15">
        <f>IF(OR(W75="",W73=""),"",IFERROR(W75/W73,""))</f>
        <v/>
      </c>
      <c r="X76" s="15">
        <f>IF(OR(X75="",X73=""),"",IFERROR(X75/X73,""))</f>
        <v/>
      </c>
      <c r="Y76" s="25" t="n">
        <v>0.3</v>
      </c>
      <c r="Z76" s="26" t="n">
        <v>0.3</v>
      </c>
      <c r="AA76" s="26" t="n">
        <v>0.3</v>
      </c>
      <c r="AB76" s="26" t="n">
        <v>0.3</v>
      </c>
      <c r="AC76" s="26" t="n">
        <v>0.3</v>
      </c>
    </row>
    <row r="77">
      <c r="A77" s="9" t="inlineStr">
        <is>
          <t>당기순이익(손실)</t>
        </is>
      </c>
      <c r="B77" s="10" t="n"/>
      <c r="C77" s="11" t="n">
        <v>88</v>
      </c>
      <c r="D77" s="12" t="n">
        <v>947</v>
      </c>
      <c r="E77" s="12" t="n">
        <v>1029</v>
      </c>
      <c r="F77" s="12" t="n">
        <v>865</v>
      </c>
      <c r="G77" s="12" t="n">
        <v>1007</v>
      </c>
      <c r="H77" s="12" t="n">
        <v>939</v>
      </c>
      <c r="I77" s="12" t="n">
        <v>1009</v>
      </c>
      <c r="J77" s="12" t="n">
        <v>1220</v>
      </c>
      <c r="K77" s="12" t="n">
        <v>1333</v>
      </c>
      <c r="L77" s="12" t="n">
        <v>2412</v>
      </c>
      <c r="M77" s="12" t="n">
        <v>2334</v>
      </c>
      <c r="N77" s="12" t="n">
        <v>3733</v>
      </c>
      <c r="O77" s="11" t="n">
        <v>2632</v>
      </c>
      <c r="P77" s="12" t="n">
        <v>4012</v>
      </c>
      <c r="Q77" s="12" t="n">
        <v>2810</v>
      </c>
      <c r="R77" s="12" t="n">
        <v>2350</v>
      </c>
      <c r="S77" s="12" t="n">
        <v>2749</v>
      </c>
      <c r="T77" s="12" t="n">
        <v>3039</v>
      </c>
      <c r="U77" s="12" t="n">
        <v>-49</v>
      </c>
      <c r="V77" s="12" t="n">
        <v>1642</v>
      </c>
      <c r="W77" s="12" t="n">
        <v>3820</v>
      </c>
      <c r="X77" s="12" t="n">
        <v>7299</v>
      </c>
      <c r="Y77" s="11">
        <f>IF(OR(Y73=""),"",IFERROR(Y73-Y75,""))</f>
        <v/>
      </c>
      <c r="Z77" s="12">
        <f>IF(OR(Z73=""),"",IFERROR(Z73-Z75,""))</f>
        <v/>
      </c>
      <c r="AA77" s="12">
        <f>IF(OR(AA73=""),"",IFERROR(AA73-AA75,""))</f>
        <v/>
      </c>
      <c r="AB77" s="12">
        <f>IF(OR(AB73=""),"",IFERROR(AB73-AB75,""))</f>
        <v/>
      </c>
      <c r="AC77" s="12">
        <f>IF(OR(AC73=""),"",IFERROR(AC73-AC75,""))</f>
        <v/>
      </c>
    </row>
    <row r="78">
      <c r="A78" s="13" t="inlineStr">
        <is>
          <t>YoY</t>
        </is>
      </c>
      <c r="B78" s="10" t="n"/>
      <c r="C78" s="14" t="n"/>
      <c r="D78" s="15" t="n"/>
      <c r="E78" s="15" t="n"/>
      <c r="F78" s="15" t="n"/>
      <c r="G78" s="15">
        <f>IF(OR(G77="",C77=""),"",IF(C77&lt;=0,"",IFERROR(G77/C77-1,"")))</f>
        <v/>
      </c>
      <c r="H78" s="15">
        <f>IF(OR(H77="",D77=""),"",IF(D77&lt;=0,"",IFERROR(H77/D77-1,"")))</f>
        <v/>
      </c>
      <c r="I78" s="15">
        <f>IF(OR(I77="",E77=""),"",IF(E77&lt;=0,"",IFERROR(I77/E77-1,"")))</f>
        <v/>
      </c>
      <c r="J78" s="15">
        <f>IF(OR(J77="",F77=""),"",IF(F77&lt;=0,"",IFERROR(J77/F77-1,"")))</f>
        <v/>
      </c>
      <c r="K78" s="15">
        <f>IF(OR(K77="",G77=""),"",IF(G77&lt;=0,"",IFERROR(K77/G77-1,"")))</f>
        <v/>
      </c>
      <c r="L78" s="15">
        <f>IF(OR(L77="",H77=""),"",IF(H77&lt;=0,"",IFERROR(L77/H77-1,"")))</f>
        <v/>
      </c>
      <c r="M78" s="15">
        <f>IF(OR(M77="",I77=""),"",IF(I77&lt;=0,"",IFERROR(M77/I77-1,"")))</f>
        <v/>
      </c>
      <c r="N78" s="15">
        <f>IF(OR(N77="",J77=""),"",IF(J77&lt;=0,"",IFERROR(N77/J77-1,"")))</f>
        <v/>
      </c>
      <c r="O78" s="14" t="n"/>
      <c r="P78" s="15">
        <f>IF(OR(P77="",O77=""),"",IF(O77&lt;=0,"",IFERROR(P77/O77-1,"")))</f>
        <v/>
      </c>
      <c r="Q78" s="15">
        <f>IF(OR(Q77="",P77=""),"",IF(P77&lt;=0,"",IFERROR(Q77/P77-1,"")))</f>
        <v/>
      </c>
      <c r="R78" s="15">
        <f>IF(OR(R77="",Q77=""),"",IF(Q77&lt;=0,"",IFERROR(R77/Q77-1,"")))</f>
        <v/>
      </c>
      <c r="S78" s="15">
        <f>IF(OR(S77="",R77=""),"",IF(R77&lt;=0,"",IFERROR(S77/R77-1,"")))</f>
        <v/>
      </c>
      <c r="T78" s="15">
        <f>IF(OR(T77="",S77=""),"",IF(S77&lt;=0,"",IFERROR(T77/S77-1,"")))</f>
        <v/>
      </c>
      <c r="U78" s="15">
        <f>IF(OR(U77="",T77=""),"",IF(T77&lt;=0,"",IFERROR(U77/T77-1,"")))</f>
        <v/>
      </c>
      <c r="V78" s="15">
        <f>IF(OR(V77="",U77=""),"",IF(U77&lt;=0,"",IFERROR(V77/U77-1,"")))</f>
        <v/>
      </c>
      <c r="W78" s="15">
        <f>IF(OR(W77="",V77=""),"",IF(V77&lt;=0,"",IFERROR(W77/V77-1,"")))</f>
        <v/>
      </c>
      <c r="X78" s="15">
        <f>IF(OR(X77="",W77=""),"",IF(W77&lt;=0,"",IFERROR(X77/W77-1,"")))</f>
        <v/>
      </c>
      <c r="Y78" s="14">
        <f>IF(OR(Y77="",X77=""),"",IF(X77&lt;=0,"",IFERROR(Y77/X77-1,"")))</f>
        <v/>
      </c>
      <c r="Z78" s="15">
        <f>IF(OR(Z77="",Y77=""),"",IF(Y77&lt;=0,"",IFERROR(Z77/Y77-1,"")))</f>
        <v/>
      </c>
      <c r="AA78" s="15">
        <f>IF(OR(AA77="",Z77=""),"",IF(Z77&lt;=0,"",IFERROR(AA77/Z77-1,"")))</f>
        <v/>
      </c>
      <c r="AB78" s="15">
        <f>IF(OR(AB77="",AA77=""),"",IF(AA77&lt;=0,"",IFERROR(AB77/AA77-1,"")))</f>
        <v/>
      </c>
      <c r="AC78" s="15">
        <f>IF(OR(AC77="",AB77=""),"",IF(AB77&lt;=0,"",IFERROR(AC77/AB77-1,"")))</f>
        <v/>
      </c>
    </row>
    <row r="79">
      <c r="A79" s="9" t="inlineStr">
        <is>
          <t>지배주주 순이익</t>
        </is>
      </c>
      <c r="B79" s="10" t="n"/>
      <c r="C79" s="11" t="n">
        <v>-1</v>
      </c>
      <c r="D79" s="12" t="n">
        <v>777</v>
      </c>
      <c r="E79" s="12" t="n">
        <v>875</v>
      </c>
      <c r="F79" s="12" t="n">
        <v>608</v>
      </c>
      <c r="G79" s="12" t="n">
        <v>648</v>
      </c>
      <c r="H79" s="12" t="n">
        <v>711</v>
      </c>
      <c r="I79" s="12" t="n">
        <v>618</v>
      </c>
      <c r="J79" s="12" t="n">
        <v>984</v>
      </c>
      <c r="K79" s="12" t="n">
        <v>1198</v>
      </c>
      <c r="L79" s="12" t="n">
        <v>2050</v>
      </c>
      <c r="M79" s="12" t="n">
        <v>1937</v>
      </c>
      <c r="N79" s="12" t="n">
        <v>3116</v>
      </c>
      <c r="O79" s="11" t="n">
        <v>2489</v>
      </c>
      <c r="P79" s="12" t="n">
        <v>3351</v>
      </c>
      <c r="Q79" s="12" t="n">
        <v>2581</v>
      </c>
      <c r="R79" s="12" t="n">
        <v>2014</v>
      </c>
      <c r="S79" s="12" t="n">
        <v>2563</v>
      </c>
      <c r="T79" s="12" t="n">
        <v>2492</v>
      </c>
      <c r="U79" s="12" t="n">
        <v>-407</v>
      </c>
      <c r="V79" s="12" t="n">
        <v>1174</v>
      </c>
      <c r="W79" s="12" t="n">
        <v>2585</v>
      </c>
      <c r="X79" s="12" t="n">
        <v>6169</v>
      </c>
      <c r="Y79" s="11">
        <f>IF(OR(Y77="",Y80=""),"",IFERROR(Y77*Y80,""))</f>
        <v/>
      </c>
      <c r="Z79" s="12">
        <f>IF(OR(Z77="",Z80=""),"",IFERROR(Z77*Z80,""))</f>
        <v/>
      </c>
      <c r="AA79" s="12">
        <f>IF(OR(AA77="",AA80=""),"",IFERROR(AA77*AA80,""))</f>
        <v/>
      </c>
      <c r="AB79" s="12">
        <f>IF(OR(AB77="",AB80=""),"",IFERROR(AB77*AB80,""))</f>
        <v/>
      </c>
      <c r="AC79" s="12">
        <f>IF(OR(AC77="",AC80=""),"",IFERROR(AC77*AC80,""))</f>
        <v/>
      </c>
    </row>
    <row r="80">
      <c r="A80" s="13" t="inlineStr">
        <is>
          <t>지배주주 순이익률</t>
        </is>
      </c>
      <c r="B80" s="10" t="inlineStr">
        <is>
          <t>MW 기본 100%</t>
        </is>
      </c>
      <c r="C80" s="14">
        <f>IF(OR(C79="",C77=""),"",IFERROR(C79/C77,""))</f>
        <v/>
      </c>
      <c r="D80" s="15">
        <f>IF(OR(D79="",D77=""),"",IFERROR(D79/D77,""))</f>
        <v/>
      </c>
      <c r="E80" s="15">
        <f>IF(OR(E79="",E77=""),"",IFERROR(E79/E77,""))</f>
        <v/>
      </c>
      <c r="F80" s="15">
        <f>IF(OR(F79="",F77=""),"",IFERROR(F79/F77,""))</f>
        <v/>
      </c>
      <c r="G80" s="15">
        <f>IF(OR(G79="",G77=""),"",IFERROR(G79/G77,""))</f>
        <v/>
      </c>
      <c r="H80" s="15">
        <f>IF(OR(H79="",H77=""),"",IFERROR(H79/H77,""))</f>
        <v/>
      </c>
      <c r="I80" s="15">
        <f>IF(OR(I79="",I77=""),"",IFERROR(I79/I77,""))</f>
        <v/>
      </c>
      <c r="J80" s="15">
        <f>IF(OR(J79="",J77=""),"",IFERROR(J79/J77,""))</f>
        <v/>
      </c>
      <c r="K80" s="15">
        <f>IF(OR(K79="",K77=""),"",IFERROR(K79/K77,""))</f>
        <v/>
      </c>
      <c r="L80" s="15">
        <f>IF(OR(L79="",L77=""),"",IFERROR(L79/L77,""))</f>
        <v/>
      </c>
      <c r="M80" s="15">
        <f>IF(OR(M79="",M77=""),"",IFERROR(M79/M77,""))</f>
        <v/>
      </c>
      <c r="N80" s="15">
        <f>IF(OR(N79="",N77=""),"",IFERROR(N79/N77,""))</f>
        <v/>
      </c>
      <c r="O80" s="14">
        <f>IF(OR(O79="",O77=""),"",IFERROR(O79/O77,""))</f>
        <v/>
      </c>
      <c r="P80" s="15">
        <f>IF(OR(P79="",P77=""),"",IFERROR(P79/P77,""))</f>
        <v/>
      </c>
      <c r="Q80" s="15">
        <f>IF(OR(Q79="",Q77=""),"",IFERROR(Q79/Q77,""))</f>
        <v/>
      </c>
      <c r="R80" s="15">
        <f>IF(OR(R79="",R77=""),"",IFERROR(R79/R77,""))</f>
        <v/>
      </c>
      <c r="S80" s="15">
        <f>IF(OR(S79="",S77=""),"",IFERROR(S79/S77,""))</f>
        <v/>
      </c>
      <c r="T80" s="15">
        <f>IF(OR(T79="",T77=""),"",IFERROR(T79/T77,""))</f>
        <v/>
      </c>
      <c r="U80" s="15">
        <f>IF(OR(U79="",U77=""),"",IFERROR(U79/U77,""))</f>
        <v/>
      </c>
      <c r="V80" s="15">
        <f>IF(OR(V79="",V77=""),"",IFERROR(V79/V77,""))</f>
        <v/>
      </c>
      <c r="W80" s="15">
        <f>IF(OR(W79="",W77=""),"",IFERROR(W79/W77,""))</f>
        <v/>
      </c>
      <c r="X80" s="15">
        <f>IF(OR(X79="",X77=""),"",IFERROR(X79/X77,""))</f>
        <v/>
      </c>
      <c r="Y80" s="25" t="n">
        <v>1</v>
      </c>
      <c r="Z80" s="26" t="n">
        <v>1</v>
      </c>
      <c r="AA80" s="26" t="n">
        <v>1</v>
      </c>
      <c r="AB80" s="26" t="n">
        <v>1</v>
      </c>
      <c r="AC80" s="26" t="n">
        <v>1</v>
      </c>
    </row>
    <row r="81">
      <c r="A81" s="13" t="inlineStr">
        <is>
          <t>지배주주 순이익 YoY</t>
        </is>
      </c>
      <c r="B81" s="10" t="n"/>
      <c r="C81" s="14" t="n"/>
      <c r="D81" s="15" t="n"/>
      <c r="E81" s="15" t="n"/>
      <c r="F81" s="15" t="n"/>
      <c r="G81" s="15">
        <f>IF(OR(G79="",C79=""),"",IF(C79&lt;=0,"",IFERROR(G79/C79-1,"")))</f>
        <v/>
      </c>
      <c r="H81" s="15">
        <f>IF(OR(H79="",D79=""),"",IF(D79&lt;=0,"",IFERROR(H79/D79-1,"")))</f>
        <v/>
      </c>
      <c r="I81" s="15">
        <f>IF(OR(I79="",E79=""),"",IF(E79&lt;=0,"",IFERROR(I79/E79-1,"")))</f>
        <v/>
      </c>
      <c r="J81" s="15">
        <f>IF(OR(J79="",F79=""),"",IF(F79&lt;=0,"",IFERROR(J79/F79-1,"")))</f>
        <v/>
      </c>
      <c r="K81" s="15">
        <f>IF(OR(K79="",G79=""),"",IF(G79&lt;=0,"",IFERROR(K79/G79-1,"")))</f>
        <v/>
      </c>
      <c r="L81" s="15">
        <f>IF(OR(L79="",H79=""),"",IF(H79&lt;=0,"",IFERROR(L79/H79-1,"")))</f>
        <v/>
      </c>
      <c r="M81" s="15">
        <f>IF(OR(M79="",I79=""),"",IF(I79&lt;=0,"",IFERROR(M79/I79-1,"")))</f>
        <v/>
      </c>
      <c r="N81" s="15">
        <f>IF(OR(N79="",J79=""),"",IF(J79&lt;=0,"",IFERROR(N79/J79-1,"")))</f>
        <v/>
      </c>
      <c r="O81" s="14" t="n"/>
      <c r="P81" s="15">
        <f>IF(OR(P79="",O79=""),"",IF(O79&lt;=0,"",IFERROR(P79/O79-1,"")))</f>
        <v/>
      </c>
      <c r="Q81" s="15">
        <f>IF(OR(Q79="",P79=""),"",IF(P79&lt;=0,"",IFERROR(Q79/P79-1,"")))</f>
        <v/>
      </c>
      <c r="R81" s="15">
        <f>IF(OR(R79="",Q79=""),"",IF(Q79&lt;=0,"",IFERROR(R79/Q79-1,"")))</f>
        <v/>
      </c>
      <c r="S81" s="15">
        <f>IF(OR(S79="",R79=""),"",IF(R79&lt;=0,"",IFERROR(S79/R79-1,"")))</f>
        <v/>
      </c>
      <c r="T81" s="15">
        <f>IF(OR(T79="",S79=""),"",IF(S79&lt;=0,"",IFERROR(T79/S79-1,"")))</f>
        <v/>
      </c>
      <c r="U81" s="15">
        <f>IF(OR(U79="",T79=""),"",IF(T79&lt;=0,"",IFERROR(U79/T79-1,"")))</f>
        <v/>
      </c>
      <c r="V81" s="15">
        <f>IF(OR(V79="",U79=""),"",IF(U79&lt;=0,"",IFERROR(V79/U79-1,"")))</f>
        <v/>
      </c>
      <c r="W81" s="15">
        <f>IF(OR(W79="",V79=""),"",IF(V79&lt;=0,"",IFERROR(W79/V79-1,"")))</f>
        <v/>
      </c>
      <c r="X81" s="15">
        <f>IF(OR(X79="",W79=""),"",IF(W79&lt;=0,"",IFERROR(X79/W79-1,"")))</f>
        <v/>
      </c>
      <c r="Y81" s="14">
        <f>IF(OR(Y79="",X79=""),"",IF(X79&lt;=0,"",IFERROR(Y79/X79-1,"")))</f>
        <v/>
      </c>
      <c r="Z81" s="15">
        <f>IF(OR(Z79="",Y79=""),"",IF(Y79&lt;=0,"",IFERROR(Z79/Y79-1,"")))</f>
        <v/>
      </c>
      <c r="AA81" s="15">
        <f>IF(OR(AA79="",Z79=""),"",IF(Z79&lt;=0,"",IFERROR(AA79/Z79-1,"")))</f>
        <v/>
      </c>
      <c r="AB81" s="15">
        <f>IF(OR(AB79="",AA79=""),"",IF(AA79&lt;=0,"",IFERROR(AB79/AA79-1,"")))</f>
        <v/>
      </c>
      <c r="AC81" s="15">
        <f>IF(OR(AC79="",AB79=""),"",IF(AB79&lt;=0,"",IFERROR(AC79/AB79-1,"")))</f>
        <v/>
      </c>
    </row>
    <row r="82">
      <c r="A82" s="16" t="inlineStr">
        <is>
          <t>목표주가 산출</t>
        </is>
      </c>
      <c r="B82" s="16" t="n"/>
      <c r="C82" s="17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7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7" t="n"/>
      <c r="Z82" s="16" t="n"/>
      <c r="AA82" s="16" t="n"/>
      <c r="AB82" s="16" t="n"/>
      <c r="AC82" s="16" t="n"/>
    </row>
    <row r="83">
      <c r="A83" s="18" t="inlineStr">
        <is>
          <t>현재 주가 (2026.10.28)</t>
        </is>
      </c>
      <c r="B83" s="27" t="n">
        <v>13490</v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8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8" t="n"/>
      <c r="Z83" s="29" t="n"/>
      <c r="AA83" s="29" t="n"/>
      <c r="AB83" s="29" t="n"/>
      <c r="AC83" s="29" t="n"/>
    </row>
    <row r="84">
      <c r="A84" s="18" t="inlineStr">
        <is>
          <t>발행주식수 (보통주)</t>
        </is>
      </c>
      <c r="B84" s="27" t="n">
        <v>10684321</v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8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8" t="n"/>
      <c r="Z84" s="29" t="n"/>
      <c r="AA84" s="29" t="n"/>
      <c r="AB84" s="29" t="n"/>
      <c r="AC84" s="29" t="n"/>
    </row>
    <row r="85">
      <c r="A85" s="18" t="inlineStr">
        <is>
          <t>시가총액 (백만엔)</t>
        </is>
      </c>
      <c r="B85" s="12">
        <f>IF(OR(B83="",B84=""),"",B83*B84/1000000.0)</f>
        <v/>
      </c>
      <c r="C85" s="19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19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19" t="n"/>
      <c r="Z85" s="20" t="n"/>
      <c r="AA85" s="20" t="n"/>
      <c r="AB85" s="20" t="n"/>
      <c r="AC85" s="20" t="n"/>
    </row>
    <row r="86">
      <c r="A86" s="13" t="inlineStr">
        <is>
          <t>OPM</t>
        </is>
      </c>
      <c r="B86" s="10" t="n"/>
      <c r="C86" s="14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4">
        <f>IF(O50="","",O50)</f>
        <v/>
      </c>
      <c r="P86" s="15">
        <f>IF(P50="","",P50)</f>
        <v/>
      </c>
      <c r="Q86" s="15">
        <f>IF(Q50="","",Q50)</f>
        <v/>
      </c>
      <c r="R86" s="15">
        <f>IF(R50="","",R50)</f>
        <v/>
      </c>
      <c r="S86" s="15">
        <f>IF(S50="","",S50)</f>
        <v/>
      </c>
      <c r="T86" s="15">
        <f>IF(T50="","",T50)</f>
        <v/>
      </c>
      <c r="U86" s="15">
        <f>IF(U50="","",U50)</f>
        <v/>
      </c>
      <c r="V86" s="15">
        <f>IF(V50="","",V50)</f>
        <v/>
      </c>
      <c r="W86" s="15">
        <f>IF(W50="","",W50)</f>
        <v/>
      </c>
      <c r="X86" s="15">
        <f>IF(X50="","",X50)</f>
        <v/>
      </c>
      <c r="Y86" s="14">
        <f>IF(Y50="","",Y50)</f>
        <v/>
      </c>
      <c r="Z86" s="15">
        <f>IF(Z50="","",Z50)</f>
        <v/>
      </c>
      <c r="AA86" s="15">
        <f>IF(AA50="","",AA50)</f>
        <v/>
      </c>
      <c r="AB86" s="15">
        <f>IF(AB50="","",AB50)</f>
        <v/>
      </c>
      <c r="AC86" s="15">
        <f>IF(AC50="","",AC50)</f>
        <v/>
      </c>
    </row>
    <row r="87">
      <c r="A87" s="13" t="inlineStr">
        <is>
          <t>지배주주 순이익 증가율</t>
        </is>
      </c>
      <c r="B87" s="10" t="n"/>
      <c r="C87" s="14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4" t="n"/>
      <c r="P87" s="15">
        <f>IF(OR(P79="",O79=""),"",IFERROR(P79/O79-1,""))</f>
        <v/>
      </c>
      <c r="Q87" s="15">
        <f>IF(OR(Q79="",P79=""),"",IFERROR(Q79/P79-1,""))</f>
        <v/>
      </c>
      <c r="R87" s="15">
        <f>IF(OR(R79="",Q79=""),"",IFERROR(R79/Q79-1,""))</f>
        <v/>
      </c>
      <c r="S87" s="15">
        <f>IF(OR(S79="",R79=""),"",IFERROR(S79/R79-1,""))</f>
        <v/>
      </c>
      <c r="T87" s="15">
        <f>IF(OR(T79="",S79=""),"",IFERROR(T79/S79-1,""))</f>
        <v/>
      </c>
      <c r="U87" s="15">
        <f>IF(OR(U79="",T79=""),"",IFERROR(U79/T79-1,""))</f>
        <v/>
      </c>
      <c r="V87" s="15">
        <f>IF(OR(V79="",U79=""),"",IFERROR(V79/U79-1,""))</f>
        <v/>
      </c>
      <c r="W87" s="15">
        <f>IF(OR(W79="",V79=""),"",IFERROR(W79/V79-1,""))</f>
        <v/>
      </c>
      <c r="X87" s="15">
        <f>IF(OR(X79="",W79=""),"",IFERROR(X79/W79-1,""))</f>
        <v/>
      </c>
      <c r="Y87" s="14">
        <f>IF(OR(Y79="",X79=""),"",IFERROR(Y79/X79-1,""))</f>
        <v/>
      </c>
      <c r="Z87" s="15">
        <f>IF(OR(Z79="",Y79=""),"",IFERROR(Z79/Y79-1,""))</f>
        <v/>
      </c>
      <c r="AA87" s="15">
        <f>IF(OR(AA79="",Z79=""),"",IFERROR(AA79/Z79-1,""))</f>
        <v/>
      </c>
      <c r="AB87" s="15">
        <f>IF(OR(AB79="",AA79=""),"",IFERROR(AB79/AA79-1,""))</f>
        <v/>
      </c>
      <c r="AC87" s="15">
        <f>IF(OR(AC79="",AB79=""),"",IFERROR(AC79/AB79-1,""))</f>
        <v/>
      </c>
    </row>
    <row r="88">
      <c r="A88" s="18" t="inlineStr">
        <is>
          <t>P/E (현재 주가)</t>
        </is>
      </c>
      <c r="B88" s="10" t="inlineStr">
        <is>
          <t>시총 ÷ 지배순이익</t>
        </is>
      </c>
      <c r="C88" s="30" t="n"/>
      <c r="D88" s="31" t="n"/>
      <c r="E88" s="31" t="n"/>
      <c r="F88" s="31" t="n"/>
      <c r="G88" s="31" t="n"/>
      <c r="H88" s="31" t="n"/>
      <c r="I88" s="31" t="n"/>
      <c r="J88" s="31" t="n"/>
      <c r="K88" s="31" t="n"/>
      <c r="L88" s="31" t="n"/>
      <c r="M88" s="31" t="n"/>
      <c r="N88" s="31" t="n"/>
      <c r="O88" s="30" t="n"/>
      <c r="P88" s="31" t="n"/>
      <c r="Q88" s="31" t="n"/>
      <c r="R88" s="31" t="n"/>
      <c r="S88" s="31" t="n"/>
      <c r="T88" s="31" t="n"/>
      <c r="U88" s="31" t="n"/>
      <c r="V88" s="31" t="n"/>
      <c r="W88" s="31" t="n"/>
      <c r="X88" s="31">
        <f>IF(OR($B$85="",X79=""),"",IFERROR($B$85/X79,""))</f>
        <v/>
      </c>
      <c r="Y88" s="30">
        <f>IF(OR($B$85="",Y79=""),"",IFERROR($B$85/Y79,""))</f>
        <v/>
      </c>
      <c r="Z88" s="31">
        <f>IF(OR($B$85="",Z79=""),"",IFERROR($B$85/Z79,""))</f>
        <v/>
      </c>
      <c r="AA88" s="31">
        <f>IF(OR($B$85="",AA79=""),"",IFERROR($B$85/AA79,""))</f>
        <v/>
      </c>
      <c r="AB88" s="31">
        <f>IF(OR($B$85="",AB79=""),"",IFERROR($B$85/AB79,""))</f>
        <v/>
      </c>
      <c r="AC88" s="31">
        <f>IF(OR($B$85="",AC79=""),"",IFERROR($B$85/AC79,""))</f>
        <v/>
      </c>
    </row>
    <row r="89">
      <c r="A89" s="18" t="inlineStr">
        <is>
          <t>Target P/E</t>
        </is>
      </c>
      <c r="B89" s="10" t="inlineStr">
        <is>
          <t>직접 입력</t>
        </is>
      </c>
      <c r="C89" s="30" t="n"/>
      <c r="D89" s="31" t="n"/>
      <c r="E89" s="31" t="n"/>
      <c r="F89" s="31" t="n"/>
      <c r="G89" s="31" t="n"/>
      <c r="H89" s="31" t="n"/>
      <c r="I89" s="31" t="n"/>
      <c r="J89" s="31" t="n"/>
      <c r="K89" s="31" t="n"/>
      <c r="L89" s="31" t="n"/>
      <c r="M89" s="31" t="n"/>
      <c r="N89" s="31" t="n"/>
      <c r="O89" s="30" t="n"/>
      <c r="P89" s="31" t="n"/>
      <c r="Q89" s="31" t="n"/>
      <c r="R89" s="31" t="n"/>
      <c r="S89" s="31" t="n"/>
      <c r="T89" s="31" t="n"/>
      <c r="U89" s="31" t="n"/>
      <c r="V89" s="31" t="n"/>
      <c r="W89" s="31" t="n"/>
      <c r="X89" s="31" t="n"/>
      <c r="Y89" s="32" t="n"/>
      <c r="Z89" s="33" t="n"/>
      <c r="AA89" s="33" t="n"/>
      <c r="AB89" s="33" t="n"/>
      <c r="AC89" s="33" t="n"/>
    </row>
    <row r="90">
      <c r="A90" s="18" t="inlineStr">
        <is>
          <t>EPS</t>
        </is>
      </c>
      <c r="B90" s="10" t="inlineStr">
        <is>
          <t>지배순이익 ÷ 주식수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8">
        <f>IF(OR(O79="",$B$84=""),"",IFERROR(O79*1000000.0/$B$84,""))</f>
        <v/>
      </c>
      <c r="P90" s="29">
        <f>IF(OR(P79="",$B$84=""),"",IFERROR(P79*1000000.0/$B$84,""))</f>
        <v/>
      </c>
      <c r="Q90" s="29">
        <f>IF(OR(Q79="",$B$84=""),"",IFERROR(Q79*1000000.0/$B$84,""))</f>
        <v/>
      </c>
      <c r="R90" s="29">
        <f>IF(OR(R79="",$B$84=""),"",IFERROR(R79*1000000.0/$B$84,""))</f>
        <v/>
      </c>
      <c r="S90" s="29">
        <f>IF(OR(S79="",$B$84=""),"",IFERROR(S79*1000000.0/$B$84,""))</f>
        <v/>
      </c>
      <c r="T90" s="29">
        <f>IF(OR(T79="",$B$84=""),"",IFERROR(T79*1000000.0/$B$84,""))</f>
        <v/>
      </c>
      <c r="U90" s="29">
        <f>IF(OR(U79="",$B$84=""),"",IFERROR(U79*1000000.0/$B$84,""))</f>
        <v/>
      </c>
      <c r="V90" s="29">
        <f>IF(OR(V79="",$B$84=""),"",IFERROR(V79*1000000.0/$B$84,""))</f>
        <v/>
      </c>
      <c r="W90" s="29">
        <f>IF(OR(W79="",$B$84=""),"",IFERROR(W79*1000000.0/$B$84,""))</f>
        <v/>
      </c>
      <c r="X90" s="29">
        <f>IF(OR(X79="",$B$84=""),"",IFERROR(X79*1000000.0/$B$84,""))</f>
        <v/>
      </c>
      <c r="Y90" s="28">
        <f>IF(OR(Y79="",$B$84=""),"",IFERROR(Y79*1000000.0/$B$84,""))</f>
        <v/>
      </c>
      <c r="Z90" s="29">
        <f>IF(OR(Z79="",$B$84=""),"",IFERROR(Z79*1000000.0/$B$84,""))</f>
        <v/>
      </c>
      <c r="AA90" s="29">
        <f>IF(OR(AA79="",$B$84=""),"",IFERROR(AA79*1000000.0/$B$84,""))</f>
        <v/>
      </c>
      <c r="AB90" s="29">
        <f>IF(OR(AB79="",$B$84=""),"",IFERROR(AB79*1000000.0/$B$84,""))</f>
        <v/>
      </c>
      <c r="AC90" s="29">
        <f>IF(OR(AC79="",$B$84=""),"",IFERROR(AC79*1000000.0/$B$84,""))</f>
        <v/>
      </c>
    </row>
    <row r="91">
      <c r="A91" s="9" t="inlineStr">
        <is>
          <t>목표주가</t>
        </is>
      </c>
      <c r="B91" s="10" t="n"/>
      <c r="C91" s="34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34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34">
        <f>IF(OR(Y90="",Y89=""),"",IFERROR(Y90*Y89,""))</f>
        <v/>
      </c>
      <c r="Z91" s="27">
        <f>IF(OR(Z90="",Z89=""),"",IFERROR(Z90*Z89,""))</f>
        <v/>
      </c>
      <c r="AA91" s="27">
        <f>IF(OR(AA90="",AA89=""),"",IFERROR(AA90*AA89,""))</f>
        <v/>
      </c>
      <c r="AB91" s="27">
        <f>IF(OR(AB90="",AB89=""),"",IFERROR(AB90*AB89,""))</f>
        <v/>
      </c>
      <c r="AC91" s="27">
        <f>IF(OR(AC90="",AC89=""),"",IFERROR(AC90*AC89,""))</f>
        <v/>
      </c>
    </row>
    <row r="92">
      <c r="A92" s="18" t="inlineStr">
        <is>
          <t>상승여력</t>
        </is>
      </c>
      <c r="B92" s="10" t="n"/>
      <c r="C92" s="35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5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7">
        <f>IF(OR(Y91="",$B$83=""),"",IFERROR(Y91/$B$83-1,""))</f>
        <v/>
      </c>
      <c r="Z92" s="38">
        <f>IF(OR(Z91="",$B$83=""),"",IFERROR(Z91/$B$83-1,""))</f>
        <v/>
      </c>
      <c r="AA92" s="38">
        <f>IF(OR(AA91="",$B$83=""),"",IFERROR(AA91/$B$83-1,""))</f>
        <v/>
      </c>
      <c r="AB92" s="38">
        <f>IF(OR(AB91="",$B$83=""),"",IFERROR(AB91/$B$83-1,""))</f>
        <v/>
      </c>
      <c r="AC92" s="38">
        <f>IF(OR(AC91="",$B$83=""),"",IFERROR(AC91/$B$83-1,""))</f>
        <v/>
      </c>
    </row>
    <row r="93">
      <c r="A93" s="16" t="inlineStr">
        <is>
          <t>자산가치 산출</t>
        </is>
      </c>
      <c r="B93" s="16" t="inlineStr">
        <is>
          <t>최신 분기 BS</t>
        </is>
      </c>
      <c r="C93" s="17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7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7" t="n"/>
      <c r="Z93" s="16" t="n"/>
      <c r="AA93" s="16" t="n"/>
      <c r="AB93" s="16" t="n"/>
      <c r="AC93" s="16" t="n"/>
    </row>
    <row r="94">
      <c r="A94" s="18" t="inlineStr">
        <is>
          <t>현금및현금성자산</t>
        </is>
      </c>
      <c r="B94" s="10" t="n"/>
      <c r="C94" s="19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19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>
        <f>'재무상태표'!G6</f>
        <v/>
      </c>
      <c r="Y94" s="19">
        <f>'재무상태표'!G6</f>
        <v/>
      </c>
      <c r="Z94" s="20">
        <f>'재무상태표'!G6</f>
        <v/>
      </c>
      <c r="AA94" s="20">
        <f>'재무상태표'!G6</f>
        <v/>
      </c>
      <c r="AB94" s="20">
        <f>'재무상태표'!G6</f>
        <v/>
      </c>
      <c r="AC94" s="20">
        <f>'재무상태표'!G6</f>
        <v/>
      </c>
    </row>
    <row r="95">
      <c r="A95" s="18" t="inlineStr">
        <is>
          <t>단기금융상품</t>
        </is>
      </c>
      <c r="B95" s="10" t="n"/>
      <c r="C95" s="19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19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>
        <f>'재무상태표'!G7</f>
        <v/>
      </c>
      <c r="Y95" s="19">
        <f>'재무상태표'!G7</f>
        <v/>
      </c>
      <c r="Z95" s="20">
        <f>'재무상태표'!G7</f>
        <v/>
      </c>
      <c r="AA95" s="20">
        <f>'재무상태표'!G7</f>
        <v/>
      </c>
      <c r="AB95" s="20">
        <f>'재무상태표'!G7</f>
        <v/>
      </c>
      <c r="AC95" s="20">
        <f>'재무상태표'!G7</f>
        <v/>
      </c>
    </row>
    <row r="96">
      <c r="A96" s="18" t="inlineStr">
        <is>
          <t>투자부동산</t>
        </is>
      </c>
      <c r="B96" s="10" t="n"/>
      <c r="C96" s="19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19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>
        <f>'재무상태표'!G14</f>
        <v/>
      </c>
      <c r="Y96" s="19">
        <f>'재무상태표'!G14</f>
        <v/>
      </c>
      <c r="Z96" s="20">
        <f>'재무상태표'!G14</f>
        <v/>
      </c>
      <c r="AA96" s="20">
        <f>'재무상태표'!G14</f>
        <v/>
      </c>
      <c r="AB96" s="20">
        <f>'재무상태표'!G14</f>
        <v/>
      </c>
      <c r="AC96" s="20">
        <f>'재무상태표'!G14</f>
        <v/>
      </c>
    </row>
    <row r="97">
      <c r="A97" s="18" t="inlineStr">
        <is>
          <t>지배자본</t>
        </is>
      </c>
      <c r="B97" s="10" t="n"/>
      <c r="C97" s="19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19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>
        <f>'재무상태표'!G31</f>
        <v/>
      </c>
      <c r="Y97" s="19">
        <f>'재무상태표'!G31</f>
        <v/>
      </c>
      <c r="Z97" s="20">
        <f>'재무상태표'!G31</f>
        <v/>
      </c>
      <c r="AA97" s="20">
        <f>'재무상태표'!G31</f>
        <v/>
      </c>
      <c r="AB97" s="20">
        <f>'재무상태표'!G31</f>
        <v/>
      </c>
      <c r="AC97" s="20">
        <f>'재무상태표'!G31</f>
        <v/>
      </c>
    </row>
    <row r="98">
      <c r="A98" s="18" t="inlineStr">
        <is>
          <t>부채</t>
        </is>
      </c>
      <c r="B98" s="10" t="n"/>
      <c r="C98" s="19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19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>
        <f>'재무상태표'!G27</f>
        <v/>
      </c>
      <c r="Y98" s="19">
        <f>'재무상태표'!G27</f>
        <v/>
      </c>
      <c r="Z98" s="20">
        <f>'재무상태표'!G27</f>
        <v/>
      </c>
      <c r="AA98" s="20">
        <f>'재무상태표'!G27</f>
        <v/>
      </c>
      <c r="AB98" s="20">
        <f>'재무상태표'!G27</f>
        <v/>
      </c>
      <c r="AC98" s="20">
        <f>'재무상태표'!G27</f>
        <v/>
      </c>
    </row>
    <row r="99">
      <c r="A99" s="13" t="inlineStr">
        <is>
          <t>부채비율</t>
        </is>
      </c>
      <c r="B99" s="10" t="n"/>
      <c r="C99" s="14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4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>
        <f>IF(OR(X98="",X97=""),"",IFERROR(X98/X97,""))</f>
        <v/>
      </c>
      <c r="Y99" s="14">
        <f>IF(OR(Y98="",Y97=""),"",IFERROR(Y98/Y97,""))</f>
        <v/>
      </c>
      <c r="Z99" s="15">
        <f>IF(OR(Z98="",Z97=""),"",IFERROR(Z98/Z97,""))</f>
        <v/>
      </c>
      <c r="AA99" s="15">
        <f>IF(OR(AA98="",AA97=""),"",IFERROR(AA98/AA97,""))</f>
        <v/>
      </c>
      <c r="AB99" s="15">
        <f>IF(OR(AB98="",AB97=""),"",IFERROR(AB98/AB97,""))</f>
        <v/>
      </c>
      <c r="AC99" s="15">
        <f>IF(OR(AC98="",AC97=""),"",IFERROR(AC98/AC97,""))</f>
        <v/>
      </c>
    </row>
    <row r="100">
      <c r="A100" s="9" t="inlineStr">
        <is>
          <t>자산가치</t>
        </is>
      </c>
      <c r="B100" s="10" t="inlineStr">
        <is>
          <t>현금+단기금융+투자부동산</t>
        </is>
      </c>
      <c r="C100" s="11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1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>
        <f>SUM(X94,X95,X96)</f>
        <v/>
      </c>
      <c r="Y100" s="11">
        <f>SUM(Y94,Y95,Y96)</f>
        <v/>
      </c>
      <c r="Z100" s="12">
        <f>SUM(Z94,Z95,Z96)</f>
        <v/>
      </c>
      <c r="AA100" s="12">
        <f>SUM(AA94,AA95,AA96)</f>
        <v/>
      </c>
      <c r="AB100" s="12">
        <f>SUM(AB94,AB95,AB96)</f>
        <v/>
      </c>
      <c r="AC100" s="12">
        <f>SUM(AC94,AC95,AC96)</f>
        <v/>
      </c>
    </row>
    <row r="101">
      <c r="A101" s="16" t="inlineStr">
        <is>
          <t>기업가치 산출</t>
        </is>
      </c>
      <c r="B101" s="16" t="n"/>
      <c r="C101" s="17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7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7" t="n"/>
      <c r="Z101" s="16" t="n"/>
      <c r="AA101" s="16" t="n"/>
      <c r="AB101" s="16" t="n"/>
      <c r="AC101" s="16" t="n"/>
    </row>
    <row r="102">
      <c r="A102" s="18" t="inlineStr">
        <is>
          <t>목표 시가총액 (P/E)</t>
        </is>
      </c>
      <c r="B102" s="10" t="inlineStr">
        <is>
          <t>지배순이익 × Target P/E</t>
        </is>
      </c>
      <c r="C102" s="19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19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19">
        <f>IF(OR(Y79="",Y89=""),"",IFERROR(Y79*Y89,""))</f>
        <v/>
      </c>
      <c r="Z102" s="20">
        <f>IF(OR(Z79="",Z89=""),"",IFERROR(Z79*Z89,""))</f>
        <v/>
      </c>
      <c r="AA102" s="20">
        <f>IF(OR(AA79="",AA89=""),"",IFERROR(AA79*AA89,""))</f>
        <v/>
      </c>
      <c r="AB102" s="20">
        <f>IF(OR(AB79="",AB89=""),"",IFERROR(AB79*AB89,""))</f>
        <v/>
      </c>
      <c r="AC102" s="20">
        <f>IF(OR(AC79="",AC89=""),"",IFERROR(AC79*AC89,""))</f>
        <v/>
      </c>
    </row>
    <row r="103">
      <c r="A103" s="9" t="inlineStr">
        <is>
          <t>기업가치</t>
        </is>
      </c>
      <c r="B103" s="10" t="inlineStr">
        <is>
          <t>목표시총 + 자산가치</t>
        </is>
      </c>
      <c r="C103" s="11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1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1">
        <f>IF(OR(Y102=""),"",IFERROR(Y102+Y100,""))</f>
        <v/>
      </c>
      <c r="Z103" s="12">
        <f>IF(OR(Z102=""),"",IFERROR(Z102+Z100,""))</f>
        <v/>
      </c>
      <c r="AA103" s="12">
        <f>IF(OR(AA102=""),"",IFERROR(AA102+AA100,""))</f>
        <v/>
      </c>
      <c r="AB103" s="12">
        <f>IF(OR(AB102=""),"",IFERROR(AB102+AB100,""))</f>
        <v/>
      </c>
      <c r="AC103" s="12">
        <f>IF(OR(AC102=""),"",IFERROR(AC102+AC100,""))</f>
        <v/>
      </c>
    </row>
    <row r="104">
      <c r="A104" s="18" t="inlineStr">
        <is>
          <t>현재 시가총액</t>
        </is>
      </c>
      <c r="B104" s="10" t="n"/>
      <c r="C104" s="19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19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19">
        <f>$B$85</f>
        <v/>
      </c>
      <c r="Z104" s="20">
        <f>$B$85</f>
        <v/>
      </c>
      <c r="AA104" s="20">
        <f>$B$85</f>
        <v/>
      </c>
      <c r="AB104" s="20">
        <f>$B$85</f>
        <v/>
      </c>
      <c r="AC104" s="20">
        <f>$B$85</f>
        <v/>
      </c>
    </row>
    <row r="105">
      <c r="A105" s="18" t="inlineStr">
        <is>
          <t>상승여력</t>
        </is>
      </c>
      <c r="B105" s="10" t="n"/>
      <c r="C105" s="35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5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7">
        <f>IF(OR(Y103="",Y104=""),"",IFERROR(Y103/Y104-1,""))</f>
        <v/>
      </c>
      <c r="Z105" s="38">
        <f>IF(OR(Z103="",Z104=""),"",IFERROR(Z103/Z104-1,""))</f>
        <v/>
      </c>
      <c r="AA105" s="38">
        <f>IF(OR(AA103="",AA104=""),"",IFERROR(AA103/AA104-1,""))</f>
        <v/>
      </c>
      <c r="AB105" s="38">
        <f>IF(OR(AB103="",AB104=""),"",IFERROR(AB103/AB104-1,""))</f>
        <v/>
      </c>
      <c r="AC105" s="38">
        <f>IF(OR(AC103="",AC104=""),"",IFERROR(AC103/AC104-1,""))</f>
        <v/>
      </c>
    </row>
    <row r="106">
      <c r="C106" s="39" t="n"/>
      <c r="O106" s="39" t="n"/>
      <c r="Y106" s="39" t="n"/>
    </row>
    <row r="107">
      <c r="A107" s="40" t="inlineStr">
        <is>
          <t>출처</t>
        </is>
      </c>
      <c r="C107" s="39" t="n"/>
      <c r="O107" s="39" t="n"/>
      <c r="Y107" s="39" t="n"/>
    </row>
    <row r="108">
      <c r="A108" s="41" t="inlineStr">
        <is>
          <t>결산단신 XBRL(TDnet·JPX 보관소) — 쓴 문서는 '출처' 시트</t>
        </is>
      </c>
      <c r="C108" s="39" t="n"/>
      <c r="O108" s="39" t="n"/>
      <c r="Y108" s="39" t="n"/>
    </row>
    <row r="109">
      <c r="A109" s="41" t="inlineStr">
        <is>
          <t>분기 = 누계에서 앞 분기를 뺀 3개월 값</t>
        </is>
      </c>
      <c r="C109" s="39" t="n"/>
      <c r="O109" s="39" t="n"/>
      <c r="Y109" s="39" t="n"/>
    </row>
    <row r="110">
      <c r="A110" s="41" t="inlineStr">
        <is>
          <t>주가: 야후 파이낸스 일봉 2026.10.28</t>
        </is>
      </c>
      <c r="C110" s="39" t="n"/>
      <c r="O110" s="39" t="n"/>
      <c r="Y110" s="39" t="n"/>
    </row>
    <row r="112">
      <c r="A112" s="16" t="inlineStr">
        <is>
          <t>손익계산서 · 전 항목</t>
        </is>
      </c>
      <c r="B112" s="42" t="inlineStr">
        <is>
          <t>분기 = 3개월 단독</t>
        </is>
      </c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</row>
    <row r="113">
      <c r="A113" s="5" t="inlineStr">
        <is>
          <t>항목</t>
        </is>
      </c>
      <c r="B113" s="5" t="inlineStr">
        <is>
          <t>참고</t>
        </is>
      </c>
      <c r="C113" s="5" t="inlineStr">
        <is>
          <t>2024.2Q</t>
        </is>
      </c>
      <c r="D113" s="5" t="inlineStr">
        <is>
          <t>2024.3Q</t>
        </is>
      </c>
      <c r="E113" s="5" t="inlineStr">
        <is>
          <t>2024.4Q</t>
        </is>
      </c>
      <c r="F113" s="5" t="inlineStr">
        <is>
          <t>2025.1Q</t>
        </is>
      </c>
      <c r="G113" s="5" t="inlineStr">
        <is>
          <t>2025.2Q</t>
        </is>
      </c>
      <c r="H113" s="5" t="inlineStr">
        <is>
          <t>2025.3Q</t>
        </is>
      </c>
      <c r="I113" s="5" t="inlineStr">
        <is>
          <t>2025.4Q</t>
        </is>
      </c>
      <c r="J113" s="5" t="inlineStr">
        <is>
          <t>2026.1Q</t>
        </is>
      </c>
      <c r="K113" s="5" t="inlineStr">
        <is>
          <t>2026.2Q</t>
        </is>
      </c>
      <c r="L113" s="5" t="inlineStr">
        <is>
          <t>2026.3Q</t>
        </is>
      </c>
      <c r="M113" s="5" t="inlineStr">
        <is>
          <t>2026.4Q</t>
        </is>
      </c>
      <c r="N113" s="5" t="inlineStr">
        <is>
          <t>2027.1Q</t>
        </is>
      </c>
      <c r="O113" s="5" t="inlineStr">
        <is>
          <t>2017</t>
        </is>
      </c>
      <c r="P113" s="5" t="inlineStr">
        <is>
          <t>2018</t>
        </is>
      </c>
      <c r="Q113" s="5" t="inlineStr">
        <is>
          <t>2019</t>
        </is>
      </c>
      <c r="R113" s="5" t="inlineStr">
        <is>
          <t>2020</t>
        </is>
      </c>
      <c r="S113" s="5" t="inlineStr">
        <is>
          <t>2021</t>
        </is>
      </c>
      <c r="T113" s="5" t="inlineStr">
        <is>
          <t>2022</t>
        </is>
      </c>
      <c r="U113" s="5" t="inlineStr">
        <is>
          <t>2023</t>
        </is>
      </c>
      <c r="V113" s="5" t="inlineStr">
        <is>
          <t>2024</t>
        </is>
      </c>
      <c r="W113" s="5" t="inlineStr">
        <is>
          <t>2025</t>
        </is>
      </c>
      <c r="X113" s="5" t="inlineStr">
        <is>
          <t>2026</t>
        </is>
      </c>
      <c r="Y113" s="5" t="inlineStr">
        <is>
          <t>2027(MW)</t>
        </is>
      </c>
      <c r="Z113" s="5" t="inlineStr">
        <is>
          <t>2028(MW)</t>
        </is>
      </c>
      <c r="AA113" s="5" t="inlineStr">
        <is>
          <t>2029(MW)</t>
        </is>
      </c>
      <c r="AB113" s="5" t="inlineStr">
        <is>
          <t>2030(MW)</t>
        </is>
      </c>
      <c r="AC113" s="5" t="inlineStr">
        <is>
          <t>2031(MW)</t>
        </is>
      </c>
    </row>
    <row r="114">
      <c r="A114" s="9" t="inlineStr">
        <is>
          <t>매출액</t>
        </is>
      </c>
      <c r="C114" s="12" t="n">
        <v>15316</v>
      </c>
      <c r="D114" s="12" t="n">
        <v>16434</v>
      </c>
      <c r="E114" s="12" t="n">
        <v>17484</v>
      </c>
      <c r="F114" s="12" t="n">
        <v>17531</v>
      </c>
      <c r="G114" s="12" t="n">
        <v>17900</v>
      </c>
      <c r="H114" s="12" t="n">
        <v>18840</v>
      </c>
      <c r="I114" s="12" t="n">
        <v>18984</v>
      </c>
      <c r="J114" s="12" t="n">
        <v>19046</v>
      </c>
      <c r="K114" s="12" t="n">
        <v>18565</v>
      </c>
      <c r="L114" s="12" t="n">
        <v>22598</v>
      </c>
      <c r="M114" s="12" t="n">
        <v>22677</v>
      </c>
      <c r="N114" s="12" t="n">
        <v>27501</v>
      </c>
      <c r="T114" s="12" t="n">
        <v>15975</v>
      </c>
      <c r="U114" s="12" t="n">
        <v>15983</v>
      </c>
      <c r="V114" s="12" t="n">
        <v>17484</v>
      </c>
      <c r="W114" s="12" t="n">
        <v>18984</v>
      </c>
      <c r="X114" s="12" t="n">
        <v>22677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IF(OR(G114="",C114=""),"",IF(C114&lt;=0,"",IFERROR(G114/C114-1,"")))</f>
        <v/>
      </c>
      <c r="H115" s="15">
        <f>IF(OR(H114="",D114=""),"",IF(D114&lt;=0,"",IFERROR(H114/D114-1,"")))</f>
        <v/>
      </c>
      <c r="I115" s="15">
        <f>IF(OR(I114="",E114=""),"",IF(E114&lt;=0,"",IFERROR(I114/E114-1,"")))</f>
        <v/>
      </c>
      <c r="J115" s="15">
        <f>IF(OR(J114="",F114=""),"",IF(F114&lt;=0,"",IFERROR(J114/F114-1,"")))</f>
        <v/>
      </c>
      <c r="K115" s="15">
        <f>IF(OR(K114="",G114=""),"",IF(G114&lt;=0,"",IFERROR(K114/G114-1,"")))</f>
        <v/>
      </c>
      <c r="L115" s="15">
        <f>IF(OR(L114="",H114=""),"",IF(H114&lt;=0,"",IFERROR(L114/H114-1,"")))</f>
        <v/>
      </c>
      <c r="M115" s="15">
        <f>IF(OR(M114="",I114=""),"",IF(I114&lt;=0,"",IFERROR(M114/I114-1,"")))</f>
        <v/>
      </c>
      <c r="N115" s="15">
        <f>IF(OR(N114="",J114=""),"",IF(J114&lt;=0,"",IFERROR(N114/J114-1,"")))</f>
        <v/>
      </c>
      <c r="T115" s="15">
        <f>IF(OR(T114="",S114=""),"",IF(S114&lt;=0,"",IFERROR(T114/S114-1,"")))</f>
        <v/>
      </c>
      <c r="U115" s="15">
        <f>IF(OR(U114="",T114=""),"",IF(T114&lt;=0,"",IFERROR(U114/T114-1,"")))</f>
        <v/>
      </c>
      <c r="V115" s="15">
        <f>IF(OR(V114="",U114=""),"",IF(U114&lt;=0,"",IFERROR(V114/U114-1,"")))</f>
        <v/>
      </c>
      <c r="W115" s="15">
        <f>IF(OR(W114="",V114=""),"",IF(V114&lt;=0,"",IFERROR(W114/V114-1,"")))</f>
        <v/>
      </c>
      <c r="X115" s="15">
        <f>IF(OR(X114="",W114=""),"",IF(W114&lt;=0,"",IFERROR(X114/W114-1,"")))</f>
        <v/>
      </c>
    </row>
    <row r="116">
      <c r="A116" s="18" t="inlineStr">
        <is>
          <t>매출원가</t>
        </is>
      </c>
      <c r="C116" s="20" t="n">
        <v>12461</v>
      </c>
      <c r="D116" s="20" t="n">
        <v>12616</v>
      </c>
      <c r="E116" s="20" t="n">
        <v>13073</v>
      </c>
      <c r="F116" s="20" t="n">
        <v>13450</v>
      </c>
      <c r="G116" s="20" t="n">
        <v>13256</v>
      </c>
      <c r="H116" s="20" t="n">
        <v>14180</v>
      </c>
      <c r="I116" s="20" t="n">
        <v>14131</v>
      </c>
      <c r="J116" s="20" t="n">
        <v>13960</v>
      </c>
      <c r="K116" s="20" t="n">
        <v>12996</v>
      </c>
      <c r="L116" s="20" t="n">
        <v>15501</v>
      </c>
      <c r="M116" s="20" t="n">
        <v>15641</v>
      </c>
      <c r="N116" s="20" t="n">
        <v>18504</v>
      </c>
      <c r="T116" s="20" t="n">
        <v>12213</v>
      </c>
      <c r="U116" s="20" t="n">
        <v>12904</v>
      </c>
      <c r="V116" s="20" t="n">
        <v>13073</v>
      </c>
      <c r="W116" s="20" t="n">
        <v>14131</v>
      </c>
      <c r="X116" s="20" t="n">
        <v>15641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IF(OR(G116="",C116=""),"",IF(G116*C116&lt;=0,"",IFERROR(G116/C116-1,"")))</f>
        <v/>
      </c>
      <c r="H117" s="15">
        <f>IF(OR(H116="",D116=""),"",IF(H116*D116&lt;=0,"",IFERROR(H116/D116-1,"")))</f>
        <v/>
      </c>
      <c r="I117" s="15">
        <f>IF(OR(I116="",E116=""),"",IF(I116*E116&lt;=0,"",IFERROR(I116/E116-1,"")))</f>
        <v/>
      </c>
      <c r="J117" s="15">
        <f>IF(OR(J116="",F116=""),"",IF(J116*F116&lt;=0,"",IFERROR(J116/F116-1,"")))</f>
        <v/>
      </c>
      <c r="K117" s="15">
        <f>IF(OR(K116="",G116=""),"",IF(K116*G116&lt;=0,"",IFERROR(K116/G116-1,"")))</f>
        <v/>
      </c>
      <c r="L117" s="15">
        <f>IF(OR(L116="",H116=""),"",IF(L116*H116&lt;=0,"",IFERROR(L116/H116-1,"")))</f>
        <v/>
      </c>
      <c r="M117" s="15">
        <f>IF(OR(M116="",I116=""),"",IF(M116*I116&lt;=0,"",IFERROR(M116/I116-1,"")))</f>
        <v/>
      </c>
      <c r="N117" s="15">
        <f>IF(OR(N116="",J116=""),"",IF(N116*J116&lt;=0,"",IFERROR(N116/J116-1,"")))</f>
        <v/>
      </c>
      <c r="T117" s="15">
        <f>IF(OR(T116="",S116=""),"",IF(T116*S116&lt;=0,"",IFERROR(T116/S116-1,"")))</f>
        <v/>
      </c>
      <c r="U117" s="15">
        <f>IF(OR(U116="",T116=""),"",IF(U116*T116&lt;=0,"",IFERROR(U116/T116-1,"")))</f>
        <v/>
      </c>
      <c r="V117" s="15">
        <f>IF(OR(V116="",U116=""),"",IF(V116*U116&lt;=0,"",IFERROR(V116/U116-1,"")))</f>
        <v/>
      </c>
      <c r="W117" s="15">
        <f>IF(OR(W116="",V116=""),"",IF(W116*V116&lt;=0,"",IFERROR(W116/V116-1,"")))</f>
        <v/>
      </c>
      <c r="X117" s="15">
        <f>IF(OR(X116="",W116=""),"",IF(X116*W116&lt;=0,"",IFERROR(X116/W116-1,"")))</f>
        <v/>
      </c>
    </row>
    <row r="118">
      <c r="A118" s="9" t="inlineStr">
        <is>
          <t>매출총이익</t>
        </is>
      </c>
      <c r="C118" s="12" t="n">
        <v>2856</v>
      </c>
      <c r="D118" s="12" t="n">
        <v>3817</v>
      </c>
      <c r="E118" s="12" t="n">
        <v>4412</v>
      </c>
      <c r="F118" s="12" t="n">
        <v>4081</v>
      </c>
      <c r="G118" s="12" t="n">
        <v>4643</v>
      </c>
      <c r="H118" s="12" t="n">
        <v>4660</v>
      </c>
      <c r="I118" s="12" t="n">
        <v>4854</v>
      </c>
      <c r="J118" s="12" t="n">
        <v>5085</v>
      </c>
      <c r="K118" s="12" t="n">
        <v>5569</v>
      </c>
      <c r="L118" s="12" t="n">
        <v>7098</v>
      </c>
      <c r="M118" s="12" t="n">
        <v>7035</v>
      </c>
      <c r="N118" s="12" t="n">
        <v>8997</v>
      </c>
      <c r="T118" s="12" t="n">
        <v>3763</v>
      </c>
      <c r="U118" s="12" t="n">
        <v>3079</v>
      </c>
      <c r="V118" s="12" t="n">
        <v>4412</v>
      </c>
      <c r="W118" s="12" t="n">
        <v>4854</v>
      </c>
      <c r="X118" s="12" t="n">
        <v>7035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18" t="inlineStr">
        <is>
          <t>판매비와 관리비</t>
        </is>
      </c>
      <c r="C120" s="20" t="n">
        <v>2733</v>
      </c>
      <c r="D120" s="20" t="n">
        <v>2838</v>
      </c>
      <c r="E120" s="20" t="n">
        <v>2864</v>
      </c>
      <c r="F120" s="20" t="n">
        <v>3022</v>
      </c>
      <c r="G120" s="20" t="n">
        <v>3228</v>
      </c>
      <c r="H120" s="20" t="n">
        <v>3331</v>
      </c>
      <c r="I120" s="20" t="n">
        <v>3305</v>
      </c>
      <c r="J120" s="20" t="n">
        <v>3362</v>
      </c>
      <c r="K120" s="20" t="n">
        <v>3424</v>
      </c>
      <c r="L120" s="20" t="n">
        <v>3906</v>
      </c>
      <c r="M120" s="20" t="n">
        <v>3988</v>
      </c>
      <c r="N120" s="20" t="n">
        <v>3880</v>
      </c>
      <c r="T120" s="20" t="n">
        <v>2862</v>
      </c>
      <c r="U120" s="20" t="n">
        <v>2880</v>
      </c>
      <c r="V120" s="20" t="n">
        <v>2864</v>
      </c>
      <c r="W120" s="20" t="n">
        <v>3305</v>
      </c>
      <c r="X120" s="20" t="n">
        <v>3988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IF(OR(G120="",C120=""),"",IF(G120*C120&lt;=0,"",IFERROR(G120/C120-1,"")))</f>
        <v/>
      </c>
      <c r="H121" s="15">
        <f>IF(OR(H120="",D120=""),"",IF(H120*D120&lt;=0,"",IFERROR(H120/D120-1,"")))</f>
        <v/>
      </c>
      <c r="I121" s="15">
        <f>IF(OR(I120="",E120=""),"",IF(I120*E120&lt;=0,"",IFERROR(I120/E120-1,"")))</f>
        <v/>
      </c>
      <c r="J121" s="15">
        <f>IF(OR(J120="",F120=""),"",IF(J120*F120&lt;=0,"",IFERROR(J120/F120-1,"")))</f>
        <v/>
      </c>
      <c r="K121" s="15">
        <f>IF(OR(K120="",G120=""),"",IF(K120*G120&lt;=0,"",IFERROR(K120/G120-1,"")))</f>
        <v/>
      </c>
      <c r="L121" s="15">
        <f>IF(OR(L120="",H120=""),"",IF(L120*H120&lt;=0,"",IFERROR(L120/H120-1,"")))</f>
        <v/>
      </c>
      <c r="M121" s="15">
        <f>IF(OR(M120="",I120=""),"",IF(M120*I120&lt;=0,"",IFERROR(M120/I120-1,"")))</f>
        <v/>
      </c>
      <c r="N121" s="15">
        <f>IF(OR(N120="",J120=""),"",IF(N120*J120&lt;=0,"",IFERROR(N120/J120-1,"")))</f>
        <v/>
      </c>
      <c r="T121" s="15">
        <f>IF(OR(T120="",S120=""),"",IF(T120*S120&lt;=0,"",IFERROR(T120/S120-1,"")))</f>
        <v/>
      </c>
      <c r="U121" s="15">
        <f>IF(OR(U120="",T120=""),"",IF(U120*T120&lt;=0,"",IFERROR(U120/T120-1,"")))</f>
        <v/>
      </c>
      <c r="V121" s="15">
        <f>IF(OR(V120="",U120=""),"",IF(V120*U120&lt;=0,"",IFERROR(V120/U120-1,"")))</f>
        <v/>
      </c>
      <c r="W121" s="15">
        <f>IF(OR(W120="",V120=""),"",IF(W120*V120&lt;=0,"",IFERROR(W120/V120-1,"")))</f>
        <v/>
      </c>
      <c r="X121" s="15">
        <f>IF(OR(X120="",W120=""),"",IF(X120*W120&lt;=0,"",IFERROR(X120/W120-1,"")))</f>
        <v/>
      </c>
    </row>
    <row r="122">
      <c r="A122" s="9" t="inlineStr">
        <is>
          <t>영업이익</t>
        </is>
      </c>
      <c r="C122" s="12" t="n">
        <v>123</v>
      </c>
      <c r="D122" s="12" t="n">
        <v>978</v>
      </c>
      <c r="E122" s="12" t="n">
        <v>1548</v>
      </c>
      <c r="F122" s="12" t="n">
        <v>1058</v>
      </c>
      <c r="G122" s="12" t="n">
        <v>1416</v>
      </c>
      <c r="H122" s="12" t="n">
        <v>1328</v>
      </c>
      <c r="I122" s="12" t="n">
        <v>1549</v>
      </c>
      <c r="J122" s="12" t="n">
        <v>1723</v>
      </c>
      <c r="K122" s="12" t="n">
        <v>2145</v>
      </c>
      <c r="L122" s="12" t="n">
        <v>3191</v>
      </c>
      <c r="M122" s="12" t="n">
        <v>3048</v>
      </c>
      <c r="N122" s="12" t="n">
        <v>5117</v>
      </c>
      <c r="T122" s="12" t="n">
        <v>901</v>
      </c>
      <c r="U122" s="12" t="n">
        <v>198</v>
      </c>
      <c r="V122" s="12" t="n">
        <v>1548</v>
      </c>
      <c r="W122" s="12" t="n">
        <v>1549</v>
      </c>
      <c r="X122" s="12" t="n">
        <v>3048</v>
      </c>
    </row>
    <row r="123">
      <c r="A123" s="43" t="inlineStr">
        <is>
          <t>OPM</t>
        </is>
      </c>
      <c r="B123" s="3" t="inlineStr">
        <is>
          <t>영업이익 ÷ 매출</t>
        </is>
      </c>
      <c r="C123" s="15">
        <f>IF(OR(C122="",C114=""),"",IF(C114&lt;=0,"",IFERROR(C122/C114,"")))</f>
        <v/>
      </c>
      <c r="D123" s="15">
        <f>IF(OR(D122="",D114=""),"",IF(D114&lt;=0,"",IFERROR(D122/D114,"")))</f>
        <v/>
      </c>
      <c r="E123" s="15">
        <f>IF(OR(E122="",E114=""),"",IF(E114&lt;=0,"",IFERROR(E122/E114,"")))</f>
        <v/>
      </c>
      <c r="F123" s="15">
        <f>IF(OR(F122="",F114=""),"",IF(F114&lt;=0,"",IFERROR(F122/F114,"")))</f>
        <v/>
      </c>
      <c r="G123" s="15">
        <f>IF(OR(G122="",G114=""),"",IF(G114&lt;=0,"",IFERROR(G122/G114,"")))</f>
        <v/>
      </c>
      <c r="H123" s="15">
        <f>IF(OR(H122="",H114=""),"",IF(H114&lt;=0,"",IFERROR(H122/H114,"")))</f>
        <v/>
      </c>
      <c r="I123" s="15">
        <f>IF(OR(I122="",I114=""),"",IF(I114&lt;=0,"",IFERROR(I122/I114,"")))</f>
        <v/>
      </c>
      <c r="J123" s="15">
        <f>IF(OR(J122="",J114=""),"",IF(J114&lt;=0,"",IFERROR(J122/J114,"")))</f>
        <v/>
      </c>
      <c r="K123" s="15">
        <f>IF(OR(K122="",K114=""),"",IF(K114&lt;=0,"",IFERROR(K122/K114,"")))</f>
        <v/>
      </c>
      <c r="L123" s="15">
        <f>IF(OR(L122="",L114=""),"",IF(L114&lt;=0,"",IFERROR(L122/L114,"")))</f>
        <v/>
      </c>
      <c r="M123" s="15">
        <f>IF(OR(M122="",M114=""),"",IF(M114&lt;=0,"",IFERROR(M122/M114,"")))</f>
        <v/>
      </c>
      <c r="N123" s="15">
        <f>IF(OR(N122="",N114=""),"",IF(N114&lt;=0,"",IFERROR(N122/N114,"")))</f>
        <v/>
      </c>
      <c r="T123" s="15">
        <f>IF(OR(T122="",T114=""),"",IF(T114&lt;=0,"",IFERROR(T122/T114,"")))</f>
        <v/>
      </c>
      <c r="U123" s="15">
        <f>IF(OR(U122="",U114=""),"",IF(U114&lt;=0,"",IFERROR(U122/U114,"")))</f>
        <v/>
      </c>
      <c r="V123" s="15">
        <f>IF(OR(V122="",V114=""),"",IF(V114&lt;=0,"",IFERROR(V122/V114,"")))</f>
        <v/>
      </c>
      <c r="W123" s="15">
        <f>IF(OR(W122="",W114=""),"",IF(W114&lt;=0,"",IFERROR(W122/W114,"")))</f>
        <v/>
      </c>
      <c r="X123" s="15">
        <f>IF(OR(X122="",X114=""),"",IF(X114&lt;=0,"",IFERROR(X122/X114,"")))</f>
        <v/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IF(OR(G122="",C122=""),"",IF(C122&lt;=0,"",IFERROR(G122/C122-1,"")))</f>
        <v/>
      </c>
      <c r="H124" s="15">
        <f>IF(OR(H122="",D122=""),"",IF(D122&lt;=0,"",IFERROR(H122/D122-1,"")))</f>
        <v/>
      </c>
      <c r="I124" s="15">
        <f>IF(OR(I122="",E122=""),"",IF(E122&lt;=0,"",IFERROR(I122/E122-1,"")))</f>
        <v/>
      </c>
      <c r="J124" s="15">
        <f>IF(OR(J122="",F122=""),"",IF(F122&lt;=0,"",IFERROR(J122/F122-1,"")))</f>
        <v/>
      </c>
      <c r="K124" s="15">
        <f>IF(OR(K122="",G122=""),"",IF(G122&lt;=0,"",IFERROR(K122/G122-1,"")))</f>
        <v/>
      </c>
      <c r="L124" s="15">
        <f>IF(OR(L122="",H122=""),"",IF(H122&lt;=0,"",IFERROR(L122/H122-1,"")))</f>
        <v/>
      </c>
      <c r="M124" s="15">
        <f>IF(OR(M122="",I122=""),"",IF(I122&lt;=0,"",IFERROR(M122/I122-1,"")))</f>
        <v/>
      </c>
      <c r="N124" s="15">
        <f>IF(OR(N122="",J122=""),"",IF(J122&lt;=0,"",IFERROR(N122/J122-1,"")))</f>
        <v/>
      </c>
      <c r="T124" s="15">
        <f>IF(OR(T122="",S122=""),"",IF(S122&lt;=0,"",IFERROR(T122/S122-1,"")))</f>
        <v/>
      </c>
      <c r="U124" s="15">
        <f>IF(OR(U122="",T122=""),"",IF(T122&lt;=0,"",IFERROR(U122/T122-1,"")))</f>
        <v/>
      </c>
      <c r="V124" s="15">
        <f>IF(OR(V122="",U122=""),"",IF(U122&lt;=0,"",IFERROR(V122/U122-1,"")))</f>
        <v/>
      </c>
      <c r="W124" s="15">
        <f>IF(OR(W122="",V122=""),"",IF(V122&lt;=0,"",IFERROR(W122/V122-1,"")))</f>
        <v/>
      </c>
      <c r="X124" s="15">
        <f>IF(OR(X122="",W122=""),"",IF(W122&lt;=0,"",IFERROR(X122/W122-1,"")))</f>
        <v/>
      </c>
    </row>
    <row r="125">
      <c r="A125" s="18" t="inlineStr">
        <is>
          <t>이자수익</t>
        </is>
      </c>
      <c r="C125" s="20" t="n">
        <v>1</v>
      </c>
      <c r="D125" s="20" t="n">
        <v>4</v>
      </c>
      <c r="E125" s="20" t="n">
        <v>5</v>
      </c>
      <c r="F125" s="20" t="n">
        <v>7</v>
      </c>
      <c r="G125" s="20" t="n">
        <v>7</v>
      </c>
      <c r="H125" s="20" t="n">
        <v>12</v>
      </c>
      <c r="I125" s="20" t="n">
        <v>14</v>
      </c>
      <c r="J125" s="20" t="n">
        <v>2</v>
      </c>
      <c r="K125" s="20" t="n">
        <v>24</v>
      </c>
      <c r="L125" s="20" t="n">
        <v>5</v>
      </c>
      <c r="M125" s="20" t="n">
        <v>25</v>
      </c>
      <c r="N125" s="20" t="n">
        <v>5</v>
      </c>
      <c r="T125" s="20" t="n">
        <v>2</v>
      </c>
      <c r="U125" s="20" t="n">
        <v>2</v>
      </c>
      <c r="V125" s="20" t="n">
        <v>5</v>
      </c>
      <c r="W125" s="20" t="n">
        <v>14</v>
      </c>
      <c r="X125" s="20" t="n">
        <v>25</v>
      </c>
    </row>
    <row r="126">
      <c r="A126" s="18" t="inlineStr">
        <is>
          <t>배당금수익</t>
        </is>
      </c>
      <c r="C126" s="20" t="n">
        <v>56</v>
      </c>
      <c r="D126" s="20" t="n">
        <v>1</v>
      </c>
      <c r="E126" s="20" t="n">
        <v>73</v>
      </c>
      <c r="F126" s="20" t="n">
        <v>5</v>
      </c>
      <c r="G126" s="20" t="n">
        <v>70</v>
      </c>
      <c r="H126" s="20" t="n">
        <v>4</v>
      </c>
      <c r="I126" s="20" t="n">
        <v>77</v>
      </c>
      <c r="J126" s="20" t="n">
        <v>6</v>
      </c>
      <c r="K126" s="20" t="n">
        <v>84</v>
      </c>
      <c r="L126" s="20" t="n">
        <v>5</v>
      </c>
      <c r="M126" s="20" t="n">
        <v>181</v>
      </c>
      <c r="N126" s="20" t="n">
        <v>4</v>
      </c>
      <c r="T126" s="20" t="n">
        <v>46</v>
      </c>
      <c r="U126" s="20" t="n">
        <v>52</v>
      </c>
      <c r="V126" s="20" t="n">
        <v>73</v>
      </c>
      <c r="W126" s="20" t="n">
        <v>77</v>
      </c>
      <c r="X126" s="20" t="n">
        <v>181</v>
      </c>
    </row>
    <row r="127">
      <c r="A127" s="18" t="inlineStr">
        <is>
          <t>지분법이익</t>
        </is>
      </c>
      <c r="C127" s="20" t="n">
        <v>0</v>
      </c>
      <c r="D127" s="20" t="n">
        <v>0</v>
      </c>
      <c r="E127" s="20" t="n">
        <v>0</v>
      </c>
      <c r="F127" s="20" t="n">
        <v>9</v>
      </c>
      <c r="G127" s="20" t="n">
        <v>13</v>
      </c>
      <c r="H127" s="20" t="n">
        <v>9</v>
      </c>
      <c r="I127" s="20" t="n">
        <v>230</v>
      </c>
      <c r="J127" s="20" t="n">
        <v>12</v>
      </c>
      <c r="K127" s="20" t="n">
        <v>9</v>
      </c>
      <c r="L127" s="20" t="n">
        <v>8</v>
      </c>
      <c r="M127" s="20" t="n">
        <v>10</v>
      </c>
      <c r="N127" s="20" t="n">
        <v>8</v>
      </c>
      <c r="T127" s="20" t="n">
        <v>12</v>
      </c>
      <c r="U127" s="20" t="n">
        <v>-9</v>
      </c>
      <c r="V127" s="20" t="n">
        <v>0</v>
      </c>
      <c r="W127" s="20" t="n">
        <v>230</v>
      </c>
      <c r="X127" s="20" t="n">
        <v>10</v>
      </c>
    </row>
    <row r="128">
      <c r="A128" s="18" t="inlineStr">
        <is>
          <t>임대료 수익</t>
        </is>
      </c>
      <c r="F128" s="20" t="n">
        <v>8</v>
      </c>
      <c r="J128" s="20" t="n">
        <v>8</v>
      </c>
      <c r="N128" s="20" t="n">
        <v>8</v>
      </c>
    </row>
    <row r="129">
      <c r="A129" s="18" t="inlineStr">
        <is>
          <t>외환차익</t>
        </is>
      </c>
      <c r="C129" s="20" t="n">
        <v>58</v>
      </c>
      <c r="D129" s="20" t="n">
        <v>43</v>
      </c>
      <c r="E129" s="20" t="n">
        <v>-10</v>
      </c>
      <c r="F129" s="20" t="n">
        <v>184</v>
      </c>
      <c r="G129" s="20" t="n">
        <v>-77</v>
      </c>
      <c r="H129" s="20" t="n">
        <v>-28</v>
      </c>
      <c r="I129" s="20" t="n">
        <v>79</v>
      </c>
      <c r="J129" s="20" t="n">
        <v>3</v>
      </c>
      <c r="K129" s="20" t="n">
        <v>-3</v>
      </c>
      <c r="L129" s="20" t="n">
        <v>0</v>
      </c>
      <c r="M129" s="20" t="n">
        <v>116</v>
      </c>
      <c r="N129" s="20" t="n">
        <v>198</v>
      </c>
      <c r="T129" s="20" t="n">
        <v>33</v>
      </c>
      <c r="U129" s="20" t="n">
        <v>-39</v>
      </c>
      <c r="V129" s="20" t="n">
        <v>-10</v>
      </c>
      <c r="W129" s="20" t="n">
        <v>79</v>
      </c>
      <c r="X129" s="20" t="n">
        <v>116</v>
      </c>
    </row>
    <row r="130">
      <c r="A130" s="18" t="inlineStr">
        <is>
          <t>기타</t>
        </is>
      </c>
      <c r="C130" s="20" t="n">
        <v>73</v>
      </c>
      <c r="D130" s="20" t="n">
        <v>72</v>
      </c>
      <c r="E130" s="20" t="n">
        <v>4</v>
      </c>
      <c r="F130" s="20" t="n">
        <v>20</v>
      </c>
      <c r="G130" s="20" t="n">
        <v>60</v>
      </c>
      <c r="H130" s="20" t="n">
        <v>56</v>
      </c>
      <c r="I130" s="20" t="n">
        <v>-6</v>
      </c>
      <c r="J130" s="20" t="n">
        <v>30</v>
      </c>
      <c r="K130" s="20" t="n">
        <v>58</v>
      </c>
      <c r="L130" s="20" t="n">
        <v>35</v>
      </c>
      <c r="M130" s="20" t="n">
        <v>26</v>
      </c>
      <c r="N130" s="20" t="n">
        <v>36</v>
      </c>
      <c r="T130" s="20" t="n">
        <v>12</v>
      </c>
      <c r="U130" s="20" t="n">
        <v>-8</v>
      </c>
      <c r="V130" s="20" t="n">
        <v>4</v>
      </c>
      <c r="W130" s="20" t="n">
        <v>-6</v>
      </c>
      <c r="X130" s="20" t="n">
        <v>26</v>
      </c>
    </row>
    <row r="131">
      <c r="A131" s="18" t="inlineStr">
        <is>
          <t>영업외수익 합계</t>
        </is>
      </c>
      <c r="C131" s="20" t="n">
        <v>180</v>
      </c>
      <c r="D131" s="20" t="n">
        <v>118</v>
      </c>
      <c r="E131" s="20" t="n">
        <v>109</v>
      </c>
      <c r="F131" s="20" t="n">
        <v>235</v>
      </c>
      <c r="G131" s="20" t="n">
        <v>66</v>
      </c>
      <c r="H131" s="20" t="n">
        <v>53</v>
      </c>
      <c r="I131" s="20" t="n">
        <v>428</v>
      </c>
      <c r="J131" s="20" t="n">
        <v>65</v>
      </c>
      <c r="K131" s="20" t="n">
        <v>161</v>
      </c>
      <c r="L131" s="20" t="n">
        <v>54</v>
      </c>
      <c r="M131" s="20" t="n">
        <v>395</v>
      </c>
      <c r="N131" s="20" t="n">
        <v>261</v>
      </c>
      <c r="T131" s="20" t="n">
        <v>141</v>
      </c>
      <c r="U131" s="20" t="n">
        <v>33</v>
      </c>
      <c r="V131" s="20" t="n">
        <v>109</v>
      </c>
      <c r="W131" s="20" t="n">
        <v>428</v>
      </c>
      <c r="X131" s="20" t="n">
        <v>395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18" t="inlineStr">
        <is>
          <t>이자비용</t>
        </is>
      </c>
      <c r="C133" s="20" t="n">
        <v>70</v>
      </c>
      <c r="D133" s="20" t="n">
        <v>70</v>
      </c>
      <c r="E133" s="20" t="n">
        <v>65</v>
      </c>
      <c r="F133" s="20" t="n">
        <v>61</v>
      </c>
      <c r="G133" s="20" t="n">
        <v>60</v>
      </c>
      <c r="H133" s="20" t="n">
        <v>54</v>
      </c>
      <c r="I133" s="20" t="n">
        <v>48</v>
      </c>
      <c r="J133" s="20" t="n">
        <v>62</v>
      </c>
      <c r="K133" s="20" t="n">
        <v>63</v>
      </c>
      <c r="L133" s="20" t="n">
        <v>61</v>
      </c>
      <c r="M133" s="20" t="n">
        <v>57</v>
      </c>
      <c r="N133" s="20" t="n">
        <v>73</v>
      </c>
      <c r="T133" s="20" t="n">
        <v>48</v>
      </c>
      <c r="U133" s="20" t="n">
        <v>55</v>
      </c>
      <c r="V133" s="20" t="n">
        <v>65</v>
      </c>
      <c r="W133" s="20" t="n">
        <v>48</v>
      </c>
      <c r="X133" s="20" t="n">
        <v>57</v>
      </c>
    </row>
    <row r="134">
      <c r="A134" s="18" t="inlineStr">
        <is>
          <t>사채이자</t>
        </is>
      </c>
      <c r="C134" s="20" t="n">
        <v>9</v>
      </c>
      <c r="D134" s="20" t="n">
        <v>10</v>
      </c>
      <c r="E134" s="20" t="n">
        <v>9</v>
      </c>
      <c r="F134" s="20" t="n">
        <v>9</v>
      </c>
      <c r="G134" s="20" t="n">
        <v>9</v>
      </c>
      <c r="H134" s="20" t="n">
        <v>10</v>
      </c>
      <c r="I134" s="20" t="n">
        <v>9</v>
      </c>
      <c r="J134" s="20" t="n">
        <v>9</v>
      </c>
      <c r="K134" s="20" t="n">
        <v>9</v>
      </c>
      <c r="L134" s="20" t="n">
        <v>10</v>
      </c>
      <c r="M134" s="20" t="n">
        <v>9</v>
      </c>
      <c r="N134" s="20" t="n">
        <v>9</v>
      </c>
      <c r="T134" s="20" t="n">
        <v>9</v>
      </c>
      <c r="U134" s="20" t="n">
        <v>9</v>
      </c>
      <c r="V134" s="20" t="n">
        <v>9</v>
      </c>
      <c r="W134" s="20" t="n">
        <v>9</v>
      </c>
      <c r="X134" s="20" t="n">
        <v>9</v>
      </c>
    </row>
    <row r="135">
      <c r="A135" s="18" t="inlineStr">
        <is>
          <t>Kyushisetsubikanrenhiyou NOE</t>
        </is>
      </c>
      <c r="T135" s="20" t="n">
        <v>32</v>
      </c>
      <c r="U135" s="20" t="n">
        <v>0</v>
      </c>
    </row>
    <row r="136">
      <c r="A136" s="18" t="inlineStr">
        <is>
          <t>지분법손실</t>
        </is>
      </c>
      <c r="E136" s="20" t="n">
        <v>2</v>
      </c>
      <c r="F136" s="20" t="n">
        <v>0</v>
      </c>
      <c r="I136" s="20" t="n">
        <v>0</v>
      </c>
      <c r="U136" s="20" t="n">
        <v>0</v>
      </c>
      <c r="V136" s="20" t="n">
        <v>2</v>
      </c>
      <c r="W136" s="20" t="n">
        <v>0</v>
      </c>
    </row>
    <row r="137">
      <c r="A137" s="18" t="inlineStr">
        <is>
          <t>외환차손</t>
        </is>
      </c>
      <c r="H137" s="20" t="n">
        <v>0</v>
      </c>
      <c r="L137" s="20" t="n">
        <v>-176</v>
      </c>
    </row>
    <row r="138">
      <c r="A138" s="18" t="inlineStr">
        <is>
          <t>Loss On Disposal Of Inventories NOE</t>
        </is>
      </c>
      <c r="J138" s="20" t="n">
        <v>0</v>
      </c>
      <c r="N138" s="20" t="n">
        <v>35</v>
      </c>
    </row>
    <row r="139">
      <c r="A139" s="18" t="inlineStr">
        <is>
          <t>기타</t>
        </is>
      </c>
      <c r="C139" s="20" t="n">
        <v>47</v>
      </c>
      <c r="D139" s="20" t="n">
        <v>80</v>
      </c>
      <c r="E139" s="20" t="n">
        <v>76</v>
      </c>
      <c r="F139" s="20" t="n">
        <v>28</v>
      </c>
      <c r="G139" s="20" t="n">
        <v>28</v>
      </c>
      <c r="H139" s="20" t="n">
        <v>39</v>
      </c>
      <c r="I139" s="20" t="n">
        <v>40</v>
      </c>
      <c r="J139" s="20" t="n">
        <v>27</v>
      </c>
      <c r="K139" s="20" t="n">
        <v>35</v>
      </c>
      <c r="L139" s="20" t="n">
        <v>29</v>
      </c>
      <c r="M139" s="20" t="n">
        <v>39</v>
      </c>
      <c r="N139" s="20" t="n">
        <v>31</v>
      </c>
      <c r="T139" s="20" t="n">
        <v>52</v>
      </c>
      <c r="U139" s="20" t="n">
        <v>45</v>
      </c>
      <c r="V139" s="20" t="n">
        <v>76</v>
      </c>
      <c r="W139" s="20" t="n">
        <v>40</v>
      </c>
      <c r="X139" s="20" t="n">
        <v>39</v>
      </c>
    </row>
    <row r="140">
      <c r="A140" s="18" t="inlineStr">
        <is>
          <t>영업외비용 합계</t>
        </is>
      </c>
      <c r="C140" s="20" t="n">
        <v>124</v>
      </c>
      <c r="D140" s="20" t="n">
        <v>161</v>
      </c>
      <c r="E140" s="20" t="n">
        <v>153</v>
      </c>
      <c r="F140" s="20" t="n">
        <v>99</v>
      </c>
      <c r="G140" s="20" t="n">
        <v>97</v>
      </c>
      <c r="H140" s="20" t="n">
        <v>103</v>
      </c>
      <c r="I140" s="20" t="n">
        <v>97</v>
      </c>
      <c r="J140" s="20" t="n">
        <v>99</v>
      </c>
      <c r="K140" s="20" t="n">
        <v>392</v>
      </c>
      <c r="L140" s="20" t="n">
        <v>-77</v>
      </c>
      <c r="M140" s="20" t="n">
        <v>-4</v>
      </c>
      <c r="N140" s="20" t="n">
        <v>150</v>
      </c>
      <c r="T140" s="20" t="n">
        <v>140</v>
      </c>
      <c r="U140" s="20" t="n">
        <v>109</v>
      </c>
      <c r="V140" s="20" t="n">
        <v>153</v>
      </c>
      <c r="W140" s="20" t="n">
        <v>97</v>
      </c>
      <c r="X140" s="20" t="n">
        <v>-4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IF(OR(G140="",C140=""),"",IF(G140*C140&lt;=0,"",IFERROR(G140/C140-1,"")))</f>
        <v/>
      </c>
      <c r="H141" s="15">
        <f>IF(OR(H140="",D140=""),"",IF(H140*D140&lt;=0,"",IFERROR(H140/D140-1,"")))</f>
        <v/>
      </c>
      <c r="I141" s="15">
        <f>IF(OR(I140="",E140=""),"",IF(I140*E140&lt;=0,"",IFERROR(I140/E140-1,"")))</f>
        <v/>
      </c>
      <c r="J141" s="15">
        <f>IF(OR(J140="",F140=""),"",IF(J140*F140&lt;=0,"",IFERROR(J140/F140-1,"")))</f>
        <v/>
      </c>
      <c r="K141" s="15">
        <f>IF(OR(K140="",G140=""),"",IF(K140*G140&lt;=0,"",IFERROR(K140/G140-1,"")))</f>
        <v/>
      </c>
      <c r="L141" s="15">
        <f>IF(OR(L140="",H140=""),"",IF(L140*H140&lt;=0,"",IFERROR(L140/H140-1,"")))</f>
        <v/>
      </c>
      <c r="M141" s="15">
        <f>IF(OR(M140="",I140=""),"",IF(M140*I140&lt;=0,"",IFERROR(M140/I140-1,"")))</f>
        <v/>
      </c>
      <c r="N141" s="15">
        <f>IF(OR(N140="",J140=""),"",IF(N140*J140&lt;=0,"",IFERROR(N140/J140-1,"")))</f>
        <v/>
      </c>
      <c r="T141" s="15">
        <f>IF(OR(T140="",S140=""),"",IF(T140*S140&lt;=0,"",IFERROR(T140/S140-1,"")))</f>
        <v/>
      </c>
      <c r="U141" s="15">
        <f>IF(OR(U140="",T140=""),"",IF(U140*T140&lt;=0,"",IFERROR(U140/T140-1,"")))</f>
        <v/>
      </c>
      <c r="V141" s="15">
        <f>IF(OR(V140="",U140=""),"",IF(V140*U140&lt;=0,"",IFERROR(V140/U140-1,"")))</f>
        <v/>
      </c>
      <c r="W141" s="15">
        <f>IF(OR(W140="",V140=""),"",IF(W140*V140&lt;=0,"",IFERROR(W140/V140-1,"")))</f>
        <v/>
      </c>
      <c r="X141" s="15">
        <f>IF(OR(X140="",W140=""),"",IF(X140*W140&lt;=0,"",IFERROR(X140/W140-1,"")))</f>
        <v/>
      </c>
    </row>
    <row r="142">
      <c r="A142" s="9" t="inlineStr">
        <is>
          <t>경상이익</t>
        </is>
      </c>
      <c r="C142" s="12" t="n">
        <v>178</v>
      </c>
      <c r="D142" s="12" t="n">
        <v>935</v>
      </c>
      <c r="E142" s="12" t="n">
        <v>1504</v>
      </c>
      <c r="F142" s="12" t="n">
        <v>1194</v>
      </c>
      <c r="G142" s="12" t="n">
        <v>1385</v>
      </c>
      <c r="H142" s="12" t="n">
        <v>1278</v>
      </c>
      <c r="I142" s="12" t="n">
        <v>1880</v>
      </c>
      <c r="J142" s="12" t="n">
        <v>1689</v>
      </c>
      <c r="K142" s="12" t="n">
        <v>1914</v>
      </c>
      <c r="L142" s="12" t="n">
        <v>3322</v>
      </c>
      <c r="M142" s="12" t="n">
        <v>3447</v>
      </c>
      <c r="N142" s="12" t="n">
        <v>5228</v>
      </c>
      <c r="T142" s="12" t="n">
        <v>902</v>
      </c>
      <c r="U142" s="12" t="n">
        <v>121</v>
      </c>
      <c r="V142" s="12" t="n">
        <v>1504</v>
      </c>
      <c r="W142" s="12" t="n">
        <v>1880</v>
      </c>
      <c r="X142" s="12" t="n">
        <v>3447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T143" s="15">
        <f>IF(OR(T142="",S142=""),"",IF(S142&lt;=0,"",IFERROR(T142/S142-1,"")))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투자유가증권 매각이익</t>
        </is>
      </c>
      <c r="E144" s="20" t="n">
        <v>0</v>
      </c>
      <c r="I144" s="20" t="n">
        <v>0</v>
      </c>
      <c r="U144" s="20" t="n">
        <v>50</v>
      </c>
      <c r="V144" s="20" t="n">
        <v>0</v>
      </c>
      <c r="W144" s="20" t="n">
        <v>0</v>
      </c>
    </row>
    <row r="145">
      <c r="A145" s="18" t="inlineStr">
        <is>
          <t>Waste Disposal Cost Return EI</t>
        </is>
      </c>
      <c r="T145" s="20" t="n">
        <v>55</v>
      </c>
      <c r="U145" s="20" t="n">
        <v>0</v>
      </c>
    </row>
    <row r="146">
      <c r="A146" s="18" t="inlineStr">
        <is>
          <t>특별이익 합계</t>
        </is>
      </c>
      <c r="E146" s="20" t="n">
        <v>0</v>
      </c>
      <c r="I146" s="20" t="n">
        <v>0</v>
      </c>
      <c r="T146" s="20" t="n">
        <v>55</v>
      </c>
      <c r="U146" s="20" t="n">
        <v>50</v>
      </c>
      <c r="V146" s="20" t="n">
        <v>0</v>
      </c>
      <c r="W146" s="20" t="n">
        <v>0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I147" s="15">
        <f>IF(OR(I146="",E146=""),"",IF(I146*E146&lt;=0,"",IFERROR(I146/E146-1,"")))</f>
        <v/>
      </c>
      <c r="T147" s="15">
        <f>IF(OR(T146="",S146=""),"",IF(T146*S146&lt;=0,"",IFERROR(T146/S146-1,"")))</f>
        <v/>
      </c>
      <c r="U147" s="15">
        <f>IF(OR(U146="",T146=""),"",IF(U146*T146&lt;=0,"",IFERROR(U146/T146-1,"")))</f>
        <v/>
      </c>
      <c r="V147" s="15">
        <f>IF(OR(V146="",U146=""),"",IF(V146*U146&lt;=0,"",IFERROR(V146/U146-1,"")))</f>
        <v/>
      </c>
      <c r="W147" s="15">
        <f>IF(OR(W146="",V146=""),"",IF(W146*V146&lt;=0,"",IFERROR(W146/V146-1,"")))</f>
        <v/>
      </c>
    </row>
    <row r="148">
      <c r="A148" s="18" t="inlineStr">
        <is>
          <t>손상차손</t>
        </is>
      </c>
      <c r="D148" s="20" t="n">
        <v>0</v>
      </c>
      <c r="E148" s="20" t="n">
        <v>66</v>
      </c>
      <c r="T148" s="20" t="n">
        <v>0</v>
      </c>
      <c r="U148" s="20" t="n">
        <v>0</v>
      </c>
      <c r="V148" s="20" t="n">
        <v>66</v>
      </c>
    </row>
    <row r="149">
      <c r="A149" s="18" t="inlineStr">
        <is>
          <t>고정자산 처분손실</t>
        </is>
      </c>
      <c r="C149" s="20" t="n">
        <v>21</v>
      </c>
      <c r="D149" s="20" t="n">
        <v>16</v>
      </c>
      <c r="E149" s="20" t="n">
        <v>2</v>
      </c>
      <c r="F149" s="20" t="n">
        <v>10</v>
      </c>
      <c r="G149" s="20" t="n">
        <v>17</v>
      </c>
      <c r="H149" s="20" t="n">
        <v>15</v>
      </c>
      <c r="I149" s="20" t="n">
        <v>135</v>
      </c>
      <c r="J149" s="20" t="n">
        <v>53</v>
      </c>
      <c r="K149" s="20" t="n">
        <v>19</v>
      </c>
      <c r="L149" s="20" t="n">
        <v>47</v>
      </c>
      <c r="M149" s="20" t="n">
        <v>74</v>
      </c>
      <c r="N149" s="20" t="n">
        <v>58</v>
      </c>
      <c r="T149" s="20" t="n">
        <v>9</v>
      </c>
      <c r="U149" s="20" t="n">
        <v>32</v>
      </c>
      <c r="V149" s="20" t="n">
        <v>2</v>
      </c>
      <c r="W149" s="20" t="n">
        <v>135</v>
      </c>
      <c r="X149" s="20" t="n">
        <v>74</v>
      </c>
    </row>
    <row r="150">
      <c r="A150" s="18" t="inlineStr">
        <is>
          <t>투자유가증권 평가손실</t>
        </is>
      </c>
      <c r="T150" s="20" t="n">
        <v>1</v>
      </c>
      <c r="U150" s="20" t="n">
        <v>0</v>
      </c>
    </row>
    <row r="151">
      <c r="A151" s="18" t="inlineStr">
        <is>
          <t>영업권 상각</t>
        </is>
      </c>
      <c r="D151" s="20" t="n">
        <v>0</v>
      </c>
      <c r="E151" s="20" t="n">
        <v>0</v>
      </c>
      <c r="T151" s="20" t="n">
        <v>0</v>
      </c>
      <c r="U151" s="20" t="n">
        <v>0</v>
      </c>
      <c r="V151" s="20" t="n">
        <v>0</v>
      </c>
    </row>
    <row r="152">
      <c r="A152" s="18" t="inlineStr">
        <is>
          <t>특별손실 합계</t>
        </is>
      </c>
      <c r="C152" s="20" t="n">
        <v>21</v>
      </c>
      <c r="D152" s="20" t="n">
        <v>16</v>
      </c>
      <c r="E152" s="20" t="n">
        <v>69</v>
      </c>
      <c r="F152" s="20" t="n">
        <v>10</v>
      </c>
      <c r="G152" s="20" t="n">
        <v>17</v>
      </c>
      <c r="H152" s="20" t="n">
        <v>15</v>
      </c>
      <c r="I152" s="20" t="n">
        <v>500</v>
      </c>
      <c r="J152" s="20" t="n">
        <v>53</v>
      </c>
      <c r="K152" s="20" t="n">
        <v>19</v>
      </c>
      <c r="L152" s="20" t="n">
        <v>47</v>
      </c>
      <c r="M152" s="20" t="n">
        <v>361</v>
      </c>
      <c r="N152" s="20" t="n">
        <v>58</v>
      </c>
      <c r="T152" s="20" t="n">
        <v>9</v>
      </c>
      <c r="U152" s="20" t="n">
        <v>33</v>
      </c>
      <c r="V152" s="20" t="n">
        <v>69</v>
      </c>
      <c r="W152" s="20" t="n">
        <v>500</v>
      </c>
      <c r="X152" s="20" t="n">
        <v>361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IF(OR(G152="",C152=""),"",IF(G152*C152&lt;=0,"",IFERROR(G152/C152-1,"")))</f>
        <v/>
      </c>
      <c r="H153" s="15">
        <f>IF(OR(H152="",D152=""),"",IF(H152*D152&lt;=0,"",IFERROR(H152/D152-1,"")))</f>
        <v/>
      </c>
      <c r="I153" s="15">
        <f>IF(OR(I152="",E152=""),"",IF(I152*E152&lt;=0,"",IFERROR(I152/E152-1,"")))</f>
        <v/>
      </c>
      <c r="J153" s="15">
        <f>IF(OR(J152="",F152=""),"",IF(J152*F152&lt;=0,"",IFERROR(J152/F152-1,"")))</f>
        <v/>
      </c>
      <c r="K153" s="15">
        <f>IF(OR(K152="",G152=""),"",IF(K152*G152&lt;=0,"",IFERROR(K152/G152-1,"")))</f>
        <v/>
      </c>
      <c r="L153" s="15">
        <f>IF(OR(L152="",H152=""),"",IF(L152*H152&lt;=0,"",IFERROR(L152/H152-1,"")))</f>
        <v/>
      </c>
      <c r="M153" s="15">
        <f>IF(OR(M152="",I152=""),"",IF(M152*I152&lt;=0,"",IFERROR(M152/I152-1,"")))</f>
        <v/>
      </c>
      <c r="N153" s="15">
        <f>IF(OR(N152="",J152=""),"",IF(N152*J152&lt;=0,"",IFERROR(N152/J152-1,"")))</f>
        <v/>
      </c>
      <c r="T153" s="15">
        <f>IF(OR(T152="",S152=""),"",IF(T152*S152&lt;=0,"",IFERROR(T152/S152-1,"")))</f>
        <v/>
      </c>
      <c r="U153" s="15">
        <f>IF(OR(U152="",T152=""),"",IF(U152*T152&lt;=0,"",IFERROR(U152/T152-1,"")))</f>
        <v/>
      </c>
      <c r="V153" s="15">
        <f>IF(OR(V152="",U152=""),"",IF(V152*U152&lt;=0,"",IFERROR(V152/U152-1,"")))</f>
        <v/>
      </c>
      <c r="W153" s="15">
        <f>IF(OR(W152="",V152=""),"",IF(W152*V152&lt;=0,"",IFERROR(W152/V152-1,"")))</f>
        <v/>
      </c>
      <c r="X153" s="15">
        <f>IF(OR(X152="",W152=""),"",IF(X152*W152&lt;=0,"",IFERROR(X152/W152-1,"")))</f>
        <v/>
      </c>
    </row>
    <row r="154">
      <c r="A154" s="9" t="inlineStr">
        <is>
          <t>법인세차감전 순이익</t>
        </is>
      </c>
      <c r="C154" s="12" t="n">
        <v>158</v>
      </c>
      <c r="D154" s="12" t="n">
        <v>1327</v>
      </c>
      <c r="E154" s="12" t="n">
        <v>1435</v>
      </c>
      <c r="F154" s="12" t="n">
        <v>1184</v>
      </c>
      <c r="G154" s="12" t="n">
        <v>1367</v>
      </c>
      <c r="H154" s="12" t="n">
        <v>1263</v>
      </c>
      <c r="I154" s="12" t="n">
        <v>1380</v>
      </c>
      <c r="J154" s="12" t="n">
        <v>1635</v>
      </c>
      <c r="K154" s="12" t="n">
        <v>1895</v>
      </c>
      <c r="L154" s="12" t="n">
        <v>3276</v>
      </c>
      <c r="M154" s="12" t="n">
        <v>3086</v>
      </c>
      <c r="N154" s="12" t="n">
        <v>5169</v>
      </c>
      <c r="T154" s="12" t="n">
        <v>948</v>
      </c>
      <c r="U154" s="12" t="n">
        <v>140</v>
      </c>
      <c r="V154" s="12" t="n">
        <v>1435</v>
      </c>
      <c r="W154" s="12" t="n">
        <v>1380</v>
      </c>
      <c r="X154" s="12" t="n">
        <v>3086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T155" s="15">
        <f>IF(OR(T154="",S154=""),"",IF(S154&lt;=0,"",IFERROR(T154/S154-1,"")))</f>
        <v/>
      </c>
      <c r="U155" s="15">
        <f>IF(OR(U154="",T154=""),"",IF(T154&lt;=0,"",IFERROR(U154/T154-1,"")))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법인세·주민세·사업세</t>
        </is>
      </c>
      <c r="C156" s="20" t="n">
        <v>87</v>
      </c>
      <c r="D156" s="20" t="n">
        <v>102</v>
      </c>
      <c r="E156" s="20" t="n">
        <v>233</v>
      </c>
      <c r="F156" s="20" t="n">
        <v>199</v>
      </c>
      <c r="G156" s="20" t="n">
        <v>245</v>
      </c>
      <c r="H156" s="20" t="n">
        <v>227</v>
      </c>
      <c r="I156" s="20" t="n">
        <v>440</v>
      </c>
      <c r="J156" s="20" t="n">
        <v>376</v>
      </c>
      <c r="K156" s="20" t="n">
        <v>710</v>
      </c>
      <c r="L156" s="20" t="n">
        <v>860</v>
      </c>
      <c r="M156" s="20" t="n">
        <v>922</v>
      </c>
      <c r="N156" s="20" t="n">
        <v>746</v>
      </c>
      <c r="T156" s="20" t="n">
        <v>328</v>
      </c>
      <c r="U156" s="20" t="n">
        <v>137</v>
      </c>
      <c r="V156" s="20" t="n">
        <v>233</v>
      </c>
      <c r="W156" s="20" t="n">
        <v>440</v>
      </c>
      <c r="X156" s="20" t="n">
        <v>922</v>
      </c>
    </row>
    <row r="157">
      <c r="A157" s="18" t="inlineStr">
        <is>
          <t>법인세 조정액</t>
        </is>
      </c>
      <c r="C157" s="20" t="n">
        <v>-17</v>
      </c>
      <c r="D157" s="20" t="n">
        <v>277</v>
      </c>
      <c r="E157" s="20" t="n">
        <v>172</v>
      </c>
      <c r="F157" s="20" t="n">
        <v>118</v>
      </c>
      <c r="G157" s="20" t="n">
        <v>116</v>
      </c>
      <c r="H157" s="20" t="n">
        <v>98</v>
      </c>
      <c r="I157" s="20" t="n">
        <v>-71</v>
      </c>
      <c r="J157" s="20" t="n">
        <v>38</v>
      </c>
      <c r="K157" s="20" t="n">
        <v>-147</v>
      </c>
      <c r="L157" s="20" t="n">
        <v>4</v>
      </c>
      <c r="M157" s="20" t="n">
        <v>-170</v>
      </c>
      <c r="N157" s="20" t="n">
        <v>690</v>
      </c>
      <c r="T157" s="20" t="n">
        <v>-106</v>
      </c>
      <c r="U157" s="20" t="n">
        <v>-2</v>
      </c>
      <c r="V157" s="20" t="n">
        <v>172</v>
      </c>
      <c r="W157" s="20" t="n">
        <v>-71</v>
      </c>
      <c r="X157" s="20" t="n">
        <v>-170</v>
      </c>
    </row>
    <row r="158">
      <c r="A158" s="18" t="inlineStr">
        <is>
          <t>법인세 등 합계</t>
        </is>
      </c>
      <c r="C158" s="20" t="n">
        <v>70</v>
      </c>
      <c r="D158" s="20" t="n">
        <v>379</v>
      </c>
      <c r="E158" s="20" t="n">
        <v>406</v>
      </c>
      <c r="F158" s="20" t="n">
        <v>318</v>
      </c>
      <c r="G158" s="20" t="n">
        <v>361</v>
      </c>
      <c r="H158" s="20" t="n">
        <v>324</v>
      </c>
      <c r="I158" s="20" t="n">
        <v>370</v>
      </c>
      <c r="J158" s="20" t="n">
        <v>414</v>
      </c>
      <c r="K158" s="20" t="n">
        <v>563</v>
      </c>
      <c r="L158" s="20" t="n">
        <v>864</v>
      </c>
      <c r="M158" s="20" t="n">
        <v>751</v>
      </c>
      <c r="N158" s="20" t="n">
        <v>1436</v>
      </c>
      <c r="T158" s="20" t="n">
        <v>221</v>
      </c>
      <c r="U158" s="20" t="n">
        <v>135</v>
      </c>
      <c r="V158" s="20" t="n">
        <v>406</v>
      </c>
      <c r="W158" s="20" t="n">
        <v>370</v>
      </c>
      <c r="X158" s="20" t="n">
        <v>751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IF(OR(G158="",C158=""),"",IF(G158*C158&lt;=0,"",IFERROR(G158/C158-1,"")))</f>
        <v/>
      </c>
      <c r="H159" s="15">
        <f>IF(OR(H158="",D158=""),"",IF(H158*D158&lt;=0,"",IFERROR(H158/D158-1,"")))</f>
        <v/>
      </c>
      <c r="I159" s="15">
        <f>IF(OR(I158="",E158=""),"",IF(I158*E158&lt;=0,"",IFERROR(I158/E158-1,"")))</f>
        <v/>
      </c>
      <c r="J159" s="15">
        <f>IF(OR(J158="",F158=""),"",IF(J158*F158&lt;=0,"",IFERROR(J158/F158-1,"")))</f>
        <v/>
      </c>
      <c r="K159" s="15">
        <f>IF(OR(K158="",G158=""),"",IF(K158*G158&lt;=0,"",IFERROR(K158/G158-1,"")))</f>
        <v/>
      </c>
      <c r="L159" s="15">
        <f>IF(OR(L158="",H158=""),"",IF(L158*H158&lt;=0,"",IFERROR(L158/H158-1,"")))</f>
        <v/>
      </c>
      <c r="M159" s="15">
        <f>IF(OR(M158="",I158=""),"",IF(M158*I158&lt;=0,"",IFERROR(M158/I158-1,"")))</f>
        <v/>
      </c>
      <c r="N159" s="15">
        <f>IF(OR(N158="",J158=""),"",IF(N158*J158&lt;=0,"",IFERROR(N158/J158-1,"")))</f>
        <v/>
      </c>
      <c r="T159" s="15">
        <f>IF(OR(T158="",S158=""),"",IF(T158*S158&lt;=0,"",IFERROR(T158/S158-1,"")))</f>
        <v/>
      </c>
      <c r="U159" s="15">
        <f>IF(OR(U158="",T158=""),"",IF(U158*T158&lt;=0,"",IFERROR(U158/T158-1,"")))</f>
        <v/>
      </c>
      <c r="V159" s="15">
        <f>IF(OR(V158="",U158=""),"",IF(V158*U158&lt;=0,"",IFERROR(V158/U158-1,"")))</f>
        <v/>
      </c>
      <c r="W159" s="15">
        <f>IF(OR(W158="",V158=""),"",IF(W158*V158&lt;=0,"",IFERROR(W158/V158-1,"")))</f>
        <v/>
      </c>
      <c r="X159" s="15">
        <f>IF(OR(X158="",W158=""),"",IF(X158*W158&lt;=0,"",IFERROR(X158/W158-1,"")))</f>
        <v/>
      </c>
    </row>
    <row r="160">
      <c r="A160" s="9" t="inlineStr">
        <is>
          <t>순이익</t>
        </is>
      </c>
      <c r="C160" s="12" t="n">
        <v>88</v>
      </c>
      <c r="D160" s="12" t="n">
        <v>947</v>
      </c>
      <c r="E160" s="12" t="n">
        <v>1029</v>
      </c>
      <c r="F160" s="12" t="n">
        <v>865</v>
      </c>
      <c r="G160" s="12" t="n">
        <v>1007</v>
      </c>
      <c r="H160" s="12" t="n">
        <v>939</v>
      </c>
      <c r="I160" s="12" t="n">
        <v>1009</v>
      </c>
      <c r="J160" s="12" t="n">
        <v>1220</v>
      </c>
      <c r="K160" s="12" t="n">
        <v>1333</v>
      </c>
      <c r="L160" s="12" t="n">
        <v>2412</v>
      </c>
      <c r="M160" s="12" t="n">
        <v>2334</v>
      </c>
      <c r="N160" s="12" t="n">
        <v>3733</v>
      </c>
      <c r="T160" s="12" t="n">
        <v>727</v>
      </c>
      <c r="U160" s="12" t="n">
        <v>6</v>
      </c>
      <c r="V160" s="12" t="n">
        <v>1029</v>
      </c>
      <c r="W160" s="12" t="n">
        <v>1009</v>
      </c>
      <c r="X160" s="12" t="n">
        <v>2334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T161" s="15">
        <f>IF(OR(T160="",S160=""),"",IF(S160&lt;=0,"",IFERROR(T160/S160-1,"")))</f>
        <v/>
      </c>
      <c r="U161" s="15">
        <f>IF(OR(U160="",T160=""),"",IF(T160&lt;=0,"",IFERROR(U160/T160-1,"")))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9" t="inlineStr">
        <is>
          <t>비지배주주 순이익</t>
        </is>
      </c>
      <c r="C162" s="12" t="n">
        <v>88</v>
      </c>
      <c r="D162" s="12" t="n">
        <v>170</v>
      </c>
      <c r="E162" s="12" t="n">
        <v>155</v>
      </c>
      <c r="F162" s="12" t="n">
        <v>256</v>
      </c>
      <c r="G162" s="12" t="n">
        <v>360</v>
      </c>
      <c r="H162" s="12" t="n">
        <v>228</v>
      </c>
      <c r="I162" s="12" t="n">
        <v>391</v>
      </c>
      <c r="J162" s="12" t="n">
        <v>236</v>
      </c>
      <c r="K162" s="12" t="n">
        <v>134</v>
      </c>
      <c r="L162" s="12" t="n">
        <v>362</v>
      </c>
      <c r="M162" s="12" t="n">
        <v>398</v>
      </c>
      <c r="N162" s="12" t="n">
        <v>616</v>
      </c>
      <c r="T162" s="12" t="n">
        <v>94</v>
      </c>
      <c r="U162" s="12" t="n">
        <v>17</v>
      </c>
      <c r="V162" s="12" t="n">
        <v>155</v>
      </c>
      <c r="W162" s="12" t="n">
        <v>391</v>
      </c>
      <c r="X162" s="12" t="n">
        <v>398</v>
      </c>
    </row>
    <row r="163">
      <c r="A163" s="9" t="inlineStr">
        <is>
          <t>지배주주 순이익</t>
        </is>
      </c>
      <c r="C163" s="12" t="n">
        <v>-1</v>
      </c>
      <c r="D163" s="12" t="n">
        <v>777</v>
      </c>
      <c r="E163" s="12" t="n">
        <v>875</v>
      </c>
      <c r="F163" s="12" t="n">
        <v>608</v>
      </c>
      <c r="G163" s="12" t="n">
        <v>648</v>
      </c>
      <c r="H163" s="12" t="n">
        <v>711</v>
      </c>
      <c r="I163" s="12" t="n">
        <v>618</v>
      </c>
      <c r="J163" s="12" t="n">
        <v>984</v>
      </c>
      <c r="K163" s="12" t="n">
        <v>1198</v>
      </c>
      <c r="L163" s="12" t="n">
        <v>2050</v>
      </c>
      <c r="M163" s="12" t="n">
        <v>1937</v>
      </c>
      <c r="N163" s="12" t="n">
        <v>3116</v>
      </c>
      <c r="T163" s="12" t="n">
        <v>632</v>
      </c>
      <c r="U163" s="12" t="n">
        <v>-12</v>
      </c>
      <c r="V163" s="12" t="n">
        <v>875</v>
      </c>
      <c r="W163" s="12" t="n">
        <v>618</v>
      </c>
      <c r="X163" s="12" t="n">
        <v>1937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T164" s="15">
        <f>IF(OR(T163="",S163=""),"",IF(S163&lt;=0,"",IFERROR(T163/S163-1,"")))</f>
        <v/>
      </c>
      <c r="U164" s="15">
        <f>IF(OR(U163="",T163=""),"",IF(T163&lt;=0,"",IFERROR(U163/T163-1,"")))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6">
      <c r="A166" s="16" t="inlineStr">
        <is>
          <t>포괄손익 · 전 항목</t>
        </is>
      </c>
      <c r="B166" s="42" t="inlineStr">
        <is>
          <t>분기 = 3개월 단독</t>
        </is>
      </c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</row>
    <row r="167">
      <c r="A167" s="5" t="inlineStr">
        <is>
          <t>항목</t>
        </is>
      </c>
      <c r="B167" s="5" t="inlineStr">
        <is>
          <t>참고</t>
        </is>
      </c>
      <c r="C167" s="5" t="inlineStr">
        <is>
          <t>2024.2Q</t>
        </is>
      </c>
      <c r="D167" s="5" t="inlineStr">
        <is>
          <t>2024.3Q</t>
        </is>
      </c>
      <c r="E167" s="5" t="inlineStr">
        <is>
          <t>2024.4Q</t>
        </is>
      </c>
      <c r="F167" s="5" t="inlineStr">
        <is>
          <t>2025.1Q</t>
        </is>
      </c>
      <c r="G167" s="5" t="inlineStr">
        <is>
          <t>2025.2Q</t>
        </is>
      </c>
      <c r="H167" s="5" t="inlineStr">
        <is>
          <t>2025.3Q</t>
        </is>
      </c>
      <c r="I167" s="5" t="inlineStr">
        <is>
          <t>2025.4Q</t>
        </is>
      </c>
      <c r="J167" s="5" t="inlineStr">
        <is>
          <t>2026.1Q</t>
        </is>
      </c>
      <c r="K167" s="5" t="inlineStr">
        <is>
          <t>2026.2Q</t>
        </is>
      </c>
      <c r="L167" s="5" t="inlineStr">
        <is>
          <t>2026.3Q</t>
        </is>
      </c>
      <c r="M167" s="5" t="inlineStr">
        <is>
          <t>2026.4Q</t>
        </is>
      </c>
      <c r="N167" s="5" t="inlineStr">
        <is>
          <t>2027.1Q</t>
        </is>
      </c>
      <c r="O167" s="5" t="inlineStr">
        <is>
          <t>2017</t>
        </is>
      </c>
      <c r="P167" s="5" t="inlineStr">
        <is>
          <t>2018</t>
        </is>
      </c>
      <c r="Q167" s="5" t="inlineStr">
        <is>
          <t>2019</t>
        </is>
      </c>
      <c r="R167" s="5" t="inlineStr">
        <is>
          <t>2020</t>
        </is>
      </c>
      <c r="S167" s="5" t="inlineStr">
        <is>
          <t>2021</t>
        </is>
      </c>
      <c r="T167" s="5" t="inlineStr">
        <is>
          <t>2022</t>
        </is>
      </c>
      <c r="U167" s="5" t="inlineStr">
        <is>
          <t>2023</t>
        </is>
      </c>
      <c r="V167" s="5" t="inlineStr">
        <is>
          <t>2024</t>
        </is>
      </c>
      <c r="W167" s="5" t="inlineStr">
        <is>
          <t>2025</t>
        </is>
      </c>
      <c r="X167" s="5" t="inlineStr">
        <is>
          <t>2026</t>
        </is>
      </c>
      <c r="Y167" s="5" t="inlineStr">
        <is>
          <t>2027(MW)</t>
        </is>
      </c>
      <c r="Z167" s="5" t="inlineStr">
        <is>
          <t>2028(MW)</t>
        </is>
      </c>
      <c r="AA167" s="5" t="inlineStr">
        <is>
          <t>2029(MW)</t>
        </is>
      </c>
      <c r="AB167" s="5" t="inlineStr">
        <is>
          <t>2030(MW)</t>
        </is>
      </c>
      <c r="AC167" s="5" t="inlineStr">
        <is>
          <t>2031(MW)</t>
        </is>
      </c>
    </row>
    <row r="168">
      <c r="A168" s="9" t="inlineStr">
        <is>
          <t>순이익</t>
        </is>
      </c>
      <c r="C168" s="12" t="n">
        <v>88</v>
      </c>
      <c r="D168" s="12" t="n">
        <v>947</v>
      </c>
      <c r="E168" s="12" t="n">
        <v>1029</v>
      </c>
      <c r="F168" s="12" t="n">
        <v>865</v>
      </c>
      <c r="G168" s="12" t="n">
        <v>1007</v>
      </c>
      <c r="H168" s="12" t="n">
        <v>939</v>
      </c>
      <c r="I168" s="12" t="n">
        <v>1009</v>
      </c>
      <c r="J168" s="12" t="n">
        <v>1220</v>
      </c>
      <c r="K168" s="12" t="n">
        <v>1333</v>
      </c>
      <c r="L168" s="12" t="n">
        <v>2412</v>
      </c>
      <c r="M168" s="12" t="n">
        <v>2334</v>
      </c>
      <c r="N168" s="12" t="n">
        <v>3733</v>
      </c>
      <c r="T168" s="12" t="n">
        <v>727</v>
      </c>
      <c r="U168" s="12" t="n">
        <v>6</v>
      </c>
      <c r="V168" s="12" t="n">
        <v>1029</v>
      </c>
      <c r="W168" s="12" t="n">
        <v>1009</v>
      </c>
      <c r="X168" s="12" t="n">
        <v>2334</v>
      </c>
    </row>
    <row r="169">
      <c r="A169" s="18" t="inlineStr">
        <is>
          <t>기타유가증권 평가차액</t>
        </is>
      </c>
      <c r="C169" s="20" t="n">
        <v>298</v>
      </c>
      <c r="D169" s="20" t="n">
        <v>-25</v>
      </c>
      <c r="E169" s="20" t="n">
        <v>598</v>
      </c>
      <c r="F169" s="20" t="n">
        <v>310</v>
      </c>
      <c r="G169" s="20" t="n">
        <v>-522</v>
      </c>
      <c r="H169" s="20" t="n">
        <v>280</v>
      </c>
      <c r="I169" s="20" t="n">
        <v>-131</v>
      </c>
      <c r="J169" s="20" t="n">
        <v>246</v>
      </c>
      <c r="K169" s="20" t="n">
        <v>711</v>
      </c>
      <c r="L169" s="20" t="n">
        <v>480</v>
      </c>
      <c r="M169" s="20" t="n">
        <v>727</v>
      </c>
      <c r="N169" s="20" t="n">
        <v>760</v>
      </c>
      <c r="T169" s="20" t="n">
        <v>-19</v>
      </c>
      <c r="U169" s="20" t="n">
        <v>69</v>
      </c>
      <c r="V169" s="20" t="n">
        <v>598</v>
      </c>
      <c r="W169" s="20" t="n">
        <v>-131</v>
      </c>
      <c r="X169" s="20" t="n">
        <v>727</v>
      </c>
    </row>
    <row r="170">
      <c r="A170" s="18" t="inlineStr">
        <is>
          <t>해외사업환산조정</t>
        </is>
      </c>
      <c r="C170" s="20" t="n">
        <v>533</v>
      </c>
      <c r="D170" s="20" t="n">
        <v>37</v>
      </c>
      <c r="E170" s="20" t="n">
        <v>-114</v>
      </c>
      <c r="F170" s="20" t="n">
        <v>306</v>
      </c>
      <c r="G170" s="20" t="n">
        <v>491</v>
      </c>
      <c r="H170" s="20" t="n">
        <v>-984</v>
      </c>
      <c r="I170" s="20" t="n">
        <v>735</v>
      </c>
      <c r="J170" s="20" t="n">
        <v>-751</v>
      </c>
      <c r="K170" s="20" t="n">
        <v>885</v>
      </c>
      <c r="L170" s="20" t="n">
        <v>-106</v>
      </c>
      <c r="M170" s="20" t="n">
        <v>381</v>
      </c>
      <c r="N170" s="20" t="n">
        <v>63</v>
      </c>
      <c r="T170" s="20" t="n">
        <v>246</v>
      </c>
      <c r="U170" s="20" t="n">
        <v>-466</v>
      </c>
      <c r="V170" s="20" t="n">
        <v>-114</v>
      </c>
      <c r="W170" s="20" t="n">
        <v>735</v>
      </c>
      <c r="X170" s="20" t="n">
        <v>381</v>
      </c>
    </row>
    <row r="171">
      <c r="A171" s="18" t="inlineStr">
        <is>
          <t>퇴직급여 조정액</t>
        </is>
      </c>
      <c r="C171" s="20" t="n">
        <v>-14</v>
      </c>
      <c r="D171" s="20" t="n">
        <v>-5</v>
      </c>
      <c r="E171" s="20" t="n">
        <v>295</v>
      </c>
      <c r="F171" s="20" t="n">
        <v>-10</v>
      </c>
      <c r="G171" s="20" t="n">
        <v>-10</v>
      </c>
      <c r="H171" s="20" t="n">
        <v>-11</v>
      </c>
      <c r="I171" s="20" t="n">
        <v>-3</v>
      </c>
      <c r="J171" s="20" t="n">
        <v>-12</v>
      </c>
      <c r="K171" s="20" t="n">
        <v>-10</v>
      </c>
      <c r="L171" s="20" t="n">
        <v>-14</v>
      </c>
      <c r="M171" s="20" t="n">
        <v>617</v>
      </c>
      <c r="N171" s="20" t="n">
        <v>-40</v>
      </c>
      <c r="T171" s="20" t="n">
        <v>21</v>
      </c>
      <c r="U171" s="20" t="n">
        <v>-196</v>
      </c>
      <c r="V171" s="20" t="n">
        <v>295</v>
      </c>
      <c r="W171" s="20" t="n">
        <v>-3</v>
      </c>
      <c r="X171" s="20" t="n">
        <v>617</v>
      </c>
    </row>
    <row r="172">
      <c r="A172" s="18" t="inlineStr">
        <is>
          <t>지분법 적용회사 지분 해당액</t>
        </is>
      </c>
      <c r="C172" s="20" t="n">
        <v>-37</v>
      </c>
      <c r="D172" s="20" t="n">
        <v>15</v>
      </c>
      <c r="E172" s="20" t="n">
        <v>-6</v>
      </c>
      <c r="F172" s="20" t="n">
        <v>9</v>
      </c>
      <c r="G172" s="20" t="n">
        <v>10</v>
      </c>
      <c r="H172" s="20" t="n">
        <v>-14</v>
      </c>
      <c r="I172" s="20" t="n">
        <v>-7</v>
      </c>
      <c r="J172" s="20" t="n">
        <v>-61</v>
      </c>
      <c r="K172" s="20" t="n">
        <v>-1</v>
      </c>
      <c r="L172" s="20" t="n">
        <v>1</v>
      </c>
      <c r="M172" s="20" t="n">
        <v>1</v>
      </c>
      <c r="N172" s="20" t="n">
        <v>0</v>
      </c>
      <c r="T172" s="20" t="n">
        <v>18</v>
      </c>
      <c r="U172" s="20" t="n">
        <v>-34</v>
      </c>
      <c r="V172" s="20" t="n">
        <v>-6</v>
      </c>
      <c r="W172" s="20" t="n">
        <v>-7</v>
      </c>
      <c r="X172" s="20" t="n">
        <v>1</v>
      </c>
    </row>
    <row r="173">
      <c r="A173" s="18" t="inlineStr">
        <is>
          <t>기타포괄손익 합계</t>
        </is>
      </c>
      <c r="C173" s="20" t="n">
        <v>779</v>
      </c>
      <c r="D173" s="20" t="n">
        <v>22</v>
      </c>
      <c r="E173" s="20" t="n">
        <v>774</v>
      </c>
      <c r="F173" s="20" t="n">
        <v>614</v>
      </c>
      <c r="G173" s="20" t="n">
        <v>-31</v>
      </c>
      <c r="H173" s="20" t="n">
        <v>-727</v>
      </c>
      <c r="I173" s="20" t="n">
        <v>591</v>
      </c>
      <c r="J173" s="20" t="n">
        <v>-579</v>
      </c>
      <c r="K173" s="20" t="n">
        <v>1586</v>
      </c>
      <c r="L173" s="20" t="n">
        <v>360</v>
      </c>
      <c r="M173" s="20" t="n">
        <v>1728</v>
      </c>
      <c r="N173" s="20" t="n">
        <v>783</v>
      </c>
      <c r="T173" s="20" t="n">
        <v>266</v>
      </c>
      <c r="U173" s="20" t="n">
        <v>-627</v>
      </c>
      <c r="V173" s="20" t="n">
        <v>774</v>
      </c>
      <c r="W173" s="20" t="n">
        <v>591</v>
      </c>
      <c r="X173" s="20" t="n">
        <v>1728</v>
      </c>
    </row>
    <row r="174">
      <c r="A174" s="9" t="inlineStr">
        <is>
          <t>포괄이익</t>
        </is>
      </c>
      <c r="C174" s="12" t="n">
        <v>867</v>
      </c>
      <c r="D174" s="12" t="n">
        <v>969</v>
      </c>
      <c r="E174" s="12" t="n">
        <v>1804</v>
      </c>
      <c r="F174" s="12" t="n">
        <v>1480</v>
      </c>
      <c r="G174" s="12" t="n">
        <v>976</v>
      </c>
      <c r="H174" s="12" t="n">
        <v>210</v>
      </c>
      <c r="I174" s="12" t="n">
        <v>1602</v>
      </c>
      <c r="J174" s="12" t="n">
        <v>641</v>
      </c>
      <c r="K174" s="12" t="n">
        <v>2920</v>
      </c>
      <c r="L174" s="12" t="n">
        <v>2771</v>
      </c>
      <c r="M174" s="12" t="n">
        <v>4063</v>
      </c>
      <c r="N174" s="12" t="n">
        <v>4517</v>
      </c>
      <c r="T174" s="12" t="n">
        <v>992</v>
      </c>
      <c r="U174" s="12" t="n">
        <v>-622</v>
      </c>
      <c r="V174" s="12" t="n">
        <v>1804</v>
      </c>
      <c r="W174" s="12" t="n">
        <v>1602</v>
      </c>
      <c r="X174" s="12" t="n">
        <v>4063</v>
      </c>
    </row>
    <row r="175">
      <c r="A175" s="9" t="inlineStr">
        <is>
          <t>지배주주 포괄이익</t>
        </is>
      </c>
      <c r="C175" s="12" t="n">
        <v>554</v>
      </c>
      <c r="D175" s="12" t="n">
        <v>796</v>
      </c>
      <c r="E175" s="12" t="n">
        <v>1685</v>
      </c>
      <c r="F175" s="12" t="n">
        <v>1111</v>
      </c>
      <c r="G175" s="12" t="n">
        <v>418</v>
      </c>
      <c r="H175" s="12" t="n">
        <v>396</v>
      </c>
      <c r="I175" s="12" t="n">
        <v>896</v>
      </c>
      <c r="J175" s="12" t="n">
        <v>743</v>
      </c>
      <c r="K175" s="12" t="n">
        <v>2338</v>
      </c>
      <c r="L175" s="12" t="n">
        <v>2495</v>
      </c>
      <c r="M175" s="12" t="n">
        <v>3568</v>
      </c>
      <c r="N175" s="12" t="n">
        <v>3906</v>
      </c>
      <c r="T175" s="12" t="n">
        <v>800</v>
      </c>
      <c r="U175" s="12" t="n">
        <v>-455</v>
      </c>
      <c r="V175" s="12" t="n">
        <v>1685</v>
      </c>
      <c r="W175" s="12" t="n">
        <v>896</v>
      </c>
      <c r="X175" s="12" t="n">
        <v>3568</v>
      </c>
    </row>
    <row r="176">
      <c r="A176" s="9" t="inlineStr">
        <is>
          <t>비지배주주 포괄이익</t>
        </is>
      </c>
      <c r="C176" s="12" t="n">
        <v>311</v>
      </c>
      <c r="D176" s="12" t="n">
        <v>173</v>
      </c>
      <c r="E176" s="12" t="n">
        <v>119</v>
      </c>
      <c r="F176" s="12" t="n">
        <v>368</v>
      </c>
      <c r="G176" s="12" t="n">
        <v>559</v>
      </c>
      <c r="H176" s="12" t="n">
        <v>-186</v>
      </c>
      <c r="I176" s="12" t="n">
        <v>705</v>
      </c>
      <c r="J176" s="12" t="n">
        <v>-101</v>
      </c>
      <c r="K176" s="12" t="n">
        <v>580</v>
      </c>
      <c r="L176" s="12" t="n">
        <v>277</v>
      </c>
      <c r="M176" s="12" t="n">
        <v>494</v>
      </c>
      <c r="N176" s="12" t="n">
        <v>610</v>
      </c>
      <c r="T176" s="12" t="n">
        <v>192</v>
      </c>
      <c r="U176" s="12" t="n">
        <v>-165</v>
      </c>
      <c r="V176" s="12" t="n">
        <v>119</v>
      </c>
      <c r="W176" s="12" t="n">
        <v>705</v>
      </c>
      <c r="X176" s="12" t="n">
        <v>494</v>
      </c>
    </row>
    <row r="178">
      <c r="A178" s="16" t="inlineStr">
        <is>
          <t>부문 · 전 항목</t>
        </is>
      </c>
      <c r="B178" s="42" t="inlineStr">
        <is>
          <t>부문 · 항목</t>
        </is>
      </c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</row>
    <row r="179">
      <c r="A179" s="5" t="inlineStr">
        <is>
          <t>항목</t>
        </is>
      </c>
      <c r="B179" s="5" t="inlineStr">
        <is>
          <t>참고</t>
        </is>
      </c>
      <c r="C179" s="5" t="inlineStr">
        <is>
          <t>2024.2Q</t>
        </is>
      </c>
      <c r="D179" s="5" t="inlineStr">
        <is>
          <t>2024.3Q</t>
        </is>
      </c>
      <c r="E179" s="5" t="inlineStr">
        <is>
          <t>2024.4Q</t>
        </is>
      </c>
      <c r="F179" s="5" t="inlineStr">
        <is>
          <t>2025.1Q</t>
        </is>
      </c>
      <c r="G179" s="5" t="inlineStr">
        <is>
          <t>2025.2Q</t>
        </is>
      </c>
      <c r="H179" s="5" t="inlineStr">
        <is>
          <t>2025.3Q</t>
        </is>
      </c>
      <c r="I179" s="5" t="inlineStr">
        <is>
          <t>2025.4Q</t>
        </is>
      </c>
      <c r="J179" s="5" t="inlineStr">
        <is>
          <t>2026.1Q</t>
        </is>
      </c>
      <c r="K179" s="5" t="inlineStr">
        <is>
          <t>2026.2Q</t>
        </is>
      </c>
      <c r="L179" s="5" t="inlineStr">
        <is>
          <t>2026.3Q</t>
        </is>
      </c>
      <c r="M179" s="5" t="inlineStr">
        <is>
          <t>2026.4Q</t>
        </is>
      </c>
      <c r="N179" s="5" t="inlineStr">
        <is>
          <t>2027.1Q</t>
        </is>
      </c>
      <c r="O179" s="5" t="inlineStr">
        <is>
          <t>2017</t>
        </is>
      </c>
      <c r="P179" s="5" t="inlineStr">
        <is>
          <t>2018</t>
        </is>
      </c>
      <c r="Q179" s="5" t="inlineStr">
        <is>
          <t>2019</t>
        </is>
      </c>
      <c r="R179" s="5" t="inlineStr">
        <is>
          <t>2020</t>
        </is>
      </c>
      <c r="S179" s="5" t="inlineStr">
        <is>
          <t>2021</t>
        </is>
      </c>
      <c r="T179" s="5" t="inlineStr">
        <is>
          <t>2022</t>
        </is>
      </c>
      <c r="U179" s="5" t="inlineStr">
        <is>
          <t>2023</t>
        </is>
      </c>
      <c r="V179" s="5" t="inlineStr">
        <is>
          <t>2024</t>
        </is>
      </c>
      <c r="W179" s="5" t="inlineStr">
        <is>
          <t>2025</t>
        </is>
      </c>
      <c r="X179" s="5" t="inlineStr">
        <is>
          <t>2026</t>
        </is>
      </c>
      <c r="Y179" s="5" t="inlineStr">
        <is>
          <t>2027(MW)</t>
        </is>
      </c>
      <c r="Z179" s="5" t="inlineStr">
        <is>
          <t>2028(MW)</t>
        </is>
      </c>
      <c r="AA179" s="5" t="inlineStr">
        <is>
          <t>2029(MW)</t>
        </is>
      </c>
      <c r="AB179" s="5" t="inlineStr">
        <is>
          <t>2030(MW)</t>
        </is>
      </c>
      <c r="AC179" s="5" t="inlineStr">
        <is>
          <t>2031(MW)</t>
        </is>
      </c>
    </row>
    <row r="180">
      <c r="A180" s="18" t="inlineStr">
        <is>
          <t>부문 · 외부 고객 매출</t>
        </is>
      </c>
      <c r="F180" s="20" t="n">
        <v>6239</v>
      </c>
      <c r="G180" s="20" t="n">
        <v>6387</v>
      </c>
      <c r="H180" s="20" t="n">
        <v>6136</v>
      </c>
      <c r="I180" s="20" t="n">
        <v>6288</v>
      </c>
      <c r="J180" s="20" t="n">
        <v>6937</v>
      </c>
      <c r="K180" s="20" t="n">
        <v>7039</v>
      </c>
      <c r="L180" s="20" t="n">
        <v>8190</v>
      </c>
      <c r="M180" s="20" t="n">
        <v>8341</v>
      </c>
      <c r="N180" s="20" t="n">
        <v>10840</v>
      </c>
      <c r="W180" s="20" t="n">
        <v>6288</v>
      </c>
      <c r="X180" s="20" t="n">
        <v>8341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부문 · 외부 고객 매출</t>
        </is>
      </c>
      <c r="F182" s="20" t="n">
        <v>3976</v>
      </c>
      <c r="G182" s="20" t="n">
        <v>4308</v>
      </c>
      <c r="H182" s="20" t="n">
        <v>5049</v>
      </c>
      <c r="I182" s="20" t="n">
        <v>5380</v>
      </c>
      <c r="J182" s="20" t="n">
        <v>4627</v>
      </c>
      <c r="K182" s="20" t="n">
        <v>4704</v>
      </c>
      <c r="L182" s="20" t="n">
        <v>6708</v>
      </c>
      <c r="M182" s="20" t="n">
        <v>7265</v>
      </c>
      <c r="N182" s="20" t="n">
        <v>8416</v>
      </c>
      <c r="W182" s="20" t="n">
        <v>5380</v>
      </c>
      <c r="X182" s="20" t="n">
        <v>7265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부문 · 외부 고객 매출</t>
        </is>
      </c>
      <c r="F184" s="20" t="n">
        <v>3387</v>
      </c>
      <c r="G184" s="20" t="n">
        <v>3354</v>
      </c>
      <c r="H184" s="20" t="n">
        <v>3710</v>
      </c>
      <c r="I184" s="20" t="n">
        <v>3296</v>
      </c>
      <c r="J184" s="20" t="n">
        <v>3512</v>
      </c>
      <c r="K184" s="20" t="n">
        <v>3384</v>
      </c>
      <c r="L184" s="20" t="n">
        <v>3668</v>
      </c>
      <c r="M184" s="20" t="n">
        <v>3328</v>
      </c>
      <c r="N184" s="20" t="n">
        <v>3809</v>
      </c>
      <c r="W184" s="20" t="n">
        <v>3296</v>
      </c>
      <c r="X184" s="20" t="n">
        <v>3328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부문 · 외부 고객 매출</t>
        </is>
      </c>
      <c r="F186" s="20" t="n">
        <v>3927</v>
      </c>
      <c r="G186" s="20" t="n">
        <v>3852</v>
      </c>
      <c r="H186" s="20" t="n">
        <v>3944</v>
      </c>
      <c r="I186" s="20" t="n">
        <v>4020</v>
      </c>
      <c r="J186" s="20" t="n">
        <v>3969</v>
      </c>
      <c r="K186" s="20" t="n">
        <v>3437</v>
      </c>
      <c r="L186" s="20" t="n">
        <v>4032</v>
      </c>
      <c r="M186" s="20" t="n">
        <v>3744</v>
      </c>
      <c r="N186" s="20" t="n">
        <v>4435</v>
      </c>
      <c r="W186" s="20" t="n">
        <v>4020</v>
      </c>
      <c r="X186" s="20" t="n">
        <v>3744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9" t="inlineStr">
        <is>
          <t>외부 고객 매출</t>
        </is>
      </c>
      <c r="C188" s="12" t="n">
        <v>15316</v>
      </c>
      <c r="D188" s="12" t="n">
        <v>16434</v>
      </c>
      <c r="E188" s="12" t="n">
        <v>17484</v>
      </c>
      <c r="F188" s="12" t="n">
        <v>17531</v>
      </c>
      <c r="G188" s="12" t="n">
        <v>17900</v>
      </c>
      <c r="H188" s="12" t="n">
        <v>18840</v>
      </c>
      <c r="I188" s="12" t="n">
        <v>18984</v>
      </c>
      <c r="J188" s="12" t="n">
        <v>19046</v>
      </c>
      <c r="K188" s="12" t="n">
        <v>18565</v>
      </c>
      <c r="L188" s="12" t="n">
        <v>22598</v>
      </c>
      <c r="M188" s="12" t="n">
        <v>22677</v>
      </c>
      <c r="N188" s="12" t="n">
        <v>27501</v>
      </c>
      <c r="V188" s="12" t="n">
        <v>17484</v>
      </c>
      <c r="W188" s="12" t="n">
        <v>18984</v>
      </c>
      <c r="X188" s="12" t="n">
        <v>22677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N189" s="15">
        <f>IF(OR(N188="",J188=""),"",IF(J188&lt;=0,"",IFERROR(N188/J188-1,"")))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  <c r="X189" s="15">
        <f>IF(OR(X188="",W188=""),"",IF(W188&lt;=0,"",IFERROR(X188/W188-1,"")))</f>
        <v/>
      </c>
    </row>
    <row r="190">
      <c r="A190" s="18" t="inlineStr">
        <is>
          <t>부문 · 부문 간 내부매출·대체</t>
        </is>
      </c>
      <c r="C190" s="20" t="n">
        <v>0</v>
      </c>
      <c r="D190" s="20" t="n">
        <v>0</v>
      </c>
      <c r="E190" s="20" t="n">
        <v>0</v>
      </c>
      <c r="F190" s="20" t="n">
        <v>0</v>
      </c>
      <c r="G190" s="20" t="n">
        <v>0</v>
      </c>
      <c r="H190" s="20" t="n">
        <v>0</v>
      </c>
      <c r="I190" s="20" t="n">
        <v>0</v>
      </c>
      <c r="V190" s="20" t="n">
        <v>0</v>
      </c>
      <c r="W190" s="20" t="n">
        <v>0</v>
      </c>
    </row>
    <row r="191">
      <c r="A191" s="18" t="inlineStr">
        <is>
          <t>부문 · 부문 간 내부매출·대체</t>
        </is>
      </c>
      <c r="C191" s="20" t="n">
        <v>0</v>
      </c>
      <c r="D191" s="20" t="n">
        <v>0</v>
      </c>
      <c r="E191" s="20" t="n">
        <v>0</v>
      </c>
      <c r="F191" s="20" t="n">
        <v>0</v>
      </c>
      <c r="G191" s="20" t="n">
        <v>0</v>
      </c>
      <c r="H191" s="20" t="n">
        <v>0</v>
      </c>
      <c r="I191" s="20" t="n">
        <v>0</v>
      </c>
      <c r="V191" s="20" t="n">
        <v>0</v>
      </c>
      <c r="W191" s="20" t="n">
        <v>0</v>
      </c>
    </row>
    <row r="192">
      <c r="A192" s="18" t="inlineStr">
        <is>
          <t>부문 · 부문 간 내부매출·대체</t>
        </is>
      </c>
      <c r="C192" s="20" t="n">
        <v>0</v>
      </c>
      <c r="D192" s="20" t="n">
        <v>0</v>
      </c>
      <c r="E192" s="20" t="n">
        <v>0</v>
      </c>
      <c r="F192" s="20" t="n">
        <v>0</v>
      </c>
      <c r="G192" s="20" t="n">
        <v>0</v>
      </c>
      <c r="H192" s="20" t="n">
        <v>0</v>
      </c>
      <c r="I192" s="20" t="n">
        <v>0</v>
      </c>
      <c r="V192" s="20" t="n">
        <v>0</v>
      </c>
      <c r="W192" s="20" t="n">
        <v>0</v>
      </c>
    </row>
    <row r="193">
      <c r="A193" s="18" t="inlineStr">
        <is>
          <t>부문 · 부문 간 내부매출·대체</t>
        </is>
      </c>
      <c r="C193" s="20" t="n">
        <v>0</v>
      </c>
      <c r="D193" s="20" t="n">
        <v>0</v>
      </c>
      <c r="E193" s="20" t="n">
        <v>0</v>
      </c>
      <c r="F193" s="20" t="n">
        <v>0</v>
      </c>
      <c r="G193" s="20" t="n">
        <v>0</v>
      </c>
      <c r="H193" s="20" t="n">
        <v>0</v>
      </c>
      <c r="I193" s="20" t="n">
        <v>0</v>
      </c>
      <c r="V193" s="20" t="n">
        <v>0</v>
      </c>
      <c r="W193" s="20" t="n">
        <v>0</v>
      </c>
    </row>
    <row r="194">
      <c r="A194" s="18" t="inlineStr">
        <is>
          <t>부문 · 부문 간 내부매출·대체</t>
        </is>
      </c>
      <c r="C194" s="20" t="n">
        <v>0</v>
      </c>
      <c r="F194" s="20" t="n">
        <v>0</v>
      </c>
      <c r="G194" s="20" t="n">
        <v>0</v>
      </c>
    </row>
    <row r="195">
      <c r="A195" s="18" t="inlineStr">
        <is>
          <t>부문 · 부문 간 내부매출·대체</t>
        </is>
      </c>
      <c r="E195" s="20" t="n">
        <v>0</v>
      </c>
      <c r="I195" s="20" t="n">
        <v>0</v>
      </c>
      <c r="V195" s="20" t="n">
        <v>0</v>
      </c>
      <c r="W195" s="20" t="n">
        <v>0</v>
      </c>
    </row>
    <row r="196">
      <c r="A196" s="18" t="inlineStr">
        <is>
          <t>부문 · 부문 간 내부매출·대체</t>
        </is>
      </c>
      <c r="C196" s="20" t="n">
        <v>0</v>
      </c>
      <c r="D196" s="20" t="n">
        <v>0</v>
      </c>
      <c r="E196" s="20" t="n">
        <v>0</v>
      </c>
      <c r="F196" s="20" t="n">
        <v>0</v>
      </c>
      <c r="G196" s="20" t="n">
        <v>0</v>
      </c>
      <c r="H196" s="20" t="n">
        <v>0</v>
      </c>
      <c r="I196" s="20" t="n">
        <v>0</v>
      </c>
      <c r="V196" s="20" t="n">
        <v>0</v>
      </c>
      <c r="W196" s="20" t="n">
        <v>0</v>
      </c>
    </row>
    <row r="197">
      <c r="A197" s="18" t="inlineStr">
        <is>
          <t>부문 · 부문 간 내부매출·대체</t>
        </is>
      </c>
      <c r="F197" s="20" t="n">
        <v>0</v>
      </c>
      <c r="G197" s="20" t="n">
        <v>0</v>
      </c>
      <c r="H197" s="20" t="n">
        <v>0</v>
      </c>
      <c r="I197" s="20" t="n">
        <v>0</v>
      </c>
      <c r="J197" s="20" t="n">
        <v>0</v>
      </c>
      <c r="K197" s="20" t="n">
        <v>0</v>
      </c>
      <c r="L197" s="20" t="n">
        <v>0</v>
      </c>
      <c r="M197" s="20" t="n">
        <v>0</v>
      </c>
      <c r="N197" s="20" t="n">
        <v>0</v>
      </c>
      <c r="W197" s="20" t="n">
        <v>0</v>
      </c>
      <c r="X197" s="20" t="n">
        <v>0</v>
      </c>
    </row>
    <row r="198">
      <c r="A198" s="18" t="inlineStr">
        <is>
          <t>부문 · 부문 간 내부매출·대체</t>
        </is>
      </c>
      <c r="F198" s="20" t="n">
        <v>0</v>
      </c>
      <c r="G198" s="20" t="n">
        <v>0</v>
      </c>
      <c r="H198" s="20" t="n">
        <v>0</v>
      </c>
      <c r="I198" s="20" t="n">
        <v>0</v>
      </c>
      <c r="J198" s="20" t="n">
        <v>0</v>
      </c>
      <c r="K198" s="20" t="n">
        <v>0</v>
      </c>
      <c r="L198" s="20" t="n">
        <v>0</v>
      </c>
      <c r="M198" s="20" t="n">
        <v>0</v>
      </c>
      <c r="N198" s="20" t="n">
        <v>0</v>
      </c>
      <c r="W198" s="20" t="n">
        <v>0</v>
      </c>
      <c r="X198" s="20" t="n">
        <v>0</v>
      </c>
    </row>
    <row r="199">
      <c r="A199" s="18" t="inlineStr">
        <is>
          <t>부문 · 부문 간 내부매출·대체</t>
        </is>
      </c>
      <c r="F199" s="20" t="n">
        <v>0</v>
      </c>
      <c r="G199" s="20" t="n">
        <v>0</v>
      </c>
      <c r="H199" s="20" t="n">
        <v>0</v>
      </c>
      <c r="I199" s="20" t="n">
        <v>0</v>
      </c>
      <c r="J199" s="20" t="n">
        <v>0</v>
      </c>
      <c r="K199" s="20" t="n">
        <v>0</v>
      </c>
      <c r="L199" s="20" t="n">
        <v>0</v>
      </c>
      <c r="M199" s="20" t="n">
        <v>0</v>
      </c>
      <c r="N199" s="20" t="n">
        <v>0</v>
      </c>
      <c r="W199" s="20" t="n">
        <v>0</v>
      </c>
      <c r="X199" s="20" t="n">
        <v>0</v>
      </c>
    </row>
    <row r="200">
      <c r="A200" s="18" t="inlineStr">
        <is>
          <t>부문 · 부문 간 내부매출·대체</t>
        </is>
      </c>
      <c r="F200" s="20" t="n">
        <v>0</v>
      </c>
      <c r="G200" s="20" t="n">
        <v>0</v>
      </c>
      <c r="H200" s="20" t="n">
        <v>0</v>
      </c>
      <c r="I200" s="20" t="n">
        <v>0</v>
      </c>
      <c r="J200" s="20" t="n">
        <v>0</v>
      </c>
      <c r="K200" s="20" t="n">
        <v>0</v>
      </c>
      <c r="L200" s="20" t="n">
        <v>0</v>
      </c>
      <c r="M200" s="20" t="n">
        <v>0</v>
      </c>
      <c r="N200" s="20" t="n">
        <v>0</v>
      </c>
      <c r="W200" s="20" t="n">
        <v>0</v>
      </c>
      <c r="X200" s="20" t="n">
        <v>0</v>
      </c>
    </row>
    <row r="201">
      <c r="A201" s="18" t="inlineStr">
        <is>
          <t>부문 간 내부매출·대체</t>
        </is>
      </c>
      <c r="C201" s="20" t="n">
        <v>0</v>
      </c>
      <c r="D201" s="20" t="n">
        <v>0</v>
      </c>
      <c r="E201" s="20" t="n">
        <v>0</v>
      </c>
      <c r="F201" s="20" t="n">
        <v>0</v>
      </c>
      <c r="G201" s="20" t="n">
        <v>0</v>
      </c>
      <c r="H201" s="20" t="n">
        <v>0</v>
      </c>
      <c r="I201" s="20" t="n">
        <v>0</v>
      </c>
      <c r="J201" s="20" t="n">
        <v>0</v>
      </c>
      <c r="K201" s="20" t="n">
        <v>0</v>
      </c>
      <c r="L201" s="20" t="n">
        <v>0</v>
      </c>
      <c r="M201" s="20" t="n">
        <v>0</v>
      </c>
      <c r="N201" s="20" t="n">
        <v>0</v>
      </c>
      <c r="V201" s="20" t="n">
        <v>0</v>
      </c>
      <c r="W201" s="20" t="n">
        <v>0</v>
      </c>
      <c r="X201" s="20" t="n">
        <v>0</v>
      </c>
    </row>
    <row r="202">
      <c r="A202" s="18" t="inlineStr">
        <is>
          <t>부문 · 계</t>
        </is>
      </c>
      <c r="C202" s="20" t="n">
        <v>4522</v>
      </c>
      <c r="D202" s="20" t="n">
        <v>4863</v>
      </c>
      <c r="E202" s="20" t="n">
        <v>4857</v>
      </c>
      <c r="F202" s="20" t="n">
        <v>4886</v>
      </c>
      <c r="G202" s="20" t="n">
        <v>4581</v>
      </c>
      <c r="H202" s="20" t="n">
        <v>5113</v>
      </c>
      <c r="I202" s="20" t="n">
        <v>4738</v>
      </c>
      <c r="V202" s="20" t="n">
        <v>4857</v>
      </c>
      <c r="W202" s="20" t="n">
        <v>4738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H203" s="15">
        <f>IF(OR(H202="",D202=""),"",IF(D202&lt;=0,"",IFERROR(H202/D202-1,"")))</f>
        <v/>
      </c>
      <c r="I203" s="15">
        <f>IF(OR(I202="",E202=""),"",IF(E202&lt;=0,"",IFERROR(I202/E202-1,"")))</f>
        <v/>
      </c>
      <c r="V203" s="15">
        <f>IF(OR(V202="",U202=""),"",IF(U202&lt;=0,"",IFERROR(V202/U202-1,"")))</f>
        <v/>
      </c>
      <c r="W203" s="15">
        <f>IF(OR(W202="",V202=""),"",IF(V202&lt;=0,"",IFERROR(W202/V202-1,"")))</f>
        <v/>
      </c>
    </row>
    <row r="204">
      <c r="A204" s="18" t="inlineStr">
        <is>
          <t>부문 · 계</t>
        </is>
      </c>
      <c r="C204" s="20" t="n">
        <v>2024</v>
      </c>
      <c r="D204" s="20" t="n">
        <v>2196</v>
      </c>
      <c r="E204" s="20" t="n">
        <v>2241</v>
      </c>
      <c r="F204" s="20" t="n">
        <v>2306</v>
      </c>
      <c r="G204" s="20" t="n">
        <v>2287</v>
      </c>
      <c r="H204" s="20" t="n">
        <v>2218</v>
      </c>
      <c r="I204" s="20" t="n">
        <v>2319</v>
      </c>
      <c r="V204" s="20" t="n">
        <v>2241</v>
      </c>
      <c r="W204" s="20" t="n">
        <v>2319</v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IF(OR(G204="",C204=""),"",IF(C204&lt;=0,"",IFERROR(G204/C204-1,"")))</f>
        <v/>
      </c>
      <c r="H205" s="15">
        <f>IF(OR(H204="",D204=""),"",IF(D204&lt;=0,"",IFERROR(H204/D204-1,"")))</f>
        <v/>
      </c>
      <c r="I205" s="15">
        <f>IF(OR(I204="",E204=""),"",IF(E204&lt;=0,"",IFERROR(I204/E204-1,"")))</f>
        <v/>
      </c>
      <c r="V205" s="15">
        <f>IF(OR(V204="",U204=""),"",IF(U204&lt;=0,"",IFERROR(V204/U204-1,"")))</f>
        <v/>
      </c>
      <c r="W205" s="15">
        <f>IF(OR(W204="",V204=""),"",IF(V204&lt;=0,"",IFERROR(W204/V204-1,"")))</f>
        <v/>
      </c>
    </row>
    <row r="206">
      <c r="A206" s="18" t="inlineStr">
        <is>
          <t>부문 · 계</t>
        </is>
      </c>
      <c r="C206" s="20" t="n">
        <v>2244</v>
      </c>
      <c r="D206" s="20" t="n">
        <v>2129</v>
      </c>
      <c r="E206" s="20" t="n">
        <v>2346</v>
      </c>
      <c r="F206" s="20" t="n">
        <v>2228</v>
      </c>
      <c r="G206" s="20" t="n">
        <v>2266</v>
      </c>
      <c r="H206" s="20" t="n">
        <v>2222</v>
      </c>
      <c r="I206" s="20" t="n">
        <v>2531</v>
      </c>
      <c r="V206" s="20" t="n">
        <v>2346</v>
      </c>
      <c r="W206" s="20" t="n">
        <v>2531</v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IF(OR(G206="",C206=""),"",IF(C206&lt;=0,"",IFERROR(G206/C206-1,"")))</f>
        <v/>
      </c>
      <c r="H207" s="15">
        <f>IF(OR(H206="",D206=""),"",IF(D206&lt;=0,"",IFERROR(H206/D206-1,"")))</f>
        <v/>
      </c>
      <c r="I207" s="15">
        <f>IF(OR(I206="",E206=""),"",IF(E206&lt;=0,"",IFERROR(I206/E206-1,"")))</f>
        <v/>
      </c>
      <c r="V207" s="15">
        <f>IF(OR(V206="",U206=""),"",IF(U206&lt;=0,"",IFERROR(V206/U206-1,"")))</f>
        <v/>
      </c>
      <c r="W207" s="15">
        <f>IF(OR(W206="",V206=""),"",IF(V206&lt;=0,"",IFERROR(W206/V206-1,"")))</f>
        <v/>
      </c>
    </row>
    <row r="208">
      <c r="A208" s="18" t="inlineStr">
        <is>
          <t>부문 · 계</t>
        </is>
      </c>
      <c r="C208" s="20" t="n">
        <v>5270</v>
      </c>
      <c r="D208" s="20" t="n">
        <v>6007</v>
      </c>
      <c r="E208" s="20" t="n">
        <v>6201</v>
      </c>
      <c r="F208" s="20" t="n">
        <v>6525</v>
      </c>
      <c r="G208" s="20" t="n">
        <v>7008</v>
      </c>
      <c r="H208" s="20" t="n">
        <v>6916</v>
      </c>
      <c r="I208" s="20" t="n">
        <v>6702</v>
      </c>
      <c r="V208" s="20" t="n">
        <v>6201</v>
      </c>
      <c r="W208" s="20" t="n">
        <v>6702</v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IF(OR(G208="",C208=""),"",IF(C208&lt;=0,"",IFERROR(G208/C208-1,"")))</f>
        <v/>
      </c>
      <c r="H209" s="15">
        <f>IF(OR(H208="",D208=""),"",IF(D208&lt;=0,"",IFERROR(H208/D208-1,"")))</f>
        <v/>
      </c>
      <c r="I209" s="15">
        <f>IF(OR(I208="",E208=""),"",IF(E208&lt;=0,"",IFERROR(I208/E208-1,"")))</f>
        <v/>
      </c>
      <c r="V209" s="15">
        <f>IF(OR(V208="",U208=""),"",IF(U208&lt;=0,"",IFERROR(V208/U208-1,"")))</f>
        <v/>
      </c>
      <c r="W209" s="15">
        <f>IF(OR(W208="",V208=""),"",IF(V208&lt;=0,"",IFERROR(W208/V208-1,"")))</f>
        <v/>
      </c>
    </row>
    <row r="210">
      <c r="A210" s="18" t="inlineStr">
        <is>
          <t>부문 · 계</t>
        </is>
      </c>
      <c r="C210" s="20" t="n">
        <v>1190</v>
      </c>
      <c r="F210" s="20" t="n">
        <v>1504</v>
      </c>
      <c r="G210" s="20" t="n">
        <v>1642</v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IF(OR(G210="",C210=""),"",IF(C210&lt;=0,"",IFERROR(G210/C210-1,"")))</f>
        <v/>
      </c>
    </row>
    <row r="212">
      <c r="A212" s="18" t="inlineStr">
        <is>
          <t>부문 · 계</t>
        </is>
      </c>
      <c r="E212" s="20" t="n">
        <v>1696</v>
      </c>
      <c r="I212" s="20" t="n">
        <v>2570</v>
      </c>
      <c r="V212" s="20" t="n">
        <v>1696</v>
      </c>
      <c r="W212" s="20" t="n">
        <v>2570</v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I213" s="15">
        <f>IF(OR(I212="",E212=""),"",IF(E212&lt;=0,"",IFERROR(I212/E212-1,"")))</f>
        <v/>
      </c>
      <c r="V213" s="15">
        <f>IF(OR(V212="",U212=""),"",IF(U212&lt;=0,"",IFERROR(V212/U212-1,"")))</f>
        <v/>
      </c>
      <c r="W213" s="15">
        <f>IF(OR(W212="",V212=""),"",IF(V212&lt;=0,"",IFERROR(W212/V212-1,"")))</f>
        <v/>
      </c>
    </row>
    <row r="214">
      <c r="A214" s="18" t="inlineStr">
        <is>
          <t>부문 · 계</t>
        </is>
      </c>
      <c r="C214" s="20" t="n">
        <v>68</v>
      </c>
      <c r="D214" s="20" t="n">
        <v>92</v>
      </c>
      <c r="E214" s="20" t="n">
        <v>143</v>
      </c>
      <c r="F214" s="20" t="n">
        <v>79</v>
      </c>
      <c r="G214" s="20" t="n">
        <v>115</v>
      </c>
      <c r="H214" s="20" t="n">
        <v>121</v>
      </c>
      <c r="I214" s="20" t="n">
        <v>124</v>
      </c>
      <c r="V214" s="20" t="n">
        <v>143</v>
      </c>
      <c r="W214" s="20" t="n">
        <v>124</v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IF(OR(G214="",C214=""),"",IF(C214&lt;=0,"",IFERROR(G214/C214-1,"")))</f>
        <v/>
      </c>
      <c r="H215" s="15">
        <f>IF(OR(H214="",D214=""),"",IF(D214&lt;=0,"",IFERROR(H214/D214-1,"")))</f>
        <v/>
      </c>
      <c r="I215" s="15">
        <f>IF(OR(I214="",E214=""),"",IF(E214&lt;=0,"",IFERROR(I214/E214-1,"")))</f>
        <v/>
      </c>
      <c r="V215" s="15">
        <f>IF(OR(V214="",U214=""),"",IF(U214&lt;=0,"",IFERROR(V214/U214-1,"")))</f>
        <v/>
      </c>
      <c r="W215" s="15">
        <f>IF(OR(W214="",V214=""),"",IF(V214&lt;=0,"",IFERROR(W214/V214-1,"")))</f>
        <v/>
      </c>
    </row>
    <row r="216">
      <c r="A216" s="18" t="inlineStr">
        <is>
          <t>부문 · 계</t>
        </is>
      </c>
      <c r="F216" s="20" t="n">
        <v>6239</v>
      </c>
      <c r="G216" s="20" t="n">
        <v>6387</v>
      </c>
      <c r="H216" s="20" t="n">
        <v>6136</v>
      </c>
      <c r="I216" s="20" t="n">
        <v>6288</v>
      </c>
      <c r="J216" s="20" t="n">
        <v>6937</v>
      </c>
      <c r="K216" s="20" t="n">
        <v>7039</v>
      </c>
      <c r="L216" s="20" t="n">
        <v>8190</v>
      </c>
      <c r="M216" s="20" t="n">
        <v>8341</v>
      </c>
      <c r="N216" s="20" t="n">
        <v>10840</v>
      </c>
      <c r="W216" s="20" t="n">
        <v>6288</v>
      </c>
      <c r="X216" s="20" t="n">
        <v>8341</v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G217" s="15">
        <f>IF(OR(G216="",C216=""),"",IF(C216&lt;=0,"",IFERROR(G216/C216-1,"")))</f>
        <v/>
      </c>
      <c r="H217" s="15">
        <f>IF(OR(H216="",D216=""),"",IF(D216&lt;=0,"",IFERROR(H216/D216-1,"")))</f>
        <v/>
      </c>
      <c r="I217" s="15">
        <f>IF(OR(I216="",E216=""),"",IF(E216&lt;=0,"",IFERROR(I216/E216-1,"")))</f>
        <v/>
      </c>
      <c r="J217" s="15">
        <f>IF(OR(J216="",F216=""),"",IF(F216&lt;=0,"",IFERROR(J216/F216-1,"")))</f>
        <v/>
      </c>
      <c r="K217" s="15">
        <f>IF(OR(K216="",G216=""),"",IF(G216&lt;=0,"",IFERROR(K216/G216-1,"")))</f>
        <v/>
      </c>
      <c r="L217" s="15">
        <f>IF(OR(L216="",H216=""),"",IF(H216&lt;=0,"",IFERROR(L216/H216-1,"")))</f>
        <v/>
      </c>
      <c r="M217" s="15">
        <f>IF(OR(M216="",I216=""),"",IF(I216&lt;=0,"",IFERROR(M216/I216-1,"")))</f>
        <v/>
      </c>
      <c r="N217" s="15">
        <f>IF(OR(N216="",J216=""),"",IF(J216&lt;=0,"",IFERROR(N216/J216-1,"")))</f>
        <v/>
      </c>
      <c r="W217" s="15">
        <f>IF(OR(W216="",V216=""),"",IF(V216&lt;=0,"",IFERROR(W216/V216-1,"")))</f>
        <v/>
      </c>
      <c r="X217" s="15">
        <f>IF(OR(X216="",W216=""),"",IF(W216&lt;=0,"",IFERROR(X216/W216-1,"")))</f>
        <v/>
      </c>
    </row>
    <row r="218">
      <c r="A218" s="18" t="inlineStr">
        <is>
          <t>부문 · 계</t>
        </is>
      </c>
      <c r="F218" s="20" t="n">
        <v>3976</v>
      </c>
      <c r="G218" s="20" t="n">
        <v>4308</v>
      </c>
      <c r="H218" s="20" t="n">
        <v>5049</v>
      </c>
      <c r="I218" s="20" t="n">
        <v>5380</v>
      </c>
      <c r="J218" s="20" t="n">
        <v>4627</v>
      </c>
      <c r="K218" s="20" t="n">
        <v>4704</v>
      </c>
      <c r="L218" s="20" t="n">
        <v>6708</v>
      </c>
      <c r="M218" s="20" t="n">
        <v>7265</v>
      </c>
      <c r="N218" s="20" t="n">
        <v>8416</v>
      </c>
      <c r="W218" s="20" t="n">
        <v>5380</v>
      </c>
      <c r="X218" s="20" t="n">
        <v>7265</v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IF(OR(G218="",C218=""),"",IF(C218&lt;=0,"",IFERROR(G218/C218-1,"")))</f>
        <v/>
      </c>
      <c r="H219" s="15">
        <f>IF(OR(H218="",D218=""),"",IF(D218&lt;=0,"",IFERROR(H218/D218-1,"")))</f>
        <v/>
      </c>
      <c r="I219" s="15">
        <f>IF(OR(I218="",E218=""),"",IF(E218&lt;=0,"",IFERROR(I218/E218-1,"")))</f>
        <v/>
      </c>
      <c r="J219" s="15">
        <f>IF(OR(J218="",F218=""),"",IF(F218&lt;=0,"",IFERROR(J218/F218-1,"")))</f>
        <v/>
      </c>
      <c r="K219" s="15">
        <f>IF(OR(K218="",G218=""),"",IF(G218&lt;=0,"",IFERROR(K218/G218-1,"")))</f>
        <v/>
      </c>
      <c r="L219" s="15">
        <f>IF(OR(L218="",H218=""),"",IF(H218&lt;=0,"",IFERROR(L218/H218-1,"")))</f>
        <v/>
      </c>
      <c r="M219" s="15">
        <f>IF(OR(M218="",I218=""),"",IF(I218&lt;=0,"",IFERROR(M218/I218-1,"")))</f>
        <v/>
      </c>
      <c r="N219" s="15">
        <f>IF(OR(N218="",J218=""),"",IF(J218&lt;=0,"",IFERROR(N218/J218-1,"")))</f>
        <v/>
      </c>
      <c r="W219" s="15">
        <f>IF(OR(W218="",V218=""),"",IF(V218&lt;=0,"",IFERROR(W218/V218-1,"")))</f>
        <v/>
      </c>
      <c r="X219" s="15">
        <f>IF(OR(X218="",W218=""),"",IF(W218&lt;=0,"",IFERROR(X218/W218-1,"")))</f>
        <v/>
      </c>
    </row>
    <row r="220">
      <c r="A220" s="18" t="inlineStr">
        <is>
          <t>부문 · 계</t>
        </is>
      </c>
      <c r="F220" s="20" t="n">
        <v>3387</v>
      </c>
      <c r="G220" s="20" t="n">
        <v>3354</v>
      </c>
      <c r="H220" s="20" t="n">
        <v>3710</v>
      </c>
      <c r="I220" s="20" t="n">
        <v>3296</v>
      </c>
      <c r="J220" s="20" t="n">
        <v>3512</v>
      </c>
      <c r="K220" s="20" t="n">
        <v>3384</v>
      </c>
      <c r="L220" s="20" t="n">
        <v>3668</v>
      </c>
      <c r="M220" s="20" t="n">
        <v>3328</v>
      </c>
      <c r="N220" s="20" t="n">
        <v>3809</v>
      </c>
      <c r="W220" s="20" t="n">
        <v>3296</v>
      </c>
      <c r="X220" s="20" t="n">
        <v>3328</v>
      </c>
    </row>
    <row r="221">
      <c r="A221" s="43" t="inlineStr">
        <is>
          <t>YoY</t>
        </is>
      </c>
      <c r="B221" s="3" t="inlineStr">
        <is>
          <t>전년 같은 분기·전년 대비</t>
        </is>
      </c>
      <c r="G221" s="15">
        <f>IF(OR(G220="",C220=""),"",IF(C220&lt;=0,"",IFERROR(G220/C220-1,"")))</f>
        <v/>
      </c>
      <c r="H221" s="15">
        <f>IF(OR(H220="",D220=""),"",IF(D220&lt;=0,"",IFERROR(H220/D220-1,"")))</f>
        <v/>
      </c>
      <c r="I221" s="15">
        <f>IF(OR(I220="",E220=""),"",IF(E220&lt;=0,"",IFERROR(I220/E220-1,"")))</f>
        <v/>
      </c>
      <c r="J221" s="15">
        <f>IF(OR(J220="",F220=""),"",IF(F220&lt;=0,"",IFERROR(J220/F220-1,"")))</f>
        <v/>
      </c>
      <c r="K221" s="15">
        <f>IF(OR(K220="",G220=""),"",IF(G220&lt;=0,"",IFERROR(K220/G220-1,"")))</f>
        <v/>
      </c>
      <c r="L221" s="15">
        <f>IF(OR(L220="",H220=""),"",IF(H220&lt;=0,"",IFERROR(L220/H220-1,"")))</f>
        <v/>
      </c>
      <c r="M221" s="15">
        <f>IF(OR(M220="",I220=""),"",IF(I220&lt;=0,"",IFERROR(M220/I220-1,"")))</f>
        <v/>
      </c>
      <c r="N221" s="15">
        <f>IF(OR(N220="",J220=""),"",IF(J220&lt;=0,"",IFERROR(N220/J220-1,"")))</f>
        <v/>
      </c>
      <c r="W221" s="15">
        <f>IF(OR(W220="",V220=""),"",IF(V220&lt;=0,"",IFERROR(W220/V220-1,"")))</f>
        <v/>
      </c>
      <c r="X221" s="15">
        <f>IF(OR(X220="",W220=""),"",IF(W220&lt;=0,"",IFERROR(X220/W220-1,"")))</f>
        <v/>
      </c>
    </row>
    <row r="222">
      <c r="A222" s="18" t="inlineStr">
        <is>
          <t>부문 · 계</t>
        </is>
      </c>
      <c r="F222" s="20" t="n">
        <v>3927</v>
      </c>
      <c r="G222" s="20" t="n">
        <v>3852</v>
      </c>
      <c r="H222" s="20" t="n">
        <v>3944</v>
      </c>
      <c r="I222" s="20" t="n">
        <v>4020</v>
      </c>
      <c r="J222" s="20" t="n">
        <v>3969</v>
      </c>
      <c r="K222" s="20" t="n">
        <v>3437</v>
      </c>
      <c r="L222" s="20" t="n">
        <v>4032</v>
      </c>
      <c r="M222" s="20" t="n">
        <v>3744</v>
      </c>
      <c r="N222" s="20" t="n">
        <v>4435</v>
      </c>
      <c r="W222" s="20" t="n">
        <v>4020</v>
      </c>
      <c r="X222" s="20" t="n">
        <v>3744</v>
      </c>
    </row>
    <row r="223">
      <c r="A223" s="43" t="inlineStr">
        <is>
          <t>YoY</t>
        </is>
      </c>
      <c r="B223" s="3" t="inlineStr">
        <is>
          <t>전년 같은 분기·전년 대비</t>
        </is>
      </c>
      <c r="G223" s="15">
        <f>IF(OR(G222="",C222=""),"",IF(C222&lt;=0,"",IFERROR(G222/C222-1,"")))</f>
        <v/>
      </c>
      <c r="H223" s="15">
        <f>IF(OR(H222="",D222=""),"",IF(D222&lt;=0,"",IFERROR(H222/D222-1,"")))</f>
        <v/>
      </c>
      <c r="I223" s="15">
        <f>IF(OR(I222="",E222=""),"",IF(E222&lt;=0,"",IFERROR(I222/E222-1,"")))</f>
        <v/>
      </c>
      <c r="J223" s="15">
        <f>IF(OR(J222="",F222=""),"",IF(F222&lt;=0,"",IFERROR(J222/F222-1,"")))</f>
        <v/>
      </c>
      <c r="K223" s="15">
        <f>IF(OR(K222="",G222=""),"",IF(G222&lt;=0,"",IFERROR(K222/G222-1,"")))</f>
        <v/>
      </c>
      <c r="L223" s="15">
        <f>IF(OR(L222="",H222=""),"",IF(H222&lt;=0,"",IFERROR(L222/H222-1,"")))</f>
        <v/>
      </c>
      <c r="M223" s="15">
        <f>IF(OR(M222="",I222=""),"",IF(I222&lt;=0,"",IFERROR(M222/I222-1,"")))</f>
        <v/>
      </c>
      <c r="N223" s="15">
        <f>IF(OR(N222="",J222=""),"",IF(J222&lt;=0,"",IFERROR(N222/J222-1,"")))</f>
        <v/>
      </c>
      <c r="W223" s="15">
        <f>IF(OR(W222="",V222=""),"",IF(V222&lt;=0,"",IFERROR(W222/V222-1,"")))</f>
        <v/>
      </c>
      <c r="X223" s="15">
        <f>IF(OR(X222="",W222=""),"",IF(W222&lt;=0,"",IFERROR(X222/W222-1,"")))</f>
        <v/>
      </c>
    </row>
    <row r="224">
      <c r="A224" s="9" t="inlineStr">
        <is>
          <t>계</t>
        </is>
      </c>
      <c r="C224" s="12" t="n">
        <v>15316</v>
      </c>
      <c r="D224" s="12" t="n">
        <v>16434</v>
      </c>
      <c r="E224" s="12" t="n">
        <v>17484</v>
      </c>
      <c r="F224" s="12" t="n">
        <v>17531</v>
      </c>
      <c r="G224" s="12" t="n">
        <v>17900</v>
      </c>
      <c r="H224" s="12" t="n">
        <v>18840</v>
      </c>
      <c r="I224" s="12" t="n">
        <v>18984</v>
      </c>
      <c r="J224" s="12" t="n">
        <v>19046</v>
      </c>
      <c r="K224" s="12" t="n">
        <v>18565</v>
      </c>
      <c r="L224" s="12" t="n">
        <v>22598</v>
      </c>
      <c r="M224" s="12" t="n">
        <v>22677</v>
      </c>
      <c r="N224" s="12" t="n">
        <v>27501</v>
      </c>
      <c r="V224" s="12" t="n">
        <v>17484</v>
      </c>
      <c r="W224" s="12" t="n">
        <v>18984</v>
      </c>
      <c r="X224" s="12" t="n">
        <v>22677</v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G225" s="15">
        <f>IF(OR(G224="",C224=""),"",IF(C224&lt;=0,"",IFERROR(G224/C224-1,"")))</f>
        <v/>
      </c>
      <c r="H225" s="15">
        <f>IF(OR(H224="",D224=""),"",IF(D224&lt;=0,"",IFERROR(H224/D224-1,"")))</f>
        <v/>
      </c>
      <c r="I225" s="15">
        <f>IF(OR(I224="",E224=""),"",IF(E224&lt;=0,"",IFERROR(I224/E224-1,"")))</f>
        <v/>
      </c>
      <c r="J225" s="15">
        <f>IF(OR(J224="",F224=""),"",IF(F224&lt;=0,"",IFERROR(J224/F224-1,"")))</f>
        <v/>
      </c>
      <c r="K225" s="15">
        <f>IF(OR(K224="",G224=""),"",IF(G224&lt;=0,"",IFERROR(K224/G224-1,"")))</f>
        <v/>
      </c>
      <c r="L225" s="15">
        <f>IF(OR(L224="",H224=""),"",IF(H224&lt;=0,"",IFERROR(L224/H224-1,"")))</f>
        <v/>
      </c>
      <c r="M225" s="15">
        <f>IF(OR(M224="",I224=""),"",IF(I224&lt;=0,"",IFERROR(M224/I224-1,"")))</f>
        <v/>
      </c>
      <c r="N225" s="15">
        <f>IF(OR(N224="",J224=""),"",IF(J224&lt;=0,"",IFERROR(N224/J224-1,"")))</f>
        <v/>
      </c>
      <c r="V225" s="15">
        <f>IF(OR(V224="",U224=""),"",IF(U224&lt;=0,"",IFERROR(V224/U224-1,"")))</f>
        <v/>
      </c>
      <c r="W225" s="15">
        <f>IF(OR(W224="",V224=""),"",IF(V224&lt;=0,"",IFERROR(W224/V224-1,"")))</f>
        <v/>
      </c>
      <c r="X225" s="15">
        <f>IF(OR(X224="",W224=""),"",IF(W224&lt;=0,"",IFERROR(X224/W224-1,"")))</f>
        <v/>
      </c>
    </row>
    <row r="226">
      <c r="A226" s="18" t="inlineStr">
        <is>
          <t>부문 · 부문 이익(손실)</t>
        </is>
      </c>
      <c r="C226" s="20" t="n">
        <v>392</v>
      </c>
      <c r="D226" s="20" t="n">
        <v>603</v>
      </c>
      <c r="E226" s="20" t="n">
        <v>592</v>
      </c>
      <c r="F226" s="20" t="n">
        <v>418</v>
      </c>
      <c r="G226" s="20" t="n">
        <v>294</v>
      </c>
      <c r="H226" s="20" t="n">
        <v>440</v>
      </c>
      <c r="I226" s="20" t="n">
        <v>395</v>
      </c>
      <c r="V226" s="20" t="n">
        <v>592</v>
      </c>
      <c r="W226" s="20" t="n">
        <v>395</v>
      </c>
    </row>
    <row r="227">
      <c r="A227" s="43" t="inlineStr">
        <is>
          <t>OPM</t>
        </is>
      </c>
      <c r="B227" s="3" t="inlineStr">
        <is>
          <t>영업이익 ÷ 매출</t>
        </is>
      </c>
      <c r="C227" s="15">
        <f>IF(OR(C226="",C202=""),"",IF(C202&lt;=0,"",IFERROR(C226/C202,"")))</f>
        <v/>
      </c>
      <c r="D227" s="15">
        <f>IF(OR(D226="",D202=""),"",IF(D202&lt;=0,"",IFERROR(D226/D202,"")))</f>
        <v/>
      </c>
      <c r="E227" s="15">
        <f>IF(OR(E226="",E202=""),"",IF(E202&lt;=0,"",IFERROR(E226/E202,"")))</f>
        <v/>
      </c>
      <c r="F227" s="15">
        <f>IF(OR(F226="",F202=""),"",IF(F202&lt;=0,"",IFERROR(F226/F202,"")))</f>
        <v/>
      </c>
      <c r="G227" s="15">
        <f>IF(OR(G226="",G202=""),"",IF(G202&lt;=0,"",IFERROR(G226/G202,"")))</f>
        <v/>
      </c>
      <c r="H227" s="15">
        <f>IF(OR(H226="",H202=""),"",IF(H202&lt;=0,"",IFERROR(H226/H202,"")))</f>
        <v/>
      </c>
      <c r="I227" s="15">
        <f>IF(OR(I226="",I202=""),"",IF(I202&lt;=0,"",IFERROR(I226/I202,"")))</f>
        <v/>
      </c>
      <c r="V227" s="15">
        <f>IF(OR(V226="",V202=""),"",IF(V202&lt;=0,"",IFERROR(V226/V202,"")))</f>
        <v/>
      </c>
      <c r="W227" s="15">
        <f>IF(OR(W226="",W202=""),"",IF(W202&lt;=0,"",IFERROR(W226/W202,"")))</f>
        <v/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G228" s="15">
        <f>IF(OR(G226="",C226=""),"",IF(C226&lt;=0,"",IFERROR(G226/C226-1,"")))</f>
        <v/>
      </c>
      <c r="H228" s="15">
        <f>IF(OR(H226="",D226=""),"",IF(D226&lt;=0,"",IFERROR(H226/D226-1,"")))</f>
        <v/>
      </c>
      <c r="I228" s="15">
        <f>IF(OR(I226="",E226=""),"",IF(E226&lt;=0,"",IFERROR(I226/E226-1,"")))</f>
        <v/>
      </c>
      <c r="V228" s="15">
        <f>IF(OR(V226="",U226=""),"",IF(U226&lt;=0,"",IFERROR(V226/U226-1,"")))</f>
        <v/>
      </c>
      <c r="W228" s="15">
        <f>IF(OR(W226="",V226=""),"",IF(V226&lt;=0,"",IFERROR(W226/V226-1,"")))</f>
        <v/>
      </c>
    </row>
    <row r="229">
      <c r="A229" s="18" t="inlineStr">
        <is>
          <t>부문 · 부문 이익(손실)</t>
        </is>
      </c>
      <c r="C229" s="20" t="n">
        <v>100</v>
      </c>
      <c r="D229" s="20" t="n">
        <v>135</v>
      </c>
      <c r="E229" s="20" t="n">
        <v>249</v>
      </c>
      <c r="F229" s="20" t="n">
        <v>221</v>
      </c>
      <c r="G229" s="20" t="n">
        <v>252</v>
      </c>
      <c r="H229" s="20" t="n">
        <v>195</v>
      </c>
      <c r="I229" s="20" t="n">
        <v>105</v>
      </c>
      <c r="V229" s="20" t="n">
        <v>249</v>
      </c>
      <c r="W229" s="20" t="n">
        <v>105</v>
      </c>
    </row>
    <row r="230">
      <c r="A230" s="43" t="inlineStr">
        <is>
          <t>OPM</t>
        </is>
      </c>
      <c r="B230" s="3" t="inlineStr">
        <is>
          <t>영업이익 ÷ 매출</t>
        </is>
      </c>
      <c r="C230" s="15">
        <f>IF(OR(C229="",C204=""),"",IF(C204&lt;=0,"",IFERROR(C229/C204,"")))</f>
        <v/>
      </c>
      <c r="D230" s="15">
        <f>IF(OR(D229="",D204=""),"",IF(D204&lt;=0,"",IFERROR(D229/D204,"")))</f>
        <v/>
      </c>
      <c r="E230" s="15">
        <f>IF(OR(E229="",E204=""),"",IF(E204&lt;=0,"",IFERROR(E229/E204,"")))</f>
        <v/>
      </c>
      <c r="F230" s="15">
        <f>IF(OR(F229="",F204=""),"",IF(F204&lt;=0,"",IFERROR(F229/F204,"")))</f>
        <v/>
      </c>
      <c r="G230" s="15">
        <f>IF(OR(G229="",G204=""),"",IF(G204&lt;=0,"",IFERROR(G229/G204,"")))</f>
        <v/>
      </c>
      <c r="H230" s="15">
        <f>IF(OR(H229="",H204=""),"",IF(H204&lt;=0,"",IFERROR(H229/H204,"")))</f>
        <v/>
      </c>
      <c r="I230" s="15">
        <f>IF(OR(I229="",I204=""),"",IF(I204&lt;=0,"",IFERROR(I229/I204,"")))</f>
        <v/>
      </c>
      <c r="V230" s="15">
        <f>IF(OR(V229="",V204=""),"",IF(V204&lt;=0,"",IFERROR(V229/V204,"")))</f>
        <v/>
      </c>
      <c r="W230" s="15">
        <f>IF(OR(W229="",W204=""),"",IF(W204&lt;=0,"",IFERROR(W229/W204,"")))</f>
        <v/>
      </c>
    </row>
    <row r="231">
      <c r="A231" s="43" t="inlineStr">
        <is>
          <t>YoY</t>
        </is>
      </c>
      <c r="B231" s="3" t="inlineStr">
        <is>
          <t>전년 같은 분기·전년 대비</t>
        </is>
      </c>
      <c r="G231" s="15">
        <f>IF(OR(G229="",C229=""),"",IF(C229&lt;=0,"",IFERROR(G229/C229-1,"")))</f>
        <v/>
      </c>
      <c r="H231" s="15">
        <f>IF(OR(H229="",D229=""),"",IF(D229&lt;=0,"",IFERROR(H229/D229-1,"")))</f>
        <v/>
      </c>
      <c r="I231" s="15">
        <f>IF(OR(I229="",E229=""),"",IF(E229&lt;=0,"",IFERROR(I229/E229-1,"")))</f>
        <v/>
      </c>
      <c r="V231" s="15">
        <f>IF(OR(V229="",U229=""),"",IF(U229&lt;=0,"",IFERROR(V229/U229-1,"")))</f>
        <v/>
      </c>
      <c r="W231" s="15">
        <f>IF(OR(W229="",V229=""),"",IF(V229&lt;=0,"",IFERROR(W229/V229-1,"")))</f>
        <v/>
      </c>
    </row>
    <row r="232">
      <c r="A232" s="18" t="inlineStr">
        <is>
          <t>부문 · 부문 이익(손실)</t>
        </is>
      </c>
      <c r="C232" s="20" t="n">
        <v>-44</v>
      </c>
      <c r="D232" s="20" t="n">
        <v>-53</v>
      </c>
      <c r="E232" s="20" t="n">
        <v>6</v>
      </c>
      <c r="F232" s="20" t="n">
        <v>-77</v>
      </c>
      <c r="G232" s="20" t="n">
        <v>-57</v>
      </c>
      <c r="H232" s="20" t="n">
        <v>-60</v>
      </c>
      <c r="I232" s="20" t="n">
        <v>-25</v>
      </c>
      <c r="V232" s="20" t="n">
        <v>6</v>
      </c>
      <c r="W232" s="20" t="n">
        <v>-25</v>
      </c>
    </row>
    <row r="233">
      <c r="A233" s="43" t="inlineStr">
        <is>
          <t>OPM</t>
        </is>
      </c>
      <c r="B233" s="3" t="inlineStr">
        <is>
          <t>영업이익 ÷ 매출</t>
        </is>
      </c>
      <c r="C233" s="15">
        <f>IF(OR(C232="",C206=""),"",IF(C206&lt;=0,"",IFERROR(C232/C206,"")))</f>
        <v/>
      </c>
      <c r="D233" s="15">
        <f>IF(OR(D232="",D206=""),"",IF(D206&lt;=0,"",IFERROR(D232/D206,"")))</f>
        <v/>
      </c>
      <c r="E233" s="15">
        <f>IF(OR(E232="",E206=""),"",IF(E206&lt;=0,"",IFERROR(E232/E206,"")))</f>
        <v/>
      </c>
      <c r="F233" s="15">
        <f>IF(OR(F232="",F206=""),"",IF(F206&lt;=0,"",IFERROR(F232/F206,"")))</f>
        <v/>
      </c>
      <c r="G233" s="15">
        <f>IF(OR(G232="",G206=""),"",IF(G206&lt;=0,"",IFERROR(G232/G206,"")))</f>
        <v/>
      </c>
      <c r="H233" s="15">
        <f>IF(OR(H232="",H206=""),"",IF(H206&lt;=0,"",IFERROR(H232/H206,"")))</f>
        <v/>
      </c>
      <c r="I233" s="15">
        <f>IF(OR(I232="",I206=""),"",IF(I206&lt;=0,"",IFERROR(I232/I206,"")))</f>
        <v/>
      </c>
      <c r="V233" s="15">
        <f>IF(OR(V232="",V206=""),"",IF(V206&lt;=0,"",IFERROR(V232/V206,"")))</f>
        <v/>
      </c>
      <c r="W233" s="15">
        <f>IF(OR(W232="",W206=""),"",IF(W206&lt;=0,"",IFERROR(W232/W206,"")))</f>
        <v/>
      </c>
    </row>
    <row r="234">
      <c r="A234" s="43" t="inlineStr">
        <is>
          <t>YoY</t>
        </is>
      </c>
      <c r="B234" s="3" t="inlineStr">
        <is>
          <t>전년 같은 분기·전년 대비</t>
        </is>
      </c>
      <c r="G234" s="15">
        <f>IF(OR(G232="",C232=""),"",IF(C232&lt;=0,"",IFERROR(G232/C232-1,"")))</f>
        <v/>
      </c>
      <c r="H234" s="15">
        <f>IF(OR(H232="",D232=""),"",IF(D232&lt;=0,"",IFERROR(H232/D232-1,"")))</f>
        <v/>
      </c>
      <c r="I234" s="15">
        <f>IF(OR(I232="",E232=""),"",IF(E232&lt;=0,"",IFERROR(I232/E232-1,"")))</f>
        <v/>
      </c>
      <c r="V234" s="15">
        <f>IF(OR(V232="",U232=""),"",IF(U232&lt;=0,"",IFERROR(V232/U232-1,"")))</f>
        <v/>
      </c>
      <c r="W234" s="15">
        <f>IF(OR(W232="",V232=""),"",IF(V232&lt;=0,"",IFERROR(W232/V232-1,"")))</f>
        <v/>
      </c>
    </row>
    <row r="235">
      <c r="A235" s="18" t="inlineStr">
        <is>
          <t>부문 · 부문 이익(손실)</t>
        </is>
      </c>
      <c r="C235" s="20" t="n">
        <v>-74</v>
      </c>
      <c r="D235" s="20" t="n">
        <v>536</v>
      </c>
      <c r="E235" s="20" t="n">
        <v>874</v>
      </c>
      <c r="F235" s="20" t="n">
        <v>796</v>
      </c>
      <c r="G235" s="20" t="n">
        <v>1187</v>
      </c>
      <c r="H235" s="20" t="n">
        <v>973</v>
      </c>
      <c r="I235" s="20" t="n">
        <v>1088</v>
      </c>
      <c r="V235" s="20" t="n">
        <v>874</v>
      </c>
      <c r="W235" s="20" t="n">
        <v>1088</v>
      </c>
    </row>
    <row r="236">
      <c r="A236" s="43" t="inlineStr">
        <is>
          <t>OPM</t>
        </is>
      </c>
      <c r="B236" s="3" t="inlineStr">
        <is>
          <t>영업이익 ÷ 매출</t>
        </is>
      </c>
      <c r="C236" s="15">
        <f>IF(OR(C235="",C208=""),"",IF(C208&lt;=0,"",IFERROR(C235/C208,"")))</f>
        <v/>
      </c>
      <c r="D236" s="15">
        <f>IF(OR(D235="",D208=""),"",IF(D208&lt;=0,"",IFERROR(D235/D208,"")))</f>
        <v/>
      </c>
      <c r="E236" s="15">
        <f>IF(OR(E235="",E208=""),"",IF(E208&lt;=0,"",IFERROR(E235/E208,"")))</f>
        <v/>
      </c>
      <c r="F236" s="15">
        <f>IF(OR(F235="",F208=""),"",IF(F208&lt;=0,"",IFERROR(F235/F208,"")))</f>
        <v/>
      </c>
      <c r="G236" s="15">
        <f>IF(OR(G235="",G208=""),"",IF(G208&lt;=0,"",IFERROR(G235/G208,"")))</f>
        <v/>
      </c>
      <c r="H236" s="15">
        <f>IF(OR(H235="",H208=""),"",IF(H208&lt;=0,"",IFERROR(H235/H208,"")))</f>
        <v/>
      </c>
      <c r="I236" s="15">
        <f>IF(OR(I235="",I208=""),"",IF(I208&lt;=0,"",IFERROR(I235/I208,"")))</f>
        <v/>
      </c>
      <c r="V236" s="15">
        <f>IF(OR(V235="",V208=""),"",IF(V208&lt;=0,"",IFERROR(V235/V208,"")))</f>
        <v/>
      </c>
      <c r="W236" s="15">
        <f>IF(OR(W235="",W208=""),"",IF(W208&lt;=0,"",IFERROR(W235/W208,"")))</f>
        <v/>
      </c>
    </row>
    <row r="237">
      <c r="A237" s="43" t="inlineStr">
        <is>
          <t>YoY</t>
        </is>
      </c>
      <c r="B237" s="3" t="inlineStr">
        <is>
          <t>전년 같은 분기·전년 대비</t>
        </is>
      </c>
      <c r="G237" s="15">
        <f>IF(OR(G235="",C235=""),"",IF(C235&lt;=0,"",IFERROR(G235/C235-1,"")))</f>
        <v/>
      </c>
      <c r="H237" s="15">
        <f>IF(OR(H235="",D235=""),"",IF(D235&lt;=0,"",IFERROR(H235/D235-1,"")))</f>
        <v/>
      </c>
      <c r="I237" s="15">
        <f>IF(OR(I235="",E235=""),"",IF(E235&lt;=0,"",IFERROR(I235/E235-1,"")))</f>
        <v/>
      </c>
      <c r="V237" s="15">
        <f>IF(OR(V235="",U235=""),"",IF(U235&lt;=0,"",IFERROR(V235/U235-1,"")))</f>
        <v/>
      </c>
      <c r="W237" s="15">
        <f>IF(OR(W235="",V235=""),"",IF(V235&lt;=0,"",IFERROR(W235/V235-1,"")))</f>
        <v/>
      </c>
    </row>
    <row r="238">
      <c r="A238" s="18" t="inlineStr">
        <is>
          <t>부문 · Operating Income</t>
        </is>
      </c>
      <c r="C238" s="20" t="n">
        <v>-24</v>
      </c>
      <c r="F238" s="20" t="n">
        <v>-129</v>
      </c>
      <c r="G238" s="20" t="n">
        <v>-85</v>
      </c>
    </row>
    <row r="239">
      <c r="A239" s="43" t="inlineStr">
        <is>
          <t>OPM</t>
        </is>
      </c>
      <c r="B239" s="3" t="inlineStr">
        <is>
          <t>영업이익 ÷ 매출</t>
        </is>
      </c>
      <c r="C239" s="15">
        <f>IF(OR(C238="",C210=""),"",IF(C210&lt;=0,"",IFERROR(C238/C210,"")))</f>
        <v/>
      </c>
      <c r="F239" s="15">
        <f>IF(OR(F238="",F210=""),"",IF(F210&lt;=0,"",IFERROR(F238/F210,"")))</f>
        <v/>
      </c>
      <c r="G239" s="15">
        <f>IF(OR(G238="",G210=""),"",IF(G210&lt;=0,"",IFERROR(G238/G210,"")))</f>
        <v/>
      </c>
    </row>
    <row r="240">
      <c r="A240" s="43" t="inlineStr">
        <is>
          <t>YoY</t>
        </is>
      </c>
      <c r="B240" s="3" t="inlineStr">
        <is>
          <t>전년 같은 분기·전년 대비</t>
        </is>
      </c>
      <c r="G240" s="15">
        <f>IF(OR(G238="",C238=""),"",IF(C238&lt;=0,"",IFERROR(G238/C238-1,"")))</f>
        <v/>
      </c>
    </row>
    <row r="241">
      <c r="A241" s="18" t="inlineStr">
        <is>
          <t>부문 · 부문 이익(손실)</t>
        </is>
      </c>
      <c r="E241" s="20" t="n">
        <v>50</v>
      </c>
      <c r="I241" s="20" t="n">
        <v>207</v>
      </c>
      <c r="V241" s="20" t="n">
        <v>50</v>
      </c>
      <c r="W241" s="20" t="n">
        <v>207</v>
      </c>
    </row>
    <row r="242">
      <c r="A242" s="43" t="inlineStr">
        <is>
          <t>OPM</t>
        </is>
      </c>
      <c r="B242" s="3" t="inlineStr">
        <is>
          <t>영업이익 ÷ 매출</t>
        </is>
      </c>
      <c r="E242" s="15">
        <f>IF(OR(E241="",E212=""),"",IF(E212&lt;=0,"",IFERROR(E241/E212,"")))</f>
        <v/>
      </c>
      <c r="I242" s="15">
        <f>IF(OR(I241="",I212=""),"",IF(I212&lt;=0,"",IFERROR(I241/I212,"")))</f>
        <v/>
      </c>
      <c r="V242" s="15">
        <f>IF(OR(V241="",V212=""),"",IF(V212&lt;=0,"",IFERROR(V241/V212,"")))</f>
        <v/>
      </c>
      <c r="W242" s="15">
        <f>IF(OR(W241="",W212=""),"",IF(W212&lt;=0,"",IFERROR(W241/W212,"")))</f>
        <v/>
      </c>
    </row>
    <row r="243">
      <c r="A243" s="43" t="inlineStr">
        <is>
          <t>YoY</t>
        </is>
      </c>
      <c r="B243" s="3" t="inlineStr">
        <is>
          <t>전년 같은 분기·전년 대비</t>
        </is>
      </c>
      <c r="I243" s="15">
        <f>IF(OR(I241="",E241=""),"",IF(E241&lt;=0,"",IFERROR(I241/E241-1,"")))</f>
        <v/>
      </c>
      <c r="V243" s="15">
        <f>IF(OR(V241="",U241=""),"",IF(U241&lt;=0,"",IFERROR(V241/U241-1,"")))</f>
        <v/>
      </c>
      <c r="W243" s="15">
        <f>IF(OR(W241="",V241=""),"",IF(V241&lt;=0,"",IFERROR(W241/V241-1,"")))</f>
        <v/>
      </c>
    </row>
    <row r="244">
      <c r="A244" s="18" t="inlineStr">
        <is>
          <t>부문 · 부문 이익(손실)</t>
        </is>
      </c>
      <c r="C244" s="20" t="n">
        <v>-229</v>
      </c>
      <c r="D244" s="20" t="n">
        <v>-209</v>
      </c>
      <c r="E244" s="20" t="n">
        <v>-223</v>
      </c>
      <c r="F244" s="20" t="n">
        <v>-171</v>
      </c>
      <c r="G244" s="20" t="n">
        <v>-175</v>
      </c>
      <c r="H244" s="20" t="n">
        <v>-173</v>
      </c>
      <c r="I244" s="20" t="n">
        <v>-222</v>
      </c>
      <c r="V244" s="20" t="n">
        <v>-223</v>
      </c>
      <c r="W244" s="20" t="n">
        <v>-222</v>
      </c>
    </row>
    <row r="245">
      <c r="A245" s="43" t="inlineStr">
        <is>
          <t>OPM</t>
        </is>
      </c>
      <c r="B245" s="3" t="inlineStr">
        <is>
          <t>영업이익 ÷ 매출</t>
        </is>
      </c>
      <c r="C245" s="15">
        <f>IF(OR(C244="",C214=""),"",IF(C214&lt;=0,"",IFERROR(C244/C214,"")))</f>
        <v/>
      </c>
      <c r="D245" s="15">
        <f>IF(OR(D244="",D214=""),"",IF(D214&lt;=0,"",IFERROR(D244/D214,"")))</f>
        <v/>
      </c>
      <c r="E245" s="15">
        <f>IF(OR(E244="",E214=""),"",IF(E214&lt;=0,"",IFERROR(E244/E214,"")))</f>
        <v/>
      </c>
      <c r="F245" s="15">
        <f>IF(OR(F244="",F214=""),"",IF(F214&lt;=0,"",IFERROR(F244/F214,"")))</f>
        <v/>
      </c>
      <c r="G245" s="15">
        <f>IF(OR(G244="",G214=""),"",IF(G214&lt;=0,"",IFERROR(G244/G214,"")))</f>
        <v/>
      </c>
      <c r="H245" s="15">
        <f>IF(OR(H244="",H214=""),"",IF(H214&lt;=0,"",IFERROR(H244/H214,"")))</f>
        <v/>
      </c>
      <c r="I245" s="15">
        <f>IF(OR(I244="",I214=""),"",IF(I214&lt;=0,"",IFERROR(I244/I214,"")))</f>
        <v/>
      </c>
      <c r="V245" s="15">
        <f>IF(OR(V244="",V214=""),"",IF(V214&lt;=0,"",IFERROR(V244/V214,"")))</f>
        <v/>
      </c>
      <c r="W245" s="15">
        <f>IF(OR(W244="",W214=""),"",IF(W214&lt;=0,"",IFERROR(W244/W214,"")))</f>
        <v/>
      </c>
    </row>
    <row r="246">
      <c r="A246" s="43" t="inlineStr">
        <is>
          <t>YoY</t>
        </is>
      </c>
      <c r="B246" s="3" t="inlineStr">
        <is>
          <t>전년 같은 분기·전년 대비</t>
        </is>
      </c>
      <c r="G246" s="15">
        <f>IF(OR(G244="",C244=""),"",IF(C244&lt;=0,"",IFERROR(G244/C244-1,"")))</f>
        <v/>
      </c>
      <c r="H246" s="15">
        <f>IF(OR(H244="",D244=""),"",IF(D244&lt;=0,"",IFERROR(H244/D244-1,"")))</f>
        <v/>
      </c>
      <c r="I246" s="15">
        <f>IF(OR(I244="",E244=""),"",IF(E244&lt;=0,"",IFERROR(I244/E244-1,"")))</f>
        <v/>
      </c>
      <c r="V246" s="15">
        <f>IF(OR(V244="",U244=""),"",IF(U244&lt;=0,"",IFERROR(V244/U244-1,"")))</f>
        <v/>
      </c>
      <c r="W246" s="15">
        <f>IF(OR(W244="",V244=""),"",IF(V244&lt;=0,"",IFERROR(W244/V244-1,"")))</f>
        <v/>
      </c>
    </row>
    <row r="247">
      <c r="A247" s="18" t="inlineStr">
        <is>
          <t>부문 · Operating Income</t>
        </is>
      </c>
      <c r="F247" s="20" t="n">
        <v>1075</v>
      </c>
      <c r="G247" s="20" t="n">
        <v>1380</v>
      </c>
      <c r="H247" s="20" t="n">
        <v>1102</v>
      </c>
      <c r="I247" s="20" t="n">
        <v>1298</v>
      </c>
      <c r="J247" s="20" t="n">
        <v>1447</v>
      </c>
      <c r="K247" s="20" t="n">
        <v>1347</v>
      </c>
      <c r="L247" s="20" t="n">
        <v>1767</v>
      </c>
      <c r="M247" s="20" t="n">
        <v>1642</v>
      </c>
      <c r="N247" s="20" t="n">
        <v>2668</v>
      </c>
      <c r="W247" s="20" t="n">
        <v>1298</v>
      </c>
      <c r="X247" s="20" t="n">
        <v>1642</v>
      </c>
    </row>
    <row r="248">
      <c r="A248" s="43" t="inlineStr">
        <is>
          <t>OPM</t>
        </is>
      </c>
      <c r="B248" s="3" t="inlineStr">
        <is>
          <t>영업이익 ÷ 매출</t>
        </is>
      </c>
      <c r="F248" s="15">
        <f>IF(OR(F247="",F216=""),"",IF(F216&lt;=0,"",IFERROR(F247/F216,"")))</f>
        <v/>
      </c>
      <c r="G248" s="15">
        <f>IF(OR(G247="",G216=""),"",IF(G216&lt;=0,"",IFERROR(G247/G216,"")))</f>
        <v/>
      </c>
      <c r="H248" s="15">
        <f>IF(OR(H247="",H216=""),"",IF(H216&lt;=0,"",IFERROR(H247/H216,"")))</f>
        <v/>
      </c>
      <c r="I248" s="15">
        <f>IF(OR(I247="",I216=""),"",IF(I216&lt;=0,"",IFERROR(I247/I216,"")))</f>
        <v/>
      </c>
      <c r="J248" s="15">
        <f>IF(OR(J247="",J216=""),"",IF(J216&lt;=0,"",IFERROR(J247/J216,"")))</f>
        <v/>
      </c>
      <c r="K248" s="15">
        <f>IF(OR(K247="",K216=""),"",IF(K216&lt;=0,"",IFERROR(K247/K216,"")))</f>
        <v/>
      </c>
      <c r="L248" s="15">
        <f>IF(OR(L247="",L216=""),"",IF(L216&lt;=0,"",IFERROR(L247/L216,"")))</f>
        <v/>
      </c>
      <c r="M248" s="15">
        <f>IF(OR(M247="",M216=""),"",IF(M216&lt;=0,"",IFERROR(M247/M216,"")))</f>
        <v/>
      </c>
      <c r="N248" s="15">
        <f>IF(OR(N247="",N216=""),"",IF(N216&lt;=0,"",IFERROR(N247/N216,"")))</f>
        <v/>
      </c>
      <c r="W248" s="15">
        <f>IF(OR(W247="",W216=""),"",IF(W216&lt;=0,"",IFERROR(W247/W216,"")))</f>
        <v/>
      </c>
      <c r="X248" s="15">
        <f>IF(OR(X247="",X216=""),"",IF(X216&lt;=0,"",IFERROR(X247/X216,"")))</f>
        <v/>
      </c>
    </row>
    <row r="249">
      <c r="A249" s="43" t="inlineStr">
        <is>
          <t>YoY</t>
        </is>
      </c>
      <c r="B249" s="3" t="inlineStr">
        <is>
          <t>전년 같은 분기·전년 대비</t>
        </is>
      </c>
      <c r="G249" s="15">
        <f>IF(OR(G247="",C247=""),"",IF(C247&lt;=0,"",IFERROR(G247/C247-1,"")))</f>
        <v/>
      </c>
      <c r="H249" s="15">
        <f>IF(OR(H247="",D247=""),"",IF(D247&lt;=0,"",IFERROR(H247/D247-1,"")))</f>
        <v/>
      </c>
      <c r="I249" s="15">
        <f>IF(OR(I247="",E247=""),"",IF(E247&lt;=0,"",IFERROR(I247/E247-1,"")))</f>
        <v/>
      </c>
      <c r="J249" s="15">
        <f>IF(OR(J247="",F247=""),"",IF(F247&lt;=0,"",IFERROR(J247/F247-1,"")))</f>
        <v/>
      </c>
      <c r="K249" s="15">
        <f>IF(OR(K247="",G247=""),"",IF(G247&lt;=0,"",IFERROR(K247/G247-1,"")))</f>
        <v/>
      </c>
      <c r="L249" s="15">
        <f>IF(OR(L247="",H247=""),"",IF(H247&lt;=0,"",IFERROR(L247/H247-1,"")))</f>
        <v/>
      </c>
      <c r="M249" s="15">
        <f>IF(OR(M247="",I247=""),"",IF(I247&lt;=0,"",IFERROR(M247/I247-1,"")))</f>
        <v/>
      </c>
      <c r="N249" s="15">
        <f>IF(OR(N247="",J247=""),"",IF(J247&lt;=0,"",IFERROR(N247/J247-1,"")))</f>
        <v/>
      </c>
      <c r="W249" s="15">
        <f>IF(OR(W247="",V247=""),"",IF(V247&lt;=0,"",IFERROR(W247/V247-1,"")))</f>
        <v/>
      </c>
      <c r="X249" s="15">
        <f>IF(OR(X247="",W247=""),"",IF(W247&lt;=0,"",IFERROR(X247/W247-1,"")))</f>
        <v/>
      </c>
    </row>
    <row r="250">
      <c r="A250" s="18" t="inlineStr">
        <is>
          <t>부문 · Operating Income</t>
        </is>
      </c>
      <c r="F250" s="20" t="n">
        <v>-124</v>
      </c>
      <c r="G250" s="20" t="n">
        <v>-77</v>
      </c>
      <c r="H250" s="20" t="n">
        <v>-12</v>
      </c>
      <c r="I250" s="20" t="n">
        <v>116</v>
      </c>
      <c r="J250" s="20" t="n">
        <v>-73</v>
      </c>
      <c r="K250" s="20" t="n">
        <v>727</v>
      </c>
      <c r="L250" s="20" t="n">
        <v>1119</v>
      </c>
      <c r="M250" s="20" t="n">
        <v>1369</v>
      </c>
      <c r="N250" s="20" t="n">
        <v>1734</v>
      </c>
      <c r="W250" s="20" t="n">
        <v>116</v>
      </c>
      <c r="X250" s="20" t="n">
        <v>1369</v>
      </c>
    </row>
    <row r="251">
      <c r="A251" s="43" t="inlineStr">
        <is>
          <t>OPM</t>
        </is>
      </c>
      <c r="B251" s="3" t="inlineStr">
        <is>
          <t>영업이익 ÷ 매출</t>
        </is>
      </c>
      <c r="F251" s="15">
        <f>IF(OR(F250="",F218=""),"",IF(F218&lt;=0,"",IFERROR(F250/F218,"")))</f>
        <v/>
      </c>
      <c r="G251" s="15">
        <f>IF(OR(G250="",G218=""),"",IF(G218&lt;=0,"",IFERROR(G250/G218,"")))</f>
        <v/>
      </c>
      <c r="H251" s="15">
        <f>IF(OR(H250="",H218=""),"",IF(H218&lt;=0,"",IFERROR(H250/H218,"")))</f>
        <v/>
      </c>
      <c r="I251" s="15">
        <f>IF(OR(I250="",I218=""),"",IF(I218&lt;=0,"",IFERROR(I250/I218,"")))</f>
        <v/>
      </c>
      <c r="J251" s="15">
        <f>IF(OR(J250="",J218=""),"",IF(J218&lt;=0,"",IFERROR(J250/J218,"")))</f>
        <v/>
      </c>
      <c r="K251" s="15">
        <f>IF(OR(K250="",K218=""),"",IF(K218&lt;=0,"",IFERROR(K250/K218,"")))</f>
        <v/>
      </c>
      <c r="L251" s="15">
        <f>IF(OR(L250="",L218=""),"",IF(L218&lt;=0,"",IFERROR(L250/L218,"")))</f>
        <v/>
      </c>
      <c r="M251" s="15">
        <f>IF(OR(M250="",M218=""),"",IF(M218&lt;=0,"",IFERROR(M250/M218,"")))</f>
        <v/>
      </c>
      <c r="N251" s="15">
        <f>IF(OR(N250="",N218=""),"",IF(N218&lt;=0,"",IFERROR(N250/N218,"")))</f>
        <v/>
      </c>
      <c r="W251" s="15">
        <f>IF(OR(W250="",W218=""),"",IF(W218&lt;=0,"",IFERROR(W250/W218,"")))</f>
        <v/>
      </c>
      <c r="X251" s="15">
        <f>IF(OR(X250="",X218=""),"",IF(X218&lt;=0,"",IFERROR(X250/X218,"")))</f>
        <v/>
      </c>
    </row>
    <row r="252">
      <c r="A252" s="43" t="inlineStr">
        <is>
          <t>YoY</t>
        </is>
      </c>
      <c r="B252" s="3" t="inlineStr">
        <is>
          <t>전년 같은 분기·전년 대비</t>
        </is>
      </c>
      <c r="G252" s="15">
        <f>IF(OR(G250="",C250=""),"",IF(C250&lt;=0,"",IFERROR(G250/C250-1,"")))</f>
        <v/>
      </c>
      <c r="H252" s="15">
        <f>IF(OR(H250="",D250=""),"",IF(D250&lt;=0,"",IFERROR(H250/D250-1,"")))</f>
        <v/>
      </c>
      <c r="I252" s="15">
        <f>IF(OR(I250="",E250=""),"",IF(E250&lt;=0,"",IFERROR(I250/E250-1,"")))</f>
        <v/>
      </c>
      <c r="J252" s="15">
        <f>IF(OR(J250="",F250=""),"",IF(F250&lt;=0,"",IFERROR(J250/F250-1,"")))</f>
        <v/>
      </c>
      <c r="K252" s="15">
        <f>IF(OR(K250="",G250=""),"",IF(G250&lt;=0,"",IFERROR(K250/G250-1,"")))</f>
        <v/>
      </c>
      <c r="L252" s="15">
        <f>IF(OR(L250="",H250=""),"",IF(H250&lt;=0,"",IFERROR(L250/H250-1,"")))</f>
        <v/>
      </c>
      <c r="M252" s="15">
        <f>IF(OR(M250="",I250=""),"",IF(I250&lt;=0,"",IFERROR(M250/I250-1,"")))</f>
        <v/>
      </c>
      <c r="N252" s="15">
        <f>IF(OR(N250="",J250=""),"",IF(J250&lt;=0,"",IFERROR(N250/J250-1,"")))</f>
        <v/>
      </c>
      <c r="W252" s="15">
        <f>IF(OR(W250="",V250=""),"",IF(V250&lt;=0,"",IFERROR(W250/V250-1,"")))</f>
        <v/>
      </c>
      <c r="X252" s="15">
        <f>IF(OR(X250="",W250=""),"",IF(W250&lt;=0,"",IFERROR(X250/W250-1,"")))</f>
        <v/>
      </c>
    </row>
    <row r="253">
      <c r="A253" s="18" t="inlineStr">
        <is>
          <t>부문 · Operating Income</t>
        </is>
      </c>
      <c r="F253" s="20" t="n">
        <v>96</v>
      </c>
      <c r="G253" s="20" t="n">
        <v>103</v>
      </c>
      <c r="H253" s="20" t="n">
        <v>102</v>
      </c>
      <c r="I253" s="20" t="n">
        <v>-10</v>
      </c>
      <c r="J253" s="20" t="n">
        <v>226</v>
      </c>
      <c r="K253" s="20" t="n">
        <v>60</v>
      </c>
      <c r="L253" s="20" t="n">
        <v>230</v>
      </c>
      <c r="M253" s="20" t="n">
        <v>83</v>
      </c>
      <c r="N253" s="20" t="n">
        <v>441</v>
      </c>
      <c r="W253" s="20" t="n">
        <v>-10</v>
      </c>
      <c r="X253" s="20" t="n">
        <v>83</v>
      </c>
    </row>
    <row r="254">
      <c r="A254" s="43" t="inlineStr">
        <is>
          <t>OPM</t>
        </is>
      </c>
      <c r="B254" s="3" t="inlineStr">
        <is>
          <t>영업이익 ÷ 매출</t>
        </is>
      </c>
      <c r="F254" s="15">
        <f>IF(OR(F253="",F220=""),"",IF(F220&lt;=0,"",IFERROR(F253/F220,"")))</f>
        <v/>
      </c>
      <c r="G254" s="15">
        <f>IF(OR(G253="",G220=""),"",IF(G220&lt;=0,"",IFERROR(G253/G220,"")))</f>
        <v/>
      </c>
      <c r="H254" s="15">
        <f>IF(OR(H253="",H220=""),"",IF(H220&lt;=0,"",IFERROR(H253/H220,"")))</f>
        <v/>
      </c>
      <c r="I254" s="15">
        <f>IF(OR(I253="",I220=""),"",IF(I220&lt;=0,"",IFERROR(I253/I220,"")))</f>
        <v/>
      </c>
      <c r="J254" s="15">
        <f>IF(OR(J253="",J220=""),"",IF(J220&lt;=0,"",IFERROR(J253/J220,"")))</f>
        <v/>
      </c>
      <c r="K254" s="15">
        <f>IF(OR(K253="",K220=""),"",IF(K220&lt;=0,"",IFERROR(K253/K220,"")))</f>
        <v/>
      </c>
      <c r="L254" s="15">
        <f>IF(OR(L253="",L220=""),"",IF(L220&lt;=0,"",IFERROR(L253/L220,"")))</f>
        <v/>
      </c>
      <c r="M254" s="15">
        <f>IF(OR(M253="",M220=""),"",IF(M220&lt;=0,"",IFERROR(M253/M220,"")))</f>
        <v/>
      </c>
      <c r="N254" s="15">
        <f>IF(OR(N253="",N220=""),"",IF(N220&lt;=0,"",IFERROR(N253/N220,"")))</f>
        <v/>
      </c>
      <c r="W254" s="15">
        <f>IF(OR(W253="",W220=""),"",IF(W220&lt;=0,"",IFERROR(W253/W220,"")))</f>
        <v/>
      </c>
      <c r="X254" s="15">
        <f>IF(OR(X253="",X220=""),"",IF(X220&lt;=0,"",IFERROR(X253/X220,"")))</f>
        <v/>
      </c>
    </row>
    <row r="255">
      <c r="A255" s="43" t="inlineStr">
        <is>
          <t>YoY</t>
        </is>
      </c>
      <c r="B255" s="3" t="inlineStr">
        <is>
          <t>전년 같은 분기·전년 대비</t>
        </is>
      </c>
      <c r="G255" s="15">
        <f>IF(OR(G253="",C253=""),"",IF(C253&lt;=0,"",IFERROR(G253/C253-1,"")))</f>
        <v/>
      </c>
      <c r="H255" s="15">
        <f>IF(OR(H253="",D253=""),"",IF(D253&lt;=0,"",IFERROR(H253/D253-1,"")))</f>
        <v/>
      </c>
      <c r="I255" s="15">
        <f>IF(OR(I253="",E253=""),"",IF(E253&lt;=0,"",IFERROR(I253/E253-1,"")))</f>
        <v/>
      </c>
      <c r="J255" s="15">
        <f>IF(OR(J253="",F253=""),"",IF(F253&lt;=0,"",IFERROR(J253/F253-1,"")))</f>
        <v/>
      </c>
      <c r="K255" s="15">
        <f>IF(OR(K253="",G253=""),"",IF(G253&lt;=0,"",IFERROR(K253/G253-1,"")))</f>
        <v/>
      </c>
      <c r="L255" s="15">
        <f>IF(OR(L253="",H253=""),"",IF(H253&lt;=0,"",IFERROR(L253/H253-1,"")))</f>
        <v/>
      </c>
      <c r="M255" s="15">
        <f>IF(OR(M253="",I253=""),"",IF(I253&lt;=0,"",IFERROR(M253/I253-1,"")))</f>
        <v/>
      </c>
      <c r="N255" s="15">
        <f>IF(OR(N253="",J253=""),"",IF(J253&lt;=0,"",IFERROR(N253/J253-1,"")))</f>
        <v/>
      </c>
      <c r="W255" s="15">
        <f>IF(OR(W253="",V253=""),"",IF(V253&lt;=0,"",IFERROR(W253/V253-1,"")))</f>
        <v/>
      </c>
      <c r="X255" s="15">
        <f>IF(OR(X253="",W253=""),"",IF(W253&lt;=0,"",IFERROR(X253/W253-1,"")))</f>
        <v/>
      </c>
    </row>
    <row r="256">
      <c r="A256" s="18" t="inlineStr">
        <is>
          <t>부문 · Operating Income</t>
        </is>
      </c>
      <c r="F256" s="20" t="n">
        <v>11</v>
      </c>
      <c r="G256" s="20" t="n">
        <v>10</v>
      </c>
      <c r="H256" s="20" t="n">
        <v>136</v>
      </c>
      <c r="I256" s="20" t="n">
        <v>145</v>
      </c>
      <c r="J256" s="20" t="n">
        <v>122</v>
      </c>
      <c r="K256" s="20" t="n">
        <v>10</v>
      </c>
      <c r="L256" s="20" t="n">
        <v>76</v>
      </c>
      <c r="M256" s="20" t="n">
        <v>-46</v>
      </c>
      <c r="N256" s="20" t="n">
        <v>272</v>
      </c>
      <c r="W256" s="20" t="n">
        <v>145</v>
      </c>
      <c r="X256" s="20" t="n">
        <v>-46</v>
      </c>
    </row>
    <row r="257">
      <c r="A257" s="43" t="inlineStr">
        <is>
          <t>OPM</t>
        </is>
      </c>
      <c r="B257" s="3" t="inlineStr">
        <is>
          <t>영업이익 ÷ 매출</t>
        </is>
      </c>
      <c r="F257" s="15">
        <f>IF(OR(F256="",F222=""),"",IF(F222&lt;=0,"",IFERROR(F256/F222,"")))</f>
        <v/>
      </c>
      <c r="G257" s="15">
        <f>IF(OR(G256="",G222=""),"",IF(G222&lt;=0,"",IFERROR(G256/G222,"")))</f>
        <v/>
      </c>
      <c r="H257" s="15">
        <f>IF(OR(H256="",H222=""),"",IF(H222&lt;=0,"",IFERROR(H256/H222,"")))</f>
        <v/>
      </c>
      <c r="I257" s="15">
        <f>IF(OR(I256="",I222=""),"",IF(I222&lt;=0,"",IFERROR(I256/I222,"")))</f>
        <v/>
      </c>
      <c r="J257" s="15">
        <f>IF(OR(J256="",J222=""),"",IF(J222&lt;=0,"",IFERROR(J256/J222,"")))</f>
        <v/>
      </c>
      <c r="K257" s="15">
        <f>IF(OR(K256="",K222=""),"",IF(K222&lt;=0,"",IFERROR(K256/K222,"")))</f>
        <v/>
      </c>
      <c r="L257" s="15">
        <f>IF(OR(L256="",L222=""),"",IF(L222&lt;=0,"",IFERROR(L256/L222,"")))</f>
        <v/>
      </c>
      <c r="M257" s="15">
        <f>IF(OR(M256="",M222=""),"",IF(M222&lt;=0,"",IFERROR(M256/M222,"")))</f>
        <v/>
      </c>
      <c r="N257" s="15">
        <f>IF(OR(N256="",N222=""),"",IF(N222&lt;=0,"",IFERROR(N256/N222,"")))</f>
        <v/>
      </c>
      <c r="W257" s="15">
        <f>IF(OR(W256="",W222=""),"",IF(W222&lt;=0,"",IFERROR(W256/W222,"")))</f>
        <v/>
      </c>
      <c r="X257" s="15">
        <f>IF(OR(X256="",X222=""),"",IF(X222&lt;=0,"",IFERROR(X256/X222,"")))</f>
        <v/>
      </c>
    </row>
    <row r="258">
      <c r="A258" s="43" t="inlineStr">
        <is>
          <t>YoY</t>
        </is>
      </c>
      <c r="B258" s="3" t="inlineStr">
        <is>
          <t>전년 같은 분기·전년 대비</t>
        </is>
      </c>
      <c r="G258" s="15">
        <f>IF(OR(G256="",C256=""),"",IF(C256&lt;=0,"",IFERROR(G256/C256-1,"")))</f>
        <v/>
      </c>
      <c r="H258" s="15">
        <f>IF(OR(H256="",D256=""),"",IF(D256&lt;=0,"",IFERROR(H256/D256-1,"")))</f>
        <v/>
      </c>
      <c r="I258" s="15">
        <f>IF(OR(I256="",E256=""),"",IF(E256&lt;=0,"",IFERROR(I256/E256-1,"")))</f>
        <v/>
      </c>
      <c r="J258" s="15">
        <f>IF(OR(J256="",F256=""),"",IF(F256&lt;=0,"",IFERROR(J256/F256-1,"")))</f>
        <v/>
      </c>
      <c r="K258" s="15">
        <f>IF(OR(K256="",G256=""),"",IF(G256&lt;=0,"",IFERROR(K256/G256-1,"")))</f>
        <v/>
      </c>
      <c r="L258" s="15">
        <f>IF(OR(L256="",H256=""),"",IF(H256&lt;=0,"",IFERROR(L256/H256-1,"")))</f>
        <v/>
      </c>
      <c r="M258" s="15">
        <f>IF(OR(M256="",I256=""),"",IF(I256&lt;=0,"",IFERROR(M256/I256-1,"")))</f>
        <v/>
      </c>
      <c r="N258" s="15">
        <f>IF(OR(N256="",J256=""),"",IF(J256&lt;=0,"",IFERROR(N256/J256-1,"")))</f>
        <v/>
      </c>
      <c r="W258" s="15">
        <f>IF(OR(W256="",V256=""),"",IF(V256&lt;=0,"",IFERROR(W256/V256-1,"")))</f>
        <v/>
      </c>
      <c r="X258" s="15">
        <f>IF(OR(X256="",W256=""),"",IF(W256&lt;=0,"",IFERROR(X256/W256-1,"")))</f>
        <v/>
      </c>
    </row>
    <row r="259">
      <c r="A259" s="9" t="inlineStr">
        <is>
          <t>Operating Income</t>
        </is>
      </c>
      <c r="C259" s="12" t="n">
        <v>123</v>
      </c>
      <c r="D259" s="12" t="n">
        <v>978</v>
      </c>
      <c r="E259" s="12" t="n">
        <v>1548</v>
      </c>
      <c r="F259" s="12" t="n">
        <v>1058</v>
      </c>
      <c r="G259" s="12" t="n">
        <v>1416</v>
      </c>
      <c r="H259" s="12" t="n">
        <v>1328</v>
      </c>
      <c r="I259" s="12" t="n">
        <v>1549</v>
      </c>
      <c r="J259" s="12" t="n">
        <v>1723</v>
      </c>
      <c r="K259" s="12" t="n">
        <v>2145</v>
      </c>
      <c r="L259" s="12" t="n">
        <v>3191</v>
      </c>
      <c r="M259" s="12" t="n">
        <v>3048</v>
      </c>
      <c r="N259" s="12" t="n">
        <v>5117</v>
      </c>
      <c r="V259" s="12" t="n">
        <v>1548</v>
      </c>
      <c r="W259" s="12" t="n">
        <v>1549</v>
      </c>
      <c r="X259" s="12" t="n">
        <v>3048</v>
      </c>
    </row>
    <row r="260">
      <c r="A260" s="43" t="inlineStr">
        <is>
          <t>OPM</t>
        </is>
      </c>
      <c r="B260" s="3" t="inlineStr">
        <is>
          <t>영업이익 ÷ 매출</t>
        </is>
      </c>
      <c r="C260" s="15">
        <f>IF(OR(C259="",C188=""),"",IF(C188&lt;=0,"",IFERROR(C259/C188,"")))</f>
        <v/>
      </c>
      <c r="D260" s="15">
        <f>IF(OR(D259="",D188=""),"",IF(D188&lt;=0,"",IFERROR(D259/D188,"")))</f>
        <v/>
      </c>
      <c r="E260" s="15">
        <f>IF(OR(E259="",E188=""),"",IF(E188&lt;=0,"",IFERROR(E259/E188,"")))</f>
        <v/>
      </c>
      <c r="F260" s="15">
        <f>IF(OR(F259="",F188=""),"",IF(F188&lt;=0,"",IFERROR(F259/F188,"")))</f>
        <v/>
      </c>
      <c r="G260" s="15">
        <f>IF(OR(G259="",G188=""),"",IF(G188&lt;=0,"",IFERROR(G259/G188,"")))</f>
        <v/>
      </c>
      <c r="H260" s="15">
        <f>IF(OR(H259="",H188=""),"",IF(H188&lt;=0,"",IFERROR(H259/H188,"")))</f>
        <v/>
      </c>
      <c r="I260" s="15">
        <f>IF(OR(I259="",I188=""),"",IF(I188&lt;=0,"",IFERROR(I259/I188,"")))</f>
        <v/>
      </c>
      <c r="J260" s="15">
        <f>IF(OR(J259="",J188=""),"",IF(J188&lt;=0,"",IFERROR(J259/J188,"")))</f>
        <v/>
      </c>
      <c r="K260" s="15">
        <f>IF(OR(K259="",K188=""),"",IF(K188&lt;=0,"",IFERROR(K259/K188,"")))</f>
        <v/>
      </c>
      <c r="L260" s="15">
        <f>IF(OR(L259="",L188=""),"",IF(L188&lt;=0,"",IFERROR(L259/L188,"")))</f>
        <v/>
      </c>
      <c r="M260" s="15">
        <f>IF(OR(M259="",M188=""),"",IF(M188&lt;=0,"",IFERROR(M259/M188,"")))</f>
        <v/>
      </c>
      <c r="N260" s="15">
        <f>IF(OR(N259="",N188=""),"",IF(N188&lt;=0,"",IFERROR(N259/N188,"")))</f>
        <v/>
      </c>
      <c r="V260" s="15">
        <f>IF(OR(V259="",V188=""),"",IF(V188&lt;=0,"",IFERROR(V259/V188,"")))</f>
        <v/>
      </c>
      <c r="W260" s="15">
        <f>IF(OR(W259="",W188=""),"",IF(W188&lt;=0,"",IFERROR(W259/W188,"")))</f>
        <v/>
      </c>
      <c r="X260" s="15">
        <f>IF(OR(X259="",X188=""),"",IF(X188&lt;=0,"",IFERROR(X259/X188,"")))</f>
        <v/>
      </c>
    </row>
    <row r="261">
      <c r="A261" s="43" t="inlineStr">
        <is>
          <t>YoY</t>
        </is>
      </c>
      <c r="B261" s="3" t="inlineStr">
        <is>
          <t>전년 같은 분기·전년 대비</t>
        </is>
      </c>
      <c r="G261" s="15">
        <f>IF(OR(G259="",C259=""),"",IF(C259&lt;=0,"",IFERROR(G259/C259-1,"")))</f>
        <v/>
      </c>
      <c r="H261" s="15">
        <f>IF(OR(H259="",D259=""),"",IF(D259&lt;=0,"",IFERROR(H259/D259-1,"")))</f>
        <v/>
      </c>
      <c r="I261" s="15">
        <f>IF(OR(I259="",E259=""),"",IF(E259&lt;=0,"",IFERROR(I259/E259-1,"")))</f>
        <v/>
      </c>
      <c r="J261" s="15">
        <f>IF(OR(J259="",F259=""),"",IF(F259&lt;=0,"",IFERROR(J259/F259-1,"")))</f>
        <v/>
      </c>
      <c r="K261" s="15">
        <f>IF(OR(K259="",G259=""),"",IF(G259&lt;=0,"",IFERROR(K259/G259-1,"")))</f>
        <v/>
      </c>
      <c r="L261" s="15">
        <f>IF(OR(L259="",H259=""),"",IF(H259&lt;=0,"",IFERROR(L259/H259-1,"")))</f>
        <v/>
      </c>
      <c r="M261" s="15">
        <f>IF(OR(M259="",I259=""),"",IF(I259&lt;=0,"",IFERROR(M259/I259-1,"")))</f>
        <v/>
      </c>
      <c r="N261" s="15">
        <f>IF(OR(N259="",J259=""),"",IF(J259&lt;=0,"",IFERROR(N259/J259-1,"")))</f>
        <v/>
      </c>
      <c r="V261" s="15">
        <f>IF(OR(V259="",U259=""),"",IF(U259&lt;=0,"",IFERROR(V259/U259-1,"")))</f>
        <v/>
      </c>
      <c r="W261" s="15">
        <f>IF(OR(W259="",V259=""),"",IF(V259&lt;=0,"",IFERROR(W259/V259-1,"")))</f>
        <v/>
      </c>
      <c r="X261" s="15">
        <f>IF(OR(X259="",W259=""),"",IF(W259&lt;=0,"",IFERROR(X259/W259-1,"")))</f>
        <v/>
      </c>
    </row>
    <row r="262">
      <c r="A262" s="18" t="inlineStr">
        <is>
          <t>부문 · 외부 고객 매출</t>
        </is>
      </c>
      <c r="C262" s="20" t="n">
        <v>4522</v>
      </c>
      <c r="D262" s="20" t="n">
        <v>4863</v>
      </c>
      <c r="E262" s="20" t="n">
        <v>4857</v>
      </c>
      <c r="F262" s="20" t="n">
        <v>4886</v>
      </c>
      <c r="G262" s="20" t="n">
        <v>4581</v>
      </c>
      <c r="H262" s="20" t="n">
        <v>5113</v>
      </c>
      <c r="I262" s="20" t="n">
        <v>4738</v>
      </c>
      <c r="V262" s="20" t="n">
        <v>4857</v>
      </c>
      <c r="W262" s="20" t="n">
        <v>4738</v>
      </c>
    </row>
    <row r="263">
      <c r="A263" s="43" t="inlineStr">
        <is>
          <t>YoY</t>
        </is>
      </c>
      <c r="B263" s="3" t="inlineStr">
        <is>
          <t>전년 같은 분기·전년 대비</t>
        </is>
      </c>
      <c r="G263" s="15">
        <f>IF(OR(G262="",C262=""),"",IF(C262&lt;=0,"",IFERROR(G262/C262-1,"")))</f>
        <v/>
      </c>
      <c r="H263" s="15">
        <f>IF(OR(H262="",D262=""),"",IF(D262&lt;=0,"",IFERROR(H262/D262-1,"")))</f>
        <v/>
      </c>
      <c r="I263" s="15">
        <f>IF(OR(I262="",E262=""),"",IF(E262&lt;=0,"",IFERROR(I262/E262-1,"")))</f>
        <v/>
      </c>
      <c r="V263" s="15">
        <f>IF(OR(V262="",U262=""),"",IF(U262&lt;=0,"",IFERROR(V262/U262-1,"")))</f>
        <v/>
      </c>
      <c r="W263" s="15">
        <f>IF(OR(W262="",V262=""),"",IF(V262&lt;=0,"",IFERROR(W262/V262-1,"")))</f>
        <v/>
      </c>
    </row>
    <row r="264">
      <c r="A264" s="18" t="inlineStr">
        <is>
          <t>부문 · 외부 고객 매출</t>
        </is>
      </c>
      <c r="C264" s="20" t="n">
        <v>2024</v>
      </c>
      <c r="D264" s="20" t="n">
        <v>2196</v>
      </c>
      <c r="E264" s="20" t="n">
        <v>2241</v>
      </c>
      <c r="F264" s="20" t="n">
        <v>2306</v>
      </c>
      <c r="G264" s="20" t="n">
        <v>2287</v>
      </c>
      <c r="H264" s="20" t="n">
        <v>2218</v>
      </c>
      <c r="I264" s="20" t="n">
        <v>2319</v>
      </c>
      <c r="V264" s="20" t="n">
        <v>2241</v>
      </c>
      <c r="W264" s="20" t="n">
        <v>2319</v>
      </c>
    </row>
    <row r="265">
      <c r="A265" s="43" t="inlineStr">
        <is>
          <t>YoY</t>
        </is>
      </c>
      <c r="B265" s="3" t="inlineStr">
        <is>
          <t>전년 같은 분기·전년 대비</t>
        </is>
      </c>
      <c r="G265" s="15">
        <f>IF(OR(G264="",C264=""),"",IF(C264&lt;=0,"",IFERROR(G264/C264-1,"")))</f>
        <v/>
      </c>
      <c r="H265" s="15">
        <f>IF(OR(H264="",D264=""),"",IF(D264&lt;=0,"",IFERROR(H264/D264-1,"")))</f>
        <v/>
      </c>
      <c r="I265" s="15">
        <f>IF(OR(I264="",E264=""),"",IF(E264&lt;=0,"",IFERROR(I264/E264-1,"")))</f>
        <v/>
      </c>
      <c r="V265" s="15">
        <f>IF(OR(V264="",U264=""),"",IF(U264&lt;=0,"",IFERROR(V264/U264-1,"")))</f>
        <v/>
      </c>
      <c r="W265" s="15">
        <f>IF(OR(W264="",V264=""),"",IF(V264&lt;=0,"",IFERROR(W264/V264-1,"")))</f>
        <v/>
      </c>
    </row>
    <row r="266">
      <c r="A266" s="18" t="inlineStr">
        <is>
          <t>부문 · 외부 고객 매출</t>
        </is>
      </c>
      <c r="C266" s="20" t="n">
        <v>2244</v>
      </c>
      <c r="D266" s="20" t="n">
        <v>2129</v>
      </c>
      <c r="E266" s="20" t="n">
        <v>2346</v>
      </c>
      <c r="F266" s="20" t="n">
        <v>2228</v>
      </c>
      <c r="G266" s="20" t="n">
        <v>2266</v>
      </c>
      <c r="H266" s="20" t="n">
        <v>2222</v>
      </c>
      <c r="I266" s="20" t="n">
        <v>2531</v>
      </c>
      <c r="V266" s="20" t="n">
        <v>2346</v>
      </c>
      <c r="W266" s="20" t="n">
        <v>2531</v>
      </c>
    </row>
    <row r="267">
      <c r="A267" s="43" t="inlineStr">
        <is>
          <t>YoY</t>
        </is>
      </c>
      <c r="B267" s="3" t="inlineStr">
        <is>
          <t>전년 같은 분기·전년 대비</t>
        </is>
      </c>
      <c r="G267" s="15">
        <f>IF(OR(G266="",C266=""),"",IF(C266&lt;=0,"",IFERROR(G266/C266-1,"")))</f>
        <v/>
      </c>
      <c r="H267" s="15">
        <f>IF(OR(H266="",D266=""),"",IF(D266&lt;=0,"",IFERROR(H266/D266-1,"")))</f>
        <v/>
      </c>
      <c r="I267" s="15">
        <f>IF(OR(I266="",E266=""),"",IF(E266&lt;=0,"",IFERROR(I266/E266-1,"")))</f>
        <v/>
      </c>
      <c r="V267" s="15">
        <f>IF(OR(V266="",U266=""),"",IF(U266&lt;=0,"",IFERROR(V266/U266-1,"")))</f>
        <v/>
      </c>
      <c r="W267" s="15">
        <f>IF(OR(W266="",V266=""),"",IF(V266&lt;=0,"",IFERROR(W266/V266-1,"")))</f>
        <v/>
      </c>
    </row>
    <row r="268">
      <c r="A268" s="18" t="inlineStr">
        <is>
          <t>부문 · 외부 고객 매출</t>
        </is>
      </c>
      <c r="C268" s="20" t="n">
        <v>5270</v>
      </c>
      <c r="D268" s="20" t="n">
        <v>6007</v>
      </c>
      <c r="E268" s="20" t="n">
        <v>6201</v>
      </c>
      <c r="F268" s="20" t="n">
        <v>6525</v>
      </c>
      <c r="G268" s="20" t="n">
        <v>7008</v>
      </c>
      <c r="H268" s="20" t="n">
        <v>6916</v>
      </c>
      <c r="I268" s="20" t="n">
        <v>6702</v>
      </c>
      <c r="V268" s="20" t="n">
        <v>6201</v>
      </c>
      <c r="W268" s="20" t="n">
        <v>6702</v>
      </c>
    </row>
    <row r="269">
      <c r="A269" s="43" t="inlineStr">
        <is>
          <t>YoY</t>
        </is>
      </c>
      <c r="B269" s="3" t="inlineStr">
        <is>
          <t>전년 같은 분기·전년 대비</t>
        </is>
      </c>
      <c r="G269" s="15">
        <f>IF(OR(G268="",C268=""),"",IF(C268&lt;=0,"",IFERROR(G268/C268-1,"")))</f>
        <v/>
      </c>
      <c r="H269" s="15">
        <f>IF(OR(H268="",D268=""),"",IF(D268&lt;=0,"",IFERROR(H268/D268-1,"")))</f>
        <v/>
      </c>
      <c r="I269" s="15">
        <f>IF(OR(I268="",E268=""),"",IF(E268&lt;=0,"",IFERROR(I268/E268-1,"")))</f>
        <v/>
      </c>
      <c r="V269" s="15">
        <f>IF(OR(V268="",U268=""),"",IF(U268&lt;=0,"",IFERROR(V268/U268-1,"")))</f>
        <v/>
      </c>
      <c r="W269" s="15">
        <f>IF(OR(W268="",V268=""),"",IF(V268&lt;=0,"",IFERROR(W268/V268-1,"")))</f>
        <v/>
      </c>
    </row>
    <row r="270">
      <c r="A270" s="18" t="inlineStr">
        <is>
          <t>부문 · 외부 고객 매출</t>
        </is>
      </c>
      <c r="C270" s="20" t="n">
        <v>1190</v>
      </c>
      <c r="F270" s="20" t="n">
        <v>1504</v>
      </c>
      <c r="G270" s="20" t="n">
        <v>1642</v>
      </c>
    </row>
    <row r="271">
      <c r="A271" s="43" t="inlineStr">
        <is>
          <t>YoY</t>
        </is>
      </c>
      <c r="B271" s="3" t="inlineStr">
        <is>
          <t>전년 같은 분기·전년 대비</t>
        </is>
      </c>
      <c r="G271" s="15">
        <f>IF(OR(G270="",C270=""),"",IF(C270&lt;=0,"",IFERROR(G270/C270-1,"")))</f>
        <v/>
      </c>
    </row>
    <row r="272">
      <c r="A272" s="18" t="inlineStr">
        <is>
          <t>부문 · 외부 고객 매출</t>
        </is>
      </c>
      <c r="E272" s="20" t="n">
        <v>1696</v>
      </c>
      <c r="I272" s="20" t="n">
        <v>2570</v>
      </c>
      <c r="V272" s="20" t="n">
        <v>1696</v>
      </c>
      <c r="W272" s="20" t="n">
        <v>2570</v>
      </c>
    </row>
    <row r="273">
      <c r="A273" s="43" t="inlineStr">
        <is>
          <t>YoY</t>
        </is>
      </c>
      <c r="B273" s="3" t="inlineStr">
        <is>
          <t>전년 같은 분기·전년 대비</t>
        </is>
      </c>
      <c r="I273" s="15">
        <f>IF(OR(I272="",E272=""),"",IF(E272&lt;=0,"",IFERROR(I272/E272-1,"")))</f>
        <v/>
      </c>
      <c r="V273" s="15">
        <f>IF(OR(V272="",U272=""),"",IF(U272&lt;=0,"",IFERROR(V272/U272-1,"")))</f>
        <v/>
      </c>
      <c r="W273" s="15">
        <f>IF(OR(W272="",V272=""),"",IF(V272&lt;=0,"",IFERROR(W272/V272-1,"")))</f>
        <v/>
      </c>
    </row>
    <row r="274">
      <c r="A274" s="18" t="inlineStr">
        <is>
          <t>부문 · 외부 고객 매출</t>
        </is>
      </c>
      <c r="C274" s="20" t="n">
        <v>68</v>
      </c>
      <c r="D274" s="20" t="n">
        <v>92</v>
      </c>
      <c r="E274" s="20" t="n">
        <v>143</v>
      </c>
      <c r="F274" s="20" t="n">
        <v>79</v>
      </c>
      <c r="G274" s="20" t="n">
        <v>115</v>
      </c>
      <c r="H274" s="20" t="n">
        <v>121</v>
      </c>
      <c r="I274" s="20" t="n">
        <v>124</v>
      </c>
      <c r="V274" s="20" t="n">
        <v>143</v>
      </c>
      <c r="W274" s="20" t="n">
        <v>124</v>
      </c>
    </row>
    <row r="275">
      <c r="A275" s="43" t="inlineStr">
        <is>
          <t>YoY</t>
        </is>
      </c>
      <c r="B275" s="3" t="inlineStr">
        <is>
          <t>전년 같은 분기·전년 대비</t>
        </is>
      </c>
      <c r="G275" s="15">
        <f>IF(OR(G274="",C274=""),"",IF(C274&lt;=0,"",IFERROR(G274/C274-1,"")))</f>
        <v/>
      </c>
      <c r="H275" s="15">
        <f>IF(OR(H274="",D274=""),"",IF(D274&lt;=0,"",IFERROR(H274/D274-1,"")))</f>
        <v/>
      </c>
      <c r="I275" s="15">
        <f>IF(OR(I274="",E274=""),"",IF(E274&lt;=0,"",IFERROR(I274/E274-1,"")))</f>
        <v/>
      </c>
      <c r="V275" s="15">
        <f>IF(OR(V274="",U274=""),"",IF(U274&lt;=0,"",IFERROR(V274/U274-1,"")))</f>
        <v/>
      </c>
      <c r="W275" s="15">
        <f>IF(OR(W274="",V274=""),"",IF(V274&lt;=0,"",IFERROR(W274/V274-1,"")))</f>
        <v/>
      </c>
    </row>
    <row r="277">
      <c r="A277" s="16" t="inlineStr">
        <is>
          <t>현금흐름표 · 전 항목</t>
        </is>
      </c>
      <c r="B277" s="42" t="inlineStr">
        <is>
          <t>분기 = 결산기 첫날부터 누계(공시 그대로)</t>
        </is>
      </c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  <c r="AA277" s="16" t="n"/>
      <c r="AB277" s="16" t="n"/>
      <c r="AC277" s="16" t="n"/>
    </row>
    <row r="278">
      <c r="A278" s="5" t="inlineStr">
        <is>
          <t>항목</t>
        </is>
      </c>
      <c r="B278" s="5" t="inlineStr">
        <is>
          <t>참고</t>
        </is>
      </c>
      <c r="C278" s="5" t="inlineStr">
        <is>
          <t>2024.2Q</t>
        </is>
      </c>
      <c r="D278" s="5" t="inlineStr">
        <is>
          <t>2024.3Q</t>
        </is>
      </c>
      <c r="E278" s="5" t="inlineStr">
        <is>
          <t>2024.4Q</t>
        </is>
      </c>
      <c r="F278" s="5" t="inlineStr">
        <is>
          <t>2025.1Q</t>
        </is>
      </c>
      <c r="G278" s="5" t="inlineStr">
        <is>
          <t>2025.2Q</t>
        </is>
      </c>
      <c r="H278" s="5" t="inlineStr">
        <is>
          <t>2025.3Q</t>
        </is>
      </c>
      <c r="I278" s="5" t="inlineStr">
        <is>
          <t>2025.4Q</t>
        </is>
      </c>
      <c r="J278" s="5" t="inlineStr">
        <is>
          <t>2026.1Q</t>
        </is>
      </c>
      <c r="K278" s="5" t="inlineStr">
        <is>
          <t>2026.2Q</t>
        </is>
      </c>
      <c r="L278" s="5" t="inlineStr">
        <is>
          <t>2026.3Q</t>
        </is>
      </c>
      <c r="M278" s="5" t="inlineStr">
        <is>
          <t>2026.4Q</t>
        </is>
      </c>
      <c r="N278" s="5" t="inlineStr">
        <is>
          <t>2027.1Q</t>
        </is>
      </c>
      <c r="O278" s="5" t="inlineStr">
        <is>
          <t>2017</t>
        </is>
      </c>
      <c r="P278" s="5" t="inlineStr">
        <is>
          <t>2018</t>
        </is>
      </c>
      <c r="Q278" s="5" t="inlineStr">
        <is>
          <t>2019</t>
        </is>
      </c>
      <c r="R278" s="5" t="inlineStr">
        <is>
          <t>2020</t>
        </is>
      </c>
      <c r="S278" s="5" t="inlineStr">
        <is>
          <t>2021</t>
        </is>
      </c>
      <c r="T278" s="5" t="inlineStr">
        <is>
          <t>2022</t>
        </is>
      </c>
      <c r="U278" s="5" t="inlineStr">
        <is>
          <t>2023</t>
        </is>
      </c>
      <c r="V278" s="5" t="inlineStr">
        <is>
          <t>2024</t>
        </is>
      </c>
      <c r="W278" s="5" t="inlineStr">
        <is>
          <t>2025</t>
        </is>
      </c>
      <c r="X278" s="5" t="inlineStr">
        <is>
          <t>2026</t>
        </is>
      </c>
      <c r="Y278" s="5" t="inlineStr">
        <is>
          <t>2027(MW)</t>
        </is>
      </c>
      <c r="Z278" s="5" t="inlineStr">
        <is>
          <t>2028(MW)</t>
        </is>
      </c>
      <c r="AA278" s="5" t="inlineStr">
        <is>
          <t>2029(MW)</t>
        </is>
      </c>
      <c r="AB278" s="5" t="inlineStr">
        <is>
          <t>2030(MW)</t>
        </is>
      </c>
      <c r="AC278" s="5" t="inlineStr">
        <is>
          <t>2031(MW)</t>
        </is>
      </c>
    </row>
    <row r="279">
      <c r="A279" s="9" t="inlineStr">
        <is>
          <t>법인세차감전 순이익</t>
        </is>
      </c>
      <c r="C279" s="12" t="n">
        <v>-419</v>
      </c>
      <c r="E279" s="12" t="n">
        <v>2343</v>
      </c>
      <c r="G279" s="12" t="n">
        <v>2551</v>
      </c>
      <c r="I279" s="12" t="n">
        <v>5194</v>
      </c>
      <c r="K279" s="12" t="n">
        <v>3530</v>
      </c>
      <c r="M279" s="12" t="n">
        <v>9892</v>
      </c>
      <c r="O279" s="12" t="n">
        <v>3547</v>
      </c>
      <c r="P279" s="12" t="n">
        <v>5509</v>
      </c>
      <c r="Q279" s="12" t="n">
        <v>3979</v>
      </c>
      <c r="R279" s="12" t="n">
        <v>3364</v>
      </c>
      <c r="S279" s="12" t="n">
        <v>3759</v>
      </c>
      <c r="T279" s="12" t="n">
        <v>4179</v>
      </c>
      <c r="U279" s="12" t="n">
        <v>224</v>
      </c>
      <c r="V279" s="12" t="n">
        <v>2343</v>
      </c>
      <c r="W279" s="12" t="n">
        <v>5194</v>
      </c>
      <c r="X279" s="12" t="n">
        <v>9892</v>
      </c>
    </row>
    <row r="280">
      <c r="A280" s="18" t="inlineStr">
        <is>
          <t>감가상각비</t>
        </is>
      </c>
      <c r="C280" s="20" t="n">
        <v>1603</v>
      </c>
      <c r="E280" s="20" t="n">
        <v>3216</v>
      </c>
      <c r="G280" s="20" t="n">
        <v>1604</v>
      </c>
      <c r="I280" s="20" t="n">
        <v>3223</v>
      </c>
      <c r="K280" s="20" t="n">
        <v>1571</v>
      </c>
      <c r="M280" s="20" t="n">
        <v>3221</v>
      </c>
      <c r="O280" s="20" t="n">
        <v>2335</v>
      </c>
      <c r="P280" s="20" t="n">
        <v>2473</v>
      </c>
      <c r="Q280" s="20" t="n">
        <v>2555</v>
      </c>
      <c r="R280" s="20" t="n">
        <v>2724</v>
      </c>
      <c r="S280" s="20" t="n">
        <v>3263</v>
      </c>
      <c r="T280" s="20" t="n">
        <v>3430</v>
      </c>
      <c r="U280" s="20" t="n">
        <v>3295</v>
      </c>
      <c r="V280" s="20" t="n">
        <v>3216</v>
      </c>
      <c r="W280" s="20" t="n">
        <v>3223</v>
      </c>
      <c r="X280" s="20" t="n">
        <v>3221</v>
      </c>
    </row>
    <row r="281">
      <c r="A281" s="18" t="inlineStr">
        <is>
          <t>대손손실</t>
        </is>
      </c>
      <c r="E281" s="20" t="n">
        <v>1</v>
      </c>
      <c r="I281" s="20" t="n">
        <v>0</v>
      </c>
      <c r="Q281" s="20" t="n">
        <v>0</v>
      </c>
      <c r="R281" s="20" t="n">
        <v>400</v>
      </c>
      <c r="S281" s="20" t="n">
        <v>0</v>
      </c>
      <c r="U281" s="20" t="n">
        <v>0</v>
      </c>
      <c r="V281" s="20" t="n">
        <v>1</v>
      </c>
      <c r="W281" s="20" t="n">
        <v>0</v>
      </c>
    </row>
    <row r="282">
      <c r="A282" s="18" t="inlineStr">
        <is>
          <t>영업권 상각</t>
        </is>
      </c>
      <c r="C282" s="20" t="n">
        <v>0</v>
      </c>
      <c r="E282" s="20" t="n">
        <v>0</v>
      </c>
      <c r="P282" s="20" t="n">
        <v>0</v>
      </c>
      <c r="Q282" s="20" t="n">
        <v>110</v>
      </c>
      <c r="R282" s="20" t="n">
        <v>196</v>
      </c>
      <c r="S282" s="20" t="n">
        <v>196</v>
      </c>
      <c r="T282" s="20" t="n">
        <v>150</v>
      </c>
      <c r="U282" s="20" t="n">
        <v>213</v>
      </c>
      <c r="V282" s="20" t="n">
        <v>0</v>
      </c>
    </row>
    <row r="283">
      <c r="A283" s="18" t="inlineStr">
        <is>
          <t>대손충당금 증감</t>
        </is>
      </c>
      <c r="C283" s="20" t="n">
        <v>-0</v>
      </c>
      <c r="E283" s="20" t="n">
        <v>-6</v>
      </c>
      <c r="G283" s="20" t="n">
        <v>-0</v>
      </c>
      <c r="I283" s="20" t="n">
        <v>10</v>
      </c>
      <c r="K283" s="20" t="n">
        <v>-1</v>
      </c>
      <c r="M283" s="20" t="n">
        <v>-3</v>
      </c>
      <c r="O283" s="20" t="n">
        <v>3</v>
      </c>
      <c r="P283" s="20" t="n">
        <v>5</v>
      </c>
      <c r="Q283" s="20" t="n">
        <v>0</v>
      </c>
      <c r="R283" s="20" t="n">
        <v>-2</v>
      </c>
      <c r="S283" s="20" t="n">
        <v>1</v>
      </c>
      <c r="T283" s="20" t="n">
        <v>-9</v>
      </c>
      <c r="U283" s="20" t="n">
        <v>-2</v>
      </c>
      <c r="V283" s="20" t="n">
        <v>-6</v>
      </c>
      <c r="W283" s="20" t="n">
        <v>10</v>
      </c>
      <c r="X283" s="20" t="n">
        <v>-3</v>
      </c>
    </row>
    <row r="284">
      <c r="A284" s="18" t="inlineStr">
        <is>
          <t>퇴직급여부채 증감</t>
        </is>
      </c>
      <c r="C284" s="20" t="n">
        <v>-67</v>
      </c>
      <c r="E284" s="20" t="n">
        <v>-129</v>
      </c>
      <c r="G284" s="20" t="n">
        <v>-56</v>
      </c>
      <c r="I284" s="20" t="n">
        <v>-112</v>
      </c>
      <c r="K284" s="20" t="n">
        <v>-36</v>
      </c>
      <c r="M284" s="20" t="n">
        <v>-48</v>
      </c>
      <c r="O284" s="20" t="n">
        <v>-246</v>
      </c>
      <c r="P284" s="20" t="n">
        <v>-188</v>
      </c>
      <c r="Q284" s="20" t="n">
        <v>-185</v>
      </c>
      <c r="R284" s="20" t="n">
        <v>-66</v>
      </c>
      <c r="S284" s="20" t="n">
        <v>-247</v>
      </c>
      <c r="T284" s="20" t="n">
        <v>-417</v>
      </c>
      <c r="U284" s="20" t="n">
        <v>-249</v>
      </c>
      <c r="V284" s="20" t="n">
        <v>-129</v>
      </c>
      <c r="W284" s="20" t="n">
        <v>-112</v>
      </c>
      <c r="X284" s="20" t="n">
        <v>-48</v>
      </c>
    </row>
    <row r="285">
      <c r="A285" s="18" t="inlineStr">
        <is>
          <t>Increase Decrease In Provision For Waste Disposal Costs</t>
        </is>
      </c>
      <c r="R285" s="20" t="n">
        <v>0</v>
      </c>
      <c r="S285" s="20" t="n">
        <v>385</v>
      </c>
    </row>
    <row r="286">
      <c r="A286" s="18" t="inlineStr">
        <is>
          <t>Increase Decrease In Provision For Waste Disposal Costs Ope CF</t>
        </is>
      </c>
      <c r="S286" s="20" t="n">
        <v>385</v>
      </c>
      <c r="T286" s="20" t="n">
        <v>-385</v>
      </c>
      <c r="U286" s="20" t="n">
        <v>0</v>
      </c>
    </row>
    <row r="287">
      <c r="A287" s="18" t="inlineStr">
        <is>
          <t>이자·배당금 수익</t>
        </is>
      </c>
      <c r="C287" s="20" t="n">
        <v>-67</v>
      </c>
      <c r="E287" s="20" t="n">
        <v>-150</v>
      </c>
      <c r="G287" s="20" t="n">
        <v>-90</v>
      </c>
      <c r="I287" s="20" t="n">
        <v>-196</v>
      </c>
      <c r="K287" s="20" t="n">
        <v>-116</v>
      </c>
      <c r="M287" s="20" t="n">
        <v>-333</v>
      </c>
      <c r="O287" s="20" t="n">
        <v>-61</v>
      </c>
      <c r="P287" s="20" t="n">
        <v>-61</v>
      </c>
      <c r="Q287" s="20" t="n">
        <v>-70</v>
      </c>
      <c r="R287" s="20" t="n">
        <v>-81</v>
      </c>
      <c r="S287" s="20" t="n">
        <v>-81</v>
      </c>
      <c r="T287" s="20" t="n">
        <v>-93</v>
      </c>
      <c r="U287" s="20" t="n">
        <v>-115</v>
      </c>
      <c r="V287" s="20" t="n">
        <v>-150</v>
      </c>
      <c r="W287" s="20" t="n">
        <v>-196</v>
      </c>
      <c r="X287" s="20" t="n">
        <v>-333</v>
      </c>
    </row>
    <row r="288">
      <c r="A288" s="18" t="inlineStr">
        <is>
          <t>이자비용</t>
        </is>
      </c>
      <c r="C288" s="20" t="n">
        <v>123</v>
      </c>
      <c r="E288" s="20" t="n">
        <v>258</v>
      </c>
      <c r="G288" s="20" t="n">
        <v>121</v>
      </c>
      <c r="I288" s="20" t="n">
        <v>223</v>
      </c>
      <c r="K288" s="20" t="n">
        <v>125</v>
      </c>
      <c r="M288" s="20" t="n">
        <v>243</v>
      </c>
      <c r="O288" s="20" t="n">
        <v>274</v>
      </c>
      <c r="P288" s="20" t="n">
        <v>242</v>
      </c>
      <c r="Q288" s="20" t="n">
        <v>196</v>
      </c>
      <c r="R288" s="20" t="n">
        <v>200</v>
      </c>
      <c r="S288" s="20" t="n">
        <v>202</v>
      </c>
      <c r="T288" s="20" t="n">
        <v>188</v>
      </c>
      <c r="U288" s="20" t="n">
        <v>199</v>
      </c>
      <c r="V288" s="20" t="n">
        <v>258</v>
      </c>
      <c r="W288" s="20" t="n">
        <v>223</v>
      </c>
      <c r="X288" s="20" t="n">
        <v>243</v>
      </c>
    </row>
    <row r="289">
      <c r="A289" s="18" t="inlineStr">
        <is>
          <t>사채이자</t>
        </is>
      </c>
      <c r="C289" s="20" t="n">
        <v>18</v>
      </c>
      <c r="E289" s="20" t="n">
        <v>37</v>
      </c>
      <c r="G289" s="20" t="n">
        <v>18</v>
      </c>
      <c r="I289" s="20" t="n">
        <v>37</v>
      </c>
      <c r="K289" s="20" t="n">
        <v>18</v>
      </c>
      <c r="M289" s="20" t="n">
        <v>37</v>
      </c>
      <c r="Q289" s="20" t="n">
        <v>0</v>
      </c>
      <c r="R289" s="20" t="n">
        <v>3</v>
      </c>
      <c r="S289" s="20" t="n">
        <v>37</v>
      </c>
      <c r="T289" s="20" t="n">
        <v>37</v>
      </c>
      <c r="U289" s="20" t="n">
        <v>37</v>
      </c>
      <c r="V289" s="20" t="n">
        <v>37</v>
      </c>
      <c r="W289" s="20" t="n">
        <v>37</v>
      </c>
      <c r="X289" s="20" t="n">
        <v>37</v>
      </c>
    </row>
    <row r="290">
      <c r="A290" s="18" t="inlineStr">
        <is>
          <t>사채발행비</t>
        </is>
      </c>
      <c r="Q290" s="20" t="n">
        <v>0</v>
      </c>
      <c r="R290" s="20" t="n">
        <v>138</v>
      </c>
      <c r="S290" s="20" t="n">
        <v>0</v>
      </c>
    </row>
    <row r="291">
      <c r="A291" s="18" t="inlineStr">
        <is>
          <t>지분법손익</t>
        </is>
      </c>
      <c r="C291" s="20" t="n">
        <v>-0</v>
      </c>
      <c r="E291" s="20" t="n">
        <v>3</v>
      </c>
      <c r="G291" s="20" t="n">
        <v>-22</v>
      </c>
      <c r="I291" s="20" t="n">
        <v>-261</v>
      </c>
      <c r="K291" s="20" t="n">
        <v>-21</v>
      </c>
      <c r="M291" s="20" t="n">
        <v>-39</v>
      </c>
      <c r="O291" s="20" t="n">
        <v>-82</v>
      </c>
      <c r="P291" s="20" t="n">
        <v>-68</v>
      </c>
      <c r="Q291" s="20" t="n">
        <v>-63</v>
      </c>
      <c r="R291" s="20" t="n">
        <v>-62</v>
      </c>
      <c r="S291" s="20" t="n">
        <v>-57</v>
      </c>
      <c r="T291" s="20" t="n">
        <v>-55</v>
      </c>
      <c r="U291" s="20" t="n">
        <v>-36</v>
      </c>
      <c r="V291" s="20" t="n">
        <v>3</v>
      </c>
      <c r="W291" s="20" t="n">
        <v>-261</v>
      </c>
      <c r="X291" s="20" t="n">
        <v>-39</v>
      </c>
    </row>
    <row r="292">
      <c r="A292" s="18" t="inlineStr">
        <is>
          <t>고정자산 처분손실</t>
        </is>
      </c>
      <c r="C292" s="20" t="n">
        <v>40</v>
      </c>
      <c r="G292" s="20" t="n">
        <v>27</v>
      </c>
      <c r="K292" s="20" t="n">
        <v>72</v>
      </c>
    </row>
    <row r="293">
      <c r="A293" s="18" t="inlineStr">
        <is>
          <t>손상차손</t>
        </is>
      </c>
      <c r="C293" s="20" t="n">
        <v>0</v>
      </c>
      <c r="E293" s="20" t="n">
        <v>66</v>
      </c>
      <c r="I293" s="20" t="n">
        <v>365</v>
      </c>
      <c r="M293" s="20" t="n">
        <v>286</v>
      </c>
      <c r="O293" s="20" t="n">
        <v>187</v>
      </c>
      <c r="P293" s="20" t="n">
        <v>171</v>
      </c>
      <c r="Q293" s="20" t="n">
        <v>240</v>
      </c>
      <c r="R293" s="20" t="n">
        <v>0</v>
      </c>
      <c r="S293" s="20" t="n">
        <v>431</v>
      </c>
      <c r="T293" s="20" t="n">
        <v>0</v>
      </c>
      <c r="U293" s="20" t="n">
        <v>786</v>
      </c>
      <c r="V293" s="20" t="n">
        <v>66</v>
      </c>
      <c r="W293" s="20" t="n">
        <v>365</v>
      </c>
      <c r="X293" s="20" t="n">
        <v>286</v>
      </c>
    </row>
    <row r="294">
      <c r="A294" s="18" t="inlineStr">
        <is>
          <t>관계회사 주식 매각손익</t>
        </is>
      </c>
      <c r="P294" s="20" t="n">
        <v>0</v>
      </c>
      <c r="Q294" s="20" t="n">
        <v>-141</v>
      </c>
      <c r="R294" s="20" t="n">
        <v>0</v>
      </c>
    </row>
    <row r="295">
      <c r="A295" s="18" t="inlineStr">
        <is>
          <t>유형자산 처분손익</t>
        </is>
      </c>
      <c r="E295" s="20" t="n">
        <v>58</v>
      </c>
      <c r="I295" s="20" t="n">
        <v>177</v>
      </c>
      <c r="M295" s="20" t="n">
        <v>193</v>
      </c>
      <c r="O295" s="20" t="n">
        <v>93</v>
      </c>
      <c r="P295" s="20" t="n">
        <v>113</v>
      </c>
      <c r="Q295" s="20" t="n">
        <v>96</v>
      </c>
      <c r="R295" s="20" t="n">
        <v>160</v>
      </c>
      <c r="S295" s="20" t="n">
        <v>146</v>
      </c>
      <c r="T295" s="20" t="n">
        <v>173</v>
      </c>
      <c r="U295" s="20" t="n">
        <v>102</v>
      </c>
      <c r="V295" s="20" t="n">
        <v>58</v>
      </c>
      <c r="W295" s="20" t="n">
        <v>177</v>
      </c>
      <c r="X295" s="20" t="n">
        <v>193</v>
      </c>
    </row>
    <row r="296">
      <c r="A296" s="18" t="inlineStr">
        <is>
          <t>유형자산 매각손익</t>
        </is>
      </c>
      <c r="O296" s="20" t="n">
        <v>0</v>
      </c>
      <c r="P296" s="20" t="n">
        <v>-1068</v>
      </c>
      <c r="Q296" s="20" t="n">
        <v>0</v>
      </c>
    </row>
    <row r="297">
      <c r="A297" s="18" t="inlineStr">
        <is>
          <t>투자유가증권 평가손익</t>
        </is>
      </c>
      <c r="S297" s="20" t="n">
        <v>0</v>
      </c>
      <c r="T297" s="20" t="n">
        <v>34</v>
      </c>
      <c r="U297" s="20" t="n">
        <v>0</v>
      </c>
    </row>
    <row r="298">
      <c r="A298" s="18" t="inlineStr">
        <is>
          <t>투자유가증권 매각손익</t>
        </is>
      </c>
      <c r="E298" s="20" t="n">
        <v>-408</v>
      </c>
      <c r="I298" s="20" t="n">
        <v>0</v>
      </c>
      <c r="O298" s="20" t="n">
        <v>-55</v>
      </c>
      <c r="P298" s="20" t="n">
        <v>0</v>
      </c>
      <c r="R298" s="20" t="n">
        <v>0</v>
      </c>
      <c r="S298" s="20" t="n">
        <v>-408</v>
      </c>
      <c r="T298" s="20" t="n">
        <v>0</v>
      </c>
      <c r="U298" s="20" t="n">
        <v>-50</v>
      </c>
      <c r="V298" s="20" t="n">
        <v>-408</v>
      </c>
      <c r="W298" s="20" t="n">
        <v>0</v>
      </c>
    </row>
    <row r="299">
      <c r="A299" s="18" t="inlineStr">
        <is>
          <t>매출채권 증감</t>
        </is>
      </c>
      <c r="C299" s="20" t="n">
        <v>-333</v>
      </c>
      <c r="E299" s="20" t="n">
        <v>-3199</v>
      </c>
      <c r="G299" s="20" t="n">
        <v>141</v>
      </c>
      <c r="I299" s="20" t="n">
        <v>-1296</v>
      </c>
      <c r="K299" s="20" t="n">
        <v>829</v>
      </c>
      <c r="M299" s="20" t="n">
        <v>-1150</v>
      </c>
      <c r="O299" s="20" t="n">
        <v>-1614</v>
      </c>
      <c r="P299" s="20" t="n">
        <v>-1645</v>
      </c>
      <c r="Q299" s="20" t="n">
        <v>-1277</v>
      </c>
      <c r="R299" s="20" t="n">
        <v>462</v>
      </c>
      <c r="S299" s="20" t="n">
        <v>560</v>
      </c>
      <c r="T299" s="20" t="n">
        <v>519</v>
      </c>
      <c r="U299" s="20" t="n">
        <v>-722</v>
      </c>
      <c r="V299" s="20" t="n">
        <v>-3199</v>
      </c>
      <c r="W299" s="20" t="n">
        <v>-1296</v>
      </c>
      <c r="X299" s="20" t="n">
        <v>-1150</v>
      </c>
    </row>
    <row r="300">
      <c r="A300" s="18" t="inlineStr">
        <is>
          <t>재고자산 증감</t>
        </is>
      </c>
      <c r="C300" s="20" t="n">
        <v>1805</v>
      </c>
      <c r="E300" s="20" t="n">
        <v>2684</v>
      </c>
      <c r="G300" s="20" t="n">
        <v>50</v>
      </c>
      <c r="I300" s="20" t="n">
        <v>-1562</v>
      </c>
      <c r="K300" s="20" t="n">
        <v>-879</v>
      </c>
      <c r="M300" s="20" t="n">
        <v>-2655</v>
      </c>
      <c r="O300" s="20" t="n">
        <v>409</v>
      </c>
      <c r="P300" s="20" t="n">
        <v>-1466</v>
      </c>
      <c r="Q300" s="20" t="n">
        <v>-1894</v>
      </c>
      <c r="R300" s="20" t="n">
        <v>-467</v>
      </c>
      <c r="S300" s="20" t="n">
        <v>-770</v>
      </c>
      <c r="T300" s="20" t="n">
        <v>-2016</v>
      </c>
      <c r="U300" s="20" t="n">
        <v>-1362</v>
      </c>
      <c r="V300" s="20" t="n">
        <v>2684</v>
      </c>
      <c r="W300" s="20" t="n">
        <v>-1562</v>
      </c>
      <c r="X300" s="20" t="n">
        <v>-2655</v>
      </c>
    </row>
    <row r="301">
      <c r="A301" s="18" t="inlineStr">
        <is>
          <t>매입채무 증감</t>
        </is>
      </c>
      <c r="C301" s="20" t="n">
        <v>-842</v>
      </c>
      <c r="E301" s="20" t="n">
        <v>2150</v>
      </c>
      <c r="G301" s="20" t="n">
        <v>-333</v>
      </c>
      <c r="I301" s="20" t="n">
        <v>1307</v>
      </c>
      <c r="K301" s="20" t="n">
        <v>-306</v>
      </c>
      <c r="M301" s="20" t="n">
        <v>1784</v>
      </c>
      <c r="O301" s="20" t="n">
        <v>227</v>
      </c>
      <c r="P301" s="20" t="n">
        <v>1755</v>
      </c>
      <c r="Q301" s="20" t="n">
        <v>688</v>
      </c>
      <c r="R301" s="20" t="n">
        <v>-1546</v>
      </c>
      <c r="S301" s="20" t="n">
        <v>-1557</v>
      </c>
      <c r="T301" s="20" t="n">
        <v>744</v>
      </c>
      <c r="U301" s="20" t="n">
        <v>-321</v>
      </c>
      <c r="V301" s="20" t="n">
        <v>2150</v>
      </c>
      <c r="W301" s="20" t="n">
        <v>1307</v>
      </c>
      <c r="X301" s="20" t="n">
        <v>1784</v>
      </c>
    </row>
    <row r="302">
      <c r="A302" s="18" t="inlineStr">
        <is>
          <t>기타</t>
        </is>
      </c>
      <c r="C302" s="20" t="n">
        <v>384</v>
      </c>
      <c r="E302" s="20" t="n">
        <v>509</v>
      </c>
      <c r="G302" s="20" t="n">
        <v>-252</v>
      </c>
      <c r="I302" s="20" t="n">
        <v>882</v>
      </c>
      <c r="K302" s="20" t="n">
        <v>-1034</v>
      </c>
      <c r="M302" s="20" t="n">
        <v>-76</v>
      </c>
      <c r="O302" s="20" t="n">
        <v>-311</v>
      </c>
      <c r="P302" s="20" t="n">
        <v>258</v>
      </c>
      <c r="Q302" s="20" t="n">
        <v>197</v>
      </c>
      <c r="R302" s="20" t="n">
        <v>-554</v>
      </c>
      <c r="S302" s="20" t="n">
        <v>168</v>
      </c>
      <c r="T302" s="20" t="n">
        <v>213</v>
      </c>
      <c r="U302" s="20" t="n">
        <v>-442</v>
      </c>
      <c r="V302" s="20" t="n">
        <v>509</v>
      </c>
      <c r="W302" s="20" t="n">
        <v>882</v>
      </c>
      <c r="X302" s="20" t="n">
        <v>-76</v>
      </c>
    </row>
    <row r="303">
      <c r="A303" s="18" t="inlineStr">
        <is>
          <t>소계</t>
        </is>
      </c>
      <c r="C303" s="20" t="n">
        <v>2244</v>
      </c>
      <c r="E303" s="20" t="n">
        <v>7436</v>
      </c>
      <c r="G303" s="20" t="n">
        <v>3758</v>
      </c>
      <c r="I303" s="20" t="n">
        <v>7994</v>
      </c>
      <c r="K303" s="20" t="n">
        <v>3751</v>
      </c>
      <c r="M303" s="20" t="n">
        <v>11351</v>
      </c>
      <c r="O303" s="20" t="n">
        <v>4708</v>
      </c>
      <c r="P303" s="20" t="n">
        <v>6030</v>
      </c>
      <c r="Q303" s="20" t="n">
        <v>4432</v>
      </c>
      <c r="R303" s="20" t="n">
        <v>4866</v>
      </c>
      <c r="S303" s="20" t="n">
        <v>6030</v>
      </c>
      <c r="T303" s="20" t="n">
        <v>6693</v>
      </c>
      <c r="U303" s="20" t="n">
        <v>1556</v>
      </c>
      <c r="V303" s="20" t="n">
        <v>7436</v>
      </c>
      <c r="W303" s="20" t="n">
        <v>7994</v>
      </c>
      <c r="X303" s="20" t="n">
        <v>11351</v>
      </c>
    </row>
    <row r="304">
      <c r="A304" s="18" t="inlineStr">
        <is>
          <t>이자·배당금 수취</t>
        </is>
      </c>
      <c r="C304" s="20" t="n">
        <v>64</v>
      </c>
      <c r="E304" s="20" t="n">
        <v>168</v>
      </c>
      <c r="G304" s="20" t="n">
        <v>97</v>
      </c>
      <c r="I304" s="20" t="n">
        <v>227</v>
      </c>
      <c r="K304" s="20" t="n">
        <v>118</v>
      </c>
      <c r="M304" s="20" t="n">
        <v>268</v>
      </c>
      <c r="O304" s="20" t="n">
        <v>121</v>
      </c>
      <c r="P304" s="20" t="n">
        <v>139</v>
      </c>
      <c r="Q304" s="20" t="n">
        <v>155</v>
      </c>
      <c r="R304" s="20" t="n">
        <v>95</v>
      </c>
      <c r="S304" s="20" t="n">
        <v>137</v>
      </c>
      <c r="T304" s="20" t="n">
        <v>181</v>
      </c>
      <c r="U304" s="20" t="n">
        <v>240</v>
      </c>
      <c r="V304" s="20" t="n">
        <v>168</v>
      </c>
      <c r="W304" s="20" t="n">
        <v>227</v>
      </c>
      <c r="X304" s="20" t="n">
        <v>268</v>
      </c>
    </row>
    <row r="305">
      <c r="A305" s="18" t="inlineStr">
        <is>
          <t>이자 지급</t>
        </is>
      </c>
      <c r="C305" s="20" t="n">
        <v>-142</v>
      </c>
      <c r="E305" s="20" t="n">
        <v>-296</v>
      </c>
      <c r="G305" s="20" t="n">
        <v>-140</v>
      </c>
      <c r="I305" s="20" t="n">
        <v>-262</v>
      </c>
      <c r="K305" s="20" t="n">
        <v>-144</v>
      </c>
      <c r="M305" s="20" t="n">
        <v>-281</v>
      </c>
      <c r="O305" s="20" t="n">
        <v>-274</v>
      </c>
      <c r="P305" s="20" t="n">
        <v>-241</v>
      </c>
      <c r="Q305" s="20" t="n">
        <v>-195</v>
      </c>
      <c r="R305" s="20" t="n">
        <v>-200</v>
      </c>
      <c r="S305" s="20" t="n">
        <v>-240</v>
      </c>
      <c r="T305" s="20" t="n">
        <v>-227</v>
      </c>
      <c r="U305" s="20" t="n">
        <v>-234</v>
      </c>
      <c r="V305" s="20" t="n">
        <v>-296</v>
      </c>
      <c r="W305" s="20" t="n">
        <v>-262</v>
      </c>
      <c r="X305" s="20" t="n">
        <v>-281</v>
      </c>
    </row>
    <row r="306">
      <c r="A306" s="18" t="inlineStr">
        <is>
          <t>법인세 납부</t>
        </is>
      </c>
      <c r="C306" s="20" t="n">
        <v>-28</v>
      </c>
      <c r="E306" s="20" t="n">
        <v>-216</v>
      </c>
      <c r="G306" s="20" t="n">
        <v>-213</v>
      </c>
      <c r="I306" s="20" t="n">
        <v>-430</v>
      </c>
      <c r="K306" s="20" t="n">
        <v>-797</v>
      </c>
      <c r="M306" s="20" t="n">
        <v>-1375</v>
      </c>
      <c r="O306" s="20" t="n">
        <v>-804</v>
      </c>
      <c r="P306" s="20" t="n">
        <v>-911</v>
      </c>
      <c r="Q306" s="20" t="n">
        <v>-1155</v>
      </c>
      <c r="R306" s="20" t="n">
        <v>-994</v>
      </c>
      <c r="S306" s="20" t="n">
        <v>-972</v>
      </c>
      <c r="T306" s="20" t="n">
        <v>-1127</v>
      </c>
      <c r="U306" s="20" t="n">
        <v>-838</v>
      </c>
      <c r="V306" s="20" t="n">
        <v>-216</v>
      </c>
      <c r="W306" s="20" t="n">
        <v>-430</v>
      </c>
      <c r="X306" s="20" t="n">
        <v>-1375</v>
      </c>
    </row>
    <row r="307">
      <c r="A307" s="9" t="inlineStr">
        <is>
          <t>영업활동 현금흐름</t>
        </is>
      </c>
      <c r="C307" s="12" t="n">
        <v>2138</v>
      </c>
      <c r="E307" s="12" t="n">
        <v>7091</v>
      </c>
      <c r="G307" s="12" t="n">
        <v>3501</v>
      </c>
      <c r="I307" s="12" t="n">
        <v>7528</v>
      </c>
      <c r="K307" s="12" t="n">
        <v>2928</v>
      </c>
      <c r="M307" s="12" t="n">
        <v>9962</v>
      </c>
      <c r="O307" s="12" t="n">
        <v>3750</v>
      </c>
      <c r="P307" s="12" t="n">
        <v>5017</v>
      </c>
      <c r="Q307" s="12" t="n">
        <v>3236</v>
      </c>
      <c r="R307" s="12" t="n">
        <v>3766</v>
      </c>
      <c r="S307" s="12" t="n">
        <v>4955</v>
      </c>
      <c r="T307" s="12" t="n">
        <v>5520</v>
      </c>
      <c r="U307" s="12" t="n">
        <v>724</v>
      </c>
      <c r="V307" s="12" t="n">
        <v>7091</v>
      </c>
      <c r="W307" s="12" t="n">
        <v>7528</v>
      </c>
      <c r="X307" s="12" t="n">
        <v>9962</v>
      </c>
    </row>
    <row r="308">
      <c r="A308" s="18" t="inlineStr">
        <is>
          <t>정기예금 예입</t>
        </is>
      </c>
      <c r="C308" s="20" t="n">
        <v>-78</v>
      </c>
      <c r="E308" s="20" t="n">
        <v>-178</v>
      </c>
      <c r="G308" s="20" t="n">
        <v>-85</v>
      </c>
      <c r="I308" s="20" t="n">
        <v>-105</v>
      </c>
      <c r="K308" s="20" t="n">
        <v>-81</v>
      </c>
      <c r="M308" s="20" t="n">
        <v>-187</v>
      </c>
      <c r="O308" s="20" t="n">
        <v>-82</v>
      </c>
      <c r="P308" s="20" t="n">
        <v>-116</v>
      </c>
      <c r="Q308" s="20" t="n">
        <v>-43</v>
      </c>
      <c r="R308" s="20" t="n">
        <v>-210</v>
      </c>
      <c r="S308" s="20" t="n">
        <v>-117</v>
      </c>
      <c r="T308" s="20" t="n">
        <v>-69</v>
      </c>
      <c r="U308" s="20" t="n">
        <v>-78</v>
      </c>
      <c r="V308" s="20" t="n">
        <v>-178</v>
      </c>
      <c r="W308" s="20" t="n">
        <v>-105</v>
      </c>
      <c r="X308" s="20" t="n">
        <v>-187</v>
      </c>
    </row>
    <row r="309">
      <c r="A309" s="18" t="inlineStr">
        <is>
          <t>정기예금 인출</t>
        </is>
      </c>
      <c r="C309" s="20" t="n">
        <v>79</v>
      </c>
      <c r="E309" s="20" t="n">
        <v>80</v>
      </c>
      <c r="G309" s="20" t="n">
        <v>85</v>
      </c>
      <c r="I309" s="20" t="n">
        <v>105</v>
      </c>
      <c r="K309" s="20" t="n">
        <v>81</v>
      </c>
      <c r="M309" s="20" t="n">
        <v>187</v>
      </c>
      <c r="O309" s="20" t="n">
        <v>0</v>
      </c>
      <c r="P309" s="20" t="n">
        <v>83</v>
      </c>
      <c r="Q309" s="20" t="n">
        <v>49</v>
      </c>
      <c r="R309" s="20" t="n">
        <v>204</v>
      </c>
      <c r="S309" s="20" t="n">
        <v>263</v>
      </c>
      <c r="T309" s="20" t="n">
        <v>68</v>
      </c>
      <c r="U309" s="20" t="n">
        <v>78</v>
      </c>
      <c r="V309" s="20" t="n">
        <v>80</v>
      </c>
      <c r="W309" s="20" t="n">
        <v>105</v>
      </c>
      <c r="X309" s="20" t="n">
        <v>187</v>
      </c>
    </row>
    <row r="310">
      <c r="A310" s="18" t="inlineStr">
        <is>
          <t>유형자산 취득(설비투자)</t>
        </is>
      </c>
      <c r="C310" s="20" t="n">
        <v>-1089</v>
      </c>
      <c r="E310" s="20" t="n">
        <v>-2502</v>
      </c>
      <c r="G310" s="20" t="n">
        <v>-1077</v>
      </c>
      <c r="I310" s="20" t="n">
        <v>-2140</v>
      </c>
      <c r="K310" s="20" t="n">
        <v>-1369</v>
      </c>
      <c r="M310" s="20" t="n">
        <v>-3622</v>
      </c>
      <c r="O310" s="20" t="n">
        <v>-3900</v>
      </c>
      <c r="P310" s="20" t="n">
        <v>-2505</v>
      </c>
      <c r="Q310" s="20" t="n">
        <v>-3707</v>
      </c>
      <c r="R310" s="20" t="n">
        <v>-5538</v>
      </c>
      <c r="S310" s="20" t="n">
        <v>-4398</v>
      </c>
      <c r="T310" s="20" t="n">
        <v>-2661</v>
      </c>
      <c r="U310" s="20" t="n">
        <v>-2834</v>
      </c>
      <c r="V310" s="20" t="n">
        <v>-2502</v>
      </c>
      <c r="W310" s="20" t="n">
        <v>-2140</v>
      </c>
      <c r="X310" s="20" t="n">
        <v>-3622</v>
      </c>
    </row>
    <row r="311">
      <c r="A311" s="18" t="inlineStr">
        <is>
          <t>유형자산 매각</t>
        </is>
      </c>
      <c r="E311" s="20" t="n">
        <v>0</v>
      </c>
      <c r="I311" s="20" t="n">
        <v>0</v>
      </c>
      <c r="M311" s="20" t="n">
        <v>25</v>
      </c>
      <c r="O311" s="20" t="n">
        <v>27</v>
      </c>
      <c r="P311" s="20" t="n">
        <v>1822</v>
      </c>
      <c r="Q311" s="20" t="n">
        <v>0</v>
      </c>
      <c r="T311" s="20" t="n">
        <v>0</v>
      </c>
      <c r="U311" s="20" t="n">
        <v>10</v>
      </c>
      <c r="V311" s="20" t="n">
        <v>0</v>
      </c>
      <c r="W311" s="20" t="n">
        <v>0</v>
      </c>
      <c r="X311" s="20" t="n">
        <v>25</v>
      </c>
    </row>
    <row r="312">
      <c r="A312" s="18" t="inlineStr">
        <is>
          <t>투자유가증권 취득</t>
        </is>
      </c>
      <c r="C312" s="20" t="n">
        <v>-1</v>
      </c>
      <c r="E312" s="20" t="n">
        <v>-2</v>
      </c>
      <c r="G312" s="20" t="n">
        <v>-1</v>
      </c>
      <c r="I312" s="20" t="n">
        <v>-2</v>
      </c>
      <c r="K312" s="20" t="n">
        <v>-1</v>
      </c>
      <c r="M312" s="20" t="n">
        <v>-2</v>
      </c>
      <c r="O312" s="20" t="n">
        <v>-2</v>
      </c>
      <c r="P312" s="20" t="n">
        <v>-2</v>
      </c>
      <c r="Q312" s="20" t="n">
        <v>-970</v>
      </c>
      <c r="R312" s="20" t="n">
        <v>-32</v>
      </c>
      <c r="S312" s="20" t="n">
        <v>-502</v>
      </c>
      <c r="T312" s="20" t="n">
        <v>-2</v>
      </c>
      <c r="U312" s="20" t="n">
        <v>-2</v>
      </c>
      <c r="V312" s="20" t="n">
        <v>-2</v>
      </c>
      <c r="W312" s="20" t="n">
        <v>-2</v>
      </c>
      <c r="X312" s="20" t="n">
        <v>-2</v>
      </c>
    </row>
    <row r="313">
      <c r="A313" s="18" t="inlineStr">
        <is>
          <t>연결범위 변경 자회사 주식 취득</t>
        </is>
      </c>
      <c r="P313" s="20" t="n">
        <v>0</v>
      </c>
      <c r="Q313" s="20" t="n">
        <v>-780</v>
      </c>
      <c r="R313" s="20" t="n">
        <v>0</v>
      </c>
    </row>
    <row r="314">
      <c r="A314" s="18" t="inlineStr">
        <is>
          <t>연결범위 변경 자회사 주식 매각</t>
        </is>
      </c>
      <c r="P314" s="20" t="n">
        <v>0</v>
      </c>
      <c r="Q314" s="20" t="n">
        <v>130</v>
      </c>
      <c r="R314" s="20" t="n">
        <v>0</v>
      </c>
    </row>
    <row r="315">
      <c r="A315" s="18" t="inlineStr">
        <is>
          <t>투자유가증권 매각</t>
        </is>
      </c>
      <c r="C315" s="20" t="n">
        <v>0</v>
      </c>
      <c r="E315" s="20" t="n">
        <v>596</v>
      </c>
      <c r="G315" s="20" t="n">
        <v>1</v>
      </c>
      <c r="I315" s="20" t="n">
        <v>1</v>
      </c>
      <c r="K315" s="20" t="n">
        <v>0</v>
      </c>
      <c r="M315" s="20" t="n">
        <v>0</v>
      </c>
      <c r="O315" s="20" t="n">
        <v>441</v>
      </c>
      <c r="P315" s="20" t="n">
        <v>0</v>
      </c>
      <c r="R315" s="20" t="n">
        <v>0</v>
      </c>
      <c r="S315" s="20" t="n">
        <v>1027</v>
      </c>
      <c r="T315" s="20" t="n">
        <v>0</v>
      </c>
      <c r="U315" s="20" t="n">
        <v>70</v>
      </c>
      <c r="V315" s="20" t="n">
        <v>596</v>
      </c>
      <c r="W315" s="20" t="n">
        <v>1</v>
      </c>
      <c r="X315" s="20" t="n">
        <v>0</v>
      </c>
    </row>
    <row r="316">
      <c r="A316" s="18" t="inlineStr">
        <is>
          <t>대여</t>
        </is>
      </c>
      <c r="O316" s="20" t="n">
        <v>0</v>
      </c>
      <c r="P316" s="20" t="n">
        <v>-400</v>
      </c>
      <c r="Q316" s="20" t="n">
        <v>-250</v>
      </c>
      <c r="R316" s="20" t="n">
        <v>-153</v>
      </c>
      <c r="S316" s="20" t="n">
        <v>0</v>
      </c>
    </row>
    <row r="317">
      <c r="A317" s="18" t="inlineStr">
        <is>
          <t>보조금 수취</t>
        </is>
      </c>
      <c r="Q317" s="20" t="n">
        <v>80</v>
      </c>
      <c r="R317" s="20" t="n">
        <v>70</v>
      </c>
      <c r="S317" s="20" t="n">
        <v>19</v>
      </c>
      <c r="T317" s="20" t="n">
        <v>0</v>
      </c>
    </row>
    <row r="318">
      <c r="A318" s="18" t="inlineStr">
        <is>
          <t>Incomes From Refund In Capital Of Subsidiaries And Associates Inv CF</t>
        </is>
      </c>
      <c r="C318" s="20" t="n">
        <v>106</v>
      </c>
      <c r="G318" s="20" t="n">
        <v>0</v>
      </c>
    </row>
    <row r="319">
      <c r="A319" s="18" t="inlineStr">
        <is>
          <t>Income From Reimbursement In Capital Of Subsidiaries And Associates Inv CF</t>
        </is>
      </c>
      <c r="E319" s="20" t="n">
        <v>141</v>
      </c>
      <c r="I319" s="20" t="n">
        <v>0</v>
      </c>
      <c r="U319" s="20" t="n">
        <v>0</v>
      </c>
      <c r="V319" s="20" t="n">
        <v>141</v>
      </c>
      <c r="W319" s="20" t="n">
        <v>0</v>
      </c>
    </row>
    <row r="320">
      <c r="A320" s="18" t="inlineStr">
        <is>
          <t>대여금 회수</t>
        </is>
      </c>
      <c r="E320" s="20" t="n">
        <v>3</v>
      </c>
      <c r="I320" s="20" t="n">
        <v>1</v>
      </c>
      <c r="M320" s="20" t="n">
        <v>1</v>
      </c>
      <c r="O320" s="20" t="n">
        <v>1</v>
      </c>
      <c r="P320" s="20" t="n">
        <v>3</v>
      </c>
      <c r="Q320" s="20" t="n">
        <v>1</v>
      </c>
      <c r="R320" s="20" t="n">
        <v>1</v>
      </c>
      <c r="S320" s="20" t="n">
        <v>1</v>
      </c>
      <c r="T320" s="20" t="n">
        <v>1</v>
      </c>
      <c r="U320" s="20" t="n">
        <v>1</v>
      </c>
      <c r="V320" s="20" t="n">
        <v>3</v>
      </c>
      <c r="W320" s="20" t="n">
        <v>1</v>
      </c>
      <c r="X320" s="20" t="n">
        <v>1</v>
      </c>
    </row>
    <row r="321">
      <c r="A321" s="18" t="inlineStr">
        <is>
          <t>보조금 수취</t>
        </is>
      </c>
      <c r="O321" s="20" t="n">
        <v>212</v>
      </c>
      <c r="P321" s="20" t="n">
        <v>100</v>
      </c>
    </row>
    <row r="322">
      <c r="A322" s="18" t="inlineStr">
        <is>
          <t>보조금 수취</t>
        </is>
      </c>
      <c r="P322" s="20" t="n">
        <v>100</v>
      </c>
      <c r="Q322" s="20" t="n">
        <v>80</v>
      </c>
    </row>
    <row r="323">
      <c r="A323" s="18" t="inlineStr">
        <is>
          <t>기타</t>
        </is>
      </c>
      <c r="C323" s="20" t="n">
        <v>-26</v>
      </c>
      <c r="E323" s="20" t="n">
        <v>-145</v>
      </c>
      <c r="G323" s="20" t="n">
        <v>80</v>
      </c>
      <c r="I323" s="20" t="n">
        <v>1</v>
      </c>
      <c r="K323" s="20" t="n">
        <v>103</v>
      </c>
      <c r="M323" s="20" t="n">
        <v>61</v>
      </c>
      <c r="O323" s="20" t="n">
        <v>-33</v>
      </c>
      <c r="P323" s="20" t="n">
        <v>-114</v>
      </c>
      <c r="Q323" s="20" t="n">
        <v>-205</v>
      </c>
      <c r="R323" s="20" t="n">
        <v>-183</v>
      </c>
      <c r="S323" s="20" t="n">
        <v>-98</v>
      </c>
      <c r="T323" s="20" t="n">
        <v>-36</v>
      </c>
      <c r="U323" s="20" t="n">
        <v>-128</v>
      </c>
      <c r="V323" s="20" t="n">
        <v>-145</v>
      </c>
      <c r="W323" s="20" t="n">
        <v>1</v>
      </c>
      <c r="X323" s="20" t="n">
        <v>61</v>
      </c>
    </row>
    <row r="324">
      <c r="A324" s="9" t="inlineStr">
        <is>
          <t>투자활동 현금흐름</t>
        </is>
      </c>
      <c r="C324" s="12" t="n">
        <v>-1009</v>
      </c>
      <c r="E324" s="12" t="n">
        <v>-2008</v>
      </c>
      <c r="G324" s="12" t="n">
        <v>-997</v>
      </c>
      <c r="I324" s="12" t="n">
        <v>-2138</v>
      </c>
      <c r="K324" s="12" t="n">
        <v>-1267</v>
      </c>
      <c r="M324" s="12" t="n">
        <v>-3536</v>
      </c>
      <c r="O324" s="12" t="n">
        <v>-3336</v>
      </c>
      <c r="P324" s="12" t="n">
        <v>-1130</v>
      </c>
      <c r="Q324" s="12" t="n">
        <v>-5694</v>
      </c>
      <c r="R324" s="12" t="n">
        <v>-5842</v>
      </c>
      <c r="S324" s="12" t="n">
        <v>-3804</v>
      </c>
      <c r="T324" s="12" t="n">
        <v>-2700</v>
      </c>
      <c r="U324" s="12" t="n">
        <v>-2883</v>
      </c>
      <c r="V324" s="12" t="n">
        <v>-2008</v>
      </c>
      <c r="W324" s="12" t="n">
        <v>-2138</v>
      </c>
      <c r="X324" s="12" t="n">
        <v>-3536</v>
      </c>
    </row>
    <row r="325">
      <c r="A325" s="18" t="inlineStr">
        <is>
          <t>단기차입금 순증감</t>
        </is>
      </c>
      <c r="C325" s="20" t="n">
        <v>341</v>
      </c>
      <c r="E325" s="20" t="n">
        <v>-293</v>
      </c>
      <c r="G325" s="20" t="n">
        <v>0</v>
      </c>
      <c r="I325" s="20" t="n">
        <v>-426</v>
      </c>
      <c r="K325" s="20" t="n">
        <v>1081</v>
      </c>
      <c r="M325" s="20" t="n">
        <v>1074</v>
      </c>
      <c r="O325" s="20" t="n">
        <v>-3190</v>
      </c>
      <c r="P325" s="20" t="n">
        <v>-55</v>
      </c>
      <c r="Q325" s="20" t="n">
        <v>-685</v>
      </c>
      <c r="R325" s="20" t="n">
        <v>-245</v>
      </c>
      <c r="S325" s="20" t="n">
        <v>-75</v>
      </c>
      <c r="T325" s="20" t="n">
        <v>673</v>
      </c>
      <c r="U325" s="20" t="n">
        <v>174</v>
      </c>
      <c r="V325" s="20" t="n">
        <v>-293</v>
      </c>
      <c r="W325" s="20" t="n">
        <v>-426</v>
      </c>
      <c r="X325" s="20" t="n">
        <v>1074</v>
      </c>
    </row>
    <row r="326">
      <c r="A326" s="18" t="inlineStr">
        <is>
          <t>장기차입</t>
        </is>
      </c>
      <c r="C326" s="20" t="n">
        <v>7903</v>
      </c>
      <c r="E326" s="20" t="n">
        <v>8603</v>
      </c>
      <c r="G326" s="20" t="n">
        <v>0</v>
      </c>
      <c r="I326" s="20" t="n">
        <v>4000</v>
      </c>
      <c r="M326" s="20" t="n">
        <v>3000</v>
      </c>
      <c r="O326" s="20" t="n">
        <v>8393</v>
      </c>
      <c r="P326" s="20" t="n">
        <v>4000</v>
      </c>
      <c r="Q326" s="20" t="n">
        <v>5918</v>
      </c>
      <c r="R326" s="20" t="n">
        <v>6000</v>
      </c>
      <c r="S326" s="20" t="n">
        <v>5908</v>
      </c>
      <c r="T326" s="20" t="n">
        <v>4890</v>
      </c>
      <c r="U326" s="20" t="n">
        <v>7700</v>
      </c>
      <c r="V326" s="20" t="n">
        <v>8603</v>
      </c>
      <c r="W326" s="20" t="n">
        <v>4000</v>
      </c>
      <c r="X326" s="20" t="n">
        <v>3000</v>
      </c>
    </row>
    <row r="327">
      <c r="A327" s="18" t="inlineStr">
        <is>
          <t>장기차입금 상환</t>
        </is>
      </c>
      <c r="C327" s="20" t="n">
        <v>-2703</v>
      </c>
      <c r="E327" s="20" t="n">
        <v>-5534</v>
      </c>
      <c r="G327" s="20" t="n">
        <v>-3443</v>
      </c>
      <c r="I327" s="20" t="n">
        <v>-7027</v>
      </c>
      <c r="K327" s="20" t="n">
        <v>-3245</v>
      </c>
      <c r="M327" s="20" t="n">
        <v>-5872</v>
      </c>
      <c r="O327" s="20" t="n">
        <v>-3772</v>
      </c>
      <c r="P327" s="20" t="n">
        <v>-4800</v>
      </c>
      <c r="Q327" s="20" t="n">
        <v>-6005</v>
      </c>
      <c r="R327" s="20" t="n">
        <v>-5289</v>
      </c>
      <c r="S327" s="20" t="n">
        <v>-7266</v>
      </c>
      <c r="T327" s="20" t="n">
        <v>-6595</v>
      </c>
      <c r="U327" s="20" t="n">
        <v>-5879</v>
      </c>
      <c r="V327" s="20" t="n">
        <v>-5534</v>
      </c>
      <c r="W327" s="20" t="n">
        <v>-7027</v>
      </c>
      <c r="X327" s="20" t="n">
        <v>-5872</v>
      </c>
    </row>
    <row r="328">
      <c r="A328" s="18" t="inlineStr">
        <is>
          <t>사채 발행</t>
        </is>
      </c>
      <c r="Q328" s="20" t="n">
        <v>0</v>
      </c>
      <c r="R328" s="20" t="n">
        <v>5861</v>
      </c>
      <c r="S328" s="20" t="n">
        <v>0</v>
      </c>
    </row>
    <row r="329">
      <c r="A329" s="18" t="inlineStr">
        <is>
          <t>사채 상환</t>
        </is>
      </c>
      <c r="P329" s="20" t="n">
        <v>0</v>
      </c>
      <c r="Q329" s="20" t="n">
        <v>-50</v>
      </c>
      <c r="R329" s="20" t="n">
        <v>0</v>
      </c>
    </row>
    <row r="330">
      <c r="A330" s="18" t="inlineStr">
        <is>
          <t>세일앤리스백 수입</t>
        </is>
      </c>
      <c r="Q330" s="20" t="n">
        <v>0</v>
      </c>
      <c r="R330" s="20" t="n">
        <v>32</v>
      </c>
      <c r="S330" s="20" t="n">
        <v>2918</v>
      </c>
      <c r="T330" s="20" t="n">
        <v>0</v>
      </c>
    </row>
    <row r="331">
      <c r="A331" s="18" t="inlineStr">
        <is>
          <t>리스부채 상환</t>
        </is>
      </c>
      <c r="C331" s="20" t="n">
        <v>-228</v>
      </c>
      <c r="E331" s="20" t="n">
        <v>-451</v>
      </c>
      <c r="G331" s="20" t="n">
        <v>-250</v>
      </c>
      <c r="I331" s="20" t="n">
        <v>-480</v>
      </c>
      <c r="K331" s="20" t="n">
        <v>-246</v>
      </c>
      <c r="M331" s="20" t="n">
        <v>-493</v>
      </c>
      <c r="O331" s="20" t="n">
        <v>-346</v>
      </c>
      <c r="P331" s="20" t="n">
        <v>-299</v>
      </c>
      <c r="Q331" s="20" t="n">
        <v>-321</v>
      </c>
      <c r="R331" s="20" t="n">
        <v>-303</v>
      </c>
      <c r="S331" s="20" t="n">
        <v>-477</v>
      </c>
      <c r="T331" s="20" t="n">
        <v>-571</v>
      </c>
      <c r="U331" s="20" t="n">
        <v>-531</v>
      </c>
      <c r="V331" s="20" t="n">
        <v>-451</v>
      </c>
      <c r="W331" s="20" t="n">
        <v>-480</v>
      </c>
      <c r="X331" s="20" t="n">
        <v>-493</v>
      </c>
    </row>
    <row r="332">
      <c r="A332" s="18" t="inlineStr">
        <is>
          <t>자기주식 취득</t>
        </is>
      </c>
      <c r="C332" s="20" t="n">
        <v>0</v>
      </c>
      <c r="E332" s="20" t="n">
        <v>-0</v>
      </c>
      <c r="G332" s="20" t="n">
        <v>-0</v>
      </c>
      <c r="I332" s="20" t="n">
        <v>-0</v>
      </c>
      <c r="K332" s="20" t="n">
        <v>-0</v>
      </c>
      <c r="M332" s="20" t="n">
        <v>-1</v>
      </c>
      <c r="O332" s="20" t="n">
        <v>-1004</v>
      </c>
      <c r="P332" s="20" t="n">
        <v>-1</v>
      </c>
      <c r="Q332" s="20" t="n">
        <v>-0</v>
      </c>
      <c r="R332" s="20" t="n">
        <v>-0</v>
      </c>
      <c r="S332" s="20" t="n">
        <v>0</v>
      </c>
      <c r="T332" s="20" t="n">
        <v>-0</v>
      </c>
      <c r="U332" s="20" t="n">
        <v>-1500</v>
      </c>
      <c r="V332" s="20" t="n">
        <v>-0</v>
      </c>
      <c r="W332" s="20" t="n">
        <v>-0</v>
      </c>
      <c r="X332" s="20" t="n">
        <v>-1</v>
      </c>
    </row>
    <row r="333">
      <c r="A333" s="18" t="inlineStr">
        <is>
          <t>배당금 지급</t>
        </is>
      </c>
      <c r="C333" s="20" t="n">
        <v>-382</v>
      </c>
      <c r="E333" s="20" t="n">
        <v>-573</v>
      </c>
      <c r="G333" s="20" t="n">
        <v>-430</v>
      </c>
      <c r="I333" s="20" t="n">
        <v>-861</v>
      </c>
      <c r="K333" s="20" t="n">
        <v>-526</v>
      </c>
      <c r="M333" s="20" t="n">
        <v>-1161</v>
      </c>
      <c r="O333" s="20" t="n">
        <v>-526</v>
      </c>
      <c r="P333" s="20" t="n">
        <v>-606</v>
      </c>
      <c r="Q333" s="20" t="n">
        <v>-709</v>
      </c>
      <c r="R333" s="20" t="n">
        <v>-1067</v>
      </c>
      <c r="S333" s="20" t="n">
        <v>-712</v>
      </c>
      <c r="T333" s="20" t="n">
        <v>-712</v>
      </c>
      <c r="U333" s="20" t="n">
        <v>-840</v>
      </c>
      <c r="V333" s="20" t="n">
        <v>-573</v>
      </c>
      <c r="W333" s="20" t="n">
        <v>-861</v>
      </c>
      <c r="X333" s="20" t="n">
        <v>-1161</v>
      </c>
    </row>
    <row r="334">
      <c r="A334" s="18" t="inlineStr">
        <is>
          <t>자기주식 처분</t>
        </is>
      </c>
      <c r="G334" s="20" t="n">
        <v>0</v>
      </c>
      <c r="I334" s="20" t="n">
        <v>0</v>
      </c>
      <c r="K334" s="20" t="n">
        <v>5151</v>
      </c>
      <c r="M334" s="20" t="n">
        <v>5151</v>
      </c>
      <c r="O334" s="20" t="n">
        <v>21</v>
      </c>
      <c r="P334" s="20" t="n">
        <v>7</v>
      </c>
      <c r="Q334" s="20" t="n">
        <v>0</v>
      </c>
      <c r="W334" s="20" t="n">
        <v>0</v>
      </c>
      <c r="X334" s="20" t="n">
        <v>5151</v>
      </c>
    </row>
    <row r="335">
      <c r="A335" s="18" t="inlineStr">
        <is>
          <t>연결범위 변경 없는 자회사 주식 취득</t>
        </is>
      </c>
      <c r="I335" s="20" t="n">
        <v>0</v>
      </c>
      <c r="M335" s="20" t="n">
        <v>-103</v>
      </c>
      <c r="O335" s="20" t="n">
        <v>-10</v>
      </c>
      <c r="P335" s="20" t="n">
        <v>-62</v>
      </c>
      <c r="Q335" s="20" t="n">
        <v>0</v>
      </c>
      <c r="W335" s="20" t="n">
        <v>0</v>
      </c>
      <c r="X335" s="20" t="n">
        <v>-103</v>
      </c>
    </row>
    <row r="336">
      <c r="A336" s="18" t="inlineStr">
        <is>
          <t>비지배주주 배당금 지급</t>
        </is>
      </c>
      <c r="C336" s="20" t="n">
        <v>-103</v>
      </c>
      <c r="E336" s="20" t="n">
        <v>-103</v>
      </c>
      <c r="G336" s="20" t="n">
        <v>-248</v>
      </c>
      <c r="I336" s="20" t="n">
        <v>-248</v>
      </c>
      <c r="K336" s="20" t="n">
        <v>-738</v>
      </c>
      <c r="M336" s="20" t="n">
        <v>-738</v>
      </c>
      <c r="O336" s="20" t="n">
        <v>-39</v>
      </c>
      <c r="P336" s="20" t="n">
        <v>-38</v>
      </c>
      <c r="Q336" s="20" t="n">
        <v>-41</v>
      </c>
      <c r="R336" s="20" t="n">
        <v>-42</v>
      </c>
      <c r="S336" s="20" t="n">
        <v>-40</v>
      </c>
      <c r="T336" s="20" t="n">
        <v>-40</v>
      </c>
      <c r="U336" s="20" t="n">
        <v>-152</v>
      </c>
      <c r="V336" s="20" t="n">
        <v>-103</v>
      </c>
      <c r="W336" s="20" t="n">
        <v>-248</v>
      </c>
      <c r="X336" s="20" t="n">
        <v>-738</v>
      </c>
    </row>
    <row r="337">
      <c r="A337" s="18" t="inlineStr">
        <is>
          <t>비지배주주 납입</t>
        </is>
      </c>
      <c r="P337" s="20" t="n">
        <v>0</v>
      </c>
      <c r="Q337" s="20" t="n">
        <v>385</v>
      </c>
      <c r="R337" s="20" t="n">
        <v>0</v>
      </c>
      <c r="S337" s="20" t="n">
        <v>0</v>
      </c>
      <c r="T337" s="20" t="n">
        <v>20</v>
      </c>
      <c r="U337" s="20" t="n">
        <v>0</v>
      </c>
    </row>
    <row r="338">
      <c r="A338" s="9" t="inlineStr">
        <is>
          <t>재무활동 현금흐름</t>
        </is>
      </c>
      <c r="C338" s="12" t="n">
        <v>4826</v>
      </c>
      <c r="E338" s="12" t="n">
        <v>1646</v>
      </c>
      <c r="G338" s="12" t="n">
        <v>-4372</v>
      </c>
      <c r="I338" s="12" t="n">
        <v>-5045</v>
      </c>
      <c r="K338" s="12" t="n">
        <v>1475</v>
      </c>
      <c r="M338" s="12" t="n">
        <v>854</v>
      </c>
      <c r="O338" s="12" t="n">
        <v>-477</v>
      </c>
      <c r="P338" s="12" t="n">
        <v>-1858</v>
      </c>
      <c r="Q338" s="12" t="n">
        <v>-1510</v>
      </c>
      <c r="R338" s="12" t="n">
        <v>4946</v>
      </c>
      <c r="S338" s="12" t="n">
        <v>255</v>
      </c>
      <c r="T338" s="12" t="n">
        <v>-2336</v>
      </c>
      <c r="U338" s="12" t="n">
        <v>-1030</v>
      </c>
      <c r="V338" s="12" t="n">
        <v>1646</v>
      </c>
      <c r="W338" s="12" t="n">
        <v>-5045</v>
      </c>
      <c r="X338" s="12" t="n">
        <v>854</v>
      </c>
    </row>
    <row r="339">
      <c r="A339" s="18" t="inlineStr">
        <is>
          <t>현금성자산 환산차이</t>
        </is>
      </c>
      <c r="C339" s="20" t="n">
        <v>171</v>
      </c>
      <c r="E339" s="20" t="n">
        <v>165</v>
      </c>
      <c r="G339" s="20" t="n">
        <v>94</v>
      </c>
      <c r="I339" s="20" t="n">
        <v>264</v>
      </c>
      <c r="K339" s="20" t="n">
        <v>-106</v>
      </c>
      <c r="M339" s="20" t="n">
        <v>-7</v>
      </c>
      <c r="O339" s="20" t="n">
        <v>-42</v>
      </c>
      <c r="P339" s="20" t="n">
        <v>78</v>
      </c>
      <c r="Q339" s="20" t="n">
        <v>-155</v>
      </c>
      <c r="R339" s="20" t="n">
        <v>-21</v>
      </c>
      <c r="S339" s="20" t="n">
        <v>-0</v>
      </c>
      <c r="T339" s="20" t="n">
        <v>135</v>
      </c>
      <c r="U339" s="20" t="n">
        <v>89</v>
      </c>
      <c r="V339" s="20" t="n">
        <v>165</v>
      </c>
      <c r="W339" s="20" t="n">
        <v>264</v>
      </c>
      <c r="X339" s="20" t="n">
        <v>-7</v>
      </c>
    </row>
    <row r="340">
      <c r="A340" s="18" t="inlineStr">
        <is>
          <t>현금성자산 증감</t>
        </is>
      </c>
      <c r="C340" s="20" t="n">
        <v>6127</v>
      </c>
      <c r="E340" s="20" t="n">
        <v>6895</v>
      </c>
      <c r="G340" s="20" t="n">
        <v>-1774</v>
      </c>
      <c r="I340" s="20" t="n">
        <v>609</v>
      </c>
      <c r="K340" s="20" t="n">
        <v>3030</v>
      </c>
      <c r="M340" s="20" t="n">
        <v>7273</v>
      </c>
      <c r="O340" s="20" t="n">
        <v>-105</v>
      </c>
      <c r="P340" s="20" t="n">
        <v>2106</v>
      </c>
      <c r="Q340" s="20" t="n">
        <v>-4123</v>
      </c>
      <c r="R340" s="20" t="n">
        <v>2847</v>
      </c>
      <c r="S340" s="20" t="n">
        <v>1405</v>
      </c>
      <c r="T340" s="20" t="n">
        <v>619</v>
      </c>
      <c r="U340" s="20" t="n">
        <v>-3099</v>
      </c>
      <c r="V340" s="20" t="n">
        <v>6895</v>
      </c>
      <c r="W340" s="20" t="n">
        <v>609</v>
      </c>
      <c r="X340" s="20" t="n">
        <v>7273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4461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54776</v>
      </c>
      <c r="D5" s="12" t="n">
        <v>60652</v>
      </c>
      <c r="E5" s="12" t="n">
        <v>66115</v>
      </c>
      <c r="F5" s="12" t="n">
        <v>69382</v>
      </c>
      <c r="G5" s="12" t="n">
        <v>69547</v>
      </c>
      <c r="H5" s="11" t="n">
        <v>46534</v>
      </c>
      <c r="I5" s="12" t="n">
        <v>45411</v>
      </c>
      <c r="J5" s="12" t="n">
        <v>53614</v>
      </c>
      <c r="K5" s="12" t="n">
        <v>57247</v>
      </c>
      <c r="L5" s="12" t="n">
        <v>69382</v>
      </c>
    </row>
    <row r="6">
      <c r="A6" s="18" t="inlineStr">
        <is>
          <t>현금및현금성자산</t>
        </is>
      </c>
      <c r="B6" s="10" t="n"/>
      <c r="C6" s="19" t="n">
        <v>15436</v>
      </c>
      <c r="D6" s="20" t="n">
        <v>19768</v>
      </c>
      <c r="E6" s="20" t="n">
        <v>19362</v>
      </c>
      <c r="F6" s="20" t="n">
        <v>24031</v>
      </c>
      <c r="G6" s="20" t="n">
        <v>21060</v>
      </c>
      <c r="H6" s="19" t="n">
        <v>12224</v>
      </c>
      <c r="I6" s="20" t="n">
        <v>9128</v>
      </c>
      <c r="J6" s="20" t="n">
        <v>16126</v>
      </c>
      <c r="K6" s="20" t="n">
        <v>16751</v>
      </c>
      <c r="L6" s="20" t="n">
        <v>24031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18603</v>
      </c>
      <c r="D8" s="20" t="n">
        <v>19152</v>
      </c>
      <c r="E8" s="20" t="n">
        <v>23328</v>
      </c>
      <c r="F8" s="20" t="n">
        <v>21364</v>
      </c>
      <c r="G8" s="20" t="n">
        <v>24278</v>
      </c>
      <c r="H8" s="19" t="n">
        <v>14959</v>
      </c>
      <c r="I8" s="20" t="n">
        <v>15105</v>
      </c>
      <c r="J8" s="20" t="n">
        <v>18299</v>
      </c>
      <c r="K8" s="20" t="n">
        <v>19842</v>
      </c>
      <c r="L8" s="20" t="n">
        <v>21364</v>
      </c>
    </row>
    <row r="9">
      <c r="A9" s="18" t="inlineStr">
        <is>
          <t>재고자산</t>
        </is>
      </c>
      <c r="B9" s="10" t="n"/>
      <c r="C9" s="19" t="n">
        <v>15794</v>
      </c>
      <c r="D9" s="20" t="n">
        <v>16790</v>
      </c>
      <c r="E9" s="20" t="n">
        <v>17615</v>
      </c>
      <c r="F9" s="20" t="n">
        <v>18723</v>
      </c>
      <c r="G9" s="20" t="n">
        <v>18737</v>
      </c>
      <c r="H9" s="19" t="n">
        <v>15508</v>
      </c>
      <c r="I9" s="20" t="n">
        <v>16636</v>
      </c>
      <c r="J9" s="20" t="n">
        <v>14140</v>
      </c>
      <c r="K9" s="20" t="n">
        <v>15899</v>
      </c>
      <c r="L9" s="20" t="n">
        <v>18723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39412</v>
      </c>
      <c r="D11" s="12" t="n">
        <v>41745</v>
      </c>
      <c r="E11" s="12" t="n">
        <v>43393</v>
      </c>
      <c r="F11" s="12" t="n">
        <v>45621</v>
      </c>
      <c r="G11" s="12" t="n">
        <v>47599</v>
      </c>
      <c r="H11" s="11" t="n">
        <v>39935</v>
      </c>
      <c r="I11" s="12" t="n">
        <v>39614</v>
      </c>
      <c r="J11" s="12" t="n">
        <v>40922</v>
      </c>
      <c r="K11" s="12" t="n">
        <v>39865</v>
      </c>
      <c r="L11" s="12" t="n">
        <v>45621</v>
      </c>
    </row>
    <row r="12">
      <c r="A12" s="18" t="inlineStr">
        <is>
          <t>유형자산</t>
        </is>
      </c>
      <c r="B12" s="10" t="n"/>
      <c r="C12" s="19" t="n">
        <v>30824</v>
      </c>
      <c r="D12" s="20" t="n">
        <v>32171</v>
      </c>
      <c r="E12" s="20" t="n">
        <v>32977</v>
      </c>
      <c r="F12" s="20" t="n">
        <v>33328</v>
      </c>
      <c r="G12" s="20" t="n">
        <v>34244</v>
      </c>
      <c r="H12" s="19" t="n">
        <v>33358</v>
      </c>
      <c r="I12" s="20" t="n">
        <v>32743</v>
      </c>
      <c r="J12" s="20" t="n">
        <v>32467</v>
      </c>
      <c r="K12" s="20" t="n">
        <v>31398</v>
      </c>
      <c r="L12" s="20" t="n">
        <v>33328</v>
      </c>
    </row>
    <row r="13">
      <c r="A13" s="18" t="inlineStr">
        <is>
          <t>무형자산</t>
        </is>
      </c>
      <c r="B13" s="10" t="n"/>
      <c r="C13" s="19" t="n">
        <v>273</v>
      </c>
      <c r="D13" s="20" t="n">
        <v>253</v>
      </c>
      <c r="E13" s="20" t="n">
        <v>264</v>
      </c>
      <c r="F13" s="20" t="n">
        <v>268</v>
      </c>
      <c r="G13" s="20" t="n">
        <v>256</v>
      </c>
      <c r="H13" s="19" t="n">
        <v>618</v>
      </c>
      <c r="I13" s="20" t="n">
        <v>341</v>
      </c>
      <c r="J13" s="20" t="n">
        <v>290</v>
      </c>
      <c r="K13" s="20" t="n">
        <v>250</v>
      </c>
      <c r="L13" s="20" t="n">
        <v>268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94188</v>
      </c>
      <c r="D16" s="12" t="n">
        <v>102398</v>
      </c>
      <c r="E16" s="12" t="n">
        <v>109509</v>
      </c>
      <c r="F16" s="12" t="n">
        <v>115003</v>
      </c>
      <c r="G16" s="12" t="n">
        <v>117147</v>
      </c>
      <c r="H16" s="11" t="n">
        <v>86469</v>
      </c>
      <c r="I16" s="12" t="n">
        <v>85025</v>
      </c>
      <c r="J16" s="12" t="n">
        <v>94537</v>
      </c>
      <c r="K16" s="12" t="n">
        <v>97113</v>
      </c>
      <c r="L16" s="12" t="n">
        <v>115003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25693</v>
      </c>
      <c r="D18" s="12" t="n">
        <v>28049</v>
      </c>
      <c r="E18" s="12" t="n">
        <v>34155</v>
      </c>
      <c r="F18" s="12" t="n">
        <v>39562</v>
      </c>
      <c r="G18" s="12" t="n">
        <v>39405</v>
      </c>
      <c r="H18" s="11" t="n">
        <v>21726</v>
      </c>
      <c r="I18" s="12" t="n">
        <v>20639</v>
      </c>
      <c r="J18" s="12" t="n">
        <v>25159</v>
      </c>
      <c r="K18" s="12" t="n">
        <v>26532</v>
      </c>
      <c r="L18" s="12" t="n">
        <v>39562</v>
      </c>
    </row>
    <row r="19">
      <c r="A19" s="18" t="inlineStr">
        <is>
          <t>매입채무</t>
        </is>
      </c>
      <c r="B19" s="10" t="n"/>
      <c r="C19" s="19" t="n">
        <v>12523</v>
      </c>
      <c r="D19" s="20" t="n">
        <v>13002</v>
      </c>
      <c r="E19" s="20" t="n">
        <v>17003</v>
      </c>
      <c r="F19" s="20" t="n">
        <v>15358</v>
      </c>
      <c r="G19" s="20" t="n">
        <v>16712</v>
      </c>
      <c r="H19" s="19" t="n">
        <v>10204</v>
      </c>
      <c r="I19" s="20" t="n">
        <v>9972</v>
      </c>
      <c r="J19" s="20" t="n">
        <v>11979</v>
      </c>
      <c r="K19" s="20" t="n">
        <v>13484</v>
      </c>
      <c r="L19" s="20" t="n">
        <v>15358</v>
      </c>
    </row>
    <row r="20">
      <c r="A20" s="18" t="inlineStr">
        <is>
          <t>단기차입금</t>
        </is>
      </c>
      <c r="B20" s="10" t="n"/>
      <c r="C20" s="19" t="n">
        <v>6504</v>
      </c>
      <c r="D20" s="20" t="n">
        <v>7143</v>
      </c>
      <c r="E20" s="20" t="n">
        <v>7206</v>
      </c>
      <c r="F20" s="20" t="n">
        <v>7230</v>
      </c>
      <c r="G20" s="20" t="n">
        <v>7050</v>
      </c>
      <c r="H20" s="19" t="n">
        <v>6711</v>
      </c>
      <c r="I20" s="20" t="n">
        <v>6516</v>
      </c>
      <c r="J20" s="20" t="n">
        <v>7847</v>
      </c>
      <c r="K20" s="20" t="n">
        <v>6300</v>
      </c>
      <c r="L20" s="20" t="n">
        <v>7230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>
        <v>6000</v>
      </c>
      <c r="G21" s="20" t="n">
        <v>6000</v>
      </c>
      <c r="H21" s="19" t="n"/>
      <c r="I21" s="20" t="n"/>
      <c r="J21" s="20" t="n"/>
      <c r="K21" s="20" t="n">
        <v>0</v>
      </c>
      <c r="L21" s="20" t="n">
        <v>6000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24602</v>
      </c>
      <c r="D23" s="12" t="n">
        <v>22374</v>
      </c>
      <c r="E23" s="12" t="n">
        <v>21070</v>
      </c>
      <c r="F23" s="12" t="n">
        <v>17183</v>
      </c>
      <c r="G23" s="12" t="n">
        <v>16769</v>
      </c>
      <c r="H23" s="11" t="n">
        <v>24359</v>
      </c>
      <c r="I23" s="12" t="n">
        <v>26089</v>
      </c>
      <c r="J23" s="12" t="n">
        <v>28081</v>
      </c>
      <c r="K23" s="12" t="n">
        <v>26075</v>
      </c>
      <c r="L23" s="12" t="n">
        <v>17183</v>
      </c>
    </row>
    <row r="24">
      <c r="A24" s="18" t="inlineStr">
        <is>
          <t>장기차입금</t>
        </is>
      </c>
      <c r="B24" s="10" t="n"/>
      <c r="C24" s="19" t="n">
        <v>15616</v>
      </c>
      <c r="D24" s="20" t="n">
        <v>14172</v>
      </c>
      <c r="E24" s="20" t="n">
        <v>12705</v>
      </c>
      <c r="F24" s="20" t="n">
        <v>14431</v>
      </c>
      <c r="G24" s="20" t="n">
        <v>12988</v>
      </c>
      <c r="H24" s="19" t="n">
        <v>15051</v>
      </c>
      <c r="I24" s="20" t="n">
        <v>17348</v>
      </c>
      <c r="J24" s="20" t="n">
        <v>18950</v>
      </c>
      <c r="K24" s="20" t="n">
        <v>17114</v>
      </c>
      <c r="L24" s="20" t="n">
        <v>14431</v>
      </c>
    </row>
    <row r="25">
      <c r="A25" s="18" t="inlineStr">
        <is>
          <t>사채</t>
        </is>
      </c>
      <c r="B25" s="10" t="n"/>
      <c r="C25" s="19" t="n">
        <v>6000</v>
      </c>
      <c r="D25" s="20" t="n">
        <v>6000</v>
      </c>
      <c r="E25" s="20" t="n">
        <v>6000</v>
      </c>
      <c r="F25" s="20" t="n">
        <v>0</v>
      </c>
      <c r="G25" s="20" t="n"/>
      <c r="H25" s="19" t="n">
        <v>6000</v>
      </c>
      <c r="I25" s="20" t="n">
        <v>6000</v>
      </c>
      <c r="J25" s="20" t="n">
        <v>6000</v>
      </c>
      <c r="K25" s="20" t="n">
        <v>6000</v>
      </c>
      <c r="L25" s="20" t="n">
        <v>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50295</v>
      </c>
      <c r="D27" s="12" t="n">
        <v>50424</v>
      </c>
      <c r="E27" s="12" t="n">
        <v>55225</v>
      </c>
      <c r="F27" s="12" t="n">
        <v>56746</v>
      </c>
      <c r="G27" s="12" t="n">
        <v>56174</v>
      </c>
      <c r="H27" s="11" t="n">
        <v>46086</v>
      </c>
      <c r="I27" s="12" t="n">
        <v>46729</v>
      </c>
      <c r="J27" s="12" t="n">
        <v>53240</v>
      </c>
      <c r="K27" s="12" t="n">
        <v>52608</v>
      </c>
      <c r="L27" s="12" t="n">
        <v>56746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38947</v>
      </c>
      <c r="D31" s="12" t="n">
        <v>46458</v>
      </c>
      <c r="E31" s="12" t="n">
        <v>48490</v>
      </c>
      <c r="F31" s="12" t="n">
        <v>52039</v>
      </c>
      <c r="G31" s="12" t="n">
        <v>54991</v>
      </c>
      <c r="H31" s="11" t="n">
        <v>36767</v>
      </c>
      <c r="I31" s="12" t="n">
        <v>34347</v>
      </c>
      <c r="J31" s="12" t="n">
        <v>36748</v>
      </c>
      <c r="K31" s="12" t="n">
        <v>38729</v>
      </c>
      <c r="L31" s="12" t="n">
        <v>52039</v>
      </c>
    </row>
    <row r="32">
      <c r="A32" s="18" t="inlineStr">
        <is>
          <t>자본금</t>
        </is>
      </c>
      <c r="B32" s="10" t="n"/>
      <c r="C32" s="19" t="n">
        <v>8895</v>
      </c>
      <c r="D32" s="20" t="n">
        <v>8895</v>
      </c>
      <c r="E32" s="20" t="n">
        <v>8895</v>
      </c>
      <c r="F32" s="20" t="n">
        <v>8895</v>
      </c>
      <c r="G32" s="20" t="n">
        <v>8895</v>
      </c>
      <c r="H32" s="19" t="n">
        <v>8895</v>
      </c>
      <c r="I32" s="20" t="n">
        <v>8895</v>
      </c>
      <c r="J32" s="20" t="n">
        <v>8895</v>
      </c>
      <c r="K32" s="20" t="n">
        <v>8895</v>
      </c>
      <c r="L32" s="20" t="n">
        <v>8895</v>
      </c>
    </row>
    <row r="33">
      <c r="A33" s="18" t="inlineStr">
        <is>
          <t>이익잉여금</t>
        </is>
      </c>
      <c r="B33" s="10" t="n"/>
      <c r="C33" s="19" t="n">
        <v>22033</v>
      </c>
      <c r="D33" s="20" t="n">
        <v>23231</v>
      </c>
      <c r="E33" s="20" t="n">
        <v>24646</v>
      </c>
      <c r="F33" s="20" t="n">
        <v>26583</v>
      </c>
      <c r="G33" s="20" t="n">
        <v>28744</v>
      </c>
      <c r="H33" s="19" t="n">
        <v>20498</v>
      </c>
      <c r="I33" s="20" t="n">
        <v>19250</v>
      </c>
      <c r="J33" s="20" t="n">
        <v>19851</v>
      </c>
      <c r="K33" s="20" t="n">
        <v>21575</v>
      </c>
      <c r="L33" s="20" t="n">
        <v>26583</v>
      </c>
    </row>
    <row r="34">
      <c r="A34" s="18" t="inlineStr">
        <is>
          <t>비지배지분</t>
        </is>
      </c>
      <c r="B34" s="10" t="n"/>
      <c r="C34" s="19" t="n">
        <v>4946</v>
      </c>
      <c r="D34" s="20" t="n">
        <v>5516</v>
      </c>
      <c r="E34" s="20" t="n">
        <v>5793</v>
      </c>
      <c r="F34" s="20" t="n">
        <v>6218</v>
      </c>
      <c r="G34" s="20" t="n">
        <v>5982</v>
      </c>
      <c r="H34" s="19" t="n">
        <v>3616</v>
      </c>
      <c r="I34" s="20" t="n">
        <v>3949</v>
      </c>
      <c r="J34" s="20" t="n">
        <v>4549</v>
      </c>
      <c r="K34" s="20" t="n">
        <v>5775</v>
      </c>
      <c r="L34" s="20" t="n">
        <v>6218</v>
      </c>
    </row>
    <row r="35">
      <c r="A35" s="9" t="inlineStr">
        <is>
          <t>자본총계</t>
        </is>
      </c>
      <c r="B35" s="10" t="n"/>
      <c r="C35" s="11" t="n">
        <v>43893</v>
      </c>
      <c r="D35" s="12" t="n">
        <v>51974</v>
      </c>
      <c r="E35" s="12" t="n">
        <v>54283</v>
      </c>
      <c r="F35" s="12" t="n">
        <v>58257</v>
      </c>
      <c r="G35" s="12" t="n">
        <v>60973</v>
      </c>
      <c r="H35" s="11" t="n">
        <v>40383</v>
      </c>
      <c r="I35" s="12" t="n">
        <v>38296</v>
      </c>
      <c r="J35" s="12" t="n">
        <v>41297</v>
      </c>
      <c r="K35" s="12" t="n">
        <v>44504</v>
      </c>
      <c r="L35" s="12" t="n">
        <v>58257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6955</v>
      </c>
      <c r="E37" s="12" t="n"/>
      <c r="F37" s="12" t="n">
        <v>9962</v>
      </c>
      <c r="G37" s="12" t="n"/>
      <c r="H37" s="11" t="n">
        <v>5520</v>
      </c>
      <c r="I37" s="12" t="n">
        <v>724</v>
      </c>
      <c r="J37" s="12" t="n">
        <v>7091</v>
      </c>
      <c r="K37" s="12" t="n">
        <v>7528</v>
      </c>
      <c r="L37" s="12" t="n">
        <v>9962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2432</v>
      </c>
      <c r="E38" s="20" t="n"/>
      <c r="F38" s="20" t="n">
        <v>3622</v>
      </c>
      <c r="G38" s="20" t="n"/>
      <c r="H38" s="19" t="n">
        <v>2661</v>
      </c>
      <c r="I38" s="20" t="n">
        <v>2834</v>
      </c>
      <c r="J38" s="20" t="n">
        <v>2502</v>
      </c>
      <c r="K38" s="20" t="n">
        <v>2140</v>
      </c>
      <c r="L38" s="20" t="n">
        <v>3622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957</v>
      </c>
      <c r="E40" s="20" t="n"/>
      <c r="F40" s="20" t="n">
        <v>1161</v>
      </c>
      <c r="G40" s="20" t="n"/>
      <c r="H40" s="19" t="n">
        <v>712</v>
      </c>
      <c r="I40" s="20" t="n">
        <v>840</v>
      </c>
      <c r="J40" s="20" t="n">
        <v>573</v>
      </c>
      <c r="K40" s="20" t="n">
        <v>861</v>
      </c>
      <c r="L40" s="20" t="n">
        <v>1161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IFERROR((IF(COUNT('연간'!G49:J49)&lt;4,"",SUM('연간'!G49:J49)))/(IF(COUNT('연간'!G71:J71)&lt;4,"",SUM('연간'!G71:J71))),"")</f>
        <v/>
      </c>
      <c r="D48" s="31">
        <f>IFERROR((IF(COUNT('연간'!H49:K49)&lt;4,"",SUM('연간'!H49:K49)))/(IF(COUNT('연간'!H71:K71)&lt;4,"",SUM('연간'!H71:K71))),"")</f>
        <v/>
      </c>
      <c r="E48" s="31">
        <f>IFERROR((IF(COUNT('연간'!I49:L49)&lt;4,"",SUM('연간'!I49:L49)))/(IF(COUNT('연간'!I71:L71)&lt;4,"",SUM('연간'!I71:L71))),"")</f>
        <v/>
      </c>
      <c r="F48" s="31">
        <f>IFERROR((IF(COUNT('연간'!J49:M49)&lt;4,"",SUM('연간'!J49:M49)))/(IF(COUNT('연간'!J71:M71)&lt;4,"",SUM('연간'!J71:M71))),"")</f>
        <v/>
      </c>
      <c r="G48" s="31">
        <f>IFERROR((IF(COUNT('연간'!K49:N49)&lt;4,"",SUM('연간'!K49:N49)))/(IF(COUNT('연간'!K71:N71)&lt;4,"",SUM('연간'!K71:N71))),"")</f>
        <v/>
      </c>
      <c r="H48" s="30">
        <f>IFERROR(('연간'!T49)/('연간'!T71),"")</f>
        <v/>
      </c>
      <c r="I48" s="31">
        <f>IFERROR(('연간'!U49)/('연간'!U71),"")</f>
        <v/>
      </c>
      <c r="J48" s="31">
        <f>IFERROR(('연간'!V49)/('연간'!V71),"")</f>
        <v/>
      </c>
      <c r="K48" s="31">
        <f>IFERROR(('연간'!W49)/('연간'!W71),"")</f>
        <v/>
      </c>
      <c r="L48" s="31">
        <f>IFERROR(('연간'!X49)/('연간'!X71),"")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IFERROR(IF((IF(COUNT('연간'!G79:J79)&lt;4,"",SUM('연간'!G79:J79)))&lt;=0,"적자",C28/(IF(COUNT('연간'!G79:J79)&lt;4,"",SUM('연간'!G79:J79)))),"")</f>
        <v/>
      </c>
      <c r="D49" s="47">
        <f>IFERROR(IF((IF(COUNT('연간'!H79:K79)&lt;4,"",SUM('연간'!H79:K79)))&lt;=0,"적자",D28/(IF(COUNT('연간'!H79:K79)&lt;4,"",SUM('연간'!H79:K79)))),"")</f>
        <v/>
      </c>
      <c r="E49" s="47">
        <f>IFERROR(IF((IF(COUNT('연간'!I79:L79)&lt;4,"",SUM('연간'!I79:L79)))&lt;=0,"적자",E28/(IF(COUNT('연간'!I79:L79)&lt;4,"",SUM('연간'!I79:L79)))),"")</f>
        <v/>
      </c>
      <c r="F49" s="47">
        <f>IFERROR(IF((IF(COUNT('연간'!J79:M79)&lt;4,"",SUM('연간'!J79:M79)))&lt;=0,"적자",F28/(IF(COUNT('연간'!J79:M79)&lt;4,"",SUM('연간'!J79:M79)))),"")</f>
        <v/>
      </c>
      <c r="G49" s="47">
        <f>IFERROR(IF((IF(COUNT('연간'!K79:N79)&lt;4,"",SUM('연간'!K79:N79)))&lt;=0,"적자",G28/(IF(COUNT('연간'!K79:N79)&lt;4,"",SUM('연간'!K79:N79)))),"")</f>
        <v/>
      </c>
      <c r="H49" s="46">
        <f>IFERROR(IF(('연간'!T79)&lt;=0,"적자",H28/('연간'!T79)),"")</f>
        <v/>
      </c>
      <c r="I49" s="47">
        <f>IFERROR(IF(('연간'!U79)&lt;=0,"적자",I28/('연간'!U79)),"")</f>
        <v/>
      </c>
      <c r="J49" s="47">
        <f>IFERROR(IF(('연간'!V79)&lt;=0,"적자",J28/('연간'!V79)),"")</f>
        <v/>
      </c>
      <c r="K49" s="47">
        <f>IFERROR(IF(('연간'!W79)&lt;=0,"적자",K28/('연간'!W79)),"")</f>
        <v/>
      </c>
      <c r="L49" s="47">
        <f>IFERROR(IF(('연간'!X79)&lt;=0,"적자",L28/('연간'!X79)),"")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IFERROR((IF(COUNT('연간'!G79:J79)&lt;4,"",SUM('연간'!G79:J79)))/C31,"")</f>
        <v/>
      </c>
      <c r="D51" s="36">
        <f>IFERROR((IF(COUNT('연간'!H79:K79)&lt;4,"",SUM('연간'!H79:K79)))/D31,"")</f>
        <v/>
      </c>
      <c r="E51" s="36">
        <f>IFERROR((IF(COUNT('연간'!I79:L79)&lt;4,"",SUM('연간'!I79:L79)))/E31,"")</f>
        <v/>
      </c>
      <c r="F51" s="36">
        <f>IFERROR((IF(COUNT('연간'!J79:M79)&lt;4,"",SUM('연간'!J79:M79)))/F31,"")</f>
        <v/>
      </c>
      <c r="G51" s="36">
        <f>IFERROR((IF(COUNT('연간'!K79:N79)&lt;4,"",SUM('연간'!K79:N79)))/G31,"")</f>
        <v/>
      </c>
      <c r="H51" s="35">
        <f>IFERROR(('연간'!T79)/H31,"")</f>
        <v/>
      </c>
      <c r="I51" s="36">
        <f>IFERROR(('연간'!U79)/I31,"")</f>
        <v/>
      </c>
      <c r="J51" s="36">
        <f>IFERROR(('연간'!V79)/J31,"")</f>
        <v/>
      </c>
      <c r="K51" s="36">
        <f>IFERROR(('연간'!W79)/K31,"")</f>
        <v/>
      </c>
      <c r="L51" s="36">
        <f>IFERROR(('연간'!X79)/L31,"")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IFERROR((IF(COUNT('연간'!G77:J77)&lt;4,"",SUM('연간'!G77:J77)))/C16,"")</f>
        <v/>
      </c>
      <c r="D52" s="36">
        <f>IFERROR((IF(COUNT('연간'!H77:K77)&lt;4,"",SUM('연간'!H77:K77)))/D16,"")</f>
        <v/>
      </c>
      <c r="E52" s="36">
        <f>IFERROR((IF(COUNT('연간'!I77:L77)&lt;4,"",SUM('연간'!I77:L77)))/E16,"")</f>
        <v/>
      </c>
      <c r="F52" s="36">
        <f>IFERROR((IF(COUNT('연간'!J77:M77)&lt;4,"",SUM('연간'!J77:M77)))/F16,"")</f>
        <v/>
      </c>
      <c r="G52" s="36">
        <f>IFERROR((IF(COUNT('연간'!K77:N77)&lt;4,"",SUM('연간'!K77:N77)))/G16,"")</f>
        <v/>
      </c>
      <c r="H52" s="35">
        <f>IFERROR(('연간'!T77)/H16,"")</f>
        <v/>
      </c>
      <c r="I52" s="36">
        <f>IFERROR(('연간'!U77)/I16,"")</f>
        <v/>
      </c>
      <c r="J52" s="36">
        <f>IFERROR(('연간'!V77)/J16,"")</f>
        <v/>
      </c>
      <c r="K52" s="36">
        <f>IFERROR(('연간'!W77)/K16,"")</f>
        <v/>
      </c>
      <c r="L52" s="36">
        <f>IFERROR(('연간'!X77)/L16,"")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IFERROR((IF(COUNT('연간'!G49:J49)&lt;4,"",SUM('연간'!G49:J49)))*(1-0.3)/(C35+C29),"")</f>
        <v/>
      </c>
      <c r="D53" s="36">
        <f>IFERROR((IF(COUNT('연간'!H49:K49)&lt;4,"",SUM('연간'!H49:K49)))*(1-0.3)/(D35+D29),"")</f>
        <v/>
      </c>
      <c r="E53" s="36">
        <f>IFERROR((IF(COUNT('연간'!I49:L49)&lt;4,"",SUM('연간'!I49:L49)))*(1-0.3)/(E35+E29),"")</f>
        <v/>
      </c>
      <c r="F53" s="36">
        <f>IFERROR((IF(COUNT('연간'!J49:M49)&lt;4,"",SUM('연간'!J49:M49)))*(1-0.3)/(F35+F29),"")</f>
        <v/>
      </c>
      <c r="G53" s="36">
        <f>IFERROR((IF(COUNT('연간'!K49:N49)&lt;4,"",SUM('연간'!K49:N49)))*(1-0.3)/(G35+G29),"")</f>
        <v/>
      </c>
      <c r="H53" s="35">
        <f>IFERROR(('연간'!T49)*(1-0.3)/(H35+H29),"")</f>
        <v/>
      </c>
      <c r="I53" s="36">
        <f>IFERROR(('연간'!U49)*(1-0.3)/(I35+I29),"")</f>
        <v/>
      </c>
      <c r="J53" s="36">
        <f>IFERROR(('연간'!V49)*(1-0.3)/(J35+J29),"")</f>
        <v/>
      </c>
      <c r="K53" s="36">
        <f>IFERROR(('연간'!W49)*(1-0.3)/(K35+K29),"")</f>
        <v/>
      </c>
      <c r="L53" s="36">
        <f>IFERROR(('연간'!X49)*(1-0.3)/(L35+L29),"")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IFERROR((IF(COUNT('연간'!G43:J43)&lt;4,"",SUM('연간'!G43:J43)))/(IF(COUNT('연간'!G4:J4)&lt;4,"",SUM('연간'!G4:J4))),"")</f>
        <v/>
      </c>
      <c r="D54" s="36">
        <f>IFERROR((IF(COUNT('연간'!H43:K43)&lt;4,"",SUM('연간'!H43:K43)))/(IF(COUNT('연간'!H4:K4)&lt;4,"",SUM('연간'!H4:K4))),"")</f>
        <v/>
      </c>
      <c r="E54" s="36">
        <f>IFERROR((IF(COUNT('연간'!I43:L43)&lt;4,"",SUM('연간'!I43:L43)))/(IF(COUNT('연간'!I4:L4)&lt;4,"",SUM('연간'!I4:L4))),"")</f>
        <v/>
      </c>
      <c r="F54" s="36">
        <f>IFERROR((IF(COUNT('연간'!J43:M43)&lt;4,"",SUM('연간'!J43:M43)))/(IF(COUNT('연간'!J4:M4)&lt;4,"",SUM('연간'!J4:M4))),"")</f>
        <v/>
      </c>
      <c r="G54" s="36">
        <f>IFERROR((IF(COUNT('연간'!K43:N43)&lt;4,"",SUM('연간'!K43:N43)))/(IF(COUNT('연간'!K4:N4)&lt;4,"",SUM('연간'!K4:N4))),"")</f>
        <v/>
      </c>
      <c r="H54" s="35">
        <f>IFERROR(('연간'!T43)/('연간'!T4),"")</f>
        <v/>
      </c>
      <c r="I54" s="36">
        <f>IFERROR(('연간'!U43)/('연간'!U4),"")</f>
        <v/>
      </c>
      <c r="J54" s="36">
        <f>IFERROR(('연간'!V43)/('연간'!V4),"")</f>
        <v/>
      </c>
      <c r="K54" s="36">
        <f>IFERROR(('연간'!W43)/('연간'!W4),"")</f>
        <v/>
      </c>
      <c r="L54" s="36">
        <f>IFERROR(('연간'!X43)/('연간'!X4),"")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IFERROR((IF(COUNT('연간'!G49:J49)&lt;4,"",SUM('연간'!G49:J49)))/(IF(COUNT('연간'!G4:J4)&lt;4,"",SUM('연간'!G4:J4))),"")</f>
        <v/>
      </c>
      <c r="D55" s="36">
        <f>IFERROR((IF(COUNT('연간'!H49:K49)&lt;4,"",SUM('연간'!H49:K49)))/(IF(COUNT('연간'!H4:K4)&lt;4,"",SUM('연간'!H4:K4))),"")</f>
        <v/>
      </c>
      <c r="E55" s="36">
        <f>IFERROR((IF(COUNT('연간'!I49:L49)&lt;4,"",SUM('연간'!I49:L49)))/(IF(COUNT('연간'!I4:L4)&lt;4,"",SUM('연간'!I4:L4))),"")</f>
        <v/>
      </c>
      <c r="F55" s="36">
        <f>IFERROR((IF(COUNT('연간'!J49:M49)&lt;4,"",SUM('연간'!J49:M49)))/(IF(COUNT('연간'!J4:M4)&lt;4,"",SUM('연간'!J4:M4))),"")</f>
        <v/>
      </c>
      <c r="G55" s="36">
        <f>IFERROR((IF(COUNT('연간'!K49:N49)&lt;4,"",SUM('연간'!K49:N49)))/(IF(COUNT('연간'!K4:N4)&lt;4,"",SUM('연간'!K4:N4))),"")</f>
        <v/>
      </c>
      <c r="H55" s="35">
        <f>IFERROR(('연간'!T49)/('연간'!T4),"")</f>
        <v/>
      </c>
      <c r="I55" s="36">
        <f>IFERROR(('연간'!U49)/('연간'!U4),"")</f>
        <v/>
      </c>
      <c r="J55" s="36">
        <f>IFERROR(('연간'!V49)/('연간'!V4),"")</f>
        <v/>
      </c>
      <c r="K55" s="36">
        <f>IFERROR(('연간'!W49)/('연간'!W4),"")</f>
        <v/>
      </c>
      <c r="L55" s="36">
        <f>IFERROR(('연간'!X49)/('연간'!X4),"")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IFERROR((IF(COUNT('연간'!G77:J77)&lt;4,"",SUM('연간'!G77:J77)))/(IF(COUNT('연간'!G4:J4)&lt;4,"",SUM('연간'!G4:J4))),"")</f>
        <v/>
      </c>
      <c r="D56" s="36">
        <f>IFERROR((IF(COUNT('연간'!H77:K77)&lt;4,"",SUM('연간'!H77:K77)))/(IF(COUNT('연간'!H4:K4)&lt;4,"",SUM('연간'!H4:K4))),"")</f>
        <v/>
      </c>
      <c r="E56" s="36">
        <f>IFERROR((IF(COUNT('연간'!I77:L77)&lt;4,"",SUM('연간'!I77:L77)))/(IF(COUNT('연간'!I4:L4)&lt;4,"",SUM('연간'!I4:L4))),"")</f>
        <v/>
      </c>
      <c r="F56" s="36">
        <f>IFERROR((IF(COUNT('연간'!J77:M77)&lt;4,"",SUM('연간'!J77:M77)))/(IF(COUNT('연간'!J4:M4)&lt;4,"",SUM('연간'!J4:M4))),"")</f>
        <v/>
      </c>
      <c r="G56" s="36">
        <f>IFERROR((IF(COUNT('연간'!K77:N77)&lt;4,"",SUM('연간'!K77:N77)))/(IF(COUNT('연간'!K4:N4)&lt;4,"",SUM('연간'!K4:N4))),"")</f>
        <v/>
      </c>
      <c r="H56" s="35">
        <f>IFERROR(('연간'!T77)/('연간'!T4),"")</f>
        <v/>
      </c>
      <c r="I56" s="36">
        <f>IFERROR(('연간'!U77)/('연간'!U4),"")</f>
        <v/>
      </c>
      <c r="J56" s="36">
        <f>IFERROR(('연간'!V77)/('연간'!V4),"")</f>
        <v/>
      </c>
      <c r="K56" s="36">
        <f>IFERROR(('연간'!W77)/('연간'!W4),"")</f>
        <v/>
      </c>
      <c r="L56" s="36">
        <f>IFERROR(('연간'!X77)/('연간'!X4),"")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IFERROR(C9/(IF(COUNT('연간'!G41:J41)&lt;4,"",SUM('연간'!G41:J41)))*365,"")</f>
        <v/>
      </c>
      <c r="D60" s="49">
        <f>IFERROR(D9/(IF(COUNT('연간'!H41:K41)&lt;4,"",SUM('연간'!H41:K41)))*365,"")</f>
        <v/>
      </c>
      <c r="E60" s="49">
        <f>IFERROR(E9/(IF(COUNT('연간'!I41:L41)&lt;4,"",SUM('연간'!I41:L41)))*365,"")</f>
        <v/>
      </c>
      <c r="F60" s="49">
        <f>IFERROR(F9/(IF(COUNT('연간'!J41:M41)&lt;4,"",SUM('연간'!J41:M41)))*365,"")</f>
        <v/>
      </c>
      <c r="G60" s="49">
        <f>IFERROR(G9/(IF(COUNT('연간'!K41:N41)&lt;4,"",SUM('연간'!K41:N41)))*365,"")</f>
        <v/>
      </c>
      <c r="H60" s="48">
        <f>IFERROR(H9/('연간'!T41)*365,"")</f>
        <v/>
      </c>
      <c r="I60" s="49">
        <f>IFERROR(I9/('연간'!U41)*365,"")</f>
        <v/>
      </c>
      <c r="J60" s="49">
        <f>IFERROR(J9/('연간'!V41)*365,"")</f>
        <v/>
      </c>
      <c r="K60" s="49">
        <f>IFERROR(K9/('연간'!W41)*365,"")</f>
        <v/>
      </c>
      <c r="L60" s="49">
        <f>IFERROR(L9/('연간'!X41)*365,"")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IFERROR(C19/(IF(COUNT('연간'!G41:J41)&lt;4,"",SUM('연간'!G41:J41)))*365,"")</f>
        <v/>
      </c>
      <c r="D61" s="49">
        <f>IFERROR(D19/(IF(COUNT('연간'!H41:K41)&lt;4,"",SUM('연간'!H41:K41)))*365,"")</f>
        <v/>
      </c>
      <c r="E61" s="49">
        <f>IFERROR(E19/(IF(COUNT('연간'!I41:L41)&lt;4,"",SUM('연간'!I41:L41)))*365,"")</f>
        <v/>
      </c>
      <c r="F61" s="49">
        <f>IFERROR(F19/(IF(COUNT('연간'!J41:M41)&lt;4,"",SUM('연간'!J41:M41)))*365,"")</f>
        <v/>
      </c>
      <c r="G61" s="49">
        <f>IFERROR(G19/(IF(COUNT('연간'!K41:N41)&lt;4,"",SUM('연간'!K41:N41)))*365,"")</f>
        <v/>
      </c>
      <c r="H61" s="48">
        <f>IFERROR(H19/('연간'!T41)*365,"")</f>
        <v/>
      </c>
      <c r="I61" s="49">
        <f>IFERROR(I19/('연간'!U41)*365,"")</f>
        <v/>
      </c>
      <c r="J61" s="49">
        <f>IFERROR(J19/('연간'!V41)*365,"")</f>
        <v/>
      </c>
      <c r="K61" s="49">
        <f>IFERROR(K19/('연간'!W41)*365,"")</f>
        <v/>
      </c>
      <c r="L61" s="49">
        <f>IFERROR(L19/('연간'!X41)*365,"")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IF(C37="","",IFERROR(C37/(IF(COUNT('연간'!G77:J77)&lt;4,"",SUM('연간'!G77:J77))),""))</f>
        <v/>
      </c>
      <c r="D64" s="31">
        <f>IF(D37="","",IFERROR(D37/(IF(COUNT('연간'!H77:K77)&lt;4,"",SUM('연간'!H77:K77))),""))</f>
        <v/>
      </c>
      <c r="E64" s="31">
        <f>IF(E37="","",IFERROR(E37/(IF(COUNT('연간'!I77:L77)&lt;4,"",SUM('연간'!I77:L77))),""))</f>
        <v/>
      </c>
      <c r="F64" s="31">
        <f>IF(F37="","",IFERROR(F37/(IF(COUNT('연간'!J77:M77)&lt;4,"",SUM('연간'!J77:M77))),""))</f>
        <v/>
      </c>
      <c r="G64" s="31">
        <f>IF(G37="","",IFERROR(G37/(IF(COUNT('연간'!K77:N77)&lt;4,"",SUM('연간'!K77:N77))),""))</f>
        <v/>
      </c>
      <c r="H64" s="30">
        <f>IF(H37="","",IFERROR(H37/('연간'!T77),""))</f>
        <v/>
      </c>
      <c r="I64" s="31">
        <f>IF(I37="","",IFERROR(I37/('연간'!U77),""))</f>
        <v/>
      </c>
      <c r="J64" s="31">
        <f>IF(J37="","",IFERROR(J37/('연간'!V77),""))</f>
        <v/>
      </c>
      <c r="K64" s="31">
        <f>IF(K37="","",IFERROR(K37/('연간'!W77),""))</f>
        <v/>
      </c>
      <c r="L64" s="31">
        <f>IF(L37="","",IFERROR(L37/('연간'!X77),""))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IF(C40="","",IFERROR(C40/(IF(COUNT('연간'!G79:J79)&lt;4,"",SUM('연간'!G79:J79))),""))</f>
        <v/>
      </c>
      <c r="D67" s="36">
        <f>IF(D40="","",IFERROR(D40/(IF(COUNT('연간'!H79:K79)&lt;4,"",SUM('연간'!H79:K79))),""))</f>
        <v/>
      </c>
      <c r="E67" s="36">
        <f>IF(E40="","",IFERROR(E40/(IF(COUNT('연간'!I79:L79)&lt;4,"",SUM('연간'!I79:L79))),""))</f>
        <v/>
      </c>
      <c r="F67" s="36">
        <f>IF(F40="","",IFERROR(F40/(IF(COUNT('연간'!J79:M79)&lt;4,"",SUM('연간'!J79:M79))),""))</f>
        <v/>
      </c>
      <c r="G67" s="36">
        <f>IF(G40="","",IFERROR(G40/(IF(COUNT('연간'!K79:N79)&lt;4,"",SUM('연간'!K79:N79))),""))</f>
        <v/>
      </c>
      <c r="H67" s="35">
        <f>IF(H40="","",IFERROR(H40/('연간'!T79),""))</f>
        <v/>
      </c>
      <c r="I67" s="36">
        <f>IF(I40="","",IFERROR(I40/('연간'!U79),""))</f>
        <v/>
      </c>
      <c r="J67" s="36">
        <f>IF(J40="","",IFERROR(J40/('연간'!V79),""))</f>
        <v/>
      </c>
      <c r="K67" s="36">
        <f>IF(K40="","",IFERROR(K40/('연간'!W79),""))</f>
        <v/>
      </c>
      <c r="L67" s="36">
        <f>IF(L40="","",IFERROR(L40/('연간'!X79),""))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15436</v>
      </c>
      <c r="D71" s="20" t="n">
        <v>19768</v>
      </c>
      <c r="E71" s="20" t="n">
        <v>19362</v>
      </c>
      <c r="F71" s="20" t="n">
        <v>24031</v>
      </c>
      <c r="G71" s="20" t="n">
        <v>21060</v>
      </c>
      <c r="H71" s="20" t="n">
        <v>12224</v>
      </c>
      <c r="I71" s="20" t="n">
        <v>9128</v>
      </c>
      <c r="J71" s="20" t="n">
        <v>16126</v>
      </c>
      <c r="K71" s="20" t="n">
        <v>16751</v>
      </c>
      <c r="L71" s="20" t="n">
        <v>24031</v>
      </c>
    </row>
    <row r="72">
      <c r="A72" s="18" t="inlineStr">
        <is>
          <t>받을어음</t>
        </is>
      </c>
      <c r="F72" s="20" t="n">
        <v>217</v>
      </c>
      <c r="H72" s="20" t="n">
        <v>526</v>
      </c>
      <c r="I72" s="20" t="n">
        <v>345</v>
      </c>
      <c r="J72" s="20" t="n">
        <v>271</v>
      </c>
      <c r="K72" s="20" t="n">
        <v>232</v>
      </c>
      <c r="L72" s="20" t="n">
        <v>217</v>
      </c>
    </row>
    <row r="73">
      <c r="A73" s="18" t="inlineStr">
        <is>
          <t>매출채권</t>
        </is>
      </c>
      <c r="F73" s="20" t="n">
        <v>21147</v>
      </c>
      <c r="H73" s="20" t="n">
        <v>14432</v>
      </c>
      <c r="I73" s="20" t="n">
        <v>14759</v>
      </c>
      <c r="J73" s="20" t="n">
        <v>18027</v>
      </c>
      <c r="K73" s="20" t="n">
        <v>19610</v>
      </c>
      <c r="L73" s="20" t="n">
        <v>21147</v>
      </c>
    </row>
    <row r="74">
      <c r="A74" s="18" t="inlineStr">
        <is>
          <t>받을어음·매출채권</t>
        </is>
      </c>
      <c r="C74" s="20" t="n">
        <v>18603</v>
      </c>
      <c r="D74" s="20" t="n">
        <v>19152</v>
      </c>
      <c r="E74" s="20" t="n">
        <v>23328</v>
      </c>
      <c r="F74" s="20" t="n">
        <v>21364</v>
      </c>
      <c r="G74" s="20" t="n">
        <v>24278</v>
      </c>
      <c r="H74" s="20" t="n">
        <v>14959</v>
      </c>
      <c r="I74" s="20" t="n">
        <v>15105</v>
      </c>
      <c r="J74" s="20" t="n">
        <v>18299</v>
      </c>
      <c r="K74" s="20" t="n">
        <v>19842</v>
      </c>
      <c r="L74" s="20" t="n">
        <v>21364</v>
      </c>
    </row>
    <row r="75">
      <c r="A75" s="18" t="inlineStr">
        <is>
          <t>전자기록채권</t>
        </is>
      </c>
      <c r="C75" s="20" t="n">
        <v>2767</v>
      </c>
      <c r="D75" s="20" t="n">
        <v>2191</v>
      </c>
      <c r="E75" s="20" t="n">
        <v>2839</v>
      </c>
      <c r="F75" s="20" t="n">
        <v>2180</v>
      </c>
      <c r="G75" s="20" t="n">
        <v>2609</v>
      </c>
      <c r="H75" s="20" t="n">
        <v>1532</v>
      </c>
      <c r="I75" s="20" t="n">
        <v>2218</v>
      </c>
      <c r="J75" s="20" t="n">
        <v>2364</v>
      </c>
      <c r="K75" s="20" t="n">
        <v>2316</v>
      </c>
      <c r="L75" s="20" t="n">
        <v>2180</v>
      </c>
    </row>
    <row r="76">
      <c r="A76" s="18" t="inlineStr">
        <is>
          <t>상품·제품</t>
        </is>
      </c>
      <c r="C76" s="20" t="n">
        <v>11113</v>
      </c>
      <c r="D76" s="20" t="n">
        <v>11739</v>
      </c>
      <c r="E76" s="20" t="n">
        <v>12448</v>
      </c>
      <c r="F76" s="20" t="n">
        <v>13008</v>
      </c>
      <c r="G76" s="20" t="n">
        <v>12415</v>
      </c>
      <c r="H76" s="20" t="n">
        <v>11582</v>
      </c>
      <c r="I76" s="20" t="n">
        <v>13131</v>
      </c>
      <c r="J76" s="20" t="n">
        <v>11029</v>
      </c>
      <c r="K76" s="20" t="n">
        <v>11987</v>
      </c>
      <c r="L76" s="20" t="n">
        <v>13008</v>
      </c>
    </row>
    <row r="77">
      <c r="A77" s="18" t="inlineStr">
        <is>
          <t>재공품</t>
        </is>
      </c>
      <c r="C77" s="20" t="n">
        <v>20</v>
      </c>
      <c r="D77" s="20" t="n">
        <v>18</v>
      </c>
      <c r="E77" s="20" t="n">
        <v>19</v>
      </c>
      <c r="F77" s="20" t="n">
        <v>20</v>
      </c>
      <c r="G77" s="20" t="n">
        <v>17</v>
      </c>
      <c r="H77" s="20" t="n">
        <v>21</v>
      </c>
      <c r="I77" s="20" t="n">
        <v>16</v>
      </c>
      <c r="J77" s="20" t="n">
        <v>20</v>
      </c>
      <c r="K77" s="20" t="n">
        <v>18</v>
      </c>
      <c r="L77" s="20" t="n">
        <v>20</v>
      </c>
    </row>
    <row r="78">
      <c r="A78" s="18" t="inlineStr">
        <is>
          <t>원재료·저장품</t>
        </is>
      </c>
      <c r="C78" s="20" t="n">
        <v>4661</v>
      </c>
      <c r="D78" s="20" t="n">
        <v>5033</v>
      </c>
      <c r="E78" s="20" t="n">
        <v>5148</v>
      </c>
      <c r="F78" s="20" t="n">
        <v>5695</v>
      </c>
      <c r="G78" s="20" t="n">
        <v>6305</v>
      </c>
      <c r="H78" s="20" t="n">
        <v>3905</v>
      </c>
      <c r="I78" s="20" t="n">
        <v>3489</v>
      </c>
      <c r="J78" s="20" t="n">
        <v>3091</v>
      </c>
      <c r="K78" s="20" t="n">
        <v>3894</v>
      </c>
      <c r="L78" s="20" t="n">
        <v>5695</v>
      </c>
    </row>
    <row r="79">
      <c r="A79" s="18" t="inlineStr">
        <is>
          <t>선급비용</t>
        </is>
      </c>
      <c r="C79" s="20" t="n">
        <v>495</v>
      </c>
      <c r="D79" s="20" t="n">
        <v>621</v>
      </c>
      <c r="E79" s="20" t="n">
        <v>598</v>
      </c>
      <c r="F79" s="20" t="n">
        <v>511</v>
      </c>
      <c r="G79" s="20" t="n">
        <v>572</v>
      </c>
      <c r="H79" s="20" t="n">
        <v>317</v>
      </c>
      <c r="I79" s="20" t="n">
        <v>369</v>
      </c>
      <c r="J79" s="20" t="n">
        <v>403</v>
      </c>
      <c r="K79" s="20" t="n">
        <v>420</v>
      </c>
      <c r="L79" s="20" t="n">
        <v>511</v>
      </c>
    </row>
    <row r="80">
      <c r="A80" s="18" t="inlineStr">
        <is>
          <t>기타</t>
        </is>
      </c>
      <c r="C80" s="20" t="n">
        <v>1690</v>
      </c>
      <c r="D80" s="20" t="n">
        <v>2137</v>
      </c>
      <c r="E80" s="20" t="n">
        <v>2380</v>
      </c>
      <c r="F80" s="20" t="n">
        <v>2579</v>
      </c>
      <c r="G80" s="20" t="n">
        <v>2296</v>
      </c>
      <c r="H80" s="20" t="n">
        <v>1996</v>
      </c>
      <c r="I80" s="20" t="n">
        <v>1956</v>
      </c>
      <c r="J80" s="20" t="n">
        <v>2282</v>
      </c>
      <c r="K80" s="20" t="n">
        <v>2029</v>
      </c>
      <c r="L80" s="20" t="n">
        <v>2579</v>
      </c>
    </row>
    <row r="81">
      <c r="A81" s="18" t="inlineStr">
        <is>
          <t>대손충당금</t>
        </is>
      </c>
      <c r="C81" s="20" t="n">
        <v>-11</v>
      </c>
      <c r="D81" s="20" t="n">
        <v>-10</v>
      </c>
      <c r="E81" s="20" t="n">
        <v>-10</v>
      </c>
      <c r="F81" s="20" t="n">
        <v>-9</v>
      </c>
      <c r="G81" s="20" t="n">
        <v>-9</v>
      </c>
      <c r="H81" s="20" t="n">
        <v>-4</v>
      </c>
      <c r="I81" s="20" t="n">
        <v>-3</v>
      </c>
      <c r="J81" s="20" t="n">
        <v>-2</v>
      </c>
      <c r="K81" s="20" t="n">
        <v>-13</v>
      </c>
      <c r="L81" s="20" t="n">
        <v>-9</v>
      </c>
    </row>
    <row r="82">
      <c r="A82" s="9" t="inlineStr">
        <is>
          <t>유동자산 합계</t>
        </is>
      </c>
      <c r="C82" s="12" t="n">
        <v>54776</v>
      </c>
      <c r="D82" s="12" t="n">
        <v>60652</v>
      </c>
      <c r="E82" s="12" t="n">
        <v>66115</v>
      </c>
      <c r="F82" s="12" t="n">
        <v>69382</v>
      </c>
      <c r="G82" s="12" t="n">
        <v>69547</v>
      </c>
      <c r="H82" s="12" t="n">
        <v>46534</v>
      </c>
      <c r="I82" s="12" t="n">
        <v>45411</v>
      </c>
      <c r="J82" s="12" t="n">
        <v>53614</v>
      </c>
      <c r="K82" s="12" t="n">
        <v>57247</v>
      </c>
      <c r="L82" s="12" t="n">
        <v>69382</v>
      </c>
    </row>
    <row r="83">
      <c r="A83" s="18" t="inlineStr">
        <is>
          <t>건물·구축물</t>
        </is>
      </c>
      <c r="F83" s="20" t="n">
        <v>32817</v>
      </c>
      <c r="H83" s="20" t="n">
        <v>30486</v>
      </c>
      <c r="I83" s="20" t="n">
        <v>30640</v>
      </c>
      <c r="J83" s="20" t="n">
        <v>31396</v>
      </c>
      <c r="K83" s="20" t="n">
        <v>32237</v>
      </c>
      <c r="L83" s="20" t="n">
        <v>32817</v>
      </c>
    </row>
    <row r="84">
      <c r="A84" s="18" t="inlineStr">
        <is>
          <t>감가상각누계액</t>
        </is>
      </c>
      <c r="F84" s="20" t="n">
        <v>-20736</v>
      </c>
      <c r="H84" s="20" t="n">
        <v>-16944</v>
      </c>
      <c r="I84" s="20" t="n">
        <v>-17805</v>
      </c>
      <c r="J84" s="20" t="n">
        <v>-18812</v>
      </c>
      <c r="K84" s="20" t="n">
        <v>-19788</v>
      </c>
      <c r="L84" s="20" t="n">
        <v>-20736</v>
      </c>
    </row>
    <row r="85">
      <c r="A85" s="18" t="inlineStr">
        <is>
          <t>건물·구축물(순액)</t>
        </is>
      </c>
      <c r="C85" s="20" t="n">
        <v>12205</v>
      </c>
      <c r="D85" s="20" t="n">
        <v>12297</v>
      </c>
      <c r="E85" s="20" t="n">
        <v>12256</v>
      </c>
      <c r="F85" s="20" t="n">
        <v>12080</v>
      </c>
      <c r="G85" s="20" t="n">
        <v>12244</v>
      </c>
      <c r="H85" s="20" t="n">
        <v>13541</v>
      </c>
      <c r="I85" s="20" t="n">
        <v>12834</v>
      </c>
      <c r="J85" s="20" t="n">
        <v>12583</v>
      </c>
      <c r="K85" s="20" t="n">
        <v>12449</v>
      </c>
      <c r="L85" s="20" t="n">
        <v>12080</v>
      </c>
    </row>
    <row r="86">
      <c r="A86" s="18" t="inlineStr">
        <is>
          <t>기계장치·운반구</t>
        </is>
      </c>
      <c r="F86" s="20" t="n">
        <v>39252</v>
      </c>
      <c r="H86" s="20" t="n">
        <v>37426</v>
      </c>
      <c r="I86" s="20" t="n">
        <v>35272</v>
      </c>
      <c r="J86" s="20" t="n">
        <v>37499</v>
      </c>
      <c r="K86" s="20" t="n">
        <v>38485</v>
      </c>
      <c r="L86" s="20" t="n">
        <v>39252</v>
      </c>
    </row>
    <row r="87">
      <c r="A87" s="18" t="inlineStr">
        <is>
          <t>감가상각누계액</t>
        </is>
      </c>
      <c r="F87" s="20" t="n">
        <v>-33590</v>
      </c>
      <c r="H87" s="20" t="n">
        <v>-31870</v>
      </c>
      <c r="I87" s="20" t="n">
        <v>-30621</v>
      </c>
      <c r="J87" s="20" t="n">
        <v>-31782</v>
      </c>
      <c r="K87" s="20" t="n">
        <v>-32960</v>
      </c>
      <c r="L87" s="20" t="n">
        <v>-33590</v>
      </c>
    </row>
    <row r="88">
      <c r="A88" s="18" t="inlineStr">
        <is>
          <t>기계장치·운반구(순액)</t>
        </is>
      </c>
      <c r="C88" s="20" t="n">
        <v>5371</v>
      </c>
      <c r="D88" s="20" t="n">
        <v>5772</v>
      </c>
      <c r="E88" s="20" t="n">
        <v>5774</v>
      </c>
      <c r="F88" s="20" t="n">
        <v>5662</v>
      </c>
      <c r="G88" s="20" t="n">
        <v>6029</v>
      </c>
      <c r="H88" s="20" t="n">
        <v>5555</v>
      </c>
      <c r="I88" s="20" t="n">
        <v>4650</v>
      </c>
      <c r="J88" s="20" t="n">
        <v>5717</v>
      </c>
      <c r="K88" s="20" t="n">
        <v>5524</v>
      </c>
      <c r="L88" s="20" t="n">
        <v>5662</v>
      </c>
    </row>
    <row r="89">
      <c r="A89" s="18" t="inlineStr">
        <is>
          <t>공구·기구·비품</t>
        </is>
      </c>
      <c r="F89" s="20" t="n">
        <v>5600</v>
      </c>
      <c r="H89" s="20" t="n">
        <v>4144</v>
      </c>
      <c r="I89" s="20" t="n">
        <v>4285</v>
      </c>
      <c r="J89" s="20" t="n">
        <v>4647</v>
      </c>
      <c r="K89" s="20" t="n">
        <v>5143</v>
      </c>
      <c r="L89" s="20" t="n">
        <v>5600</v>
      </c>
    </row>
    <row r="90">
      <c r="A90" s="18" t="inlineStr">
        <is>
          <t>감가상각누계액</t>
        </is>
      </c>
      <c r="F90" s="20" t="n">
        <v>-4268</v>
      </c>
      <c r="H90" s="20" t="n">
        <v>-3413</v>
      </c>
      <c r="I90" s="20" t="n">
        <v>-3484</v>
      </c>
      <c r="J90" s="20" t="n">
        <v>-3708</v>
      </c>
      <c r="K90" s="20" t="n">
        <v>-3943</v>
      </c>
      <c r="L90" s="20" t="n">
        <v>-4268</v>
      </c>
    </row>
    <row r="91">
      <c r="A91" s="18" t="inlineStr">
        <is>
          <t>공구·기구·비품(순액)</t>
        </is>
      </c>
      <c r="C91" s="20" t="n">
        <v>1218</v>
      </c>
      <c r="D91" s="20" t="n">
        <v>1354</v>
      </c>
      <c r="E91" s="20" t="n">
        <v>1362</v>
      </c>
      <c r="F91" s="20" t="n">
        <v>1331</v>
      </c>
      <c r="G91" s="20" t="n">
        <v>1460</v>
      </c>
      <c r="H91" s="20" t="n">
        <v>730</v>
      </c>
      <c r="I91" s="20" t="n">
        <v>800</v>
      </c>
      <c r="J91" s="20" t="n">
        <v>939</v>
      </c>
      <c r="K91" s="20" t="n">
        <v>1199</v>
      </c>
      <c r="L91" s="20" t="n">
        <v>1331</v>
      </c>
    </row>
    <row r="92">
      <c r="A92" s="18" t="inlineStr">
        <is>
          <t>토지</t>
        </is>
      </c>
      <c r="C92" s="20" t="n">
        <v>9813</v>
      </c>
      <c r="D92" s="20" t="n">
        <v>10144</v>
      </c>
      <c r="E92" s="20" t="n">
        <v>10158</v>
      </c>
      <c r="F92" s="20" t="n">
        <v>10203</v>
      </c>
      <c r="G92" s="20" t="n">
        <v>10196</v>
      </c>
      <c r="H92" s="20" t="n">
        <v>9638</v>
      </c>
      <c r="I92" s="20" t="n">
        <v>9748</v>
      </c>
      <c r="J92" s="20" t="n">
        <v>9948</v>
      </c>
      <c r="K92" s="20" t="n">
        <v>10027</v>
      </c>
      <c r="L92" s="20" t="n">
        <v>10203</v>
      </c>
    </row>
    <row r="93">
      <c r="A93" s="18" t="inlineStr">
        <is>
          <t>리스자산</t>
        </is>
      </c>
      <c r="F93" s="20" t="n">
        <v>4820</v>
      </c>
      <c r="H93" s="20" t="n">
        <v>4804</v>
      </c>
      <c r="I93" s="20" t="n">
        <v>4582</v>
      </c>
      <c r="J93" s="20" t="n">
        <v>4759</v>
      </c>
      <c r="K93" s="20" t="n">
        <v>4810</v>
      </c>
      <c r="L93" s="20" t="n">
        <v>4820</v>
      </c>
    </row>
    <row r="94">
      <c r="A94" s="18" t="inlineStr">
        <is>
          <t>감가상각누계액</t>
        </is>
      </c>
      <c r="F94" s="20" t="n">
        <v>-3455</v>
      </c>
      <c r="H94" s="20" t="n">
        <v>-2004</v>
      </c>
      <c r="I94" s="20" t="n">
        <v>-2244</v>
      </c>
      <c r="J94" s="20" t="n">
        <v>-2644</v>
      </c>
      <c r="K94" s="20" t="n">
        <v>-3053</v>
      </c>
      <c r="L94" s="20" t="n">
        <v>-3455</v>
      </c>
    </row>
    <row r="95">
      <c r="A95" s="18" t="inlineStr">
        <is>
          <t>리스자산(순액)</t>
        </is>
      </c>
      <c r="C95" s="20" t="n">
        <v>1692</v>
      </c>
      <c r="D95" s="20" t="n">
        <v>1598</v>
      </c>
      <c r="E95" s="20" t="n">
        <v>1494</v>
      </c>
      <c r="F95" s="20" t="n">
        <v>1364</v>
      </c>
      <c r="G95" s="20" t="n">
        <v>1303</v>
      </c>
      <c r="H95" s="20" t="n">
        <v>2800</v>
      </c>
      <c r="I95" s="20" t="n">
        <v>2338</v>
      </c>
      <c r="J95" s="20" t="n">
        <v>2115</v>
      </c>
      <c r="K95" s="20" t="n">
        <v>1756</v>
      </c>
      <c r="L95" s="20" t="n">
        <v>1364</v>
      </c>
    </row>
    <row r="96">
      <c r="A96" s="18" t="inlineStr">
        <is>
          <t>건설중인자산</t>
        </is>
      </c>
      <c r="C96" s="20" t="n">
        <v>523</v>
      </c>
      <c r="D96" s="20" t="n">
        <v>1003</v>
      </c>
      <c r="E96" s="20" t="n">
        <v>1930</v>
      </c>
      <c r="F96" s="20" t="n">
        <v>2686</v>
      </c>
      <c r="G96" s="20" t="n">
        <v>3008</v>
      </c>
      <c r="H96" s="20" t="n">
        <v>1091</v>
      </c>
      <c r="I96" s="20" t="n">
        <v>2369</v>
      </c>
      <c r="J96" s="20" t="n">
        <v>1162</v>
      </c>
      <c r="K96" s="20" t="n">
        <v>440</v>
      </c>
      <c r="L96" s="20" t="n">
        <v>2686</v>
      </c>
    </row>
    <row r="97">
      <c r="A97" s="18" t="inlineStr">
        <is>
          <t>유형자산 합계</t>
        </is>
      </c>
      <c r="C97" s="20" t="n">
        <v>30824</v>
      </c>
      <c r="D97" s="20" t="n">
        <v>32171</v>
      </c>
      <c r="E97" s="20" t="n">
        <v>32977</v>
      </c>
      <c r="F97" s="20" t="n">
        <v>33328</v>
      </c>
      <c r="G97" s="20" t="n">
        <v>34244</v>
      </c>
      <c r="H97" s="20" t="n">
        <v>33358</v>
      </c>
      <c r="I97" s="20" t="n">
        <v>32743</v>
      </c>
      <c r="J97" s="20" t="n">
        <v>32467</v>
      </c>
      <c r="K97" s="20" t="n">
        <v>31398</v>
      </c>
      <c r="L97" s="20" t="n">
        <v>33328</v>
      </c>
    </row>
    <row r="98">
      <c r="A98" s="18" t="inlineStr">
        <is>
          <t>영업권</t>
        </is>
      </c>
      <c r="H98" s="20" t="n">
        <v>213</v>
      </c>
      <c r="I98" s="20" t="n">
        <v>0</v>
      </c>
    </row>
    <row r="99">
      <c r="A99" s="18" t="inlineStr">
        <is>
          <t>기타</t>
        </is>
      </c>
      <c r="H99" s="20" t="n">
        <v>405</v>
      </c>
      <c r="I99" s="20" t="n">
        <v>341</v>
      </c>
    </row>
    <row r="100">
      <c r="A100" s="18" t="inlineStr">
        <is>
          <t>무형자산</t>
        </is>
      </c>
      <c r="C100" s="20" t="n">
        <v>273</v>
      </c>
      <c r="D100" s="20" t="n">
        <v>253</v>
      </c>
      <c r="E100" s="20" t="n">
        <v>264</v>
      </c>
      <c r="F100" s="20" t="n">
        <v>268</v>
      </c>
      <c r="G100" s="20" t="n">
        <v>256</v>
      </c>
      <c r="H100" s="20" t="n">
        <v>618</v>
      </c>
      <c r="I100" s="20" t="n">
        <v>341</v>
      </c>
      <c r="J100" s="20" t="n">
        <v>290</v>
      </c>
      <c r="K100" s="20" t="n">
        <v>250</v>
      </c>
      <c r="L100" s="20" t="n">
        <v>268</v>
      </c>
    </row>
    <row r="101">
      <c r="A101" s="18" t="inlineStr">
        <is>
          <t>투자유가증권</t>
        </is>
      </c>
      <c r="C101" s="20" t="n">
        <v>5857</v>
      </c>
      <c r="D101" s="20" t="n">
        <v>6847</v>
      </c>
      <c r="E101" s="20" t="n">
        <v>7557</v>
      </c>
      <c r="F101" s="20" t="n">
        <v>8598</v>
      </c>
      <c r="G101" s="20" t="n">
        <v>9706</v>
      </c>
      <c r="H101" s="20" t="n">
        <v>4004</v>
      </c>
      <c r="I101" s="20" t="n">
        <v>4274</v>
      </c>
      <c r="J101" s="20" t="n">
        <v>5641</v>
      </c>
      <c r="K101" s="20" t="n">
        <v>5694</v>
      </c>
      <c r="L101" s="20" t="n">
        <v>8598</v>
      </c>
    </row>
    <row r="102">
      <c r="A102" s="18" t="inlineStr">
        <is>
          <t>장기대여금</t>
        </is>
      </c>
      <c r="C102" s="20" t="n">
        <v>9</v>
      </c>
      <c r="D102" s="20" t="n">
        <v>8</v>
      </c>
      <c r="E102" s="20" t="n">
        <v>8</v>
      </c>
      <c r="F102" s="20" t="n">
        <v>8</v>
      </c>
      <c r="G102" s="20" t="n">
        <v>7</v>
      </c>
      <c r="H102" s="20" t="n">
        <v>16</v>
      </c>
      <c r="I102" s="20" t="n">
        <v>14</v>
      </c>
      <c r="J102" s="20" t="n">
        <v>10</v>
      </c>
      <c r="K102" s="20" t="n">
        <v>9</v>
      </c>
      <c r="L102" s="20" t="n">
        <v>8</v>
      </c>
    </row>
    <row r="103">
      <c r="A103" s="18" t="inlineStr">
        <is>
          <t>장기선급비용</t>
        </is>
      </c>
      <c r="C103" s="20" t="n">
        <v>330</v>
      </c>
      <c r="D103" s="20" t="n">
        <v>297</v>
      </c>
      <c r="E103" s="20" t="n">
        <v>451</v>
      </c>
      <c r="F103" s="20" t="n">
        <v>405</v>
      </c>
      <c r="G103" s="20" t="n">
        <v>361</v>
      </c>
      <c r="H103" s="20" t="n">
        <v>231</v>
      </c>
      <c r="I103" s="20" t="n">
        <v>512</v>
      </c>
      <c r="J103" s="20" t="n">
        <v>346</v>
      </c>
      <c r="K103" s="20" t="n">
        <v>387</v>
      </c>
      <c r="L103" s="20" t="n">
        <v>405</v>
      </c>
    </row>
    <row r="104">
      <c r="A104" s="18" t="inlineStr">
        <is>
          <t>이연법인세자산</t>
        </is>
      </c>
      <c r="C104" s="20" t="n">
        <v>113</v>
      </c>
      <c r="D104" s="20" t="n">
        <v>164</v>
      </c>
      <c r="E104" s="20" t="n">
        <v>132</v>
      </c>
      <c r="F104" s="20" t="n">
        <v>91</v>
      </c>
      <c r="G104" s="20" t="n">
        <v>91</v>
      </c>
      <c r="H104" s="20" t="n">
        <v>172</v>
      </c>
      <c r="I104" s="20" t="n">
        <v>299</v>
      </c>
      <c r="J104" s="20" t="n">
        <v>127</v>
      </c>
      <c r="K104" s="20" t="n">
        <v>124</v>
      </c>
      <c r="L104" s="20" t="n">
        <v>91</v>
      </c>
    </row>
    <row r="105">
      <c r="A105" s="18" t="inlineStr">
        <is>
          <t>퇴직급여자산</t>
        </is>
      </c>
      <c r="C105" s="20" t="n">
        <v>1629</v>
      </c>
      <c r="D105" s="20" t="n">
        <v>1634</v>
      </c>
      <c r="E105" s="20" t="n">
        <v>1633</v>
      </c>
      <c r="F105" s="20" t="n">
        <v>2554</v>
      </c>
      <c r="G105" s="20" t="n">
        <v>2536</v>
      </c>
      <c r="H105" s="20" t="n">
        <v>1228</v>
      </c>
      <c r="I105" s="20" t="n">
        <v>1063</v>
      </c>
      <c r="J105" s="20" t="n">
        <v>1601</v>
      </c>
      <c r="K105" s="20" t="n">
        <v>1631</v>
      </c>
      <c r="L105" s="20" t="n">
        <v>2554</v>
      </c>
    </row>
    <row r="106">
      <c r="A106" s="18" t="inlineStr">
        <is>
          <t>기타</t>
        </is>
      </c>
      <c r="C106" s="20" t="n">
        <v>375</v>
      </c>
      <c r="D106" s="20" t="n">
        <v>368</v>
      </c>
      <c r="E106" s="20" t="n">
        <v>368</v>
      </c>
      <c r="F106" s="20" t="n">
        <v>367</v>
      </c>
      <c r="G106" s="20" t="n">
        <v>396</v>
      </c>
      <c r="H106" s="20" t="n">
        <v>310</v>
      </c>
      <c r="I106" s="20" t="n">
        <v>371</v>
      </c>
      <c r="J106" s="20" t="n">
        <v>437</v>
      </c>
      <c r="K106" s="20" t="n">
        <v>369</v>
      </c>
      <c r="L106" s="20" t="n">
        <v>367</v>
      </c>
    </row>
    <row r="107">
      <c r="A107" s="18" t="inlineStr">
        <is>
          <t>대손충당금</t>
        </is>
      </c>
      <c r="C107" s="20" t="n">
        <v>-1</v>
      </c>
      <c r="D107" s="20" t="n">
        <v>-1</v>
      </c>
      <c r="E107" s="20" t="n">
        <v>-1</v>
      </c>
      <c r="F107" s="20" t="n">
        <v>-1</v>
      </c>
      <c r="G107" s="20" t="n">
        <v>-1</v>
      </c>
      <c r="H107" s="20" t="n">
        <v>-6</v>
      </c>
      <c r="I107" s="20" t="n">
        <v>-6</v>
      </c>
      <c r="J107" s="20" t="n">
        <v>-1</v>
      </c>
      <c r="K107" s="20" t="n">
        <v>-1</v>
      </c>
      <c r="L107" s="20" t="n">
        <v>-1</v>
      </c>
    </row>
    <row r="108">
      <c r="A108" s="18" t="inlineStr">
        <is>
          <t>투자 및 기타자산 합계</t>
        </is>
      </c>
      <c r="C108" s="20" t="n">
        <v>8315</v>
      </c>
      <c r="D108" s="20" t="n">
        <v>9319</v>
      </c>
      <c r="E108" s="20" t="n">
        <v>10150</v>
      </c>
      <c r="F108" s="20" t="n">
        <v>12024</v>
      </c>
      <c r="G108" s="20" t="n">
        <v>13099</v>
      </c>
      <c r="H108" s="20" t="n">
        <v>5958</v>
      </c>
      <c r="I108" s="20" t="n">
        <v>6529</v>
      </c>
      <c r="J108" s="20" t="n">
        <v>8164</v>
      </c>
      <c r="K108" s="20" t="n">
        <v>8215</v>
      </c>
      <c r="L108" s="20" t="n">
        <v>12024</v>
      </c>
    </row>
    <row r="109">
      <c r="A109" s="9" t="inlineStr">
        <is>
          <t>비유동자산 합계</t>
        </is>
      </c>
      <c r="C109" s="12" t="n">
        <v>39412</v>
      </c>
      <c r="D109" s="12" t="n">
        <v>41745</v>
      </c>
      <c r="E109" s="12" t="n">
        <v>43393</v>
      </c>
      <c r="F109" s="12" t="n">
        <v>45621</v>
      </c>
      <c r="G109" s="12" t="n">
        <v>47599</v>
      </c>
      <c r="H109" s="12" t="n">
        <v>39935</v>
      </c>
      <c r="I109" s="12" t="n">
        <v>39614</v>
      </c>
      <c r="J109" s="12" t="n">
        <v>40922</v>
      </c>
      <c r="K109" s="12" t="n">
        <v>39865</v>
      </c>
      <c r="L109" s="12" t="n">
        <v>45621</v>
      </c>
    </row>
    <row r="110">
      <c r="A110" s="9" t="inlineStr">
        <is>
          <t>자산 합계</t>
        </is>
      </c>
      <c r="C110" s="12" t="n">
        <v>94188</v>
      </c>
      <c r="D110" s="12" t="n">
        <v>102398</v>
      </c>
      <c r="E110" s="12" t="n">
        <v>109509</v>
      </c>
      <c r="F110" s="12" t="n">
        <v>115003</v>
      </c>
      <c r="G110" s="12" t="n">
        <v>117147</v>
      </c>
      <c r="H110" s="12" t="n">
        <v>86469</v>
      </c>
      <c r="I110" s="12" t="n">
        <v>85025</v>
      </c>
      <c r="J110" s="12" t="n">
        <v>94537</v>
      </c>
      <c r="K110" s="12" t="n">
        <v>97113</v>
      </c>
      <c r="L110" s="12" t="n">
        <v>115003</v>
      </c>
    </row>
    <row r="111">
      <c r="A111" s="18" t="inlineStr">
        <is>
          <t>지급어음·매입채무</t>
        </is>
      </c>
      <c r="C111" s="20" t="n">
        <v>12523</v>
      </c>
      <c r="D111" s="20" t="n">
        <v>13002</v>
      </c>
      <c r="E111" s="20" t="n">
        <v>17003</v>
      </c>
      <c r="F111" s="20" t="n">
        <v>15358</v>
      </c>
      <c r="G111" s="20" t="n">
        <v>16712</v>
      </c>
      <c r="H111" s="20" t="n">
        <v>10204</v>
      </c>
      <c r="I111" s="20" t="n">
        <v>9972</v>
      </c>
      <c r="J111" s="20" t="n">
        <v>11979</v>
      </c>
      <c r="K111" s="20" t="n">
        <v>13484</v>
      </c>
      <c r="L111" s="20" t="n">
        <v>15358</v>
      </c>
    </row>
    <row r="112">
      <c r="A112" s="18" t="inlineStr">
        <is>
          <t>전자기록채무</t>
        </is>
      </c>
      <c r="C112" s="20" t="n">
        <v>481</v>
      </c>
      <c r="D112" s="20" t="n">
        <v>566</v>
      </c>
      <c r="E112" s="20" t="n">
        <v>636</v>
      </c>
      <c r="F112" s="20" t="n">
        <v>380</v>
      </c>
      <c r="G112" s="20" t="n">
        <v>413</v>
      </c>
      <c r="H112" s="20" t="n">
        <v>429</v>
      </c>
      <c r="I112" s="20" t="n">
        <v>379</v>
      </c>
      <c r="J112" s="20" t="n">
        <v>562</v>
      </c>
      <c r="K112" s="20" t="n">
        <v>500</v>
      </c>
      <c r="L112" s="20" t="n">
        <v>380</v>
      </c>
    </row>
    <row r="113">
      <c r="A113" s="18" t="inlineStr">
        <is>
          <t>1년 내 상환 사채</t>
        </is>
      </c>
      <c r="F113" s="20" t="n">
        <v>6000</v>
      </c>
      <c r="G113" s="20" t="n">
        <v>6000</v>
      </c>
      <c r="K113" s="20" t="n">
        <v>0</v>
      </c>
      <c r="L113" s="20" t="n">
        <v>6000</v>
      </c>
    </row>
    <row r="114">
      <c r="A114" s="18" t="inlineStr">
        <is>
          <t>단기차입금</t>
        </is>
      </c>
      <c r="C114" s="20" t="n">
        <v>6504</v>
      </c>
      <c r="D114" s="20" t="n">
        <v>7143</v>
      </c>
      <c r="E114" s="20" t="n">
        <v>7206</v>
      </c>
      <c r="F114" s="20" t="n">
        <v>7230</v>
      </c>
      <c r="G114" s="20" t="n">
        <v>7050</v>
      </c>
      <c r="H114" s="20" t="n">
        <v>6711</v>
      </c>
      <c r="I114" s="20" t="n">
        <v>6516</v>
      </c>
      <c r="J114" s="20" t="n">
        <v>7847</v>
      </c>
      <c r="K114" s="20" t="n">
        <v>6300</v>
      </c>
      <c r="L114" s="20" t="n">
        <v>7230</v>
      </c>
    </row>
    <row r="115">
      <c r="A115" s="18" t="inlineStr">
        <is>
          <t>리스부채</t>
        </is>
      </c>
      <c r="C115" s="20" t="n">
        <v>537</v>
      </c>
      <c r="D115" s="20" t="n">
        <v>1432</v>
      </c>
      <c r="E115" s="20" t="n">
        <v>1334</v>
      </c>
      <c r="F115" s="20" t="n">
        <v>1240</v>
      </c>
      <c r="G115" s="20" t="n">
        <v>1142</v>
      </c>
      <c r="H115" s="20" t="n">
        <v>558</v>
      </c>
      <c r="I115" s="20" t="n">
        <v>474</v>
      </c>
      <c r="J115" s="20" t="n">
        <v>516</v>
      </c>
      <c r="K115" s="20" t="n">
        <v>523</v>
      </c>
      <c r="L115" s="20" t="n">
        <v>1240</v>
      </c>
    </row>
    <row r="116">
      <c r="A116" s="18" t="inlineStr">
        <is>
          <t>미지급비용</t>
        </is>
      </c>
      <c r="C116" s="20" t="n">
        <v>283</v>
      </c>
      <c r="D116" s="20" t="n">
        <v>326</v>
      </c>
      <c r="E116" s="20" t="n">
        <v>401</v>
      </c>
      <c r="F116" s="20" t="n">
        <v>458</v>
      </c>
      <c r="G116" s="20" t="n">
        <v>381</v>
      </c>
      <c r="H116" s="20" t="n">
        <v>348</v>
      </c>
      <c r="I116" s="20" t="n">
        <v>308</v>
      </c>
      <c r="J116" s="20" t="n">
        <v>278</v>
      </c>
      <c r="K116" s="20" t="n">
        <v>320</v>
      </c>
      <c r="L116" s="20" t="n">
        <v>458</v>
      </c>
    </row>
    <row r="117">
      <c r="A117" s="18" t="inlineStr">
        <is>
          <t>미지급법인세</t>
        </is>
      </c>
      <c r="C117" s="20" t="n">
        <v>824</v>
      </c>
      <c r="D117" s="20" t="n">
        <v>1179</v>
      </c>
      <c r="E117" s="20" t="n">
        <v>1519</v>
      </c>
      <c r="F117" s="20" t="n">
        <v>2403</v>
      </c>
      <c r="G117" s="20" t="n">
        <v>1167</v>
      </c>
      <c r="H117" s="20" t="n">
        <v>576</v>
      </c>
      <c r="I117" s="20" t="n">
        <v>232</v>
      </c>
      <c r="J117" s="20" t="n">
        <v>361</v>
      </c>
      <c r="K117" s="20" t="n">
        <v>927</v>
      </c>
      <c r="L117" s="20" t="n">
        <v>2403</v>
      </c>
    </row>
    <row r="118">
      <c r="A118" s="18" t="inlineStr">
        <is>
          <t>Accrued Business Office Taxes</t>
        </is>
      </c>
      <c r="C118" s="20" t="n">
        <v>10</v>
      </c>
      <c r="D118" s="20" t="n">
        <v>21</v>
      </c>
      <c r="E118" s="20" t="n">
        <v>32</v>
      </c>
      <c r="F118" s="20" t="n">
        <v>44</v>
      </c>
      <c r="G118" s="20" t="n">
        <v>11</v>
      </c>
      <c r="H118" s="20" t="n">
        <v>41</v>
      </c>
      <c r="I118" s="20" t="n">
        <v>41</v>
      </c>
      <c r="J118" s="20" t="n">
        <v>41</v>
      </c>
      <c r="K118" s="20" t="n">
        <v>42</v>
      </c>
      <c r="L118" s="20" t="n">
        <v>44</v>
      </c>
    </row>
    <row r="119">
      <c r="A119" s="18" t="inlineStr">
        <is>
          <t>상여충당금</t>
        </is>
      </c>
      <c r="C119" s="20" t="n">
        <v>716</v>
      </c>
      <c r="D119" s="20" t="n">
        <v>1028</v>
      </c>
      <c r="E119" s="20" t="n">
        <v>1098</v>
      </c>
      <c r="F119" s="20" t="n">
        <v>2009</v>
      </c>
      <c r="G119" s="20" t="n">
        <v>1030</v>
      </c>
      <c r="H119" s="20" t="n">
        <v>816</v>
      </c>
      <c r="I119" s="20" t="n">
        <v>712</v>
      </c>
      <c r="J119" s="20" t="n">
        <v>823</v>
      </c>
      <c r="K119" s="20" t="n">
        <v>1461</v>
      </c>
      <c r="L119" s="20" t="n">
        <v>2009</v>
      </c>
    </row>
    <row r="120">
      <c r="A120" s="18" t="inlineStr">
        <is>
          <t>Provision For Waste Disposal Costs CL</t>
        </is>
      </c>
      <c r="H120" s="20" t="n">
        <v>0</v>
      </c>
    </row>
    <row r="121">
      <c r="A121" s="18" t="inlineStr">
        <is>
          <t>기타</t>
        </is>
      </c>
      <c r="C121" s="20" t="n">
        <v>3809</v>
      </c>
      <c r="D121" s="20" t="n">
        <v>3348</v>
      </c>
      <c r="E121" s="20" t="n">
        <v>4923</v>
      </c>
      <c r="F121" s="20" t="n">
        <v>4436</v>
      </c>
      <c r="G121" s="20" t="n">
        <v>5495</v>
      </c>
      <c r="H121" s="20" t="n">
        <v>2040</v>
      </c>
      <c r="I121" s="20" t="n">
        <v>2002</v>
      </c>
      <c r="J121" s="20" t="n">
        <v>2747</v>
      </c>
      <c r="K121" s="20" t="n">
        <v>2971</v>
      </c>
      <c r="L121" s="20" t="n">
        <v>4436</v>
      </c>
    </row>
    <row r="122">
      <c r="A122" s="9" t="inlineStr">
        <is>
          <t>유동부채 합계</t>
        </is>
      </c>
      <c r="C122" s="12" t="n">
        <v>25693</v>
      </c>
      <c r="D122" s="12" t="n">
        <v>28049</v>
      </c>
      <c r="E122" s="12" t="n">
        <v>34155</v>
      </c>
      <c r="F122" s="12" t="n">
        <v>39562</v>
      </c>
      <c r="G122" s="12" t="n">
        <v>39405</v>
      </c>
      <c r="H122" s="12" t="n">
        <v>21726</v>
      </c>
      <c r="I122" s="12" t="n">
        <v>20639</v>
      </c>
      <c r="J122" s="12" t="n">
        <v>25159</v>
      </c>
      <c r="K122" s="12" t="n">
        <v>26532</v>
      </c>
      <c r="L122" s="12" t="n">
        <v>39562</v>
      </c>
    </row>
    <row r="123">
      <c r="A123" s="18" t="inlineStr">
        <is>
          <t>사채</t>
        </is>
      </c>
      <c r="C123" s="20" t="n">
        <v>6000</v>
      </c>
      <c r="D123" s="20" t="n">
        <v>6000</v>
      </c>
      <c r="E123" s="20" t="n">
        <v>6000</v>
      </c>
      <c r="F123" s="20" t="n">
        <v>0</v>
      </c>
      <c r="H123" s="20" t="n">
        <v>6000</v>
      </c>
      <c r="I123" s="20" t="n">
        <v>6000</v>
      </c>
      <c r="J123" s="20" t="n">
        <v>6000</v>
      </c>
      <c r="K123" s="20" t="n">
        <v>6000</v>
      </c>
      <c r="L123" s="20" t="n">
        <v>0</v>
      </c>
    </row>
    <row r="124">
      <c r="A124" s="18" t="inlineStr">
        <is>
          <t>장기차입금</t>
        </is>
      </c>
      <c r="C124" s="20" t="n">
        <v>15616</v>
      </c>
      <c r="D124" s="20" t="n">
        <v>14172</v>
      </c>
      <c r="E124" s="20" t="n">
        <v>12705</v>
      </c>
      <c r="F124" s="20" t="n">
        <v>14431</v>
      </c>
      <c r="G124" s="20" t="n">
        <v>12988</v>
      </c>
      <c r="H124" s="20" t="n">
        <v>15051</v>
      </c>
      <c r="I124" s="20" t="n">
        <v>17348</v>
      </c>
      <c r="J124" s="20" t="n">
        <v>18950</v>
      </c>
      <c r="K124" s="20" t="n">
        <v>17114</v>
      </c>
      <c r="L124" s="20" t="n">
        <v>14431</v>
      </c>
    </row>
    <row r="125">
      <c r="A125" s="18" t="inlineStr">
        <is>
          <t>리스부채</t>
        </is>
      </c>
      <c r="C125" s="20" t="n">
        <v>1323</v>
      </c>
      <c r="D125" s="20" t="n">
        <v>310</v>
      </c>
      <c r="E125" s="20" t="n">
        <v>283</v>
      </c>
      <c r="F125" s="20" t="n">
        <v>243</v>
      </c>
      <c r="G125" s="20" t="n">
        <v>258</v>
      </c>
      <c r="H125" s="20" t="n">
        <v>2551</v>
      </c>
      <c r="I125" s="20" t="n">
        <v>2131</v>
      </c>
      <c r="J125" s="20" t="n">
        <v>1823</v>
      </c>
      <c r="K125" s="20" t="n">
        <v>1412</v>
      </c>
      <c r="L125" s="20" t="n">
        <v>243</v>
      </c>
    </row>
    <row r="126">
      <c r="A126" s="18" t="inlineStr">
        <is>
          <t>이연법인세부채</t>
        </is>
      </c>
      <c r="C126" s="20" t="n">
        <v>1257</v>
      </c>
      <c r="D126" s="20" t="n">
        <v>1478</v>
      </c>
      <c r="E126" s="20" t="n">
        <v>1664</v>
      </c>
      <c r="F126" s="20" t="n">
        <v>2069</v>
      </c>
      <c r="G126" s="20" t="n">
        <v>3086</v>
      </c>
      <c r="H126" s="20" t="n">
        <v>318</v>
      </c>
      <c r="I126" s="20" t="n">
        <v>196</v>
      </c>
      <c r="J126" s="20" t="n">
        <v>880</v>
      </c>
      <c r="K126" s="20" t="n">
        <v>1118</v>
      </c>
      <c r="L126" s="20" t="n">
        <v>2069</v>
      </c>
    </row>
    <row r="127">
      <c r="A127" s="18" t="inlineStr">
        <is>
          <t>퇴직급여부채</t>
        </is>
      </c>
      <c r="C127" s="20" t="n">
        <v>67</v>
      </c>
      <c r="D127" s="20" t="n">
        <v>67</v>
      </c>
      <c r="E127" s="20" t="n">
        <v>69</v>
      </c>
      <c r="F127" s="20" t="n">
        <v>72</v>
      </c>
      <c r="G127" s="20" t="n">
        <v>74</v>
      </c>
      <c r="H127" s="20" t="n">
        <v>107</v>
      </c>
      <c r="I127" s="20" t="n">
        <v>79</v>
      </c>
      <c r="J127" s="20" t="n">
        <v>85</v>
      </c>
      <c r="K127" s="20" t="n">
        <v>77</v>
      </c>
      <c r="L127" s="20" t="n">
        <v>72</v>
      </c>
    </row>
    <row r="128">
      <c r="A128" s="18" t="inlineStr">
        <is>
          <t>자산복구부채</t>
        </is>
      </c>
      <c r="C128" s="20" t="n">
        <v>74</v>
      </c>
      <c r="D128" s="20" t="n">
        <v>74</v>
      </c>
      <c r="E128" s="20" t="n">
        <v>74</v>
      </c>
      <c r="F128" s="20" t="n">
        <v>74</v>
      </c>
      <c r="G128" s="20" t="n">
        <v>74</v>
      </c>
      <c r="H128" s="20" t="n">
        <v>74</v>
      </c>
      <c r="I128" s="20" t="n">
        <v>74</v>
      </c>
      <c r="J128" s="20" t="n">
        <v>74</v>
      </c>
      <c r="K128" s="20" t="n">
        <v>74</v>
      </c>
      <c r="L128" s="20" t="n">
        <v>74</v>
      </c>
    </row>
    <row r="129">
      <c r="A129" s="18" t="inlineStr">
        <is>
          <t>기타</t>
        </is>
      </c>
      <c r="C129" s="20" t="n">
        <v>263</v>
      </c>
      <c r="D129" s="20" t="n">
        <v>270</v>
      </c>
      <c r="E129" s="20" t="n">
        <v>271</v>
      </c>
      <c r="F129" s="20" t="n">
        <v>291</v>
      </c>
      <c r="G129" s="20" t="n">
        <v>286</v>
      </c>
      <c r="H129" s="20" t="n">
        <v>255</v>
      </c>
      <c r="I129" s="20" t="n">
        <v>259</v>
      </c>
      <c r="J129" s="20" t="n">
        <v>266</v>
      </c>
      <c r="K129" s="20" t="n">
        <v>278</v>
      </c>
      <c r="L129" s="20" t="n">
        <v>291</v>
      </c>
    </row>
    <row r="130">
      <c r="A130" s="9" t="inlineStr">
        <is>
          <t>비유동부채 합계</t>
        </is>
      </c>
      <c r="C130" s="12" t="n">
        <v>24602</v>
      </c>
      <c r="D130" s="12" t="n">
        <v>22374</v>
      </c>
      <c r="E130" s="12" t="n">
        <v>21070</v>
      </c>
      <c r="F130" s="12" t="n">
        <v>17183</v>
      </c>
      <c r="G130" s="12" t="n">
        <v>16769</v>
      </c>
      <c r="H130" s="12" t="n">
        <v>24359</v>
      </c>
      <c r="I130" s="12" t="n">
        <v>26089</v>
      </c>
      <c r="J130" s="12" t="n">
        <v>28081</v>
      </c>
      <c r="K130" s="12" t="n">
        <v>26075</v>
      </c>
      <c r="L130" s="12" t="n">
        <v>17183</v>
      </c>
    </row>
    <row r="131">
      <c r="A131" s="9" t="inlineStr">
        <is>
          <t>부채 합계</t>
        </is>
      </c>
      <c r="C131" s="12" t="n">
        <v>50295</v>
      </c>
      <c r="D131" s="12" t="n">
        <v>50424</v>
      </c>
      <c r="E131" s="12" t="n">
        <v>55225</v>
      </c>
      <c r="F131" s="12" t="n">
        <v>56746</v>
      </c>
      <c r="G131" s="12" t="n">
        <v>56174</v>
      </c>
      <c r="H131" s="12" t="n">
        <v>46086</v>
      </c>
      <c r="I131" s="12" t="n">
        <v>46729</v>
      </c>
      <c r="J131" s="12" t="n">
        <v>53240</v>
      </c>
      <c r="K131" s="12" t="n">
        <v>52608</v>
      </c>
      <c r="L131" s="12" t="n">
        <v>56746</v>
      </c>
    </row>
    <row r="132">
      <c r="A132" s="18" t="inlineStr">
        <is>
          <t>자본금</t>
        </is>
      </c>
      <c r="C132" s="20" t="n">
        <v>8895</v>
      </c>
      <c r="D132" s="20" t="n">
        <v>8895</v>
      </c>
      <c r="E132" s="20" t="n">
        <v>8895</v>
      </c>
      <c r="F132" s="20" t="n">
        <v>8895</v>
      </c>
      <c r="G132" s="20" t="n">
        <v>8895</v>
      </c>
      <c r="H132" s="20" t="n">
        <v>8895</v>
      </c>
      <c r="I132" s="20" t="n">
        <v>8895</v>
      </c>
      <c r="J132" s="20" t="n">
        <v>8895</v>
      </c>
      <c r="K132" s="20" t="n">
        <v>8895</v>
      </c>
      <c r="L132" s="20" t="n">
        <v>8895</v>
      </c>
    </row>
    <row r="133">
      <c r="A133" s="18" t="inlineStr">
        <is>
          <t>자본잉여금</t>
        </is>
      </c>
      <c r="C133" s="20" t="n">
        <v>7275</v>
      </c>
      <c r="D133" s="20" t="n">
        <v>10226</v>
      </c>
      <c r="E133" s="20" t="n">
        <v>10334</v>
      </c>
      <c r="F133" s="20" t="n">
        <v>10315</v>
      </c>
      <c r="G133" s="20" t="n">
        <v>10315</v>
      </c>
      <c r="H133" s="20" t="n">
        <v>7278</v>
      </c>
      <c r="I133" s="20" t="n">
        <v>7276</v>
      </c>
      <c r="J133" s="20" t="n">
        <v>7266</v>
      </c>
      <c r="K133" s="20" t="n">
        <v>7275</v>
      </c>
      <c r="L133" s="20" t="n">
        <v>10315</v>
      </c>
    </row>
    <row r="134">
      <c r="A134" s="18" t="inlineStr">
        <is>
          <t>이익잉여금</t>
        </is>
      </c>
      <c r="C134" s="20" t="n">
        <v>22033</v>
      </c>
      <c r="D134" s="20" t="n">
        <v>23231</v>
      </c>
      <c r="E134" s="20" t="n">
        <v>24646</v>
      </c>
      <c r="F134" s="20" t="n">
        <v>26583</v>
      </c>
      <c r="G134" s="20" t="n">
        <v>28744</v>
      </c>
      <c r="H134" s="20" t="n">
        <v>20498</v>
      </c>
      <c r="I134" s="20" t="n">
        <v>19250</v>
      </c>
      <c r="J134" s="20" t="n">
        <v>19851</v>
      </c>
      <c r="K134" s="20" t="n">
        <v>21575</v>
      </c>
      <c r="L134" s="20" t="n">
        <v>26583</v>
      </c>
    </row>
    <row r="135">
      <c r="A135" s="18" t="inlineStr">
        <is>
          <t>자기주식</t>
        </is>
      </c>
      <c r="C135" s="20" t="n">
        <v>-2449</v>
      </c>
      <c r="D135" s="20" t="n">
        <v>-227</v>
      </c>
      <c r="E135" s="20" t="n">
        <v>-162</v>
      </c>
      <c r="F135" s="20" t="n">
        <v>-162</v>
      </c>
      <c r="G135" s="20" t="n">
        <v>-162</v>
      </c>
      <c r="H135" s="20" t="n">
        <v>-1021</v>
      </c>
      <c r="I135" s="20" t="n">
        <v>-2488</v>
      </c>
      <c r="J135" s="20" t="n">
        <v>-2462</v>
      </c>
      <c r="K135" s="20" t="n">
        <v>-2449</v>
      </c>
      <c r="L135" s="20" t="n">
        <v>-162</v>
      </c>
    </row>
    <row r="136">
      <c r="A136" s="9" t="inlineStr">
        <is>
          <t>주주자본 합계</t>
        </is>
      </c>
      <c r="C136" s="12" t="n">
        <v>35754</v>
      </c>
      <c r="D136" s="12" t="n">
        <v>42126</v>
      </c>
      <c r="E136" s="12" t="n">
        <v>43714</v>
      </c>
      <c r="F136" s="12" t="n">
        <v>45631</v>
      </c>
      <c r="G136" s="12" t="n">
        <v>47792</v>
      </c>
      <c r="H136" s="12" t="n">
        <v>35650</v>
      </c>
      <c r="I136" s="12" t="n">
        <v>32933</v>
      </c>
      <c r="J136" s="12" t="n">
        <v>33551</v>
      </c>
      <c r="K136" s="12" t="n">
        <v>35296</v>
      </c>
      <c r="L136" s="12" t="n">
        <v>45631</v>
      </c>
    </row>
    <row r="137">
      <c r="A137" s="18" t="inlineStr">
        <is>
          <t>기타유가증권 평가차액</t>
        </is>
      </c>
      <c r="C137" s="20" t="n">
        <v>1853</v>
      </c>
      <c r="D137" s="20" t="n">
        <v>2563</v>
      </c>
      <c r="E137" s="20" t="n">
        <v>3043</v>
      </c>
      <c r="F137" s="20" t="n">
        <v>3770</v>
      </c>
      <c r="G137" s="20" t="n">
        <v>4531</v>
      </c>
      <c r="H137" s="20" t="n">
        <v>181</v>
      </c>
      <c r="I137" s="20" t="n">
        <v>467</v>
      </c>
      <c r="J137" s="20" t="n">
        <v>1670</v>
      </c>
      <c r="K137" s="20" t="n">
        <v>1606</v>
      </c>
      <c r="L137" s="20" t="n">
        <v>3770</v>
      </c>
    </row>
    <row r="138">
      <c r="A138" s="18" t="inlineStr">
        <is>
          <t>해외사업환산조정</t>
        </is>
      </c>
      <c r="C138" s="20" t="n">
        <v>937</v>
      </c>
      <c r="D138" s="20" t="n">
        <v>1377</v>
      </c>
      <c r="E138" s="20" t="n">
        <v>1355</v>
      </c>
      <c r="F138" s="20" t="n">
        <v>1636</v>
      </c>
      <c r="G138" s="20" t="n">
        <v>1707</v>
      </c>
      <c r="H138" s="20" t="n">
        <v>507</v>
      </c>
      <c r="I138" s="20" t="n">
        <v>765</v>
      </c>
      <c r="J138" s="20" t="n">
        <v>1073</v>
      </c>
      <c r="K138" s="20" t="n">
        <v>1412</v>
      </c>
      <c r="L138" s="20" t="n">
        <v>1636</v>
      </c>
    </row>
    <row r="139">
      <c r="A139" s="18" t="inlineStr">
        <is>
          <t>퇴직급여 조정누계액</t>
        </is>
      </c>
      <c r="C139" s="20" t="n">
        <v>400</v>
      </c>
      <c r="D139" s="20" t="n">
        <v>390</v>
      </c>
      <c r="E139" s="20" t="n">
        <v>376</v>
      </c>
      <c r="F139" s="20" t="n">
        <v>1000</v>
      </c>
      <c r="G139" s="20" t="n">
        <v>959</v>
      </c>
      <c r="H139" s="20" t="n">
        <v>427</v>
      </c>
      <c r="I139" s="20" t="n">
        <v>180</v>
      </c>
      <c r="J139" s="20" t="n">
        <v>452</v>
      </c>
      <c r="K139" s="20" t="n">
        <v>413</v>
      </c>
      <c r="L139" s="20" t="n">
        <v>1000</v>
      </c>
    </row>
    <row r="140">
      <c r="A140" s="18" t="inlineStr">
        <is>
          <t>기타포괄손익누계액 합계</t>
        </is>
      </c>
      <c r="C140" s="20" t="n">
        <v>3191</v>
      </c>
      <c r="D140" s="20" t="n">
        <v>4331</v>
      </c>
      <c r="E140" s="20" t="n">
        <v>4775</v>
      </c>
      <c r="F140" s="20" t="n">
        <v>6407</v>
      </c>
      <c r="G140" s="20" t="n">
        <v>7198</v>
      </c>
      <c r="H140" s="20" t="n">
        <v>1116</v>
      </c>
      <c r="I140" s="20" t="n">
        <v>1413</v>
      </c>
      <c r="J140" s="20" t="n">
        <v>3196</v>
      </c>
      <c r="K140" s="20" t="n">
        <v>3432</v>
      </c>
      <c r="L140" s="20" t="n">
        <v>6407</v>
      </c>
    </row>
    <row r="141">
      <c r="A141" s="18" t="inlineStr">
        <is>
          <t>비지배지분</t>
        </is>
      </c>
      <c r="C141" s="20" t="n">
        <v>4946</v>
      </c>
      <c r="D141" s="20" t="n">
        <v>5516</v>
      </c>
      <c r="E141" s="20" t="n">
        <v>5793</v>
      </c>
      <c r="F141" s="20" t="n">
        <v>6218</v>
      </c>
      <c r="G141" s="20" t="n">
        <v>5982</v>
      </c>
      <c r="H141" s="20" t="n">
        <v>3616</v>
      </c>
      <c r="I141" s="20" t="n">
        <v>3949</v>
      </c>
      <c r="J141" s="20" t="n">
        <v>4549</v>
      </c>
      <c r="K141" s="20" t="n">
        <v>5775</v>
      </c>
      <c r="L141" s="20" t="n">
        <v>6218</v>
      </c>
    </row>
    <row r="142">
      <c r="A142" s="9" t="inlineStr">
        <is>
          <t>순자산 합계</t>
        </is>
      </c>
      <c r="C142" s="12" t="n">
        <v>43893</v>
      </c>
      <c r="D142" s="12" t="n">
        <v>51974</v>
      </c>
      <c r="E142" s="12" t="n">
        <v>54283</v>
      </c>
      <c r="F142" s="12" t="n">
        <v>58257</v>
      </c>
      <c r="G142" s="12" t="n">
        <v>60973</v>
      </c>
      <c r="H142" s="12" t="n">
        <v>40383</v>
      </c>
      <c r="I142" s="12" t="n">
        <v>38296</v>
      </c>
      <c r="J142" s="12" t="n">
        <v>41297</v>
      </c>
      <c r="K142" s="12" t="n">
        <v>44504</v>
      </c>
      <c r="L142" s="12" t="n">
        <v>58257</v>
      </c>
    </row>
    <row r="143">
      <c r="A143" s="9" t="inlineStr">
        <is>
          <t>부채·순자산 합계</t>
        </is>
      </c>
      <c r="C143" s="12" t="n">
        <v>94188</v>
      </c>
      <c r="D143" s="12" t="n">
        <v>102398</v>
      </c>
      <c r="E143" s="12" t="n">
        <v>109509</v>
      </c>
      <c r="F143" s="12" t="n">
        <v>115003</v>
      </c>
      <c r="G143" s="12" t="n">
        <v>117147</v>
      </c>
      <c r="H143" s="12" t="n">
        <v>86469</v>
      </c>
      <c r="I143" s="12" t="n">
        <v>85025</v>
      </c>
      <c r="J143" s="12" t="n">
        <v>94537</v>
      </c>
      <c r="K143" s="12" t="n">
        <v>97113</v>
      </c>
      <c r="L143" s="12" t="n">
        <v>115003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https://www2.jpx.co.jp/disc/44610/140120260728501228.pdf</t>
        </is>
      </c>
    </row>
    <row r="5">
      <c r="A5" t="inlineStr">
        <is>
          <t>2026-05-13</t>
        </is>
      </c>
      <c r="B5" t="inlineStr">
        <is>
          <t>2026년 3월 결산기 연간 결산단신</t>
        </is>
      </c>
      <c r="C5" t="inlineStr">
        <is>
          <t>https://www2.jpx.co.jp/disc/44610/140120260513528548.pdf</t>
        </is>
      </c>
    </row>
    <row r="6">
      <c r="A6" t="inlineStr">
        <is>
          <t>2026-01-28</t>
        </is>
      </c>
      <c r="B6" t="inlineStr">
        <is>
          <t>2026년 3월 결산기 ３분기 결산단신</t>
        </is>
      </c>
      <c r="C6" t="inlineStr">
        <is>
          <t>https://www2.jpx.co.jp/disc/44610/140120260127538964.pdf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https://www2.jpx.co.jp/disc/44610/140120251029581276.pdf</t>
        </is>
      </c>
    </row>
    <row r="8">
      <c r="A8" t="inlineStr">
        <is>
          <t>2025-08-25</t>
        </is>
      </c>
      <c r="B8" t="inlineStr">
        <is>
          <t>2026년 3월 결산기 １분기 결산단신</t>
        </is>
      </c>
      <c r="C8" t="inlineStr">
        <is>
          <t>https://www2.jpx.co.jp/disc/44610/140120250821545264.pdf</t>
        </is>
      </c>
    </row>
    <row r="9">
      <c r="A9" t="inlineStr">
        <is>
          <t>2025-07-29</t>
        </is>
      </c>
      <c r="B9" t="inlineStr">
        <is>
          <t>2026년 3월 결산기 １분기 결산단신</t>
        </is>
      </c>
      <c r="C9" t="inlineStr">
        <is>
          <t>https://www2.jpx.co.jp/disc/44610/140120250728521230.pdf</t>
        </is>
      </c>
    </row>
    <row r="10">
      <c r="A10" t="inlineStr">
        <is>
          <t>2025-05-14</t>
        </is>
      </c>
      <c r="B10" t="inlineStr">
        <is>
          <t>2025년 3월 결산기 연간 결산단신</t>
        </is>
      </c>
      <c r="C10" t="inlineStr">
        <is>
          <t>https://www2.jpx.co.jp/disc/44610/140120250514549072.pdf</t>
        </is>
      </c>
    </row>
    <row r="11">
      <c r="A11" t="inlineStr">
        <is>
          <t>2025-01-29</t>
        </is>
      </c>
      <c r="B11" t="inlineStr">
        <is>
          <t>2025년 3월 결산기 ３분기 결산단신</t>
        </is>
      </c>
      <c r="C11" t="inlineStr">
        <is>
          <t>https://www2.jpx.co.jp/disc/44610/140120250128556549.pdf</t>
        </is>
      </c>
    </row>
    <row r="12">
      <c r="A12" t="inlineStr">
        <is>
          <t>2024-10-30</t>
        </is>
      </c>
      <c r="B12" t="inlineStr">
        <is>
          <t>2025년 3월 결산기 ２분기 결산단신</t>
        </is>
      </c>
      <c r="C12" t="inlineStr">
        <is>
          <t>https://www2.jpx.co.jp/disc/44610/140120241029504545.pdf</t>
        </is>
      </c>
    </row>
    <row r="13">
      <c r="A13" t="inlineStr">
        <is>
          <t>2024-07-30</t>
        </is>
      </c>
      <c r="B13" t="inlineStr">
        <is>
          <t>2025년 3월 결산기 １분기 결산단신</t>
        </is>
      </c>
      <c r="C13" t="inlineStr">
        <is>
          <t>https://www2.jpx.co.jp/disc/44610/140120240729556273.pdf</t>
        </is>
      </c>
    </row>
    <row r="14">
      <c r="A14" t="inlineStr">
        <is>
          <t>2024-05-14</t>
        </is>
      </c>
      <c r="B14" t="inlineStr">
        <is>
          <t>2024년 3월 결산기 연간 결산단신</t>
        </is>
      </c>
      <c r="C14" t="inlineStr">
        <is>
          <t>https://www2.jpx.co.jp/disc/44610/140120240513591396.pdf</t>
        </is>
      </c>
    </row>
    <row r="15">
      <c r="A15" t="inlineStr">
        <is>
          <t>2024-01-30</t>
        </is>
      </c>
      <c r="B15" t="inlineStr">
        <is>
          <t>2024년 3월 결산기 ３분기 결산단신</t>
        </is>
      </c>
      <c r="C15" t="inlineStr">
        <is>
          <t>https://www2.jpx.co.jp/disc/44610/140120240126519726.pdf</t>
        </is>
      </c>
    </row>
    <row r="16">
      <c r="A16" t="inlineStr">
        <is>
          <t>2023-10-30</t>
        </is>
      </c>
      <c r="B16" t="inlineStr">
        <is>
          <t>2024년 3월 결산기 ２분기 결산단신</t>
        </is>
      </c>
      <c r="C16" t="inlineStr">
        <is>
          <t>https://www2.jpx.co.jp/disc/44610/140120231025571593.pdf</t>
        </is>
      </c>
    </row>
    <row r="17">
      <c r="A17" t="inlineStr">
        <is>
          <t>2023-07-27</t>
        </is>
      </c>
      <c r="B17" t="inlineStr">
        <is>
          <t>2024년 3월 결산기 １분기 결산단신</t>
        </is>
      </c>
      <c r="C17" t="inlineStr">
        <is>
          <t>https://www2.jpx.co.jp/disc/44610/140120230726527164.pdf</t>
        </is>
      </c>
    </row>
    <row r="18">
      <c r="A18" t="inlineStr">
        <is>
          <t>2023-05-15</t>
        </is>
      </c>
      <c r="B18" t="inlineStr">
        <is>
          <t>2023년 3월 결산기 연간 결산단신</t>
        </is>
      </c>
      <c r="C18" t="inlineStr">
        <is>
          <t>https://www2.jpx.co.jp/disc/44610/140120230512568407.pdf</t>
        </is>
      </c>
    </row>
    <row r="19">
      <c r="A19" t="inlineStr">
        <is>
          <t>2023-01-26</t>
        </is>
      </c>
      <c r="B19" t="inlineStr">
        <is>
          <t>2023년 3월 결산기 ３분기 결산단신</t>
        </is>
      </c>
      <c r="C19" t="inlineStr">
        <is>
          <t>https://www2.jpx.co.jp/disc/44610/140120230125593486.pdf</t>
        </is>
      </c>
    </row>
    <row r="20">
      <c r="A20" t="inlineStr">
        <is>
          <t>2022-05-16</t>
        </is>
      </c>
      <c r="B20" t="inlineStr">
        <is>
          <t>2022년 3월 결산기 연간 결산단신</t>
        </is>
      </c>
      <c r="C20" t="inlineStr">
        <is>
          <t>https://www2.jpx.co.jp/disc/44610/140120220513545842.pdf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https://www2.jpx.co.jp/disc/44610/140120210512412855.pdf</t>
        </is>
      </c>
    </row>
    <row r="22">
      <c r="A22" t="inlineStr">
        <is>
          <t>2020-05-13</t>
        </is>
      </c>
      <c r="B22" t="inlineStr">
        <is>
          <t>2020년 3월 결산기 연간 결산단신</t>
        </is>
      </c>
      <c r="C22" t="inlineStr">
        <is>
          <t>https://www2.jpx.co.jp/disc/44610/140120200513411726.pdf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https://www2.jpx.co.jp/disc/44610/140120190424409573.pdf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https://www2.jpx.co.jp/disc/44610/140120180423417156.pdf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2026-10-28T07:03:08Z</dcterms:created>
  <dcterms:modified xmlns:dcterms="http://purl.org/dc/terms/" xmlns:xsi="http://www.w3.org/2001/XMLSchema-instance" xsi:type="dcterms:W3CDTF">2026-10-28T07:03:08Z</dcterms:modified>
</cp:coreProperties>
</file>