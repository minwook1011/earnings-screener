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7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4461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15316</v>
      </c>
      <c r="D4" s="12" t="n">
        <v>16434</v>
      </c>
      <c r="E4" s="12" t="n">
        <v>17484</v>
      </c>
      <c r="F4" s="12" t="n">
        <v>17531</v>
      </c>
      <c r="G4" s="12" t="n">
        <v>17900</v>
      </c>
      <c r="H4" s="12" t="n">
        <v>18840</v>
      </c>
      <c r="I4" s="12" t="n">
        <v>18984</v>
      </c>
      <c r="J4" s="12" t="n">
        <v>19046</v>
      </c>
      <c r="K4" s="12" t="n">
        <v>18565</v>
      </c>
      <c r="L4" s="12" t="n">
        <v>22598</v>
      </c>
      <c r="M4" s="12" t="n">
        <v>22677</v>
      </c>
      <c r="N4" s="12" t="n">
        <v>27501</v>
      </c>
      <c r="O4" s="11" t="n">
        <v>52254</v>
      </c>
      <c r="P4" s="12" t="n">
        <v>56955</v>
      </c>
      <c r="Q4" s="12" t="n">
        <v>59574</v>
      </c>
      <c r="R4" s="12" t="n">
        <v>61456</v>
      </c>
      <c r="S4" s="12" t="n">
        <v>59140</v>
      </c>
      <c r="T4" s="12" t="n">
        <v>62672</v>
      </c>
      <c r="U4" s="12" t="n">
        <v>65081</v>
      </c>
      <c r="V4" s="12" t="n">
        <v>63118</v>
      </c>
      <c r="W4" s="12" t="n">
        <v>73255</v>
      </c>
      <c r="X4" s="12" t="n">
        <v>82886</v>
      </c>
      <c r="Y4" s="11">
        <f>IF(COUNT(Y7,Y10,Y13,Y16,Y19,Y22,Y25,Y28,Y31,Y34,Y37)=0,"",SUM(Y7,Y10,Y13,Y16,Y19,Y22,Y25,Y28,Y31,Y34,Y37))</f>
        <v/>
      </c>
      <c r="Z4" s="12">
        <f>IF(COUNT(Z7,Z10,Z13,Z16,Z19,Z22,Z25,Z28,Z31,Z34,Z37)=0,"",SUM(Z7,Z10,Z13,Z16,Z19,Z22,Z25,Z28,Z31,Z34,Z37))</f>
        <v/>
      </c>
      <c r="AA4" s="12">
        <f>IF(COUNT(AA7,AA10,AA13,AA16,AA19,AA22,AA25,AA28,AA31,AA34,AA37)=0,"",SUM(AA7,AA10,AA13,AA16,AA19,AA22,AA25,AA28,AA31,AA34,AA37))</f>
        <v/>
      </c>
      <c r="AB4" s="12">
        <f>IF(COUNT(AB7,AB10,AB13,AB16,AB19,AB22,AB25,AB28,AB31,AB34,AB37)=0,"",SUM(AB7,AB10,AB13,AB16,AB19,AB22,AB25,AB28,AB31,AB34,AB37))</f>
        <v/>
      </c>
      <c r="AC4" s="12">
        <f>IF(COUNT(AC7,AC10,AC13,AC16,AC19,AC22,AC25,AC28,AC31,AC34,AC37)=0,"",SUM(AC7,AC10,AC13,AC16,AC19,AC22,AC25,AC28,AC31,AC34,AC37))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부문</t>
        </is>
      </c>
      <c r="B7" s="10" t="n"/>
      <c r="C7" s="19" t="n"/>
      <c r="D7" s="20" t="n"/>
      <c r="E7" s="20" t="n"/>
      <c r="F7" s="20" t="n">
        <v>6239</v>
      </c>
      <c r="G7" s="20" t="n">
        <v>6387</v>
      </c>
      <c r="H7" s="20" t="n">
        <v>6136</v>
      </c>
      <c r="I7" s="20" t="n">
        <v>6288</v>
      </c>
      <c r="J7" s="20" t="n">
        <v>6937</v>
      </c>
      <c r="K7" s="20" t="n">
        <v>7039</v>
      </c>
      <c r="L7" s="20" t="n">
        <v>8190</v>
      </c>
      <c r="M7" s="20" t="n">
        <v>8341</v>
      </c>
      <c r="N7" s="20" t="n">
        <v>10840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>
        <v>25050</v>
      </c>
      <c r="X7" s="20" t="n">
        <v>30507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부문</t>
        </is>
      </c>
      <c r="B10" s="10" t="n"/>
      <c r="C10" s="19" t="n"/>
      <c r="D10" s="20" t="n"/>
      <c r="E10" s="20" t="n"/>
      <c r="F10" s="20" t="n">
        <v>3976</v>
      </c>
      <c r="G10" s="20" t="n">
        <v>4308</v>
      </c>
      <c r="H10" s="20" t="n">
        <v>5049</v>
      </c>
      <c r="I10" s="20" t="n">
        <v>5380</v>
      </c>
      <c r="J10" s="20" t="n">
        <v>4627</v>
      </c>
      <c r="K10" s="20" t="n">
        <v>4704</v>
      </c>
      <c r="L10" s="20" t="n">
        <v>6708</v>
      </c>
      <c r="M10" s="20" t="n">
        <v>7265</v>
      </c>
      <c r="N10" s="20" t="n">
        <v>8416</v>
      </c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>
        <v>18713</v>
      </c>
      <c r="X10" s="20" t="n">
        <v>23304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부문</t>
        </is>
      </c>
      <c r="B13" s="10" t="n"/>
      <c r="C13" s="19" t="n"/>
      <c r="D13" s="20" t="n"/>
      <c r="E13" s="20" t="n"/>
      <c r="F13" s="20" t="n">
        <v>3387</v>
      </c>
      <c r="G13" s="20" t="n">
        <v>3354</v>
      </c>
      <c r="H13" s="20" t="n">
        <v>3710</v>
      </c>
      <c r="I13" s="20" t="n">
        <v>3296</v>
      </c>
      <c r="J13" s="20" t="n">
        <v>3512</v>
      </c>
      <c r="K13" s="20" t="n">
        <v>3384</v>
      </c>
      <c r="L13" s="20" t="n">
        <v>3668</v>
      </c>
      <c r="M13" s="20" t="n">
        <v>3328</v>
      </c>
      <c r="N13" s="20" t="n">
        <v>3809</v>
      </c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>
        <v>13747</v>
      </c>
      <c r="X13" s="20" t="n">
        <v>13892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부문</t>
        </is>
      </c>
      <c r="B16" s="10" t="n"/>
      <c r="C16" s="19" t="n"/>
      <c r="D16" s="20" t="n"/>
      <c r="E16" s="20" t="n"/>
      <c r="F16" s="20" t="n">
        <v>3927</v>
      </c>
      <c r="G16" s="20" t="n">
        <v>3852</v>
      </c>
      <c r="H16" s="20" t="n">
        <v>3944</v>
      </c>
      <c r="I16" s="20" t="n">
        <v>4020</v>
      </c>
      <c r="J16" s="20" t="n">
        <v>3969</v>
      </c>
      <c r="K16" s="20" t="n">
        <v>3437</v>
      </c>
      <c r="L16" s="20" t="n">
        <v>4032</v>
      </c>
      <c r="M16" s="20" t="n">
        <v>3744</v>
      </c>
      <c r="N16" s="20" t="n">
        <v>4435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>
        <v>15743</v>
      </c>
      <c r="X16" s="20" t="n">
        <v>15182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부문</t>
        </is>
      </c>
      <c r="B19" s="10" t="n"/>
      <c r="C19" s="19" t="n">
        <v>4522</v>
      </c>
      <c r="D19" s="20" t="n">
        <v>4863</v>
      </c>
      <c r="E19" s="20" t="n">
        <v>4857</v>
      </c>
      <c r="F19" s="20" t="n">
        <v>4886</v>
      </c>
      <c r="G19" s="20" t="n">
        <v>4581</v>
      </c>
      <c r="H19" s="20" t="n">
        <v>5113</v>
      </c>
      <c r="I19" s="20" t="n">
        <v>4738</v>
      </c>
      <c r="J19" s="20" t="n"/>
      <c r="K19" s="20" t="n"/>
      <c r="L19" s="20" t="n"/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>
        <v>18529</v>
      </c>
      <c r="W19" s="20" t="n">
        <v>19318</v>
      </c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부문</t>
        </is>
      </c>
      <c r="B22" s="10" t="n"/>
      <c r="C22" s="19" t="n">
        <v>2024</v>
      </c>
      <c r="D22" s="20" t="n">
        <v>2196</v>
      </c>
      <c r="E22" s="20" t="n">
        <v>2241</v>
      </c>
      <c r="F22" s="20" t="n">
        <v>2306</v>
      </c>
      <c r="G22" s="20" t="n">
        <v>2287</v>
      </c>
      <c r="H22" s="20" t="n">
        <v>2218</v>
      </c>
      <c r="I22" s="20" t="n">
        <v>2319</v>
      </c>
      <c r="J22" s="20" t="n"/>
      <c r="K22" s="20" t="n"/>
      <c r="L22" s="20" t="n"/>
      <c r="M22" s="20" t="n"/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>
        <v>8430</v>
      </c>
      <c r="W22" s="20" t="n">
        <v>9130</v>
      </c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부문</t>
        </is>
      </c>
      <c r="B25" s="10" t="n"/>
      <c r="C25" s="19" t="n">
        <v>2244</v>
      </c>
      <c r="D25" s="20" t="n">
        <v>2129</v>
      </c>
      <c r="E25" s="20" t="n">
        <v>2346</v>
      </c>
      <c r="F25" s="20" t="n">
        <v>2228</v>
      </c>
      <c r="G25" s="20" t="n">
        <v>2266</v>
      </c>
      <c r="H25" s="20" t="n">
        <v>2222</v>
      </c>
      <c r="I25" s="20" t="n">
        <v>2531</v>
      </c>
      <c r="J25" s="20" t="n"/>
      <c r="K25" s="20" t="n"/>
      <c r="L25" s="20" t="n"/>
      <c r="M25" s="20" t="n"/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>
        <v>8870</v>
      </c>
      <c r="W25" s="20" t="n">
        <v>9247</v>
      </c>
      <c r="X25" s="20" t="n"/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8" t="inlineStr">
        <is>
          <t>부문</t>
        </is>
      </c>
      <c r="B28" s="10" t="n"/>
      <c r="C28" s="19" t="n">
        <v>5270</v>
      </c>
      <c r="D28" s="20" t="n">
        <v>6007</v>
      </c>
      <c r="E28" s="20" t="n">
        <v>6201</v>
      </c>
      <c r="F28" s="20" t="n">
        <v>6525</v>
      </c>
      <c r="G28" s="20" t="n">
        <v>7008</v>
      </c>
      <c r="H28" s="20" t="n">
        <v>6916</v>
      </c>
      <c r="I28" s="20" t="n">
        <v>6702</v>
      </c>
      <c r="J28" s="20" t="n"/>
      <c r="K28" s="20" t="n"/>
      <c r="L28" s="20" t="n"/>
      <c r="M28" s="20" t="n"/>
      <c r="N28" s="20" t="n"/>
      <c r="O28" s="19" t="n"/>
      <c r="P28" s="20" t="n"/>
      <c r="Q28" s="20" t="n"/>
      <c r="R28" s="20" t="n"/>
      <c r="S28" s="20" t="n"/>
      <c r="T28" s="20" t="n"/>
      <c r="U28" s="20" t="n"/>
      <c r="V28" s="20" t="n">
        <v>21439</v>
      </c>
      <c r="W28" s="20" t="n">
        <v>27151</v>
      </c>
      <c r="X28" s="20" t="n"/>
      <c r="Y28" s="21" t="n"/>
      <c r="Z28" s="22" t="n"/>
      <c r="AA28" s="22" t="n"/>
      <c r="AB28" s="22" t="n"/>
      <c r="AC28" s="22" t="n"/>
    </row>
    <row r="29">
      <c r="A29" s="13" t="inlineStr">
        <is>
          <t>비중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8" t="inlineStr">
        <is>
          <t>부문</t>
        </is>
      </c>
      <c r="B31" s="10" t="n"/>
      <c r="C31" s="19" t="n">
        <v>1190</v>
      </c>
      <c r="D31" s="20" t="n"/>
      <c r="E31" s="20" t="n"/>
      <c r="F31" s="20" t="n">
        <v>1504</v>
      </c>
      <c r="G31" s="20" t="n">
        <v>1642</v>
      </c>
      <c r="H31" s="20" t="n"/>
      <c r="I31" s="20" t="n"/>
      <c r="J31" s="20" t="n"/>
      <c r="K31" s="20" t="n"/>
      <c r="L31" s="20" t="n"/>
      <c r="M31" s="20" t="n"/>
      <c r="N31" s="20" t="n"/>
      <c r="O31" s="19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1" t="n"/>
      <c r="Z31" s="22" t="n"/>
      <c r="AA31" s="22" t="n"/>
      <c r="AB31" s="22" t="n"/>
      <c r="AC31" s="22" t="n"/>
    </row>
    <row r="32">
      <c r="A32" s="13" t="inlineStr">
        <is>
          <t>비중</t>
        </is>
      </c>
      <c r="B32" s="10" t="n"/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>
        <f>IF(OR(Y31="",Y4=""),"",IFERROR(Y31/Y4,""))</f>
        <v/>
      </c>
      <c r="Z32" s="15">
        <f>IF(OR(Z31="",Z4=""),"",IFERROR(Z31/Z4,""))</f>
        <v/>
      </c>
      <c r="AA32" s="15">
        <f>IF(OR(AA31="",AA4=""),"",IFERROR(AA31/AA4,""))</f>
        <v/>
      </c>
      <c r="AB32" s="15">
        <f>IF(OR(AB31="",AB4=""),"",IFERROR(AB31/AB4,""))</f>
        <v/>
      </c>
      <c r="AC32" s="15">
        <f>IF(OR(AC31="",AC4=""),"",IFERROR(AC31/AC4,""))</f>
        <v/>
      </c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8" t="inlineStr">
        <is>
          <t>부문</t>
        </is>
      </c>
      <c r="B34" s="10" t="n"/>
      <c r="C34" s="19" t="n"/>
      <c r="D34" s="20" t="n"/>
      <c r="E34" s="20" t="n">
        <v>1696</v>
      </c>
      <c r="F34" s="20" t="n"/>
      <c r="G34" s="20" t="n"/>
      <c r="H34" s="20" t="n"/>
      <c r="I34" s="20" t="n">
        <v>2570</v>
      </c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>
        <v>5456</v>
      </c>
      <c r="W34" s="20" t="n">
        <v>7967</v>
      </c>
      <c r="X34" s="20" t="n"/>
      <c r="Y34" s="21" t="n"/>
      <c r="Z34" s="22" t="n"/>
      <c r="AA34" s="22" t="n"/>
      <c r="AB34" s="22" t="n"/>
      <c r="AC34" s="22" t="n"/>
    </row>
    <row r="35">
      <c r="A35" s="13" t="inlineStr">
        <is>
          <t>비중</t>
        </is>
      </c>
      <c r="B35" s="10" t="n"/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>
        <f>IF(OR(Y34="",Y4=""),"",IFERROR(Y34/Y4,""))</f>
        <v/>
      </c>
      <c r="Z35" s="15">
        <f>IF(OR(Z34="",Z4=""),"",IFERROR(Z34/Z4,""))</f>
        <v/>
      </c>
      <c r="AA35" s="15">
        <f>IF(OR(AA34="",AA4=""),"",IFERROR(AA34/AA4,""))</f>
        <v/>
      </c>
      <c r="AB35" s="15">
        <f>IF(OR(AB34="",AB4=""),"",IFERROR(AB34/AB4,""))</f>
        <v/>
      </c>
      <c r="AC35" s="15">
        <f>IF(OR(AC34="",AC4=""),"",IFERROR(AC34/AC4,""))</f>
        <v/>
      </c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8" t="inlineStr">
        <is>
          <t>부문</t>
        </is>
      </c>
      <c r="B37" s="10" t="n"/>
      <c r="C37" s="19" t="n">
        <v>68</v>
      </c>
      <c r="D37" s="20" t="n">
        <v>92</v>
      </c>
      <c r="E37" s="20" t="n">
        <v>143</v>
      </c>
      <c r="F37" s="20" t="n">
        <v>79</v>
      </c>
      <c r="G37" s="20" t="n">
        <v>115</v>
      </c>
      <c r="H37" s="20" t="n">
        <v>121</v>
      </c>
      <c r="I37" s="20" t="n">
        <v>124</v>
      </c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>
        <v>392</v>
      </c>
      <c r="W37" s="20" t="n">
        <v>439</v>
      </c>
      <c r="X37" s="20" t="n"/>
      <c r="Y37" s="21" t="n"/>
      <c r="Z37" s="22" t="n"/>
      <c r="AA37" s="22" t="n"/>
      <c r="AB37" s="22" t="n"/>
      <c r="AC37" s="22" t="n"/>
    </row>
    <row r="38">
      <c r="A38" s="13" t="inlineStr">
        <is>
          <t>비중</t>
        </is>
      </c>
      <c r="B38" s="10" t="n"/>
      <c r="C38" s="14">
        <f>IF(OR(C37="",C4=""),"",IFERROR(C37/C4,""))</f>
        <v/>
      </c>
      <c r="D38" s="15">
        <f>IF(OR(D37="",D4=""),"",IFERROR(D37/D4,""))</f>
        <v/>
      </c>
      <c r="E38" s="15">
        <f>IF(OR(E37="",E4=""),"",IFERROR(E37/E4,""))</f>
        <v/>
      </c>
      <c r="F38" s="15">
        <f>IF(OR(F37="",F4=""),"",IFERROR(F37/F4,""))</f>
        <v/>
      </c>
      <c r="G38" s="15">
        <f>IF(OR(G37="",G4=""),"",IFERROR(G37/G4,""))</f>
        <v/>
      </c>
      <c r="H38" s="15">
        <f>IF(OR(H37="",H4=""),"",IFERROR(H37/H4,""))</f>
        <v/>
      </c>
      <c r="I38" s="15">
        <f>IF(OR(I37="",I4=""),"",IFERROR(I37/I4,""))</f>
        <v/>
      </c>
      <c r="J38" s="15">
        <f>IF(OR(J37="",J4=""),"",IFERROR(J37/J4,""))</f>
        <v/>
      </c>
      <c r="K38" s="15">
        <f>IF(OR(K37="",K4=""),"",IFERROR(K37/K4,""))</f>
        <v/>
      </c>
      <c r="L38" s="15">
        <f>IF(OR(L37="",L4=""),"",IFERROR(L37/L4,""))</f>
        <v/>
      </c>
      <c r="M38" s="15">
        <f>IF(OR(M37="",M4=""),"",IFERROR(M37/M4,""))</f>
        <v/>
      </c>
      <c r="N38" s="15">
        <f>IF(OR(N37="",N4=""),"",IFERROR(N37/N4,""))</f>
        <v/>
      </c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>
        <f>IF(OR(Y37="",Y4=""),"",IFERROR(Y37/Y4,""))</f>
        <v/>
      </c>
      <c r="Z38" s="15">
        <f>IF(OR(Z37="",Z4=""),"",IFERROR(Z37/Z4,""))</f>
        <v/>
      </c>
      <c r="AA38" s="15">
        <f>IF(OR(AA37="",AA4=""),"",IFERROR(AA37/AA4,""))</f>
        <v/>
      </c>
      <c r="AB38" s="15">
        <f>IF(OR(AB37="",AB4=""),"",IFERROR(AB37/AB4,""))</f>
        <v/>
      </c>
      <c r="AC38" s="15">
        <f>IF(OR(AC37="",AC4=""),"",IFERROR(AC37/AC4,""))</f>
        <v/>
      </c>
    </row>
    <row r="39">
      <c r="A39" s="13" t="inlineStr">
        <is>
          <t>YoY</t>
        </is>
      </c>
      <c r="B39" s="10" t="n"/>
      <c r="C39" s="14" t="n"/>
      <c r="D39" s="15" t="n"/>
      <c r="E39" s="15" t="n"/>
      <c r="F39" s="15" t="n"/>
      <c r="G39" s="15">
        <f>IF(OR(G37="",C37=""),"",IFERROR(G37/C37-1,""))</f>
        <v/>
      </c>
      <c r="H39" s="15">
        <f>IF(OR(H37="",D37=""),"",IFERROR(H37/D37-1,""))</f>
        <v/>
      </c>
      <c r="I39" s="15">
        <f>IF(OR(I37="",E37=""),"",IFERROR(I37/E37-1,""))</f>
        <v/>
      </c>
      <c r="J39" s="15">
        <f>IF(OR(J37="",F37=""),"",IFERROR(J37/F37-1,""))</f>
        <v/>
      </c>
      <c r="K39" s="15">
        <f>IF(OR(K37="",G37=""),"",IFERROR(K37/G37-1,""))</f>
        <v/>
      </c>
      <c r="L39" s="15">
        <f>IF(OR(L37="",H37=""),"",IFERROR(L37/H37-1,""))</f>
        <v/>
      </c>
      <c r="M39" s="15">
        <f>IF(OR(M37="",I37=""),"",IFERROR(M37/I37-1,""))</f>
        <v/>
      </c>
      <c r="N39" s="15">
        <f>IF(OR(N37="",J37=""),"",IFERROR(N37/J37-1,""))</f>
        <v/>
      </c>
      <c r="O39" s="14" t="n"/>
      <c r="P39" s="15">
        <f>IF(OR(P37="",O37=""),"",IFERROR(P37/O37-1,""))</f>
        <v/>
      </c>
      <c r="Q39" s="15">
        <f>IF(OR(Q37="",P37=""),"",IFERROR(Q37/P37-1,""))</f>
        <v/>
      </c>
      <c r="R39" s="15">
        <f>IF(OR(R37="",Q37=""),"",IFERROR(R37/Q37-1,""))</f>
        <v/>
      </c>
      <c r="S39" s="15">
        <f>IF(OR(S37="",R37=""),"",IFERROR(S37/R37-1,""))</f>
        <v/>
      </c>
      <c r="T39" s="15">
        <f>IF(OR(T37="",S37=""),"",IFERROR(T37/S37-1,""))</f>
        <v/>
      </c>
      <c r="U39" s="15">
        <f>IF(OR(U37="",T37=""),"",IFERROR(U37/T37-1,""))</f>
        <v/>
      </c>
      <c r="V39" s="15">
        <f>IF(OR(V37="",U37=""),"",IFERROR(V37/U37-1,""))</f>
        <v/>
      </c>
      <c r="W39" s="15">
        <f>IF(OR(W37="",V37=""),"",IFERROR(W37/V37-1,""))</f>
        <v/>
      </c>
      <c r="X39" s="15">
        <f>IF(OR(X37="",W37=""),"",IFERROR(X37/W37-1,""))</f>
        <v/>
      </c>
      <c r="Y39" s="14">
        <f>IF(OR(Y37="",X37=""),"",IFERROR(Y37/X37-1,""))</f>
        <v/>
      </c>
      <c r="Z39" s="15">
        <f>IF(OR(Z37="",Y37=""),"",IFERROR(Z37/Y37-1,""))</f>
        <v/>
      </c>
      <c r="AA39" s="15">
        <f>IF(OR(AA37="",Z37=""),"",IFERROR(AA37/Z37-1,""))</f>
        <v/>
      </c>
      <c r="AB39" s="15">
        <f>IF(OR(AB37="",AA37=""),"",IFERROR(AB37/AA37-1,""))</f>
        <v/>
      </c>
      <c r="AC39" s="15">
        <f>IF(OR(AC37="",AB37=""),"",IFERROR(AC37/AB37-1,""))</f>
        <v/>
      </c>
    </row>
    <row r="40">
      <c r="A40" s="16" t="inlineStr">
        <is>
          <t>매출원가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전체 매출원가</t>
        </is>
      </c>
      <c r="B41" s="10" t="n"/>
      <c r="C41" s="19" t="n">
        <v>12461</v>
      </c>
      <c r="D41" s="20" t="n">
        <v>12616</v>
      </c>
      <c r="E41" s="20" t="n">
        <v>13073</v>
      </c>
      <c r="F41" s="20" t="n">
        <v>13450</v>
      </c>
      <c r="G41" s="20" t="n">
        <v>13256</v>
      </c>
      <c r="H41" s="20" t="n">
        <v>14180</v>
      </c>
      <c r="I41" s="20" t="n">
        <v>14131</v>
      </c>
      <c r="J41" s="20" t="n">
        <v>13960</v>
      </c>
      <c r="K41" s="20" t="n">
        <v>12996</v>
      </c>
      <c r="L41" s="20" t="n">
        <v>15501</v>
      </c>
      <c r="M41" s="20" t="n">
        <v>15641</v>
      </c>
      <c r="N41" s="20" t="n">
        <v>18504</v>
      </c>
      <c r="O41" s="19" t="n">
        <v>38532</v>
      </c>
      <c r="P41" s="20" t="n">
        <v>41896</v>
      </c>
      <c r="Q41" s="20" t="n">
        <v>44130</v>
      </c>
      <c r="R41" s="20" t="n">
        <v>45991</v>
      </c>
      <c r="S41" s="20" t="n">
        <v>43961</v>
      </c>
      <c r="T41" s="20" t="n">
        <v>46954</v>
      </c>
      <c r="U41" s="20" t="n">
        <v>52120</v>
      </c>
      <c r="V41" s="20" t="n">
        <v>49733</v>
      </c>
      <c r="W41" s="20" t="n">
        <v>55017</v>
      </c>
      <c r="X41" s="20" t="n">
        <v>58098</v>
      </c>
      <c r="Y41" s="19" t="n"/>
      <c r="Z41" s="20" t="n"/>
      <c r="AA41" s="20" t="n"/>
      <c r="AB41" s="20" t="n"/>
      <c r="AC41" s="20" t="n"/>
    </row>
    <row r="42">
      <c r="A42" s="18" t="inlineStr">
        <is>
          <t>매출총이익</t>
        </is>
      </c>
      <c r="B42" s="10" t="n"/>
      <c r="C42" s="19">
        <f>IF(OR(C4="",C41=""),"",IFERROR(C4-C41,""))</f>
        <v/>
      </c>
      <c r="D42" s="20">
        <f>IF(OR(D4="",D41=""),"",IFERROR(D4-D41,""))</f>
        <v/>
      </c>
      <c r="E42" s="20">
        <f>IF(OR(E4="",E41=""),"",IFERROR(E4-E41,""))</f>
        <v/>
      </c>
      <c r="F42" s="20">
        <f>IF(OR(F4="",F41=""),"",IFERROR(F4-F41,""))</f>
        <v/>
      </c>
      <c r="G42" s="20">
        <f>IF(OR(G4="",G41=""),"",IFERROR(G4-G41,""))</f>
        <v/>
      </c>
      <c r="H42" s="20">
        <f>IF(OR(H4="",H41=""),"",IFERROR(H4-H41,""))</f>
        <v/>
      </c>
      <c r="I42" s="20">
        <f>IF(OR(I4="",I41=""),"",IFERROR(I4-I41,""))</f>
        <v/>
      </c>
      <c r="J42" s="20">
        <f>IF(OR(J4="",J41=""),"",IFERROR(J4-J41,""))</f>
        <v/>
      </c>
      <c r="K42" s="20">
        <f>IF(OR(K4="",K41=""),"",IFERROR(K4-K41,""))</f>
        <v/>
      </c>
      <c r="L42" s="20">
        <f>IF(OR(L4="",L41=""),"",IFERROR(L4-L41,""))</f>
        <v/>
      </c>
      <c r="M42" s="20">
        <f>IF(OR(M4="",M41=""),"",IFERROR(M4-M41,""))</f>
        <v/>
      </c>
      <c r="N42" s="20">
        <f>IF(OR(N4="",N41=""),"",IFERROR(N4-N41,""))</f>
        <v/>
      </c>
      <c r="O42" s="19">
        <f>IF(OR(O4="",O41=""),"",IFERROR(O4-O41,""))</f>
        <v/>
      </c>
      <c r="P42" s="20">
        <f>IF(OR(P4="",P41=""),"",IFERROR(P4-P41,""))</f>
        <v/>
      </c>
      <c r="Q42" s="20">
        <f>IF(OR(Q4="",Q41=""),"",IFERROR(Q4-Q41,""))</f>
        <v/>
      </c>
      <c r="R42" s="20">
        <f>IF(OR(R4="",R41=""),"",IFERROR(R4-R41,""))</f>
        <v/>
      </c>
      <c r="S42" s="20">
        <f>IF(OR(S4="",S41=""),"",IFERROR(S4-S41,""))</f>
        <v/>
      </c>
      <c r="T42" s="20">
        <f>IF(OR(T4="",T41=""),"",IFERROR(T4-T41,""))</f>
        <v/>
      </c>
      <c r="U42" s="20">
        <f>IF(OR(U4="",U41=""),"",IFERROR(U4-U41,""))</f>
        <v/>
      </c>
      <c r="V42" s="20">
        <f>IF(OR(V4="",V41=""),"",IFERROR(V4-V41,""))</f>
        <v/>
      </c>
      <c r="W42" s="20">
        <f>IF(OR(W4="",W41=""),"",IFERROR(W4-W41,""))</f>
        <v/>
      </c>
      <c r="X42" s="20">
        <f>IF(OR(X4="",X41=""),"",IFERROR(X4-X41,""))</f>
        <v/>
      </c>
      <c r="Y42" s="19" t="n"/>
      <c r="Z42" s="20" t="n"/>
      <c r="AA42" s="20" t="n"/>
      <c r="AB42" s="20" t="n"/>
      <c r="AC42" s="20" t="n"/>
    </row>
    <row r="43">
      <c r="A43" s="13" t="inlineStr">
        <is>
          <t>GPM</t>
        </is>
      </c>
      <c r="B43" s="10" t="n"/>
      <c r="C43" s="14">
        <f>IF(OR(C42="",C4=""),"",IFERROR(C42/C4,""))</f>
        <v/>
      </c>
      <c r="D43" s="15">
        <f>IF(OR(D42="",D4=""),"",IFERROR(D42/D4,""))</f>
        <v/>
      </c>
      <c r="E43" s="15">
        <f>IF(OR(E42="",E4=""),"",IFERROR(E42/E4,""))</f>
        <v/>
      </c>
      <c r="F43" s="15">
        <f>IF(OR(F42="",F4=""),"",IFERROR(F42/F4,""))</f>
        <v/>
      </c>
      <c r="G43" s="15">
        <f>IF(OR(G42="",G4=""),"",IFERROR(G42/G4,""))</f>
        <v/>
      </c>
      <c r="H43" s="15">
        <f>IF(OR(H42="",H4=""),"",IFERROR(H42/H4,""))</f>
        <v/>
      </c>
      <c r="I43" s="15">
        <f>IF(OR(I42="",I4=""),"",IFERROR(I42/I4,""))</f>
        <v/>
      </c>
      <c r="J43" s="15">
        <f>IF(OR(J42="",J4=""),"",IFERROR(J42/J4,""))</f>
        <v/>
      </c>
      <c r="K43" s="15">
        <f>IF(OR(K42="",K4=""),"",IFERROR(K42/K4,""))</f>
        <v/>
      </c>
      <c r="L43" s="15">
        <f>IF(OR(L42="",L4=""),"",IFERROR(L42/L4,""))</f>
        <v/>
      </c>
      <c r="M43" s="15">
        <f>IF(OR(M42="",M4=""),"",IFERROR(M42/M4,""))</f>
        <v/>
      </c>
      <c r="N43" s="15">
        <f>IF(OR(N42="",N4=""),"",IFERROR(N42/N4,""))</f>
        <v/>
      </c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>
        <f>IF(OR(Y42="",Y4=""),"",IFERROR(Y42/Y4,""))</f>
        <v/>
      </c>
      <c r="Z43" s="15">
        <f>IF(OR(Z42="",Z4=""),"",IFERROR(Z42/Z4,""))</f>
        <v/>
      </c>
      <c r="AA43" s="15">
        <f>IF(OR(AA42="",AA4=""),"",IFERROR(AA42/AA4,""))</f>
        <v/>
      </c>
      <c r="AB43" s="15">
        <f>IF(OR(AB42="",AB4=""),"",IFERROR(AB42/AB4,""))</f>
        <v/>
      </c>
      <c r="AC43" s="15">
        <f>IF(OR(AC42="",AC4=""),"",IFERROR(AC42/AC4,""))</f>
        <v/>
      </c>
    </row>
    <row r="44">
      <c r="A44" s="23" t="inlineStr">
        <is>
          <t>판매관리비</t>
        </is>
      </c>
      <c r="B44" s="23" t="n"/>
      <c r="C44" s="24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4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4" t="n"/>
      <c r="Z44" s="23" t="n"/>
      <c r="AA44" s="23" t="n"/>
      <c r="AB44" s="23" t="n"/>
      <c r="AC44" s="23" t="n"/>
    </row>
    <row r="45">
      <c r="A45" s="18" t="inlineStr">
        <is>
          <t>전체 판관비</t>
        </is>
      </c>
      <c r="B45" s="10" t="n"/>
      <c r="C45" s="19" t="n">
        <v>2733</v>
      </c>
      <c r="D45" s="20" t="n">
        <v>2838</v>
      </c>
      <c r="E45" s="20" t="n">
        <v>2864</v>
      </c>
      <c r="F45" s="20" t="n">
        <v>3022</v>
      </c>
      <c r="G45" s="20" t="n">
        <v>3228</v>
      </c>
      <c r="H45" s="20" t="n">
        <v>3331</v>
      </c>
      <c r="I45" s="20" t="n">
        <v>3305</v>
      </c>
      <c r="J45" s="20" t="n">
        <v>3362</v>
      </c>
      <c r="K45" s="20" t="n">
        <v>3424</v>
      </c>
      <c r="L45" s="20" t="n">
        <v>3906</v>
      </c>
      <c r="M45" s="20" t="n">
        <v>3988</v>
      </c>
      <c r="N45" s="20" t="n">
        <v>3880</v>
      </c>
      <c r="O45" s="19" t="n">
        <v>9777</v>
      </c>
      <c r="P45" s="20" t="n">
        <v>10006</v>
      </c>
      <c r="Q45" s="20" t="n">
        <v>11103</v>
      </c>
      <c r="R45" s="20" t="n">
        <v>11310</v>
      </c>
      <c r="S45" s="20" t="n">
        <v>10693</v>
      </c>
      <c r="T45" s="20" t="n">
        <v>11092</v>
      </c>
      <c r="U45" s="20" t="n">
        <v>11773</v>
      </c>
      <c r="V45" s="20" t="n">
        <v>11307</v>
      </c>
      <c r="W45" s="20" t="n">
        <v>12886</v>
      </c>
      <c r="X45" s="20" t="n">
        <v>14680</v>
      </c>
      <c r="Y45" s="19" t="n"/>
      <c r="Z45" s="20" t="n"/>
      <c r="AA45" s="20" t="n"/>
      <c r="AB45" s="20" t="n"/>
      <c r="AC45" s="20" t="n"/>
    </row>
    <row r="46">
      <c r="A46" s="9" t="inlineStr">
        <is>
          <t>영업이익</t>
        </is>
      </c>
      <c r="B46" s="10" t="inlineStr">
        <is>
          <t>MW = 매출 × OPM</t>
        </is>
      </c>
      <c r="C46" s="11" t="n">
        <v>123</v>
      </c>
      <c r="D46" s="12" t="n">
        <v>978</v>
      </c>
      <c r="E46" s="12" t="n">
        <v>1548</v>
      </c>
      <c r="F46" s="12" t="n">
        <v>1058</v>
      </c>
      <c r="G46" s="12" t="n">
        <v>1416</v>
      </c>
      <c r="H46" s="12" t="n">
        <v>1328</v>
      </c>
      <c r="I46" s="12" t="n">
        <v>1549</v>
      </c>
      <c r="J46" s="12" t="n">
        <v>1723</v>
      </c>
      <c r="K46" s="12" t="n">
        <v>2145</v>
      </c>
      <c r="L46" s="12" t="n">
        <v>3191</v>
      </c>
      <c r="M46" s="12" t="n">
        <v>3048</v>
      </c>
      <c r="N46" s="12" t="n">
        <v>5117</v>
      </c>
      <c r="O46" s="11" t="n">
        <v>3944</v>
      </c>
      <c r="P46" s="12" t="n">
        <v>5053</v>
      </c>
      <c r="Q46" s="12" t="n">
        <v>4341</v>
      </c>
      <c r="R46" s="12" t="n">
        <v>4154</v>
      </c>
      <c r="S46" s="12" t="n">
        <v>4485</v>
      </c>
      <c r="T46" s="12" t="n">
        <v>4626</v>
      </c>
      <c r="U46" s="12" t="n">
        <v>1186</v>
      </c>
      <c r="V46" s="12" t="n">
        <v>2077</v>
      </c>
      <c r="W46" s="12" t="n">
        <v>5351</v>
      </c>
      <c r="X46" s="12" t="n">
        <v>10107</v>
      </c>
      <c r="Y46" s="11">
        <f>IF(OR(Y4="",Y47=""),"",IFERROR(Y4*Y47,""))</f>
        <v/>
      </c>
      <c r="Z46" s="12">
        <f>IF(OR(Z4="",Z47=""),"",IFERROR(Z4*Z47,""))</f>
        <v/>
      </c>
      <c r="AA46" s="12">
        <f>IF(OR(AA4="",AA47=""),"",IFERROR(AA4*AA47,""))</f>
        <v/>
      </c>
      <c r="AB46" s="12">
        <f>IF(OR(AB4="",AB47=""),"",IFERROR(AB4*AB47,""))</f>
        <v/>
      </c>
      <c r="AC46" s="12">
        <f>IF(OR(AC4="",AC47=""),"",IFERROR(AC4*AC47,""))</f>
        <v/>
      </c>
    </row>
    <row r="47">
      <c r="A47" s="13" t="inlineStr">
        <is>
          <t>OPM</t>
        </is>
      </c>
      <c r="B47" s="10" t="inlineStr">
        <is>
          <t>MW 입력</t>
        </is>
      </c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 t="n"/>
      <c r="Z47" s="26" t="n"/>
      <c r="AA47" s="26" t="n"/>
      <c r="AB47" s="26" t="n"/>
      <c r="AC47" s="26" t="n"/>
    </row>
    <row r="48">
      <c r="A48" s="13" t="inlineStr">
        <is>
          <t>증가율</t>
        </is>
      </c>
      <c r="B48" s="10" t="n"/>
      <c r="C48" s="14" t="n"/>
      <c r="D48" s="15" t="n"/>
      <c r="E48" s="15" t="n"/>
      <c r="F48" s="15" t="n"/>
      <c r="G48" s="15">
        <f>IF(OR(G46="",C46=""),"",IFERROR(G46/C46-1,""))</f>
        <v/>
      </c>
      <c r="H48" s="15">
        <f>IF(OR(H46="",D46=""),"",IFERROR(H46/D46-1,""))</f>
        <v/>
      </c>
      <c r="I48" s="15">
        <f>IF(OR(I46="",E46=""),"",IFERROR(I46/E46-1,""))</f>
        <v/>
      </c>
      <c r="J48" s="15">
        <f>IF(OR(J46="",F46=""),"",IFERROR(J46/F46-1,""))</f>
        <v/>
      </c>
      <c r="K48" s="15">
        <f>IF(OR(K46="",G46=""),"",IFERROR(K46/G46-1,""))</f>
        <v/>
      </c>
      <c r="L48" s="15">
        <f>IF(OR(L46="",H46=""),"",IFERROR(L46/H46-1,""))</f>
        <v/>
      </c>
      <c r="M48" s="15">
        <f>IF(OR(M46="",I46=""),"",IFERROR(M46/I46-1,""))</f>
        <v/>
      </c>
      <c r="N48" s="15">
        <f>IF(OR(N46="",J46=""),"",IFERROR(N46/J46-1,""))</f>
        <v/>
      </c>
      <c r="O48" s="14" t="n"/>
      <c r="P48" s="15">
        <f>IF(OR(P46="",O46=""),"",IFERROR(P46/O46-1,""))</f>
        <v/>
      </c>
      <c r="Q48" s="15">
        <f>IF(OR(Q46="",P46=""),"",IFERROR(Q46/P46-1,""))</f>
        <v/>
      </c>
      <c r="R48" s="15">
        <f>IF(OR(R46="",Q46=""),"",IFERROR(R46/Q46-1,""))</f>
        <v/>
      </c>
      <c r="S48" s="15">
        <f>IF(OR(S46="",R46=""),"",IFERROR(S46/R46-1,""))</f>
        <v/>
      </c>
      <c r="T48" s="15">
        <f>IF(OR(T46="",S46=""),"",IFERROR(T46/S46-1,""))</f>
        <v/>
      </c>
      <c r="U48" s="15">
        <f>IF(OR(U46="",T46=""),"",IFERROR(U46/T46-1,""))</f>
        <v/>
      </c>
      <c r="V48" s="15">
        <f>IF(OR(V46="",U46=""),"",IFERROR(V46/U46-1,""))</f>
        <v/>
      </c>
      <c r="W48" s="15">
        <f>IF(OR(W46="",V46=""),"",IFERROR(W46/V46-1,""))</f>
        <v/>
      </c>
      <c r="X48" s="15">
        <f>IF(OR(X46="",W46=""),"",IFERROR(X46/W46-1,""))</f>
        <v/>
      </c>
      <c r="Y48" s="14">
        <f>IF(OR(Y46="",X46=""),"",IFERROR(Y46/X46-1,""))</f>
        <v/>
      </c>
      <c r="Z48" s="15">
        <f>IF(OR(Z46="",Y46=""),"",IFERROR(Z46/Y46-1,""))</f>
        <v/>
      </c>
      <c r="AA48" s="15">
        <f>IF(OR(AA46="",Z46=""),"",IFERROR(AA46/Z46-1,""))</f>
        <v/>
      </c>
      <c r="AB48" s="15">
        <f>IF(OR(AB46="",AA46=""),"",IFERROR(AB46/AA46-1,""))</f>
        <v/>
      </c>
      <c r="AC48" s="15">
        <f>IF(OR(AC46="",AB46=""),"",IFERROR(AC46/AB46-1,""))</f>
        <v/>
      </c>
    </row>
    <row r="49">
      <c r="A49" s="16" t="inlineStr">
        <is>
          <t>비용의 성격별 분류</t>
        </is>
      </c>
      <c r="B49" s="16" t="inlineStr">
        <is>
          <t>참고 데이터</t>
        </is>
      </c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9" t="inlineStr">
        <is>
          <t>총 판관비</t>
        </is>
      </c>
      <c r="B50" s="10" t="n"/>
      <c r="C50" s="11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1">
        <f>IF(O45="","",O45)</f>
        <v/>
      </c>
      <c r="P50" s="12">
        <f>IF(P45="","",P45)</f>
        <v/>
      </c>
      <c r="Q50" s="12">
        <f>IF(Q45="","",Q45)</f>
        <v/>
      </c>
      <c r="R50" s="12">
        <f>IF(R45="","",R45)</f>
        <v/>
      </c>
      <c r="S50" s="12">
        <f>IF(S45="","",S45)</f>
        <v/>
      </c>
      <c r="T50" s="12">
        <f>IF(T45="","",T45)</f>
        <v/>
      </c>
      <c r="U50" s="12">
        <f>IF(U45="","",U45)</f>
        <v/>
      </c>
      <c r="V50" s="12">
        <f>IF(V45="","",V45)</f>
        <v/>
      </c>
      <c r="W50" s="12">
        <f>IF(W45="","",W45)</f>
        <v/>
      </c>
      <c r="X50" s="12">
        <f>IF(X45="","",X45)</f>
        <v/>
      </c>
      <c r="Y50" s="11" t="n"/>
      <c r="Z50" s="12" t="n"/>
      <c r="AA50" s="12" t="n"/>
      <c r="AB50" s="12" t="n"/>
      <c r="AC50" s="12" t="n"/>
    </row>
    <row r="51">
      <c r="A51" s="18" t="inlineStr">
        <is>
          <t>급여</t>
        </is>
      </c>
      <c r="B51" s="10" t="inlineStr">
        <is>
          <t>고정비</t>
        </is>
      </c>
      <c r="C51" s="19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19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19" t="n"/>
      <c r="Z51" s="20" t="n"/>
      <c r="AA51" s="20" t="n"/>
      <c r="AB51" s="20" t="n"/>
      <c r="AC51" s="20" t="n"/>
    </row>
    <row r="52">
      <c r="A52" s="13" t="inlineStr">
        <is>
          <t>% of Sales</t>
        </is>
      </c>
      <c r="B52" s="10" t="n"/>
      <c r="C52" s="14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14" t="n"/>
      <c r="Z52" s="15" t="n"/>
      <c r="AA52" s="15" t="n"/>
      <c r="AB52" s="15" t="n"/>
      <c r="AC52" s="15" t="n"/>
    </row>
    <row r="53">
      <c r="A53" s="18" t="inlineStr">
        <is>
          <t>감가상각비</t>
        </is>
      </c>
      <c r="B53" s="10" t="inlineStr">
        <is>
          <t>고정비</t>
        </is>
      </c>
      <c r="C53" s="19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19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19" t="n"/>
      <c r="Z53" s="20" t="n"/>
      <c r="AA53" s="20" t="n"/>
      <c r="AB53" s="20" t="n"/>
      <c r="AC53" s="20" t="n"/>
    </row>
    <row r="54">
      <c r="A54" s="13" t="inlineStr">
        <is>
          <t>% of Sales</t>
        </is>
      </c>
      <c r="B54" s="10" t="n"/>
      <c r="C54" s="14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14" t="n"/>
      <c r="Z54" s="15" t="n"/>
      <c r="AA54" s="15" t="n"/>
      <c r="AB54" s="15" t="n"/>
      <c r="AC54" s="15" t="n"/>
    </row>
    <row r="55">
      <c r="A55" s="18" t="inlineStr">
        <is>
          <t>지급수수료</t>
        </is>
      </c>
      <c r="B55" s="10" t="inlineStr">
        <is>
          <t>고정비</t>
        </is>
      </c>
      <c r="C55" s="19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19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19" t="n"/>
      <c r="Z55" s="20" t="n"/>
      <c r="AA55" s="20" t="n"/>
      <c r="AB55" s="20" t="n"/>
      <c r="AC55" s="20" t="n"/>
    </row>
    <row r="56">
      <c r="A56" s="13" t="inlineStr">
        <is>
          <t>% of Sales</t>
        </is>
      </c>
      <c r="B56" s="10" t="n"/>
      <c r="C56" s="14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4">
        <f>IF(OR(O55="",O4=""),"",IFERROR(O55/O4,""))</f>
        <v/>
      </c>
      <c r="P56" s="15">
        <f>IF(OR(P55="",P4=""),"",IFERROR(P55/P4,""))</f>
        <v/>
      </c>
      <c r="Q56" s="15">
        <f>IF(OR(Q55="",Q4=""),"",IFERROR(Q55/Q4,""))</f>
        <v/>
      </c>
      <c r="R56" s="15">
        <f>IF(OR(R55="",R4=""),"",IFERROR(R55/R4,""))</f>
        <v/>
      </c>
      <c r="S56" s="15">
        <f>IF(OR(S55="",S4=""),"",IFERROR(S55/S4,""))</f>
        <v/>
      </c>
      <c r="T56" s="15">
        <f>IF(OR(T55="",T4=""),"",IFERROR(T55/T4,""))</f>
        <v/>
      </c>
      <c r="U56" s="15">
        <f>IF(OR(U55="",U4=""),"",IFERROR(U55/U4,""))</f>
        <v/>
      </c>
      <c r="V56" s="15">
        <f>IF(OR(V55="",V4=""),"",IFERROR(V55/V4,""))</f>
        <v/>
      </c>
      <c r="W56" s="15">
        <f>IF(OR(W55="",W4=""),"",IFERROR(W55/W4,""))</f>
        <v/>
      </c>
      <c r="X56" s="15">
        <f>IF(OR(X55="",X4=""),"",IFERROR(X55/X4,""))</f>
        <v/>
      </c>
      <c r="Y56" s="14" t="n"/>
      <c r="Z56" s="15" t="n"/>
      <c r="AA56" s="15" t="n"/>
      <c r="AB56" s="15" t="n"/>
      <c r="AC56" s="15" t="n"/>
    </row>
    <row r="57">
      <c r="A57" s="18" t="inlineStr">
        <is>
          <t>연구개발비</t>
        </is>
      </c>
      <c r="B57" s="10" t="inlineStr">
        <is>
          <t>변동비</t>
        </is>
      </c>
      <c r="C57" s="19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19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19" t="n"/>
      <c r="Z57" s="20" t="n"/>
      <c r="AA57" s="20" t="n"/>
      <c r="AB57" s="20" t="n"/>
      <c r="AC57" s="20" t="n"/>
    </row>
    <row r="58">
      <c r="A58" s="13" t="inlineStr">
        <is>
          <t>% of Sales</t>
        </is>
      </c>
      <c r="B58" s="10" t="n"/>
      <c r="C58" s="14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4">
        <f>IF(OR(O57="",O4=""),"",IFERROR(O57/O4,""))</f>
        <v/>
      </c>
      <c r="P58" s="15">
        <f>IF(OR(P57="",P4=""),"",IFERROR(P57/P4,""))</f>
        <v/>
      </c>
      <c r="Q58" s="15">
        <f>IF(OR(Q57="",Q4=""),"",IFERROR(Q57/Q4,""))</f>
        <v/>
      </c>
      <c r="R58" s="15">
        <f>IF(OR(R57="",R4=""),"",IFERROR(R57/R4,""))</f>
        <v/>
      </c>
      <c r="S58" s="15">
        <f>IF(OR(S57="",S4=""),"",IFERROR(S57/S4,""))</f>
        <v/>
      </c>
      <c r="T58" s="15">
        <f>IF(OR(T57="",T4=""),"",IFERROR(T57/T4,""))</f>
        <v/>
      </c>
      <c r="U58" s="15">
        <f>IF(OR(U57="",U4=""),"",IFERROR(U57/U4,""))</f>
        <v/>
      </c>
      <c r="V58" s="15">
        <f>IF(OR(V57="",V4=""),"",IFERROR(V57/V4,""))</f>
        <v/>
      </c>
      <c r="W58" s="15">
        <f>IF(OR(W57="",W4=""),"",IFERROR(W57/W4,""))</f>
        <v/>
      </c>
      <c r="X58" s="15">
        <f>IF(OR(X57="",X4=""),"",IFERROR(X57/X4,""))</f>
        <v/>
      </c>
      <c r="Y58" s="14" t="n"/>
      <c r="Z58" s="15" t="n"/>
      <c r="AA58" s="15" t="n"/>
      <c r="AB58" s="15" t="n"/>
      <c r="AC58" s="15" t="n"/>
    </row>
    <row r="59">
      <c r="A59" s="18" t="inlineStr">
        <is>
          <t>기타비용</t>
        </is>
      </c>
      <c r="B59" s="10" t="inlineStr">
        <is>
          <t>변동비</t>
        </is>
      </c>
      <c r="C59" s="19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19">
        <f>IF(OR(O50="",O51="",O53="",O55="",O57=""),"",IFERROR(O50-O51-O53-O55-O57,""))</f>
        <v/>
      </c>
      <c r="P59" s="20">
        <f>IF(OR(P50="",P51="",P53="",P55="",P57=""),"",IFERROR(P50-P51-P53-P55-P57,""))</f>
        <v/>
      </c>
      <c r="Q59" s="20">
        <f>IF(OR(Q50="",Q51="",Q53="",Q55="",Q57=""),"",IFERROR(Q50-Q51-Q53-Q55-Q57,""))</f>
        <v/>
      </c>
      <c r="R59" s="20">
        <f>IF(OR(R50="",R51="",R53="",R55="",R57=""),"",IFERROR(R50-R51-R53-R55-R57,""))</f>
        <v/>
      </c>
      <c r="S59" s="20">
        <f>IF(OR(S50="",S51="",S53="",S55="",S57=""),"",IFERROR(S50-S51-S53-S55-S57,""))</f>
        <v/>
      </c>
      <c r="T59" s="20">
        <f>IF(OR(T50="",T51="",T53="",T55="",T57=""),"",IFERROR(T50-T51-T53-T55-T57,""))</f>
        <v/>
      </c>
      <c r="U59" s="20">
        <f>IF(OR(U50="",U51="",U53="",U55="",U57=""),"",IFERROR(U50-U51-U53-U55-U57,""))</f>
        <v/>
      </c>
      <c r="V59" s="20">
        <f>IF(OR(V50="",V51="",V53="",V55="",V57=""),"",IFERROR(V50-V51-V53-V55-V57,""))</f>
        <v/>
      </c>
      <c r="W59" s="20">
        <f>IF(OR(W50="",W51="",W53="",W55="",W57=""),"",IFERROR(W50-W51-W53-W55-W57,""))</f>
        <v/>
      </c>
      <c r="X59" s="20">
        <f>IF(OR(X50="",X51="",X53="",X55="",X57=""),"",IFERROR(X50-X51-X53-X55-X57,""))</f>
        <v/>
      </c>
      <c r="Y59" s="19" t="n"/>
      <c r="Z59" s="20" t="n"/>
      <c r="AA59" s="20" t="n"/>
      <c r="AB59" s="20" t="n"/>
      <c r="AC59" s="20" t="n"/>
    </row>
    <row r="60">
      <c r="A60" s="13" t="inlineStr">
        <is>
          <t>% of Sales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>
        <f>IF(OR(O59="",O4=""),"",IFERROR(O59/O4,""))</f>
        <v/>
      </c>
      <c r="P60" s="15">
        <f>IF(OR(P59="",P4=""),"",IFERROR(P59/P4,""))</f>
        <v/>
      </c>
      <c r="Q60" s="15">
        <f>IF(OR(Q59="",Q4=""),"",IFERROR(Q59/Q4,""))</f>
        <v/>
      </c>
      <c r="R60" s="15">
        <f>IF(OR(R59="",R4=""),"",IFERROR(R59/R4,""))</f>
        <v/>
      </c>
      <c r="S60" s="15">
        <f>IF(OR(S59="",S4=""),"",IFERROR(S59/S4,""))</f>
        <v/>
      </c>
      <c r="T60" s="15">
        <f>IF(OR(T59="",T4=""),"",IFERROR(T59/T4,""))</f>
        <v/>
      </c>
      <c r="U60" s="15">
        <f>IF(OR(U59="",U4=""),"",IFERROR(U59/U4,""))</f>
        <v/>
      </c>
      <c r="V60" s="15">
        <f>IF(OR(V59="",V4=""),"",IFERROR(V59/V4,""))</f>
        <v/>
      </c>
      <c r="W60" s="15">
        <f>IF(OR(W59="",W4=""),"",IFERROR(W59/W4,""))</f>
        <v/>
      </c>
      <c r="X60" s="15">
        <f>IF(OR(X59="",X4=""),"",IFERROR(X59/X4,""))</f>
        <v/>
      </c>
      <c r="Y60" s="14" t="n"/>
      <c r="Z60" s="15" t="n"/>
      <c r="AA60" s="15" t="n"/>
      <c r="AB60" s="15" t="n"/>
      <c r="AC60" s="15" t="n"/>
    </row>
    <row r="61">
      <c r="A61" s="16" t="inlineStr">
        <is>
          <t>당기순이익 추정</t>
        </is>
      </c>
      <c r="B61" s="16" t="n"/>
      <c r="C61" s="17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7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7" t="n"/>
      <c r="Z61" s="16" t="n"/>
      <c r="AA61" s="16" t="n"/>
      <c r="AB61" s="16" t="n"/>
      <c r="AC61" s="16" t="n"/>
    </row>
    <row r="62">
      <c r="A62" s="18" t="inlineStr">
        <is>
          <t>특별이익</t>
        </is>
      </c>
      <c r="B62" s="10" t="n"/>
      <c r="C62" s="19" t="n"/>
      <c r="D62" s="20" t="n"/>
      <c r="E62" s="20" t="n">
        <v>0</v>
      </c>
      <c r="F62" s="20" t="n"/>
      <c r="G62" s="20" t="n"/>
      <c r="H62" s="20" t="n"/>
      <c r="I62" s="20" t="n">
        <v>0</v>
      </c>
      <c r="J62" s="20" t="n"/>
      <c r="K62" s="20" t="n"/>
      <c r="L62" s="20" t="n"/>
      <c r="M62" s="20" t="n"/>
      <c r="N62" s="20" t="n"/>
      <c r="O62" s="19" t="n">
        <v>55</v>
      </c>
      <c r="P62" s="20" t="n">
        <v>1098</v>
      </c>
      <c r="Q62" s="20" t="n">
        <v>141</v>
      </c>
      <c r="R62" s="20" t="n">
        <v>0</v>
      </c>
      <c r="S62" s="20" t="n">
        <v>408</v>
      </c>
      <c r="T62" s="20" t="n">
        <v>194</v>
      </c>
      <c r="U62" s="20" t="n">
        <v>50</v>
      </c>
      <c r="V62" s="20" t="n">
        <v>408</v>
      </c>
      <c r="W62" s="20" t="n">
        <v>0</v>
      </c>
      <c r="X62" s="20" t="n"/>
      <c r="Y62" s="19">
        <f>IF(OR(Y4="",Y63=""),"",IFERROR(Y4*Y63,""))</f>
        <v/>
      </c>
      <c r="Z62" s="20">
        <f>IF(OR(Z4="",Z63=""),"",IFERROR(Z4*Z63,""))</f>
        <v/>
      </c>
      <c r="AA62" s="20">
        <f>IF(OR(AA4="",AA63=""),"",IFERROR(AA4*AA63,""))</f>
        <v/>
      </c>
      <c r="AB62" s="20">
        <f>IF(OR(AB4="",AB63=""),"",IFERROR(AB4*AB63,""))</f>
        <v/>
      </c>
      <c r="AC62" s="20">
        <f>IF(OR(AC4="",AC63=""),"",IFERROR(AC4*AC63,""))</f>
        <v/>
      </c>
    </row>
    <row r="63">
      <c r="A63" s="13" t="inlineStr">
        <is>
          <t>% of Sales</t>
        </is>
      </c>
      <c r="B63" s="10" t="inlineStr">
        <is>
          <t>MW = 최근 3년 평균</t>
        </is>
      </c>
      <c r="C63" s="14">
        <f>IF(OR(C62="",C4=""),"",IFERROR(C62/C4,""))</f>
        <v/>
      </c>
      <c r="D63" s="15">
        <f>IF(OR(D62="",D4=""),"",IFERROR(D62/D4,""))</f>
        <v/>
      </c>
      <c r="E63" s="15">
        <f>IF(OR(E62="",E4=""),"",IFERROR(E62/E4,""))</f>
        <v/>
      </c>
      <c r="F63" s="15">
        <f>IF(OR(F62="",F4=""),"",IFERROR(F62/F4,""))</f>
        <v/>
      </c>
      <c r="G63" s="15">
        <f>IF(OR(G62="",G4=""),"",IFERROR(G62/G4,""))</f>
        <v/>
      </c>
      <c r="H63" s="15">
        <f>IF(OR(H62="",H4=""),"",IFERROR(H62/H4,""))</f>
        <v/>
      </c>
      <c r="I63" s="15">
        <f>IF(OR(I62="",I4=""),"",IFERROR(I62/I4,""))</f>
        <v/>
      </c>
      <c r="J63" s="15">
        <f>IF(OR(J62="",J4=""),"",IFERROR(J62/J4,""))</f>
        <v/>
      </c>
      <c r="K63" s="15">
        <f>IF(OR(K62="",K4=""),"",IFERROR(K62/K4,""))</f>
        <v/>
      </c>
      <c r="L63" s="15">
        <f>IF(OR(L62="",L4=""),"",IFERROR(L62/L4,""))</f>
        <v/>
      </c>
      <c r="M63" s="15">
        <f>IF(OR(M62="",M4=""),"",IFERROR(M62/M4,""))</f>
        <v/>
      </c>
      <c r="N63" s="15">
        <f>IF(OR(N62="",N4=""),"",IFERROR(N62/N4,""))</f>
        <v/>
      </c>
      <c r="O63" s="14">
        <f>IF(OR(O62="",O4=""),"",IFERROR(O62/O4,""))</f>
        <v/>
      </c>
      <c r="P63" s="15">
        <f>IF(OR(P62="",P4=""),"",IFERROR(P62/P4,""))</f>
        <v/>
      </c>
      <c r="Q63" s="15">
        <f>IF(OR(Q62="",Q4=""),"",IFERROR(Q62/Q4,""))</f>
        <v/>
      </c>
      <c r="R63" s="15">
        <f>IF(OR(R62="",R4=""),"",IFERROR(R62/R4,""))</f>
        <v/>
      </c>
      <c r="S63" s="15">
        <f>IF(OR(S62="",S4=""),"",IFERROR(S62/S4,""))</f>
        <v/>
      </c>
      <c r="T63" s="15">
        <f>IF(OR(T62="",T4=""),"",IFERROR(T62/T4,""))</f>
        <v/>
      </c>
      <c r="U63" s="15">
        <f>IF(OR(U62="",U4=""),"",IFERROR(U62/U4,""))</f>
        <v/>
      </c>
      <c r="V63" s="15">
        <f>IF(OR(V62="",V4=""),"",IFERROR(V62/V4,""))</f>
        <v/>
      </c>
      <c r="W63" s="15">
        <f>IF(OR(W62="",W4=""),"",IFERROR(W62/W4,""))</f>
        <v/>
      </c>
      <c r="X63" s="15">
        <f>IF(OR(X62="",X4=""),"",IFERROR(X62/X4,""))</f>
        <v/>
      </c>
      <c r="Y63" s="25">
        <f>IFERROR(AVERAGE(V63,W63,X63),"")</f>
        <v/>
      </c>
      <c r="Z63" s="26">
        <f>Y63</f>
        <v/>
      </c>
      <c r="AA63" s="26">
        <f>Z63</f>
        <v/>
      </c>
      <c r="AB63" s="26">
        <f>AA63</f>
        <v/>
      </c>
      <c r="AC63" s="26">
        <f>AB63</f>
        <v/>
      </c>
    </row>
    <row r="64">
      <c r="A64" s="18" t="inlineStr">
        <is>
          <t>특별손실</t>
        </is>
      </c>
      <c r="B64" s="10" t="n"/>
      <c r="C64" s="19" t="n">
        <v>21</v>
      </c>
      <c r="D64" s="20" t="n">
        <v>16</v>
      </c>
      <c r="E64" s="20" t="n">
        <v>69</v>
      </c>
      <c r="F64" s="20" t="n">
        <v>10</v>
      </c>
      <c r="G64" s="20" t="n">
        <v>17</v>
      </c>
      <c r="H64" s="20" t="n">
        <v>15</v>
      </c>
      <c r="I64" s="20" t="n">
        <v>500</v>
      </c>
      <c r="J64" s="20" t="n">
        <v>53</v>
      </c>
      <c r="K64" s="20" t="n">
        <v>19</v>
      </c>
      <c r="L64" s="20" t="n">
        <v>47</v>
      </c>
      <c r="M64" s="20" t="n">
        <v>361</v>
      </c>
      <c r="N64" s="20" t="n">
        <v>58</v>
      </c>
      <c r="O64" s="19" t="n">
        <v>281</v>
      </c>
      <c r="P64" s="20" t="n">
        <v>314</v>
      </c>
      <c r="Q64" s="20" t="n">
        <v>337</v>
      </c>
      <c r="R64" s="20" t="n">
        <v>160</v>
      </c>
      <c r="S64" s="20" t="n">
        <v>963</v>
      </c>
      <c r="T64" s="20" t="n">
        <v>207</v>
      </c>
      <c r="U64" s="20" t="n">
        <v>1027</v>
      </c>
      <c r="V64" s="20" t="n">
        <v>125</v>
      </c>
      <c r="W64" s="20" t="n">
        <v>542</v>
      </c>
      <c r="X64" s="20" t="n">
        <v>480</v>
      </c>
      <c r="Y64" s="19">
        <f>IF(OR(Y4="",Y65=""),"",IFERROR(Y4*Y65,""))</f>
        <v/>
      </c>
      <c r="Z64" s="20">
        <f>IF(OR(Z4="",Z65=""),"",IFERROR(Z4*Z65,""))</f>
        <v/>
      </c>
      <c r="AA64" s="20">
        <f>IF(OR(AA4="",AA65=""),"",IFERROR(AA4*AA65,""))</f>
        <v/>
      </c>
      <c r="AB64" s="20">
        <f>IF(OR(AB4="",AB65=""),"",IFERROR(AB4*AB65,""))</f>
        <v/>
      </c>
      <c r="AC64" s="20">
        <f>IF(OR(AC4="",AC65=""),"",IFERROR(AC4*AC65,""))</f>
        <v/>
      </c>
    </row>
    <row r="65">
      <c r="A65" s="13" t="inlineStr">
        <is>
          <t>% of Sales</t>
        </is>
      </c>
      <c r="B65" s="10" t="n"/>
      <c r="C65" s="14">
        <f>IF(OR(C64="",C4=""),"",IFERROR(C64/C4,""))</f>
        <v/>
      </c>
      <c r="D65" s="15">
        <f>IF(OR(D64="",D4=""),"",IFERROR(D64/D4,""))</f>
        <v/>
      </c>
      <c r="E65" s="15">
        <f>IF(OR(E64="",E4=""),"",IFERROR(E64/E4,""))</f>
        <v/>
      </c>
      <c r="F65" s="15">
        <f>IF(OR(F64="",F4=""),"",IFERROR(F64/F4,""))</f>
        <v/>
      </c>
      <c r="G65" s="15">
        <f>IF(OR(G64="",G4=""),"",IFERROR(G64/G4,""))</f>
        <v/>
      </c>
      <c r="H65" s="15">
        <f>IF(OR(H64="",H4=""),"",IFERROR(H64/H4,""))</f>
        <v/>
      </c>
      <c r="I65" s="15">
        <f>IF(OR(I64="",I4=""),"",IFERROR(I64/I4,""))</f>
        <v/>
      </c>
      <c r="J65" s="15">
        <f>IF(OR(J64="",J4=""),"",IFERROR(J64/J4,""))</f>
        <v/>
      </c>
      <c r="K65" s="15">
        <f>IF(OR(K64="",K4=""),"",IFERROR(K64/K4,""))</f>
        <v/>
      </c>
      <c r="L65" s="15">
        <f>IF(OR(L64="",L4=""),"",IFERROR(L64/L4,""))</f>
        <v/>
      </c>
      <c r="M65" s="15">
        <f>IF(OR(M64="",M4=""),"",IFERROR(M64/M4,""))</f>
        <v/>
      </c>
      <c r="N65" s="15">
        <f>IF(OR(N64="",N4=""),"",IFERROR(N64/N4,""))</f>
        <v/>
      </c>
      <c r="O65" s="14">
        <f>IF(OR(O64="",O4=""),"",IFERROR(O64/O4,""))</f>
        <v/>
      </c>
      <c r="P65" s="15">
        <f>IF(OR(P64="",P4=""),"",IFERROR(P64/P4,""))</f>
        <v/>
      </c>
      <c r="Q65" s="15">
        <f>IF(OR(Q64="",Q4=""),"",IFERROR(Q64/Q4,""))</f>
        <v/>
      </c>
      <c r="R65" s="15">
        <f>IF(OR(R64="",R4=""),"",IFERROR(R64/R4,""))</f>
        <v/>
      </c>
      <c r="S65" s="15">
        <f>IF(OR(S64="",S4=""),"",IFERROR(S64/S4,""))</f>
        <v/>
      </c>
      <c r="T65" s="15">
        <f>IF(OR(T64="",T4=""),"",IFERROR(T64/T4,""))</f>
        <v/>
      </c>
      <c r="U65" s="15">
        <f>IF(OR(U64="",U4=""),"",IFERROR(U64/U4,""))</f>
        <v/>
      </c>
      <c r="V65" s="15">
        <f>IF(OR(V64="",V4=""),"",IFERROR(V64/V4,""))</f>
        <v/>
      </c>
      <c r="W65" s="15">
        <f>IF(OR(W64="",W4=""),"",IFERROR(W64/W4,""))</f>
        <v/>
      </c>
      <c r="X65" s="15">
        <f>IF(OR(X64="",X4=""),"",IFERROR(X64/X4,""))</f>
        <v/>
      </c>
      <c r="Y65" s="25">
        <f>IFERROR(AVERAGE(V65,W65,X65),"")</f>
        <v/>
      </c>
      <c r="Z65" s="26">
        <f>Y65</f>
        <v/>
      </c>
      <c r="AA65" s="26">
        <f>Z65</f>
        <v/>
      </c>
      <c r="AB65" s="26">
        <f>AA65</f>
        <v/>
      </c>
      <c r="AC65" s="26">
        <f>AB65</f>
        <v/>
      </c>
    </row>
    <row r="66">
      <c r="A66" s="18" t="inlineStr">
        <is>
          <t>영업외수익</t>
        </is>
      </c>
      <c r="B66" s="10" t="n"/>
      <c r="C66" s="19" t="n">
        <v>180</v>
      </c>
      <c r="D66" s="20" t="n">
        <v>118</v>
      </c>
      <c r="E66" s="20" t="n">
        <v>109</v>
      </c>
      <c r="F66" s="20" t="n">
        <v>235</v>
      </c>
      <c r="G66" s="20" t="n">
        <v>66</v>
      </c>
      <c r="H66" s="20" t="n">
        <v>53</v>
      </c>
      <c r="I66" s="20" t="n">
        <v>428</v>
      </c>
      <c r="J66" s="20" t="n">
        <v>65</v>
      </c>
      <c r="K66" s="20" t="n">
        <v>161</v>
      </c>
      <c r="L66" s="20" t="n">
        <v>54</v>
      </c>
      <c r="M66" s="20" t="n">
        <v>395</v>
      </c>
      <c r="N66" s="20" t="n">
        <v>261</v>
      </c>
      <c r="O66" s="19" t="n">
        <v>261</v>
      </c>
      <c r="P66" s="20" t="n">
        <v>238</v>
      </c>
      <c r="Q66" s="20" t="n">
        <v>251</v>
      </c>
      <c r="R66" s="20" t="n">
        <v>258</v>
      </c>
      <c r="S66" s="20" t="n">
        <v>246</v>
      </c>
      <c r="T66" s="20" t="n">
        <v>319</v>
      </c>
      <c r="U66" s="20" t="n">
        <v>421</v>
      </c>
      <c r="V66" s="20" t="n">
        <v>520</v>
      </c>
      <c r="W66" s="20" t="n">
        <v>782</v>
      </c>
      <c r="X66" s="20" t="n">
        <v>675</v>
      </c>
      <c r="Y66" s="19">
        <f>IF(OR(Y4="",Y67=""),"",IFERROR(Y4*Y67,""))</f>
        <v/>
      </c>
      <c r="Z66" s="20">
        <f>IF(OR(Z4="",Z67=""),"",IFERROR(Z4*Z67,""))</f>
        <v/>
      </c>
      <c r="AA66" s="20">
        <f>IF(OR(AA4="",AA67=""),"",IFERROR(AA4*AA67,""))</f>
        <v/>
      </c>
      <c r="AB66" s="20">
        <f>IF(OR(AB4="",AB67=""),"",IFERROR(AB4*AB67,""))</f>
        <v/>
      </c>
      <c r="AC66" s="20">
        <f>IF(OR(AC4="",AC67=""),"",IFERROR(AC4*AC67,""))</f>
        <v/>
      </c>
    </row>
    <row r="67">
      <c r="A67" s="13" t="inlineStr">
        <is>
          <t>% of Sales</t>
        </is>
      </c>
      <c r="B67" s="10" t="n"/>
      <c r="C67" s="14">
        <f>IF(OR(C66="",C4=""),"",IFERROR(C66/C4,""))</f>
        <v/>
      </c>
      <c r="D67" s="15">
        <f>IF(OR(D66="",D4=""),"",IFERROR(D66/D4,""))</f>
        <v/>
      </c>
      <c r="E67" s="15">
        <f>IF(OR(E66="",E4=""),"",IFERROR(E66/E4,""))</f>
        <v/>
      </c>
      <c r="F67" s="15">
        <f>IF(OR(F66="",F4=""),"",IFERROR(F66/F4,""))</f>
        <v/>
      </c>
      <c r="G67" s="15">
        <f>IF(OR(G66="",G4=""),"",IFERROR(G66/G4,""))</f>
        <v/>
      </c>
      <c r="H67" s="15">
        <f>IF(OR(H66="",H4=""),"",IFERROR(H66/H4,""))</f>
        <v/>
      </c>
      <c r="I67" s="15">
        <f>IF(OR(I66="",I4=""),"",IFERROR(I66/I4,""))</f>
        <v/>
      </c>
      <c r="J67" s="15">
        <f>IF(OR(J66="",J4=""),"",IFERROR(J66/J4,""))</f>
        <v/>
      </c>
      <c r="K67" s="15">
        <f>IF(OR(K66="",K4=""),"",IFERROR(K66/K4,""))</f>
        <v/>
      </c>
      <c r="L67" s="15">
        <f>IF(OR(L66="",L4=""),"",IFERROR(L66/L4,""))</f>
        <v/>
      </c>
      <c r="M67" s="15">
        <f>IF(OR(M66="",M4=""),"",IFERROR(M66/M4,""))</f>
        <v/>
      </c>
      <c r="N67" s="15">
        <f>IF(OR(N66="",N4=""),"",IFERROR(N66/N4,""))</f>
        <v/>
      </c>
      <c r="O67" s="14">
        <f>IF(OR(O66="",O4=""),"",IFERROR(O66/O4,""))</f>
        <v/>
      </c>
      <c r="P67" s="15">
        <f>IF(OR(P66="",P4=""),"",IFERROR(P66/P4,""))</f>
        <v/>
      </c>
      <c r="Q67" s="15">
        <f>IF(OR(Q66="",Q4=""),"",IFERROR(Q66/Q4,""))</f>
        <v/>
      </c>
      <c r="R67" s="15">
        <f>IF(OR(R66="",R4=""),"",IFERROR(R66/R4,""))</f>
        <v/>
      </c>
      <c r="S67" s="15">
        <f>IF(OR(S66="",S4=""),"",IFERROR(S66/S4,""))</f>
        <v/>
      </c>
      <c r="T67" s="15">
        <f>IF(OR(T66="",T4=""),"",IFERROR(T66/T4,""))</f>
        <v/>
      </c>
      <c r="U67" s="15">
        <f>IF(OR(U66="",U4=""),"",IFERROR(U66/U4,""))</f>
        <v/>
      </c>
      <c r="V67" s="15">
        <f>IF(OR(V66="",V4=""),"",IFERROR(V66/V4,""))</f>
        <v/>
      </c>
      <c r="W67" s="15">
        <f>IF(OR(W66="",W4=""),"",IFERROR(W66/W4,""))</f>
        <v/>
      </c>
      <c r="X67" s="15">
        <f>IF(OR(X66="",X4=""),"",IFERROR(X66/X4,""))</f>
        <v/>
      </c>
      <c r="Y67" s="25">
        <f>IFERROR(AVERAGE(V67,W67,X67),"")</f>
        <v/>
      </c>
      <c r="Z67" s="26">
        <f>Y67</f>
        <v/>
      </c>
      <c r="AA67" s="26">
        <f>Z67</f>
        <v/>
      </c>
      <c r="AB67" s="26">
        <f>AA67</f>
        <v/>
      </c>
      <c r="AC67" s="26">
        <f>AB67</f>
        <v/>
      </c>
    </row>
    <row r="68">
      <c r="A68" s="18" t="inlineStr">
        <is>
          <t>영업외비용</t>
        </is>
      </c>
      <c r="B68" s="10" t="n"/>
      <c r="C68" s="19" t="n">
        <v>124</v>
      </c>
      <c r="D68" s="20" t="n">
        <v>161</v>
      </c>
      <c r="E68" s="20" t="n">
        <v>153</v>
      </c>
      <c r="F68" s="20" t="n">
        <v>99</v>
      </c>
      <c r="G68" s="20" t="n">
        <v>97</v>
      </c>
      <c r="H68" s="20" t="n">
        <v>103</v>
      </c>
      <c r="I68" s="20" t="n">
        <v>97</v>
      </c>
      <c r="J68" s="20" t="n">
        <v>99</v>
      </c>
      <c r="K68" s="20" t="n">
        <v>392</v>
      </c>
      <c r="L68" s="20" t="n">
        <v>-77</v>
      </c>
      <c r="M68" s="20" t="n">
        <v>-4</v>
      </c>
      <c r="N68" s="20" t="n">
        <v>150</v>
      </c>
      <c r="O68" s="19" t="n">
        <v>432</v>
      </c>
      <c r="P68" s="20" t="n">
        <v>566</v>
      </c>
      <c r="Q68" s="20" t="n">
        <v>417</v>
      </c>
      <c r="R68" s="20" t="n">
        <v>888</v>
      </c>
      <c r="S68" s="20" t="n">
        <v>418</v>
      </c>
      <c r="T68" s="20" t="n">
        <v>753</v>
      </c>
      <c r="U68" s="20" t="n">
        <v>407</v>
      </c>
      <c r="V68" s="20" t="n">
        <v>537</v>
      </c>
      <c r="W68" s="20" t="n">
        <v>396</v>
      </c>
      <c r="X68" s="20" t="n">
        <v>410</v>
      </c>
      <c r="Y68" s="19">
        <f>IF(OR(Y4="",Y69=""),"",IFERROR(Y4*Y69,""))</f>
        <v/>
      </c>
      <c r="Z68" s="20">
        <f>IF(OR(Z4="",Z69=""),"",IFERROR(Z4*Z69,""))</f>
        <v/>
      </c>
      <c r="AA68" s="20">
        <f>IF(OR(AA4="",AA69=""),"",IFERROR(AA4*AA69,""))</f>
        <v/>
      </c>
      <c r="AB68" s="20">
        <f>IF(OR(AB4="",AB69=""),"",IFERROR(AB4*AB69,""))</f>
        <v/>
      </c>
      <c r="AC68" s="20">
        <f>IF(OR(AC4="",AC69=""),"",IFERROR(AC4*AC69,""))</f>
        <v/>
      </c>
    </row>
    <row r="69">
      <c r="A69" s="13" t="inlineStr">
        <is>
          <t>% of Sales</t>
        </is>
      </c>
      <c r="B69" s="10" t="n"/>
      <c r="C69" s="14">
        <f>IF(OR(C68="",C4=""),"",IFERROR(C68/C4,""))</f>
        <v/>
      </c>
      <c r="D69" s="15">
        <f>IF(OR(D68="",D4=""),"",IFERROR(D68/D4,""))</f>
        <v/>
      </c>
      <c r="E69" s="15">
        <f>IF(OR(E68="",E4=""),"",IFERROR(E68/E4,""))</f>
        <v/>
      </c>
      <c r="F69" s="15">
        <f>IF(OR(F68="",F4=""),"",IFERROR(F68/F4,""))</f>
        <v/>
      </c>
      <c r="G69" s="15">
        <f>IF(OR(G68="",G4=""),"",IFERROR(G68/G4,""))</f>
        <v/>
      </c>
      <c r="H69" s="15">
        <f>IF(OR(H68="",H4=""),"",IFERROR(H68/H4,""))</f>
        <v/>
      </c>
      <c r="I69" s="15">
        <f>IF(OR(I68="",I4=""),"",IFERROR(I68/I4,""))</f>
        <v/>
      </c>
      <c r="J69" s="15">
        <f>IF(OR(J68="",J4=""),"",IFERROR(J68/J4,""))</f>
        <v/>
      </c>
      <c r="K69" s="15">
        <f>IF(OR(K68="",K4=""),"",IFERROR(K68/K4,""))</f>
        <v/>
      </c>
      <c r="L69" s="15">
        <f>IF(OR(L68="",L4=""),"",IFERROR(L68/L4,""))</f>
        <v/>
      </c>
      <c r="M69" s="15">
        <f>IF(OR(M68="",M4=""),"",IFERROR(M68/M4,""))</f>
        <v/>
      </c>
      <c r="N69" s="15">
        <f>IF(OR(N68="",N4=""),"",IFERROR(N68/N4,""))</f>
        <v/>
      </c>
      <c r="O69" s="14">
        <f>IF(OR(O68="",O4=""),"",IFERROR(O68/O4,""))</f>
        <v/>
      </c>
      <c r="P69" s="15">
        <f>IF(OR(P68="",P4=""),"",IFERROR(P68/P4,""))</f>
        <v/>
      </c>
      <c r="Q69" s="15">
        <f>IF(OR(Q68="",Q4=""),"",IFERROR(Q68/Q4,""))</f>
        <v/>
      </c>
      <c r="R69" s="15">
        <f>IF(OR(R68="",R4=""),"",IFERROR(R68/R4,""))</f>
        <v/>
      </c>
      <c r="S69" s="15">
        <f>IF(OR(S68="",S4=""),"",IFERROR(S68/S4,""))</f>
        <v/>
      </c>
      <c r="T69" s="15">
        <f>IF(OR(T68="",T4=""),"",IFERROR(T68/T4,""))</f>
        <v/>
      </c>
      <c r="U69" s="15">
        <f>IF(OR(U68="",U4=""),"",IFERROR(U68/U4,""))</f>
        <v/>
      </c>
      <c r="V69" s="15">
        <f>IF(OR(V68="",V4=""),"",IFERROR(V68/V4,""))</f>
        <v/>
      </c>
      <c r="W69" s="15">
        <f>IF(OR(W68="",W4=""),"",IFERROR(W68/W4,""))</f>
        <v/>
      </c>
      <c r="X69" s="15">
        <f>IF(OR(X68="",X4=""),"",IFERROR(X68/X4,""))</f>
        <v/>
      </c>
      <c r="Y69" s="25">
        <f>IFERROR(AVERAGE(V69,W69,X69),"")</f>
        <v/>
      </c>
      <c r="Z69" s="26">
        <f>Y69</f>
        <v/>
      </c>
      <c r="AA69" s="26">
        <f>Z69</f>
        <v/>
      </c>
      <c r="AB69" s="26">
        <f>AA69</f>
        <v/>
      </c>
      <c r="AC69" s="26">
        <f>AB69</f>
        <v/>
      </c>
    </row>
    <row r="70">
      <c r="A70" s="9" t="inlineStr">
        <is>
          <t>법인세비용차감전순이익(손실)</t>
        </is>
      </c>
      <c r="B70" s="10" t="n"/>
      <c r="C70" s="11" t="n">
        <v>158</v>
      </c>
      <c r="D70" s="12" t="n">
        <v>1327</v>
      </c>
      <c r="E70" s="12" t="n">
        <v>1435</v>
      </c>
      <c r="F70" s="12" t="n">
        <v>1184</v>
      </c>
      <c r="G70" s="12" t="n">
        <v>1367</v>
      </c>
      <c r="H70" s="12" t="n">
        <v>1263</v>
      </c>
      <c r="I70" s="12" t="n">
        <v>1380</v>
      </c>
      <c r="J70" s="12" t="n">
        <v>1635</v>
      </c>
      <c r="K70" s="12" t="n">
        <v>1895</v>
      </c>
      <c r="L70" s="12" t="n">
        <v>3276</v>
      </c>
      <c r="M70" s="12" t="n">
        <v>3086</v>
      </c>
      <c r="N70" s="12" t="n">
        <v>5169</v>
      </c>
      <c r="O70" s="11" t="n">
        <v>3547</v>
      </c>
      <c r="P70" s="12" t="n">
        <v>5509</v>
      </c>
      <c r="Q70" s="12" t="n">
        <v>3979</v>
      </c>
      <c r="R70" s="12" t="n">
        <v>3364</v>
      </c>
      <c r="S70" s="12" t="n">
        <v>3759</v>
      </c>
      <c r="T70" s="12" t="n">
        <v>4179</v>
      </c>
      <c r="U70" s="12" t="n">
        <v>224</v>
      </c>
      <c r="V70" s="12" t="n">
        <v>2343</v>
      </c>
      <c r="W70" s="12" t="n">
        <v>5194</v>
      </c>
      <c r="X70" s="12" t="n">
        <v>9892</v>
      </c>
      <c r="Y70" s="11">
        <f>IF(OR(Y46=""),"",IFERROR(Y46+N(Y62)-N(Y64)+N(Y66)-N(Y68),""))</f>
        <v/>
      </c>
      <c r="Z70" s="12">
        <f>IF(OR(Z46=""),"",IFERROR(Z46+N(Z62)-N(Z64)+N(Z66)-N(Z68),""))</f>
        <v/>
      </c>
      <c r="AA70" s="12">
        <f>IF(OR(AA46=""),"",IFERROR(AA46+N(AA62)-N(AA64)+N(AA66)-N(AA68),""))</f>
        <v/>
      </c>
      <c r="AB70" s="12">
        <f>IF(OR(AB46=""),"",IFERROR(AB46+N(AB62)-N(AB64)+N(AB66)-N(AB68),""))</f>
        <v/>
      </c>
      <c r="AC70" s="12">
        <f>IF(OR(AC46=""),"",IFERROR(AC46+N(AC62)-N(AC64)+N(AC66)-N(AC68),""))</f>
        <v/>
      </c>
    </row>
    <row r="71">
      <c r="A71" s="18" t="inlineStr">
        <is>
          <t>법인세비용(수익)</t>
        </is>
      </c>
      <c r="B71" s="10" t="n"/>
      <c r="C71" s="19" t="n">
        <v>70</v>
      </c>
      <c r="D71" s="20" t="n">
        <v>379</v>
      </c>
      <c r="E71" s="20" t="n">
        <v>406</v>
      </c>
      <c r="F71" s="20" t="n">
        <v>318</v>
      </c>
      <c r="G71" s="20" t="n">
        <v>361</v>
      </c>
      <c r="H71" s="20" t="n">
        <v>324</v>
      </c>
      <c r="I71" s="20" t="n">
        <v>370</v>
      </c>
      <c r="J71" s="20" t="n">
        <v>414</v>
      </c>
      <c r="K71" s="20" t="n">
        <v>563</v>
      </c>
      <c r="L71" s="20" t="n">
        <v>864</v>
      </c>
      <c r="M71" s="20" t="n">
        <v>751</v>
      </c>
      <c r="N71" s="20" t="n">
        <v>1436</v>
      </c>
      <c r="O71" s="19" t="n">
        <v>915</v>
      </c>
      <c r="P71" s="20" t="n">
        <v>1496</v>
      </c>
      <c r="Q71" s="20" t="n">
        <v>1168</v>
      </c>
      <c r="R71" s="20" t="n">
        <v>1013</v>
      </c>
      <c r="S71" s="20" t="n">
        <v>1010</v>
      </c>
      <c r="T71" s="20" t="n">
        <v>1139</v>
      </c>
      <c r="U71" s="20" t="n">
        <v>274</v>
      </c>
      <c r="V71" s="20" t="n">
        <v>700</v>
      </c>
      <c r="W71" s="20" t="n">
        <v>1373</v>
      </c>
      <c r="X71" s="20" t="n">
        <v>2592</v>
      </c>
      <c r="Y71" s="19">
        <f>IF(OR(Y70="",Y72=""),"",IFERROR(MAX(Y70,0)*Y72,""))</f>
        <v/>
      </c>
      <c r="Z71" s="20">
        <f>IF(OR(Z70="",Z72=""),"",IFERROR(MAX(Z70,0)*Z72,""))</f>
        <v/>
      </c>
      <c r="AA71" s="20">
        <f>IF(OR(AA70="",AA72=""),"",IFERROR(MAX(AA70,0)*AA72,""))</f>
        <v/>
      </c>
      <c r="AB71" s="20">
        <f>IF(OR(AB70="",AB72=""),"",IFERROR(MAX(AB70,0)*AB72,""))</f>
        <v/>
      </c>
      <c r="AC71" s="20">
        <f>IF(OR(AC70="",AC72=""),"",IFERROR(MAX(AC70,0)*AC72,""))</f>
        <v/>
      </c>
    </row>
    <row r="72">
      <c r="A72" s="13" t="inlineStr">
        <is>
          <t>법인세율</t>
        </is>
      </c>
      <c r="B72" s="10" t="inlineStr">
        <is>
          <t>MW 기본 30%</t>
        </is>
      </c>
      <c r="C72" s="14">
        <f>IF(OR(C71="",C70=""),"",IFERROR(C71/C70,""))</f>
        <v/>
      </c>
      <c r="D72" s="15">
        <f>IF(OR(D71="",D70=""),"",IFERROR(D71/D70,""))</f>
        <v/>
      </c>
      <c r="E72" s="15">
        <f>IF(OR(E71="",E70=""),"",IFERROR(E71/E70,""))</f>
        <v/>
      </c>
      <c r="F72" s="15">
        <f>IF(OR(F71="",F70=""),"",IFERROR(F71/F70,""))</f>
        <v/>
      </c>
      <c r="G72" s="15">
        <f>IF(OR(G71="",G70=""),"",IFERROR(G71/G70,""))</f>
        <v/>
      </c>
      <c r="H72" s="15">
        <f>IF(OR(H71="",H70=""),"",IFERROR(H71/H70,""))</f>
        <v/>
      </c>
      <c r="I72" s="15">
        <f>IF(OR(I71="",I70=""),"",IFERROR(I71/I70,""))</f>
        <v/>
      </c>
      <c r="J72" s="15">
        <f>IF(OR(J71="",J70=""),"",IFERROR(J71/J70,""))</f>
        <v/>
      </c>
      <c r="K72" s="15">
        <f>IF(OR(K71="",K70=""),"",IFERROR(K71/K70,""))</f>
        <v/>
      </c>
      <c r="L72" s="15">
        <f>IF(OR(L71="",L70=""),"",IFERROR(L71/L70,""))</f>
        <v/>
      </c>
      <c r="M72" s="15">
        <f>IF(OR(M71="",M70=""),"",IFERROR(M71/M70,""))</f>
        <v/>
      </c>
      <c r="N72" s="15">
        <f>IF(OR(N71="",N70=""),"",IFERROR(N71/N70,""))</f>
        <v/>
      </c>
      <c r="O72" s="14">
        <f>IF(OR(O71="",O70=""),"",IFERROR(O71/O70,""))</f>
        <v/>
      </c>
      <c r="P72" s="15">
        <f>IF(OR(P71="",P70=""),"",IFERROR(P71/P70,""))</f>
        <v/>
      </c>
      <c r="Q72" s="15">
        <f>IF(OR(Q71="",Q70=""),"",IFERROR(Q71/Q70,""))</f>
        <v/>
      </c>
      <c r="R72" s="15">
        <f>IF(OR(R71="",R70=""),"",IFERROR(R71/R70,""))</f>
        <v/>
      </c>
      <c r="S72" s="15">
        <f>IF(OR(S71="",S70=""),"",IFERROR(S71/S70,""))</f>
        <v/>
      </c>
      <c r="T72" s="15">
        <f>IF(OR(T71="",T70=""),"",IFERROR(T71/T70,""))</f>
        <v/>
      </c>
      <c r="U72" s="15">
        <f>IF(OR(U71="",U70=""),"",IFERROR(U71/U70,""))</f>
        <v/>
      </c>
      <c r="V72" s="15">
        <f>IF(OR(V71="",V70=""),"",IFERROR(V71/V70,""))</f>
        <v/>
      </c>
      <c r="W72" s="15">
        <f>IF(OR(W71="",W70=""),"",IFERROR(W71/W70,""))</f>
        <v/>
      </c>
      <c r="X72" s="15">
        <f>IF(OR(X71="",X70=""),"",IFERROR(X71/X70,""))</f>
        <v/>
      </c>
      <c r="Y72" s="25" t="n">
        <v>0.3</v>
      </c>
      <c r="Z72" s="26" t="n">
        <v>0.3</v>
      </c>
      <c r="AA72" s="26" t="n">
        <v>0.3</v>
      </c>
      <c r="AB72" s="26" t="n">
        <v>0.3</v>
      </c>
      <c r="AC72" s="26" t="n">
        <v>0.3</v>
      </c>
    </row>
    <row r="73">
      <c r="A73" s="9" t="inlineStr">
        <is>
          <t>당기순이익(손실)</t>
        </is>
      </c>
      <c r="B73" s="10" t="n"/>
      <c r="C73" s="11" t="n">
        <v>88</v>
      </c>
      <c r="D73" s="12" t="n">
        <v>947</v>
      </c>
      <c r="E73" s="12" t="n">
        <v>1029</v>
      </c>
      <c r="F73" s="12" t="n">
        <v>865</v>
      </c>
      <c r="G73" s="12" t="n">
        <v>1007</v>
      </c>
      <c r="H73" s="12" t="n">
        <v>939</v>
      </c>
      <c r="I73" s="12" t="n">
        <v>1009</v>
      </c>
      <c r="J73" s="12" t="n">
        <v>1220</v>
      </c>
      <c r="K73" s="12" t="n">
        <v>1333</v>
      </c>
      <c r="L73" s="12" t="n">
        <v>2412</v>
      </c>
      <c r="M73" s="12" t="n">
        <v>2334</v>
      </c>
      <c r="N73" s="12" t="n">
        <v>3733</v>
      </c>
      <c r="O73" s="11" t="n">
        <v>2632</v>
      </c>
      <c r="P73" s="12" t="n">
        <v>4012</v>
      </c>
      <c r="Q73" s="12" t="n">
        <v>2810</v>
      </c>
      <c r="R73" s="12" t="n">
        <v>2350</v>
      </c>
      <c r="S73" s="12" t="n">
        <v>2749</v>
      </c>
      <c r="T73" s="12" t="n">
        <v>3039</v>
      </c>
      <c r="U73" s="12" t="n">
        <v>-49</v>
      </c>
      <c r="V73" s="12" t="n">
        <v>1642</v>
      </c>
      <c r="W73" s="12" t="n">
        <v>3820</v>
      </c>
      <c r="X73" s="12" t="n">
        <v>7299</v>
      </c>
      <c r="Y73" s="11">
        <f>IF(OR(Y70=""),"",IFERROR(Y70-Y71,""))</f>
        <v/>
      </c>
      <c r="Z73" s="12">
        <f>IF(OR(Z70=""),"",IFERROR(Z70-Z71,""))</f>
        <v/>
      </c>
      <c r="AA73" s="12">
        <f>IF(OR(AA70=""),"",IFERROR(AA70-AA71,""))</f>
        <v/>
      </c>
      <c r="AB73" s="12">
        <f>IF(OR(AB70=""),"",IFERROR(AB70-AB71,""))</f>
        <v/>
      </c>
      <c r="AC73" s="12">
        <f>IF(OR(AC70=""),"",IFERROR(AC70-AC71,""))</f>
        <v/>
      </c>
    </row>
    <row r="74">
      <c r="A74" s="9" t="inlineStr">
        <is>
          <t>지배주주 순이익</t>
        </is>
      </c>
      <c r="B74" s="10" t="n"/>
      <c r="C74" s="11" t="n">
        <v>-1</v>
      </c>
      <c r="D74" s="12" t="n">
        <v>777</v>
      </c>
      <c r="E74" s="12" t="n">
        <v>875</v>
      </c>
      <c r="F74" s="12" t="n">
        <v>608</v>
      </c>
      <c r="G74" s="12" t="n">
        <v>648</v>
      </c>
      <c r="H74" s="12" t="n">
        <v>711</v>
      </c>
      <c r="I74" s="12" t="n">
        <v>618</v>
      </c>
      <c r="J74" s="12" t="n">
        <v>984</v>
      </c>
      <c r="K74" s="12" t="n">
        <v>1198</v>
      </c>
      <c r="L74" s="12" t="n">
        <v>2050</v>
      </c>
      <c r="M74" s="12" t="n">
        <v>1937</v>
      </c>
      <c r="N74" s="12" t="n">
        <v>3116</v>
      </c>
      <c r="O74" s="11" t="n">
        <v>2489</v>
      </c>
      <c r="P74" s="12" t="n">
        <v>3351</v>
      </c>
      <c r="Q74" s="12" t="n">
        <v>2581</v>
      </c>
      <c r="R74" s="12" t="n">
        <v>2014</v>
      </c>
      <c r="S74" s="12" t="n">
        <v>2563</v>
      </c>
      <c r="T74" s="12" t="n">
        <v>2492</v>
      </c>
      <c r="U74" s="12" t="n">
        <v>-407</v>
      </c>
      <c r="V74" s="12" t="n">
        <v>1174</v>
      </c>
      <c r="W74" s="12" t="n">
        <v>2585</v>
      </c>
      <c r="X74" s="12" t="n">
        <v>6169</v>
      </c>
      <c r="Y74" s="11">
        <f>IF(OR(Y73="",Y75=""),"",IFERROR(Y73*Y75,""))</f>
        <v/>
      </c>
      <c r="Z74" s="12">
        <f>IF(OR(Z73="",Z75=""),"",IFERROR(Z73*Z75,""))</f>
        <v/>
      </c>
      <c r="AA74" s="12">
        <f>IF(OR(AA73="",AA75=""),"",IFERROR(AA73*AA75,""))</f>
        <v/>
      </c>
      <c r="AB74" s="12">
        <f>IF(OR(AB73="",AB75=""),"",IFERROR(AB73*AB75,""))</f>
        <v/>
      </c>
      <c r="AC74" s="12">
        <f>IF(OR(AC73="",AC75=""),"",IFERROR(AC73*AC75,""))</f>
        <v/>
      </c>
    </row>
    <row r="75">
      <c r="A75" s="13" t="inlineStr">
        <is>
          <t>지배주주 순이익률</t>
        </is>
      </c>
      <c r="B75" s="10" t="inlineStr">
        <is>
          <t>MW 기본 100%</t>
        </is>
      </c>
      <c r="C75" s="14">
        <f>IF(OR(C74="",C73=""),"",IFERROR(C74/C73,""))</f>
        <v/>
      </c>
      <c r="D75" s="15">
        <f>IF(OR(D74="",D73=""),"",IFERROR(D74/D73,""))</f>
        <v/>
      </c>
      <c r="E75" s="15">
        <f>IF(OR(E74="",E73=""),"",IFERROR(E74/E73,""))</f>
        <v/>
      </c>
      <c r="F75" s="15">
        <f>IF(OR(F74="",F73=""),"",IFERROR(F74/F73,""))</f>
        <v/>
      </c>
      <c r="G75" s="15">
        <f>IF(OR(G74="",G73=""),"",IFERROR(G74/G73,""))</f>
        <v/>
      </c>
      <c r="H75" s="15">
        <f>IF(OR(H74="",H73=""),"",IFERROR(H74/H73,""))</f>
        <v/>
      </c>
      <c r="I75" s="15">
        <f>IF(OR(I74="",I73=""),"",IFERROR(I74/I73,""))</f>
        <v/>
      </c>
      <c r="J75" s="15">
        <f>IF(OR(J74="",J73=""),"",IFERROR(J74/J73,""))</f>
        <v/>
      </c>
      <c r="K75" s="15">
        <f>IF(OR(K74="",K73=""),"",IFERROR(K74/K73,""))</f>
        <v/>
      </c>
      <c r="L75" s="15">
        <f>IF(OR(L74="",L73=""),"",IFERROR(L74/L73,""))</f>
        <v/>
      </c>
      <c r="M75" s="15">
        <f>IF(OR(M74="",M73=""),"",IFERROR(M74/M73,""))</f>
        <v/>
      </c>
      <c r="N75" s="15">
        <f>IF(OR(N74="",N73=""),"",IFERROR(N74/N73,""))</f>
        <v/>
      </c>
      <c r="O75" s="14">
        <f>IF(OR(O74="",O73=""),"",IFERROR(O74/O73,""))</f>
        <v/>
      </c>
      <c r="P75" s="15">
        <f>IF(OR(P74="",P73=""),"",IFERROR(P74/P73,""))</f>
        <v/>
      </c>
      <c r="Q75" s="15">
        <f>IF(OR(Q74="",Q73=""),"",IFERROR(Q74/Q73,""))</f>
        <v/>
      </c>
      <c r="R75" s="15">
        <f>IF(OR(R74="",R73=""),"",IFERROR(R74/R73,""))</f>
        <v/>
      </c>
      <c r="S75" s="15">
        <f>IF(OR(S74="",S73=""),"",IFERROR(S74/S73,""))</f>
        <v/>
      </c>
      <c r="T75" s="15">
        <f>IF(OR(T74="",T73=""),"",IFERROR(T74/T73,""))</f>
        <v/>
      </c>
      <c r="U75" s="15">
        <f>IF(OR(U74="",U73=""),"",IFERROR(U74/U73,""))</f>
        <v/>
      </c>
      <c r="V75" s="15">
        <f>IF(OR(V74="",V73=""),"",IFERROR(V74/V73,""))</f>
        <v/>
      </c>
      <c r="W75" s="15">
        <f>IF(OR(W74="",W73=""),"",IFERROR(W74/W73,""))</f>
        <v/>
      </c>
      <c r="X75" s="15">
        <f>IF(OR(X74="",X73=""),"",IFERROR(X74/X73,""))</f>
        <v/>
      </c>
      <c r="Y75" s="25" t="n">
        <v>1</v>
      </c>
      <c r="Z75" s="26" t="n">
        <v>1</v>
      </c>
      <c r="AA75" s="26" t="n">
        <v>1</v>
      </c>
      <c r="AB75" s="26" t="n">
        <v>1</v>
      </c>
      <c r="AC75" s="26" t="n">
        <v>1</v>
      </c>
    </row>
    <row r="76">
      <c r="A76" s="16" t="inlineStr">
        <is>
          <t>목표주가 산출</t>
        </is>
      </c>
      <c r="B76" s="16" t="n"/>
      <c r="C76" s="17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7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7" t="n"/>
      <c r="Z76" s="16" t="n"/>
      <c r="AA76" s="16" t="n"/>
      <c r="AB76" s="16" t="n"/>
      <c r="AC76" s="16" t="n"/>
    </row>
    <row r="77">
      <c r="A77" s="18" t="inlineStr">
        <is>
          <t>현재 주가 ()</t>
        </is>
      </c>
      <c r="B77" s="27" t="n"/>
      <c r="C77" s="28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8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8" t="n"/>
      <c r="Z77" s="29" t="n"/>
      <c r="AA77" s="29" t="n"/>
      <c r="AB77" s="29" t="n"/>
      <c r="AC77" s="29" t="n"/>
    </row>
    <row r="78">
      <c r="A78" s="18" t="inlineStr">
        <is>
          <t>발행주식수 (보통주)</t>
        </is>
      </c>
      <c r="B78" s="27" t="n"/>
      <c r="C78" s="28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8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8" t="n"/>
      <c r="Z78" s="29" t="n"/>
      <c r="AA78" s="29" t="n"/>
      <c r="AB78" s="29" t="n"/>
      <c r="AC78" s="29" t="n"/>
    </row>
    <row r="79">
      <c r="A79" s="18" t="inlineStr">
        <is>
          <t>시가총액 (백만엔)</t>
        </is>
      </c>
      <c r="B79" s="12">
        <f>IF(OR(B77="",B78=""),"",B77*B78/1000000.0)</f>
        <v/>
      </c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19" t="n"/>
      <c r="Z79" s="20" t="n"/>
      <c r="AA79" s="20" t="n"/>
      <c r="AB79" s="20" t="n"/>
      <c r="AC79" s="20" t="n"/>
    </row>
    <row r="80">
      <c r="A80" s="13" t="inlineStr">
        <is>
          <t>OPM</t>
        </is>
      </c>
      <c r="B80" s="10" t="n"/>
      <c r="C80" s="14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4">
        <f>IF(O47="","",O47)</f>
        <v/>
      </c>
      <c r="P80" s="15">
        <f>IF(P47="","",P47)</f>
        <v/>
      </c>
      <c r="Q80" s="15">
        <f>IF(Q47="","",Q47)</f>
        <v/>
      </c>
      <c r="R80" s="15">
        <f>IF(R47="","",R47)</f>
        <v/>
      </c>
      <c r="S80" s="15">
        <f>IF(S47="","",S47)</f>
        <v/>
      </c>
      <c r="T80" s="15">
        <f>IF(T47="","",T47)</f>
        <v/>
      </c>
      <c r="U80" s="15">
        <f>IF(U47="","",U47)</f>
        <v/>
      </c>
      <c r="V80" s="15">
        <f>IF(V47="","",V47)</f>
        <v/>
      </c>
      <c r="W80" s="15">
        <f>IF(W47="","",W47)</f>
        <v/>
      </c>
      <c r="X80" s="15">
        <f>IF(X47="","",X47)</f>
        <v/>
      </c>
      <c r="Y80" s="14">
        <f>IF(Y47="","",Y47)</f>
        <v/>
      </c>
      <c r="Z80" s="15">
        <f>IF(Z47="","",Z47)</f>
        <v/>
      </c>
      <c r="AA80" s="15">
        <f>IF(AA47="","",AA47)</f>
        <v/>
      </c>
      <c r="AB80" s="15">
        <f>IF(AB47="","",AB47)</f>
        <v/>
      </c>
      <c r="AC80" s="15">
        <f>IF(AC47="","",AC47)</f>
        <v/>
      </c>
    </row>
    <row r="81">
      <c r="A81" s="13" t="inlineStr">
        <is>
          <t>지배주주 순이익 증가율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>
        <f>IF(OR(P74="",O74=""),"",IFERROR(P74/O74-1,""))</f>
        <v/>
      </c>
      <c r="Q81" s="15">
        <f>IF(OR(Q74="",P74=""),"",IFERROR(Q74/P74-1,""))</f>
        <v/>
      </c>
      <c r="R81" s="15">
        <f>IF(OR(R74="",Q74=""),"",IFERROR(R74/Q74-1,""))</f>
        <v/>
      </c>
      <c r="S81" s="15">
        <f>IF(OR(S74="",R74=""),"",IFERROR(S74/R74-1,""))</f>
        <v/>
      </c>
      <c r="T81" s="15">
        <f>IF(OR(T74="",S74=""),"",IFERROR(T74/S74-1,""))</f>
        <v/>
      </c>
      <c r="U81" s="15">
        <f>IF(OR(U74="",T74=""),"",IFERROR(U74/T74-1,""))</f>
        <v/>
      </c>
      <c r="V81" s="15">
        <f>IF(OR(V74="",U74=""),"",IFERROR(V74/U74-1,""))</f>
        <v/>
      </c>
      <c r="W81" s="15">
        <f>IF(OR(W74="",V74=""),"",IFERROR(W74/V74-1,""))</f>
        <v/>
      </c>
      <c r="X81" s="15">
        <f>IF(OR(X74="",W74=""),"",IFERROR(X74/W74-1,""))</f>
        <v/>
      </c>
      <c r="Y81" s="14">
        <f>IF(OR(Y74="",X74=""),"",IFERROR(Y74/X74-1,""))</f>
        <v/>
      </c>
      <c r="Z81" s="15">
        <f>IF(OR(Z74="",Y74=""),"",IFERROR(Z74/Y74-1,""))</f>
        <v/>
      </c>
      <c r="AA81" s="15">
        <f>IF(OR(AA74="",Z74=""),"",IFERROR(AA74/Z74-1,""))</f>
        <v/>
      </c>
      <c r="AB81" s="15">
        <f>IF(OR(AB74="",AA74=""),"",IFERROR(AB74/AA74-1,""))</f>
        <v/>
      </c>
      <c r="AC81" s="15">
        <f>IF(OR(AC74="",AB74=""),"",IFERROR(AC74/AB74-1,""))</f>
        <v/>
      </c>
    </row>
    <row r="82">
      <c r="A82" s="18" t="inlineStr">
        <is>
          <t>P/E (현재 주가)</t>
        </is>
      </c>
      <c r="B82" s="10" t="inlineStr">
        <is>
          <t>시총 ÷ 지배순이익</t>
        </is>
      </c>
      <c r="C82" s="30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0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>
        <f>IF(OR($B$79="",X74=""),"",IFERROR($B$79/X74,""))</f>
        <v/>
      </c>
      <c r="Y82" s="30">
        <f>IF(OR($B$79="",Y74=""),"",IFERROR($B$79/Y74,""))</f>
        <v/>
      </c>
      <c r="Z82" s="31">
        <f>IF(OR($B$79="",Z74=""),"",IFERROR($B$79/Z74,""))</f>
        <v/>
      </c>
      <c r="AA82" s="31">
        <f>IF(OR($B$79="",AA74=""),"",IFERROR($B$79/AA74,""))</f>
        <v/>
      </c>
      <c r="AB82" s="31">
        <f>IF(OR($B$79="",AB74=""),"",IFERROR($B$79/AB74,""))</f>
        <v/>
      </c>
      <c r="AC82" s="31">
        <f>IF(OR($B$79="",AC74=""),"",IFERROR($B$79/AC74,""))</f>
        <v/>
      </c>
    </row>
    <row r="83">
      <c r="A83" s="18" t="inlineStr">
        <is>
          <t>Target P/E</t>
        </is>
      </c>
      <c r="B83" s="10" t="inlineStr">
        <is>
          <t>직접 입력</t>
        </is>
      </c>
      <c r="C83" s="30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0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2" t="n"/>
      <c r="Z83" s="33" t="n"/>
      <c r="AA83" s="33" t="n"/>
      <c r="AB83" s="33" t="n"/>
      <c r="AC83" s="33" t="n"/>
    </row>
    <row r="84">
      <c r="A84" s="18" t="inlineStr">
        <is>
          <t>EPS</t>
        </is>
      </c>
      <c r="B84" s="10" t="inlineStr">
        <is>
          <t>지배순이익 ÷ 주식수</t>
        </is>
      </c>
      <c r="C84" s="28" t="n"/>
      <c r="D84" s="29" t="n"/>
      <c r="E84" s="29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8">
        <f>IF(OR(O74="",$B$78=""),"",IFERROR(O74*1000000.0/$B$78,""))</f>
        <v/>
      </c>
      <c r="P84" s="29">
        <f>IF(OR(P74="",$B$78=""),"",IFERROR(P74*1000000.0/$B$78,""))</f>
        <v/>
      </c>
      <c r="Q84" s="29">
        <f>IF(OR(Q74="",$B$78=""),"",IFERROR(Q74*1000000.0/$B$78,""))</f>
        <v/>
      </c>
      <c r="R84" s="29">
        <f>IF(OR(R74="",$B$78=""),"",IFERROR(R74*1000000.0/$B$78,""))</f>
        <v/>
      </c>
      <c r="S84" s="29">
        <f>IF(OR(S74="",$B$78=""),"",IFERROR(S74*1000000.0/$B$78,""))</f>
        <v/>
      </c>
      <c r="T84" s="29">
        <f>IF(OR(T74="",$B$78=""),"",IFERROR(T74*1000000.0/$B$78,""))</f>
        <v/>
      </c>
      <c r="U84" s="29">
        <f>IF(OR(U74="",$B$78=""),"",IFERROR(U74*1000000.0/$B$78,""))</f>
        <v/>
      </c>
      <c r="V84" s="29">
        <f>IF(OR(V74="",$B$78=""),"",IFERROR(V74*1000000.0/$B$78,""))</f>
        <v/>
      </c>
      <c r="W84" s="29">
        <f>IF(OR(W74="",$B$78=""),"",IFERROR(W74*1000000.0/$B$78,""))</f>
        <v/>
      </c>
      <c r="X84" s="29">
        <f>IF(OR(X74="",$B$78=""),"",IFERROR(X74*1000000.0/$B$78,""))</f>
        <v/>
      </c>
      <c r="Y84" s="28">
        <f>IF(OR(Y74="",$B$78=""),"",IFERROR(Y74*1000000.0/$B$78,""))</f>
        <v/>
      </c>
      <c r="Z84" s="29">
        <f>IF(OR(Z74="",$B$78=""),"",IFERROR(Z74*1000000.0/$B$78,""))</f>
        <v/>
      </c>
      <c r="AA84" s="29">
        <f>IF(OR(AA74="",$B$78=""),"",IFERROR(AA74*1000000.0/$B$78,""))</f>
        <v/>
      </c>
      <c r="AB84" s="29">
        <f>IF(OR(AB74="",$B$78=""),"",IFERROR(AB74*1000000.0/$B$78,""))</f>
        <v/>
      </c>
      <c r="AC84" s="29">
        <f>IF(OR(AC74="",$B$78=""),"",IFERROR(AC74*1000000.0/$B$78,""))</f>
        <v/>
      </c>
    </row>
    <row r="85">
      <c r="A85" s="9" t="inlineStr">
        <is>
          <t>목표주가</t>
        </is>
      </c>
      <c r="B85" s="10" t="n"/>
      <c r="C85" s="34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34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34">
        <f>IF(OR(Y84="",Y83=""),"",IFERROR(Y84*Y83,""))</f>
        <v/>
      </c>
      <c r="Z85" s="27">
        <f>IF(OR(Z84="",Z83=""),"",IFERROR(Z84*Z83,""))</f>
        <v/>
      </c>
      <c r="AA85" s="27">
        <f>IF(OR(AA84="",AA83=""),"",IFERROR(AA84*AA83,""))</f>
        <v/>
      </c>
      <c r="AB85" s="27">
        <f>IF(OR(AB84="",AB83=""),"",IFERROR(AB84*AB83,""))</f>
        <v/>
      </c>
      <c r="AC85" s="27">
        <f>IF(OR(AC84="",AC83=""),"",IFERROR(AC84*AC83,""))</f>
        <v/>
      </c>
    </row>
    <row r="86">
      <c r="A86" s="18" t="inlineStr">
        <is>
          <t>상승여력</t>
        </is>
      </c>
      <c r="B86" s="10" t="n"/>
      <c r="C86" s="35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5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7">
        <f>IF(OR(Y85="",$B$77=""),"",IFERROR(Y85/$B$77-1,""))</f>
        <v/>
      </c>
      <c r="Z86" s="38">
        <f>IF(OR(Z85="",$B$77=""),"",IFERROR(Z85/$B$77-1,""))</f>
        <v/>
      </c>
      <c r="AA86" s="38">
        <f>IF(OR(AA85="",$B$77=""),"",IFERROR(AA85/$B$77-1,""))</f>
        <v/>
      </c>
      <c r="AB86" s="38">
        <f>IF(OR(AB85="",$B$77=""),"",IFERROR(AB85/$B$77-1,""))</f>
        <v/>
      </c>
      <c r="AC86" s="38">
        <f>IF(OR(AC85="",$B$77=""),"",IFERROR(AC85/$B$77-1,""))</f>
        <v/>
      </c>
    </row>
    <row r="87">
      <c r="A87" s="16" t="inlineStr">
        <is>
          <t>자산가치 산출</t>
        </is>
      </c>
      <c r="B87" s="16" t="inlineStr">
        <is>
          <t>최신 분기 BS</t>
        </is>
      </c>
      <c r="C87" s="17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7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7" t="n"/>
      <c r="Z87" s="16" t="n"/>
      <c r="AA87" s="16" t="n"/>
      <c r="AB87" s="16" t="n"/>
      <c r="AC87" s="16" t="n"/>
    </row>
    <row r="88">
      <c r="A88" s="18" t="inlineStr">
        <is>
          <t>현금및현금성자산</t>
        </is>
      </c>
      <c r="B88" s="10" t="n"/>
      <c r="C88" s="19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19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>
        <f>'재무상태표'!G6</f>
        <v/>
      </c>
      <c r="Y88" s="19">
        <f>'재무상태표'!G6</f>
        <v/>
      </c>
      <c r="Z88" s="20">
        <f>'재무상태표'!G6</f>
        <v/>
      </c>
      <c r="AA88" s="20">
        <f>'재무상태표'!G6</f>
        <v/>
      </c>
      <c r="AB88" s="20">
        <f>'재무상태표'!G6</f>
        <v/>
      </c>
      <c r="AC88" s="20">
        <f>'재무상태표'!G6</f>
        <v/>
      </c>
    </row>
    <row r="89">
      <c r="A89" s="18" t="inlineStr">
        <is>
          <t>단기금융상품</t>
        </is>
      </c>
      <c r="B89" s="10" t="n"/>
      <c r="C89" s="19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19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>
        <f>'재무상태표'!G7</f>
        <v/>
      </c>
      <c r="Y89" s="19">
        <f>'재무상태표'!G7</f>
        <v/>
      </c>
      <c r="Z89" s="20">
        <f>'재무상태표'!G7</f>
        <v/>
      </c>
      <c r="AA89" s="20">
        <f>'재무상태표'!G7</f>
        <v/>
      </c>
      <c r="AB89" s="20">
        <f>'재무상태표'!G7</f>
        <v/>
      </c>
      <c r="AC89" s="20">
        <f>'재무상태표'!G7</f>
        <v/>
      </c>
    </row>
    <row r="90">
      <c r="A90" s="18" t="inlineStr">
        <is>
          <t>투자부동산</t>
        </is>
      </c>
      <c r="B90" s="10" t="n"/>
      <c r="C90" s="19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19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>
        <f>'재무상태표'!G14</f>
        <v/>
      </c>
      <c r="Y90" s="19">
        <f>'재무상태표'!G14</f>
        <v/>
      </c>
      <c r="Z90" s="20">
        <f>'재무상태표'!G14</f>
        <v/>
      </c>
      <c r="AA90" s="20">
        <f>'재무상태표'!G14</f>
        <v/>
      </c>
      <c r="AB90" s="20">
        <f>'재무상태표'!G14</f>
        <v/>
      </c>
      <c r="AC90" s="20">
        <f>'재무상태표'!G14</f>
        <v/>
      </c>
    </row>
    <row r="91">
      <c r="A91" s="18" t="inlineStr">
        <is>
          <t>지배자본</t>
        </is>
      </c>
      <c r="B91" s="10" t="n"/>
      <c r="C91" s="19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19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>
        <f>'재무상태표'!G31</f>
        <v/>
      </c>
      <c r="Y91" s="19">
        <f>'재무상태표'!G31</f>
        <v/>
      </c>
      <c r="Z91" s="20">
        <f>'재무상태표'!G31</f>
        <v/>
      </c>
      <c r="AA91" s="20">
        <f>'재무상태표'!G31</f>
        <v/>
      </c>
      <c r="AB91" s="20">
        <f>'재무상태표'!G31</f>
        <v/>
      </c>
      <c r="AC91" s="20">
        <f>'재무상태표'!G31</f>
        <v/>
      </c>
    </row>
    <row r="92">
      <c r="A92" s="18" t="inlineStr">
        <is>
          <t>부채</t>
        </is>
      </c>
      <c r="B92" s="10" t="n"/>
      <c r="C92" s="19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19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>
        <f>'재무상태표'!G27</f>
        <v/>
      </c>
      <c r="Y92" s="19">
        <f>'재무상태표'!G27</f>
        <v/>
      </c>
      <c r="Z92" s="20">
        <f>'재무상태표'!G27</f>
        <v/>
      </c>
      <c r="AA92" s="20">
        <f>'재무상태표'!G27</f>
        <v/>
      </c>
      <c r="AB92" s="20">
        <f>'재무상태표'!G27</f>
        <v/>
      </c>
      <c r="AC92" s="20">
        <f>'재무상태표'!G27</f>
        <v/>
      </c>
    </row>
    <row r="93">
      <c r="A93" s="13" t="inlineStr">
        <is>
          <t>부채비율</t>
        </is>
      </c>
      <c r="B93" s="10" t="n"/>
      <c r="C93" s="14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4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>
        <f>IF(OR(X92="",X91=""),"",IFERROR(X92/X91,""))</f>
        <v/>
      </c>
      <c r="Y93" s="14">
        <f>IF(OR(Y92="",Y91=""),"",IFERROR(Y92/Y91,""))</f>
        <v/>
      </c>
      <c r="Z93" s="15">
        <f>IF(OR(Z92="",Z91=""),"",IFERROR(Z92/Z91,""))</f>
        <v/>
      </c>
      <c r="AA93" s="15">
        <f>IF(OR(AA92="",AA91=""),"",IFERROR(AA92/AA91,""))</f>
        <v/>
      </c>
      <c r="AB93" s="15">
        <f>IF(OR(AB92="",AB91=""),"",IFERROR(AB92/AB91,""))</f>
        <v/>
      </c>
      <c r="AC93" s="15">
        <f>IF(OR(AC92="",AC91=""),"",IFERROR(AC92/AC91,""))</f>
        <v/>
      </c>
    </row>
    <row r="94">
      <c r="A94" s="9" t="inlineStr">
        <is>
          <t>자산가치</t>
        </is>
      </c>
      <c r="B94" s="10" t="inlineStr">
        <is>
          <t>현금+단기금융+투자부동산</t>
        </is>
      </c>
      <c r="C94" s="11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1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>
        <f>SUM(X88,X89,X90)</f>
        <v/>
      </c>
      <c r="Y94" s="11">
        <f>SUM(Y88,Y89,Y90)</f>
        <v/>
      </c>
      <c r="Z94" s="12">
        <f>SUM(Z88,Z89,Z90)</f>
        <v/>
      </c>
      <c r="AA94" s="12">
        <f>SUM(AA88,AA89,AA90)</f>
        <v/>
      </c>
      <c r="AB94" s="12">
        <f>SUM(AB88,AB89,AB90)</f>
        <v/>
      </c>
      <c r="AC94" s="12">
        <f>SUM(AC88,AC89,AC90)</f>
        <v/>
      </c>
    </row>
    <row r="95">
      <c r="A95" s="16" t="inlineStr">
        <is>
          <t>기업가치 산출</t>
        </is>
      </c>
      <c r="B95" s="16" t="n"/>
      <c r="C95" s="17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7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7" t="n"/>
      <c r="Z95" s="16" t="n"/>
      <c r="AA95" s="16" t="n"/>
      <c r="AB95" s="16" t="n"/>
      <c r="AC95" s="16" t="n"/>
    </row>
    <row r="96">
      <c r="A96" s="18" t="inlineStr">
        <is>
          <t>목표 시가총액 (P/E)</t>
        </is>
      </c>
      <c r="B96" s="10" t="inlineStr">
        <is>
          <t>지배순이익 × Target P/E</t>
        </is>
      </c>
      <c r="C96" s="19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19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19">
        <f>IF(OR(Y74="",Y83=""),"",IFERROR(Y74*Y83,""))</f>
        <v/>
      </c>
      <c r="Z96" s="20">
        <f>IF(OR(Z74="",Z83=""),"",IFERROR(Z74*Z83,""))</f>
        <v/>
      </c>
      <c r="AA96" s="20">
        <f>IF(OR(AA74="",AA83=""),"",IFERROR(AA74*AA83,""))</f>
        <v/>
      </c>
      <c r="AB96" s="20">
        <f>IF(OR(AB74="",AB83=""),"",IFERROR(AB74*AB83,""))</f>
        <v/>
      </c>
      <c r="AC96" s="20">
        <f>IF(OR(AC74="",AC83=""),"",IFERROR(AC74*AC83,""))</f>
        <v/>
      </c>
    </row>
    <row r="97">
      <c r="A97" s="9" t="inlineStr">
        <is>
          <t>기업가치</t>
        </is>
      </c>
      <c r="B97" s="10" t="inlineStr">
        <is>
          <t>목표시총 + 자산가치</t>
        </is>
      </c>
      <c r="C97" s="11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1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1">
        <f>IF(OR(Y96=""),"",IFERROR(Y96+Y94,""))</f>
        <v/>
      </c>
      <c r="Z97" s="12">
        <f>IF(OR(Z96=""),"",IFERROR(Z96+Z94,""))</f>
        <v/>
      </c>
      <c r="AA97" s="12">
        <f>IF(OR(AA96=""),"",IFERROR(AA96+AA94,""))</f>
        <v/>
      </c>
      <c r="AB97" s="12">
        <f>IF(OR(AB96=""),"",IFERROR(AB96+AB94,""))</f>
        <v/>
      </c>
      <c r="AC97" s="12">
        <f>IF(OR(AC96=""),"",IFERROR(AC96+AC94,""))</f>
        <v/>
      </c>
    </row>
    <row r="98">
      <c r="A98" s="18" t="inlineStr">
        <is>
          <t>현재 시가총액</t>
        </is>
      </c>
      <c r="B98" s="10" t="n"/>
      <c r="C98" s="19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19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19">
        <f>$B$79</f>
        <v/>
      </c>
      <c r="Z98" s="20">
        <f>$B$79</f>
        <v/>
      </c>
      <c r="AA98" s="20">
        <f>$B$79</f>
        <v/>
      </c>
      <c r="AB98" s="20">
        <f>$B$79</f>
        <v/>
      </c>
      <c r="AC98" s="20">
        <f>$B$79</f>
        <v/>
      </c>
    </row>
    <row r="99">
      <c r="A99" s="18" t="inlineStr">
        <is>
          <t>상승여력</t>
        </is>
      </c>
      <c r="B99" s="10" t="n"/>
      <c r="C99" s="35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5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7">
        <f>IF(OR(Y97="",Y98=""),"",IFERROR(Y97/Y98-1,""))</f>
        <v/>
      </c>
      <c r="Z99" s="38">
        <f>IF(OR(Z97="",Z98=""),"",IFERROR(Z97/Z98-1,""))</f>
        <v/>
      </c>
      <c r="AA99" s="38">
        <f>IF(OR(AA97="",AA98=""),"",IFERROR(AA97/AA98-1,""))</f>
        <v/>
      </c>
      <c r="AB99" s="38">
        <f>IF(OR(AB97="",AB98=""),"",IFERROR(AB97/AB98-1,""))</f>
        <v/>
      </c>
      <c r="AC99" s="38">
        <f>IF(OR(AC97="",AC98=""),"",IFERROR(AC97/AC98-1,""))</f>
        <v/>
      </c>
    </row>
    <row r="100">
      <c r="C100" s="39" t="n"/>
      <c r="O100" s="39" t="n"/>
      <c r="Y100" s="39" t="n"/>
    </row>
    <row r="101">
      <c r="A101" s="40" t="inlineStr">
        <is>
          <t>출처</t>
        </is>
      </c>
      <c r="C101" s="39" t="n"/>
      <c r="O101" s="39" t="n"/>
      <c r="Y101" s="39" t="n"/>
    </row>
    <row r="102">
      <c r="A102" s="41" t="inlineStr">
        <is>
          <t>결산단신 XBRL(TDnet·JPX 보관소) — 쓴 문서는 '출처' 시트</t>
        </is>
      </c>
      <c r="C102" s="39" t="n"/>
      <c r="O102" s="39" t="n"/>
      <c r="Y102" s="39" t="n"/>
    </row>
    <row r="103">
      <c r="A103" s="41" t="inlineStr">
        <is>
          <t>분기 = 누계에서 앞 분기를 뺀 3개월 값</t>
        </is>
      </c>
      <c r="C103" s="39" t="n"/>
      <c r="O103" s="39" t="n"/>
      <c r="Y103" s="39" t="n"/>
    </row>
    <row r="104">
      <c r="A104" s="41" t="inlineStr">
        <is>
          <t>주가: 야후 파이낸스 일봉</t>
        </is>
      </c>
      <c r="C104" s="39" t="n"/>
      <c r="O104" s="39" t="n"/>
      <c r="Y104" s="39" t="n"/>
    </row>
    <row r="106">
      <c r="A106" s="16" t="inlineStr">
        <is>
          <t>손익계산서 · 전 항목</t>
        </is>
      </c>
      <c r="B106" s="42" t="inlineStr">
        <is>
          <t>분기 = 3개월 단독</t>
        </is>
      </c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</row>
    <row r="107">
      <c r="A107" s="5" t="inlineStr">
        <is>
          <t>항목</t>
        </is>
      </c>
      <c r="B107" s="5" t="inlineStr">
        <is>
          <t>참고</t>
        </is>
      </c>
      <c r="C107" s="5" t="inlineStr">
        <is>
          <t>2024.2Q</t>
        </is>
      </c>
      <c r="D107" s="5" t="inlineStr">
        <is>
          <t>2024.3Q</t>
        </is>
      </c>
      <c r="E107" s="5" t="inlineStr">
        <is>
          <t>2024.4Q</t>
        </is>
      </c>
      <c r="F107" s="5" t="inlineStr">
        <is>
          <t>2025.1Q</t>
        </is>
      </c>
      <c r="G107" s="5" t="inlineStr">
        <is>
          <t>2025.2Q</t>
        </is>
      </c>
      <c r="H107" s="5" t="inlineStr">
        <is>
          <t>2025.3Q</t>
        </is>
      </c>
      <c r="I107" s="5" t="inlineStr">
        <is>
          <t>2025.4Q</t>
        </is>
      </c>
      <c r="J107" s="5" t="inlineStr">
        <is>
          <t>2026.1Q</t>
        </is>
      </c>
      <c r="K107" s="5" t="inlineStr">
        <is>
          <t>2026.2Q</t>
        </is>
      </c>
      <c r="L107" s="5" t="inlineStr">
        <is>
          <t>2026.3Q</t>
        </is>
      </c>
      <c r="M107" s="5" t="inlineStr">
        <is>
          <t>2026.4Q</t>
        </is>
      </c>
      <c r="N107" s="5" t="inlineStr">
        <is>
          <t>2027.1Q</t>
        </is>
      </c>
      <c r="O107" s="5" t="inlineStr">
        <is>
          <t>2017</t>
        </is>
      </c>
      <c r="P107" s="5" t="inlineStr">
        <is>
          <t>2018</t>
        </is>
      </c>
      <c r="Q107" s="5" t="inlineStr">
        <is>
          <t>2019</t>
        </is>
      </c>
      <c r="R107" s="5" t="inlineStr">
        <is>
          <t>2020</t>
        </is>
      </c>
      <c r="S107" s="5" t="inlineStr">
        <is>
          <t>2021</t>
        </is>
      </c>
      <c r="T107" s="5" t="inlineStr">
        <is>
          <t>2022</t>
        </is>
      </c>
      <c r="U107" s="5" t="inlineStr">
        <is>
          <t>2023</t>
        </is>
      </c>
      <c r="V107" s="5" t="inlineStr">
        <is>
          <t>2024</t>
        </is>
      </c>
      <c r="W107" s="5" t="inlineStr">
        <is>
          <t>2025</t>
        </is>
      </c>
      <c r="X107" s="5" t="inlineStr">
        <is>
          <t>2026</t>
        </is>
      </c>
      <c r="Y107" s="5" t="inlineStr">
        <is>
          <t>2027(MW)</t>
        </is>
      </c>
      <c r="Z107" s="5" t="inlineStr">
        <is>
          <t>2028(MW)</t>
        </is>
      </c>
      <c r="AA107" s="5" t="inlineStr">
        <is>
          <t>2029(MW)</t>
        </is>
      </c>
      <c r="AB107" s="5" t="inlineStr">
        <is>
          <t>2030(MW)</t>
        </is>
      </c>
      <c r="AC107" s="5" t="inlineStr">
        <is>
          <t>2031(MW)</t>
        </is>
      </c>
    </row>
    <row r="108">
      <c r="A108" s="9" t="inlineStr">
        <is>
          <t>매출액</t>
        </is>
      </c>
      <c r="C108" s="12" t="n">
        <v>15316</v>
      </c>
      <c r="D108" s="12" t="n">
        <v>16434</v>
      </c>
      <c r="E108" s="12" t="n">
        <v>17484</v>
      </c>
      <c r="F108" s="12" t="n">
        <v>17531</v>
      </c>
      <c r="G108" s="12" t="n">
        <v>17900</v>
      </c>
      <c r="H108" s="12" t="n">
        <v>18840</v>
      </c>
      <c r="I108" s="12" t="n">
        <v>18984</v>
      </c>
      <c r="J108" s="12" t="n">
        <v>19046</v>
      </c>
      <c r="K108" s="12" t="n">
        <v>18565</v>
      </c>
      <c r="L108" s="12" t="n">
        <v>22598</v>
      </c>
      <c r="M108" s="12" t="n">
        <v>22677</v>
      </c>
      <c r="N108" s="12" t="n">
        <v>27501</v>
      </c>
      <c r="T108" s="12" t="n">
        <v>15975</v>
      </c>
      <c r="U108" s="12" t="n">
        <v>15983</v>
      </c>
      <c r="V108" s="12" t="n">
        <v>17484</v>
      </c>
      <c r="W108" s="12" t="n">
        <v>18984</v>
      </c>
      <c r="X108" s="12" t="n">
        <v>22677</v>
      </c>
    </row>
    <row r="109">
      <c r="A109" s="18" t="inlineStr">
        <is>
          <t>매출원가</t>
        </is>
      </c>
      <c r="C109" s="20" t="n">
        <v>12461</v>
      </c>
      <c r="D109" s="20" t="n">
        <v>12616</v>
      </c>
      <c r="E109" s="20" t="n">
        <v>13073</v>
      </c>
      <c r="F109" s="20" t="n">
        <v>13450</v>
      </c>
      <c r="G109" s="20" t="n">
        <v>13256</v>
      </c>
      <c r="H109" s="20" t="n">
        <v>14180</v>
      </c>
      <c r="I109" s="20" t="n">
        <v>14131</v>
      </c>
      <c r="J109" s="20" t="n">
        <v>13960</v>
      </c>
      <c r="K109" s="20" t="n">
        <v>12996</v>
      </c>
      <c r="L109" s="20" t="n">
        <v>15501</v>
      </c>
      <c r="M109" s="20" t="n">
        <v>15641</v>
      </c>
      <c r="N109" s="20" t="n">
        <v>18504</v>
      </c>
      <c r="T109" s="20" t="n">
        <v>12213</v>
      </c>
      <c r="U109" s="20" t="n">
        <v>12904</v>
      </c>
      <c r="V109" s="20" t="n">
        <v>13073</v>
      </c>
      <c r="W109" s="20" t="n">
        <v>14131</v>
      </c>
      <c r="X109" s="20" t="n">
        <v>15641</v>
      </c>
    </row>
    <row r="110">
      <c r="A110" s="9" t="inlineStr">
        <is>
          <t>매출총이익</t>
        </is>
      </c>
      <c r="C110" s="12" t="n">
        <v>2856</v>
      </c>
      <c r="D110" s="12" t="n">
        <v>3817</v>
      </c>
      <c r="E110" s="12" t="n">
        <v>4412</v>
      </c>
      <c r="F110" s="12" t="n">
        <v>4081</v>
      </c>
      <c r="G110" s="12" t="n">
        <v>4643</v>
      </c>
      <c r="H110" s="12" t="n">
        <v>4660</v>
      </c>
      <c r="I110" s="12" t="n">
        <v>4854</v>
      </c>
      <c r="J110" s="12" t="n">
        <v>5085</v>
      </c>
      <c r="K110" s="12" t="n">
        <v>5569</v>
      </c>
      <c r="L110" s="12" t="n">
        <v>7098</v>
      </c>
      <c r="M110" s="12" t="n">
        <v>7035</v>
      </c>
      <c r="N110" s="12" t="n">
        <v>8997</v>
      </c>
      <c r="T110" s="12" t="n">
        <v>3763</v>
      </c>
      <c r="U110" s="12" t="n">
        <v>3079</v>
      </c>
      <c r="V110" s="12" t="n">
        <v>4412</v>
      </c>
      <c r="W110" s="12" t="n">
        <v>4854</v>
      </c>
      <c r="X110" s="12" t="n">
        <v>7035</v>
      </c>
    </row>
    <row r="111">
      <c r="A111" s="18" t="inlineStr">
        <is>
          <t>판매비와 관리비</t>
        </is>
      </c>
      <c r="C111" s="20" t="n">
        <v>2733</v>
      </c>
      <c r="D111" s="20" t="n">
        <v>2838</v>
      </c>
      <c r="E111" s="20" t="n">
        <v>2864</v>
      </c>
      <c r="F111" s="20" t="n">
        <v>3022</v>
      </c>
      <c r="G111" s="20" t="n">
        <v>3228</v>
      </c>
      <c r="H111" s="20" t="n">
        <v>3331</v>
      </c>
      <c r="I111" s="20" t="n">
        <v>3305</v>
      </c>
      <c r="J111" s="20" t="n">
        <v>3362</v>
      </c>
      <c r="K111" s="20" t="n">
        <v>3424</v>
      </c>
      <c r="L111" s="20" t="n">
        <v>3906</v>
      </c>
      <c r="M111" s="20" t="n">
        <v>3988</v>
      </c>
      <c r="N111" s="20" t="n">
        <v>3880</v>
      </c>
      <c r="T111" s="20" t="n">
        <v>2862</v>
      </c>
      <c r="U111" s="20" t="n">
        <v>2880</v>
      </c>
      <c r="V111" s="20" t="n">
        <v>2864</v>
      </c>
      <c r="W111" s="20" t="n">
        <v>3305</v>
      </c>
      <c r="X111" s="20" t="n">
        <v>3988</v>
      </c>
    </row>
    <row r="112">
      <c r="A112" s="9" t="inlineStr">
        <is>
          <t>영업이익</t>
        </is>
      </c>
      <c r="C112" s="12" t="n">
        <v>123</v>
      </c>
      <c r="D112" s="12" t="n">
        <v>978</v>
      </c>
      <c r="E112" s="12" t="n">
        <v>1548</v>
      </c>
      <c r="F112" s="12" t="n">
        <v>1058</v>
      </c>
      <c r="G112" s="12" t="n">
        <v>1416</v>
      </c>
      <c r="H112" s="12" t="n">
        <v>1328</v>
      </c>
      <c r="I112" s="12" t="n">
        <v>1549</v>
      </c>
      <c r="J112" s="12" t="n">
        <v>1723</v>
      </c>
      <c r="K112" s="12" t="n">
        <v>2145</v>
      </c>
      <c r="L112" s="12" t="n">
        <v>3191</v>
      </c>
      <c r="M112" s="12" t="n">
        <v>3048</v>
      </c>
      <c r="N112" s="12" t="n">
        <v>5117</v>
      </c>
      <c r="T112" s="12" t="n">
        <v>901</v>
      </c>
      <c r="U112" s="12" t="n">
        <v>198</v>
      </c>
      <c r="V112" s="12" t="n">
        <v>1548</v>
      </c>
      <c r="W112" s="12" t="n">
        <v>1549</v>
      </c>
      <c r="X112" s="12" t="n">
        <v>3048</v>
      </c>
    </row>
    <row r="113">
      <c r="A113" s="18" t="inlineStr">
        <is>
          <t>이자수익</t>
        </is>
      </c>
      <c r="C113" s="20" t="n">
        <v>1</v>
      </c>
      <c r="D113" s="20" t="n">
        <v>4</v>
      </c>
      <c r="E113" s="20" t="n">
        <v>5</v>
      </c>
      <c r="F113" s="20" t="n">
        <v>7</v>
      </c>
      <c r="G113" s="20" t="n">
        <v>7</v>
      </c>
      <c r="H113" s="20" t="n">
        <v>12</v>
      </c>
      <c r="I113" s="20" t="n">
        <v>14</v>
      </c>
      <c r="J113" s="20" t="n">
        <v>2</v>
      </c>
      <c r="K113" s="20" t="n">
        <v>24</v>
      </c>
      <c r="L113" s="20" t="n">
        <v>5</v>
      </c>
      <c r="M113" s="20" t="n">
        <v>25</v>
      </c>
      <c r="N113" s="20" t="n">
        <v>5</v>
      </c>
      <c r="T113" s="20" t="n">
        <v>2</v>
      </c>
      <c r="U113" s="20" t="n">
        <v>2</v>
      </c>
      <c r="V113" s="20" t="n">
        <v>5</v>
      </c>
      <c r="W113" s="20" t="n">
        <v>14</v>
      </c>
      <c r="X113" s="20" t="n">
        <v>25</v>
      </c>
    </row>
    <row r="114">
      <c r="A114" s="18" t="inlineStr">
        <is>
          <t>배당금수익</t>
        </is>
      </c>
      <c r="C114" s="20" t="n">
        <v>56</v>
      </c>
      <c r="D114" s="20" t="n">
        <v>1</v>
      </c>
      <c r="E114" s="20" t="n">
        <v>73</v>
      </c>
      <c r="F114" s="20" t="n">
        <v>5</v>
      </c>
      <c r="G114" s="20" t="n">
        <v>70</v>
      </c>
      <c r="H114" s="20" t="n">
        <v>4</v>
      </c>
      <c r="I114" s="20" t="n">
        <v>77</v>
      </c>
      <c r="J114" s="20" t="n">
        <v>6</v>
      </c>
      <c r="K114" s="20" t="n">
        <v>84</v>
      </c>
      <c r="L114" s="20" t="n">
        <v>5</v>
      </c>
      <c r="M114" s="20" t="n">
        <v>181</v>
      </c>
      <c r="N114" s="20" t="n">
        <v>4</v>
      </c>
      <c r="T114" s="20" t="n">
        <v>46</v>
      </c>
      <c r="U114" s="20" t="n">
        <v>52</v>
      </c>
      <c r="V114" s="20" t="n">
        <v>73</v>
      </c>
      <c r="W114" s="20" t="n">
        <v>77</v>
      </c>
      <c r="X114" s="20" t="n">
        <v>181</v>
      </c>
    </row>
    <row r="115">
      <c r="A115" s="18" t="inlineStr">
        <is>
          <t>지분법이익</t>
        </is>
      </c>
      <c r="C115" s="20" t="n">
        <v>0</v>
      </c>
      <c r="D115" s="20" t="n">
        <v>0</v>
      </c>
      <c r="E115" s="20" t="n">
        <v>0</v>
      </c>
      <c r="F115" s="20" t="n">
        <v>9</v>
      </c>
      <c r="G115" s="20" t="n">
        <v>13</v>
      </c>
      <c r="H115" s="20" t="n">
        <v>9</v>
      </c>
      <c r="I115" s="20" t="n">
        <v>230</v>
      </c>
      <c r="J115" s="20" t="n">
        <v>12</v>
      </c>
      <c r="K115" s="20" t="n">
        <v>9</v>
      </c>
      <c r="L115" s="20" t="n">
        <v>8</v>
      </c>
      <c r="M115" s="20" t="n">
        <v>10</v>
      </c>
      <c r="N115" s="20" t="n">
        <v>8</v>
      </c>
      <c r="T115" s="20" t="n">
        <v>12</v>
      </c>
      <c r="U115" s="20" t="n">
        <v>-9</v>
      </c>
      <c r="V115" s="20" t="n">
        <v>0</v>
      </c>
      <c r="W115" s="20" t="n">
        <v>230</v>
      </c>
      <c r="X115" s="20" t="n">
        <v>10</v>
      </c>
    </row>
    <row r="116">
      <c r="A116" s="18" t="inlineStr">
        <is>
          <t>임대료 수익</t>
        </is>
      </c>
      <c r="F116" s="20" t="n">
        <v>8</v>
      </c>
      <c r="J116" s="20" t="n">
        <v>8</v>
      </c>
      <c r="N116" s="20" t="n">
        <v>8</v>
      </c>
    </row>
    <row r="117">
      <c r="A117" s="18" t="inlineStr">
        <is>
          <t>외환차익</t>
        </is>
      </c>
      <c r="C117" s="20" t="n">
        <v>58</v>
      </c>
      <c r="D117" s="20" t="n">
        <v>43</v>
      </c>
      <c r="E117" s="20" t="n">
        <v>-10</v>
      </c>
      <c r="F117" s="20" t="n">
        <v>184</v>
      </c>
      <c r="G117" s="20" t="n">
        <v>-77</v>
      </c>
      <c r="H117" s="20" t="n">
        <v>-28</v>
      </c>
      <c r="I117" s="20" t="n">
        <v>79</v>
      </c>
      <c r="J117" s="20" t="n">
        <v>3</v>
      </c>
      <c r="K117" s="20" t="n">
        <v>-3</v>
      </c>
      <c r="L117" s="20" t="n">
        <v>0</v>
      </c>
      <c r="M117" s="20" t="n">
        <v>116</v>
      </c>
      <c r="N117" s="20" t="n">
        <v>198</v>
      </c>
      <c r="T117" s="20" t="n">
        <v>33</v>
      </c>
      <c r="U117" s="20" t="n">
        <v>-39</v>
      </c>
      <c r="V117" s="20" t="n">
        <v>-10</v>
      </c>
      <c r="W117" s="20" t="n">
        <v>79</v>
      </c>
      <c r="X117" s="20" t="n">
        <v>116</v>
      </c>
    </row>
    <row r="118">
      <c r="A118" s="18" t="inlineStr">
        <is>
          <t>기타</t>
        </is>
      </c>
      <c r="C118" s="20" t="n">
        <v>73</v>
      </c>
      <c r="D118" s="20" t="n">
        <v>72</v>
      </c>
      <c r="E118" s="20" t="n">
        <v>4</v>
      </c>
      <c r="F118" s="20" t="n">
        <v>20</v>
      </c>
      <c r="G118" s="20" t="n">
        <v>60</v>
      </c>
      <c r="H118" s="20" t="n">
        <v>56</v>
      </c>
      <c r="I118" s="20" t="n">
        <v>-6</v>
      </c>
      <c r="J118" s="20" t="n">
        <v>30</v>
      </c>
      <c r="K118" s="20" t="n">
        <v>58</v>
      </c>
      <c r="L118" s="20" t="n">
        <v>35</v>
      </c>
      <c r="M118" s="20" t="n">
        <v>26</v>
      </c>
      <c r="N118" s="20" t="n">
        <v>36</v>
      </c>
      <c r="T118" s="20" t="n">
        <v>12</v>
      </c>
      <c r="U118" s="20" t="n">
        <v>-8</v>
      </c>
      <c r="V118" s="20" t="n">
        <v>4</v>
      </c>
      <c r="W118" s="20" t="n">
        <v>-6</v>
      </c>
      <c r="X118" s="20" t="n">
        <v>26</v>
      </c>
    </row>
    <row r="119">
      <c r="A119" s="18" t="inlineStr">
        <is>
          <t>영업외수익 합계</t>
        </is>
      </c>
      <c r="C119" s="20" t="n">
        <v>180</v>
      </c>
      <c r="D119" s="20" t="n">
        <v>118</v>
      </c>
      <c r="E119" s="20" t="n">
        <v>109</v>
      </c>
      <c r="F119" s="20" t="n">
        <v>235</v>
      </c>
      <c r="G119" s="20" t="n">
        <v>66</v>
      </c>
      <c r="H119" s="20" t="n">
        <v>53</v>
      </c>
      <c r="I119" s="20" t="n">
        <v>428</v>
      </c>
      <c r="J119" s="20" t="n">
        <v>65</v>
      </c>
      <c r="K119" s="20" t="n">
        <v>161</v>
      </c>
      <c r="L119" s="20" t="n">
        <v>54</v>
      </c>
      <c r="M119" s="20" t="n">
        <v>395</v>
      </c>
      <c r="N119" s="20" t="n">
        <v>261</v>
      </c>
      <c r="T119" s="20" t="n">
        <v>141</v>
      </c>
      <c r="U119" s="20" t="n">
        <v>33</v>
      </c>
      <c r="V119" s="20" t="n">
        <v>109</v>
      </c>
      <c r="W119" s="20" t="n">
        <v>428</v>
      </c>
      <c r="X119" s="20" t="n">
        <v>395</v>
      </c>
    </row>
    <row r="120">
      <c r="A120" s="18" t="inlineStr">
        <is>
          <t>이자비용</t>
        </is>
      </c>
      <c r="C120" s="20" t="n">
        <v>70</v>
      </c>
      <c r="D120" s="20" t="n">
        <v>70</v>
      </c>
      <c r="E120" s="20" t="n">
        <v>65</v>
      </c>
      <c r="F120" s="20" t="n">
        <v>61</v>
      </c>
      <c r="G120" s="20" t="n">
        <v>60</v>
      </c>
      <c r="H120" s="20" t="n">
        <v>54</v>
      </c>
      <c r="I120" s="20" t="n">
        <v>48</v>
      </c>
      <c r="J120" s="20" t="n">
        <v>62</v>
      </c>
      <c r="K120" s="20" t="n">
        <v>63</v>
      </c>
      <c r="L120" s="20" t="n">
        <v>61</v>
      </c>
      <c r="M120" s="20" t="n">
        <v>57</v>
      </c>
      <c r="N120" s="20" t="n">
        <v>73</v>
      </c>
      <c r="T120" s="20" t="n">
        <v>48</v>
      </c>
      <c r="U120" s="20" t="n">
        <v>55</v>
      </c>
      <c r="V120" s="20" t="n">
        <v>65</v>
      </c>
      <c r="W120" s="20" t="n">
        <v>48</v>
      </c>
      <c r="X120" s="20" t="n">
        <v>57</v>
      </c>
    </row>
    <row r="121">
      <c r="A121" s="18" t="inlineStr">
        <is>
          <t>사채이자</t>
        </is>
      </c>
      <c r="C121" s="20" t="n">
        <v>9</v>
      </c>
      <c r="D121" s="20" t="n">
        <v>10</v>
      </c>
      <c r="E121" s="20" t="n">
        <v>9</v>
      </c>
      <c r="F121" s="20" t="n">
        <v>9</v>
      </c>
      <c r="G121" s="20" t="n">
        <v>9</v>
      </c>
      <c r="H121" s="20" t="n">
        <v>10</v>
      </c>
      <c r="I121" s="20" t="n">
        <v>9</v>
      </c>
      <c r="J121" s="20" t="n">
        <v>9</v>
      </c>
      <c r="K121" s="20" t="n">
        <v>9</v>
      </c>
      <c r="L121" s="20" t="n">
        <v>10</v>
      </c>
      <c r="M121" s="20" t="n">
        <v>9</v>
      </c>
      <c r="N121" s="20" t="n">
        <v>9</v>
      </c>
      <c r="T121" s="20" t="n">
        <v>9</v>
      </c>
      <c r="U121" s="20" t="n">
        <v>9</v>
      </c>
      <c r="V121" s="20" t="n">
        <v>9</v>
      </c>
      <c r="W121" s="20" t="n">
        <v>9</v>
      </c>
      <c r="X121" s="20" t="n">
        <v>9</v>
      </c>
    </row>
    <row r="122">
      <c r="A122" s="18" t="inlineStr">
        <is>
          <t>Kyushisetsubikanrenhiyou NOE</t>
        </is>
      </c>
      <c r="T122" s="20" t="n">
        <v>32</v>
      </c>
      <c r="U122" s="20" t="n">
        <v>0</v>
      </c>
    </row>
    <row r="123">
      <c r="A123" s="18" t="inlineStr">
        <is>
          <t>지분법손실</t>
        </is>
      </c>
      <c r="E123" s="20" t="n">
        <v>2</v>
      </c>
      <c r="F123" s="20" t="n">
        <v>0</v>
      </c>
      <c r="I123" s="20" t="n">
        <v>0</v>
      </c>
      <c r="U123" s="20" t="n">
        <v>0</v>
      </c>
      <c r="V123" s="20" t="n">
        <v>2</v>
      </c>
      <c r="W123" s="20" t="n">
        <v>0</v>
      </c>
    </row>
    <row r="124">
      <c r="A124" s="18" t="inlineStr">
        <is>
          <t>외환차손</t>
        </is>
      </c>
      <c r="H124" s="20" t="n">
        <v>0</v>
      </c>
      <c r="L124" s="20" t="n">
        <v>-176</v>
      </c>
    </row>
    <row r="125">
      <c r="A125" s="18" t="inlineStr">
        <is>
          <t>Loss On Disposal Of Inventories NOE</t>
        </is>
      </c>
      <c r="J125" s="20" t="n">
        <v>0</v>
      </c>
      <c r="N125" s="20" t="n">
        <v>35</v>
      </c>
    </row>
    <row r="126">
      <c r="A126" s="18" t="inlineStr">
        <is>
          <t>기타</t>
        </is>
      </c>
      <c r="C126" s="20" t="n">
        <v>47</v>
      </c>
      <c r="D126" s="20" t="n">
        <v>80</v>
      </c>
      <c r="E126" s="20" t="n">
        <v>76</v>
      </c>
      <c r="F126" s="20" t="n">
        <v>28</v>
      </c>
      <c r="G126" s="20" t="n">
        <v>28</v>
      </c>
      <c r="H126" s="20" t="n">
        <v>39</v>
      </c>
      <c r="I126" s="20" t="n">
        <v>40</v>
      </c>
      <c r="J126" s="20" t="n">
        <v>27</v>
      </c>
      <c r="K126" s="20" t="n">
        <v>35</v>
      </c>
      <c r="L126" s="20" t="n">
        <v>29</v>
      </c>
      <c r="M126" s="20" t="n">
        <v>39</v>
      </c>
      <c r="N126" s="20" t="n">
        <v>31</v>
      </c>
      <c r="T126" s="20" t="n">
        <v>52</v>
      </c>
      <c r="U126" s="20" t="n">
        <v>45</v>
      </c>
      <c r="V126" s="20" t="n">
        <v>76</v>
      </c>
      <c r="W126" s="20" t="n">
        <v>40</v>
      </c>
      <c r="X126" s="20" t="n">
        <v>39</v>
      </c>
    </row>
    <row r="127">
      <c r="A127" s="18" t="inlineStr">
        <is>
          <t>영업외비용 합계</t>
        </is>
      </c>
      <c r="C127" s="20" t="n">
        <v>124</v>
      </c>
      <c r="D127" s="20" t="n">
        <v>161</v>
      </c>
      <c r="E127" s="20" t="n">
        <v>153</v>
      </c>
      <c r="F127" s="20" t="n">
        <v>99</v>
      </c>
      <c r="G127" s="20" t="n">
        <v>97</v>
      </c>
      <c r="H127" s="20" t="n">
        <v>103</v>
      </c>
      <c r="I127" s="20" t="n">
        <v>97</v>
      </c>
      <c r="J127" s="20" t="n">
        <v>99</v>
      </c>
      <c r="K127" s="20" t="n">
        <v>392</v>
      </c>
      <c r="L127" s="20" t="n">
        <v>-77</v>
      </c>
      <c r="M127" s="20" t="n">
        <v>-4</v>
      </c>
      <c r="N127" s="20" t="n">
        <v>150</v>
      </c>
      <c r="T127" s="20" t="n">
        <v>140</v>
      </c>
      <c r="U127" s="20" t="n">
        <v>109</v>
      </c>
      <c r="V127" s="20" t="n">
        <v>153</v>
      </c>
      <c r="W127" s="20" t="n">
        <v>97</v>
      </c>
      <c r="X127" s="20" t="n">
        <v>-4</v>
      </c>
    </row>
    <row r="128">
      <c r="A128" s="9" t="inlineStr">
        <is>
          <t>경상이익</t>
        </is>
      </c>
      <c r="C128" s="12" t="n">
        <v>178</v>
      </c>
      <c r="D128" s="12" t="n">
        <v>935</v>
      </c>
      <c r="E128" s="12" t="n">
        <v>1504</v>
      </c>
      <c r="F128" s="12" t="n">
        <v>1194</v>
      </c>
      <c r="G128" s="12" t="n">
        <v>1385</v>
      </c>
      <c r="H128" s="12" t="n">
        <v>1278</v>
      </c>
      <c r="I128" s="12" t="n">
        <v>1880</v>
      </c>
      <c r="J128" s="12" t="n">
        <v>1689</v>
      </c>
      <c r="K128" s="12" t="n">
        <v>1914</v>
      </c>
      <c r="L128" s="12" t="n">
        <v>3322</v>
      </c>
      <c r="M128" s="12" t="n">
        <v>3447</v>
      </c>
      <c r="N128" s="12" t="n">
        <v>5228</v>
      </c>
      <c r="T128" s="12" t="n">
        <v>902</v>
      </c>
      <c r="U128" s="12" t="n">
        <v>121</v>
      </c>
      <c r="V128" s="12" t="n">
        <v>1504</v>
      </c>
      <c r="W128" s="12" t="n">
        <v>1880</v>
      </c>
      <c r="X128" s="12" t="n">
        <v>3447</v>
      </c>
    </row>
    <row r="129">
      <c r="A129" s="18" t="inlineStr">
        <is>
          <t>투자유가증권 매각이익</t>
        </is>
      </c>
      <c r="E129" s="20" t="n">
        <v>0</v>
      </c>
      <c r="I129" s="20" t="n">
        <v>0</v>
      </c>
      <c r="U129" s="20" t="n">
        <v>50</v>
      </c>
      <c r="V129" s="20" t="n">
        <v>0</v>
      </c>
      <c r="W129" s="20" t="n">
        <v>0</v>
      </c>
    </row>
    <row r="130">
      <c r="A130" s="18" t="inlineStr">
        <is>
          <t>Waste Disposal Cost Return EI</t>
        </is>
      </c>
      <c r="T130" s="20" t="n">
        <v>55</v>
      </c>
      <c r="U130" s="20" t="n">
        <v>0</v>
      </c>
    </row>
    <row r="131">
      <c r="A131" s="18" t="inlineStr">
        <is>
          <t>특별이익 합계</t>
        </is>
      </c>
      <c r="E131" s="20" t="n">
        <v>0</v>
      </c>
      <c r="I131" s="20" t="n">
        <v>0</v>
      </c>
      <c r="T131" s="20" t="n">
        <v>55</v>
      </c>
      <c r="U131" s="20" t="n">
        <v>50</v>
      </c>
      <c r="V131" s="20" t="n">
        <v>0</v>
      </c>
      <c r="W131" s="20" t="n">
        <v>0</v>
      </c>
    </row>
    <row r="132">
      <c r="A132" s="18" t="inlineStr">
        <is>
          <t>손상차손</t>
        </is>
      </c>
      <c r="D132" s="20" t="n">
        <v>0</v>
      </c>
      <c r="E132" s="20" t="n">
        <v>66</v>
      </c>
      <c r="T132" s="20" t="n">
        <v>0</v>
      </c>
      <c r="U132" s="20" t="n">
        <v>0</v>
      </c>
      <c r="V132" s="20" t="n">
        <v>66</v>
      </c>
    </row>
    <row r="133">
      <c r="A133" s="18" t="inlineStr">
        <is>
          <t>고정자산 처분손실</t>
        </is>
      </c>
      <c r="C133" s="20" t="n">
        <v>21</v>
      </c>
      <c r="D133" s="20" t="n">
        <v>16</v>
      </c>
      <c r="E133" s="20" t="n">
        <v>2</v>
      </c>
      <c r="F133" s="20" t="n">
        <v>10</v>
      </c>
      <c r="G133" s="20" t="n">
        <v>17</v>
      </c>
      <c r="H133" s="20" t="n">
        <v>15</v>
      </c>
      <c r="I133" s="20" t="n">
        <v>135</v>
      </c>
      <c r="J133" s="20" t="n">
        <v>53</v>
      </c>
      <c r="K133" s="20" t="n">
        <v>19</v>
      </c>
      <c r="L133" s="20" t="n">
        <v>47</v>
      </c>
      <c r="M133" s="20" t="n">
        <v>74</v>
      </c>
      <c r="N133" s="20" t="n">
        <v>58</v>
      </c>
      <c r="T133" s="20" t="n">
        <v>9</v>
      </c>
      <c r="U133" s="20" t="n">
        <v>32</v>
      </c>
      <c r="V133" s="20" t="n">
        <v>2</v>
      </c>
      <c r="W133" s="20" t="n">
        <v>135</v>
      </c>
      <c r="X133" s="20" t="n">
        <v>74</v>
      </c>
    </row>
    <row r="134">
      <c r="A134" s="18" t="inlineStr">
        <is>
          <t>투자유가증권 평가손실</t>
        </is>
      </c>
      <c r="T134" s="20" t="n">
        <v>1</v>
      </c>
      <c r="U134" s="20" t="n">
        <v>0</v>
      </c>
    </row>
    <row r="135">
      <c r="A135" s="18" t="inlineStr">
        <is>
          <t>영업권 상각</t>
        </is>
      </c>
      <c r="D135" s="20" t="n">
        <v>0</v>
      </c>
      <c r="E135" s="20" t="n">
        <v>0</v>
      </c>
      <c r="T135" s="20" t="n">
        <v>0</v>
      </c>
      <c r="U135" s="20" t="n">
        <v>0</v>
      </c>
      <c r="V135" s="20" t="n">
        <v>0</v>
      </c>
    </row>
    <row r="136">
      <c r="A136" s="18" t="inlineStr">
        <is>
          <t>특별손실 합계</t>
        </is>
      </c>
      <c r="C136" s="20" t="n">
        <v>21</v>
      </c>
      <c r="D136" s="20" t="n">
        <v>16</v>
      </c>
      <c r="E136" s="20" t="n">
        <v>69</v>
      </c>
      <c r="F136" s="20" t="n">
        <v>10</v>
      </c>
      <c r="G136" s="20" t="n">
        <v>17</v>
      </c>
      <c r="H136" s="20" t="n">
        <v>15</v>
      </c>
      <c r="I136" s="20" t="n">
        <v>500</v>
      </c>
      <c r="J136" s="20" t="n">
        <v>53</v>
      </c>
      <c r="K136" s="20" t="n">
        <v>19</v>
      </c>
      <c r="L136" s="20" t="n">
        <v>47</v>
      </c>
      <c r="M136" s="20" t="n">
        <v>361</v>
      </c>
      <c r="N136" s="20" t="n">
        <v>58</v>
      </c>
      <c r="T136" s="20" t="n">
        <v>9</v>
      </c>
      <c r="U136" s="20" t="n">
        <v>33</v>
      </c>
      <c r="V136" s="20" t="n">
        <v>69</v>
      </c>
      <c r="W136" s="20" t="n">
        <v>500</v>
      </c>
      <c r="X136" s="20" t="n">
        <v>361</v>
      </c>
    </row>
    <row r="137">
      <c r="A137" s="9" t="inlineStr">
        <is>
          <t>법인세차감전 순이익</t>
        </is>
      </c>
      <c r="C137" s="12" t="n">
        <v>158</v>
      </c>
      <c r="D137" s="12" t="n">
        <v>1327</v>
      </c>
      <c r="E137" s="12" t="n">
        <v>1435</v>
      </c>
      <c r="F137" s="12" t="n">
        <v>1184</v>
      </c>
      <c r="G137" s="12" t="n">
        <v>1367</v>
      </c>
      <c r="H137" s="12" t="n">
        <v>1263</v>
      </c>
      <c r="I137" s="12" t="n">
        <v>1380</v>
      </c>
      <c r="J137" s="12" t="n">
        <v>1635</v>
      </c>
      <c r="K137" s="12" t="n">
        <v>1895</v>
      </c>
      <c r="L137" s="12" t="n">
        <v>3276</v>
      </c>
      <c r="M137" s="12" t="n">
        <v>3086</v>
      </c>
      <c r="N137" s="12" t="n">
        <v>5169</v>
      </c>
      <c r="T137" s="12" t="n">
        <v>948</v>
      </c>
      <c r="U137" s="12" t="n">
        <v>140</v>
      </c>
      <c r="V137" s="12" t="n">
        <v>1435</v>
      </c>
      <c r="W137" s="12" t="n">
        <v>1380</v>
      </c>
      <c r="X137" s="12" t="n">
        <v>3086</v>
      </c>
    </row>
    <row r="138">
      <c r="A138" s="18" t="inlineStr">
        <is>
          <t>법인세·주민세·사업세</t>
        </is>
      </c>
      <c r="C138" s="20" t="n">
        <v>87</v>
      </c>
      <c r="D138" s="20" t="n">
        <v>102</v>
      </c>
      <c r="E138" s="20" t="n">
        <v>233</v>
      </c>
      <c r="F138" s="20" t="n">
        <v>199</v>
      </c>
      <c r="G138" s="20" t="n">
        <v>245</v>
      </c>
      <c r="H138" s="20" t="n">
        <v>227</v>
      </c>
      <c r="I138" s="20" t="n">
        <v>440</v>
      </c>
      <c r="J138" s="20" t="n">
        <v>376</v>
      </c>
      <c r="K138" s="20" t="n">
        <v>710</v>
      </c>
      <c r="L138" s="20" t="n">
        <v>860</v>
      </c>
      <c r="M138" s="20" t="n">
        <v>922</v>
      </c>
      <c r="N138" s="20" t="n">
        <v>746</v>
      </c>
      <c r="T138" s="20" t="n">
        <v>328</v>
      </c>
      <c r="U138" s="20" t="n">
        <v>137</v>
      </c>
      <c r="V138" s="20" t="n">
        <v>233</v>
      </c>
      <c r="W138" s="20" t="n">
        <v>440</v>
      </c>
      <c r="X138" s="20" t="n">
        <v>922</v>
      </c>
    </row>
    <row r="139">
      <c r="A139" s="18" t="inlineStr">
        <is>
          <t>법인세 조정액</t>
        </is>
      </c>
      <c r="C139" s="20" t="n">
        <v>-17</v>
      </c>
      <c r="D139" s="20" t="n">
        <v>277</v>
      </c>
      <c r="E139" s="20" t="n">
        <v>172</v>
      </c>
      <c r="F139" s="20" t="n">
        <v>118</v>
      </c>
      <c r="G139" s="20" t="n">
        <v>116</v>
      </c>
      <c r="H139" s="20" t="n">
        <v>98</v>
      </c>
      <c r="I139" s="20" t="n">
        <v>-71</v>
      </c>
      <c r="J139" s="20" t="n">
        <v>38</v>
      </c>
      <c r="K139" s="20" t="n">
        <v>-147</v>
      </c>
      <c r="L139" s="20" t="n">
        <v>4</v>
      </c>
      <c r="M139" s="20" t="n">
        <v>-170</v>
      </c>
      <c r="N139" s="20" t="n">
        <v>690</v>
      </c>
      <c r="T139" s="20" t="n">
        <v>-106</v>
      </c>
      <c r="U139" s="20" t="n">
        <v>-2</v>
      </c>
      <c r="V139" s="20" t="n">
        <v>172</v>
      </c>
      <c r="W139" s="20" t="n">
        <v>-71</v>
      </c>
      <c r="X139" s="20" t="n">
        <v>-170</v>
      </c>
    </row>
    <row r="140">
      <c r="A140" s="18" t="inlineStr">
        <is>
          <t>법인세 등 합계</t>
        </is>
      </c>
      <c r="C140" s="20" t="n">
        <v>70</v>
      </c>
      <c r="D140" s="20" t="n">
        <v>379</v>
      </c>
      <c r="E140" s="20" t="n">
        <v>406</v>
      </c>
      <c r="F140" s="20" t="n">
        <v>318</v>
      </c>
      <c r="G140" s="20" t="n">
        <v>361</v>
      </c>
      <c r="H140" s="20" t="n">
        <v>324</v>
      </c>
      <c r="I140" s="20" t="n">
        <v>370</v>
      </c>
      <c r="J140" s="20" t="n">
        <v>414</v>
      </c>
      <c r="K140" s="20" t="n">
        <v>563</v>
      </c>
      <c r="L140" s="20" t="n">
        <v>864</v>
      </c>
      <c r="M140" s="20" t="n">
        <v>751</v>
      </c>
      <c r="N140" s="20" t="n">
        <v>1436</v>
      </c>
      <c r="T140" s="20" t="n">
        <v>221</v>
      </c>
      <c r="U140" s="20" t="n">
        <v>135</v>
      </c>
      <c r="V140" s="20" t="n">
        <v>406</v>
      </c>
      <c r="W140" s="20" t="n">
        <v>370</v>
      </c>
      <c r="X140" s="20" t="n">
        <v>751</v>
      </c>
    </row>
    <row r="141">
      <c r="A141" s="9" t="inlineStr">
        <is>
          <t>순이익</t>
        </is>
      </c>
      <c r="C141" s="12" t="n">
        <v>88</v>
      </c>
      <c r="D141" s="12" t="n">
        <v>947</v>
      </c>
      <c r="E141" s="12" t="n">
        <v>1029</v>
      </c>
      <c r="F141" s="12" t="n">
        <v>865</v>
      </c>
      <c r="G141" s="12" t="n">
        <v>1007</v>
      </c>
      <c r="H141" s="12" t="n">
        <v>939</v>
      </c>
      <c r="I141" s="12" t="n">
        <v>1009</v>
      </c>
      <c r="J141" s="12" t="n">
        <v>1220</v>
      </c>
      <c r="K141" s="12" t="n">
        <v>1333</v>
      </c>
      <c r="L141" s="12" t="n">
        <v>2412</v>
      </c>
      <c r="M141" s="12" t="n">
        <v>2334</v>
      </c>
      <c r="N141" s="12" t="n">
        <v>3733</v>
      </c>
      <c r="T141" s="12" t="n">
        <v>727</v>
      </c>
      <c r="U141" s="12" t="n">
        <v>6</v>
      </c>
      <c r="V141" s="12" t="n">
        <v>1029</v>
      </c>
      <c r="W141" s="12" t="n">
        <v>1009</v>
      </c>
      <c r="X141" s="12" t="n">
        <v>2334</v>
      </c>
    </row>
    <row r="142">
      <c r="A142" s="9" t="inlineStr">
        <is>
          <t>비지배주주 순이익</t>
        </is>
      </c>
      <c r="C142" s="12" t="n">
        <v>88</v>
      </c>
      <c r="D142" s="12" t="n">
        <v>170</v>
      </c>
      <c r="E142" s="12" t="n">
        <v>155</v>
      </c>
      <c r="F142" s="12" t="n">
        <v>256</v>
      </c>
      <c r="G142" s="12" t="n">
        <v>360</v>
      </c>
      <c r="H142" s="12" t="n">
        <v>228</v>
      </c>
      <c r="I142" s="12" t="n">
        <v>391</v>
      </c>
      <c r="J142" s="12" t="n">
        <v>236</v>
      </c>
      <c r="K142" s="12" t="n">
        <v>134</v>
      </c>
      <c r="L142" s="12" t="n">
        <v>362</v>
      </c>
      <c r="M142" s="12" t="n">
        <v>398</v>
      </c>
      <c r="N142" s="12" t="n">
        <v>616</v>
      </c>
      <c r="T142" s="12" t="n">
        <v>94</v>
      </c>
      <c r="U142" s="12" t="n">
        <v>17</v>
      </c>
      <c r="V142" s="12" t="n">
        <v>155</v>
      </c>
      <c r="W142" s="12" t="n">
        <v>391</v>
      </c>
      <c r="X142" s="12" t="n">
        <v>398</v>
      </c>
    </row>
    <row r="143">
      <c r="A143" s="9" t="inlineStr">
        <is>
          <t>지배주주 순이익</t>
        </is>
      </c>
      <c r="C143" s="12" t="n">
        <v>-1</v>
      </c>
      <c r="D143" s="12" t="n">
        <v>777</v>
      </c>
      <c r="E143" s="12" t="n">
        <v>875</v>
      </c>
      <c r="F143" s="12" t="n">
        <v>608</v>
      </c>
      <c r="G143" s="12" t="n">
        <v>648</v>
      </c>
      <c r="H143" s="12" t="n">
        <v>711</v>
      </c>
      <c r="I143" s="12" t="n">
        <v>618</v>
      </c>
      <c r="J143" s="12" t="n">
        <v>984</v>
      </c>
      <c r="K143" s="12" t="n">
        <v>1198</v>
      </c>
      <c r="L143" s="12" t="n">
        <v>2050</v>
      </c>
      <c r="M143" s="12" t="n">
        <v>1937</v>
      </c>
      <c r="N143" s="12" t="n">
        <v>3116</v>
      </c>
      <c r="T143" s="12" t="n">
        <v>632</v>
      </c>
      <c r="U143" s="12" t="n">
        <v>-12</v>
      </c>
      <c r="V143" s="12" t="n">
        <v>875</v>
      </c>
      <c r="W143" s="12" t="n">
        <v>618</v>
      </c>
      <c r="X143" s="12" t="n">
        <v>1937</v>
      </c>
    </row>
    <row r="145">
      <c r="A145" s="16" t="inlineStr">
        <is>
          <t>포괄손익 · 전 항목</t>
        </is>
      </c>
      <c r="B145" s="42" t="inlineStr">
        <is>
          <t>분기 = 3개월 단독</t>
        </is>
      </c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</row>
    <row r="146">
      <c r="A146" s="5" t="inlineStr">
        <is>
          <t>항목</t>
        </is>
      </c>
      <c r="B146" s="5" t="inlineStr">
        <is>
          <t>참고</t>
        </is>
      </c>
      <c r="C146" s="5" t="inlineStr">
        <is>
          <t>2024.2Q</t>
        </is>
      </c>
      <c r="D146" s="5" t="inlineStr">
        <is>
          <t>2024.3Q</t>
        </is>
      </c>
      <c r="E146" s="5" t="inlineStr">
        <is>
          <t>2024.4Q</t>
        </is>
      </c>
      <c r="F146" s="5" t="inlineStr">
        <is>
          <t>2025.1Q</t>
        </is>
      </c>
      <c r="G146" s="5" t="inlineStr">
        <is>
          <t>2025.2Q</t>
        </is>
      </c>
      <c r="H146" s="5" t="inlineStr">
        <is>
          <t>2025.3Q</t>
        </is>
      </c>
      <c r="I146" s="5" t="inlineStr">
        <is>
          <t>2025.4Q</t>
        </is>
      </c>
      <c r="J146" s="5" t="inlineStr">
        <is>
          <t>2026.1Q</t>
        </is>
      </c>
      <c r="K146" s="5" t="inlineStr">
        <is>
          <t>2026.2Q</t>
        </is>
      </c>
      <c r="L146" s="5" t="inlineStr">
        <is>
          <t>2026.3Q</t>
        </is>
      </c>
      <c r="M146" s="5" t="inlineStr">
        <is>
          <t>2026.4Q</t>
        </is>
      </c>
      <c r="N146" s="5" t="inlineStr">
        <is>
          <t>2027.1Q</t>
        </is>
      </c>
      <c r="O146" s="5" t="inlineStr">
        <is>
          <t>2017</t>
        </is>
      </c>
      <c r="P146" s="5" t="inlineStr">
        <is>
          <t>2018</t>
        </is>
      </c>
      <c r="Q146" s="5" t="inlineStr">
        <is>
          <t>2019</t>
        </is>
      </c>
      <c r="R146" s="5" t="inlineStr">
        <is>
          <t>2020</t>
        </is>
      </c>
      <c r="S146" s="5" t="inlineStr">
        <is>
          <t>2021</t>
        </is>
      </c>
      <c r="T146" s="5" t="inlineStr">
        <is>
          <t>2022</t>
        </is>
      </c>
      <c r="U146" s="5" t="inlineStr">
        <is>
          <t>2023</t>
        </is>
      </c>
      <c r="V146" s="5" t="inlineStr">
        <is>
          <t>2024</t>
        </is>
      </c>
      <c r="W146" s="5" t="inlineStr">
        <is>
          <t>2025</t>
        </is>
      </c>
      <c r="X146" s="5" t="inlineStr">
        <is>
          <t>2026</t>
        </is>
      </c>
      <c r="Y146" s="5" t="inlineStr">
        <is>
          <t>2027(MW)</t>
        </is>
      </c>
      <c r="Z146" s="5" t="inlineStr">
        <is>
          <t>2028(MW)</t>
        </is>
      </c>
      <c r="AA146" s="5" t="inlineStr">
        <is>
          <t>2029(MW)</t>
        </is>
      </c>
      <c r="AB146" s="5" t="inlineStr">
        <is>
          <t>2030(MW)</t>
        </is>
      </c>
      <c r="AC146" s="5" t="inlineStr">
        <is>
          <t>2031(MW)</t>
        </is>
      </c>
    </row>
    <row r="147">
      <c r="A147" s="9" t="inlineStr">
        <is>
          <t>순이익</t>
        </is>
      </c>
      <c r="C147" s="12" t="n">
        <v>88</v>
      </c>
      <c r="D147" s="12" t="n">
        <v>947</v>
      </c>
      <c r="E147" s="12" t="n">
        <v>1029</v>
      </c>
      <c r="F147" s="12" t="n">
        <v>865</v>
      </c>
      <c r="G147" s="12" t="n">
        <v>1007</v>
      </c>
      <c r="H147" s="12" t="n">
        <v>939</v>
      </c>
      <c r="I147" s="12" t="n">
        <v>1009</v>
      </c>
      <c r="J147" s="12" t="n">
        <v>1220</v>
      </c>
      <c r="K147" s="12" t="n">
        <v>1333</v>
      </c>
      <c r="L147" s="12" t="n">
        <v>2412</v>
      </c>
      <c r="M147" s="12" t="n">
        <v>2334</v>
      </c>
      <c r="N147" s="12" t="n">
        <v>3733</v>
      </c>
      <c r="T147" s="12" t="n">
        <v>727</v>
      </c>
      <c r="U147" s="12" t="n">
        <v>6</v>
      </c>
      <c r="V147" s="12" t="n">
        <v>1029</v>
      </c>
      <c r="W147" s="12" t="n">
        <v>1009</v>
      </c>
      <c r="X147" s="12" t="n">
        <v>2334</v>
      </c>
    </row>
    <row r="148">
      <c r="A148" s="18" t="inlineStr">
        <is>
          <t>기타유가증권 평가차액</t>
        </is>
      </c>
      <c r="C148" s="20" t="n">
        <v>298</v>
      </c>
      <c r="D148" s="20" t="n">
        <v>-25</v>
      </c>
      <c r="E148" s="20" t="n">
        <v>598</v>
      </c>
      <c r="F148" s="20" t="n">
        <v>310</v>
      </c>
      <c r="G148" s="20" t="n">
        <v>-522</v>
      </c>
      <c r="H148" s="20" t="n">
        <v>280</v>
      </c>
      <c r="I148" s="20" t="n">
        <v>-131</v>
      </c>
      <c r="J148" s="20" t="n">
        <v>246</v>
      </c>
      <c r="K148" s="20" t="n">
        <v>711</v>
      </c>
      <c r="L148" s="20" t="n">
        <v>480</v>
      </c>
      <c r="M148" s="20" t="n">
        <v>727</v>
      </c>
      <c r="N148" s="20" t="n">
        <v>760</v>
      </c>
      <c r="T148" s="20" t="n">
        <v>-19</v>
      </c>
      <c r="U148" s="20" t="n">
        <v>69</v>
      </c>
      <c r="V148" s="20" t="n">
        <v>598</v>
      </c>
      <c r="W148" s="20" t="n">
        <v>-131</v>
      </c>
      <c r="X148" s="20" t="n">
        <v>727</v>
      </c>
    </row>
    <row r="149">
      <c r="A149" s="18" t="inlineStr">
        <is>
          <t>해외사업환산조정</t>
        </is>
      </c>
      <c r="C149" s="20" t="n">
        <v>533</v>
      </c>
      <c r="D149" s="20" t="n">
        <v>37</v>
      </c>
      <c r="E149" s="20" t="n">
        <v>-114</v>
      </c>
      <c r="F149" s="20" t="n">
        <v>306</v>
      </c>
      <c r="G149" s="20" t="n">
        <v>491</v>
      </c>
      <c r="H149" s="20" t="n">
        <v>-984</v>
      </c>
      <c r="I149" s="20" t="n">
        <v>735</v>
      </c>
      <c r="J149" s="20" t="n">
        <v>-751</v>
      </c>
      <c r="K149" s="20" t="n">
        <v>885</v>
      </c>
      <c r="L149" s="20" t="n">
        <v>-106</v>
      </c>
      <c r="M149" s="20" t="n">
        <v>381</v>
      </c>
      <c r="N149" s="20" t="n">
        <v>63</v>
      </c>
      <c r="T149" s="20" t="n">
        <v>246</v>
      </c>
      <c r="U149" s="20" t="n">
        <v>-466</v>
      </c>
      <c r="V149" s="20" t="n">
        <v>-114</v>
      </c>
      <c r="W149" s="20" t="n">
        <v>735</v>
      </c>
      <c r="X149" s="20" t="n">
        <v>381</v>
      </c>
    </row>
    <row r="150">
      <c r="A150" s="18" t="inlineStr">
        <is>
          <t>퇴직급여 조정액</t>
        </is>
      </c>
      <c r="C150" s="20" t="n">
        <v>-14</v>
      </c>
      <c r="D150" s="20" t="n">
        <v>-5</v>
      </c>
      <c r="E150" s="20" t="n">
        <v>295</v>
      </c>
      <c r="F150" s="20" t="n">
        <v>-10</v>
      </c>
      <c r="G150" s="20" t="n">
        <v>-10</v>
      </c>
      <c r="H150" s="20" t="n">
        <v>-11</v>
      </c>
      <c r="I150" s="20" t="n">
        <v>-3</v>
      </c>
      <c r="J150" s="20" t="n">
        <v>-12</v>
      </c>
      <c r="K150" s="20" t="n">
        <v>-10</v>
      </c>
      <c r="L150" s="20" t="n">
        <v>-14</v>
      </c>
      <c r="M150" s="20" t="n">
        <v>617</v>
      </c>
      <c r="N150" s="20" t="n">
        <v>-40</v>
      </c>
      <c r="T150" s="20" t="n">
        <v>21</v>
      </c>
      <c r="U150" s="20" t="n">
        <v>-196</v>
      </c>
      <c r="V150" s="20" t="n">
        <v>295</v>
      </c>
      <c r="W150" s="20" t="n">
        <v>-3</v>
      </c>
      <c r="X150" s="20" t="n">
        <v>617</v>
      </c>
    </row>
    <row r="151">
      <c r="A151" s="18" t="inlineStr">
        <is>
          <t>지분법 적용회사 지분 해당액</t>
        </is>
      </c>
      <c r="C151" s="20" t="n">
        <v>-37</v>
      </c>
      <c r="D151" s="20" t="n">
        <v>15</v>
      </c>
      <c r="E151" s="20" t="n">
        <v>-6</v>
      </c>
      <c r="F151" s="20" t="n">
        <v>9</v>
      </c>
      <c r="G151" s="20" t="n">
        <v>10</v>
      </c>
      <c r="H151" s="20" t="n">
        <v>-14</v>
      </c>
      <c r="I151" s="20" t="n">
        <v>-7</v>
      </c>
      <c r="J151" s="20" t="n">
        <v>-61</v>
      </c>
      <c r="K151" s="20" t="n">
        <v>-1</v>
      </c>
      <c r="L151" s="20" t="n">
        <v>1</v>
      </c>
      <c r="M151" s="20" t="n">
        <v>1</v>
      </c>
      <c r="N151" s="20" t="n">
        <v>0</v>
      </c>
      <c r="T151" s="20" t="n">
        <v>18</v>
      </c>
      <c r="U151" s="20" t="n">
        <v>-34</v>
      </c>
      <c r="V151" s="20" t="n">
        <v>-6</v>
      </c>
      <c r="W151" s="20" t="n">
        <v>-7</v>
      </c>
      <c r="X151" s="20" t="n">
        <v>1</v>
      </c>
    </row>
    <row r="152">
      <c r="A152" s="18" t="inlineStr">
        <is>
          <t>기타포괄손익 합계</t>
        </is>
      </c>
      <c r="C152" s="20" t="n">
        <v>779</v>
      </c>
      <c r="D152" s="20" t="n">
        <v>22</v>
      </c>
      <c r="E152" s="20" t="n">
        <v>774</v>
      </c>
      <c r="F152" s="20" t="n">
        <v>614</v>
      </c>
      <c r="G152" s="20" t="n">
        <v>-31</v>
      </c>
      <c r="H152" s="20" t="n">
        <v>-727</v>
      </c>
      <c r="I152" s="20" t="n">
        <v>591</v>
      </c>
      <c r="J152" s="20" t="n">
        <v>-579</v>
      </c>
      <c r="K152" s="20" t="n">
        <v>1586</v>
      </c>
      <c r="L152" s="20" t="n">
        <v>360</v>
      </c>
      <c r="M152" s="20" t="n">
        <v>1728</v>
      </c>
      <c r="N152" s="20" t="n">
        <v>783</v>
      </c>
      <c r="T152" s="20" t="n">
        <v>266</v>
      </c>
      <c r="U152" s="20" t="n">
        <v>-627</v>
      </c>
      <c r="V152" s="20" t="n">
        <v>774</v>
      </c>
      <c r="W152" s="20" t="n">
        <v>591</v>
      </c>
      <c r="X152" s="20" t="n">
        <v>1728</v>
      </c>
    </row>
    <row r="153">
      <c r="A153" s="9" t="inlineStr">
        <is>
          <t>포괄이익</t>
        </is>
      </c>
      <c r="C153" s="12" t="n">
        <v>867</v>
      </c>
      <c r="D153" s="12" t="n">
        <v>969</v>
      </c>
      <c r="E153" s="12" t="n">
        <v>1804</v>
      </c>
      <c r="F153" s="12" t="n">
        <v>1480</v>
      </c>
      <c r="G153" s="12" t="n">
        <v>976</v>
      </c>
      <c r="H153" s="12" t="n">
        <v>210</v>
      </c>
      <c r="I153" s="12" t="n">
        <v>1602</v>
      </c>
      <c r="J153" s="12" t="n">
        <v>641</v>
      </c>
      <c r="K153" s="12" t="n">
        <v>2920</v>
      </c>
      <c r="L153" s="12" t="n">
        <v>2771</v>
      </c>
      <c r="M153" s="12" t="n">
        <v>4063</v>
      </c>
      <c r="N153" s="12" t="n">
        <v>4517</v>
      </c>
      <c r="T153" s="12" t="n">
        <v>992</v>
      </c>
      <c r="U153" s="12" t="n">
        <v>-622</v>
      </c>
      <c r="V153" s="12" t="n">
        <v>1804</v>
      </c>
      <c r="W153" s="12" t="n">
        <v>1602</v>
      </c>
      <c r="X153" s="12" t="n">
        <v>4063</v>
      </c>
    </row>
    <row r="154">
      <c r="A154" s="9" t="inlineStr">
        <is>
          <t>지배주주 포괄이익</t>
        </is>
      </c>
      <c r="C154" s="12" t="n">
        <v>554</v>
      </c>
      <c r="D154" s="12" t="n">
        <v>796</v>
      </c>
      <c r="E154" s="12" t="n">
        <v>1685</v>
      </c>
      <c r="F154" s="12" t="n">
        <v>1111</v>
      </c>
      <c r="G154" s="12" t="n">
        <v>418</v>
      </c>
      <c r="H154" s="12" t="n">
        <v>396</v>
      </c>
      <c r="I154" s="12" t="n">
        <v>896</v>
      </c>
      <c r="J154" s="12" t="n">
        <v>743</v>
      </c>
      <c r="K154" s="12" t="n">
        <v>2338</v>
      </c>
      <c r="L154" s="12" t="n">
        <v>2495</v>
      </c>
      <c r="M154" s="12" t="n">
        <v>3568</v>
      </c>
      <c r="N154" s="12" t="n">
        <v>3906</v>
      </c>
      <c r="T154" s="12" t="n">
        <v>800</v>
      </c>
      <c r="U154" s="12" t="n">
        <v>-455</v>
      </c>
      <c r="V154" s="12" t="n">
        <v>1685</v>
      </c>
      <c r="W154" s="12" t="n">
        <v>896</v>
      </c>
      <c r="X154" s="12" t="n">
        <v>3568</v>
      </c>
    </row>
    <row r="155">
      <c r="A155" s="9" t="inlineStr">
        <is>
          <t>비지배주주 포괄이익</t>
        </is>
      </c>
      <c r="C155" s="12" t="n">
        <v>311</v>
      </c>
      <c r="D155" s="12" t="n">
        <v>173</v>
      </c>
      <c r="E155" s="12" t="n">
        <v>119</v>
      </c>
      <c r="F155" s="12" t="n">
        <v>368</v>
      </c>
      <c r="G155" s="12" t="n">
        <v>559</v>
      </c>
      <c r="H155" s="12" t="n">
        <v>-186</v>
      </c>
      <c r="I155" s="12" t="n">
        <v>705</v>
      </c>
      <c r="J155" s="12" t="n">
        <v>-101</v>
      </c>
      <c r="K155" s="12" t="n">
        <v>580</v>
      </c>
      <c r="L155" s="12" t="n">
        <v>277</v>
      </c>
      <c r="M155" s="12" t="n">
        <v>494</v>
      </c>
      <c r="N155" s="12" t="n">
        <v>610</v>
      </c>
      <c r="T155" s="12" t="n">
        <v>192</v>
      </c>
      <c r="U155" s="12" t="n">
        <v>-165</v>
      </c>
      <c r="V155" s="12" t="n">
        <v>119</v>
      </c>
      <c r="W155" s="12" t="n">
        <v>705</v>
      </c>
      <c r="X155" s="12" t="n">
        <v>494</v>
      </c>
    </row>
    <row r="157">
      <c r="A157" s="16" t="inlineStr">
        <is>
          <t>부문 · 전 항목</t>
        </is>
      </c>
      <c r="B157" s="42" t="inlineStr">
        <is>
          <t>부문 · 항목</t>
        </is>
      </c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</row>
    <row r="158">
      <c r="A158" s="5" t="inlineStr">
        <is>
          <t>항목</t>
        </is>
      </c>
      <c r="B158" s="5" t="inlineStr">
        <is>
          <t>참고</t>
        </is>
      </c>
      <c r="C158" s="5" t="inlineStr">
        <is>
          <t>2024.2Q</t>
        </is>
      </c>
      <c r="D158" s="5" t="inlineStr">
        <is>
          <t>2024.3Q</t>
        </is>
      </c>
      <c r="E158" s="5" t="inlineStr">
        <is>
          <t>2024.4Q</t>
        </is>
      </c>
      <c r="F158" s="5" t="inlineStr">
        <is>
          <t>2025.1Q</t>
        </is>
      </c>
      <c r="G158" s="5" t="inlineStr">
        <is>
          <t>2025.2Q</t>
        </is>
      </c>
      <c r="H158" s="5" t="inlineStr">
        <is>
          <t>2025.3Q</t>
        </is>
      </c>
      <c r="I158" s="5" t="inlineStr">
        <is>
          <t>2025.4Q</t>
        </is>
      </c>
      <c r="J158" s="5" t="inlineStr">
        <is>
          <t>2026.1Q</t>
        </is>
      </c>
      <c r="K158" s="5" t="inlineStr">
        <is>
          <t>2026.2Q</t>
        </is>
      </c>
      <c r="L158" s="5" t="inlineStr">
        <is>
          <t>2026.3Q</t>
        </is>
      </c>
      <c r="M158" s="5" t="inlineStr">
        <is>
          <t>2026.4Q</t>
        </is>
      </c>
      <c r="N158" s="5" t="inlineStr">
        <is>
          <t>2027.1Q</t>
        </is>
      </c>
      <c r="O158" s="5" t="inlineStr">
        <is>
          <t>2017</t>
        </is>
      </c>
      <c r="P158" s="5" t="inlineStr">
        <is>
          <t>2018</t>
        </is>
      </c>
      <c r="Q158" s="5" t="inlineStr">
        <is>
          <t>2019</t>
        </is>
      </c>
      <c r="R158" s="5" t="inlineStr">
        <is>
          <t>2020</t>
        </is>
      </c>
      <c r="S158" s="5" t="inlineStr">
        <is>
          <t>2021</t>
        </is>
      </c>
      <c r="T158" s="5" t="inlineStr">
        <is>
          <t>2022</t>
        </is>
      </c>
      <c r="U158" s="5" t="inlineStr">
        <is>
          <t>2023</t>
        </is>
      </c>
      <c r="V158" s="5" t="inlineStr">
        <is>
          <t>2024</t>
        </is>
      </c>
      <c r="W158" s="5" t="inlineStr">
        <is>
          <t>2025</t>
        </is>
      </c>
      <c r="X158" s="5" t="inlineStr">
        <is>
          <t>2026</t>
        </is>
      </c>
      <c r="Y158" s="5" t="inlineStr">
        <is>
          <t>2027(MW)</t>
        </is>
      </c>
      <c r="Z158" s="5" t="inlineStr">
        <is>
          <t>2028(MW)</t>
        </is>
      </c>
      <c r="AA158" s="5" t="inlineStr">
        <is>
          <t>2029(MW)</t>
        </is>
      </c>
      <c r="AB158" s="5" t="inlineStr">
        <is>
          <t>2030(MW)</t>
        </is>
      </c>
      <c r="AC158" s="5" t="inlineStr">
        <is>
          <t>2031(MW)</t>
        </is>
      </c>
    </row>
    <row r="159">
      <c r="A159" s="18" t="inlineStr">
        <is>
          <t>부문 · 외부 고객 매출</t>
        </is>
      </c>
      <c r="F159" s="20" t="n">
        <v>6239</v>
      </c>
      <c r="G159" s="20" t="n">
        <v>6387</v>
      </c>
      <c r="H159" s="20" t="n">
        <v>6136</v>
      </c>
      <c r="I159" s="20" t="n">
        <v>6288</v>
      </c>
      <c r="J159" s="20" t="n">
        <v>6937</v>
      </c>
      <c r="K159" s="20" t="n">
        <v>7039</v>
      </c>
      <c r="L159" s="20" t="n">
        <v>8190</v>
      </c>
      <c r="M159" s="20" t="n">
        <v>8341</v>
      </c>
      <c r="N159" s="20" t="n">
        <v>10840</v>
      </c>
      <c r="W159" s="20" t="n">
        <v>6288</v>
      </c>
      <c r="X159" s="20" t="n">
        <v>8341</v>
      </c>
    </row>
    <row r="160">
      <c r="A160" s="18" t="inlineStr">
        <is>
          <t>부문 · 외부 고객 매출</t>
        </is>
      </c>
      <c r="F160" s="20" t="n">
        <v>3976</v>
      </c>
      <c r="G160" s="20" t="n">
        <v>4308</v>
      </c>
      <c r="H160" s="20" t="n">
        <v>5049</v>
      </c>
      <c r="I160" s="20" t="n">
        <v>5380</v>
      </c>
      <c r="J160" s="20" t="n">
        <v>4627</v>
      </c>
      <c r="K160" s="20" t="n">
        <v>4704</v>
      </c>
      <c r="L160" s="20" t="n">
        <v>6708</v>
      </c>
      <c r="M160" s="20" t="n">
        <v>7265</v>
      </c>
      <c r="N160" s="20" t="n">
        <v>8416</v>
      </c>
      <c r="W160" s="20" t="n">
        <v>5380</v>
      </c>
      <c r="X160" s="20" t="n">
        <v>7265</v>
      </c>
    </row>
    <row r="161">
      <c r="A161" s="18" t="inlineStr">
        <is>
          <t>부문 · 외부 고객 매출</t>
        </is>
      </c>
      <c r="F161" s="20" t="n">
        <v>3387</v>
      </c>
      <c r="G161" s="20" t="n">
        <v>3354</v>
      </c>
      <c r="H161" s="20" t="n">
        <v>3710</v>
      </c>
      <c r="I161" s="20" t="n">
        <v>3296</v>
      </c>
      <c r="J161" s="20" t="n">
        <v>3512</v>
      </c>
      <c r="K161" s="20" t="n">
        <v>3384</v>
      </c>
      <c r="L161" s="20" t="n">
        <v>3668</v>
      </c>
      <c r="M161" s="20" t="n">
        <v>3328</v>
      </c>
      <c r="N161" s="20" t="n">
        <v>3809</v>
      </c>
      <c r="W161" s="20" t="n">
        <v>3296</v>
      </c>
      <c r="X161" s="20" t="n">
        <v>3328</v>
      </c>
    </row>
    <row r="162">
      <c r="A162" s="18" t="inlineStr">
        <is>
          <t>부문 · 외부 고객 매출</t>
        </is>
      </c>
      <c r="F162" s="20" t="n">
        <v>3927</v>
      </c>
      <c r="G162" s="20" t="n">
        <v>3852</v>
      </c>
      <c r="H162" s="20" t="n">
        <v>3944</v>
      </c>
      <c r="I162" s="20" t="n">
        <v>4020</v>
      </c>
      <c r="J162" s="20" t="n">
        <v>3969</v>
      </c>
      <c r="K162" s="20" t="n">
        <v>3437</v>
      </c>
      <c r="L162" s="20" t="n">
        <v>4032</v>
      </c>
      <c r="M162" s="20" t="n">
        <v>3744</v>
      </c>
      <c r="N162" s="20" t="n">
        <v>4435</v>
      </c>
      <c r="W162" s="20" t="n">
        <v>4020</v>
      </c>
      <c r="X162" s="20" t="n">
        <v>3744</v>
      </c>
    </row>
    <row r="163">
      <c r="A163" s="9" t="inlineStr">
        <is>
          <t>외부 고객 매출</t>
        </is>
      </c>
      <c r="C163" s="12" t="n">
        <v>15316</v>
      </c>
      <c r="D163" s="12" t="n">
        <v>16434</v>
      </c>
      <c r="E163" s="12" t="n">
        <v>17484</v>
      </c>
      <c r="F163" s="12" t="n">
        <v>17531</v>
      </c>
      <c r="G163" s="12" t="n">
        <v>17900</v>
      </c>
      <c r="H163" s="12" t="n">
        <v>18840</v>
      </c>
      <c r="I163" s="12" t="n">
        <v>18984</v>
      </c>
      <c r="J163" s="12" t="n">
        <v>19046</v>
      </c>
      <c r="K163" s="12" t="n">
        <v>18565</v>
      </c>
      <c r="L163" s="12" t="n">
        <v>22598</v>
      </c>
      <c r="M163" s="12" t="n">
        <v>22677</v>
      </c>
      <c r="N163" s="12" t="n">
        <v>27501</v>
      </c>
      <c r="V163" s="12" t="n">
        <v>17484</v>
      </c>
      <c r="W163" s="12" t="n">
        <v>18984</v>
      </c>
      <c r="X163" s="12" t="n">
        <v>22677</v>
      </c>
    </row>
    <row r="164">
      <c r="A164" s="18" t="inlineStr">
        <is>
          <t>부문 · 부문 간 내부매출·대체</t>
        </is>
      </c>
      <c r="C164" s="20" t="n">
        <v>0</v>
      </c>
      <c r="D164" s="20" t="n">
        <v>0</v>
      </c>
      <c r="E164" s="20" t="n">
        <v>0</v>
      </c>
      <c r="F164" s="20" t="n">
        <v>0</v>
      </c>
      <c r="G164" s="20" t="n">
        <v>0</v>
      </c>
      <c r="H164" s="20" t="n">
        <v>0</v>
      </c>
      <c r="I164" s="20" t="n">
        <v>0</v>
      </c>
      <c r="V164" s="20" t="n">
        <v>0</v>
      </c>
      <c r="W164" s="20" t="n">
        <v>0</v>
      </c>
    </row>
    <row r="165">
      <c r="A165" s="18" t="inlineStr">
        <is>
          <t>부문 · 부문 간 내부매출·대체</t>
        </is>
      </c>
      <c r="C165" s="20" t="n">
        <v>0</v>
      </c>
      <c r="D165" s="20" t="n">
        <v>0</v>
      </c>
      <c r="E165" s="20" t="n">
        <v>0</v>
      </c>
      <c r="F165" s="20" t="n">
        <v>0</v>
      </c>
      <c r="G165" s="20" t="n">
        <v>0</v>
      </c>
      <c r="H165" s="20" t="n">
        <v>0</v>
      </c>
      <c r="I165" s="20" t="n">
        <v>0</v>
      </c>
      <c r="V165" s="20" t="n">
        <v>0</v>
      </c>
      <c r="W165" s="20" t="n">
        <v>0</v>
      </c>
    </row>
    <row r="166">
      <c r="A166" s="18" t="inlineStr">
        <is>
          <t>부문 · 부문 간 내부매출·대체</t>
        </is>
      </c>
      <c r="C166" s="20" t="n">
        <v>0</v>
      </c>
      <c r="D166" s="20" t="n">
        <v>0</v>
      </c>
      <c r="E166" s="20" t="n">
        <v>0</v>
      </c>
      <c r="F166" s="20" t="n">
        <v>0</v>
      </c>
      <c r="G166" s="20" t="n">
        <v>0</v>
      </c>
      <c r="H166" s="20" t="n">
        <v>0</v>
      </c>
      <c r="I166" s="20" t="n">
        <v>0</v>
      </c>
      <c r="V166" s="20" t="n">
        <v>0</v>
      </c>
      <c r="W166" s="20" t="n">
        <v>0</v>
      </c>
    </row>
    <row r="167">
      <c r="A167" s="18" t="inlineStr">
        <is>
          <t>부문 · 부문 간 내부매출·대체</t>
        </is>
      </c>
      <c r="C167" s="20" t="n">
        <v>0</v>
      </c>
      <c r="D167" s="20" t="n">
        <v>0</v>
      </c>
      <c r="E167" s="20" t="n">
        <v>0</v>
      </c>
      <c r="F167" s="20" t="n">
        <v>0</v>
      </c>
      <c r="G167" s="20" t="n">
        <v>0</v>
      </c>
      <c r="H167" s="20" t="n">
        <v>0</v>
      </c>
      <c r="I167" s="20" t="n">
        <v>0</v>
      </c>
      <c r="V167" s="20" t="n">
        <v>0</v>
      </c>
      <c r="W167" s="20" t="n">
        <v>0</v>
      </c>
    </row>
    <row r="168">
      <c r="A168" s="18" t="inlineStr">
        <is>
          <t>부문 · 부문 간 내부매출·대체</t>
        </is>
      </c>
      <c r="C168" s="20" t="n">
        <v>0</v>
      </c>
      <c r="F168" s="20" t="n">
        <v>0</v>
      </c>
      <c r="G168" s="20" t="n">
        <v>0</v>
      </c>
    </row>
    <row r="169">
      <c r="A169" s="18" t="inlineStr">
        <is>
          <t>부문 · 부문 간 내부매출·대체</t>
        </is>
      </c>
      <c r="E169" s="20" t="n">
        <v>0</v>
      </c>
      <c r="I169" s="20" t="n">
        <v>0</v>
      </c>
      <c r="V169" s="20" t="n">
        <v>0</v>
      </c>
      <c r="W169" s="20" t="n">
        <v>0</v>
      </c>
    </row>
    <row r="170">
      <c r="A170" s="18" t="inlineStr">
        <is>
          <t>부문 · 부문 간 내부매출·대체</t>
        </is>
      </c>
      <c r="C170" s="20" t="n">
        <v>0</v>
      </c>
      <c r="D170" s="20" t="n">
        <v>0</v>
      </c>
      <c r="E170" s="20" t="n">
        <v>0</v>
      </c>
      <c r="F170" s="20" t="n">
        <v>0</v>
      </c>
      <c r="G170" s="20" t="n">
        <v>0</v>
      </c>
      <c r="H170" s="20" t="n">
        <v>0</v>
      </c>
      <c r="I170" s="20" t="n">
        <v>0</v>
      </c>
      <c r="V170" s="20" t="n">
        <v>0</v>
      </c>
      <c r="W170" s="20" t="n">
        <v>0</v>
      </c>
    </row>
    <row r="171">
      <c r="A171" s="18" t="inlineStr">
        <is>
          <t>부문 · 부문 간 내부매출·대체</t>
        </is>
      </c>
      <c r="F171" s="20" t="n">
        <v>0</v>
      </c>
      <c r="G171" s="20" t="n">
        <v>0</v>
      </c>
      <c r="H171" s="20" t="n">
        <v>0</v>
      </c>
      <c r="I171" s="20" t="n">
        <v>0</v>
      </c>
      <c r="J171" s="20" t="n">
        <v>0</v>
      </c>
      <c r="K171" s="20" t="n">
        <v>0</v>
      </c>
      <c r="L171" s="20" t="n">
        <v>0</v>
      </c>
      <c r="M171" s="20" t="n">
        <v>0</v>
      </c>
      <c r="N171" s="20" t="n">
        <v>0</v>
      </c>
      <c r="W171" s="20" t="n">
        <v>0</v>
      </c>
      <c r="X171" s="20" t="n">
        <v>0</v>
      </c>
    </row>
    <row r="172">
      <c r="A172" s="18" t="inlineStr">
        <is>
          <t>부문 · 부문 간 내부매출·대체</t>
        </is>
      </c>
      <c r="F172" s="20" t="n">
        <v>0</v>
      </c>
      <c r="G172" s="20" t="n">
        <v>0</v>
      </c>
      <c r="H172" s="20" t="n">
        <v>0</v>
      </c>
      <c r="I172" s="20" t="n">
        <v>0</v>
      </c>
      <c r="J172" s="20" t="n">
        <v>0</v>
      </c>
      <c r="K172" s="20" t="n">
        <v>0</v>
      </c>
      <c r="L172" s="20" t="n">
        <v>0</v>
      </c>
      <c r="M172" s="20" t="n">
        <v>0</v>
      </c>
      <c r="N172" s="20" t="n">
        <v>0</v>
      </c>
      <c r="W172" s="20" t="n">
        <v>0</v>
      </c>
      <c r="X172" s="20" t="n">
        <v>0</v>
      </c>
    </row>
    <row r="173">
      <c r="A173" s="18" t="inlineStr">
        <is>
          <t>부문 · 부문 간 내부매출·대체</t>
        </is>
      </c>
      <c r="F173" s="20" t="n">
        <v>0</v>
      </c>
      <c r="G173" s="20" t="n">
        <v>0</v>
      </c>
      <c r="H173" s="20" t="n">
        <v>0</v>
      </c>
      <c r="I173" s="20" t="n">
        <v>0</v>
      </c>
      <c r="J173" s="20" t="n">
        <v>0</v>
      </c>
      <c r="K173" s="20" t="n">
        <v>0</v>
      </c>
      <c r="L173" s="20" t="n">
        <v>0</v>
      </c>
      <c r="M173" s="20" t="n">
        <v>0</v>
      </c>
      <c r="N173" s="20" t="n">
        <v>0</v>
      </c>
      <c r="W173" s="20" t="n">
        <v>0</v>
      </c>
      <c r="X173" s="20" t="n">
        <v>0</v>
      </c>
    </row>
    <row r="174">
      <c r="A174" s="18" t="inlineStr">
        <is>
          <t>부문 · 부문 간 내부매출·대체</t>
        </is>
      </c>
      <c r="F174" s="20" t="n">
        <v>0</v>
      </c>
      <c r="G174" s="20" t="n">
        <v>0</v>
      </c>
      <c r="H174" s="20" t="n">
        <v>0</v>
      </c>
      <c r="I174" s="20" t="n">
        <v>0</v>
      </c>
      <c r="J174" s="20" t="n">
        <v>0</v>
      </c>
      <c r="K174" s="20" t="n">
        <v>0</v>
      </c>
      <c r="L174" s="20" t="n">
        <v>0</v>
      </c>
      <c r="M174" s="20" t="n">
        <v>0</v>
      </c>
      <c r="N174" s="20" t="n">
        <v>0</v>
      </c>
      <c r="W174" s="20" t="n">
        <v>0</v>
      </c>
      <c r="X174" s="20" t="n">
        <v>0</v>
      </c>
    </row>
    <row r="175">
      <c r="A175" s="18" t="inlineStr">
        <is>
          <t>부문 간 내부매출·대체</t>
        </is>
      </c>
      <c r="C175" s="20" t="n">
        <v>0</v>
      </c>
      <c r="D175" s="20" t="n">
        <v>0</v>
      </c>
      <c r="E175" s="20" t="n">
        <v>0</v>
      </c>
      <c r="F175" s="20" t="n">
        <v>0</v>
      </c>
      <c r="G175" s="20" t="n">
        <v>0</v>
      </c>
      <c r="H175" s="20" t="n">
        <v>0</v>
      </c>
      <c r="I175" s="20" t="n">
        <v>0</v>
      </c>
      <c r="J175" s="20" t="n">
        <v>0</v>
      </c>
      <c r="K175" s="20" t="n">
        <v>0</v>
      </c>
      <c r="L175" s="20" t="n">
        <v>0</v>
      </c>
      <c r="M175" s="20" t="n">
        <v>0</v>
      </c>
      <c r="N175" s="20" t="n">
        <v>0</v>
      </c>
      <c r="V175" s="20" t="n">
        <v>0</v>
      </c>
      <c r="W175" s="20" t="n">
        <v>0</v>
      </c>
      <c r="X175" s="20" t="n">
        <v>0</v>
      </c>
    </row>
    <row r="176">
      <c r="A176" s="18" t="inlineStr">
        <is>
          <t>부문 · 계</t>
        </is>
      </c>
      <c r="C176" s="20" t="n">
        <v>4522</v>
      </c>
      <c r="D176" s="20" t="n">
        <v>4863</v>
      </c>
      <c r="E176" s="20" t="n">
        <v>4857</v>
      </c>
      <c r="F176" s="20" t="n">
        <v>4886</v>
      </c>
      <c r="G176" s="20" t="n">
        <v>4581</v>
      </c>
      <c r="H176" s="20" t="n">
        <v>5113</v>
      </c>
      <c r="I176" s="20" t="n">
        <v>4738</v>
      </c>
      <c r="V176" s="20" t="n">
        <v>4857</v>
      </c>
      <c r="W176" s="20" t="n">
        <v>4738</v>
      </c>
    </row>
    <row r="177">
      <c r="A177" s="18" t="inlineStr">
        <is>
          <t>부문 · 계</t>
        </is>
      </c>
      <c r="C177" s="20" t="n">
        <v>2024</v>
      </c>
      <c r="D177" s="20" t="n">
        <v>2196</v>
      </c>
      <c r="E177" s="20" t="n">
        <v>2241</v>
      </c>
      <c r="F177" s="20" t="n">
        <v>2306</v>
      </c>
      <c r="G177" s="20" t="n">
        <v>2287</v>
      </c>
      <c r="H177" s="20" t="n">
        <v>2218</v>
      </c>
      <c r="I177" s="20" t="n">
        <v>2319</v>
      </c>
      <c r="V177" s="20" t="n">
        <v>2241</v>
      </c>
      <c r="W177" s="20" t="n">
        <v>2319</v>
      </c>
    </row>
    <row r="178">
      <c r="A178" s="18" t="inlineStr">
        <is>
          <t>부문 · 계</t>
        </is>
      </c>
      <c r="C178" s="20" t="n">
        <v>2244</v>
      </c>
      <c r="D178" s="20" t="n">
        <v>2129</v>
      </c>
      <c r="E178" s="20" t="n">
        <v>2346</v>
      </c>
      <c r="F178" s="20" t="n">
        <v>2228</v>
      </c>
      <c r="G178" s="20" t="n">
        <v>2266</v>
      </c>
      <c r="H178" s="20" t="n">
        <v>2222</v>
      </c>
      <c r="I178" s="20" t="n">
        <v>2531</v>
      </c>
      <c r="V178" s="20" t="n">
        <v>2346</v>
      </c>
      <c r="W178" s="20" t="n">
        <v>2531</v>
      </c>
    </row>
    <row r="179">
      <c r="A179" s="18" t="inlineStr">
        <is>
          <t>부문 · 계</t>
        </is>
      </c>
      <c r="C179" s="20" t="n">
        <v>5270</v>
      </c>
      <c r="D179" s="20" t="n">
        <v>6007</v>
      </c>
      <c r="E179" s="20" t="n">
        <v>6201</v>
      </c>
      <c r="F179" s="20" t="n">
        <v>6525</v>
      </c>
      <c r="G179" s="20" t="n">
        <v>7008</v>
      </c>
      <c r="H179" s="20" t="n">
        <v>6916</v>
      </c>
      <c r="I179" s="20" t="n">
        <v>6702</v>
      </c>
      <c r="V179" s="20" t="n">
        <v>6201</v>
      </c>
      <c r="W179" s="20" t="n">
        <v>6702</v>
      </c>
    </row>
    <row r="180">
      <c r="A180" s="18" t="inlineStr">
        <is>
          <t>부문 · 계</t>
        </is>
      </c>
      <c r="C180" s="20" t="n">
        <v>1190</v>
      </c>
      <c r="F180" s="20" t="n">
        <v>1504</v>
      </c>
      <c r="G180" s="20" t="n">
        <v>1642</v>
      </c>
    </row>
    <row r="181">
      <c r="A181" s="18" t="inlineStr">
        <is>
          <t>부문 · 계</t>
        </is>
      </c>
      <c r="E181" s="20" t="n">
        <v>1696</v>
      </c>
      <c r="I181" s="20" t="n">
        <v>2570</v>
      </c>
      <c r="V181" s="20" t="n">
        <v>1696</v>
      </c>
      <c r="W181" s="20" t="n">
        <v>2570</v>
      </c>
    </row>
    <row r="182">
      <c r="A182" s="18" t="inlineStr">
        <is>
          <t>부문 · 계</t>
        </is>
      </c>
      <c r="C182" s="20" t="n">
        <v>68</v>
      </c>
      <c r="D182" s="20" t="n">
        <v>92</v>
      </c>
      <c r="E182" s="20" t="n">
        <v>143</v>
      </c>
      <c r="F182" s="20" t="n">
        <v>79</v>
      </c>
      <c r="G182" s="20" t="n">
        <v>115</v>
      </c>
      <c r="H182" s="20" t="n">
        <v>121</v>
      </c>
      <c r="I182" s="20" t="n">
        <v>124</v>
      </c>
      <c r="V182" s="20" t="n">
        <v>143</v>
      </c>
      <c r="W182" s="20" t="n">
        <v>124</v>
      </c>
    </row>
    <row r="183">
      <c r="A183" s="18" t="inlineStr">
        <is>
          <t>부문 · 계</t>
        </is>
      </c>
      <c r="F183" s="20" t="n">
        <v>6239</v>
      </c>
      <c r="G183" s="20" t="n">
        <v>6387</v>
      </c>
      <c r="H183" s="20" t="n">
        <v>6136</v>
      </c>
      <c r="I183" s="20" t="n">
        <v>6288</v>
      </c>
      <c r="J183" s="20" t="n">
        <v>6937</v>
      </c>
      <c r="K183" s="20" t="n">
        <v>7039</v>
      </c>
      <c r="L183" s="20" t="n">
        <v>8190</v>
      </c>
      <c r="M183" s="20" t="n">
        <v>8341</v>
      </c>
      <c r="N183" s="20" t="n">
        <v>10840</v>
      </c>
      <c r="W183" s="20" t="n">
        <v>6288</v>
      </c>
      <c r="X183" s="20" t="n">
        <v>8341</v>
      </c>
    </row>
    <row r="184">
      <c r="A184" s="18" t="inlineStr">
        <is>
          <t>부문 · 계</t>
        </is>
      </c>
      <c r="F184" s="20" t="n">
        <v>3976</v>
      </c>
      <c r="G184" s="20" t="n">
        <v>4308</v>
      </c>
      <c r="H184" s="20" t="n">
        <v>5049</v>
      </c>
      <c r="I184" s="20" t="n">
        <v>5380</v>
      </c>
      <c r="J184" s="20" t="n">
        <v>4627</v>
      </c>
      <c r="K184" s="20" t="n">
        <v>4704</v>
      </c>
      <c r="L184" s="20" t="n">
        <v>6708</v>
      </c>
      <c r="M184" s="20" t="n">
        <v>7265</v>
      </c>
      <c r="N184" s="20" t="n">
        <v>8416</v>
      </c>
      <c r="W184" s="20" t="n">
        <v>5380</v>
      </c>
      <c r="X184" s="20" t="n">
        <v>7265</v>
      </c>
    </row>
    <row r="185">
      <c r="A185" s="18" t="inlineStr">
        <is>
          <t>부문 · 계</t>
        </is>
      </c>
      <c r="F185" s="20" t="n">
        <v>3387</v>
      </c>
      <c r="G185" s="20" t="n">
        <v>3354</v>
      </c>
      <c r="H185" s="20" t="n">
        <v>3710</v>
      </c>
      <c r="I185" s="20" t="n">
        <v>3296</v>
      </c>
      <c r="J185" s="20" t="n">
        <v>3512</v>
      </c>
      <c r="K185" s="20" t="n">
        <v>3384</v>
      </c>
      <c r="L185" s="20" t="n">
        <v>3668</v>
      </c>
      <c r="M185" s="20" t="n">
        <v>3328</v>
      </c>
      <c r="N185" s="20" t="n">
        <v>3809</v>
      </c>
      <c r="W185" s="20" t="n">
        <v>3296</v>
      </c>
      <c r="X185" s="20" t="n">
        <v>3328</v>
      </c>
    </row>
    <row r="186">
      <c r="A186" s="18" t="inlineStr">
        <is>
          <t>부문 · 계</t>
        </is>
      </c>
      <c r="F186" s="20" t="n">
        <v>3927</v>
      </c>
      <c r="G186" s="20" t="n">
        <v>3852</v>
      </c>
      <c r="H186" s="20" t="n">
        <v>3944</v>
      </c>
      <c r="I186" s="20" t="n">
        <v>4020</v>
      </c>
      <c r="J186" s="20" t="n">
        <v>3969</v>
      </c>
      <c r="K186" s="20" t="n">
        <v>3437</v>
      </c>
      <c r="L186" s="20" t="n">
        <v>4032</v>
      </c>
      <c r="M186" s="20" t="n">
        <v>3744</v>
      </c>
      <c r="N186" s="20" t="n">
        <v>4435</v>
      </c>
      <c r="W186" s="20" t="n">
        <v>4020</v>
      </c>
      <c r="X186" s="20" t="n">
        <v>3744</v>
      </c>
    </row>
    <row r="187">
      <c r="A187" s="9" t="inlineStr">
        <is>
          <t>계</t>
        </is>
      </c>
      <c r="C187" s="12" t="n">
        <v>15316</v>
      </c>
      <c r="D187" s="12" t="n">
        <v>16434</v>
      </c>
      <c r="E187" s="12" t="n">
        <v>17484</v>
      </c>
      <c r="F187" s="12" t="n">
        <v>17531</v>
      </c>
      <c r="G187" s="12" t="n">
        <v>17900</v>
      </c>
      <c r="H187" s="12" t="n">
        <v>18840</v>
      </c>
      <c r="I187" s="12" t="n">
        <v>18984</v>
      </c>
      <c r="J187" s="12" t="n">
        <v>19046</v>
      </c>
      <c r="K187" s="12" t="n">
        <v>18565</v>
      </c>
      <c r="L187" s="12" t="n">
        <v>22598</v>
      </c>
      <c r="M187" s="12" t="n">
        <v>22677</v>
      </c>
      <c r="N187" s="12" t="n">
        <v>27501</v>
      </c>
      <c r="V187" s="12" t="n">
        <v>17484</v>
      </c>
      <c r="W187" s="12" t="n">
        <v>18984</v>
      </c>
      <c r="X187" s="12" t="n">
        <v>22677</v>
      </c>
    </row>
    <row r="188">
      <c r="A188" s="18" t="inlineStr">
        <is>
          <t>부문 · 부문 이익(손실)</t>
        </is>
      </c>
      <c r="C188" s="20" t="n">
        <v>392</v>
      </c>
      <c r="D188" s="20" t="n">
        <v>603</v>
      </c>
      <c r="E188" s="20" t="n">
        <v>592</v>
      </c>
      <c r="F188" s="20" t="n">
        <v>418</v>
      </c>
      <c r="G188" s="20" t="n">
        <v>294</v>
      </c>
      <c r="H188" s="20" t="n">
        <v>440</v>
      </c>
      <c r="I188" s="20" t="n">
        <v>395</v>
      </c>
      <c r="V188" s="20" t="n">
        <v>592</v>
      </c>
      <c r="W188" s="20" t="n">
        <v>395</v>
      </c>
    </row>
    <row r="189">
      <c r="A189" s="18" t="inlineStr">
        <is>
          <t>부문 · 부문 이익(손실)</t>
        </is>
      </c>
      <c r="C189" s="20" t="n">
        <v>100</v>
      </c>
      <c r="D189" s="20" t="n">
        <v>135</v>
      </c>
      <c r="E189" s="20" t="n">
        <v>249</v>
      </c>
      <c r="F189" s="20" t="n">
        <v>221</v>
      </c>
      <c r="G189" s="20" t="n">
        <v>252</v>
      </c>
      <c r="H189" s="20" t="n">
        <v>195</v>
      </c>
      <c r="I189" s="20" t="n">
        <v>105</v>
      </c>
      <c r="V189" s="20" t="n">
        <v>249</v>
      </c>
      <c r="W189" s="20" t="n">
        <v>105</v>
      </c>
    </row>
    <row r="190">
      <c r="A190" s="18" t="inlineStr">
        <is>
          <t>부문 · 부문 이익(손실)</t>
        </is>
      </c>
      <c r="C190" s="20" t="n">
        <v>-44</v>
      </c>
      <c r="D190" s="20" t="n">
        <v>-53</v>
      </c>
      <c r="E190" s="20" t="n">
        <v>6</v>
      </c>
      <c r="F190" s="20" t="n">
        <v>-77</v>
      </c>
      <c r="G190" s="20" t="n">
        <v>-57</v>
      </c>
      <c r="H190" s="20" t="n">
        <v>-60</v>
      </c>
      <c r="I190" s="20" t="n">
        <v>-25</v>
      </c>
      <c r="V190" s="20" t="n">
        <v>6</v>
      </c>
      <c r="W190" s="20" t="n">
        <v>-25</v>
      </c>
    </row>
    <row r="191">
      <c r="A191" s="18" t="inlineStr">
        <is>
          <t>부문 · 부문 이익(손실)</t>
        </is>
      </c>
      <c r="C191" s="20" t="n">
        <v>-74</v>
      </c>
      <c r="D191" s="20" t="n">
        <v>536</v>
      </c>
      <c r="E191" s="20" t="n">
        <v>874</v>
      </c>
      <c r="F191" s="20" t="n">
        <v>796</v>
      </c>
      <c r="G191" s="20" t="n">
        <v>1187</v>
      </c>
      <c r="H191" s="20" t="n">
        <v>973</v>
      </c>
      <c r="I191" s="20" t="n">
        <v>1088</v>
      </c>
      <c r="V191" s="20" t="n">
        <v>874</v>
      </c>
      <c r="W191" s="20" t="n">
        <v>1088</v>
      </c>
    </row>
    <row r="192">
      <c r="A192" s="18" t="inlineStr">
        <is>
          <t>부문 · Operating Income</t>
        </is>
      </c>
      <c r="C192" s="20" t="n">
        <v>-24</v>
      </c>
      <c r="F192" s="20" t="n">
        <v>-129</v>
      </c>
      <c r="G192" s="20" t="n">
        <v>-85</v>
      </c>
    </row>
    <row r="193">
      <c r="A193" s="18" t="inlineStr">
        <is>
          <t>부문 · 부문 이익(손실)</t>
        </is>
      </c>
      <c r="E193" s="20" t="n">
        <v>50</v>
      </c>
      <c r="I193" s="20" t="n">
        <v>207</v>
      </c>
      <c r="V193" s="20" t="n">
        <v>50</v>
      </c>
      <c r="W193" s="20" t="n">
        <v>207</v>
      </c>
    </row>
    <row r="194">
      <c r="A194" s="18" t="inlineStr">
        <is>
          <t>부문 · 부문 이익(손실)</t>
        </is>
      </c>
      <c r="C194" s="20" t="n">
        <v>-229</v>
      </c>
      <c r="D194" s="20" t="n">
        <v>-209</v>
      </c>
      <c r="E194" s="20" t="n">
        <v>-223</v>
      </c>
      <c r="F194" s="20" t="n">
        <v>-171</v>
      </c>
      <c r="G194" s="20" t="n">
        <v>-175</v>
      </c>
      <c r="H194" s="20" t="n">
        <v>-173</v>
      </c>
      <c r="I194" s="20" t="n">
        <v>-222</v>
      </c>
      <c r="V194" s="20" t="n">
        <v>-223</v>
      </c>
      <c r="W194" s="20" t="n">
        <v>-222</v>
      </c>
    </row>
    <row r="195">
      <c r="A195" s="18" t="inlineStr">
        <is>
          <t>부문 · Operating Income</t>
        </is>
      </c>
      <c r="F195" s="20" t="n">
        <v>1075</v>
      </c>
      <c r="G195" s="20" t="n">
        <v>1380</v>
      </c>
      <c r="H195" s="20" t="n">
        <v>1102</v>
      </c>
      <c r="I195" s="20" t="n">
        <v>1298</v>
      </c>
      <c r="J195" s="20" t="n">
        <v>1447</v>
      </c>
      <c r="K195" s="20" t="n">
        <v>1347</v>
      </c>
      <c r="L195" s="20" t="n">
        <v>1767</v>
      </c>
      <c r="M195" s="20" t="n">
        <v>1642</v>
      </c>
      <c r="N195" s="20" t="n">
        <v>2668</v>
      </c>
      <c r="W195" s="20" t="n">
        <v>1298</v>
      </c>
      <c r="X195" s="20" t="n">
        <v>1642</v>
      </c>
    </row>
    <row r="196">
      <c r="A196" s="18" t="inlineStr">
        <is>
          <t>부문 · Operating Income</t>
        </is>
      </c>
      <c r="F196" s="20" t="n">
        <v>-124</v>
      </c>
      <c r="G196" s="20" t="n">
        <v>-77</v>
      </c>
      <c r="H196" s="20" t="n">
        <v>-12</v>
      </c>
      <c r="I196" s="20" t="n">
        <v>116</v>
      </c>
      <c r="J196" s="20" t="n">
        <v>-73</v>
      </c>
      <c r="K196" s="20" t="n">
        <v>727</v>
      </c>
      <c r="L196" s="20" t="n">
        <v>1119</v>
      </c>
      <c r="M196" s="20" t="n">
        <v>1369</v>
      </c>
      <c r="N196" s="20" t="n">
        <v>1734</v>
      </c>
      <c r="W196" s="20" t="n">
        <v>116</v>
      </c>
      <c r="X196" s="20" t="n">
        <v>1369</v>
      </c>
    </row>
    <row r="197">
      <c r="A197" s="18" t="inlineStr">
        <is>
          <t>부문 · Operating Income</t>
        </is>
      </c>
      <c r="F197" s="20" t="n">
        <v>96</v>
      </c>
      <c r="G197" s="20" t="n">
        <v>103</v>
      </c>
      <c r="H197" s="20" t="n">
        <v>102</v>
      </c>
      <c r="I197" s="20" t="n">
        <v>-10</v>
      </c>
      <c r="J197" s="20" t="n">
        <v>226</v>
      </c>
      <c r="K197" s="20" t="n">
        <v>60</v>
      </c>
      <c r="L197" s="20" t="n">
        <v>230</v>
      </c>
      <c r="M197" s="20" t="n">
        <v>83</v>
      </c>
      <c r="N197" s="20" t="n">
        <v>441</v>
      </c>
      <c r="W197" s="20" t="n">
        <v>-10</v>
      </c>
      <c r="X197" s="20" t="n">
        <v>83</v>
      </c>
    </row>
    <row r="198">
      <c r="A198" s="18" t="inlineStr">
        <is>
          <t>부문 · Operating Income</t>
        </is>
      </c>
      <c r="F198" s="20" t="n">
        <v>11</v>
      </c>
      <c r="G198" s="20" t="n">
        <v>10</v>
      </c>
      <c r="H198" s="20" t="n">
        <v>136</v>
      </c>
      <c r="I198" s="20" t="n">
        <v>145</v>
      </c>
      <c r="J198" s="20" t="n">
        <v>122</v>
      </c>
      <c r="K198" s="20" t="n">
        <v>10</v>
      </c>
      <c r="L198" s="20" t="n">
        <v>76</v>
      </c>
      <c r="M198" s="20" t="n">
        <v>-46</v>
      </c>
      <c r="N198" s="20" t="n">
        <v>272</v>
      </c>
      <c r="W198" s="20" t="n">
        <v>145</v>
      </c>
      <c r="X198" s="20" t="n">
        <v>-46</v>
      </c>
    </row>
    <row r="199">
      <c r="A199" s="9" t="inlineStr">
        <is>
          <t>Operating Income</t>
        </is>
      </c>
      <c r="C199" s="12" t="n">
        <v>123</v>
      </c>
      <c r="D199" s="12" t="n">
        <v>978</v>
      </c>
      <c r="E199" s="12" t="n">
        <v>1548</v>
      </c>
      <c r="F199" s="12" t="n">
        <v>1058</v>
      </c>
      <c r="G199" s="12" t="n">
        <v>1416</v>
      </c>
      <c r="H199" s="12" t="n">
        <v>1328</v>
      </c>
      <c r="I199" s="12" t="n">
        <v>1549</v>
      </c>
      <c r="J199" s="12" t="n">
        <v>1723</v>
      </c>
      <c r="K199" s="12" t="n">
        <v>2145</v>
      </c>
      <c r="L199" s="12" t="n">
        <v>3191</v>
      </c>
      <c r="M199" s="12" t="n">
        <v>3048</v>
      </c>
      <c r="N199" s="12" t="n">
        <v>5117</v>
      </c>
      <c r="V199" s="12" t="n">
        <v>1548</v>
      </c>
      <c r="W199" s="12" t="n">
        <v>1549</v>
      </c>
      <c r="X199" s="12" t="n">
        <v>3048</v>
      </c>
    </row>
    <row r="200">
      <c r="A200" s="18" t="inlineStr">
        <is>
          <t>부문 · 외부 고객 매출</t>
        </is>
      </c>
      <c r="C200" s="20" t="n">
        <v>4522</v>
      </c>
      <c r="D200" s="20" t="n">
        <v>4863</v>
      </c>
      <c r="E200" s="20" t="n">
        <v>4857</v>
      </c>
      <c r="F200" s="20" t="n">
        <v>4886</v>
      </c>
      <c r="G200" s="20" t="n">
        <v>4581</v>
      </c>
      <c r="H200" s="20" t="n">
        <v>5113</v>
      </c>
      <c r="I200" s="20" t="n">
        <v>4738</v>
      </c>
      <c r="V200" s="20" t="n">
        <v>4857</v>
      </c>
      <c r="W200" s="20" t="n">
        <v>4738</v>
      </c>
    </row>
    <row r="201">
      <c r="A201" s="18" t="inlineStr">
        <is>
          <t>부문 · 외부 고객 매출</t>
        </is>
      </c>
      <c r="C201" s="20" t="n">
        <v>2024</v>
      </c>
      <c r="D201" s="20" t="n">
        <v>2196</v>
      </c>
      <c r="E201" s="20" t="n">
        <v>2241</v>
      </c>
      <c r="F201" s="20" t="n">
        <v>2306</v>
      </c>
      <c r="G201" s="20" t="n">
        <v>2287</v>
      </c>
      <c r="H201" s="20" t="n">
        <v>2218</v>
      </c>
      <c r="I201" s="20" t="n">
        <v>2319</v>
      </c>
      <c r="V201" s="20" t="n">
        <v>2241</v>
      </c>
      <c r="W201" s="20" t="n">
        <v>2319</v>
      </c>
    </row>
    <row r="202">
      <c r="A202" s="18" t="inlineStr">
        <is>
          <t>부문 · 외부 고객 매출</t>
        </is>
      </c>
      <c r="C202" s="20" t="n">
        <v>2244</v>
      </c>
      <c r="D202" s="20" t="n">
        <v>2129</v>
      </c>
      <c r="E202" s="20" t="n">
        <v>2346</v>
      </c>
      <c r="F202" s="20" t="n">
        <v>2228</v>
      </c>
      <c r="G202" s="20" t="n">
        <v>2266</v>
      </c>
      <c r="H202" s="20" t="n">
        <v>2222</v>
      </c>
      <c r="I202" s="20" t="n">
        <v>2531</v>
      </c>
      <c r="V202" s="20" t="n">
        <v>2346</v>
      </c>
      <c r="W202" s="20" t="n">
        <v>2531</v>
      </c>
    </row>
    <row r="203">
      <c r="A203" s="18" t="inlineStr">
        <is>
          <t>부문 · 외부 고객 매출</t>
        </is>
      </c>
      <c r="C203" s="20" t="n">
        <v>5270</v>
      </c>
      <c r="D203" s="20" t="n">
        <v>6007</v>
      </c>
      <c r="E203" s="20" t="n">
        <v>6201</v>
      </c>
      <c r="F203" s="20" t="n">
        <v>6525</v>
      </c>
      <c r="G203" s="20" t="n">
        <v>7008</v>
      </c>
      <c r="H203" s="20" t="n">
        <v>6916</v>
      </c>
      <c r="I203" s="20" t="n">
        <v>6702</v>
      </c>
      <c r="V203" s="20" t="n">
        <v>6201</v>
      </c>
      <c r="W203" s="20" t="n">
        <v>6702</v>
      </c>
    </row>
    <row r="204">
      <c r="A204" s="18" t="inlineStr">
        <is>
          <t>부문 · 외부 고객 매출</t>
        </is>
      </c>
      <c r="C204" s="20" t="n">
        <v>1190</v>
      </c>
      <c r="F204" s="20" t="n">
        <v>1504</v>
      </c>
      <c r="G204" s="20" t="n">
        <v>1642</v>
      </c>
    </row>
    <row r="205">
      <c r="A205" s="18" t="inlineStr">
        <is>
          <t>부문 · 외부 고객 매출</t>
        </is>
      </c>
      <c r="E205" s="20" t="n">
        <v>1696</v>
      </c>
      <c r="I205" s="20" t="n">
        <v>2570</v>
      </c>
      <c r="V205" s="20" t="n">
        <v>1696</v>
      </c>
      <c r="W205" s="20" t="n">
        <v>2570</v>
      </c>
    </row>
    <row r="206">
      <c r="A206" s="18" t="inlineStr">
        <is>
          <t>부문 · 외부 고객 매출</t>
        </is>
      </c>
      <c r="C206" s="20" t="n">
        <v>68</v>
      </c>
      <c r="D206" s="20" t="n">
        <v>92</v>
      </c>
      <c r="E206" s="20" t="n">
        <v>143</v>
      </c>
      <c r="F206" s="20" t="n">
        <v>79</v>
      </c>
      <c r="G206" s="20" t="n">
        <v>115</v>
      </c>
      <c r="H206" s="20" t="n">
        <v>121</v>
      </c>
      <c r="I206" s="20" t="n">
        <v>124</v>
      </c>
      <c r="V206" s="20" t="n">
        <v>143</v>
      </c>
      <c r="W206" s="20" t="n">
        <v>124</v>
      </c>
    </row>
    <row r="208">
      <c r="A208" s="16" t="inlineStr">
        <is>
          <t>현금흐름표 · 전 항목</t>
        </is>
      </c>
      <c r="B208" s="42" t="inlineStr">
        <is>
          <t>분기 = 결산기 첫날부터 누계(공시 그대로)</t>
        </is>
      </c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</row>
    <row r="209">
      <c r="A209" s="5" t="inlineStr">
        <is>
          <t>항목</t>
        </is>
      </c>
      <c r="B209" s="5" t="inlineStr">
        <is>
          <t>참고</t>
        </is>
      </c>
      <c r="C209" s="5" t="inlineStr">
        <is>
          <t>2024.2Q</t>
        </is>
      </c>
      <c r="D209" s="5" t="inlineStr">
        <is>
          <t>2024.3Q</t>
        </is>
      </c>
      <c r="E209" s="5" t="inlineStr">
        <is>
          <t>2024.4Q</t>
        </is>
      </c>
      <c r="F209" s="5" t="inlineStr">
        <is>
          <t>2025.1Q</t>
        </is>
      </c>
      <c r="G209" s="5" t="inlineStr">
        <is>
          <t>2025.2Q</t>
        </is>
      </c>
      <c r="H209" s="5" t="inlineStr">
        <is>
          <t>2025.3Q</t>
        </is>
      </c>
      <c r="I209" s="5" t="inlineStr">
        <is>
          <t>2025.4Q</t>
        </is>
      </c>
      <c r="J209" s="5" t="inlineStr">
        <is>
          <t>2026.1Q</t>
        </is>
      </c>
      <c r="K209" s="5" t="inlineStr">
        <is>
          <t>2026.2Q</t>
        </is>
      </c>
      <c r="L209" s="5" t="inlineStr">
        <is>
          <t>2026.3Q</t>
        </is>
      </c>
      <c r="M209" s="5" t="inlineStr">
        <is>
          <t>2026.4Q</t>
        </is>
      </c>
      <c r="N209" s="5" t="inlineStr">
        <is>
          <t>2027.1Q</t>
        </is>
      </c>
      <c r="O209" s="5" t="inlineStr">
        <is>
          <t>2017</t>
        </is>
      </c>
      <c r="P209" s="5" t="inlineStr">
        <is>
          <t>2018</t>
        </is>
      </c>
      <c r="Q209" s="5" t="inlineStr">
        <is>
          <t>2019</t>
        </is>
      </c>
      <c r="R209" s="5" t="inlineStr">
        <is>
          <t>2020</t>
        </is>
      </c>
      <c r="S209" s="5" t="inlineStr">
        <is>
          <t>2021</t>
        </is>
      </c>
      <c r="T209" s="5" t="inlineStr">
        <is>
          <t>2022</t>
        </is>
      </c>
      <c r="U209" s="5" t="inlineStr">
        <is>
          <t>2023</t>
        </is>
      </c>
      <c r="V209" s="5" t="inlineStr">
        <is>
          <t>2024</t>
        </is>
      </c>
      <c r="W209" s="5" t="inlineStr">
        <is>
          <t>2025</t>
        </is>
      </c>
      <c r="X209" s="5" t="inlineStr">
        <is>
          <t>2026</t>
        </is>
      </c>
      <c r="Y209" s="5" t="inlineStr">
        <is>
          <t>2027(MW)</t>
        </is>
      </c>
      <c r="Z209" s="5" t="inlineStr">
        <is>
          <t>2028(MW)</t>
        </is>
      </c>
      <c r="AA209" s="5" t="inlineStr">
        <is>
          <t>2029(MW)</t>
        </is>
      </c>
      <c r="AB209" s="5" t="inlineStr">
        <is>
          <t>2030(MW)</t>
        </is>
      </c>
      <c r="AC209" s="5" t="inlineStr">
        <is>
          <t>2031(MW)</t>
        </is>
      </c>
    </row>
    <row r="210">
      <c r="A210" s="9" t="inlineStr">
        <is>
          <t>법인세차감전 순이익</t>
        </is>
      </c>
      <c r="C210" s="12" t="n">
        <v>-419</v>
      </c>
      <c r="E210" s="12" t="n">
        <v>2343</v>
      </c>
      <c r="G210" s="12" t="n">
        <v>2551</v>
      </c>
      <c r="I210" s="12" t="n">
        <v>5194</v>
      </c>
      <c r="K210" s="12" t="n">
        <v>3530</v>
      </c>
      <c r="M210" s="12" t="n">
        <v>9892</v>
      </c>
      <c r="O210" s="12" t="n">
        <v>3547</v>
      </c>
      <c r="P210" s="12" t="n">
        <v>5509</v>
      </c>
      <c r="Q210" s="12" t="n">
        <v>3979</v>
      </c>
      <c r="R210" s="12" t="n">
        <v>3364</v>
      </c>
      <c r="S210" s="12" t="n">
        <v>3759</v>
      </c>
      <c r="T210" s="12" t="n">
        <v>4179</v>
      </c>
      <c r="U210" s="12" t="n">
        <v>224</v>
      </c>
      <c r="V210" s="12" t="n">
        <v>2343</v>
      </c>
      <c r="W210" s="12" t="n">
        <v>5194</v>
      </c>
      <c r="X210" s="12" t="n">
        <v>9892</v>
      </c>
    </row>
    <row r="211">
      <c r="A211" s="18" t="inlineStr">
        <is>
          <t>감가상각비</t>
        </is>
      </c>
      <c r="C211" s="20" t="n">
        <v>1603</v>
      </c>
      <c r="E211" s="20" t="n">
        <v>3216</v>
      </c>
      <c r="G211" s="20" t="n">
        <v>1604</v>
      </c>
      <c r="I211" s="20" t="n">
        <v>3223</v>
      </c>
      <c r="K211" s="20" t="n">
        <v>1571</v>
      </c>
      <c r="M211" s="20" t="n">
        <v>3221</v>
      </c>
      <c r="O211" s="20" t="n">
        <v>2335</v>
      </c>
      <c r="P211" s="20" t="n">
        <v>2473</v>
      </c>
      <c r="Q211" s="20" t="n">
        <v>2555</v>
      </c>
      <c r="R211" s="20" t="n">
        <v>2724</v>
      </c>
      <c r="S211" s="20" t="n">
        <v>3263</v>
      </c>
      <c r="T211" s="20" t="n">
        <v>3430</v>
      </c>
      <c r="U211" s="20" t="n">
        <v>3295</v>
      </c>
      <c r="V211" s="20" t="n">
        <v>3216</v>
      </c>
      <c r="W211" s="20" t="n">
        <v>3223</v>
      </c>
      <c r="X211" s="20" t="n">
        <v>3221</v>
      </c>
    </row>
    <row r="212">
      <c r="A212" s="18" t="inlineStr">
        <is>
          <t>대손손실</t>
        </is>
      </c>
      <c r="E212" s="20" t="n">
        <v>1</v>
      </c>
      <c r="I212" s="20" t="n">
        <v>0</v>
      </c>
      <c r="Q212" s="20" t="n">
        <v>0</v>
      </c>
      <c r="R212" s="20" t="n">
        <v>400</v>
      </c>
      <c r="S212" s="20" t="n">
        <v>0</v>
      </c>
      <c r="U212" s="20" t="n">
        <v>0</v>
      </c>
      <c r="V212" s="20" t="n">
        <v>1</v>
      </c>
      <c r="W212" s="20" t="n">
        <v>0</v>
      </c>
    </row>
    <row r="213">
      <c r="A213" s="18" t="inlineStr">
        <is>
          <t>영업권 상각</t>
        </is>
      </c>
      <c r="C213" s="20" t="n">
        <v>0</v>
      </c>
      <c r="E213" s="20" t="n">
        <v>0</v>
      </c>
      <c r="P213" s="20" t="n">
        <v>0</v>
      </c>
      <c r="Q213" s="20" t="n">
        <v>110</v>
      </c>
      <c r="R213" s="20" t="n">
        <v>196</v>
      </c>
      <c r="S213" s="20" t="n">
        <v>196</v>
      </c>
      <c r="T213" s="20" t="n">
        <v>150</v>
      </c>
      <c r="U213" s="20" t="n">
        <v>213</v>
      </c>
      <c r="V213" s="20" t="n">
        <v>0</v>
      </c>
    </row>
    <row r="214">
      <c r="A214" s="18" t="inlineStr">
        <is>
          <t>대손충당금 증감</t>
        </is>
      </c>
      <c r="C214" s="20" t="n">
        <v>-0</v>
      </c>
      <c r="E214" s="20" t="n">
        <v>-6</v>
      </c>
      <c r="G214" s="20" t="n">
        <v>-0</v>
      </c>
      <c r="I214" s="20" t="n">
        <v>10</v>
      </c>
      <c r="K214" s="20" t="n">
        <v>-1</v>
      </c>
      <c r="M214" s="20" t="n">
        <v>-3</v>
      </c>
      <c r="O214" s="20" t="n">
        <v>3</v>
      </c>
      <c r="P214" s="20" t="n">
        <v>5</v>
      </c>
      <c r="Q214" s="20" t="n">
        <v>0</v>
      </c>
      <c r="R214" s="20" t="n">
        <v>-2</v>
      </c>
      <c r="S214" s="20" t="n">
        <v>1</v>
      </c>
      <c r="T214" s="20" t="n">
        <v>-9</v>
      </c>
      <c r="U214" s="20" t="n">
        <v>-2</v>
      </c>
      <c r="V214" s="20" t="n">
        <v>-6</v>
      </c>
      <c r="W214" s="20" t="n">
        <v>10</v>
      </c>
      <c r="X214" s="20" t="n">
        <v>-3</v>
      </c>
    </row>
    <row r="215">
      <c r="A215" s="18" t="inlineStr">
        <is>
          <t>퇴직급여부채 증감</t>
        </is>
      </c>
      <c r="C215" s="20" t="n">
        <v>-67</v>
      </c>
      <c r="E215" s="20" t="n">
        <v>-129</v>
      </c>
      <c r="G215" s="20" t="n">
        <v>-56</v>
      </c>
      <c r="I215" s="20" t="n">
        <v>-112</v>
      </c>
      <c r="K215" s="20" t="n">
        <v>-36</v>
      </c>
      <c r="M215" s="20" t="n">
        <v>-48</v>
      </c>
      <c r="O215" s="20" t="n">
        <v>-246</v>
      </c>
      <c r="P215" s="20" t="n">
        <v>-188</v>
      </c>
      <c r="Q215" s="20" t="n">
        <v>-185</v>
      </c>
      <c r="R215" s="20" t="n">
        <v>-66</v>
      </c>
      <c r="S215" s="20" t="n">
        <v>-247</v>
      </c>
      <c r="T215" s="20" t="n">
        <v>-417</v>
      </c>
      <c r="U215" s="20" t="n">
        <v>-249</v>
      </c>
      <c r="V215" s="20" t="n">
        <v>-129</v>
      </c>
      <c r="W215" s="20" t="n">
        <v>-112</v>
      </c>
      <c r="X215" s="20" t="n">
        <v>-48</v>
      </c>
    </row>
    <row r="216">
      <c r="A216" s="18" t="inlineStr">
        <is>
          <t>Increase Decrease In Provision For Waste Disposal Costs</t>
        </is>
      </c>
      <c r="R216" s="20" t="n">
        <v>0</v>
      </c>
      <c r="S216" s="20" t="n">
        <v>385</v>
      </c>
    </row>
    <row r="217">
      <c r="A217" s="18" t="inlineStr">
        <is>
          <t>Increase Decrease In Provision For Waste Disposal Costs Ope CF</t>
        </is>
      </c>
      <c r="S217" s="20" t="n">
        <v>385</v>
      </c>
      <c r="T217" s="20" t="n">
        <v>-385</v>
      </c>
      <c r="U217" s="20" t="n">
        <v>0</v>
      </c>
    </row>
    <row r="218">
      <c r="A218" s="18" t="inlineStr">
        <is>
          <t>이자·배당금 수익</t>
        </is>
      </c>
      <c r="C218" s="20" t="n">
        <v>-67</v>
      </c>
      <c r="E218" s="20" t="n">
        <v>-150</v>
      </c>
      <c r="G218" s="20" t="n">
        <v>-90</v>
      </c>
      <c r="I218" s="20" t="n">
        <v>-196</v>
      </c>
      <c r="K218" s="20" t="n">
        <v>-116</v>
      </c>
      <c r="M218" s="20" t="n">
        <v>-333</v>
      </c>
      <c r="O218" s="20" t="n">
        <v>-61</v>
      </c>
      <c r="P218" s="20" t="n">
        <v>-61</v>
      </c>
      <c r="Q218" s="20" t="n">
        <v>-70</v>
      </c>
      <c r="R218" s="20" t="n">
        <v>-81</v>
      </c>
      <c r="S218" s="20" t="n">
        <v>-81</v>
      </c>
      <c r="T218" s="20" t="n">
        <v>-93</v>
      </c>
      <c r="U218" s="20" t="n">
        <v>-115</v>
      </c>
      <c r="V218" s="20" t="n">
        <v>-150</v>
      </c>
      <c r="W218" s="20" t="n">
        <v>-196</v>
      </c>
      <c r="X218" s="20" t="n">
        <v>-333</v>
      </c>
    </row>
    <row r="219">
      <c r="A219" s="18" t="inlineStr">
        <is>
          <t>이자비용</t>
        </is>
      </c>
      <c r="C219" s="20" t="n">
        <v>123</v>
      </c>
      <c r="E219" s="20" t="n">
        <v>258</v>
      </c>
      <c r="G219" s="20" t="n">
        <v>121</v>
      </c>
      <c r="I219" s="20" t="n">
        <v>223</v>
      </c>
      <c r="K219" s="20" t="n">
        <v>125</v>
      </c>
      <c r="M219" s="20" t="n">
        <v>243</v>
      </c>
      <c r="O219" s="20" t="n">
        <v>274</v>
      </c>
      <c r="P219" s="20" t="n">
        <v>242</v>
      </c>
      <c r="Q219" s="20" t="n">
        <v>196</v>
      </c>
      <c r="R219" s="20" t="n">
        <v>200</v>
      </c>
      <c r="S219" s="20" t="n">
        <v>202</v>
      </c>
      <c r="T219" s="20" t="n">
        <v>188</v>
      </c>
      <c r="U219" s="20" t="n">
        <v>199</v>
      </c>
      <c r="V219" s="20" t="n">
        <v>258</v>
      </c>
      <c r="W219" s="20" t="n">
        <v>223</v>
      </c>
      <c r="X219" s="20" t="n">
        <v>243</v>
      </c>
    </row>
    <row r="220">
      <c r="A220" s="18" t="inlineStr">
        <is>
          <t>사채이자</t>
        </is>
      </c>
      <c r="C220" s="20" t="n">
        <v>18</v>
      </c>
      <c r="E220" s="20" t="n">
        <v>37</v>
      </c>
      <c r="G220" s="20" t="n">
        <v>18</v>
      </c>
      <c r="I220" s="20" t="n">
        <v>37</v>
      </c>
      <c r="K220" s="20" t="n">
        <v>18</v>
      </c>
      <c r="M220" s="20" t="n">
        <v>37</v>
      </c>
      <c r="Q220" s="20" t="n">
        <v>0</v>
      </c>
      <c r="R220" s="20" t="n">
        <v>3</v>
      </c>
      <c r="S220" s="20" t="n">
        <v>37</v>
      </c>
      <c r="T220" s="20" t="n">
        <v>37</v>
      </c>
      <c r="U220" s="20" t="n">
        <v>37</v>
      </c>
      <c r="V220" s="20" t="n">
        <v>37</v>
      </c>
      <c r="W220" s="20" t="n">
        <v>37</v>
      </c>
      <c r="X220" s="20" t="n">
        <v>37</v>
      </c>
    </row>
    <row r="221">
      <c r="A221" s="18" t="inlineStr">
        <is>
          <t>사채발행비</t>
        </is>
      </c>
      <c r="Q221" s="20" t="n">
        <v>0</v>
      </c>
      <c r="R221" s="20" t="n">
        <v>138</v>
      </c>
      <c r="S221" s="20" t="n">
        <v>0</v>
      </c>
    </row>
    <row r="222">
      <c r="A222" s="18" t="inlineStr">
        <is>
          <t>지분법손익</t>
        </is>
      </c>
      <c r="C222" s="20" t="n">
        <v>-0</v>
      </c>
      <c r="E222" s="20" t="n">
        <v>3</v>
      </c>
      <c r="G222" s="20" t="n">
        <v>-22</v>
      </c>
      <c r="I222" s="20" t="n">
        <v>-261</v>
      </c>
      <c r="K222" s="20" t="n">
        <v>-21</v>
      </c>
      <c r="M222" s="20" t="n">
        <v>-39</v>
      </c>
      <c r="O222" s="20" t="n">
        <v>-82</v>
      </c>
      <c r="P222" s="20" t="n">
        <v>-68</v>
      </c>
      <c r="Q222" s="20" t="n">
        <v>-63</v>
      </c>
      <c r="R222" s="20" t="n">
        <v>-62</v>
      </c>
      <c r="S222" s="20" t="n">
        <v>-57</v>
      </c>
      <c r="T222" s="20" t="n">
        <v>-55</v>
      </c>
      <c r="U222" s="20" t="n">
        <v>-36</v>
      </c>
      <c r="V222" s="20" t="n">
        <v>3</v>
      </c>
      <c r="W222" s="20" t="n">
        <v>-261</v>
      </c>
      <c r="X222" s="20" t="n">
        <v>-39</v>
      </c>
    </row>
    <row r="223">
      <c r="A223" s="18" t="inlineStr">
        <is>
          <t>고정자산 처분손실</t>
        </is>
      </c>
      <c r="C223" s="20" t="n">
        <v>40</v>
      </c>
      <c r="G223" s="20" t="n">
        <v>27</v>
      </c>
      <c r="K223" s="20" t="n">
        <v>72</v>
      </c>
    </row>
    <row r="224">
      <c r="A224" s="18" t="inlineStr">
        <is>
          <t>손상차손</t>
        </is>
      </c>
      <c r="C224" s="20" t="n">
        <v>0</v>
      </c>
      <c r="E224" s="20" t="n">
        <v>66</v>
      </c>
      <c r="I224" s="20" t="n">
        <v>365</v>
      </c>
      <c r="M224" s="20" t="n">
        <v>286</v>
      </c>
      <c r="O224" s="20" t="n">
        <v>187</v>
      </c>
      <c r="P224" s="20" t="n">
        <v>171</v>
      </c>
      <c r="Q224" s="20" t="n">
        <v>240</v>
      </c>
      <c r="R224" s="20" t="n">
        <v>0</v>
      </c>
      <c r="S224" s="20" t="n">
        <v>431</v>
      </c>
      <c r="T224" s="20" t="n">
        <v>0</v>
      </c>
      <c r="U224" s="20" t="n">
        <v>786</v>
      </c>
      <c r="V224" s="20" t="n">
        <v>66</v>
      </c>
      <c r="W224" s="20" t="n">
        <v>365</v>
      </c>
      <c r="X224" s="20" t="n">
        <v>286</v>
      </c>
    </row>
    <row r="225">
      <c r="A225" s="18" t="inlineStr">
        <is>
          <t>관계회사 주식 매각손익</t>
        </is>
      </c>
      <c r="P225" s="20" t="n">
        <v>0</v>
      </c>
      <c r="Q225" s="20" t="n">
        <v>-141</v>
      </c>
      <c r="R225" s="20" t="n">
        <v>0</v>
      </c>
    </row>
    <row r="226">
      <c r="A226" s="18" t="inlineStr">
        <is>
          <t>유형자산 처분손익</t>
        </is>
      </c>
      <c r="E226" s="20" t="n">
        <v>58</v>
      </c>
      <c r="I226" s="20" t="n">
        <v>177</v>
      </c>
      <c r="M226" s="20" t="n">
        <v>193</v>
      </c>
      <c r="O226" s="20" t="n">
        <v>93</v>
      </c>
      <c r="P226" s="20" t="n">
        <v>113</v>
      </c>
      <c r="Q226" s="20" t="n">
        <v>96</v>
      </c>
      <c r="R226" s="20" t="n">
        <v>160</v>
      </c>
      <c r="S226" s="20" t="n">
        <v>146</v>
      </c>
      <c r="T226" s="20" t="n">
        <v>173</v>
      </c>
      <c r="U226" s="20" t="n">
        <v>102</v>
      </c>
      <c r="V226" s="20" t="n">
        <v>58</v>
      </c>
      <c r="W226" s="20" t="n">
        <v>177</v>
      </c>
      <c r="X226" s="20" t="n">
        <v>193</v>
      </c>
    </row>
    <row r="227">
      <c r="A227" s="18" t="inlineStr">
        <is>
          <t>유형자산 매각손익</t>
        </is>
      </c>
      <c r="O227" s="20" t="n">
        <v>0</v>
      </c>
      <c r="P227" s="20" t="n">
        <v>-1068</v>
      </c>
      <c r="Q227" s="20" t="n">
        <v>0</v>
      </c>
    </row>
    <row r="228">
      <c r="A228" s="18" t="inlineStr">
        <is>
          <t>투자유가증권 평가손익</t>
        </is>
      </c>
      <c r="S228" s="20" t="n">
        <v>0</v>
      </c>
      <c r="T228" s="20" t="n">
        <v>34</v>
      </c>
      <c r="U228" s="20" t="n">
        <v>0</v>
      </c>
    </row>
    <row r="229">
      <c r="A229" s="18" t="inlineStr">
        <is>
          <t>투자유가증권 매각손익</t>
        </is>
      </c>
      <c r="E229" s="20" t="n">
        <v>-408</v>
      </c>
      <c r="I229" s="20" t="n">
        <v>0</v>
      </c>
      <c r="O229" s="20" t="n">
        <v>-55</v>
      </c>
      <c r="P229" s="20" t="n">
        <v>0</v>
      </c>
      <c r="R229" s="20" t="n">
        <v>0</v>
      </c>
      <c r="S229" s="20" t="n">
        <v>-408</v>
      </c>
      <c r="T229" s="20" t="n">
        <v>0</v>
      </c>
      <c r="U229" s="20" t="n">
        <v>-50</v>
      </c>
      <c r="V229" s="20" t="n">
        <v>-408</v>
      </c>
      <c r="W229" s="20" t="n">
        <v>0</v>
      </c>
    </row>
    <row r="230">
      <c r="A230" s="18" t="inlineStr">
        <is>
          <t>매출채권 증감</t>
        </is>
      </c>
      <c r="C230" s="20" t="n">
        <v>-333</v>
      </c>
      <c r="E230" s="20" t="n">
        <v>-3199</v>
      </c>
      <c r="G230" s="20" t="n">
        <v>141</v>
      </c>
      <c r="I230" s="20" t="n">
        <v>-1296</v>
      </c>
      <c r="K230" s="20" t="n">
        <v>829</v>
      </c>
      <c r="M230" s="20" t="n">
        <v>-1150</v>
      </c>
      <c r="O230" s="20" t="n">
        <v>-1614</v>
      </c>
      <c r="P230" s="20" t="n">
        <v>-1645</v>
      </c>
      <c r="Q230" s="20" t="n">
        <v>-1277</v>
      </c>
      <c r="R230" s="20" t="n">
        <v>462</v>
      </c>
      <c r="S230" s="20" t="n">
        <v>560</v>
      </c>
      <c r="T230" s="20" t="n">
        <v>519</v>
      </c>
      <c r="U230" s="20" t="n">
        <v>-722</v>
      </c>
      <c r="V230" s="20" t="n">
        <v>-3199</v>
      </c>
      <c r="W230" s="20" t="n">
        <v>-1296</v>
      </c>
      <c r="X230" s="20" t="n">
        <v>-1150</v>
      </c>
    </row>
    <row r="231">
      <c r="A231" s="18" t="inlineStr">
        <is>
          <t>재고자산 증감</t>
        </is>
      </c>
      <c r="C231" s="20" t="n">
        <v>1805</v>
      </c>
      <c r="E231" s="20" t="n">
        <v>2684</v>
      </c>
      <c r="G231" s="20" t="n">
        <v>50</v>
      </c>
      <c r="I231" s="20" t="n">
        <v>-1562</v>
      </c>
      <c r="K231" s="20" t="n">
        <v>-879</v>
      </c>
      <c r="M231" s="20" t="n">
        <v>-2655</v>
      </c>
      <c r="O231" s="20" t="n">
        <v>409</v>
      </c>
      <c r="P231" s="20" t="n">
        <v>-1466</v>
      </c>
      <c r="Q231" s="20" t="n">
        <v>-1894</v>
      </c>
      <c r="R231" s="20" t="n">
        <v>-467</v>
      </c>
      <c r="S231" s="20" t="n">
        <v>-770</v>
      </c>
      <c r="T231" s="20" t="n">
        <v>-2016</v>
      </c>
      <c r="U231" s="20" t="n">
        <v>-1362</v>
      </c>
      <c r="V231" s="20" t="n">
        <v>2684</v>
      </c>
      <c r="W231" s="20" t="n">
        <v>-1562</v>
      </c>
      <c r="X231" s="20" t="n">
        <v>-2655</v>
      </c>
    </row>
    <row r="232">
      <c r="A232" s="18" t="inlineStr">
        <is>
          <t>매입채무 증감</t>
        </is>
      </c>
      <c r="C232" s="20" t="n">
        <v>-842</v>
      </c>
      <c r="E232" s="20" t="n">
        <v>2150</v>
      </c>
      <c r="G232" s="20" t="n">
        <v>-333</v>
      </c>
      <c r="I232" s="20" t="n">
        <v>1307</v>
      </c>
      <c r="K232" s="20" t="n">
        <v>-306</v>
      </c>
      <c r="M232" s="20" t="n">
        <v>1784</v>
      </c>
      <c r="O232" s="20" t="n">
        <v>227</v>
      </c>
      <c r="P232" s="20" t="n">
        <v>1755</v>
      </c>
      <c r="Q232" s="20" t="n">
        <v>688</v>
      </c>
      <c r="R232" s="20" t="n">
        <v>-1546</v>
      </c>
      <c r="S232" s="20" t="n">
        <v>-1557</v>
      </c>
      <c r="T232" s="20" t="n">
        <v>744</v>
      </c>
      <c r="U232" s="20" t="n">
        <v>-321</v>
      </c>
      <c r="V232" s="20" t="n">
        <v>2150</v>
      </c>
      <c r="W232" s="20" t="n">
        <v>1307</v>
      </c>
      <c r="X232" s="20" t="n">
        <v>1784</v>
      </c>
    </row>
    <row r="233">
      <c r="A233" s="18" t="inlineStr">
        <is>
          <t>기타</t>
        </is>
      </c>
      <c r="C233" s="20" t="n">
        <v>384</v>
      </c>
      <c r="E233" s="20" t="n">
        <v>509</v>
      </c>
      <c r="G233" s="20" t="n">
        <v>-252</v>
      </c>
      <c r="I233" s="20" t="n">
        <v>882</v>
      </c>
      <c r="K233" s="20" t="n">
        <v>-1034</v>
      </c>
      <c r="M233" s="20" t="n">
        <v>-76</v>
      </c>
      <c r="O233" s="20" t="n">
        <v>-311</v>
      </c>
      <c r="P233" s="20" t="n">
        <v>258</v>
      </c>
      <c r="Q233" s="20" t="n">
        <v>197</v>
      </c>
      <c r="R233" s="20" t="n">
        <v>-554</v>
      </c>
      <c r="S233" s="20" t="n">
        <v>168</v>
      </c>
      <c r="T233" s="20" t="n">
        <v>213</v>
      </c>
      <c r="U233" s="20" t="n">
        <v>-442</v>
      </c>
      <c r="V233" s="20" t="n">
        <v>509</v>
      </c>
      <c r="W233" s="20" t="n">
        <v>882</v>
      </c>
      <c r="X233" s="20" t="n">
        <v>-76</v>
      </c>
    </row>
    <row r="234">
      <c r="A234" s="18" t="inlineStr">
        <is>
          <t>소계</t>
        </is>
      </c>
      <c r="C234" s="20" t="n">
        <v>2244</v>
      </c>
      <c r="E234" s="20" t="n">
        <v>7436</v>
      </c>
      <c r="G234" s="20" t="n">
        <v>3758</v>
      </c>
      <c r="I234" s="20" t="n">
        <v>7994</v>
      </c>
      <c r="K234" s="20" t="n">
        <v>3751</v>
      </c>
      <c r="M234" s="20" t="n">
        <v>11351</v>
      </c>
      <c r="O234" s="20" t="n">
        <v>4708</v>
      </c>
      <c r="P234" s="20" t="n">
        <v>6030</v>
      </c>
      <c r="Q234" s="20" t="n">
        <v>4432</v>
      </c>
      <c r="R234" s="20" t="n">
        <v>4866</v>
      </c>
      <c r="S234" s="20" t="n">
        <v>6030</v>
      </c>
      <c r="T234" s="20" t="n">
        <v>6693</v>
      </c>
      <c r="U234" s="20" t="n">
        <v>1556</v>
      </c>
      <c r="V234" s="20" t="n">
        <v>7436</v>
      </c>
      <c r="W234" s="20" t="n">
        <v>7994</v>
      </c>
      <c r="X234" s="20" t="n">
        <v>11351</v>
      </c>
    </row>
    <row r="235">
      <c r="A235" s="18" t="inlineStr">
        <is>
          <t>이자·배당금 수취</t>
        </is>
      </c>
      <c r="C235" s="20" t="n">
        <v>64</v>
      </c>
      <c r="E235" s="20" t="n">
        <v>168</v>
      </c>
      <c r="G235" s="20" t="n">
        <v>97</v>
      </c>
      <c r="I235" s="20" t="n">
        <v>227</v>
      </c>
      <c r="K235" s="20" t="n">
        <v>118</v>
      </c>
      <c r="M235" s="20" t="n">
        <v>268</v>
      </c>
      <c r="O235" s="20" t="n">
        <v>121</v>
      </c>
      <c r="P235" s="20" t="n">
        <v>139</v>
      </c>
      <c r="Q235" s="20" t="n">
        <v>155</v>
      </c>
      <c r="R235" s="20" t="n">
        <v>95</v>
      </c>
      <c r="S235" s="20" t="n">
        <v>137</v>
      </c>
      <c r="T235" s="20" t="n">
        <v>181</v>
      </c>
      <c r="U235" s="20" t="n">
        <v>240</v>
      </c>
      <c r="V235" s="20" t="n">
        <v>168</v>
      </c>
      <c r="W235" s="20" t="n">
        <v>227</v>
      </c>
      <c r="X235" s="20" t="n">
        <v>268</v>
      </c>
    </row>
    <row r="236">
      <c r="A236" s="18" t="inlineStr">
        <is>
          <t>이자 지급</t>
        </is>
      </c>
      <c r="C236" s="20" t="n">
        <v>-142</v>
      </c>
      <c r="E236" s="20" t="n">
        <v>-296</v>
      </c>
      <c r="G236" s="20" t="n">
        <v>-140</v>
      </c>
      <c r="I236" s="20" t="n">
        <v>-262</v>
      </c>
      <c r="K236" s="20" t="n">
        <v>-144</v>
      </c>
      <c r="M236" s="20" t="n">
        <v>-281</v>
      </c>
      <c r="O236" s="20" t="n">
        <v>-274</v>
      </c>
      <c r="P236" s="20" t="n">
        <v>-241</v>
      </c>
      <c r="Q236" s="20" t="n">
        <v>-195</v>
      </c>
      <c r="R236" s="20" t="n">
        <v>-200</v>
      </c>
      <c r="S236" s="20" t="n">
        <v>-240</v>
      </c>
      <c r="T236" s="20" t="n">
        <v>-227</v>
      </c>
      <c r="U236" s="20" t="n">
        <v>-234</v>
      </c>
      <c r="V236" s="20" t="n">
        <v>-296</v>
      </c>
      <c r="W236" s="20" t="n">
        <v>-262</v>
      </c>
      <c r="X236" s="20" t="n">
        <v>-281</v>
      </c>
    </row>
    <row r="237">
      <c r="A237" s="18" t="inlineStr">
        <is>
          <t>법인세 납부</t>
        </is>
      </c>
      <c r="C237" s="20" t="n">
        <v>-28</v>
      </c>
      <c r="E237" s="20" t="n">
        <v>-216</v>
      </c>
      <c r="G237" s="20" t="n">
        <v>-213</v>
      </c>
      <c r="I237" s="20" t="n">
        <v>-430</v>
      </c>
      <c r="K237" s="20" t="n">
        <v>-797</v>
      </c>
      <c r="M237" s="20" t="n">
        <v>-1375</v>
      </c>
      <c r="O237" s="20" t="n">
        <v>-804</v>
      </c>
      <c r="P237" s="20" t="n">
        <v>-911</v>
      </c>
      <c r="Q237" s="20" t="n">
        <v>-1155</v>
      </c>
      <c r="R237" s="20" t="n">
        <v>-994</v>
      </c>
      <c r="S237" s="20" t="n">
        <v>-972</v>
      </c>
      <c r="T237" s="20" t="n">
        <v>-1127</v>
      </c>
      <c r="U237" s="20" t="n">
        <v>-838</v>
      </c>
      <c r="V237" s="20" t="n">
        <v>-216</v>
      </c>
      <c r="W237" s="20" t="n">
        <v>-430</v>
      </c>
      <c r="X237" s="20" t="n">
        <v>-1375</v>
      </c>
    </row>
    <row r="238">
      <c r="A238" s="9" t="inlineStr">
        <is>
          <t>영업활동 현금흐름</t>
        </is>
      </c>
      <c r="C238" s="12" t="n">
        <v>2138</v>
      </c>
      <c r="E238" s="12" t="n">
        <v>7091</v>
      </c>
      <c r="G238" s="12" t="n">
        <v>3501</v>
      </c>
      <c r="I238" s="12" t="n">
        <v>7528</v>
      </c>
      <c r="K238" s="12" t="n">
        <v>2928</v>
      </c>
      <c r="M238" s="12" t="n">
        <v>9962</v>
      </c>
      <c r="O238" s="12" t="n">
        <v>3750</v>
      </c>
      <c r="P238" s="12" t="n">
        <v>5017</v>
      </c>
      <c r="Q238" s="12" t="n">
        <v>3236</v>
      </c>
      <c r="R238" s="12" t="n">
        <v>3766</v>
      </c>
      <c r="S238" s="12" t="n">
        <v>4955</v>
      </c>
      <c r="T238" s="12" t="n">
        <v>5520</v>
      </c>
      <c r="U238" s="12" t="n">
        <v>724</v>
      </c>
      <c r="V238" s="12" t="n">
        <v>7091</v>
      </c>
      <c r="W238" s="12" t="n">
        <v>7528</v>
      </c>
      <c r="X238" s="12" t="n">
        <v>9962</v>
      </c>
    </row>
    <row r="239">
      <c r="A239" s="18" t="inlineStr">
        <is>
          <t>정기예금 예입</t>
        </is>
      </c>
      <c r="C239" s="20" t="n">
        <v>-78</v>
      </c>
      <c r="E239" s="20" t="n">
        <v>-178</v>
      </c>
      <c r="G239" s="20" t="n">
        <v>-85</v>
      </c>
      <c r="I239" s="20" t="n">
        <v>-105</v>
      </c>
      <c r="K239" s="20" t="n">
        <v>-81</v>
      </c>
      <c r="M239" s="20" t="n">
        <v>-187</v>
      </c>
      <c r="O239" s="20" t="n">
        <v>-82</v>
      </c>
      <c r="P239" s="20" t="n">
        <v>-116</v>
      </c>
      <c r="Q239" s="20" t="n">
        <v>-43</v>
      </c>
      <c r="R239" s="20" t="n">
        <v>-210</v>
      </c>
      <c r="S239" s="20" t="n">
        <v>-117</v>
      </c>
      <c r="T239" s="20" t="n">
        <v>-69</v>
      </c>
      <c r="U239" s="20" t="n">
        <v>-78</v>
      </c>
      <c r="V239" s="20" t="n">
        <v>-178</v>
      </c>
      <c r="W239" s="20" t="n">
        <v>-105</v>
      </c>
      <c r="X239" s="20" t="n">
        <v>-187</v>
      </c>
    </row>
    <row r="240">
      <c r="A240" s="18" t="inlineStr">
        <is>
          <t>정기예금 인출</t>
        </is>
      </c>
      <c r="C240" s="20" t="n">
        <v>79</v>
      </c>
      <c r="E240" s="20" t="n">
        <v>80</v>
      </c>
      <c r="G240" s="20" t="n">
        <v>85</v>
      </c>
      <c r="I240" s="20" t="n">
        <v>105</v>
      </c>
      <c r="K240" s="20" t="n">
        <v>81</v>
      </c>
      <c r="M240" s="20" t="n">
        <v>187</v>
      </c>
      <c r="O240" s="20" t="n">
        <v>0</v>
      </c>
      <c r="P240" s="20" t="n">
        <v>83</v>
      </c>
      <c r="Q240" s="20" t="n">
        <v>49</v>
      </c>
      <c r="R240" s="20" t="n">
        <v>204</v>
      </c>
      <c r="S240" s="20" t="n">
        <v>263</v>
      </c>
      <c r="T240" s="20" t="n">
        <v>68</v>
      </c>
      <c r="U240" s="20" t="n">
        <v>78</v>
      </c>
      <c r="V240" s="20" t="n">
        <v>80</v>
      </c>
      <c r="W240" s="20" t="n">
        <v>105</v>
      </c>
      <c r="X240" s="20" t="n">
        <v>187</v>
      </c>
    </row>
    <row r="241">
      <c r="A241" s="18" t="inlineStr">
        <is>
          <t>유형자산 취득(설비투자)</t>
        </is>
      </c>
      <c r="C241" s="20" t="n">
        <v>-1089</v>
      </c>
      <c r="E241" s="20" t="n">
        <v>-2502</v>
      </c>
      <c r="G241" s="20" t="n">
        <v>-1077</v>
      </c>
      <c r="I241" s="20" t="n">
        <v>-2140</v>
      </c>
      <c r="K241" s="20" t="n">
        <v>-1369</v>
      </c>
      <c r="M241" s="20" t="n">
        <v>-3622</v>
      </c>
      <c r="O241" s="20" t="n">
        <v>-3900</v>
      </c>
      <c r="P241" s="20" t="n">
        <v>-2505</v>
      </c>
      <c r="Q241" s="20" t="n">
        <v>-3707</v>
      </c>
      <c r="R241" s="20" t="n">
        <v>-5538</v>
      </c>
      <c r="S241" s="20" t="n">
        <v>-4398</v>
      </c>
      <c r="T241" s="20" t="n">
        <v>-2661</v>
      </c>
      <c r="U241" s="20" t="n">
        <v>-2834</v>
      </c>
      <c r="V241" s="20" t="n">
        <v>-2502</v>
      </c>
      <c r="W241" s="20" t="n">
        <v>-2140</v>
      </c>
      <c r="X241" s="20" t="n">
        <v>-3622</v>
      </c>
    </row>
    <row r="242">
      <c r="A242" s="18" t="inlineStr">
        <is>
          <t>유형자산 매각</t>
        </is>
      </c>
      <c r="E242" s="20" t="n">
        <v>0</v>
      </c>
      <c r="I242" s="20" t="n">
        <v>0</v>
      </c>
      <c r="M242" s="20" t="n">
        <v>25</v>
      </c>
      <c r="O242" s="20" t="n">
        <v>27</v>
      </c>
      <c r="P242" s="20" t="n">
        <v>1822</v>
      </c>
      <c r="Q242" s="20" t="n">
        <v>0</v>
      </c>
      <c r="T242" s="20" t="n">
        <v>0</v>
      </c>
      <c r="U242" s="20" t="n">
        <v>10</v>
      </c>
      <c r="V242" s="20" t="n">
        <v>0</v>
      </c>
      <c r="W242" s="20" t="n">
        <v>0</v>
      </c>
      <c r="X242" s="20" t="n">
        <v>25</v>
      </c>
    </row>
    <row r="243">
      <c r="A243" s="18" t="inlineStr">
        <is>
          <t>투자유가증권 취득</t>
        </is>
      </c>
      <c r="C243" s="20" t="n">
        <v>-1</v>
      </c>
      <c r="E243" s="20" t="n">
        <v>-2</v>
      </c>
      <c r="G243" s="20" t="n">
        <v>-1</v>
      </c>
      <c r="I243" s="20" t="n">
        <v>-2</v>
      </c>
      <c r="K243" s="20" t="n">
        <v>-1</v>
      </c>
      <c r="M243" s="20" t="n">
        <v>-2</v>
      </c>
      <c r="O243" s="20" t="n">
        <v>-2</v>
      </c>
      <c r="P243" s="20" t="n">
        <v>-2</v>
      </c>
      <c r="Q243" s="20" t="n">
        <v>-970</v>
      </c>
      <c r="R243" s="20" t="n">
        <v>-32</v>
      </c>
      <c r="S243" s="20" t="n">
        <v>-502</v>
      </c>
      <c r="T243" s="20" t="n">
        <v>-2</v>
      </c>
      <c r="U243" s="20" t="n">
        <v>-2</v>
      </c>
      <c r="V243" s="20" t="n">
        <v>-2</v>
      </c>
      <c r="W243" s="20" t="n">
        <v>-2</v>
      </c>
      <c r="X243" s="20" t="n">
        <v>-2</v>
      </c>
    </row>
    <row r="244">
      <c r="A244" s="18" t="inlineStr">
        <is>
          <t>연결범위 변경 자회사 주식 취득</t>
        </is>
      </c>
      <c r="P244" s="20" t="n">
        <v>0</v>
      </c>
      <c r="Q244" s="20" t="n">
        <v>-780</v>
      </c>
      <c r="R244" s="20" t="n">
        <v>0</v>
      </c>
    </row>
    <row r="245">
      <c r="A245" s="18" t="inlineStr">
        <is>
          <t>연결범위 변경 자회사 주식 매각</t>
        </is>
      </c>
      <c r="P245" s="20" t="n">
        <v>0</v>
      </c>
      <c r="Q245" s="20" t="n">
        <v>130</v>
      </c>
      <c r="R245" s="20" t="n">
        <v>0</v>
      </c>
    </row>
    <row r="246">
      <c r="A246" s="18" t="inlineStr">
        <is>
          <t>투자유가증권 매각</t>
        </is>
      </c>
      <c r="C246" s="20" t="n">
        <v>0</v>
      </c>
      <c r="E246" s="20" t="n">
        <v>596</v>
      </c>
      <c r="G246" s="20" t="n">
        <v>1</v>
      </c>
      <c r="I246" s="20" t="n">
        <v>1</v>
      </c>
      <c r="K246" s="20" t="n">
        <v>0</v>
      </c>
      <c r="M246" s="20" t="n">
        <v>0</v>
      </c>
      <c r="O246" s="20" t="n">
        <v>441</v>
      </c>
      <c r="P246" s="20" t="n">
        <v>0</v>
      </c>
      <c r="R246" s="20" t="n">
        <v>0</v>
      </c>
      <c r="S246" s="20" t="n">
        <v>1027</v>
      </c>
      <c r="T246" s="20" t="n">
        <v>0</v>
      </c>
      <c r="U246" s="20" t="n">
        <v>70</v>
      </c>
      <c r="V246" s="20" t="n">
        <v>596</v>
      </c>
      <c r="W246" s="20" t="n">
        <v>1</v>
      </c>
      <c r="X246" s="20" t="n">
        <v>0</v>
      </c>
    </row>
    <row r="247">
      <c r="A247" s="18" t="inlineStr">
        <is>
          <t>대여</t>
        </is>
      </c>
      <c r="O247" s="20" t="n">
        <v>0</v>
      </c>
      <c r="P247" s="20" t="n">
        <v>-400</v>
      </c>
      <c r="Q247" s="20" t="n">
        <v>-250</v>
      </c>
      <c r="R247" s="20" t="n">
        <v>-153</v>
      </c>
      <c r="S247" s="20" t="n">
        <v>0</v>
      </c>
    </row>
    <row r="248">
      <c r="A248" s="18" t="inlineStr">
        <is>
          <t>보조금 수취</t>
        </is>
      </c>
      <c r="Q248" s="20" t="n">
        <v>80</v>
      </c>
      <c r="R248" s="20" t="n">
        <v>70</v>
      </c>
      <c r="S248" s="20" t="n">
        <v>19</v>
      </c>
      <c r="T248" s="20" t="n">
        <v>0</v>
      </c>
    </row>
    <row r="249">
      <c r="A249" s="18" t="inlineStr">
        <is>
          <t>Incomes From Refund In Capital Of Subsidiaries And Associates Inv CF</t>
        </is>
      </c>
      <c r="C249" s="20" t="n">
        <v>106</v>
      </c>
      <c r="G249" s="20" t="n">
        <v>0</v>
      </c>
    </row>
    <row r="250">
      <c r="A250" s="18" t="inlineStr">
        <is>
          <t>Income From Reimbursement In Capital Of Subsidiaries And Associates Inv CF</t>
        </is>
      </c>
      <c r="E250" s="20" t="n">
        <v>141</v>
      </c>
      <c r="I250" s="20" t="n">
        <v>0</v>
      </c>
      <c r="U250" s="20" t="n">
        <v>0</v>
      </c>
      <c r="V250" s="20" t="n">
        <v>141</v>
      </c>
      <c r="W250" s="20" t="n">
        <v>0</v>
      </c>
    </row>
    <row r="251">
      <c r="A251" s="18" t="inlineStr">
        <is>
          <t>대여금 회수</t>
        </is>
      </c>
      <c r="E251" s="20" t="n">
        <v>3</v>
      </c>
      <c r="I251" s="20" t="n">
        <v>1</v>
      </c>
      <c r="M251" s="20" t="n">
        <v>1</v>
      </c>
      <c r="O251" s="20" t="n">
        <v>1</v>
      </c>
      <c r="P251" s="20" t="n">
        <v>3</v>
      </c>
      <c r="Q251" s="20" t="n">
        <v>1</v>
      </c>
      <c r="R251" s="20" t="n">
        <v>1</v>
      </c>
      <c r="S251" s="20" t="n">
        <v>1</v>
      </c>
      <c r="T251" s="20" t="n">
        <v>1</v>
      </c>
      <c r="U251" s="20" t="n">
        <v>1</v>
      </c>
      <c r="V251" s="20" t="n">
        <v>3</v>
      </c>
      <c r="W251" s="20" t="n">
        <v>1</v>
      </c>
      <c r="X251" s="20" t="n">
        <v>1</v>
      </c>
    </row>
    <row r="252">
      <c r="A252" s="18" t="inlineStr">
        <is>
          <t>보조금 수취</t>
        </is>
      </c>
      <c r="O252" s="20" t="n">
        <v>212</v>
      </c>
      <c r="P252" s="20" t="n">
        <v>100</v>
      </c>
    </row>
    <row r="253">
      <c r="A253" s="18" t="inlineStr">
        <is>
          <t>보조금 수취</t>
        </is>
      </c>
      <c r="P253" s="20" t="n">
        <v>100</v>
      </c>
      <c r="Q253" s="20" t="n">
        <v>80</v>
      </c>
    </row>
    <row r="254">
      <c r="A254" s="18" t="inlineStr">
        <is>
          <t>기타</t>
        </is>
      </c>
      <c r="C254" s="20" t="n">
        <v>-26</v>
      </c>
      <c r="E254" s="20" t="n">
        <v>-145</v>
      </c>
      <c r="G254" s="20" t="n">
        <v>80</v>
      </c>
      <c r="I254" s="20" t="n">
        <v>1</v>
      </c>
      <c r="K254" s="20" t="n">
        <v>103</v>
      </c>
      <c r="M254" s="20" t="n">
        <v>61</v>
      </c>
      <c r="O254" s="20" t="n">
        <v>-33</v>
      </c>
      <c r="P254" s="20" t="n">
        <v>-114</v>
      </c>
      <c r="Q254" s="20" t="n">
        <v>-205</v>
      </c>
      <c r="R254" s="20" t="n">
        <v>-183</v>
      </c>
      <c r="S254" s="20" t="n">
        <v>-98</v>
      </c>
      <c r="T254" s="20" t="n">
        <v>-36</v>
      </c>
      <c r="U254" s="20" t="n">
        <v>-128</v>
      </c>
      <c r="V254" s="20" t="n">
        <v>-145</v>
      </c>
      <c r="W254" s="20" t="n">
        <v>1</v>
      </c>
      <c r="X254" s="20" t="n">
        <v>61</v>
      </c>
    </row>
    <row r="255">
      <c r="A255" s="9" t="inlineStr">
        <is>
          <t>투자활동 현금흐름</t>
        </is>
      </c>
      <c r="C255" s="12" t="n">
        <v>-1009</v>
      </c>
      <c r="E255" s="12" t="n">
        <v>-2008</v>
      </c>
      <c r="G255" s="12" t="n">
        <v>-997</v>
      </c>
      <c r="I255" s="12" t="n">
        <v>-2138</v>
      </c>
      <c r="K255" s="12" t="n">
        <v>-1267</v>
      </c>
      <c r="M255" s="12" t="n">
        <v>-3536</v>
      </c>
      <c r="O255" s="12" t="n">
        <v>-3336</v>
      </c>
      <c r="P255" s="12" t="n">
        <v>-1130</v>
      </c>
      <c r="Q255" s="12" t="n">
        <v>-5694</v>
      </c>
      <c r="R255" s="12" t="n">
        <v>-5842</v>
      </c>
      <c r="S255" s="12" t="n">
        <v>-3804</v>
      </c>
      <c r="T255" s="12" t="n">
        <v>-2700</v>
      </c>
      <c r="U255" s="12" t="n">
        <v>-2883</v>
      </c>
      <c r="V255" s="12" t="n">
        <v>-2008</v>
      </c>
      <c r="W255" s="12" t="n">
        <v>-2138</v>
      </c>
      <c r="X255" s="12" t="n">
        <v>-3536</v>
      </c>
    </row>
    <row r="256">
      <c r="A256" s="18" t="inlineStr">
        <is>
          <t>단기차입금 순증감</t>
        </is>
      </c>
      <c r="C256" s="20" t="n">
        <v>341</v>
      </c>
      <c r="E256" s="20" t="n">
        <v>-293</v>
      </c>
      <c r="G256" s="20" t="n">
        <v>0</v>
      </c>
      <c r="I256" s="20" t="n">
        <v>-426</v>
      </c>
      <c r="K256" s="20" t="n">
        <v>1081</v>
      </c>
      <c r="M256" s="20" t="n">
        <v>1074</v>
      </c>
      <c r="O256" s="20" t="n">
        <v>-3190</v>
      </c>
      <c r="P256" s="20" t="n">
        <v>-55</v>
      </c>
      <c r="Q256" s="20" t="n">
        <v>-685</v>
      </c>
      <c r="R256" s="20" t="n">
        <v>-245</v>
      </c>
      <c r="S256" s="20" t="n">
        <v>-75</v>
      </c>
      <c r="T256" s="20" t="n">
        <v>673</v>
      </c>
      <c r="U256" s="20" t="n">
        <v>174</v>
      </c>
      <c r="V256" s="20" t="n">
        <v>-293</v>
      </c>
      <c r="W256" s="20" t="n">
        <v>-426</v>
      </c>
      <c r="X256" s="20" t="n">
        <v>1074</v>
      </c>
    </row>
    <row r="257">
      <c r="A257" s="18" t="inlineStr">
        <is>
          <t>장기차입</t>
        </is>
      </c>
      <c r="C257" s="20" t="n">
        <v>7903</v>
      </c>
      <c r="E257" s="20" t="n">
        <v>8603</v>
      </c>
      <c r="G257" s="20" t="n">
        <v>0</v>
      </c>
      <c r="I257" s="20" t="n">
        <v>4000</v>
      </c>
      <c r="M257" s="20" t="n">
        <v>3000</v>
      </c>
      <c r="O257" s="20" t="n">
        <v>8393</v>
      </c>
      <c r="P257" s="20" t="n">
        <v>4000</v>
      </c>
      <c r="Q257" s="20" t="n">
        <v>5918</v>
      </c>
      <c r="R257" s="20" t="n">
        <v>6000</v>
      </c>
      <c r="S257" s="20" t="n">
        <v>5908</v>
      </c>
      <c r="T257" s="20" t="n">
        <v>4890</v>
      </c>
      <c r="U257" s="20" t="n">
        <v>7700</v>
      </c>
      <c r="V257" s="20" t="n">
        <v>8603</v>
      </c>
      <c r="W257" s="20" t="n">
        <v>4000</v>
      </c>
      <c r="X257" s="20" t="n">
        <v>3000</v>
      </c>
    </row>
    <row r="258">
      <c r="A258" s="18" t="inlineStr">
        <is>
          <t>장기차입금 상환</t>
        </is>
      </c>
      <c r="C258" s="20" t="n">
        <v>-2703</v>
      </c>
      <c r="E258" s="20" t="n">
        <v>-5534</v>
      </c>
      <c r="G258" s="20" t="n">
        <v>-3443</v>
      </c>
      <c r="I258" s="20" t="n">
        <v>-7027</v>
      </c>
      <c r="K258" s="20" t="n">
        <v>-3245</v>
      </c>
      <c r="M258" s="20" t="n">
        <v>-5872</v>
      </c>
      <c r="O258" s="20" t="n">
        <v>-3772</v>
      </c>
      <c r="P258" s="20" t="n">
        <v>-4800</v>
      </c>
      <c r="Q258" s="20" t="n">
        <v>-6005</v>
      </c>
      <c r="R258" s="20" t="n">
        <v>-5289</v>
      </c>
      <c r="S258" s="20" t="n">
        <v>-7266</v>
      </c>
      <c r="T258" s="20" t="n">
        <v>-6595</v>
      </c>
      <c r="U258" s="20" t="n">
        <v>-5879</v>
      </c>
      <c r="V258" s="20" t="n">
        <v>-5534</v>
      </c>
      <c r="W258" s="20" t="n">
        <v>-7027</v>
      </c>
      <c r="X258" s="20" t="n">
        <v>-5872</v>
      </c>
    </row>
    <row r="259">
      <c r="A259" s="18" t="inlineStr">
        <is>
          <t>사채 발행</t>
        </is>
      </c>
      <c r="Q259" s="20" t="n">
        <v>0</v>
      </c>
      <c r="R259" s="20" t="n">
        <v>5861</v>
      </c>
      <c r="S259" s="20" t="n">
        <v>0</v>
      </c>
    </row>
    <row r="260">
      <c r="A260" s="18" t="inlineStr">
        <is>
          <t>사채 상환</t>
        </is>
      </c>
      <c r="P260" s="20" t="n">
        <v>0</v>
      </c>
      <c r="Q260" s="20" t="n">
        <v>-50</v>
      </c>
      <c r="R260" s="20" t="n">
        <v>0</v>
      </c>
    </row>
    <row r="261">
      <c r="A261" s="18" t="inlineStr">
        <is>
          <t>세일앤리스백 수입</t>
        </is>
      </c>
      <c r="Q261" s="20" t="n">
        <v>0</v>
      </c>
      <c r="R261" s="20" t="n">
        <v>32</v>
      </c>
      <c r="S261" s="20" t="n">
        <v>2918</v>
      </c>
      <c r="T261" s="20" t="n">
        <v>0</v>
      </c>
    </row>
    <row r="262">
      <c r="A262" s="18" t="inlineStr">
        <is>
          <t>리스부채 상환</t>
        </is>
      </c>
      <c r="C262" s="20" t="n">
        <v>-228</v>
      </c>
      <c r="E262" s="20" t="n">
        <v>-451</v>
      </c>
      <c r="G262" s="20" t="n">
        <v>-250</v>
      </c>
      <c r="I262" s="20" t="n">
        <v>-480</v>
      </c>
      <c r="K262" s="20" t="n">
        <v>-246</v>
      </c>
      <c r="M262" s="20" t="n">
        <v>-493</v>
      </c>
      <c r="O262" s="20" t="n">
        <v>-346</v>
      </c>
      <c r="P262" s="20" t="n">
        <v>-299</v>
      </c>
      <c r="Q262" s="20" t="n">
        <v>-321</v>
      </c>
      <c r="R262" s="20" t="n">
        <v>-303</v>
      </c>
      <c r="S262" s="20" t="n">
        <v>-477</v>
      </c>
      <c r="T262" s="20" t="n">
        <v>-571</v>
      </c>
      <c r="U262" s="20" t="n">
        <v>-531</v>
      </c>
      <c r="V262" s="20" t="n">
        <v>-451</v>
      </c>
      <c r="W262" s="20" t="n">
        <v>-480</v>
      </c>
      <c r="X262" s="20" t="n">
        <v>-493</v>
      </c>
    </row>
    <row r="263">
      <c r="A263" s="18" t="inlineStr">
        <is>
          <t>자기주식 취득</t>
        </is>
      </c>
      <c r="C263" s="20" t="n">
        <v>0</v>
      </c>
      <c r="E263" s="20" t="n">
        <v>-0</v>
      </c>
      <c r="G263" s="20" t="n">
        <v>-0</v>
      </c>
      <c r="I263" s="20" t="n">
        <v>-0</v>
      </c>
      <c r="K263" s="20" t="n">
        <v>-0</v>
      </c>
      <c r="M263" s="20" t="n">
        <v>-1</v>
      </c>
      <c r="O263" s="20" t="n">
        <v>-1004</v>
      </c>
      <c r="P263" s="20" t="n">
        <v>-1</v>
      </c>
      <c r="Q263" s="20" t="n">
        <v>-0</v>
      </c>
      <c r="R263" s="20" t="n">
        <v>-0</v>
      </c>
      <c r="S263" s="20" t="n">
        <v>0</v>
      </c>
      <c r="T263" s="20" t="n">
        <v>-0</v>
      </c>
      <c r="U263" s="20" t="n">
        <v>-1500</v>
      </c>
      <c r="V263" s="20" t="n">
        <v>-0</v>
      </c>
      <c r="W263" s="20" t="n">
        <v>-0</v>
      </c>
      <c r="X263" s="20" t="n">
        <v>-1</v>
      </c>
    </row>
    <row r="264">
      <c r="A264" s="18" t="inlineStr">
        <is>
          <t>배당금 지급</t>
        </is>
      </c>
      <c r="C264" s="20" t="n">
        <v>-382</v>
      </c>
      <c r="E264" s="20" t="n">
        <v>-573</v>
      </c>
      <c r="G264" s="20" t="n">
        <v>-430</v>
      </c>
      <c r="I264" s="20" t="n">
        <v>-861</v>
      </c>
      <c r="K264" s="20" t="n">
        <v>-526</v>
      </c>
      <c r="M264" s="20" t="n">
        <v>-1161</v>
      </c>
      <c r="O264" s="20" t="n">
        <v>-526</v>
      </c>
      <c r="P264" s="20" t="n">
        <v>-606</v>
      </c>
      <c r="Q264" s="20" t="n">
        <v>-709</v>
      </c>
      <c r="R264" s="20" t="n">
        <v>-1067</v>
      </c>
      <c r="S264" s="20" t="n">
        <v>-712</v>
      </c>
      <c r="T264" s="20" t="n">
        <v>-712</v>
      </c>
      <c r="U264" s="20" t="n">
        <v>-840</v>
      </c>
      <c r="V264" s="20" t="n">
        <v>-573</v>
      </c>
      <c r="W264" s="20" t="n">
        <v>-861</v>
      </c>
      <c r="X264" s="20" t="n">
        <v>-1161</v>
      </c>
    </row>
    <row r="265">
      <c r="A265" s="18" t="inlineStr">
        <is>
          <t>자기주식 처분</t>
        </is>
      </c>
      <c r="G265" s="20" t="n">
        <v>0</v>
      </c>
      <c r="I265" s="20" t="n">
        <v>0</v>
      </c>
      <c r="K265" s="20" t="n">
        <v>5151</v>
      </c>
      <c r="M265" s="20" t="n">
        <v>5151</v>
      </c>
      <c r="O265" s="20" t="n">
        <v>21</v>
      </c>
      <c r="P265" s="20" t="n">
        <v>7</v>
      </c>
      <c r="Q265" s="20" t="n">
        <v>0</v>
      </c>
      <c r="W265" s="20" t="n">
        <v>0</v>
      </c>
      <c r="X265" s="20" t="n">
        <v>5151</v>
      </c>
    </row>
    <row r="266">
      <c r="A266" s="18" t="inlineStr">
        <is>
          <t>연결범위 변경 없는 자회사 주식 취득</t>
        </is>
      </c>
      <c r="I266" s="20" t="n">
        <v>0</v>
      </c>
      <c r="M266" s="20" t="n">
        <v>-103</v>
      </c>
      <c r="O266" s="20" t="n">
        <v>-10</v>
      </c>
      <c r="P266" s="20" t="n">
        <v>-62</v>
      </c>
      <c r="Q266" s="20" t="n">
        <v>0</v>
      </c>
      <c r="W266" s="20" t="n">
        <v>0</v>
      </c>
      <c r="X266" s="20" t="n">
        <v>-103</v>
      </c>
    </row>
    <row r="267">
      <c r="A267" s="18" t="inlineStr">
        <is>
          <t>비지배주주 배당금 지급</t>
        </is>
      </c>
      <c r="C267" s="20" t="n">
        <v>-103</v>
      </c>
      <c r="E267" s="20" t="n">
        <v>-103</v>
      </c>
      <c r="G267" s="20" t="n">
        <v>-248</v>
      </c>
      <c r="I267" s="20" t="n">
        <v>-248</v>
      </c>
      <c r="K267" s="20" t="n">
        <v>-738</v>
      </c>
      <c r="M267" s="20" t="n">
        <v>-738</v>
      </c>
      <c r="O267" s="20" t="n">
        <v>-39</v>
      </c>
      <c r="P267" s="20" t="n">
        <v>-38</v>
      </c>
      <c r="Q267" s="20" t="n">
        <v>-41</v>
      </c>
      <c r="R267" s="20" t="n">
        <v>-42</v>
      </c>
      <c r="S267" s="20" t="n">
        <v>-40</v>
      </c>
      <c r="T267" s="20" t="n">
        <v>-40</v>
      </c>
      <c r="U267" s="20" t="n">
        <v>-152</v>
      </c>
      <c r="V267" s="20" t="n">
        <v>-103</v>
      </c>
      <c r="W267" s="20" t="n">
        <v>-248</v>
      </c>
      <c r="X267" s="20" t="n">
        <v>-738</v>
      </c>
    </row>
    <row r="268">
      <c r="A268" s="18" t="inlineStr">
        <is>
          <t>비지배주주 납입</t>
        </is>
      </c>
      <c r="P268" s="20" t="n">
        <v>0</v>
      </c>
      <c r="Q268" s="20" t="n">
        <v>385</v>
      </c>
      <c r="R268" s="20" t="n">
        <v>0</v>
      </c>
      <c r="S268" s="20" t="n">
        <v>0</v>
      </c>
      <c r="T268" s="20" t="n">
        <v>20</v>
      </c>
      <c r="U268" s="20" t="n">
        <v>0</v>
      </c>
    </row>
    <row r="269">
      <c r="A269" s="9" t="inlineStr">
        <is>
          <t>재무활동 현금흐름</t>
        </is>
      </c>
      <c r="C269" s="12" t="n">
        <v>4826</v>
      </c>
      <c r="E269" s="12" t="n">
        <v>1646</v>
      </c>
      <c r="G269" s="12" t="n">
        <v>-4372</v>
      </c>
      <c r="I269" s="12" t="n">
        <v>-5045</v>
      </c>
      <c r="K269" s="12" t="n">
        <v>1475</v>
      </c>
      <c r="M269" s="12" t="n">
        <v>854</v>
      </c>
      <c r="O269" s="12" t="n">
        <v>-477</v>
      </c>
      <c r="P269" s="12" t="n">
        <v>-1858</v>
      </c>
      <c r="Q269" s="12" t="n">
        <v>-1510</v>
      </c>
      <c r="R269" s="12" t="n">
        <v>4946</v>
      </c>
      <c r="S269" s="12" t="n">
        <v>255</v>
      </c>
      <c r="T269" s="12" t="n">
        <v>-2336</v>
      </c>
      <c r="U269" s="12" t="n">
        <v>-1030</v>
      </c>
      <c r="V269" s="12" t="n">
        <v>1646</v>
      </c>
      <c r="W269" s="12" t="n">
        <v>-5045</v>
      </c>
      <c r="X269" s="12" t="n">
        <v>854</v>
      </c>
    </row>
    <row r="270">
      <c r="A270" s="18" t="inlineStr">
        <is>
          <t>현금성자산 환산차이</t>
        </is>
      </c>
      <c r="C270" s="20" t="n">
        <v>171</v>
      </c>
      <c r="E270" s="20" t="n">
        <v>165</v>
      </c>
      <c r="G270" s="20" t="n">
        <v>94</v>
      </c>
      <c r="I270" s="20" t="n">
        <v>264</v>
      </c>
      <c r="K270" s="20" t="n">
        <v>-106</v>
      </c>
      <c r="M270" s="20" t="n">
        <v>-7</v>
      </c>
      <c r="O270" s="20" t="n">
        <v>-42</v>
      </c>
      <c r="P270" s="20" t="n">
        <v>78</v>
      </c>
      <c r="Q270" s="20" t="n">
        <v>-155</v>
      </c>
      <c r="R270" s="20" t="n">
        <v>-21</v>
      </c>
      <c r="S270" s="20" t="n">
        <v>-0</v>
      </c>
      <c r="T270" s="20" t="n">
        <v>135</v>
      </c>
      <c r="U270" s="20" t="n">
        <v>89</v>
      </c>
      <c r="V270" s="20" t="n">
        <v>165</v>
      </c>
      <c r="W270" s="20" t="n">
        <v>264</v>
      </c>
      <c r="X270" s="20" t="n">
        <v>-7</v>
      </c>
    </row>
    <row r="271">
      <c r="A271" s="18" t="inlineStr">
        <is>
          <t>현금성자산 증감</t>
        </is>
      </c>
      <c r="C271" s="20" t="n">
        <v>6127</v>
      </c>
      <c r="E271" s="20" t="n">
        <v>6895</v>
      </c>
      <c r="G271" s="20" t="n">
        <v>-1774</v>
      </c>
      <c r="I271" s="20" t="n">
        <v>609</v>
      </c>
      <c r="K271" s="20" t="n">
        <v>3030</v>
      </c>
      <c r="M271" s="20" t="n">
        <v>7273</v>
      </c>
      <c r="O271" s="20" t="n">
        <v>-105</v>
      </c>
      <c r="P271" s="20" t="n">
        <v>2106</v>
      </c>
      <c r="Q271" s="20" t="n">
        <v>-4123</v>
      </c>
      <c r="R271" s="20" t="n">
        <v>2847</v>
      </c>
      <c r="S271" s="20" t="n">
        <v>1405</v>
      </c>
      <c r="T271" s="20" t="n">
        <v>619</v>
      </c>
      <c r="U271" s="20" t="n">
        <v>-3099</v>
      </c>
      <c r="V271" s="20" t="n">
        <v>6895</v>
      </c>
      <c r="W271" s="20" t="n">
        <v>609</v>
      </c>
      <c r="X271" s="20" t="n">
        <v>7273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4461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54776</v>
      </c>
      <c r="D5" s="12" t="n">
        <v>60652</v>
      </c>
      <c r="E5" s="12" t="n">
        <v>66115</v>
      </c>
      <c r="F5" s="12" t="n">
        <v>69382</v>
      </c>
      <c r="G5" s="12" t="n">
        <v>69547</v>
      </c>
      <c r="H5" s="11" t="n">
        <v>46534</v>
      </c>
      <c r="I5" s="12" t="n">
        <v>45411</v>
      </c>
      <c r="J5" s="12" t="n">
        <v>53614</v>
      </c>
      <c r="K5" s="12" t="n">
        <v>57247</v>
      </c>
      <c r="L5" s="12" t="n">
        <v>69382</v>
      </c>
    </row>
    <row r="6">
      <c r="A6" s="18" t="inlineStr">
        <is>
          <t>현금및현금성자산</t>
        </is>
      </c>
      <c r="B6" s="10" t="n"/>
      <c r="C6" s="19" t="n">
        <v>15436</v>
      </c>
      <c r="D6" s="20" t="n">
        <v>19768</v>
      </c>
      <c r="E6" s="20" t="n">
        <v>19362</v>
      </c>
      <c r="F6" s="20" t="n">
        <v>24031</v>
      </c>
      <c r="G6" s="20" t="n">
        <v>21060</v>
      </c>
      <c r="H6" s="19" t="n">
        <v>12224</v>
      </c>
      <c r="I6" s="20" t="n">
        <v>9128</v>
      </c>
      <c r="J6" s="20" t="n">
        <v>16126</v>
      </c>
      <c r="K6" s="20" t="n">
        <v>16751</v>
      </c>
      <c r="L6" s="20" t="n">
        <v>24031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18603</v>
      </c>
      <c r="D8" s="20" t="n">
        <v>19152</v>
      </c>
      <c r="E8" s="20" t="n">
        <v>23328</v>
      </c>
      <c r="F8" s="20" t="n">
        <v>21364</v>
      </c>
      <c r="G8" s="20" t="n">
        <v>24278</v>
      </c>
      <c r="H8" s="19" t="n">
        <v>14959</v>
      </c>
      <c r="I8" s="20" t="n">
        <v>15105</v>
      </c>
      <c r="J8" s="20" t="n">
        <v>18299</v>
      </c>
      <c r="K8" s="20" t="n">
        <v>19842</v>
      </c>
      <c r="L8" s="20" t="n">
        <v>21364</v>
      </c>
    </row>
    <row r="9">
      <c r="A9" s="18" t="inlineStr">
        <is>
          <t>재고자산</t>
        </is>
      </c>
      <c r="B9" s="10" t="n"/>
      <c r="C9" s="19" t="n">
        <v>15794</v>
      </c>
      <c r="D9" s="20" t="n">
        <v>16790</v>
      </c>
      <c r="E9" s="20" t="n">
        <v>17615</v>
      </c>
      <c r="F9" s="20" t="n">
        <v>18723</v>
      </c>
      <c r="G9" s="20" t="n">
        <v>18737</v>
      </c>
      <c r="H9" s="19" t="n">
        <v>15508</v>
      </c>
      <c r="I9" s="20" t="n">
        <v>16636</v>
      </c>
      <c r="J9" s="20" t="n">
        <v>14140</v>
      </c>
      <c r="K9" s="20" t="n">
        <v>15899</v>
      </c>
      <c r="L9" s="20" t="n">
        <v>18723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39412</v>
      </c>
      <c r="D11" s="12" t="n">
        <v>41745</v>
      </c>
      <c r="E11" s="12" t="n">
        <v>43393</v>
      </c>
      <c r="F11" s="12" t="n">
        <v>45621</v>
      </c>
      <c r="G11" s="12" t="n">
        <v>47599</v>
      </c>
      <c r="H11" s="11" t="n">
        <v>39935</v>
      </c>
      <c r="I11" s="12" t="n">
        <v>39614</v>
      </c>
      <c r="J11" s="12" t="n">
        <v>40922</v>
      </c>
      <c r="K11" s="12" t="n">
        <v>39865</v>
      </c>
      <c r="L11" s="12" t="n">
        <v>45621</v>
      </c>
    </row>
    <row r="12">
      <c r="A12" s="18" t="inlineStr">
        <is>
          <t>유형자산</t>
        </is>
      </c>
      <c r="B12" s="10" t="n"/>
      <c r="C12" s="19" t="n">
        <v>30824</v>
      </c>
      <c r="D12" s="20" t="n">
        <v>32171</v>
      </c>
      <c r="E12" s="20" t="n">
        <v>32977</v>
      </c>
      <c r="F12" s="20" t="n">
        <v>33328</v>
      </c>
      <c r="G12" s="20" t="n">
        <v>34244</v>
      </c>
      <c r="H12" s="19" t="n">
        <v>33358</v>
      </c>
      <c r="I12" s="20" t="n">
        <v>32743</v>
      </c>
      <c r="J12" s="20" t="n">
        <v>32467</v>
      </c>
      <c r="K12" s="20" t="n">
        <v>31398</v>
      </c>
      <c r="L12" s="20" t="n">
        <v>33328</v>
      </c>
    </row>
    <row r="13">
      <c r="A13" s="18" t="inlineStr">
        <is>
          <t>무형자산</t>
        </is>
      </c>
      <c r="B13" s="10" t="n"/>
      <c r="C13" s="19" t="n">
        <v>273</v>
      </c>
      <c r="D13" s="20" t="n">
        <v>253</v>
      </c>
      <c r="E13" s="20" t="n">
        <v>264</v>
      </c>
      <c r="F13" s="20" t="n">
        <v>268</v>
      </c>
      <c r="G13" s="20" t="n">
        <v>256</v>
      </c>
      <c r="H13" s="19" t="n">
        <v>618</v>
      </c>
      <c r="I13" s="20" t="n">
        <v>341</v>
      </c>
      <c r="J13" s="20" t="n">
        <v>290</v>
      </c>
      <c r="K13" s="20" t="n">
        <v>250</v>
      </c>
      <c r="L13" s="20" t="n">
        <v>268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94188</v>
      </c>
      <c r="D16" s="12" t="n">
        <v>102398</v>
      </c>
      <c r="E16" s="12" t="n">
        <v>109509</v>
      </c>
      <c r="F16" s="12" t="n">
        <v>115003</v>
      </c>
      <c r="G16" s="12" t="n">
        <v>117147</v>
      </c>
      <c r="H16" s="11" t="n">
        <v>86469</v>
      </c>
      <c r="I16" s="12" t="n">
        <v>85025</v>
      </c>
      <c r="J16" s="12" t="n">
        <v>94537</v>
      </c>
      <c r="K16" s="12" t="n">
        <v>97113</v>
      </c>
      <c r="L16" s="12" t="n">
        <v>115003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25693</v>
      </c>
      <c r="D18" s="12" t="n">
        <v>28049</v>
      </c>
      <c r="E18" s="12" t="n">
        <v>34155</v>
      </c>
      <c r="F18" s="12" t="n">
        <v>39562</v>
      </c>
      <c r="G18" s="12" t="n">
        <v>39405</v>
      </c>
      <c r="H18" s="11" t="n">
        <v>21726</v>
      </c>
      <c r="I18" s="12" t="n">
        <v>20639</v>
      </c>
      <c r="J18" s="12" t="n">
        <v>25159</v>
      </c>
      <c r="K18" s="12" t="n">
        <v>26532</v>
      </c>
      <c r="L18" s="12" t="n">
        <v>39562</v>
      </c>
    </row>
    <row r="19">
      <c r="A19" s="18" t="inlineStr">
        <is>
          <t>매입채무</t>
        </is>
      </c>
      <c r="B19" s="10" t="n"/>
      <c r="C19" s="19" t="n">
        <v>12523</v>
      </c>
      <c r="D19" s="20" t="n">
        <v>13002</v>
      </c>
      <c r="E19" s="20" t="n">
        <v>17003</v>
      </c>
      <c r="F19" s="20" t="n">
        <v>15358</v>
      </c>
      <c r="G19" s="20" t="n">
        <v>16712</v>
      </c>
      <c r="H19" s="19" t="n">
        <v>10204</v>
      </c>
      <c r="I19" s="20" t="n">
        <v>9972</v>
      </c>
      <c r="J19" s="20" t="n">
        <v>11979</v>
      </c>
      <c r="K19" s="20" t="n">
        <v>13484</v>
      </c>
      <c r="L19" s="20" t="n">
        <v>15358</v>
      </c>
    </row>
    <row r="20">
      <c r="A20" s="18" t="inlineStr">
        <is>
          <t>단기차입금</t>
        </is>
      </c>
      <c r="B20" s="10" t="n"/>
      <c r="C20" s="19" t="n">
        <v>6504</v>
      </c>
      <c r="D20" s="20" t="n">
        <v>7143</v>
      </c>
      <c r="E20" s="20" t="n">
        <v>7206</v>
      </c>
      <c r="F20" s="20" t="n">
        <v>7230</v>
      </c>
      <c r="G20" s="20" t="n">
        <v>7050</v>
      </c>
      <c r="H20" s="19" t="n">
        <v>6711</v>
      </c>
      <c r="I20" s="20" t="n">
        <v>6516</v>
      </c>
      <c r="J20" s="20" t="n">
        <v>7847</v>
      </c>
      <c r="K20" s="20" t="n">
        <v>6300</v>
      </c>
      <c r="L20" s="20" t="n">
        <v>7230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>
        <v>6000</v>
      </c>
      <c r="G21" s="20" t="n">
        <v>6000</v>
      </c>
      <c r="H21" s="19" t="n"/>
      <c r="I21" s="20" t="n"/>
      <c r="J21" s="20" t="n"/>
      <c r="K21" s="20" t="n">
        <v>0</v>
      </c>
      <c r="L21" s="20" t="n">
        <v>6000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24602</v>
      </c>
      <c r="D23" s="12" t="n">
        <v>22374</v>
      </c>
      <c r="E23" s="12" t="n">
        <v>21070</v>
      </c>
      <c r="F23" s="12" t="n">
        <v>17183</v>
      </c>
      <c r="G23" s="12" t="n">
        <v>16769</v>
      </c>
      <c r="H23" s="11" t="n">
        <v>24359</v>
      </c>
      <c r="I23" s="12" t="n">
        <v>26089</v>
      </c>
      <c r="J23" s="12" t="n">
        <v>28081</v>
      </c>
      <c r="K23" s="12" t="n">
        <v>26075</v>
      </c>
      <c r="L23" s="12" t="n">
        <v>17183</v>
      </c>
    </row>
    <row r="24">
      <c r="A24" s="18" t="inlineStr">
        <is>
          <t>장기차입금</t>
        </is>
      </c>
      <c r="B24" s="10" t="n"/>
      <c r="C24" s="19" t="n">
        <v>15616</v>
      </c>
      <c r="D24" s="20" t="n">
        <v>14172</v>
      </c>
      <c r="E24" s="20" t="n">
        <v>12705</v>
      </c>
      <c r="F24" s="20" t="n">
        <v>14431</v>
      </c>
      <c r="G24" s="20" t="n">
        <v>12988</v>
      </c>
      <c r="H24" s="19" t="n">
        <v>15051</v>
      </c>
      <c r="I24" s="20" t="n">
        <v>17348</v>
      </c>
      <c r="J24" s="20" t="n">
        <v>18950</v>
      </c>
      <c r="K24" s="20" t="n">
        <v>17114</v>
      </c>
      <c r="L24" s="20" t="n">
        <v>14431</v>
      </c>
    </row>
    <row r="25">
      <c r="A25" s="18" t="inlineStr">
        <is>
          <t>사채</t>
        </is>
      </c>
      <c r="B25" s="10" t="n"/>
      <c r="C25" s="19" t="n">
        <v>6000</v>
      </c>
      <c r="D25" s="20" t="n">
        <v>6000</v>
      </c>
      <c r="E25" s="20" t="n">
        <v>6000</v>
      </c>
      <c r="F25" s="20" t="n">
        <v>0</v>
      </c>
      <c r="G25" s="20" t="n"/>
      <c r="H25" s="19" t="n">
        <v>6000</v>
      </c>
      <c r="I25" s="20" t="n">
        <v>6000</v>
      </c>
      <c r="J25" s="20" t="n">
        <v>6000</v>
      </c>
      <c r="K25" s="20" t="n">
        <v>6000</v>
      </c>
      <c r="L25" s="20" t="n">
        <v>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50295</v>
      </c>
      <c r="D27" s="12" t="n">
        <v>50424</v>
      </c>
      <c r="E27" s="12" t="n">
        <v>55225</v>
      </c>
      <c r="F27" s="12" t="n">
        <v>56746</v>
      </c>
      <c r="G27" s="12" t="n">
        <v>56174</v>
      </c>
      <c r="H27" s="11" t="n">
        <v>46086</v>
      </c>
      <c r="I27" s="12" t="n">
        <v>46729</v>
      </c>
      <c r="J27" s="12" t="n">
        <v>53240</v>
      </c>
      <c r="K27" s="12" t="n">
        <v>52608</v>
      </c>
      <c r="L27" s="12" t="n">
        <v>56746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38947</v>
      </c>
      <c r="D31" s="12" t="n">
        <v>46458</v>
      </c>
      <c r="E31" s="12" t="n">
        <v>48490</v>
      </c>
      <c r="F31" s="12" t="n">
        <v>52039</v>
      </c>
      <c r="G31" s="12" t="n">
        <v>54991</v>
      </c>
      <c r="H31" s="11" t="n">
        <v>36767</v>
      </c>
      <c r="I31" s="12" t="n">
        <v>34347</v>
      </c>
      <c r="J31" s="12" t="n">
        <v>36748</v>
      </c>
      <c r="K31" s="12" t="n">
        <v>38729</v>
      </c>
      <c r="L31" s="12" t="n">
        <v>52039</v>
      </c>
    </row>
    <row r="32">
      <c r="A32" s="18" t="inlineStr">
        <is>
          <t>자본금</t>
        </is>
      </c>
      <c r="B32" s="10" t="n"/>
      <c r="C32" s="19" t="n">
        <v>8895</v>
      </c>
      <c r="D32" s="20" t="n">
        <v>8895</v>
      </c>
      <c r="E32" s="20" t="n">
        <v>8895</v>
      </c>
      <c r="F32" s="20" t="n">
        <v>8895</v>
      </c>
      <c r="G32" s="20" t="n">
        <v>8895</v>
      </c>
      <c r="H32" s="19" t="n">
        <v>8895</v>
      </c>
      <c r="I32" s="20" t="n">
        <v>8895</v>
      </c>
      <c r="J32" s="20" t="n">
        <v>8895</v>
      </c>
      <c r="K32" s="20" t="n">
        <v>8895</v>
      </c>
      <c r="L32" s="20" t="n">
        <v>8895</v>
      </c>
    </row>
    <row r="33">
      <c r="A33" s="18" t="inlineStr">
        <is>
          <t>이익잉여금</t>
        </is>
      </c>
      <c r="B33" s="10" t="n"/>
      <c r="C33" s="19" t="n">
        <v>22033</v>
      </c>
      <c r="D33" s="20" t="n">
        <v>23231</v>
      </c>
      <c r="E33" s="20" t="n">
        <v>24646</v>
      </c>
      <c r="F33" s="20" t="n">
        <v>26583</v>
      </c>
      <c r="G33" s="20" t="n">
        <v>28744</v>
      </c>
      <c r="H33" s="19" t="n">
        <v>20498</v>
      </c>
      <c r="I33" s="20" t="n">
        <v>19250</v>
      </c>
      <c r="J33" s="20" t="n">
        <v>19851</v>
      </c>
      <c r="K33" s="20" t="n">
        <v>21575</v>
      </c>
      <c r="L33" s="20" t="n">
        <v>26583</v>
      </c>
    </row>
    <row r="34">
      <c r="A34" s="18" t="inlineStr">
        <is>
          <t>비지배지분</t>
        </is>
      </c>
      <c r="B34" s="10" t="n"/>
      <c r="C34" s="19" t="n">
        <v>4946</v>
      </c>
      <c r="D34" s="20" t="n">
        <v>5516</v>
      </c>
      <c r="E34" s="20" t="n">
        <v>5793</v>
      </c>
      <c r="F34" s="20" t="n">
        <v>6218</v>
      </c>
      <c r="G34" s="20" t="n">
        <v>5982</v>
      </c>
      <c r="H34" s="19" t="n">
        <v>3616</v>
      </c>
      <c r="I34" s="20" t="n">
        <v>3949</v>
      </c>
      <c r="J34" s="20" t="n">
        <v>4549</v>
      </c>
      <c r="K34" s="20" t="n">
        <v>5775</v>
      </c>
      <c r="L34" s="20" t="n">
        <v>6218</v>
      </c>
    </row>
    <row r="35">
      <c r="A35" s="9" t="inlineStr">
        <is>
          <t>자본총계</t>
        </is>
      </c>
      <c r="B35" s="10" t="n"/>
      <c r="C35" s="11" t="n">
        <v>43893</v>
      </c>
      <c r="D35" s="12" t="n">
        <v>51974</v>
      </c>
      <c r="E35" s="12" t="n">
        <v>54283</v>
      </c>
      <c r="F35" s="12" t="n">
        <v>58257</v>
      </c>
      <c r="G35" s="12" t="n">
        <v>60973</v>
      </c>
      <c r="H35" s="11" t="n">
        <v>40383</v>
      </c>
      <c r="I35" s="12" t="n">
        <v>38296</v>
      </c>
      <c r="J35" s="12" t="n">
        <v>41297</v>
      </c>
      <c r="K35" s="12" t="n">
        <v>44504</v>
      </c>
      <c r="L35" s="12" t="n">
        <v>58257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6955</v>
      </c>
      <c r="E37" s="12" t="n"/>
      <c r="F37" s="12" t="n">
        <v>9962</v>
      </c>
      <c r="G37" s="12" t="n"/>
      <c r="H37" s="11" t="n">
        <v>5520</v>
      </c>
      <c r="I37" s="12" t="n">
        <v>724</v>
      </c>
      <c r="J37" s="12" t="n">
        <v>7091</v>
      </c>
      <c r="K37" s="12" t="n">
        <v>7528</v>
      </c>
      <c r="L37" s="12" t="n">
        <v>9962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2432</v>
      </c>
      <c r="E38" s="20" t="n"/>
      <c r="F38" s="20" t="n">
        <v>3622</v>
      </c>
      <c r="G38" s="20" t="n"/>
      <c r="H38" s="19" t="n">
        <v>2661</v>
      </c>
      <c r="I38" s="20" t="n">
        <v>2834</v>
      </c>
      <c r="J38" s="20" t="n">
        <v>2502</v>
      </c>
      <c r="K38" s="20" t="n">
        <v>2140</v>
      </c>
      <c r="L38" s="20" t="n">
        <v>3622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957</v>
      </c>
      <c r="E40" s="20" t="n"/>
      <c r="F40" s="20" t="n">
        <v>1161</v>
      </c>
      <c r="G40" s="20" t="n"/>
      <c r="H40" s="19" t="n">
        <v>712</v>
      </c>
      <c r="I40" s="20" t="n">
        <v>840</v>
      </c>
      <c r="J40" s="20" t="n">
        <v>573</v>
      </c>
      <c r="K40" s="20" t="n">
        <v>861</v>
      </c>
      <c r="L40" s="20" t="n">
        <v>1161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IFERROR((IF(COUNT('연간'!G46:J46)&lt;4,"",SUM('연간'!G46:J46)))/(IF(COUNT('연간'!G68:J68)&lt;4,"",SUM('연간'!G68:J68))),"")</f>
        <v/>
      </c>
      <c r="D48" s="31">
        <f>IFERROR((IF(COUNT('연간'!H46:K46)&lt;4,"",SUM('연간'!H46:K46)))/(IF(COUNT('연간'!H68:K68)&lt;4,"",SUM('연간'!H68:K68))),"")</f>
        <v/>
      </c>
      <c r="E48" s="31">
        <f>IFERROR((IF(COUNT('연간'!I46:L46)&lt;4,"",SUM('연간'!I46:L46)))/(IF(COUNT('연간'!I68:L68)&lt;4,"",SUM('연간'!I68:L68))),"")</f>
        <v/>
      </c>
      <c r="F48" s="31">
        <f>IFERROR((IF(COUNT('연간'!J46:M46)&lt;4,"",SUM('연간'!J46:M46)))/(IF(COUNT('연간'!J68:M68)&lt;4,"",SUM('연간'!J68:M68))),"")</f>
        <v/>
      </c>
      <c r="G48" s="31">
        <f>IFERROR((IF(COUNT('연간'!K46:N46)&lt;4,"",SUM('연간'!K46:N46)))/(IF(COUNT('연간'!K68:N68)&lt;4,"",SUM('연간'!K68:N68))),"")</f>
        <v/>
      </c>
      <c r="H48" s="30">
        <f>IFERROR(('연간'!T46)/('연간'!T68),"")</f>
        <v/>
      </c>
      <c r="I48" s="31">
        <f>IFERROR(('연간'!U46)/('연간'!U68),"")</f>
        <v/>
      </c>
      <c r="J48" s="31">
        <f>IFERROR(('연간'!V46)/('연간'!V68),"")</f>
        <v/>
      </c>
      <c r="K48" s="31">
        <f>IFERROR(('연간'!W46)/('연간'!W68),"")</f>
        <v/>
      </c>
      <c r="L48" s="31">
        <f>IFERROR(('연간'!X46)/('연간'!X68),"")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IFERROR(IF((IF(COUNT('연간'!G74:J74)&lt;4,"",SUM('연간'!G74:J74)))&lt;=0,"적자",C28/(IF(COUNT('연간'!G74:J74)&lt;4,"",SUM('연간'!G74:J74)))),"")</f>
        <v/>
      </c>
      <c r="D49" s="46">
        <f>IFERROR(IF((IF(COUNT('연간'!H74:K74)&lt;4,"",SUM('연간'!H74:K74)))&lt;=0,"적자",D28/(IF(COUNT('연간'!H74:K74)&lt;4,"",SUM('연간'!H74:K74)))),"")</f>
        <v/>
      </c>
      <c r="E49" s="46">
        <f>IFERROR(IF((IF(COUNT('연간'!I74:L74)&lt;4,"",SUM('연간'!I74:L74)))&lt;=0,"적자",E28/(IF(COUNT('연간'!I74:L74)&lt;4,"",SUM('연간'!I74:L74)))),"")</f>
        <v/>
      </c>
      <c r="F49" s="46">
        <f>IFERROR(IF((IF(COUNT('연간'!J74:M74)&lt;4,"",SUM('연간'!J74:M74)))&lt;=0,"적자",F28/(IF(COUNT('연간'!J74:M74)&lt;4,"",SUM('연간'!J74:M74)))),"")</f>
        <v/>
      </c>
      <c r="G49" s="46">
        <f>IFERROR(IF((IF(COUNT('연간'!K74:N74)&lt;4,"",SUM('연간'!K74:N74)))&lt;=0,"적자",G28/(IF(COUNT('연간'!K74:N74)&lt;4,"",SUM('연간'!K74:N74)))),"")</f>
        <v/>
      </c>
      <c r="H49" s="45">
        <f>IFERROR(IF(('연간'!T74)&lt;=0,"적자",H28/('연간'!T74)),"")</f>
        <v/>
      </c>
      <c r="I49" s="46">
        <f>IFERROR(IF(('연간'!U74)&lt;=0,"적자",I28/('연간'!U74)),"")</f>
        <v/>
      </c>
      <c r="J49" s="46">
        <f>IFERROR(IF(('연간'!V74)&lt;=0,"적자",J28/('연간'!V74)),"")</f>
        <v/>
      </c>
      <c r="K49" s="46">
        <f>IFERROR(IF(('연간'!W74)&lt;=0,"적자",K28/('연간'!W74)),"")</f>
        <v/>
      </c>
      <c r="L49" s="46">
        <f>IFERROR(IF(('연간'!X74)&lt;=0,"적자",L28/('연간'!X74)),"")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IFERROR((IF(COUNT('연간'!G74:J74)&lt;4,"",SUM('연간'!G74:J74)))/C31,"")</f>
        <v/>
      </c>
      <c r="D51" s="36">
        <f>IFERROR((IF(COUNT('연간'!H74:K74)&lt;4,"",SUM('연간'!H74:K74)))/D31,"")</f>
        <v/>
      </c>
      <c r="E51" s="36">
        <f>IFERROR((IF(COUNT('연간'!I74:L74)&lt;4,"",SUM('연간'!I74:L74)))/E31,"")</f>
        <v/>
      </c>
      <c r="F51" s="36">
        <f>IFERROR((IF(COUNT('연간'!J74:M74)&lt;4,"",SUM('연간'!J74:M74)))/F31,"")</f>
        <v/>
      </c>
      <c r="G51" s="36">
        <f>IFERROR((IF(COUNT('연간'!K74:N74)&lt;4,"",SUM('연간'!K74:N74)))/G31,"")</f>
        <v/>
      </c>
      <c r="H51" s="35">
        <f>IFERROR(('연간'!T74)/H31,"")</f>
        <v/>
      </c>
      <c r="I51" s="36">
        <f>IFERROR(('연간'!U74)/I31,"")</f>
        <v/>
      </c>
      <c r="J51" s="36">
        <f>IFERROR(('연간'!V74)/J31,"")</f>
        <v/>
      </c>
      <c r="K51" s="36">
        <f>IFERROR(('연간'!W74)/K31,"")</f>
        <v/>
      </c>
      <c r="L51" s="36">
        <f>IFERROR(('연간'!X74)/L31,"")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IFERROR((IF(COUNT('연간'!G73:J73)&lt;4,"",SUM('연간'!G73:J73)))/C16,"")</f>
        <v/>
      </c>
      <c r="D52" s="36">
        <f>IFERROR((IF(COUNT('연간'!H73:K73)&lt;4,"",SUM('연간'!H73:K73)))/D16,"")</f>
        <v/>
      </c>
      <c r="E52" s="36">
        <f>IFERROR((IF(COUNT('연간'!I73:L73)&lt;4,"",SUM('연간'!I73:L73)))/E16,"")</f>
        <v/>
      </c>
      <c r="F52" s="36">
        <f>IFERROR((IF(COUNT('연간'!J73:M73)&lt;4,"",SUM('연간'!J73:M73)))/F16,"")</f>
        <v/>
      </c>
      <c r="G52" s="36">
        <f>IFERROR((IF(COUNT('연간'!K73:N73)&lt;4,"",SUM('연간'!K73:N73)))/G16,"")</f>
        <v/>
      </c>
      <c r="H52" s="35">
        <f>IFERROR(('연간'!T73)/H16,"")</f>
        <v/>
      </c>
      <c r="I52" s="36">
        <f>IFERROR(('연간'!U73)/I16,"")</f>
        <v/>
      </c>
      <c r="J52" s="36">
        <f>IFERROR(('연간'!V73)/J16,"")</f>
        <v/>
      </c>
      <c r="K52" s="36">
        <f>IFERROR(('연간'!W73)/K16,"")</f>
        <v/>
      </c>
      <c r="L52" s="36">
        <f>IFERROR(('연간'!X73)/L16,"")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IFERROR((IF(COUNT('연간'!G46:J46)&lt;4,"",SUM('연간'!G46:J46)))*(1-0.3)/(C35+C29),"")</f>
        <v/>
      </c>
      <c r="D53" s="36">
        <f>IFERROR((IF(COUNT('연간'!H46:K46)&lt;4,"",SUM('연간'!H46:K46)))*(1-0.3)/(D35+D29),"")</f>
        <v/>
      </c>
      <c r="E53" s="36">
        <f>IFERROR((IF(COUNT('연간'!I46:L46)&lt;4,"",SUM('연간'!I46:L46)))*(1-0.3)/(E35+E29),"")</f>
        <v/>
      </c>
      <c r="F53" s="36">
        <f>IFERROR((IF(COUNT('연간'!J46:M46)&lt;4,"",SUM('연간'!J46:M46)))*(1-0.3)/(F35+F29),"")</f>
        <v/>
      </c>
      <c r="G53" s="36">
        <f>IFERROR((IF(COUNT('연간'!K46:N46)&lt;4,"",SUM('연간'!K46:N46)))*(1-0.3)/(G35+G29),"")</f>
        <v/>
      </c>
      <c r="H53" s="35">
        <f>IFERROR(('연간'!T46)*(1-0.3)/(H35+H29),"")</f>
        <v/>
      </c>
      <c r="I53" s="36">
        <f>IFERROR(('연간'!U46)*(1-0.3)/(I35+I29),"")</f>
        <v/>
      </c>
      <c r="J53" s="36">
        <f>IFERROR(('연간'!V46)*(1-0.3)/(J35+J29),"")</f>
        <v/>
      </c>
      <c r="K53" s="36">
        <f>IFERROR(('연간'!W46)*(1-0.3)/(K35+K29),"")</f>
        <v/>
      </c>
      <c r="L53" s="36">
        <f>IFERROR(('연간'!X46)*(1-0.3)/(L35+L29),"")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IFERROR((IF(COUNT('연간'!G42:J42)&lt;4,"",SUM('연간'!G42:J42)))/(IF(COUNT('연간'!G4:J4)&lt;4,"",SUM('연간'!G4:J4))),"")</f>
        <v/>
      </c>
      <c r="D54" s="36">
        <f>IFERROR((IF(COUNT('연간'!H42:K42)&lt;4,"",SUM('연간'!H42:K42)))/(IF(COUNT('연간'!H4:K4)&lt;4,"",SUM('연간'!H4:K4))),"")</f>
        <v/>
      </c>
      <c r="E54" s="36">
        <f>IFERROR((IF(COUNT('연간'!I42:L42)&lt;4,"",SUM('연간'!I42:L42)))/(IF(COUNT('연간'!I4:L4)&lt;4,"",SUM('연간'!I4:L4))),"")</f>
        <v/>
      </c>
      <c r="F54" s="36">
        <f>IFERROR((IF(COUNT('연간'!J42:M42)&lt;4,"",SUM('연간'!J42:M42)))/(IF(COUNT('연간'!J4:M4)&lt;4,"",SUM('연간'!J4:M4))),"")</f>
        <v/>
      </c>
      <c r="G54" s="36">
        <f>IFERROR((IF(COUNT('연간'!K42:N42)&lt;4,"",SUM('연간'!K42:N42)))/(IF(COUNT('연간'!K4:N4)&lt;4,"",SUM('연간'!K4:N4))),"")</f>
        <v/>
      </c>
      <c r="H54" s="35">
        <f>IFERROR(('연간'!T42)/('연간'!T4),"")</f>
        <v/>
      </c>
      <c r="I54" s="36">
        <f>IFERROR(('연간'!U42)/('연간'!U4),"")</f>
        <v/>
      </c>
      <c r="J54" s="36">
        <f>IFERROR(('연간'!V42)/('연간'!V4),"")</f>
        <v/>
      </c>
      <c r="K54" s="36">
        <f>IFERROR(('연간'!W42)/('연간'!W4),"")</f>
        <v/>
      </c>
      <c r="L54" s="36">
        <f>IFERROR(('연간'!X42)/('연간'!X4),"")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IFERROR((IF(COUNT('연간'!G46:J46)&lt;4,"",SUM('연간'!G46:J46)))/(IF(COUNT('연간'!G4:J4)&lt;4,"",SUM('연간'!G4:J4))),"")</f>
        <v/>
      </c>
      <c r="D55" s="36">
        <f>IFERROR((IF(COUNT('연간'!H46:K46)&lt;4,"",SUM('연간'!H46:K46)))/(IF(COUNT('연간'!H4:K4)&lt;4,"",SUM('연간'!H4:K4))),"")</f>
        <v/>
      </c>
      <c r="E55" s="36">
        <f>IFERROR((IF(COUNT('연간'!I46:L46)&lt;4,"",SUM('연간'!I46:L46)))/(IF(COUNT('연간'!I4:L4)&lt;4,"",SUM('연간'!I4:L4))),"")</f>
        <v/>
      </c>
      <c r="F55" s="36">
        <f>IFERROR((IF(COUNT('연간'!J46:M46)&lt;4,"",SUM('연간'!J46:M46)))/(IF(COUNT('연간'!J4:M4)&lt;4,"",SUM('연간'!J4:M4))),"")</f>
        <v/>
      </c>
      <c r="G55" s="36">
        <f>IFERROR((IF(COUNT('연간'!K46:N46)&lt;4,"",SUM('연간'!K46:N46)))/(IF(COUNT('연간'!K4:N4)&lt;4,"",SUM('연간'!K4:N4))),"")</f>
        <v/>
      </c>
      <c r="H55" s="35">
        <f>IFERROR(('연간'!T46)/('연간'!T4),"")</f>
        <v/>
      </c>
      <c r="I55" s="36">
        <f>IFERROR(('연간'!U46)/('연간'!U4),"")</f>
        <v/>
      </c>
      <c r="J55" s="36">
        <f>IFERROR(('연간'!V46)/('연간'!V4),"")</f>
        <v/>
      </c>
      <c r="K55" s="36">
        <f>IFERROR(('연간'!W46)/('연간'!W4),"")</f>
        <v/>
      </c>
      <c r="L55" s="36">
        <f>IFERROR(('연간'!X46)/('연간'!X4),"")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IFERROR((IF(COUNT('연간'!G73:J73)&lt;4,"",SUM('연간'!G73:J73)))/(IF(COUNT('연간'!G4:J4)&lt;4,"",SUM('연간'!G4:J4))),"")</f>
        <v/>
      </c>
      <c r="D56" s="36">
        <f>IFERROR((IF(COUNT('연간'!H73:K73)&lt;4,"",SUM('연간'!H73:K73)))/(IF(COUNT('연간'!H4:K4)&lt;4,"",SUM('연간'!H4:K4))),"")</f>
        <v/>
      </c>
      <c r="E56" s="36">
        <f>IFERROR((IF(COUNT('연간'!I73:L73)&lt;4,"",SUM('연간'!I73:L73)))/(IF(COUNT('연간'!I4:L4)&lt;4,"",SUM('연간'!I4:L4))),"")</f>
        <v/>
      </c>
      <c r="F56" s="36">
        <f>IFERROR((IF(COUNT('연간'!J73:M73)&lt;4,"",SUM('연간'!J73:M73)))/(IF(COUNT('연간'!J4:M4)&lt;4,"",SUM('연간'!J4:M4))),"")</f>
        <v/>
      </c>
      <c r="G56" s="36">
        <f>IFERROR((IF(COUNT('연간'!K73:N73)&lt;4,"",SUM('연간'!K73:N73)))/(IF(COUNT('연간'!K4:N4)&lt;4,"",SUM('연간'!K4:N4))),"")</f>
        <v/>
      </c>
      <c r="H56" s="35">
        <f>IFERROR(('연간'!T73)/('연간'!T4),"")</f>
        <v/>
      </c>
      <c r="I56" s="36">
        <f>IFERROR(('연간'!U73)/('연간'!U4),"")</f>
        <v/>
      </c>
      <c r="J56" s="36">
        <f>IFERROR(('연간'!V73)/('연간'!V4),"")</f>
        <v/>
      </c>
      <c r="K56" s="36">
        <f>IFERROR(('연간'!W73)/('연간'!W4),"")</f>
        <v/>
      </c>
      <c r="L56" s="36">
        <f>IFERROR(('연간'!X73)/('연간'!X4),"")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IFERROR(C9/(IF(COUNT('연간'!G41:J41)&lt;4,"",SUM('연간'!G41:J41)))*365,"")</f>
        <v/>
      </c>
      <c r="D60" s="48">
        <f>IFERROR(D9/(IF(COUNT('연간'!H41:K41)&lt;4,"",SUM('연간'!H41:K41)))*365,"")</f>
        <v/>
      </c>
      <c r="E60" s="48">
        <f>IFERROR(E9/(IF(COUNT('연간'!I41:L41)&lt;4,"",SUM('연간'!I41:L41)))*365,"")</f>
        <v/>
      </c>
      <c r="F60" s="48">
        <f>IFERROR(F9/(IF(COUNT('연간'!J41:M41)&lt;4,"",SUM('연간'!J41:M41)))*365,"")</f>
        <v/>
      </c>
      <c r="G60" s="48">
        <f>IFERROR(G9/(IF(COUNT('연간'!K41:N41)&lt;4,"",SUM('연간'!K41:N41)))*365,"")</f>
        <v/>
      </c>
      <c r="H60" s="47">
        <f>IFERROR(H9/('연간'!T41)*365,"")</f>
        <v/>
      </c>
      <c r="I60" s="48">
        <f>IFERROR(I9/('연간'!U41)*365,"")</f>
        <v/>
      </c>
      <c r="J60" s="48">
        <f>IFERROR(J9/('연간'!V41)*365,"")</f>
        <v/>
      </c>
      <c r="K60" s="48">
        <f>IFERROR(K9/('연간'!W41)*365,"")</f>
        <v/>
      </c>
      <c r="L60" s="48">
        <f>IFERROR(L9/('연간'!X41)*365,"")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IFERROR(C19/(IF(COUNT('연간'!G41:J41)&lt;4,"",SUM('연간'!G41:J41)))*365,"")</f>
        <v/>
      </c>
      <c r="D61" s="48">
        <f>IFERROR(D19/(IF(COUNT('연간'!H41:K41)&lt;4,"",SUM('연간'!H41:K41)))*365,"")</f>
        <v/>
      </c>
      <c r="E61" s="48">
        <f>IFERROR(E19/(IF(COUNT('연간'!I41:L41)&lt;4,"",SUM('연간'!I41:L41)))*365,"")</f>
        <v/>
      </c>
      <c r="F61" s="48">
        <f>IFERROR(F19/(IF(COUNT('연간'!J41:M41)&lt;4,"",SUM('연간'!J41:M41)))*365,"")</f>
        <v/>
      </c>
      <c r="G61" s="48">
        <f>IFERROR(G19/(IF(COUNT('연간'!K41:N41)&lt;4,"",SUM('연간'!K41:N41)))*365,"")</f>
        <v/>
      </c>
      <c r="H61" s="47">
        <f>IFERROR(H19/('연간'!T41)*365,"")</f>
        <v/>
      </c>
      <c r="I61" s="48">
        <f>IFERROR(I19/('연간'!U41)*365,"")</f>
        <v/>
      </c>
      <c r="J61" s="48">
        <f>IFERROR(J19/('연간'!V41)*365,"")</f>
        <v/>
      </c>
      <c r="K61" s="48">
        <f>IFERROR(K19/('연간'!W41)*365,"")</f>
        <v/>
      </c>
      <c r="L61" s="48">
        <f>IFERROR(L19/('연간'!X41)*365,"")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IF(C37="","",IFERROR(C37/(IF(COUNT('연간'!G73:J73)&lt;4,"",SUM('연간'!G73:J73))),""))</f>
        <v/>
      </c>
      <c r="D64" s="31">
        <f>IF(D37="","",IFERROR(D37/(IF(COUNT('연간'!H73:K73)&lt;4,"",SUM('연간'!H73:K73))),""))</f>
        <v/>
      </c>
      <c r="E64" s="31">
        <f>IF(E37="","",IFERROR(E37/(IF(COUNT('연간'!I73:L73)&lt;4,"",SUM('연간'!I73:L73))),""))</f>
        <v/>
      </c>
      <c r="F64" s="31">
        <f>IF(F37="","",IFERROR(F37/(IF(COUNT('연간'!J73:M73)&lt;4,"",SUM('연간'!J73:M73))),""))</f>
        <v/>
      </c>
      <c r="G64" s="31">
        <f>IF(G37="","",IFERROR(G37/(IF(COUNT('연간'!K73:N73)&lt;4,"",SUM('연간'!K73:N73))),""))</f>
        <v/>
      </c>
      <c r="H64" s="30">
        <f>IF(H37="","",IFERROR(H37/('연간'!T73),""))</f>
        <v/>
      </c>
      <c r="I64" s="31">
        <f>IF(I37="","",IFERROR(I37/('연간'!U73),""))</f>
        <v/>
      </c>
      <c r="J64" s="31">
        <f>IF(J37="","",IFERROR(J37/('연간'!V73),""))</f>
        <v/>
      </c>
      <c r="K64" s="31">
        <f>IF(K37="","",IFERROR(K37/('연간'!W73),""))</f>
        <v/>
      </c>
      <c r="L64" s="31">
        <f>IF(L37="","",IFERROR(L37/('연간'!X73),""))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IF(C40="","",IFERROR(C40/(IF(COUNT('연간'!G74:J74)&lt;4,"",SUM('연간'!G74:J74))),""))</f>
        <v/>
      </c>
      <c r="D67" s="36">
        <f>IF(D40="","",IFERROR(D40/(IF(COUNT('연간'!H74:K74)&lt;4,"",SUM('연간'!H74:K74))),""))</f>
        <v/>
      </c>
      <c r="E67" s="36">
        <f>IF(E40="","",IFERROR(E40/(IF(COUNT('연간'!I74:L74)&lt;4,"",SUM('연간'!I74:L74))),""))</f>
        <v/>
      </c>
      <c r="F67" s="36">
        <f>IF(F40="","",IFERROR(F40/(IF(COUNT('연간'!J74:M74)&lt;4,"",SUM('연간'!J74:M74))),""))</f>
        <v/>
      </c>
      <c r="G67" s="36">
        <f>IF(G40="","",IFERROR(G40/(IF(COUNT('연간'!K74:N74)&lt;4,"",SUM('연간'!K74:N74))),""))</f>
        <v/>
      </c>
      <c r="H67" s="35">
        <f>IF(H40="","",IFERROR(H40/('연간'!T74),""))</f>
        <v/>
      </c>
      <c r="I67" s="36">
        <f>IF(I40="","",IFERROR(I40/('연간'!U74),""))</f>
        <v/>
      </c>
      <c r="J67" s="36">
        <f>IF(J40="","",IFERROR(J40/('연간'!V74),""))</f>
        <v/>
      </c>
      <c r="K67" s="36">
        <f>IF(K40="","",IFERROR(K40/('연간'!W74),""))</f>
        <v/>
      </c>
      <c r="L67" s="36">
        <f>IF(L40="","",IFERROR(L40/('연간'!X74),""))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15436</v>
      </c>
      <c r="D71" s="20" t="n">
        <v>19768</v>
      </c>
      <c r="E71" s="20" t="n">
        <v>19362</v>
      </c>
      <c r="F71" s="20" t="n">
        <v>24031</v>
      </c>
      <c r="G71" s="20" t="n">
        <v>21060</v>
      </c>
      <c r="H71" s="20" t="n">
        <v>12224</v>
      </c>
      <c r="I71" s="20" t="n">
        <v>9128</v>
      </c>
      <c r="J71" s="20" t="n">
        <v>16126</v>
      </c>
      <c r="K71" s="20" t="n">
        <v>16751</v>
      </c>
      <c r="L71" s="20" t="n">
        <v>24031</v>
      </c>
    </row>
    <row r="72">
      <c r="A72" s="18" t="inlineStr">
        <is>
          <t>받을어음</t>
        </is>
      </c>
      <c r="F72" s="20" t="n">
        <v>217</v>
      </c>
      <c r="H72" s="20" t="n">
        <v>526</v>
      </c>
      <c r="I72" s="20" t="n">
        <v>345</v>
      </c>
      <c r="J72" s="20" t="n">
        <v>271</v>
      </c>
      <c r="K72" s="20" t="n">
        <v>232</v>
      </c>
      <c r="L72" s="20" t="n">
        <v>217</v>
      </c>
    </row>
    <row r="73">
      <c r="A73" s="18" t="inlineStr">
        <is>
          <t>매출채권</t>
        </is>
      </c>
      <c r="F73" s="20" t="n">
        <v>21147</v>
      </c>
      <c r="H73" s="20" t="n">
        <v>14432</v>
      </c>
      <c r="I73" s="20" t="n">
        <v>14759</v>
      </c>
      <c r="J73" s="20" t="n">
        <v>18027</v>
      </c>
      <c r="K73" s="20" t="n">
        <v>19610</v>
      </c>
      <c r="L73" s="20" t="n">
        <v>21147</v>
      </c>
    </row>
    <row r="74">
      <c r="A74" s="18" t="inlineStr">
        <is>
          <t>받을어음·매출채권</t>
        </is>
      </c>
      <c r="C74" s="20" t="n">
        <v>18603</v>
      </c>
      <c r="D74" s="20" t="n">
        <v>19152</v>
      </c>
      <c r="E74" s="20" t="n">
        <v>23328</v>
      </c>
      <c r="F74" s="20" t="n">
        <v>21364</v>
      </c>
      <c r="G74" s="20" t="n">
        <v>24278</v>
      </c>
      <c r="H74" s="20" t="n">
        <v>14959</v>
      </c>
      <c r="I74" s="20" t="n">
        <v>15105</v>
      </c>
      <c r="J74" s="20" t="n">
        <v>18299</v>
      </c>
      <c r="K74" s="20" t="n">
        <v>19842</v>
      </c>
      <c r="L74" s="20" t="n">
        <v>21364</v>
      </c>
    </row>
    <row r="75">
      <c r="A75" s="18" t="inlineStr">
        <is>
          <t>전자기록채권</t>
        </is>
      </c>
      <c r="C75" s="20" t="n">
        <v>2767</v>
      </c>
      <c r="D75" s="20" t="n">
        <v>2191</v>
      </c>
      <c r="E75" s="20" t="n">
        <v>2839</v>
      </c>
      <c r="F75" s="20" t="n">
        <v>2180</v>
      </c>
      <c r="G75" s="20" t="n">
        <v>2609</v>
      </c>
      <c r="H75" s="20" t="n">
        <v>1532</v>
      </c>
      <c r="I75" s="20" t="n">
        <v>2218</v>
      </c>
      <c r="J75" s="20" t="n">
        <v>2364</v>
      </c>
      <c r="K75" s="20" t="n">
        <v>2316</v>
      </c>
      <c r="L75" s="20" t="n">
        <v>2180</v>
      </c>
    </row>
    <row r="76">
      <c r="A76" s="18" t="inlineStr">
        <is>
          <t>상품·제품</t>
        </is>
      </c>
      <c r="C76" s="20" t="n">
        <v>11113</v>
      </c>
      <c r="D76" s="20" t="n">
        <v>11739</v>
      </c>
      <c r="E76" s="20" t="n">
        <v>12448</v>
      </c>
      <c r="F76" s="20" t="n">
        <v>13008</v>
      </c>
      <c r="G76" s="20" t="n">
        <v>12415</v>
      </c>
      <c r="H76" s="20" t="n">
        <v>11582</v>
      </c>
      <c r="I76" s="20" t="n">
        <v>13131</v>
      </c>
      <c r="J76" s="20" t="n">
        <v>11029</v>
      </c>
      <c r="K76" s="20" t="n">
        <v>11987</v>
      </c>
      <c r="L76" s="20" t="n">
        <v>13008</v>
      </c>
    </row>
    <row r="77">
      <c r="A77" s="18" t="inlineStr">
        <is>
          <t>재공품</t>
        </is>
      </c>
      <c r="C77" s="20" t="n">
        <v>20</v>
      </c>
      <c r="D77" s="20" t="n">
        <v>18</v>
      </c>
      <c r="E77" s="20" t="n">
        <v>19</v>
      </c>
      <c r="F77" s="20" t="n">
        <v>20</v>
      </c>
      <c r="G77" s="20" t="n">
        <v>17</v>
      </c>
      <c r="H77" s="20" t="n">
        <v>21</v>
      </c>
      <c r="I77" s="20" t="n">
        <v>16</v>
      </c>
      <c r="J77" s="20" t="n">
        <v>20</v>
      </c>
      <c r="K77" s="20" t="n">
        <v>18</v>
      </c>
      <c r="L77" s="20" t="n">
        <v>20</v>
      </c>
    </row>
    <row r="78">
      <c r="A78" s="18" t="inlineStr">
        <is>
          <t>원재료·저장품</t>
        </is>
      </c>
      <c r="C78" s="20" t="n">
        <v>4661</v>
      </c>
      <c r="D78" s="20" t="n">
        <v>5033</v>
      </c>
      <c r="E78" s="20" t="n">
        <v>5148</v>
      </c>
      <c r="F78" s="20" t="n">
        <v>5695</v>
      </c>
      <c r="G78" s="20" t="n">
        <v>6305</v>
      </c>
      <c r="H78" s="20" t="n">
        <v>3905</v>
      </c>
      <c r="I78" s="20" t="n">
        <v>3489</v>
      </c>
      <c r="J78" s="20" t="n">
        <v>3091</v>
      </c>
      <c r="K78" s="20" t="n">
        <v>3894</v>
      </c>
      <c r="L78" s="20" t="n">
        <v>5695</v>
      </c>
    </row>
    <row r="79">
      <c r="A79" s="18" t="inlineStr">
        <is>
          <t>선급비용</t>
        </is>
      </c>
      <c r="C79" s="20" t="n">
        <v>495</v>
      </c>
      <c r="D79" s="20" t="n">
        <v>621</v>
      </c>
      <c r="E79" s="20" t="n">
        <v>598</v>
      </c>
      <c r="F79" s="20" t="n">
        <v>511</v>
      </c>
      <c r="G79" s="20" t="n">
        <v>572</v>
      </c>
      <c r="H79" s="20" t="n">
        <v>317</v>
      </c>
      <c r="I79" s="20" t="n">
        <v>369</v>
      </c>
      <c r="J79" s="20" t="n">
        <v>403</v>
      </c>
      <c r="K79" s="20" t="n">
        <v>420</v>
      </c>
      <c r="L79" s="20" t="n">
        <v>511</v>
      </c>
    </row>
    <row r="80">
      <c r="A80" s="18" t="inlineStr">
        <is>
          <t>기타</t>
        </is>
      </c>
      <c r="C80" s="20" t="n">
        <v>1690</v>
      </c>
      <c r="D80" s="20" t="n">
        <v>2137</v>
      </c>
      <c r="E80" s="20" t="n">
        <v>2380</v>
      </c>
      <c r="F80" s="20" t="n">
        <v>2579</v>
      </c>
      <c r="G80" s="20" t="n">
        <v>2296</v>
      </c>
      <c r="H80" s="20" t="n">
        <v>1996</v>
      </c>
      <c r="I80" s="20" t="n">
        <v>1956</v>
      </c>
      <c r="J80" s="20" t="n">
        <v>2282</v>
      </c>
      <c r="K80" s="20" t="n">
        <v>2029</v>
      </c>
      <c r="L80" s="20" t="n">
        <v>2579</v>
      </c>
    </row>
    <row r="81">
      <c r="A81" s="18" t="inlineStr">
        <is>
          <t>대손충당금</t>
        </is>
      </c>
      <c r="C81" s="20" t="n">
        <v>-11</v>
      </c>
      <c r="D81" s="20" t="n">
        <v>-10</v>
      </c>
      <c r="E81" s="20" t="n">
        <v>-10</v>
      </c>
      <c r="F81" s="20" t="n">
        <v>-9</v>
      </c>
      <c r="G81" s="20" t="n">
        <v>-9</v>
      </c>
      <c r="H81" s="20" t="n">
        <v>-4</v>
      </c>
      <c r="I81" s="20" t="n">
        <v>-3</v>
      </c>
      <c r="J81" s="20" t="n">
        <v>-2</v>
      </c>
      <c r="K81" s="20" t="n">
        <v>-13</v>
      </c>
      <c r="L81" s="20" t="n">
        <v>-9</v>
      </c>
    </row>
    <row r="82">
      <c r="A82" s="9" t="inlineStr">
        <is>
          <t>유동자산 합계</t>
        </is>
      </c>
      <c r="C82" s="12" t="n">
        <v>54776</v>
      </c>
      <c r="D82" s="12" t="n">
        <v>60652</v>
      </c>
      <c r="E82" s="12" t="n">
        <v>66115</v>
      </c>
      <c r="F82" s="12" t="n">
        <v>69382</v>
      </c>
      <c r="G82" s="12" t="n">
        <v>69547</v>
      </c>
      <c r="H82" s="12" t="n">
        <v>46534</v>
      </c>
      <c r="I82" s="12" t="n">
        <v>45411</v>
      </c>
      <c r="J82" s="12" t="n">
        <v>53614</v>
      </c>
      <c r="K82" s="12" t="n">
        <v>57247</v>
      </c>
      <c r="L82" s="12" t="n">
        <v>69382</v>
      </c>
    </row>
    <row r="83">
      <c r="A83" s="18" t="inlineStr">
        <is>
          <t>건물·구축물</t>
        </is>
      </c>
      <c r="F83" s="20" t="n">
        <v>32817</v>
      </c>
      <c r="H83" s="20" t="n">
        <v>30486</v>
      </c>
      <c r="I83" s="20" t="n">
        <v>30640</v>
      </c>
      <c r="J83" s="20" t="n">
        <v>31396</v>
      </c>
      <c r="K83" s="20" t="n">
        <v>32237</v>
      </c>
      <c r="L83" s="20" t="n">
        <v>32817</v>
      </c>
    </row>
    <row r="84">
      <c r="A84" s="18" t="inlineStr">
        <is>
          <t>감가상각누계액</t>
        </is>
      </c>
      <c r="F84" s="20" t="n">
        <v>-20736</v>
      </c>
      <c r="H84" s="20" t="n">
        <v>-16944</v>
      </c>
      <c r="I84" s="20" t="n">
        <v>-17805</v>
      </c>
      <c r="J84" s="20" t="n">
        <v>-18812</v>
      </c>
      <c r="K84" s="20" t="n">
        <v>-19788</v>
      </c>
      <c r="L84" s="20" t="n">
        <v>-20736</v>
      </c>
    </row>
    <row r="85">
      <c r="A85" s="18" t="inlineStr">
        <is>
          <t>건물·구축물(순액)</t>
        </is>
      </c>
      <c r="C85" s="20" t="n">
        <v>12205</v>
      </c>
      <c r="D85" s="20" t="n">
        <v>12297</v>
      </c>
      <c r="E85" s="20" t="n">
        <v>12256</v>
      </c>
      <c r="F85" s="20" t="n">
        <v>12080</v>
      </c>
      <c r="G85" s="20" t="n">
        <v>12244</v>
      </c>
      <c r="H85" s="20" t="n">
        <v>13541</v>
      </c>
      <c r="I85" s="20" t="n">
        <v>12834</v>
      </c>
      <c r="J85" s="20" t="n">
        <v>12583</v>
      </c>
      <c r="K85" s="20" t="n">
        <v>12449</v>
      </c>
      <c r="L85" s="20" t="n">
        <v>12080</v>
      </c>
    </row>
    <row r="86">
      <c r="A86" s="18" t="inlineStr">
        <is>
          <t>기계장치·운반구</t>
        </is>
      </c>
      <c r="F86" s="20" t="n">
        <v>39252</v>
      </c>
      <c r="H86" s="20" t="n">
        <v>37426</v>
      </c>
      <c r="I86" s="20" t="n">
        <v>35272</v>
      </c>
      <c r="J86" s="20" t="n">
        <v>37499</v>
      </c>
      <c r="K86" s="20" t="n">
        <v>38485</v>
      </c>
      <c r="L86" s="20" t="n">
        <v>39252</v>
      </c>
    </row>
    <row r="87">
      <c r="A87" s="18" t="inlineStr">
        <is>
          <t>감가상각누계액</t>
        </is>
      </c>
      <c r="F87" s="20" t="n">
        <v>-33590</v>
      </c>
      <c r="H87" s="20" t="n">
        <v>-31870</v>
      </c>
      <c r="I87" s="20" t="n">
        <v>-30621</v>
      </c>
      <c r="J87" s="20" t="n">
        <v>-31782</v>
      </c>
      <c r="K87" s="20" t="n">
        <v>-32960</v>
      </c>
      <c r="L87" s="20" t="n">
        <v>-33590</v>
      </c>
    </row>
    <row r="88">
      <c r="A88" s="18" t="inlineStr">
        <is>
          <t>기계장치·운반구(순액)</t>
        </is>
      </c>
      <c r="C88" s="20" t="n">
        <v>5371</v>
      </c>
      <c r="D88" s="20" t="n">
        <v>5772</v>
      </c>
      <c r="E88" s="20" t="n">
        <v>5774</v>
      </c>
      <c r="F88" s="20" t="n">
        <v>5662</v>
      </c>
      <c r="G88" s="20" t="n">
        <v>6029</v>
      </c>
      <c r="H88" s="20" t="n">
        <v>5555</v>
      </c>
      <c r="I88" s="20" t="n">
        <v>4650</v>
      </c>
      <c r="J88" s="20" t="n">
        <v>5717</v>
      </c>
      <c r="K88" s="20" t="n">
        <v>5524</v>
      </c>
      <c r="L88" s="20" t="n">
        <v>5662</v>
      </c>
    </row>
    <row r="89">
      <c r="A89" s="18" t="inlineStr">
        <is>
          <t>공구·기구·비품</t>
        </is>
      </c>
      <c r="F89" s="20" t="n">
        <v>5600</v>
      </c>
      <c r="H89" s="20" t="n">
        <v>4144</v>
      </c>
      <c r="I89" s="20" t="n">
        <v>4285</v>
      </c>
      <c r="J89" s="20" t="n">
        <v>4647</v>
      </c>
      <c r="K89" s="20" t="n">
        <v>5143</v>
      </c>
      <c r="L89" s="20" t="n">
        <v>5600</v>
      </c>
    </row>
    <row r="90">
      <c r="A90" s="18" t="inlineStr">
        <is>
          <t>감가상각누계액</t>
        </is>
      </c>
      <c r="F90" s="20" t="n">
        <v>-4268</v>
      </c>
      <c r="H90" s="20" t="n">
        <v>-3413</v>
      </c>
      <c r="I90" s="20" t="n">
        <v>-3484</v>
      </c>
      <c r="J90" s="20" t="n">
        <v>-3708</v>
      </c>
      <c r="K90" s="20" t="n">
        <v>-3943</v>
      </c>
      <c r="L90" s="20" t="n">
        <v>-4268</v>
      </c>
    </row>
    <row r="91">
      <c r="A91" s="18" t="inlineStr">
        <is>
          <t>공구·기구·비품(순액)</t>
        </is>
      </c>
      <c r="C91" s="20" t="n">
        <v>1218</v>
      </c>
      <c r="D91" s="20" t="n">
        <v>1354</v>
      </c>
      <c r="E91" s="20" t="n">
        <v>1362</v>
      </c>
      <c r="F91" s="20" t="n">
        <v>1331</v>
      </c>
      <c r="G91" s="20" t="n">
        <v>1460</v>
      </c>
      <c r="H91" s="20" t="n">
        <v>730</v>
      </c>
      <c r="I91" s="20" t="n">
        <v>800</v>
      </c>
      <c r="J91" s="20" t="n">
        <v>939</v>
      </c>
      <c r="K91" s="20" t="n">
        <v>1199</v>
      </c>
      <c r="L91" s="20" t="n">
        <v>1331</v>
      </c>
    </row>
    <row r="92">
      <c r="A92" s="18" t="inlineStr">
        <is>
          <t>토지</t>
        </is>
      </c>
      <c r="C92" s="20" t="n">
        <v>9813</v>
      </c>
      <c r="D92" s="20" t="n">
        <v>10144</v>
      </c>
      <c r="E92" s="20" t="n">
        <v>10158</v>
      </c>
      <c r="F92" s="20" t="n">
        <v>10203</v>
      </c>
      <c r="G92" s="20" t="n">
        <v>10196</v>
      </c>
      <c r="H92" s="20" t="n">
        <v>9638</v>
      </c>
      <c r="I92" s="20" t="n">
        <v>9748</v>
      </c>
      <c r="J92" s="20" t="n">
        <v>9948</v>
      </c>
      <c r="K92" s="20" t="n">
        <v>10027</v>
      </c>
      <c r="L92" s="20" t="n">
        <v>10203</v>
      </c>
    </row>
    <row r="93">
      <c r="A93" s="18" t="inlineStr">
        <is>
          <t>리스자산</t>
        </is>
      </c>
      <c r="F93" s="20" t="n">
        <v>4820</v>
      </c>
      <c r="H93" s="20" t="n">
        <v>4804</v>
      </c>
      <c r="I93" s="20" t="n">
        <v>4582</v>
      </c>
      <c r="J93" s="20" t="n">
        <v>4759</v>
      </c>
      <c r="K93" s="20" t="n">
        <v>4810</v>
      </c>
      <c r="L93" s="20" t="n">
        <v>4820</v>
      </c>
    </row>
    <row r="94">
      <c r="A94" s="18" t="inlineStr">
        <is>
          <t>감가상각누계액</t>
        </is>
      </c>
      <c r="F94" s="20" t="n">
        <v>-3455</v>
      </c>
      <c r="H94" s="20" t="n">
        <v>-2004</v>
      </c>
      <c r="I94" s="20" t="n">
        <v>-2244</v>
      </c>
      <c r="J94" s="20" t="n">
        <v>-2644</v>
      </c>
      <c r="K94" s="20" t="n">
        <v>-3053</v>
      </c>
      <c r="L94" s="20" t="n">
        <v>-3455</v>
      </c>
    </row>
    <row r="95">
      <c r="A95" s="18" t="inlineStr">
        <is>
          <t>리스자산(순액)</t>
        </is>
      </c>
      <c r="C95" s="20" t="n">
        <v>1692</v>
      </c>
      <c r="D95" s="20" t="n">
        <v>1598</v>
      </c>
      <c r="E95" s="20" t="n">
        <v>1494</v>
      </c>
      <c r="F95" s="20" t="n">
        <v>1364</v>
      </c>
      <c r="G95" s="20" t="n">
        <v>1303</v>
      </c>
      <c r="H95" s="20" t="n">
        <v>2800</v>
      </c>
      <c r="I95" s="20" t="n">
        <v>2338</v>
      </c>
      <c r="J95" s="20" t="n">
        <v>2115</v>
      </c>
      <c r="K95" s="20" t="n">
        <v>1756</v>
      </c>
      <c r="L95" s="20" t="n">
        <v>1364</v>
      </c>
    </row>
    <row r="96">
      <c r="A96" s="18" t="inlineStr">
        <is>
          <t>건설중인자산</t>
        </is>
      </c>
      <c r="C96" s="20" t="n">
        <v>523</v>
      </c>
      <c r="D96" s="20" t="n">
        <v>1003</v>
      </c>
      <c r="E96" s="20" t="n">
        <v>1930</v>
      </c>
      <c r="F96" s="20" t="n">
        <v>2686</v>
      </c>
      <c r="G96" s="20" t="n">
        <v>3008</v>
      </c>
      <c r="H96" s="20" t="n">
        <v>1091</v>
      </c>
      <c r="I96" s="20" t="n">
        <v>2369</v>
      </c>
      <c r="J96" s="20" t="n">
        <v>1162</v>
      </c>
      <c r="K96" s="20" t="n">
        <v>440</v>
      </c>
      <c r="L96" s="20" t="n">
        <v>2686</v>
      </c>
    </row>
    <row r="97">
      <c r="A97" s="18" t="inlineStr">
        <is>
          <t>유형자산 합계</t>
        </is>
      </c>
      <c r="C97" s="20" t="n">
        <v>30824</v>
      </c>
      <c r="D97" s="20" t="n">
        <v>32171</v>
      </c>
      <c r="E97" s="20" t="n">
        <v>32977</v>
      </c>
      <c r="F97" s="20" t="n">
        <v>33328</v>
      </c>
      <c r="G97" s="20" t="n">
        <v>34244</v>
      </c>
      <c r="H97" s="20" t="n">
        <v>33358</v>
      </c>
      <c r="I97" s="20" t="n">
        <v>32743</v>
      </c>
      <c r="J97" s="20" t="n">
        <v>32467</v>
      </c>
      <c r="K97" s="20" t="n">
        <v>31398</v>
      </c>
      <c r="L97" s="20" t="n">
        <v>33328</v>
      </c>
    </row>
    <row r="98">
      <c r="A98" s="18" t="inlineStr">
        <is>
          <t>영업권</t>
        </is>
      </c>
      <c r="H98" s="20" t="n">
        <v>213</v>
      </c>
      <c r="I98" s="20" t="n">
        <v>0</v>
      </c>
    </row>
    <row r="99">
      <c r="A99" s="18" t="inlineStr">
        <is>
          <t>기타</t>
        </is>
      </c>
      <c r="H99" s="20" t="n">
        <v>405</v>
      </c>
      <c r="I99" s="20" t="n">
        <v>341</v>
      </c>
    </row>
    <row r="100">
      <c r="A100" s="18" t="inlineStr">
        <is>
          <t>무형자산</t>
        </is>
      </c>
      <c r="C100" s="20" t="n">
        <v>273</v>
      </c>
      <c r="D100" s="20" t="n">
        <v>253</v>
      </c>
      <c r="E100" s="20" t="n">
        <v>264</v>
      </c>
      <c r="F100" s="20" t="n">
        <v>268</v>
      </c>
      <c r="G100" s="20" t="n">
        <v>256</v>
      </c>
      <c r="H100" s="20" t="n">
        <v>618</v>
      </c>
      <c r="I100" s="20" t="n">
        <v>341</v>
      </c>
      <c r="J100" s="20" t="n">
        <v>290</v>
      </c>
      <c r="K100" s="20" t="n">
        <v>250</v>
      </c>
      <c r="L100" s="20" t="n">
        <v>268</v>
      </c>
    </row>
    <row r="101">
      <c r="A101" s="18" t="inlineStr">
        <is>
          <t>투자유가증권</t>
        </is>
      </c>
      <c r="C101" s="20" t="n">
        <v>5857</v>
      </c>
      <c r="D101" s="20" t="n">
        <v>6847</v>
      </c>
      <c r="E101" s="20" t="n">
        <v>7557</v>
      </c>
      <c r="F101" s="20" t="n">
        <v>8598</v>
      </c>
      <c r="G101" s="20" t="n">
        <v>9706</v>
      </c>
      <c r="H101" s="20" t="n">
        <v>4004</v>
      </c>
      <c r="I101" s="20" t="n">
        <v>4274</v>
      </c>
      <c r="J101" s="20" t="n">
        <v>5641</v>
      </c>
      <c r="K101" s="20" t="n">
        <v>5694</v>
      </c>
      <c r="L101" s="20" t="n">
        <v>8598</v>
      </c>
    </row>
    <row r="102">
      <c r="A102" s="18" t="inlineStr">
        <is>
          <t>장기대여금</t>
        </is>
      </c>
      <c r="C102" s="20" t="n">
        <v>9</v>
      </c>
      <c r="D102" s="20" t="n">
        <v>8</v>
      </c>
      <c r="E102" s="20" t="n">
        <v>8</v>
      </c>
      <c r="F102" s="20" t="n">
        <v>8</v>
      </c>
      <c r="G102" s="20" t="n">
        <v>7</v>
      </c>
      <c r="H102" s="20" t="n">
        <v>16</v>
      </c>
      <c r="I102" s="20" t="n">
        <v>14</v>
      </c>
      <c r="J102" s="20" t="n">
        <v>10</v>
      </c>
      <c r="K102" s="20" t="n">
        <v>9</v>
      </c>
      <c r="L102" s="20" t="n">
        <v>8</v>
      </c>
    </row>
    <row r="103">
      <c r="A103" s="18" t="inlineStr">
        <is>
          <t>장기선급비용</t>
        </is>
      </c>
      <c r="C103" s="20" t="n">
        <v>330</v>
      </c>
      <c r="D103" s="20" t="n">
        <v>297</v>
      </c>
      <c r="E103" s="20" t="n">
        <v>451</v>
      </c>
      <c r="F103" s="20" t="n">
        <v>405</v>
      </c>
      <c r="G103" s="20" t="n">
        <v>361</v>
      </c>
      <c r="H103" s="20" t="n">
        <v>231</v>
      </c>
      <c r="I103" s="20" t="n">
        <v>512</v>
      </c>
      <c r="J103" s="20" t="n">
        <v>346</v>
      </c>
      <c r="K103" s="20" t="n">
        <v>387</v>
      </c>
      <c r="L103" s="20" t="n">
        <v>405</v>
      </c>
    </row>
    <row r="104">
      <c r="A104" s="18" t="inlineStr">
        <is>
          <t>이연법인세자산</t>
        </is>
      </c>
      <c r="C104" s="20" t="n">
        <v>113</v>
      </c>
      <c r="D104" s="20" t="n">
        <v>164</v>
      </c>
      <c r="E104" s="20" t="n">
        <v>132</v>
      </c>
      <c r="F104" s="20" t="n">
        <v>91</v>
      </c>
      <c r="G104" s="20" t="n">
        <v>91</v>
      </c>
      <c r="H104" s="20" t="n">
        <v>172</v>
      </c>
      <c r="I104" s="20" t="n">
        <v>299</v>
      </c>
      <c r="J104" s="20" t="n">
        <v>127</v>
      </c>
      <c r="K104" s="20" t="n">
        <v>124</v>
      </c>
      <c r="L104" s="20" t="n">
        <v>91</v>
      </c>
    </row>
    <row r="105">
      <c r="A105" s="18" t="inlineStr">
        <is>
          <t>퇴직급여자산</t>
        </is>
      </c>
      <c r="C105" s="20" t="n">
        <v>1629</v>
      </c>
      <c r="D105" s="20" t="n">
        <v>1634</v>
      </c>
      <c r="E105" s="20" t="n">
        <v>1633</v>
      </c>
      <c r="F105" s="20" t="n">
        <v>2554</v>
      </c>
      <c r="G105" s="20" t="n">
        <v>2536</v>
      </c>
      <c r="H105" s="20" t="n">
        <v>1228</v>
      </c>
      <c r="I105" s="20" t="n">
        <v>1063</v>
      </c>
      <c r="J105" s="20" t="n">
        <v>1601</v>
      </c>
      <c r="K105" s="20" t="n">
        <v>1631</v>
      </c>
      <c r="L105" s="20" t="n">
        <v>2554</v>
      </c>
    </row>
    <row r="106">
      <c r="A106" s="18" t="inlineStr">
        <is>
          <t>기타</t>
        </is>
      </c>
      <c r="C106" s="20" t="n">
        <v>375</v>
      </c>
      <c r="D106" s="20" t="n">
        <v>368</v>
      </c>
      <c r="E106" s="20" t="n">
        <v>368</v>
      </c>
      <c r="F106" s="20" t="n">
        <v>367</v>
      </c>
      <c r="G106" s="20" t="n">
        <v>396</v>
      </c>
      <c r="H106" s="20" t="n">
        <v>310</v>
      </c>
      <c r="I106" s="20" t="n">
        <v>371</v>
      </c>
      <c r="J106" s="20" t="n">
        <v>437</v>
      </c>
      <c r="K106" s="20" t="n">
        <v>369</v>
      </c>
      <c r="L106" s="20" t="n">
        <v>367</v>
      </c>
    </row>
    <row r="107">
      <c r="A107" s="18" t="inlineStr">
        <is>
          <t>대손충당금</t>
        </is>
      </c>
      <c r="C107" s="20" t="n">
        <v>-1</v>
      </c>
      <c r="D107" s="20" t="n">
        <v>-1</v>
      </c>
      <c r="E107" s="20" t="n">
        <v>-1</v>
      </c>
      <c r="F107" s="20" t="n">
        <v>-1</v>
      </c>
      <c r="G107" s="20" t="n">
        <v>-1</v>
      </c>
      <c r="H107" s="20" t="n">
        <v>-6</v>
      </c>
      <c r="I107" s="20" t="n">
        <v>-6</v>
      </c>
      <c r="J107" s="20" t="n">
        <v>-1</v>
      </c>
      <c r="K107" s="20" t="n">
        <v>-1</v>
      </c>
      <c r="L107" s="20" t="n">
        <v>-1</v>
      </c>
    </row>
    <row r="108">
      <c r="A108" s="18" t="inlineStr">
        <is>
          <t>투자 및 기타자산 합계</t>
        </is>
      </c>
      <c r="C108" s="20" t="n">
        <v>8315</v>
      </c>
      <c r="D108" s="20" t="n">
        <v>9319</v>
      </c>
      <c r="E108" s="20" t="n">
        <v>10150</v>
      </c>
      <c r="F108" s="20" t="n">
        <v>12024</v>
      </c>
      <c r="G108" s="20" t="n">
        <v>13099</v>
      </c>
      <c r="H108" s="20" t="n">
        <v>5958</v>
      </c>
      <c r="I108" s="20" t="n">
        <v>6529</v>
      </c>
      <c r="J108" s="20" t="n">
        <v>8164</v>
      </c>
      <c r="K108" s="20" t="n">
        <v>8215</v>
      </c>
      <c r="L108" s="20" t="n">
        <v>12024</v>
      </c>
    </row>
    <row r="109">
      <c r="A109" s="9" t="inlineStr">
        <is>
          <t>비유동자산 합계</t>
        </is>
      </c>
      <c r="C109" s="12" t="n">
        <v>39412</v>
      </c>
      <c r="D109" s="12" t="n">
        <v>41745</v>
      </c>
      <c r="E109" s="12" t="n">
        <v>43393</v>
      </c>
      <c r="F109" s="12" t="n">
        <v>45621</v>
      </c>
      <c r="G109" s="12" t="n">
        <v>47599</v>
      </c>
      <c r="H109" s="12" t="n">
        <v>39935</v>
      </c>
      <c r="I109" s="12" t="n">
        <v>39614</v>
      </c>
      <c r="J109" s="12" t="n">
        <v>40922</v>
      </c>
      <c r="K109" s="12" t="n">
        <v>39865</v>
      </c>
      <c r="L109" s="12" t="n">
        <v>45621</v>
      </c>
    </row>
    <row r="110">
      <c r="A110" s="9" t="inlineStr">
        <is>
          <t>자산 합계</t>
        </is>
      </c>
      <c r="C110" s="12" t="n">
        <v>94188</v>
      </c>
      <c r="D110" s="12" t="n">
        <v>102398</v>
      </c>
      <c r="E110" s="12" t="n">
        <v>109509</v>
      </c>
      <c r="F110" s="12" t="n">
        <v>115003</v>
      </c>
      <c r="G110" s="12" t="n">
        <v>117147</v>
      </c>
      <c r="H110" s="12" t="n">
        <v>86469</v>
      </c>
      <c r="I110" s="12" t="n">
        <v>85025</v>
      </c>
      <c r="J110" s="12" t="n">
        <v>94537</v>
      </c>
      <c r="K110" s="12" t="n">
        <v>97113</v>
      </c>
      <c r="L110" s="12" t="n">
        <v>115003</v>
      </c>
    </row>
    <row r="111">
      <c r="A111" s="18" t="inlineStr">
        <is>
          <t>지급어음·매입채무</t>
        </is>
      </c>
      <c r="C111" s="20" t="n">
        <v>12523</v>
      </c>
      <c r="D111" s="20" t="n">
        <v>13002</v>
      </c>
      <c r="E111" s="20" t="n">
        <v>17003</v>
      </c>
      <c r="F111" s="20" t="n">
        <v>15358</v>
      </c>
      <c r="G111" s="20" t="n">
        <v>16712</v>
      </c>
      <c r="H111" s="20" t="n">
        <v>10204</v>
      </c>
      <c r="I111" s="20" t="n">
        <v>9972</v>
      </c>
      <c r="J111" s="20" t="n">
        <v>11979</v>
      </c>
      <c r="K111" s="20" t="n">
        <v>13484</v>
      </c>
      <c r="L111" s="20" t="n">
        <v>15358</v>
      </c>
    </row>
    <row r="112">
      <c r="A112" s="18" t="inlineStr">
        <is>
          <t>전자기록채무</t>
        </is>
      </c>
      <c r="C112" s="20" t="n">
        <v>481</v>
      </c>
      <c r="D112" s="20" t="n">
        <v>566</v>
      </c>
      <c r="E112" s="20" t="n">
        <v>636</v>
      </c>
      <c r="F112" s="20" t="n">
        <v>380</v>
      </c>
      <c r="G112" s="20" t="n">
        <v>413</v>
      </c>
      <c r="H112" s="20" t="n">
        <v>429</v>
      </c>
      <c r="I112" s="20" t="n">
        <v>379</v>
      </c>
      <c r="J112" s="20" t="n">
        <v>562</v>
      </c>
      <c r="K112" s="20" t="n">
        <v>500</v>
      </c>
      <c r="L112" s="20" t="n">
        <v>380</v>
      </c>
    </row>
    <row r="113">
      <c r="A113" s="18" t="inlineStr">
        <is>
          <t>1년 내 상환 사채</t>
        </is>
      </c>
      <c r="F113" s="20" t="n">
        <v>6000</v>
      </c>
      <c r="G113" s="20" t="n">
        <v>6000</v>
      </c>
      <c r="K113" s="20" t="n">
        <v>0</v>
      </c>
      <c r="L113" s="20" t="n">
        <v>6000</v>
      </c>
    </row>
    <row r="114">
      <c r="A114" s="18" t="inlineStr">
        <is>
          <t>단기차입금</t>
        </is>
      </c>
      <c r="C114" s="20" t="n">
        <v>6504</v>
      </c>
      <c r="D114" s="20" t="n">
        <v>7143</v>
      </c>
      <c r="E114" s="20" t="n">
        <v>7206</v>
      </c>
      <c r="F114" s="20" t="n">
        <v>7230</v>
      </c>
      <c r="G114" s="20" t="n">
        <v>7050</v>
      </c>
      <c r="H114" s="20" t="n">
        <v>6711</v>
      </c>
      <c r="I114" s="20" t="n">
        <v>6516</v>
      </c>
      <c r="J114" s="20" t="n">
        <v>7847</v>
      </c>
      <c r="K114" s="20" t="n">
        <v>6300</v>
      </c>
      <c r="L114" s="20" t="n">
        <v>7230</v>
      </c>
    </row>
    <row r="115">
      <c r="A115" s="18" t="inlineStr">
        <is>
          <t>리스부채</t>
        </is>
      </c>
      <c r="C115" s="20" t="n">
        <v>537</v>
      </c>
      <c r="D115" s="20" t="n">
        <v>1432</v>
      </c>
      <c r="E115" s="20" t="n">
        <v>1334</v>
      </c>
      <c r="F115" s="20" t="n">
        <v>1240</v>
      </c>
      <c r="G115" s="20" t="n">
        <v>1142</v>
      </c>
      <c r="H115" s="20" t="n">
        <v>558</v>
      </c>
      <c r="I115" s="20" t="n">
        <v>474</v>
      </c>
      <c r="J115" s="20" t="n">
        <v>516</v>
      </c>
      <c r="K115" s="20" t="n">
        <v>523</v>
      </c>
      <c r="L115" s="20" t="n">
        <v>1240</v>
      </c>
    </row>
    <row r="116">
      <c r="A116" s="18" t="inlineStr">
        <is>
          <t>미지급비용</t>
        </is>
      </c>
      <c r="C116" s="20" t="n">
        <v>283</v>
      </c>
      <c r="D116" s="20" t="n">
        <v>326</v>
      </c>
      <c r="E116" s="20" t="n">
        <v>401</v>
      </c>
      <c r="F116" s="20" t="n">
        <v>458</v>
      </c>
      <c r="G116" s="20" t="n">
        <v>381</v>
      </c>
      <c r="H116" s="20" t="n">
        <v>348</v>
      </c>
      <c r="I116" s="20" t="n">
        <v>308</v>
      </c>
      <c r="J116" s="20" t="n">
        <v>278</v>
      </c>
      <c r="K116" s="20" t="n">
        <v>320</v>
      </c>
      <c r="L116" s="20" t="n">
        <v>458</v>
      </c>
    </row>
    <row r="117">
      <c r="A117" s="18" t="inlineStr">
        <is>
          <t>미지급법인세</t>
        </is>
      </c>
      <c r="C117" s="20" t="n">
        <v>824</v>
      </c>
      <c r="D117" s="20" t="n">
        <v>1179</v>
      </c>
      <c r="E117" s="20" t="n">
        <v>1519</v>
      </c>
      <c r="F117" s="20" t="n">
        <v>2403</v>
      </c>
      <c r="G117" s="20" t="n">
        <v>1167</v>
      </c>
      <c r="H117" s="20" t="n">
        <v>576</v>
      </c>
      <c r="I117" s="20" t="n">
        <v>232</v>
      </c>
      <c r="J117" s="20" t="n">
        <v>361</v>
      </c>
      <c r="K117" s="20" t="n">
        <v>927</v>
      </c>
      <c r="L117" s="20" t="n">
        <v>2403</v>
      </c>
    </row>
    <row r="118">
      <c r="A118" s="18" t="inlineStr">
        <is>
          <t>Accrued Business Office Taxes</t>
        </is>
      </c>
      <c r="C118" s="20" t="n">
        <v>10</v>
      </c>
      <c r="D118" s="20" t="n">
        <v>21</v>
      </c>
      <c r="E118" s="20" t="n">
        <v>32</v>
      </c>
      <c r="F118" s="20" t="n">
        <v>44</v>
      </c>
      <c r="G118" s="20" t="n">
        <v>11</v>
      </c>
      <c r="H118" s="20" t="n">
        <v>41</v>
      </c>
      <c r="I118" s="20" t="n">
        <v>41</v>
      </c>
      <c r="J118" s="20" t="n">
        <v>41</v>
      </c>
      <c r="K118" s="20" t="n">
        <v>42</v>
      </c>
      <c r="L118" s="20" t="n">
        <v>44</v>
      </c>
    </row>
    <row r="119">
      <c r="A119" s="18" t="inlineStr">
        <is>
          <t>상여충당금</t>
        </is>
      </c>
      <c r="C119" s="20" t="n">
        <v>716</v>
      </c>
      <c r="D119" s="20" t="n">
        <v>1028</v>
      </c>
      <c r="E119" s="20" t="n">
        <v>1098</v>
      </c>
      <c r="F119" s="20" t="n">
        <v>2009</v>
      </c>
      <c r="G119" s="20" t="n">
        <v>1030</v>
      </c>
      <c r="H119" s="20" t="n">
        <v>816</v>
      </c>
      <c r="I119" s="20" t="n">
        <v>712</v>
      </c>
      <c r="J119" s="20" t="n">
        <v>823</v>
      </c>
      <c r="K119" s="20" t="n">
        <v>1461</v>
      </c>
      <c r="L119" s="20" t="n">
        <v>2009</v>
      </c>
    </row>
    <row r="120">
      <c r="A120" s="18" t="inlineStr">
        <is>
          <t>Provision For Waste Disposal Costs CL</t>
        </is>
      </c>
      <c r="H120" s="20" t="n">
        <v>0</v>
      </c>
    </row>
    <row r="121">
      <c r="A121" s="18" t="inlineStr">
        <is>
          <t>기타</t>
        </is>
      </c>
      <c r="C121" s="20" t="n">
        <v>3809</v>
      </c>
      <c r="D121" s="20" t="n">
        <v>3348</v>
      </c>
      <c r="E121" s="20" t="n">
        <v>4923</v>
      </c>
      <c r="F121" s="20" t="n">
        <v>4436</v>
      </c>
      <c r="G121" s="20" t="n">
        <v>5495</v>
      </c>
      <c r="H121" s="20" t="n">
        <v>2040</v>
      </c>
      <c r="I121" s="20" t="n">
        <v>2002</v>
      </c>
      <c r="J121" s="20" t="n">
        <v>2747</v>
      </c>
      <c r="K121" s="20" t="n">
        <v>2971</v>
      </c>
      <c r="L121" s="20" t="n">
        <v>4436</v>
      </c>
    </row>
    <row r="122">
      <c r="A122" s="9" t="inlineStr">
        <is>
          <t>유동부채 합계</t>
        </is>
      </c>
      <c r="C122" s="12" t="n">
        <v>25693</v>
      </c>
      <c r="D122" s="12" t="n">
        <v>28049</v>
      </c>
      <c r="E122" s="12" t="n">
        <v>34155</v>
      </c>
      <c r="F122" s="12" t="n">
        <v>39562</v>
      </c>
      <c r="G122" s="12" t="n">
        <v>39405</v>
      </c>
      <c r="H122" s="12" t="n">
        <v>21726</v>
      </c>
      <c r="I122" s="12" t="n">
        <v>20639</v>
      </c>
      <c r="J122" s="12" t="n">
        <v>25159</v>
      </c>
      <c r="K122" s="12" t="n">
        <v>26532</v>
      </c>
      <c r="L122" s="12" t="n">
        <v>39562</v>
      </c>
    </row>
    <row r="123">
      <c r="A123" s="18" t="inlineStr">
        <is>
          <t>사채</t>
        </is>
      </c>
      <c r="C123" s="20" t="n">
        <v>6000</v>
      </c>
      <c r="D123" s="20" t="n">
        <v>6000</v>
      </c>
      <c r="E123" s="20" t="n">
        <v>6000</v>
      </c>
      <c r="F123" s="20" t="n">
        <v>0</v>
      </c>
      <c r="H123" s="20" t="n">
        <v>6000</v>
      </c>
      <c r="I123" s="20" t="n">
        <v>6000</v>
      </c>
      <c r="J123" s="20" t="n">
        <v>6000</v>
      </c>
      <c r="K123" s="20" t="n">
        <v>6000</v>
      </c>
      <c r="L123" s="20" t="n">
        <v>0</v>
      </c>
    </row>
    <row r="124">
      <c r="A124" s="18" t="inlineStr">
        <is>
          <t>장기차입금</t>
        </is>
      </c>
      <c r="C124" s="20" t="n">
        <v>15616</v>
      </c>
      <c r="D124" s="20" t="n">
        <v>14172</v>
      </c>
      <c r="E124" s="20" t="n">
        <v>12705</v>
      </c>
      <c r="F124" s="20" t="n">
        <v>14431</v>
      </c>
      <c r="G124" s="20" t="n">
        <v>12988</v>
      </c>
      <c r="H124" s="20" t="n">
        <v>15051</v>
      </c>
      <c r="I124" s="20" t="n">
        <v>17348</v>
      </c>
      <c r="J124" s="20" t="n">
        <v>18950</v>
      </c>
      <c r="K124" s="20" t="n">
        <v>17114</v>
      </c>
      <c r="L124" s="20" t="n">
        <v>14431</v>
      </c>
    </row>
    <row r="125">
      <c r="A125" s="18" t="inlineStr">
        <is>
          <t>리스부채</t>
        </is>
      </c>
      <c r="C125" s="20" t="n">
        <v>1323</v>
      </c>
      <c r="D125" s="20" t="n">
        <v>310</v>
      </c>
      <c r="E125" s="20" t="n">
        <v>283</v>
      </c>
      <c r="F125" s="20" t="n">
        <v>243</v>
      </c>
      <c r="G125" s="20" t="n">
        <v>258</v>
      </c>
      <c r="H125" s="20" t="n">
        <v>2551</v>
      </c>
      <c r="I125" s="20" t="n">
        <v>2131</v>
      </c>
      <c r="J125" s="20" t="n">
        <v>1823</v>
      </c>
      <c r="K125" s="20" t="n">
        <v>1412</v>
      </c>
      <c r="L125" s="20" t="n">
        <v>243</v>
      </c>
    </row>
    <row r="126">
      <c r="A126" s="18" t="inlineStr">
        <is>
          <t>이연법인세부채</t>
        </is>
      </c>
      <c r="C126" s="20" t="n">
        <v>1257</v>
      </c>
      <c r="D126" s="20" t="n">
        <v>1478</v>
      </c>
      <c r="E126" s="20" t="n">
        <v>1664</v>
      </c>
      <c r="F126" s="20" t="n">
        <v>2069</v>
      </c>
      <c r="G126" s="20" t="n">
        <v>3086</v>
      </c>
      <c r="H126" s="20" t="n">
        <v>318</v>
      </c>
      <c r="I126" s="20" t="n">
        <v>196</v>
      </c>
      <c r="J126" s="20" t="n">
        <v>880</v>
      </c>
      <c r="K126" s="20" t="n">
        <v>1118</v>
      </c>
      <c r="L126" s="20" t="n">
        <v>2069</v>
      </c>
    </row>
    <row r="127">
      <c r="A127" s="18" t="inlineStr">
        <is>
          <t>퇴직급여부채</t>
        </is>
      </c>
      <c r="C127" s="20" t="n">
        <v>67</v>
      </c>
      <c r="D127" s="20" t="n">
        <v>67</v>
      </c>
      <c r="E127" s="20" t="n">
        <v>69</v>
      </c>
      <c r="F127" s="20" t="n">
        <v>72</v>
      </c>
      <c r="G127" s="20" t="n">
        <v>74</v>
      </c>
      <c r="H127" s="20" t="n">
        <v>107</v>
      </c>
      <c r="I127" s="20" t="n">
        <v>79</v>
      </c>
      <c r="J127" s="20" t="n">
        <v>85</v>
      </c>
      <c r="K127" s="20" t="n">
        <v>77</v>
      </c>
      <c r="L127" s="20" t="n">
        <v>72</v>
      </c>
    </row>
    <row r="128">
      <c r="A128" s="18" t="inlineStr">
        <is>
          <t>자산복구부채</t>
        </is>
      </c>
      <c r="C128" s="20" t="n">
        <v>74</v>
      </c>
      <c r="D128" s="20" t="n">
        <v>74</v>
      </c>
      <c r="E128" s="20" t="n">
        <v>74</v>
      </c>
      <c r="F128" s="20" t="n">
        <v>74</v>
      </c>
      <c r="G128" s="20" t="n">
        <v>74</v>
      </c>
      <c r="H128" s="20" t="n">
        <v>74</v>
      </c>
      <c r="I128" s="20" t="n">
        <v>74</v>
      </c>
      <c r="J128" s="20" t="n">
        <v>74</v>
      </c>
      <c r="K128" s="20" t="n">
        <v>74</v>
      </c>
      <c r="L128" s="20" t="n">
        <v>74</v>
      </c>
    </row>
    <row r="129">
      <c r="A129" s="18" t="inlineStr">
        <is>
          <t>기타</t>
        </is>
      </c>
      <c r="C129" s="20" t="n">
        <v>263</v>
      </c>
      <c r="D129" s="20" t="n">
        <v>270</v>
      </c>
      <c r="E129" s="20" t="n">
        <v>271</v>
      </c>
      <c r="F129" s="20" t="n">
        <v>291</v>
      </c>
      <c r="G129" s="20" t="n">
        <v>286</v>
      </c>
      <c r="H129" s="20" t="n">
        <v>255</v>
      </c>
      <c r="I129" s="20" t="n">
        <v>259</v>
      </c>
      <c r="J129" s="20" t="n">
        <v>266</v>
      </c>
      <c r="K129" s="20" t="n">
        <v>278</v>
      </c>
      <c r="L129" s="20" t="n">
        <v>291</v>
      </c>
    </row>
    <row r="130">
      <c r="A130" s="9" t="inlineStr">
        <is>
          <t>비유동부채 합계</t>
        </is>
      </c>
      <c r="C130" s="12" t="n">
        <v>24602</v>
      </c>
      <c r="D130" s="12" t="n">
        <v>22374</v>
      </c>
      <c r="E130" s="12" t="n">
        <v>21070</v>
      </c>
      <c r="F130" s="12" t="n">
        <v>17183</v>
      </c>
      <c r="G130" s="12" t="n">
        <v>16769</v>
      </c>
      <c r="H130" s="12" t="n">
        <v>24359</v>
      </c>
      <c r="I130" s="12" t="n">
        <v>26089</v>
      </c>
      <c r="J130" s="12" t="n">
        <v>28081</v>
      </c>
      <c r="K130" s="12" t="n">
        <v>26075</v>
      </c>
      <c r="L130" s="12" t="n">
        <v>17183</v>
      </c>
    </row>
    <row r="131">
      <c r="A131" s="9" t="inlineStr">
        <is>
          <t>부채 합계</t>
        </is>
      </c>
      <c r="C131" s="12" t="n">
        <v>50295</v>
      </c>
      <c r="D131" s="12" t="n">
        <v>50424</v>
      </c>
      <c r="E131" s="12" t="n">
        <v>55225</v>
      </c>
      <c r="F131" s="12" t="n">
        <v>56746</v>
      </c>
      <c r="G131" s="12" t="n">
        <v>56174</v>
      </c>
      <c r="H131" s="12" t="n">
        <v>46086</v>
      </c>
      <c r="I131" s="12" t="n">
        <v>46729</v>
      </c>
      <c r="J131" s="12" t="n">
        <v>53240</v>
      </c>
      <c r="K131" s="12" t="n">
        <v>52608</v>
      </c>
      <c r="L131" s="12" t="n">
        <v>56746</v>
      </c>
    </row>
    <row r="132">
      <c r="A132" s="18" t="inlineStr">
        <is>
          <t>자본금</t>
        </is>
      </c>
      <c r="C132" s="20" t="n">
        <v>8895</v>
      </c>
      <c r="D132" s="20" t="n">
        <v>8895</v>
      </c>
      <c r="E132" s="20" t="n">
        <v>8895</v>
      </c>
      <c r="F132" s="20" t="n">
        <v>8895</v>
      </c>
      <c r="G132" s="20" t="n">
        <v>8895</v>
      </c>
      <c r="H132" s="20" t="n">
        <v>8895</v>
      </c>
      <c r="I132" s="20" t="n">
        <v>8895</v>
      </c>
      <c r="J132" s="20" t="n">
        <v>8895</v>
      </c>
      <c r="K132" s="20" t="n">
        <v>8895</v>
      </c>
      <c r="L132" s="20" t="n">
        <v>8895</v>
      </c>
    </row>
    <row r="133">
      <c r="A133" s="18" t="inlineStr">
        <is>
          <t>자본잉여금</t>
        </is>
      </c>
      <c r="C133" s="20" t="n">
        <v>7275</v>
      </c>
      <c r="D133" s="20" t="n">
        <v>10226</v>
      </c>
      <c r="E133" s="20" t="n">
        <v>10334</v>
      </c>
      <c r="F133" s="20" t="n">
        <v>10315</v>
      </c>
      <c r="G133" s="20" t="n">
        <v>10315</v>
      </c>
      <c r="H133" s="20" t="n">
        <v>7278</v>
      </c>
      <c r="I133" s="20" t="n">
        <v>7276</v>
      </c>
      <c r="J133" s="20" t="n">
        <v>7266</v>
      </c>
      <c r="K133" s="20" t="n">
        <v>7275</v>
      </c>
      <c r="L133" s="20" t="n">
        <v>10315</v>
      </c>
    </row>
    <row r="134">
      <c r="A134" s="18" t="inlineStr">
        <is>
          <t>이익잉여금</t>
        </is>
      </c>
      <c r="C134" s="20" t="n">
        <v>22033</v>
      </c>
      <c r="D134" s="20" t="n">
        <v>23231</v>
      </c>
      <c r="E134" s="20" t="n">
        <v>24646</v>
      </c>
      <c r="F134" s="20" t="n">
        <v>26583</v>
      </c>
      <c r="G134" s="20" t="n">
        <v>28744</v>
      </c>
      <c r="H134" s="20" t="n">
        <v>20498</v>
      </c>
      <c r="I134" s="20" t="n">
        <v>19250</v>
      </c>
      <c r="J134" s="20" t="n">
        <v>19851</v>
      </c>
      <c r="K134" s="20" t="n">
        <v>21575</v>
      </c>
      <c r="L134" s="20" t="n">
        <v>26583</v>
      </c>
    </row>
    <row r="135">
      <c r="A135" s="18" t="inlineStr">
        <is>
          <t>자기주식</t>
        </is>
      </c>
      <c r="C135" s="20" t="n">
        <v>-2449</v>
      </c>
      <c r="D135" s="20" t="n">
        <v>-227</v>
      </c>
      <c r="E135" s="20" t="n">
        <v>-162</v>
      </c>
      <c r="F135" s="20" t="n">
        <v>-162</v>
      </c>
      <c r="G135" s="20" t="n">
        <v>-162</v>
      </c>
      <c r="H135" s="20" t="n">
        <v>-1021</v>
      </c>
      <c r="I135" s="20" t="n">
        <v>-2488</v>
      </c>
      <c r="J135" s="20" t="n">
        <v>-2462</v>
      </c>
      <c r="K135" s="20" t="n">
        <v>-2449</v>
      </c>
      <c r="L135" s="20" t="n">
        <v>-162</v>
      </c>
    </row>
    <row r="136">
      <c r="A136" s="9" t="inlineStr">
        <is>
          <t>주주자본 합계</t>
        </is>
      </c>
      <c r="C136" s="12" t="n">
        <v>35754</v>
      </c>
      <c r="D136" s="12" t="n">
        <v>42126</v>
      </c>
      <c r="E136" s="12" t="n">
        <v>43714</v>
      </c>
      <c r="F136" s="12" t="n">
        <v>45631</v>
      </c>
      <c r="G136" s="12" t="n">
        <v>47792</v>
      </c>
      <c r="H136" s="12" t="n">
        <v>35650</v>
      </c>
      <c r="I136" s="12" t="n">
        <v>32933</v>
      </c>
      <c r="J136" s="12" t="n">
        <v>33551</v>
      </c>
      <c r="K136" s="12" t="n">
        <v>35296</v>
      </c>
      <c r="L136" s="12" t="n">
        <v>45631</v>
      </c>
    </row>
    <row r="137">
      <c r="A137" s="18" t="inlineStr">
        <is>
          <t>기타유가증권 평가차액</t>
        </is>
      </c>
      <c r="C137" s="20" t="n">
        <v>1853</v>
      </c>
      <c r="D137" s="20" t="n">
        <v>2563</v>
      </c>
      <c r="E137" s="20" t="n">
        <v>3043</v>
      </c>
      <c r="F137" s="20" t="n">
        <v>3770</v>
      </c>
      <c r="G137" s="20" t="n">
        <v>4531</v>
      </c>
      <c r="H137" s="20" t="n">
        <v>181</v>
      </c>
      <c r="I137" s="20" t="n">
        <v>467</v>
      </c>
      <c r="J137" s="20" t="n">
        <v>1670</v>
      </c>
      <c r="K137" s="20" t="n">
        <v>1606</v>
      </c>
      <c r="L137" s="20" t="n">
        <v>3770</v>
      </c>
    </row>
    <row r="138">
      <c r="A138" s="18" t="inlineStr">
        <is>
          <t>해외사업환산조정</t>
        </is>
      </c>
      <c r="C138" s="20" t="n">
        <v>937</v>
      </c>
      <c r="D138" s="20" t="n">
        <v>1377</v>
      </c>
      <c r="E138" s="20" t="n">
        <v>1355</v>
      </c>
      <c r="F138" s="20" t="n">
        <v>1636</v>
      </c>
      <c r="G138" s="20" t="n">
        <v>1707</v>
      </c>
      <c r="H138" s="20" t="n">
        <v>507</v>
      </c>
      <c r="I138" s="20" t="n">
        <v>765</v>
      </c>
      <c r="J138" s="20" t="n">
        <v>1073</v>
      </c>
      <c r="K138" s="20" t="n">
        <v>1412</v>
      </c>
      <c r="L138" s="20" t="n">
        <v>1636</v>
      </c>
    </row>
    <row r="139">
      <c r="A139" s="18" t="inlineStr">
        <is>
          <t>퇴직급여 조정누계액</t>
        </is>
      </c>
      <c r="C139" s="20" t="n">
        <v>400</v>
      </c>
      <c r="D139" s="20" t="n">
        <v>390</v>
      </c>
      <c r="E139" s="20" t="n">
        <v>376</v>
      </c>
      <c r="F139" s="20" t="n">
        <v>1000</v>
      </c>
      <c r="G139" s="20" t="n">
        <v>959</v>
      </c>
      <c r="H139" s="20" t="n">
        <v>427</v>
      </c>
      <c r="I139" s="20" t="n">
        <v>180</v>
      </c>
      <c r="J139" s="20" t="n">
        <v>452</v>
      </c>
      <c r="K139" s="20" t="n">
        <v>413</v>
      </c>
      <c r="L139" s="20" t="n">
        <v>1000</v>
      </c>
    </row>
    <row r="140">
      <c r="A140" s="18" t="inlineStr">
        <is>
          <t>기타포괄손익누계액 합계</t>
        </is>
      </c>
      <c r="C140" s="20" t="n">
        <v>3191</v>
      </c>
      <c r="D140" s="20" t="n">
        <v>4331</v>
      </c>
      <c r="E140" s="20" t="n">
        <v>4775</v>
      </c>
      <c r="F140" s="20" t="n">
        <v>6407</v>
      </c>
      <c r="G140" s="20" t="n">
        <v>7198</v>
      </c>
      <c r="H140" s="20" t="n">
        <v>1116</v>
      </c>
      <c r="I140" s="20" t="n">
        <v>1413</v>
      </c>
      <c r="J140" s="20" t="n">
        <v>3196</v>
      </c>
      <c r="K140" s="20" t="n">
        <v>3432</v>
      </c>
      <c r="L140" s="20" t="n">
        <v>6407</v>
      </c>
    </row>
    <row r="141">
      <c r="A141" s="18" t="inlineStr">
        <is>
          <t>비지배지분</t>
        </is>
      </c>
      <c r="C141" s="20" t="n">
        <v>4946</v>
      </c>
      <c r="D141" s="20" t="n">
        <v>5516</v>
      </c>
      <c r="E141" s="20" t="n">
        <v>5793</v>
      </c>
      <c r="F141" s="20" t="n">
        <v>6218</v>
      </c>
      <c r="G141" s="20" t="n">
        <v>5982</v>
      </c>
      <c r="H141" s="20" t="n">
        <v>3616</v>
      </c>
      <c r="I141" s="20" t="n">
        <v>3949</v>
      </c>
      <c r="J141" s="20" t="n">
        <v>4549</v>
      </c>
      <c r="K141" s="20" t="n">
        <v>5775</v>
      </c>
      <c r="L141" s="20" t="n">
        <v>6218</v>
      </c>
    </row>
    <row r="142">
      <c r="A142" s="9" t="inlineStr">
        <is>
          <t>순자산 합계</t>
        </is>
      </c>
      <c r="C142" s="12" t="n">
        <v>43893</v>
      </c>
      <c r="D142" s="12" t="n">
        <v>51974</v>
      </c>
      <c r="E142" s="12" t="n">
        <v>54283</v>
      </c>
      <c r="F142" s="12" t="n">
        <v>58257</v>
      </c>
      <c r="G142" s="12" t="n">
        <v>60973</v>
      </c>
      <c r="H142" s="12" t="n">
        <v>40383</v>
      </c>
      <c r="I142" s="12" t="n">
        <v>38296</v>
      </c>
      <c r="J142" s="12" t="n">
        <v>41297</v>
      </c>
      <c r="K142" s="12" t="n">
        <v>44504</v>
      </c>
      <c r="L142" s="12" t="n">
        <v>58257</v>
      </c>
    </row>
    <row r="143">
      <c r="A143" s="9" t="inlineStr">
        <is>
          <t>부채·순자산 합계</t>
        </is>
      </c>
      <c r="C143" s="12" t="n">
        <v>94188</v>
      </c>
      <c r="D143" s="12" t="n">
        <v>102398</v>
      </c>
      <c r="E143" s="12" t="n">
        <v>109509</v>
      </c>
      <c r="F143" s="12" t="n">
        <v>115003</v>
      </c>
      <c r="G143" s="12" t="n">
        <v>117147</v>
      </c>
      <c r="H143" s="12" t="n">
        <v>86469</v>
      </c>
      <c r="I143" s="12" t="n">
        <v>85025</v>
      </c>
      <c r="J143" s="12" t="n">
        <v>94537</v>
      </c>
      <c r="K143" s="12" t="n">
        <v>97113</v>
      </c>
      <c r="L143" s="12" t="n">
        <v>115003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2026-07-29</t>
        </is>
      </c>
      <c r="B4" t="inlineStr">
        <is>
          <t>2027년 3월 결산기 １분기 결산단신</t>
        </is>
      </c>
      <c r="C4" t="inlineStr">
        <is>
          <t>https://www2.jpx.co.jp/disc/44610/140120260728501228.pdf</t>
        </is>
      </c>
    </row>
    <row r="5">
      <c r="A5" t="inlineStr">
        <is>
          <t>2026-05-13</t>
        </is>
      </c>
      <c r="B5" t="inlineStr">
        <is>
          <t>2026년 3월 결산기 연간 결산단신</t>
        </is>
      </c>
      <c r="C5" t="inlineStr">
        <is>
          <t>https://www2.jpx.co.jp/disc/44610/140120260513528548.pdf</t>
        </is>
      </c>
    </row>
    <row r="6">
      <c r="A6" t="inlineStr">
        <is>
          <t>2026-01-28</t>
        </is>
      </c>
      <c r="B6" t="inlineStr">
        <is>
          <t>2026년 3월 결산기 ３분기 결산단신</t>
        </is>
      </c>
      <c r="C6" t="inlineStr">
        <is>
          <t>https://www2.jpx.co.jp/disc/44610/140120260127538964.pdf</t>
        </is>
      </c>
    </row>
    <row r="7">
      <c r="A7" t="inlineStr">
        <is>
          <t>2025-10-30</t>
        </is>
      </c>
      <c r="B7" t="inlineStr">
        <is>
          <t>2026년 3월 결산기 ２분기 결산단신</t>
        </is>
      </c>
      <c r="C7" t="inlineStr">
        <is>
          <t>https://www2.jpx.co.jp/disc/44610/140120251029581276.pdf</t>
        </is>
      </c>
    </row>
    <row r="8">
      <c r="A8" t="inlineStr">
        <is>
          <t>2025-08-25</t>
        </is>
      </c>
      <c r="B8" t="inlineStr">
        <is>
          <t>2026년 3월 결산기 １분기 결산단신</t>
        </is>
      </c>
      <c r="C8" t="inlineStr">
        <is>
          <t>https://www2.jpx.co.jp/disc/44610/140120250821545264.pdf</t>
        </is>
      </c>
    </row>
    <row r="9">
      <c r="A9" t="inlineStr">
        <is>
          <t>2025-07-29</t>
        </is>
      </c>
      <c r="B9" t="inlineStr">
        <is>
          <t>2026년 3월 결산기 １분기 결산단신</t>
        </is>
      </c>
      <c r="C9" t="inlineStr">
        <is>
          <t>https://www2.jpx.co.jp/disc/44610/140120250728521230.pdf</t>
        </is>
      </c>
    </row>
    <row r="10">
      <c r="A10" t="inlineStr">
        <is>
          <t>2025-05-14</t>
        </is>
      </c>
      <c r="B10" t="inlineStr">
        <is>
          <t>2025년 3월 결산기 연간 결산단신</t>
        </is>
      </c>
      <c r="C10" t="inlineStr">
        <is>
          <t>https://www2.jpx.co.jp/disc/44610/140120250514549072.pdf</t>
        </is>
      </c>
    </row>
    <row r="11">
      <c r="A11" t="inlineStr">
        <is>
          <t>2025-01-29</t>
        </is>
      </c>
      <c r="B11" t="inlineStr">
        <is>
          <t>2025년 3월 결산기 ３분기 결산단신</t>
        </is>
      </c>
      <c r="C11" t="inlineStr">
        <is>
          <t>https://www2.jpx.co.jp/disc/44610/140120250128556549.pdf</t>
        </is>
      </c>
    </row>
    <row r="12">
      <c r="A12" t="inlineStr">
        <is>
          <t>2024-10-30</t>
        </is>
      </c>
      <c r="B12" t="inlineStr">
        <is>
          <t>2025년 3월 결산기 ２분기 결산단신</t>
        </is>
      </c>
      <c r="C12" t="inlineStr">
        <is>
          <t>https://www2.jpx.co.jp/disc/44610/140120241029504545.pdf</t>
        </is>
      </c>
    </row>
    <row r="13">
      <c r="A13" t="inlineStr">
        <is>
          <t>2024-07-30</t>
        </is>
      </c>
      <c r="B13" t="inlineStr">
        <is>
          <t>2025년 3월 결산기 １분기 결산단신</t>
        </is>
      </c>
      <c r="C13" t="inlineStr">
        <is>
          <t>https://www2.jpx.co.jp/disc/44610/140120240729556273.pdf</t>
        </is>
      </c>
    </row>
    <row r="14">
      <c r="A14" t="inlineStr">
        <is>
          <t>2024-05-14</t>
        </is>
      </c>
      <c r="B14" t="inlineStr">
        <is>
          <t>2024년 3월 결산기 연간 결산단신</t>
        </is>
      </c>
      <c r="C14" t="inlineStr">
        <is>
          <t>https://www2.jpx.co.jp/disc/44610/140120240513591396.pdf</t>
        </is>
      </c>
    </row>
    <row r="15">
      <c r="A15" t="inlineStr">
        <is>
          <t>2024-01-30</t>
        </is>
      </c>
      <c r="B15" t="inlineStr">
        <is>
          <t>2024년 3월 결산기 ３분기 결산단신</t>
        </is>
      </c>
      <c r="C15" t="inlineStr">
        <is>
          <t>https://www2.jpx.co.jp/disc/44610/140120240126519726.pdf</t>
        </is>
      </c>
    </row>
    <row r="16">
      <c r="A16" t="inlineStr">
        <is>
          <t>2023-10-30</t>
        </is>
      </c>
      <c r="B16" t="inlineStr">
        <is>
          <t>2024년 3월 결산기 ２분기 결산단신</t>
        </is>
      </c>
      <c r="C16" t="inlineStr">
        <is>
          <t>https://www2.jpx.co.jp/disc/44610/140120231025571593.pdf</t>
        </is>
      </c>
    </row>
    <row r="17">
      <c r="A17" t="inlineStr">
        <is>
          <t>2023-07-27</t>
        </is>
      </c>
      <c r="B17" t="inlineStr">
        <is>
          <t>2024년 3월 결산기 １분기 결산단신</t>
        </is>
      </c>
      <c r="C17" t="inlineStr">
        <is>
          <t>https://www2.jpx.co.jp/disc/44610/140120230726527164.pdf</t>
        </is>
      </c>
    </row>
    <row r="18">
      <c r="A18" t="inlineStr">
        <is>
          <t>2023-05-15</t>
        </is>
      </c>
      <c r="B18" t="inlineStr">
        <is>
          <t>2023년 3월 결산기 연간 결산단신</t>
        </is>
      </c>
      <c r="C18" t="inlineStr">
        <is>
          <t>https://www2.jpx.co.jp/disc/44610/140120230512568407.pdf</t>
        </is>
      </c>
    </row>
    <row r="19">
      <c r="A19" t="inlineStr">
        <is>
          <t>2023-01-26</t>
        </is>
      </c>
      <c r="B19" t="inlineStr">
        <is>
          <t>2023년 3월 결산기 ３분기 결산단신</t>
        </is>
      </c>
      <c r="C19" t="inlineStr">
        <is>
          <t>https://www2.jpx.co.jp/disc/44610/140120230125593486.pdf</t>
        </is>
      </c>
    </row>
    <row r="20">
      <c r="A20" t="inlineStr">
        <is>
          <t>2022-05-16</t>
        </is>
      </c>
      <c r="B20" t="inlineStr">
        <is>
          <t>2022년 3월 결산기 연간 결산단신</t>
        </is>
      </c>
      <c r="C20" t="inlineStr">
        <is>
          <t>https://www2.jpx.co.jp/disc/44610/140120220513545842.pdf</t>
        </is>
      </c>
    </row>
    <row r="21">
      <c r="A21" t="inlineStr">
        <is>
          <t>2021-05-13</t>
        </is>
      </c>
      <c r="B21" t="inlineStr">
        <is>
          <t>2021년 3월 결산기 연간 결산단신</t>
        </is>
      </c>
      <c r="C21" t="inlineStr">
        <is>
          <t>https://www2.jpx.co.jp/disc/44610/140120210512412855.pdf</t>
        </is>
      </c>
    </row>
    <row r="22">
      <c r="A22" t="inlineStr">
        <is>
          <t>2020-05-13</t>
        </is>
      </c>
      <c r="B22" t="inlineStr">
        <is>
          <t>2020년 3월 결산기 연간 결산단신</t>
        </is>
      </c>
      <c r="C22" t="inlineStr">
        <is>
          <t>https://www2.jpx.co.jp/disc/44610/140120200513411726.pdf</t>
        </is>
      </c>
    </row>
    <row r="23">
      <c r="A23" t="inlineStr">
        <is>
          <t>2019-04-25</t>
        </is>
      </c>
      <c r="B23" t="inlineStr">
        <is>
          <t>2019년 3월 결산기 연간 결산단신</t>
        </is>
      </c>
      <c r="C23" t="inlineStr">
        <is>
          <t>https://www2.jpx.co.jp/disc/44610/140120190424409573.pdf</t>
        </is>
      </c>
    </row>
    <row r="24">
      <c r="A24" t="inlineStr">
        <is>
          <t>2018-04-26</t>
        </is>
      </c>
      <c r="B24" t="inlineStr">
        <is>
          <t>연간 결산단신</t>
        </is>
      </c>
      <c r="C24" t="inlineStr">
        <is>
          <t>https://www2.jpx.co.jp/disc/44610/140120180423417156.pdf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2026-10-25T14:09:23Z</dcterms:created>
  <dcterms:modified xmlns:dcterms="http://purl.org/dc/terms/" xmlns:xsi="http://www.w3.org/2001/XMLSchema-instance" xsi:type="dcterms:W3CDTF">2026-10-25T14:09:23Z</dcterms:modified>
</cp:coreProperties>
</file>