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329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TKP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2월 결산 · 일본 기준 · 2027.2Q = 2027년 2월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9653</v>
      </c>
      <c r="D4" s="12" t="n">
        <v>9142</v>
      </c>
      <c r="E4" s="12" t="n">
        <v>10562</v>
      </c>
      <c r="F4" s="12" t="n">
        <v>9718</v>
      </c>
      <c r="G4" s="12" t="n">
        <v>19850</v>
      </c>
      <c r="H4" s="12" t="n">
        <v>19078</v>
      </c>
      <c r="I4" s="12" t="n">
        <v>24465</v>
      </c>
      <c r="J4" s="12" t="n">
        <v>25433</v>
      </c>
      <c r="K4" s="12" t="n">
        <v>27087</v>
      </c>
      <c r="L4" s="12" t="n">
        <v>37372</v>
      </c>
      <c r="M4" s="12" t="n">
        <v>34609</v>
      </c>
      <c r="N4" s="12" t="n">
        <v>34794</v>
      </c>
      <c r="O4" s="11" t="n">
        <v>21978</v>
      </c>
      <c r="P4" s="12" t="n">
        <v>28689</v>
      </c>
      <c r="Q4" s="12" t="n">
        <v>35523</v>
      </c>
      <c r="R4" s="12" t="n">
        <v>54343</v>
      </c>
      <c r="S4" s="12" t="n">
        <v>43138</v>
      </c>
      <c r="T4" s="12" t="n">
        <v>44685</v>
      </c>
      <c r="U4" s="12" t="n">
        <v>50504</v>
      </c>
      <c r="V4" s="12" t="n">
        <v>36545</v>
      </c>
      <c r="W4" s="12" t="n">
        <v>59208</v>
      </c>
      <c r="X4" s="12" t="n">
        <v>114357</v>
      </c>
      <c r="Y4" s="11">
        <f>IF(COUNT(Y7,Y10,Y13,Y16,Y19,Y22)=0,"",SUM(Y7,Y10,Y13,Y16,Y19,Y22))</f>
        <v/>
      </c>
      <c r="Z4" s="12">
        <f>IF(COUNT(Z7,Z10,Z13,Z16,Z19,Z22)=0,"",SUM(Z7,Z10,Z13,Z16,Z19,Z22))</f>
        <v/>
      </c>
      <c r="AA4" s="12">
        <f>IF(COUNT(AA7,AA10,AA13,AA16,AA19,AA22)=0,"",SUM(AA7,AA10,AA13,AA16,AA19,AA22))</f>
        <v/>
      </c>
      <c r="AB4" s="12">
        <f>IF(COUNT(AB7,AB10,AB13,AB16,AB19,AB22)=0,"",SUM(AB7,AB10,AB13,AB16,AB19,AB22))</f>
        <v/>
      </c>
      <c r="AC4" s="12">
        <f>IF(COUNT(AC7,AC10,AC13,AC16,AC19,AC22)=0,"",SUM(AC7,AC10,AC13,AC16,AC19,AC22))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공간재생 유통 사업</t>
        </is>
      </c>
      <c r="B7" s="10" t="n"/>
      <c r="C7" s="19" t="n"/>
      <c r="D7" s="20" t="n"/>
      <c r="E7" s="20" t="n"/>
      <c r="F7" s="20" t="n"/>
      <c r="G7" s="20" t="n"/>
      <c r="H7" s="20" t="n">
        <v>10658</v>
      </c>
      <c r="I7" s="20" t="n">
        <v>12512</v>
      </c>
      <c r="J7" s="20" t="n">
        <v>12433</v>
      </c>
      <c r="K7" s="20" t="n">
        <v>14387</v>
      </c>
      <c r="L7" s="20" t="n">
        <v>12894</v>
      </c>
      <c r="M7" s="20" t="n">
        <v>15060</v>
      </c>
      <c r="N7" s="20" t="n">
        <v>14398</v>
      </c>
      <c r="O7" s="19" t="n"/>
      <c r="P7" s="20" t="n"/>
      <c r="Q7" s="20" t="n"/>
      <c r="R7" s="20" t="n"/>
      <c r="S7" s="20" t="n"/>
      <c r="T7" s="20" t="n"/>
      <c r="U7" s="20" t="n"/>
      <c r="V7" s="20" t="n"/>
      <c r="W7" s="20" t="n">
        <v>42158</v>
      </c>
      <c r="X7" s="20" t="n">
        <v>52226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리리카라 사업</t>
        </is>
      </c>
      <c r="B10" s="10" t="n"/>
      <c r="C10" s="19" t="n"/>
      <c r="D10" s="20" t="n"/>
      <c r="E10" s="20" t="n"/>
      <c r="F10" s="20" t="n"/>
      <c r="G10" s="20" t="n"/>
      <c r="H10" s="20" t="n">
        <v>8420</v>
      </c>
      <c r="I10" s="20" t="n"/>
      <c r="J10" s="20" t="n"/>
      <c r="K10" s="20" t="n"/>
      <c r="L10" s="20" t="n"/>
      <c r="M10" s="20" t="n"/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/>
      <c r="W10" s="20" t="n">
        <v>17050</v>
      </c>
      <c r="X10" s="20" t="n"/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리리카라 사업</t>
        </is>
      </c>
      <c r="B13" s="10" t="n"/>
      <c r="C13" s="19" t="n"/>
      <c r="D13" s="20" t="n"/>
      <c r="E13" s="20" t="n"/>
      <c r="F13" s="20" t="n"/>
      <c r="G13" s="20" t="n"/>
      <c r="H13" s="20" t="n"/>
      <c r="I13" s="20" t="n">
        <v>7794</v>
      </c>
      <c r="J13" s="20" t="n">
        <v>7460</v>
      </c>
      <c r="K13" s="20" t="n"/>
      <c r="L13" s="20" t="n"/>
      <c r="M13" s="20" t="n">
        <v>8007</v>
      </c>
      <c r="N13" s="20" t="n">
        <v>8325</v>
      </c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>
        <v>17050</v>
      </c>
      <c r="X13" s="20" t="n">
        <v>33019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노바레제 사업</t>
        </is>
      </c>
      <c r="B16" s="10" t="n"/>
      <c r="C16" s="19" t="n"/>
      <c r="D16" s="20" t="n"/>
      <c r="E16" s="20" t="n"/>
      <c r="F16" s="20" t="n"/>
      <c r="G16" s="20" t="n"/>
      <c r="H16" s="20" t="n"/>
      <c r="I16" s="20" t="n">
        <v>4158</v>
      </c>
      <c r="J16" s="20" t="n">
        <v>5540</v>
      </c>
      <c r="K16" s="20" t="n"/>
      <c r="L16" s="20" t="n"/>
      <c r="M16" s="20" t="n"/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>
        <v>0</v>
      </c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노바레제·에스쿠리 사업</t>
        </is>
      </c>
      <c r="B19" s="10" t="n"/>
      <c r="C19" s="19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>
        <v>14923</v>
      </c>
      <c r="M19" s="20" t="n"/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>
        <v>0</v>
      </c>
      <c r="X19" s="20" t="n">
        <v>29111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온더페이지 사업</t>
        </is>
      </c>
      <c r="B22" s="10" t="n"/>
      <c r="C22" s="19" t="n"/>
      <c r="D22" s="20" t="n"/>
      <c r="E22" s="20" t="n"/>
      <c r="F22" s="20" t="n"/>
      <c r="G22" s="20" t="n"/>
      <c r="H22" s="20" t="n"/>
      <c r="I22" s="20" t="n">
        <v>4158</v>
      </c>
      <c r="J22" s="20" t="n">
        <v>5540</v>
      </c>
      <c r="K22" s="20" t="n"/>
      <c r="L22" s="20" t="n"/>
      <c r="M22" s="20" t="n">
        <v>11541</v>
      </c>
      <c r="N22" s="20" t="n">
        <v>12070</v>
      </c>
      <c r="O22" s="19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6" t="inlineStr">
        <is>
          <t>매출원가</t>
        </is>
      </c>
      <c r="B25" s="16" t="n"/>
      <c r="C25" s="17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7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7" t="n"/>
      <c r="Z25" s="16" t="n"/>
      <c r="AA25" s="16" t="n"/>
      <c r="AB25" s="16" t="n"/>
      <c r="AC25" s="16" t="n"/>
    </row>
    <row r="26">
      <c r="A26" s="18" t="inlineStr">
        <is>
          <t>전체 매출원가</t>
        </is>
      </c>
      <c r="B26" s="10" t="n"/>
      <c r="C26" s="19" t="n">
        <v>6056</v>
      </c>
      <c r="D26" s="20" t="n">
        <v>5925</v>
      </c>
      <c r="E26" s="20" t="n">
        <v>6198</v>
      </c>
      <c r="F26" s="20" t="n">
        <v>5949</v>
      </c>
      <c r="G26" s="20" t="n">
        <v>12929</v>
      </c>
      <c r="H26" s="20" t="n">
        <v>12621</v>
      </c>
      <c r="I26" s="20" t="n">
        <v>14412</v>
      </c>
      <c r="J26" s="20" t="n">
        <v>15189</v>
      </c>
      <c r="K26" s="20" t="n">
        <v>15754</v>
      </c>
      <c r="L26" s="20" t="n">
        <v>20581</v>
      </c>
      <c r="M26" s="20" t="n">
        <v>19610</v>
      </c>
      <c r="N26" s="20" t="n">
        <v>20296</v>
      </c>
      <c r="O26" s="19" t="n">
        <v>13707</v>
      </c>
      <c r="P26" s="20" t="n">
        <v>17738</v>
      </c>
      <c r="Q26" s="20" t="n">
        <v>21801</v>
      </c>
      <c r="R26" s="20" t="n">
        <v>33620</v>
      </c>
      <c r="S26" s="20" t="n">
        <v>31927</v>
      </c>
      <c r="T26" s="20" t="n">
        <v>32611</v>
      </c>
      <c r="U26" s="20" t="n">
        <v>34354</v>
      </c>
      <c r="V26" s="20" t="n">
        <v>22659</v>
      </c>
      <c r="W26" s="20" t="n">
        <v>37697</v>
      </c>
      <c r="X26" s="20" t="n">
        <v>65936</v>
      </c>
      <c r="Y26" s="19" t="n"/>
      <c r="Z26" s="20" t="n"/>
      <c r="AA26" s="20" t="n"/>
      <c r="AB26" s="20" t="n"/>
      <c r="AC26" s="20" t="n"/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IF(OR(G26="",C26=""),"",IF(C26&lt;=0,"",IFERROR(G26/C26-1,"")))</f>
        <v/>
      </c>
      <c r="H27" s="15">
        <f>IF(OR(H26="",D26=""),"",IF(D26&lt;=0,"",IFERROR(H26/D26-1,"")))</f>
        <v/>
      </c>
      <c r="I27" s="15">
        <f>IF(OR(I26="",E26=""),"",IF(E26&lt;=0,"",IFERROR(I26/E26-1,"")))</f>
        <v/>
      </c>
      <c r="J27" s="15">
        <f>IF(OR(J26="",F26=""),"",IF(F26&lt;=0,"",IFERROR(J26/F26-1,"")))</f>
        <v/>
      </c>
      <c r="K27" s="15">
        <f>IF(OR(K26="",G26=""),"",IF(G26&lt;=0,"",IFERROR(K26/G26-1,"")))</f>
        <v/>
      </c>
      <c r="L27" s="15">
        <f>IF(OR(L26="",H26=""),"",IF(H26&lt;=0,"",IFERROR(L26/H26-1,"")))</f>
        <v/>
      </c>
      <c r="M27" s="15">
        <f>IF(OR(M26="",I26=""),"",IF(I26&lt;=0,"",IFERROR(M26/I26-1,"")))</f>
        <v/>
      </c>
      <c r="N27" s="15">
        <f>IF(OR(N26="",J26=""),"",IF(J26&lt;=0,"",IFERROR(N26/J26-1,"")))</f>
        <v/>
      </c>
      <c r="O27" s="14" t="n"/>
      <c r="P27" s="15">
        <f>IF(OR(P26="",O26=""),"",IF(O26&lt;=0,"",IFERROR(P26/O26-1,"")))</f>
        <v/>
      </c>
      <c r="Q27" s="15">
        <f>IF(OR(Q26="",P26=""),"",IF(P26&lt;=0,"",IFERROR(Q26/P26-1,"")))</f>
        <v/>
      </c>
      <c r="R27" s="15">
        <f>IF(OR(R26="",Q26=""),"",IF(Q26&lt;=0,"",IFERROR(R26/Q26-1,"")))</f>
        <v/>
      </c>
      <c r="S27" s="15">
        <f>IF(OR(S26="",R26=""),"",IF(R26&lt;=0,"",IFERROR(S26/R26-1,"")))</f>
        <v/>
      </c>
      <c r="T27" s="15">
        <f>IF(OR(T26="",S26=""),"",IF(S26&lt;=0,"",IFERROR(T26/S26-1,"")))</f>
        <v/>
      </c>
      <c r="U27" s="15">
        <f>IF(OR(U26="",T26=""),"",IF(T26&lt;=0,"",IFERROR(U26/T26-1,"")))</f>
        <v/>
      </c>
      <c r="V27" s="15">
        <f>IF(OR(V26="",U26=""),"",IF(U26&lt;=0,"",IFERROR(V26/U26-1,"")))</f>
        <v/>
      </c>
      <c r="W27" s="15">
        <f>IF(OR(W26="",V26=""),"",IF(V26&lt;=0,"",IFERROR(W26/V26-1,"")))</f>
        <v/>
      </c>
      <c r="X27" s="15">
        <f>IF(OR(X26="",W26=""),"",IF(W26&lt;=0,"",IFERROR(X26/W26-1,"")))</f>
        <v/>
      </c>
      <c r="Y27" s="14">
        <f>IF(OR(Y26="",X26=""),"",IF(X26&lt;=0,"",IFERROR(Y26/X26-1,"")))</f>
        <v/>
      </c>
      <c r="Z27" s="15">
        <f>IF(OR(Z26="",Y26=""),"",IF(Y26&lt;=0,"",IFERROR(Z26/Y26-1,"")))</f>
        <v/>
      </c>
      <c r="AA27" s="15">
        <f>IF(OR(AA26="",Z26=""),"",IF(Z26&lt;=0,"",IFERROR(AA26/Z26-1,"")))</f>
        <v/>
      </c>
      <c r="AB27" s="15">
        <f>IF(OR(AB26="",AA26=""),"",IF(AA26&lt;=0,"",IFERROR(AB26/AA26-1,"")))</f>
        <v/>
      </c>
      <c r="AC27" s="15">
        <f>IF(OR(AC26="",AB26=""),"",IF(AB26&lt;=0,"",IFERROR(AC26/AB26-1,"")))</f>
        <v/>
      </c>
    </row>
    <row r="28">
      <c r="A28" s="18" t="inlineStr">
        <is>
          <t>매출총이익</t>
        </is>
      </c>
      <c r="B28" s="10" t="n"/>
      <c r="C28" s="19">
        <f>IF(OR(C4="",C26=""),"",IFERROR(C4-C26,""))</f>
        <v/>
      </c>
      <c r="D28" s="20">
        <f>IF(OR(D4="",D26=""),"",IFERROR(D4-D26,""))</f>
        <v/>
      </c>
      <c r="E28" s="20">
        <f>IF(OR(E4="",E26=""),"",IFERROR(E4-E26,""))</f>
        <v/>
      </c>
      <c r="F28" s="20">
        <f>IF(OR(F4="",F26=""),"",IFERROR(F4-F26,""))</f>
        <v/>
      </c>
      <c r="G28" s="20">
        <f>IF(OR(G4="",G26=""),"",IFERROR(G4-G26,""))</f>
        <v/>
      </c>
      <c r="H28" s="20">
        <f>IF(OR(H4="",H26=""),"",IFERROR(H4-H26,""))</f>
        <v/>
      </c>
      <c r="I28" s="20">
        <f>IF(OR(I4="",I26=""),"",IFERROR(I4-I26,""))</f>
        <v/>
      </c>
      <c r="J28" s="20">
        <f>IF(OR(J4="",J26=""),"",IFERROR(J4-J26,""))</f>
        <v/>
      </c>
      <c r="K28" s="20">
        <f>IF(OR(K4="",K26=""),"",IFERROR(K4-K26,""))</f>
        <v/>
      </c>
      <c r="L28" s="20">
        <f>IF(OR(L4="",L26=""),"",IFERROR(L4-L26,""))</f>
        <v/>
      </c>
      <c r="M28" s="20">
        <f>IF(OR(M4="",M26=""),"",IFERROR(M4-M26,""))</f>
        <v/>
      </c>
      <c r="N28" s="20">
        <f>IF(OR(N4="",N26=""),"",IFERROR(N4-N26,""))</f>
        <v/>
      </c>
      <c r="O28" s="19">
        <f>IF(OR(O4="",O26=""),"",IFERROR(O4-O26,""))</f>
        <v/>
      </c>
      <c r="P28" s="20">
        <f>IF(OR(P4="",P26=""),"",IFERROR(P4-P26,""))</f>
        <v/>
      </c>
      <c r="Q28" s="20">
        <f>IF(OR(Q4="",Q26=""),"",IFERROR(Q4-Q26,""))</f>
        <v/>
      </c>
      <c r="R28" s="20">
        <f>IF(OR(R4="",R26=""),"",IFERROR(R4-R26,""))</f>
        <v/>
      </c>
      <c r="S28" s="20">
        <f>IF(OR(S4="",S26=""),"",IFERROR(S4-S26,""))</f>
        <v/>
      </c>
      <c r="T28" s="20">
        <f>IF(OR(T4="",T26=""),"",IFERROR(T4-T26,""))</f>
        <v/>
      </c>
      <c r="U28" s="20">
        <f>IF(OR(U4="",U26=""),"",IFERROR(U4-U26,""))</f>
        <v/>
      </c>
      <c r="V28" s="20">
        <f>IF(OR(V4="",V26=""),"",IFERROR(V4-V26,""))</f>
        <v/>
      </c>
      <c r="W28" s="20">
        <f>IF(OR(W4="",W26=""),"",IFERROR(W4-W26,""))</f>
        <v/>
      </c>
      <c r="X28" s="20">
        <f>IF(OR(X4="",X26=""),"",IFERROR(X4-X26,""))</f>
        <v/>
      </c>
      <c r="Y28" s="19" t="n"/>
      <c r="Z28" s="20" t="n"/>
      <c r="AA28" s="20" t="n"/>
      <c r="AB28" s="20" t="n"/>
      <c r="AC28" s="20" t="n"/>
    </row>
    <row r="29">
      <c r="A29" s="13" t="inlineStr">
        <is>
          <t>GPM</t>
        </is>
      </c>
      <c r="B29" s="10" t="n"/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14">
        <f>IF(OR(Y28="",Y4=""),"",IFERROR(Y28/Y4,""))</f>
        <v/>
      </c>
      <c r="Z29" s="15">
        <f>IF(OR(Z28="",Z4=""),"",IFERROR(Z28/Z4,""))</f>
        <v/>
      </c>
      <c r="AA29" s="15">
        <f>IF(OR(AA28="",AA4=""),"",IFERROR(AA28/AA4,""))</f>
        <v/>
      </c>
      <c r="AB29" s="15">
        <f>IF(OR(AB28="",AB4=""),"",IFERROR(AB28/AB4,""))</f>
        <v/>
      </c>
      <c r="AC29" s="15">
        <f>IF(OR(AC28="",AC4=""),"",IFERROR(AC28/AC4,""))</f>
        <v/>
      </c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IF(OR(G28="",C28=""),"",IF(C28&lt;=0,"",IFERROR(G28/C28-1,"")))</f>
        <v/>
      </c>
      <c r="H30" s="15">
        <f>IF(OR(H28="",D28=""),"",IF(D28&lt;=0,"",IFERROR(H28/D28-1,"")))</f>
        <v/>
      </c>
      <c r="I30" s="15">
        <f>IF(OR(I28="",E28=""),"",IF(E28&lt;=0,"",IFERROR(I28/E28-1,"")))</f>
        <v/>
      </c>
      <c r="J30" s="15">
        <f>IF(OR(J28="",F28=""),"",IF(F28&lt;=0,"",IFERROR(J28/F28-1,"")))</f>
        <v/>
      </c>
      <c r="K30" s="15">
        <f>IF(OR(K28="",G28=""),"",IF(G28&lt;=0,"",IFERROR(K28/G28-1,"")))</f>
        <v/>
      </c>
      <c r="L30" s="15">
        <f>IF(OR(L28="",H28=""),"",IF(H28&lt;=0,"",IFERROR(L28/H28-1,"")))</f>
        <v/>
      </c>
      <c r="M30" s="15">
        <f>IF(OR(M28="",I28=""),"",IF(I28&lt;=0,"",IFERROR(M28/I28-1,"")))</f>
        <v/>
      </c>
      <c r="N30" s="15">
        <f>IF(OR(N28="",J28=""),"",IF(J28&lt;=0,"",IFERROR(N28/J28-1,"")))</f>
        <v/>
      </c>
      <c r="O30" s="14" t="n"/>
      <c r="P30" s="15">
        <f>IF(OR(P28="",O28=""),"",IF(O28&lt;=0,"",IFERROR(P28/O28-1,"")))</f>
        <v/>
      </c>
      <c r="Q30" s="15">
        <f>IF(OR(Q28="",P28=""),"",IF(P28&lt;=0,"",IFERROR(Q28/P28-1,"")))</f>
        <v/>
      </c>
      <c r="R30" s="15">
        <f>IF(OR(R28="",Q28=""),"",IF(Q28&lt;=0,"",IFERROR(R28/Q28-1,"")))</f>
        <v/>
      </c>
      <c r="S30" s="15">
        <f>IF(OR(S28="",R28=""),"",IF(R28&lt;=0,"",IFERROR(S28/R28-1,"")))</f>
        <v/>
      </c>
      <c r="T30" s="15">
        <f>IF(OR(T28="",S28=""),"",IF(S28&lt;=0,"",IFERROR(T28/S28-1,"")))</f>
        <v/>
      </c>
      <c r="U30" s="15">
        <f>IF(OR(U28="",T28=""),"",IF(T28&lt;=0,"",IFERROR(U28/T28-1,"")))</f>
        <v/>
      </c>
      <c r="V30" s="15">
        <f>IF(OR(V28="",U28=""),"",IF(U28&lt;=0,"",IFERROR(V28/U28-1,"")))</f>
        <v/>
      </c>
      <c r="W30" s="15">
        <f>IF(OR(W28="",V28=""),"",IF(V28&lt;=0,"",IFERROR(W28/V28-1,"")))</f>
        <v/>
      </c>
      <c r="X30" s="15">
        <f>IF(OR(X28="",W28=""),"",IF(W28&lt;=0,"",IFERROR(X28/W28-1,"")))</f>
        <v/>
      </c>
      <c r="Y30" s="14">
        <f>IF(OR(Y28="",X28=""),"",IF(X28&lt;=0,"",IFERROR(Y28/X28-1,"")))</f>
        <v/>
      </c>
      <c r="Z30" s="15">
        <f>IF(OR(Z28="",Y28=""),"",IF(Y28&lt;=0,"",IFERROR(Z28/Y28-1,"")))</f>
        <v/>
      </c>
      <c r="AA30" s="15">
        <f>IF(OR(AA28="",Z28=""),"",IF(Z28&lt;=0,"",IFERROR(AA28/Z28-1,"")))</f>
        <v/>
      </c>
      <c r="AB30" s="15">
        <f>IF(OR(AB28="",AA28=""),"",IF(AA28&lt;=0,"",IFERROR(AB28/AA28-1,"")))</f>
        <v/>
      </c>
      <c r="AC30" s="15">
        <f>IF(OR(AC28="",AB28=""),"",IF(AB28&lt;=0,"",IFERROR(AC28/AB28-1,"")))</f>
        <v/>
      </c>
    </row>
    <row r="31">
      <c r="A31" s="23" t="inlineStr">
        <is>
          <t>판매관리비</t>
        </is>
      </c>
      <c r="B31" s="23" t="n"/>
      <c r="C31" s="24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4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4" t="n"/>
      <c r="Z31" s="23" t="n"/>
      <c r="AA31" s="23" t="n"/>
      <c r="AB31" s="23" t="n"/>
      <c r="AC31" s="23" t="n"/>
    </row>
    <row r="32">
      <c r="A32" s="18" t="inlineStr">
        <is>
          <t>전체 판관비</t>
        </is>
      </c>
      <c r="B32" s="10" t="n"/>
      <c r="C32" s="19" t="n">
        <v>2427</v>
      </c>
      <c r="D32" s="20" t="n">
        <v>2538</v>
      </c>
      <c r="E32" s="20" t="n">
        <v>2670</v>
      </c>
      <c r="F32" s="20" t="n">
        <v>2728</v>
      </c>
      <c r="G32" s="20" t="n">
        <v>5194</v>
      </c>
      <c r="H32" s="20" t="n">
        <v>5003</v>
      </c>
      <c r="I32" s="20" t="n">
        <v>8252</v>
      </c>
      <c r="J32" s="20" t="n">
        <v>8806</v>
      </c>
      <c r="K32" s="20" t="n">
        <v>8439</v>
      </c>
      <c r="L32" s="20" t="n">
        <v>12623</v>
      </c>
      <c r="M32" s="20" t="n">
        <v>12445</v>
      </c>
      <c r="N32" s="20" t="n">
        <v>12371</v>
      </c>
      <c r="O32" s="19" t="n">
        <v>5576</v>
      </c>
      <c r="P32" s="20" t="n">
        <v>7501</v>
      </c>
      <c r="Q32" s="20" t="n">
        <v>9433</v>
      </c>
      <c r="R32" s="20" t="n">
        <v>14404</v>
      </c>
      <c r="S32" s="20" t="n">
        <v>13708</v>
      </c>
      <c r="T32" s="20" t="n">
        <v>12957</v>
      </c>
      <c r="U32" s="20" t="n">
        <v>12574</v>
      </c>
      <c r="V32" s="20" t="n">
        <v>9278</v>
      </c>
      <c r="W32" s="20" t="n">
        <v>15595</v>
      </c>
      <c r="X32" s="20" t="n">
        <v>38120</v>
      </c>
      <c r="Y32" s="19" t="n"/>
      <c r="Z32" s="20" t="n"/>
      <c r="AA32" s="20" t="n"/>
      <c r="AB32" s="20" t="n"/>
      <c r="AC32" s="20" t="n"/>
    </row>
    <row r="33">
      <c r="A33" s="13" t="inlineStr">
        <is>
          <t>YoY</t>
        </is>
      </c>
      <c r="B33" s="10" t="n"/>
      <c r="C33" s="14" t="n"/>
      <c r="D33" s="15" t="n"/>
      <c r="E33" s="15" t="n"/>
      <c r="F33" s="15" t="n"/>
      <c r="G33" s="15">
        <f>IF(OR(G32="",C32=""),"",IF(C32&lt;=0,"",IFERROR(G32/C32-1,"")))</f>
        <v/>
      </c>
      <c r="H33" s="15">
        <f>IF(OR(H32="",D32=""),"",IF(D32&lt;=0,"",IFERROR(H32/D32-1,"")))</f>
        <v/>
      </c>
      <c r="I33" s="15">
        <f>IF(OR(I32="",E32=""),"",IF(E32&lt;=0,"",IFERROR(I32/E32-1,"")))</f>
        <v/>
      </c>
      <c r="J33" s="15">
        <f>IF(OR(J32="",F32=""),"",IF(F32&lt;=0,"",IFERROR(J32/F32-1,"")))</f>
        <v/>
      </c>
      <c r="K33" s="15">
        <f>IF(OR(K32="",G32=""),"",IF(G32&lt;=0,"",IFERROR(K32/G32-1,"")))</f>
        <v/>
      </c>
      <c r="L33" s="15">
        <f>IF(OR(L32="",H32=""),"",IF(H32&lt;=0,"",IFERROR(L32/H32-1,"")))</f>
        <v/>
      </c>
      <c r="M33" s="15">
        <f>IF(OR(M32="",I32=""),"",IF(I32&lt;=0,"",IFERROR(M32/I32-1,"")))</f>
        <v/>
      </c>
      <c r="N33" s="15">
        <f>IF(OR(N32="",J32=""),"",IF(J32&lt;=0,"",IFERROR(N32/J32-1,"")))</f>
        <v/>
      </c>
      <c r="O33" s="14" t="n"/>
      <c r="P33" s="15">
        <f>IF(OR(P32="",O32=""),"",IF(O32&lt;=0,"",IFERROR(P32/O32-1,"")))</f>
        <v/>
      </c>
      <c r="Q33" s="15">
        <f>IF(OR(Q32="",P32=""),"",IF(P32&lt;=0,"",IFERROR(Q32/P32-1,"")))</f>
        <v/>
      </c>
      <c r="R33" s="15">
        <f>IF(OR(R32="",Q32=""),"",IF(Q32&lt;=0,"",IFERROR(R32/Q32-1,"")))</f>
        <v/>
      </c>
      <c r="S33" s="15">
        <f>IF(OR(S32="",R32=""),"",IF(R32&lt;=0,"",IFERROR(S32/R32-1,"")))</f>
        <v/>
      </c>
      <c r="T33" s="15">
        <f>IF(OR(T32="",S32=""),"",IF(S32&lt;=0,"",IFERROR(T32/S32-1,"")))</f>
        <v/>
      </c>
      <c r="U33" s="15">
        <f>IF(OR(U32="",T32=""),"",IF(T32&lt;=0,"",IFERROR(U32/T32-1,"")))</f>
        <v/>
      </c>
      <c r="V33" s="15">
        <f>IF(OR(V32="",U32=""),"",IF(U32&lt;=0,"",IFERROR(V32/U32-1,"")))</f>
        <v/>
      </c>
      <c r="W33" s="15">
        <f>IF(OR(W32="",V32=""),"",IF(V32&lt;=0,"",IFERROR(W32/V32-1,"")))</f>
        <v/>
      </c>
      <c r="X33" s="15">
        <f>IF(OR(X32="",W32=""),"",IF(W32&lt;=0,"",IFERROR(X32/W32-1,"")))</f>
        <v/>
      </c>
      <c r="Y33" s="14">
        <f>IF(OR(Y32="",X32=""),"",IF(X32&lt;=0,"",IFERROR(Y32/X32-1,"")))</f>
        <v/>
      </c>
      <c r="Z33" s="15">
        <f>IF(OR(Z32="",Y32=""),"",IF(Y32&lt;=0,"",IFERROR(Z32/Y32-1,"")))</f>
        <v/>
      </c>
      <c r="AA33" s="15">
        <f>IF(OR(AA32="",Z32=""),"",IF(Z32&lt;=0,"",IFERROR(AA32/Z32-1,"")))</f>
        <v/>
      </c>
      <c r="AB33" s="15">
        <f>IF(OR(AB32="",AA32=""),"",IF(AA32&lt;=0,"",IFERROR(AB32/AA32-1,"")))</f>
        <v/>
      </c>
      <c r="AC33" s="15">
        <f>IF(OR(AC32="",AB32=""),"",IF(AB32&lt;=0,"",IFERROR(AC32/AB32-1,"")))</f>
        <v/>
      </c>
    </row>
    <row r="34">
      <c r="A34" s="9" t="inlineStr">
        <is>
          <t>영업이익</t>
        </is>
      </c>
      <c r="B34" s="10" t="inlineStr">
        <is>
          <t>MW = 매출 × OPM</t>
        </is>
      </c>
      <c r="C34" s="11" t="n">
        <v>1170</v>
      </c>
      <c r="D34" s="12" t="n">
        <v>679</v>
      </c>
      <c r="E34" s="12" t="n">
        <v>1692</v>
      </c>
      <c r="F34" s="12" t="n">
        <v>1041</v>
      </c>
      <c r="G34" s="12" t="n">
        <v>1728</v>
      </c>
      <c r="H34" s="12" t="n">
        <v>1454</v>
      </c>
      <c r="I34" s="12" t="n">
        <v>1800</v>
      </c>
      <c r="J34" s="12" t="n">
        <v>1439</v>
      </c>
      <c r="K34" s="12" t="n">
        <v>2894</v>
      </c>
      <c r="L34" s="12" t="n">
        <v>4168</v>
      </c>
      <c r="M34" s="12" t="n">
        <v>2553</v>
      </c>
      <c r="N34" s="12" t="n">
        <v>2127</v>
      </c>
      <c r="O34" s="11" t="n">
        <v>2694</v>
      </c>
      <c r="P34" s="12" t="n">
        <v>3449</v>
      </c>
      <c r="Q34" s="12" t="n">
        <v>4289</v>
      </c>
      <c r="R34" s="12" t="n">
        <v>6317</v>
      </c>
      <c r="S34" s="12" t="n">
        <v>-2497</v>
      </c>
      <c r="T34" s="12" t="n">
        <v>-883</v>
      </c>
      <c r="U34" s="12" t="n">
        <v>3575</v>
      </c>
      <c r="V34" s="12" t="n">
        <v>4607</v>
      </c>
      <c r="W34" s="12" t="n">
        <v>5915</v>
      </c>
      <c r="X34" s="12" t="n">
        <v>10301</v>
      </c>
      <c r="Y34" s="11">
        <f>IF(OR(Y4="",Y35=""),"",IFERROR(Y4*Y35,""))</f>
        <v/>
      </c>
      <c r="Z34" s="12">
        <f>IF(OR(Z4="",Z35=""),"",IFERROR(Z4*Z35,""))</f>
        <v/>
      </c>
      <c r="AA34" s="12">
        <f>IF(OR(AA4="",AA35=""),"",IFERROR(AA4*AA35,""))</f>
        <v/>
      </c>
      <c r="AB34" s="12">
        <f>IF(OR(AB4="",AB35=""),"",IFERROR(AB4*AB35,""))</f>
        <v/>
      </c>
      <c r="AC34" s="12">
        <f>IF(OR(AC4="",AC35=""),"",IFERROR(AC4*AC35,""))</f>
        <v/>
      </c>
    </row>
    <row r="35">
      <c r="A35" s="13" t="inlineStr">
        <is>
          <t>OPM</t>
        </is>
      </c>
      <c r="B35" s="10" t="inlineStr">
        <is>
          <t>MW 입력</t>
        </is>
      </c>
      <c r="C35" s="14">
        <f>IF(OR(C34="",C4=""),"",IFERROR(C34/C4,""))</f>
        <v/>
      </c>
      <c r="D35" s="15">
        <f>IF(OR(D34="",D4=""),"",IFERROR(D34/D4,""))</f>
        <v/>
      </c>
      <c r="E35" s="15">
        <f>IF(OR(E34="",E4=""),"",IFERROR(E34/E4,""))</f>
        <v/>
      </c>
      <c r="F35" s="15">
        <f>IF(OR(F34="",F4=""),"",IFERROR(F34/F4,""))</f>
        <v/>
      </c>
      <c r="G35" s="15">
        <f>IF(OR(G34="",G4=""),"",IFERROR(G34/G4,""))</f>
        <v/>
      </c>
      <c r="H35" s="15">
        <f>IF(OR(H34="",H4=""),"",IFERROR(H34/H4,""))</f>
        <v/>
      </c>
      <c r="I35" s="15">
        <f>IF(OR(I34="",I4=""),"",IFERROR(I34/I4,""))</f>
        <v/>
      </c>
      <c r="J35" s="15">
        <f>IF(OR(J34="",J4=""),"",IFERROR(J34/J4,""))</f>
        <v/>
      </c>
      <c r="K35" s="15">
        <f>IF(OR(K34="",K4=""),"",IFERROR(K34/K4,""))</f>
        <v/>
      </c>
      <c r="L35" s="15">
        <f>IF(OR(L34="",L4=""),"",IFERROR(L34/L4,""))</f>
        <v/>
      </c>
      <c r="M35" s="15">
        <f>IF(OR(M34="",M4=""),"",IFERROR(M34/M4,""))</f>
        <v/>
      </c>
      <c r="N35" s="15">
        <f>IF(OR(N34="",N4=""),"",IFERROR(N34/N4,""))</f>
        <v/>
      </c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25" t="n"/>
      <c r="Z35" s="26" t="n"/>
      <c r="AA35" s="26" t="n"/>
      <c r="AB35" s="26" t="n"/>
      <c r="AC35" s="26" t="n"/>
    </row>
    <row r="36">
      <c r="A36" s="13" t="inlineStr">
        <is>
          <t>증가율</t>
        </is>
      </c>
      <c r="B36" s="10" t="n"/>
      <c r="C36" s="14" t="n"/>
      <c r="D36" s="15" t="n"/>
      <c r="E36" s="15" t="n"/>
      <c r="F36" s="15" t="n"/>
      <c r="G36" s="15">
        <f>IF(OR(G34="",C34=""),"",IFERROR(G34/C34-1,""))</f>
        <v/>
      </c>
      <c r="H36" s="15">
        <f>IF(OR(H34="",D34=""),"",IFERROR(H34/D34-1,""))</f>
        <v/>
      </c>
      <c r="I36" s="15">
        <f>IF(OR(I34="",E34=""),"",IFERROR(I34/E34-1,""))</f>
        <v/>
      </c>
      <c r="J36" s="15">
        <f>IF(OR(J34="",F34=""),"",IFERROR(J34/F34-1,""))</f>
        <v/>
      </c>
      <c r="K36" s="15">
        <f>IF(OR(K34="",G34=""),"",IFERROR(K34/G34-1,""))</f>
        <v/>
      </c>
      <c r="L36" s="15">
        <f>IF(OR(L34="",H34=""),"",IFERROR(L34/H34-1,""))</f>
        <v/>
      </c>
      <c r="M36" s="15">
        <f>IF(OR(M34="",I34=""),"",IFERROR(M34/I34-1,""))</f>
        <v/>
      </c>
      <c r="N36" s="15">
        <f>IF(OR(N34="",J34=""),"",IFERROR(N34/J34-1,""))</f>
        <v/>
      </c>
      <c r="O36" s="14" t="n"/>
      <c r="P36" s="15">
        <f>IF(OR(P34="",O34=""),"",IFERROR(P34/O34-1,""))</f>
        <v/>
      </c>
      <c r="Q36" s="15">
        <f>IF(OR(Q34="",P34=""),"",IFERROR(Q34/P34-1,""))</f>
        <v/>
      </c>
      <c r="R36" s="15">
        <f>IF(OR(R34="",Q34=""),"",IFERROR(R34/Q34-1,""))</f>
        <v/>
      </c>
      <c r="S36" s="15">
        <f>IF(OR(S34="",R34=""),"",IFERROR(S34/R34-1,""))</f>
        <v/>
      </c>
      <c r="T36" s="15">
        <f>IF(OR(T34="",S34=""),"",IFERROR(T34/S34-1,""))</f>
        <v/>
      </c>
      <c r="U36" s="15">
        <f>IF(OR(U34="",T34=""),"",IFERROR(U34/T34-1,""))</f>
        <v/>
      </c>
      <c r="V36" s="15">
        <f>IF(OR(V34="",U34=""),"",IFERROR(V34/U34-1,""))</f>
        <v/>
      </c>
      <c r="W36" s="15">
        <f>IF(OR(W34="",V34=""),"",IFERROR(W34/V34-1,""))</f>
        <v/>
      </c>
      <c r="X36" s="15">
        <f>IF(OR(X34="",W34=""),"",IFERROR(X34/W34-1,""))</f>
        <v/>
      </c>
      <c r="Y36" s="14">
        <f>IF(OR(Y34="",X34=""),"",IFERROR(Y34/X34-1,""))</f>
        <v/>
      </c>
      <c r="Z36" s="15">
        <f>IF(OR(Z34="",Y34=""),"",IFERROR(Z34/Y34-1,""))</f>
        <v/>
      </c>
      <c r="AA36" s="15">
        <f>IF(OR(AA34="",Z34=""),"",IFERROR(AA34/Z34-1,""))</f>
        <v/>
      </c>
      <c r="AB36" s="15">
        <f>IF(OR(AB34="",AA34=""),"",IFERROR(AB34/AA34-1,""))</f>
        <v/>
      </c>
      <c r="AC36" s="15">
        <f>IF(OR(AC34="",AB34=""),"",IFERROR(AC34/AB34-1,""))</f>
        <v/>
      </c>
    </row>
    <row r="37">
      <c r="A37" s="16" t="inlineStr">
        <is>
          <t>비용의 성격별 분류</t>
        </is>
      </c>
      <c r="B37" s="16" t="inlineStr">
        <is>
          <t>참고 데이터</t>
        </is>
      </c>
      <c r="C37" s="17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7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7" t="n"/>
      <c r="Z37" s="16" t="n"/>
      <c r="AA37" s="16" t="n"/>
      <c r="AB37" s="16" t="n"/>
      <c r="AC37" s="16" t="n"/>
    </row>
    <row r="38">
      <c r="A38" s="9" t="inlineStr">
        <is>
          <t>총 판관비</t>
        </is>
      </c>
      <c r="B38" s="10" t="n"/>
      <c r="C38" s="11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1">
        <f>IF(O32="","",O32)</f>
        <v/>
      </c>
      <c r="P38" s="12">
        <f>IF(P32="","",P32)</f>
        <v/>
      </c>
      <c r="Q38" s="12">
        <f>IF(Q32="","",Q32)</f>
        <v/>
      </c>
      <c r="R38" s="12">
        <f>IF(R32="","",R32)</f>
        <v/>
      </c>
      <c r="S38" s="12">
        <f>IF(S32="","",S32)</f>
        <v/>
      </c>
      <c r="T38" s="12">
        <f>IF(T32="","",T32)</f>
        <v/>
      </c>
      <c r="U38" s="12">
        <f>IF(U32="","",U32)</f>
        <v/>
      </c>
      <c r="V38" s="12">
        <f>IF(V32="","",V32)</f>
        <v/>
      </c>
      <c r="W38" s="12">
        <f>IF(W32="","",W32)</f>
        <v/>
      </c>
      <c r="X38" s="12">
        <f>IF(X32="","",X32)</f>
        <v/>
      </c>
      <c r="Y38" s="11" t="n"/>
      <c r="Z38" s="12" t="n"/>
      <c r="AA38" s="12" t="n"/>
      <c r="AB38" s="12" t="n"/>
      <c r="AC38" s="12" t="n"/>
    </row>
    <row r="39">
      <c r="A39" s="18" t="inlineStr">
        <is>
          <t>급여</t>
        </is>
      </c>
      <c r="B39" s="10" t="inlineStr">
        <is>
          <t>고정비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감가상각비</t>
        </is>
      </c>
      <c r="B41" s="10" t="inlineStr">
        <is>
          <t>고정비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8" t="inlineStr">
        <is>
          <t>지급수수료</t>
        </is>
      </c>
      <c r="B43" s="10" t="inlineStr">
        <is>
          <t>고정비</t>
        </is>
      </c>
      <c r="C43" s="19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19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19" t="n"/>
      <c r="Z43" s="20" t="n"/>
      <c r="AA43" s="20" t="n"/>
      <c r="AB43" s="20" t="n"/>
      <c r="AC43" s="20" t="n"/>
    </row>
    <row r="44">
      <c r="A44" s="13" t="inlineStr">
        <is>
          <t>% of Sales</t>
        </is>
      </c>
      <c r="B44" s="10" t="n"/>
      <c r="C44" s="14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14" t="n"/>
      <c r="Z44" s="15" t="n"/>
      <c r="AA44" s="15" t="n"/>
      <c r="AB44" s="15" t="n"/>
      <c r="AC44" s="15" t="n"/>
    </row>
    <row r="45">
      <c r="A45" s="18" t="inlineStr">
        <is>
          <t>연구개발비</t>
        </is>
      </c>
      <c r="B45" s="10" t="inlineStr">
        <is>
          <t>변동비</t>
        </is>
      </c>
      <c r="C45" s="19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19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19" t="n"/>
      <c r="Z45" s="20" t="n"/>
      <c r="AA45" s="20" t="n"/>
      <c r="AB45" s="20" t="n"/>
      <c r="AC45" s="20" t="n"/>
    </row>
    <row r="46">
      <c r="A46" s="13" t="inlineStr">
        <is>
          <t>% of Sales</t>
        </is>
      </c>
      <c r="B46" s="10" t="n"/>
      <c r="C46" s="14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14" t="n"/>
      <c r="Z46" s="15" t="n"/>
      <c r="AA46" s="15" t="n"/>
      <c r="AB46" s="15" t="n"/>
      <c r="AC46" s="15" t="n"/>
    </row>
    <row r="47">
      <c r="A47" s="18" t="inlineStr">
        <is>
          <t>기타비용</t>
        </is>
      </c>
      <c r="B47" s="10" t="inlineStr">
        <is>
          <t>변동비</t>
        </is>
      </c>
      <c r="C47" s="19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19">
        <f>IF(OR(O38="",O39="",O41="",O43="",O45=""),"",IFERROR(O38-O39-O41-O43-O45,""))</f>
        <v/>
      </c>
      <c r="P47" s="20">
        <f>IF(OR(P38="",P39="",P41="",P43="",P45=""),"",IFERROR(P38-P39-P41-P43-P45,""))</f>
        <v/>
      </c>
      <c r="Q47" s="20">
        <f>IF(OR(Q38="",Q39="",Q41="",Q43="",Q45=""),"",IFERROR(Q38-Q39-Q41-Q43-Q45,""))</f>
        <v/>
      </c>
      <c r="R47" s="20">
        <f>IF(OR(R38="",R39="",R41="",R43="",R45=""),"",IFERROR(R38-R39-R41-R43-R45,""))</f>
        <v/>
      </c>
      <c r="S47" s="20">
        <f>IF(OR(S38="",S39="",S41="",S43="",S45=""),"",IFERROR(S38-S39-S41-S43-S45,""))</f>
        <v/>
      </c>
      <c r="T47" s="20">
        <f>IF(OR(T38="",T39="",T41="",T43="",T45=""),"",IFERROR(T38-T39-T41-T43-T45,""))</f>
        <v/>
      </c>
      <c r="U47" s="20">
        <f>IF(OR(U38="",U39="",U41="",U43="",U45=""),"",IFERROR(U38-U39-U41-U43-U45,""))</f>
        <v/>
      </c>
      <c r="V47" s="20">
        <f>IF(OR(V38="",V39="",V41="",V43="",V45=""),"",IFERROR(V38-V39-V41-V43-V45,""))</f>
        <v/>
      </c>
      <c r="W47" s="20">
        <f>IF(OR(W38="",W39="",W41="",W43="",W45=""),"",IFERROR(W38-W39-W41-W43-W45,""))</f>
        <v/>
      </c>
      <c r="X47" s="20">
        <f>IF(OR(X38="",X39="",X41="",X43="",X45=""),"",IFERROR(X38-X39-X41-X43-X45,""))</f>
        <v/>
      </c>
      <c r="Y47" s="19" t="n"/>
      <c r="Z47" s="20" t="n"/>
      <c r="AA47" s="20" t="n"/>
      <c r="AB47" s="20" t="n"/>
      <c r="AC47" s="20" t="n"/>
    </row>
    <row r="48">
      <c r="A48" s="13" t="inlineStr">
        <is>
          <t>% of Sales</t>
        </is>
      </c>
      <c r="B48" s="10" t="n"/>
      <c r="C48" s="14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14" t="n"/>
      <c r="Z48" s="15" t="n"/>
      <c r="AA48" s="15" t="n"/>
      <c r="AB48" s="15" t="n"/>
      <c r="AC48" s="15" t="n"/>
    </row>
    <row r="49">
      <c r="A49" s="16" t="inlineStr">
        <is>
          <t>당기순이익 추정</t>
        </is>
      </c>
      <c r="B49" s="16" t="n"/>
      <c r="C49" s="17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7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7" t="n"/>
      <c r="Z49" s="16" t="n"/>
      <c r="AA49" s="16" t="n"/>
      <c r="AB49" s="16" t="n"/>
      <c r="AC49" s="16" t="n"/>
    </row>
    <row r="50">
      <c r="A50" s="18" t="inlineStr">
        <is>
          <t>특별이익</t>
        </is>
      </c>
      <c r="B50" s="10" t="n"/>
      <c r="C50" s="19" t="n">
        <v>34</v>
      </c>
      <c r="D50" s="20" t="n">
        <v>0</v>
      </c>
      <c r="E50" s="20" t="n">
        <v>66</v>
      </c>
      <c r="F50" s="20" t="n">
        <v>186</v>
      </c>
      <c r="G50" s="20" t="n">
        <v>580</v>
      </c>
      <c r="H50" s="20" t="n">
        <v>0</v>
      </c>
      <c r="I50" s="20" t="n">
        <v>1</v>
      </c>
      <c r="J50" s="20" t="n">
        <v>34</v>
      </c>
      <c r="K50" s="20" t="n">
        <v>210</v>
      </c>
      <c r="L50" s="20" t="n">
        <v>11865</v>
      </c>
      <c r="M50" s="20" t="n">
        <v>19</v>
      </c>
      <c r="N50" s="20" t="n">
        <v>114</v>
      </c>
      <c r="O50" s="19" t="n">
        <v>0</v>
      </c>
      <c r="P50" s="20" t="n">
        <v>487</v>
      </c>
      <c r="Q50" s="20" t="n">
        <v>25</v>
      </c>
      <c r="R50" s="20" t="n">
        <v>416</v>
      </c>
      <c r="S50" s="20" t="n">
        <v>1387</v>
      </c>
      <c r="T50" s="20" t="n">
        <v>682</v>
      </c>
      <c r="U50" s="20" t="n">
        <v>914</v>
      </c>
      <c r="V50" s="20" t="n">
        <v>79</v>
      </c>
      <c r="W50" s="20" t="n">
        <v>832</v>
      </c>
      <c r="X50" s="20" t="n">
        <v>12110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inlineStr">
        <is>
          <t>MW = 최근 3년 평균</t>
        </is>
      </c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18" t="inlineStr">
        <is>
          <t>특별손실</t>
        </is>
      </c>
      <c r="B52" s="10" t="n"/>
      <c r="C52" s="19" t="n">
        <v>29</v>
      </c>
      <c r="D52" s="20" t="n">
        <v>56</v>
      </c>
      <c r="E52" s="20" t="n">
        <v>5</v>
      </c>
      <c r="F52" s="20" t="n">
        <v>5</v>
      </c>
      <c r="G52" s="20" t="n">
        <v>280</v>
      </c>
      <c r="H52" s="20" t="n">
        <v>452</v>
      </c>
      <c r="I52" s="20" t="n">
        <v>10</v>
      </c>
      <c r="J52" s="20" t="n">
        <v>46</v>
      </c>
      <c r="K52" s="20" t="n">
        <v>58</v>
      </c>
      <c r="L52" s="20" t="n">
        <v>946</v>
      </c>
      <c r="M52" s="20" t="n">
        <v>645</v>
      </c>
      <c r="N52" s="20" t="n">
        <v>136</v>
      </c>
      <c r="O52" s="19" t="n">
        <v>191</v>
      </c>
      <c r="P52" s="20" t="n">
        <v>295</v>
      </c>
      <c r="Q52" s="20" t="n">
        <v>925</v>
      </c>
      <c r="R52" s="20" t="n">
        <v>937</v>
      </c>
      <c r="S52" s="20" t="n">
        <v>1870</v>
      </c>
      <c r="T52" s="20" t="n">
        <v>2518</v>
      </c>
      <c r="U52" s="20" t="n">
        <v>6853</v>
      </c>
      <c r="V52" s="20" t="n">
        <v>177</v>
      </c>
      <c r="W52" s="20" t="n">
        <v>742</v>
      </c>
      <c r="X52" s="20" t="n">
        <v>1060</v>
      </c>
      <c r="Y52" s="19">
        <f>IF(OR(Y4="",Y53=""),"",IFERROR(Y4*Y53,""))</f>
        <v/>
      </c>
      <c r="Z52" s="20">
        <f>IF(OR(Z4="",Z53=""),"",IFERROR(Z4*Z53,""))</f>
        <v/>
      </c>
      <c r="AA52" s="20">
        <f>IF(OR(AA4="",AA53=""),"",IFERROR(AA4*AA53,""))</f>
        <v/>
      </c>
      <c r="AB52" s="20">
        <f>IF(OR(AB4="",AB53=""),"",IFERROR(AB4*AB53,""))</f>
        <v/>
      </c>
      <c r="AC52" s="20">
        <f>IF(OR(AC4="",AC53=""),"",IFERROR(AC4*AC53,""))</f>
        <v/>
      </c>
    </row>
    <row r="53">
      <c r="A53" s="13" t="inlineStr">
        <is>
          <t>% of Sales</t>
        </is>
      </c>
      <c r="B53" s="10" t="n"/>
      <c r="C53" s="14">
        <f>IF(OR(C52="",C4=""),"",IFERROR(C52/C4,""))</f>
        <v/>
      </c>
      <c r="D53" s="15">
        <f>IF(OR(D52="",D4=""),"",IFERROR(D52/D4,""))</f>
        <v/>
      </c>
      <c r="E53" s="15">
        <f>IF(OR(E52="",E4=""),"",IFERROR(E52/E4,""))</f>
        <v/>
      </c>
      <c r="F53" s="15">
        <f>IF(OR(F52="",F4=""),"",IFERROR(F52/F4,""))</f>
        <v/>
      </c>
      <c r="G53" s="15">
        <f>IF(OR(G52="",G4=""),"",IFERROR(G52/G4,""))</f>
        <v/>
      </c>
      <c r="H53" s="15">
        <f>IF(OR(H52="",H4=""),"",IFERROR(H52/H4,""))</f>
        <v/>
      </c>
      <c r="I53" s="15">
        <f>IF(OR(I52="",I4=""),"",IFERROR(I52/I4,""))</f>
        <v/>
      </c>
      <c r="J53" s="15">
        <f>IF(OR(J52="",J4=""),"",IFERROR(J52/J4,""))</f>
        <v/>
      </c>
      <c r="K53" s="15">
        <f>IF(OR(K52="",K4=""),"",IFERROR(K52/K4,""))</f>
        <v/>
      </c>
      <c r="L53" s="15">
        <f>IF(OR(L52="",L4=""),"",IFERROR(L52/L4,""))</f>
        <v/>
      </c>
      <c r="M53" s="15">
        <f>IF(OR(M52="",M4=""),"",IFERROR(M52/M4,""))</f>
        <v/>
      </c>
      <c r="N53" s="15">
        <f>IF(OR(N52="",N4=""),"",IFERROR(N52/N4,""))</f>
        <v/>
      </c>
      <c r="O53" s="14">
        <f>IF(OR(O52="",O4=""),"",IFERROR(O52/O4,""))</f>
        <v/>
      </c>
      <c r="P53" s="15">
        <f>IF(OR(P52="",P4=""),"",IFERROR(P52/P4,""))</f>
        <v/>
      </c>
      <c r="Q53" s="15">
        <f>IF(OR(Q52="",Q4=""),"",IFERROR(Q52/Q4,""))</f>
        <v/>
      </c>
      <c r="R53" s="15">
        <f>IF(OR(R52="",R4=""),"",IFERROR(R52/R4,""))</f>
        <v/>
      </c>
      <c r="S53" s="15">
        <f>IF(OR(S52="",S4=""),"",IFERROR(S52/S4,""))</f>
        <v/>
      </c>
      <c r="T53" s="15">
        <f>IF(OR(T52="",T4=""),"",IFERROR(T52/T4,""))</f>
        <v/>
      </c>
      <c r="U53" s="15">
        <f>IF(OR(U52="",U4=""),"",IFERROR(U52/U4,""))</f>
        <v/>
      </c>
      <c r="V53" s="15">
        <f>IF(OR(V52="",V4=""),"",IFERROR(V52/V4,""))</f>
        <v/>
      </c>
      <c r="W53" s="15">
        <f>IF(OR(W52="",W4=""),"",IFERROR(W52/W4,""))</f>
        <v/>
      </c>
      <c r="X53" s="15">
        <f>IF(OR(X52="",X4=""),"",IFERROR(X52/X4,""))</f>
        <v/>
      </c>
      <c r="Y53" s="25">
        <f>IFERROR(AVERAGE(V53,W53,X53),"")</f>
        <v/>
      </c>
      <c r="Z53" s="26">
        <f>Y53</f>
        <v/>
      </c>
      <c r="AA53" s="26">
        <f>Z53</f>
        <v/>
      </c>
      <c r="AB53" s="26">
        <f>AA53</f>
        <v/>
      </c>
      <c r="AC53" s="26">
        <f>AB53</f>
        <v/>
      </c>
    </row>
    <row r="54">
      <c r="A54" s="18" t="inlineStr">
        <is>
          <t>영업외수익</t>
        </is>
      </c>
      <c r="B54" s="10" t="n"/>
      <c r="C54" s="19" t="n">
        <v>162</v>
      </c>
      <c r="D54" s="20" t="n">
        <v>38</v>
      </c>
      <c r="E54" s="20" t="n">
        <v>203</v>
      </c>
      <c r="F54" s="20" t="n">
        <v>12</v>
      </c>
      <c r="G54" s="20" t="n">
        <v>93</v>
      </c>
      <c r="H54" s="20" t="n">
        <v>212</v>
      </c>
      <c r="I54" s="20" t="n">
        <v>200</v>
      </c>
      <c r="J54" s="20" t="n">
        <v>38</v>
      </c>
      <c r="K54" s="20" t="n">
        <v>43</v>
      </c>
      <c r="L54" s="20" t="n">
        <v>126</v>
      </c>
      <c r="M54" s="20" t="n">
        <v>411</v>
      </c>
      <c r="N54" s="20" t="n">
        <v>351</v>
      </c>
      <c r="O54" s="19" t="n">
        <v>62</v>
      </c>
      <c r="P54" s="20" t="n">
        <v>92</v>
      </c>
      <c r="Q54" s="20" t="n">
        <v>95</v>
      </c>
      <c r="R54" s="20" t="n">
        <v>155</v>
      </c>
      <c r="S54" s="20" t="n">
        <v>1222</v>
      </c>
      <c r="T54" s="20" t="n">
        <v>291</v>
      </c>
      <c r="U54" s="20" t="n">
        <v>483</v>
      </c>
      <c r="V54" s="20" t="n">
        <v>714</v>
      </c>
      <c r="W54" s="20" t="n">
        <v>520</v>
      </c>
      <c r="X54" s="20" t="n">
        <v>407</v>
      </c>
      <c r="Y54" s="19">
        <f>IF(OR(Y4="",Y55=""),"",IFERROR(Y4*Y55,""))</f>
        <v/>
      </c>
      <c r="Z54" s="20">
        <f>IF(OR(Z4="",Z55=""),"",IFERROR(Z4*Z55,""))</f>
        <v/>
      </c>
      <c r="AA54" s="20">
        <f>IF(OR(AA4="",AA55=""),"",IFERROR(AA4*AA55,""))</f>
        <v/>
      </c>
      <c r="AB54" s="20">
        <f>IF(OR(AB4="",AB55=""),"",IFERROR(AB4*AB55,""))</f>
        <v/>
      </c>
      <c r="AC54" s="20">
        <f>IF(OR(AC4="",AC55=""),"",IFERROR(AC4*AC55,""))</f>
        <v/>
      </c>
    </row>
    <row r="55">
      <c r="A55" s="13" t="inlineStr">
        <is>
          <t>% of Sales</t>
        </is>
      </c>
      <c r="B55" s="10" t="n"/>
      <c r="C55" s="14">
        <f>IF(OR(C54="",C4=""),"",IFERROR(C54/C4,""))</f>
        <v/>
      </c>
      <c r="D55" s="15">
        <f>IF(OR(D54="",D4=""),"",IFERROR(D54/D4,""))</f>
        <v/>
      </c>
      <c r="E55" s="15">
        <f>IF(OR(E54="",E4=""),"",IFERROR(E54/E4,""))</f>
        <v/>
      </c>
      <c r="F55" s="15">
        <f>IF(OR(F54="",F4=""),"",IFERROR(F54/F4,""))</f>
        <v/>
      </c>
      <c r="G55" s="15">
        <f>IF(OR(G54="",G4=""),"",IFERROR(G54/G4,""))</f>
        <v/>
      </c>
      <c r="H55" s="15">
        <f>IF(OR(H54="",H4=""),"",IFERROR(H54/H4,""))</f>
        <v/>
      </c>
      <c r="I55" s="15">
        <f>IF(OR(I54="",I4=""),"",IFERROR(I54/I4,""))</f>
        <v/>
      </c>
      <c r="J55" s="15">
        <f>IF(OR(J54="",J4=""),"",IFERROR(J54/J4,""))</f>
        <v/>
      </c>
      <c r="K55" s="15">
        <f>IF(OR(K54="",K4=""),"",IFERROR(K54/K4,""))</f>
        <v/>
      </c>
      <c r="L55" s="15">
        <f>IF(OR(L54="",L4=""),"",IFERROR(L54/L4,""))</f>
        <v/>
      </c>
      <c r="M55" s="15">
        <f>IF(OR(M54="",M4=""),"",IFERROR(M54/M4,""))</f>
        <v/>
      </c>
      <c r="N55" s="15">
        <f>IF(OR(N54="",N4=""),"",IFERROR(N54/N4,""))</f>
        <v/>
      </c>
      <c r="O55" s="14">
        <f>IF(OR(O54="",O4=""),"",IFERROR(O54/O4,""))</f>
        <v/>
      </c>
      <c r="P55" s="15">
        <f>IF(OR(P54="",P4=""),"",IFERROR(P54/P4,""))</f>
        <v/>
      </c>
      <c r="Q55" s="15">
        <f>IF(OR(Q54="",Q4=""),"",IFERROR(Q54/Q4,""))</f>
        <v/>
      </c>
      <c r="R55" s="15">
        <f>IF(OR(R54="",R4=""),"",IFERROR(R54/R4,""))</f>
        <v/>
      </c>
      <c r="S55" s="15">
        <f>IF(OR(S54="",S4=""),"",IFERROR(S54/S4,""))</f>
        <v/>
      </c>
      <c r="T55" s="15">
        <f>IF(OR(T54="",T4=""),"",IFERROR(T54/T4,""))</f>
        <v/>
      </c>
      <c r="U55" s="15">
        <f>IF(OR(U54="",U4=""),"",IFERROR(U54/U4,""))</f>
        <v/>
      </c>
      <c r="V55" s="15">
        <f>IF(OR(V54="",V4=""),"",IFERROR(V54/V4,""))</f>
        <v/>
      </c>
      <c r="W55" s="15">
        <f>IF(OR(W54="",W4=""),"",IFERROR(W54/W4,""))</f>
        <v/>
      </c>
      <c r="X55" s="15">
        <f>IF(OR(X54="",X4=""),"",IFERROR(X54/X4,""))</f>
        <v/>
      </c>
      <c r="Y55" s="25">
        <f>IFERROR(AVERAGE(V55,W55,X55),"")</f>
        <v/>
      </c>
      <c r="Z55" s="26">
        <f>Y55</f>
        <v/>
      </c>
      <c r="AA55" s="26">
        <f>Z55</f>
        <v/>
      </c>
      <c r="AB55" s="26">
        <f>AA55</f>
        <v/>
      </c>
      <c r="AC55" s="26">
        <f>AB55</f>
        <v/>
      </c>
    </row>
    <row r="56">
      <c r="A56" s="18" t="inlineStr">
        <is>
          <t>영업외비용</t>
        </is>
      </c>
      <c r="B56" s="10" t="n"/>
      <c r="C56" s="19" t="n">
        <v>95</v>
      </c>
      <c r="D56" s="20" t="n">
        <v>85</v>
      </c>
      <c r="E56" s="20" t="n">
        <v>133</v>
      </c>
      <c r="F56" s="20" t="n">
        <v>193</v>
      </c>
      <c r="G56" s="20" t="n">
        <v>332</v>
      </c>
      <c r="H56" s="20" t="n">
        <v>-48</v>
      </c>
      <c r="I56" s="20" t="n">
        <v>342</v>
      </c>
      <c r="J56" s="20" t="n">
        <v>308</v>
      </c>
      <c r="K56" s="20" t="n">
        <v>362</v>
      </c>
      <c r="L56" s="20" t="n">
        <v>598</v>
      </c>
      <c r="M56" s="20" t="n">
        <v>597</v>
      </c>
      <c r="N56" s="20" t="n">
        <v>483</v>
      </c>
      <c r="O56" s="19" t="n">
        <v>204</v>
      </c>
      <c r="P56" s="20" t="n">
        <v>341</v>
      </c>
      <c r="Q56" s="20" t="n">
        <v>331</v>
      </c>
      <c r="R56" s="20" t="n">
        <v>1720</v>
      </c>
      <c r="S56" s="20" t="n">
        <v>1046</v>
      </c>
      <c r="T56" s="20" t="n">
        <v>993</v>
      </c>
      <c r="U56" s="20" t="n">
        <v>996</v>
      </c>
      <c r="V56" s="20" t="n">
        <v>460</v>
      </c>
      <c r="W56" s="20" t="n">
        <v>610</v>
      </c>
      <c r="X56" s="20" t="n">
        <v>1610</v>
      </c>
      <c r="Y56" s="19">
        <f>IF(OR(Y4="",Y57=""),"",IFERROR(Y4*Y57,""))</f>
        <v/>
      </c>
      <c r="Z56" s="20">
        <f>IF(OR(Z4="",Z57=""),"",IFERROR(Z4*Z57,""))</f>
        <v/>
      </c>
      <c r="AA56" s="20">
        <f>IF(OR(AA4="",AA57=""),"",IFERROR(AA4*AA57,""))</f>
        <v/>
      </c>
      <c r="AB56" s="20">
        <f>IF(OR(AB4="",AB57=""),"",IFERROR(AB4*AB57,""))</f>
        <v/>
      </c>
      <c r="AC56" s="20">
        <f>IF(OR(AC4="",AC57=""),"",IFERROR(AC4*AC57,""))</f>
        <v/>
      </c>
    </row>
    <row r="57">
      <c r="A57" s="13" t="inlineStr">
        <is>
          <t>% of Sales</t>
        </is>
      </c>
      <c r="B57" s="10" t="n"/>
      <c r="C57" s="14">
        <f>IF(OR(C56="",C4=""),"",IFERROR(C56/C4,""))</f>
        <v/>
      </c>
      <c r="D57" s="15">
        <f>IF(OR(D56="",D4=""),"",IFERROR(D56/D4,""))</f>
        <v/>
      </c>
      <c r="E57" s="15">
        <f>IF(OR(E56="",E4=""),"",IFERROR(E56/E4,""))</f>
        <v/>
      </c>
      <c r="F57" s="15">
        <f>IF(OR(F56="",F4=""),"",IFERROR(F56/F4,""))</f>
        <v/>
      </c>
      <c r="G57" s="15">
        <f>IF(OR(G56="",G4=""),"",IFERROR(G56/G4,""))</f>
        <v/>
      </c>
      <c r="H57" s="15">
        <f>IF(OR(H56="",H4=""),"",IFERROR(H56/H4,""))</f>
        <v/>
      </c>
      <c r="I57" s="15">
        <f>IF(OR(I56="",I4=""),"",IFERROR(I56/I4,""))</f>
        <v/>
      </c>
      <c r="J57" s="15">
        <f>IF(OR(J56="",J4=""),"",IFERROR(J56/J4,""))</f>
        <v/>
      </c>
      <c r="K57" s="15">
        <f>IF(OR(K56="",K4=""),"",IFERROR(K56/K4,""))</f>
        <v/>
      </c>
      <c r="L57" s="15">
        <f>IF(OR(L56="",L4=""),"",IFERROR(L56/L4,""))</f>
        <v/>
      </c>
      <c r="M57" s="15">
        <f>IF(OR(M56="",M4=""),"",IFERROR(M56/M4,""))</f>
        <v/>
      </c>
      <c r="N57" s="15">
        <f>IF(OR(N56="",N4=""),"",IFERROR(N56/N4,""))</f>
        <v/>
      </c>
      <c r="O57" s="14">
        <f>IF(OR(O56="",O4=""),"",IFERROR(O56/O4,""))</f>
        <v/>
      </c>
      <c r="P57" s="15">
        <f>IF(OR(P56="",P4=""),"",IFERROR(P56/P4,""))</f>
        <v/>
      </c>
      <c r="Q57" s="15">
        <f>IF(OR(Q56="",Q4=""),"",IFERROR(Q56/Q4,""))</f>
        <v/>
      </c>
      <c r="R57" s="15">
        <f>IF(OR(R56="",R4=""),"",IFERROR(R56/R4,""))</f>
        <v/>
      </c>
      <c r="S57" s="15">
        <f>IF(OR(S56="",S4=""),"",IFERROR(S56/S4,""))</f>
        <v/>
      </c>
      <c r="T57" s="15">
        <f>IF(OR(T56="",T4=""),"",IFERROR(T56/T4,""))</f>
        <v/>
      </c>
      <c r="U57" s="15">
        <f>IF(OR(U56="",U4=""),"",IFERROR(U56/U4,""))</f>
        <v/>
      </c>
      <c r="V57" s="15">
        <f>IF(OR(V56="",V4=""),"",IFERROR(V56/V4,""))</f>
        <v/>
      </c>
      <c r="W57" s="15">
        <f>IF(OR(W56="",W4=""),"",IFERROR(W56/W4,""))</f>
        <v/>
      </c>
      <c r="X57" s="15">
        <f>IF(OR(X56="",X4=""),"",IFERROR(X56/X4,""))</f>
        <v/>
      </c>
      <c r="Y57" s="25">
        <f>IFERROR(AVERAGE(V57,W57,X57),"")</f>
        <v/>
      </c>
      <c r="Z57" s="26">
        <f>Y57</f>
        <v/>
      </c>
      <c r="AA57" s="26">
        <f>Z57</f>
        <v/>
      </c>
      <c r="AB57" s="26">
        <f>AA57</f>
        <v/>
      </c>
      <c r="AC57" s="26">
        <f>AB57</f>
        <v/>
      </c>
    </row>
    <row r="58">
      <c r="A58" s="9" t="inlineStr">
        <is>
          <t>법인세비용차감전순이익(손실)</t>
        </is>
      </c>
      <c r="B58" s="10" t="n"/>
      <c r="C58" s="11" t="n">
        <v>1242</v>
      </c>
      <c r="D58" s="12" t="n">
        <v>577</v>
      </c>
      <c r="E58" s="12" t="n">
        <v>1823</v>
      </c>
      <c r="F58" s="12" t="n">
        <v>1041</v>
      </c>
      <c r="G58" s="12" t="n">
        <v>1789</v>
      </c>
      <c r="H58" s="12" t="n">
        <v>1262</v>
      </c>
      <c r="I58" s="12" t="n">
        <v>1649</v>
      </c>
      <c r="J58" s="12" t="n">
        <v>1158</v>
      </c>
      <c r="K58" s="12" t="n">
        <v>2727</v>
      </c>
      <c r="L58" s="12" t="n">
        <v>14614</v>
      </c>
      <c r="M58" s="12" t="n">
        <v>1740</v>
      </c>
      <c r="N58" s="12" t="n">
        <v>1974</v>
      </c>
      <c r="O58" s="11" t="n">
        <v>2360</v>
      </c>
      <c r="P58" s="12" t="n">
        <v>3392</v>
      </c>
      <c r="Q58" s="12" t="n">
        <v>3152</v>
      </c>
      <c r="R58" s="12" t="n">
        <v>4231</v>
      </c>
      <c r="S58" s="12" t="n">
        <v>-2804</v>
      </c>
      <c r="T58" s="12" t="n">
        <v>-3420</v>
      </c>
      <c r="U58" s="12" t="n">
        <v>-2877</v>
      </c>
      <c r="V58" s="12" t="n">
        <v>4764</v>
      </c>
      <c r="W58" s="12" t="n">
        <v>5915</v>
      </c>
      <c r="X58" s="12" t="n">
        <v>20148</v>
      </c>
      <c r="Y58" s="11">
        <f>IF(OR(Y34=""),"",IFERROR(Y34+N(Y50)-N(Y52)+N(Y54)-N(Y56),""))</f>
        <v/>
      </c>
      <c r="Z58" s="12">
        <f>IF(OR(Z34=""),"",IFERROR(Z34+N(Z50)-N(Z52)+N(Z54)-N(Z56),""))</f>
        <v/>
      </c>
      <c r="AA58" s="12">
        <f>IF(OR(AA34=""),"",IFERROR(AA34+N(AA50)-N(AA52)+N(AA54)-N(AA56),""))</f>
        <v/>
      </c>
      <c r="AB58" s="12">
        <f>IF(OR(AB34=""),"",IFERROR(AB34+N(AB50)-N(AB52)+N(AB54)-N(AB56),""))</f>
        <v/>
      </c>
      <c r="AC58" s="12">
        <f>IF(OR(AC34=""),"",IFERROR(AC34+N(AC50)-N(AC52)+N(AC54)-N(AC56),""))</f>
        <v/>
      </c>
    </row>
    <row r="59">
      <c r="A59" s="13" t="inlineStr">
        <is>
          <t>YoY</t>
        </is>
      </c>
      <c r="B59" s="10" t="n"/>
      <c r="C59" s="14" t="n"/>
      <c r="D59" s="15" t="n"/>
      <c r="E59" s="15" t="n"/>
      <c r="F59" s="15" t="n"/>
      <c r="G59" s="15">
        <f>IF(OR(G58="",C58=""),"",IF(C58&lt;=0,"",IFERROR(G58/C58-1,"")))</f>
        <v/>
      </c>
      <c r="H59" s="15">
        <f>IF(OR(H58="",D58=""),"",IF(D58&lt;=0,"",IFERROR(H58/D58-1,"")))</f>
        <v/>
      </c>
      <c r="I59" s="15">
        <f>IF(OR(I58="",E58=""),"",IF(E58&lt;=0,"",IFERROR(I58/E58-1,"")))</f>
        <v/>
      </c>
      <c r="J59" s="15">
        <f>IF(OR(J58="",F58=""),"",IF(F58&lt;=0,"",IFERROR(J58/F58-1,"")))</f>
        <v/>
      </c>
      <c r="K59" s="15">
        <f>IF(OR(K58="",G58=""),"",IF(G58&lt;=0,"",IFERROR(K58/G58-1,"")))</f>
        <v/>
      </c>
      <c r="L59" s="15">
        <f>IF(OR(L58="",H58=""),"",IF(H58&lt;=0,"",IFERROR(L58/H58-1,"")))</f>
        <v/>
      </c>
      <c r="M59" s="15">
        <f>IF(OR(M58="",I58=""),"",IF(I58&lt;=0,"",IFERROR(M58/I58-1,"")))</f>
        <v/>
      </c>
      <c r="N59" s="15">
        <f>IF(OR(N58="",J58=""),"",IF(J58&lt;=0,"",IFERROR(N58/J58-1,"")))</f>
        <v/>
      </c>
      <c r="O59" s="14" t="n"/>
      <c r="P59" s="15">
        <f>IF(OR(P58="",O58=""),"",IF(O58&lt;=0,"",IFERROR(P58/O58-1,"")))</f>
        <v/>
      </c>
      <c r="Q59" s="15">
        <f>IF(OR(Q58="",P58=""),"",IF(P58&lt;=0,"",IFERROR(Q58/P58-1,"")))</f>
        <v/>
      </c>
      <c r="R59" s="15">
        <f>IF(OR(R58="",Q58=""),"",IF(Q58&lt;=0,"",IFERROR(R58/Q58-1,"")))</f>
        <v/>
      </c>
      <c r="S59" s="15">
        <f>IF(OR(S58="",R58=""),"",IF(R58&lt;=0,"",IFERROR(S58/R58-1,"")))</f>
        <v/>
      </c>
      <c r="T59" s="15">
        <f>IF(OR(T58="",S58=""),"",IF(S58&lt;=0,"",IFERROR(T58/S58-1,"")))</f>
        <v/>
      </c>
      <c r="U59" s="15">
        <f>IF(OR(U58="",T58=""),"",IF(T58&lt;=0,"",IFERROR(U58/T58-1,"")))</f>
        <v/>
      </c>
      <c r="V59" s="15">
        <f>IF(OR(V58="",U58=""),"",IF(U58&lt;=0,"",IFERROR(V58/U58-1,"")))</f>
        <v/>
      </c>
      <c r="W59" s="15">
        <f>IF(OR(W58="",V58=""),"",IF(V58&lt;=0,"",IFERROR(W58/V58-1,"")))</f>
        <v/>
      </c>
      <c r="X59" s="15">
        <f>IF(OR(X58="",W58=""),"",IF(W58&lt;=0,"",IFERROR(X58/W58-1,"")))</f>
        <v/>
      </c>
      <c r="Y59" s="14">
        <f>IF(OR(Y58="",X58=""),"",IF(X58&lt;=0,"",IFERROR(Y58/X58-1,"")))</f>
        <v/>
      </c>
      <c r="Z59" s="15">
        <f>IF(OR(Z58="",Y58=""),"",IF(Y58&lt;=0,"",IFERROR(Z58/Y58-1,"")))</f>
        <v/>
      </c>
      <c r="AA59" s="15">
        <f>IF(OR(AA58="",Z58=""),"",IF(Z58&lt;=0,"",IFERROR(AA58/Z58-1,"")))</f>
        <v/>
      </c>
      <c r="AB59" s="15">
        <f>IF(OR(AB58="",AA58=""),"",IF(AA58&lt;=0,"",IFERROR(AB58/AA58-1,"")))</f>
        <v/>
      </c>
      <c r="AC59" s="15">
        <f>IF(OR(AC58="",AB58=""),"",IF(AB58&lt;=0,"",IFERROR(AC58/AB58-1,"")))</f>
        <v/>
      </c>
    </row>
    <row r="60">
      <c r="A60" s="18" t="inlineStr">
        <is>
          <t>법인세비용(수익)</t>
        </is>
      </c>
      <c r="B60" s="10" t="n"/>
      <c r="C60" s="19" t="n">
        <v>464</v>
      </c>
      <c r="D60" s="20" t="n">
        <v>-254</v>
      </c>
      <c r="E60" s="20" t="n">
        <v>-50</v>
      </c>
      <c r="F60" s="20" t="n">
        <v>491</v>
      </c>
      <c r="G60" s="20" t="n">
        <v>943</v>
      </c>
      <c r="H60" s="20" t="n">
        <v>675</v>
      </c>
      <c r="I60" s="20" t="n">
        <v>624</v>
      </c>
      <c r="J60" s="20" t="n">
        <v>589</v>
      </c>
      <c r="K60" s="20" t="n">
        <v>1196</v>
      </c>
      <c r="L60" s="20" t="n">
        <v>4148</v>
      </c>
      <c r="M60" s="20" t="n">
        <v>751</v>
      </c>
      <c r="N60" s="20" t="n">
        <v>441</v>
      </c>
      <c r="O60" s="19" t="n">
        <v>1011</v>
      </c>
      <c r="P60" s="20" t="n">
        <v>1321</v>
      </c>
      <c r="Q60" s="20" t="n">
        <v>1252</v>
      </c>
      <c r="R60" s="20" t="n">
        <v>2324</v>
      </c>
      <c r="S60" s="20" t="n">
        <v>666</v>
      </c>
      <c r="T60" s="20" t="n">
        <v>-263</v>
      </c>
      <c r="U60" s="20" t="n">
        <v>2044</v>
      </c>
      <c r="V60" s="20" t="n">
        <v>-2556</v>
      </c>
      <c r="W60" s="20" t="n">
        <v>2059</v>
      </c>
      <c r="X60" s="20" t="n">
        <v>6557</v>
      </c>
      <c r="Y60" s="19">
        <f>IF(OR(Y58="",Y61=""),"",IFERROR(MAX(Y58,0)*Y61,""))</f>
        <v/>
      </c>
      <c r="Z60" s="20">
        <f>IF(OR(Z58="",Z61=""),"",IFERROR(MAX(Z58,0)*Z61,""))</f>
        <v/>
      </c>
      <c r="AA60" s="20">
        <f>IF(OR(AA58="",AA61=""),"",IFERROR(MAX(AA58,0)*AA61,""))</f>
        <v/>
      </c>
      <c r="AB60" s="20">
        <f>IF(OR(AB58="",AB61=""),"",IFERROR(MAX(AB58,0)*AB61,""))</f>
        <v/>
      </c>
      <c r="AC60" s="20">
        <f>IF(OR(AC58="",AC61=""),"",IFERROR(MAX(AC58,0)*AC61,""))</f>
        <v/>
      </c>
    </row>
    <row r="61">
      <c r="A61" s="13" t="inlineStr">
        <is>
          <t>법인세율</t>
        </is>
      </c>
      <c r="B61" s="10" t="inlineStr">
        <is>
          <t>MW 기본 30%</t>
        </is>
      </c>
      <c r="C61" s="14">
        <f>IF(OR(C60="",C58=""),"",IFERROR(C60/C58,""))</f>
        <v/>
      </c>
      <c r="D61" s="15">
        <f>IF(OR(D60="",D58=""),"",IFERROR(D60/D58,""))</f>
        <v/>
      </c>
      <c r="E61" s="15">
        <f>IF(OR(E60="",E58=""),"",IFERROR(E60/E58,""))</f>
        <v/>
      </c>
      <c r="F61" s="15">
        <f>IF(OR(F60="",F58=""),"",IFERROR(F60/F58,""))</f>
        <v/>
      </c>
      <c r="G61" s="15">
        <f>IF(OR(G60="",G58=""),"",IFERROR(G60/G58,""))</f>
        <v/>
      </c>
      <c r="H61" s="15">
        <f>IF(OR(H60="",H58=""),"",IFERROR(H60/H58,""))</f>
        <v/>
      </c>
      <c r="I61" s="15">
        <f>IF(OR(I60="",I58=""),"",IFERROR(I60/I58,""))</f>
        <v/>
      </c>
      <c r="J61" s="15">
        <f>IF(OR(J60="",J58=""),"",IFERROR(J60/J58,""))</f>
        <v/>
      </c>
      <c r="K61" s="15">
        <f>IF(OR(K60="",K58=""),"",IFERROR(K60/K58,""))</f>
        <v/>
      </c>
      <c r="L61" s="15">
        <f>IF(OR(L60="",L58=""),"",IFERROR(L60/L58,""))</f>
        <v/>
      </c>
      <c r="M61" s="15">
        <f>IF(OR(M60="",M58=""),"",IFERROR(M60/M58,""))</f>
        <v/>
      </c>
      <c r="N61" s="15">
        <f>IF(OR(N60="",N58=""),"",IFERROR(N60/N58,""))</f>
        <v/>
      </c>
      <c r="O61" s="14">
        <f>IF(OR(O60="",O58=""),"",IFERROR(O60/O58,""))</f>
        <v/>
      </c>
      <c r="P61" s="15">
        <f>IF(OR(P60="",P58=""),"",IFERROR(P60/P58,""))</f>
        <v/>
      </c>
      <c r="Q61" s="15">
        <f>IF(OR(Q60="",Q58=""),"",IFERROR(Q60/Q58,""))</f>
        <v/>
      </c>
      <c r="R61" s="15">
        <f>IF(OR(R60="",R58=""),"",IFERROR(R60/R58,""))</f>
        <v/>
      </c>
      <c r="S61" s="15">
        <f>IF(OR(S60="",S58=""),"",IFERROR(S60/S58,""))</f>
        <v/>
      </c>
      <c r="T61" s="15">
        <f>IF(OR(T60="",T58=""),"",IFERROR(T60/T58,""))</f>
        <v/>
      </c>
      <c r="U61" s="15">
        <f>IF(OR(U60="",U58=""),"",IFERROR(U60/U58,""))</f>
        <v/>
      </c>
      <c r="V61" s="15">
        <f>IF(OR(V60="",V58=""),"",IFERROR(V60/V58,""))</f>
        <v/>
      </c>
      <c r="W61" s="15">
        <f>IF(OR(W60="",W58=""),"",IFERROR(W60/W58,""))</f>
        <v/>
      </c>
      <c r="X61" s="15">
        <f>IF(OR(X60="",X58=""),"",IFERROR(X60/X58,""))</f>
        <v/>
      </c>
      <c r="Y61" s="25" t="n">
        <v>0.3</v>
      </c>
      <c r="Z61" s="26" t="n">
        <v>0.3</v>
      </c>
      <c r="AA61" s="26" t="n">
        <v>0.3</v>
      </c>
      <c r="AB61" s="26" t="n">
        <v>0.3</v>
      </c>
      <c r="AC61" s="26" t="n">
        <v>0.3</v>
      </c>
    </row>
    <row r="62">
      <c r="A62" s="9" t="inlineStr">
        <is>
          <t>당기순이익(손실)</t>
        </is>
      </c>
      <c r="B62" s="10" t="n"/>
      <c r="C62" s="11" t="n">
        <v>777</v>
      </c>
      <c r="D62" s="12" t="n">
        <v>832</v>
      </c>
      <c r="E62" s="12" t="n">
        <v>1873</v>
      </c>
      <c r="F62" s="12" t="n">
        <v>549</v>
      </c>
      <c r="G62" s="12" t="n">
        <v>846</v>
      </c>
      <c r="H62" s="12" t="n">
        <v>588</v>
      </c>
      <c r="I62" s="12" t="n">
        <v>1024</v>
      </c>
      <c r="J62" s="12" t="n">
        <v>569</v>
      </c>
      <c r="K62" s="12" t="n">
        <v>1531</v>
      </c>
      <c r="L62" s="12" t="n">
        <v>10467</v>
      </c>
      <c r="M62" s="12" t="n">
        <v>989</v>
      </c>
      <c r="N62" s="12" t="n">
        <v>1533</v>
      </c>
      <c r="O62" s="11" t="n">
        <v>1348</v>
      </c>
      <c r="P62" s="12" t="n">
        <v>2071</v>
      </c>
      <c r="Q62" s="12" t="n">
        <v>1900</v>
      </c>
      <c r="R62" s="12" t="n">
        <v>1906</v>
      </c>
      <c r="S62" s="12" t="n">
        <v>-3471</v>
      </c>
      <c r="T62" s="12" t="n">
        <v>-3157</v>
      </c>
      <c r="U62" s="12" t="n">
        <v>-4921</v>
      </c>
      <c r="V62" s="12" t="n">
        <v>7321</v>
      </c>
      <c r="W62" s="12" t="n">
        <v>3856</v>
      </c>
      <c r="X62" s="12" t="n">
        <v>13591</v>
      </c>
      <c r="Y62" s="11">
        <f>IF(OR(Y58=""),"",IFERROR(Y58-Y60,""))</f>
        <v/>
      </c>
      <c r="Z62" s="12">
        <f>IF(OR(Z58=""),"",IFERROR(Z58-Z60,""))</f>
        <v/>
      </c>
      <c r="AA62" s="12">
        <f>IF(OR(AA58=""),"",IFERROR(AA58-AA60,""))</f>
        <v/>
      </c>
      <c r="AB62" s="12">
        <f>IF(OR(AB58=""),"",IFERROR(AB58-AB60,""))</f>
        <v/>
      </c>
      <c r="AC62" s="12">
        <f>IF(OR(AC58=""),"",IFERROR(AC58-AC60,""))</f>
        <v/>
      </c>
    </row>
    <row r="63">
      <c r="A63" s="13" t="inlineStr">
        <is>
          <t>YoY</t>
        </is>
      </c>
      <c r="B63" s="10" t="n"/>
      <c r="C63" s="14" t="n"/>
      <c r="D63" s="15" t="n"/>
      <c r="E63" s="15" t="n"/>
      <c r="F63" s="15" t="n"/>
      <c r="G63" s="15">
        <f>IF(OR(G62="",C62=""),"",IF(C62&lt;=0,"",IFERROR(G62/C62-1,"")))</f>
        <v/>
      </c>
      <c r="H63" s="15">
        <f>IF(OR(H62="",D62=""),"",IF(D62&lt;=0,"",IFERROR(H62/D62-1,"")))</f>
        <v/>
      </c>
      <c r="I63" s="15">
        <f>IF(OR(I62="",E62=""),"",IF(E62&lt;=0,"",IFERROR(I62/E62-1,"")))</f>
        <v/>
      </c>
      <c r="J63" s="15">
        <f>IF(OR(J62="",F62=""),"",IF(F62&lt;=0,"",IFERROR(J62/F62-1,"")))</f>
        <v/>
      </c>
      <c r="K63" s="15">
        <f>IF(OR(K62="",G62=""),"",IF(G62&lt;=0,"",IFERROR(K62/G62-1,"")))</f>
        <v/>
      </c>
      <c r="L63" s="15">
        <f>IF(OR(L62="",H62=""),"",IF(H62&lt;=0,"",IFERROR(L62/H62-1,"")))</f>
        <v/>
      </c>
      <c r="M63" s="15">
        <f>IF(OR(M62="",I62=""),"",IF(I62&lt;=0,"",IFERROR(M62/I62-1,"")))</f>
        <v/>
      </c>
      <c r="N63" s="15">
        <f>IF(OR(N62="",J62=""),"",IF(J62&lt;=0,"",IFERROR(N62/J62-1,"")))</f>
        <v/>
      </c>
      <c r="O63" s="14" t="n"/>
      <c r="P63" s="15">
        <f>IF(OR(P62="",O62=""),"",IF(O62&lt;=0,"",IFERROR(P62/O62-1,"")))</f>
        <v/>
      </c>
      <c r="Q63" s="15">
        <f>IF(OR(Q62="",P62=""),"",IF(P62&lt;=0,"",IFERROR(Q62/P62-1,"")))</f>
        <v/>
      </c>
      <c r="R63" s="15">
        <f>IF(OR(R62="",Q62=""),"",IF(Q62&lt;=0,"",IFERROR(R62/Q62-1,"")))</f>
        <v/>
      </c>
      <c r="S63" s="15">
        <f>IF(OR(S62="",R62=""),"",IF(R62&lt;=0,"",IFERROR(S62/R62-1,"")))</f>
        <v/>
      </c>
      <c r="T63" s="15">
        <f>IF(OR(T62="",S62=""),"",IF(S62&lt;=0,"",IFERROR(T62/S62-1,"")))</f>
        <v/>
      </c>
      <c r="U63" s="15">
        <f>IF(OR(U62="",T62=""),"",IF(T62&lt;=0,"",IFERROR(U62/T62-1,"")))</f>
        <v/>
      </c>
      <c r="V63" s="15">
        <f>IF(OR(V62="",U62=""),"",IF(U62&lt;=0,"",IFERROR(V62/U62-1,"")))</f>
        <v/>
      </c>
      <c r="W63" s="15">
        <f>IF(OR(W62="",V62=""),"",IF(V62&lt;=0,"",IFERROR(W62/V62-1,"")))</f>
        <v/>
      </c>
      <c r="X63" s="15">
        <f>IF(OR(X62="",W62=""),"",IF(W62&lt;=0,"",IFERROR(X62/W62-1,"")))</f>
        <v/>
      </c>
      <c r="Y63" s="14">
        <f>IF(OR(Y62="",X62=""),"",IF(X62&lt;=0,"",IFERROR(Y62/X62-1,"")))</f>
        <v/>
      </c>
      <c r="Z63" s="15">
        <f>IF(OR(Z62="",Y62=""),"",IF(Y62&lt;=0,"",IFERROR(Z62/Y62-1,"")))</f>
        <v/>
      </c>
      <c r="AA63" s="15">
        <f>IF(OR(AA62="",Z62=""),"",IF(Z62&lt;=0,"",IFERROR(AA62/Z62-1,"")))</f>
        <v/>
      </c>
      <c r="AB63" s="15">
        <f>IF(OR(AB62="",AA62=""),"",IF(AA62&lt;=0,"",IFERROR(AB62/AA62-1,"")))</f>
        <v/>
      </c>
      <c r="AC63" s="15">
        <f>IF(OR(AC62="",AB62=""),"",IF(AB62&lt;=0,"",IFERROR(AC62/AB62-1,"")))</f>
        <v/>
      </c>
    </row>
    <row r="64">
      <c r="A64" s="9" t="inlineStr">
        <is>
          <t>지배주주 순이익</t>
        </is>
      </c>
      <c r="B64" s="10" t="n"/>
      <c r="C64" s="11" t="n">
        <v>777</v>
      </c>
      <c r="D64" s="12" t="n">
        <v>832</v>
      </c>
      <c r="E64" s="12" t="n">
        <v>1873</v>
      </c>
      <c r="F64" s="12" t="n">
        <v>549</v>
      </c>
      <c r="G64" s="12" t="n">
        <v>874</v>
      </c>
      <c r="H64" s="12" t="n">
        <v>493</v>
      </c>
      <c r="I64" s="12" t="n">
        <v>1078</v>
      </c>
      <c r="J64" s="12" t="n">
        <v>545</v>
      </c>
      <c r="K64" s="12" t="n">
        <v>1474</v>
      </c>
      <c r="L64" s="12" t="n">
        <v>9196</v>
      </c>
      <c r="M64" s="12" t="n">
        <v>1194</v>
      </c>
      <c r="N64" s="12" t="n">
        <v>1262</v>
      </c>
      <c r="O64" s="11" t="n">
        <v>1352</v>
      </c>
      <c r="P64" s="12" t="n">
        <v>2071</v>
      </c>
      <c r="Q64" s="12" t="n">
        <v>1893</v>
      </c>
      <c r="R64" s="12" t="n">
        <v>1739</v>
      </c>
      <c r="S64" s="12" t="n">
        <v>-3503</v>
      </c>
      <c r="T64" s="12" t="n">
        <v>-3211</v>
      </c>
      <c r="U64" s="12" t="n">
        <v>-4936</v>
      </c>
      <c r="V64" s="12" t="n">
        <v>7321</v>
      </c>
      <c r="W64" s="12" t="n">
        <v>3789</v>
      </c>
      <c r="X64" s="12" t="n">
        <v>12293</v>
      </c>
      <c r="Y64" s="11">
        <f>IF(OR(Y62="",Y65=""),"",IFERROR(Y62*Y65,""))</f>
        <v/>
      </c>
      <c r="Z64" s="12">
        <f>IF(OR(Z62="",Z65=""),"",IFERROR(Z62*Z65,""))</f>
        <v/>
      </c>
      <c r="AA64" s="12">
        <f>IF(OR(AA62="",AA65=""),"",IFERROR(AA62*AA65,""))</f>
        <v/>
      </c>
      <c r="AB64" s="12">
        <f>IF(OR(AB62="",AB65=""),"",IFERROR(AB62*AB65,""))</f>
        <v/>
      </c>
      <c r="AC64" s="12">
        <f>IF(OR(AC62="",AC65=""),"",IFERROR(AC62*AC65,""))</f>
        <v/>
      </c>
    </row>
    <row r="65">
      <c r="A65" s="13" t="inlineStr">
        <is>
          <t>지배주주 순이익률</t>
        </is>
      </c>
      <c r="B65" s="10" t="inlineStr">
        <is>
          <t>MW 기본 100%</t>
        </is>
      </c>
      <c r="C65" s="14">
        <f>IF(OR(C64="",C62=""),"",IFERROR(C64/C62,""))</f>
        <v/>
      </c>
      <c r="D65" s="15">
        <f>IF(OR(D64="",D62=""),"",IFERROR(D64/D62,""))</f>
        <v/>
      </c>
      <c r="E65" s="15">
        <f>IF(OR(E64="",E62=""),"",IFERROR(E64/E62,""))</f>
        <v/>
      </c>
      <c r="F65" s="15">
        <f>IF(OR(F64="",F62=""),"",IFERROR(F64/F62,""))</f>
        <v/>
      </c>
      <c r="G65" s="15">
        <f>IF(OR(G64="",G62=""),"",IFERROR(G64/G62,""))</f>
        <v/>
      </c>
      <c r="H65" s="15">
        <f>IF(OR(H64="",H62=""),"",IFERROR(H64/H62,""))</f>
        <v/>
      </c>
      <c r="I65" s="15">
        <f>IF(OR(I64="",I62=""),"",IFERROR(I64/I62,""))</f>
        <v/>
      </c>
      <c r="J65" s="15">
        <f>IF(OR(J64="",J62=""),"",IFERROR(J64/J62,""))</f>
        <v/>
      </c>
      <c r="K65" s="15">
        <f>IF(OR(K64="",K62=""),"",IFERROR(K64/K62,""))</f>
        <v/>
      </c>
      <c r="L65" s="15">
        <f>IF(OR(L64="",L62=""),"",IFERROR(L64/L62,""))</f>
        <v/>
      </c>
      <c r="M65" s="15">
        <f>IF(OR(M64="",M62=""),"",IFERROR(M64/M62,""))</f>
        <v/>
      </c>
      <c r="N65" s="15">
        <f>IF(OR(N64="",N62=""),"",IFERROR(N64/N62,""))</f>
        <v/>
      </c>
      <c r="O65" s="14">
        <f>IF(OR(O64="",O62=""),"",IFERROR(O64/O62,""))</f>
        <v/>
      </c>
      <c r="P65" s="15">
        <f>IF(OR(P64="",P62=""),"",IFERROR(P64/P62,""))</f>
        <v/>
      </c>
      <c r="Q65" s="15">
        <f>IF(OR(Q64="",Q62=""),"",IFERROR(Q64/Q62,""))</f>
        <v/>
      </c>
      <c r="R65" s="15">
        <f>IF(OR(R64="",R62=""),"",IFERROR(R64/R62,""))</f>
        <v/>
      </c>
      <c r="S65" s="15">
        <f>IF(OR(S64="",S62=""),"",IFERROR(S64/S62,""))</f>
        <v/>
      </c>
      <c r="T65" s="15">
        <f>IF(OR(T64="",T62=""),"",IFERROR(T64/T62,""))</f>
        <v/>
      </c>
      <c r="U65" s="15">
        <f>IF(OR(U64="",U62=""),"",IFERROR(U64/U62,""))</f>
        <v/>
      </c>
      <c r="V65" s="15">
        <f>IF(OR(V64="",V62=""),"",IFERROR(V64/V62,""))</f>
        <v/>
      </c>
      <c r="W65" s="15">
        <f>IF(OR(W64="",W62=""),"",IFERROR(W64/W62,""))</f>
        <v/>
      </c>
      <c r="X65" s="15">
        <f>IF(OR(X64="",X62=""),"",IFERROR(X64/X62,""))</f>
        <v/>
      </c>
      <c r="Y65" s="25" t="n">
        <v>1</v>
      </c>
      <c r="Z65" s="26" t="n">
        <v>1</v>
      </c>
      <c r="AA65" s="26" t="n">
        <v>1</v>
      </c>
      <c r="AB65" s="26" t="n">
        <v>1</v>
      </c>
      <c r="AC65" s="26" t="n">
        <v>1</v>
      </c>
    </row>
    <row r="66">
      <c r="A66" s="13" t="inlineStr">
        <is>
          <t>지배주주 순이익 YoY</t>
        </is>
      </c>
      <c r="B66" s="10" t="n"/>
      <c r="C66" s="14" t="n"/>
      <c r="D66" s="15" t="n"/>
      <c r="E66" s="15" t="n"/>
      <c r="F66" s="15" t="n"/>
      <c r="G66" s="15">
        <f>IF(OR(G64="",C64=""),"",IF(C64&lt;=0,"",IFERROR(G64/C64-1,"")))</f>
        <v/>
      </c>
      <c r="H66" s="15">
        <f>IF(OR(H64="",D64=""),"",IF(D64&lt;=0,"",IFERROR(H64/D64-1,"")))</f>
        <v/>
      </c>
      <c r="I66" s="15">
        <f>IF(OR(I64="",E64=""),"",IF(E64&lt;=0,"",IFERROR(I64/E64-1,"")))</f>
        <v/>
      </c>
      <c r="J66" s="15">
        <f>IF(OR(J64="",F64=""),"",IF(F64&lt;=0,"",IFERROR(J64/F64-1,"")))</f>
        <v/>
      </c>
      <c r="K66" s="15">
        <f>IF(OR(K64="",G64=""),"",IF(G64&lt;=0,"",IFERROR(K64/G64-1,"")))</f>
        <v/>
      </c>
      <c r="L66" s="15">
        <f>IF(OR(L64="",H64=""),"",IF(H64&lt;=0,"",IFERROR(L64/H64-1,"")))</f>
        <v/>
      </c>
      <c r="M66" s="15">
        <f>IF(OR(M64="",I64=""),"",IF(I64&lt;=0,"",IFERROR(M64/I64-1,"")))</f>
        <v/>
      </c>
      <c r="N66" s="15">
        <f>IF(OR(N64="",J64=""),"",IF(J64&lt;=0,"",IFERROR(N64/J64-1,"")))</f>
        <v/>
      </c>
      <c r="O66" s="14" t="n"/>
      <c r="P66" s="15">
        <f>IF(OR(P64="",O64=""),"",IF(O64&lt;=0,"",IFERROR(P64/O64-1,"")))</f>
        <v/>
      </c>
      <c r="Q66" s="15">
        <f>IF(OR(Q64="",P64=""),"",IF(P64&lt;=0,"",IFERROR(Q64/P64-1,"")))</f>
        <v/>
      </c>
      <c r="R66" s="15">
        <f>IF(OR(R64="",Q64=""),"",IF(Q64&lt;=0,"",IFERROR(R64/Q64-1,"")))</f>
        <v/>
      </c>
      <c r="S66" s="15">
        <f>IF(OR(S64="",R64=""),"",IF(R64&lt;=0,"",IFERROR(S64/R64-1,"")))</f>
        <v/>
      </c>
      <c r="T66" s="15">
        <f>IF(OR(T64="",S64=""),"",IF(S64&lt;=0,"",IFERROR(T64/S64-1,"")))</f>
        <v/>
      </c>
      <c r="U66" s="15">
        <f>IF(OR(U64="",T64=""),"",IF(T64&lt;=0,"",IFERROR(U64/T64-1,"")))</f>
        <v/>
      </c>
      <c r="V66" s="15">
        <f>IF(OR(V64="",U64=""),"",IF(U64&lt;=0,"",IFERROR(V64/U64-1,"")))</f>
        <v/>
      </c>
      <c r="W66" s="15">
        <f>IF(OR(W64="",V64=""),"",IF(V64&lt;=0,"",IFERROR(W64/V64-1,"")))</f>
        <v/>
      </c>
      <c r="X66" s="15">
        <f>IF(OR(X64="",W64=""),"",IF(W64&lt;=0,"",IFERROR(X64/W64-1,"")))</f>
        <v/>
      </c>
      <c r="Y66" s="14">
        <f>IF(OR(Y64="",X64=""),"",IF(X64&lt;=0,"",IFERROR(Y64/X64-1,"")))</f>
        <v/>
      </c>
      <c r="Z66" s="15">
        <f>IF(OR(Z64="",Y64=""),"",IF(Y64&lt;=0,"",IFERROR(Z64/Y64-1,"")))</f>
        <v/>
      </c>
      <c r="AA66" s="15">
        <f>IF(OR(AA64="",Z64=""),"",IF(Z64&lt;=0,"",IFERROR(AA64/Z64-1,"")))</f>
        <v/>
      </c>
      <c r="AB66" s="15">
        <f>IF(OR(AB64="",AA64=""),"",IF(AA64&lt;=0,"",IFERROR(AB64/AA64-1,"")))</f>
        <v/>
      </c>
      <c r="AC66" s="15">
        <f>IF(OR(AC64="",AB64=""),"",IF(AB64&lt;=0,"",IFERROR(AC64/AB64-1,"")))</f>
        <v/>
      </c>
    </row>
    <row r="67">
      <c r="A67" s="16" t="inlineStr">
        <is>
          <t>목표주가 산출</t>
        </is>
      </c>
      <c r="B67" s="16" t="n"/>
      <c r="C67" s="17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7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7" t="n"/>
      <c r="Z67" s="16" t="n"/>
      <c r="AA67" s="16" t="n"/>
      <c r="AB67" s="16" t="n"/>
      <c r="AC67" s="16" t="n"/>
    </row>
    <row r="68">
      <c r="A68" s="18" t="inlineStr">
        <is>
          <t>현재 주가 (2026.10.28)</t>
        </is>
      </c>
      <c r="B68" s="27" t="n">
        <v>1935</v>
      </c>
      <c r="C68" s="28" t="n"/>
      <c r="D68" s="29" t="n"/>
      <c r="E68" s="29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8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8" t="n"/>
      <c r="Z68" s="29" t="n"/>
      <c r="AA68" s="29" t="n"/>
      <c r="AB68" s="29" t="n"/>
      <c r="AC68" s="29" t="n"/>
    </row>
    <row r="69">
      <c r="A69" s="18" t="inlineStr">
        <is>
          <t>발행주식수 (보통주)</t>
        </is>
      </c>
      <c r="B69" s="27" t="n">
        <v>42700085</v>
      </c>
      <c r="C69" s="28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8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8" t="n"/>
      <c r="Z69" s="29" t="n"/>
      <c r="AA69" s="29" t="n"/>
      <c r="AB69" s="29" t="n"/>
      <c r="AC69" s="29" t="n"/>
    </row>
    <row r="70">
      <c r="A70" s="18" t="inlineStr">
        <is>
          <t>시가총액 (백만엔)</t>
        </is>
      </c>
      <c r="B70" s="12">
        <f>IF(OR(B68="",B69=""),"",B68*B69/1000000.0)</f>
        <v/>
      </c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19" t="n"/>
      <c r="Z70" s="20" t="n"/>
      <c r="AA70" s="20" t="n"/>
      <c r="AB70" s="20" t="n"/>
      <c r="AC70" s="20" t="n"/>
    </row>
    <row r="71">
      <c r="A71" s="13" t="inlineStr">
        <is>
          <t>OPM</t>
        </is>
      </c>
      <c r="B71" s="10" t="n"/>
      <c r="C71" s="14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4">
        <f>IF(O35="","",O35)</f>
        <v/>
      </c>
      <c r="P71" s="15">
        <f>IF(P35="","",P35)</f>
        <v/>
      </c>
      <c r="Q71" s="15">
        <f>IF(Q35="","",Q35)</f>
        <v/>
      </c>
      <c r="R71" s="15">
        <f>IF(R35="","",R35)</f>
        <v/>
      </c>
      <c r="S71" s="15">
        <f>IF(S35="","",S35)</f>
        <v/>
      </c>
      <c r="T71" s="15">
        <f>IF(T35="","",T35)</f>
        <v/>
      </c>
      <c r="U71" s="15">
        <f>IF(U35="","",U35)</f>
        <v/>
      </c>
      <c r="V71" s="15">
        <f>IF(V35="","",V35)</f>
        <v/>
      </c>
      <c r="W71" s="15">
        <f>IF(W35="","",W35)</f>
        <v/>
      </c>
      <c r="X71" s="15">
        <f>IF(X35="","",X35)</f>
        <v/>
      </c>
      <c r="Y71" s="14">
        <f>IF(Y35="","",Y35)</f>
        <v/>
      </c>
      <c r="Z71" s="15">
        <f>IF(Z35="","",Z35)</f>
        <v/>
      </c>
      <c r="AA71" s="15">
        <f>IF(AA35="","",AA35)</f>
        <v/>
      </c>
      <c r="AB71" s="15">
        <f>IF(AB35="","",AB35)</f>
        <v/>
      </c>
      <c r="AC71" s="15">
        <f>IF(AC35="","",AC35)</f>
        <v/>
      </c>
    </row>
    <row r="72">
      <c r="A72" s="13" t="inlineStr">
        <is>
          <t>지배주주 순이익 증가율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>
        <f>IF(OR(P64="",O64=""),"",IFERROR(P64/O64-1,""))</f>
        <v/>
      </c>
      <c r="Q72" s="15">
        <f>IF(OR(Q64="",P64=""),"",IFERROR(Q64/P64-1,""))</f>
        <v/>
      </c>
      <c r="R72" s="15">
        <f>IF(OR(R64="",Q64=""),"",IFERROR(R64/Q64-1,""))</f>
        <v/>
      </c>
      <c r="S72" s="15">
        <f>IF(OR(S64="",R64=""),"",IFERROR(S64/R64-1,""))</f>
        <v/>
      </c>
      <c r="T72" s="15">
        <f>IF(OR(T64="",S64=""),"",IFERROR(T64/S64-1,""))</f>
        <v/>
      </c>
      <c r="U72" s="15">
        <f>IF(OR(U64="",T64=""),"",IFERROR(U64/T64-1,""))</f>
        <v/>
      </c>
      <c r="V72" s="15">
        <f>IF(OR(V64="",U64=""),"",IFERROR(V64/U64-1,""))</f>
        <v/>
      </c>
      <c r="W72" s="15">
        <f>IF(OR(W64="",V64=""),"",IFERROR(W64/V64-1,""))</f>
        <v/>
      </c>
      <c r="X72" s="15">
        <f>IF(OR(X64="",W64=""),"",IFERROR(X64/W64-1,""))</f>
        <v/>
      </c>
      <c r="Y72" s="14">
        <f>IF(OR(Y64="",X64=""),"",IFERROR(Y64/X64-1,""))</f>
        <v/>
      </c>
      <c r="Z72" s="15">
        <f>IF(OR(Z64="",Y64=""),"",IFERROR(Z64/Y64-1,""))</f>
        <v/>
      </c>
      <c r="AA72" s="15">
        <f>IF(OR(AA64="",Z64=""),"",IFERROR(AA64/Z64-1,""))</f>
        <v/>
      </c>
      <c r="AB72" s="15">
        <f>IF(OR(AB64="",AA64=""),"",IFERROR(AB64/AA64-1,""))</f>
        <v/>
      </c>
      <c r="AC72" s="15">
        <f>IF(OR(AC64="",AB64=""),"",IFERROR(AC64/AB64-1,""))</f>
        <v/>
      </c>
    </row>
    <row r="73">
      <c r="A73" s="18" t="inlineStr">
        <is>
          <t>P/E (현재 주가)</t>
        </is>
      </c>
      <c r="B73" s="10" t="inlineStr">
        <is>
          <t>시총 ÷ 지배순이익</t>
        </is>
      </c>
      <c r="C73" s="30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0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>
        <f>IF(OR($B$70="",X64=""),"",IFERROR($B$70/X64,""))</f>
        <v/>
      </c>
      <c r="Y73" s="30">
        <f>IF(OR($B$70="",Y64=""),"",IFERROR($B$70/Y64,""))</f>
        <v/>
      </c>
      <c r="Z73" s="31">
        <f>IF(OR($B$70="",Z64=""),"",IFERROR($B$70/Z64,""))</f>
        <v/>
      </c>
      <c r="AA73" s="31">
        <f>IF(OR($B$70="",AA64=""),"",IFERROR($B$70/AA64,""))</f>
        <v/>
      </c>
      <c r="AB73" s="31">
        <f>IF(OR($B$70="",AB64=""),"",IFERROR($B$70/AB64,""))</f>
        <v/>
      </c>
      <c r="AC73" s="31">
        <f>IF(OR($B$70="",AC64=""),"",IFERROR($B$70/AC64,""))</f>
        <v/>
      </c>
    </row>
    <row r="74">
      <c r="A74" s="18" t="inlineStr">
        <is>
          <t>Target P/E</t>
        </is>
      </c>
      <c r="B74" s="10" t="inlineStr">
        <is>
          <t>직접 입력</t>
        </is>
      </c>
      <c r="C74" s="30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0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2" t="n"/>
      <c r="Z74" s="33" t="n"/>
      <c r="AA74" s="33" t="n"/>
      <c r="AB74" s="33" t="n"/>
      <c r="AC74" s="33" t="n"/>
    </row>
    <row r="75">
      <c r="A75" s="18" t="inlineStr">
        <is>
          <t>EPS</t>
        </is>
      </c>
      <c r="B75" s="10" t="inlineStr">
        <is>
          <t>지배순이익 ÷ 주식수</t>
        </is>
      </c>
      <c r="C75" s="28" t="n"/>
      <c r="D75" s="29" t="n"/>
      <c r="E75" s="29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8">
        <f>IF(OR(O64="",$B$69=""),"",IFERROR(O64*1000000.0/$B$69,""))</f>
        <v/>
      </c>
      <c r="P75" s="29">
        <f>IF(OR(P64="",$B$69=""),"",IFERROR(P64*1000000.0/$B$69,""))</f>
        <v/>
      </c>
      <c r="Q75" s="29">
        <f>IF(OR(Q64="",$B$69=""),"",IFERROR(Q64*1000000.0/$B$69,""))</f>
        <v/>
      </c>
      <c r="R75" s="29">
        <f>IF(OR(R64="",$B$69=""),"",IFERROR(R64*1000000.0/$B$69,""))</f>
        <v/>
      </c>
      <c r="S75" s="29">
        <f>IF(OR(S64="",$B$69=""),"",IFERROR(S64*1000000.0/$B$69,""))</f>
        <v/>
      </c>
      <c r="T75" s="29">
        <f>IF(OR(T64="",$B$69=""),"",IFERROR(T64*1000000.0/$B$69,""))</f>
        <v/>
      </c>
      <c r="U75" s="29">
        <f>IF(OR(U64="",$B$69=""),"",IFERROR(U64*1000000.0/$B$69,""))</f>
        <v/>
      </c>
      <c r="V75" s="29">
        <f>IF(OR(V64="",$B$69=""),"",IFERROR(V64*1000000.0/$B$69,""))</f>
        <v/>
      </c>
      <c r="W75" s="29">
        <f>IF(OR(W64="",$B$69=""),"",IFERROR(W64*1000000.0/$B$69,""))</f>
        <v/>
      </c>
      <c r="X75" s="29">
        <f>IF(OR(X64="",$B$69=""),"",IFERROR(X64*1000000.0/$B$69,""))</f>
        <v/>
      </c>
      <c r="Y75" s="28">
        <f>IF(OR(Y64="",$B$69=""),"",IFERROR(Y64*1000000.0/$B$69,""))</f>
        <v/>
      </c>
      <c r="Z75" s="29">
        <f>IF(OR(Z64="",$B$69=""),"",IFERROR(Z64*1000000.0/$B$69,""))</f>
        <v/>
      </c>
      <c r="AA75" s="29">
        <f>IF(OR(AA64="",$B$69=""),"",IFERROR(AA64*1000000.0/$B$69,""))</f>
        <v/>
      </c>
      <c r="AB75" s="29">
        <f>IF(OR(AB64="",$B$69=""),"",IFERROR(AB64*1000000.0/$B$69,""))</f>
        <v/>
      </c>
      <c r="AC75" s="29">
        <f>IF(OR(AC64="",$B$69=""),"",IFERROR(AC64*1000000.0/$B$69,""))</f>
        <v/>
      </c>
    </row>
    <row r="76">
      <c r="A76" s="9" t="inlineStr">
        <is>
          <t>목표주가</t>
        </is>
      </c>
      <c r="B76" s="10" t="n"/>
      <c r="C76" s="34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34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34">
        <f>IF(OR(Y75="",Y74=""),"",IFERROR(Y75*Y74,""))</f>
        <v/>
      </c>
      <c r="Z76" s="27">
        <f>IF(OR(Z75="",Z74=""),"",IFERROR(Z75*Z74,""))</f>
        <v/>
      </c>
      <c r="AA76" s="27">
        <f>IF(OR(AA75="",AA74=""),"",IFERROR(AA75*AA74,""))</f>
        <v/>
      </c>
      <c r="AB76" s="27">
        <f>IF(OR(AB75="",AB74=""),"",IFERROR(AB75*AB74,""))</f>
        <v/>
      </c>
      <c r="AC76" s="27">
        <f>IF(OR(AC75="",AC74=""),"",IFERROR(AC75*AC74,""))</f>
        <v/>
      </c>
    </row>
    <row r="77">
      <c r="A77" s="18" t="inlineStr">
        <is>
          <t>상승여력</t>
        </is>
      </c>
      <c r="B77" s="10" t="n"/>
      <c r="C77" s="35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5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7">
        <f>IF(OR(Y76="",$B$68=""),"",IFERROR(Y76/$B$68-1,""))</f>
        <v/>
      </c>
      <c r="Z77" s="38">
        <f>IF(OR(Z76="",$B$68=""),"",IFERROR(Z76/$B$68-1,""))</f>
        <v/>
      </c>
      <c r="AA77" s="38">
        <f>IF(OR(AA76="",$B$68=""),"",IFERROR(AA76/$B$68-1,""))</f>
        <v/>
      </c>
      <c r="AB77" s="38">
        <f>IF(OR(AB76="",$B$68=""),"",IFERROR(AB76/$B$68-1,""))</f>
        <v/>
      </c>
      <c r="AC77" s="38">
        <f>IF(OR(AC76="",$B$68=""),"",IFERROR(AC76/$B$68-1,""))</f>
        <v/>
      </c>
    </row>
    <row r="78">
      <c r="A78" s="16" t="inlineStr">
        <is>
          <t>자산가치 산출</t>
        </is>
      </c>
      <c r="B78" s="16" t="inlineStr">
        <is>
          <t>최신 분기 BS</t>
        </is>
      </c>
      <c r="C78" s="17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7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7" t="n"/>
      <c r="Z78" s="16" t="n"/>
      <c r="AA78" s="16" t="n"/>
      <c r="AB78" s="16" t="n"/>
      <c r="AC78" s="16" t="n"/>
    </row>
    <row r="79">
      <c r="A79" s="18" t="inlineStr">
        <is>
          <t>현금및현금성자산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'재무상태표'!G6</f>
        <v/>
      </c>
      <c r="Y79" s="19">
        <f>'재무상태표'!G6</f>
        <v/>
      </c>
      <c r="Z79" s="20">
        <f>'재무상태표'!G6</f>
        <v/>
      </c>
      <c r="AA79" s="20">
        <f>'재무상태표'!G6</f>
        <v/>
      </c>
      <c r="AB79" s="20">
        <f>'재무상태표'!G6</f>
        <v/>
      </c>
      <c r="AC79" s="20">
        <f>'재무상태표'!G6</f>
        <v/>
      </c>
    </row>
    <row r="80">
      <c r="A80" s="18" t="inlineStr">
        <is>
          <t>단기금융상품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'재무상태표'!G7</f>
        <v/>
      </c>
      <c r="Y80" s="19">
        <f>'재무상태표'!G7</f>
        <v/>
      </c>
      <c r="Z80" s="20">
        <f>'재무상태표'!G7</f>
        <v/>
      </c>
      <c r="AA80" s="20">
        <f>'재무상태표'!G7</f>
        <v/>
      </c>
      <c r="AB80" s="20">
        <f>'재무상태표'!G7</f>
        <v/>
      </c>
      <c r="AC80" s="20">
        <f>'재무상태표'!G7</f>
        <v/>
      </c>
    </row>
    <row r="81">
      <c r="A81" s="18" t="inlineStr">
        <is>
          <t>투자부동산</t>
        </is>
      </c>
      <c r="B81" s="10" t="n"/>
      <c r="C81" s="19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19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>
        <f>'재무상태표'!G14</f>
        <v/>
      </c>
      <c r="Y81" s="19">
        <f>'재무상태표'!G14</f>
        <v/>
      </c>
      <c r="Z81" s="20">
        <f>'재무상태표'!G14</f>
        <v/>
      </c>
      <c r="AA81" s="20">
        <f>'재무상태표'!G14</f>
        <v/>
      </c>
      <c r="AB81" s="20">
        <f>'재무상태표'!G14</f>
        <v/>
      </c>
      <c r="AC81" s="20">
        <f>'재무상태표'!G14</f>
        <v/>
      </c>
    </row>
    <row r="82">
      <c r="A82" s="18" t="inlineStr">
        <is>
          <t>지배자본</t>
        </is>
      </c>
      <c r="B82" s="10" t="n"/>
      <c r="C82" s="19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19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>
        <f>'재무상태표'!G31</f>
        <v/>
      </c>
      <c r="Y82" s="19">
        <f>'재무상태표'!G31</f>
        <v/>
      </c>
      <c r="Z82" s="20">
        <f>'재무상태표'!G31</f>
        <v/>
      </c>
      <c r="AA82" s="20">
        <f>'재무상태표'!G31</f>
        <v/>
      </c>
      <c r="AB82" s="20">
        <f>'재무상태표'!G31</f>
        <v/>
      </c>
      <c r="AC82" s="20">
        <f>'재무상태표'!G31</f>
        <v/>
      </c>
    </row>
    <row r="83">
      <c r="A83" s="18" t="inlineStr">
        <is>
          <t>부채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>
        <f>'재무상태표'!G27</f>
        <v/>
      </c>
      <c r="Y83" s="19">
        <f>'재무상태표'!G27</f>
        <v/>
      </c>
      <c r="Z83" s="20">
        <f>'재무상태표'!G27</f>
        <v/>
      </c>
      <c r="AA83" s="20">
        <f>'재무상태표'!G27</f>
        <v/>
      </c>
      <c r="AB83" s="20">
        <f>'재무상태표'!G27</f>
        <v/>
      </c>
      <c r="AC83" s="20">
        <f>'재무상태표'!G27</f>
        <v/>
      </c>
    </row>
    <row r="84">
      <c r="A84" s="13" t="inlineStr">
        <is>
          <t>부채비율</t>
        </is>
      </c>
      <c r="B84" s="10" t="n"/>
      <c r="C84" s="14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4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>
        <f>IF(OR(X83="",X82=""),"",IFERROR(X83/X82,""))</f>
        <v/>
      </c>
      <c r="Y84" s="14">
        <f>IF(OR(Y83="",Y82=""),"",IFERROR(Y83/Y82,""))</f>
        <v/>
      </c>
      <c r="Z84" s="15">
        <f>IF(OR(Z83="",Z82=""),"",IFERROR(Z83/Z82,""))</f>
        <v/>
      </c>
      <c r="AA84" s="15">
        <f>IF(OR(AA83="",AA82=""),"",IFERROR(AA83/AA82,""))</f>
        <v/>
      </c>
      <c r="AB84" s="15">
        <f>IF(OR(AB83="",AB82=""),"",IFERROR(AB83/AB82,""))</f>
        <v/>
      </c>
      <c r="AC84" s="15">
        <f>IF(OR(AC83="",AC82=""),"",IFERROR(AC83/AC82,""))</f>
        <v/>
      </c>
    </row>
    <row r="85">
      <c r="A85" s="9" t="inlineStr">
        <is>
          <t>자산가치</t>
        </is>
      </c>
      <c r="B85" s="10" t="inlineStr">
        <is>
          <t>현금+단기금융+투자부동산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>
        <f>SUM(X79,X80,X81)</f>
        <v/>
      </c>
      <c r="Y85" s="11">
        <f>SUM(Y79,Y80,Y81)</f>
        <v/>
      </c>
      <c r="Z85" s="12">
        <f>SUM(Z79,Z80,Z81)</f>
        <v/>
      </c>
      <c r="AA85" s="12">
        <f>SUM(AA79,AA80,AA81)</f>
        <v/>
      </c>
      <c r="AB85" s="12">
        <f>SUM(AB79,AB80,AB81)</f>
        <v/>
      </c>
      <c r="AC85" s="12">
        <f>SUM(AC79,AC80,AC81)</f>
        <v/>
      </c>
    </row>
    <row r="86">
      <c r="A86" s="16" t="inlineStr">
        <is>
          <t>기업가치 산출</t>
        </is>
      </c>
      <c r="B86" s="16" t="n"/>
      <c r="C86" s="17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7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7" t="n"/>
      <c r="Z86" s="16" t="n"/>
      <c r="AA86" s="16" t="n"/>
      <c r="AB86" s="16" t="n"/>
      <c r="AC86" s="16" t="n"/>
    </row>
    <row r="87">
      <c r="A87" s="18" t="inlineStr">
        <is>
          <t>목표 시가총액 (P/E)</t>
        </is>
      </c>
      <c r="B87" s="10" t="inlineStr">
        <is>
          <t>지배순이익 × Target P/E</t>
        </is>
      </c>
      <c r="C87" s="19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19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19">
        <f>IF(OR(Y64="",Y74=""),"",IFERROR(Y64*Y74,""))</f>
        <v/>
      </c>
      <c r="Z87" s="20">
        <f>IF(OR(Z64="",Z74=""),"",IFERROR(Z64*Z74,""))</f>
        <v/>
      </c>
      <c r="AA87" s="20">
        <f>IF(OR(AA64="",AA74=""),"",IFERROR(AA64*AA74,""))</f>
        <v/>
      </c>
      <c r="AB87" s="20">
        <f>IF(OR(AB64="",AB74=""),"",IFERROR(AB64*AB74,""))</f>
        <v/>
      </c>
      <c r="AC87" s="20">
        <f>IF(OR(AC64="",AC74=""),"",IFERROR(AC64*AC74,""))</f>
        <v/>
      </c>
    </row>
    <row r="88">
      <c r="A88" s="9" t="inlineStr">
        <is>
          <t>기업가치</t>
        </is>
      </c>
      <c r="B88" s="10" t="inlineStr">
        <is>
          <t>목표시총 + 자산가치</t>
        </is>
      </c>
      <c r="C88" s="11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1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1">
        <f>IF(OR(Y87=""),"",IFERROR(Y87+Y85,""))</f>
        <v/>
      </c>
      <c r="Z88" s="12">
        <f>IF(OR(Z87=""),"",IFERROR(Z87+Z85,""))</f>
        <v/>
      </c>
      <c r="AA88" s="12">
        <f>IF(OR(AA87=""),"",IFERROR(AA87+AA85,""))</f>
        <v/>
      </c>
      <c r="AB88" s="12">
        <f>IF(OR(AB87=""),"",IFERROR(AB87+AB85,""))</f>
        <v/>
      </c>
      <c r="AC88" s="12">
        <f>IF(OR(AC87=""),"",IFERROR(AC87+AC85,""))</f>
        <v/>
      </c>
    </row>
    <row r="89">
      <c r="A89" s="18" t="inlineStr">
        <is>
          <t>현재 시가총액</t>
        </is>
      </c>
      <c r="B89" s="10" t="n"/>
      <c r="C89" s="19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19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19">
        <f>$B$70</f>
        <v/>
      </c>
      <c r="Z89" s="20">
        <f>$B$70</f>
        <v/>
      </c>
      <c r="AA89" s="20">
        <f>$B$70</f>
        <v/>
      </c>
      <c r="AB89" s="20">
        <f>$B$70</f>
        <v/>
      </c>
      <c r="AC89" s="20">
        <f>$B$70</f>
        <v/>
      </c>
    </row>
    <row r="90">
      <c r="A90" s="18" t="inlineStr">
        <is>
          <t>상승여력</t>
        </is>
      </c>
      <c r="B90" s="10" t="n"/>
      <c r="C90" s="35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5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7">
        <f>IF(OR(Y88="",Y89=""),"",IFERROR(Y88/Y89-1,""))</f>
        <v/>
      </c>
      <c r="Z90" s="38">
        <f>IF(OR(Z88="",Z89=""),"",IFERROR(Z88/Z89-1,""))</f>
        <v/>
      </c>
      <c r="AA90" s="38">
        <f>IF(OR(AA88="",AA89=""),"",IFERROR(AA88/AA89-1,""))</f>
        <v/>
      </c>
      <c r="AB90" s="38">
        <f>IF(OR(AB88="",AB89=""),"",IFERROR(AB88/AB89-1,""))</f>
        <v/>
      </c>
      <c r="AC90" s="38">
        <f>IF(OR(AC88="",AC89=""),"",IFERROR(AC88/AC89-1,""))</f>
        <v/>
      </c>
    </row>
    <row r="91">
      <c r="C91" s="39" t="n"/>
      <c r="O91" s="39" t="n"/>
      <c r="Y91" s="39" t="n"/>
    </row>
    <row r="92">
      <c r="A92" s="40" t="inlineStr">
        <is>
          <t>출처</t>
        </is>
      </c>
      <c r="C92" s="39" t="n"/>
      <c r="O92" s="39" t="n"/>
      <c r="Y92" s="39" t="n"/>
    </row>
    <row r="93">
      <c r="A93" s="41" t="inlineStr">
        <is>
          <t>결산단신 XBRL(TDnet·JPX 보관소) — 쓴 문서는 '출처' 시트</t>
        </is>
      </c>
      <c r="C93" s="39" t="n"/>
      <c r="O93" s="39" t="n"/>
      <c r="Y93" s="39" t="n"/>
    </row>
    <row r="94">
      <c r="A94" s="41" t="inlineStr">
        <is>
          <t>분기 = 누계에서 앞 분기를 뺀 3개월 값</t>
        </is>
      </c>
      <c r="C94" s="39" t="n"/>
      <c r="O94" s="39" t="n"/>
      <c r="Y94" s="39" t="n"/>
    </row>
    <row r="95">
      <c r="A95" s="41" t="inlineStr">
        <is>
          <t>주가: 야후 파이낸스 일봉 2026.10.28</t>
        </is>
      </c>
      <c r="C95" s="39" t="n"/>
      <c r="O95" s="39" t="n"/>
      <c r="Y95" s="39" t="n"/>
    </row>
    <row r="97">
      <c r="A97" s="16" t="inlineStr">
        <is>
          <t>손익계산서 · 전 항목</t>
        </is>
      </c>
      <c r="B97" s="42" t="inlineStr">
        <is>
          <t>분기 = 3개월 단독</t>
        </is>
      </c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</row>
    <row r="98">
      <c r="A98" s="5" t="inlineStr">
        <is>
          <t>항목</t>
        </is>
      </c>
      <c r="B98" s="5" t="inlineStr">
        <is>
          <t>참고</t>
        </is>
      </c>
      <c r="C98" s="5" t="inlineStr">
        <is>
          <t>2024.3Q</t>
        </is>
      </c>
      <c r="D98" s="5" t="inlineStr">
        <is>
          <t>2024.4Q</t>
        </is>
      </c>
      <c r="E98" s="5" t="inlineStr">
        <is>
          <t>2025.1Q</t>
        </is>
      </c>
      <c r="F98" s="5" t="inlineStr">
        <is>
          <t>2025.2Q</t>
        </is>
      </c>
      <c r="G98" s="5" t="inlineStr">
        <is>
          <t>2025.3Q</t>
        </is>
      </c>
      <c r="H98" s="5" t="inlineStr">
        <is>
          <t>2025.4Q</t>
        </is>
      </c>
      <c r="I98" s="5" t="inlineStr">
        <is>
          <t>2026.1Q</t>
        </is>
      </c>
      <c r="J98" s="5" t="inlineStr">
        <is>
          <t>2026.2Q</t>
        </is>
      </c>
      <c r="K98" s="5" t="inlineStr">
        <is>
          <t>2026.3Q</t>
        </is>
      </c>
      <c r="L98" s="5" t="inlineStr">
        <is>
          <t>2026.4Q</t>
        </is>
      </c>
      <c r="M98" s="5" t="inlineStr">
        <is>
          <t>2027.1Q</t>
        </is>
      </c>
      <c r="N98" s="5" t="inlineStr">
        <is>
          <t>2027.2Q</t>
        </is>
      </c>
      <c r="O98" s="5" t="inlineStr">
        <is>
          <t>2017</t>
        </is>
      </c>
      <c r="P98" s="5" t="inlineStr">
        <is>
          <t>2018</t>
        </is>
      </c>
      <c r="Q98" s="5" t="inlineStr">
        <is>
          <t>2019</t>
        </is>
      </c>
      <c r="R98" s="5" t="inlineStr">
        <is>
          <t>2020</t>
        </is>
      </c>
      <c r="S98" s="5" t="inlineStr">
        <is>
          <t>2021</t>
        </is>
      </c>
      <c r="T98" s="5" t="inlineStr">
        <is>
          <t>2022</t>
        </is>
      </c>
      <c r="U98" s="5" t="inlineStr">
        <is>
          <t>2023</t>
        </is>
      </c>
      <c r="V98" s="5" t="inlineStr">
        <is>
          <t>2024</t>
        </is>
      </c>
      <c r="W98" s="5" t="inlineStr">
        <is>
          <t>2025</t>
        </is>
      </c>
      <c r="X98" s="5" t="inlineStr">
        <is>
          <t>2026</t>
        </is>
      </c>
      <c r="Y98" s="5" t="inlineStr">
        <is>
          <t>2027(MW)</t>
        </is>
      </c>
      <c r="Z98" s="5" t="inlineStr">
        <is>
          <t>2028(MW)</t>
        </is>
      </c>
      <c r="AA98" s="5" t="inlineStr">
        <is>
          <t>2029(MW)</t>
        </is>
      </c>
      <c r="AB98" s="5" t="inlineStr">
        <is>
          <t>2030(MW)</t>
        </is>
      </c>
      <c r="AC98" s="5" t="inlineStr">
        <is>
          <t>2031(MW)</t>
        </is>
      </c>
    </row>
    <row r="99">
      <c r="A99" s="9" t="inlineStr">
        <is>
          <t>매출액</t>
        </is>
      </c>
      <c r="C99" s="12" t="n">
        <v>9653</v>
      </c>
      <c r="D99" s="12" t="n">
        <v>9142</v>
      </c>
      <c r="E99" s="12" t="n">
        <v>10562</v>
      </c>
      <c r="F99" s="12" t="n">
        <v>9718</v>
      </c>
      <c r="G99" s="12" t="n">
        <v>19850</v>
      </c>
      <c r="H99" s="12" t="n">
        <v>19078</v>
      </c>
      <c r="I99" s="12" t="n">
        <v>24465</v>
      </c>
      <c r="J99" s="12" t="n">
        <v>25433</v>
      </c>
      <c r="K99" s="12" t="n">
        <v>27087</v>
      </c>
      <c r="L99" s="12" t="n">
        <v>37372</v>
      </c>
      <c r="M99" s="12" t="n">
        <v>34609</v>
      </c>
      <c r="N99" s="12" t="n">
        <v>34794</v>
      </c>
      <c r="T99" s="12" t="n">
        <v>11782</v>
      </c>
      <c r="U99" s="12" t="n">
        <v>11853</v>
      </c>
      <c r="V99" s="12" t="n">
        <v>9142</v>
      </c>
      <c r="W99" s="12" t="n">
        <v>19078</v>
      </c>
      <c r="X99" s="12" t="n">
        <v>37372</v>
      </c>
    </row>
    <row r="100">
      <c r="A100" s="43" t="inlineStr">
        <is>
          <t>YoY</t>
        </is>
      </c>
      <c r="B100" s="3" t="inlineStr">
        <is>
          <t>전년 같은 분기·전년 대비</t>
        </is>
      </c>
      <c r="G100" s="15">
        <f>IF(OR(G99="",C99=""),"",IF(C99&lt;=0,"",IFERROR(G99/C99-1,"")))</f>
        <v/>
      </c>
      <c r="H100" s="15">
        <f>IF(OR(H99="",D99=""),"",IF(D99&lt;=0,"",IFERROR(H99/D99-1,"")))</f>
        <v/>
      </c>
      <c r="I100" s="15">
        <f>IF(OR(I99="",E99=""),"",IF(E99&lt;=0,"",IFERROR(I99/E99-1,"")))</f>
        <v/>
      </c>
      <c r="J100" s="15">
        <f>IF(OR(J99="",F99=""),"",IF(F99&lt;=0,"",IFERROR(J99/F99-1,"")))</f>
        <v/>
      </c>
      <c r="K100" s="15">
        <f>IF(OR(K99="",G99=""),"",IF(G99&lt;=0,"",IFERROR(K99/G99-1,"")))</f>
        <v/>
      </c>
      <c r="L100" s="15">
        <f>IF(OR(L99="",H99=""),"",IF(H99&lt;=0,"",IFERROR(L99/H99-1,"")))</f>
        <v/>
      </c>
      <c r="M100" s="15">
        <f>IF(OR(M99="",I99=""),"",IF(I99&lt;=0,"",IFERROR(M99/I99-1,"")))</f>
        <v/>
      </c>
      <c r="N100" s="15">
        <f>IF(OR(N99="",J99=""),"",IF(J99&lt;=0,"",IFERROR(N99/J99-1,"")))</f>
        <v/>
      </c>
      <c r="T100" s="15">
        <f>IF(OR(T99="",S99=""),"",IF(S99&lt;=0,"",IFERROR(T99/S99-1,"")))</f>
        <v/>
      </c>
      <c r="U100" s="15">
        <f>IF(OR(U99="",T99=""),"",IF(T99&lt;=0,"",IFERROR(U99/T99-1,"")))</f>
        <v/>
      </c>
      <c r="V100" s="15">
        <f>IF(OR(V99="",U99=""),"",IF(U99&lt;=0,"",IFERROR(V99/U99-1,"")))</f>
        <v/>
      </c>
      <c r="W100" s="15">
        <f>IF(OR(W99="",V99=""),"",IF(V99&lt;=0,"",IFERROR(W99/V99-1,"")))</f>
        <v/>
      </c>
      <c r="X100" s="15">
        <f>IF(OR(X99="",W99=""),"",IF(W99&lt;=0,"",IFERROR(X99/W99-1,"")))</f>
        <v/>
      </c>
    </row>
    <row r="101">
      <c r="A101" s="18" t="inlineStr">
        <is>
          <t>매출원가</t>
        </is>
      </c>
      <c r="C101" s="20" t="n">
        <v>6056</v>
      </c>
      <c r="D101" s="20" t="n">
        <v>5925</v>
      </c>
      <c r="E101" s="20" t="n">
        <v>6198</v>
      </c>
      <c r="F101" s="20" t="n">
        <v>5949</v>
      </c>
      <c r="G101" s="20" t="n">
        <v>12929</v>
      </c>
      <c r="H101" s="20" t="n">
        <v>12621</v>
      </c>
      <c r="I101" s="20" t="n">
        <v>14412</v>
      </c>
      <c r="J101" s="20" t="n">
        <v>15189</v>
      </c>
      <c r="K101" s="20" t="n">
        <v>15754</v>
      </c>
      <c r="L101" s="20" t="n">
        <v>20581</v>
      </c>
      <c r="M101" s="20" t="n">
        <v>19610</v>
      </c>
      <c r="N101" s="20" t="n">
        <v>20296</v>
      </c>
      <c r="T101" s="20" t="n">
        <v>8589</v>
      </c>
      <c r="U101" s="20" t="n">
        <v>8034</v>
      </c>
      <c r="V101" s="20" t="n">
        <v>5925</v>
      </c>
      <c r="W101" s="20" t="n">
        <v>12621</v>
      </c>
      <c r="X101" s="20" t="n">
        <v>20581</v>
      </c>
    </row>
    <row r="102">
      <c r="A102" s="43" t="inlineStr">
        <is>
          <t>YoY</t>
        </is>
      </c>
      <c r="B102" s="3" t="inlineStr">
        <is>
          <t>전년 같은 분기·전년 대비</t>
        </is>
      </c>
      <c r="G102" s="15">
        <f>IF(OR(G101="",C101=""),"",IF(G101*C101&lt;=0,"",IFERROR(G101/C101-1,"")))</f>
        <v/>
      </c>
      <c r="H102" s="15">
        <f>IF(OR(H101="",D101=""),"",IF(H101*D101&lt;=0,"",IFERROR(H101/D101-1,"")))</f>
        <v/>
      </c>
      <c r="I102" s="15">
        <f>IF(OR(I101="",E101=""),"",IF(I101*E101&lt;=0,"",IFERROR(I101/E101-1,"")))</f>
        <v/>
      </c>
      <c r="J102" s="15">
        <f>IF(OR(J101="",F101=""),"",IF(J101*F101&lt;=0,"",IFERROR(J101/F101-1,"")))</f>
        <v/>
      </c>
      <c r="K102" s="15">
        <f>IF(OR(K101="",G101=""),"",IF(K101*G101&lt;=0,"",IFERROR(K101/G101-1,"")))</f>
        <v/>
      </c>
      <c r="L102" s="15">
        <f>IF(OR(L101="",H101=""),"",IF(L101*H101&lt;=0,"",IFERROR(L101/H101-1,"")))</f>
        <v/>
      </c>
      <c r="M102" s="15">
        <f>IF(OR(M101="",I101=""),"",IF(M101*I101&lt;=0,"",IFERROR(M101/I101-1,"")))</f>
        <v/>
      </c>
      <c r="N102" s="15">
        <f>IF(OR(N101="",J101=""),"",IF(N101*J101&lt;=0,"",IFERROR(N101/J101-1,"")))</f>
        <v/>
      </c>
      <c r="T102" s="15">
        <f>IF(OR(T101="",S101=""),"",IF(T101*S101&lt;=0,"",IFERROR(T101/S101-1,"")))</f>
        <v/>
      </c>
      <c r="U102" s="15">
        <f>IF(OR(U101="",T101=""),"",IF(U101*T101&lt;=0,"",IFERROR(U101/T101-1,"")))</f>
        <v/>
      </c>
      <c r="V102" s="15">
        <f>IF(OR(V101="",U101=""),"",IF(V101*U101&lt;=0,"",IFERROR(V101/U101-1,"")))</f>
        <v/>
      </c>
      <c r="W102" s="15">
        <f>IF(OR(W101="",V101=""),"",IF(W101*V101&lt;=0,"",IFERROR(W101/V101-1,"")))</f>
        <v/>
      </c>
      <c r="X102" s="15">
        <f>IF(OR(X101="",W101=""),"",IF(X101*W101&lt;=0,"",IFERROR(X101/W101-1,"")))</f>
        <v/>
      </c>
    </row>
    <row r="103">
      <c r="A103" s="9" t="inlineStr">
        <is>
          <t>매출총이익</t>
        </is>
      </c>
      <c r="C103" s="12" t="n">
        <v>3597</v>
      </c>
      <c r="D103" s="12" t="n">
        <v>3216</v>
      </c>
      <c r="E103" s="12" t="n">
        <v>4363</v>
      </c>
      <c r="F103" s="12" t="n">
        <v>3769</v>
      </c>
      <c r="G103" s="12" t="n">
        <v>6921</v>
      </c>
      <c r="H103" s="12" t="n">
        <v>6457</v>
      </c>
      <c r="I103" s="12" t="n">
        <v>10053</v>
      </c>
      <c r="J103" s="12" t="n">
        <v>10244</v>
      </c>
      <c r="K103" s="12" t="n">
        <v>11333</v>
      </c>
      <c r="L103" s="12" t="n">
        <v>16791</v>
      </c>
      <c r="M103" s="12" t="n">
        <v>14998</v>
      </c>
      <c r="N103" s="12" t="n">
        <v>14499</v>
      </c>
      <c r="T103" s="12" t="n">
        <v>3193</v>
      </c>
      <c r="U103" s="12" t="n">
        <v>3818</v>
      </c>
      <c r="V103" s="12" t="n">
        <v>3216</v>
      </c>
      <c r="W103" s="12" t="n">
        <v>6457</v>
      </c>
      <c r="X103" s="12" t="n">
        <v>16791</v>
      </c>
    </row>
    <row r="104">
      <c r="A104" s="43" t="inlineStr">
        <is>
          <t>YoY</t>
        </is>
      </c>
      <c r="B104" s="3" t="inlineStr">
        <is>
          <t>전년 같은 분기·전년 대비</t>
        </is>
      </c>
      <c r="G104" s="15">
        <f>IF(OR(G103="",C103=""),"",IF(C103&lt;=0,"",IFERROR(G103/C103-1,"")))</f>
        <v/>
      </c>
      <c r="H104" s="15">
        <f>IF(OR(H103="",D103=""),"",IF(D103&lt;=0,"",IFERROR(H103/D103-1,"")))</f>
        <v/>
      </c>
      <c r="I104" s="15">
        <f>IF(OR(I103="",E103=""),"",IF(E103&lt;=0,"",IFERROR(I103/E103-1,"")))</f>
        <v/>
      </c>
      <c r="J104" s="15">
        <f>IF(OR(J103="",F103=""),"",IF(F103&lt;=0,"",IFERROR(J103/F103-1,"")))</f>
        <v/>
      </c>
      <c r="K104" s="15">
        <f>IF(OR(K103="",G103=""),"",IF(G103&lt;=0,"",IFERROR(K103/G103-1,"")))</f>
        <v/>
      </c>
      <c r="L104" s="15">
        <f>IF(OR(L103="",H103=""),"",IF(H103&lt;=0,"",IFERROR(L103/H103-1,"")))</f>
        <v/>
      </c>
      <c r="M104" s="15">
        <f>IF(OR(M103="",I103=""),"",IF(I103&lt;=0,"",IFERROR(M103/I103-1,"")))</f>
        <v/>
      </c>
      <c r="N104" s="15">
        <f>IF(OR(N103="",J103=""),"",IF(J103&lt;=0,"",IFERROR(N103/J103-1,"")))</f>
        <v/>
      </c>
      <c r="T104" s="15">
        <f>IF(OR(T103="",S103=""),"",IF(S103&lt;=0,"",IFERROR(T103/S103-1,"")))</f>
        <v/>
      </c>
      <c r="U104" s="15">
        <f>IF(OR(U103="",T103=""),"",IF(T103&lt;=0,"",IFERROR(U103/T103-1,"")))</f>
        <v/>
      </c>
      <c r="V104" s="15">
        <f>IF(OR(V103="",U103=""),"",IF(U103&lt;=0,"",IFERROR(V103/U103-1,"")))</f>
        <v/>
      </c>
      <c r="W104" s="15">
        <f>IF(OR(W103="",V103=""),"",IF(V103&lt;=0,"",IFERROR(W103/V103-1,"")))</f>
        <v/>
      </c>
      <c r="X104" s="15">
        <f>IF(OR(X103="",W103=""),"",IF(W103&lt;=0,"",IFERROR(X103/W103-1,"")))</f>
        <v/>
      </c>
    </row>
    <row r="105">
      <c r="A105" s="18" t="inlineStr">
        <is>
          <t>판매비와 관리비</t>
        </is>
      </c>
      <c r="C105" s="20" t="n">
        <v>2427</v>
      </c>
      <c r="D105" s="20" t="n">
        <v>2538</v>
      </c>
      <c r="E105" s="20" t="n">
        <v>2670</v>
      </c>
      <c r="F105" s="20" t="n">
        <v>2728</v>
      </c>
      <c r="G105" s="20" t="n">
        <v>5194</v>
      </c>
      <c r="H105" s="20" t="n">
        <v>5003</v>
      </c>
      <c r="I105" s="20" t="n">
        <v>8252</v>
      </c>
      <c r="J105" s="20" t="n">
        <v>8806</v>
      </c>
      <c r="K105" s="20" t="n">
        <v>8439</v>
      </c>
      <c r="L105" s="20" t="n">
        <v>12623</v>
      </c>
      <c r="M105" s="20" t="n">
        <v>12445</v>
      </c>
      <c r="N105" s="20" t="n">
        <v>12371</v>
      </c>
      <c r="T105" s="20" t="n">
        <v>2962</v>
      </c>
      <c r="U105" s="20" t="n">
        <v>3013</v>
      </c>
      <c r="V105" s="20" t="n">
        <v>2538</v>
      </c>
      <c r="W105" s="20" t="n">
        <v>5003</v>
      </c>
      <c r="X105" s="20" t="n">
        <v>12623</v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IF(OR(G105="",C105=""),"",IF(G105*C105&lt;=0,"",IFERROR(G105/C105-1,"")))</f>
        <v/>
      </c>
      <c r="H106" s="15">
        <f>IF(OR(H105="",D105=""),"",IF(H105*D105&lt;=0,"",IFERROR(H105/D105-1,"")))</f>
        <v/>
      </c>
      <c r="I106" s="15">
        <f>IF(OR(I105="",E105=""),"",IF(I105*E105&lt;=0,"",IFERROR(I105/E105-1,"")))</f>
        <v/>
      </c>
      <c r="J106" s="15">
        <f>IF(OR(J105="",F105=""),"",IF(J105*F105&lt;=0,"",IFERROR(J105/F105-1,"")))</f>
        <v/>
      </c>
      <c r="K106" s="15">
        <f>IF(OR(K105="",G105=""),"",IF(K105*G105&lt;=0,"",IFERROR(K105/G105-1,"")))</f>
        <v/>
      </c>
      <c r="L106" s="15">
        <f>IF(OR(L105="",H105=""),"",IF(L105*H105&lt;=0,"",IFERROR(L105/H105-1,"")))</f>
        <v/>
      </c>
      <c r="M106" s="15">
        <f>IF(OR(M105="",I105=""),"",IF(M105*I105&lt;=0,"",IFERROR(M105/I105-1,"")))</f>
        <v/>
      </c>
      <c r="N106" s="15">
        <f>IF(OR(N105="",J105=""),"",IF(N105*J105&lt;=0,"",IFERROR(N105/J105-1,"")))</f>
        <v/>
      </c>
      <c r="T106" s="15">
        <f>IF(OR(T105="",S105=""),"",IF(T105*S105&lt;=0,"",IFERROR(T105/S105-1,"")))</f>
        <v/>
      </c>
      <c r="U106" s="15">
        <f>IF(OR(U105="",T105=""),"",IF(U105*T105&lt;=0,"",IFERROR(U105/T105-1,"")))</f>
        <v/>
      </c>
      <c r="V106" s="15">
        <f>IF(OR(V105="",U105=""),"",IF(V105*U105&lt;=0,"",IFERROR(V105/U105-1,"")))</f>
        <v/>
      </c>
      <c r="W106" s="15">
        <f>IF(OR(W105="",V105=""),"",IF(W105*V105&lt;=0,"",IFERROR(W105/V105-1,"")))</f>
        <v/>
      </c>
      <c r="X106" s="15">
        <f>IF(OR(X105="",W105=""),"",IF(X105*W105&lt;=0,"",IFERROR(X105/W105-1,"")))</f>
        <v/>
      </c>
    </row>
    <row r="107">
      <c r="A107" s="9" t="inlineStr">
        <is>
          <t>영업이익</t>
        </is>
      </c>
      <c r="C107" s="12" t="n">
        <v>1170</v>
      </c>
      <c r="D107" s="12" t="n">
        <v>679</v>
      </c>
      <c r="E107" s="12" t="n">
        <v>1692</v>
      </c>
      <c r="F107" s="12" t="n">
        <v>1041</v>
      </c>
      <c r="G107" s="12" t="n">
        <v>1728</v>
      </c>
      <c r="H107" s="12" t="n">
        <v>1454</v>
      </c>
      <c r="I107" s="12" t="n">
        <v>1800</v>
      </c>
      <c r="J107" s="12" t="n">
        <v>1439</v>
      </c>
      <c r="K107" s="12" t="n">
        <v>2894</v>
      </c>
      <c r="L107" s="12" t="n">
        <v>4168</v>
      </c>
      <c r="M107" s="12" t="n">
        <v>2553</v>
      </c>
      <c r="N107" s="12" t="n">
        <v>2127</v>
      </c>
      <c r="T107" s="12" t="n">
        <v>231</v>
      </c>
      <c r="U107" s="12" t="n">
        <v>805</v>
      </c>
      <c r="V107" s="12" t="n">
        <v>679</v>
      </c>
      <c r="W107" s="12" t="n">
        <v>1454</v>
      </c>
      <c r="X107" s="12" t="n">
        <v>4168</v>
      </c>
    </row>
    <row r="108">
      <c r="A108" s="43" t="inlineStr">
        <is>
          <t>OPM</t>
        </is>
      </c>
      <c r="B108" s="3" t="inlineStr">
        <is>
          <t>영업이익 ÷ 매출</t>
        </is>
      </c>
      <c r="C108" s="15">
        <f>IF(OR(C107="",C99=""),"",IF(C99&lt;=0,"",IFERROR(C107/C99,"")))</f>
        <v/>
      </c>
      <c r="D108" s="15">
        <f>IF(OR(D107="",D99=""),"",IF(D99&lt;=0,"",IFERROR(D107/D99,"")))</f>
        <v/>
      </c>
      <c r="E108" s="15">
        <f>IF(OR(E107="",E99=""),"",IF(E99&lt;=0,"",IFERROR(E107/E99,"")))</f>
        <v/>
      </c>
      <c r="F108" s="15">
        <f>IF(OR(F107="",F99=""),"",IF(F99&lt;=0,"",IFERROR(F107/F99,"")))</f>
        <v/>
      </c>
      <c r="G108" s="15">
        <f>IF(OR(G107="",G99=""),"",IF(G99&lt;=0,"",IFERROR(G107/G99,"")))</f>
        <v/>
      </c>
      <c r="H108" s="15">
        <f>IF(OR(H107="",H99=""),"",IF(H99&lt;=0,"",IFERROR(H107/H99,"")))</f>
        <v/>
      </c>
      <c r="I108" s="15">
        <f>IF(OR(I107="",I99=""),"",IF(I99&lt;=0,"",IFERROR(I107/I99,"")))</f>
        <v/>
      </c>
      <c r="J108" s="15">
        <f>IF(OR(J107="",J99=""),"",IF(J99&lt;=0,"",IFERROR(J107/J99,"")))</f>
        <v/>
      </c>
      <c r="K108" s="15">
        <f>IF(OR(K107="",K99=""),"",IF(K99&lt;=0,"",IFERROR(K107/K99,"")))</f>
        <v/>
      </c>
      <c r="L108" s="15">
        <f>IF(OR(L107="",L99=""),"",IF(L99&lt;=0,"",IFERROR(L107/L99,"")))</f>
        <v/>
      </c>
      <c r="M108" s="15">
        <f>IF(OR(M107="",M99=""),"",IF(M99&lt;=0,"",IFERROR(M107/M99,"")))</f>
        <v/>
      </c>
      <c r="N108" s="15">
        <f>IF(OR(N107="",N99=""),"",IF(N99&lt;=0,"",IFERROR(N107/N99,"")))</f>
        <v/>
      </c>
      <c r="T108" s="15">
        <f>IF(OR(T107="",T99=""),"",IF(T99&lt;=0,"",IFERROR(T107/T99,"")))</f>
        <v/>
      </c>
      <c r="U108" s="15">
        <f>IF(OR(U107="",U99=""),"",IF(U99&lt;=0,"",IFERROR(U107/U99,"")))</f>
        <v/>
      </c>
      <c r="V108" s="15">
        <f>IF(OR(V107="",V99=""),"",IF(V99&lt;=0,"",IFERROR(V107/V99,"")))</f>
        <v/>
      </c>
      <c r="W108" s="15">
        <f>IF(OR(W107="",W99=""),"",IF(W99&lt;=0,"",IFERROR(W107/W99,"")))</f>
        <v/>
      </c>
      <c r="X108" s="15">
        <f>IF(OR(X107="",X99=""),"",IF(X99&lt;=0,"",IFERROR(X107/X99,"")))</f>
        <v/>
      </c>
    </row>
    <row r="109">
      <c r="A109" s="43" t="inlineStr">
        <is>
          <t>YoY</t>
        </is>
      </c>
      <c r="B109" s="3" t="inlineStr">
        <is>
          <t>전년 같은 분기·전년 대비</t>
        </is>
      </c>
      <c r="G109" s="15">
        <f>IF(OR(G107="",C107=""),"",IF(C107&lt;=0,"",IFERROR(G107/C107-1,"")))</f>
        <v/>
      </c>
      <c r="H109" s="15">
        <f>IF(OR(H107="",D107=""),"",IF(D107&lt;=0,"",IFERROR(H107/D107-1,"")))</f>
        <v/>
      </c>
      <c r="I109" s="15">
        <f>IF(OR(I107="",E107=""),"",IF(E107&lt;=0,"",IFERROR(I107/E107-1,"")))</f>
        <v/>
      </c>
      <c r="J109" s="15">
        <f>IF(OR(J107="",F107=""),"",IF(F107&lt;=0,"",IFERROR(J107/F107-1,"")))</f>
        <v/>
      </c>
      <c r="K109" s="15">
        <f>IF(OR(K107="",G107=""),"",IF(G107&lt;=0,"",IFERROR(K107/G107-1,"")))</f>
        <v/>
      </c>
      <c r="L109" s="15">
        <f>IF(OR(L107="",H107=""),"",IF(H107&lt;=0,"",IFERROR(L107/H107-1,"")))</f>
        <v/>
      </c>
      <c r="M109" s="15">
        <f>IF(OR(M107="",I107=""),"",IF(I107&lt;=0,"",IFERROR(M107/I107-1,"")))</f>
        <v/>
      </c>
      <c r="N109" s="15">
        <f>IF(OR(N107="",J107=""),"",IF(J107&lt;=0,"",IFERROR(N107/J107-1,"")))</f>
        <v/>
      </c>
      <c r="T109" s="15">
        <f>IF(OR(T107="",S107=""),"",IF(S107&lt;=0,"",IFERROR(T107/S107-1,"")))</f>
        <v/>
      </c>
      <c r="U109" s="15">
        <f>IF(OR(U107="",T107=""),"",IF(T107&lt;=0,"",IFERROR(U107/T107-1,"")))</f>
        <v/>
      </c>
      <c r="V109" s="15">
        <f>IF(OR(V107="",U107=""),"",IF(U107&lt;=0,"",IFERROR(V107/U107-1,"")))</f>
        <v/>
      </c>
      <c r="W109" s="15">
        <f>IF(OR(W107="",V107=""),"",IF(V107&lt;=0,"",IFERROR(W107/V107-1,"")))</f>
        <v/>
      </c>
      <c r="X109" s="15">
        <f>IF(OR(X107="",W107=""),"",IF(W107&lt;=0,"",IFERROR(X107/W107-1,"")))</f>
        <v/>
      </c>
    </row>
    <row r="110">
      <c r="A110" s="18" t="inlineStr">
        <is>
          <t>이자수익</t>
        </is>
      </c>
      <c r="C110" s="20" t="n">
        <v>0</v>
      </c>
      <c r="D110" s="20" t="n">
        <v>1</v>
      </c>
      <c r="E110" s="20" t="n">
        <v>0</v>
      </c>
      <c r="F110" s="20" t="n">
        <v>3</v>
      </c>
      <c r="G110" s="20" t="n">
        <v>1</v>
      </c>
      <c r="H110" s="20" t="n">
        <v>10</v>
      </c>
      <c r="I110" s="20" t="n">
        <v>4</v>
      </c>
      <c r="J110" s="20" t="n">
        <v>12</v>
      </c>
      <c r="K110" s="20" t="n">
        <v>7</v>
      </c>
      <c r="L110" s="20" t="n">
        <v>42</v>
      </c>
      <c r="M110" s="20" t="n">
        <v>119</v>
      </c>
      <c r="N110" s="20" t="n">
        <v>152</v>
      </c>
      <c r="T110" s="20" t="n">
        <v>1</v>
      </c>
      <c r="U110" s="20" t="n">
        <v>4</v>
      </c>
      <c r="V110" s="20" t="n">
        <v>1</v>
      </c>
      <c r="W110" s="20" t="n">
        <v>10</v>
      </c>
      <c r="X110" s="20" t="n">
        <v>42</v>
      </c>
    </row>
    <row r="111">
      <c r="A111" s="18" t="inlineStr">
        <is>
          <t>배당금수익</t>
        </is>
      </c>
      <c r="C111" s="20" t="n">
        <v>1</v>
      </c>
      <c r="D111" s="20" t="n">
        <v>1</v>
      </c>
      <c r="E111" s="20" t="n">
        <v>8</v>
      </c>
      <c r="F111" s="20" t="n">
        <v>15</v>
      </c>
      <c r="G111" s="20" t="n">
        <v>1</v>
      </c>
      <c r="H111" s="20" t="n">
        <v>8</v>
      </c>
      <c r="I111" s="20" t="n">
        <v>157</v>
      </c>
      <c r="J111" s="20" t="n">
        <v>18</v>
      </c>
      <c r="K111" s="20" t="n">
        <v>3</v>
      </c>
      <c r="L111" s="20" t="n">
        <v>1</v>
      </c>
      <c r="M111" s="20" t="n">
        <v>13</v>
      </c>
      <c r="N111" s="20" t="n">
        <v>24</v>
      </c>
      <c r="T111" s="20" t="n">
        <v>2</v>
      </c>
      <c r="U111" s="20" t="n">
        <v>0</v>
      </c>
      <c r="V111" s="20" t="n">
        <v>1</v>
      </c>
      <c r="W111" s="20" t="n">
        <v>8</v>
      </c>
      <c r="X111" s="20" t="n">
        <v>1</v>
      </c>
    </row>
    <row r="112">
      <c r="A112" s="18" t="inlineStr">
        <is>
          <t>지분법이익</t>
        </is>
      </c>
      <c r="C112" s="20" t="n">
        <v>47</v>
      </c>
      <c r="D112" s="20" t="n">
        <v>20</v>
      </c>
      <c r="E112" s="20" t="n">
        <v>52</v>
      </c>
      <c r="F112" s="20" t="n">
        <v>-52</v>
      </c>
      <c r="G112" s="20" t="n">
        <v>0</v>
      </c>
      <c r="H112" s="20" t="n">
        <v>32</v>
      </c>
      <c r="I112" s="20" t="n">
        <v>18</v>
      </c>
      <c r="M112" s="20" t="n">
        <v>2</v>
      </c>
      <c r="U112" s="20" t="n">
        <v>0</v>
      </c>
      <c r="V112" s="20" t="n">
        <v>20</v>
      </c>
      <c r="W112" s="20" t="n">
        <v>32</v>
      </c>
    </row>
    <row r="113">
      <c r="A113" s="18" t="inlineStr">
        <is>
          <t>외환차익</t>
        </is>
      </c>
      <c r="D113" s="20" t="n">
        <v>0</v>
      </c>
      <c r="H113" s="20" t="n">
        <v>0</v>
      </c>
      <c r="I113" s="20" t="n">
        <v>0</v>
      </c>
      <c r="J113" s="20" t="n">
        <v>0</v>
      </c>
      <c r="M113" s="20" t="n">
        <v>64</v>
      </c>
      <c r="N113" s="20" t="n">
        <v>20</v>
      </c>
      <c r="U113" s="20" t="n">
        <v>143</v>
      </c>
      <c r="V113" s="20" t="n">
        <v>0</v>
      </c>
      <c r="W113" s="20" t="n">
        <v>0</v>
      </c>
    </row>
    <row r="114">
      <c r="A114" s="18" t="inlineStr">
        <is>
          <t>수입보증금 상각이익</t>
        </is>
      </c>
      <c r="C114" s="20" t="n">
        <v>0</v>
      </c>
      <c r="D114" s="20" t="n">
        <v>0</v>
      </c>
      <c r="U114" s="20" t="n">
        <v>0</v>
      </c>
      <c r="V114" s="20" t="n">
        <v>0</v>
      </c>
    </row>
    <row r="115">
      <c r="A115" s="18" t="inlineStr">
        <is>
          <t>보상금 수취</t>
        </is>
      </c>
      <c r="D115" s="20" t="n">
        <v>0</v>
      </c>
      <c r="H115" s="20" t="n">
        <v>8</v>
      </c>
      <c r="I115" s="20" t="n">
        <v>0</v>
      </c>
      <c r="J115" s="20" t="n">
        <v>0</v>
      </c>
      <c r="K115" s="20" t="n">
        <v>0</v>
      </c>
      <c r="L115" s="20" t="n">
        <v>38</v>
      </c>
      <c r="M115" s="20" t="n">
        <v>174</v>
      </c>
      <c r="N115" s="20" t="n">
        <v>123</v>
      </c>
      <c r="V115" s="20" t="n">
        <v>0</v>
      </c>
      <c r="W115" s="20" t="n">
        <v>8</v>
      </c>
      <c r="X115" s="20" t="n">
        <v>38</v>
      </c>
    </row>
    <row r="116">
      <c r="A116" s="18" t="inlineStr">
        <is>
          <t>보조금 수입</t>
        </is>
      </c>
      <c r="C116" s="20" t="n">
        <v>0</v>
      </c>
      <c r="D116" s="20" t="n">
        <v>7</v>
      </c>
      <c r="E116" s="20" t="n">
        <v>137</v>
      </c>
      <c r="F116" s="20" t="n">
        <v>2</v>
      </c>
      <c r="G116" s="20" t="n">
        <v>0</v>
      </c>
      <c r="H116" s="20" t="n">
        <v>134</v>
      </c>
      <c r="I116" s="20" t="n">
        <v>0</v>
      </c>
      <c r="J116" s="20" t="n">
        <v>1</v>
      </c>
      <c r="K116" s="20" t="n">
        <v>0</v>
      </c>
      <c r="L116" s="20" t="n">
        <v>1</v>
      </c>
      <c r="T116" s="20" t="n">
        <v>28</v>
      </c>
      <c r="U116" s="20" t="n">
        <v>4</v>
      </c>
      <c r="V116" s="20" t="n">
        <v>7</v>
      </c>
      <c r="W116" s="20" t="n">
        <v>134</v>
      </c>
      <c r="X116" s="20" t="n">
        <v>1</v>
      </c>
    </row>
    <row r="117">
      <c r="A117" s="18" t="inlineStr">
        <is>
          <t>기타</t>
        </is>
      </c>
      <c r="C117" s="20" t="n">
        <v>2</v>
      </c>
      <c r="D117" s="20" t="n">
        <v>10</v>
      </c>
      <c r="E117" s="20" t="n">
        <v>4</v>
      </c>
      <c r="F117" s="20" t="n">
        <v>45</v>
      </c>
      <c r="G117" s="20" t="n">
        <v>18</v>
      </c>
      <c r="H117" s="20" t="n">
        <v>18</v>
      </c>
      <c r="I117" s="20" t="n">
        <v>19</v>
      </c>
      <c r="J117" s="20" t="n">
        <v>27</v>
      </c>
      <c r="K117" s="20" t="n">
        <v>31</v>
      </c>
      <c r="L117" s="20" t="n">
        <v>44</v>
      </c>
      <c r="M117" s="20" t="n">
        <v>36</v>
      </c>
      <c r="N117" s="20" t="n">
        <v>35</v>
      </c>
      <c r="T117" s="20" t="n">
        <v>33</v>
      </c>
      <c r="U117" s="20" t="n">
        <v>36</v>
      </c>
      <c r="V117" s="20" t="n">
        <v>10</v>
      </c>
      <c r="W117" s="20" t="n">
        <v>18</v>
      </c>
      <c r="X117" s="20" t="n">
        <v>44</v>
      </c>
    </row>
    <row r="118">
      <c r="A118" s="18" t="inlineStr">
        <is>
          <t>영업외수익 합계</t>
        </is>
      </c>
      <c r="C118" s="20" t="n">
        <v>162</v>
      </c>
      <c r="D118" s="20" t="n">
        <v>38</v>
      </c>
      <c r="E118" s="20" t="n">
        <v>203</v>
      </c>
      <c r="F118" s="20" t="n">
        <v>12</v>
      </c>
      <c r="G118" s="20" t="n">
        <v>93</v>
      </c>
      <c r="H118" s="20" t="n">
        <v>212</v>
      </c>
      <c r="I118" s="20" t="n">
        <v>200</v>
      </c>
      <c r="J118" s="20" t="n">
        <v>38</v>
      </c>
      <c r="K118" s="20" t="n">
        <v>43</v>
      </c>
      <c r="L118" s="20" t="n">
        <v>126</v>
      </c>
      <c r="M118" s="20" t="n">
        <v>411</v>
      </c>
      <c r="N118" s="20" t="n">
        <v>351</v>
      </c>
      <c r="T118" s="20" t="n">
        <v>64</v>
      </c>
      <c r="U118" s="20" t="n">
        <v>187</v>
      </c>
      <c r="V118" s="20" t="n">
        <v>38</v>
      </c>
      <c r="W118" s="20" t="n">
        <v>212</v>
      </c>
      <c r="X118" s="20" t="n">
        <v>126</v>
      </c>
    </row>
    <row r="119">
      <c r="A119" s="43" t="inlineStr">
        <is>
          <t>YoY</t>
        </is>
      </c>
      <c r="B119" s="3" t="inlineStr">
        <is>
          <t>전년 같은 분기·전년 대비</t>
        </is>
      </c>
      <c r="G119" s="15">
        <f>IF(OR(G118="",C118=""),"",IF(G118*C118&lt;=0,"",IFERROR(G118/C118-1,"")))</f>
        <v/>
      </c>
      <c r="H119" s="15">
        <f>IF(OR(H118="",D118=""),"",IF(H118*D118&lt;=0,"",IFERROR(H118/D118-1,"")))</f>
        <v/>
      </c>
      <c r="I119" s="15">
        <f>IF(OR(I118="",E118=""),"",IF(I118*E118&lt;=0,"",IFERROR(I118/E118-1,"")))</f>
        <v/>
      </c>
      <c r="J119" s="15">
        <f>IF(OR(J118="",F118=""),"",IF(J118*F118&lt;=0,"",IFERROR(J118/F118-1,"")))</f>
        <v/>
      </c>
      <c r="K119" s="15">
        <f>IF(OR(K118="",G118=""),"",IF(K118*G118&lt;=0,"",IFERROR(K118/G118-1,"")))</f>
        <v/>
      </c>
      <c r="L119" s="15">
        <f>IF(OR(L118="",H118=""),"",IF(L118*H118&lt;=0,"",IFERROR(L118/H118-1,"")))</f>
        <v/>
      </c>
      <c r="M119" s="15">
        <f>IF(OR(M118="",I118=""),"",IF(M118*I118&lt;=0,"",IFERROR(M118/I118-1,"")))</f>
        <v/>
      </c>
      <c r="N119" s="15">
        <f>IF(OR(N118="",J118=""),"",IF(N118*J118&lt;=0,"",IFERROR(N118/J118-1,"")))</f>
        <v/>
      </c>
      <c r="T119" s="15">
        <f>IF(OR(T118="",S118=""),"",IF(T118*S118&lt;=0,"",IFERROR(T118/S118-1,"")))</f>
        <v/>
      </c>
      <c r="U119" s="15">
        <f>IF(OR(U118="",T118=""),"",IF(U118*T118&lt;=0,"",IFERROR(U118/T118-1,"")))</f>
        <v/>
      </c>
      <c r="V119" s="15">
        <f>IF(OR(V118="",U118=""),"",IF(V118*U118&lt;=0,"",IFERROR(V118/U118-1,"")))</f>
        <v/>
      </c>
      <c r="W119" s="15">
        <f>IF(OR(W118="",V118=""),"",IF(W118*V118&lt;=0,"",IFERROR(W118/V118-1,"")))</f>
        <v/>
      </c>
      <c r="X119" s="15">
        <f>IF(OR(X118="",W118=""),"",IF(X118*W118&lt;=0,"",IFERROR(X118/W118-1,"")))</f>
        <v/>
      </c>
    </row>
    <row r="120">
      <c r="A120" s="18" t="inlineStr">
        <is>
          <t>이자비용</t>
        </is>
      </c>
      <c r="C120" s="20" t="n">
        <v>64</v>
      </c>
      <c r="D120" s="20" t="n">
        <v>61</v>
      </c>
      <c r="E120" s="20" t="n">
        <v>69</v>
      </c>
      <c r="F120" s="20" t="n">
        <v>75</v>
      </c>
      <c r="G120" s="20" t="n">
        <v>100</v>
      </c>
      <c r="H120" s="20" t="n">
        <v>101</v>
      </c>
      <c r="I120" s="20" t="n">
        <v>196</v>
      </c>
      <c r="J120" s="20" t="n">
        <v>242</v>
      </c>
      <c r="K120" s="20" t="n">
        <v>218</v>
      </c>
      <c r="L120" s="20" t="n">
        <v>273</v>
      </c>
      <c r="M120" s="20" t="n">
        <v>308</v>
      </c>
      <c r="N120" s="20" t="n">
        <v>331</v>
      </c>
      <c r="T120" s="20" t="n">
        <v>127</v>
      </c>
      <c r="U120" s="20" t="n">
        <v>124</v>
      </c>
      <c r="V120" s="20" t="n">
        <v>61</v>
      </c>
      <c r="W120" s="20" t="n">
        <v>101</v>
      </c>
      <c r="X120" s="20" t="n">
        <v>273</v>
      </c>
    </row>
    <row r="121">
      <c r="A121" s="18" t="inlineStr">
        <is>
          <t>사채이자</t>
        </is>
      </c>
      <c r="C121" s="20" t="n">
        <v>3</v>
      </c>
      <c r="D121" s="20" t="n">
        <v>2</v>
      </c>
      <c r="E121" s="20" t="n">
        <v>2</v>
      </c>
      <c r="F121" s="20" t="n">
        <v>1</v>
      </c>
      <c r="G121" s="20" t="n">
        <v>2</v>
      </c>
      <c r="H121" s="20" t="n">
        <v>2</v>
      </c>
      <c r="I121" s="20" t="n">
        <v>1</v>
      </c>
      <c r="J121" s="20" t="n">
        <v>2</v>
      </c>
      <c r="K121" s="20" t="n">
        <v>1</v>
      </c>
      <c r="L121" s="20" t="n">
        <v>1</v>
      </c>
      <c r="M121" s="20" t="n">
        <v>0</v>
      </c>
      <c r="N121" s="20" t="n">
        <v>1</v>
      </c>
      <c r="T121" s="20" t="n">
        <v>4</v>
      </c>
      <c r="U121" s="20" t="n">
        <v>3</v>
      </c>
      <c r="V121" s="20" t="n">
        <v>2</v>
      </c>
      <c r="W121" s="20" t="n">
        <v>2</v>
      </c>
      <c r="X121" s="20" t="n">
        <v>1</v>
      </c>
    </row>
    <row r="122">
      <c r="A122" s="18" t="inlineStr">
        <is>
          <t>대손손실</t>
        </is>
      </c>
      <c r="C122" s="20" t="n">
        <v>0</v>
      </c>
    </row>
    <row r="123">
      <c r="A123" s="18" t="inlineStr">
        <is>
          <t>지분법손실</t>
        </is>
      </c>
      <c r="C123" s="20" t="n">
        <v>0</v>
      </c>
      <c r="G123" s="20" t="n">
        <v>208</v>
      </c>
      <c r="H123" s="20" t="n">
        <v>-253</v>
      </c>
      <c r="K123" s="20" t="n">
        <v>118</v>
      </c>
      <c r="L123" s="20" t="n">
        <v>-31</v>
      </c>
      <c r="W123" s="20" t="n">
        <v>-253</v>
      </c>
      <c r="X123" s="20" t="n">
        <v>-31</v>
      </c>
    </row>
    <row r="124">
      <c r="A124" s="18" t="inlineStr">
        <is>
          <t>외환차손</t>
        </is>
      </c>
      <c r="E124" s="20" t="n">
        <v>0</v>
      </c>
      <c r="F124" s="20" t="n">
        <v>0</v>
      </c>
      <c r="G124" s="20" t="n">
        <v>0</v>
      </c>
      <c r="I124" s="20" t="n">
        <v>11</v>
      </c>
      <c r="J124" s="20" t="n">
        <v>6</v>
      </c>
      <c r="K124" s="20" t="n">
        <v>-9</v>
      </c>
      <c r="M124" s="20" t="n">
        <v>0</v>
      </c>
      <c r="N124" s="20" t="n">
        <v>0</v>
      </c>
    </row>
    <row r="125">
      <c r="A125" s="18" t="inlineStr">
        <is>
          <t>지급수수료</t>
        </is>
      </c>
      <c r="C125" s="20" t="n">
        <v>26</v>
      </c>
      <c r="D125" s="20" t="n">
        <v>8</v>
      </c>
      <c r="E125" s="20" t="n">
        <v>52</v>
      </c>
      <c r="F125" s="20" t="n">
        <v>55</v>
      </c>
      <c r="G125" s="20" t="n">
        <v>12</v>
      </c>
      <c r="H125" s="20" t="n">
        <v>93</v>
      </c>
      <c r="I125" s="20" t="n">
        <v>121</v>
      </c>
      <c r="J125" s="20" t="n">
        <v>43</v>
      </c>
      <c r="K125" s="20" t="n">
        <v>29</v>
      </c>
      <c r="L125" s="20" t="n">
        <v>339</v>
      </c>
      <c r="M125" s="20" t="n">
        <v>212</v>
      </c>
      <c r="N125" s="20" t="n">
        <v>92</v>
      </c>
      <c r="T125" s="20" t="n">
        <v>192</v>
      </c>
      <c r="U125" s="20" t="n">
        <v>97</v>
      </c>
      <c r="V125" s="20" t="n">
        <v>8</v>
      </c>
      <c r="W125" s="20" t="n">
        <v>93</v>
      </c>
      <c r="X125" s="20" t="n">
        <v>339</v>
      </c>
    </row>
    <row r="126">
      <c r="A126" s="18" t="inlineStr">
        <is>
          <t>기타</t>
        </is>
      </c>
      <c r="C126" s="20" t="n">
        <v>3</v>
      </c>
      <c r="D126" s="20" t="n">
        <v>13</v>
      </c>
      <c r="E126" s="20" t="n">
        <v>9</v>
      </c>
      <c r="F126" s="20" t="n">
        <v>15</v>
      </c>
      <c r="G126" s="20" t="n">
        <v>12</v>
      </c>
      <c r="H126" s="20" t="n">
        <v>9</v>
      </c>
      <c r="I126" s="20" t="n">
        <v>11</v>
      </c>
      <c r="J126" s="20" t="n">
        <v>13</v>
      </c>
      <c r="K126" s="20" t="n">
        <v>5</v>
      </c>
      <c r="L126" s="20" t="n">
        <v>24</v>
      </c>
      <c r="M126" s="20" t="n">
        <v>75</v>
      </c>
      <c r="N126" s="20" t="n">
        <v>24</v>
      </c>
      <c r="T126" s="20" t="n">
        <v>118</v>
      </c>
      <c r="U126" s="20" t="n">
        <v>95</v>
      </c>
      <c r="V126" s="20" t="n">
        <v>13</v>
      </c>
      <c r="W126" s="20" t="n">
        <v>9</v>
      </c>
      <c r="X126" s="20" t="n">
        <v>24</v>
      </c>
    </row>
    <row r="127">
      <c r="A127" s="18" t="inlineStr">
        <is>
          <t>영업외비용 합계</t>
        </is>
      </c>
      <c r="C127" s="20" t="n">
        <v>95</v>
      </c>
      <c r="D127" s="20" t="n">
        <v>85</v>
      </c>
      <c r="E127" s="20" t="n">
        <v>133</v>
      </c>
      <c r="F127" s="20" t="n">
        <v>193</v>
      </c>
      <c r="G127" s="20" t="n">
        <v>332</v>
      </c>
      <c r="H127" s="20" t="n">
        <v>-48</v>
      </c>
      <c r="I127" s="20" t="n">
        <v>342</v>
      </c>
      <c r="J127" s="20" t="n">
        <v>308</v>
      </c>
      <c r="K127" s="20" t="n">
        <v>362</v>
      </c>
      <c r="L127" s="20" t="n">
        <v>598</v>
      </c>
      <c r="M127" s="20" t="n">
        <v>597</v>
      </c>
      <c r="N127" s="20" t="n">
        <v>483</v>
      </c>
      <c r="T127" s="20" t="n">
        <v>442</v>
      </c>
      <c r="U127" s="20" t="n">
        <v>236</v>
      </c>
      <c r="V127" s="20" t="n">
        <v>85</v>
      </c>
      <c r="W127" s="20" t="n">
        <v>-48</v>
      </c>
      <c r="X127" s="20" t="n">
        <v>598</v>
      </c>
    </row>
    <row r="128">
      <c r="A128" s="43" t="inlineStr">
        <is>
          <t>YoY</t>
        </is>
      </c>
      <c r="B128" s="3" t="inlineStr">
        <is>
          <t>전년 같은 분기·전년 대비</t>
        </is>
      </c>
      <c r="G128" s="15">
        <f>IF(OR(G127="",C127=""),"",IF(G127*C127&lt;=0,"",IFERROR(G127/C127-1,"")))</f>
        <v/>
      </c>
      <c r="H128" s="15">
        <f>IF(OR(H127="",D127=""),"",IF(H127*D127&lt;=0,"",IFERROR(H127/D127-1,"")))</f>
        <v/>
      </c>
      <c r="I128" s="15">
        <f>IF(OR(I127="",E127=""),"",IF(I127*E127&lt;=0,"",IFERROR(I127/E127-1,"")))</f>
        <v/>
      </c>
      <c r="J128" s="15">
        <f>IF(OR(J127="",F127=""),"",IF(J127*F127&lt;=0,"",IFERROR(J127/F127-1,"")))</f>
        <v/>
      </c>
      <c r="K128" s="15">
        <f>IF(OR(K127="",G127=""),"",IF(K127*G127&lt;=0,"",IFERROR(K127/G127-1,"")))</f>
        <v/>
      </c>
      <c r="L128" s="15">
        <f>IF(OR(L127="",H127=""),"",IF(L127*H127&lt;=0,"",IFERROR(L127/H127-1,"")))</f>
        <v/>
      </c>
      <c r="M128" s="15">
        <f>IF(OR(M127="",I127=""),"",IF(M127*I127&lt;=0,"",IFERROR(M127/I127-1,"")))</f>
        <v/>
      </c>
      <c r="N128" s="15">
        <f>IF(OR(N127="",J127=""),"",IF(N127*J127&lt;=0,"",IFERROR(N127/J127-1,"")))</f>
        <v/>
      </c>
      <c r="T128" s="15">
        <f>IF(OR(T127="",S127=""),"",IF(T127*S127&lt;=0,"",IFERROR(T127/S127-1,"")))</f>
        <v/>
      </c>
      <c r="U128" s="15">
        <f>IF(OR(U127="",T127=""),"",IF(U127*T127&lt;=0,"",IFERROR(U127/T127-1,"")))</f>
        <v/>
      </c>
      <c r="V128" s="15">
        <f>IF(OR(V127="",U127=""),"",IF(V127*U127&lt;=0,"",IFERROR(V127/U127-1,"")))</f>
        <v/>
      </c>
      <c r="W128" s="15">
        <f>IF(OR(W127="",V127=""),"",IF(W127*V127&lt;=0,"",IFERROR(W127/V127-1,"")))</f>
        <v/>
      </c>
      <c r="X128" s="15">
        <f>IF(OR(X127="",W127=""),"",IF(X127*W127&lt;=0,"",IFERROR(X127/W127-1,"")))</f>
        <v/>
      </c>
    </row>
    <row r="129">
      <c r="A129" s="9" t="inlineStr">
        <is>
          <t>경상이익</t>
        </is>
      </c>
      <c r="C129" s="12" t="n">
        <v>1237</v>
      </c>
      <c r="D129" s="12" t="n">
        <v>633</v>
      </c>
      <c r="E129" s="12" t="n">
        <v>1762</v>
      </c>
      <c r="F129" s="12" t="n">
        <v>860</v>
      </c>
      <c r="G129" s="12" t="n">
        <v>1489</v>
      </c>
      <c r="H129" s="12" t="n">
        <v>1714</v>
      </c>
      <c r="I129" s="12" t="n">
        <v>1658</v>
      </c>
      <c r="J129" s="12" t="n">
        <v>1169</v>
      </c>
      <c r="K129" s="12" t="n">
        <v>2575</v>
      </c>
      <c r="L129" s="12" t="n">
        <v>3696</v>
      </c>
      <c r="M129" s="12" t="n">
        <v>2366</v>
      </c>
      <c r="N129" s="12" t="n">
        <v>1996</v>
      </c>
      <c r="T129" s="12" t="n">
        <v>-147</v>
      </c>
      <c r="U129" s="12" t="n">
        <v>756</v>
      </c>
      <c r="V129" s="12" t="n">
        <v>633</v>
      </c>
      <c r="W129" s="12" t="n">
        <v>1714</v>
      </c>
      <c r="X129" s="12" t="n">
        <v>3696</v>
      </c>
    </row>
    <row r="130">
      <c r="A130" s="43" t="inlineStr">
        <is>
          <t>YoY</t>
        </is>
      </c>
      <c r="B130" s="3" t="inlineStr">
        <is>
          <t>전년 같은 분기·전년 대비</t>
        </is>
      </c>
      <c r="G130" s="15">
        <f>IF(OR(G129="",C129=""),"",IF(C129&lt;=0,"",IFERROR(G129/C129-1,"")))</f>
        <v/>
      </c>
      <c r="H130" s="15">
        <f>IF(OR(H129="",D129=""),"",IF(D129&lt;=0,"",IFERROR(H129/D129-1,"")))</f>
        <v/>
      </c>
      <c r="I130" s="15">
        <f>IF(OR(I129="",E129=""),"",IF(E129&lt;=0,"",IFERROR(I129/E129-1,"")))</f>
        <v/>
      </c>
      <c r="J130" s="15">
        <f>IF(OR(J129="",F129=""),"",IF(F129&lt;=0,"",IFERROR(J129/F129-1,"")))</f>
        <v/>
      </c>
      <c r="K130" s="15">
        <f>IF(OR(K129="",G129=""),"",IF(G129&lt;=0,"",IFERROR(K129/G129-1,"")))</f>
        <v/>
      </c>
      <c r="L130" s="15">
        <f>IF(OR(L129="",H129=""),"",IF(H129&lt;=0,"",IFERROR(L129/H129-1,"")))</f>
        <v/>
      </c>
      <c r="M130" s="15">
        <f>IF(OR(M129="",I129=""),"",IF(I129&lt;=0,"",IFERROR(M129/I129-1,"")))</f>
        <v/>
      </c>
      <c r="N130" s="15">
        <f>IF(OR(N129="",J129=""),"",IF(J129&lt;=0,"",IFERROR(N129/J129-1,"")))</f>
        <v/>
      </c>
      <c r="T130" s="15">
        <f>IF(OR(T129="",S129=""),"",IF(S129&lt;=0,"",IFERROR(T129/S129-1,"")))</f>
        <v/>
      </c>
      <c r="U130" s="15">
        <f>IF(OR(U129="",T129=""),"",IF(T129&lt;=0,"",IFERROR(U129/T129-1,"")))</f>
        <v/>
      </c>
      <c r="V130" s="15">
        <f>IF(OR(V129="",U129=""),"",IF(U129&lt;=0,"",IFERROR(V129/U129-1,"")))</f>
        <v/>
      </c>
      <c r="W130" s="15">
        <f>IF(OR(W129="",V129=""),"",IF(V129&lt;=0,"",IFERROR(W129/V129-1,"")))</f>
        <v/>
      </c>
      <c r="X130" s="15">
        <f>IF(OR(X129="",W129=""),"",IF(W129&lt;=0,"",IFERROR(X129/W129-1,"")))</f>
        <v/>
      </c>
    </row>
    <row r="131">
      <c r="A131" s="18" t="inlineStr">
        <is>
          <t>고정자산 매각이익</t>
        </is>
      </c>
      <c r="D131" s="20" t="n">
        <v>0</v>
      </c>
      <c r="T131" s="20" t="n">
        <v>0</v>
      </c>
      <c r="U131" s="20" t="n">
        <v>0</v>
      </c>
      <c r="V131" s="20" t="n">
        <v>0</v>
      </c>
    </row>
    <row r="132">
      <c r="A132" s="18" t="inlineStr">
        <is>
          <t>단계적 취득 차익</t>
        </is>
      </c>
      <c r="C132" s="20" t="n">
        <v>0</v>
      </c>
      <c r="D132" s="20" t="n">
        <v>0</v>
      </c>
      <c r="G132" s="20" t="n">
        <v>0</v>
      </c>
      <c r="H132" s="20" t="n">
        <v>0</v>
      </c>
      <c r="K132" s="20" t="n">
        <v>189</v>
      </c>
      <c r="L132" s="20" t="n">
        <v>0</v>
      </c>
      <c r="V132" s="20" t="n">
        <v>0</v>
      </c>
      <c r="W132" s="20" t="n">
        <v>0</v>
      </c>
      <c r="X132" s="20" t="n">
        <v>0</v>
      </c>
    </row>
    <row r="133">
      <c r="A133" s="18" t="inlineStr">
        <is>
          <t>투자유가증권 매각이익</t>
        </is>
      </c>
      <c r="C133" s="20" t="n">
        <v>0</v>
      </c>
      <c r="D133" s="20" t="n">
        <v>0</v>
      </c>
      <c r="E133" s="20" t="n">
        <v>66</v>
      </c>
      <c r="F133" s="20" t="n">
        <v>17</v>
      </c>
      <c r="G133" s="20" t="n">
        <v>580</v>
      </c>
      <c r="H133" s="20" t="n">
        <v>0</v>
      </c>
      <c r="I133" s="20" t="n">
        <v>1</v>
      </c>
      <c r="J133" s="20" t="n">
        <v>3</v>
      </c>
      <c r="K133" s="20" t="n">
        <v>20</v>
      </c>
      <c r="L133" s="20" t="n">
        <v>0</v>
      </c>
      <c r="M133" s="20" t="n">
        <v>0</v>
      </c>
      <c r="N133" s="20" t="n">
        <v>0</v>
      </c>
      <c r="V133" s="20" t="n">
        <v>0</v>
      </c>
      <c r="W133" s="20" t="n">
        <v>0</v>
      </c>
      <c r="X133" s="20" t="n">
        <v>0</v>
      </c>
    </row>
    <row r="134">
      <c r="A134" s="18" t="inlineStr">
        <is>
          <t>투자유가증권 수증이익</t>
        </is>
      </c>
      <c r="C134" s="20" t="n">
        <v>34</v>
      </c>
      <c r="D134" s="20" t="n">
        <v>0</v>
      </c>
      <c r="G134" s="20" t="n">
        <v>0</v>
      </c>
      <c r="H134" s="20" t="n">
        <v>0</v>
      </c>
      <c r="K134" s="20" t="n">
        <v>0</v>
      </c>
      <c r="L134" s="20" t="n">
        <v>0</v>
      </c>
      <c r="U134" s="20" t="n">
        <v>0</v>
      </c>
      <c r="V134" s="20" t="n">
        <v>0</v>
      </c>
      <c r="W134" s="20" t="n">
        <v>0</v>
      </c>
      <c r="X134" s="20" t="n">
        <v>0</v>
      </c>
    </row>
    <row r="135">
      <c r="A135" s="18" t="inlineStr">
        <is>
          <t>채무면제이익</t>
        </is>
      </c>
      <c r="I135" s="20" t="n">
        <v>0</v>
      </c>
      <c r="J135" s="20" t="n">
        <v>0</v>
      </c>
      <c r="M135" s="20" t="n">
        <v>19</v>
      </c>
      <c r="N135" s="20" t="n">
        <v>0</v>
      </c>
    </row>
    <row r="136">
      <c r="A136" s="18" t="inlineStr">
        <is>
          <t>기타</t>
        </is>
      </c>
      <c r="T136" s="20" t="n">
        <v>0</v>
      </c>
      <c r="U136" s="20" t="n">
        <v>0</v>
      </c>
    </row>
    <row r="137">
      <c r="A137" s="18" t="inlineStr">
        <is>
          <t>특별이익 합계</t>
        </is>
      </c>
      <c r="C137" s="20" t="n">
        <v>34</v>
      </c>
      <c r="D137" s="20" t="n">
        <v>0</v>
      </c>
      <c r="E137" s="20" t="n">
        <v>66</v>
      </c>
      <c r="F137" s="20" t="n">
        <v>186</v>
      </c>
      <c r="G137" s="20" t="n">
        <v>580</v>
      </c>
      <c r="H137" s="20" t="n">
        <v>0</v>
      </c>
      <c r="I137" s="20" t="n">
        <v>1</v>
      </c>
      <c r="J137" s="20" t="n">
        <v>34</v>
      </c>
      <c r="K137" s="20" t="n">
        <v>210</v>
      </c>
      <c r="L137" s="20" t="n">
        <v>11865</v>
      </c>
      <c r="M137" s="20" t="n">
        <v>19</v>
      </c>
      <c r="N137" s="20" t="n">
        <v>114</v>
      </c>
      <c r="T137" s="20" t="n">
        <v>348</v>
      </c>
      <c r="U137" s="20" t="n">
        <v>0</v>
      </c>
      <c r="V137" s="20" t="n">
        <v>0</v>
      </c>
      <c r="W137" s="20" t="n">
        <v>0</v>
      </c>
      <c r="X137" s="20" t="n">
        <v>11865</v>
      </c>
    </row>
    <row r="138">
      <c r="A138" s="43" t="inlineStr">
        <is>
          <t>YoY</t>
        </is>
      </c>
      <c r="B138" s="3" t="inlineStr">
        <is>
          <t>전년 같은 분기·전년 대비</t>
        </is>
      </c>
      <c r="G138" s="15">
        <f>IF(OR(G137="",C137=""),"",IF(G137*C137&lt;=0,"",IFERROR(G137/C137-1,"")))</f>
        <v/>
      </c>
      <c r="H138" s="15">
        <f>IF(OR(H137="",D137=""),"",IF(H137*D137&lt;=0,"",IFERROR(H137/D137-1,"")))</f>
        <v/>
      </c>
      <c r="I138" s="15">
        <f>IF(OR(I137="",E137=""),"",IF(I137*E137&lt;=0,"",IFERROR(I137/E137-1,"")))</f>
        <v/>
      </c>
      <c r="J138" s="15">
        <f>IF(OR(J137="",F137=""),"",IF(J137*F137&lt;=0,"",IFERROR(J137/F137-1,"")))</f>
        <v/>
      </c>
      <c r="K138" s="15">
        <f>IF(OR(K137="",G137=""),"",IF(K137*G137&lt;=0,"",IFERROR(K137/G137-1,"")))</f>
        <v/>
      </c>
      <c r="L138" s="15">
        <f>IF(OR(L137="",H137=""),"",IF(L137*H137&lt;=0,"",IFERROR(L137/H137-1,"")))</f>
        <v/>
      </c>
      <c r="M138" s="15">
        <f>IF(OR(M137="",I137=""),"",IF(M137*I137&lt;=0,"",IFERROR(M137/I137-1,"")))</f>
        <v/>
      </c>
      <c r="N138" s="15">
        <f>IF(OR(N137="",J137=""),"",IF(N137*J137&lt;=0,"",IFERROR(N137/J137-1,"")))</f>
        <v/>
      </c>
      <c r="T138" s="15">
        <f>IF(OR(T137="",S137=""),"",IF(T137*S137&lt;=0,"",IFERROR(T137/S137-1,"")))</f>
        <v/>
      </c>
      <c r="U138" s="15">
        <f>IF(OR(U137="",T137=""),"",IF(U137*T137&lt;=0,"",IFERROR(U137/T137-1,"")))</f>
        <v/>
      </c>
      <c r="V138" s="15">
        <f>IF(OR(V137="",U137=""),"",IF(V137*U137&lt;=0,"",IFERROR(V137/U137-1,"")))</f>
        <v/>
      </c>
      <c r="W138" s="15">
        <f>IF(OR(W137="",V137=""),"",IF(W137*V137&lt;=0,"",IFERROR(W137/V137-1,"")))</f>
        <v/>
      </c>
      <c r="X138" s="15">
        <f>IF(OR(X137="",W137=""),"",IF(X137*W137&lt;=0,"",IFERROR(X137/W137-1,"")))</f>
        <v/>
      </c>
    </row>
    <row r="139">
      <c r="A139" s="18" t="inlineStr">
        <is>
          <t>손상차손</t>
        </is>
      </c>
      <c r="C139" s="20" t="n">
        <v>74</v>
      </c>
      <c r="D139" s="20" t="n">
        <v>55</v>
      </c>
      <c r="E139" s="20" t="n">
        <v>5</v>
      </c>
      <c r="F139" s="20" t="n">
        <v>5</v>
      </c>
      <c r="G139" s="20" t="n">
        <v>33</v>
      </c>
      <c r="H139" s="20" t="n">
        <v>6</v>
      </c>
      <c r="I139" s="20" t="n">
        <v>10</v>
      </c>
      <c r="J139" s="20" t="n">
        <v>13</v>
      </c>
      <c r="K139" s="20" t="n">
        <v>58</v>
      </c>
      <c r="L139" s="20" t="n">
        <v>946</v>
      </c>
      <c r="M139" s="20" t="n">
        <v>582</v>
      </c>
      <c r="N139" s="20" t="n">
        <v>136</v>
      </c>
      <c r="T139" s="20" t="n">
        <v>475</v>
      </c>
      <c r="U139" s="20" t="n">
        <v>88</v>
      </c>
      <c r="V139" s="20" t="n">
        <v>55</v>
      </c>
      <c r="W139" s="20" t="n">
        <v>6</v>
      </c>
      <c r="X139" s="20" t="n">
        <v>946</v>
      </c>
    </row>
    <row r="140">
      <c r="A140" s="18" t="inlineStr">
        <is>
          <t>투자유가증권 평가손실</t>
        </is>
      </c>
      <c r="D140" s="20" t="n">
        <v>0</v>
      </c>
      <c r="H140" s="20" t="n">
        <v>280</v>
      </c>
      <c r="I140" s="20" t="n">
        <v>0</v>
      </c>
      <c r="J140" s="20" t="n">
        <v>0</v>
      </c>
      <c r="K140" s="20" t="n">
        <v>0</v>
      </c>
      <c r="L140" s="20" t="n">
        <v>0</v>
      </c>
      <c r="M140" s="20" t="n">
        <v>27</v>
      </c>
      <c r="N140" s="20" t="n">
        <v>0</v>
      </c>
      <c r="V140" s="20" t="n">
        <v>0</v>
      </c>
      <c r="W140" s="20" t="n">
        <v>280</v>
      </c>
      <c r="X140" s="20" t="n">
        <v>0</v>
      </c>
    </row>
    <row r="141">
      <c r="A141" s="18" t="inlineStr">
        <is>
          <t>사업정리 손실</t>
        </is>
      </c>
      <c r="C141" s="20" t="n">
        <v>-44</v>
      </c>
      <c r="D141" s="20" t="n">
        <v>0</v>
      </c>
      <c r="E141" s="20" t="n">
        <v>0</v>
      </c>
      <c r="F141" s="20" t="n">
        <v>0</v>
      </c>
      <c r="G141" s="20" t="n">
        <v>0</v>
      </c>
      <c r="H141" s="20" t="n">
        <v>0</v>
      </c>
      <c r="U141" s="20" t="n">
        <v>3159</v>
      </c>
      <c r="V141" s="20" t="n">
        <v>0</v>
      </c>
      <c r="W141" s="20" t="n">
        <v>0</v>
      </c>
    </row>
    <row r="142">
      <c r="A142" s="18" t="inlineStr">
        <is>
          <t>채권포기 손실</t>
        </is>
      </c>
      <c r="C142" s="20" t="n">
        <v>0</v>
      </c>
      <c r="D142" s="20" t="n">
        <v>0</v>
      </c>
      <c r="T142" s="20" t="n">
        <v>0</v>
      </c>
      <c r="U142" s="20" t="n">
        <v>0</v>
      </c>
      <c r="V142" s="20" t="n">
        <v>0</v>
      </c>
    </row>
    <row r="143">
      <c r="A143" s="18" t="inlineStr">
        <is>
          <t>보상금 지급</t>
        </is>
      </c>
      <c r="E143" s="20" t="n">
        <v>0</v>
      </c>
      <c r="F143" s="20" t="n">
        <v>0</v>
      </c>
    </row>
    <row r="144">
      <c r="A144" s="18" t="inlineStr">
        <is>
          <t>기타</t>
        </is>
      </c>
      <c r="D144" s="20" t="n">
        <v>0</v>
      </c>
      <c r="H144" s="20" t="n">
        <v>0</v>
      </c>
      <c r="T144" s="20" t="n">
        <v>50</v>
      </c>
      <c r="U144" s="20" t="n">
        <v>480</v>
      </c>
      <c r="V144" s="20" t="n">
        <v>0</v>
      </c>
      <c r="W144" s="20" t="n">
        <v>0</v>
      </c>
    </row>
    <row r="145">
      <c r="A145" s="18" t="inlineStr">
        <is>
          <t>해약 위약금</t>
        </is>
      </c>
      <c r="G145" s="20" t="n">
        <v>0</v>
      </c>
      <c r="H145" s="20" t="n">
        <v>0</v>
      </c>
      <c r="I145" s="20" t="n">
        <v>0</v>
      </c>
      <c r="J145" s="20" t="n">
        <v>33</v>
      </c>
      <c r="K145" s="20" t="n">
        <v>0</v>
      </c>
      <c r="L145" s="20" t="n">
        <v>0</v>
      </c>
      <c r="M145" s="20" t="n">
        <v>35</v>
      </c>
      <c r="N145" s="20" t="n">
        <v>0</v>
      </c>
      <c r="W145" s="20" t="n">
        <v>0</v>
      </c>
      <c r="X145" s="20" t="n">
        <v>0</v>
      </c>
    </row>
    <row r="146">
      <c r="A146" s="18" t="inlineStr">
        <is>
          <t>특별손실 합계</t>
        </is>
      </c>
      <c r="C146" s="20" t="n">
        <v>29</v>
      </c>
      <c r="D146" s="20" t="n">
        <v>56</v>
      </c>
      <c r="E146" s="20" t="n">
        <v>5</v>
      </c>
      <c r="F146" s="20" t="n">
        <v>5</v>
      </c>
      <c r="G146" s="20" t="n">
        <v>280</v>
      </c>
      <c r="H146" s="20" t="n">
        <v>452</v>
      </c>
      <c r="I146" s="20" t="n">
        <v>10</v>
      </c>
      <c r="J146" s="20" t="n">
        <v>46</v>
      </c>
      <c r="K146" s="20" t="n">
        <v>58</v>
      </c>
      <c r="L146" s="20" t="n">
        <v>946</v>
      </c>
      <c r="M146" s="20" t="n">
        <v>645</v>
      </c>
      <c r="N146" s="20" t="n">
        <v>136</v>
      </c>
      <c r="T146" s="20" t="n">
        <v>529</v>
      </c>
      <c r="U146" s="20" t="n">
        <v>3727</v>
      </c>
      <c r="V146" s="20" t="n">
        <v>56</v>
      </c>
      <c r="W146" s="20" t="n">
        <v>452</v>
      </c>
      <c r="X146" s="20" t="n">
        <v>946</v>
      </c>
    </row>
    <row r="147">
      <c r="A147" s="43" t="inlineStr">
        <is>
          <t>YoY</t>
        </is>
      </c>
      <c r="B147" s="3" t="inlineStr">
        <is>
          <t>전년 같은 분기·전년 대비</t>
        </is>
      </c>
      <c r="G147" s="15">
        <f>IF(OR(G146="",C146=""),"",IF(G146*C146&lt;=0,"",IFERROR(G146/C146-1,"")))</f>
        <v/>
      </c>
      <c r="H147" s="15">
        <f>IF(OR(H146="",D146=""),"",IF(H146*D146&lt;=0,"",IFERROR(H146/D146-1,"")))</f>
        <v/>
      </c>
      <c r="I147" s="15">
        <f>IF(OR(I146="",E146=""),"",IF(I146*E146&lt;=0,"",IFERROR(I146/E146-1,"")))</f>
        <v/>
      </c>
      <c r="J147" s="15">
        <f>IF(OR(J146="",F146=""),"",IF(J146*F146&lt;=0,"",IFERROR(J146/F146-1,"")))</f>
        <v/>
      </c>
      <c r="K147" s="15">
        <f>IF(OR(K146="",G146=""),"",IF(K146*G146&lt;=0,"",IFERROR(K146/G146-1,"")))</f>
        <v/>
      </c>
      <c r="L147" s="15">
        <f>IF(OR(L146="",H146=""),"",IF(L146*H146&lt;=0,"",IFERROR(L146/H146-1,"")))</f>
        <v/>
      </c>
      <c r="M147" s="15">
        <f>IF(OR(M146="",I146=""),"",IF(M146*I146&lt;=0,"",IFERROR(M146/I146-1,"")))</f>
        <v/>
      </c>
      <c r="N147" s="15">
        <f>IF(OR(N146="",J146=""),"",IF(N146*J146&lt;=0,"",IFERROR(N146/J146-1,"")))</f>
        <v/>
      </c>
      <c r="T147" s="15">
        <f>IF(OR(T146="",S146=""),"",IF(T146*S146&lt;=0,"",IFERROR(T146/S146-1,"")))</f>
        <v/>
      </c>
      <c r="U147" s="15">
        <f>IF(OR(U146="",T146=""),"",IF(U146*T146&lt;=0,"",IFERROR(U146/T146-1,"")))</f>
        <v/>
      </c>
      <c r="V147" s="15">
        <f>IF(OR(V146="",U146=""),"",IF(V146*U146&lt;=0,"",IFERROR(V146/U146-1,"")))</f>
        <v/>
      </c>
      <c r="W147" s="15">
        <f>IF(OR(W146="",V146=""),"",IF(W146*V146&lt;=0,"",IFERROR(W146/V146-1,"")))</f>
        <v/>
      </c>
      <c r="X147" s="15">
        <f>IF(OR(X146="",W146=""),"",IF(X146*W146&lt;=0,"",IFERROR(X146/W146-1,"")))</f>
        <v/>
      </c>
    </row>
    <row r="148">
      <c r="A148" s="9" t="inlineStr">
        <is>
          <t>법인세차감전 순이익</t>
        </is>
      </c>
      <c r="C148" s="12" t="n">
        <v>1242</v>
      </c>
      <c r="D148" s="12" t="n">
        <v>577</v>
      </c>
      <c r="E148" s="12" t="n">
        <v>1823</v>
      </c>
      <c r="F148" s="12" t="n">
        <v>1041</v>
      </c>
      <c r="G148" s="12" t="n">
        <v>1789</v>
      </c>
      <c r="H148" s="12" t="n">
        <v>1262</v>
      </c>
      <c r="I148" s="12" t="n">
        <v>1649</v>
      </c>
      <c r="J148" s="12" t="n">
        <v>1158</v>
      </c>
      <c r="K148" s="12" t="n">
        <v>2727</v>
      </c>
      <c r="L148" s="12" t="n">
        <v>14614</v>
      </c>
      <c r="M148" s="12" t="n">
        <v>1740</v>
      </c>
      <c r="N148" s="12" t="n">
        <v>1974</v>
      </c>
      <c r="T148" s="12" t="n">
        <v>-327</v>
      </c>
      <c r="U148" s="12" t="n">
        <v>-2970</v>
      </c>
      <c r="V148" s="12" t="n">
        <v>577</v>
      </c>
      <c r="W148" s="12" t="n">
        <v>1262</v>
      </c>
      <c r="X148" s="12" t="n">
        <v>14614</v>
      </c>
    </row>
    <row r="149">
      <c r="A149" s="43" t="inlineStr">
        <is>
          <t>YoY</t>
        </is>
      </c>
      <c r="B149" s="3" t="inlineStr">
        <is>
          <t>전년 같은 분기·전년 대비</t>
        </is>
      </c>
      <c r="G149" s="15">
        <f>IF(OR(G148="",C148=""),"",IF(C148&lt;=0,"",IFERROR(G148/C148-1,"")))</f>
        <v/>
      </c>
      <c r="H149" s="15">
        <f>IF(OR(H148="",D148=""),"",IF(D148&lt;=0,"",IFERROR(H148/D148-1,"")))</f>
        <v/>
      </c>
      <c r="I149" s="15">
        <f>IF(OR(I148="",E148=""),"",IF(E148&lt;=0,"",IFERROR(I148/E148-1,"")))</f>
        <v/>
      </c>
      <c r="J149" s="15">
        <f>IF(OR(J148="",F148=""),"",IF(F148&lt;=0,"",IFERROR(J148/F148-1,"")))</f>
        <v/>
      </c>
      <c r="K149" s="15">
        <f>IF(OR(K148="",G148=""),"",IF(G148&lt;=0,"",IFERROR(K148/G148-1,"")))</f>
        <v/>
      </c>
      <c r="L149" s="15">
        <f>IF(OR(L148="",H148=""),"",IF(H148&lt;=0,"",IFERROR(L148/H148-1,"")))</f>
        <v/>
      </c>
      <c r="M149" s="15">
        <f>IF(OR(M148="",I148=""),"",IF(I148&lt;=0,"",IFERROR(M148/I148-1,"")))</f>
        <v/>
      </c>
      <c r="N149" s="15">
        <f>IF(OR(N148="",J148=""),"",IF(J148&lt;=0,"",IFERROR(N148/J148-1,"")))</f>
        <v/>
      </c>
      <c r="T149" s="15">
        <f>IF(OR(T148="",S148=""),"",IF(S148&lt;=0,"",IFERROR(T148/S148-1,"")))</f>
        <v/>
      </c>
      <c r="U149" s="15">
        <f>IF(OR(U148="",T148=""),"",IF(T148&lt;=0,"",IFERROR(U148/T148-1,"")))</f>
        <v/>
      </c>
      <c r="V149" s="15">
        <f>IF(OR(V148="",U148=""),"",IF(U148&lt;=0,"",IFERROR(V148/U148-1,"")))</f>
        <v/>
      </c>
      <c r="W149" s="15">
        <f>IF(OR(W148="",V148=""),"",IF(V148&lt;=0,"",IFERROR(W148/V148-1,"")))</f>
        <v/>
      </c>
      <c r="X149" s="15">
        <f>IF(OR(X148="",W148=""),"",IF(W148&lt;=0,"",IFERROR(X148/W148-1,"")))</f>
        <v/>
      </c>
    </row>
    <row r="150">
      <c r="A150" s="18" t="inlineStr">
        <is>
          <t>법인세·주민세·사업세</t>
        </is>
      </c>
      <c r="C150" s="20" t="n">
        <v>312</v>
      </c>
      <c r="D150" s="20" t="n">
        <v>-290</v>
      </c>
      <c r="E150" s="20" t="n">
        <v>424</v>
      </c>
      <c r="F150" s="20" t="n">
        <v>397</v>
      </c>
      <c r="G150" s="20" t="n">
        <v>617</v>
      </c>
      <c r="H150" s="20" t="n">
        <v>451</v>
      </c>
      <c r="I150" s="20" t="n">
        <v>432</v>
      </c>
      <c r="J150" s="20" t="n">
        <v>588</v>
      </c>
      <c r="K150" s="20" t="n">
        <v>798</v>
      </c>
      <c r="L150" s="20" t="n">
        <v>2857</v>
      </c>
      <c r="M150" s="20" t="n">
        <v>847</v>
      </c>
      <c r="N150" s="20" t="n">
        <v>651</v>
      </c>
      <c r="T150" s="20" t="n">
        <v>374</v>
      </c>
      <c r="U150" s="20" t="n">
        <v>-152</v>
      </c>
      <c r="V150" s="20" t="n">
        <v>-290</v>
      </c>
      <c r="W150" s="20" t="n">
        <v>451</v>
      </c>
      <c r="X150" s="20" t="n">
        <v>2857</v>
      </c>
    </row>
    <row r="151">
      <c r="A151" s="18" t="inlineStr">
        <is>
          <t>법인세 조정액</t>
        </is>
      </c>
      <c r="C151" s="20" t="n">
        <v>153</v>
      </c>
      <c r="D151" s="20" t="n">
        <v>35</v>
      </c>
      <c r="E151" s="20" t="n">
        <v>-474</v>
      </c>
      <c r="F151" s="20" t="n">
        <v>95</v>
      </c>
      <c r="G151" s="20" t="n">
        <v>326</v>
      </c>
      <c r="H151" s="20" t="n">
        <v>222</v>
      </c>
      <c r="I151" s="20" t="n">
        <v>192</v>
      </c>
      <c r="J151" s="20" t="n">
        <v>1</v>
      </c>
      <c r="K151" s="20" t="n">
        <v>397</v>
      </c>
      <c r="L151" s="20" t="n">
        <v>1291</v>
      </c>
      <c r="M151" s="20" t="n">
        <v>-95</v>
      </c>
      <c r="N151" s="20" t="n">
        <v>-211</v>
      </c>
      <c r="T151" s="20" t="n">
        <v>-442</v>
      </c>
      <c r="U151" s="20" t="n">
        <v>-109</v>
      </c>
      <c r="V151" s="20" t="n">
        <v>35</v>
      </c>
      <c r="W151" s="20" t="n">
        <v>222</v>
      </c>
      <c r="X151" s="20" t="n">
        <v>1291</v>
      </c>
    </row>
    <row r="152">
      <c r="A152" s="18" t="inlineStr">
        <is>
          <t>법인세 등 합계</t>
        </is>
      </c>
      <c r="C152" s="20" t="n">
        <v>464</v>
      </c>
      <c r="D152" s="20" t="n">
        <v>-254</v>
      </c>
      <c r="E152" s="20" t="n">
        <v>-50</v>
      </c>
      <c r="F152" s="20" t="n">
        <v>491</v>
      </c>
      <c r="G152" s="20" t="n">
        <v>943</v>
      </c>
      <c r="H152" s="20" t="n">
        <v>675</v>
      </c>
      <c r="I152" s="20" t="n">
        <v>624</v>
      </c>
      <c r="J152" s="20" t="n">
        <v>589</v>
      </c>
      <c r="K152" s="20" t="n">
        <v>1196</v>
      </c>
      <c r="L152" s="20" t="n">
        <v>4148</v>
      </c>
      <c r="M152" s="20" t="n">
        <v>751</v>
      </c>
      <c r="N152" s="20" t="n">
        <v>441</v>
      </c>
      <c r="T152" s="20" t="n">
        <v>-68</v>
      </c>
      <c r="U152" s="20" t="n">
        <v>-262</v>
      </c>
      <c r="V152" s="20" t="n">
        <v>-254</v>
      </c>
      <c r="W152" s="20" t="n">
        <v>675</v>
      </c>
      <c r="X152" s="20" t="n">
        <v>4148</v>
      </c>
    </row>
    <row r="153">
      <c r="A153" s="43" t="inlineStr">
        <is>
          <t>YoY</t>
        </is>
      </c>
      <c r="B153" s="3" t="inlineStr">
        <is>
          <t>전년 같은 분기·전년 대비</t>
        </is>
      </c>
      <c r="G153" s="15">
        <f>IF(OR(G152="",C152=""),"",IF(G152*C152&lt;=0,"",IFERROR(G152/C152-1,"")))</f>
        <v/>
      </c>
      <c r="H153" s="15">
        <f>IF(OR(H152="",D152=""),"",IF(H152*D152&lt;=0,"",IFERROR(H152/D152-1,"")))</f>
        <v/>
      </c>
      <c r="I153" s="15">
        <f>IF(OR(I152="",E152=""),"",IF(I152*E152&lt;=0,"",IFERROR(I152/E152-1,"")))</f>
        <v/>
      </c>
      <c r="J153" s="15">
        <f>IF(OR(J152="",F152=""),"",IF(J152*F152&lt;=0,"",IFERROR(J152/F152-1,"")))</f>
        <v/>
      </c>
      <c r="K153" s="15">
        <f>IF(OR(K152="",G152=""),"",IF(K152*G152&lt;=0,"",IFERROR(K152/G152-1,"")))</f>
        <v/>
      </c>
      <c r="L153" s="15">
        <f>IF(OR(L152="",H152=""),"",IF(L152*H152&lt;=0,"",IFERROR(L152/H152-1,"")))</f>
        <v/>
      </c>
      <c r="M153" s="15">
        <f>IF(OR(M152="",I152=""),"",IF(M152*I152&lt;=0,"",IFERROR(M152/I152-1,"")))</f>
        <v/>
      </c>
      <c r="N153" s="15">
        <f>IF(OR(N152="",J152=""),"",IF(N152*J152&lt;=0,"",IFERROR(N152/J152-1,"")))</f>
        <v/>
      </c>
      <c r="T153" s="15">
        <f>IF(OR(T152="",S152=""),"",IF(T152*S152&lt;=0,"",IFERROR(T152/S152-1,"")))</f>
        <v/>
      </c>
      <c r="U153" s="15">
        <f>IF(OR(U152="",T152=""),"",IF(U152*T152&lt;=0,"",IFERROR(U152/T152-1,"")))</f>
        <v/>
      </c>
      <c r="V153" s="15">
        <f>IF(OR(V152="",U152=""),"",IF(V152*U152&lt;=0,"",IFERROR(V152/U152-1,"")))</f>
        <v/>
      </c>
      <c r="W153" s="15">
        <f>IF(OR(W152="",V152=""),"",IF(W152*V152&lt;=0,"",IFERROR(W152/V152-1,"")))</f>
        <v/>
      </c>
      <c r="X153" s="15">
        <f>IF(OR(X152="",W152=""),"",IF(X152*W152&lt;=0,"",IFERROR(X152/W152-1,"")))</f>
        <v/>
      </c>
    </row>
    <row r="154">
      <c r="A154" s="9" t="inlineStr">
        <is>
          <t>순이익</t>
        </is>
      </c>
      <c r="C154" s="12" t="n">
        <v>777</v>
      </c>
      <c r="D154" s="12" t="n">
        <v>832</v>
      </c>
      <c r="E154" s="12" t="n">
        <v>1873</v>
      </c>
      <c r="F154" s="12" t="n">
        <v>549</v>
      </c>
      <c r="G154" s="12" t="n">
        <v>846</v>
      </c>
      <c r="H154" s="12" t="n">
        <v>588</v>
      </c>
      <c r="I154" s="12" t="n">
        <v>1024</v>
      </c>
      <c r="J154" s="12" t="n">
        <v>569</v>
      </c>
      <c r="K154" s="12" t="n">
        <v>1531</v>
      </c>
      <c r="L154" s="12" t="n">
        <v>10467</v>
      </c>
      <c r="M154" s="12" t="n">
        <v>989</v>
      </c>
      <c r="N154" s="12" t="n">
        <v>1533</v>
      </c>
      <c r="T154" s="12" t="n">
        <v>-259</v>
      </c>
      <c r="U154" s="12" t="n">
        <v>-2709</v>
      </c>
      <c r="V154" s="12" t="n">
        <v>832</v>
      </c>
      <c r="W154" s="12" t="n">
        <v>588</v>
      </c>
      <c r="X154" s="12" t="n">
        <v>10467</v>
      </c>
    </row>
    <row r="155">
      <c r="A155" s="43" t="inlineStr">
        <is>
          <t>YoY</t>
        </is>
      </c>
      <c r="B155" s="3" t="inlineStr">
        <is>
          <t>전년 같은 분기·전년 대비</t>
        </is>
      </c>
      <c r="G155" s="15">
        <f>IF(OR(G154="",C154=""),"",IF(C154&lt;=0,"",IFERROR(G154/C154-1,"")))</f>
        <v/>
      </c>
      <c r="H155" s="15">
        <f>IF(OR(H154="",D154=""),"",IF(D154&lt;=0,"",IFERROR(H154/D154-1,"")))</f>
        <v/>
      </c>
      <c r="I155" s="15">
        <f>IF(OR(I154="",E154=""),"",IF(E154&lt;=0,"",IFERROR(I154/E154-1,"")))</f>
        <v/>
      </c>
      <c r="J155" s="15">
        <f>IF(OR(J154="",F154=""),"",IF(F154&lt;=0,"",IFERROR(J154/F154-1,"")))</f>
        <v/>
      </c>
      <c r="K155" s="15">
        <f>IF(OR(K154="",G154=""),"",IF(G154&lt;=0,"",IFERROR(K154/G154-1,"")))</f>
        <v/>
      </c>
      <c r="L155" s="15">
        <f>IF(OR(L154="",H154=""),"",IF(H154&lt;=0,"",IFERROR(L154/H154-1,"")))</f>
        <v/>
      </c>
      <c r="M155" s="15">
        <f>IF(OR(M154="",I154=""),"",IF(I154&lt;=0,"",IFERROR(M154/I154-1,"")))</f>
        <v/>
      </c>
      <c r="N155" s="15">
        <f>IF(OR(N154="",J154=""),"",IF(J154&lt;=0,"",IFERROR(N154/J154-1,"")))</f>
        <v/>
      </c>
      <c r="T155" s="15">
        <f>IF(OR(T154="",S154=""),"",IF(S154&lt;=0,"",IFERROR(T154/S154-1,"")))</f>
        <v/>
      </c>
      <c r="U155" s="15">
        <f>IF(OR(U154="",T154=""),"",IF(T154&lt;=0,"",IFERROR(U154/T154-1,"")))</f>
        <v/>
      </c>
      <c r="V155" s="15">
        <f>IF(OR(V154="",U154=""),"",IF(U154&lt;=0,"",IFERROR(V154/U154-1,"")))</f>
        <v/>
      </c>
      <c r="W155" s="15">
        <f>IF(OR(W154="",V154=""),"",IF(V154&lt;=0,"",IFERROR(W154/V154-1,"")))</f>
        <v/>
      </c>
      <c r="X155" s="15">
        <f>IF(OR(X154="",W154=""),"",IF(W154&lt;=0,"",IFERROR(X154/W154-1,"")))</f>
        <v/>
      </c>
    </row>
    <row r="156">
      <c r="A156" s="9" t="inlineStr">
        <is>
          <t>비지배주주 순손익</t>
        </is>
      </c>
      <c r="C156" s="12" t="n">
        <v>0</v>
      </c>
      <c r="D156" s="12" t="n">
        <v>0</v>
      </c>
      <c r="E156" s="12" t="n">
        <v>0</v>
      </c>
      <c r="F156" s="12" t="n">
        <v>0</v>
      </c>
      <c r="G156" s="12" t="n">
        <v>-27</v>
      </c>
      <c r="H156" s="12" t="n">
        <v>93</v>
      </c>
      <c r="I156" s="12" t="n">
        <v>-54</v>
      </c>
      <c r="J156" s="12" t="n">
        <v>25</v>
      </c>
      <c r="K156" s="12" t="n">
        <v>56</v>
      </c>
      <c r="L156" s="12" t="n">
        <v>1271</v>
      </c>
      <c r="M156" s="12" t="n">
        <v>-204</v>
      </c>
      <c r="N156" s="12" t="n">
        <v>269</v>
      </c>
      <c r="T156" s="12" t="n">
        <v>13</v>
      </c>
      <c r="U156" s="12" t="n">
        <v>0</v>
      </c>
      <c r="V156" s="12" t="n">
        <v>0</v>
      </c>
      <c r="W156" s="12" t="n">
        <v>93</v>
      </c>
      <c r="X156" s="12" t="n">
        <v>1271</v>
      </c>
    </row>
    <row r="157">
      <c r="A157" s="9" t="inlineStr">
        <is>
          <t>지배주주 순이익</t>
        </is>
      </c>
      <c r="C157" s="12" t="n">
        <v>777</v>
      </c>
      <c r="D157" s="12" t="n">
        <v>832</v>
      </c>
      <c r="E157" s="12" t="n">
        <v>1873</v>
      </c>
      <c r="F157" s="12" t="n">
        <v>549</v>
      </c>
      <c r="G157" s="12" t="n">
        <v>874</v>
      </c>
      <c r="H157" s="12" t="n">
        <v>493</v>
      </c>
      <c r="I157" s="12" t="n">
        <v>1078</v>
      </c>
      <c r="J157" s="12" t="n">
        <v>545</v>
      </c>
      <c r="K157" s="12" t="n">
        <v>1474</v>
      </c>
      <c r="L157" s="12" t="n">
        <v>9196</v>
      </c>
      <c r="M157" s="12" t="n">
        <v>1194</v>
      </c>
      <c r="N157" s="12" t="n">
        <v>1262</v>
      </c>
      <c r="T157" s="12" t="n">
        <v>-273</v>
      </c>
      <c r="U157" s="12" t="n">
        <v>-2710</v>
      </c>
      <c r="V157" s="12" t="n">
        <v>832</v>
      </c>
      <c r="W157" s="12" t="n">
        <v>493</v>
      </c>
      <c r="X157" s="12" t="n">
        <v>9196</v>
      </c>
    </row>
    <row r="158">
      <c r="A158" s="43" t="inlineStr">
        <is>
          <t>YoY</t>
        </is>
      </c>
      <c r="B158" s="3" t="inlineStr">
        <is>
          <t>전년 같은 분기·전년 대비</t>
        </is>
      </c>
      <c r="G158" s="15">
        <f>IF(OR(G157="",C157=""),"",IF(C157&lt;=0,"",IFERROR(G157/C157-1,"")))</f>
        <v/>
      </c>
      <c r="H158" s="15">
        <f>IF(OR(H157="",D157=""),"",IF(D157&lt;=0,"",IFERROR(H157/D157-1,"")))</f>
        <v/>
      </c>
      <c r="I158" s="15">
        <f>IF(OR(I157="",E157=""),"",IF(E157&lt;=0,"",IFERROR(I157/E157-1,"")))</f>
        <v/>
      </c>
      <c r="J158" s="15">
        <f>IF(OR(J157="",F157=""),"",IF(F157&lt;=0,"",IFERROR(J157/F157-1,"")))</f>
        <v/>
      </c>
      <c r="K158" s="15">
        <f>IF(OR(K157="",G157=""),"",IF(G157&lt;=0,"",IFERROR(K157/G157-1,"")))</f>
        <v/>
      </c>
      <c r="L158" s="15">
        <f>IF(OR(L157="",H157=""),"",IF(H157&lt;=0,"",IFERROR(L157/H157-1,"")))</f>
        <v/>
      </c>
      <c r="M158" s="15">
        <f>IF(OR(M157="",I157=""),"",IF(I157&lt;=0,"",IFERROR(M157/I157-1,"")))</f>
        <v/>
      </c>
      <c r="N158" s="15">
        <f>IF(OR(N157="",J157=""),"",IF(J157&lt;=0,"",IFERROR(N157/J157-1,"")))</f>
        <v/>
      </c>
      <c r="T158" s="15">
        <f>IF(OR(T157="",S157=""),"",IF(S157&lt;=0,"",IFERROR(T157/S157-1,"")))</f>
        <v/>
      </c>
      <c r="U158" s="15">
        <f>IF(OR(U157="",T157=""),"",IF(T157&lt;=0,"",IFERROR(U157/T157-1,"")))</f>
        <v/>
      </c>
      <c r="V158" s="15">
        <f>IF(OR(V157="",U157=""),"",IF(U157&lt;=0,"",IFERROR(V157/U157-1,"")))</f>
        <v/>
      </c>
      <c r="W158" s="15">
        <f>IF(OR(W157="",V157=""),"",IF(V157&lt;=0,"",IFERROR(W157/V157-1,"")))</f>
        <v/>
      </c>
      <c r="X158" s="15">
        <f>IF(OR(X157="",W157=""),"",IF(W157&lt;=0,"",IFERROR(X157/W157-1,"")))</f>
        <v/>
      </c>
    </row>
    <row r="160">
      <c r="A160" s="16" t="inlineStr">
        <is>
          <t>포괄손익 · 전 항목</t>
        </is>
      </c>
      <c r="B160" s="42" t="inlineStr">
        <is>
          <t>분기 = 3개월 단독</t>
        </is>
      </c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</row>
    <row r="161">
      <c r="A161" s="5" t="inlineStr">
        <is>
          <t>항목</t>
        </is>
      </c>
      <c r="B161" s="5" t="inlineStr">
        <is>
          <t>참고</t>
        </is>
      </c>
      <c r="C161" s="5" t="inlineStr">
        <is>
          <t>2024.3Q</t>
        </is>
      </c>
      <c r="D161" s="5" t="inlineStr">
        <is>
          <t>2024.4Q</t>
        </is>
      </c>
      <c r="E161" s="5" t="inlineStr">
        <is>
          <t>2025.1Q</t>
        </is>
      </c>
      <c r="F161" s="5" t="inlineStr">
        <is>
          <t>2025.2Q</t>
        </is>
      </c>
      <c r="G161" s="5" t="inlineStr">
        <is>
          <t>2025.3Q</t>
        </is>
      </c>
      <c r="H161" s="5" t="inlineStr">
        <is>
          <t>2025.4Q</t>
        </is>
      </c>
      <c r="I161" s="5" t="inlineStr">
        <is>
          <t>2026.1Q</t>
        </is>
      </c>
      <c r="J161" s="5" t="inlineStr">
        <is>
          <t>2026.2Q</t>
        </is>
      </c>
      <c r="K161" s="5" t="inlineStr">
        <is>
          <t>2026.3Q</t>
        </is>
      </c>
      <c r="L161" s="5" t="inlineStr">
        <is>
          <t>2026.4Q</t>
        </is>
      </c>
      <c r="M161" s="5" t="inlineStr">
        <is>
          <t>2027.1Q</t>
        </is>
      </c>
      <c r="N161" s="5" t="inlineStr">
        <is>
          <t>2027.2Q</t>
        </is>
      </c>
      <c r="O161" s="5" t="inlineStr">
        <is>
          <t>2017</t>
        </is>
      </c>
      <c r="P161" s="5" t="inlineStr">
        <is>
          <t>2018</t>
        </is>
      </c>
      <c r="Q161" s="5" t="inlineStr">
        <is>
          <t>2019</t>
        </is>
      </c>
      <c r="R161" s="5" t="inlineStr">
        <is>
          <t>2020</t>
        </is>
      </c>
      <c r="S161" s="5" t="inlineStr">
        <is>
          <t>2021</t>
        </is>
      </c>
      <c r="T161" s="5" t="inlineStr">
        <is>
          <t>2022</t>
        </is>
      </c>
      <c r="U161" s="5" t="inlineStr">
        <is>
          <t>2023</t>
        </is>
      </c>
      <c r="V161" s="5" t="inlineStr">
        <is>
          <t>2024</t>
        </is>
      </c>
      <c r="W161" s="5" t="inlineStr">
        <is>
          <t>2025</t>
        </is>
      </c>
      <c r="X161" s="5" t="inlineStr">
        <is>
          <t>2026</t>
        </is>
      </c>
      <c r="Y161" s="5" t="inlineStr">
        <is>
          <t>2027(MW)</t>
        </is>
      </c>
      <c r="Z161" s="5" t="inlineStr">
        <is>
          <t>2028(MW)</t>
        </is>
      </c>
      <c r="AA161" s="5" t="inlineStr">
        <is>
          <t>2029(MW)</t>
        </is>
      </c>
      <c r="AB161" s="5" t="inlineStr">
        <is>
          <t>2030(MW)</t>
        </is>
      </c>
      <c r="AC161" s="5" t="inlineStr">
        <is>
          <t>2031(MW)</t>
        </is>
      </c>
    </row>
    <row r="162">
      <c r="A162" s="9" t="inlineStr">
        <is>
          <t>순이익</t>
        </is>
      </c>
      <c r="C162" s="12" t="n">
        <v>777</v>
      </c>
      <c r="D162" s="12" t="n">
        <v>832</v>
      </c>
      <c r="E162" s="12" t="n">
        <v>1873</v>
      </c>
      <c r="F162" s="12" t="n">
        <v>549</v>
      </c>
      <c r="G162" s="12" t="n">
        <v>846</v>
      </c>
      <c r="H162" s="12" t="n">
        <v>588</v>
      </c>
      <c r="I162" s="12" t="n">
        <v>1024</v>
      </c>
      <c r="J162" s="12" t="n">
        <v>569</v>
      </c>
      <c r="K162" s="12" t="n">
        <v>1531</v>
      </c>
      <c r="L162" s="12" t="n">
        <v>10467</v>
      </c>
      <c r="M162" s="12" t="n">
        <v>989</v>
      </c>
      <c r="N162" s="12" t="n">
        <v>1533</v>
      </c>
      <c r="T162" s="12" t="n">
        <v>-259</v>
      </c>
      <c r="U162" s="12" t="n">
        <v>-2709</v>
      </c>
      <c r="V162" s="12" t="n">
        <v>832</v>
      </c>
      <c r="W162" s="12" t="n">
        <v>588</v>
      </c>
      <c r="X162" s="12" t="n">
        <v>10467</v>
      </c>
    </row>
    <row r="163">
      <c r="A163" s="18" t="inlineStr">
        <is>
          <t>기타유가증권 평가차액</t>
        </is>
      </c>
      <c r="C163" s="20" t="n">
        <v>-156</v>
      </c>
      <c r="D163" s="20" t="n">
        <v>94</v>
      </c>
      <c r="E163" s="20" t="n">
        <v>-219</v>
      </c>
      <c r="F163" s="20" t="n">
        <v>688</v>
      </c>
      <c r="G163" s="20" t="n">
        <v>-416</v>
      </c>
      <c r="H163" s="20" t="n">
        <v>175</v>
      </c>
      <c r="I163" s="20" t="n">
        <v>69</v>
      </c>
      <c r="J163" s="20" t="n">
        <v>17</v>
      </c>
      <c r="K163" s="20" t="n">
        <v>64</v>
      </c>
      <c r="L163" s="20" t="n">
        <v>148</v>
      </c>
      <c r="M163" s="20" t="n">
        <v>-284</v>
      </c>
      <c r="N163" s="20" t="n">
        <v>38</v>
      </c>
      <c r="T163" s="20" t="n">
        <v>34</v>
      </c>
      <c r="U163" s="20" t="n">
        <v>-6</v>
      </c>
      <c r="V163" s="20" t="n">
        <v>94</v>
      </c>
      <c r="W163" s="20" t="n">
        <v>175</v>
      </c>
      <c r="X163" s="20" t="n">
        <v>148</v>
      </c>
    </row>
    <row r="164">
      <c r="A164" s="18" t="inlineStr">
        <is>
          <t>이연헤지손익</t>
        </is>
      </c>
      <c r="C164" s="20" t="n">
        <v>2</v>
      </c>
      <c r="D164" s="20" t="n">
        <v>0</v>
      </c>
      <c r="E164" s="20" t="n">
        <v>12</v>
      </c>
      <c r="F164" s="20" t="n">
        <v>-5</v>
      </c>
      <c r="G164" s="20" t="n">
        <v>5</v>
      </c>
      <c r="H164" s="20" t="n">
        <v>9</v>
      </c>
      <c r="I164" s="20" t="n">
        <v>1</v>
      </c>
      <c r="J164" s="20" t="n">
        <v>3</v>
      </c>
      <c r="K164" s="20" t="n">
        <v>5</v>
      </c>
      <c r="L164" s="20" t="n">
        <v>14</v>
      </c>
      <c r="M164" s="20" t="n">
        <v>5</v>
      </c>
      <c r="N164" s="20" t="n">
        <v>6</v>
      </c>
      <c r="T164" s="20" t="n">
        <v>28</v>
      </c>
      <c r="U164" s="20" t="n">
        <v>2</v>
      </c>
      <c r="V164" s="20" t="n">
        <v>0</v>
      </c>
      <c r="W164" s="20" t="n">
        <v>9</v>
      </c>
      <c r="X164" s="20" t="n">
        <v>14</v>
      </c>
    </row>
    <row r="165">
      <c r="A165" s="18" t="inlineStr">
        <is>
          <t>해외사업환산조정</t>
        </is>
      </c>
      <c r="C165" s="20" t="n">
        <v>-12</v>
      </c>
      <c r="D165" s="20" t="n">
        <v>20</v>
      </c>
      <c r="E165" s="20" t="n">
        <v>-25</v>
      </c>
      <c r="F165" s="20" t="n">
        <v>-25</v>
      </c>
      <c r="G165" s="20" t="n">
        <v>48</v>
      </c>
      <c r="H165" s="20" t="n">
        <v>-41</v>
      </c>
      <c r="I165" s="20" t="n">
        <v>33</v>
      </c>
      <c r="J165" s="20" t="n">
        <v>17</v>
      </c>
      <c r="K165" s="20" t="n">
        <v>-16</v>
      </c>
      <c r="L165" s="20" t="n">
        <v>-37</v>
      </c>
      <c r="M165" s="20" t="n">
        <v>-9</v>
      </c>
      <c r="N165" s="20" t="n">
        <v>-11</v>
      </c>
      <c r="T165" s="20" t="n">
        <v>57</v>
      </c>
      <c r="U165" s="20" t="n">
        <v>-278</v>
      </c>
      <c r="V165" s="20" t="n">
        <v>20</v>
      </c>
      <c r="W165" s="20" t="n">
        <v>-41</v>
      </c>
      <c r="X165" s="20" t="n">
        <v>-37</v>
      </c>
    </row>
    <row r="166">
      <c r="A166" s="18" t="inlineStr">
        <is>
          <t>퇴직급여 조정액</t>
        </is>
      </c>
      <c r="E166" s="20" t="n">
        <v>0</v>
      </c>
      <c r="F166" s="20" t="n">
        <v>0</v>
      </c>
      <c r="G166" s="20" t="n">
        <v>0</v>
      </c>
      <c r="H166" s="20" t="n">
        <v>-1</v>
      </c>
      <c r="I166" s="20" t="n">
        <v>1</v>
      </c>
      <c r="J166" s="20" t="n">
        <v>0</v>
      </c>
      <c r="K166" s="20" t="n">
        <v>0</v>
      </c>
      <c r="L166" s="20" t="n">
        <v>76</v>
      </c>
      <c r="M166" s="20" t="n">
        <v>-2</v>
      </c>
      <c r="N166" s="20" t="n">
        <v>-2</v>
      </c>
      <c r="W166" s="20" t="n">
        <v>-1</v>
      </c>
      <c r="X166" s="20" t="n">
        <v>76</v>
      </c>
    </row>
    <row r="167">
      <c r="A167" s="18" t="inlineStr">
        <is>
          <t>지분법 적용회사 지분 해당액</t>
        </is>
      </c>
      <c r="D167" s="20" t="n">
        <v>-2</v>
      </c>
      <c r="E167" s="20" t="n">
        <v>14</v>
      </c>
      <c r="H167" s="20" t="n">
        <v>-5</v>
      </c>
      <c r="I167" s="20" t="n">
        <v>0</v>
      </c>
      <c r="J167" s="20" t="n">
        <v>0</v>
      </c>
      <c r="K167" s="20" t="n">
        <v>0</v>
      </c>
      <c r="L167" s="20" t="n">
        <v>0</v>
      </c>
      <c r="U167" s="20" t="n">
        <v>0</v>
      </c>
      <c r="V167" s="20" t="n">
        <v>-2</v>
      </c>
      <c r="W167" s="20" t="n">
        <v>-5</v>
      </c>
      <c r="X167" s="20" t="n">
        <v>0</v>
      </c>
    </row>
    <row r="168">
      <c r="A168" s="18" t="inlineStr">
        <is>
          <t>기타포괄손익 합계</t>
        </is>
      </c>
      <c r="C168" s="20" t="n">
        <v>-165</v>
      </c>
      <c r="D168" s="20" t="n">
        <v>112</v>
      </c>
      <c r="E168" s="20" t="n">
        <v>-217</v>
      </c>
      <c r="F168" s="20" t="n">
        <v>643</v>
      </c>
      <c r="G168" s="20" t="n">
        <v>-357</v>
      </c>
      <c r="H168" s="20" t="n">
        <v>135</v>
      </c>
      <c r="I168" s="20" t="n">
        <v>105</v>
      </c>
      <c r="J168" s="20" t="n">
        <v>37</v>
      </c>
      <c r="K168" s="20" t="n">
        <v>54</v>
      </c>
      <c r="L168" s="20" t="n">
        <v>198</v>
      </c>
      <c r="M168" s="20" t="n">
        <v>-290</v>
      </c>
      <c r="N168" s="20" t="n">
        <v>31</v>
      </c>
      <c r="T168" s="20" t="n">
        <v>119</v>
      </c>
      <c r="U168" s="20" t="n">
        <v>-282</v>
      </c>
      <c r="V168" s="20" t="n">
        <v>112</v>
      </c>
      <c r="W168" s="20" t="n">
        <v>135</v>
      </c>
      <c r="X168" s="20" t="n">
        <v>198</v>
      </c>
    </row>
    <row r="169">
      <c r="A169" s="9" t="inlineStr">
        <is>
          <t>포괄이익</t>
        </is>
      </c>
      <c r="C169" s="12" t="n">
        <v>612</v>
      </c>
      <c r="D169" s="12" t="n">
        <v>943</v>
      </c>
      <c r="E169" s="12" t="n">
        <v>1655</v>
      </c>
      <c r="F169" s="12" t="n">
        <v>1194</v>
      </c>
      <c r="G169" s="12" t="n">
        <v>488</v>
      </c>
      <c r="H169" s="12" t="n">
        <v>723</v>
      </c>
      <c r="I169" s="12" t="n">
        <v>1130</v>
      </c>
      <c r="J169" s="12" t="n">
        <v>605</v>
      </c>
      <c r="K169" s="12" t="n">
        <v>1586</v>
      </c>
      <c r="L169" s="12" t="n">
        <v>10665</v>
      </c>
      <c r="M169" s="12" t="n">
        <v>699</v>
      </c>
      <c r="N169" s="12" t="n">
        <v>1563</v>
      </c>
      <c r="T169" s="12" t="n">
        <v>-140</v>
      </c>
      <c r="U169" s="12" t="n">
        <v>-2993</v>
      </c>
      <c r="V169" s="12" t="n">
        <v>943</v>
      </c>
      <c r="W169" s="12" t="n">
        <v>723</v>
      </c>
      <c r="X169" s="12" t="n">
        <v>10665</v>
      </c>
    </row>
    <row r="170">
      <c r="A170" s="9" t="inlineStr">
        <is>
          <t>지배주주 포괄이익</t>
        </is>
      </c>
      <c r="C170" s="12" t="n">
        <v>612</v>
      </c>
      <c r="D170" s="12" t="n">
        <v>943</v>
      </c>
      <c r="E170" s="12" t="n">
        <v>1655</v>
      </c>
      <c r="F170" s="12" t="n">
        <v>1194</v>
      </c>
      <c r="G170" s="12" t="n">
        <v>546</v>
      </c>
      <c r="H170" s="12" t="n">
        <v>597</v>
      </c>
      <c r="I170" s="12" t="n">
        <v>1179</v>
      </c>
      <c r="J170" s="12" t="n">
        <v>582</v>
      </c>
      <c r="K170" s="12" t="n">
        <v>1531</v>
      </c>
      <c r="L170" s="12" t="n">
        <v>9362</v>
      </c>
      <c r="M170" s="12" t="n">
        <v>904</v>
      </c>
      <c r="N170" s="12" t="n">
        <v>1301</v>
      </c>
      <c r="T170" s="12" t="n">
        <v>-154</v>
      </c>
      <c r="U170" s="12" t="n">
        <v>-2992</v>
      </c>
      <c r="V170" s="12" t="n">
        <v>943</v>
      </c>
      <c r="W170" s="12" t="n">
        <v>597</v>
      </c>
      <c r="X170" s="12" t="n">
        <v>9362</v>
      </c>
    </row>
    <row r="171">
      <c r="A171" s="9" t="inlineStr">
        <is>
          <t>비지배주주 포괄이익</t>
        </is>
      </c>
      <c r="C171" s="12" t="n">
        <v>0</v>
      </c>
      <c r="D171" s="12" t="n">
        <v>0</v>
      </c>
      <c r="E171" s="12" t="n">
        <v>0</v>
      </c>
      <c r="F171" s="12" t="n">
        <v>0</v>
      </c>
      <c r="G171" s="12" t="n">
        <v>-58</v>
      </c>
      <c r="H171" s="12" t="n">
        <v>125</v>
      </c>
      <c r="I171" s="12" t="n">
        <v>-49</v>
      </c>
      <c r="J171" s="12" t="n">
        <v>23</v>
      </c>
      <c r="K171" s="12" t="n">
        <v>54</v>
      </c>
      <c r="L171" s="12" t="n">
        <v>1303</v>
      </c>
      <c r="M171" s="12" t="n">
        <v>-205</v>
      </c>
      <c r="N171" s="12" t="n">
        <v>261</v>
      </c>
      <c r="T171" s="12" t="n">
        <v>13</v>
      </c>
      <c r="U171" s="12" t="n">
        <v>0</v>
      </c>
      <c r="V171" s="12" t="n">
        <v>0</v>
      </c>
      <c r="W171" s="12" t="n">
        <v>125</v>
      </c>
      <c r="X171" s="12" t="n">
        <v>1303</v>
      </c>
    </row>
    <row r="173">
      <c r="A173" s="16" t="inlineStr">
        <is>
          <t>부문 · 전 항목</t>
        </is>
      </c>
      <c r="B173" s="42" t="inlineStr">
        <is>
          <t>부문 · 항목</t>
        </is>
      </c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6" t="n"/>
      <c r="AC173" s="16" t="n"/>
    </row>
    <row r="174">
      <c r="A174" s="5" t="inlineStr">
        <is>
          <t>항목</t>
        </is>
      </c>
      <c r="B174" s="5" t="inlineStr">
        <is>
          <t>참고</t>
        </is>
      </c>
      <c r="C174" s="5" t="inlineStr">
        <is>
          <t>2024.3Q</t>
        </is>
      </c>
      <c r="D174" s="5" t="inlineStr">
        <is>
          <t>2024.4Q</t>
        </is>
      </c>
      <c r="E174" s="5" t="inlineStr">
        <is>
          <t>2025.1Q</t>
        </is>
      </c>
      <c r="F174" s="5" t="inlineStr">
        <is>
          <t>2025.2Q</t>
        </is>
      </c>
      <c r="G174" s="5" t="inlineStr">
        <is>
          <t>2025.3Q</t>
        </is>
      </c>
      <c r="H174" s="5" t="inlineStr">
        <is>
          <t>2025.4Q</t>
        </is>
      </c>
      <c r="I174" s="5" t="inlineStr">
        <is>
          <t>2026.1Q</t>
        </is>
      </c>
      <c r="J174" s="5" t="inlineStr">
        <is>
          <t>2026.2Q</t>
        </is>
      </c>
      <c r="K174" s="5" t="inlineStr">
        <is>
          <t>2026.3Q</t>
        </is>
      </c>
      <c r="L174" s="5" t="inlineStr">
        <is>
          <t>2026.4Q</t>
        </is>
      </c>
      <c r="M174" s="5" t="inlineStr">
        <is>
          <t>2027.1Q</t>
        </is>
      </c>
      <c r="N174" s="5" t="inlineStr">
        <is>
          <t>2027.2Q</t>
        </is>
      </c>
      <c r="O174" s="5" t="inlineStr">
        <is>
          <t>2017</t>
        </is>
      </c>
      <c r="P174" s="5" t="inlineStr">
        <is>
          <t>2018</t>
        </is>
      </c>
      <c r="Q174" s="5" t="inlineStr">
        <is>
          <t>2019</t>
        </is>
      </c>
      <c r="R174" s="5" t="inlineStr">
        <is>
          <t>2020</t>
        </is>
      </c>
      <c r="S174" s="5" t="inlineStr">
        <is>
          <t>2021</t>
        </is>
      </c>
      <c r="T174" s="5" t="inlineStr">
        <is>
          <t>2022</t>
        </is>
      </c>
      <c r="U174" s="5" t="inlineStr">
        <is>
          <t>2023</t>
        </is>
      </c>
      <c r="V174" s="5" t="inlineStr">
        <is>
          <t>2024</t>
        </is>
      </c>
      <c r="W174" s="5" t="inlineStr">
        <is>
          <t>2025</t>
        </is>
      </c>
      <c r="X174" s="5" t="inlineStr">
        <is>
          <t>2026</t>
        </is>
      </c>
      <c r="Y174" s="5" t="inlineStr">
        <is>
          <t>2027(MW)</t>
        </is>
      </c>
      <c r="Z174" s="5" t="inlineStr">
        <is>
          <t>2028(MW)</t>
        </is>
      </c>
      <c r="AA174" s="5" t="inlineStr">
        <is>
          <t>2029(MW)</t>
        </is>
      </c>
      <c r="AB174" s="5" t="inlineStr">
        <is>
          <t>2030(MW)</t>
        </is>
      </c>
      <c r="AC174" s="5" t="inlineStr">
        <is>
          <t>2031(MW)</t>
        </is>
      </c>
    </row>
    <row r="175">
      <c r="A175" s="18" t="inlineStr">
        <is>
          <t>공간재생 유통 사업 · 외부 고객 매출</t>
        </is>
      </c>
      <c r="H175" s="20" t="n">
        <v>10658</v>
      </c>
      <c r="I175" s="20" t="n">
        <v>12512</v>
      </c>
      <c r="J175" s="20" t="n">
        <v>12433</v>
      </c>
      <c r="K175" s="20" t="n">
        <v>14387</v>
      </c>
      <c r="L175" s="20" t="n">
        <v>12894</v>
      </c>
      <c r="M175" s="20" t="n">
        <v>15060</v>
      </c>
      <c r="N175" s="20" t="n">
        <v>14398</v>
      </c>
      <c r="W175" s="20" t="n">
        <v>10658</v>
      </c>
      <c r="X175" s="20" t="n">
        <v>12894</v>
      </c>
    </row>
    <row r="176">
      <c r="A176" s="43" t="inlineStr">
        <is>
          <t>YoY</t>
        </is>
      </c>
      <c r="B176" s="3" t="inlineStr">
        <is>
          <t>전년 같은 분기·전년 대비</t>
        </is>
      </c>
      <c r="H176" s="15">
        <f>IF(OR(H175="",D175=""),"",IF(D175&lt;=0,"",IFERROR(H175/D175-1,"")))</f>
        <v/>
      </c>
      <c r="I176" s="15">
        <f>IF(OR(I175="",E175=""),"",IF(E175&lt;=0,"",IFERROR(I175/E175-1,"")))</f>
        <v/>
      </c>
      <c r="J176" s="15">
        <f>IF(OR(J175="",F175=""),"",IF(F175&lt;=0,"",IFERROR(J175/F175-1,"")))</f>
        <v/>
      </c>
      <c r="K176" s="15">
        <f>IF(OR(K175="",G175=""),"",IF(G175&lt;=0,"",IFERROR(K175/G175-1,"")))</f>
        <v/>
      </c>
      <c r="L176" s="15">
        <f>IF(OR(L175="",H175=""),"",IF(H175&lt;=0,"",IFERROR(L175/H175-1,"")))</f>
        <v/>
      </c>
      <c r="M176" s="15">
        <f>IF(OR(M175="",I175=""),"",IF(I175&lt;=0,"",IFERROR(M175/I175-1,"")))</f>
        <v/>
      </c>
      <c r="N176" s="15">
        <f>IF(OR(N175="",J175=""),"",IF(J175&lt;=0,"",IFERROR(N175/J175-1,"")))</f>
        <v/>
      </c>
      <c r="W176" s="15">
        <f>IF(OR(W175="",V175=""),"",IF(V175&lt;=0,"",IFERROR(W175/V175-1,"")))</f>
        <v/>
      </c>
      <c r="X176" s="15">
        <f>IF(OR(X175="",W175=""),"",IF(W175&lt;=0,"",IFERROR(X175/W175-1,"")))</f>
        <v/>
      </c>
    </row>
    <row r="177">
      <c r="A177" s="18" t="inlineStr">
        <is>
          <t>리리카라 사업 · 외부 고객 매출</t>
        </is>
      </c>
      <c r="H177" s="20" t="n">
        <v>8420</v>
      </c>
      <c r="W177" s="20" t="n">
        <v>8420</v>
      </c>
    </row>
    <row r="178">
      <c r="A178" s="43" t="inlineStr">
        <is>
          <t>YoY</t>
        </is>
      </c>
      <c r="B178" s="3" t="inlineStr">
        <is>
          <t>전년 같은 분기·전년 대비</t>
        </is>
      </c>
      <c r="H178" s="15">
        <f>IF(OR(H177="",D177=""),"",IF(D177&lt;=0,"",IFERROR(H177/D177-1,"")))</f>
        <v/>
      </c>
      <c r="W178" s="15">
        <f>IF(OR(W177="",V177=""),"",IF(V177&lt;=0,"",IFERROR(W177/V177-1,"")))</f>
        <v/>
      </c>
    </row>
    <row r="179">
      <c r="A179" s="18" t="inlineStr">
        <is>
          <t>리리카라 사업 · 외부 고객 매출</t>
        </is>
      </c>
      <c r="I179" s="20" t="n">
        <v>7794</v>
      </c>
      <c r="J179" s="20" t="n">
        <v>7460</v>
      </c>
      <c r="M179" s="20" t="n">
        <v>8007</v>
      </c>
      <c r="N179" s="20" t="n">
        <v>8325</v>
      </c>
    </row>
    <row r="180">
      <c r="A180" s="43" t="inlineStr">
        <is>
          <t>YoY</t>
        </is>
      </c>
      <c r="B180" s="3" t="inlineStr">
        <is>
          <t>전년 같은 분기·전년 대비</t>
        </is>
      </c>
      <c r="I180" s="15">
        <f>IF(OR(I179="",E179=""),"",IF(E179&lt;=0,"",IFERROR(I179/E179-1,"")))</f>
        <v/>
      </c>
      <c r="J180" s="15">
        <f>IF(OR(J179="",F179=""),"",IF(F179&lt;=0,"",IFERROR(J179/F179-1,"")))</f>
        <v/>
      </c>
      <c r="M180" s="15">
        <f>IF(OR(M179="",I179=""),"",IF(I179&lt;=0,"",IFERROR(M179/I179-1,"")))</f>
        <v/>
      </c>
      <c r="N180" s="15">
        <f>IF(OR(N179="",J179=""),"",IF(J179&lt;=0,"",IFERROR(N179/J179-1,"")))</f>
        <v/>
      </c>
    </row>
    <row r="181">
      <c r="A181" s="18" t="inlineStr">
        <is>
          <t>노바레제 사업 · 외부 고객 매출</t>
        </is>
      </c>
      <c r="I181" s="20" t="n">
        <v>4158</v>
      </c>
      <c r="J181" s="20" t="n">
        <v>5540</v>
      </c>
    </row>
    <row r="182">
      <c r="A182" s="43" t="inlineStr">
        <is>
          <t>YoY</t>
        </is>
      </c>
      <c r="B182" s="3" t="inlineStr">
        <is>
          <t>전년 같은 분기·전년 대비</t>
        </is>
      </c>
      <c r="I182" s="15">
        <f>IF(OR(I181="",E181=""),"",IF(E181&lt;=0,"",IFERROR(I181/E181-1,"")))</f>
        <v/>
      </c>
      <c r="J182" s="15">
        <f>IF(OR(J181="",F181=""),"",IF(F181&lt;=0,"",IFERROR(J181/F181-1,"")))</f>
        <v/>
      </c>
    </row>
    <row r="183">
      <c r="A183" s="18" t="inlineStr">
        <is>
          <t>노바레제·에스쿠리 사업 · 외부 고객 매출</t>
        </is>
      </c>
      <c r="L183" s="20" t="n">
        <v>14923</v>
      </c>
      <c r="X183" s="20" t="n">
        <v>14923</v>
      </c>
    </row>
    <row r="184">
      <c r="A184" s="43" t="inlineStr">
        <is>
          <t>YoY</t>
        </is>
      </c>
      <c r="B184" s="3" t="inlineStr">
        <is>
          <t>전년 같은 분기·전년 대비</t>
        </is>
      </c>
      <c r="L184" s="15">
        <f>IF(OR(L183="",H183=""),"",IF(H183&lt;=0,"",IFERROR(L183/H183-1,"")))</f>
        <v/>
      </c>
      <c r="X184" s="15">
        <f>IF(OR(X183="",W183=""),"",IF(W183&lt;=0,"",IFERROR(X183/W183-1,"")))</f>
        <v/>
      </c>
    </row>
    <row r="185">
      <c r="A185" s="18" t="inlineStr">
        <is>
          <t>온더페이지 사업 · 외부 고객 매출</t>
        </is>
      </c>
      <c r="I185" s="20" t="n">
        <v>4158</v>
      </c>
      <c r="J185" s="20" t="n">
        <v>5540</v>
      </c>
      <c r="M185" s="20" t="n">
        <v>11541</v>
      </c>
      <c r="N185" s="20" t="n">
        <v>12070</v>
      </c>
    </row>
    <row r="186">
      <c r="A186" s="43" t="inlineStr">
        <is>
          <t>YoY</t>
        </is>
      </c>
      <c r="B186" s="3" t="inlineStr">
        <is>
          <t>전년 같은 분기·전년 대비</t>
        </is>
      </c>
      <c r="I186" s="15">
        <f>IF(OR(I185="",E185=""),"",IF(E185&lt;=0,"",IFERROR(I185/E185-1,"")))</f>
        <v/>
      </c>
      <c r="J186" s="15">
        <f>IF(OR(J185="",F185=""),"",IF(F185&lt;=0,"",IFERROR(J185/F185-1,"")))</f>
        <v/>
      </c>
      <c r="M186" s="15">
        <f>IF(OR(M185="",I185=""),"",IF(I185&lt;=0,"",IFERROR(M185/I185-1,"")))</f>
        <v/>
      </c>
      <c r="N186" s="15">
        <f>IF(OR(N185="",J185=""),"",IF(J185&lt;=0,"",IFERROR(N185/J185-1,"")))</f>
        <v/>
      </c>
    </row>
    <row r="187">
      <c r="A187" s="18" t="inlineStr">
        <is>
          <t>합계 · 외부 고객 매출</t>
        </is>
      </c>
      <c r="H187" s="20" t="n">
        <v>19078</v>
      </c>
      <c r="I187" s="20" t="n">
        <v>24465</v>
      </c>
      <c r="J187" s="20" t="n">
        <v>25433</v>
      </c>
      <c r="K187" s="20" t="n">
        <v>27087</v>
      </c>
      <c r="L187" s="20" t="n">
        <v>37372</v>
      </c>
      <c r="M187" s="20" t="n">
        <v>34609</v>
      </c>
      <c r="N187" s="20" t="n">
        <v>34794</v>
      </c>
      <c r="W187" s="20" t="n">
        <v>19078</v>
      </c>
      <c r="X187" s="20" t="n">
        <v>37372</v>
      </c>
    </row>
    <row r="188">
      <c r="A188" s="43" t="inlineStr">
        <is>
          <t>YoY</t>
        </is>
      </c>
      <c r="B188" s="3" t="inlineStr">
        <is>
          <t>전년 같은 분기·전년 대비</t>
        </is>
      </c>
      <c r="H188" s="15">
        <f>IF(OR(H187="",D187=""),"",IF(D187&lt;=0,"",IFERROR(H187/D187-1,"")))</f>
        <v/>
      </c>
      <c r="I188" s="15">
        <f>IF(OR(I187="",E187=""),"",IF(E187&lt;=0,"",IFERROR(I187/E187-1,"")))</f>
        <v/>
      </c>
      <c r="J188" s="15">
        <f>IF(OR(J187="",F187=""),"",IF(F187&lt;=0,"",IFERROR(J187/F187-1,"")))</f>
        <v/>
      </c>
      <c r="K188" s="15">
        <f>IF(OR(K187="",G187=""),"",IF(G187&lt;=0,"",IFERROR(K187/G187-1,"")))</f>
        <v/>
      </c>
      <c r="L188" s="15">
        <f>IF(OR(L187="",H187=""),"",IF(H187&lt;=0,"",IFERROR(L187/H187-1,"")))</f>
        <v/>
      </c>
      <c r="M188" s="15">
        <f>IF(OR(M187="",I187=""),"",IF(I187&lt;=0,"",IFERROR(M187/I187-1,"")))</f>
        <v/>
      </c>
      <c r="N188" s="15">
        <f>IF(OR(N187="",J187=""),"",IF(J187&lt;=0,"",IFERROR(N187/J187-1,"")))</f>
        <v/>
      </c>
      <c r="W188" s="15">
        <f>IF(OR(W187="",V187=""),"",IF(V187&lt;=0,"",IFERROR(W187/V187-1,"")))</f>
        <v/>
      </c>
      <c r="X188" s="15">
        <f>IF(OR(X187="",W187=""),"",IF(W187&lt;=0,"",IFERROR(X187/W187-1,"")))</f>
        <v/>
      </c>
    </row>
    <row r="189">
      <c r="A189" s="18" t="inlineStr">
        <is>
          <t>조정액 · 외부 고객 매출</t>
        </is>
      </c>
      <c r="H189" s="20" t="n">
        <v>0</v>
      </c>
      <c r="I189" s="20" t="n">
        <v>0</v>
      </c>
      <c r="J189" s="20" t="n">
        <v>0</v>
      </c>
      <c r="K189" s="20" t="n">
        <v>0</v>
      </c>
      <c r="L189" s="20" t="n">
        <v>0</v>
      </c>
      <c r="M189" s="20" t="n">
        <v>0</v>
      </c>
      <c r="N189" s="20" t="n">
        <v>0</v>
      </c>
      <c r="W189" s="20" t="n">
        <v>0</v>
      </c>
      <c r="X189" s="20" t="n">
        <v>0</v>
      </c>
    </row>
    <row r="190">
      <c r="A190" s="9" t="inlineStr">
        <is>
          <t>외부 고객 매출</t>
        </is>
      </c>
      <c r="H190" s="12" t="n">
        <v>19078</v>
      </c>
      <c r="I190" s="12" t="n">
        <v>24465</v>
      </c>
      <c r="J190" s="12" t="n">
        <v>25433</v>
      </c>
      <c r="K190" s="12" t="n">
        <v>27087</v>
      </c>
      <c r="L190" s="12" t="n">
        <v>37372</v>
      </c>
      <c r="M190" s="12" t="n">
        <v>34609</v>
      </c>
      <c r="N190" s="12" t="n">
        <v>34794</v>
      </c>
      <c r="W190" s="12" t="n">
        <v>19078</v>
      </c>
      <c r="X190" s="12" t="n">
        <v>37372</v>
      </c>
    </row>
    <row r="191">
      <c r="A191" s="43" t="inlineStr">
        <is>
          <t>YoY</t>
        </is>
      </c>
      <c r="B191" s="3" t="inlineStr">
        <is>
          <t>전년 같은 분기·전년 대비</t>
        </is>
      </c>
      <c r="H191" s="15">
        <f>IF(OR(H190="",D190=""),"",IF(D190&lt;=0,"",IFERROR(H190/D190-1,"")))</f>
        <v/>
      </c>
      <c r="I191" s="15">
        <f>IF(OR(I190="",E190=""),"",IF(E190&lt;=0,"",IFERROR(I190/E190-1,"")))</f>
        <v/>
      </c>
      <c r="J191" s="15">
        <f>IF(OR(J190="",F190=""),"",IF(F190&lt;=0,"",IFERROR(J190/F190-1,"")))</f>
        <v/>
      </c>
      <c r="K191" s="15">
        <f>IF(OR(K190="",G190=""),"",IF(G190&lt;=0,"",IFERROR(K190/G190-1,"")))</f>
        <v/>
      </c>
      <c r="L191" s="15">
        <f>IF(OR(L190="",H190=""),"",IF(H190&lt;=0,"",IFERROR(L190/H190-1,"")))</f>
        <v/>
      </c>
      <c r="M191" s="15">
        <f>IF(OR(M190="",I190=""),"",IF(I190&lt;=0,"",IFERROR(M190/I190-1,"")))</f>
        <v/>
      </c>
      <c r="N191" s="15">
        <f>IF(OR(N190="",J190=""),"",IF(J190&lt;=0,"",IFERROR(N190/J190-1,"")))</f>
        <v/>
      </c>
      <c r="W191" s="15">
        <f>IF(OR(W190="",V190=""),"",IF(V190&lt;=0,"",IFERROR(W190/V190-1,"")))</f>
        <v/>
      </c>
      <c r="X191" s="15">
        <f>IF(OR(X190="",W190=""),"",IF(W190&lt;=0,"",IFERROR(X190/W190-1,"")))</f>
        <v/>
      </c>
    </row>
    <row r="192">
      <c r="A192" s="18" t="inlineStr">
        <is>
          <t>공간재생 유통 사업 · 부문 간 내부매출·대체</t>
        </is>
      </c>
      <c r="H192" s="20" t="n">
        <v>0</v>
      </c>
      <c r="I192" s="20" t="n">
        <v>5</v>
      </c>
      <c r="J192" s="20" t="n">
        <v>19</v>
      </c>
      <c r="K192" s="20" t="n">
        <v>2</v>
      </c>
      <c r="L192" s="20" t="n">
        <v>25</v>
      </c>
      <c r="M192" s="20" t="n">
        <v>28</v>
      </c>
      <c r="N192" s="20" t="n">
        <v>23</v>
      </c>
      <c r="W192" s="20" t="n">
        <v>0</v>
      </c>
      <c r="X192" s="20" t="n">
        <v>25</v>
      </c>
    </row>
    <row r="193">
      <c r="A193" s="18" t="inlineStr">
        <is>
          <t>리리카라 사업 · 부문 간 내부매출·대체</t>
        </is>
      </c>
      <c r="H193" s="20" t="n">
        <v>45</v>
      </c>
      <c r="W193" s="20" t="n">
        <v>45</v>
      </c>
    </row>
    <row r="194">
      <c r="A194" s="18" t="inlineStr">
        <is>
          <t>리리카라 사업 · 부문 간 내부매출·대체</t>
        </is>
      </c>
      <c r="I194" s="20" t="n">
        <v>20</v>
      </c>
      <c r="J194" s="20" t="n">
        <v>70</v>
      </c>
      <c r="M194" s="20" t="n">
        <v>9</v>
      </c>
      <c r="N194" s="20" t="n">
        <v>5</v>
      </c>
    </row>
    <row r="195">
      <c r="A195" s="18" t="inlineStr">
        <is>
          <t>노바레제 사업 · 부문 간 내부매출·대체</t>
        </is>
      </c>
      <c r="I195" s="20" t="n">
        <v>1</v>
      </c>
      <c r="J195" s="20" t="n">
        <v>5</v>
      </c>
    </row>
    <row r="196">
      <c r="A196" s="18" t="inlineStr">
        <is>
          <t>노바레제·에스쿠리 사업 · 부문 간 내부매출·대체</t>
        </is>
      </c>
      <c r="L196" s="20" t="n">
        <v>57</v>
      </c>
      <c r="X196" s="20" t="n">
        <v>57</v>
      </c>
    </row>
    <row r="197">
      <c r="A197" s="18" t="inlineStr">
        <is>
          <t>온더페이지 사업 · 부문 간 내부매출·대체</t>
        </is>
      </c>
      <c r="I197" s="20" t="n">
        <v>1</v>
      </c>
      <c r="J197" s="20" t="n">
        <v>5</v>
      </c>
      <c r="M197" s="20" t="n">
        <v>43</v>
      </c>
      <c r="N197" s="20" t="n">
        <v>42</v>
      </c>
    </row>
    <row r="198">
      <c r="A198" s="18" t="inlineStr">
        <is>
          <t>합계 · 부문 간 내부매출·대체</t>
        </is>
      </c>
      <c r="H198" s="20" t="n">
        <v>46</v>
      </c>
      <c r="I198" s="20" t="n">
        <v>28</v>
      </c>
      <c r="J198" s="20" t="n">
        <v>93</v>
      </c>
      <c r="K198" s="20" t="n">
        <v>72</v>
      </c>
      <c r="L198" s="20" t="n">
        <v>118</v>
      </c>
      <c r="M198" s="20" t="n">
        <v>81</v>
      </c>
      <c r="N198" s="20" t="n">
        <v>70</v>
      </c>
      <c r="W198" s="20" t="n">
        <v>46</v>
      </c>
      <c r="X198" s="20" t="n">
        <v>118</v>
      </c>
    </row>
    <row r="199">
      <c r="A199" s="18" t="inlineStr">
        <is>
          <t>조정액 · 부문 간 내부매출·대체</t>
        </is>
      </c>
      <c r="H199" s="20" t="n">
        <v>-46</v>
      </c>
      <c r="I199" s="20" t="n">
        <v>-28</v>
      </c>
      <c r="J199" s="20" t="n">
        <v>-93</v>
      </c>
      <c r="K199" s="20" t="n">
        <v>-72</v>
      </c>
      <c r="L199" s="20" t="n">
        <v>-118</v>
      </c>
      <c r="M199" s="20" t="n">
        <v>-81</v>
      </c>
      <c r="N199" s="20" t="n">
        <v>-70</v>
      </c>
      <c r="W199" s="20" t="n">
        <v>-46</v>
      </c>
      <c r="X199" s="20" t="n">
        <v>-118</v>
      </c>
    </row>
    <row r="200">
      <c r="A200" s="18" t="inlineStr">
        <is>
          <t>부문 간 내부매출·대체</t>
        </is>
      </c>
      <c r="H200" s="20" t="n">
        <v>0</v>
      </c>
      <c r="I200" s="20" t="n">
        <v>0</v>
      </c>
      <c r="J200" s="20" t="n">
        <v>0</v>
      </c>
      <c r="K200" s="20" t="n">
        <v>0</v>
      </c>
      <c r="L200" s="20" t="n">
        <v>0</v>
      </c>
      <c r="M200" s="20" t="n">
        <v>0</v>
      </c>
      <c r="N200" s="20" t="n">
        <v>0</v>
      </c>
      <c r="W200" s="20" t="n">
        <v>0</v>
      </c>
      <c r="X200" s="20" t="n">
        <v>0</v>
      </c>
    </row>
    <row r="201">
      <c r="A201" s="18" t="inlineStr">
        <is>
          <t>공간재생 유통 사업 · 계</t>
        </is>
      </c>
      <c r="H201" s="20" t="n">
        <v>10658</v>
      </c>
      <c r="I201" s="20" t="n">
        <v>12518</v>
      </c>
      <c r="J201" s="20" t="n">
        <v>12451</v>
      </c>
      <c r="K201" s="20" t="n">
        <v>14389</v>
      </c>
      <c r="L201" s="20" t="n">
        <v>12919</v>
      </c>
      <c r="M201" s="20" t="n">
        <v>15089</v>
      </c>
      <c r="N201" s="20" t="n">
        <v>14421</v>
      </c>
      <c r="W201" s="20" t="n">
        <v>10658</v>
      </c>
      <c r="X201" s="20" t="n">
        <v>12919</v>
      </c>
    </row>
    <row r="202">
      <c r="A202" s="43" t="inlineStr">
        <is>
          <t>YoY</t>
        </is>
      </c>
      <c r="B202" s="3" t="inlineStr">
        <is>
          <t>전년 같은 분기·전년 대비</t>
        </is>
      </c>
      <c r="H202" s="15">
        <f>IF(OR(H201="",D201=""),"",IF(D201&lt;=0,"",IFERROR(H201/D201-1,"")))</f>
        <v/>
      </c>
      <c r="I202" s="15">
        <f>IF(OR(I201="",E201=""),"",IF(E201&lt;=0,"",IFERROR(I201/E201-1,"")))</f>
        <v/>
      </c>
      <c r="J202" s="15">
        <f>IF(OR(J201="",F201=""),"",IF(F201&lt;=0,"",IFERROR(J201/F201-1,"")))</f>
        <v/>
      </c>
      <c r="K202" s="15">
        <f>IF(OR(K201="",G201=""),"",IF(G201&lt;=0,"",IFERROR(K201/G201-1,"")))</f>
        <v/>
      </c>
      <c r="L202" s="15">
        <f>IF(OR(L201="",H201=""),"",IF(H201&lt;=0,"",IFERROR(L201/H201-1,"")))</f>
        <v/>
      </c>
      <c r="M202" s="15">
        <f>IF(OR(M201="",I201=""),"",IF(I201&lt;=0,"",IFERROR(M201/I201-1,"")))</f>
        <v/>
      </c>
      <c r="N202" s="15">
        <f>IF(OR(N201="",J201=""),"",IF(J201&lt;=0,"",IFERROR(N201/J201-1,"")))</f>
        <v/>
      </c>
      <c r="W202" s="15">
        <f>IF(OR(W201="",V201=""),"",IF(V201&lt;=0,"",IFERROR(W201/V201-1,"")))</f>
        <v/>
      </c>
      <c r="X202" s="15">
        <f>IF(OR(X201="",W201=""),"",IF(W201&lt;=0,"",IFERROR(X201/W201-1,"")))</f>
        <v/>
      </c>
    </row>
    <row r="203">
      <c r="A203" s="18" t="inlineStr">
        <is>
          <t>리리카라 사업 · 계</t>
        </is>
      </c>
      <c r="H203" s="20" t="n">
        <v>8465</v>
      </c>
      <c r="W203" s="20" t="n">
        <v>8465</v>
      </c>
    </row>
    <row r="204">
      <c r="A204" s="43" t="inlineStr">
        <is>
          <t>YoY</t>
        </is>
      </c>
      <c r="B204" s="3" t="inlineStr">
        <is>
          <t>전년 같은 분기·전년 대비</t>
        </is>
      </c>
      <c r="H204" s="15">
        <f>IF(OR(H203="",D203=""),"",IF(D203&lt;=0,"",IFERROR(H203/D203-1,"")))</f>
        <v/>
      </c>
      <c r="W204" s="15">
        <f>IF(OR(W203="",V203=""),"",IF(V203&lt;=0,"",IFERROR(W203/V203-1,"")))</f>
        <v/>
      </c>
    </row>
    <row r="205">
      <c r="A205" s="18" t="inlineStr">
        <is>
          <t>리리카라 사업 · 계</t>
        </is>
      </c>
      <c r="I205" s="20" t="n">
        <v>7815</v>
      </c>
      <c r="J205" s="20" t="n">
        <v>7530</v>
      </c>
      <c r="M205" s="20" t="n">
        <v>8016</v>
      </c>
      <c r="N205" s="20" t="n">
        <v>8331</v>
      </c>
    </row>
    <row r="206">
      <c r="A206" s="43" t="inlineStr">
        <is>
          <t>YoY</t>
        </is>
      </c>
      <c r="B206" s="3" t="inlineStr">
        <is>
          <t>전년 같은 분기·전년 대비</t>
        </is>
      </c>
      <c r="I206" s="15">
        <f>IF(OR(I205="",E205=""),"",IF(E205&lt;=0,"",IFERROR(I205/E205-1,"")))</f>
        <v/>
      </c>
      <c r="J206" s="15">
        <f>IF(OR(J205="",F205=""),"",IF(F205&lt;=0,"",IFERROR(J205/F205-1,"")))</f>
        <v/>
      </c>
      <c r="M206" s="15">
        <f>IF(OR(M205="",I205=""),"",IF(I205&lt;=0,"",IFERROR(M205/I205-1,"")))</f>
        <v/>
      </c>
      <c r="N206" s="15">
        <f>IF(OR(N205="",J205=""),"",IF(J205&lt;=0,"",IFERROR(N205/J205-1,"")))</f>
        <v/>
      </c>
    </row>
    <row r="207">
      <c r="A207" s="18" t="inlineStr">
        <is>
          <t>노바레제 사업 · 계</t>
        </is>
      </c>
      <c r="I207" s="20" t="n">
        <v>4160</v>
      </c>
      <c r="J207" s="20" t="n">
        <v>5545</v>
      </c>
    </row>
    <row r="208">
      <c r="A208" s="43" t="inlineStr">
        <is>
          <t>YoY</t>
        </is>
      </c>
      <c r="B208" s="3" t="inlineStr">
        <is>
          <t>전년 같은 분기·전년 대비</t>
        </is>
      </c>
      <c r="I208" s="15">
        <f>IF(OR(I207="",E207=""),"",IF(E207&lt;=0,"",IFERROR(I207/E207-1,"")))</f>
        <v/>
      </c>
      <c r="J208" s="15">
        <f>IF(OR(J207="",F207=""),"",IF(F207&lt;=0,"",IFERROR(J207/F207-1,"")))</f>
        <v/>
      </c>
    </row>
    <row r="209">
      <c r="A209" s="18" t="inlineStr">
        <is>
          <t>노바레제·에스쿠리 사업 · 계</t>
        </is>
      </c>
      <c r="L209" s="20" t="n">
        <v>14980</v>
      </c>
      <c r="X209" s="20" t="n">
        <v>14980</v>
      </c>
    </row>
    <row r="210">
      <c r="A210" s="43" t="inlineStr">
        <is>
          <t>YoY</t>
        </is>
      </c>
      <c r="B210" s="3" t="inlineStr">
        <is>
          <t>전년 같은 분기·전년 대비</t>
        </is>
      </c>
      <c r="L210" s="15">
        <f>IF(OR(L209="",H209=""),"",IF(H209&lt;=0,"",IFERROR(L209/H209-1,"")))</f>
        <v/>
      </c>
      <c r="X210" s="15">
        <f>IF(OR(X209="",W209=""),"",IF(W209&lt;=0,"",IFERROR(X209/W209-1,"")))</f>
        <v/>
      </c>
    </row>
    <row r="211">
      <c r="A211" s="18" t="inlineStr">
        <is>
          <t>온더페이지 사업 · 계</t>
        </is>
      </c>
      <c r="I211" s="20" t="n">
        <v>4160</v>
      </c>
      <c r="J211" s="20" t="n">
        <v>5545</v>
      </c>
      <c r="M211" s="20" t="n">
        <v>11585</v>
      </c>
      <c r="N211" s="20" t="n">
        <v>12112</v>
      </c>
    </row>
    <row r="212">
      <c r="A212" s="43" t="inlineStr">
        <is>
          <t>YoY</t>
        </is>
      </c>
      <c r="B212" s="3" t="inlineStr">
        <is>
          <t>전년 같은 분기·전년 대비</t>
        </is>
      </c>
      <c r="I212" s="15">
        <f>IF(OR(I211="",E211=""),"",IF(E211&lt;=0,"",IFERROR(I211/E211-1,"")))</f>
        <v/>
      </c>
      <c r="J212" s="15">
        <f>IF(OR(J211="",F211=""),"",IF(F211&lt;=0,"",IFERROR(J211/F211-1,"")))</f>
        <v/>
      </c>
      <c r="M212" s="15">
        <f>IF(OR(M211="",I211=""),"",IF(I211&lt;=0,"",IFERROR(M211/I211-1,"")))</f>
        <v/>
      </c>
      <c r="N212" s="15">
        <f>IF(OR(N211="",J211=""),"",IF(J211&lt;=0,"",IFERROR(N211/J211-1,"")))</f>
        <v/>
      </c>
    </row>
    <row r="213">
      <c r="A213" s="18" t="inlineStr">
        <is>
          <t>합계 · 계</t>
        </is>
      </c>
      <c r="H213" s="20" t="n">
        <v>19124</v>
      </c>
      <c r="I213" s="20" t="n">
        <v>24494</v>
      </c>
      <c r="J213" s="20" t="n">
        <v>25526</v>
      </c>
      <c r="K213" s="20" t="n">
        <v>27158</v>
      </c>
      <c r="L213" s="20" t="n">
        <v>37491</v>
      </c>
      <c r="M213" s="20" t="n">
        <v>34690</v>
      </c>
      <c r="N213" s="20" t="n">
        <v>34865</v>
      </c>
      <c r="W213" s="20" t="n">
        <v>19124</v>
      </c>
      <c r="X213" s="20" t="n">
        <v>37491</v>
      </c>
    </row>
    <row r="214">
      <c r="A214" s="43" t="inlineStr">
        <is>
          <t>YoY</t>
        </is>
      </c>
      <c r="B214" s="3" t="inlineStr">
        <is>
          <t>전년 같은 분기·전년 대비</t>
        </is>
      </c>
      <c r="H214" s="15">
        <f>IF(OR(H213="",D213=""),"",IF(D213&lt;=0,"",IFERROR(H213/D213-1,"")))</f>
        <v/>
      </c>
      <c r="I214" s="15">
        <f>IF(OR(I213="",E213=""),"",IF(E213&lt;=0,"",IFERROR(I213/E213-1,"")))</f>
        <v/>
      </c>
      <c r="J214" s="15">
        <f>IF(OR(J213="",F213=""),"",IF(F213&lt;=0,"",IFERROR(J213/F213-1,"")))</f>
        <v/>
      </c>
      <c r="K214" s="15">
        <f>IF(OR(K213="",G213=""),"",IF(G213&lt;=0,"",IFERROR(K213/G213-1,"")))</f>
        <v/>
      </c>
      <c r="L214" s="15">
        <f>IF(OR(L213="",H213=""),"",IF(H213&lt;=0,"",IFERROR(L213/H213-1,"")))</f>
        <v/>
      </c>
      <c r="M214" s="15">
        <f>IF(OR(M213="",I213=""),"",IF(I213&lt;=0,"",IFERROR(M213/I213-1,"")))</f>
        <v/>
      </c>
      <c r="N214" s="15">
        <f>IF(OR(N213="",J213=""),"",IF(J213&lt;=0,"",IFERROR(N213/J213-1,"")))</f>
        <v/>
      </c>
      <c r="W214" s="15">
        <f>IF(OR(W213="",V213=""),"",IF(V213&lt;=0,"",IFERROR(W213/V213-1,"")))</f>
        <v/>
      </c>
      <c r="X214" s="15">
        <f>IF(OR(X213="",W213=""),"",IF(W213&lt;=0,"",IFERROR(X213/W213-1,"")))</f>
        <v/>
      </c>
    </row>
    <row r="215">
      <c r="A215" s="18" t="inlineStr">
        <is>
          <t>조정액 · 계</t>
        </is>
      </c>
      <c r="H215" s="20" t="n">
        <v>-46</v>
      </c>
      <c r="I215" s="20" t="n">
        <v>-28</v>
      </c>
      <c r="J215" s="20" t="n">
        <v>-93</v>
      </c>
      <c r="K215" s="20" t="n">
        <v>-72</v>
      </c>
      <c r="L215" s="20" t="n">
        <v>-118</v>
      </c>
      <c r="M215" s="20" t="n">
        <v>-81</v>
      </c>
      <c r="N215" s="20" t="n">
        <v>-70</v>
      </c>
      <c r="W215" s="20" t="n">
        <v>-46</v>
      </c>
      <c r="X215" s="20" t="n">
        <v>-118</v>
      </c>
    </row>
    <row r="216">
      <c r="A216" s="9" t="inlineStr">
        <is>
          <t>계</t>
        </is>
      </c>
      <c r="H216" s="12" t="n">
        <v>19078</v>
      </c>
      <c r="I216" s="12" t="n">
        <v>24465</v>
      </c>
      <c r="J216" s="12" t="n">
        <v>25433</v>
      </c>
      <c r="K216" s="12" t="n">
        <v>27087</v>
      </c>
      <c r="L216" s="12" t="n">
        <v>37372</v>
      </c>
      <c r="M216" s="12" t="n">
        <v>34609</v>
      </c>
      <c r="N216" s="12" t="n">
        <v>34794</v>
      </c>
      <c r="W216" s="12" t="n">
        <v>19078</v>
      </c>
      <c r="X216" s="12" t="n">
        <v>37372</v>
      </c>
    </row>
    <row r="217">
      <c r="A217" s="43" t="inlineStr">
        <is>
          <t>YoY</t>
        </is>
      </c>
      <c r="B217" s="3" t="inlineStr">
        <is>
          <t>전년 같은 분기·전년 대비</t>
        </is>
      </c>
      <c r="H217" s="15">
        <f>IF(OR(H216="",D216=""),"",IF(D216&lt;=0,"",IFERROR(H216/D216-1,"")))</f>
        <v/>
      </c>
      <c r="I217" s="15">
        <f>IF(OR(I216="",E216=""),"",IF(E216&lt;=0,"",IFERROR(I216/E216-1,"")))</f>
        <v/>
      </c>
      <c r="J217" s="15">
        <f>IF(OR(J216="",F216=""),"",IF(F216&lt;=0,"",IFERROR(J216/F216-1,"")))</f>
        <v/>
      </c>
      <c r="K217" s="15">
        <f>IF(OR(K216="",G216=""),"",IF(G216&lt;=0,"",IFERROR(K216/G216-1,"")))</f>
        <v/>
      </c>
      <c r="L217" s="15">
        <f>IF(OR(L216="",H216=""),"",IF(H216&lt;=0,"",IFERROR(L216/H216-1,"")))</f>
        <v/>
      </c>
      <c r="M217" s="15">
        <f>IF(OR(M216="",I216=""),"",IF(I216&lt;=0,"",IFERROR(M216/I216-1,"")))</f>
        <v/>
      </c>
      <c r="N217" s="15">
        <f>IF(OR(N216="",J216=""),"",IF(J216&lt;=0,"",IFERROR(N216/J216-1,"")))</f>
        <v/>
      </c>
      <c r="W217" s="15">
        <f>IF(OR(W216="",V216=""),"",IF(V216&lt;=0,"",IFERROR(W216/V216-1,"")))</f>
        <v/>
      </c>
      <c r="X217" s="15">
        <f>IF(OR(X216="",W216=""),"",IF(W216&lt;=0,"",IFERROR(X216/W216-1,"")))</f>
        <v/>
      </c>
    </row>
    <row r="218">
      <c r="A218" s="18" t="inlineStr">
        <is>
          <t>공간재생 유통 사업 · 부문 이익(손실)</t>
        </is>
      </c>
      <c r="H218" s="20" t="n">
        <v>954</v>
      </c>
      <c r="I218" s="20" t="n">
        <v>2008</v>
      </c>
      <c r="J218" s="20" t="n">
        <v>1258</v>
      </c>
      <c r="K218" s="20" t="n">
        <v>2714</v>
      </c>
      <c r="L218" s="20" t="n">
        <v>769</v>
      </c>
      <c r="M218" s="20" t="n">
        <v>2305</v>
      </c>
      <c r="N218" s="20" t="n">
        <v>1714</v>
      </c>
      <c r="W218" s="20" t="n">
        <v>954</v>
      </c>
      <c r="X218" s="20" t="n">
        <v>769</v>
      </c>
    </row>
    <row r="219">
      <c r="A219" s="43" t="inlineStr">
        <is>
          <t>OPM</t>
        </is>
      </c>
      <c r="B219" s="3" t="inlineStr">
        <is>
          <t>영업이익 ÷ 매출</t>
        </is>
      </c>
      <c r="H219" s="15">
        <f>IF(OR(H218="",H201=""),"",IF(H201&lt;=0,"",IFERROR(H218/H201,"")))</f>
        <v/>
      </c>
      <c r="I219" s="15">
        <f>IF(OR(I218="",I201=""),"",IF(I201&lt;=0,"",IFERROR(I218/I201,"")))</f>
        <v/>
      </c>
      <c r="J219" s="15">
        <f>IF(OR(J218="",J201=""),"",IF(J201&lt;=0,"",IFERROR(J218/J201,"")))</f>
        <v/>
      </c>
      <c r="K219" s="15">
        <f>IF(OR(K218="",K201=""),"",IF(K201&lt;=0,"",IFERROR(K218/K201,"")))</f>
        <v/>
      </c>
      <c r="L219" s="15">
        <f>IF(OR(L218="",L201=""),"",IF(L201&lt;=0,"",IFERROR(L218/L201,"")))</f>
        <v/>
      </c>
      <c r="M219" s="15">
        <f>IF(OR(M218="",M201=""),"",IF(M201&lt;=0,"",IFERROR(M218/M201,"")))</f>
        <v/>
      </c>
      <c r="N219" s="15">
        <f>IF(OR(N218="",N201=""),"",IF(N201&lt;=0,"",IFERROR(N218/N201,"")))</f>
        <v/>
      </c>
      <c r="W219" s="15">
        <f>IF(OR(W218="",W201=""),"",IF(W201&lt;=0,"",IFERROR(W218/W201,"")))</f>
        <v/>
      </c>
      <c r="X219" s="15">
        <f>IF(OR(X218="",X201=""),"",IF(X201&lt;=0,"",IFERROR(X218/X201,"")))</f>
        <v/>
      </c>
    </row>
    <row r="220">
      <c r="A220" s="43" t="inlineStr">
        <is>
          <t>YoY</t>
        </is>
      </c>
      <c r="B220" s="3" t="inlineStr">
        <is>
          <t>전년 같은 분기·전년 대비</t>
        </is>
      </c>
      <c r="H220" s="15">
        <f>IF(OR(H218="",D218=""),"",IF(D218&lt;=0,"",IFERROR(H218/D218-1,"")))</f>
        <v/>
      </c>
      <c r="I220" s="15">
        <f>IF(OR(I218="",E218=""),"",IF(E218&lt;=0,"",IFERROR(I218/E218-1,"")))</f>
        <v/>
      </c>
      <c r="J220" s="15">
        <f>IF(OR(J218="",F218=""),"",IF(F218&lt;=0,"",IFERROR(J218/F218-1,"")))</f>
        <v/>
      </c>
      <c r="K220" s="15">
        <f>IF(OR(K218="",G218=""),"",IF(G218&lt;=0,"",IFERROR(K218/G218-1,"")))</f>
        <v/>
      </c>
      <c r="L220" s="15">
        <f>IF(OR(L218="",H218=""),"",IF(H218&lt;=0,"",IFERROR(L218/H218-1,"")))</f>
        <v/>
      </c>
      <c r="M220" s="15">
        <f>IF(OR(M218="",I218=""),"",IF(I218&lt;=0,"",IFERROR(M218/I218-1,"")))</f>
        <v/>
      </c>
      <c r="N220" s="15">
        <f>IF(OR(N218="",J218=""),"",IF(J218&lt;=0,"",IFERROR(N218/J218-1,"")))</f>
        <v/>
      </c>
      <c r="W220" s="15">
        <f>IF(OR(W218="",V218=""),"",IF(V218&lt;=0,"",IFERROR(W218/V218-1,"")))</f>
        <v/>
      </c>
      <c r="X220" s="15">
        <f>IF(OR(X218="",W218=""),"",IF(W218&lt;=0,"",IFERROR(X218/W218-1,"")))</f>
        <v/>
      </c>
    </row>
    <row r="221">
      <c r="A221" s="18" t="inlineStr">
        <is>
          <t>리리카라 사업 · 부문 이익(손실)</t>
        </is>
      </c>
      <c r="H221" s="20" t="n">
        <v>503</v>
      </c>
      <c r="W221" s="20" t="n">
        <v>503</v>
      </c>
    </row>
    <row r="222">
      <c r="A222" s="43" t="inlineStr">
        <is>
          <t>OPM</t>
        </is>
      </c>
      <c r="B222" s="3" t="inlineStr">
        <is>
          <t>영업이익 ÷ 매출</t>
        </is>
      </c>
      <c r="H222" s="15">
        <f>IF(OR(H221="",H203=""),"",IF(H203&lt;=0,"",IFERROR(H221/H203,"")))</f>
        <v/>
      </c>
      <c r="W222" s="15">
        <f>IF(OR(W221="",W203=""),"",IF(W203&lt;=0,"",IFERROR(W221/W203,"")))</f>
        <v/>
      </c>
    </row>
    <row r="223">
      <c r="A223" s="43" t="inlineStr">
        <is>
          <t>YoY</t>
        </is>
      </c>
      <c r="B223" s="3" t="inlineStr">
        <is>
          <t>전년 같은 분기·전년 대비</t>
        </is>
      </c>
      <c r="H223" s="15">
        <f>IF(OR(H221="",D221=""),"",IF(D221&lt;=0,"",IFERROR(H221/D221-1,"")))</f>
        <v/>
      </c>
      <c r="W223" s="15">
        <f>IF(OR(W221="",V221=""),"",IF(V221&lt;=0,"",IFERROR(W221/V221-1,"")))</f>
        <v/>
      </c>
    </row>
    <row r="224">
      <c r="A224" s="18" t="inlineStr">
        <is>
          <t>리리카라 사업 · 부문 이익(손실)</t>
        </is>
      </c>
      <c r="I224" s="20" t="n">
        <v>113</v>
      </c>
      <c r="J224" s="20" t="n">
        <v>-240</v>
      </c>
      <c r="M224" s="20" t="n">
        <v>87</v>
      </c>
      <c r="N224" s="20" t="n">
        <v>-139</v>
      </c>
    </row>
    <row r="225">
      <c r="A225" s="43" t="inlineStr">
        <is>
          <t>OPM</t>
        </is>
      </c>
      <c r="B225" s="3" t="inlineStr">
        <is>
          <t>영업이익 ÷ 매출</t>
        </is>
      </c>
      <c r="I225" s="15">
        <f>IF(OR(I224="",I205=""),"",IF(I205&lt;=0,"",IFERROR(I224/I205,"")))</f>
        <v/>
      </c>
      <c r="J225" s="15">
        <f>IF(OR(J224="",J205=""),"",IF(J205&lt;=0,"",IFERROR(J224/J205,"")))</f>
        <v/>
      </c>
      <c r="M225" s="15">
        <f>IF(OR(M224="",M205=""),"",IF(M205&lt;=0,"",IFERROR(M224/M205,"")))</f>
        <v/>
      </c>
      <c r="N225" s="15">
        <f>IF(OR(N224="",N205=""),"",IF(N205&lt;=0,"",IFERROR(N224/N205,"")))</f>
        <v/>
      </c>
    </row>
    <row r="226">
      <c r="A226" s="43" t="inlineStr">
        <is>
          <t>YoY</t>
        </is>
      </c>
      <c r="B226" s="3" t="inlineStr">
        <is>
          <t>전년 같은 분기·전년 대비</t>
        </is>
      </c>
      <c r="I226" s="15">
        <f>IF(OR(I224="",E224=""),"",IF(E224&lt;=0,"",IFERROR(I224/E224-1,"")))</f>
        <v/>
      </c>
      <c r="J226" s="15">
        <f>IF(OR(J224="",F224=""),"",IF(F224&lt;=0,"",IFERROR(J224/F224-1,"")))</f>
        <v/>
      </c>
      <c r="M226" s="15">
        <f>IF(OR(M224="",I224=""),"",IF(I224&lt;=0,"",IFERROR(M224/I224-1,"")))</f>
        <v/>
      </c>
      <c r="N226" s="15">
        <f>IF(OR(N224="",J224=""),"",IF(J224&lt;=0,"",IFERROR(N224/J224-1,"")))</f>
        <v/>
      </c>
    </row>
    <row r="227">
      <c r="A227" s="18" t="inlineStr">
        <is>
          <t>노바레제 사업 · 부문 이익(손실)</t>
        </is>
      </c>
      <c r="I227" s="20" t="n">
        <v>-318</v>
      </c>
      <c r="J227" s="20" t="n">
        <v>442</v>
      </c>
    </row>
    <row r="228">
      <c r="A228" s="43" t="inlineStr">
        <is>
          <t>OPM</t>
        </is>
      </c>
      <c r="B228" s="3" t="inlineStr">
        <is>
          <t>영업이익 ÷ 매출</t>
        </is>
      </c>
      <c r="I228" s="15">
        <f>IF(OR(I227="",I207=""),"",IF(I207&lt;=0,"",IFERROR(I227/I207,"")))</f>
        <v/>
      </c>
      <c r="J228" s="15">
        <f>IF(OR(J227="",J207=""),"",IF(J207&lt;=0,"",IFERROR(J227/J207,"")))</f>
        <v/>
      </c>
    </row>
    <row r="229">
      <c r="A229" s="43" t="inlineStr">
        <is>
          <t>YoY</t>
        </is>
      </c>
      <c r="B229" s="3" t="inlineStr">
        <is>
          <t>전년 같은 분기·전년 대비</t>
        </is>
      </c>
      <c r="I229" s="15">
        <f>IF(OR(I227="",E227=""),"",IF(E227&lt;=0,"",IFERROR(I227/E227-1,"")))</f>
        <v/>
      </c>
      <c r="J229" s="15">
        <f>IF(OR(J227="",F227=""),"",IF(F227&lt;=0,"",IFERROR(J227/F227-1,"")))</f>
        <v/>
      </c>
    </row>
    <row r="230">
      <c r="A230" s="18" t="inlineStr">
        <is>
          <t>노바레제·에스쿠리 사업 · 부문 이익</t>
        </is>
      </c>
      <c r="L230" s="20" t="n">
        <v>2850</v>
      </c>
      <c r="X230" s="20" t="n">
        <v>2850</v>
      </c>
    </row>
    <row r="231">
      <c r="A231" s="43" t="inlineStr">
        <is>
          <t>OPM</t>
        </is>
      </c>
      <c r="B231" s="3" t="inlineStr">
        <is>
          <t>영업이익 ÷ 매출</t>
        </is>
      </c>
      <c r="L231" s="15">
        <f>IF(OR(L230="",L209=""),"",IF(L209&lt;=0,"",IFERROR(L230/L209,"")))</f>
        <v/>
      </c>
      <c r="X231" s="15">
        <f>IF(OR(X230="",X209=""),"",IF(X209&lt;=0,"",IFERROR(X230/X209,"")))</f>
        <v/>
      </c>
    </row>
    <row r="232">
      <c r="A232" s="43" t="inlineStr">
        <is>
          <t>YoY</t>
        </is>
      </c>
      <c r="B232" s="3" t="inlineStr">
        <is>
          <t>전년 같은 분기·전년 대비</t>
        </is>
      </c>
      <c r="L232" s="15">
        <f>IF(OR(L230="",H230=""),"",IF(H230&lt;=0,"",IFERROR(L230/H230-1,"")))</f>
        <v/>
      </c>
      <c r="X232" s="15">
        <f>IF(OR(X230="",W230=""),"",IF(W230&lt;=0,"",IFERROR(X230/W230-1,"")))</f>
        <v/>
      </c>
    </row>
    <row r="233">
      <c r="A233" s="18" t="inlineStr">
        <is>
          <t>온더페이지 사업 · 부문 이익(손실)</t>
        </is>
      </c>
      <c r="I233" s="20" t="n">
        <v>-318</v>
      </c>
      <c r="J233" s="20" t="n">
        <v>442</v>
      </c>
      <c r="M233" s="20" t="n">
        <v>168</v>
      </c>
      <c r="N233" s="20" t="n">
        <v>556</v>
      </c>
    </row>
    <row r="234">
      <c r="A234" s="43" t="inlineStr">
        <is>
          <t>OPM</t>
        </is>
      </c>
      <c r="B234" s="3" t="inlineStr">
        <is>
          <t>영업이익 ÷ 매출</t>
        </is>
      </c>
      <c r="I234" s="15">
        <f>IF(OR(I233="",I211=""),"",IF(I211&lt;=0,"",IFERROR(I233/I211,"")))</f>
        <v/>
      </c>
      <c r="J234" s="15">
        <f>IF(OR(J233="",J211=""),"",IF(J211&lt;=0,"",IFERROR(J233/J211,"")))</f>
        <v/>
      </c>
      <c r="M234" s="15">
        <f>IF(OR(M233="",M211=""),"",IF(M211&lt;=0,"",IFERROR(M233/M211,"")))</f>
        <v/>
      </c>
      <c r="N234" s="15">
        <f>IF(OR(N233="",N211=""),"",IF(N211&lt;=0,"",IFERROR(N233/N211,"")))</f>
        <v/>
      </c>
    </row>
    <row r="235">
      <c r="A235" s="43" t="inlineStr">
        <is>
          <t>YoY</t>
        </is>
      </c>
      <c r="B235" s="3" t="inlineStr">
        <is>
          <t>전년 같은 분기·전년 대비</t>
        </is>
      </c>
      <c r="I235" s="15">
        <f>IF(OR(I233="",E233=""),"",IF(E233&lt;=0,"",IFERROR(I233/E233-1,"")))</f>
        <v/>
      </c>
      <c r="J235" s="15">
        <f>IF(OR(J233="",F233=""),"",IF(F233&lt;=0,"",IFERROR(J233/F233-1,"")))</f>
        <v/>
      </c>
      <c r="M235" s="15">
        <f>IF(OR(M233="",I233=""),"",IF(I233&lt;=0,"",IFERROR(M233/I233-1,"")))</f>
        <v/>
      </c>
      <c r="N235" s="15">
        <f>IF(OR(N233="",J233=""),"",IF(J233&lt;=0,"",IFERROR(N233/J233-1,"")))</f>
        <v/>
      </c>
    </row>
    <row r="236">
      <c r="A236" s="18" t="inlineStr">
        <is>
          <t>합계 · 부문 이익(손실)</t>
        </is>
      </c>
      <c r="H236" s="20" t="n">
        <v>1457</v>
      </c>
      <c r="I236" s="20" t="n">
        <v>1803</v>
      </c>
      <c r="J236" s="20" t="n">
        <v>1460</v>
      </c>
      <c r="K236" s="20" t="n">
        <v>2887</v>
      </c>
      <c r="L236" s="20" t="n">
        <v>4200</v>
      </c>
      <c r="M236" s="20" t="n">
        <v>2562</v>
      </c>
      <c r="N236" s="20" t="n">
        <v>2128</v>
      </c>
      <c r="W236" s="20" t="n">
        <v>1457</v>
      </c>
      <c r="X236" s="20" t="n">
        <v>4200</v>
      </c>
    </row>
    <row r="237">
      <c r="A237" s="43" t="inlineStr">
        <is>
          <t>OPM</t>
        </is>
      </c>
      <c r="B237" s="3" t="inlineStr">
        <is>
          <t>영업이익 ÷ 매출</t>
        </is>
      </c>
      <c r="H237" s="15">
        <f>IF(OR(H236="",H213=""),"",IF(H213&lt;=0,"",IFERROR(H236/H213,"")))</f>
        <v/>
      </c>
      <c r="I237" s="15">
        <f>IF(OR(I236="",I213=""),"",IF(I213&lt;=0,"",IFERROR(I236/I213,"")))</f>
        <v/>
      </c>
      <c r="J237" s="15">
        <f>IF(OR(J236="",J213=""),"",IF(J213&lt;=0,"",IFERROR(J236/J213,"")))</f>
        <v/>
      </c>
      <c r="K237" s="15">
        <f>IF(OR(K236="",K213=""),"",IF(K213&lt;=0,"",IFERROR(K236/K213,"")))</f>
        <v/>
      </c>
      <c r="L237" s="15">
        <f>IF(OR(L236="",L213=""),"",IF(L213&lt;=0,"",IFERROR(L236/L213,"")))</f>
        <v/>
      </c>
      <c r="M237" s="15">
        <f>IF(OR(M236="",M213=""),"",IF(M213&lt;=0,"",IFERROR(M236/M213,"")))</f>
        <v/>
      </c>
      <c r="N237" s="15">
        <f>IF(OR(N236="",N213=""),"",IF(N213&lt;=0,"",IFERROR(N236/N213,"")))</f>
        <v/>
      </c>
      <c r="W237" s="15">
        <f>IF(OR(W236="",W213=""),"",IF(W213&lt;=0,"",IFERROR(W236/W213,"")))</f>
        <v/>
      </c>
      <c r="X237" s="15">
        <f>IF(OR(X236="",X213=""),"",IF(X213&lt;=0,"",IFERROR(X236/X213,"")))</f>
        <v/>
      </c>
    </row>
    <row r="238">
      <c r="A238" s="43" t="inlineStr">
        <is>
          <t>YoY</t>
        </is>
      </c>
      <c r="B238" s="3" t="inlineStr">
        <is>
          <t>전년 같은 분기·전년 대비</t>
        </is>
      </c>
      <c r="H238" s="15">
        <f>IF(OR(H236="",D236=""),"",IF(D236&lt;=0,"",IFERROR(H236/D236-1,"")))</f>
        <v/>
      </c>
      <c r="I238" s="15">
        <f>IF(OR(I236="",E236=""),"",IF(E236&lt;=0,"",IFERROR(I236/E236-1,"")))</f>
        <v/>
      </c>
      <c r="J238" s="15">
        <f>IF(OR(J236="",F236=""),"",IF(F236&lt;=0,"",IFERROR(J236/F236-1,"")))</f>
        <v/>
      </c>
      <c r="K238" s="15">
        <f>IF(OR(K236="",G236=""),"",IF(G236&lt;=0,"",IFERROR(K236/G236-1,"")))</f>
        <v/>
      </c>
      <c r="L238" s="15">
        <f>IF(OR(L236="",H236=""),"",IF(H236&lt;=0,"",IFERROR(L236/H236-1,"")))</f>
        <v/>
      </c>
      <c r="M238" s="15">
        <f>IF(OR(M236="",I236=""),"",IF(I236&lt;=0,"",IFERROR(M236/I236-1,"")))</f>
        <v/>
      </c>
      <c r="N238" s="15">
        <f>IF(OR(N236="",J236=""),"",IF(J236&lt;=0,"",IFERROR(N236/J236-1,"")))</f>
        <v/>
      </c>
      <c r="W238" s="15">
        <f>IF(OR(W236="",V236=""),"",IF(V236&lt;=0,"",IFERROR(W236/V236-1,"")))</f>
        <v/>
      </c>
      <c r="X238" s="15">
        <f>IF(OR(X236="",W236=""),"",IF(W236&lt;=0,"",IFERROR(X236/W236-1,"")))</f>
        <v/>
      </c>
    </row>
    <row r="239">
      <c r="A239" s="18" t="inlineStr">
        <is>
          <t>조정액 · 부문 이익(손실)</t>
        </is>
      </c>
      <c r="H239" s="20" t="n">
        <v>-3</v>
      </c>
      <c r="I239" s="20" t="n">
        <v>-2</v>
      </c>
      <c r="J239" s="20" t="n">
        <v>-22</v>
      </c>
      <c r="K239" s="20" t="n">
        <v>7</v>
      </c>
      <c r="L239" s="20" t="n">
        <v>-31</v>
      </c>
      <c r="M239" s="20" t="n">
        <v>-8</v>
      </c>
      <c r="N239" s="20" t="n">
        <v>-2</v>
      </c>
      <c r="W239" s="20" t="n">
        <v>-3</v>
      </c>
      <c r="X239" s="20" t="n">
        <v>-31</v>
      </c>
    </row>
    <row r="240">
      <c r="A240" s="9" t="inlineStr">
        <is>
          <t>부문 이익(손실)</t>
        </is>
      </c>
      <c r="H240" s="12" t="n">
        <v>1454</v>
      </c>
      <c r="I240" s="12" t="n">
        <v>1800</v>
      </c>
      <c r="J240" s="12" t="n">
        <v>1439</v>
      </c>
      <c r="K240" s="12" t="n">
        <v>2894</v>
      </c>
      <c r="L240" s="12" t="n">
        <v>4168</v>
      </c>
      <c r="M240" s="12" t="n">
        <v>2553</v>
      </c>
      <c r="N240" s="12" t="n">
        <v>2127</v>
      </c>
      <c r="W240" s="12" t="n">
        <v>1454</v>
      </c>
      <c r="X240" s="12" t="n">
        <v>4168</v>
      </c>
    </row>
    <row r="241">
      <c r="A241" s="43" t="inlineStr">
        <is>
          <t>OPM</t>
        </is>
      </c>
      <c r="B241" s="3" t="inlineStr">
        <is>
          <t>영업이익 ÷ 매출</t>
        </is>
      </c>
      <c r="H241" s="15">
        <f>IF(OR(H240="",H190=""),"",IF(H190&lt;=0,"",IFERROR(H240/H190,"")))</f>
        <v/>
      </c>
      <c r="I241" s="15">
        <f>IF(OR(I240="",I190=""),"",IF(I190&lt;=0,"",IFERROR(I240/I190,"")))</f>
        <v/>
      </c>
      <c r="J241" s="15">
        <f>IF(OR(J240="",J190=""),"",IF(J190&lt;=0,"",IFERROR(J240/J190,"")))</f>
        <v/>
      </c>
      <c r="K241" s="15">
        <f>IF(OR(K240="",K190=""),"",IF(K190&lt;=0,"",IFERROR(K240/K190,"")))</f>
        <v/>
      </c>
      <c r="L241" s="15">
        <f>IF(OR(L240="",L190=""),"",IF(L190&lt;=0,"",IFERROR(L240/L190,"")))</f>
        <v/>
      </c>
      <c r="M241" s="15">
        <f>IF(OR(M240="",M190=""),"",IF(M190&lt;=0,"",IFERROR(M240/M190,"")))</f>
        <v/>
      </c>
      <c r="N241" s="15">
        <f>IF(OR(N240="",N190=""),"",IF(N190&lt;=0,"",IFERROR(N240/N190,"")))</f>
        <v/>
      </c>
      <c r="W241" s="15">
        <f>IF(OR(W240="",W190=""),"",IF(W190&lt;=0,"",IFERROR(W240/W190,"")))</f>
        <v/>
      </c>
      <c r="X241" s="15">
        <f>IF(OR(X240="",X190=""),"",IF(X190&lt;=0,"",IFERROR(X240/X190,"")))</f>
        <v/>
      </c>
    </row>
    <row r="242">
      <c r="A242" s="43" t="inlineStr">
        <is>
          <t>YoY</t>
        </is>
      </c>
      <c r="B242" s="3" t="inlineStr">
        <is>
          <t>전년 같은 분기·전년 대비</t>
        </is>
      </c>
      <c r="H242" s="15">
        <f>IF(OR(H240="",D240=""),"",IF(D240&lt;=0,"",IFERROR(H240/D240-1,"")))</f>
        <v/>
      </c>
      <c r="I242" s="15">
        <f>IF(OR(I240="",E240=""),"",IF(E240&lt;=0,"",IFERROR(I240/E240-1,"")))</f>
        <v/>
      </c>
      <c r="J242" s="15">
        <f>IF(OR(J240="",F240=""),"",IF(F240&lt;=0,"",IFERROR(J240/F240-1,"")))</f>
        <v/>
      </c>
      <c r="K242" s="15">
        <f>IF(OR(K240="",G240=""),"",IF(G240&lt;=0,"",IFERROR(K240/G240-1,"")))</f>
        <v/>
      </c>
      <c r="L242" s="15">
        <f>IF(OR(L240="",H240=""),"",IF(H240&lt;=0,"",IFERROR(L240/H240-1,"")))</f>
        <v/>
      </c>
      <c r="M242" s="15">
        <f>IF(OR(M240="",I240=""),"",IF(I240&lt;=0,"",IFERROR(M240/I240-1,"")))</f>
        <v/>
      </c>
      <c r="N242" s="15">
        <f>IF(OR(N240="",J240=""),"",IF(J240&lt;=0,"",IFERROR(N240/J240-1,"")))</f>
        <v/>
      </c>
      <c r="W242" s="15">
        <f>IF(OR(W240="",V240=""),"",IF(V240&lt;=0,"",IFERROR(W240/V240-1,"")))</f>
        <v/>
      </c>
      <c r="X242" s="15">
        <f>IF(OR(X240="",W240=""),"",IF(W240&lt;=0,"",IFERROR(X240/W240-1,"")))</f>
        <v/>
      </c>
    </row>
    <row r="244">
      <c r="A244" s="16" t="inlineStr">
        <is>
          <t>현금흐름표 · 전 항목</t>
        </is>
      </c>
      <c r="B244" s="42" t="inlineStr">
        <is>
          <t>분기 = 결산기 첫날부터 누계(공시 그대로)</t>
        </is>
      </c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  <c r="AA244" s="16" t="n"/>
      <c r="AB244" s="16" t="n"/>
      <c r="AC244" s="16" t="n"/>
    </row>
    <row r="245">
      <c r="A245" s="5" t="inlineStr">
        <is>
          <t>항목</t>
        </is>
      </c>
      <c r="B245" s="5" t="inlineStr">
        <is>
          <t>참고</t>
        </is>
      </c>
      <c r="C245" s="5" t="inlineStr">
        <is>
          <t>2024.3Q</t>
        </is>
      </c>
      <c r="D245" s="5" t="inlineStr">
        <is>
          <t>2024.4Q</t>
        </is>
      </c>
      <c r="E245" s="5" t="inlineStr">
        <is>
          <t>2025.1Q</t>
        </is>
      </c>
      <c r="F245" s="5" t="inlineStr">
        <is>
          <t>2025.2Q</t>
        </is>
      </c>
      <c r="G245" s="5" t="inlineStr">
        <is>
          <t>2025.3Q</t>
        </is>
      </c>
      <c r="H245" s="5" t="inlineStr">
        <is>
          <t>2025.4Q</t>
        </is>
      </c>
      <c r="I245" s="5" t="inlineStr">
        <is>
          <t>2026.1Q</t>
        </is>
      </c>
      <c r="J245" s="5" t="inlineStr">
        <is>
          <t>2026.2Q</t>
        </is>
      </c>
      <c r="K245" s="5" t="inlineStr">
        <is>
          <t>2026.3Q</t>
        </is>
      </c>
      <c r="L245" s="5" t="inlineStr">
        <is>
          <t>2026.4Q</t>
        </is>
      </c>
      <c r="M245" s="5" t="inlineStr">
        <is>
          <t>2027.1Q</t>
        </is>
      </c>
      <c r="N245" s="5" t="inlineStr">
        <is>
          <t>2027.2Q</t>
        </is>
      </c>
      <c r="O245" s="5" t="inlineStr">
        <is>
          <t>2017</t>
        </is>
      </c>
      <c r="P245" s="5" t="inlineStr">
        <is>
          <t>2018</t>
        </is>
      </c>
      <c r="Q245" s="5" t="inlineStr">
        <is>
          <t>2019</t>
        </is>
      </c>
      <c r="R245" s="5" t="inlineStr">
        <is>
          <t>2020</t>
        </is>
      </c>
      <c r="S245" s="5" t="inlineStr">
        <is>
          <t>2021</t>
        </is>
      </c>
      <c r="T245" s="5" t="inlineStr">
        <is>
          <t>2022</t>
        </is>
      </c>
      <c r="U245" s="5" t="inlineStr">
        <is>
          <t>2023</t>
        </is>
      </c>
      <c r="V245" s="5" t="inlineStr">
        <is>
          <t>2024</t>
        </is>
      </c>
      <c r="W245" s="5" t="inlineStr">
        <is>
          <t>2025</t>
        </is>
      </c>
      <c r="X245" s="5" t="inlineStr">
        <is>
          <t>2026</t>
        </is>
      </c>
      <c r="Y245" s="5" t="inlineStr">
        <is>
          <t>2027(MW)</t>
        </is>
      </c>
      <c r="Z245" s="5" t="inlineStr">
        <is>
          <t>2028(MW)</t>
        </is>
      </c>
      <c r="AA245" s="5" t="inlineStr">
        <is>
          <t>2029(MW)</t>
        </is>
      </c>
      <c r="AB245" s="5" t="inlineStr">
        <is>
          <t>2030(MW)</t>
        </is>
      </c>
      <c r="AC245" s="5" t="inlineStr">
        <is>
          <t>2031(MW)</t>
        </is>
      </c>
    </row>
    <row r="246">
      <c r="A246" s="9" t="inlineStr">
        <is>
          <t>법인세차감전 순이익</t>
        </is>
      </c>
      <c r="D246" s="12" t="n">
        <v>4764</v>
      </c>
      <c r="F246" s="12" t="n">
        <v>2864</v>
      </c>
      <c r="H246" s="12" t="n">
        <v>5915</v>
      </c>
      <c r="J246" s="12" t="n">
        <v>2807</v>
      </c>
      <c r="L246" s="12" t="n">
        <v>20148</v>
      </c>
      <c r="N246" s="12" t="n">
        <v>3714</v>
      </c>
      <c r="O246" s="12" t="n">
        <v>2360</v>
      </c>
      <c r="P246" s="12" t="n">
        <v>3392</v>
      </c>
      <c r="Q246" s="12" t="n">
        <v>3152</v>
      </c>
      <c r="R246" s="12" t="n">
        <v>4231</v>
      </c>
      <c r="S246" s="12" t="n">
        <v>-2804</v>
      </c>
      <c r="T246" s="12" t="n">
        <v>-3420</v>
      </c>
      <c r="U246" s="12" t="n">
        <v>-2877</v>
      </c>
      <c r="V246" s="12" t="n">
        <v>4764</v>
      </c>
      <c r="W246" s="12" t="n">
        <v>5915</v>
      </c>
      <c r="X246" s="12" t="n">
        <v>20148</v>
      </c>
    </row>
    <row r="247">
      <c r="A247" s="18" t="inlineStr">
        <is>
          <t>감가상각비</t>
        </is>
      </c>
      <c r="D247" s="20" t="n">
        <v>1241</v>
      </c>
      <c r="F247" s="20" t="n">
        <v>686</v>
      </c>
      <c r="H247" s="20" t="n">
        <v>1720</v>
      </c>
      <c r="J247" s="20" t="n">
        <v>2005</v>
      </c>
      <c r="L247" s="20" t="n">
        <v>4413</v>
      </c>
      <c r="N247" s="20" t="n">
        <v>2641</v>
      </c>
      <c r="O247" s="20" t="n">
        <v>440</v>
      </c>
      <c r="P247" s="20" t="n">
        <v>635</v>
      </c>
      <c r="Q247" s="20" t="n">
        <v>813</v>
      </c>
      <c r="R247" s="20" t="n">
        <v>1830</v>
      </c>
      <c r="S247" s="20" t="n">
        <v>2750</v>
      </c>
      <c r="T247" s="20" t="n">
        <v>2864</v>
      </c>
      <c r="U247" s="20" t="n">
        <v>2819</v>
      </c>
      <c r="V247" s="20" t="n">
        <v>1241</v>
      </c>
      <c r="W247" s="20" t="n">
        <v>1720</v>
      </c>
      <c r="X247" s="20" t="n">
        <v>4413</v>
      </c>
    </row>
    <row r="248">
      <c r="A248" s="18" t="inlineStr">
        <is>
          <t>고정자산 매각손익</t>
        </is>
      </c>
      <c r="O248" s="20" t="n">
        <v>0</v>
      </c>
      <c r="P248" s="20" t="n">
        <v>-487</v>
      </c>
      <c r="Q248" s="20" t="n">
        <v>0</v>
      </c>
    </row>
    <row r="249">
      <c r="A249" s="18" t="inlineStr">
        <is>
          <t>고객관계자산 상각비</t>
        </is>
      </c>
      <c r="D249" s="20" t="n">
        <v>22</v>
      </c>
      <c r="F249" s="20" t="n">
        <v>11</v>
      </c>
      <c r="H249" s="20" t="n">
        <v>27</v>
      </c>
      <c r="Q249" s="20" t="n">
        <v>0</v>
      </c>
      <c r="R249" s="20" t="n">
        <v>383</v>
      </c>
      <c r="S249" s="20" t="n">
        <v>553</v>
      </c>
      <c r="T249" s="20" t="n">
        <v>411</v>
      </c>
      <c r="U249" s="20" t="n">
        <v>333</v>
      </c>
      <c r="V249" s="20" t="n">
        <v>22</v>
      </c>
      <c r="W249" s="20" t="n">
        <v>27</v>
      </c>
    </row>
    <row r="250">
      <c r="A250" s="18" t="inlineStr">
        <is>
          <t>영업권 상각</t>
        </is>
      </c>
      <c r="D250" s="20" t="n">
        <v>13</v>
      </c>
      <c r="F250" s="20" t="n">
        <v>6</v>
      </c>
      <c r="H250" s="20" t="n">
        <v>15</v>
      </c>
      <c r="J250" s="20" t="n">
        <v>207</v>
      </c>
      <c r="L250" s="20" t="n">
        <v>422</v>
      </c>
      <c r="N250" s="20" t="n">
        <v>238</v>
      </c>
      <c r="Q250" s="20" t="n">
        <v>32</v>
      </c>
      <c r="R250" s="20" t="n">
        <v>1521</v>
      </c>
      <c r="S250" s="20" t="n">
        <v>2187</v>
      </c>
      <c r="T250" s="20" t="n">
        <v>2159</v>
      </c>
      <c r="U250" s="20" t="n">
        <v>1942</v>
      </c>
      <c r="V250" s="20" t="n">
        <v>13</v>
      </c>
      <c r="W250" s="20" t="n">
        <v>15</v>
      </c>
      <c r="X250" s="20" t="n">
        <v>422</v>
      </c>
    </row>
    <row r="251">
      <c r="A251" s="18" t="inlineStr">
        <is>
          <t>고정자산 제각손실</t>
        </is>
      </c>
      <c r="P251" s="20" t="n">
        <v>0</v>
      </c>
      <c r="Q251" s="20" t="n">
        <v>65</v>
      </c>
      <c r="R251" s="20" t="n">
        <v>58</v>
      </c>
      <c r="S251" s="20" t="n">
        <v>191</v>
      </c>
      <c r="T251" s="20" t="n">
        <v>3</v>
      </c>
    </row>
    <row r="252">
      <c r="A252" s="18" t="inlineStr">
        <is>
          <t>고정자산 처분손익</t>
        </is>
      </c>
      <c r="O252" s="20" t="n">
        <v>0</v>
      </c>
      <c r="P252" s="20" t="n">
        <v>203</v>
      </c>
      <c r="Q252" s="20" t="n">
        <v>0</v>
      </c>
    </row>
    <row r="253">
      <c r="A253" s="18" t="inlineStr">
        <is>
          <t>투자유가증권 수증이익</t>
        </is>
      </c>
      <c r="D253" s="20" t="n">
        <v>-79</v>
      </c>
      <c r="F253" s="20" t="n">
        <v>0</v>
      </c>
      <c r="H253" s="20" t="n">
        <v>0</v>
      </c>
      <c r="J253" s="20" t="n">
        <v>-31</v>
      </c>
      <c r="L253" s="20" t="n">
        <v>-31</v>
      </c>
      <c r="N253" s="20" t="n">
        <v>0</v>
      </c>
      <c r="U253" s="20" t="n">
        <v>0</v>
      </c>
      <c r="V253" s="20" t="n">
        <v>-79</v>
      </c>
      <c r="W253" s="20" t="n">
        <v>0</v>
      </c>
      <c r="X253" s="20" t="n">
        <v>-31</v>
      </c>
    </row>
    <row r="254">
      <c r="A254" s="18" t="inlineStr">
        <is>
          <t>사업정리 손실</t>
        </is>
      </c>
      <c r="D254" s="20" t="n">
        <v>4</v>
      </c>
      <c r="F254" s="20" t="n">
        <v>0</v>
      </c>
      <c r="H254" s="20" t="n">
        <v>0</v>
      </c>
      <c r="T254" s="20" t="n">
        <v>0</v>
      </c>
      <c r="U254" s="20" t="n">
        <v>3159</v>
      </c>
      <c r="V254" s="20" t="n">
        <v>4</v>
      </c>
      <c r="W254" s="20" t="n">
        <v>0</v>
      </c>
    </row>
    <row r="255">
      <c r="A255" s="18" t="inlineStr">
        <is>
          <t>단계적 취득 차손익</t>
        </is>
      </c>
      <c r="D255" s="20" t="n">
        <v>0</v>
      </c>
      <c r="F255" s="20" t="n">
        <v>-169</v>
      </c>
      <c r="H255" s="20" t="n">
        <v>-74</v>
      </c>
      <c r="J255" s="20" t="n">
        <v>0</v>
      </c>
      <c r="L255" s="20" t="n">
        <v>-189</v>
      </c>
      <c r="N255" s="20" t="n">
        <v>-114</v>
      </c>
      <c r="V255" s="20" t="n">
        <v>0</v>
      </c>
      <c r="W255" s="20" t="n">
        <v>-74</v>
      </c>
      <c r="X255" s="20" t="n">
        <v>-189</v>
      </c>
    </row>
    <row r="256">
      <c r="A256" s="18" t="inlineStr">
        <is>
          <t>지분법손익</t>
        </is>
      </c>
      <c r="D256" s="20" t="n">
        <v>-412</v>
      </c>
      <c r="F256" s="20" t="n">
        <v>45</v>
      </c>
      <c r="H256" s="20" t="n">
        <v>-32</v>
      </c>
      <c r="J256" s="20" t="n">
        <v>1</v>
      </c>
      <c r="L256" s="20" t="n">
        <v>88</v>
      </c>
      <c r="N256" s="20" t="n">
        <v>34</v>
      </c>
      <c r="U256" s="20" t="n">
        <v>0</v>
      </c>
      <c r="V256" s="20" t="n">
        <v>-412</v>
      </c>
      <c r="W256" s="20" t="n">
        <v>-32</v>
      </c>
      <c r="X256" s="20" t="n">
        <v>88</v>
      </c>
    </row>
    <row r="257">
      <c r="A257" s="18" t="inlineStr">
        <is>
          <t>수입보증금 상각이익</t>
        </is>
      </c>
      <c r="D257" s="20" t="n">
        <v>0</v>
      </c>
      <c r="T257" s="20" t="n">
        <v>0</v>
      </c>
      <c r="U257" s="20" t="n">
        <v>-120</v>
      </c>
      <c r="V257" s="20" t="n">
        <v>0</v>
      </c>
    </row>
    <row r="258">
      <c r="A258" s="18" t="inlineStr">
        <is>
          <t>손상차손</t>
        </is>
      </c>
      <c r="D258" s="20" t="n">
        <v>158</v>
      </c>
      <c r="F258" s="20" t="n">
        <v>10</v>
      </c>
      <c r="H258" s="20" t="n">
        <v>49</v>
      </c>
      <c r="J258" s="20" t="n">
        <v>23</v>
      </c>
      <c r="L258" s="20" t="n">
        <v>1027</v>
      </c>
      <c r="N258" s="20" t="n">
        <v>718</v>
      </c>
      <c r="O258" s="20" t="n">
        <v>191</v>
      </c>
      <c r="P258" s="20" t="n">
        <v>91</v>
      </c>
      <c r="Q258" s="20" t="n">
        <v>15</v>
      </c>
      <c r="R258" s="20" t="n">
        <v>663</v>
      </c>
      <c r="S258" s="20" t="n">
        <v>786</v>
      </c>
      <c r="T258" s="20" t="n">
        <v>2344</v>
      </c>
      <c r="U258" s="20" t="n">
        <v>2931</v>
      </c>
      <c r="V258" s="20" t="n">
        <v>158</v>
      </c>
      <c r="W258" s="20" t="n">
        <v>49</v>
      </c>
      <c r="X258" s="20" t="n">
        <v>1027</v>
      </c>
    </row>
    <row r="259">
      <c r="A259" s="18" t="inlineStr">
        <is>
          <t>투자유가증권 평가손익</t>
        </is>
      </c>
      <c r="P259" s="20" t="n">
        <v>0</v>
      </c>
      <c r="Q259" s="20" t="n">
        <v>821</v>
      </c>
      <c r="R259" s="20" t="n">
        <v>215</v>
      </c>
      <c r="S259" s="20" t="n">
        <v>180</v>
      </c>
      <c r="T259" s="20" t="n">
        <v>49</v>
      </c>
      <c r="U259" s="20" t="n">
        <v>0</v>
      </c>
    </row>
    <row r="260">
      <c r="A260" s="18" t="inlineStr">
        <is>
          <t>대손충당금 증감</t>
        </is>
      </c>
      <c r="O260" s="20" t="n">
        <v>5</v>
      </c>
      <c r="P260" s="20" t="n">
        <v>-22</v>
      </c>
      <c r="Q260" s="20" t="n">
        <v>0</v>
      </c>
      <c r="R260" s="20" t="n">
        <v>-29</v>
      </c>
    </row>
    <row r="261">
      <c r="A261" s="18" t="inlineStr">
        <is>
          <t>사채발행비</t>
        </is>
      </c>
      <c r="O261" s="20" t="n">
        <v>46</v>
      </c>
      <c r="P261" s="20" t="n">
        <v>16</v>
      </c>
      <c r="Q261" s="20" t="n">
        <v>46</v>
      </c>
      <c r="R261" s="20" t="n">
        <v>0</v>
      </c>
    </row>
    <row r="262">
      <c r="A262" s="18" t="inlineStr">
        <is>
          <t>채권포기 손실</t>
        </is>
      </c>
      <c r="D262" s="20" t="n">
        <v>0</v>
      </c>
      <c r="T262" s="20" t="n">
        <v>0</v>
      </c>
      <c r="U262" s="20" t="n">
        <v>271</v>
      </c>
      <c r="V262" s="20" t="n">
        <v>0</v>
      </c>
    </row>
    <row r="263">
      <c r="A263" s="18" t="inlineStr">
        <is>
          <t>투자유가증권 매각손익</t>
        </is>
      </c>
      <c r="F263" s="20" t="n">
        <v>-83</v>
      </c>
      <c r="J263" s="20" t="n">
        <v>-4</v>
      </c>
      <c r="P263" s="20" t="n">
        <v>0</v>
      </c>
      <c r="Q263" s="20" t="n">
        <v>-15</v>
      </c>
      <c r="R263" s="20" t="n">
        <v>-397</v>
      </c>
      <c r="S263" s="20" t="n">
        <v>0</v>
      </c>
    </row>
    <row r="264">
      <c r="A264" s="18" t="inlineStr">
        <is>
          <t>관계회사 주식 매각손익</t>
        </is>
      </c>
      <c r="P264" s="20" t="n">
        <v>0</v>
      </c>
      <c r="Q264" s="20" t="n">
        <v>13</v>
      </c>
      <c r="R264" s="20" t="n">
        <v>0</v>
      </c>
    </row>
    <row r="265">
      <c r="A265" s="18" t="inlineStr">
        <is>
          <t>투자유가증권 매각·평가손익</t>
        </is>
      </c>
      <c r="D265" s="20" t="n">
        <v>0</v>
      </c>
      <c r="H265" s="20" t="n">
        <v>-65</v>
      </c>
      <c r="J265" s="20" t="n">
        <v>-4</v>
      </c>
      <c r="L265" s="20" t="n">
        <v>-24</v>
      </c>
      <c r="N265" s="20" t="n">
        <v>27</v>
      </c>
      <c r="V265" s="20" t="n">
        <v>0</v>
      </c>
      <c r="W265" s="20" t="n">
        <v>-65</v>
      </c>
      <c r="X265" s="20" t="n">
        <v>-24</v>
      </c>
    </row>
    <row r="266">
      <c r="A266" s="18" t="inlineStr">
        <is>
          <t>고정자산 매각이익</t>
        </is>
      </c>
      <c r="D266" s="20" t="n">
        <v>0</v>
      </c>
      <c r="H266" s="20" t="n">
        <v>0</v>
      </c>
      <c r="L266" s="20" t="n">
        <v>-11863</v>
      </c>
      <c r="R266" s="20" t="n">
        <v>-1</v>
      </c>
      <c r="S266" s="20" t="n">
        <v>-1054</v>
      </c>
      <c r="T266" s="20" t="n">
        <v>-322</v>
      </c>
      <c r="U266" s="20" t="n">
        <v>-914</v>
      </c>
      <c r="V266" s="20" t="n">
        <v>0</v>
      </c>
      <c r="W266" s="20" t="n">
        <v>0</v>
      </c>
      <c r="X266" s="20" t="n">
        <v>-11863</v>
      </c>
    </row>
    <row r="267">
      <c r="A267" s="18" t="inlineStr">
        <is>
          <t>이자·배당금 수익</t>
        </is>
      </c>
      <c r="D267" s="20" t="n">
        <v>-16</v>
      </c>
      <c r="F267" s="20" t="n">
        <v>-26</v>
      </c>
      <c r="H267" s="20" t="n">
        <v>-46</v>
      </c>
      <c r="J267" s="20" t="n">
        <v>-191</v>
      </c>
      <c r="L267" s="20" t="n">
        <v>-244</v>
      </c>
      <c r="N267" s="20" t="n">
        <v>-308</v>
      </c>
      <c r="O267" s="20" t="n">
        <v>-8</v>
      </c>
      <c r="P267" s="20" t="n">
        <v>-8</v>
      </c>
      <c r="Q267" s="20" t="n">
        <v>-58</v>
      </c>
      <c r="R267" s="20" t="n">
        <v>-13</v>
      </c>
      <c r="S267" s="20" t="n">
        <v>-6</v>
      </c>
      <c r="T267" s="20" t="n">
        <v>-6</v>
      </c>
      <c r="U267" s="20" t="n">
        <v>-28</v>
      </c>
      <c r="V267" s="20" t="n">
        <v>-16</v>
      </c>
      <c r="W267" s="20" t="n">
        <v>-46</v>
      </c>
      <c r="X267" s="20" t="n">
        <v>-244</v>
      </c>
    </row>
    <row r="268">
      <c r="A268" s="18" t="inlineStr">
        <is>
          <t>이자비용</t>
        </is>
      </c>
      <c r="O268" s="20" t="n">
        <v>117</v>
      </c>
      <c r="P268" s="20" t="n">
        <v>144</v>
      </c>
      <c r="Q268" s="20" t="n">
        <v>186</v>
      </c>
      <c r="R268" s="20" t="n">
        <v>411</v>
      </c>
    </row>
    <row r="269">
      <c r="A269" s="18" t="inlineStr">
        <is>
          <t>사채이자</t>
        </is>
      </c>
      <c r="Q269" s="20" t="n">
        <v>24</v>
      </c>
      <c r="R269" s="20" t="n">
        <v>24</v>
      </c>
    </row>
    <row r="270">
      <c r="A270" s="18" t="inlineStr">
        <is>
          <t>이자비용·사채이자</t>
        </is>
      </c>
      <c r="D270" s="20" t="n">
        <v>269</v>
      </c>
      <c r="F270" s="20" t="n">
        <v>148</v>
      </c>
      <c r="H270" s="20" t="n">
        <v>353</v>
      </c>
      <c r="J270" s="20" t="n">
        <v>442</v>
      </c>
      <c r="L270" s="20" t="n">
        <v>935</v>
      </c>
      <c r="N270" s="20" t="n">
        <v>641</v>
      </c>
      <c r="R270" s="20" t="n">
        <v>436</v>
      </c>
      <c r="S270" s="20" t="n">
        <v>600</v>
      </c>
      <c r="T270" s="20" t="n">
        <v>554</v>
      </c>
      <c r="U270" s="20" t="n">
        <v>550</v>
      </c>
      <c r="V270" s="20" t="n">
        <v>269</v>
      </c>
      <c r="W270" s="20" t="n">
        <v>353</v>
      </c>
      <c r="X270" s="20" t="n">
        <v>935</v>
      </c>
    </row>
    <row r="271">
      <c r="A271" s="18" t="inlineStr">
        <is>
          <t>매출채권 증감</t>
        </is>
      </c>
      <c r="D271" s="20" t="n">
        <v>-451</v>
      </c>
      <c r="F271" s="20" t="n">
        <v>665</v>
      </c>
      <c r="H271" s="20" t="n">
        <v>-1215</v>
      </c>
      <c r="J271" s="20" t="n">
        <v>1220</v>
      </c>
      <c r="L271" s="20" t="n">
        <v>324</v>
      </c>
      <c r="N271" s="20" t="n">
        <v>537</v>
      </c>
      <c r="O271" s="20" t="n">
        <v>-593</v>
      </c>
      <c r="P271" s="20" t="n">
        <v>-637</v>
      </c>
      <c r="Q271" s="20" t="n">
        <v>-485</v>
      </c>
      <c r="R271" s="20" t="n">
        <v>-638</v>
      </c>
      <c r="S271" s="20" t="n">
        <v>792</v>
      </c>
      <c r="T271" s="20" t="n">
        <v>-237</v>
      </c>
      <c r="U271" s="20" t="n">
        <v>-163</v>
      </c>
      <c r="V271" s="20" t="n">
        <v>-451</v>
      </c>
      <c r="W271" s="20" t="n">
        <v>-1215</v>
      </c>
      <c r="X271" s="20" t="n">
        <v>324</v>
      </c>
    </row>
    <row r="272">
      <c r="A272" s="18" t="inlineStr">
        <is>
          <t>재고자산 증감</t>
        </is>
      </c>
      <c r="O272" s="20" t="n">
        <v>-6</v>
      </c>
      <c r="P272" s="20" t="n">
        <v>-27</v>
      </c>
    </row>
    <row r="273">
      <c r="A273" s="18" t="inlineStr">
        <is>
          <t>미수금 증감</t>
        </is>
      </c>
      <c r="F273" s="20" t="n">
        <v>-45</v>
      </c>
      <c r="R273" s="20" t="n">
        <v>51</v>
      </c>
      <c r="S273" s="20" t="n">
        <v>432</v>
      </c>
      <c r="T273" s="20" t="n">
        <v>-2270</v>
      </c>
      <c r="U273" s="20" t="n">
        <v>-158</v>
      </c>
    </row>
    <row r="274">
      <c r="A274" s="18" t="inlineStr">
        <is>
          <t>선급비용 증감</t>
        </is>
      </c>
      <c r="D274" s="20" t="n">
        <v>-131</v>
      </c>
      <c r="F274" s="20" t="n">
        <v>123</v>
      </c>
      <c r="H274" s="20" t="n">
        <v>-240</v>
      </c>
      <c r="J274" s="20" t="n">
        <v>-42</v>
      </c>
      <c r="O274" s="20" t="n">
        <v>-110</v>
      </c>
      <c r="P274" s="20" t="n">
        <v>-601</v>
      </c>
      <c r="Q274" s="20" t="n">
        <v>-352</v>
      </c>
      <c r="R274" s="20" t="n">
        <v>-1026</v>
      </c>
      <c r="S274" s="20" t="n">
        <v>-40</v>
      </c>
      <c r="T274" s="20" t="n">
        <v>-212</v>
      </c>
      <c r="U274" s="20" t="n">
        <v>-49</v>
      </c>
      <c r="V274" s="20" t="n">
        <v>-131</v>
      </c>
      <c r="W274" s="20" t="n">
        <v>-240</v>
      </c>
    </row>
    <row r="275">
      <c r="A275" s="18" t="inlineStr">
        <is>
          <t>입체금 증감</t>
        </is>
      </c>
      <c r="F275" s="20" t="n">
        <v>-101</v>
      </c>
    </row>
    <row r="276">
      <c r="A276" s="18" t="inlineStr">
        <is>
          <t>매입채무 증감</t>
        </is>
      </c>
      <c r="D276" s="20" t="n">
        <v>209</v>
      </c>
      <c r="F276" s="20" t="n">
        <v>-158</v>
      </c>
      <c r="H276" s="20" t="n">
        <v>-34</v>
      </c>
      <c r="J276" s="20" t="n">
        <v>-98</v>
      </c>
      <c r="L276" s="20" t="n">
        <v>501</v>
      </c>
      <c r="N276" s="20" t="n">
        <v>-1754</v>
      </c>
      <c r="O276" s="20" t="n">
        <v>-22</v>
      </c>
      <c r="P276" s="20" t="n">
        <v>70</v>
      </c>
      <c r="Q276" s="20" t="n">
        <v>81</v>
      </c>
      <c r="R276" s="20" t="n">
        <v>509</v>
      </c>
      <c r="S276" s="20" t="n">
        <v>-211</v>
      </c>
      <c r="T276" s="20" t="n">
        <v>-28</v>
      </c>
      <c r="U276" s="20" t="n">
        <v>129</v>
      </c>
      <c r="V276" s="20" t="n">
        <v>209</v>
      </c>
      <c r="W276" s="20" t="n">
        <v>-34</v>
      </c>
      <c r="X276" s="20" t="n">
        <v>501</v>
      </c>
    </row>
    <row r="277">
      <c r="A277" s="18" t="inlineStr">
        <is>
          <t>미지급금 증감</t>
        </is>
      </c>
      <c r="D277" s="20" t="n">
        <v>-111</v>
      </c>
      <c r="F277" s="20" t="n">
        <v>-335</v>
      </c>
      <c r="H277" s="20" t="n">
        <v>-196</v>
      </c>
      <c r="J277" s="20" t="n">
        <v>-112</v>
      </c>
      <c r="O277" s="20" t="n">
        <v>139</v>
      </c>
      <c r="P277" s="20" t="n">
        <v>304</v>
      </c>
      <c r="Q277" s="20" t="n">
        <v>20</v>
      </c>
      <c r="R277" s="20" t="n">
        <v>0</v>
      </c>
      <c r="S277" s="20" t="n">
        <v>934</v>
      </c>
      <c r="T277" s="20" t="n">
        <v>-760</v>
      </c>
      <c r="U277" s="20" t="n">
        <v>269</v>
      </c>
      <c r="V277" s="20" t="n">
        <v>-111</v>
      </c>
      <c r="W277" s="20" t="n">
        <v>-196</v>
      </c>
    </row>
    <row r="278">
      <c r="A278" s="18" t="inlineStr">
        <is>
          <t>미지급비용 증감</t>
        </is>
      </c>
      <c r="D278" s="20" t="n">
        <v>244</v>
      </c>
      <c r="F278" s="20" t="n">
        <v>44</v>
      </c>
      <c r="H278" s="20" t="n">
        <v>22</v>
      </c>
      <c r="O278" s="20" t="n">
        <v>48</v>
      </c>
      <c r="P278" s="20" t="n">
        <v>155</v>
      </c>
      <c r="Q278" s="20" t="n">
        <v>41</v>
      </c>
      <c r="R278" s="20" t="n">
        <v>386</v>
      </c>
      <c r="S278" s="20" t="n">
        <v>508</v>
      </c>
      <c r="T278" s="20" t="n">
        <v>-350</v>
      </c>
      <c r="U278" s="20" t="n">
        <v>384</v>
      </c>
      <c r="V278" s="20" t="n">
        <v>244</v>
      </c>
      <c r="W278" s="20" t="n">
        <v>22</v>
      </c>
    </row>
    <row r="279">
      <c r="A279" s="18" t="inlineStr">
        <is>
          <t>선수금 증감</t>
        </is>
      </c>
      <c r="O279" s="20" t="n">
        <v>7</v>
      </c>
      <c r="P279" s="20" t="n">
        <v>87</v>
      </c>
      <c r="Q279" s="20" t="n">
        <v>-13</v>
      </c>
      <c r="R279" s="20" t="n">
        <v>480</v>
      </c>
    </row>
    <row r="280">
      <c r="A280" s="18" t="inlineStr">
        <is>
          <t>미지급 소비세 증감</t>
        </is>
      </c>
      <c r="D280" s="20" t="n">
        <v>-195</v>
      </c>
      <c r="F280" s="20" t="n">
        <v>-250</v>
      </c>
      <c r="H280" s="20" t="n">
        <v>-133</v>
      </c>
      <c r="J280" s="20" t="n">
        <v>-125</v>
      </c>
      <c r="L280" s="20" t="n">
        <v>1110</v>
      </c>
      <c r="N280" s="20" t="n">
        <v>-1062</v>
      </c>
      <c r="R280" s="20" t="n">
        <v>114</v>
      </c>
      <c r="S280" s="20" t="n">
        <v>1527</v>
      </c>
      <c r="T280" s="20" t="n">
        <v>-569</v>
      </c>
      <c r="U280" s="20" t="n">
        <v>41</v>
      </c>
      <c r="V280" s="20" t="n">
        <v>-195</v>
      </c>
      <c r="W280" s="20" t="n">
        <v>-133</v>
      </c>
      <c r="X280" s="20" t="n">
        <v>1110</v>
      </c>
    </row>
    <row r="281">
      <c r="A281" s="18" t="inlineStr">
        <is>
          <t>미지급법인세(외형표준과세) 증감</t>
        </is>
      </c>
      <c r="D281" s="20" t="n">
        <v>9</v>
      </c>
      <c r="F281" s="20" t="n">
        <v>18</v>
      </c>
      <c r="H281" s="20" t="n">
        <v>53</v>
      </c>
      <c r="J281" s="20" t="n">
        <v>-14</v>
      </c>
      <c r="L281" s="20" t="n">
        <v>197</v>
      </c>
      <c r="N281" s="20" t="n">
        <v>-40</v>
      </c>
      <c r="R281" s="20" t="n">
        <v>197</v>
      </c>
      <c r="S281" s="20" t="n">
        <v>377</v>
      </c>
      <c r="T281" s="20" t="n">
        <v>-323</v>
      </c>
      <c r="U281" s="20" t="n">
        <v>8</v>
      </c>
      <c r="V281" s="20" t="n">
        <v>9</v>
      </c>
      <c r="W281" s="20" t="n">
        <v>53</v>
      </c>
      <c r="X281" s="20" t="n">
        <v>197</v>
      </c>
    </row>
    <row r="282">
      <c r="A282" s="18" t="inlineStr">
        <is>
          <t>계약부채 증감</t>
        </is>
      </c>
      <c r="D282" s="20" t="n">
        <v>229</v>
      </c>
      <c r="F282" s="20" t="n">
        <v>209</v>
      </c>
      <c r="U282" s="20" t="n">
        <v>-340</v>
      </c>
      <c r="V282" s="20" t="n">
        <v>229</v>
      </c>
    </row>
    <row r="283">
      <c r="A283" s="18" t="inlineStr">
        <is>
          <t>계약부채 증감</t>
        </is>
      </c>
      <c r="D283" s="20" t="n">
        <v>229</v>
      </c>
      <c r="F283" s="20" t="n">
        <v>209</v>
      </c>
      <c r="H283" s="20" t="n">
        <v>-135</v>
      </c>
      <c r="J283" s="20" t="n">
        <v>394</v>
      </c>
      <c r="L283" s="20" t="n">
        <v>-312</v>
      </c>
      <c r="N283" s="20" t="n">
        <v>391</v>
      </c>
      <c r="V283" s="20" t="n">
        <v>229</v>
      </c>
      <c r="W283" s="20" t="n">
        <v>-135</v>
      </c>
      <c r="X283" s="20" t="n">
        <v>-312</v>
      </c>
    </row>
    <row r="284">
      <c r="A284" s="18" t="inlineStr">
        <is>
          <t>기타</t>
        </is>
      </c>
      <c r="D284" s="20" t="n">
        <v>-257</v>
      </c>
      <c r="F284" s="20" t="n">
        <v>131</v>
      </c>
      <c r="H284" s="20" t="n">
        <v>-258</v>
      </c>
      <c r="J284" s="20" t="n">
        <v>443</v>
      </c>
      <c r="L284" s="20" t="n">
        <v>1546</v>
      </c>
      <c r="N284" s="20" t="n">
        <v>-594</v>
      </c>
      <c r="O284" s="20" t="n">
        <v>-105</v>
      </c>
      <c r="P284" s="20" t="n">
        <v>-52</v>
      </c>
      <c r="Q284" s="20" t="n">
        <v>-25</v>
      </c>
      <c r="R284" s="20" t="n">
        <v>1078</v>
      </c>
      <c r="S284" s="20" t="n">
        <v>347</v>
      </c>
      <c r="T284" s="20" t="n">
        <v>841</v>
      </c>
      <c r="U284" s="20" t="n">
        <v>484</v>
      </c>
      <c r="V284" s="20" t="n">
        <v>-257</v>
      </c>
      <c r="W284" s="20" t="n">
        <v>-258</v>
      </c>
      <c r="X284" s="20" t="n">
        <v>1546</v>
      </c>
    </row>
    <row r="285">
      <c r="A285" s="18" t="inlineStr">
        <is>
          <t>소계</t>
        </is>
      </c>
      <c r="D285" s="20" t="n">
        <v>5511</v>
      </c>
      <c r="F285" s="20" t="n">
        <v>3868</v>
      </c>
      <c r="H285" s="20" t="n">
        <v>6112</v>
      </c>
      <c r="J285" s="20" t="n">
        <v>7080</v>
      </c>
      <c r="L285" s="20" t="n">
        <v>18049</v>
      </c>
      <c r="N285" s="20" t="n">
        <v>5070</v>
      </c>
      <c r="O285" s="20" t="n">
        <v>2510</v>
      </c>
      <c r="P285" s="20" t="n">
        <v>3292</v>
      </c>
      <c r="Q285" s="20" t="n">
        <v>4364</v>
      </c>
      <c r="R285" s="20" t="n">
        <v>9600</v>
      </c>
      <c r="S285" s="20" t="n">
        <v>8053</v>
      </c>
      <c r="T285" s="20" t="n">
        <v>721</v>
      </c>
      <c r="U285" s="20" t="n">
        <v>8833</v>
      </c>
      <c r="V285" s="20" t="n">
        <v>5511</v>
      </c>
      <c r="W285" s="20" t="n">
        <v>6112</v>
      </c>
      <c r="X285" s="20" t="n">
        <v>18049</v>
      </c>
    </row>
    <row r="286">
      <c r="A286" s="18" t="inlineStr">
        <is>
          <t>이자·배당금 수취</t>
        </is>
      </c>
      <c r="D286" s="20" t="n">
        <v>16</v>
      </c>
      <c r="F286" s="20" t="n">
        <v>26</v>
      </c>
      <c r="H286" s="20" t="n">
        <v>94</v>
      </c>
      <c r="J286" s="20" t="n">
        <v>191</v>
      </c>
      <c r="L286" s="20" t="n">
        <v>219</v>
      </c>
      <c r="N286" s="20" t="n">
        <v>119</v>
      </c>
      <c r="O286" s="20" t="n">
        <v>8</v>
      </c>
      <c r="P286" s="20" t="n">
        <v>8</v>
      </c>
      <c r="Q286" s="20" t="n">
        <v>58</v>
      </c>
      <c r="R286" s="20" t="n">
        <v>13</v>
      </c>
      <c r="S286" s="20" t="n">
        <v>6</v>
      </c>
      <c r="T286" s="20" t="n">
        <v>6</v>
      </c>
      <c r="U286" s="20" t="n">
        <v>28</v>
      </c>
      <c r="V286" s="20" t="n">
        <v>16</v>
      </c>
      <c r="W286" s="20" t="n">
        <v>94</v>
      </c>
      <c r="X286" s="20" t="n">
        <v>219</v>
      </c>
    </row>
    <row r="287">
      <c r="A287" s="18" t="inlineStr">
        <is>
          <t>이자 지급</t>
        </is>
      </c>
      <c r="D287" s="20" t="n">
        <v>-273</v>
      </c>
      <c r="F287" s="20" t="n">
        <v>-149</v>
      </c>
      <c r="H287" s="20" t="n">
        <v>-362</v>
      </c>
      <c r="J287" s="20" t="n">
        <v>-426</v>
      </c>
      <c r="L287" s="20" t="n">
        <v>-921</v>
      </c>
      <c r="N287" s="20" t="n">
        <v>-638</v>
      </c>
      <c r="O287" s="20" t="n">
        <v>-118</v>
      </c>
      <c r="P287" s="20" t="n">
        <v>-144</v>
      </c>
      <c r="Q287" s="20" t="n">
        <v>-208</v>
      </c>
      <c r="R287" s="20" t="n">
        <v>-432</v>
      </c>
      <c r="S287" s="20" t="n">
        <v>-598</v>
      </c>
      <c r="T287" s="20" t="n">
        <v>-558</v>
      </c>
      <c r="U287" s="20" t="n">
        <v>-551</v>
      </c>
      <c r="V287" s="20" t="n">
        <v>-273</v>
      </c>
      <c r="W287" s="20" t="n">
        <v>-362</v>
      </c>
      <c r="X287" s="20" t="n">
        <v>-921</v>
      </c>
    </row>
    <row r="288">
      <c r="A288" s="18" t="inlineStr">
        <is>
          <t>사업정리 손실 지급</t>
        </is>
      </c>
      <c r="D288" s="20" t="n">
        <v>0</v>
      </c>
      <c r="T288" s="20" t="n">
        <v>0</v>
      </c>
      <c r="U288" s="20" t="n">
        <v>-2957</v>
      </c>
      <c r="V288" s="20" t="n">
        <v>0</v>
      </c>
    </row>
    <row r="289">
      <c r="A289" s="18" t="inlineStr">
        <is>
          <t>법인세 납부</t>
        </is>
      </c>
      <c r="D289" s="20" t="n">
        <v>-1536</v>
      </c>
      <c r="F289" s="20" t="n">
        <v>-170</v>
      </c>
      <c r="H289" s="20" t="n">
        <v>-748</v>
      </c>
      <c r="J289" s="20" t="n">
        <v>-2113</v>
      </c>
      <c r="L289" s="20" t="n">
        <v>-3418</v>
      </c>
      <c r="N289" s="20" t="n">
        <v>-3729</v>
      </c>
      <c r="O289" s="20" t="n">
        <v>-1303</v>
      </c>
      <c r="P289" s="20" t="n">
        <v>-1161</v>
      </c>
      <c r="Q289" s="20" t="n">
        <v>-1728</v>
      </c>
      <c r="R289" s="20" t="n">
        <v>-2198</v>
      </c>
      <c r="S289" s="20" t="n">
        <v>-599</v>
      </c>
      <c r="T289" s="20" t="n">
        <v>-3329</v>
      </c>
      <c r="U289" s="20" t="n">
        <v>-918</v>
      </c>
      <c r="V289" s="20" t="n">
        <v>-1536</v>
      </c>
      <c r="W289" s="20" t="n">
        <v>-748</v>
      </c>
      <c r="X289" s="20" t="n">
        <v>-3418</v>
      </c>
    </row>
    <row r="290">
      <c r="A290" s="18" t="inlineStr">
        <is>
          <t>법인세 환급</t>
        </is>
      </c>
      <c r="D290" s="20" t="n">
        <v>3</v>
      </c>
      <c r="F290" s="20" t="n">
        <v>0</v>
      </c>
      <c r="H290" s="20" t="n">
        <v>0</v>
      </c>
      <c r="J290" s="20" t="n">
        <v>28</v>
      </c>
      <c r="L290" s="20" t="n">
        <v>28</v>
      </c>
      <c r="N290" s="20" t="n">
        <v>0</v>
      </c>
      <c r="R290" s="20" t="n">
        <v>5</v>
      </c>
      <c r="S290" s="20" t="n">
        <v>159</v>
      </c>
      <c r="T290" s="20" t="n">
        <v>266</v>
      </c>
      <c r="U290" s="20" t="n">
        <v>415</v>
      </c>
      <c r="V290" s="20" t="n">
        <v>3</v>
      </c>
      <c r="W290" s="20" t="n">
        <v>0</v>
      </c>
      <c r="X290" s="20" t="n">
        <v>28</v>
      </c>
    </row>
    <row r="291">
      <c r="A291" s="9" t="inlineStr">
        <is>
          <t>영업활동 현금흐름</t>
        </is>
      </c>
      <c r="D291" s="12" t="n">
        <v>3722</v>
      </c>
      <c r="F291" s="12" t="n">
        <v>3575</v>
      </c>
      <c r="H291" s="12" t="n">
        <v>5095</v>
      </c>
      <c r="J291" s="12" t="n">
        <v>4761</v>
      </c>
      <c r="L291" s="12" t="n">
        <v>13957</v>
      </c>
      <c r="N291" s="12" t="n">
        <v>823</v>
      </c>
      <c r="O291" s="12" t="n">
        <v>1096</v>
      </c>
      <c r="P291" s="12" t="n">
        <v>1995</v>
      </c>
      <c r="Q291" s="12" t="n">
        <v>2485</v>
      </c>
      <c r="R291" s="12" t="n">
        <v>6989</v>
      </c>
      <c r="S291" s="12" t="n">
        <v>7022</v>
      </c>
      <c r="T291" s="12" t="n">
        <v>-2892</v>
      </c>
      <c r="U291" s="12" t="n">
        <v>4849</v>
      </c>
      <c r="V291" s="12" t="n">
        <v>3722</v>
      </c>
      <c r="W291" s="12" t="n">
        <v>5095</v>
      </c>
      <c r="X291" s="12" t="n">
        <v>13957</v>
      </c>
    </row>
    <row r="292">
      <c r="A292" s="18" t="inlineStr">
        <is>
          <t>유형자산 취득(설비투자)</t>
        </is>
      </c>
      <c r="D292" s="20" t="n">
        <v>-1404</v>
      </c>
      <c r="F292" s="20" t="n">
        <v>-8023</v>
      </c>
      <c r="H292" s="20" t="n">
        <v>-16150</v>
      </c>
      <c r="J292" s="20" t="n">
        <v>-6793</v>
      </c>
      <c r="L292" s="20" t="n">
        <v>-9742</v>
      </c>
      <c r="N292" s="20" t="n">
        <v>-6458</v>
      </c>
      <c r="O292" s="20" t="n">
        <v>-6769</v>
      </c>
      <c r="P292" s="20" t="n">
        <v>-9498</v>
      </c>
      <c r="Q292" s="20" t="n">
        <v>-9515</v>
      </c>
      <c r="R292" s="20" t="n">
        <v>-9808</v>
      </c>
      <c r="S292" s="20" t="n">
        <v>-4922</v>
      </c>
      <c r="T292" s="20" t="n">
        <v>-1510</v>
      </c>
      <c r="U292" s="20" t="n">
        <v>-1311</v>
      </c>
      <c r="V292" s="20" t="n">
        <v>-1404</v>
      </c>
      <c r="W292" s="20" t="n">
        <v>-16150</v>
      </c>
      <c r="X292" s="20" t="n">
        <v>-9742</v>
      </c>
    </row>
    <row r="293">
      <c r="A293" s="18" t="inlineStr">
        <is>
          <t>유형자산 매각</t>
        </is>
      </c>
      <c r="D293" s="20" t="n">
        <v>0</v>
      </c>
      <c r="H293" s="20" t="n">
        <v>0</v>
      </c>
      <c r="L293" s="20" t="n">
        <v>13941</v>
      </c>
      <c r="O293" s="20" t="n">
        <v>0</v>
      </c>
      <c r="P293" s="20" t="n">
        <v>3130</v>
      </c>
      <c r="Q293" s="20" t="n">
        <v>4</v>
      </c>
      <c r="R293" s="20" t="n">
        <v>5</v>
      </c>
      <c r="S293" s="20" t="n">
        <v>4034</v>
      </c>
      <c r="T293" s="20" t="n">
        <v>2930</v>
      </c>
      <c r="U293" s="20" t="n">
        <v>1210</v>
      </c>
      <c r="V293" s="20" t="n">
        <v>0</v>
      </c>
      <c r="W293" s="20" t="n">
        <v>0</v>
      </c>
      <c r="X293" s="20" t="n">
        <v>13941</v>
      </c>
    </row>
    <row r="294">
      <c r="A294" s="18" t="inlineStr">
        <is>
          <t>무형자산 취득</t>
        </is>
      </c>
      <c r="O294" s="20" t="n">
        <v>-31</v>
      </c>
      <c r="P294" s="20" t="n">
        <v>-83</v>
      </c>
    </row>
    <row r="295">
      <c r="A295" s="18" t="inlineStr">
        <is>
          <t>투자유가증권 취득</t>
        </is>
      </c>
      <c r="D295" s="20" t="n">
        <v>-3259</v>
      </c>
      <c r="F295" s="20" t="n">
        <v>-3423</v>
      </c>
      <c r="H295" s="20" t="n">
        <v>-7619</v>
      </c>
      <c r="J295" s="20" t="n">
        <v>-577</v>
      </c>
      <c r="L295" s="20" t="n">
        <v>-3332</v>
      </c>
      <c r="N295" s="20" t="n">
        <v>-754</v>
      </c>
      <c r="O295" s="20" t="n">
        <v>-400</v>
      </c>
      <c r="P295" s="20" t="n">
        <v>-1058</v>
      </c>
      <c r="Q295" s="20" t="n">
        <v>-9</v>
      </c>
      <c r="R295" s="20" t="n">
        <v>-50</v>
      </c>
      <c r="S295" s="20" t="n">
        <v>-572</v>
      </c>
      <c r="T295" s="20" t="n">
        <v>0</v>
      </c>
      <c r="U295" s="20" t="n">
        <v>-499</v>
      </c>
      <c r="V295" s="20" t="n">
        <v>-3259</v>
      </c>
      <c r="W295" s="20" t="n">
        <v>-7619</v>
      </c>
      <c r="X295" s="20" t="n">
        <v>-3332</v>
      </c>
    </row>
    <row r="296">
      <c r="A296" s="18" t="inlineStr">
        <is>
          <t>장기대여</t>
        </is>
      </c>
      <c r="O296" s="20" t="n">
        <v>0</v>
      </c>
      <c r="P296" s="20" t="n">
        <v>-178</v>
      </c>
    </row>
    <row r="297">
      <c r="A297" s="18" t="inlineStr">
        <is>
          <t>투자유가증권 매각</t>
        </is>
      </c>
      <c r="D297" s="20" t="n">
        <v>0</v>
      </c>
      <c r="F297" s="20" t="n">
        <v>106</v>
      </c>
      <c r="H297" s="20" t="n">
        <v>2222</v>
      </c>
      <c r="J297" s="20" t="n">
        <v>85</v>
      </c>
      <c r="L297" s="20" t="n">
        <v>210</v>
      </c>
      <c r="N297" s="20" t="n">
        <v>0</v>
      </c>
      <c r="Q297" s="20" t="n">
        <v>0</v>
      </c>
      <c r="R297" s="20" t="n">
        <v>399</v>
      </c>
      <c r="S297" s="20" t="n">
        <v>0</v>
      </c>
      <c r="V297" s="20" t="n">
        <v>0</v>
      </c>
      <c r="W297" s="20" t="n">
        <v>2222</v>
      </c>
      <c r="X297" s="20" t="n">
        <v>210</v>
      </c>
    </row>
    <row r="298">
      <c r="A298" s="18" t="inlineStr">
        <is>
          <t>예수보증금 수입</t>
        </is>
      </c>
      <c r="Q298" s="20" t="n">
        <v>0</v>
      </c>
      <c r="R298" s="20" t="n">
        <v>262</v>
      </c>
    </row>
    <row r="299">
      <c r="A299" s="18" t="inlineStr">
        <is>
          <t>장기대여금 회수</t>
        </is>
      </c>
      <c r="D299" s="20" t="n">
        <v>2</v>
      </c>
      <c r="H299" s="20" t="n">
        <v>74</v>
      </c>
      <c r="L299" s="20" t="n">
        <v>26</v>
      </c>
      <c r="O299" s="20" t="n">
        <v>16</v>
      </c>
      <c r="P299" s="20" t="n">
        <v>43</v>
      </c>
      <c r="T299" s="20" t="n">
        <v>22</v>
      </c>
      <c r="U299" s="20" t="n">
        <v>3116</v>
      </c>
      <c r="V299" s="20" t="n">
        <v>2</v>
      </c>
      <c r="W299" s="20" t="n">
        <v>74</v>
      </c>
      <c r="X299" s="20" t="n">
        <v>26</v>
      </c>
    </row>
    <row r="300">
      <c r="A300" s="18" t="inlineStr">
        <is>
          <t>임차보증금·보증금 납입</t>
        </is>
      </c>
      <c r="D300" s="20" t="n">
        <v>-1567</v>
      </c>
      <c r="F300" s="20" t="n">
        <v>-369</v>
      </c>
      <c r="H300" s="20" t="n">
        <v>-840</v>
      </c>
      <c r="J300" s="20" t="n">
        <v>-2063</v>
      </c>
      <c r="L300" s="20" t="n">
        <v>-2966</v>
      </c>
      <c r="N300" s="20" t="n">
        <v>-432</v>
      </c>
      <c r="O300" s="20" t="n">
        <v>-776</v>
      </c>
      <c r="P300" s="20" t="n">
        <v>-983</v>
      </c>
      <c r="Q300" s="20" t="n">
        <v>-1656</v>
      </c>
      <c r="R300" s="20" t="n">
        <v>-4104</v>
      </c>
      <c r="S300" s="20" t="n">
        <v>-572</v>
      </c>
      <c r="T300" s="20" t="n">
        <v>-462</v>
      </c>
      <c r="U300" s="20" t="n">
        <v>-259</v>
      </c>
      <c r="V300" s="20" t="n">
        <v>-1567</v>
      </c>
      <c r="W300" s="20" t="n">
        <v>-840</v>
      </c>
      <c r="X300" s="20" t="n">
        <v>-2966</v>
      </c>
    </row>
    <row r="301">
      <c r="A301" s="18" t="inlineStr">
        <is>
          <t>임차보증금·보증금 회수</t>
        </is>
      </c>
      <c r="D301" s="20" t="n">
        <v>818</v>
      </c>
      <c r="F301" s="20" t="n">
        <v>80</v>
      </c>
      <c r="H301" s="20" t="n">
        <v>215</v>
      </c>
      <c r="J301" s="20" t="n">
        <v>111</v>
      </c>
      <c r="L301" s="20" t="n">
        <v>146</v>
      </c>
      <c r="N301" s="20" t="n">
        <v>160</v>
      </c>
      <c r="O301" s="20" t="n">
        <v>252</v>
      </c>
      <c r="P301" s="20" t="n">
        <v>67</v>
      </c>
      <c r="Q301" s="20" t="n">
        <v>199</v>
      </c>
      <c r="R301" s="20" t="n">
        <v>542</v>
      </c>
      <c r="S301" s="20" t="n">
        <v>3563</v>
      </c>
      <c r="T301" s="20" t="n">
        <v>403</v>
      </c>
      <c r="U301" s="20" t="n">
        <v>391</v>
      </c>
      <c r="V301" s="20" t="n">
        <v>818</v>
      </c>
      <c r="W301" s="20" t="n">
        <v>215</v>
      </c>
      <c r="X301" s="20" t="n">
        <v>146</v>
      </c>
    </row>
    <row r="302">
      <c r="A302" s="18" t="inlineStr">
        <is>
          <t>자산복구부채 이행 지출</t>
        </is>
      </c>
      <c r="O302" s="20" t="n">
        <v>-2</v>
      </c>
      <c r="P302" s="20" t="n">
        <v>-7</v>
      </c>
    </row>
    <row r="303">
      <c r="A303" s="18" t="inlineStr">
        <is>
          <t>사업양수 지출</t>
        </is>
      </c>
      <c r="D303" s="20" t="n">
        <v>0</v>
      </c>
      <c r="H303" s="20" t="n">
        <v>-967</v>
      </c>
      <c r="L303" s="20" t="n">
        <v>0</v>
      </c>
      <c r="V303" s="20" t="n">
        <v>0</v>
      </c>
      <c r="W303" s="20" t="n">
        <v>-967</v>
      </c>
      <c r="X303" s="20" t="n">
        <v>0</v>
      </c>
    </row>
    <row r="304">
      <c r="A304" s="18" t="inlineStr">
        <is>
          <t>연결범위 변경 자회사 주식 취득</t>
        </is>
      </c>
      <c r="F304" s="20" t="n">
        <v>0</v>
      </c>
      <c r="H304" s="20" t="n">
        <v>0</v>
      </c>
      <c r="J304" s="20" t="n">
        <v>-73</v>
      </c>
      <c r="L304" s="20" t="n">
        <v>-73</v>
      </c>
      <c r="N304" s="20" t="n">
        <v>-1725</v>
      </c>
      <c r="Q304" s="20" t="n">
        <v>0</v>
      </c>
      <c r="R304" s="20" t="n">
        <v>-45570</v>
      </c>
      <c r="S304" s="20" t="n">
        <v>0</v>
      </c>
      <c r="W304" s="20" t="n">
        <v>0</v>
      </c>
      <c r="X304" s="20" t="n">
        <v>-73</v>
      </c>
    </row>
    <row r="305">
      <c r="A305" s="18" t="inlineStr">
        <is>
          <t>연결범위 변경 자회사 주식 취득(수입)</t>
        </is>
      </c>
      <c r="D305" s="20" t="n">
        <v>0</v>
      </c>
      <c r="F305" s="20" t="n">
        <v>1236</v>
      </c>
      <c r="H305" s="20" t="n">
        <v>2219</v>
      </c>
      <c r="J305" s="20" t="n">
        <v>0</v>
      </c>
      <c r="L305" s="20" t="n">
        <v>4268</v>
      </c>
      <c r="O305" s="20" t="n">
        <v>0</v>
      </c>
      <c r="P305" s="20" t="n">
        <v>15</v>
      </c>
      <c r="Q305" s="20" t="n">
        <v>0</v>
      </c>
      <c r="V305" s="20" t="n">
        <v>0</v>
      </c>
      <c r="W305" s="20" t="n">
        <v>2219</v>
      </c>
      <c r="X305" s="20" t="n">
        <v>4268</v>
      </c>
    </row>
    <row r="306">
      <c r="A306" s="18" t="inlineStr">
        <is>
          <t>연결범위 변경 자회사 주식 매각</t>
        </is>
      </c>
      <c r="D306" s="20" t="n">
        <v>685</v>
      </c>
      <c r="F306" s="20" t="n">
        <v>0</v>
      </c>
      <c r="H306" s="20" t="n">
        <v>0</v>
      </c>
      <c r="P306" s="20" t="n">
        <v>0</v>
      </c>
      <c r="Q306" s="20" t="n">
        <v>45</v>
      </c>
      <c r="R306" s="20" t="n">
        <v>0</v>
      </c>
      <c r="T306" s="20" t="n">
        <v>0</v>
      </c>
      <c r="U306" s="20" t="n">
        <v>34727</v>
      </c>
      <c r="V306" s="20" t="n">
        <v>685</v>
      </c>
      <c r="W306" s="20" t="n">
        <v>0</v>
      </c>
    </row>
    <row r="307">
      <c r="A307" s="18" t="inlineStr">
        <is>
          <t>기타</t>
        </is>
      </c>
      <c r="D307" s="20" t="n">
        <v>-282</v>
      </c>
      <c r="F307" s="20" t="n">
        <v>-226</v>
      </c>
      <c r="H307" s="20" t="n">
        <v>-453</v>
      </c>
      <c r="J307" s="20" t="n">
        <v>-246</v>
      </c>
      <c r="L307" s="20" t="n">
        <v>-438</v>
      </c>
      <c r="N307" s="20" t="n">
        <v>-98</v>
      </c>
      <c r="O307" s="20" t="n">
        <v>6</v>
      </c>
      <c r="P307" s="20" t="n">
        <v>-188</v>
      </c>
      <c r="Q307" s="20" t="n">
        <v>-351</v>
      </c>
      <c r="R307" s="20" t="n">
        <v>-132</v>
      </c>
      <c r="S307" s="20" t="n">
        <v>-390</v>
      </c>
      <c r="T307" s="20" t="n">
        <v>-154</v>
      </c>
      <c r="U307" s="20" t="n">
        <v>-410</v>
      </c>
      <c r="V307" s="20" t="n">
        <v>-282</v>
      </c>
      <c r="W307" s="20" t="n">
        <v>-453</v>
      </c>
      <c r="X307" s="20" t="n">
        <v>-438</v>
      </c>
    </row>
    <row r="308">
      <c r="A308" s="9" t="inlineStr">
        <is>
          <t>투자활동 현금흐름</t>
        </is>
      </c>
      <c r="D308" s="12" t="n">
        <v>-5006</v>
      </c>
      <c r="F308" s="12" t="n">
        <v>-10620</v>
      </c>
      <c r="H308" s="12" t="n">
        <v>-21300</v>
      </c>
      <c r="J308" s="12" t="n">
        <v>-9557</v>
      </c>
      <c r="L308" s="12" t="n">
        <v>2039</v>
      </c>
      <c r="N308" s="12" t="n">
        <v>-9308</v>
      </c>
      <c r="O308" s="12" t="n">
        <v>-7705</v>
      </c>
      <c r="P308" s="12" t="n">
        <v>-8515</v>
      </c>
      <c r="Q308" s="12" t="n">
        <v>-11283</v>
      </c>
      <c r="R308" s="12" t="n">
        <v>-58718</v>
      </c>
      <c r="S308" s="12" t="n">
        <v>1140</v>
      </c>
      <c r="T308" s="12" t="n">
        <v>1228</v>
      </c>
      <c r="U308" s="12" t="n">
        <v>36963</v>
      </c>
      <c r="V308" s="12" t="n">
        <v>-5006</v>
      </c>
      <c r="W308" s="12" t="n">
        <v>-21300</v>
      </c>
      <c r="X308" s="12" t="n">
        <v>2039</v>
      </c>
    </row>
    <row r="309">
      <c r="A309" s="18" t="inlineStr">
        <is>
          <t>단기차입</t>
        </is>
      </c>
      <c r="O309" s="20" t="n">
        <v>200</v>
      </c>
      <c r="P309" s="20" t="n">
        <v>3300</v>
      </c>
    </row>
    <row r="310">
      <c r="A310" s="18" t="inlineStr">
        <is>
          <t>단기차입금 상환</t>
        </is>
      </c>
      <c r="O310" s="20" t="n">
        <v>-210</v>
      </c>
      <c r="P310" s="20" t="n">
        <v>-3300</v>
      </c>
    </row>
    <row r="311">
      <c r="A311" s="18" t="inlineStr">
        <is>
          <t>신주예약권 발행</t>
        </is>
      </c>
      <c r="R311" s="20" t="n">
        <v>0</v>
      </c>
      <c r="S311" s="20" t="n">
        <v>57</v>
      </c>
      <c r="T311" s="20" t="n">
        <v>0</v>
      </c>
    </row>
    <row r="312">
      <c r="A312" s="18" t="inlineStr">
        <is>
          <t>주식 발행</t>
        </is>
      </c>
      <c r="Q312" s="20" t="n">
        <v>0</v>
      </c>
      <c r="R312" s="20" t="n">
        <v>23418</v>
      </c>
      <c r="S312" s="20" t="n">
        <v>0</v>
      </c>
    </row>
    <row r="313">
      <c r="A313" s="18" t="inlineStr">
        <is>
          <t>신주예약권 행사에 따른 주식 발행</t>
        </is>
      </c>
      <c r="D313" s="20" t="n">
        <v>49</v>
      </c>
      <c r="F313" s="20" t="n">
        <v>0</v>
      </c>
      <c r="H313" s="20" t="n">
        <v>30</v>
      </c>
      <c r="J313" s="20" t="n">
        <v>4</v>
      </c>
      <c r="L313" s="20" t="n">
        <v>47</v>
      </c>
      <c r="N313" s="20" t="n">
        <v>155</v>
      </c>
      <c r="P313" s="20" t="n">
        <v>0</v>
      </c>
      <c r="Q313" s="20" t="n">
        <v>53</v>
      </c>
      <c r="R313" s="20" t="n">
        <v>57</v>
      </c>
      <c r="S313" s="20" t="n">
        <v>789</v>
      </c>
      <c r="T313" s="20" t="n">
        <v>7659</v>
      </c>
      <c r="U313" s="20" t="n">
        <v>37</v>
      </c>
      <c r="V313" s="20" t="n">
        <v>49</v>
      </c>
      <c r="W313" s="20" t="n">
        <v>30</v>
      </c>
      <c r="X313" s="20" t="n">
        <v>47</v>
      </c>
    </row>
    <row r="314">
      <c r="A314" s="18" t="inlineStr">
        <is>
          <t>사채 발행</t>
        </is>
      </c>
      <c r="O314" s="20" t="n">
        <v>1853</v>
      </c>
      <c r="P314" s="20" t="n">
        <v>983</v>
      </c>
      <c r="Q314" s="20" t="n">
        <v>2953</v>
      </c>
      <c r="R314" s="20" t="n">
        <v>0</v>
      </c>
    </row>
    <row r="315">
      <c r="A315" s="18" t="inlineStr">
        <is>
          <t>자기주식 취득</t>
        </is>
      </c>
      <c r="D315" s="20" t="n">
        <v>0</v>
      </c>
      <c r="F315" s="20" t="n">
        <v>0</v>
      </c>
      <c r="H315" s="20" t="n">
        <v>-2870</v>
      </c>
      <c r="J315" s="20" t="n">
        <v>-4049</v>
      </c>
      <c r="L315" s="20" t="n">
        <v>-4049</v>
      </c>
      <c r="N315" s="20" t="n">
        <v>-3499</v>
      </c>
      <c r="V315" s="20" t="n">
        <v>0</v>
      </c>
      <c r="W315" s="20" t="n">
        <v>-2870</v>
      </c>
      <c r="X315" s="20" t="n">
        <v>-4049</v>
      </c>
    </row>
    <row r="316">
      <c r="A316" s="18" t="inlineStr">
        <is>
          <t>단기차입금 순증감</t>
        </is>
      </c>
      <c r="J316" s="20" t="n">
        <v>52</v>
      </c>
      <c r="N316" s="20" t="n">
        <v>920</v>
      </c>
    </row>
    <row r="317">
      <c r="A317" s="18" t="inlineStr">
        <is>
          <t>장기차입</t>
        </is>
      </c>
      <c r="D317" s="20" t="n">
        <v>7500</v>
      </c>
      <c r="F317" s="20" t="n">
        <v>3348</v>
      </c>
      <c r="H317" s="20" t="n">
        <v>7550</v>
      </c>
      <c r="J317" s="20" t="n">
        <v>16965</v>
      </c>
      <c r="L317" s="20" t="n">
        <v>32995</v>
      </c>
      <c r="N317" s="20" t="n">
        <v>3550</v>
      </c>
      <c r="O317" s="20" t="n">
        <v>6737</v>
      </c>
      <c r="P317" s="20" t="n">
        <v>9250</v>
      </c>
      <c r="Q317" s="20" t="n">
        <v>16543</v>
      </c>
      <c r="R317" s="20" t="n">
        <v>34304</v>
      </c>
      <c r="S317" s="20" t="n">
        <v>5855</v>
      </c>
      <c r="T317" s="20" t="n">
        <v>5200</v>
      </c>
      <c r="U317" s="20" t="n">
        <v>1300</v>
      </c>
      <c r="V317" s="20" t="n">
        <v>7500</v>
      </c>
      <c r="W317" s="20" t="n">
        <v>7550</v>
      </c>
      <c r="X317" s="20" t="n">
        <v>32995</v>
      </c>
    </row>
    <row r="318">
      <c r="A318" s="18" t="inlineStr">
        <is>
          <t>장기차입금 상환</t>
        </is>
      </c>
      <c r="D318" s="20" t="n">
        <v>-6471</v>
      </c>
      <c r="F318" s="20" t="n">
        <v>-2487</v>
      </c>
      <c r="H318" s="20" t="n">
        <v>-5620</v>
      </c>
      <c r="J318" s="20" t="n">
        <v>-5584</v>
      </c>
      <c r="L318" s="20" t="n">
        <v>-12190</v>
      </c>
      <c r="N318" s="20" t="n">
        <v>-6865</v>
      </c>
      <c r="O318" s="20" t="n">
        <v>-1490</v>
      </c>
      <c r="P318" s="20" t="n">
        <v>-4816</v>
      </c>
      <c r="Q318" s="20" t="n">
        <v>-3490</v>
      </c>
      <c r="R318" s="20" t="n">
        <v>-7371</v>
      </c>
      <c r="S318" s="20" t="n">
        <v>-9119</v>
      </c>
      <c r="T318" s="20" t="n">
        <v>-11061</v>
      </c>
      <c r="U318" s="20" t="n">
        <v>-20718</v>
      </c>
      <c r="V318" s="20" t="n">
        <v>-6471</v>
      </c>
      <c r="W318" s="20" t="n">
        <v>-5620</v>
      </c>
      <c r="X318" s="20" t="n">
        <v>-12190</v>
      </c>
    </row>
    <row r="319">
      <c r="A319" s="18" t="inlineStr">
        <is>
          <t>사채 상환</t>
        </is>
      </c>
      <c r="D319" s="20" t="n">
        <v>-485</v>
      </c>
      <c r="F319" s="20" t="n">
        <v>-217</v>
      </c>
      <c r="H319" s="20" t="n">
        <v>-390</v>
      </c>
      <c r="J319" s="20" t="n">
        <v>-172</v>
      </c>
      <c r="L319" s="20" t="n">
        <v>-840</v>
      </c>
      <c r="N319" s="20" t="n">
        <v>-180</v>
      </c>
      <c r="O319" s="20" t="n">
        <v>-780</v>
      </c>
      <c r="P319" s="20" t="n">
        <v>-805</v>
      </c>
      <c r="Q319" s="20" t="n">
        <v>-990</v>
      </c>
      <c r="R319" s="20" t="n">
        <v>-1040</v>
      </c>
      <c r="S319" s="20" t="n">
        <v>-1015</v>
      </c>
      <c r="T319" s="20" t="n">
        <v>-855</v>
      </c>
      <c r="U319" s="20" t="n">
        <v>-1169</v>
      </c>
      <c r="V319" s="20" t="n">
        <v>-485</v>
      </c>
      <c r="W319" s="20" t="n">
        <v>-390</v>
      </c>
      <c r="X319" s="20" t="n">
        <v>-840</v>
      </c>
    </row>
    <row r="320">
      <c r="A320" s="18" t="inlineStr">
        <is>
          <t>자기주식 매각</t>
        </is>
      </c>
      <c r="O320" s="20" t="n">
        <v>0</v>
      </c>
      <c r="P320" s="20" t="n">
        <v>2153</v>
      </c>
      <c r="Q320" s="20" t="n">
        <v>0</v>
      </c>
    </row>
    <row r="321">
      <c r="A321" s="18" t="inlineStr">
        <is>
          <t>리스부채 상환</t>
        </is>
      </c>
      <c r="O321" s="20" t="n">
        <v>-27</v>
      </c>
      <c r="P321" s="20" t="n">
        <v>-29</v>
      </c>
      <c r="R321" s="20" t="n">
        <v>-137</v>
      </c>
      <c r="S321" s="20" t="n">
        <v>-507</v>
      </c>
      <c r="T321" s="20" t="n">
        <v>-601</v>
      </c>
      <c r="U321" s="20" t="n">
        <v>-718</v>
      </c>
    </row>
    <row r="322">
      <c r="A322" s="18" t="inlineStr">
        <is>
          <t>비지배주주 납입</t>
        </is>
      </c>
      <c r="O322" s="20" t="n">
        <v>28</v>
      </c>
      <c r="P322" s="20" t="n">
        <v>0</v>
      </c>
      <c r="Q322" s="20" t="n">
        <v>0</v>
      </c>
      <c r="R322" s="20" t="n">
        <v>13000</v>
      </c>
      <c r="S322" s="20" t="n">
        <v>1800</v>
      </c>
      <c r="T322" s="20" t="n">
        <v>0</v>
      </c>
    </row>
    <row r="323">
      <c r="A323" s="18" t="inlineStr">
        <is>
          <t>기타 수입</t>
        </is>
      </c>
      <c r="O323" s="20" t="n">
        <v>0</v>
      </c>
      <c r="P323" s="20" t="n">
        <v>0</v>
      </c>
    </row>
    <row r="324">
      <c r="A324" s="18" t="inlineStr">
        <is>
          <t>비지배주주 환급</t>
        </is>
      </c>
      <c r="D324" s="20" t="n">
        <v>0</v>
      </c>
      <c r="Q324" s="20" t="n">
        <v>0</v>
      </c>
      <c r="R324" s="20" t="n">
        <v>-13149</v>
      </c>
      <c r="S324" s="20" t="n">
        <v>-44</v>
      </c>
      <c r="T324" s="20" t="n">
        <v>-15</v>
      </c>
      <c r="U324" s="20" t="n">
        <v>-1800</v>
      </c>
      <c r="V324" s="20" t="n">
        <v>0</v>
      </c>
    </row>
    <row r="325">
      <c r="A325" s="18" t="inlineStr">
        <is>
          <t>비지배주주 배당금 지급</t>
        </is>
      </c>
      <c r="F325" s="20" t="n">
        <v>0</v>
      </c>
      <c r="H325" s="20" t="n">
        <v>0</v>
      </c>
      <c r="J325" s="20" t="n">
        <v>-208</v>
      </c>
      <c r="L325" s="20" t="n">
        <v>-208</v>
      </c>
      <c r="N325" s="20" t="n">
        <v>-208</v>
      </c>
      <c r="Q325" s="20" t="n">
        <v>0</v>
      </c>
      <c r="R325" s="20" t="n">
        <v>-149</v>
      </c>
      <c r="W325" s="20" t="n">
        <v>0</v>
      </c>
      <c r="X325" s="20" t="n">
        <v>-208</v>
      </c>
    </row>
    <row r="326">
      <c r="A326" s="18" t="inlineStr">
        <is>
          <t>기타</t>
        </is>
      </c>
      <c r="D326" s="20" t="n">
        <v>99</v>
      </c>
      <c r="F326" s="20" t="n">
        <v>0</v>
      </c>
      <c r="H326" s="20" t="n">
        <v>-36</v>
      </c>
      <c r="J326" s="20" t="n">
        <v>-21</v>
      </c>
      <c r="L326" s="20" t="n">
        <v>-710</v>
      </c>
      <c r="N326" s="20" t="n">
        <v>-43</v>
      </c>
      <c r="P326" s="20" t="n">
        <v>-29</v>
      </c>
      <c r="Q326" s="20" t="n">
        <v>-3</v>
      </c>
      <c r="R326" s="20" t="n">
        <v>2</v>
      </c>
      <c r="S326" s="20" t="n">
        <v>-50</v>
      </c>
      <c r="T326" s="20" t="n">
        <v>-32</v>
      </c>
      <c r="U326" s="20" t="n">
        <v>-812</v>
      </c>
      <c r="V326" s="20" t="n">
        <v>99</v>
      </c>
      <c r="W326" s="20" t="n">
        <v>-36</v>
      </c>
      <c r="X326" s="20" t="n">
        <v>-710</v>
      </c>
    </row>
    <row r="327">
      <c r="A327" s="9" t="inlineStr">
        <is>
          <t>재무활동 현금흐름</t>
        </is>
      </c>
      <c r="D327" s="12" t="n">
        <v>692</v>
      </c>
      <c r="F327" s="12" t="n">
        <v>643</v>
      </c>
      <c r="H327" s="12" t="n">
        <v>-1336</v>
      </c>
      <c r="J327" s="12" t="n">
        <v>6984</v>
      </c>
      <c r="L327" s="12" t="n">
        <v>15043</v>
      </c>
      <c r="N327" s="12" t="n">
        <v>-6171</v>
      </c>
      <c r="O327" s="12" t="n">
        <v>6310</v>
      </c>
      <c r="P327" s="12" t="n">
        <v>6735</v>
      </c>
      <c r="Q327" s="12" t="n">
        <v>15064</v>
      </c>
      <c r="R327" s="12" t="n">
        <v>49082</v>
      </c>
      <c r="S327" s="12" t="n">
        <v>-2191</v>
      </c>
      <c r="T327" s="12" t="n">
        <v>292</v>
      </c>
      <c r="U327" s="12" t="n">
        <v>-23162</v>
      </c>
      <c r="V327" s="12" t="n">
        <v>692</v>
      </c>
      <c r="W327" s="12" t="n">
        <v>-1336</v>
      </c>
      <c r="X327" s="12" t="n">
        <v>15043</v>
      </c>
    </row>
    <row r="328">
      <c r="A328" s="18" t="inlineStr">
        <is>
          <t>현금성자산 환산차이</t>
        </is>
      </c>
      <c r="D328" s="20" t="n">
        <v>0</v>
      </c>
      <c r="F328" s="20" t="n">
        <v>0</v>
      </c>
      <c r="H328" s="20" t="n">
        <v>0</v>
      </c>
      <c r="J328" s="20" t="n">
        <v>-4</v>
      </c>
      <c r="L328" s="20" t="n">
        <v>0</v>
      </c>
      <c r="N328" s="20" t="n">
        <v>0</v>
      </c>
      <c r="O328" s="20" t="n">
        <v>-7</v>
      </c>
      <c r="P328" s="20" t="n">
        <v>-3</v>
      </c>
      <c r="Q328" s="20" t="n">
        <v>-4</v>
      </c>
      <c r="R328" s="20" t="n">
        <v>-189</v>
      </c>
      <c r="S328" s="20" t="n">
        <v>92</v>
      </c>
      <c r="T328" s="20" t="n">
        <v>106</v>
      </c>
      <c r="U328" s="20" t="n">
        <v>79</v>
      </c>
      <c r="V328" s="20" t="n">
        <v>0</v>
      </c>
      <c r="W328" s="20" t="n">
        <v>0</v>
      </c>
      <c r="X328" s="20" t="n">
        <v>0</v>
      </c>
    </row>
    <row r="329">
      <c r="A329" s="18" t="inlineStr">
        <is>
          <t>현금성자산 증감</t>
        </is>
      </c>
      <c r="D329" s="20" t="n">
        <v>-592</v>
      </c>
      <c r="F329" s="20" t="n">
        <v>-6400</v>
      </c>
      <c r="H329" s="20" t="n">
        <v>-17540</v>
      </c>
      <c r="J329" s="20" t="n">
        <v>2183</v>
      </c>
      <c r="L329" s="20" t="n">
        <v>31040</v>
      </c>
      <c r="N329" s="20" t="n">
        <v>-14657</v>
      </c>
      <c r="O329" s="20" t="n">
        <v>-305</v>
      </c>
      <c r="P329" s="20" t="n">
        <v>211</v>
      </c>
      <c r="Q329" s="20" t="n">
        <v>6261</v>
      </c>
      <c r="R329" s="20" t="n">
        <v>-2835</v>
      </c>
      <c r="S329" s="20" t="n">
        <v>6063</v>
      </c>
      <c r="T329" s="20" t="n">
        <v>-1264</v>
      </c>
      <c r="U329" s="20" t="n">
        <v>18729</v>
      </c>
      <c r="V329" s="20" t="n">
        <v>-592</v>
      </c>
      <c r="W329" s="20" t="n">
        <v>-17540</v>
      </c>
      <c r="X329" s="20" t="n">
        <v>31040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TKP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36467</v>
      </c>
      <c r="D5" s="12" t="n">
        <v>47013</v>
      </c>
      <c r="E5" s="12" t="n">
        <v>68561</v>
      </c>
      <c r="F5" s="12" t="n">
        <v>60942</v>
      </c>
      <c r="G5" s="12" t="n">
        <v>54186</v>
      </c>
      <c r="H5" s="11" t="n">
        <v>22803</v>
      </c>
      <c r="I5" s="12" t="n">
        <v>38301</v>
      </c>
      <c r="J5" s="12" t="n">
        <v>37436</v>
      </c>
      <c r="K5" s="12" t="n">
        <v>35274</v>
      </c>
      <c r="L5" s="12" t="n">
        <v>68561</v>
      </c>
    </row>
    <row r="6">
      <c r="A6" s="18" t="inlineStr">
        <is>
          <t>현금및현금성자산</t>
        </is>
      </c>
      <c r="B6" s="10" t="n"/>
      <c r="C6" s="19" t="n">
        <v>16711</v>
      </c>
      <c r="D6" s="20" t="n">
        <v>22518</v>
      </c>
      <c r="E6" s="20" t="n">
        <v>45569</v>
      </c>
      <c r="F6" s="20" t="n">
        <v>35373</v>
      </c>
      <c r="G6" s="20" t="n">
        <v>30726</v>
      </c>
      <c r="H6" s="19" t="n">
        <v>13931</v>
      </c>
      <c r="I6" s="20" t="n">
        <v>32661</v>
      </c>
      <c r="J6" s="20" t="n">
        <v>32069</v>
      </c>
      <c r="K6" s="20" t="n">
        <v>14528</v>
      </c>
      <c r="L6" s="20" t="n">
        <v>45569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9447</v>
      </c>
      <c r="D8" s="20" t="n">
        <v>12031</v>
      </c>
      <c r="E8" s="20" t="n">
        <v>10734</v>
      </c>
      <c r="F8" s="20" t="n">
        <v>11800</v>
      </c>
      <c r="G8" s="20" t="n">
        <v>10060</v>
      </c>
      <c r="H8" s="19" t="n">
        <v>3558</v>
      </c>
      <c r="I8" s="20" t="n">
        <v>3464</v>
      </c>
      <c r="J8" s="20" t="n">
        <v>3915</v>
      </c>
      <c r="K8" s="20" t="n">
        <v>10553</v>
      </c>
      <c r="L8" s="20" t="n">
        <v>10734</v>
      </c>
    </row>
    <row r="9">
      <c r="A9" s="18" t="inlineStr">
        <is>
          <t>재고자산</t>
        </is>
      </c>
      <c r="B9" s="10" t="n"/>
      <c r="C9" s="19" t="n">
        <v>3791</v>
      </c>
      <c r="D9" s="20" t="n">
        <v>4773</v>
      </c>
      <c r="E9" s="20" t="n">
        <v>4461</v>
      </c>
      <c r="F9" s="20" t="n">
        <v>4487</v>
      </c>
      <c r="G9" s="20" t="n">
        <v>3954</v>
      </c>
      <c r="H9" s="19" t="n"/>
      <c r="I9" s="20" t="n"/>
      <c r="J9" s="20" t="n">
        <v>0</v>
      </c>
      <c r="K9" s="20" t="n">
        <v>6792</v>
      </c>
      <c r="L9" s="20" t="n">
        <v>4461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93492</v>
      </c>
      <c r="D11" s="12" t="n">
        <v>104271</v>
      </c>
      <c r="E11" s="12" t="n">
        <v>102393</v>
      </c>
      <c r="F11" s="12" t="n">
        <v>109705</v>
      </c>
      <c r="G11" s="12" t="n">
        <v>110816</v>
      </c>
      <c r="H11" s="11" t="n">
        <v>88477</v>
      </c>
      <c r="I11" s="12" t="n">
        <v>33788</v>
      </c>
      <c r="J11" s="12" t="n">
        <v>42235</v>
      </c>
      <c r="K11" s="12" t="n">
        <v>86119</v>
      </c>
      <c r="L11" s="12" t="n">
        <v>102393</v>
      </c>
    </row>
    <row r="12">
      <c r="A12" s="18" t="inlineStr">
        <is>
          <t>유형자산</t>
        </is>
      </c>
      <c r="B12" s="10" t="n"/>
      <c r="C12" s="19" t="n">
        <v>57046</v>
      </c>
      <c r="D12" s="20" t="n">
        <v>62514</v>
      </c>
      <c r="E12" s="20" t="n">
        <v>59826</v>
      </c>
      <c r="F12" s="20" t="n">
        <v>65660</v>
      </c>
      <c r="G12" s="20" t="n">
        <v>66519</v>
      </c>
      <c r="H12" s="19" t="n">
        <v>35564</v>
      </c>
      <c r="I12" s="20" t="n">
        <v>23765</v>
      </c>
      <c r="J12" s="20" t="n">
        <v>24414</v>
      </c>
      <c r="K12" s="20" t="n">
        <v>51870</v>
      </c>
      <c r="L12" s="20" t="n">
        <v>59826</v>
      </c>
    </row>
    <row r="13">
      <c r="A13" s="18" t="inlineStr">
        <is>
          <t>무형자산</t>
        </is>
      </c>
      <c r="B13" s="10" t="n"/>
      <c r="C13" s="19" t="n">
        <v>12753</v>
      </c>
      <c r="D13" s="20" t="n">
        <v>13068</v>
      </c>
      <c r="E13" s="20" t="n">
        <v>12937</v>
      </c>
      <c r="F13" s="20" t="n">
        <v>13067</v>
      </c>
      <c r="G13" s="20" t="n">
        <v>13421</v>
      </c>
      <c r="H13" s="19" t="n">
        <v>37883</v>
      </c>
      <c r="I13" s="20" t="n">
        <v>783</v>
      </c>
      <c r="J13" s="20" t="n">
        <v>836</v>
      </c>
      <c r="K13" s="20" t="n">
        <v>12897</v>
      </c>
      <c r="L13" s="20" t="n">
        <v>12937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129960</v>
      </c>
      <c r="D16" s="12" t="n">
        <v>151284</v>
      </c>
      <c r="E16" s="12" t="n">
        <v>170954</v>
      </c>
      <c r="F16" s="12" t="n">
        <v>170648</v>
      </c>
      <c r="G16" s="12" t="n">
        <v>165002</v>
      </c>
      <c r="H16" s="11" t="n">
        <v>111280</v>
      </c>
      <c r="I16" s="12" t="n">
        <v>72089</v>
      </c>
      <c r="J16" s="12" t="n">
        <v>79672</v>
      </c>
      <c r="K16" s="12" t="n">
        <v>121394</v>
      </c>
      <c r="L16" s="12" t="n">
        <v>170954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32664</v>
      </c>
      <c r="D18" s="12" t="n">
        <v>39691</v>
      </c>
      <c r="E18" s="12" t="n">
        <v>43413</v>
      </c>
      <c r="F18" s="12" t="n">
        <v>42817</v>
      </c>
      <c r="G18" s="12" t="n">
        <v>42424</v>
      </c>
      <c r="H18" s="11" t="n">
        <v>20156</v>
      </c>
      <c r="I18" s="12" t="n">
        <v>12467</v>
      </c>
      <c r="J18" s="12" t="n">
        <v>10584</v>
      </c>
      <c r="K18" s="12" t="n">
        <v>32786</v>
      </c>
      <c r="L18" s="12" t="n">
        <v>43413</v>
      </c>
    </row>
    <row r="19">
      <c r="A19" s="18" t="inlineStr">
        <is>
          <t>매입채무</t>
        </is>
      </c>
      <c r="B19" s="10" t="n"/>
      <c r="C19" s="19" t="n">
        <v>5988</v>
      </c>
      <c r="D19" s="20" t="n">
        <v>7175</v>
      </c>
      <c r="E19" s="20" t="n">
        <v>7280</v>
      </c>
      <c r="F19" s="20" t="n">
        <v>6870</v>
      </c>
      <c r="G19" s="20" t="n">
        <v>6006</v>
      </c>
      <c r="H19" s="19" t="n">
        <v>678</v>
      </c>
      <c r="I19" s="20" t="n">
        <v>588</v>
      </c>
      <c r="J19" s="20" t="n">
        <v>797</v>
      </c>
      <c r="K19" s="20" t="n">
        <v>6320</v>
      </c>
      <c r="L19" s="20" t="n">
        <v>7280</v>
      </c>
    </row>
    <row r="20">
      <c r="A20" s="18" t="inlineStr">
        <is>
          <t>단기차입금</t>
        </is>
      </c>
      <c r="B20" s="10" t="n"/>
      <c r="C20" s="19" t="n">
        <v>3456</v>
      </c>
      <c r="D20" s="20" t="n">
        <v>2752</v>
      </c>
      <c r="E20" s="20" t="n">
        <v>2756</v>
      </c>
      <c r="F20" s="20" t="n">
        <v>4680</v>
      </c>
      <c r="G20" s="20" t="n">
        <v>4526</v>
      </c>
      <c r="H20" s="19" t="n"/>
      <c r="I20" s="20" t="n"/>
      <c r="J20" s="20" t="n">
        <v>100</v>
      </c>
      <c r="K20" s="20" t="n">
        <v>3402</v>
      </c>
      <c r="L20" s="20" t="n">
        <v>2756</v>
      </c>
    </row>
    <row r="21">
      <c r="A21" s="18" t="inlineStr">
        <is>
          <t>유동성장기부채</t>
        </is>
      </c>
      <c r="B21" s="10" t="n"/>
      <c r="C21" s="19" t="n">
        <v>10503</v>
      </c>
      <c r="D21" s="20" t="n">
        <v>13006</v>
      </c>
      <c r="E21" s="20" t="n">
        <v>13675</v>
      </c>
      <c r="F21" s="20" t="n">
        <v>13508</v>
      </c>
      <c r="G21" s="20" t="n">
        <v>14258</v>
      </c>
      <c r="H21" s="19" t="n">
        <v>8807</v>
      </c>
      <c r="I21" s="20" t="n">
        <v>6856</v>
      </c>
      <c r="J21" s="20" t="n">
        <v>5468</v>
      </c>
      <c r="K21" s="20" t="n">
        <v>10309</v>
      </c>
      <c r="L21" s="20" t="n">
        <v>13675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54287</v>
      </c>
      <c r="D23" s="12" t="n">
        <v>64990</v>
      </c>
      <c r="E23" s="12" t="n">
        <v>70363</v>
      </c>
      <c r="F23" s="12" t="n">
        <v>70014</v>
      </c>
      <c r="G23" s="12" t="n">
        <v>66641</v>
      </c>
      <c r="H23" s="11" t="n">
        <v>51377</v>
      </c>
      <c r="I23" s="12" t="n">
        <v>26753</v>
      </c>
      <c r="J23" s="12" t="n">
        <v>28852</v>
      </c>
      <c r="K23" s="12" t="n">
        <v>43148</v>
      </c>
      <c r="L23" s="12" t="n">
        <v>70363</v>
      </c>
    </row>
    <row r="24">
      <c r="A24" s="18" t="inlineStr">
        <is>
          <t>장기차입금</t>
        </is>
      </c>
      <c r="B24" s="10" t="n"/>
      <c r="C24" s="19" t="n">
        <v>47246</v>
      </c>
      <c r="D24" s="20" t="n">
        <v>55170</v>
      </c>
      <c r="E24" s="20" t="n">
        <v>62006</v>
      </c>
      <c r="F24" s="20" t="n">
        <v>61751</v>
      </c>
      <c r="G24" s="20" t="n">
        <v>58534</v>
      </c>
      <c r="H24" s="19" t="n">
        <v>42028</v>
      </c>
      <c r="I24" s="20" t="n">
        <v>23507</v>
      </c>
      <c r="J24" s="20" t="n">
        <v>25829</v>
      </c>
      <c r="K24" s="20" t="n">
        <v>35878</v>
      </c>
      <c r="L24" s="20" t="n">
        <v>62006</v>
      </c>
    </row>
    <row r="25">
      <c r="A25" s="18" t="inlineStr">
        <is>
          <t>사채</t>
        </is>
      </c>
      <c r="B25" s="10" t="n"/>
      <c r="C25" s="19" t="n">
        <v>1072</v>
      </c>
      <c r="D25" s="20" t="n">
        <v>1072</v>
      </c>
      <c r="E25" s="20" t="n">
        <v>450</v>
      </c>
      <c r="F25" s="20" t="n">
        <v>450</v>
      </c>
      <c r="G25" s="20" t="n">
        <v>300</v>
      </c>
      <c r="H25" s="19" t="n">
        <v>2465</v>
      </c>
      <c r="I25" s="20" t="n">
        <v>1980</v>
      </c>
      <c r="J25" s="20" t="n">
        <v>1590</v>
      </c>
      <c r="K25" s="20" t="n">
        <v>1245</v>
      </c>
      <c r="L25" s="20" t="n">
        <v>450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86951</v>
      </c>
      <c r="D27" s="12" t="n">
        <v>104681</v>
      </c>
      <c r="E27" s="12" t="n">
        <v>113776</v>
      </c>
      <c r="F27" s="12" t="n">
        <v>112832</v>
      </c>
      <c r="G27" s="12" t="n">
        <v>109065</v>
      </c>
      <c r="H27" s="11" t="n">
        <v>71533</v>
      </c>
      <c r="I27" s="12" t="n">
        <v>39221</v>
      </c>
      <c r="J27" s="12" t="n">
        <v>39437</v>
      </c>
      <c r="K27" s="12" t="n">
        <v>75934</v>
      </c>
      <c r="L27" s="12" t="n">
        <v>113776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39086</v>
      </c>
      <c r="D31" s="12" t="n">
        <v>40648</v>
      </c>
      <c r="E31" s="12" t="n">
        <v>50103</v>
      </c>
      <c r="F31" s="12" t="n">
        <v>51143</v>
      </c>
      <c r="G31" s="12" t="n">
        <v>49083</v>
      </c>
      <c r="H31" s="11" t="n">
        <v>37842</v>
      </c>
      <c r="I31" s="12" t="n">
        <v>32821</v>
      </c>
      <c r="J31" s="12" t="n">
        <v>40155</v>
      </c>
      <c r="K31" s="12" t="n">
        <v>41341</v>
      </c>
      <c r="L31" s="12" t="n">
        <v>50103</v>
      </c>
    </row>
    <row r="32">
      <c r="A32" s="18" t="inlineStr">
        <is>
          <t>자본금</t>
        </is>
      </c>
      <c r="B32" s="10" t="n"/>
      <c r="C32" s="19" t="n">
        <v>16391</v>
      </c>
      <c r="D32" s="20" t="n">
        <v>16402</v>
      </c>
      <c r="E32" s="20" t="n">
        <v>16429</v>
      </c>
      <c r="F32" s="20" t="n">
        <v>16492</v>
      </c>
      <c r="G32" s="20" t="n">
        <v>16509</v>
      </c>
      <c r="H32" s="19" t="n">
        <v>16295</v>
      </c>
      <c r="I32" s="20" t="n">
        <v>16320</v>
      </c>
      <c r="J32" s="20" t="n">
        <v>16357</v>
      </c>
      <c r="K32" s="20" t="n">
        <v>16388</v>
      </c>
      <c r="L32" s="20" t="n">
        <v>16429</v>
      </c>
    </row>
    <row r="33">
      <c r="A33" s="18" t="inlineStr">
        <is>
          <t>이익잉여금</t>
        </is>
      </c>
      <c r="B33" s="10" t="n"/>
      <c r="C33" s="19" t="n">
        <v>10714</v>
      </c>
      <c r="D33" s="20" t="n">
        <v>12189</v>
      </c>
      <c r="E33" s="20" t="n">
        <v>21448</v>
      </c>
      <c r="F33" s="20" t="n">
        <v>22643</v>
      </c>
      <c r="G33" s="20" t="n">
        <v>23905</v>
      </c>
      <c r="H33" s="19" t="n">
        <v>2917</v>
      </c>
      <c r="I33" s="20" t="n">
        <v>-2019</v>
      </c>
      <c r="J33" s="20" t="n">
        <v>5302</v>
      </c>
      <c r="K33" s="20" t="n">
        <v>9091</v>
      </c>
      <c r="L33" s="20" t="n">
        <v>21448</v>
      </c>
    </row>
    <row r="34">
      <c r="A34" s="18" t="inlineStr">
        <is>
          <t>비지배지분</t>
        </is>
      </c>
      <c r="B34" s="10" t="n"/>
      <c r="C34" s="19" t="n">
        <v>3779</v>
      </c>
      <c r="D34" s="20" t="n">
        <v>5800</v>
      </c>
      <c r="E34" s="20" t="n">
        <v>6908</v>
      </c>
      <c r="F34" s="20" t="n">
        <v>6494</v>
      </c>
      <c r="G34" s="20" t="n">
        <v>6666</v>
      </c>
      <c r="H34" s="19" t="n">
        <v>1854</v>
      </c>
      <c r="I34" s="20" t="n">
        <v>0</v>
      </c>
      <c r="J34" s="20" t="n">
        <v>0</v>
      </c>
      <c r="K34" s="20" t="n">
        <v>4005</v>
      </c>
      <c r="L34" s="20" t="n">
        <v>6908</v>
      </c>
    </row>
    <row r="35">
      <c r="A35" s="9" t="inlineStr">
        <is>
          <t>자본총계</t>
        </is>
      </c>
      <c r="B35" s="10" t="n"/>
      <c r="C35" s="11" t="n">
        <v>43008</v>
      </c>
      <c r="D35" s="12" t="n">
        <v>46603</v>
      </c>
      <c r="E35" s="12" t="n">
        <v>57177</v>
      </c>
      <c r="F35" s="12" t="n">
        <v>57816</v>
      </c>
      <c r="G35" s="12" t="n">
        <v>55936</v>
      </c>
      <c r="H35" s="11" t="n">
        <v>39746</v>
      </c>
      <c r="I35" s="12" t="n">
        <v>32868</v>
      </c>
      <c r="J35" s="12" t="n">
        <v>40235</v>
      </c>
      <c r="K35" s="12" t="n">
        <v>45459</v>
      </c>
      <c r="L35" s="12" t="n">
        <v>57177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6281</v>
      </c>
      <c r="D37" s="12" t="n"/>
      <c r="E37" s="12" t="n">
        <v>13957</v>
      </c>
      <c r="F37" s="12" t="n"/>
      <c r="G37" s="12" t="n">
        <v>10019</v>
      </c>
      <c r="H37" s="11" t="n">
        <v>-2892</v>
      </c>
      <c r="I37" s="12" t="n">
        <v>4849</v>
      </c>
      <c r="J37" s="12" t="n">
        <v>3722</v>
      </c>
      <c r="K37" s="12" t="n">
        <v>5095</v>
      </c>
      <c r="L37" s="12" t="n">
        <v>13957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14920</v>
      </c>
      <c r="D38" s="20" t="n"/>
      <c r="E38" s="20" t="n">
        <v>9742</v>
      </c>
      <c r="F38" s="20" t="n"/>
      <c r="G38" s="20" t="n">
        <v>9407</v>
      </c>
      <c r="H38" s="19" t="n">
        <v>1510</v>
      </c>
      <c r="I38" s="20" t="n">
        <v>1311</v>
      </c>
      <c r="J38" s="20" t="n">
        <v>1404</v>
      </c>
      <c r="K38" s="20" t="n">
        <v>16150</v>
      </c>
      <c r="L38" s="20" t="n">
        <v>9742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/>
      <c r="F40" s="20" t="n"/>
      <c r="G40" s="20" t="n"/>
      <c r="H40" s="19" t="n"/>
      <c r="I40" s="20" t="n"/>
      <c r="J40" s="20" t="n"/>
      <c r="K40" s="20" t="n"/>
      <c r="L40" s="20" t="n"/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IFERROR((IF(COUNT('연간'!G34:J34)&lt;4,"",SUM('연간'!G34:J34)))/(IF(COUNT('연간'!G56:J56)&lt;4,"",SUM('연간'!G56:J56))),"")</f>
        <v/>
      </c>
      <c r="D48" s="31">
        <f>IFERROR((IF(COUNT('연간'!H34:K34)&lt;4,"",SUM('연간'!H34:K34)))/(IF(COUNT('연간'!H56:K56)&lt;4,"",SUM('연간'!H56:K56))),"")</f>
        <v/>
      </c>
      <c r="E48" s="31">
        <f>IFERROR((IF(COUNT('연간'!I34:L34)&lt;4,"",SUM('연간'!I34:L34)))/(IF(COUNT('연간'!I56:L56)&lt;4,"",SUM('연간'!I56:L56))),"")</f>
        <v/>
      </c>
      <c r="F48" s="31">
        <f>IFERROR((IF(COUNT('연간'!J34:M34)&lt;4,"",SUM('연간'!J34:M34)))/(IF(COUNT('연간'!J56:M56)&lt;4,"",SUM('연간'!J56:M56))),"")</f>
        <v/>
      </c>
      <c r="G48" s="31">
        <f>IFERROR((IF(COUNT('연간'!K34:N34)&lt;4,"",SUM('연간'!K34:N34)))/(IF(COUNT('연간'!K56:N56)&lt;4,"",SUM('연간'!K56:N56))),"")</f>
        <v/>
      </c>
      <c r="H48" s="30">
        <f>IFERROR(('연간'!T34)/('연간'!T56),"")</f>
        <v/>
      </c>
      <c r="I48" s="31">
        <f>IFERROR(('연간'!U34)/('연간'!U56),"")</f>
        <v/>
      </c>
      <c r="J48" s="31">
        <f>IFERROR(('연간'!V34)/('연간'!V56),"")</f>
        <v/>
      </c>
      <c r="K48" s="31">
        <f>IFERROR(('연간'!W34)/('연간'!W56),"")</f>
        <v/>
      </c>
      <c r="L48" s="31">
        <f>IFERROR(('연간'!X34)/('연간'!X56),"")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IFERROR(IF((IF(COUNT('연간'!G64:J64)&lt;4,"",SUM('연간'!G64:J64)))&lt;=0,"적자",C28/(IF(COUNT('연간'!G64:J64)&lt;4,"",SUM('연간'!G64:J64)))),"")</f>
        <v/>
      </c>
      <c r="D49" s="47">
        <f>IFERROR(IF((IF(COUNT('연간'!H64:K64)&lt;4,"",SUM('연간'!H64:K64)))&lt;=0,"적자",D28/(IF(COUNT('연간'!H64:K64)&lt;4,"",SUM('연간'!H64:K64)))),"")</f>
        <v/>
      </c>
      <c r="E49" s="47">
        <f>IFERROR(IF((IF(COUNT('연간'!I64:L64)&lt;4,"",SUM('연간'!I64:L64)))&lt;=0,"적자",E28/(IF(COUNT('연간'!I64:L64)&lt;4,"",SUM('연간'!I64:L64)))),"")</f>
        <v/>
      </c>
      <c r="F49" s="47">
        <f>IFERROR(IF((IF(COUNT('연간'!J64:M64)&lt;4,"",SUM('연간'!J64:M64)))&lt;=0,"적자",F28/(IF(COUNT('연간'!J64:M64)&lt;4,"",SUM('연간'!J64:M64)))),"")</f>
        <v/>
      </c>
      <c r="G49" s="47">
        <f>IFERROR(IF((IF(COUNT('연간'!K64:N64)&lt;4,"",SUM('연간'!K64:N64)))&lt;=0,"적자",G28/(IF(COUNT('연간'!K64:N64)&lt;4,"",SUM('연간'!K64:N64)))),"")</f>
        <v/>
      </c>
      <c r="H49" s="46">
        <f>IFERROR(IF(('연간'!T64)&lt;=0,"적자",H28/('연간'!T64)),"")</f>
        <v/>
      </c>
      <c r="I49" s="47">
        <f>IFERROR(IF(('연간'!U64)&lt;=0,"적자",I28/('연간'!U64)),"")</f>
        <v/>
      </c>
      <c r="J49" s="47">
        <f>IFERROR(IF(('연간'!V64)&lt;=0,"적자",J28/('연간'!V64)),"")</f>
        <v/>
      </c>
      <c r="K49" s="47">
        <f>IFERROR(IF(('연간'!W64)&lt;=0,"적자",K28/('연간'!W64)),"")</f>
        <v/>
      </c>
      <c r="L49" s="47">
        <f>IFERROR(IF(('연간'!X64)&lt;=0,"적자",L28/('연간'!X64)),"")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IFERROR((IF(COUNT('연간'!G64:J64)&lt;4,"",SUM('연간'!G64:J64)))/C31,"")</f>
        <v/>
      </c>
      <c r="D51" s="36">
        <f>IFERROR((IF(COUNT('연간'!H64:K64)&lt;4,"",SUM('연간'!H64:K64)))/D31,"")</f>
        <v/>
      </c>
      <c r="E51" s="36">
        <f>IFERROR((IF(COUNT('연간'!I64:L64)&lt;4,"",SUM('연간'!I64:L64)))/E31,"")</f>
        <v/>
      </c>
      <c r="F51" s="36">
        <f>IFERROR((IF(COUNT('연간'!J64:M64)&lt;4,"",SUM('연간'!J64:M64)))/F31,"")</f>
        <v/>
      </c>
      <c r="G51" s="36">
        <f>IFERROR((IF(COUNT('연간'!K64:N64)&lt;4,"",SUM('연간'!K64:N64)))/G31,"")</f>
        <v/>
      </c>
      <c r="H51" s="35">
        <f>IFERROR(('연간'!T64)/H31,"")</f>
        <v/>
      </c>
      <c r="I51" s="36">
        <f>IFERROR(('연간'!U64)/I31,"")</f>
        <v/>
      </c>
      <c r="J51" s="36">
        <f>IFERROR(('연간'!V64)/J31,"")</f>
        <v/>
      </c>
      <c r="K51" s="36">
        <f>IFERROR(('연간'!W64)/K31,"")</f>
        <v/>
      </c>
      <c r="L51" s="36">
        <f>IFERROR(('연간'!X64)/L31,"")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IFERROR((IF(COUNT('연간'!G62:J62)&lt;4,"",SUM('연간'!G62:J62)))/C16,"")</f>
        <v/>
      </c>
      <c r="D52" s="36">
        <f>IFERROR((IF(COUNT('연간'!H62:K62)&lt;4,"",SUM('연간'!H62:K62)))/D16,"")</f>
        <v/>
      </c>
      <c r="E52" s="36">
        <f>IFERROR((IF(COUNT('연간'!I62:L62)&lt;4,"",SUM('연간'!I62:L62)))/E16,"")</f>
        <v/>
      </c>
      <c r="F52" s="36">
        <f>IFERROR((IF(COUNT('연간'!J62:M62)&lt;4,"",SUM('연간'!J62:M62)))/F16,"")</f>
        <v/>
      </c>
      <c r="G52" s="36">
        <f>IFERROR((IF(COUNT('연간'!K62:N62)&lt;4,"",SUM('연간'!K62:N62)))/G16,"")</f>
        <v/>
      </c>
      <c r="H52" s="35">
        <f>IFERROR(('연간'!T62)/H16,"")</f>
        <v/>
      </c>
      <c r="I52" s="36">
        <f>IFERROR(('연간'!U62)/I16,"")</f>
        <v/>
      </c>
      <c r="J52" s="36">
        <f>IFERROR(('연간'!V62)/J16,"")</f>
        <v/>
      </c>
      <c r="K52" s="36">
        <f>IFERROR(('연간'!W62)/K16,"")</f>
        <v/>
      </c>
      <c r="L52" s="36">
        <f>IFERROR(('연간'!X62)/L16,"")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IFERROR((IF(COUNT('연간'!G34:J34)&lt;4,"",SUM('연간'!G34:J34)))*(1-0.3)/(C35+C29),"")</f>
        <v/>
      </c>
      <c r="D53" s="36">
        <f>IFERROR((IF(COUNT('연간'!H34:K34)&lt;4,"",SUM('연간'!H34:K34)))*(1-0.3)/(D35+D29),"")</f>
        <v/>
      </c>
      <c r="E53" s="36">
        <f>IFERROR((IF(COUNT('연간'!I34:L34)&lt;4,"",SUM('연간'!I34:L34)))*(1-0.3)/(E35+E29),"")</f>
        <v/>
      </c>
      <c r="F53" s="36">
        <f>IFERROR((IF(COUNT('연간'!J34:M34)&lt;4,"",SUM('연간'!J34:M34)))*(1-0.3)/(F35+F29),"")</f>
        <v/>
      </c>
      <c r="G53" s="36">
        <f>IFERROR((IF(COUNT('연간'!K34:N34)&lt;4,"",SUM('연간'!K34:N34)))*(1-0.3)/(G35+G29),"")</f>
        <v/>
      </c>
      <c r="H53" s="35">
        <f>IFERROR(('연간'!T34)*(1-0.3)/(H35+H29),"")</f>
        <v/>
      </c>
      <c r="I53" s="36">
        <f>IFERROR(('연간'!U34)*(1-0.3)/(I35+I29),"")</f>
        <v/>
      </c>
      <c r="J53" s="36">
        <f>IFERROR(('연간'!V34)*(1-0.3)/(J35+J29),"")</f>
        <v/>
      </c>
      <c r="K53" s="36">
        <f>IFERROR(('연간'!W34)*(1-0.3)/(K35+K29),"")</f>
        <v/>
      </c>
      <c r="L53" s="36">
        <f>IFERROR(('연간'!X34)*(1-0.3)/(L35+L29),"")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IFERROR((IF(COUNT('연간'!G28:J28)&lt;4,"",SUM('연간'!G28:J28)))/(IF(COUNT('연간'!G4:J4)&lt;4,"",SUM('연간'!G4:J4))),"")</f>
        <v/>
      </c>
      <c r="D54" s="36">
        <f>IFERROR((IF(COUNT('연간'!H28:K28)&lt;4,"",SUM('연간'!H28:K28)))/(IF(COUNT('연간'!H4:K4)&lt;4,"",SUM('연간'!H4:K4))),"")</f>
        <v/>
      </c>
      <c r="E54" s="36">
        <f>IFERROR((IF(COUNT('연간'!I28:L28)&lt;4,"",SUM('연간'!I28:L28)))/(IF(COUNT('연간'!I4:L4)&lt;4,"",SUM('연간'!I4:L4))),"")</f>
        <v/>
      </c>
      <c r="F54" s="36">
        <f>IFERROR((IF(COUNT('연간'!J28:M28)&lt;4,"",SUM('연간'!J28:M28)))/(IF(COUNT('연간'!J4:M4)&lt;4,"",SUM('연간'!J4:M4))),"")</f>
        <v/>
      </c>
      <c r="G54" s="36">
        <f>IFERROR((IF(COUNT('연간'!K28:N28)&lt;4,"",SUM('연간'!K28:N28)))/(IF(COUNT('연간'!K4:N4)&lt;4,"",SUM('연간'!K4:N4))),"")</f>
        <v/>
      </c>
      <c r="H54" s="35">
        <f>IFERROR(('연간'!T28)/('연간'!T4),"")</f>
        <v/>
      </c>
      <c r="I54" s="36">
        <f>IFERROR(('연간'!U28)/('연간'!U4),"")</f>
        <v/>
      </c>
      <c r="J54" s="36">
        <f>IFERROR(('연간'!V28)/('연간'!V4),"")</f>
        <v/>
      </c>
      <c r="K54" s="36">
        <f>IFERROR(('연간'!W28)/('연간'!W4),"")</f>
        <v/>
      </c>
      <c r="L54" s="36">
        <f>IFERROR(('연간'!X28)/('연간'!X4),"")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IFERROR((IF(COUNT('연간'!G34:J34)&lt;4,"",SUM('연간'!G34:J34)))/(IF(COUNT('연간'!G4:J4)&lt;4,"",SUM('연간'!G4:J4))),"")</f>
        <v/>
      </c>
      <c r="D55" s="36">
        <f>IFERROR((IF(COUNT('연간'!H34:K34)&lt;4,"",SUM('연간'!H34:K34)))/(IF(COUNT('연간'!H4:K4)&lt;4,"",SUM('연간'!H4:K4))),"")</f>
        <v/>
      </c>
      <c r="E55" s="36">
        <f>IFERROR((IF(COUNT('연간'!I34:L34)&lt;4,"",SUM('연간'!I34:L34)))/(IF(COUNT('연간'!I4:L4)&lt;4,"",SUM('연간'!I4:L4))),"")</f>
        <v/>
      </c>
      <c r="F55" s="36">
        <f>IFERROR((IF(COUNT('연간'!J34:M34)&lt;4,"",SUM('연간'!J34:M34)))/(IF(COUNT('연간'!J4:M4)&lt;4,"",SUM('연간'!J4:M4))),"")</f>
        <v/>
      </c>
      <c r="G55" s="36">
        <f>IFERROR((IF(COUNT('연간'!K34:N34)&lt;4,"",SUM('연간'!K34:N34)))/(IF(COUNT('연간'!K4:N4)&lt;4,"",SUM('연간'!K4:N4))),"")</f>
        <v/>
      </c>
      <c r="H55" s="35">
        <f>IFERROR(('연간'!T34)/('연간'!T4),"")</f>
        <v/>
      </c>
      <c r="I55" s="36">
        <f>IFERROR(('연간'!U34)/('연간'!U4),"")</f>
        <v/>
      </c>
      <c r="J55" s="36">
        <f>IFERROR(('연간'!V34)/('연간'!V4),"")</f>
        <v/>
      </c>
      <c r="K55" s="36">
        <f>IFERROR(('연간'!W34)/('연간'!W4),"")</f>
        <v/>
      </c>
      <c r="L55" s="36">
        <f>IFERROR(('연간'!X34)/('연간'!X4),"")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IFERROR((IF(COUNT('연간'!G62:J62)&lt;4,"",SUM('연간'!G62:J62)))/(IF(COUNT('연간'!G4:J4)&lt;4,"",SUM('연간'!G4:J4))),"")</f>
        <v/>
      </c>
      <c r="D56" s="36">
        <f>IFERROR((IF(COUNT('연간'!H62:K62)&lt;4,"",SUM('연간'!H62:K62)))/(IF(COUNT('연간'!H4:K4)&lt;4,"",SUM('연간'!H4:K4))),"")</f>
        <v/>
      </c>
      <c r="E56" s="36">
        <f>IFERROR((IF(COUNT('연간'!I62:L62)&lt;4,"",SUM('연간'!I62:L62)))/(IF(COUNT('연간'!I4:L4)&lt;4,"",SUM('연간'!I4:L4))),"")</f>
        <v/>
      </c>
      <c r="F56" s="36">
        <f>IFERROR((IF(COUNT('연간'!J62:M62)&lt;4,"",SUM('연간'!J62:M62)))/(IF(COUNT('연간'!J4:M4)&lt;4,"",SUM('연간'!J4:M4))),"")</f>
        <v/>
      </c>
      <c r="G56" s="36">
        <f>IFERROR((IF(COUNT('연간'!K62:N62)&lt;4,"",SUM('연간'!K62:N62)))/(IF(COUNT('연간'!K4:N4)&lt;4,"",SUM('연간'!K4:N4))),"")</f>
        <v/>
      </c>
      <c r="H56" s="35">
        <f>IFERROR(('연간'!T62)/('연간'!T4),"")</f>
        <v/>
      </c>
      <c r="I56" s="36">
        <f>IFERROR(('연간'!U62)/('연간'!U4),"")</f>
        <v/>
      </c>
      <c r="J56" s="36">
        <f>IFERROR(('연간'!V62)/('연간'!V4),"")</f>
        <v/>
      </c>
      <c r="K56" s="36">
        <f>IFERROR(('연간'!W62)/('연간'!W4),"")</f>
        <v/>
      </c>
      <c r="L56" s="36">
        <f>IFERROR(('연간'!X62)/('연간'!X4),"")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IFERROR(C9/(IF(COUNT('연간'!G26:J26)&lt;4,"",SUM('연간'!G26:J26)))*365,"")</f>
        <v/>
      </c>
      <c r="D60" s="49">
        <f>IFERROR(D9/(IF(COUNT('연간'!H26:K26)&lt;4,"",SUM('연간'!H26:K26)))*365,"")</f>
        <v/>
      </c>
      <c r="E60" s="49">
        <f>IFERROR(E9/(IF(COUNT('연간'!I26:L26)&lt;4,"",SUM('연간'!I26:L26)))*365,"")</f>
        <v/>
      </c>
      <c r="F60" s="49">
        <f>IFERROR(F9/(IF(COUNT('연간'!J26:M26)&lt;4,"",SUM('연간'!J26:M26)))*365,"")</f>
        <v/>
      </c>
      <c r="G60" s="49">
        <f>IFERROR(G9/(IF(COUNT('연간'!K26:N26)&lt;4,"",SUM('연간'!K26:N26)))*365,"")</f>
        <v/>
      </c>
      <c r="H60" s="48">
        <f>IFERROR(H9/('연간'!T26)*365,"")</f>
        <v/>
      </c>
      <c r="I60" s="49">
        <f>IFERROR(I9/('연간'!U26)*365,"")</f>
        <v/>
      </c>
      <c r="J60" s="49">
        <f>IFERROR(J9/('연간'!V26)*365,"")</f>
        <v/>
      </c>
      <c r="K60" s="49">
        <f>IFERROR(K9/('연간'!W26)*365,"")</f>
        <v/>
      </c>
      <c r="L60" s="49">
        <f>IFERROR(L9/('연간'!X26)*365,"")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IFERROR(C19/(IF(COUNT('연간'!G26:J26)&lt;4,"",SUM('연간'!G26:J26)))*365,"")</f>
        <v/>
      </c>
      <c r="D61" s="49">
        <f>IFERROR(D19/(IF(COUNT('연간'!H26:K26)&lt;4,"",SUM('연간'!H26:K26)))*365,"")</f>
        <v/>
      </c>
      <c r="E61" s="49">
        <f>IFERROR(E19/(IF(COUNT('연간'!I26:L26)&lt;4,"",SUM('연간'!I26:L26)))*365,"")</f>
        <v/>
      </c>
      <c r="F61" s="49">
        <f>IFERROR(F19/(IF(COUNT('연간'!J26:M26)&lt;4,"",SUM('연간'!J26:M26)))*365,"")</f>
        <v/>
      </c>
      <c r="G61" s="49">
        <f>IFERROR(G19/(IF(COUNT('연간'!K26:N26)&lt;4,"",SUM('연간'!K26:N26)))*365,"")</f>
        <v/>
      </c>
      <c r="H61" s="48">
        <f>IFERROR(H19/('연간'!T26)*365,"")</f>
        <v/>
      </c>
      <c r="I61" s="49">
        <f>IFERROR(I19/('연간'!U26)*365,"")</f>
        <v/>
      </c>
      <c r="J61" s="49">
        <f>IFERROR(J19/('연간'!V26)*365,"")</f>
        <v/>
      </c>
      <c r="K61" s="49">
        <f>IFERROR(K19/('연간'!W26)*365,"")</f>
        <v/>
      </c>
      <c r="L61" s="49">
        <f>IFERROR(L19/('연간'!X26)*365,"")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IF(C37="","",IFERROR(C37/(IF(COUNT('연간'!G62:J62)&lt;4,"",SUM('연간'!G62:J62))),""))</f>
        <v/>
      </c>
      <c r="D64" s="31">
        <f>IF(D37="","",IFERROR(D37/(IF(COUNT('연간'!H62:K62)&lt;4,"",SUM('연간'!H62:K62))),""))</f>
        <v/>
      </c>
      <c r="E64" s="31">
        <f>IF(E37="","",IFERROR(E37/(IF(COUNT('연간'!I62:L62)&lt;4,"",SUM('연간'!I62:L62))),""))</f>
        <v/>
      </c>
      <c r="F64" s="31">
        <f>IF(F37="","",IFERROR(F37/(IF(COUNT('연간'!J62:M62)&lt;4,"",SUM('연간'!J62:M62))),""))</f>
        <v/>
      </c>
      <c r="G64" s="31">
        <f>IF(G37="","",IFERROR(G37/(IF(COUNT('연간'!K62:N62)&lt;4,"",SUM('연간'!K62:N62))),""))</f>
        <v/>
      </c>
      <c r="H64" s="30">
        <f>IF(H37="","",IFERROR(H37/('연간'!T62),""))</f>
        <v/>
      </c>
      <c r="I64" s="31">
        <f>IF(I37="","",IFERROR(I37/('연간'!U62),""))</f>
        <v/>
      </c>
      <c r="J64" s="31">
        <f>IF(J37="","",IFERROR(J37/('연간'!V62),""))</f>
        <v/>
      </c>
      <c r="K64" s="31">
        <f>IF(K37="","",IFERROR(K37/('연간'!W62),""))</f>
        <v/>
      </c>
      <c r="L64" s="31">
        <f>IF(L37="","",IFERROR(L37/('연간'!X62),""))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IF(C40="","",IFERROR(C40/(IF(COUNT('연간'!G64:J64)&lt;4,"",SUM('연간'!G64:J64))),""))</f>
        <v/>
      </c>
      <c r="D67" s="36">
        <f>IF(D40="","",IFERROR(D40/(IF(COUNT('연간'!H64:K64)&lt;4,"",SUM('연간'!H64:K64))),""))</f>
        <v/>
      </c>
      <c r="E67" s="36">
        <f>IF(E40="","",IFERROR(E40/(IF(COUNT('연간'!I64:L64)&lt;4,"",SUM('연간'!I64:L64))),""))</f>
        <v/>
      </c>
      <c r="F67" s="36">
        <f>IF(F40="","",IFERROR(F40/(IF(COUNT('연간'!J64:M64)&lt;4,"",SUM('연간'!J64:M64))),""))</f>
        <v/>
      </c>
      <c r="G67" s="36">
        <f>IF(G40="","",IFERROR(G40/(IF(COUNT('연간'!K64:N64)&lt;4,"",SUM('연간'!K64:N64))),""))</f>
        <v/>
      </c>
      <c r="H67" s="35">
        <f>IF(H40="","",IFERROR(H40/('연간'!T64),""))</f>
        <v/>
      </c>
      <c r="I67" s="36">
        <f>IF(I40="","",IFERROR(I40/('연간'!U64),""))</f>
        <v/>
      </c>
      <c r="J67" s="36">
        <f>IF(J40="","",IFERROR(J40/('연간'!V64),""))</f>
        <v/>
      </c>
      <c r="K67" s="36">
        <f>IF(K40="","",IFERROR(K40/('연간'!W64),""))</f>
        <v/>
      </c>
      <c r="L67" s="36">
        <f>IF(L40="","",IFERROR(L40/('연간'!X64),""))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16711</v>
      </c>
      <c r="D71" s="20" t="n">
        <v>22518</v>
      </c>
      <c r="E71" s="20" t="n">
        <v>45569</v>
      </c>
      <c r="F71" s="20" t="n">
        <v>35373</v>
      </c>
      <c r="G71" s="20" t="n">
        <v>30726</v>
      </c>
      <c r="H71" s="20" t="n">
        <v>13931</v>
      </c>
      <c r="I71" s="20" t="n">
        <v>32661</v>
      </c>
      <c r="J71" s="20" t="n">
        <v>32069</v>
      </c>
      <c r="K71" s="20" t="n">
        <v>14528</v>
      </c>
      <c r="L71" s="20" t="n">
        <v>45569</v>
      </c>
    </row>
    <row r="72">
      <c r="A72" s="18" t="inlineStr">
        <is>
          <t>매출채권</t>
        </is>
      </c>
      <c r="H72" s="20" t="n">
        <v>3558</v>
      </c>
      <c r="I72" s="20" t="n">
        <v>3464</v>
      </c>
      <c r="J72" s="20" t="n">
        <v>3915</v>
      </c>
    </row>
    <row r="73">
      <c r="A73" s="18" t="inlineStr">
        <is>
          <t>받을어음·매출채권·계약자산</t>
        </is>
      </c>
      <c r="C73" s="20" t="n">
        <v>9447</v>
      </c>
      <c r="D73" s="20" t="n">
        <v>12031</v>
      </c>
      <c r="E73" s="20" t="n">
        <v>10734</v>
      </c>
      <c r="F73" s="20" t="n">
        <v>11800</v>
      </c>
      <c r="G73" s="20" t="n">
        <v>10060</v>
      </c>
      <c r="J73" s="20" t="n">
        <v>3915</v>
      </c>
      <c r="K73" s="20" t="n">
        <v>10553</v>
      </c>
      <c r="L73" s="20" t="n">
        <v>10734</v>
      </c>
    </row>
    <row r="74">
      <c r="A74" s="18" t="inlineStr">
        <is>
          <t>전자기록채권</t>
        </is>
      </c>
      <c r="C74" s="20" t="n">
        <v>2025</v>
      </c>
      <c r="D74" s="20" t="n">
        <v>1990</v>
      </c>
      <c r="E74" s="20" t="n">
        <v>2237</v>
      </c>
      <c r="F74" s="20" t="n">
        <v>2701</v>
      </c>
      <c r="G74" s="20" t="n">
        <v>2496</v>
      </c>
      <c r="J74" s="20" t="n">
        <v>0</v>
      </c>
      <c r="K74" s="20" t="n">
        <v>2085</v>
      </c>
      <c r="L74" s="20" t="n">
        <v>2237</v>
      </c>
    </row>
    <row r="75">
      <c r="A75" s="18" t="inlineStr">
        <is>
          <t>상품</t>
        </is>
      </c>
      <c r="C75" s="20" t="n">
        <v>3243</v>
      </c>
      <c r="J75" s="20" t="n">
        <v>0</v>
      </c>
      <c r="K75" s="20" t="n">
        <v>3120</v>
      </c>
    </row>
    <row r="76">
      <c r="A76" s="18" t="inlineStr">
        <is>
          <t>상품·제품</t>
        </is>
      </c>
      <c r="D76" s="20" t="n">
        <v>3679</v>
      </c>
      <c r="E76" s="20" t="n">
        <v>3497</v>
      </c>
      <c r="F76" s="20" t="n">
        <v>3608</v>
      </c>
      <c r="G76" s="20" t="n">
        <v>3636</v>
      </c>
      <c r="K76" s="20" t="n">
        <v>3120</v>
      </c>
      <c r="L76" s="20" t="n">
        <v>3497</v>
      </c>
    </row>
    <row r="77">
      <c r="A77" s="18" t="inlineStr">
        <is>
          <t>판매용 부동산</t>
        </is>
      </c>
      <c r="C77" s="20" t="n">
        <v>548</v>
      </c>
      <c r="D77" s="20" t="n">
        <v>1094</v>
      </c>
      <c r="E77" s="20" t="n">
        <v>964</v>
      </c>
      <c r="F77" s="20" t="n">
        <v>879</v>
      </c>
      <c r="G77" s="20" t="n">
        <v>318</v>
      </c>
      <c r="K77" s="20" t="n">
        <v>552</v>
      </c>
      <c r="L77" s="20" t="n">
        <v>964</v>
      </c>
    </row>
    <row r="78">
      <c r="A78" s="18" t="inlineStr">
        <is>
          <t>개발 중 판매용 부동산</t>
        </is>
      </c>
      <c r="C78" s="20" t="n">
        <v>967</v>
      </c>
      <c r="D78" s="20" t="n">
        <v>1166</v>
      </c>
      <c r="E78" s="20" t="n">
        <v>505</v>
      </c>
      <c r="F78" s="20" t="n">
        <v>1065</v>
      </c>
      <c r="G78" s="20" t="n">
        <v>1543</v>
      </c>
      <c r="J78" s="20" t="n">
        <v>0</v>
      </c>
      <c r="K78" s="20" t="n">
        <v>454</v>
      </c>
      <c r="L78" s="20" t="n">
        <v>505</v>
      </c>
    </row>
    <row r="79">
      <c r="A79" s="18" t="inlineStr">
        <is>
          <t>기타</t>
        </is>
      </c>
      <c r="C79" s="20" t="n">
        <v>3567</v>
      </c>
      <c r="D79" s="20" t="n">
        <v>4614</v>
      </c>
      <c r="E79" s="20" t="n">
        <v>5123</v>
      </c>
      <c r="F79" s="20" t="n">
        <v>5590</v>
      </c>
      <c r="G79" s="20" t="n">
        <v>5473</v>
      </c>
      <c r="H79" s="20" t="n">
        <v>5318</v>
      </c>
      <c r="I79" s="20" t="n">
        <v>2191</v>
      </c>
      <c r="J79" s="20" t="n">
        <v>1486</v>
      </c>
      <c r="K79" s="20" t="n">
        <v>4003</v>
      </c>
      <c r="L79" s="20" t="n">
        <v>5123</v>
      </c>
    </row>
    <row r="80">
      <c r="A80" s="18" t="inlineStr">
        <is>
          <t>대손충당금</t>
        </is>
      </c>
      <c r="C80" s="20" t="n">
        <v>-43</v>
      </c>
      <c r="D80" s="20" t="n">
        <v>-81</v>
      </c>
      <c r="E80" s="20" t="n">
        <v>-70</v>
      </c>
      <c r="F80" s="20" t="n">
        <v>-75</v>
      </c>
      <c r="G80" s="20" t="n">
        <v>-68</v>
      </c>
      <c r="H80" s="20" t="n">
        <v>-4</v>
      </c>
      <c r="I80" s="20" t="n">
        <v>-16</v>
      </c>
      <c r="J80" s="20" t="n">
        <v>-35</v>
      </c>
      <c r="K80" s="20" t="n">
        <v>-23</v>
      </c>
      <c r="L80" s="20" t="n">
        <v>-70</v>
      </c>
    </row>
    <row r="81">
      <c r="A81" s="9" t="inlineStr">
        <is>
          <t>유동자산 합계</t>
        </is>
      </c>
      <c r="C81" s="12" t="n">
        <v>36467</v>
      </c>
      <c r="D81" s="12" t="n">
        <v>47013</v>
      </c>
      <c r="E81" s="12" t="n">
        <v>68561</v>
      </c>
      <c r="F81" s="12" t="n">
        <v>60942</v>
      </c>
      <c r="G81" s="12" t="n">
        <v>54186</v>
      </c>
      <c r="H81" s="12" t="n">
        <v>22803</v>
      </c>
      <c r="I81" s="12" t="n">
        <v>38301</v>
      </c>
      <c r="J81" s="12" t="n">
        <v>37436</v>
      </c>
      <c r="K81" s="12" t="n">
        <v>35274</v>
      </c>
      <c r="L81" s="12" t="n">
        <v>68561</v>
      </c>
    </row>
    <row r="82">
      <c r="A82" s="18" t="inlineStr">
        <is>
          <t>건물·구축물(순액)</t>
        </is>
      </c>
      <c r="C82" s="20" t="n">
        <v>35109</v>
      </c>
      <c r="D82" s="20" t="n">
        <v>41705</v>
      </c>
      <c r="E82" s="20" t="n">
        <v>40239</v>
      </c>
      <c r="F82" s="20" t="n">
        <v>44605</v>
      </c>
      <c r="G82" s="20" t="n">
        <v>44228</v>
      </c>
      <c r="H82" s="20" t="n">
        <v>24126</v>
      </c>
      <c r="I82" s="20" t="n">
        <v>15753</v>
      </c>
      <c r="J82" s="20" t="n">
        <v>15700</v>
      </c>
      <c r="K82" s="20" t="n">
        <v>31759</v>
      </c>
      <c r="L82" s="20" t="n">
        <v>40239</v>
      </c>
    </row>
    <row r="83">
      <c r="A83" s="18" t="inlineStr">
        <is>
          <t>공구·기구·비품(순액)</t>
        </is>
      </c>
      <c r="H83" s="20" t="n">
        <v>882</v>
      </c>
    </row>
    <row r="84">
      <c r="A84" s="18" t="inlineStr">
        <is>
          <t>토지</t>
        </is>
      </c>
      <c r="C84" s="20" t="n">
        <v>17131</v>
      </c>
      <c r="D84" s="20" t="n">
        <v>17531</v>
      </c>
      <c r="E84" s="20" t="n">
        <v>16164</v>
      </c>
      <c r="F84" s="20" t="n">
        <v>17949</v>
      </c>
      <c r="G84" s="20" t="n">
        <v>19290</v>
      </c>
      <c r="H84" s="20" t="n">
        <v>7585</v>
      </c>
      <c r="I84" s="20" t="n">
        <v>7859</v>
      </c>
      <c r="J84" s="20" t="n">
        <v>7970</v>
      </c>
      <c r="K84" s="20" t="n">
        <v>15904</v>
      </c>
      <c r="L84" s="20" t="n">
        <v>16164</v>
      </c>
    </row>
    <row r="85">
      <c r="A85" s="18" t="inlineStr">
        <is>
          <t>리스자산(순액)</t>
        </is>
      </c>
      <c r="H85" s="20" t="n">
        <v>2930</v>
      </c>
    </row>
    <row r="86">
      <c r="A86" s="18" t="inlineStr">
        <is>
          <t>건설중인자산</t>
        </is>
      </c>
      <c r="C86" s="20" t="n">
        <v>3270</v>
      </c>
      <c r="D86" s="20" t="n">
        <v>1217</v>
      </c>
      <c r="E86" s="20" t="n">
        <v>1679</v>
      </c>
      <c r="F86" s="20" t="n">
        <v>760</v>
      </c>
      <c r="G86" s="20" t="n">
        <v>643</v>
      </c>
      <c r="H86" s="20" t="n">
        <v>27</v>
      </c>
      <c r="J86" s="20" t="n">
        <v>604</v>
      </c>
      <c r="K86" s="20" t="n">
        <v>2959</v>
      </c>
      <c r="L86" s="20" t="n">
        <v>1679</v>
      </c>
    </row>
    <row r="87">
      <c r="A87" s="18" t="inlineStr">
        <is>
          <t>기타(순액)</t>
        </is>
      </c>
      <c r="C87" s="20" t="n">
        <v>1535</v>
      </c>
      <c r="D87" s="20" t="n">
        <v>2059</v>
      </c>
      <c r="E87" s="20" t="n">
        <v>1742</v>
      </c>
      <c r="F87" s="20" t="n">
        <v>2344</v>
      </c>
      <c r="G87" s="20" t="n">
        <v>2357</v>
      </c>
      <c r="H87" s="20" t="n">
        <v>3852</v>
      </c>
      <c r="I87" s="20" t="n">
        <v>152</v>
      </c>
      <c r="J87" s="20" t="n">
        <v>138</v>
      </c>
      <c r="K87" s="20" t="n">
        <v>1246</v>
      </c>
      <c r="L87" s="20" t="n">
        <v>1742</v>
      </c>
    </row>
    <row r="88">
      <c r="A88" s="18" t="inlineStr">
        <is>
          <t>유형자산 합계</t>
        </is>
      </c>
      <c r="C88" s="20" t="n">
        <v>57046</v>
      </c>
      <c r="D88" s="20" t="n">
        <v>62514</v>
      </c>
      <c r="E88" s="20" t="n">
        <v>59826</v>
      </c>
      <c r="F88" s="20" t="n">
        <v>65660</v>
      </c>
      <c r="G88" s="20" t="n">
        <v>66519</v>
      </c>
      <c r="H88" s="20" t="n">
        <v>35564</v>
      </c>
      <c r="I88" s="20" t="n">
        <v>23765</v>
      </c>
      <c r="J88" s="20" t="n">
        <v>24414</v>
      </c>
      <c r="K88" s="20" t="n">
        <v>51870</v>
      </c>
      <c r="L88" s="20" t="n">
        <v>59826</v>
      </c>
    </row>
    <row r="89">
      <c r="A89" s="18" t="inlineStr">
        <is>
          <t>상표권</t>
        </is>
      </c>
      <c r="C89" s="20" t="n">
        <v>5412</v>
      </c>
      <c r="D89" s="20" t="n">
        <v>5324</v>
      </c>
      <c r="E89" s="20" t="n">
        <v>5231</v>
      </c>
      <c r="F89" s="20" t="n">
        <v>5132</v>
      </c>
      <c r="G89" s="20" t="n">
        <v>5038</v>
      </c>
      <c r="J89" s="20" t="n">
        <v>0</v>
      </c>
      <c r="K89" s="20" t="n">
        <v>5571</v>
      </c>
      <c r="L89" s="20" t="n">
        <v>5231</v>
      </c>
    </row>
    <row r="90">
      <c r="A90" s="18" t="inlineStr">
        <is>
          <t>영업권</t>
        </is>
      </c>
      <c r="C90" s="20" t="n">
        <v>5745</v>
      </c>
      <c r="D90" s="20" t="n">
        <v>5944</v>
      </c>
      <c r="E90" s="20" t="n">
        <v>5992</v>
      </c>
      <c r="F90" s="20" t="n">
        <v>6273</v>
      </c>
      <c r="G90" s="20" t="n">
        <v>6682</v>
      </c>
      <c r="H90" s="20" t="n">
        <v>34817</v>
      </c>
      <c r="I90" s="20" t="n">
        <v>90</v>
      </c>
      <c r="J90" s="20" t="n">
        <v>76</v>
      </c>
      <c r="K90" s="20" t="n">
        <v>5749</v>
      </c>
      <c r="L90" s="20" t="n">
        <v>5992</v>
      </c>
    </row>
    <row r="91">
      <c r="A91" s="18" t="inlineStr">
        <is>
          <t>고객관계자산</t>
        </is>
      </c>
      <c r="C91" s="20" t="n">
        <v>392</v>
      </c>
      <c r="D91" s="20" t="n">
        <v>460</v>
      </c>
      <c r="E91" s="20" t="n">
        <v>447</v>
      </c>
      <c r="F91" s="20" t="n">
        <v>434</v>
      </c>
      <c r="G91" s="20" t="n">
        <v>421</v>
      </c>
      <c r="H91" s="20" t="n">
        <v>2890</v>
      </c>
      <c r="I91" s="20" t="n">
        <v>193</v>
      </c>
      <c r="J91" s="20" t="n">
        <v>170</v>
      </c>
      <c r="K91" s="20" t="n">
        <v>412</v>
      </c>
      <c r="L91" s="20" t="n">
        <v>447</v>
      </c>
    </row>
    <row r="92">
      <c r="A92" s="18" t="inlineStr">
        <is>
          <t>기타</t>
        </is>
      </c>
      <c r="C92" s="20" t="n">
        <v>1203</v>
      </c>
      <c r="D92" s="20" t="n">
        <v>1337</v>
      </c>
      <c r="E92" s="20" t="n">
        <v>1266</v>
      </c>
      <c r="F92" s="20" t="n">
        <v>1226</v>
      </c>
      <c r="G92" s="20" t="n">
        <v>1278</v>
      </c>
      <c r="H92" s="20" t="n">
        <v>175</v>
      </c>
      <c r="I92" s="20" t="n">
        <v>499</v>
      </c>
      <c r="J92" s="20" t="n">
        <v>589</v>
      </c>
      <c r="K92" s="20" t="n">
        <v>1164</v>
      </c>
      <c r="L92" s="20" t="n">
        <v>1266</v>
      </c>
    </row>
    <row r="93">
      <c r="A93" s="18" t="inlineStr">
        <is>
          <t>무형자산 합계</t>
        </is>
      </c>
      <c r="C93" s="20" t="n">
        <v>12753</v>
      </c>
      <c r="D93" s="20" t="n">
        <v>13068</v>
      </c>
      <c r="E93" s="20" t="n">
        <v>12937</v>
      </c>
      <c r="F93" s="20" t="n">
        <v>13067</v>
      </c>
      <c r="G93" s="20" t="n">
        <v>13421</v>
      </c>
      <c r="H93" s="20" t="n">
        <v>37883</v>
      </c>
      <c r="I93" s="20" t="n">
        <v>783</v>
      </c>
      <c r="J93" s="20" t="n">
        <v>836</v>
      </c>
      <c r="K93" s="20" t="n">
        <v>12897</v>
      </c>
      <c r="L93" s="20" t="n">
        <v>12937</v>
      </c>
    </row>
    <row r="94">
      <c r="A94" s="18" t="inlineStr">
        <is>
          <t>투자유가증권</t>
        </is>
      </c>
      <c r="C94" s="20" t="n">
        <v>7279</v>
      </c>
      <c r="D94" s="20" t="n">
        <v>3770</v>
      </c>
      <c r="E94" s="20" t="n">
        <v>6756</v>
      </c>
      <c r="F94" s="20" t="n">
        <v>7000</v>
      </c>
      <c r="G94" s="20" t="n">
        <v>6744</v>
      </c>
      <c r="H94" s="20" t="n">
        <v>1245</v>
      </c>
      <c r="I94" s="20" t="n">
        <v>1716</v>
      </c>
      <c r="J94" s="20" t="n">
        <v>5414</v>
      </c>
      <c r="K94" s="20" t="n">
        <v>6618</v>
      </c>
      <c r="L94" s="20" t="n">
        <v>6756</v>
      </c>
    </row>
    <row r="95">
      <c r="A95" s="18" t="inlineStr">
        <is>
          <t>임차보증금·보증금</t>
        </is>
      </c>
      <c r="C95" s="20" t="n">
        <v>11764</v>
      </c>
      <c r="D95" s="20" t="n">
        <v>15555</v>
      </c>
      <c r="E95" s="20" t="n">
        <v>16064</v>
      </c>
      <c r="F95" s="20" t="n">
        <v>16981</v>
      </c>
      <c r="G95" s="20" t="n">
        <v>17306</v>
      </c>
      <c r="H95" s="20" t="n">
        <v>10082</v>
      </c>
      <c r="I95" s="20" t="n">
        <v>5802</v>
      </c>
      <c r="J95" s="20" t="n">
        <v>6595</v>
      </c>
      <c r="K95" s="20" t="n">
        <v>9838</v>
      </c>
      <c r="L95" s="20" t="n">
        <v>16064</v>
      </c>
    </row>
    <row r="96">
      <c r="A96" s="18" t="inlineStr">
        <is>
          <t>이연법인세자산</t>
        </is>
      </c>
      <c r="C96" s="20" t="n">
        <v>3537</v>
      </c>
      <c r="D96" s="20" t="n">
        <v>8047</v>
      </c>
      <c r="E96" s="20" t="n">
        <v>5424</v>
      </c>
      <c r="F96" s="20" t="n">
        <v>5601</v>
      </c>
      <c r="G96" s="20" t="n">
        <v>5147</v>
      </c>
      <c r="H96" s="20" t="n">
        <v>2653</v>
      </c>
      <c r="I96" s="20" t="n">
        <v>715</v>
      </c>
      <c r="J96" s="20" t="n">
        <v>3982</v>
      </c>
      <c r="K96" s="20" t="n">
        <v>3795</v>
      </c>
      <c r="L96" s="20" t="n">
        <v>5424</v>
      </c>
    </row>
    <row r="97">
      <c r="A97" s="18" t="inlineStr">
        <is>
          <t>퇴직급여자산</t>
        </is>
      </c>
      <c r="E97" s="20" t="n">
        <v>65</v>
      </c>
      <c r="F97" s="20" t="n">
        <v>65</v>
      </c>
      <c r="G97" s="20" t="n">
        <v>65</v>
      </c>
      <c r="K97" s="20" t="n">
        <v>0</v>
      </c>
      <c r="L97" s="20" t="n">
        <v>65</v>
      </c>
    </row>
    <row r="98">
      <c r="A98" s="18" t="inlineStr">
        <is>
          <t>기타</t>
        </is>
      </c>
      <c r="C98" s="20" t="n">
        <v>1183</v>
      </c>
      <c r="D98" s="20" t="n">
        <v>1434</v>
      </c>
      <c r="E98" s="20" t="n">
        <v>1406</v>
      </c>
      <c r="F98" s="20" t="n">
        <v>1409</v>
      </c>
      <c r="G98" s="20" t="n">
        <v>1695</v>
      </c>
      <c r="H98" s="20" t="n">
        <v>1047</v>
      </c>
      <c r="I98" s="20" t="n">
        <v>1004</v>
      </c>
      <c r="J98" s="20" t="n">
        <v>991</v>
      </c>
      <c r="K98" s="20" t="n">
        <v>1161</v>
      </c>
      <c r="L98" s="20" t="n">
        <v>1406</v>
      </c>
    </row>
    <row r="99">
      <c r="A99" s="18" t="inlineStr">
        <is>
          <t>대손충당금</t>
        </is>
      </c>
      <c r="C99" s="20" t="n">
        <v>-73</v>
      </c>
      <c r="D99" s="20" t="n">
        <v>-118</v>
      </c>
      <c r="E99" s="20" t="n">
        <v>-87</v>
      </c>
      <c r="F99" s="20" t="n">
        <v>-82</v>
      </c>
      <c r="G99" s="20" t="n">
        <v>-84</v>
      </c>
      <c r="J99" s="20" t="n">
        <v>0</v>
      </c>
      <c r="K99" s="20" t="n">
        <v>-62</v>
      </c>
      <c r="L99" s="20" t="n">
        <v>-87</v>
      </c>
    </row>
    <row r="100">
      <c r="A100" s="18" t="inlineStr">
        <is>
          <t>투자 및 기타자산 합계</t>
        </is>
      </c>
      <c r="C100" s="20" t="n">
        <v>23692</v>
      </c>
      <c r="D100" s="20" t="n">
        <v>28689</v>
      </c>
      <c r="E100" s="20" t="n">
        <v>29629</v>
      </c>
      <c r="F100" s="20" t="n">
        <v>30976</v>
      </c>
      <c r="G100" s="20" t="n">
        <v>30874</v>
      </c>
      <c r="H100" s="20" t="n">
        <v>15029</v>
      </c>
      <c r="I100" s="20" t="n">
        <v>9239</v>
      </c>
      <c r="J100" s="20" t="n">
        <v>16984</v>
      </c>
      <c r="K100" s="20" t="n">
        <v>21351</v>
      </c>
      <c r="L100" s="20" t="n">
        <v>29629</v>
      </c>
    </row>
    <row r="101">
      <c r="A101" s="9" t="inlineStr">
        <is>
          <t>비유동자산 합계</t>
        </is>
      </c>
      <c r="C101" s="12" t="n">
        <v>93492</v>
      </c>
      <c r="D101" s="12" t="n">
        <v>104271</v>
      </c>
      <c r="E101" s="12" t="n">
        <v>102393</v>
      </c>
      <c r="F101" s="12" t="n">
        <v>109705</v>
      </c>
      <c r="G101" s="12" t="n">
        <v>110816</v>
      </c>
      <c r="H101" s="12" t="n">
        <v>88477</v>
      </c>
      <c r="I101" s="12" t="n">
        <v>33788</v>
      </c>
      <c r="J101" s="12" t="n">
        <v>42235</v>
      </c>
      <c r="K101" s="12" t="n">
        <v>86119</v>
      </c>
      <c r="L101" s="12" t="n">
        <v>102393</v>
      </c>
    </row>
    <row r="102">
      <c r="A102" s="9" t="inlineStr">
        <is>
          <t>자산 합계</t>
        </is>
      </c>
      <c r="C102" s="12" t="n">
        <v>129960</v>
      </c>
      <c r="D102" s="12" t="n">
        <v>151284</v>
      </c>
      <c r="E102" s="12" t="n">
        <v>170954</v>
      </c>
      <c r="F102" s="12" t="n">
        <v>170648</v>
      </c>
      <c r="G102" s="12" t="n">
        <v>165002</v>
      </c>
      <c r="H102" s="12" t="n">
        <v>111280</v>
      </c>
      <c r="I102" s="12" t="n">
        <v>72089</v>
      </c>
      <c r="J102" s="12" t="n">
        <v>79672</v>
      </c>
      <c r="K102" s="12" t="n">
        <v>121394</v>
      </c>
      <c r="L102" s="12" t="n">
        <v>170954</v>
      </c>
    </row>
    <row r="103">
      <c r="A103" s="18" t="inlineStr">
        <is>
          <t>매입채무</t>
        </is>
      </c>
      <c r="H103" s="20" t="n">
        <v>678</v>
      </c>
      <c r="I103" s="20" t="n">
        <v>588</v>
      </c>
      <c r="J103" s="20" t="n">
        <v>797</v>
      </c>
    </row>
    <row r="104">
      <c r="A104" s="18" t="inlineStr">
        <is>
          <t>지급어음·매입채무</t>
        </is>
      </c>
      <c r="C104" s="20" t="n">
        <v>5988</v>
      </c>
      <c r="D104" s="20" t="n">
        <v>7175</v>
      </c>
      <c r="E104" s="20" t="n">
        <v>7280</v>
      </c>
      <c r="F104" s="20" t="n">
        <v>6870</v>
      </c>
      <c r="G104" s="20" t="n">
        <v>6006</v>
      </c>
      <c r="J104" s="20" t="n">
        <v>797</v>
      </c>
      <c r="K104" s="20" t="n">
        <v>6320</v>
      </c>
      <c r="L104" s="20" t="n">
        <v>7280</v>
      </c>
    </row>
    <row r="105">
      <c r="A105" s="18" t="inlineStr">
        <is>
          <t>전자기록채무</t>
        </is>
      </c>
      <c r="C105" s="20" t="n">
        <v>2749</v>
      </c>
      <c r="D105" s="20" t="n">
        <v>2593</v>
      </c>
      <c r="E105" s="20" t="n">
        <v>2663</v>
      </c>
      <c r="F105" s="20" t="n">
        <v>2081</v>
      </c>
      <c r="G105" s="20" t="n">
        <v>2218</v>
      </c>
      <c r="J105" s="20" t="n">
        <v>0</v>
      </c>
      <c r="K105" s="20" t="n">
        <v>2488</v>
      </c>
      <c r="L105" s="20" t="n">
        <v>2663</v>
      </c>
    </row>
    <row r="106">
      <c r="A106" s="18" t="inlineStr">
        <is>
          <t>단기차입금</t>
        </is>
      </c>
      <c r="C106" s="20" t="n">
        <v>3456</v>
      </c>
      <c r="D106" s="20" t="n">
        <v>2752</v>
      </c>
      <c r="E106" s="20" t="n">
        <v>2756</v>
      </c>
      <c r="F106" s="20" t="n">
        <v>4680</v>
      </c>
      <c r="G106" s="20" t="n">
        <v>4526</v>
      </c>
      <c r="J106" s="20" t="n">
        <v>100</v>
      </c>
      <c r="K106" s="20" t="n">
        <v>3402</v>
      </c>
      <c r="L106" s="20" t="n">
        <v>2756</v>
      </c>
    </row>
    <row r="107">
      <c r="A107" s="18" t="inlineStr">
        <is>
          <t>1년 내 상환 사채</t>
        </is>
      </c>
      <c r="C107" s="20" t="n">
        <v>345</v>
      </c>
      <c r="D107" s="20" t="n">
        <v>405</v>
      </c>
      <c r="E107" s="20" t="n">
        <v>360</v>
      </c>
      <c r="F107" s="20" t="n">
        <v>330</v>
      </c>
      <c r="G107" s="20" t="n">
        <v>330</v>
      </c>
      <c r="H107" s="20" t="n">
        <v>1169</v>
      </c>
      <c r="I107" s="20" t="n">
        <v>485</v>
      </c>
      <c r="J107" s="20" t="n">
        <v>390</v>
      </c>
      <c r="K107" s="20" t="n">
        <v>345</v>
      </c>
      <c r="L107" s="20" t="n">
        <v>360</v>
      </c>
    </row>
    <row r="108">
      <c r="A108" s="18" t="inlineStr">
        <is>
          <t>1년 내 상환 장기차입금</t>
        </is>
      </c>
      <c r="C108" s="20" t="n">
        <v>10158</v>
      </c>
      <c r="D108" s="20" t="n">
        <v>12601</v>
      </c>
      <c r="E108" s="20" t="n">
        <v>13315</v>
      </c>
      <c r="F108" s="20" t="n">
        <v>13178</v>
      </c>
      <c r="G108" s="20" t="n">
        <v>13928</v>
      </c>
      <c r="H108" s="20" t="n">
        <v>7638</v>
      </c>
      <c r="I108" s="20" t="n">
        <v>6371</v>
      </c>
      <c r="J108" s="20" t="n">
        <v>5078</v>
      </c>
      <c r="K108" s="20" t="n">
        <v>9964</v>
      </c>
      <c r="L108" s="20" t="n">
        <v>13315</v>
      </c>
    </row>
    <row r="109">
      <c r="A109" s="18" t="inlineStr">
        <is>
          <t>미지급법인세</t>
        </is>
      </c>
      <c r="C109" s="20" t="n">
        <v>1269</v>
      </c>
      <c r="D109" s="20" t="n">
        <v>949</v>
      </c>
      <c r="E109" s="20" t="n">
        <v>3891</v>
      </c>
      <c r="F109" s="20" t="n">
        <v>952</v>
      </c>
      <c r="G109" s="20" t="n">
        <v>1627</v>
      </c>
      <c r="H109" s="20" t="n">
        <v>681</v>
      </c>
      <c r="I109" s="20" t="n">
        <v>1173</v>
      </c>
      <c r="J109" s="20" t="n">
        <v>336</v>
      </c>
      <c r="K109" s="20" t="n">
        <v>2358</v>
      </c>
      <c r="L109" s="20" t="n">
        <v>3891</v>
      </c>
    </row>
    <row r="110">
      <c r="A110" s="18" t="inlineStr">
        <is>
          <t>계약부채</t>
        </is>
      </c>
      <c r="C110" s="20" t="n">
        <v>2629</v>
      </c>
      <c r="D110" s="20" t="n">
        <v>4786</v>
      </c>
      <c r="E110" s="20" t="n">
        <v>3408</v>
      </c>
      <c r="F110" s="20" t="n">
        <v>4595</v>
      </c>
      <c r="G110" s="20" t="n">
        <v>3920</v>
      </c>
      <c r="I110" s="20" t="n">
        <v>611</v>
      </c>
      <c r="J110" s="20" t="n">
        <v>841</v>
      </c>
      <c r="K110" s="20" t="n">
        <v>2237</v>
      </c>
      <c r="L110" s="20" t="n">
        <v>3408</v>
      </c>
    </row>
    <row r="111">
      <c r="A111" s="18" t="inlineStr">
        <is>
          <t>기타</t>
        </is>
      </c>
      <c r="C111" s="20" t="n">
        <v>6066</v>
      </c>
      <c r="D111" s="20" t="n">
        <v>8428</v>
      </c>
      <c r="E111" s="20" t="n">
        <v>9737</v>
      </c>
      <c r="F111" s="20" t="n">
        <v>10129</v>
      </c>
      <c r="G111" s="20" t="n">
        <v>9865</v>
      </c>
      <c r="H111" s="20" t="n">
        <v>9988</v>
      </c>
      <c r="I111" s="20" t="n">
        <v>3238</v>
      </c>
      <c r="J111" s="20" t="n">
        <v>3041</v>
      </c>
      <c r="K111" s="20" t="n">
        <v>5669</v>
      </c>
      <c r="L111" s="20" t="n">
        <v>9737</v>
      </c>
    </row>
    <row r="112">
      <c r="A112" s="9" t="inlineStr">
        <is>
          <t>유동부채 합계</t>
        </is>
      </c>
      <c r="C112" s="12" t="n">
        <v>32664</v>
      </c>
      <c r="D112" s="12" t="n">
        <v>39691</v>
      </c>
      <c r="E112" s="12" t="n">
        <v>43413</v>
      </c>
      <c r="F112" s="12" t="n">
        <v>42817</v>
      </c>
      <c r="G112" s="12" t="n">
        <v>42424</v>
      </c>
      <c r="H112" s="12" t="n">
        <v>20156</v>
      </c>
      <c r="I112" s="12" t="n">
        <v>12467</v>
      </c>
      <c r="J112" s="12" t="n">
        <v>10584</v>
      </c>
      <c r="K112" s="12" t="n">
        <v>32786</v>
      </c>
      <c r="L112" s="12" t="n">
        <v>43413</v>
      </c>
    </row>
    <row r="113">
      <c r="A113" s="18" t="inlineStr">
        <is>
          <t>사채</t>
        </is>
      </c>
      <c r="C113" s="20" t="n">
        <v>1072</v>
      </c>
      <c r="D113" s="20" t="n">
        <v>1072</v>
      </c>
      <c r="E113" s="20" t="n">
        <v>450</v>
      </c>
      <c r="F113" s="20" t="n">
        <v>450</v>
      </c>
      <c r="G113" s="20" t="n">
        <v>300</v>
      </c>
      <c r="H113" s="20" t="n">
        <v>2465</v>
      </c>
      <c r="I113" s="20" t="n">
        <v>1980</v>
      </c>
      <c r="J113" s="20" t="n">
        <v>1590</v>
      </c>
      <c r="K113" s="20" t="n">
        <v>1245</v>
      </c>
      <c r="L113" s="20" t="n">
        <v>450</v>
      </c>
    </row>
    <row r="114">
      <c r="A114" s="18" t="inlineStr">
        <is>
          <t>장기차입금</t>
        </is>
      </c>
      <c r="C114" s="20" t="n">
        <v>47246</v>
      </c>
      <c r="D114" s="20" t="n">
        <v>55170</v>
      </c>
      <c r="E114" s="20" t="n">
        <v>62006</v>
      </c>
      <c r="F114" s="20" t="n">
        <v>61751</v>
      </c>
      <c r="G114" s="20" t="n">
        <v>58534</v>
      </c>
      <c r="H114" s="20" t="n">
        <v>42028</v>
      </c>
      <c r="I114" s="20" t="n">
        <v>23507</v>
      </c>
      <c r="J114" s="20" t="n">
        <v>25829</v>
      </c>
      <c r="K114" s="20" t="n">
        <v>35878</v>
      </c>
      <c r="L114" s="20" t="n">
        <v>62006</v>
      </c>
    </row>
    <row r="115">
      <c r="A115" s="18" t="inlineStr">
        <is>
          <t>이연법인세부채</t>
        </is>
      </c>
      <c r="C115" s="20" t="n">
        <v>2206</v>
      </c>
      <c r="D115" s="20" t="n">
        <v>2206</v>
      </c>
      <c r="E115" s="20" t="n">
        <v>825</v>
      </c>
      <c r="F115" s="20" t="n">
        <v>836</v>
      </c>
      <c r="G115" s="20" t="n">
        <v>516</v>
      </c>
      <c r="H115" s="20" t="n">
        <v>883</v>
      </c>
      <c r="I115" s="20" t="n">
        <v>67</v>
      </c>
      <c r="J115" s="20" t="n">
        <v>59</v>
      </c>
      <c r="K115" s="20" t="n">
        <v>2214</v>
      </c>
      <c r="L115" s="20" t="n">
        <v>825</v>
      </c>
    </row>
    <row r="116">
      <c r="A116" s="18" t="inlineStr">
        <is>
          <t>퇴직급여부채</t>
        </is>
      </c>
      <c r="C116" s="20" t="n">
        <v>210</v>
      </c>
      <c r="D116" s="20" t="n">
        <v>169</v>
      </c>
      <c r="E116" s="20" t="n">
        <v>123</v>
      </c>
      <c r="F116" s="20" t="n">
        <v>94</v>
      </c>
      <c r="G116" s="20" t="n">
        <v>111</v>
      </c>
      <c r="J116" s="20" t="n">
        <v>0</v>
      </c>
      <c r="K116" s="20" t="n">
        <v>186</v>
      </c>
      <c r="L116" s="20" t="n">
        <v>123</v>
      </c>
    </row>
    <row r="117">
      <c r="A117" s="18" t="inlineStr">
        <is>
          <t>자산복구부채</t>
        </is>
      </c>
      <c r="C117" s="20" t="n">
        <v>2548</v>
      </c>
      <c r="D117" s="20" t="n">
        <v>5084</v>
      </c>
      <c r="E117" s="20" t="n">
        <v>5662</v>
      </c>
      <c r="F117" s="20" t="n">
        <v>5435</v>
      </c>
      <c r="G117" s="20" t="n">
        <v>5642</v>
      </c>
      <c r="H117" s="20" t="n">
        <v>2544</v>
      </c>
      <c r="I117" s="20" t="n">
        <v>896</v>
      </c>
      <c r="J117" s="20" t="n">
        <v>953</v>
      </c>
      <c r="K117" s="20" t="n">
        <v>2530</v>
      </c>
      <c r="L117" s="20" t="n">
        <v>5662</v>
      </c>
    </row>
    <row r="118">
      <c r="A118" s="18" t="inlineStr">
        <is>
          <t>리스부채</t>
        </is>
      </c>
      <c r="H118" s="20" t="n">
        <v>2469</v>
      </c>
    </row>
    <row r="119">
      <c r="A119" s="18" t="inlineStr">
        <is>
          <t>기타</t>
        </is>
      </c>
      <c r="C119" s="20" t="n">
        <v>1002</v>
      </c>
      <c r="D119" s="20" t="n">
        <v>1286</v>
      </c>
      <c r="E119" s="20" t="n">
        <v>1295</v>
      </c>
      <c r="F119" s="20" t="n">
        <v>1446</v>
      </c>
      <c r="G119" s="20" t="n">
        <v>1536</v>
      </c>
      <c r="H119" s="20" t="n">
        <v>3456</v>
      </c>
      <c r="I119" s="20" t="n">
        <v>302</v>
      </c>
      <c r="J119" s="20" t="n">
        <v>420</v>
      </c>
      <c r="K119" s="20" t="n">
        <v>1091</v>
      </c>
      <c r="L119" s="20" t="n">
        <v>1295</v>
      </c>
    </row>
    <row r="120">
      <c r="A120" s="9" t="inlineStr">
        <is>
          <t>비유동부채 합계</t>
        </is>
      </c>
      <c r="C120" s="12" t="n">
        <v>54287</v>
      </c>
      <c r="D120" s="12" t="n">
        <v>64990</v>
      </c>
      <c r="E120" s="12" t="n">
        <v>70363</v>
      </c>
      <c r="F120" s="12" t="n">
        <v>70014</v>
      </c>
      <c r="G120" s="12" t="n">
        <v>66641</v>
      </c>
      <c r="H120" s="12" t="n">
        <v>51377</v>
      </c>
      <c r="I120" s="12" t="n">
        <v>26753</v>
      </c>
      <c r="J120" s="12" t="n">
        <v>28852</v>
      </c>
      <c r="K120" s="12" t="n">
        <v>43148</v>
      </c>
      <c r="L120" s="12" t="n">
        <v>70363</v>
      </c>
    </row>
    <row r="121">
      <c r="A121" s="9" t="inlineStr">
        <is>
          <t>부채 합계</t>
        </is>
      </c>
      <c r="C121" s="12" t="n">
        <v>86951</v>
      </c>
      <c r="D121" s="12" t="n">
        <v>104681</v>
      </c>
      <c r="E121" s="12" t="n">
        <v>113776</v>
      </c>
      <c r="F121" s="12" t="n">
        <v>112832</v>
      </c>
      <c r="G121" s="12" t="n">
        <v>109065</v>
      </c>
      <c r="H121" s="12" t="n">
        <v>71533</v>
      </c>
      <c r="I121" s="12" t="n">
        <v>39221</v>
      </c>
      <c r="J121" s="12" t="n">
        <v>39437</v>
      </c>
      <c r="K121" s="12" t="n">
        <v>75934</v>
      </c>
      <c r="L121" s="12" t="n">
        <v>113776</v>
      </c>
    </row>
    <row r="122">
      <c r="A122" s="18" t="inlineStr">
        <is>
          <t>자본금</t>
        </is>
      </c>
      <c r="C122" s="20" t="n">
        <v>16391</v>
      </c>
      <c r="D122" s="20" t="n">
        <v>16402</v>
      </c>
      <c r="E122" s="20" t="n">
        <v>16429</v>
      </c>
      <c r="F122" s="20" t="n">
        <v>16492</v>
      </c>
      <c r="G122" s="20" t="n">
        <v>16509</v>
      </c>
      <c r="H122" s="20" t="n">
        <v>16295</v>
      </c>
      <c r="I122" s="20" t="n">
        <v>16320</v>
      </c>
      <c r="J122" s="20" t="n">
        <v>16357</v>
      </c>
      <c r="K122" s="20" t="n">
        <v>16388</v>
      </c>
      <c r="L122" s="20" t="n">
        <v>16429</v>
      </c>
    </row>
    <row r="123">
      <c r="A123" s="18" t="inlineStr">
        <is>
          <t>자본잉여금</t>
        </is>
      </c>
      <c r="C123" s="20" t="n">
        <v>18432</v>
      </c>
      <c r="D123" s="20" t="n">
        <v>18453</v>
      </c>
      <c r="E123" s="20" t="n">
        <v>18456</v>
      </c>
      <c r="F123" s="20" t="n">
        <v>18528</v>
      </c>
      <c r="G123" s="20" t="n">
        <v>18651</v>
      </c>
      <c r="H123" s="20" t="n">
        <v>18310</v>
      </c>
      <c r="I123" s="20" t="n">
        <v>18336</v>
      </c>
      <c r="J123" s="20" t="n">
        <v>18372</v>
      </c>
      <c r="K123" s="20" t="n">
        <v>18403</v>
      </c>
      <c r="L123" s="20" t="n">
        <v>18456</v>
      </c>
    </row>
    <row r="124">
      <c r="A124" s="18" t="inlineStr">
        <is>
          <t>이익잉여금</t>
        </is>
      </c>
      <c r="C124" s="20" t="n">
        <v>10714</v>
      </c>
      <c r="D124" s="20" t="n">
        <v>12189</v>
      </c>
      <c r="E124" s="20" t="n">
        <v>21448</v>
      </c>
      <c r="F124" s="20" t="n">
        <v>22643</v>
      </c>
      <c r="G124" s="20" t="n">
        <v>23905</v>
      </c>
      <c r="H124" s="20" t="n">
        <v>2917</v>
      </c>
      <c r="I124" s="20" t="n">
        <v>-2019</v>
      </c>
      <c r="J124" s="20" t="n">
        <v>5302</v>
      </c>
      <c r="K124" s="20" t="n">
        <v>9091</v>
      </c>
      <c r="L124" s="20" t="n">
        <v>21448</v>
      </c>
    </row>
    <row r="125">
      <c r="A125" s="18" t="inlineStr">
        <is>
          <t>자기주식</t>
        </is>
      </c>
      <c r="C125" s="20" t="n">
        <v>-6937</v>
      </c>
      <c r="D125" s="20" t="n">
        <v>-6937</v>
      </c>
      <c r="E125" s="20" t="n">
        <v>-6937</v>
      </c>
      <c r="F125" s="20" t="n">
        <v>-6937</v>
      </c>
      <c r="G125" s="20" t="n">
        <v>-10437</v>
      </c>
      <c r="H125" s="20" t="n">
        <v>-17</v>
      </c>
      <c r="I125" s="20" t="n">
        <v>-18</v>
      </c>
      <c r="J125" s="20" t="n">
        <v>-18</v>
      </c>
      <c r="K125" s="20" t="n">
        <v>-2888</v>
      </c>
      <c r="L125" s="20" t="n">
        <v>-6937</v>
      </c>
    </row>
    <row r="126">
      <c r="A126" s="9" t="inlineStr">
        <is>
          <t>주주자본 합계</t>
        </is>
      </c>
      <c r="C126" s="12" t="n">
        <v>38601</v>
      </c>
      <c r="D126" s="12" t="n">
        <v>40107</v>
      </c>
      <c r="E126" s="12" t="n">
        <v>49397</v>
      </c>
      <c r="F126" s="12" t="n">
        <v>50725</v>
      </c>
      <c r="G126" s="12" t="n">
        <v>48628</v>
      </c>
      <c r="H126" s="12" t="n">
        <v>37505</v>
      </c>
      <c r="I126" s="12" t="n">
        <v>32620</v>
      </c>
      <c r="J126" s="12" t="n">
        <v>40014</v>
      </c>
      <c r="K126" s="12" t="n">
        <v>40994</v>
      </c>
      <c r="L126" s="12" t="n">
        <v>49397</v>
      </c>
    </row>
    <row r="127">
      <c r="A127" s="18" t="inlineStr">
        <is>
          <t>기타유가증권 평가차액</t>
        </is>
      </c>
      <c r="C127" s="20" t="n">
        <v>519</v>
      </c>
      <c r="D127" s="20" t="n">
        <v>583</v>
      </c>
      <c r="E127" s="20" t="n">
        <v>727</v>
      </c>
      <c r="F127" s="20" t="n">
        <v>442</v>
      </c>
      <c r="G127" s="20" t="n">
        <v>485</v>
      </c>
      <c r="H127" s="20" t="n">
        <v>255</v>
      </c>
      <c r="I127" s="20" t="n">
        <v>236</v>
      </c>
      <c r="J127" s="20" t="n">
        <v>201</v>
      </c>
      <c r="K127" s="20" t="n">
        <v>429</v>
      </c>
      <c r="L127" s="20" t="n">
        <v>727</v>
      </c>
    </row>
    <row r="128">
      <c r="A128" s="18" t="inlineStr">
        <is>
          <t>이연헤지손익</t>
        </is>
      </c>
      <c r="C128" s="20" t="n">
        <v>22</v>
      </c>
      <c r="D128" s="20" t="n">
        <v>28</v>
      </c>
      <c r="E128" s="20" t="n">
        <v>41</v>
      </c>
      <c r="F128" s="20" t="n">
        <v>46</v>
      </c>
      <c r="G128" s="20" t="n">
        <v>53</v>
      </c>
      <c r="H128" s="20" t="n">
        <v>-57</v>
      </c>
      <c r="I128" s="20" t="n">
        <v>-0</v>
      </c>
      <c r="J128" s="20" t="n">
        <v>-2</v>
      </c>
      <c r="K128" s="20" t="n">
        <v>18</v>
      </c>
      <c r="L128" s="20" t="n">
        <v>41</v>
      </c>
    </row>
    <row r="129">
      <c r="A129" s="18" t="inlineStr">
        <is>
          <t>해외사업환산조정</t>
        </is>
      </c>
      <c r="C129" s="20" t="n">
        <v>-57</v>
      </c>
      <c r="D129" s="20" t="n">
        <v>-71</v>
      </c>
      <c r="E129" s="20" t="n">
        <v>-102</v>
      </c>
      <c r="F129" s="20" t="n">
        <v>-111</v>
      </c>
      <c r="G129" s="20" t="n">
        <v>-121</v>
      </c>
      <c r="H129" s="20" t="n">
        <v>138</v>
      </c>
      <c r="I129" s="20" t="n">
        <v>-34</v>
      </c>
      <c r="J129" s="20" t="n">
        <v>-58</v>
      </c>
      <c r="K129" s="20" t="n">
        <v>-101</v>
      </c>
      <c r="L129" s="20" t="n">
        <v>-102</v>
      </c>
    </row>
    <row r="130">
      <c r="A130" s="18" t="inlineStr">
        <is>
          <t>퇴직급여 조정누계액</t>
        </is>
      </c>
      <c r="C130" s="20" t="n">
        <v>-1</v>
      </c>
      <c r="D130" s="20" t="n">
        <v>-1</v>
      </c>
      <c r="E130" s="20" t="n">
        <v>38</v>
      </c>
      <c r="F130" s="20" t="n">
        <v>37</v>
      </c>
      <c r="G130" s="20" t="n">
        <v>36</v>
      </c>
      <c r="J130" s="20" t="n">
        <v>0</v>
      </c>
      <c r="K130" s="20" t="n">
        <v>-1</v>
      </c>
      <c r="L130" s="20" t="n">
        <v>38</v>
      </c>
    </row>
    <row r="131">
      <c r="A131" s="18" t="inlineStr">
        <is>
          <t>기타포괄손익누계액 합계</t>
        </is>
      </c>
      <c r="C131" s="20" t="n">
        <v>483</v>
      </c>
      <c r="D131" s="20" t="n">
        <v>539</v>
      </c>
      <c r="E131" s="20" t="n">
        <v>705</v>
      </c>
      <c r="F131" s="20" t="n">
        <v>415</v>
      </c>
      <c r="G131" s="20" t="n">
        <v>454</v>
      </c>
      <c r="H131" s="20" t="n">
        <v>336</v>
      </c>
      <c r="I131" s="20" t="n">
        <v>201</v>
      </c>
      <c r="J131" s="20" t="n">
        <v>140</v>
      </c>
      <c r="K131" s="20" t="n">
        <v>344</v>
      </c>
      <c r="L131" s="20" t="n">
        <v>705</v>
      </c>
    </row>
    <row r="132">
      <c r="A132" s="18" t="inlineStr">
        <is>
          <t>신주예약권</t>
        </is>
      </c>
      <c r="C132" s="20" t="n">
        <v>143</v>
      </c>
      <c r="D132" s="20" t="n">
        <v>155</v>
      </c>
      <c r="E132" s="20" t="n">
        <v>166</v>
      </c>
      <c r="F132" s="20" t="n">
        <v>179</v>
      </c>
      <c r="G132" s="20" t="n">
        <v>187</v>
      </c>
      <c r="H132" s="20" t="n">
        <v>50</v>
      </c>
      <c r="I132" s="20" t="n">
        <v>47</v>
      </c>
      <c r="J132" s="20" t="n">
        <v>80</v>
      </c>
      <c r="K132" s="20" t="n">
        <v>113</v>
      </c>
      <c r="L132" s="20" t="n">
        <v>166</v>
      </c>
    </row>
    <row r="133">
      <c r="A133" s="18" t="inlineStr">
        <is>
          <t>비지배지분</t>
        </is>
      </c>
      <c r="C133" s="20" t="n">
        <v>3779</v>
      </c>
      <c r="D133" s="20" t="n">
        <v>5800</v>
      </c>
      <c r="E133" s="20" t="n">
        <v>6908</v>
      </c>
      <c r="F133" s="20" t="n">
        <v>6494</v>
      </c>
      <c r="G133" s="20" t="n">
        <v>6666</v>
      </c>
      <c r="H133" s="20" t="n">
        <v>1854</v>
      </c>
      <c r="I133" s="20" t="n">
        <v>0</v>
      </c>
      <c r="J133" s="20" t="n">
        <v>0</v>
      </c>
      <c r="K133" s="20" t="n">
        <v>4005</v>
      </c>
      <c r="L133" s="20" t="n">
        <v>6908</v>
      </c>
    </row>
    <row r="134">
      <c r="A134" s="9" t="inlineStr">
        <is>
          <t>순자산 합계</t>
        </is>
      </c>
      <c r="C134" s="12" t="n">
        <v>43008</v>
      </c>
      <c r="D134" s="12" t="n">
        <v>46603</v>
      </c>
      <c r="E134" s="12" t="n">
        <v>57177</v>
      </c>
      <c r="F134" s="12" t="n">
        <v>57816</v>
      </c>
      <c r="G134" s="12" t="n">
        <v>55936</v>
      </c>
      <c r="H134" s="12" t="n">
        <v>39746</v>
      </c>
      <c r="I134" s="12" t="n">
        <v>32868</v>
      </c>
      <c r="J134" s="12" t="n">
        <v>40235</v>
      </c>
      <c r="K134" s="12" t="n">
        <v>45459</v>
      </c>
      <c r="L134" s="12" t="n">
        <v>57177</v>
      </c>
    </row>
    <row r="135">
      <c r="A135" s="9" t="inlineStr">
        <is>
          <t>부채·순자산 합계</t>
        </is>
      </c>
      <c r="C135" s="12" t="n">
        <v>129960</v>
      </c>
      <c r="D135" s="12" t="n">
        <v>151284</v>
      </c>
      <c r="E135" s="12" t="n">
        <v>170954</v>
      </c>
      <c r="F135" s="12" t="n">
        <v>170648</v>
      </c>
      <c r="G135" s="12" t="n">
        <v>165002</v>
      </c>
      <c r="H135" s="12" t="n">
        <v>111280</v>
      </c>
      <c r="I135" s="12" t="n">
        <v>72089</v>
      </c>
      <c r="J135" s="12" t="n">
        <v>79672</v>
      </c>
      <c r="K135" s="12" t="n">
        <v>121394</v>
      </c>
      <c r="L135" s="12" t="n">
        <v>170954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44" customWidth="1" min="3" max="3"/>
  </cols>
  <sheetData>
    <row r="1">
      <c r="A1" s="50" t="inlineStr">
        <is>
          <t>TKP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PER</t>
        </is>
      </c>
      <c r="B4" s="52" t="n"/>
      <c r="C4" s="52" t="n"/>
    </row>
    <row r="5">
      <c r="A5" s="53" t="inlineStr">
        <is>
          <t>항목</t>
        </is>
      </c>
      <c r="B5" s="53" t="inlineStr">
        <is>
          <t>값</t>
        </is>
      </c>
      <c r="C5" s="53" t="inlineStr">
        <is>
          <t>출처</t>
        </is>
      </c>
    </row>
    <row r="6">
      <c r="A6" s="54" t="inlineStr">
        <is>
          <t>lo</t>
        </is>
      </c>
      <c r="B6" s="55" t="n">
        <v>9.300000000000001</v>
      </c>
      <c r="C6" s="56" t="inlineStr">
        <is>
          <t>2단계 보고서 자료(회사 설명회 자료·공시)</t>
        </is>
      </c>
    </row>
    <row r="7">
      <c r="A7" s="54" t="inlineStr">
        <is>
          <t>hi</t>
        </is>
      </c>
      <c r="B7" s="55" t="n">
        <v>25.2</v>
      </c>
    </row>
    <row r="8">
      <c r="A8" s="54" t="inlineStr">
        <is>
          <t>avg</t>
        </is>
      </c>
      <c r="B8" s="55" t="n">
        <v>17.3</v>
      </c>
    </row>
    <row r="9">
      <c r="A9" s="54" t="inlineStr">
        <is>
          <t>cur</t>
        </is>
      </c>
      <c r="B9" s="55" t="n">
        <v>18</v>
      </c>
    </row>
    <row r="10">
      <c r="A10" s="54" t="inlineStr">
        <is>
          <t>pos</t>
        </is>
      </c>
      <c r="B10" s="57" t="n">
        <v>55</v>
      </c>
    </row>
    <row r="12">
      <c r="A12" s="52" t="inlineStr">
        <is>
          <t>contrib · 1Q</t>
        </is>
      </c>
      <c r="B12" s="52" t="n"/>
      <c r="C12" s="52" t="n"/>
    </row>
    <row r="13">
      <c r="A13" s="53" t="inlineStr">
        <is>
          <t>항목</t>
        </is>
      </c>
      <c r="B13" s="53" t="inlineStr">
        <is>
          <t>값</t>
        </is>
      </c>
      <c r="C13" s="53" t="inlineStr">
        <is>
          <t>출처</t>
        </is>
      </c>
    </row>
    <row r="14">
      <c r="A14" s="54" t="inlineStr">
        <is>
          <t>space</t>
        </is>
      </c>
      <c r="B14" s="55" t="n">
        <v>10.4</v>
      </c>
      <c r="C14" s="56" t="inlineStr">
        <is>
          <t>2단계 보고서 자료(회사 설명회 자료·공시)</t>
        </is>
      </c>
    </row>
    <row r="15">
      <c r="A15" s="54" t="inlineStr">
        <is>
          <t>lily</t>
        </is>
      </c>
      <c r="B15" s="55" t="n">
        <v>0.9</v>
      </c>
    </row>
    <row r="16">
      <c r="A16" s="54" t="inlineStr">
        <is>
          <t>otp</t>
        </is>
      </c>
      <c r="B16" s="55" t="n">
        <v>30.2</v>
      </c>
    </row>
    <row r="18">
      <c r="A18" s="52" t="inlineStr">
        <is>
          <t>contrib · 2Q</t>
        </is>
      </c>
      <c r="B18" s="52" t="n"/>
      <c r="C18" s="52" t="n"/>
    </row>
    <row r="19">
      <c r="A19" s="53" t="inlineStr">
        <is>
          <t>항목</t>
        </is>
      </c>
      <c r="B19" s="53" t="inlineStr">
        <is>
          <t>값</t>
        </is>
      </c>
      <c r="C19" s="53" t="inlineStr">
        <is>
          <t>출처</t>
        </is>
      </c>
    </row>
    <row r="20">
      <c r="A20" s="54" t="inlineStr">
        <is>
          <t>space</t>
        </is>
      </c>
      <c r="B20" s="55" t="n">
        <v>7.7</v>
      </c>
      <c r="C20" s="56" t="inlineStr">
        <is>
          <t>2단계 보고서 자료(회사 설명회 자료·공시)</t>
        </is>
      </c>
    </row>
    <row r="21">
      <c r="A21" s="54" t="inlineStr">
        <is>
          <t>lily</t>
        </is>
      </c>
      <c r="B21" s="55" t="n">
        <v>3.4</v>
      </c>
    </row>
    <row r="22">
      <c r="A22" s="54" t="inlineStr">
        <is>
          <t>otp</t>
        </is>
      </c>
      <c r="B22" s="55" t="n">
        <v>25.7</v>
      </c>
    </row>
    <row r="24">
      <c r="A24" s="52" t="inlineStr">
        <is>
          <t>guide</t>
        </is>
      </c>
      <c r="B24" s="52" t="n"/>
      <c r="C24" s="52" t="n"/>
    </row>
    <row r="25">
      <c r="A25" s="53" t="inlineStr">
        <is>
          <t>항목</t>
        </is>
      </c>
      <c r="B25" s="53" t="inlineStr">
        <is>
          <t>값</t>
        </is>
      </c>
      <c r="C25" s="53" t="inlineStr">
        <is>
          <t>출처</t>
        </is>
      </c>
    </row>
    <row r="26">
      <c r="A26" s="54" t="inlineStr">
        <is>
          <t>FY 매출</t>
        </is>
      </c>
      <c r="B26" s="57" t="n">
        <v>1460</v>
      </c>
      <c r="C26" s="56" t="inlineStr">
        <is>
          <t>2단계 보고서 자료(회사 설명회 자료·공시)</t>
        </is>
      </c>
    </row>
    <row r="27">
      <c r="A27" s="54" t="inlineStr">
        <is>
          <t>FY 영업이익</t>
        </is>
      </c>
      <c r="B27" s="57" t="n">
        <v>110</v>
      </c>
    </row>
    <row r="28">
      <c r="A28" s="54" t="inlineStr">
        <is>
          <t>FY 순이익</t>
        </is>
      </c>
      <c r="B28" s="57" t="n">
        <v>40</v>
      </c>
    </row>
    <row r="29">
      <c r="A29" s="54" t="inlineStr">
        <is>
          <t>FY EPS</t>
        </is>
      </c>
      <c r="B29" s="55" t="n">
        <v>108.11</v>
      </c>
    </row>
    <row r="30">
      <c r="A30" s="54" t="inlineStr">
        <is>
          <t>상반기 매출</t>
        </is>
      </c>
      <c r="B30" s="55" t="n">
        <v>694.03</v>
      </c>
    </row>
    <row r="31">
      <c r="A31" s="54" t="inlineStr">
        <is>
          <t>상반기 영업이익</t>
        </is>
      </c>
      <c r="B31" s="55" t="n">
        <v>46.8</v>
      </c>
    </row>
    <row r="32">
      <c r="A32" s="54" t="inlineStr">
        <is>
          <t>prog 영업이익</t>
        </is>
      </c>
      <c r="B32" s="55" t="n">
        <v>42.6</v>
      </c>
    </row>
    <row r="33">
      <c r="A33" s="54" t="inlineStr">
        <is>
          <t>prog 영업이익 ly</t>
        </is>
      </c>
      <c r="B33" s="55" t="n">
        <v>31.4</v>
      </c>
    </row>
    <row r="34">
      <c r="A34" s="54" t="inlineStr">
        <is>
          <t>하반기 영업이익 implied</t>
        </is>
      </c>
      <c r="B34" s="55" t="n">
        <v>63.2</v>
      </c>
    </row>
    <row r="35">
      <c r="A35" s="54" t="inlineStr">
        <is>
          <t>하반기 영업이익 ly</t>
        </is>
      </c>
      <c r="B35" s="55" t="n">
        <v>70.62</v>
      </c>
    </row>
    <row r="37">
      <c r="A37" s="52" t="inlineStr">
        <is>
          <t>cons</t>
        </is>
      </c>
      <c r="B37" s="52" t="n"/>
      <c r="C37" s="52" t="n"/>
    </row>
    <row r="38">
      <c r="A38" s="53" t="inlineStr">
        <is>
          <t>항목</t>
        </is>
      </c>
      <c r="B38" s="53" t="inlineStr">
        <is>
          <t>값</t>
        </is>
      </c>
      <c r="C38" s="53" t="inlineStr">
        <is>
          <t>출처</t>
        </is>
      </c>
    </row>
    <row r="39">
      <c r="A39" s="54" t="inlineStr">
        <is>
          <t>3Q 매출</t>
        </is>
      </c>
      <c r="B39" s="55" t="n">
        <v>359.5</v>
      </c>
      <c r="C39" s="56" t="inlineStr">
        <is>
          <t>2단계 보고서 자료(회사 설명회 자료·공시)</t>
        </is>
      </c>
    </row>
    <row r="40">
      <c r="A40" s="54" t="inlineStr">
        <is>
          <t>4Q 매출</t>
        </is>
      </c>
      <c r="B40" s="55" t="n">
        <v>396.5</v>
      </c>
    </row>
    <row r="41">
      <c r="A41" s="54" t="inlineStr">
        <is>
          <t>FY EPS</t>
        </is>
      </c>
      <c r="B41" s="55" t="n">
        <v>116.8</v>
      </c>
    </row>
    <row r="42">
      <c r="A42" s="54" t="inlineStr">
        <is>
          <t>fy1 EPS</t>
        </is>
      </c>
      <c r="B42" s="55" t="n">
        <v>136.98</v>
      </c>
    </row>
    <row r="43">
      <c r="A43" s="54" t="inlineStr">
        <is>
          <t>tp</t>
        </is>
      </c>
      <c r="B43" s="57" t="n">
        <v>2275</v>
      </c>
    </row>
    <row r="44">
      <c r="A44" s="54" t="inlineStr">
        <is>
          <t>EPS 90d</t>
        </is>
      </c>
      <c r="B44" s="55" t="n">
        <v>120.35</v>
      </c>
    </row>
    <row r="46">
      <c r="A46" s="52" t="inlineStr">
        <is>
          <t>gp q</t>
        </is>
      </c>
      <c r="B46" s="52" t="n"/>
      <c r="C46" s="52" t="n"/>
    </row>
    <row r="47">
      <c r="A47" s="53" t="inlineStr">
        <is>
          <t>항목</t>
        </is>
      </c>
      <c r="B47" s="53" t="inlineStr">
        <is>
          <t>값</t>
        </is>
      </c>
      <c r="C47" s="53" t="inlineStr">
        <is>
          <t>출처</t>
        </is>
      </c>
    </row>
    <row r="48">
      <c r="A48" s="54" t="inlineStr">
        <is>
          <t>FY2/25 1Q</t>
        </is>
      </c>
      <c r="B48" s="55" t="n">
        <v>43.63</v>
      </c>
      <c r="C48" s="56" t="inlineStr">
        <is>
          <t>2단계 보고서 자료(회사 설명회 자료·공시)</t>
        </is>
      </c>
    </row>
    <row r="49">
      <c r="A49" s="54" t="inlineStr">
        <is>
          <t>FY2/25 2Q</t>
        </is>
      </c>
      <c r="B49" s="55" t="n">
        <v>37.69</v>
      </c>
    </row>
    <row r="50">
      <c r="A50" s="54" t="inlineStr">
        <is>
          <t>FY2/25 3Q</t>
        </is>
      </c>
      <c r="B50" s="55" t="n">
        <v>69.20999999999999</v>
      </c>
    </row>
    <row r="51">
      <c r="A51" s="54" t="inlineStr">
        <is>
          <t>FY2/25 4Q</t>
        </is>
      </c>
      <c r="B51" s="55" t="n">
        <v>64.56999999999999</v>
      </c>
    </row>
    <row r="52">
      <c r="A52" s="54" t="inlineStr">
        <is>
          <t>FY2/26 1Q</t>
        </is>
      </c>
      <c r="B52" s="55" t="n">
        <v>100.53</v>
      </c>
    </row>
    <row r="53">
      <c r="A53" s="54" t="inlineStr">
        <is>
          <t>FY2/26 2Q</t>
        </is>
      </c>
      <c r="B53" s="55" t="n">
        <v>102.44</v>
      </c>
    </row>
    <row r="54">
      <c r="A54" s="54" t="inlineStr">
        <is>
          <t>FY2/26 3Q</t>
        </is>
      </c>
      <c r="B54" s="55" t="n">
        <v>113.33</v>
      </c>
    </row>
    <row r="55">
      <c r="A55" s="54" t="inlineStr">
        <is>
          <t>FY2/26 4Q</t>
        </is>
      </c>
      <c r="B55" s="55" t="n">
        <v>167.91</v>
      </c>
    </row>
    <row r="56">
      <c r="A56" s="54" t="inlineStr">
        <is>
          <t>FY2/27 1Q</t>
        </is>
      </c>
      <c r="B56" s="55" t="n">
        <v>149.98</v>
      </c>
    </row>
    <row r="57">
      <c r="A57" s="54" t="inlineStr">
        <is>
          <t>FY2/27 2Q</t>
        </is>
      </c>
      <c r="B57" s="55" t="n">
        <v>144.99</v>
      </c>
    </row>
    <row r="59">
      <c r="A59" s="52" t="inlineStr">
        <is>
          <t>bs cf 1h</t>
        </is>
      </c>
      <c r="B59" s="52" t="n"/>
      <c r="C59" s="52" t="n"/>
    </row>
    <row r="60">
      <c r="A60" s="53" t="inlineStr">
        <is>
          <t>항목</t>
        </is>
      </c>
      <c r="B60" s="53" t="inlineStr">
        <is>
          <t>값</t>
        </is>
      </c>
      <c r="C60" s="53" t="inlineStr">
        <is>
          <t>출처</t>
        </is>
      </c>
    </row>
    <row r="61">
      <c r="A61" s="54" t="inlineStr">
        <is>
          <t>cash</t>
        </is>
      </c>
      <c r="B61" s="55" t="n">
        <v>307.26</v>
      </c>
      <c r="C61" s="56" t="inlineStr">
        <is>
          <t>2단계 보고서 자료(회사 설명회 자료·공시)</t>
        </is>
      </c>
    </row>
    <row r="62">
      <c r="A62" s="54" t="inlineStr">
        <is>
          <t>debt</t>
        </is>
      </c>
      <c r="B62" s="55" t="n">
        <v>778.83</v>
      </c>
    </row>
    <row r="63">
      <c r="A63" s="54" t="inlineStr">
        <is>
          <t>equity ratio</t>
        </is>
      </c>
      <c r="B63" s="55" t="n">
        <v>29.7</v>
      </c>
    </row>
    <row r="64">
      <c r="A64" s="54" t="inlineStr">
        <is>
          <t>ocf 1h</t>
        </is>
      </c>
      <c r="B64" s="55" t="n">
        <v>8.23</v>
      </c>
    </row>
    <row r="65">
      <c r="A65" s="54" t="inlineStr">
        <is>
          <t>ocf 1h ly</t>
        </is>
      </c>
      <c r="B65" s="55" t="n">
        <v>47.61</v>
      </c>
    </row>
    <row r="66">
      <c r="A66" s="54" t="inlineStr">
        <is>
          <t>icf 1h</t>
        </is>
      </c>
      <c r="B66" s="55" t="n">
        <v>-93.08</v>
      </c>
    </row>
    <row r="67">
      <c r="A67" s="54" t="inlineStr">
        <is>
          <t>buyback</t>
        </is>
      </c>
      <c r="B67" s="55" t="n">
        <v>34.99</v>
      </c>
    </row>
    <row r="69">
      <c r="A69" s="52" t="inlineStr">
        <is>
          <t>opening</t>
        </is>
      </c>
      <c r="B69" s="52" t="n"/>
      <c r="C69" s="52" t="n"/>
    </row>
    <row r="70">
      <c r="A70" s="53" t="inlineStr">
        <is>
          <t>항목</t>
        </is>
      </c>
      <c r="B70" s="53" t="inlineStr">
        <is>
          <t>값</t>
        </is>
      </c>
      <c r="C70" s="53" t="inlineStr">
        <is>
          <t>출처</t>
        </is>
      </c>
    </row>
    <row r="71">
      <c r="A71" s="54" t="inlineStr">
        <is>
          <t>fy27 1h new</t>
        </is>
      </c>
      <c r="B71" s="57" t="n">
        <v>26</v>
      </c>
      <c r="C71" s="56" t="inlineStr">
        <is>
          <t>2단계 보고서 자료(회사 설명회 자료·공시)</t>
        </is>
      </c>
    </row>
    <row r="72">
      <c r="A72" s="54" t="inlineStr">
        <is>
          <t>fy27 1h tsubo</t>
        </is>
      </c>
      <c r="B72" s="57" t="n">
        <v>15220</v>
      </c>
    </row>
    <row r="73">
      <c r="A73" s="54" t="inlineStr">
        <is>
          <t>fy26 new</t>
        </is>
      </c>
      <c r="B73" s="57" t="n">
        <v>49</v>
      </c>
    </row>
    <row r="74">
      <c r="A74" s="54" t="inlineStr">
        <is>
          <t>fy26 tsubo</t>
        </is>
      </c>
      <c r="B74" s="57" t="n">
        <v>20625</v>
      </c>
    </row>
    <row r="75">
      <c r="A75" s="54" t="inlineStr">
        <is>
          <t>direct tsubo 2Q</t>
        </is>
      </c>
      <c r="B75" s="57" t="n">
        <v>127407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8" t="inlineStr">
        <is>
          <t>공시일</t>
        </is>
      </c>
      <c r="B3" s="58" t="inlineStr">
        <is>
          <t>문서</t>
        </is>
      </c>
      <c r="C3" s="58" t="inlineStr">
        <is>
          <t>PDF</t>
        </is>
      </c>
    </row>
    <row r="4">
      <c r="A4" t="inlineStr">
        <is>
          <t>2026-10-15</t>
        </is>
      </c>
      <c r="B4" t="inlineStr">
        <is>
          <t>2027년 2월 결산기 ２분기 결산단신</t>
        </is>
      </c>
      <c r="C4" t="inlineStr">
        <is>
          <t>https://www2.jpx.co.jp/disc/34790/140120261015551385.pdf</t>
        </is>
      </c>
    </row>
    <row r="5">
      <c r="A5" t="inlineStr">
        <is>
          <t>2026-07-15</t>
        </is>
      </c>
      <c r="B5" t="inlineStr">
        <is>
          <t>2027년 2월 결산기 １분기 결산단신</t>
        </is>
      </c>
      <c r="C5" t="inlineStr">
        <is>
          <t>https://www2.jpx.co.jp/disc/34790/140120260715594163.pdf</t>
        </is>
      </c>
    </row>
    <row r="6">
      <c r="A6" t="inlineStr">
        <is>
          <t>2026-04-14</t>
        </is>
      </c>
      <c r="B6" t="inlineStr">
        <is>
          <t>2026년 2월 결산기 연간 결산단신</t>
        </is>
      </c>
      <c r="C6" t="inlineStr">
        <is>
          <t>https://www2.jpx.co.jp/disc/34790/140120260414504024.pdf</t>
        </is>
      </c>
    </row>
    <row r="7">
      <c r="A7" t="inlineStr">
        <is>
          <t>2026-01-14</t>
        </is>
      </c>
      <c r="B7" t="inlineStr">
        <is>
          <t>2026년 2월 결산기 ３분기 결산단신</t>
        </is>
      </c>
      <c r="C7" t="inlineStr">
        <is>
          <t>https://www2.jpx.co.jp/disc/34790/140120260114533295.pdf</t>
        </is>
      </c>
    </row>
    <row r="8">
      <c r="A8" t="inlineStr">
        <is>
          <t>2025-10-15</t>
        </is>
      </c>
      <c r="B8" t="inlineStr">
        <is>
          <t>2026년 2월 결산기 ２분기 결산단신</t>
        </is>
      </c>
      <c r="C8" t="inlineStr">
        <is>
          <t>https://www2.jpx.co.jp/disc/34790/140120251015574087.pdf</t>
        </is>
      </c>
    </row>
    <row r="9">
      <c r="A9" t="inlineStr">
        <is>
          <t>2025-07-15</t>
        </is>
      </c>
      <c r="B9" t="inlineStr">
        <is>
          <t>2026년 2월 결산기 １분기 결산단신</t>
        </is>
      </c>
      <c r="C9" t="inlineStr">
        <is>
          <t>https://www2.jpx.co.jp/disc/34790/140120250715514815.pdf</t>
        </is>
      </c>
    </row>
    <row r="10">
      <c r="A10" t="inlineStr">
        <is>
          <t>2025-04-14</t>
        </is>
      </c>
      <c r="B10" t="inlineStr">
        <is>
          <t>2025년 2월 결산기 연간 결산단신</t>
        </is>
      </c>
      <c r="C10" t="inlineStr">
        <is>
          <t>https://www2.jpx.co.jp/disc/34790/140120250414515278.pdf</t>
        </is>
      </c>
    </row>
    <row r="11">
      <c r="A11" t="inlineStr">
        <is>
          <t>2025-01-14</t>
        </is>
      </c>
      <c r="B11" t="inlineStr">
        <is>
          <t>2025년 2월 결산기 ３분기 결산단신</t>
        </is>
      </c>
      <c r="C11" t="inlineStr">
        <is>
          <t>https://www2.jpx.co.jp/disc/34790/140120250114550447.pdf</t>
        </is>
      </c>
    </row>
    <row r="12">
      <c r="A12" t="inlineStr">
        <is>
          <t>2024-10-15</t>
        </is>
      </c>
      <c r="B12" t="inlineStr">
        <is>
          <t>2025년 2월 결산기 ２분기 결산단신</t>
        </is>
      </c>
      <c r="C12" t="inlineStr">
        <is>
          <t>https://www2.jpx.co.jp/disc/34790/140120241015597634.pdf</t>
        </is>
      </c>
    </row>
    <row r="13">
      <c r="A13" t="inlineStr">
        <is>
          <t>2024-07-11</t>
        </is>
      </c>
      <c r="B13" t="inlineStr">
        <is>
          <t>2025년 2월 결산기 １분기 결산단신</t>
        </is>
      </c>
      <c r="C13" t="inlineStr">
        <is>
          <t>https://www2.jpx.co.jp/disc/34790/140120240711547468.pdf</t>
        </is>
      </c>
    </row>
    <row r="14">
      <c r="A14" t="inlineStr">
        <is>
          <t>2024-04-15</t>
        </is>
      </c>
      <c r="B14" t="inlineStr">
        <is>
          <t>2024년 2월 결산기 연간 결산단신</t>
        </is>
      </c>
      <c r="C14" t="inlineStr">
        <is>
          <t>https://www2.jpx.co.jp/disc/34790/140120240415571145.pdf</t>
        </is>
      </c>
    </row>
    <row r="15">
      <c r="A15" t="inlineStr">
        <is>
          <t>2024-01-15</t>
        </is>
      </c>
      <c r="B15" t="inlineStr">
        <is>
          <t>2024년 2월 결산기 ３분기 결산단신</t>
        </is>
      </c>
      <c r="C15" t="inlineStr">
        <is>
          <t>https://www2.jpx.co.jp/disc/34790/140120240115515166.pdf</t>
        </is>
      </c>
    </row>
    <row r="16">
      <c r="A16" t="inlineStr">
        <is>
          <t>2023-10-12</t>
        </is>
      </c>
      <c r="B16" t="inlineStr">
        <is>
          <t>2024년 2월 결산기 ２분기 결산단신</t>
        </is>
      </c>
      <c r="C16" t="inlineStr">
        <is>
          <t>https://www2.jpx.co.jp/disc/34790/140120231012565724.pdf</t>
        </is>
      </c>
    </row>
    <row r="17">
      <c r="A17" t="inlineStr">
        <is>
          <t>2023-07-13</t>
        </is>
      </c>
      <c r="B17" t="inlineStr">
        <is>
          <t>2024년 2월 결산기 １분기 결산단신</t>
        </is>
      </c>
      <c r="C17" t="inlineStr">
        <is>
          <t>https://www2.jpx.co.jp/disc/34790/140120230711520321.pdf</t>
        </is>
      </c>
    </row>
    <row r="18">
      <c r="A18" t="inlineStr">
        <is>
          <t>2023-04-13</t>
        </is>
      </c>
      <c r="B18" t="inlineStr">
        <is>
          <t>2023년 2월 결산기 연간 결산단신</t>
        </is>
      </c>
      <c r="C18" t="inlineStr">
        <is>
          <t>https://www2.jpx.co.jp/disc/34790/140120230413546457.pdf</t>
        </is>
      </c>
    </row>
    <row r="19">
      <c r="A19" t="inlineStr">
        <is>
          <t>2023-01-12</t>
        </is>
      </c>
      <c r="B19" t="inlineStr">
        <is>
          <t>2023년 2월 결산기 ３분기 결산단신</t>
        </is>
      </c>
      <c r="C19" t="inlineStr">
        <is>
          <t>https://www2.jpx.co.jp/disc/34790/140120230112588278.pdf</t>
        </is>
      </c>
    </row>
    <row r="20">
      <c r="A20" t="inlineStr">
        <is>
          <t>2022-04-14</t>
        </is>
      </c>
      <c r="B20" t="inlineStr">
        <is>
          <t>2022년 2월 결산기 연간 결산단신</t>
        </is>
      </c>
      <c r="C20" t="inlineStr">
        <is>
          <t>https://www2.jpx.co.jp/disc/34790/140120220414521769.pdf</t>
        </is>
      </c>
    </row>
    <row r="21">
      <c r="A21" t="inlineStr">
        <is>
          <t>2021-04-14</t>
        </is>
      </c>
      <c r="B21" t="inlineStr">
        <is>
          <t>2021년 2월 결산기 연간 결산단신</t>
        </is>
      </c>
      <c r="C21" t="inlineStr">
        <is>
          <t>https://www2.jpx.co.jp/disc/34790/140120210414494149.pdf</t>
        </is>
      </c>
    </row>
    <row r="22">
      <c r="A22" t="inlineStr">
        <is>
          <t>2020-04-21</t>
        </is>
      </c>
      <c r="B22" t="inlineStr">
        <is>
          <t>2020년 2월 결산기 연간 결산단신</t>
        </is>
      </c>
      <c r="C22" t="inlineStr">
        <is>
          <t>https://www2.jpx.co.jp/disc/34790/140120200421496936.pdf</t>
        </is>
      </c>
    </row>
    <row r="23">
      <c r="A23" t="inlineStr">
        <is>
          <t>2019-04-15</t>
        </is>
      </c>
      <c r="B23" t="inlineStr">
        <is>
          <t>2019년 2월 결산기 연간 결산단신</t>
        </is>
      </c>
      <c r="C23" t="inlineStr">
        <is>
          <t>https://www2.jpx.co.jp/disc/34790/140120190415404899.pdf</t>
        </is>
      </c>
    </row>
    <row r="24">
      <c r="A24" t="inlineStr">
        <is>
          <t>2018-04-16</t>
        </is>
      </c>
      <c r="B24" t="inlineStr">
        <is>
          <t>연간 결산단신</t>
        </is>
      </c>
      <c r="C24" t="inlineStr">
        <is>
          <t>https://www2.jpx.co.jp/disc/34790/140120180416412323.pdf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2026-10-28T07:02:09Z</dcterms:created>
  <dcterms:modified xmlns:dcterms="http://purl.org/dc/terms/" xmlns:xsi="http://www.w3.org/2001/XMLSchema-instance" xsi:type="dcterms:W3CDTF">2026-10-28T07:02:10Z</dcterms:modified>
</cp:coreProperties>
</file>