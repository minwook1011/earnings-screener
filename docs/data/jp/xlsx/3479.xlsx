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1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TKP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9653</v>
      </c>
      <c r="D4" s="12" t="n">
        <v>9142</v>
      </c>
      <c r="E4" s="12" t="n">
        <v>10562</v>
      </c>
      <c r="F4" s="12" t="n">
        <v>9718</v>
      </c>
      <c r="G4" s="12" t="n">
        <v>19850</v>
      </c>
      <c r="H4" s="12" t="n">
        <v>19078</v>
      </c>
      <c r="I4" s="12" t="n">
        <v>24465</v>
      </c>
      <c r="J4" s="12" t="n">
        <v>25433</v>
      </c>
      <c r="K4" s="12" t="n">
        <v>27087</v>
      </c>
      <c r="L4" s="12" t="n">
        <v>37372</v>
      </c>
      <c r="M4" s="12" t="n">
        <v>34609</v>
      </c>
      <c r="N4" s="12" t="n">
        <v>34794</v>
      </c>
      <c r="O4" s="11" t="n">
        <v>21978</v>
      </c>
      <c r="P4" s="12" t="n">
        <v>28689</v>
      </c>
      <c r="Q4" s="12" t="n">
        <v>35523</v>
      </c>
      <c r="R4" s="12" t="n">
        <v>54343</v>
      </c>
      <c r="S4" s="12" t="n">
        <v>43138</v>
      </c>
      <c r="T4" s="12" t="n">
        <v>44685</v>
      </c>
      <c r="U4" s="12" t="n">
        <v>50504</v>
      </c>
      <c r="V4" s="12" t="n">
        <v>36545</v>
      </c>
      <c r="W4" s="12" t="n">
        <v>59208</v>
      </c>
      <c r="X4" s="12" t="n">
        <v>114357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공간재생 유통 사업</t>
        </is>
      </c>
      <c r="B7" s="10" t="n"/>
      <c r="C7" s="19" t="n"/>
      <c r="D7" s="20" t="n"/>
      <c r="E7" s="20" t="n"/>
      <c r="F7" s="20" t="n"/>
      <c r="G7" s="20" t="n"/>
      <c r="H7" s="20" t="n">
        <v>10658</v>
      </c>
      <c r="I7" s="20" t="n">
        <v>12512</v>
      </c>
      <c r="J7" s="20" t="n">
        <v>12433</v>
      </c>
      <c r="K7" s="20" t="n">
        <v>14387</v>
      </c>
      <c r="L7" s="20" t="n">
        <v>12894</v>
      </c>
      <c r="M7" s="20" t="n">
        <v>15060</v>
      </c>
      <c r="N7" s="20" t="n">
        <v>14398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>
        <v>42158</v>
      </c>
      <c r="X7" s="20" t="n">
        <v>52226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리리카라 사업</t>
        </is>
      </c>
      <c r="B10" s="10" t="n"/>
      <c r="C10" s="19" t="n"/>
      <c r="D10" s="20" t="n"/>
      <c r="E10" s="20" t="n"/>
      <c r="F10" s="20" t="n"/>
      <c r="G10" s="20" t="n"/>
      <c r="H10" s="20" t="n">
        <v>8420</v>
      </c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>
        <v>17050</v>
      </c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리리카라 사업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>
        <v>7794</v>
      </c>
      <c r="J13" s="20" t="n">
        <v>7460</v>
      </c>
      <c r="K13" s="20" t="n"/>
      <c r="L13" s="20" t="n"/>
      <c r="M13" s="20" t="n">
        <v>8007</v>
      </c>
      <c r="N13" s="20" t="n">
        <v>8325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>
        <v>17050</v>
      </c>
      <c r="X13" s="20" t="n">
        <v>33019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노바레제 사업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>
        <v>4158</v>
      </c>
      <c r="J16" s="20" t="n">
        <v>5540</v>
      </c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>
        <v>0</v>
      </c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노바레제·에스쿠리 사업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>
        <v>14923</v>
      </c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>
        <v>0</v>
      </c>
      <c r="X19" s="20" t="n">
        <v>29111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온더페이지 사업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>
        <v>4158</v>
      </c>
      <c r="J22" s="20" t="n">
        <v>5540</v>
      </c>
      <c r="K22" s="20" t="n"/>
      <c r="L22" s="20" t="n"/>
      <c r="M22" s="20" t="n">
        <v>11541</v>
      </c>
      <c r="N22" s="20" t="n">
        <v>12070</v>
      </c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6056</v>
      </c>
      <c r="D26" s="20" t="n">
        <v>5925</v>
      </c>
      <c r="E26" s="20" t="n">
        <v>6198</v>
      </c>
      <c r="F26" s="20" t="n">
        <v>5949</v>
      </c>
      <c r="G26" s="20" t="n">
        <v>12929</v>
      </c>
      <c r="H26" s="20" t="n">
        <v>12621</v>
      </c>
      <c r="I26" s="20" t="n">
        <v>14412</v>
      </c>
      <c r="J26" s="20" t="n">
        <v>15189</v>
      </c>
      <c r="K26" s="20" t="n">
        <v>15754</v>
      </c>
      <c r="L26" s="20" t="n">
        <v>20581</v>
      </c>
      <c r="M26" s="20" t="n">
        <v>19610</v>
      </c>
      <c r="N26" s="20" t="n">
        <v>20296</v>
      </c>
      <c r="O26" s="19" t="n">
        <v>13707</v>
      </c>
      <c r="P26" s="20" t="n">
        <v>17738</v>
      </c>
      <c r="Q26" s="20" t="n">
        <v>21801</v>
      </c>
      <c r="R26" s="20" t="n">
        <v>33620</v>
      </c>
      <c r="S26" s="20" t="n">
        <v>31927</v>
      </c>
      <c r="T26" s="20" t="n">
        <v>32611</v>
      </c>
      <c r="U26" s="20" t="n">
        <v>34354</v>
      </c>
      <c r="V26" s="20" t="n">
        <v>22659</v>
      </c>
      <c r="W26" s="20" t="n">
        <v>37697</v>
      </c>
      <c r="X26" s="20" t="n">
        <v>65936</v>
      </c>
      <c r="Y26" s="19" t="n"/>
      <c r="Z26" s="20" t="n"/>
      <c r="AA26" s="20" t="n"/>
      <c r="AB26" s="20" t="n"/>
      <c r="AC26" s="20" t="n"/>
    </row>
    <row r="27">
      <c r="A27" s="18" t="inlineStr">
        <is>
          <t>매출총이익</t>
        </is>
      </c>
      <c r="B27" s="10" t="n"/>
      <c r="C27" s="19">
        <f>IF(OR(C4="",C26=""),"",IFERROR(C4-C26,""))</f>
        <v/>
      </c>
      <c r="D27" s="20">
        <f>IF(OR(D4="",D26=""),"",IFERROR(D4-D26,""))</f>
        <v/>
      </c>
      <c r="E27" s="20">
        <f>IF(OR(E4="",E26=""),"",IFERROR(E4-E26,""))</f>
        <v/>
      </c>
      <c r="F27" s="20">
        <f>IF(OR(F4="",F26=""),"",IFERROR(F4-F26,""))</f>
        <v/>
      </c>
      <c r="G27" s="20">
        <f>IF(OR(G4="",G26=""),"",IFERROR(G4-G26,""))</f>
        <v/>
      </c>
      <c r="H27" s="20">
        <f>IF(OR(H4="",H26=""),"",IFERROR(H4-H26,""))</f>
        <v/>
      </c>
      <c r="I27" s="20">
        <f>IF(OR(I4="",I26=""),"",IFERROR(I4-I26,""))</f>
        <v/>
      </c>
      <c r="J27" s="20">
        <f>IF(OR(J4="",J26=""),"",IFERROR(J4-J26,""))</f>
        <v/>
      </c>
      <c r="K27" s="20">
        <f>IF(OR(K4="",K26=""),"",IFERROR(K4-K26,""))</f>
        <v/>
      </c>
      <c r="L27" s="20">
        <f>IF(OR(L4="",L26=""),"",IFERROR(L4-L26,""))</f>
        <v/>
      </c>
      <c r="M27" s="20">
        <f>IF(OR(M4="",M26=""),"",IFERROR(M4-M26,""))</f>
        <v/>
      </c>
      <c r="N27" s="20">
        <f>IF(OR(N4="",N26=""),"",IFERROR(N4-N26,""))</f>
        <v/>
      </c>
      <c r="O27" s="19">
        <f>IF(OR(O4="",O26=""),"",IFERROR(O4-O26,""))</f>
        <v/>
      </c>
      <c r="P27" s="20">
        <f>IF(OR(P4="",P26=""),"",IFERROR(P4-P26,""))</f>
        <v/>
      </c>
      <c r="Q27" s="20">
        <f>IF(OR(Q4="",Q26=""),"",IFERROR(Q4-Q26,""))</f>
        <v/>
      </c>
      <c r="R27" s="20">
        <f>IF(OR(R4="",R26=""),"",IFERROR(R4-R26,""))</f>
        <v/>
      </c>
      <c r="S27" s="20">
        <f>IF(OR(S4="",S26=""),"",IFERROR(S4-S26,""))</f>
        <v/>
      </c>
      <c r="T27" s="20">
        <f>IF(OR(T4="",T26=""),"",IFERROR(T4-T26,""))</f>
        <v/>
      </c>
      <c r="U27" s="20">
        <f>IF(OR(U4="",U26=""),"",IFERROR(U4-U26,""))</f>
        <v/>
      </c>
      <c r="V27" s="20">
        <f>IF(OR(V4="",V26=""),"",IFERROR(V4-V26,""))</f>
        <v/>
      </c>
      <c r="W27" s="20">
        <f>IF(OR(W4="",W26=""),"",IFERROR(W4-W26,""))</f>
        <v/>
      </c>
      <c r="X27" s="20">
        <f>IF(OR(X4="",X26=""),"",IFERROR(X4-X26,""))</f>
        <v/>
      </c>
      <c r="Y27" s="19" t="n"/>
      <c r="Z27" s="20" t="n"/>
      <c r="AA27" s="20" t="n"/>
      <c r="AB27" s="20" t="n"/>
      <c r="AC27" s="20" t="n"/>
    </row>
    <row r="28">
      <c r="A28" s="13" t="inlineStr">
        <is>
          <t>GPM</t>
        </is>
      </c>
      <c r="B28" s="10" t="n"/>
      <c r="C28" s="14">
        <f>IF(OR(C27="",C4=""),"",IFERROR(C27/C4,""))</f>
        <v/>
      </c>
      <c r="D28" s="15">
        <f>IF(OR(D27="",D4=""),"",IFERROR(D27/D4,""))</f>
        <v/>
      </c>
      <c r="E28" s="15">
        <f>IF(OR(E27="",E4=""),"",IFERROR(E27/E4,""))</f>
        <v/>
      </c>
      <c r="F28" s="15">
        <f>IF(OR(F27="",F4=""),"",IFERROR(F27/F4,""))</f>
        <v/>
      </c>
      <c r="G28" s="15">
        <f>IF(OR(G27="",G4=""),"",IFERROR(G27/G4,""))</f>
        <v/>
      </c>
      <c r="H28" s="15">
        <f>IF(OR(H27="",H4=""),"",IFERROR(H27/H4,""))</f>
        <v/>
      </c>
      <c r="I28" s="15">
        <f>IF(OR(I27="",I4=""),"",IFERROR(I27/I4,""))</f>
        <v/>
      </c>
      <c r="J28" s="15">
        <f>IF(OR(J27="",J4=""),"",IFERROR(J27/J4,""))</f>
        <v/>
      </c>
      <c r="K28" s="15">
        <f>IF(OR(K27="",K4=""),"",IFERROR(K27/K4,""))</f>
        <v/>
      </c>
      <c r="L28" s="15">
        <f>IF(OR(L27="",L4=""),"",IFERROR(L27/L4,""))</f>
        <v/>
      </c>
      <c r="M28" s="15">
        <f>IF(OR(M27="",M4=""),"",IFERROR(M27/M4,""))</f>
        <v/>
      </c>
      <c r="N28" s="15">
        <f>IF(OR(N27="",N4=""),"",IFERROR(N27/N4,""))</f>
        <v/>
      </c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>
        <f>IF(OR(Y27="",Y4=""),"",IFERROR(Y27/Y4,""))</f>
        <v/>
      </c>
      <c r="Z28" s="15">
        <f>IF(OR(Z27="",Z4=""),"",IFERROR(Z27/Z4,""))</f>
        <v/>
      </c>
      <c r="AA28" s="15">
        <f>IF(OR(AA27="",AA4=""),"",IFERROR(AA27/AA4,""))</f>
        <v/>
      </c>
      <c r="AB28" s="15">
        <f>IF(OR(AB27="",AB4=""),"",IFERROR(AB27/AB4,""))</f>
        <v/>
      </c>
      <c r="AC28" s="15">
        <f>IF(OR(AC27="",AC4=""),"",IFERROR(AC27/AC4,""))</f>
        <v/>
      </c>
    </row>
    <row r="29">
      <c r="A29" s="23" t="inlineStr">
        <is>
          <t>판매관리비</t>
        </is>
      </c>
      <c r="B29" s="23" t="n"/>
      <c r="C29" s="24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4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4" t="n"/>
      <c r="Z29" s="23" t="n"/>
      <c r="AA29" s="23" t="n"/>
      <c r="AB29" s="23" t="n"/>
      <c r="AC29" s="23" t="n"/>
    </row>
    <row r="30">
      <c r="A30" s="18" t="inlineStr">
        <is>
          <t>전체 판관비</t>
        </is>
      </c>
      <c r="B30" s="10" t="n"/>
      <c r="C30" s="19" t="n">
        <v>2427</v>
      </c>
      <c r="D30" s="20" t="n">
        <v>2538</v>
      </c>
      <c r="E30" s="20" t="n">
        <v>2670</v>
      </c>
      <c r="F30" s="20" t="n">
        <v>2728</v>
      </c>
      <c r="G30" s="20" t="n">
        <v>5194</v>
      </c>
      <c r="H30" s="20" t="n">
        <v>5003</v>
      </c>
      <c r="I30" s="20" t="n">
        <v>8252</v>
      </c>
      <c r="J30" s="20" t="n">
        <v>8806</v>
      </c>
      <c r="K30" s="20" t="n">
        <v>8439</v>
      </c>
      <c r="L30" s="20" t="n">
        <v>12623</v>
      </c>
      <c r="M30" s="20" t="n">
        <v>12445</v>
      </c>
      <c r="N30" s="20" t="n">
        <v>12371</v>
      </c>
      <c r="O30" s="19" t="n">
        <v>5576</v>
      </c>
      <c r="P30" s="20" t="n">
        <v>7501</v>
      </c>
      <c r="Q30" s="20" t="n">
        <v>9433</v>
      </c>
      <c r="R30" s="20" t="n">
        <v>14404</v>
      </c>
      <c r="S30" s="20" t="n">
        <v>13708</v>
      </c>
      <c r="T30" s="20" t="n">
        <v>12957</v>
      </c>
      <c r="U30" s="20" t="n">
        <v>12574</v>
      </c>
      <c r="V30" s="20" t="n">
        <v>9278</v>
      </c>
      <c r="W30" s="20" t="n">
        <v>15595</v>
      </c>
      <c r="X30" s="20" t="n">
        <v>38120</v>
      </c>
      <c r="Y30" s="19" t="n"/>
      <c r="Z30" s="20" t="n"/>
      <c r="AA30" s="20" t="n"/>
      <c r="AB30" s="20" t="n"/>
      <c r="AC30" s="20" t="n"/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1170</v>
      </c>
      <c r="D31" s="12" t="n">
        <v>679</v>
      </c>
      <c r="E31" s="12" t="n">
        <v>1692</v>
      </c>
      <c r="F31" s="12" t="n">
        <v>1041</v>
      </c>
      <c r="G31" s="12" t="n">
        <v>1728</v>
      </c>
      <c r="H31" s="12" t="n">
        <v>1454</v>
      </c>
      <c r="I31" s="12" t="n">
        <v>1800</v>
      </c>
      <c r="J31" s="12" t="n">
        <v>1439</v>
      </c>
      <c r="K31" s="12" t="n">
        <v>2894</v>
      </c>
      <c r="L31" s="12" t="n">
        <v>4168</v>
      </c>
      <c r="M31" s="12" t="n">
        <v>2553</v>
      </c>
      <c r="N31" s="12" t="n">
        <v>2127</v>
      </c>
      <c r="O31" s="11" t="n">
        <v>2694</v>
      </c>
      <c r="P31" s="12" t="n">
        <v>3449</v>
      </c>
      <c r="Q31" s="12" t="n">
        <v>4289</v>
      </c>
      <c r="R31" s="12" t="n">
        <v>6317</v>
      </c>
      <c r="S31" s="12" t="n">
        <v>-2497</v>
      </c>
      <c r="T31" s="12" t="n">
        <v>-883</v>
      </c>
      <c r="U31" s="12" t="n">
        <v>3575</v>
      </c>
      <c r="V31" s="12" t="n">
        <v>4607</v>
      </c>
      <c r="W31" s="12" t="n">
        <v>5915</v>
      </c>
      <c r="X31" s="12" t="n">
        <v>10301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IF(O30="","",O30)</f>
        <v/>
      </c>
      <c r="P35" s="12">
        <f>IF(P30="","",P30)</f>
        <v/>
      </c>
      <c r="Q35" s="12">
        <f>IF(Q30="","",Q30)</f>
        <v/>
      </c>
      <c r="R35" s="12">
        <f>IF(R30="","",R30)</f>
        <v/>
      </c>
      <c r="S35" s="12">
        <f>IF(S30="","",S30)</f>
        <v/>
      </c>
      <c r="T35" s="12">
        <f>IF(T30="","",T30)</f>
        <v/>
      </c>
      <c r="U35" s="12">
        <f>IF(U30="","",U30)</f>
        <v/>
      </c>
      <c r="V35" s="12">
        <f>IF(V30="","",V30)</f>
        <v/>
      </c>
      <c r="W35" s="12">
        <f>IF(W30="","",W30)</f>
        <v/>
      </c>
      <c r="X35" s="12">
        <f>IF(X30="","",X30)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34</v>
      </c>
      <c r="D47" s="20" t="n">
        <v>0</v>
      </c>
      <c r="E47" s="20" t="n">
        <v>66</v>
      </c>
      <c r="F47" s="20" t="n">
        <v>186</v>
      </c>
      <c r="G47" s="20" t="n">
        <v>580</v>
      </c>
      <c r="H47" s="20" t="n">
        <v>0</v>
      </c>
      <c r="I47" s="20" t="n">
        <v>1</v>
      </c>
      <c r="J47" s="20" t="n">
        <v>34</v>
      </c>
      <c r="K47" s="20" t="n">
        <v>210</v>
      </c>
      <c r="L47" s="20" t="n">
        <v>11865</v>
      </c>
      <c r="M47" s="20" t="n">
        <v>19</v>
      </c>
      <c r="N47" s="20" t="n">
        <v>114</v>
      </c>
      <c r="O47" s="19" t="n">
        <v>0</v>
      </c>
      <c r="P47" s="20" t="n">
        <v>487</v>
      </c>
      <c r="Q47" s="20" t="n">
        <v>25</v>
      </c>
      <c r="R47" s="20" t="n">
        <v>416</v>
      </c>
      <c r="S47" s="20" t="n">
        <v>1387</v>
      </c>
      <c r="T47" s="20" t="n">
        <v>682</v>
      </c>
      <c r="U47" s="20" t="n">
        <v>914</v>
      </c>
      <c r="V47" s="20" t="n">
        <v>79</v>
      </c>
      <c r="W47" s="20" t="n">
        <v>832</v>
      </c>
      <c r="X47" s="20" t="n">
        <v>12110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29</v>
      </c>
      <c r="D49" s="20" t="n">
        <v>56</v>
      </c>
      <c r="E49" s="20" t="n">
        <v>5</v>
      </c>
      <c r="F49" s="20" t="n">
        <v>5</v>
      </c>
      <c r="G49" s="20" t="n">
        <v>280</v>
      </c>
      <c r="H49" s="20" t="n">
        <v>452</v>
      </c>
      <c r="I49" s="20" t="n">
        <v>10</v>
      </c>
      <c r="J49" s="20" t="n">
        <v>46</v>
      </c>
      <c r="K49" s="20" t="n">
        <v>58</v>
      </c>
      <c r="L49" s="20" t="n">
        <v>946</v>
      </c>
      <c r="M49" s="20" t="n">
        <v>645</v>
      </c>
      <c r="N49" s="20" t="n">
        <v>136</v>
      </c>
      <c r="O49" s="19" t="n">
        <v>191</v>
      </c>
      <c r="P49" s="20" t="n">
        <v>295</v>
      </c>
      <c r="Q49" s="20" t="n">
        <v>925</v>
      </c>
      <c r="R49" s="20" t="n">
        <v>937</v>
      </c>
      <c r="S49" s="20" t="n">
        <v>1870</v>
      </c>
      <c r="T49" s="20" t="n">
        <v>2518</v>
      </c>
      <c r="U49" s="20" t="n">
        <v>6853</v>
      </c>
      <c r="V49" s="20" t="n">
        <v>177</v>
      </c>
      <c r="W49" s="20" t="n">
        <v>742</v>
      </c>
      <c r="X49" s="20" t="n">
        <v>1060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162</v>
      </c>
      <c r="D51" s="20" t="n">
        <v>38</v>
      </c>
      <c r="E51" s="20" t="n">
        <v>203</v>
      </c>
      <c r="F51" s="20" t="n">
        <v>12</v>
      </c>
      <c r="G51" s="20" t="n">
        <v>93</v>
      </c>
      <c r="H51" s="20" t="n">
        <v>212</v>
      </c>
      <c r="I51" s="20" t="n">
        <v>200</v>
      </c>
      <c r="J51" s="20" t="n">
        <v>38</v>
      </c>
      <c r="K51" s="20" t="n">
        <v>43</v>
      </c>
      <c r="L51" s="20" t="n">
        <v>126</v>
      </c>
      <c r="M51" s="20" t="n">
        <v>411</v>
      </c>
      <c r="N51" s="20" t="n">
        <v>351</v>
      </c>
      <c r="O51" s="19" t="n">
        <v>62</v>
      </c>
      <c r="P51" s="20" t="n">
        <v>92</v>
      </c>
      <c r="Q51" s="20" t="n">
        <v>95</v>
      </c>
      <c r="R51" s="20" t="n">
        <v>155</v>
      </c>
      <c r="S51" s="20" t="n">
        <v>1222</v>
      </c>
      <c r="T51" s="20" t="n">
        <v>291</v>
      </c>
      <c r="U51" s="20" t="n">
        <v>483</v>
      </c>
      <c r="V51" s="20" t="n">
        <v>714</v>
      </c>
      <c r="W51" s="20" t="n">
        <v>520</v>
      </c>
      <c r="X51" s="20" t="n">
        <v>407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95</v>
      </c>
      <c r="D53" s="20" t="n">
        <v>85</v>
      </c>
      <c r="E53" s="20" t="n">
        <v>133</v>
      </c>
      <c r="F53" s="20" t="n">
        <v>193</v>
      </c>
      <c r="G53" s="20" t="n">
        <v>332</v>
      </c>
      <c r="H53" s="20" t="n">
        <v>-48</v>
      </c>
      <c r="I53" s="20" t="n">
        <v>342</v>
      </c>
      <c r="J53" s="20" t="n">
        <v>308</v>
      </c>
      <c r="K53" s="20" t="n">
        <v>362</v>
      </c>
      <c r="L53" s="20" t="n">
        <v>598</v>
      </c>
      <c r="M53" s="20" t="n">
        <v>597</v>
      </c>
      <c r="N53" s="20" t="n">
        <v>483</v>
      </c>
      <c r="O53" s="19" t="n">
        <v>204</v>
      </c>
      <c r="P53" s="20" t="n">
        <v>341</v>
      </c>
      <c r="Q53" s="20" t="n">
        <v>331</v>
      </c>
      <c r="R53" s="20" t="n">
        <v>1720</v>
      </c>
      <c r="S53" s="20" t="n">
        <v>1046</v>
      </c>
      <c r="T53" s="20" t="n">
        <v>993</v>
      </c>
      <c r="U53" s="20" t="n">
        <v>996</v>
      </c>
      <c r="V53" s="20" t="n">
        <v>460</v>
      </c>
      <c r="W53" s="20" t="n">
        <v>610</v>
      </c>
      <c r="X53" s="20" t="n">
        <v>1610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1242</v>
      </c>
      <c r="D55" s="12" t="n">
        <v>577</v>
      </c>
      <c r="E55" s="12" t="n">
        <v>1823</v>
      </c>
      <c r="F55" s="12" t="n">
        <v>1041</v>
      </c>
      <c r="G55" s="12" t="n">
        <v>1789</v>
      </c>
      <c r="H55" s="12" t="n">
        <v>1262</v>
      </c>
      <c r="I55" s="12" t="n">
        <v>1649</v>
      </c>
      <c r="J55" s="12" t="n">
        <v>1158</v>
      </c>
      <c r="K55" s="12" t="n">
        <v>2727</v>
      </c>
      <c r="L55" s="12" t="n">
        <v>14614</v>
      </c>
      <c r="M55" s="12" t="n">
        <v>1740</v>
      </c>
      <c r="N55" s="12" t="n">
        <v>1974</v>
      </c>
      <c r="O55" s="11" t="n">
        <v>2360</v>
      </c>
      <c r="P55" s="12" t="n">
        <v>3392</v>
      </c>
      <c r="Q55" s="12" t="n">
        <v>3152</v>
      </c>
      <c r="R55" s="12" t="n">
        <v>4231</v>
      </c>
      <c r="S55" s="12" t="n">
        <v>-2804</v>
      </c>
      <c r="T55" s="12" t="n">
        <v>-3420</v>
      </c>
      <c r="U55" s="12" t="n">
        <v>-2877</v>
      </c>
      <c r="V55" s="12" t="n">
        <v>4764</v>
      </c>
      <c r="W55" s="12" t="n">
        <v>5915</v>
      </c>
      <c r="X55" s="12" t="n">
        <v>20148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8" t="inlineStr">
        <is>
          <t>법인세비용(수익)</t>
        </is>
      </c>
      <c r="B56" s="10" t="n"/>
      <c r="C56" s="19" t="n">
        <v>464</v>
      </c>
      <c r="D56" s="20" t="n">
        <v>-254</v>
      </c>
      <c r="E56" s="20" t="n">
        <v>-50</v>
      </c>
      <c r="F56" s="20" t="n">
        <v>491</v>
      </c>
      <c r="G56" s="20" t="n">
        <v>943</v>
      </c>
      <c r="H56" s="20" t="n">
        <v>675</v>
      </c>
      <c r="I56" s="20" t="n">
        <v>624</v>
      </c>
      <c r="J56" s="20" t="n">
        <v>589</v>
      </c>
      <c r="K56" s="20" t="n">
        <v>1196</v>
      </c>
      <c r="L56" s="20" t="n">
        <v>4148</v>
      </c>
      <c r="M56" s="20" t="n">
        <v>751</v>
      </c>
      <c r="N56" s="20" t="n">
        <v>441</v>
      </c>
      <c r="O56" s="19" t="n">
        <v>1011</v>
      </c>
      <c r="P56" s="20" t="n">
        <v>1321</v>
      </c>
      <c r="Q56" s="20" t="n">
        <v>1252</v>
      </c>
      <c r="R56" s="20" t="n">
        <v>2324</v>
      </c>
      <c r="S56" s="20" t="n">
        <v>666</v>
      </c>
      <c r="T56" s="20" t="n">
        <v>-263</v>
      </c>
      <c r="U56" s="20" t="n">
        <v>2044</v>
      </c>
      <c r="V56" s="20" t="n">
        <v>-2556</v>
      </c>
      <c r="W56" s="20" t="n">
        <v>2059</v>
      </c>
      <c r="X56" s="20" t="n">
        <v>6557</v>
      </c>
      <c r="Y56" s="19">
        <f>IF(OR(Y55="",Y57=""),"",IFERROR(MAX(Y55,0)*Y57,""))</f>
        <v/>
      </c>
      <c r="Z56" s="20">
        <f>IF(OR(Z55="",Z57=""),"",IFERROR(MAX(Z55,0)*Z57,""))</f>
        <v/>
      </c>
      <c r="AA56" s="20">
        <f>IF(OR(AA55="",AA57=""),"",IFERROR(MAX(AA55,0)*AA57,""))</f>
        <v/>
      </c>
      <c r="AB56" s="20">
        <f>IF(OR(AB55="",AB57=""),"",IFERROR(MAX(AB55,0)*AB57,""))</f>
        <v/>
      </c>
      <c r="AC56" s="20">
        <f>IF(OR(AC55="",AC57=""),"",IFERROR(MAX(AC55,0)*AC57,""))</f>
        <v/>
      </c>
    </row>
    <row r="57">
      <c r="A57" s="13" t="inlineStr">
        <is>
          <t>법인세율</t>
        </is>
      </c>
      <c r="B57" s="10" t="inlineStr">
        <is>
          <t>MW 기본 30%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0.3</v>
      </c>
      <c r="Z57" s="26" t="n">
        <v>0.3</v>
      </c>
      <c r="AA57" s="26" t="n">
        <v>0.3</v>
      </c>
      <c r="AB57" s="26" t="n">
        <v>0.3</v>
      </c>
      <c r="AC57" s="26" t="n">
        <v>0.3</v>
      </c>
    </row>
    <row r="58">
      <c r="A58" s="9" t="inlineStr">
        <is>
          <t>당기순이익(손실)</t>
        </is>
      </c>
      <c r="B58" s="10" t="n"/>
      <c r="C58" s="11" t="n">
        <v>777</v>
      </c>
      <c r="D58" s="12" t="n">
        <v>832</v>
      </c>
      <c r="E58" s="12" t="n">
        <v>1873</v>
      </c>
      <c r="F58" s="12" t="n">
        <v>549</v>
      </c>
      <c r="G58" s="12" t="n">
        <v>846</v>
      </c>
      <c r="H58" s="12" t="n">
        <v>588</v>
      </c>
      <c r="I58" s="12" t="n">
        <v>1024</v>
      </c>
      <c r="J58" s="12" t="n">
        <v>569</v>
      </c>
      <c r="K58" s="12" t="n">
        <v>1531</v>
      </c>
      <c r="L58" s="12" t="n">
        <v>10467</v>
      </c>
      <c r="M58" s="12" t="n">
        <v>989</v>
      </c>
      <c r="N58" s="12" t="n">
        <v>1533</v>
      </c>
      <c r="O58" s="11" t="n">
        <v>1348</v>
      </c>
      <c r="P58" s="12" t="n">
        <v>2071</v>
      </c>
      <c r="Q58" s="12" t="n">
        <v>1900</v>
      </c>
      <c r="R58" s="12" t="n">
        <v>1906</v>
      </c>
      <c r="S58" s="12" t="n">
        <v>-3471</v>
      </c>
      <c r="T58" s="12" t="n">
        <v>-3157</v>
      </c>
      <c r="U58" s="12" t="n">
        <v>-4921</v>
      </c>
      <c r="V58" s="12" t="n">
        <v>7321</v>
      </c>
      <c r="W58" s="12" t="n">
        <v>3856</v>
      </c>
      <c r="X58" s="12" t="n">
        <v>13591</v>
      </c>
      <c r="Y58" s="11">
        <f>IF(OR(Y55=""),"",IFERROR(Y55-Y56,""))</f>
        <v/>
      </c>
      <c r="Z58" s="12">
        <f>IF(OR(Z55=""),"",IFERROR(Z55-Z56,""))</f>
        <v/>
      </c>
      <c r="AA58" s="12">
        <f>IF(OR(AA55=""),"",IFERROR(AA55-AA56,""))</f>
        <v/>
      </c>
      <c r="AB58" s="12">
        <f>IF(OR(AB55=""),"",IFERROR(AB55-AB56,""))</f>
        <v/>
      </c>
      <c r="AC58" s="12">
        <f>IF(OR(AC55=""),"",IFERROR(AC55-AC56,""))</f>
        <v/>
      </c>
    </row>
    <row r="59">
      <c r="A59" s="9" t="inlineStr">
        <is>
          <t>지배주주 순이익</t>
        </is>
      </c>
      <c r="B59" s="10" t="n"/>
      <c r="C59" s="11" t="n">
        <v>777</v>
      </c>
      <c r="D59" s="12" t="n">
        <v>832</v>
      </c>
      <c r="E59" s="12" t="n">
        <v>1873</v>
      </c>
      <c r="F59" s="12" t="n">
        <v>549</v>
      </c>
      <c r="G59" s="12" t="n">
        <v>874</v>
      </c>
      <c r="H59" s="12" t="n">
        <v>493</v>
      </c>
      <c r="I59" s="12" t="n">
        <v>1078</v>
      </c>
      <c r="J59" s="12" t="n">
        <v>545</v>
      </c>
      <c r="K59" s="12" t="n">
        <v>1474</v>
      </c>
      <c r="L59" s="12" t="n">
        <v>9196</v>
      </c>
      <c r="M59" s="12" t="n">
        <v>1194</v>
      </c>
      <c r="N59" s="12" t="n">
        <v>1262</v>
      </c>
      <c r="O59" s="11" t="n">
        <v>1352</v>
      </c>
      <c r="P59" s="12" t="n">
        <v>2071</v>
      </c>
      <c r="Q59" s="12" t="n">
        <v>1893</v>
      </c>
      <c r="R59" s="12" t="n">
        <v>1739</v>
      </c>
      <c r="S59" s="12" t="n">
        <v>-3503</v>
      </c>
      <c r="T59" s="12" t="n">
        <v>-3211</v>
      </c>
      <c r="U59" s="12" t="n">
        <v>-4936</v>
      </c>
      <c r="V59" s="12" t="n">
        <v>7321</v>
      </c>
      <c r="W59" s="12" t="n">
        <v>3789</v>
      </c>
      <c r="X59" s="12" t="n">
        <v>12293</v>
      </c>
      <c r="Y59" s="11">
        <f>IF(OR(Y58="",Y60=""),"",IFERROR(Y58*Y60,""))</f>
        <v/>
      </c>
      <c r="Z59" s="12">
        <f>IF(OR(Z58="",Z60=""),"",IFERROR(Z58*Z60,""))</f>
        <v/>
      </c>
      <c r="AA59" s="12">
        <f>IF(OR(AA58="",AA60=""),"",IFERROR(AA58*AA60,""))</f>
        <v/>
      </c>
      <c r="AB59" s="12">
        <f>IF(OR(AB58="",AB60=""),"",IFERROR(AB58*AB60,""))</f>
        <v/>
      </c>
      <c r="AC59" s="12">
        <f>IF(OR(AC58="",AC60=""),"",IFERROR(AC58*AC60,""))</f>
        <v/>
      </c>
    </row>
    <row r="60">
      <c r="A60" s="13" t="inlineStr">
        <is>
          <t>지배주주 순이익률</t>
        </is>
      </c>
      <c r="B60" s="10" t="inlineStr">
        <is>
          <t>MW 기본 100%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1</v>
      </c>
      <c r="Z60" s="26" t="n">
        <v>1</v>
      </c>
      <c r="AA60" s="26" t="n">
        <v>1</v>
      </c>
      <c r="AB60" s="26" t="n">
        <v>1</v>
      </c>
      <c r="AC60" s="26" t="n">
        <v>1</v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(2026.10.26)</t>
        </is>
      </c>
      <c r="B62" s="27" t="n">
        <v>1990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42700085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IF(O32="","",O32)</f>
        <v/>
      </c>
      <c r="P65" s="15">
        <f>IF(P32="","",P32)</f>
        <v/>
      </c>
      <c r="Q65" s="15">
        <f>IF(Q32="","",Q32)</f>
        <v/>
      </c>
      <c r="R65" s="15">
        <f>IF(R32="","",R32)</f>
        <v/>
      </c>
      <c r="S65" s="15">
        <f>IF(S32="","",S32)</f>
        <v/>
      </c>
      <c r="T65" s="15">
        <f>IF(T32="","",T32)</f>
        <v/>
      </c>
      <c r="U65" s="15">
        <f>IF(U32="","",U32)</f>
        <v/>
      </c>
      <c r="V65" s="15">
        <f>IF(V32="","",V32)</f>
        <v/>
      </c>
      <c r="W65" s="15">
        <f>IF(W32="","",W32)</f>
        <v/>
      </c>
      <c r="X65" s="15">
        <f>IF(X32="","",X32)</f>
        <v/>
      </c>
      <c r="Y65" s="14">
        <f>IF(Y32="","",Y32)</f>
        <v/>
      </c>
      <c r="Z65" s="15">
        <f>IF(Z32="","",Z32)</f>
        <v/>
      </c>
      <c r="AA65" s="15">
        <f>IF(AA32="","",AA32)</f>
        <v/>
      </c>
      <c r="AB65" s="15">
        <f>IF(AB32="","",AB32)</f>
        <v/>
      </c>
      <c r="AC65" s="15">
        <f>IF(AC32="","",AC32)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IF(OR(P59="",O59=""),"",IFERROR(P59/O59-1,""))</f>
        <v/>
      </c>
      <c r="Q66" s="15">
        <f>IF(OR(Q59="",P59=""),"",IFERROR(Q59/P59-1,""))</f>
        <v/>
      </c>
      <c r="R66" s="15">
        <f>IF(OR(R59="",Q59=""),"",IFERROR(R59/Q59-1,""))</f>
        <v/>
      </c>
      <c r="S66" s="15">
        <f>IF(OR(S59="",R59=""),"",IFERROR(S59/R59-1,""))</f>
        <v/>
      </c>
      <c r="T66" s="15">
        <f>IF(OR(T59="",S59=""),"",IFERROR(T59/S59-1,""))</f>
        <v/>
      </c>
      <c r="U66" s="15">
        <f>IF(OR(U59="",T59=""),"",IFERROR(U59/T59-1,""))</f>
        <v/>
      </c>
      <c r="V66" s="15">
        <f>IF(OR(V59="",U59=""),"",IFERROR(V59/U59-1,""))</f>
        <v/>
      </c>
      <c r="W66" s="15">
        <f>IF(OR(W59="",V59=""),"",IFERROR(W59/V59-1,""))</f>
        <v/>
      </c>
      <c r="X66" s="15">
        <f>IF(OR(X59="",W59=""),"",IFERROR(X59/W59-1,""))</f>
        <v/>
      </c>
      <c r="Y66" s="14">
        <f>IF(OR(Y59="",X59=""),"",IFERROR(Y59/X59-1,""))</f>
        <v/>
      </c>
      <c r="Z66" s="15">
        <f>IF(OR(Z59="",Y59=""),"",IFERROR(Z59/Y59-1,""))</f>
        <v/>
      </c>
      <c r="AA66" s="15">
        <f>IF(OR(AA59="",Z59=""),"",IFERROR(AA59/Z59-1,""))</f>
        <v/>
      </c>
      <c r="AB66" s="15">
        <f>IF(OR(AB59="",AA59=""),"",IFERROR(AB59/AA59-1,""))</f>
        <v/>
      </c>
      <c r="AC66" s="15">
        <f>IF(OR(AC59="",AB59=""),"",IFERROR(AC59/AB59-1,""))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IF(OR($B$64="",X59=""),"",IFERROR($B$64/X59,""))</f>
        <v/>
      </c>
      <c r="Y67" s="30">
        <f>IF(OR($B$64="",Y59=""),"",IFERROR($B$64/Y59,""))</f>
        <v/>
      </c>
      <c r="Z67" s="31">
        <f>IF(OR($B$64="",Z59=""),"",IFERROR($B$64/Z59,""))</f>
        <v/>
      </c>
      <c r="AA67" s="31">
        <f>IF(OR($B$64="",AA59=""),"",IFERROR($B$64/AA59,""))</f>
        <v/>
      </c>
      <c r="AB67" s="31">
        <f>IF(OR($B$64="",AB59=""),"",IFERROR($B$64/AB59,""))</f>
        <v/>
      </c>
      <c r="AC67" s="31">
        <f>IF(OR($B$64="",AC59=""),"",IFERROR($B$64/AC59,""))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IF(OR(O59="",$B$63=""),"",IFERROR(O59*1000000.0/$B$63,""))</f>
        <v/>
      </c>
      <c r="P69" s="29">
        <f>IF(OR(P59="",$B$63=""),"",IFERROR(P59*1000000.0/$B$63,""))</f>
        <v/>
      </c>
      <c r="Q69" s="29">
        <f>IF(OR(Q59="",$B$63=""),"",IFERROR(Q59*1000000.0/$B$63,""))</f>
        <v/>
      </c>
      <c r="R69" s="29">
        <f>IF(OR(R59="",$B$63=""),"",IFERROR(R59*1000000.0/$B$63,""))</f>
        <v/>
      </c>
      <c r="S69" s="29">
        <f>IF(OR(S59="",$B$63=""),"",IFERROR(S59*1000000.0/$B$63,""))</f>
        <v/>
      </c>
      <c r="T69" s="29">
        <f>IF(OR(T59="",$B$63=""),"",IFERROR(T59*1000000.0/$B$63,""))</f>
        <v/>
      </c>
      <c r="U69" s="29">
        <f>IF(OR(U59="",$B$63=""),"",IFERROR(U59*1000000.0/$B$63,""))</f>
        <v/>
      </c>
      <c r="V69" s="29">
        <f>IF(OR(V59="",$B$63=""),"",IFERROR(V59*1000000.0/$B$63,""))</f>
        <v/>
      </c>
      <c r="W69" s="29">
        <f>IF(OR(W59="",$B$63=""),"",IFERROR(W59*1000000.0/$B$63,""))</f>
        <v/>
      </c>
      <c r="X69" s="29">
        <f>IF(OR(X59="",$B$63=""),"",IFERROR(X59*1000000.0/$B$63,""))</f>
        <v/>
      </c>
      <c r="Y69" s="28">
        <f>IF(OR(Y59="",$B$63=""),"",IFERROR(Y59*1000000.0/$B$63,""))</f>
        <v/>
      </c>
      <c r="Z69" s="29">
        <f>IF(OR(Z59="",$B$63=""),"",IFERROR(Z59*1000000.0/$B$63,""))</f>
        <v/>
      </c>
      <c r="AA69" s="29">
        <f>IF(OR(AA59="",$B$63=""),"",IFERROR(AA59*1000000.0/$B$63,""))</f>
        <v/>
      </c>
      <c r="AB69" s="29">
        <f>IF(OR(AB59="",$B$63=""),"",IFERROR(AB59*1000000.0/$B$63,""))</f>
        <v/>
      </c>
      <c r="AC69" s="29">
        <f>IF(OR(AC59="",$B$63=""),"",IFERROR(AC59*1000000.0/$B$63,""))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IF(OR(Y59="",Y68=""),"",IFERROR(Y59*Y68,""))</f>
        <v/>
      </c>
      <c r="Z81" s="20">
        <f>IF(OR(Z59="",Z68=""),"",IFERROR(Z59*Z68,""))</f>
        <v/>
      </c>
      <c r="AA81" s="20">
        <f>IF(OR(AA59="",AA68=""),"",IFERROR(AA59*AA68,""))</f>
        <v/>
      </c>
      <c r="AB81" s="20">
        <f>IF(OR(AB59="",AB68=""),"",IFERROR(AB59*AB68,""))</f>
        <v/>
      </c>
      <c r="AC81" s="20">
        <f>IF(OR(AC59="",AC68=""),"",IFERROR(AC59*AC68,""))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2026.10.26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2024.3Q</t>
        </is>
      </c>
      <c r="D92" s="5" t="inlineStr">
        <is>
          <t>2024.4Q</t>
        </is>
      </c>
      <c r="E92" s="5" t="inlineStr">
        <is>
          <t>2025.1Q</t>
        </is>
      </c>
      <c r="F92" s="5" t="inlineStr">
        <is>
          <t>2025.2Q</t>
        </is>
      </c>
      <c r="G92" s="5" t="inlineStr">
        <is>
          <t>2025.3Q</t>
        </is>
      </c>
      <c r="H92" s="5" t="inlineStr">
        <is>
          <t>2025.4Q</t>
        </is>
      </c>
      <c r="I92" s="5" t="inlineStr">
        <is>
          <t>2026.1Q</t>
        </is>
      </c>
      <c r="J92" s="5" t="inlineStr">
        <is>
          <t>2026.2Q</t>
        </is>
      </c>
      <c r="K92" s="5" t="inlineStr">
        <is>
          <t>2026.3Q</t>
        </is>
      </c>
      <c r="L92" s="5" t="inlineStr">
        <is>
          <t>2026.4Q</t>
        </is>
      </c>
      <c r="M92" s="5" t="inlineStr">
        <is>
          <t>2027.1Q</t>
        </is>
      </c>
      <c r="N92" s="5" t="inlineStr">
        <is>
          <t>2027.2Q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9653</v>
      </c>
      <c r="D93" s="12" t="n">
        <v>9142</v>
      </c>
      <c r="E93" s="12" t="n">
        <v>10562</v>
      </c>
      <c r="F93" s="12" t="n">
        <v>9718</v>
      </c>
      <c r="G93" s="12" t="n">
        <v>19850</v>
      </c>
      <c r="H93" s="12" t="n">
        <v>19078</v>
      </c>
      <c r="I93" s="12" t="n">
        <v>24465</v>
      </c>
      <c r="J93" s="12" t="n">
        <v>25433</v>
      </c>
      <c r="K93" s="12" t="n">
        <v>27087</v>
      </c>
      <c r="L93" s="12" t="n">
        <v>37372</v>
      </c>
      <c r="M93" s="12" t="n">
        <v>34609</v>
      </c>
      <c r="N93" s="12" t="n">
        <v>34794</v>
      </c>
      <c r="T93" s="12" t="n">
        <v>11782</v>
      </c>
      <c r="U93" s="12" t="n">
        <v>11853</v>
      </c>
      <c r="V93" s="12" t="n">
        <v>9142</v>
      </c>
      <c r="W93" s="12" t="n">
        <v>19078</v>
      </c>
      <c r="X93" s="12" t="n">
        <v>37372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6056</v>
      </c>
      <c r="D95" s="20" t="n">
        <v>5925</v>
      </c>
      <c r="E95" s="20" t="n">
        <v>6198</v>
      </c>
      <c r="F95" s="20" t="n">
        <v>5949</v>
      </c>
      <c r="G95" s="20" t="n">
        <v>12929</v>
      </c>
      <c r="H95" s="20" t="n">
        <v>12621</v>
      </c>
      <c r="I95" s="20" t="n">
        <v>14412</v>
      </c>
      <c r="J95" s="20" t="n">
        <v>15189</v>
      </c>
      <c r="K95" s="20" t="n">
        <v>15754</v>
      </c>
      <c r="L95" s="20" t="n">
        <v>20581</v>
      </c>
      <c r="M95" s="20" t="n">
        <v>19610</v>
      </c>
      <c r="N95" s="20" t="n">
        <v>20296</v>
      </c>
      <c r="T95" s="20" t="n">
        <v>8589</v>
      </c>
      <c r="U95" s="20" t="n">
        <v>8034</v>
      </c>
      <c r="V95" s="20" t="n">
        <v>5925</v>
      </c>
      <c r="W95" s="20" t="n">
        <v>12621</v>
      </c>
      <c r="X95" s="20" t="n">
        <v>20581</v>
      </c>
    </row>
    <row r="96">
      <c r="A96" s="9" t="inlineStr">
        <is>
          <t>매출총이익</t>
        </is>
      </c>
      <c r="C96" s="12" t="n">
        <v>3597</v>
      </c>
      <c r="D96" s="12" t="n">
        <v>3216</v>
      </c>
      <c r="E96" s="12" t="n">
        <v>4363</v>
      </c>
      <c r="F96" s="12" t="n">
        <v>3769</v>
      </c>
      <c r="G96" s="12" t="n">
        <v>6921</v>
      </c>
      <c r="H96" s="12" t="n">
        <v>6457</v>
      </c>
      <c r="I96" s="12" t="n">
        <v>10053</v>
      </c>
      <c r="J96" s="12" t="n">
        <v>10244</v>
      </c>
      <c r="K96" s="12" t="n">
        <v>11333</v>
      </c>
      <c r="L96" s="12" t="n">
        <v>16791</v>
      </c>
      <c r="M96" s="12" t="n">
        <v>14998</v>
      </c>
      <c r="N96" s="12" t="n">
        <v>14499</v>
      </c>
      <c r="T96" s="12" t="n">
        <v>3193</v>
      </c>
      <c r="U96" s="12" t="n">
        <v>3818</v>
      </c>
      <c r="V96" s="12" t="n">
        <v>3216</v>
      </c>
      <c r="W96" s="12" t="n">
        <v>6457</v>
      </c>
      <c r="X96" s="12" t="n">
        <v>16791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판매비와 관리비</t>
        </is>
      </c>
      <c r="C98" s="20" t="n">
        <v>2427</v>
      </c>
      <c r="D98" s="20" t="n">
        <v>2538</v>
      </c>
      <c r="E98" s="20" t="n">
        <v>2670</v>
      </c>
      <c r="F98" s="20" t="n">
        <v>2728</v>
      </c>
      <c r="G98" s="20" t="n">
        <v>5194</v>
      </c>
      <c r="H98" s="20" t="n">
        <v>5003</v>
      </c>
      <c r="I98" s="20" t="n">
        <v>8252</v>
      </c>
      <c r="J98" s="20" t="n">
        <v>8806</v>
      </c>
      <c r="K98" s="20" t="n">
        <v>8439</v>
      </c>
      <c r="L98" s="20" t="n">
        <v>12623</v>
      </c>
      <c r="M98" s="20" t="n">
        <v>12445</v>
      </c>
      <c r="N98" s="20" t="n">
        <v>12371</v>
      </c>
      <c r="T98" s="20" t="n">
        <v>2962</v>
      </c>
      <c r="U98" s="20" t="n">
        <v>3013</v>
      </c>
      <c r="V98" s="20" t="n">
        <v>2538</v>
      </c>
      <c r="W98" s="20" t="n">
        <v>5003</v>
      </c>
      <c r="X98" s="20" t="n">
        <v>12623</v>
      </c>
    </row>
    <row r="99">
      <c r="A99" s="9" t="inlineStr">
        <is>
          <t>영업이익</t>
        </is>
      </c>
      <c r="C99" s="12" t="n">
        <v>1170</v>
      </c>
      <c r="D99" s="12" t="n">
        <v>679</v>
      </c>
      <c r="E99" s="12" t="n">
        <v>1692</v>
      </c>
      <c r="F99" s="12" t="n">
        <v>1041</v>
      </c>
      <c r="G99" s="12" t="n">
        <v>1728</v>
      </c>
      <c r="H99" s="12" t="n">
        <v>1454</v>
      </c>
      <c r="I99" s="12" t="n">
        <v>1800</v>
      </c>
      <c r="J99" s="12" t="n">
        <v>1439</v>
      </c>
      <c r="K99" s="12" t="n">
        <v>2894</v>
      </c>
      <c r="L99" s="12" t="n">
        <v>4168</v>
      </c>
      <c r="M99" s="12" t="n">
        <v>2553</v>
      </c>
      <c r="N99" s="12" t="n">
        <v>2127</v>
      </c>
      <c r="T99" s="12" t="n">
        <v>231</v>
      </c>
      <c r="U99" s="12" t="n">
        <v>805</v>
      </c>
      <c r="V99" s="12" t="n">
        <v>679</v>
      </c>
      <c r="W99" s="12" t="n">
        <v>1454</v>
      </c>
      <c r="X99" s="12" t="n">
        <v>4168</v>
      </c>
    </row>
    <row r="100">
      <c r="A100" s="43" t="inlineStr">
        <is>
          <t>OPM</t>
        </is>
      </c>
      <c r="B100" s="3" t="inlineStr">
        <is>
          <t>영업이익 ÷ 매출</t>
        </is>
      </c>
      <c r="C100" s="15">
        <f>IF(OR(C99="",C93=""),"",IF(C93&lt;=0,"",IFERROR(C99/C93,"")))</f>
        <v/>
      </c>
      <c r="D100" s="15">
        <f>IF(OR(D99="",D93=""),"",IF(D93&lt;=0,"",IFERROR(D99/D93,"")))</f>
        <v/>
      </c>
      <c r="E100" s="15">
        <f>IF(OR(E99="",E93=""),"",IF(E93&lt;=0,"",IFERROR(E99/E93,"")))</f>
        <v/>
      </c>
      <c r="F100" s="15">
        <f>IF(OR(F99="",F93=""),"",IF(F93&lt;=0,"",IFERROR(F99/F93,"")))</f>
        <v/>
      </c>
      <c r="G100" s="15">
        <f>IF(OR(G99="",G93=""),"",IF(G93&lt;=0,"",IFERROR(G99/G93,"")))</f>
        <v/>
      </c>
      <c r="H100" s="15">
        <f>IF(OR(H99="",H93=""),"",IF(H93&lt;=0,"",IFERROR(H99/H93,"")))</f>
        <v/>
      </c>
      <c r="I100" s="15">
        <f>IF(OR(I99="",I93=""),"",IF(I93&lt;=0,"",IFERROR(I99/I93,"")))</f>
        <v/>
      </c>
      <c r="J100" s="15">
        <f>IF(OR(J99="",J93=""),"",IF(J93&lt;=0,"",IFERROR(J99/J93,"")))</f>
        <v/>
      </c>
      <c r="K100" s="15">
        <f>IF(OR(K99="",K93=""),"",IF(K93&lt;=0,"",IFERROR(K99/K93,"")))</f>
        <v/>
      </c>
      <c r="L100" s="15">
        <f>IF(OR(L99="",L93=""),"",IF(L93&lt;=0,"",IFERROR(L99/L93,"")))</f>
        <v/>
      </c>
      <c r="M100" s="15">
        <f>IF(OR(M99="",M93=""),"",IF(M93&lt;=0,"",IFERROR(M99/M93,"")))</f>
        <v/>
      </c>
      <c r="N100" s="15">
        <f>IF(OR(N99="",N93=""),"",IF(N93&lt;=0,"",IFERROR(N99/N93,"")))</f>
        <v/>
      </c>
      <c r="T100" s="15">
        <f>IF(OR(T99="",T93=""),"",IF(T93&lt;=0,"",IFERROR(T99/T93,"")))</f>
        <v/>
      </c>
      <c r="U100" s="15">
        <f>IF(OR(U99="",U93=""),"",IF(U93&lt;=0,"",IFERROR(U99/U93,"")))</f>
        <v/>
      </c>
      <c r="V100" s="15">
        <f>IF(OR(V99="",V93=""),"",IF(V93&lt;=0,"",IFERROR(V99/V93,"")))</f>
        <v/>
      </c>
      <c r="W100" s="15">
        <f>IF(OR(W99="",W93=""),"",IF(W93&lt;=0,"",IFERROR(W99/W93,"")))</f>
        <v/>
      </c>
      <c r="X100" s="15">
        <f>IF(OR(X99="",X93=""),"",IF(X93&lt;=0,"",IFERROR(X99/X93,"")))</f>
        <v/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IF(OR(G99="",C99=""),"",IF(C99&lt;=0,"",IFERROR(G99/C99-1,"")))</f>
        <v/>
      </c>
      <c r="H101" s="15">
        <f>IF(OR(H99="",D99=""),"",IF(D99&lt;=0,"",IFERROR(H99/D99-1,"")))</f>
        <v/>
      </c>
      <c r="I101" s="15">
        <f>IF(OR(I99="",E99=""),"",IF(E99&lt;=0,"",IFERROR(I99/E99-1,"")))</f>
        <v/>
      </c>
      <c r="J101" s="15">
        <f>IF(OR(J99="",F99=""),"",IF(F99&lt;=0,"",IFERROR(J99/F99-1,"")))</f>
        <v/>
      </c>
      <c r="K101" s="15">
        <f>IF(OR(K99="",G99=""),"",IF(G99&lt;=0,"",IFERROR(K99/G99-1,"")))</f>
        <v/>
      </c>
      <c r="L101" s="15">
        <f>IF(OR(L99="",H99=""),"",IF(H99&lt;=0,"",IFERROR(L99/H99-1,"")))</f>
        <v/>
      </c>
      <c r="M101" s="15">
        <f>IF(OR(M99="",I99=""),"",IF(I99&lt;=0,"",IFERROR(M99/I99-1,"")))</f>
        <v/>
      </c>
      <c r="N101" s="15">
        <f>IF(OR(N99="",J99=""),"",IF(J99&lt;=0,"",IFERROR(N99/J99-1,"")))</f>
        <v/>
      </c>
      <c r="T101" s="15">
        <f>IF(OR(T99="",S99=""),"",IF(S99&lt;=0,"",IFERROR(T99/S99-1,"")))</f>
        <v/>
      </c>
      <c r="U101" s="15">
        <f>IF(OR(U99="",T99=""),"",IF(T99&lt;=0,"",IFERROR(U99/T99-1,"")))</f>
        <v/>
      </c>
      <c r="V101" s="15">
        <f>IF(OR(V99="",U99=""),"",IF(U99&lt;=0,"",IFERROR(V99/U99-1,"")))</f>
        <v/>
      </c>
      <c r="W101" s="15">
        <f>IF(OR(W99="",V99=""),"",IF(V99&lt;=0,"",IFERROR(W99/V99-1,"")))</f>
        <v/>
      </c>
      <c r="X101" s="15">
        <f>IF(OR(X99="",W99=""),"",IF(W99&lt;=0,"",IFERROR(X99/W99-1,"")))</f>
        <v/>
      </c>
    </row>
    <row r="102">
      <c r="A102" s="18" t="inlineStr">
        <is>
          <t>이자수익</t>
        </is>
      </c>
      <c r="C102" s="20" t="n">
        <v>0</v>
      </c>
      <c r="D102" s="20" t="n">
        <v>1</v>
      </c>
      <c r="E102" s="20" t="n">
        <v>0</v>
      </c>
      <c r="F102" s="20" t="n">
        <v>3</v>
      </c>
      <c r="G102" s="20" t="n">
        <v>1</v>
      </c>
      <c r="H102" s="20" t="n">
        <v>10</v>
      </c>
      <c r="I102" s="20" t="n">
        <v>4</v>
      </c>
      <c r="J102" s="20" t="n">
        <v>12</v>
      </c>
      <c r="K102" s="20" t="n">
        <v>7</v>
      </c>
      <c r="L102" s="20" t="n">
        <v>42</v>
      </c>
      <c r="M102" s="20" t="n">
        <v>119</v>
      </c>
      <c r="N102" s="20" t="n">
        <v>152</v>
      </c>
      <c r="T102" s="20" t="n">
        <v>1</v>
      </c>
      <c r="U102" s="20" t="n">
        <v>4</v>
      </c>
      <c r="V102" s="20" t="n">
        <v>1</v>
      </c>
      <c r="W102" s="20" t="n">
        <v>10</v>
      </c>
      <c r="X102" s="20" t="n">
        <v>42</v>
      </c>
    </row>
    <row r="103">
      <c r="A103" s="18" t="inlineStr">
        <is>
          <t>배당금수익</t>
        </is>
      </c>
      <c r="C103" s="20" t="n">
        <v>1</v>
      </c>
      <c r="D103" s="20" t="n">
        <v>1</v>
      </c>
      <c r="E103" s="20" t="n">
        <v>8</v>
      </c>
      <c r="F103" s="20" t="n">
        <v>15</v>
      </c>
      <c r="G103" s="20" t="n">
        <v>1</v>
      </c>
      <c r="H103" s="20" t="n">
        <v>8</v>
      </c>
      <c r="I103" s="20" t="n">
        <v>157</v>
      </c>
      <c r="J103" s="20" t="n">
        <v>18</v>
      </c>
      <c r="K103" s="20" t="n">
        <v>3</v>
      </c>
      <c r="L103" s="20" t="n">
        <v>1</v>
      </c>
      <c r="M103" s="20" t="n">
        <v>13</v>
      </c>
      <c r="N103" s="20" t="n">
        <v>24</v>
      </c>
      <c r="T103" s="20" t="n">
        <v>2</v>
      </c>
      <c r="U103" s="20" t="n">
        <v>0</v>
      </c>
      <c r="V103" s="20" t="n">
        <v>1</v>
      </c>
      <c r="W103" s="20" t="n">
        <v>8</v>
      </c>
      <c r="X103" s="20" t="n">
        <v>1</v>
      </c>
    </row>
    <row r="104">
      <c r="A104" s="18" t="inlineStr">
        <is>
          <t>지분법이익</t>
        </is>
      </c>
      <c r="C104" s="20" t="n">
        <v>47</v>
      </c>
      <c r="D104" s="20" t="n">
        <v>20</v>
      </c>
      <c r="E104" s="20" t="n">
        <v>52</v>
      </c>
      <c r="F104" s="20" t="n">
        <v>-52</v>
      </c>
      <c r="G104" s="20" t="n">
        <v>0</v>
      </c>
      <c r="H104" s="20" t="n">
        <v>32</v>
      </c>
      <c r="I104" s="20" t="n">
        <v>18</v>
      </c>
      <c r="M104" s="20" t="n">
        <v>2</v>
      </c>
      <c r="U104" s="20" t="n">
        <v>0</v>
      </c>
      <c r="V104" s="20" t="n">
        <v>20</v>
      </c>
      <c r="W104" s="20" t="n">
        <v>32</v>
      </c>
    </row>
    <row r="105">
      <c r="A105" s="18" t="inlineStr">
        <is>
          <t>외환차익</t>
        </is>
      </c>
      <c r="D105" s="20" t="n">
        <v>0</v>
      </c>
      <c r="H105" s="20" t="n">
        <v>0</v>
      </c>
      <c r="I105" s="20" t="n">
        <v>0</v>
      </c>
      <c r="J105" s="20" t="n">
        <v>0</v>
      </c>
      <c r="M105" s="20" t="n">
        <v>64</v>
      </c>
      <c r="N105" s="20" t="n">
        <v>20</v>
      </c>
      <c r="U105" s="20" t="n">
        <v>143</v>
      </c>
      <c r="V105" s="20" t="n">
        <v>0</v>
      </c>
      <c r="W105" s="20" t="n">
        <v>0</v>
      </c>
    </row>
    <row r="106">
      <c r="A106" s="18" t="inlineStr">
        <is>
          <t>수입보증금 상각이익</t>
        </is>
      </c>
      <c r="C106" s="20" t="n">
        <v>0</v>
      </c>
      <c r="D106" s="20" t="n">
        <v>0</v>
      </c>
      <c r="U106" s="20" t="n">
        <v>0</v>
      </c>
      <c r="V106" s="20" t="n">
        <v>0</v>
      </c>
    </row>
    <row r="107">
      <c r="A107" s="18" t="inlineStr">
        <is>
          <t>보상금 수취</t>
        </is>
      </c>
      <c r="D107" s="20" t="n">
        <v>0</v>
      </c>
      <c r="H107" s="20" t="n">
        <v>8</v>
      </c>
      <c r="I107" s="20" t="n">
        <v>0</v>
      </c>
      <c r="J107" s="20" t="n">
        <v>0</v>
      </c>
      <c r="K107" s="20" t="n">
        <v>0</v>
      </c>
      <c r="L107" s="20" t="n">
        <v>38</v>
      </c>
      <c r="M107" s="20" t="n">
        <v>174</v>
      </c>
      <c r="N107" s="20" t="n">
        <v>123</v>
      </c>
      <c r="V107" s="20" t="n">
        <v>0</v>
      </c>
      <c r="W107" s="20" t="n">
        <v>8</v>
      </c>
      <c r="X107" s="20" t="n">
        <v>38</v>
      </c>
    </row>
    <row r="108">
      <c r="A108" s="18" t="inlineStr">
        <is>
          <t>보조금 수입</t>
        </is>
      </c>
      <c r="C108" s="20" t="n">
        <v>0</v>
      </c>
      <c r="D108" s="20" t="n">
        <v>7</v>
      </c>
      <c r="E108" s="20" t="n">
        <v>137</v>
      </c>
      <c r="F108" s="20" t="n">
        <v>2</v>
      </c>
      <c r="G108" s="20" t="n">
        <v>0</v>
      </c>
      <c r="H108" s="20" t="n">
        <v>134</v>
      </c>
      <c r="I108" s="20" t="n">
        <v>0</v>
      </c>
      <c r="J108" s="20" t="n">
        <v>1</v>
      </c>
      <c r="K108" s="20" t="n">
        <v>0</v>
      </c>
      <c r="L108" s="20" t="n">
        <v>1</v>
      </c>
      <c r="T108" s="20" t="n">
        <v>28</v>
      </c>
      <c r="U108" s="20" t="n">
        <v>4</v>
      </c>
      <c r="V108" s="20" t="n">
        <v>7</v>
      </c>
      <c r="W108" s="20" t="n">
        <v>134</v>
      </c>
      <c r="X108" s="20" t="n">
        <v>1</v>
      </c>
    </row>
    <row r="109">
      <c r="A109" s="18" t="inlineStr">
        <is>
          <t>기타</t>
        </is>
      </c>
      <c r="C109" s="20" t="n">
        <v>2</v>
      </c>
      <c r="D109" s="20" t="n">
        <v>10</v>
      </c>
      <c r="E109" s="20" t="n">
        <v>4</v>
      </c>
      <c r="F109" s="20" t="n">
        <v>45</v>
      </c>
      <c r="G109" s="20" t="n">
        <v>18</v>
      </c>
      <c r="H109" s="20" t="n">
        <v>18</v>
      </c>
      <c r="I109" s="20" t="n">
        <v>19</v>
      </c>
      <c r="J109" s="20" t="n">
        <v>27</v>
      </c>
      <c r="K109" s="20" t="n">
        <v>31</v>
      </c>
      <c r="L109" s="20" t="n">
        <v>44</v>
      </c>
      <c r="M109" s="20" t="n">
        <v>36</v>
      </c>
      <c r="N109" s="20" t="n">
        <v>35</v>
      </c>
      <c r="T109" s="20" t="n">
        <v>33</v>
      </c>
      <c r="U109" s="20" t="n">
        <v>36</v>
      </c>
      <c r="V109" s="20" t="n">
        <v>10</v>
      </c>
      <c r="W109" s="20" t="n">
        <v>18</v>
      </c>
      <c r="X109" s="20" t="n">
        <v>44</v>
      </c>
    </row>
    <row r="110">
      <c r="A110" s="18" t="inlineStr">
        <is>
          <t>영업외수익 합계</t>
        </is>
      </c>
      <c r="C110" s="20" t="n">
        <v>162</v>
      </c>
      <c r="D110" s="20" t="n">
        <v>38</v>
      </c>
      <c r="E110" s="20" t="n">
        <v>203</v>
      </c>
      <c r="F110" s="20" t="n">
        <v>12</v>
      </c>
      <c r="G110" s="20" t="n">
        <v>93</v>
      </c>
      <c r="H110" s="20" t="n">
        <v>212</v>
      </c>
      <c r="I110" s="20" t="n">
        <v>200</v>
      </c>
      <c r="J110" s="20" t="n">
        <v>38</v>
      </c>
      <c r="K110" s="20" t="n">
        <v>43</v>
      </c>
      <c r="L110" s="20" t="n">
        <v>126</v>
      </c>
      <c r="M110" s="20" t="n">
        <v>411</v>
      </c>
      <c r="N110" s="20" t="n">
        <v>351</v>
      </c>
      <c r="T110" s="20" t="n">
        <v>64</v>
      </c>
      <c r="U110" s="20" t="n">
        <v>187</v>
      </c>
      <c r="V110" s="20" t="n">
        <v>38</v>
      </c>
      <c r="W110" s="20" t="n">
        <v>212</v>
      </c>
      <c r="X110" s="20" t="n">
        <v>126</v>
      </c>
    </row>
    <row r="111">
      <c r="A111" s="18" t="inlineStr">
        <is>
          <t>이자비용</t>
        </is>
      </c>
      <c r="C111" s="20" t="n">
        <v>64</v>
      </c>
      <c r="D111" s="20" t="n">
        <v>61</v>
      </c>
      <c r="E111" s="20" t="n">
        <v>69</v>
      </c>
      <c r="F111" s="20" t="n">
        <v>75</v>
      </c>
      <c r="G111" s="20" t="n">
        <v>100</v>
      </c>
      <c r="H111" s="20" t="n">
        <v>101</v>
      </c>
      <c r="I111" s="20" t="n">
        <v>196</v>
      </c>
      <c r="J111" s="20" t="n">
        <v>242</v>
      </c>
      <c r="K111" s="20" t="n">
        <v>218</v>
      </c>
      <c r="L111" s="20" t="n">
        <v>273</v>
      </c>
      <c r="M111" s="20" t="n">
        <v>308</v>
      </c>
      <c r="N111" s="20" t="n">
        <v>331</v>
      </c>
      <c r="T111" s="20" t="n">
        <v>127</v>
      </c>
      <c r="U111" s="20" t="n">
        <v>124</v>
      </c>
      <c r="V111" s="20" t="n">
        <v>61</v>
      </c>
      <c r="W111" s="20" t="n">
        <v>101</v>
      </c>
      <c r="X111" s="20" t="n">
        <v>273</v>
      </c>
    </row>
    <row r="112">
      <c r="A112" s="18" t="inlineStr">
        <is>
          <t>사채이자</t>
        </is>
      </c>
      <c r="C112" s="20" t="n">
        <v>3</v>
      </c>
      <c r="D112" s="20" t="n">
        <v>2</v>
      </c>
      <c r="E112" s="20" t="n">
        <v>2</v>
      </c>
      <c r="F112" s="20" t="n">
        <v>1</v>
      </c>
      <c r="G112" s="20" t="n">
        <v>2</v>
      </c>
      <c r="H112" s="20" t="n">
        <v>2</v>
      </c>
      <c r="I112" s="20" t="n">
        <v>1</v>
      </c>
      <c r="J112" s="20" t="n">
        <v>2</v>
      </c>
      <c r="K112" s="20" t="n">
        <v>1</v>
      </c>
      <c r="L112" s="20" t="n">
        <v>1</v>
      </c>
      <c r="M112" s="20" t="n">
        <v>0</v>
      </c>
      <c r="N112" s="20" t="n">
        <v>1</v>
      </c>
      <c r="T112" s="20" t="n">
        <v>4</v>
      </c>
      <c r="U112" s="20" t="n">
        <v>3</v>
      </c>
      <c r="V112" s="20" t="n">
        <v>2</v>
      </c>
      <c r="W112" s="20" t="n">
        <v>2</v>
      </c>
      <c r="X112" s="20" t="n">
        <v>1</v>
      </c>
    </row>
    <row r="113">
      <c r="A113" s="18" t="inlineStr">
        <is>
          <t>대손손실</t>
        </is>
      </c>
      <c r="C113" s="20" t="n">
        <v>0</v>
      </c>
    </row>
    <row r="114">
      <c r="A114" s="18" t="inlineStr">
        <is>
          <t>지분법손실</t>
        </is>
      </c>
      <c r="C114" s="20" t="n">
        <v>0</v>
      </c>
      <c r="G114" s="20" t="n">
        <v>208</v>
      </c>
      <c r="H114" s="20" t="n">
        <v>-253</v>
      </c>
      <c r="K114" s="20" t="n">
        <v>118</v>
      </c>
      <c r="L114" s="20" t="n">
        <v>-31</v>
      </c>
      <c r="W114" s="20" t="n">
        <v>-253</v>
      </c>
      <c r="X114" s="20" t="n">
        <v>-31</v>
      </c>
    </row>
    <row r="115">
      <c r="A115" s="18" t="inlineStr">
        <is>
          <t>외환차손</t>
        </is>
      </c>
      <c r="E115" s="20" t="n">
        <v>0</v>
      </c>
      <c r="F115" s="20" t="n">
        <v>0</v>
      </c>
      <c r="G115" s="20" t="n">
        <v>0</v>
      </c>
      <c r="I115" s="20" t="n">
        <v>11</v>
      </c>
      <c r="J115" s="20" t="n">
        <v>6</v>
      </c>
      <c r="K115" s="20" t="n">
        <v>-9</v>
      </c>
      <c r="M115" s="20" t="n">
        <v>0</v>
      </c>
      <c r="N115" s="20" t="n">
        <v>0</v>
      </c>
    </row>
    <row r="116">
      <c r="A116" s="18" t="inlineStr">
        <is>
          <t>지급수수료</t>
        </is>
      </c>
      <c r="C116" s="20" t="n">
        <v>26</v>
      </c>
      <c r="D116" s="20" t="n">
        <v>8</v>
      </c>
      <c r="E116" s="20" t="n">
        <v>52</v>
      </c>
      <c r="F116" s="20" t="n">
        <v>55</v>
      </c>
      <c r="G116" s="20" t="n">
        <v>12</v>
      </c>
      <c r="H116" s="20" t="n">
        <v>93</v>
      </c>
      <c r="I116" s="20" t="n">
        <v>121</v>
      </c>
      <c r="J116" s="20" t="n">
        <v>43</v>
      </c>
      <c r="K116" s="20" t="n">
        <v>29</v>
      </c>
      <c r="L116" s="20" t="n">
        <v>339</v>
      </c>
      <c r="M116" s="20" t="n">
        <v>212</v>
      </c>
      <c r="N116" s="20" t="n">
        <v>92</v>
      </c>
      <c r="T116" s="20" t="n">
        <v>192</v>
      </c>
      <c r="U116" s="20" t="n">
        <v>97</v>
      </c>
      <c r="V116" s="20" t="n">
        <v>8</v>
      </c>
      <c r="W116" s="20" t="n">
        <v>93</v>
      </c>
      <c r="X116" s="20" t="n">
        <v>339</v>
      </c>
    </row>
    <row r="117">
      <c r="A117" s="18" t="inlineStr">
        <is>
          <t>기타</t>
        </is>
      </c>
      <c r="C117" s="20" t="n">
        <v>3</v>
      </c>
      <c r="D117" s="20" t="n">
        <v>13</v>
      </c>
      <c r="E117" s="20" t="n">
        <v>9</v>
      </c>
      <c r="F117" s="20" t="n">
        <v>15</v>
      </c>
      <c r="G117" s="20" t="n">
        <v>12</v>
      </c>
      <c r="H117" s="20" t="n">
        <v>9</v>
      </c>
      <c r="I117" s="20" t="n">
        <v>11</v>
      </c>
      <c r="J117" s="20" t="n">
        <v>13</v>
      </c>
      <c r="K117" s="20" t="n">
        <v>5</v>
      </c>
      <c r="L117" s="20" t="n">
        <v>24</v>
      </c>
      <c r="M117" s="20" t="n">
        <v>75</v>
      </c>
      <c r="N117" s="20" t="n">
        <v>24</v>
      </c>
      <c r="T117" s="20" t="n">
        <v>118</v>
      </c>
      <c r="U117" s="20" t="n">
        <v>95</v>
      </c>
      <c r="V117" s="20" t="n">
        <v>13</v>
      </c>
      <c r="W117" s="20" t="n">
        <v>9</v>
      </c>
      <c r="X117" s="20" t="n">
        <v>24</v>
      </c>
    </row>
    <row r="118">
      <c r="A118" s="18" t="inlineStr">
        <is>
          <t>영업외비용 합계</t>
        </is>
      </c>
      <c r="C118" s="20" t="n">
        <v>95</v>
      </c>
      <c r="D118" s="20" t="n">
        <v>85</v>
      </c>
      <c r="E118" s="20" t="n">
        <v>133</v>
      </c>
      <c r="F118" s="20" t="n">
        <v>193</v>
      </c>
      <c r="G118" s="20" t="n">
        <v>332</v>
      </c>
      <c r="H118" s="20" t="n">
        <v>-48</v>
      </c>
      <c r="I118" s="20" t="n">
        <v>342</v>
      </c>
      <c r="J118" s="20" t="n">
        <v>308</v>
      </c>
      <c r="K118" s="20" t="n">
        <v>362</v>
      </c>
      <c r="L118" s="20" t="n">
        <v>598</v>
      </c>
      <c r="M118" s="20" t="n">
        <v>597</v>
      </c>
      <c r="N118" s="20" t="n">
        <v>483</v>
      </c>
      <c r="T118" s="20" t="n">
        <v>442</v>
      </c>
      <c r="U118" s="20" t="n">
        <v>236</v>
      </c>
      <c r="V118" s="20" t="n">
        <v>85</v>
      </c>
      <c r="W118" s="20" t="n">
        <v>-48</v>
      </c>
      <c r="X118" s="20" t="n">
        <v>598</v>
      </c>
    </row>
    <row r="119">
      <c r="A119" s="9" t="inlineStr">
        <is>
          <t>경상이익</t>
        </is>
      </c>
      <c r="C119" s="12" t="n">
        <v>1237</v>
      </c>
      <c r="D119" s="12" t="n">
        <v>633</v>
      </c>
      <c r="E119" s="12" t="n">
        <v>1762</v>
      </c>
      <c r="F119" s="12" t="n">
        <v>860</v>
      </c>
      <c r="G119" s="12" t="n">
        <v>1489</v>
      </c>
      <c r="H119" s="12" t="n">
        <v>1714</v>
      </c>
      <c r="I119" s="12" t="n">
        <v>1658</v>
      </c>
      <c r="J119" s="12" t="n">
        <v>1169</v>
      </c>
      <c r="K119" s="12" t="n">
        <v>2575</v>
      </c>
      <c r="L119" s="12" t="n">
        <v>3696</v>
      </c>
      <c r="M119" s="12" t="n">
        <v>2366</v>
      </c>
      <c r="N119" s="12" t="n">
        <v>1996</v>
      </c>
      <c r="T119" s="12" t="n">
        <v>-147</v>
      </c>
      <c r="U119" s="12" t="n">
        <v>756</v>
      </c>
      <c r="V119" s="12" t="n">
        <v>633</v>
      </c>
      <c r="W119" s="12" t="n">
        <v>1714</v>
      </c>
      <c r="X119" s="12" t="n">
        <v>3696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IF(OR(G119="",C119=""),"",IF(C119&lt;=0,"",IFERROR(G119/C119-1,"")))</f>
        <v/>
      </c>
      <c r="H120" s="15">
        <f>IF(OR(H119="",D119=""),"",IF(D119&lt;=0,"",IFERROR(H119/D119-1,"")))</f>
        <v/>
      </c>
      <c r="I120" s="15">
        <f>IF(OR(I119="",E119=""),"",IF(E119&lt;=0,"",IFERROR(I119/E119-1,"")))</f>
        <v/>
      </c>
      <c r="J120" s="15">
        <f>IF(OR(J119="",F119=""),"",IF(F119&lt;=0,"",IFERROR(J119/F119-1,"")))</f>
        <v/>
      </c>
      <c r="K120" s="15">
        <f>IF(OR(K119="",G119=""),"",IF(G119&lt;=0,"",IFERROR(K119/G119-1,"")))</f>
        <v/>
      </c>
      <c r="L120" s="15">
        <f>IF(OR(L119="",H119=""),"",IF(H119&lt;=0,"",IFERROR(L119/H119-1,"")))</f>
        <v/>
      </c>
      <c r="M120" s="15">
        <f>IF(OR(M119="",I119=""),"",IF(I119&lt;=0,"",IFERROR(M119/I119-1,"")))</f>
        <v/>
      </c>
      <c r="N120" s="15">
        <f>IF(OR(N119="",J119=""),"",IF(J119&lt;=0,"",IFERROR(N119/J119-1,"")))</f>
        <v/>
      </c>
      <c r="T120" s="15">
        <f>IF(OR(T119="",S119=""),"",IF(S119&lt;=0,"",IFERROR(T119/S119-1,"")))</f>
        <v/>
      </c>
      <c r="U120" s="15">
        <f>IF(OR(U119="",T119=""),"",IF(T119&lt;=0,"",IFERROR(U119/T119-1,"")))</f>
        <v/>
      </c>
      <c r="V120" s="15">
        <f>IF(OR(V119="",U119=""),"",IF(U119&lt;=0,"",IFERROR(V119/U119-1,"")))</f>
        <v/>
      </c>
      <c r="W120" s="15">
        <f>IF(OR(W119="",V119=""),"",IF(V119&lt;=0,"",IFERROR(W119/V119-1,"")))</f>
        <v/>
      </c>
      <c r="X120" s="15">
        <f>IF(OR(X119="",W119=""),"",IF(W119&lt;=0,"",IFERROR(X119/W119-1,"")))</f>
        <v/>
      </c>
    </row>
    <row r="121">
      <c r="A121" s="18" t="inlineStr">
        <is>
          <t>고정자산 매각이익</t>
        </is>
      </c>
      <c r="D121" s="20" t="n">
        <v>0</v>
      </c>
      <c r="T121" s="20" t="n">
        <v>0</v>
      </c>
      <c r="U121" s="20" t="n">
        <v>0</v>
      </c>
      <c r="V121" s="20" t="n">
        <v>0</v>
      </c>
    </row>
    <row r="122">
      <c r="A122" s="18" t="inlineStr">
        <is>
          <t>단계적 취득 차익</t>
        </is>
      </c>
      <c r="C122" s="20" t="n">
        <v>0</v>
      </c>
      <c r="D122" s="20" t="n">
        <v>0</v>
      </c>
      <c r="G122" s="20" t="n">
        <v>0</v>
      </c>
      <c r="H122" s="20" t="n">
        <v>0</v>
      </c>
      <c r="K122" s="20" t="n">
        <v>189</v>
      </c>
      <c r="L122" s="20" t="n">
        <v>0</v>
      </c>
      <c r="V122" s="20" t="n">
        <v>0</v>
      </c>
      <c r="W122" s="20" t="n">
        <v>0</v>
      </c>
      <c r="X122" s="20" t="n">
        <v>0</v>
      </c>
    </row>
    <row r="123">
      <c r="A123" s="18" t="inlineStr">
        <is>
          <t>투자유가증권 매각이익</t>
        </is>
      </c>
      <c r="C123" s="20" t="n">
        <v>0</v>
      </c>
      <c r="D123" s="20" t="n">
        <v>0</v>
      </c>
      <c r="E123" s="20" t="n">
        <v>66</v>
      </c>
      <c r="F123" s="20" t="n">
        <v>17</v>
      </c>
      <c r="G123" s="20" t="n">
        <v>580</v>
      </c>
      <c r="H123" s="20" t="n">
        <v>0</v>
      </c>
      <c r="I123" s="20" t="n">
        <v>1</v>
      </c>
      <c r="J123" s="20" t="n">
        <v>3</v>
      </c>
      <c r="K123" s="20" t="n">
        <v>20</v>
      </c>
      <c r="L123" s="20" t="n">
        <v>0</v>
      </c>
      <c r="M123" s="20" t="n">
        <v>0</v>
      </c>
      <c r="N123" s="20" t="n">
        <v>0</v>
      </c>
      <c r="V123" s="20" t="n">
        <v>0</v>
      </c>
      <c r="W123" s="20" t="n">
        <v>0</v>
      </c>
      <c r="X123" s="20" t="n">
        <v>0</v>
      </c>
    </row>
    <row r="124">
      <c r="A124" s="18" t="inlineStr">
        <is>
          <t>투자유가증권 수증이익</t>
        </is>
      </c>
      <c r="C124" s="20" t="n">
        <v>34</v>
      </c>
      <c r="D124" s="20" t="n">
        <v>0</v>
      </c>
      <c r="G124" s="20" t="n">
        <v>0</v>
      </c>
      <c r="H124" s="20" t="n">
        <v>0</v>
      </c>
      <c r="K124" s="20" t="n">
        <v>0</v>
      </c>
      <c r="L124" s="20" t="n">
        <v>0</v>
      </c>
      <c r="U124" s="20" t="n">
        <v>0</v>
      </c>
      <c r="V124" s="20" t="n">
        <v>0</v>
      </c>
      <c r="W124" s="20" t="n">
        <v>0</v>
      </c>
      <c r="X124" s="20" t="n">
        <v>0</v>
      </c>
    </row>
    <row r="125">
      <c r="A125" s="18" t="inlineStr">
        <is>
          <t>채무면제이익</t>
        </is>
      </c>
      <c r="I125" s="20" t="n">
        <v>0</v>
      </c>
      <c r="J125" s="20" t="n">
        <v>0</v>
      </c>
      <c r="M125" s="20" t="n">
        <v>19</v>
      </c>
      <c r="N125" s="20" t="n">
        <v>0</v>
      </c>
    </row>
    <row r="126">
      <c r="A126" s="18" t="inlineStr">
        <is>
          <t>기타</t>
        </is>
      </c>
      <c r="T126" s="20" t="n">
        <v>0</v>
      </c>
      <c r="U126" s="20" t="n">
        <v>0</v>
      </c>
    </row>
    <row r="127">
      <c r="A127" s="18" t="inlineStr">
        <is>
          <t>특별이익 합계</t>
        </is>
      </c>
      <c r="C127" s="20" t="n">
        <v>34</v>
      </c>
      <c r="D127" s="20" t="n">
        <v>0</v>
      </c>
      <c r="E127" s="20" t="n">
        <v>66</v>
      </c>
      <c r="F127" s="20" t="n">
        <v>186</v>
      </c>
      <c r="G127" s="20" t="n">
        <v>580</v>
      </c>
      <c r="H127" s="20" t="n">
        <v>0</v>
      </c>
      <c r="I127" s="20" t="n">
        <v>1</v>
      </c>
      <c r="J127" s="20" t="n">
        <v>34</v>
      </c>
      <c r="K127" s="20" t="n">
        <v>210</v>
      </c>
      <c r="L127" s="20" t="n">
        <v>11865</v>
      </c>
      <c r="M127" s="20" t="n">
        <v>19</v>
      </c>
      <c r="N127" s="20" t="n">
        <v>114</v>
      </c>
      <c r="T127" s="20" t="n">
        <v>348</v>
      </c>
      <c r="U127" s="20" t="n">
        <v>0</v>
      </c>
      <c r="V127" s="20" t="n">
        <v>0</v>
      </c>
      <c r="W127" s="20" t="n">
        <v>0</v>
      </c>
      <c r="X127" s="20" t="n">
        <v>11865</v>
      </c>
    </row>
    <row r="128">
      <c r="A128" s="18" t="inlineStr">
        <is>
          <t>손상차손</t>
        </is>
      </c>
      <c r="C128" s="20" t="n">
        <v>74</v>
      </c>
      <c r="D128" s="20" t="n">
        <v>55</v>
      </c>
      <c r="E128" s="20" t="n">
        <v>5</v>
      </c>
      <c r="F128" s="20" t="n">
        <v>5</v>
      </c>
      <c r="G128" s="20" t="n">
        <v>33</v>
      </c>
      <c r="H128" s="20" t="n">
        <v>6</v>
      </c>
      <c r="I128" s="20" t="n">
        <v>10</v>
      </c>
      <c r="J128" s="20" t="n">
        <v>13</v>
      </c>
      <c r="K128" s="20" t="n">
        <v>58</v>
      </c>
      <c r="L128" s="20" t="n">
        <v>946</v>
      </c>
      <c r="M128" s="20" t="n">
        <v>582</v>
      </c>
      <c r="N128" s="20" t="n">
        <v>136</v>
      </c>
      <c r="T128" s="20" t="n">
        <v>475</v>
      </c>
      <c r="U128" s="20" t="n">
        <v>88</v>
      </c>
      <c r="V128" s="20" t="n">
        <v>55</v>
      </c>
      <c r="W128" s="20" t="n">
        <v>6</v>
      </c>
      <c r="X128" s="20" t="n">
        <v>946</v>
      </c>
    </row>
    <row r="129">
      <c r="A129" s="18" t="inlineStr">
        <is>
          <t>투자유가증권 평가손실</t>
        </is>
      </c>
      <c r="D129" s="20" t="n">
        <v>0</v>
      </c>
      <c r="H129" s="20" t="n">
        <v>280</v>
      </c>
      <c r="I129" s="20" t="n">
        <v>0</v>
      </c>
      <c r="J129" s="20" t="n">
        <v>0</v>
      </c>
      <c r="K129" s="20" t="n">
        <v>0</v>
      </c>
      <c r="L129" s="20" t="n">
        <v>0</v>
      </c>
      <c r="M129" s="20" t="n">
        <v>27</v>
      </c>
      <c r="N129" s="20" t="n">
        <v>0</v>
      </c>
      <c r="V129" s="20" t="n">
        <v>0</v>
      </c>
      <c r="W129" s="20" t="n">
        <v>280</v>
      </c>
      <c r="X129" s="20" t="n">
        <v>0</v>
      </c>
    </row>
    <row r="130">
      <c r="A130" s="18" t="inlineStr">
        <is>
          <t>사업정리 손실</t>
        </is>
      </c>
      <c r="C130" s="20" t="n">
        <v>-44</v>
      </c>
      <c r="D130" s="20" t="n">
        <v>0</v>
      </c>
      <c r="E130" s="20" t="n">
        <v>0</v>
      </c>
      <c r="F130" s="20" t="n">
        <v>0</v>
      </c>
      <c r="G130" s="20" t="n">
        <v>0</v>
      </c>
      <c r="H130" s="20" t="n">
        <v>0</v>
      </c>
      <c r="U130" s="20" t="n">
        <v>3159</v>
      </c>
      <c r="V130" s="20" t="n">
        <v>0</v>
      </c>
      <c r="W130" s="20" t="n">
        <v>0</v>
      </c>
    </row>
    <row r="131">
      <c r="A131" s="18" t="inlineStr">
        <is>
          <t>채권포기 손실</t>
        </is>
      </c>
      <c r="C131" s="20" t="n">
        <v>0</v>
      </c>
      <c r="D131" s="20" t="n">
        <v>0</v>
      </c>
      <c r="T131" s="20" t="n">
        <v>0</v>
      </c>
      <c r="U131" s="20" t="n">
        <v>0</v>
      </c>
      <c r="V131" s="20" t="n">
        <v>0</v>
      </c>
    </row>
    <row r="132">
      <c r="A132" s="18" t="inlineStr">
        <is>
          <t>보상금 지급</t>
        </is>
      </c>
      <c r="E132" s="20" t="n">
        <v>0</v>
      </c>
      <c r="F132" s="20" t="n">
        <v>0</v>
      </c>
    </row>
    <row r="133">
      <c r="A133" s="18" t="inlineStr">
        <is>
          <t>기타</t>
        </is>
      </c>
      <c r="D133" s="20" t="n">
        <v>0</v>
      </c>
      <c r="H133" s="20" t="n">
        <v>0</v>
      </c>
      <c r="T133" s="20" t="n">
        <v>50</v>
      </c>
      <c r="U133" s="20" t="n">
        <v>480</v>
      </c>
      <c r="V133" s="20" t="n">
        <v>0</v>
      </c>
      <c r="W133" s="20" t="n">
        <v>0</v>
      </c>
    </row>
    <row r="134">
      <c r="A134" s="18" t="inlineStr">
        <is>
          <t>해약 위약금</t>
        </is>
      </c>
      <c r="G134" s="20" t="n">
        <v>0</v>
      </c>
      <c r="H134" s="20" t="n">
        <v>0</v>
      </c>
      <c r="I134" s="20" t="n">
        <v>0</v>
      </c>
      <c r="J134" s="20" t="n">
        <v>33</v>
      </c>
      <c r="K134" s="20" t="n">
        <v>0</v>
      </c>
      <c r="L134" s="20" t="n">
        <v>0</v>
      </c>
      <c r="M134" s="20" t="n">
        <v>35</v>
      </c>
      <c r="N134" s="20" t="n">
        <v>0</v>
      </c>
      <c r="W134" s="20" t="n">
        <v>0</v>
      </c>
      <c r="X134" s="20" t="n">
        <v>0</v>
      </c>
    </row>
    <row r="135">
      <c r="A135" s="18" t="inlineStr">
        <is>
          <t>특별손실 합계</t>
        </is>
      </c>
      <c r="C135" s="20" t="n">
        <v>29</v>
      </c>
      <c r="D135" s="20" t="n">
        <v>56</v>
      </c>
      <c r="E135" s="20" t="n">
        <v>5</v>
      </c>
      <c r="F135" s="20" t="n">
        <v>5</v>
      </c>
      <c r="G135" s="20" t="n">
        <v>280</v>
      </c>
      <c r="H135" s="20" t="n">
        <v>452</v>
      </c>
      <c r="I135" s="20" t="n">
        <v>10</v>
      </c>
      <c r="J135" s="20" t="n">
        <v>46</v>
      </c>
      <c r="K135" s="20" t="n">
        <v>58</v>
      </c>
      <c r="L135" s="20" t="n">
        <v>946</v>
      </c>
      <c r="M135" s="20" t="n">
        <v>645</v>
      </c>
      <c r="N135" s="20" t="n">
        <v>136</v>
      </c>
      <c r="T135" s="20" t="n">
        <v>529</v>
      </c>
      <c r="U135" s="20" t="n">
        <v>3727</v>
      </c>
      <c r="V135" s="20" t="n">
        <v>56</v>
      </c>
      <c r="W135" s="20" t="n">
        <v>452</v>
      </c>
      <c r="X135" s="20" t="n">
        <v>946</v>
      </c>
    </row>
    <row r="136">
      <c r="A136" s="9" t="inlineStr">
        <is>
          <t>법인세차감전 순이익</t>
        </is>
      </c>
      <c r="C136" s="12" t="n">
        <v>1242</v>
      </c>
      <c r="D136" s="12" t="n">
        <v>577</v>
      </c>
      <c r="E136" s="12" t="n">
        <v>1823</v>
      </c>
      <c r="F136" s="12" t="n">
        <v>1041</v>
      </c>
      <c r="G136" s="12" t="n">
        <v>1789</v>
      </c>
      <c r="H136" s="12" t="n">
        <v>1262</v>
      </c>
      <c r="I136" s="12" t="n">
        <v>1649</v>
      </c>
      <c r="J136" s="12" t="n">
        <v>1158</v>
      </c>
      <c r="K136" s="12" t="n">
        <v>2727</v>
      </c>
      <c r="L136" s="12" t="n">
        <v>14614</v>
      </c>
      <c r="M136" s="12" t="n">
        <v>1740</v>
      </c>
      <c r="N136" s="12" t="n">
        <v>1974</v>
      </c>
      <c r="T136" s="12" t="n">
        <v>-327</v>
      </c>
      <c r="U136" s="12" t="n">
        <v>-2970</v>
      </c>
      <c r="V136" s="12" t="n">
        <v>577</v>
      </c>
      <c r="W136" s="12" t="n">
        <v>1262</v>
      </c>
      <c r="X136" s="12" t="n">
        <v>14614</v>
      </c>
    </row>
    <row r="137">
      <c r="A137" s="18" t="inlineStr">
        <is>
          <t>법인세·주민세·사업세</t>
        </is>
      </c>
      <c r="C137" s="20" t="n">
        <v>312</v>
      </c>
      <c r="D137" s="20" t="n">
        <v>-290</v>
      </c>
      <c r="E137" s="20" t="n">
        <v>424</v>
      </c>
      <c r="F137" s="20" t="n">
        <v>397</v>
      </c>
      <c r="G137" s="20" t="n">
        <v>617</v>
      </c>
      <c r="H137" s="20" t="n">
        <v>451</v>
      </c>
      <c r="I137" s="20" t="n">
        <v>432</v>
      </c>
      <c r="J137" s="20" t="n">
        <v>588</v>
      </c>
      <c r="K137" s="20" t="n">
        <v>798</v>
      </c>
      <c r="L137" s="20" t="n">
        <v>2857</v>
      </c>
      <c r="M137" s="20" t="n">
        <v>847</v>
      </c>
      <c r="N137" s="20" t="n">
        <v>651</v>
      </c>
      <c r="T137" s="20" t="n">
        <v>374</v>
      </c>
      <c r="U137" s="20" t="n">
        <v>-152</v>
      </c>
      <c r="V137" s="20" t="n">
        <v>-290</v>
      </c>
      <c r="W137" s="20" t="n">
        <v>451</v>
      </c>
      <c r="X137" s="20" t="n">
        <v>2857</v>
      </c>
    </row>
    <row r="138">
      <c r="A138" s="18" t="inlineStr">
        <is>
          <t>법인세 조정액</t>
        </is>
      </c>
      <c r="C138" s="20" t="n">
        <v>153</v>
      </c>
      <c r="D138" s="20" t="n">
        <v>35</v>
      </c>
      <c r="E138" s="20" t="n">
        <v>-474</v>
      </c>
      <c r="F138" s="20" t="n">
        <v>95</v>
      </c>
      <c r="G138" s="20" t="n">
        <v>326</v>
      </c>
      <c r="H138" s="20" t="n">
        <v>222</v>
      </c>
      <c r="I138" s="20" t="n">
        <v>192</v>
      </c>
      <c r="J138" s="20" t="n">
        <v>1</v>
      </c>
      <c r="K138" s="20" t="n">
        <v>397</v>
      </c>
      <c r="L138" s="20" t="n">
        <v>1291</v>
      </c>
      <c r="M138" s="20" t="n">
        <v>-95</v>
      </c>
      <c r="N138" s="20" t="n">
        <v>-211</v>
      </c>
      <c r="T138" s="20" t="n">
        <v>-442</v>
      </c>
      <c r="U138" s="20" t="n">
        <v>-109</v>
      </c>
      <c r="V138" s="20" t="n">
        <v>35</v>
      </c>
      <c r="W138" s="20" t="n">
        <v>222</v>
      </c>
      <c r="X138" s="20" t="n">
        <v>1291</v>
      </c>
    </row>
    <row r="139">
      <c r="A139" s="18" t="inlineStr">
        <is>
          <t>법인세 등 합계</t>
        </is>
      </c>
      <c r="C139" s="20" t="n">
        <v>464</v>
      </c>
      <c r="D139" s="20" t="n">
        <v>-254</v>
      </c>
      <c r="E139" s="20" t="n">
        <v>-50</v>
      </c>
      <c r="F139" s="20" t="n">
        <v>491</v>
      </c>
      <c r="G139" s="20" t="n">
        <v>943</v>
      </c>
      <c r="H139" s="20" t="n">
        <v>675</v>
      </c>
      <c r="I139" s="20" t="n">
        <v>624</v>
      </c>
      <c r="J139" s="20" t="n">
        <v>589</v>
      </c>
      <c r="K139" s="20" t="n">
        <v>1196</v>
      </c>
      <c r="L139" s="20" t="n">
        <v>4148</v>
      </c>
      <c r="M139" s="20" t="n">
        <v>751</v>
      </c>
      <c r="N139" s="20" t="n">
        <v>441</v>
      </c>
      <c r="T139" s="20" t="n">
        <v>-68</v>
      </c>
      <c r="U139" s="20" t="n">
        <v>-262</v>
      </c>
      <c r="V139" s="20" t="n">
        <v>-254</v>
      </c>
      <c r="W139" s="20" t="n">
        <v>675</v>
      </c>
      <c r="X139" s="20" t="n">
        <v>4148</v>
      </c>
    </row>
    <row r="140">
      <c r="A140" s="9" t="inlineStr">
        <is>
          <t>순이익</t>
        </is>
      </c>
      <c r="C140" s="12" t="n">
        <v>777</v>
      </c>
      <c r="D140" s="12" t="n">
        <v>832</v>
      </c>
      <c r="E140" s="12" t="n">
        <v>1873</v>
      </c>
      <c r="F140" s="12" t="n">
        <v>549</v>
      </c>
      <c r="G140" s="12" t="n">
        <v>846</v>
      </c>
      <c r="H140" s="12" t="n">
        <v>588</v>
      </c>
      <c r="I140" s="12" t="n">
        <v>1024</v>
      </c>
      <c r="J140" s="12" t="n">
        <v>569</v>
      </c>
      <c r="K140" s="12" t="n">
        <v>1531</v>
      </c>
      <c r="L140" s="12" t="n">
        <v>10467</v>
      </c>
      <c r="M140" s="12" t="n">
        <v>989</v>
      </c>
      <c r="N140" s="12" t="n">
        <v>1533</v>
      </c>
      <c r="T140" s="12" t="n">
        <v>-259</v>
      </c>
      <c r="U140" s="12" t="n">
        <v>-2709</v>
      </c>
      <c r="V140" s="12" t="n">
        <v>832</v>
      </c>
      <c r="W140" s="12" t="n">
        <v>588</v>
      </c>
      <c r="X140" s="12" t="n">
        <v>10467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IF(OR(G140="",C140=""),"",IF(C140&lt;=0,"",IFERROR(G140/C140-1,"")))</f>
        <v/>
      </c>
      <c r="H141" s="15">
        <f>IF(OR(H140="",D140=""),"",IF(D140&lt;=0,"",IFERROR(H140/D140-1,"")))</f>
        <v/>
      </c>
      <c r="I141" s="15">
        <f>IF(OR(I140="",E140=""),"",IF(E140&lt;=0,"",IFERROR(I140/E140-1,"")))</f>
        <v/>
      </c>
      <c r="J141" s="15">
        <f>IF(OR(J140="",F140=""),"",IF(F140&lt;=0,"",IFERROR(J140/F140-1,"")))</f>
        <v/>
      </c>
      <c r="K141" s="15">
        <f>IF(OR(K140="",G140=""),"",IF(G140&lt;=0,"",IFERROR(K140/G140-1,"")))</f>
        <v/>
      </c>
      <c r="L141" s="15">
        <f>IF(OR(L140="",H140=""),"",IF(H140&lt;=0,"",IFERROR(L140/H140-1,"")))</f>
        <v/>
      </c>
      <c r="M141" s="15">
        <f>IF(OR(M140="",I140=""),"",IF(I140&lt;=0,"",IFERROR(M140/I140-1,"")))</f>
        <v/>
      </c>
      <c r="N141" s="15">
        <f>IF(OR(N140="",J140=""),"",IF(J140&lt;=0,"",IFERROR(N140/J140-1,"")))</f>
        <v/>
      </c>
      <c r="T141" s="15">
        <f>IF(OR(T140="",S140=""),"",IF(S140&lt;=0,"",IFERROR(T140/S140-1,"")))</f>
        <v/>
      </c>
      <c r="U141" s="15">
        <f>IF(OR(U140="",T140=""),"",IF(T140&lt;=0,"",IFERROR(U140/T140-1,"")))</f>
        <v/>
      </c>
      <c r="V141" s="15">
        <f>IF(OR(V140="",U140=""),"",IF(U140&lt;=0,"",IFERROR(V140/U140-1,"")))</f>
        <v/>
      </c>
      <c r="W141" s="15">
        <f>IF(OR(W140="",V140=""),"",IF(V140&lt;=0,"",IFERROR(W140/V140-1,"")))</f>
        <v/>
      </c>
      <c r="X141" s="15">
        <f>IF(OR(X140="",W140=""),"",IF(W140&lt;=0,"",IFERROR(X140/W140-1,"")))</f>
        <v/>
      </c>
    </row>
    <row r="142">
      <c r="A142" s="9" t="inlineStr">
        <is>
          <t>비지배주주 순손익</t>
        </is>
      </c>
      <c r="C142" s="12" t="n">
        <v>0</v>
      </c>
      <c r="D142" s="12" t="n">
        <v>0</v>
      </c>
      <c r="E142" s="12" t="n">
        <v>0</v>
      </c>
      <c r="F142" s="12" t="n">
        <v>0</v>
      </c>
      <c r="G142" s="12" t="n">
        <v>-27</v>
      </c>
      <c r="H142" s="12" t="n">
        <v>93</v>
      </c>
      <c r="I142" s="12" t="n">
        <v>-54</v>
      </c>
      <c r="J142" s="12" t="n">
        <v>25</v>
      </c>
      <c r="K142" s="12" t="n">
        <v>56</v>
      </c>
      <c r="L142" s="12" t="n">
        <v>1271</v>
      </c>
      <c r="M142" s="12" t="n">
        <v>-204</v>
      </c>
      <c r="N142" s="12" t="n">
        <v>269</v>
      </c>
      <c r="T142" s="12" t="n">
        <v>13</v>
      </c>
      <c r="U142" s="12" t="n">
        <v>0</v>
      </c>
      <c r="V142" s="12" t="n">
        <v>0</v>
      </c>
      <c r="W142" s="12" t="n">
        <v>93</v>
      </c>
      <c r="X142" s="12" t="n">
        <v>1271</v>
      </c>
    </row>
    <row r="143">
      <c r="A143" s="9" t="inlineStr">
        <is>
          <t>지배주주 순이익</t>
        </is>
      </c>
      <c r="C143" s="12" t="n">
        <v>777</v>
      </c>
      <c r="D143" s="12" t="n">
        <v>832</v>
      </c>
      <c r="E143" s="12" t="n">
        <v>1873</v>
      </c>
      <c r="F143" s="12" t="n">
        <v>549</v>
      </c>
      <c r="G143" s="12" t="n">
        <v>874</v>
      </c>
      <c r="H143" s="12" t="n">
        <v>493</v>
      </c>
      <c r="I143" s="12" t="n">
        <v>1078</v>
      </c>
      <c r="J143" s="12" t="n">
        <v>545</v>
      </c>
      <c r="K143" s="12" t="n">
        <v>1474</v>
      </c>
      <c r="L143" s="12" t="n">
        <v>9196</v>
      </c>
      <c r="M143" s="12" t="n">
        <v>1194</v>
      </c>
      <c r="N143" s="12" t="n">
        <v>1262</v>
      </c>
      <c r="T143" s="12" t="n">
        <v>-273</v>
      </c>
      <c r="U143" s="12" t="n">
        <v>-2710</v>
      </c>
      <c r="V143" s="12" t="n">
        <v>832</v>
      </c>
      <c r="W143" s="12" t="n">
        <v>493</v>
      </c>
      <c r="X143" s="12" t="n">
        <v>9196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H144" s="15">
        <f>IF(OR(H143="",D143=""),"",IF(D143&lt;=0,"",IFERROR(H143/D143-1,"")))</f>
        <v/>
      </c>
      <c r="I144" s="15">
        <f>IF(OR(I143="",E143=""),"",IF(E143&lt;=0,"",IFERROR(I143/E143-1,"")))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L144" s="15">
        <f>IF(OR(L143="",H143=""),"",IF(H143&lt;=0,"",IFERROR(L143/H143-1,"")))</f>
        <v/>
      </c>
      <c r="M144" s="15">
        <f>IF(OR(M143="",I143=""),"",IF(I143&lt;=0,"",IFERROR(M143/I143-1,"")))</f>
        <v/>
      </c>
      <c r="N144" s="15">
        <f>IF(OR(N143="",J143=""),"",IF(J143&lt;=0,"",IFERROR(N143/J143-1,"")))</f>
        <v/>
      </c>
      <c r="T144" s="15">
        <f>IF(OR(T143="",S143=""),"",IF(S143&lt;=0,"",IFERROR(T143/S143-1,"")))</f>
        <v/>
      </c>
      <c r="U144" s="15">
        <f>IF(OR(U143="",T143=""),"",IF(T143&lt;=0,"",IFERROR(U143/T143-1,"")))</f>
        <v/>
      </c>
      <c r="V144" s="15">
        <f>IF(OR(V143="",U143=""),"",IF(U143&lt;=0,"",IFERROR(V143/U143-1,"")))</f>
        <v/>
      </c>
      <c r="W144" s="15">
        <f>IF(OR(W143="",V143=""),"",IF(V143&lt;=0,"",IFERROR(W143/V143-1,"")))</f>
        <v/>
      </c>
      <c r="X144" s="15">
        <f>IF(OR(X143="",W143=""),"",IF(W143&lt;=0,"",IFERROR(X143/W143-1,"")))</f>
        <v/>
      </c>
    </row>
    <row r="146">
      <c r="A146" s="16" t="inlineStr">
        <is>
          <t>포괄손익 · 전 항목</t>
        </is>
      </c>
      <c r="B146" s="42" t="inlineStr">
        <is>
          <t>분기 = 3개월 단독</t>
        </is>
      </c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</row>
    <row r="147">
      <c r="A147" s="5" t="inlineStr">
        <is>
          <t>항목</t>
        </is>
      </c>
      <c r="B147" s="5" t="inlineStr">
        <is>
          <t>참고</t>
        </is>
      </c>
      <c r="C147" s="5" t="inlineStr">
        <is>
          <t>2024.3Q</t>
        </is>
      </c>
      <c r="D147" s="5" t="inlineStr">
        <is>
          <t>2024.4Q</t>
        </is>
      </c>
      <c r="E147" s="5" t="inlineStr">
        <is>
          <t>2025.1Q</t>
        </is>
      </c>
      <c r="F147" s="5" t="inlineStr">
        <is>
          <t>2025.2Q</t>
        </is>
      </c>
      <c r="G147" s="5" t="inlineStr">
        <is>
          <t>2025.3Q</t>
        </is>
      </c>
      <c r="H147" s="5" t="inlineStr">
        <is>
          <t>2025.4Q</t>
        </is>
      </c>
      <c r="I147" s="5" t="inlineStr">
        <is>
          <t>2026.1Q</t>
        </is>
      </c>
      <c r="J147" s="5" t="inlineStr">
        <is>
          <t>2026.2Q</t>
        </is>
      </c>
      <c r="K147" s="5" t="inlineStr">
        <is>
          <t>2026.3Q</t>
        </is>
      </c>
      <c r="L147" s="5" t="inlineStr">
        <is>
          <t>2026.4Q</t>
        </is>
      </c>
      <c r="M147" s="5" t="inlineStr">
        <is>
          <t>2027.1Q</t>
        </is>
      </c>
      <c r="N147" s="5" t="inlineStr">
        <is>
          <t>2027.2Q</t>
        </is>
      </c>
      <c r="O147" s="5" t="inlineStr">
        <is>
          <t>2017</t>
        </is>
      </c>
      <c r="P147" s="5" t="inlineStr">
        <is>
          <t>2018</t>
        </is>
      </c>
      <c r="Q147" s="5" t="inlineStr">
        <is>
          <t>2019</t>
        </is>
      </c>
      <c r="R147" s="5" t="inlineStr">
        <is>
          <t>2020</t>
        </is>
      </c>
      <c r="S147" s="5" t="inlineStr">
        <is>
          <t>2021</t>
        </is>
      </c>
      <c r="T147" s="5" t="inlineStr">
        <is>
          <t>2022</t>
        </is>
      </c>
      <c r="U147" s="5" t="inlineStr">
        <is>
          <t>2023</t>
        </is>
      </c>
      <c r="V147" s="5" t="inlineStr">
        <is>
          <t>2024</t>
        </is>
      </c>
      <c r="W147" s="5" t="inlineStr">
        <is>
          <t>2025</t>
        </is>
      </c>
      <c r="X147" s="5" t="inlineStr">
        <is>
          <t>2026</t>
        </is>
      </c>
      <c r="Y147" s="5" t="inlineStr">
        <is>
          <t>2027(MW)</t>
        </is>
      </c>
      <c r="Z147" s="5" t="inlineStr">
        <is>
          <t>2028(MW)</t>
        </is>
      </c>
      <c r="AA147" s="5" t="inlineStr">
        <is>
          <t>2029(MW)</t>
        </is>
      </c>
      <c r="AB147" s="5" t="inlineStr">
        <is>
          <t>2030(MW)</t>
        </is>
      </c>
      <c r="AC147" s="5" t="inlineStr">
        <is>
          <t>2031(MW)</t>
        </is>
      </c>
    </row>
    <row r="148">
      <c r="A148" s="9" t="inlineStr">
        <is>
          <t>순이익</t>
        </is>
      </c>
      <c r="C148" s="12" t="n">
        <v>777</v>
      </c>
      <c r="D148" s="12" t="n">
        <v>832</v>
      </c>
      <c r="E148" s="12" t="n">
        <v>1873</v>
      </c>
      <c r="F148" s="12" t="n">
        <v>549</v>
      </c>
      <c r="G148" s="12" t="n">
        <v>846</v>
      </c>
      <c r="H148" s="12" t="n">
        <v>588</v>
      </c>
      <c r="I148" s="12" t="n">
        <v>1024</v>
      </c>
      <c r="J148" s="12" t="n">
        <v>569</v>
      </c>
      <c r="K148" s="12" t="n">
        <v>1531</v>
      </c>
      <c r="L148" s="12" t="n">
        <v>10467</v>
      </c>
      <c r="M148" s="12" t="n">
        <v>989</v>
      </c>
      <c r="N148" s="12" t="n">
        <v>1533</v>
      </c>
      <c r="T148" s="12" t="n">
        <v>-259</v>
      </c>
      <c r="U148" s="12" t="n">
        <v>-2709</v>
      </c>
      <c r="V148" s="12" t="n">
        <v>832</v>
      </c>
      <c r="W148" s="12" t="n">
        <v>588</v>
      </c>
      <c r="X148" s="12" t="n">
        <v>10467</v>
      </c>
    </row>
    <row r="149">
      <c r="A149" s="18" t="inlineStr">
        <is>
          <t>기타유가증권 평가차액</t>
        </is>
      </c>
      <c r="C149" s="20" t="n">
        <v>-156</v>
      </c>
      <c r="D149" s="20" t="n">
        <v>94</v>
      </c>
      <c r="E149" s="20" t="n">
        <v>-219</v>
      </c>
      <c r="F149" s="20" t="n">
        <v>688</v>
      </c>
      <c r="G149" s="20" t="n">
        <v>-416</v>
      </c>
      <c r="H149" s="20" t="n">
        <v>175</v>
      </c>
      <c r="I149" s="20" t="n">
        <v>69</v>
      </c>
      <c r="J149" s="20" t="n">
        <v>17</v>
      </c>
      <c r="K149" s="20" t="n">
        <v>64</v>
      </c>
      <c r="L149" s="20" t="n">
        <v>148</v>
      </c>
      <c r="M149" s="20" t="n">
        <v>-284</v>
      </c>
      <c r="N149" s="20" t="n">
        <v>38</v>
      </c>
      <c r="T149" s="20" t="n">
        <v>34</v>
      </c>
      <c r="U149" s="20" t="n">
        <v>-6</v>
      </c>
      <c r="V149" s="20" t="n">
        <v>94</v>
      </c>
      <c r="W149" s="20" t="n">
        <v>175</v>
      </c>
      <c r="X149" s="20" t="n">
        <v>148</v>
      </c>
    </row>
    <row r="150">
      <c r="A150" s="18" t="inlineStr">
        <is>
          <t>이연헤지손익</t>
        </is>
      </c>
      <c r="C150" s="20" t="n">
        <v>2</v>
      </c>
      <c r="D150" s="20" t="n">
        <v>0</v>
      </c>
      <c r="E150" s="20" t="n">
        <v>12</v>
      </c>
      <c r="F150" s="20" t="n">
        <v>-5</v>
      </c>
      <c r="G150" s="20" t="n">
        <v>5</v>
      </c>
      <c r="H150" s="20" t="n">
        <v>9</v>
      </c>
      <c r="I150" s="20" t="n">
        <v>1</v>
      </c>
      <c r="J150" s="20" t="n">
        <v>3</v>
      </c>
      <c r="K150" s="20" t="n">
        <v>5</v>
      </c>
      <c r="L150" s="20" t="n">
        <v>14</v>
      </c>
      <c r="M150" s="20" t="n">
        <v>5</v>
      </c>
      <c r="N150" s="20" t="n">
        <v>6</v>
      </c>
      <c r="T150" s="20" t="n">
        <v>28</v>
      </c>
      <c r="U150" s="20" t="n">
        <v>2</v>
      </c>
      <c r="V150" s="20" t="n">
        <v>0</v>
      </c>
      <c r="W150" s="20" t="n">
        <v>9</v>
      </c>
      <c r="X150" s="20" t="n">
        <v>14</v>
      </c>
    </row>
    <row r="151">
      <c r="A151" s="18" t="inlineStr">
        <is>
          <t>해외사업환산조정</t>
        </is>
      </c>
      <c r="C151" s="20" t="n">
        <v>-12</v>
      </c>
      <c r="D151" s="20" t="n">
        <v>20</v>
      </c>
      <c r="E151" s="20" t="n">
        <v>-25</v>
      </c>
      <c r="F151" s="20" t="n">
        <v>-25</v>
      </c>
      <c r="G151" s="20" t="n">
        <v>48</v>
      </c>
      <c r="H151" s="20" t="n">
        <v>-41</v>
      </c>
      <c r="I151" s="20" t="n">
        <v>33</v>
      </c>
      <c r="J151" s="20" t="n">
        <v>17</v>
      </c>
      <c r="K151" s="20" t="n">
        <v>-16</v>
      </c>
      <c r="L151" s="20" t="n">
        <v>-37</v>
      </c>
      <c r="M151" s="20" t="n">
        <v>-9</v>
      </c>
      <c r="N151" s="20" t="n">
        <v>-11</v>
      </c>
      <c r="T151" s="20" t="n">
        <v>57</v>
      </c>
      <c r="U151" s="20" t="n">
        <v>-278</v>
      </c>
      <c r="V151" s="20" t="n">
        <v>20</v>
      </c>
      <c r="W151" s="20" t="n">
        <v>-41</v>
      </c>
      <c r="X151" s="20" t="n">
        <v>-37</v>
      </c>
    </row>
    <row r="152">
      <c r="A152" s="18" t="inlineStr">
        <is>
          <t>퇴직급여 조정액</t>
        </is>
      </c>
      <c r="E152" s="20" t="n">
        <v>0</v>
      </c>
      <c r="F152" s="20" t="n">
        <v>0</v>
      </c>
      <c r="G152" s="20" t="n">
        <v>0</v>
      </c>
      <c r="H152" s="20" t="n">
        <v>-1</v>
      </c>
      <c r="I152" s="20" t="n">
        <v>1</v>
      </c>
      <c r="J152" s="20" t="n">
        <v>0</v>
      </c>
      <c r="K152" s="20" t="n">
        <v>0</v>
      </c>
      <c r="L152" s="20" t="n">
        <v>76</v>
      </c>
      <c r="M152" s="20" t="n">
        <v>-2</v>
      </c>
      <c r="N152" s="20" t="n">
        <v>-2</v>
      </c>
      <c r="W152" s="20" t="n">
        <v>-1</v>
      </c>
      <c r="X152" s="20" t="n">
        <v>76</v>
      </c>
    </row>
    <row r="153">
      <c r="A153" s="18" t="inlineStr">
        <is>
          <t>지분법 적용회사 지분 해당액</t>
        </is>
      </c>
      <c r="D153" s="20" t="n">
        <v>-2</v>
      </c>
      <c r="E153" s="20" t="n">
        <v>14</v>
      </c>
      <c r="H153" s="20" t="n">
        <v>-5</v>
      </c>
      <c r="I153" s="20" t="n">
        <v>0</v>
      </c>
      <c r="J153" s="20" t="n">
        <v>0</v>
      </c>
      <c r="K153" s="20" t="n">
        <v>0</v>
      </c>
      <c r="L153" s="20" t="n">
        <v>0</v>
      </c>
      <c r="U153" s="20" t="n">
        <v>0</v>
      </c>
      <c r="V153" s="20" t="n">
        <v>-2</v>
      </c>
      <c r="W153" s="20" t="n">
        <v>-5</v>
      </c>
      <c r="X153" s="20" t="n">
        <v>0</v>
      </c>
    </row>
    <row r="154">
      <c r="A154" s="18" t="inlineStr">
        <is>
          <t>기타포괄손익 합계</t>
        </is>
      </c>
      <c r="C154" s="20" t="n">
        <v>-165</v>
      </c>
      <c r="D154" s="20" t="n">
        <v>112</v>
      </c>
      <c r="E154" s="20" t="n">
        <v>-217</v>
      </c>
      <c r="F154" s="20" t="n">
        <v>643</v>
      </c>
      <c r="G154" s="20" t="n">
        <v>-357</v>
      </c>
      <c r="H154" s="20" t="n">
        <v>135</v>
      </c>
      <c r="I154" s="20" t="n">
        <v>105</v>
      </c>
      <c r="J154" s="20" t="n">
        <v>37</v>
      </c>
      <c r="K154" s="20" t="n">
        <v>54</v>
      </c>
      <c r="L154" s="20" t="n">
        <v>198</v>
      </c>
      <c r="M154" s="20" t="n">
        <v>-290</v>
      </c>
      <c r="N154" s="20" t="n">
        <v>31</v>
      </c>
      <c r="T154" s="20" t="n">
        <v>119</v>
      </c>
      <c r="U154" s="20" t="n">
        <v>-282</v>
      </c>
      <c r="V154" s="20" t="n">
        <v>112</v>
      </c>
      <c r="W154" s="20" t="n">
        <v>135</v>
      </c>
      <c r="X154" s="20" t="n">
        <v>198</v>
      </c>
    </row>
    <row r="155">
      <c r="A155" s="9" t="inlineStr">
        <is>
          <t>포괄이익</t>
        </is>
      </c>
      <c r="C155" s="12" t="n">
        <v>612</v>
      </c>
      <c r="D155" s="12" t="n">
        <v>943</v>
      </c>
      <c r="E155" s="12" t="n">
        <v>1655</v>
      </c>
      <c r="F155" s="12" t="n">
        <v>1194</v>
      </c>
      <c r="G155" s="12" t="n">
        <v>488</v>
      </c>
      <c r="H155" s="12" t="n">
        <v>723</v>
      </c>
      <c r="I155" s="12" t="n">
        <v>1130</v>
      </c>
      <c r="J155" s="12" t="n">
        <v>605</v>
      </c>
      <c r="K155" s="12" t="n">
        <v>1586</v>
      </c>
      <c r="L155" s="12" t="n">
        <v>10665</v>
      </c>
      <c r="M155" s="12" t="n">
        <v>699</v>
      </c>
      <c r="N155" s="12" t="n">
        <v>1563</v>
      </c>
      <c r="T155" s="12" t="n">
        <v>-140</v>
      </c>
      <c r="U155" s="12" t="n">
        <v>-2993</v>
      </c>
      <c r="V155" s="12" t="n">
        <v>943</v>
      </c>
      <c r="W155" s="12" t="n">
        <v>723</v>
      </c>
      <c r="X155" s="12" t="n">
        <v>10665</v>
      </c>
    </row>
    <row r="156">
      <c r="A156" s="9" t="inlineStr">
        <is>
          <t>지배주주 포괄이익</t>
        </is>
      </c>
      <c r="C156" s="12" t="n">
        <v>612</v>
      </c>
      <c r="D156" s="12" t="n">
        <v>943</v>
      </c>
      <c r="E156" s="12" t="n">
        <v>1655</v>
      </c>
      <c r="F156" s="12" t="n">
        <v>1194</v>
      </c>
      <c r="G156" s="12" t="n">
        <v>546</v>
      </c>
      <c r="H156" s="12" t="n">
        <v>597</v>
      </c>
      <c r="I156" s="12" t="n">
        <v>1179</v>
      </c>
      <c r="J156" s="12" t="n">
        <v>582</v>
      </c>
      <c r="K156" s="12" t="n">
        <v>1531</v>
      </c>
      <c r="L156" s="12" t="n">
        <v>9362</v>
      </c>
      <c r="M156" s="12" t="n">
        <v>904</v>
      </c>
      <c r="N156" s="12" t="n">
        <v>1301</v>
      </c>
      <c r="T156" s="12" t="n">
        <v>-154</v>
      </c>
      <c r="U156" s="12" t="n">
        <v>-2992</v>
      </c>
      <c r="V156" s="12" t="n">
        <v>943</v>
      </c>
      <c r="W156" s="12" t="n">
        <v>597</v>
      </c>
      <c r="X156" s="12" t="n">
        <v>9362</v>
      </c>
    </row>
    <row r="157">
      <c r="A157" s="9" t="inlineStr">
        <is>
          <t>비지배주주 포괄이익</t>
        </is>
      </c>
      <c r="C157" s="12" t="n">
        <v>0</v>
      </c>
      <c r="D157" s="12" t="n">
        <v>0</v>
      </c>
      <c r="E157" s="12" t="n">
        <v>0</v>
      </c>
      <c r="F157" s="12" t="n">
        <v>0</v>
      </c>
      <c r="G157" s="12" t="n">
        <v>-58</v>
      </c>
      <c r="H157" s="12" t="n">
        <v>125</v>
      </c>
      <c r="I157" s="12" t="n">
        <v>-49</v>
      </c>
      <c r="J157" s="12" t="n">
        <v>23</v>
      </c>
      <c r="K157" s="12" t="n">
        <v>54</v>
      </c>
      <c r="L157" s="12" t="n">
        <v>1303</v>
      </c>
      <c r="M157" s="12" t="n">
        <v>-205</v>
      </c>
      <c r="N157" s="12" t="n">
        <v>261</v>
      </c>
      <c r="T157" s="12" t="n">
        <v>13</v>
      </c>
      <c r="U157" s="12" t="n">
        <v>0</v>
      </c>
      <c r="V157" s="12" t="n">
        <v>0</v>
      </c>
      <c r="W157" s="12" t="n">
        <v>125</v>
      </c>
      <c r="X157" s="12" t="n">
        <v>1303</v>
      </c>
    </row>
    <row r="159">
      <c r="A159" s="16" t="inlineStr">
        <is>
          <t>부문 · 전 항목</t>
        </is>
      </c>
      <c r="B159" s="42" t="inlineStr">
        <is>
          <t>부문 · 항목</t>
        </is>
      </c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  <c r="AA159" s="16" t="n"/>
      <c r="AB159" s="16" t="n"/>
      <c r="AC159" s="16" t="n"/>
    </row>
    <row r="160">
      <c r="A160" s="5" t="inlineStr">
        <is>
          <t>항목</t>
        </is>
      </c>
      <c r="B160" s="5" t="inlineStr">
        <is>
          <t>참고</t>
        </is>
      </c>
      <c r="C160" s="5" t="inlineStr">
        <is>
          <t>2024.3Q</t>
        </is>
      </c>
      <c r="D160" s="5" t="inlineStr">
        <is>
          <t>2024.4Q</t>
        </is>
      </c>
      <c r="E160" s="5" t="inlineStr">
        <is>
          <t>2025.1Q</t>
        </is>
      </c>
      <c r="F160" s="5" t="inlineStr">
        <is>
          <t>2025.2Q</t>
        </is>
      </c>
      <c r="G160" s="5" t="inlineStr">
        <is>
          <t>2025.3Q</t>
        </is>
      </c>
      <c r="H160" s="5" t="inlineStr">
        <is>
          <t>2025.4Q</t>
        </is>
      </c>
      <c r="I160" s="5" t="inlineStr">
        <is>
          <t>2026.1Q</t>
        </is>
      </c>
      <c r="J160" s="5" t="inlineStr">
        <is>
          <t>2026.2Q</t>
        </is>
      </c>
      <c r="K160" s="5" t="inlineStr">
        <is>
          <t>2026.3Q</t>
        </is>
      </c>
      <c r="L160" s="5" t="inlineStr">
        <is>
          <t>2026.4Q</t>
        </is>
      </c>
      <c r="M160" s="5" t="inlineStr">
        <is>
          <t>2027.1Q</t>
        </is>
      </c>
      <c r="N160" s="5" t="inlineStr">
        <is>
          <t>2027.2Q</t>
        </is>
      </c>
      <c r="O160" s="5" t="inlineStr">
        <is>
          <t>2017</t>
        </is>
      </c>
      <c r="P160" s="5" t="inlineStr">
        <is>
          <t>2018</t>
        </is>
      </c>
      <c r="Q160" s="5" t="inlineStr">
        <is>
          <t>2019</t>
        </is>
      </c>
      <c r="R160" s="5" t="inlineStr">
        <is>
          <t>2020</t>
        </is>
      </c>
      <c r="S160" s="5" t="inlineStr">
        <is>
          <t>2021</t>
        </is>
      </c>
      <c r="T160" s="5" t="inlineStr">
        <is>
          <t>2022</t>
        </is>
      </c>
      <c r="U160" s="5" t="inlineStr">
        <is>
          <t>2023</t>
        </is>
      </c>
      <c r="V160" s="5" t="inlineStr">
        <is>
          <t>2024</t>
        </is>
      </c>
      <c r="W160" s="5" t="inlineStr">
        <is>
          <t>2025</t>
        </is>
      </c>
      <c r="X160" s="5" t="inlineStr">
        <is>
          <t>2026</t>
        </is>
      </c>
      <c r="Y160" s="5" t="inlineStr">
        <is>
          <t>2027(MW)</t>
        </is>
      </c>
      <c r="Z160" s="5" t="inlineStr">
        <is>
          <t>2028(MW)</t>
        </is>
      </c>
      <c r="AA160" s="5" t="inlineStr">
        <is>
          <t>2029(MW)</t>
        </is>
      </c>
      <c r="AB160" s="5" t="inlineStr">
        <is>
          <t>2030(MW)</t>
        </is>
      </c>
      <c r="AC160" s="5" t="inlineStr">
        <is>
          <t>2031(MW)</t>
        </is>
      </c>
    </row>
    <row r="161">
      <c r="A161" s="18" t="inlineStr">
        <is>
          <t>공간재생 유통 사업 · 외부 고객 매출</t>
        </is>
      </c>
      <c r="H161" s="20" t="n">
        <v>10658</v>
      </c>
      <c r="I161" s="20" t="n">
        <v>12512</v>
      </c>
      <c r="J161" s="20" t="n">
        <v>12433</v>
      </c>
      <c r="K161" s="20" t="n">
        <v>14387</v>
      </c>
      <c r="L161" s="20" t="n">
        <v>12894</v>
      </c>
      <c r="M161" s="20" t="n">
        <v>15060</v>
      </c>
      <c r="N161" s="20" t="n">
        <v>14398</v>
      </c>
      <c r="W161" s="20" t="n">
        <v>10658</v>
      </c>
      <c r="X161" s="20" t="n">
        <v>12894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리리카라 사업 · 외부 고객 매출</t>
        </is>
      </c>
      <c r="H163" s="20" t="n">
        <v>8420</v>
      </c>
      <c r="W163" s="20" t="n">
        <v>8420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H164" s="15">
        <f>IF(OR(H163="",D163=""),"",IF(D163&lt;=0,"",IFERROR(H163/D163-1,"")))</f>
        <v/>
      </c>
      <c r="W164" s="15">
        <f>IF(OR(W163="",V163=""),"",IF(V163&lt;=0,"",IFERROR(W163/V163-1,"")))</f>
        <v/>
      </c>
    </row>
    <row r="165">
      <c r="A165" s="18" t="inlineStr">
        <is>
          <t>리리카라 사업 · 외부 고객 매출</t>
        </is>
      </c>
      <c r="I165" s="20" t="n">
        <v>7794</v>
      </c>
      <c r="J165" s="20" t="n">
        <v>7460</v>
      </c>
      <c r="M165" s="20" t="n">
        <v>8007</v>
      </c>
      <c r="N165" s="20" t="n">
        <v>8325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</row>
    <row r="167">
      <c r="A167" s="18" t="inlineStr">
        <is>
          <t>노바레제 사업 · 외부 고객 매출</t>
        </is>
      </c>
      <c r="I167" s="20" t="n">
        <v>4158</v>
      </c>
      <c r="J167" s="20" t="n">
        <v>5540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</row>
    <row r="169">
      <c r="A169" s="18" t="inlineStr">
        <is>
          <t>노바레제·에스쿠리 사업 · 외부 고객 매출</t>
        </is>
      </c>
      <c r="L169" s="20" t="n">
        <v>14923</v>
      </c>
      <c r="X169" s="20" t="n">
        <v>14923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L170" s="15">
        <f>IF(OR(L169="",H169=""),"",IF(H169&lt;=0,"",IFERROR(L169/H169-1,"")))</f>
        <v/>
      </c>
      <c r="X170" s="15">
        <f>IF(OR(X169="",W169=""),"",IF(W169&lt;=0,"",IFERROR(X169/W169-1,"")))</f>
        <v/>
      </c>
    </row>
    <row r="171">
      <c r="A171" s="18" t="inlineStr">
        <is>
          <t>온더페이지 사업 · 외부 고객 매출</t>
        </is>
      </c>
      <c r="I171" s="20" t="n">
        <v>4158</v>
      </c>
      <c r="J171" s="20" t="n">
        <v>5540</v>
      </c>
      <c r="M171" s="20" t="n">
        <v>11541</v>
      </c>
      <c r="N171" s="20" t="n">
        <v>12070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</row>
    <row r="173">
      <c r="A173" s="18" t="inlineStr">
        <is>
          <t>합계 · 외부 고객 매출</t>
        </is>
      </c>
      <c r="H173" s="20" t="n">
        <v>19078</v>
      </c>
      <c r="I173" s="20" t="n">
        <v>24465</v>
      </c>
      <c r="J173" s="20" t="n">
        <v>25433</v>
      </c>
      <c r="K173" s="20" t="n">
        <v>27087</v>
      </c>
      <c r="L173" s="20" t="n">
        <v>37372</v>
      </c>
      <c r="M173" s="20" t="n">
        <v>34609</v>
      </c>
      <c r="N173" s="20" t="n">
        <v>34794</v>
      </c>
      <c r="W173" s="20" t="n">
        <v>19078</v>
      </c>
      <c r="X173" s="20" t="n">
        <v>37372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조정액 · 외부 고객 매출</t>
        </is>
      </c>
      <c r="H175" s="20" t="n">
        <v>0</v>
      </c>
      <c r="I175" s="20" t="n">
        <v>0</v>
      </c>
      <c r="J175" s="20" t="n">
        <v>0</v>
      </c>
      <c r="K175" s="20" t="n">
        <v>0</v>
      </c>
      <c r="L175" s="20" t="n">
        <v>0</v>
      </c>
      <c r="M175" s="20" t="n">
        <v>0</v>
      </c>
      <c r="N175" s="20" t="n">
        <v>0</v>
      </c>
      <c r="W175" s="20" t="n">
        <v>0</v>
      </c>
      <c r="X175" s="20" t="n">
        <v>0</v>
      </c>
    </row>
    <row r="176">
      <c r="A176" s="9" t="inlineStr">
        <is>
          <t>외부 고객 매출</t>
        </is>
      </c>
      <c r="H176" s="12" t="n">
        <v>19078</v>
      </c>
      <c r="I176" s="12" t="n">
        <v>24465</v>
      </c>
      <c r="J176" s="12" t="n">
        <v>25433</v>
      </c>
      <c r="K176" s="12" t="n">
        <v>27087</v>
      </c>
      <c r="L176" s="12" t="n">
        <v>37372</v>
      </c>
      <c r="M176" s="12" t="n">
        <v>34609</v>
      </c>
      <c r="N176" s="12" t="n">
        <v>34794</v>
      </c>
      <c r="W176" s="12" t="n">
        <v>19078</v>
      </c>
      <c r="X176" s="12" t="n">
        <v>37372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공간재생 유통 사업 · 부문 간 내부매출·대체</t>
        </is>
      </c>
      <c r="H178" s="20" t="n">
        <v>0</v>
      </c>
      <c r="I178" s="20" t="n">
        <v>5</v>
      </c>
      <c r="J178" s="20" t="n">
        <v>19</v>
      </c>
      <c r="K178" s="20" t="n">
        <v>2</v>
      </c>
      <c r="L178" s="20" t="n">
        <v>25</v>
      </c>
      <c r="M178" s="20" t="n">
        <v>28</v>
      </c>
      <c r="N178" s="20" t="n">
        <v>23</v>
      </c>
      <c r="W178" s="20" t="n">
        <v>0</v>
      </c>
      <c r="X178" s="20" t="n">
        <v>25</v>
      </c>
    </row>
    <row r="179">
      <c r="A179" s="18" t="inlineStr">
        <is>
          <t>리리카라 사업 · 부문 간 내부매출·대체</t>
        </is>
      </c>
      <c r="H179" s="20" t="n">
        <v>45</v>
      </c>
      <c r="W179" s="20" t="n">
        <v>45</v>
      </c>
    </row>
    <row r="180">
      <c r="A180" s="18" t="inlineStr">
        <is>
          <t>리리카라 사업 · 부문 간 내부매출·대체</t>
        </is>
      </c>
      <c r="I180" s="20" t="n">
        <v>20</v>
      </c>
      <c r="J180" s="20" t="n">
        <v>70</v>
      </c>
      <c r="M180" s="20" t="n">
        <v>9</v>
      </c>
      <c r="N180" s="20" t="n">
        <v>5</v>
      </c>
    </row>
    <row r="181">
      <c r="A181" s="18" t="inlineStr">
        <is>
          <t>노바레제 사업 · 부문 간 내부매출·대체</t>
        </is>
      </c>
      <c r="I181" s="20" t="n">
        <v>1</v>
      </c>
      <c r="J181" s="20" t="n">
        <v>5</v>
      </c>
    </row>
    <row r="182">
      <c r="A182" s="18" t="inlineStr">
        <is>
          <t>노바레제·에스쿠리 사업 · 부문 간 내부매출·대체</t>
        </is>
      </c>
      <c r="L182" s="20" t="n">
        <v>57</v>
      </c>
      <c r="X182" s="20" t="n">
        <v>57</v>
      </c>
    </row>
    <row r="183">
      <c r="A183" s="18" t="inlineStr">
        <is>
          <t>온더페이지 사업 · 부문 간 내부매출·대체</t>
        </is>
      </c>
      <c r="I183" s="20" t="n">
        <v>1</v>
      </c>
      <c r="J183" s="20" t="n">
        <v>5</v>
      </c>
      <c r="M183" s="20" t="n">
        <v>43</v>
      </c>
      <c r="N183" s="20" t="n">
        <v>42</v>
      </c>
    </row>
    <row r="184">
      <c r="A184" s="18" t="inlineStr">
        <is>
          <t>합계 · 부문 간 내부매출·대체</t>
        </is>
      </c>
      <c r="H184" s="20" t="n">
        <v>46</v>
      </c>
      <c r="I184" s="20" t="n">
        <v>28</v>
      </c>
      <c r="J184" s="20" t="n">
        <v>93</v>
      </c>
      <c r="K184" s="20" t="n">
        <v>72</v>
      </c>
      <c r="L184" s="20" t="n">
        <v>118</v>
      </c>
      <c r="M184" s="20" t="n">
        <v>81</v>
      </c>
      <c r="N184" s="20" t="n">
        <v>70</v>
      </c>
      <c r="W184" s="20" t="n">
        <v>46</v>
      </c>
      <c r="X184" s="20" t="n">
        <v>118</v>
      </c>
    </row>
    <row r="185">
      <c r="A185" s="18" t="inlineStr">
        <is>
          <t>조정액 · 부문 간 내부매출·대체</t>
        </is>
      </c>
      <c r="H185" s="20" t="n">
        <v>-46</v>
      </c>
      <c r="I185" s="20" t="n">
        <v>-28</v>
      </c>
      <c r="J185" s="20" t="n">
        <v>-93</v>
      </c>
      <c r="K185" s="20" t="n">
        <v>-72</v>
      </c>
      <c r="L185" s="20" t="n">
        <v>-118</v>
      </c>
      <c r="M185" s="20" t="n">
        <v>-81</v>
      </c>
      <c r="N185" s="20" t="n">
        <v>-70</v>
      </c>
      <c r="W185" s="20" t="n">
        <v>-46</v>
      </c>
      <c r="X185" s="20" t="n">
        <v>-118</v>
      </c>
    </row>
    <row r="186">
      <c r="A186" s="18" t="inlineStr">
        <is>
          <t>부문 간 내부매출·대체</t>
        </is>
      </c>
      <c r="H186" s="20" t="n">
        <v>0</v>
      </c>
      <c r="I186" s="20" t="n">
        <v>0</v>
      </c>
      <c r="J186" s="20" t="n">
        <v>0</v>
      </c>
      <c r="K186" s="20" t="n">
        <v>0</v>
      </c>
      <c r="L186" s="20" t="n">
        <v>0</v>
      </c>
      <c r="M186" s="20" t="n">
        <v>0</v>
      </c>
      <c r="N186" s="20" t="n">
        <v>0</v>
      </c>
      <c r="W186" s="20" t="n">
        <v>0</v>
      </c>
      <c r="X186" s="20" t="n">
        <v>0</v>
      </c>
    </row>
    <row r="187">
      <c r="A187" s="18" t="inlineStr">
        <is>
          <t>공간재생 유통 사업 · 계</t>
        </is>
      </c>
      <c r="H187" s="20" t="n">
        <v>10658</v>
      </c>
      <c r="I187" s="20" t="n">
        <v>12518</v>
      </c>
      <c r="J187" s="20" t="n">
        <v>12451</v>
      </c>
      <c r="K187" s="20" t="n">
        <v>14389</v>
      </c>
      <c r="L187" s="20" t="n">
        <v>12919</v>
      </c>
      <c r="M187" s="20" t="n">
        <v>15089</v>
      </c>
      <c r="N187" s="20" t="n">
        <v>14421</v>
      </c>
      <c r="W187" s="20" t="n">
        <v>10658</v>
      </c>
      <c r="X187" s="20" t="n">
        <v>12919</v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H188" s="15">
        <f>IF(OR(H187="",D187=""),"",IF(D187&lt;=0,"",IFERROR(H187/D187-1,"")))</f>
        <v/>
      </c>
      <c r="I188" s="15">
        <f>IF(OR(I187="",E187=""),"",IF(E187&lt;=0,"",IFERROR(I187/E187-1,"")))</f>
        <v/>
      </c>
      <c r="J188" s="15">
        <f>IF(OR(J187="",F187=""),"",IF(F187&lt;=0,"",IFERROR(J187/F187-1,"")))</f>
        <v/>
      </c>
      <c r="K188" s="15">
        <f>IF(OR(K187="",G187=""),"",IF(G187&lt;=0,"",IFERROR(K187/G187-1,"")))</f>
        <v/>
      </c>
      <c r="L188" s="15">
        <f>IF(OR(L187="",H187=""),"",IF(H187&lt;=0,"",IFERROR(L187/H187-1,"")))</f>
        <v/>
      </c>
      <c r="M188" s="15">
        <f>IF(OR(M187="",I187=""),"",IF(I187&lt;=0,"",IFERROR(M187/I187-1,"")))</f>
        <v/>
      </c>
      <c r="N188" s="15">
        <f>IF(OR(N187="",J187=""),"",IF(J187&lt;=0,"",IFERROR(N187/J187-1,"")))</f>
        <v/>
      </c>
      <c r="W188" s="15">
        <f>IF(OR(W187="",V187=""),"",IF(V187&lt;=0,"",IFERROR(W187/V187-1,"")))</f>
        <v/>
      </c>
      <c r="X188" s="15">
        <f>IF(OR(X187="",W187=""),"",IF(W187&lt;=0,"",IFERROR(X187/W187-1,"")))</f>
        <v/>
      </c>
    </row>
    <row r="189">
      <c r="A189" s="18" t="inlineStr">
        <is>
          <t>리리카라 사업 · 계</t>
        </is>
      </c>
      <c r="H189" s="20" t="n">
        <v>8465</v>
      </c>
      <c r="W189" s="20" t="n">
        <v>8465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H190" s="15">
        <f>IF(OR(H189="",D189=""),"",IF(D189&lt;=0,"",IFERROR(H189/D189-1,"")))</f>
        <v/>
      </c>
      <c r="W190" s="15">
        <f>IF(OR(W189="",V189=""),"",IF(V189&lt;=0,"",IFERROR(W189/V189-1,"")))</f>
        <v/>
      </c>
    </row>
    <row r="191">
      <c r="A191" s="18" t="inlineStr">
        <is>
          <t>리리카라 사업 · 계</t>
        </is>
      </c>
      <c r="I191" s="20" t="n">
        <v>7815</v>
      </c>
      <c r="J191" s="20" t="n">
        <v>7530</v>
      </c>
      <c r="M191" s="20" t="n">
        <v>8016</v>
      </c>
      <c r="N191" s="20" t="n">
        <v>8331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I192" s="15">
        <f>IF(OR(I191="",E191=""),"",IF(E191&lt;=0,"",IFERROR(I191/E191-1,"")))</f>
        <v/>
      </c>
      <c r="J192" s="15">
        <f>IF(OR(J191="",F191=""),"",IF(F191&lt;=0,"",IFERROR(J191/F191-1,"")))</f>
        <v/>
      </c>
      <c r="M192" s="15">
        <f>IF(OR(M191="",I191=""),"",IF(I191&lt;=0,"",IFERROR(M191/I191-1,"")))</f>
        <v/>
      </c>
      <c r="N192" s="15">
        <f>IF(OR(N191="",J191=""),"",IF(J191&lt;=0,"",IFERROR(N191/J191-1,"")))</f>
        <v/>
      </c>
    </row>
    <row r="193">
      <c r="A193" s="18" t="inlineStr">
        <is>
          <t>노바레제 사업 · 계</t>
        </is>
      </c>
      <c r="I193" s="20" t="n">
        <v>4160</v>
      </c>
      <c r="J193" s="20" t="n">
        <v>5545</v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I194" s="15">
        <f>IF(OR(I193="",E193=""),"",IF(E193&lt;=0,"",IFERROR(I193/E193-1,"")))</f>
        <v/>
      </c>
      <c r="J194" s="15">
        <f>IF(OR(J193="",F193=""),"",IF(F193&lt;=0,"",IFERROR(J193/F193-1,"")))</f>
        <v/>
      </c>
    </row>
    <row r="195">
      <c r="A195" s="18" t="inlineStr">
        <is>
          <t>노바레제·에스쿠리 사업 · 계</t>
        </is>
      </c>
      <c r="L195" s="20" t="n">
        <v>14980</v>
      </c>
      <c r="X195" s="20" t="n">
        <v>14980</v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L196" s="15">
        <f>IF(OR(L195="",H195=""),"",IF(H195&lt;=0,"",IFERROR(L195/H195-1,"")))</f>
        <v/>
      </c>
      <c r="X196" s="15">
        <f>IF(OR(X195="",W195=""),"",IF(W195&lt;=0,"",IFERROR(X195/W195-1,"")))</f>
        <v/>
      </c>
    </row>
    <row r="197">
      <c r="A197" s="18" t="inlineStr">
        <is>
          <t>온더페이지 사업 · 계</t>
        </is>
      </c>
      <c r="I197" s="20" t="n">
        <v>4160</v>
      </c>
      <c r="J197" s="20" t="n">
        <v>5545</v>
      </c>
      <c r="M197" s="20" t="n">
        <v>11585</v>
      </c>
      <c r="N197" s="20" t="n">
        <v>12112</v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I198" s="15">
        <f>IF(OR(I197="",E197=""),"",IF(E197&lt;=0,"",IFERROR(I197/E197-1,"")))</f>
        <v/>
      </c>
      <c r="J198" s="15">
        <f>IF(OR(J197="",F197=""),"",IF(F197&lt;=0,"",IFERROR(J197/F197-1,"")))</f>
        <v/>
      </c>
      <c r="M198" s="15">
        <f>IF(OR(M197="",I197=""),"",IF(I197&lt;=0,"",IFERROR(M197/I197-1,"")))</f>
        <v/>
      </c>
      <c r="N198" s="15">
        <f>IF(OR(N197="",J197=""),"",IF(J197&lt;=0,"",IFERROR(N197/J197-1,"")))</f>
        <v/>
      </c>
    </row>
    <row r="199">
      <c r="A199" s="18" t="inlineStr">
        <is>
          <t>합계 · 계</t>
        </is>
      </c>
      <c r="H199" s="20" t="n">
        <v>19124</v>
      </c>
      <c r="I199" s="20" t="n">
        <v>24494</v>
      </c>
      <c r="J199" s="20" t="n">
        <v>25526</v>
      </c>
      <c r="K199" s="20" t="n">
        <v>27158</v>
      </c>
      <c r="L199" s="20" t="n">
        <v>37491</v>
      </c>
      <c r="M199" s="20" t="n">
        <v>34690</v>
      </c>
      <c r="N199" s="20" t="n">
        <v>34865</v>
      </c>
      <c r="W199" s="20" t="n">
        <v>19124</v>
      </c>
      <c r="X199" s="20" t="n">
        <v>37491</v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H200" s="15">
        <f>IF(OR(H199="",D199=""),"",IF(D199&lt;=0,"",IFERROR(H199/D199-1,"")))</f>
        <v/>
      </c>
      <c r="I200" s="15">
        <f>IF(OR(I199="",E199=""),"",IF(E199&lt;=0,"",IFERROR(I199/E199-1,"")))</f>
        <v/>
      </c>
      <c r="J200" s="15">
        <f>IF(OR(J199="",F199=""),"",IF(F199&lt;=0,"",IFERROR(J199/F199-1,"")))</f>
        <v/>
      </c>
      <c r="K200" s="15">
        <f>IF(OR(K199="",G199=""),"",IF(G199&lt;=0,"",IFERROR(K199/G199-1,"")))</f>
        <v/>
      </c>
      <c r="L200" s="15">
        <f>IF(OR(L199="",H199=""),"",IF(H199&lt;=0,"",IFERROR(L199/H199-1,"")))</f>
        <v/>
      </c>
      <c r="M200" s="15">
        <f>IF(OR(M199="",I199=""),"",IF(I199&lt;=0,"",IFERROR(M199/I199-1,"")))</f>
        <v/>
      </c>
      <c r="N200" s="15">
        <f>IF(OR(N199="",J199=""),"",IF(J199&lt;=0,"",IFERROR(N199/J199-1,"")))</f>
        <v/>
      </c>
      <c r="W200" s="15">
        <f>IF(OR(W199="",V199=""),"",IF(V199&lt;=0,"",IFERROR(W199/V199-1,"")))</f>
        <v/>
      </c>
      <c r="X200" s="15">
        <f>IF(OR(X199="",W199=""),"",IF(W199&lt;=0,"",IFERROR(X199/W199-1,"")))</f>
        <v/>
      </c>
    </row>
    <row r="201">
      <c r="A201" s="18" t="inlineStr">
        <is>
          <t>조정액 · 계</t>
        </is>
      </c>
      <c r="H201" s="20" t="n">
        <v>-46</v>
      </c>
      <c r="I201" s="20" t="n">
        <v>-28</v>
      </c>
      <c r="J201" s="20" t="n">
        <v>-93</v>
      </c>
      <c r="K201" s="20" t="n">
        <v>-72</v>
      </c>
      <c r="L201" s="20" t="n">
        <v>-118</v>
      </c>
      <c r="M201" s="20" t="n">
        <v>-81</v>
      </c>
      <c r="N201" s="20" t="n">
        <v>-70</v>
      </c>
      <c r="W201" s="20" t="n">
        <v>-46</v>
      </c>
      <c r="X201" s="20" t="n">
        <v>-118</v>
      </c>
    </row>
    <row r="202">
      <c r="A202" s="9" t="inlineStr">
        <is>
          <t>계</t>
        </is>
      </c>
      <c r="H202" s="12" t="n">
        <v>19078</v>
      </c>
      <c r="I202" s="12" t="n">
        <v>24465</v>
      </c>
      <c r="J202" s="12" t="n">
        <v>25433</v>
      </c>
      <c r="K202" s="12" t="n">
        <v>27087</v>
      </c>
      <c r="L202" s="12" t="n">
        <v>37372</v>
      </c>
      <c r="M202" s="12" t="n">
        <v>34609</v>
      </c>
      <c r="N202" s="12" t="n">
        <v>34794</v>
      </c>
      <c r="W202" s="12" t="n">
        <v>19078</v>
      </c>
      <c r="X202" s="12" t="n">
        <v>37372</v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H203" s="15">
        <f>IF(OR(H202="",D202=""),"",IF(D202&lt;=0,"",IFERROR(H202/D202-1,"")))</f>
        <v/>
      </c>
      <c r="I203" s="15">
        <f>IF(OR(I202="",E202=""),"",IF(E202&lt;=0,"",IFERROR(I202/E202-1,"")))</f>
        <v/>
      </c>
      <c r="J203" s="15">
        <f>IF(OR(J202="",F202=""),"",IF(F202&lt;=0,"",IFERROR(J202/F202-1,"")))</f>
        <v/>
      </c>
      <c r="K203" s="15">
        <f>IF(OR(K202="",G202=""),"",IF(G202&lt;=0,"",IFERROR(K202/G202-1,"")))</f>
        <v/>
      </c>
      <c r="L203" s="15">
        <f>IF(OR(L202="",H202=""),"",IF(H202&lt;=0,"",IFERROR(L202/H202-1,"")))</f>
        <v/>
      </c>
      <c r="M203" s="15">
        <f>IF(OR(M202="",I202=""),"",IF(I202&lt;=0,"",IFERROR(M202/I202-1,"")))</f>
        <v/>
      </c>
      <c r="N203" s="15">
        <f>IF(OR(N202="",J202=""),"",IF(J202&lt;=0,"",IFERROR(N202/J202-1,"")))</f>
        <v/>
      </c>
      <c r="W203" s="15">
        <f>IF(OR(W202="",V202=""),"",IF(V202&lt;=0,"",IFERROR(W202/V202-1,"")))</f>
        <v/>
      </c>
      <c r="X203" s="15">
        <f>IF(OR(X202="",W202=""),"",IF(W202&lt;=0,"",IFERROR(X202/W202-1,"")))</f>
        <v/>
      </c>
    </row>
    <row r="204">
      <c r="A204" s="18" t="inlineStr">
        <is>
          <t>공간재생 유통 사업 · 부문 이익(손실)</t>
        </is>
      </c>
      <c r="H204" s="20" t="n">
        <v>954</v>
      </c>
      <c r="I204" s="20" t="n">
        <v>2008</v>
      </c>
      <c r="J204" s="20" t="n">
        <v>1258</v>
      </c>
      <c r="K204" s="20" t="n">
        <v>2714</v>
      </c>
      <c r="L204" s="20" t="n">
        <v>769</v>
      </c>
      <c r="M204" s="20" t="n">
        <v>2305</v>
      </c>
      <c r="N204" s="20" t="n">
        <v>1714</v>
      </c>
      <c r="W204" s="20" t="n">
        <v>954</v>
      </c>
      <c r="X204" s="20" t="n">
        <v>769</v>
      </c>
    </row>
    <row r="205">
      <c r="A205" s="43" t="inlineStr">
        <is>
          <t>OPM</t>
        </is>
      </c>
      <c r="B205" s="3" t="inlineStr">
        <is>
          <t>영업이익 ÷ 매출</t>
        </is>
      </c>
      <c r="H205" s="15">
        <f>IF(OR(H204="",H187=""),"",IF(H187&lt;=0,"",IFERROR(H204/H187,"")))</f>
        <v/>
      </c>
      <c r="I205" s="15">
        <f>IF(OR(I204="",I187=""),"",IF(I187&lt;=0,"",IFERROR(I204/I187,"")))</f>
        <v/>
      </c>
      <c r="J205" s="15">
        <f>IF(OR(J204="",J187=""),"",IF(J187&lt;=0,"",IFERROR(J204/J187,"")))</f>
        <v/>
      </c>
      <c r="K205" s="15">
        <f>IF(OR(K204="",K187=""),"",IF(K187&lt;=0,"",IFERROR(K204/K187,"")))</f>
        <v/>
      </c>
      <c r="L205" s="15">
        <f>IF(OR(L204="",L187=""),"",IF(L187&lt;=0,"",IFERROR(L204/L187,"")))</f>
        <v/>
      </c>
      <c r="M205" s="15">
        <f>IF(OR(M204="",M187=""),"",IF(M187&lt;=0,"",IFERROR(M204/M187,"")))</f>
        <v/>
      </c>
      <c r="N205" s="15">
        <f>IF(OR(N204="",N187=""),"",IF(N187&lt;=0,"",IFERROR(N204/N187,"")))</f>
        <v/>
      </c>
      <c r="W205" s="15">
        <f>IF(OR(W204="",W187=""),"",IF(W187&lt;=0,"",IFERROR(W204/W187,"")))</f>
        <v/>
      </c>
      <c r="X205" s="15">
        <f>IF(OR(X204="",X187=""),"",IF(X187&lt;=0,"",IFERROR(X204/X187,"")))</f>
        <v/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H206" s="15">
        <f>IF(OR(H204="",D204=""),"",IF(D204&lt;=0,"",IFERROR(H204/D204-1,"")))</f>
        <v/>
      </c>
      <c r="I206" s="15">
        <f>IF(OR(I204="",E204=""),"",IF(E204&lt;=0,"",IFERROR(I204/E204-1,"")))</f>
        <v/>
      </c>
      <c r="J206" s="15">
        <f>IF(OR(J204="",F204=""),"",IF(F204&lt;=0,"",IFERROR(J204/F204-1,"")))</f>
        <v/>
      </c>
      <c r="K206" s="15">
        <f>IF(OR(K204="",G204=""),"",IF(G204&lt;=0,"",IFERROR(K204/G204-1,"")))</f>
        <v/>
      </c>
      <c r="L206" s="15">
        <f>IF(OR(L204="",H204=""),"",IF(H204&lt;=0,"",IFERROR(L204/H204-1,"")))</f>
        <v/>
      </c>
      <c r="M206" s="15">
        <f>IF(OR(M204="",I204=""),"",IF(I204&lt;=0,"",IFERROR(M204/I204-1,"")))</f>
        <v/>
      </c>
      <c r="N206" s="15">
        <f>IF(OR(N204="",J204=""),"",IF(J204&lt;=0,"",IFERROR(N204/J204-1,"")))</f>
        <v/>
      </c>
      <c r="W206" s="15">
        <f>IF(OR(W204="",V204=""),"",IF(V204&lt;=0,"",IFERROR(W204/V204-1,"")))</f>
        <v/>
      </c>
      <c r="X206" s="15">
        <f>IF(OR(X204="",W204=""),"",IF(W204&lt;=0,"",IFERROR(X204/W204-1,"")))</f>
        <v/>
      </c>
    </row>
    <row r="207">
      <c r="A207" s="18" t="inlineStr">
        <is>
          <t>리리카라 사업 · 부문 이익(손실)</t>
        </is>
      </c>
      <c r="H207" s="20" t="n">
        <v>503</v>
      </c>
      <c r="W207" s="20" t="n">
        <v>503</v>
      </c>
    </row>
    <row r="208">
      <c r="A208" s="43" t="inlineStr">
        <is>
          <t>OPM</t>
        </is>
      </c>
      <c r="B208" s="3" t="inlineStr">
        <is>
          <t>영업이익 ÷ 매출</t>
        </is>
      </c>
      <c r="H208" s="15">
        <f>IF(OR(H207="",H189=""),"",IF(H189&lt;=0,"",IFERROR(H207/H189,"")))</f>
        <v/>
      </c>
      <c r="W208" s="15">
        <f>IF(OR(W207="",W189=""),"",IF(W189&lt;=0,"",IFERROR(W207/W189,"")))</f>
        <v/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H209" s="15">
        <f>IF(OR(H207="",D207=""),"",IF(D207&lt;=0,"",IFERROR(H207/D207-1,"")))</f>
        <v/>
      </c>
      <c r="W209" s="15">
        <f>IF(OR(W207="",V207=""),"",IF(V207&lt;=0,"",IFERROR(W207/V207-1,"")))</f>
        <v/>
      </c>
    </row>
    <row r="210">
      <c r="A210" s="18" t="inlineStr">
        <is>
          <t>리리카라 사업 · 부문 이익(손실)</t>
        </is>
      </c>
      <c r="I210" s="20" t="n">
        <v>113</v>
      </c>
      <c r="J210" s="20" t="n">
        <v>-240</v>
      </c>
      <c r="M210" s="20" t="n">
        <v>87</v>
      </c>
      <c r="N210" s="20" t="n">
        <v>-139</v>
      </c>
    </row>
    <row r="211">
      <c r="A211" s="43" t="inlineStr">
        <is>
          <t>OPM</t>
        </is>
      </c>
      <c r="B211" s="3" t="inlineStr">
        <is>
          <t>영업이익 ÷ 매출</t>
        </is>
      </c>
      <c r="I211" s="15">
        <f>IF(OR(I210="",I191=""),"",IF(I191&lt;=0,"",IFERROR(I210/I191,"")))</f>
        <v/>
      </c>
      <c r="J211" s="15">
        <f>IF(OR(J210="",J191=""),"",IF(J191&lt;=0,"",IFERROR(J210/J191,"")))</f>
        <v/>
      </c>
      <c r="M211" s="15">
        <f>IF(OR(M210="",M191=""),"",IF(M191&lt;=0,"",IFERROR(M210/M191,"")))</f>
        <v/>
      </c>
      <c r="N211" s="15">
        <f>IF(OR(N210="",N191=""),"",IF(N191&lt;=0,"",IFERROR(N210/N191,"")))</f>
        <v/>
      </c>
    </row>
    <row r="212">
      <c r="A212" s="43" t="inlineStr">
        <is>
          <t>YoY</t>
        </is>
      </c>
      <c r="B212" s="3" t="inlineStr">
        <is>
          <t>전년 같은 분기·전년 대비</t>
        </is>
      </c>
      <c r="I212" s="15">
        <f>IF(OR(I210="",E210=""),"",IF(E210&lt;=0,"",IFERROR(I210/E210-1,"")))</f>
        <v/>
      </c>
      <c r="J212" s="15">
        <f>IF(OR(J210="",F210=""),"",IF(F210&lt;=0,"",IFERROR(J210/F210-1,"")))</f>
        <v/>
      </c>
      <c r="M212" s="15">
        <f>IF(OR(M210="",I210=""),"",IF(I210&lt;=0,"",IFERROR(M210/I210-1,"")))</f>
        <v/>
      </c>
      <c r="N212" s="15">
        <f>IF(OR(N210="",J210=""),"",IF(J210&lt;=0,"",IFERROR(N210/J210-1,"")))</f>
        <v/>
      </c>
    </row>
    <row r="213">
      <c r="A213" s="18" t="inlineStr">
        <is>
          <t>노바레제 사업 · 부문 이익(손실)</t>
        </is>
      </c>
      <c r="I213" s="20" t="n">
        <v>-318</v>
      </c>
      <c r="J213" s="20" t="n">
        <v>442</v>
      </c>
    </row>
    <row r="214">
      <c r="A214" s="43" t="inlineStr">
        <is>
          <t>OPM</t>
        </is>
      </c>
      <c r="B214" s="3" t="inlineStr">
        <is>
          <t>영업이익 ÷ 매출</t>
        </is>
      </c>
      <c r="I214" s="15">
        <f>IF(OR(I213="",I193=""),"",IF(I193&lt;=0,"",IFERROR(I213/I193,"")))</f>
        <v/>
      </c>
      <c r="J214" s="15">
        <f>IF(OR(J213="",J193=""),"",IF(J193&lt;=0,"",IFERROR(J213/J193,"")))</f>
        <v/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I215" s="15">
        <f>IF(OR(I213="",E213=""),"",IF(E213&lt;=0,"",IFERROR(I213/E213-1,"")))</f>
        <v/>
      </c>
      <c r="J215" s="15">
        <f>IF(OR(J213="",F213=""),"",IF(F213&lt;=0,"",IFERROR(J213/F213-1,"")))</f>
        <v/>
      </c>
    </row>
    <row r="216">
      <c r="A216" s="18" t="inlineStr">
        <is>
          <t>노바레제·에스쿠리 사업 · 부문 이익</t>
        </is>
      </c>
      <c r="L216" s="20" t="n">
        <v>2850</v>
      </c>
      <c r="X216" s="20" t="n">
        <v>2850</v>
      </c>
    </row>
    <row r="217">
      <c r="A217" s="43" t="inlineStr">
        <is>
          <t>OPM</t>
        </is>
      </c>
      <c r="B217" s="3" t="inlineStr">
        <is>
          <t>영업이익 ÷ 매출</t>
        </is>
      </c>
      <c r="L217" s="15">
        <f>IF(OR(L216="",L195=""),"",IF(L195&lt;=0,"",IFERROR(L216/L195,"")))</f>
        <v/>
      </c>
      <c r="X217" s="15">
        <f>IF(OR(X216="",X195=""),"",IF(X195&lt;=0,"",IFERROR(X216/X195,"")))</f>
        <v/>
      </c>
    </row>
    <row r="218">
      <c r="A218" s="43" t="inlineStr">
        <is>
          <t>YoY</t>
        </is>
      </c>
      <c r="B218" s="3" t="inlineStr">
        <is>
          <t>전년 같은 분기·전년 대비</t>
        </is>
      </c>
      <c r="L218" s="15">
        <f>IF(OR(L216="",H216=""),"",IF(H216&lt;=0,"",IFERROR(L216/H216-1,"")))</f>
        <v/>
      </c>
      <c r="X218" s="15">
        <f>IF(OR(X216="",W216=""),"",IF(W216&lt;=0,"",IFERROR(X216/W216-1,"")))</f>
        <v/>
      </c>
    </row>
    <row r="219">
      <c r="A219" s="18" t="inlineStr">
        <is>
          <t>온더페이지 사업 · 부문 이익(손실)</t>
        </is>
      </c>
      <c r="I219" s="20" t="n">
        <v>-318</v>
      </c>
      <c r="J219" s="20" t="n">
        <v>442</v>
      </c>
      <c r="M219" s="20" t="n">
        <v>168</v>
      </c>
      <c r="N219" s="20" t="n">
        <v>556</v>
      </c>
    </row>
    <row r="220">
      <c r="A220" s="43" t="inlineStr">
        <is>
          <t>OPM</t>
        </is>
      </c>
      <c r="B220" s="3" t="inlineStr">
        <is>
          <t>영업이익 ÷ 매출</t>
        </is>
      </c>
      <c r="I220" s="15">
        <f>IF(OR(I219="",I197=""),"",IF(I197&lt;=0,"",IFERROR(I219/I197,"")))</f>
        <v/>
      </c>
      <c r="J220" s="15">
        <f>IF(OR(J219="",J197=""),"",IF(J197&lt;=0,"",IFERROR(J219/J197,"")))</f>
        <v/>
      </c>
      <c r="M220" s="15">
        <f>IF(OR(M219="",M197=""),"",IF(M197&lt;=0,"",IFERROR(M219/M197,"")))</f>
        <v/>
      </c>
      <c r="N220" s="15">
        <f>IF(OR(N219="",N197=""),"",IF(N197&lt;=0,"",IFERROR(N219/N197,"")))</f>
        <v/>
      </c>
    </row>
    <row r="221">
      <c r="A221" s="43" t="inlineStr">
        <is>
          <t>YoY</t>
        </is>
      </c>
      <c r="B221" s="3" t="inlineStr">
        <is>
          <t>전년 같은 분기·전년 대비</t>
        </is>
      </c>
      <c r="I221" s="15">
        <f>IF(OR(I219="",E219=""),"",IF(E219&lt;=0,"",IFERROR(I219/E219-1,"")))</f>
        <v/>
      </c>
      <c r="J221" s="15">
        <f>IF(OR(J219="",F219=""),"",IF(F219&lt;=0,"",IFERROR(J219/F219-1,"")))</f>
        <v/>
      </c>
      <c r="M221" s="15">
        <f>IF(OR(M219="",I219=""),"",IF(I219&lt;=0,"",IFERROR(M219/I219-1,"")))</f>
        <v/>
      </c>
      <c r="N221" s="15">
        <f>IF(OR(N219="",J219=""),"",IF(J219&lt;=0,"",IFERROR(N219/J219-1,"")))</f>
        <v/>
      </c>
    </row>
    <row r="222">
      <c r="A222" s="18" t="inlineStr">
        <is>
          <t>합계 · 부문 이익(손실)</t>
        </is>
      </c>
      <c r="H222" s="20" t="n">
        <v>1457</v>
      </c>
      <c r="I222" s="20" t="n">
        <v>1803</v>
      </c>
      <c r="J222" s="20" t="n">
        <v>1460</v>
      </c>
      <c r="K222" s="20" t="n">
        <v>2887</v>
      </c>
      <c r="L222" s="20" t="n">
        <v>4200</v>
      </c>
      <c r="M222" s="20" t="n">
        <v>2562</v>
      </c>
      <c r="N222" s="20" t="n">
        <v>2128</v>
      </c>
      <c r="W222" s="20" t="n">
        <v>1457</v>
      </c>
      <c r="X222" s="20" t="n">
        <v>4200</v>
      </c>
    </row>
    <row r="223">
      <c r="A223" s="43" t="inlineStr">
        <is>
          <t>OPM</t>
        </is>
      </c>
      <c r="B223" s="3" t="inlineStr">
        <is>
          <t>영업이익 ÷ 매출</t>
        </is>
      </c>
      <c r="H223" s="15">
        <f>IF(OR(H222="",H199=""),"",IF(H199&lt;=0,"",IFERROR(H222/H199,"")))</f>
        <v/>
      </c>
      <c r="I223" s="15">
        <f>IF(OR(I222="",I199=""),"",IF(I199&lt;=0,"",IFERROR(I222/I199,"")))</f>
        <v/>
      </c>
      <c r="J223" s="15">
        <f>IF(OR(J222="",J199=""),"",IF(J199&lt;=0,"",IFERROR(J222/J199,"")))</f>
        <v/>
      </c>
      <c r="K223" s="15">
        <f>IF(OR(K222="",K199=""),"",IF(K199&lt;=0,"",IFERROR(K222/K199,"")))</f>
        <v/>
      </c>
      <c r="L223" s="15">
        <f>IF(OR(L222="",L199=""),"",IF(L199&lt;=0,"",IFERROR(L222/L199,"")))</f>
        <v/>
      </c>
      <c r="M223" s="15">
        <f>IF(OR(M222="",M199=""),"",IF(M199&lt;=0,"",IFERROR(M222/M199,"")))</f>
        <v/>
      </c>
      <c r="N223" s="15">
        <f>IF(OR(N222="",N199=""),"",IF(N199&lt;=0,"",IFERROR(N222/N199,"")))</f>
        <v/>
      </c>
      <c r="W223" s="15">
        <f>IF(OR(W222="",W199=""),"",IF(W199&lt;=0,"",IFERROR(W222/W199,"")))</f>
        <v/>
      </c>
      <c r="X223" s="15">
        <f>IF(OR(X222="",X199=""),"",IF(X199&lt;=0,"",IFERROR(X222/X199,"")))</f>
        <v/>
      </c>
    </row>
    <row r="224">
      <c r="A224" s="43" t="inlineStr">
        <is>
          <t>YoY</t>
        </is>
      </c>
      <c r="B224" s="3" t="inlineStr">
        <is>
          <t>전년 같은 분기·전년 대비</t>
        </is>
      </c>
      <c r="H224" s="15">
        <f>IF(OR(H222="",D222=""),"",IF(D222&lt;=0,"",IFERROR(H222/D222-1,"")))</f>
        <v/>
      </c>
      <c r="I224" s="15">
        <f>IF(OR(I222="",E222=""),"",IF(E222&lt;=0,"",IFERROR(I222/E222-1,"")))</f>
        <v/>
      </c>
      <c r="J224" s="15">
        <f>IF(OR(J222="",F222=""),"",IF(F222&lt;=0,"",IFERROR(J222/F222-1,"")))</f>
        <v/>
      </c>
      <c r="K224" s="15">
        <f>IF(OR(K222="",G222=""),"",IF(G222&lt;=0,"",IFERROR(K222/G222-1,"")))</f>
        <v/>
      </c>
      <c r="L224" s="15">
        <f>IF(OR(L222="",H222=""),"",IF(H222&lt;=0,"",IFERROR(L222/H222-1,"")))</f>
        <v/>
      </c>
      <c r="M224" s="15">
        <f>IF(OR(M222="",I222=""),"",IF(I222&lt;=0,"",IFERROR(M222/I222-1,"")))</f>
        <v/>
      </c>
      <c r="N224" s="15">
        <f>IF(OR(N222="",J222=""),"",IF(J222&lt;=0,"",IFERROR(N222/J222-1,"")))</f>
        <v/>
      </c>
      <c r="W224" s="15">
        <f>IF(OR(W222="",V222=""),"",IF(V222&lt;=0,"",IFERROR(W222/V222-1,"")))</f>
        <v/>
      </c>
      <c r="X224" s="15">
        <f>IF(OR(X222="",W222=""),"",IF(W222&lt;=0,"",IFERROR(X222/W222-1,"")))</f>
        <v/>
      </c>
    </row>
    <row r="225">
      <c r="A225" s="18" t="inlineStr">
        <is>
          <t>조정액 · 부문 이익(손실)</t>
        </is>
      </c>
      <c r="H225" s="20" t="n">
        <v>-3</v>
      </c>
      <c r="I225" s="20" t="n">
        <v>-2</v>
      </c>
      <c r="J225" s="20" t="n">
        <v>-22</v>
      </c>
      <c r="K225" s="20" t="n">
        <v>7</v>
      </c>
      <c r="L225" s="20" t="n">
        <v>-31</v>
      </c>
      <c r="M225" s="20" t="n">
        <v>-8</v>
      </c>
      <c r="N225" s="20" t="n">
        <v>-2</v>
      </c>
      <c r="W225" s="20" t="n">
        <v>-3</v>
      </c>
      <c r="X225" s="20" t="n">
        <v>-31</v>
      </c>
    </row>
    <row r="226">
      <c r="A226" s="9" t="inlineStr">
        <is>
          <t>부문 이익(손실)</t>
        </is>
      </c>
      <c r="H226" s="12" t="n">
        <v>1454</v>
      </c>
      <c r="I226" s="12" t="n">
        <v>1800</v>
      </c>
      <c r="J226" s="12" t="n">
        <v>1439</v>
      </c>
      <c r="K226" s="12" t="n">
        <v>2894</v>
      </c>
      <c r="L226" s="12" t="n">
        <v>4168</v>
      </c>
      <c r="M226" s="12" t="n">
        <v>2553</v>
      </c>
      <c r="N226" s="12" t="n">
        <v>2127</v>
      </c>
      <c r="W226" s="12" t="n">
        <v>1454</v>
      </c>
      <c r="X226" s="12" t="n">
        <v>4168</v>
      </c>
    </row>
    <row r="227">
      <c r="A227" s="43" t="inlineStr">
        <is>
          <t>OPM</t>
        </is>
      </c>
      <c r="B227" s="3" t="inlineStr">
        <is>
          <t>영업이익 ÷ 매출</t>
        </is>
      </c>
      <c r="H227" s="15">
        <f>IF(OR(H226="",H176=""),"",IF(H176&lt;=0,"",IFERROR(H226/H176,"")))</f>
        <v/>
      </c>
      <c r="I227" s="15">
        <f>IF(OR(I226="",I176=""),"",IF(I176&lt;=0,"",IFERROR(I226/I176,"")))</f>
        <v/>
      </c>
      <c r="J227" s="15">
        <f>IF(OR(J226="",J176=""),"",IF(J176&lt;=0,"",IFERROR(J226/J176,"")))</f>
        <v/>
      </c>
      <c r="K227" s="15">
        <f>IF(OR(K226="",K176=""),"",IF(K176&lt;=0,"",IFERROR(K226/K176,"")))</f>
        <v/>
      </c>
      <c r="L227" s="15">
        <f>IF(OR(L226="",L176=""),"",IF(L176&lt;=0,"",IFERROR(L226/L176,"")))</f>
        <v/>
      </c>
      <c r="M227" s="15">
        <f>IF(OR(M226="",M176=""),"",IF(M176&lt;=0,"",IFERROR(M226/M176,"")))</f>
        <v/>
      </c>
      <c r="N227" s="15">
        <f>IF(OR(N226="",N176=""),"",IF(N176&lt;=0,"",IFERROR(N226/N176,"")))</f>
        <v/>
      </c>
      <c r="W227" s="15">
        <f>IF(OR(W226="",W176=""),"",IF(W176&lt;=0,"",IFERROR(W226/W176,"")))</f>
        <v/>
      </c>
      <c r="X227" s="15">
        <f>IF(OR(X226="",X176=""),"",IF(X176&lt;=0,"",IFERROR(X226/X176,"")))</f>
        <v/>
      </c>
    </row>
    <row r="228">
      <c r="A228" s="43" t="inlineStr">
        <is>
          <t>YoY</t>
        </is>
      </c>
      <c r="B228" s="3" t="inlineStr">
        <is>
          <t>전년 같은 분기·전년 대비</t>
        </is>
      </c>
      <c r="H228" s="15">
        <f>IF(OR(H226="",D226=""),"",IF(D226&lt;=0,"",IFERROR(H226/D226-1,"")))</f>
        <v/>
      </c>
      <c r="I228" s="15">
        <f>IF(OR(I226="",E226=""),"",IF(E226&lt;=0,"",IFERROR(I226/E226-1,"")))</f>
        <v/>
      </c>
      <c r="J228" s="15">
        <f>IF(OR(J226="",F226=""),"",IF(F226&lt;=0,"",IFERROR(J226/F226-1,"")))</f>
        <v/>
      </c>
      <c r="K228" s="15">
        <f>IF(OR(K226="",G226=""),"",IF(G226&lt;=0,"",IFERROR(K226/G226-1,"")))</f>
        <v/>
      </c>
      <c r="L228" s="15">
        <f>IF(OR(L226="",H226=""),"",IF(H226&lt;=0,"",IFERROR(L226/H226-1,"")))</f>
        <v/>
      </c>
      <c r="M228" s="15">
        <f>IF(OR(M226="",I226=""),"",IF(I226&lt;=0,"",IFERROR(M226/I226-1,"")))</f>
        <v/>
      </c>
      <c r="N228" s="15">
        <f>IF(OR(N226="",J226=""),"",IF(J226&lt;=0,"",IFERROR(N226/J226-1,"")))</f>
        <v/>
      </c>
      <c r="W228" s="15">
        <f>IF(OR(W226="",V226=""),"",IF(V226&lt;=0,"",IFERROR(W226/V226-1,"")))</f>
        <v/>
      </c>
      <c r="X228" s="15">
        <f>IF(OR(X226="",W226=""),"",IF(W226&lt;=0,"",IFERROR(X226/W226-1,"")))</f>
        <v/>
      </c>
    </row>
    <row r="230">
      <c r="A230" s="16" t="inlineStr">
        <is>
          <t>현금흐름표 · 전 항목</t>
        </is>
      </c>
      <c r="B230" s="42" t="inlineStr">
        <is>
          <t>분기 = 결산기 첫날부터 누계(공시 그대로)</t>
        </is>
      </c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  <c r="AA230" s="16" t="n"/>
      <c r="AB230" s="16" t="n"/>
      <c r="AC230" s="16" t="n"/>
    </row>
    <row r="231">
      <c r="A231" s="5" t="inlineStr">
        <is>
          <t>항목</t>
        </is>
      </c>
      <c r="B231" s="5" t="inlineStr">
        <is>
          <t>참고</t>
        </is>
      </c>
      <c r="C231" s="5" t="inlineStr">
        <is>
          <t>2024.3Q</t>
        </is>
      </c>
      <c r="D231" s="5" t="inlineStr">
        <is>
          <t>2024.4Q</t>
        </is>
      </c>
      <c r="E231" s="5" t="inlineStr">
        <is>
          <t>2025.1Q</t>
        </is>
      </c>
      <c r="F231" s="5" t="inlineStr">
        <is>
          <t>2025.2Q</t>
        </is>
      </c>
      <c r="G231" s="5" t="inlineStr">
        <is>
          <t>2025.3Q</t>
        </is>
      </c>
      <c r="H231" s="5" t="inlineStr">
        <is>
          <t>2025.4Q</t>
        </is>
      </c>
      <c r="I231" s="5" t="inlineStr">
        <is>
          <t>2026.1Q</t>
        </is>
      </c>
      <c r="J231" s="5" t="inlineStr">
        <is>
          <t>2026.2Q</t>
        </is>
      </c>
      <c r="K231" s="5" t="inlineStr">
        <is>
          <t>2026.3Q</t>
        </is>
      </c>
      <c r="L231" s="5" t="inlineStr">
        <is>
          <t>2026.4Q</t>
        </is>
      </c>
      <c r="M231" s="5" t="inlineStr">
        <is>
          <t>2027.1Q</t>
        </is>
      </c>
      <c r="N231" s="5" t="inlineStr">
        <is>
          <t>2027.2Q</t>
        </is>
      </c>
      <c r="O231" s="5" t="inlineStr">
        <is>
          <t>2017</t>
        </is>
      </c>
      <c r="P231" s="5" t="inlineStr">
        <is>
          <t>2018</t>
        </is>
      </c>
      <c r="Q231" s="5" t="inlineStr">
        <is>
          <t>2019</t>
        </is>
      </c>
      <c r="R231" s="5" t="inlineStr">
        <is>
          <t>2020</t>
        </is>
      </c>
      <c r="S231" s="5" t="inlineStr">
        <is>
          <t>2021</t>
        </is>
      </c>
      <c r="T231" s="5" t="inlineStr">
        <is>
          <t>2022</t>
        </is>
      </c>
      <c r="U231" s="5" t="inlineStr">
        <is>
          <t>2023</t>
        </is>
      </c>
      <c r="V231" s="5" t="inlineStr">
        <is>
          <t>2024</t>
        </is>
      </c>
      <c r="W231" s="5" t="inlineStr">
        <is>
          <t>2025</t>
        </is>
      </c>
      <c r="X231" s="5" t="inlineStr">
        <is>
          <t>2026</t>
        </is>
      </c>
      <c r="Y231" s="5" t="inlineStr">
        <is>
          <t>2027(MW)</t>
        </is>
      </c>
      <c r="Z231" s="5" t="inlineStr">
        <is>
          <t>2028(MW)</t>
        </is>
      </c>
      <c r="AA231" s="5" t="inlineStr">
        <is>
          <t>2029(MW)</t>
        </is>
      </c>
      <c r="AB231" s="5" t="inlineStr">
        <is>
          <t>2030(MW)</t>
        </is>
      </c>
      <c r="AC231" s="5" t="inlineStr">
        <is>
          <t>2031(MW)</t>
        </is>
      </c>
    </row>
    <row r="232">
      <c r="A232" s="9" t="inlineStr">
        <is>
          <t>법인세차감전 순이익</t>
        </is>
      </c>
      <c r="D232" s="12" t="n">
        <v>4764</v>
      </c>
      <c r="F232" s="12" t="n">
        <v>2864</v>
      </c>
      <c r="H232" s="12" t="n">
        <v>5915</v>
      </c>
      <c r="J232" s="12" t="n">
        <v>2807</v>
      </c>
      <c r="L232" s="12" t="n">
        <v>20148</v>
      </c>
      <c r="N232" s="12" t="n">
        <v>3714</v>
      </c>
      <c r="O232" s="12" t="n">
        <v>2360</v>
      </c>
      <c r="P232" s="12" t="n">
        <v>3392</v>
      </c>
      <c r="Q232" s="12" t="n">
        <v>3152</v>
      </c>
      <c r="R232" s="12" t="n">
        <v>4231</v>
      </c>
      <c r="S232" s="12" t="n">
        <v>-2804</v>
      </c>
      <c r="T232" s="12" t="n">
        <v>-3420</v>
      </c>
      <c r="U232" s="12" t="n">
        <v>-2877</v>
      </c>
      <c r="V232" s="12" t="n">
        <v>4764</v>
      </c>
      <c r="W232" s="12" t="n">
        <v>5915</v>
      </c>
      <c r="X232" s="12" t="n">
        <v>20148</v>
      </c>
    </row>
    <row r="233">
      <c r="A233" s="18" t="inlineStr">
        <is>
          <t>감가상각비</t>
        </is>
      </c>
      <c r="D233" s="20" t="n">
        <v>1241</v>
      </c>
      <c r="F233" s="20" t="n">
        <v>686</v>
      </c>
      <c r="H233" s="20" t="n">
        <v>1720</v>
      </c>
      <c r="J233" s="20" t="n">
        <v>2005</v>
      </c>
      <c r="L233" s="20" t="n">
        <v>4413</v>
      </c>
      <c r="N233" s="20" t="n">
        <v>2641</v>
      </c>
      <c r="O233" s="20" t="n">
        <v>440</v>
      </c>
      <c r="P233" s="20" t="n">
        <v>635</v>
      </c>
      <c r="Q233" s="20" t="n">
        <v>813</v>
      </c>
      <c r="R233" s="20" t="n">
        <v>1830</v>
      </c>
      <c r="S233" s="20" t="n">
        <v>2750</v>
      </c>
      <c r="T233" s="20" t="n">
        <v>2864</v>
      </c>
      <c r="U233" s="20" t="n">
        <v>2819</v>
      </c>
      <c r="V233" s="20" t="n">
        <v>1241</v>
      </c>
      <c r="W233" s="20" t="n">
        <v>1720</v>
      </c>
      <c r="X233" s="20" t="n">
        <v>4413</v>
      </c>
    </row>
    <row r="234">
      <c r="A234" s="18" t="inlineStr">
        <is>
          <t>고정자산 매각손익</t>
        </is>
      </c>
      <c r="O234" s="20" t="n">
        <v>0</v>
      </c>
      <c r="P234" s="20" t="n">
        <v>-487</v>
      </c>
      <c r="Q234" s="20" t="n">
        <v>0</v>
      </c>
    </row>
    <row r="235">
      <c r="A235" s="18" t="inlineStr">
        <is>
          <t>고객관계자산 상각비</t>
        </is>
      </c>
      <c r="D235" s="20" t="n">
        <v>22</v>
      </c>
      <c r="F235" s="20" t="n">
        <v>11</v>
      </c>
      <c r="H235" s="20" t="n">
        <v>27</v>
      </c>
      <c r="Q235" s="20" t="n">
        <v>0</v>
      </c>
      <c r="R235" s="20" t="n">
        <v>383</v>
      </c>
      <c r="S235" s="20" t="n">
        <v>553</v>
      </c>
      <c r="T235" s="20" t="n">
        <v>411</v>
      </c>
      <c r="U235" s="20" t="n">
        <v>333</v>
      </c>
      <c r="V235" s="20" t="n">
        <v>22</v>
      </c>
      <c r="W235" s="20" t="n">
        <v>27</v>
      </c>
    </row>
    <row r="236">
      <c r="A236" s="18" t="inlineStr">
        <is>
          <t>영업권 상각</t>
        </is>
      </c>
      <c r="D236" s="20" t="n">
        <v>13</v>
      </c>
      <c r="F236" s="20" t="n">
        <v>6</v>
      </c>
      <c r="H236" s="20" t="n">
        <v>15</v>
      </c>
      <c r="J236" s="20" t="n">
        <v>207</v>
      </c>
      <c r="L236" s="20" t="n">
        <v>422</v>
      </c>
      <c r="N236" s="20" t="n">
        <v>238</v>
      </c>
      <c r="Q236" s="20" t="n">
        <v>32</v>
      </c>
      <c r="R236" s="20" t="n">
        <v>1521</v>
      </c>
      <c r="S236" s="20" t="n">
        <v>2187</v>
      </c>
      <c r="T236" s="20" t="n">
        <v>2159</v>
      </c>
      <c r="U236" s="20" t="n">
        <v>1942</v>
      </c>
      <c r="V236" s="20" t="n">
        <v>13</v>
      </c>
      <c r="W236" s="20" t="n">
        <v>15</v>
      </c>
      <c r="X236" s="20" t="n">
        <v>422</v>
      </c>
    </row>
    <row r="237">
      <c r="A237" s="18" t="inlineStr">
        <is>
          <t>고정자산 제각손실</t>
        </is>
      </c>
      <c r="P237" s="20" t="n">
        <v>0</v>
      </c>
      <c r="Q237" s="20" t="n">
        <v>65</v>
      </c>
      <c r="R237" s="20" t="n">
        <v>58</v>
      </c>
      <c r="S237" s="20" t="n">
        <v>191</v>
      </c>
      <c r="T237" s="20" t="n">
        <v>3</v>
      </c>
    </row>
    <row r="238">
      <c r="A238" s="18" t="inlineStr">
        <is>
          <t>고정자산 처분손익</t>
        </is>
      </c>
      <c r="O238" s="20" t="n">
        <v>0</v>
      </c>
      <c r="P238" s="20" t="n">
        <v>203</v>
      </c>
      <c r="Q238" s="20" t="n">
        <v>0</v>
      </c>
    </row>
    <row r="239">
      <c r="A239" s="18" t="inlineStr">
        <is>
          <t>투자유가증권 수증이익</t>
        </is>
      </c>
      <c r="D239" s="20" t="n">
        <v>-79</v>
      </c>
      <c r="F239" s="20" t="n">
        <v>0</v>
      </c>
      <c r="H239" s="20" t="n">
        <v>0</v>
      </c>
      <c r="J239" s="20" t="n">
        <v>-31</v>
      </c>
      <c r="L239" s="20" t="n">
        <v>-31</v>
      </c>
      <c r="N239" s="20" t="n">
        <v>0</v>
      </c>
      <c r="U239" s="20" t="n">
        <v>0</v>
      </c>
      <c r="V239" s="20" t="n">
        <v>-79</v>
      </c>
      <c r="W239" s="20" t="n">
        <v>0</v>
      </c>
      <c r="X239" s="20" t="n">
        <v>-31</v>
      </c>
    </row>
    <row r="240">
      <c r="A240" s="18" t="inlineStr">
        <is>
          <t>사업정리 손실</t>
        </is>
      </c>
      <c r="D240" s="20" t="n">
        <v>4</v>
      </c>
      <c r="F240" s="20" t="n">
        <v>0</v>
      </c>
      <c r="H240" s="20" t="n">
        <v>0</v>
      </c>
      <c r="T240" s="20" t="n">
        <v>0</v>
      </c>
      <c r="U240" s="20" t="n">
        <v>3159</v>
      </c>
      <c r="V240" s="20" t="n">
        <v>4</v>
      </c>
      <c r="W240" s="20" t="n">
        <v>0</v>
      </c>
    </row>
    <row r="241">
      <c r="A241" s="18" t="inlineStr">
        <is>
          <t>단계적 취득 차손익</t>
        </is>
      </c>
      <c r="D241" s="20" t="n">
        <v>0</v>
      </c>
      <c r="F241" s="20" t="n">
        <v>-169</v>
      </c>
      <c r="H241" s="20" t="n">
        <v>-74</v>
      </c>
      <c r="J241" s="20" t="n">
        <v>0</v>
      </c>
      <c r="L241" s="20" t="n">
        <v>-189</v>
      </c>
      <c r="N241" s="20" t="n">
        <v>-114</v>
      </c>
      <c r="V241" s="20" t="n">
        <v>0</v>
      </c>
      <c r="W241" s="20" t="n">
        <v>-74</v>
      </c>
      <c r="X241" s="20" t="n">
        <v>-189</v>
      </c>
    </row>
    <row r="242">
      <c r="A242" s="18" t="inlineStr">
        <is>
          <t>지분법손익</t>
        </is>
      </c>
      <c r="D242" s="20" t="n">
        <v>-412</v>
      </c>
      <c r="F242" s="20" t="n">
        <v>45</v>
      </c>
      <c r="H242" s="20" t="n">
        <v>-32</v>
      </c>
      <c r="J242" s="20" t="n">
        <v>1</v>
      </c>
      <c r="L242" s="20" t="n">
        <v>88</v>
      </c>
      <c r="N242" s="20" t="n">
        <v>34</v>
      </c>
      <c r="U242" s="20" t="n">
        <v>0</v>
      </c>
      <c r="V242" s="20" t="n">
        <v>-412</v>
      </c>
      <c r="W242" s="20" t="n">
        <v>-32</v>
      </c>
      <c r="X242" s="20" t="n">
        <v>88</v>
      </c>
    </row>
    <row r="243">
      <c r="A243" s="18" t="inlineStr">
        <is>
          <t>수입보증금 상각이익</t>
        </is>
      </c>
      <c r="D243" s="20" t="n">
        <v>0</v>
      </c>
      <c r="T243" s="20" t="n">
        <v>0</v>
      </c>
      <c r="U243" s="20" t="n">
        <v>-120</v>
      </c>
      <c r="V243" s="20" t="n">
        <v>0</v>
      </c>
    </row>
    <row r="244">
      <c r="A244" s="18" t="inlineStr">
        <is>
          <t>손상차손</t>
        </is>
      </c>
      <c r="D244" s="20" t="n">
        <v>158</v>
      </c>
      <c r="F244" s="20" t="n">
        <v>10</v>
      </c>
      <c r="H244" s="20" t="n">
        <v>49</v>
      </c>
      <c r="J244" s="20" t="n">
        <v>23</v>
      </c>
      <c r="L244" s="20" t="n">
        <v>1027</v>
      </c>
      <c r="N244" s="20" t="n">
        <v>718</v>
      </c>
      <c r="O244" s="20" t="n">
        <v>191</v>
      </c>
      <c r="P244" s="20" t="n">
        <v>91</v>
      </c>
      <c r="Q244" s="20" t="n">
        <v>15</v>
      </c>
      <c r="R244" s="20" t="n">
        <v>663</v>
      </c>
      <c r="S244" s="20" t="n">
        <v>786</v>
      </c>
      <c r="T244" s="20" t="n">
        <v>2344</v>
      </c>
      <c r="U244" s="20" t="n">
        <v>2931</v>
      </c>
      <c r="V244" s="20" t="n">
        <v>158</v>
      </c>
      <c r="W244" s="20" t="n">
        <v>49</v>
      </c>
      <c r="X244" s="20" t="n">
        <v>1027</v>
      </c>
    </row>
    <row r="245">
      <c r="A245" s="18" t="inlineStr">
        <is>
          <t>투자유가증권 평가손익</t>
        </is>
      </c>
      <c r="P245" s="20" t="n">
        <v>0</v>
      </c>
      <c r="Q245" s="20" t="n">
        <v>821</v>
      </c>
      <c r="R245" s="20" t="n">
        <v>215</v>
      </c>
      <c r="S245" s="20" t="n">
        <v>180</v>
      </c>
      <c r="T245" s="20" t="n">
        <v>49</v>
      </c>
      <c r="U245" s="20" t="n">
        <v>0</v>
      </c>
    </row>
    <row r="246">
      <c r="A246" s="18" t="inlineStr">
        <is>
          <t>대손충당금 증감</t>
        </is>
      </c>
      <c r="O246" s="20" t="n">
        <v>5</v>
      </c>
      <c r="P246" s="20" t="n">
        <v>-22</v>
      </c>
      <c r="Q246" s="20" t="n">
        <v>0</v>
      </c>
      <c r="R246" s="20" t="n">
        <v>-29</v>
      </c>
    </row>
    <row r="247">
      <c r="A247" s="18" t="inlineStr">
        <is>
          <t>사채발행비</t>
        </is>
      </c>
      <c r="O247" s="20" t="n">
        <v>46</v>
      </c>
      <c r="P247" s="20" t="n">
        <v>16</v>
      </c>
      <c r="Q247" s="20" t="n">
        <v>46</v>
      </c>
      <c r="R247" s="20" t="n">
        <v>0</v>
      </c>
    </row>
    <row r="248">
      <c r="A248" s="18" t="inlineStr">
        <is>
          <t>채권포기 손실</t>
        </is>
      </c>
      <c r="D248" s="20" t="n">
        <v>0</v>
      </c>
      <c r="T248" s="20" t="n">
        <v>0</v>
      </c>
      <c r="U248" s="20" t="n">
        <v>271</v>
      </c>
      <c r="V248" s="20" t="n">
        <v>0</v>
      </c>
    </row>
    <row r="249">
      <c r="A249" s="18" t="inlineStr">
        <is>
          <t>투자유가증권 매각손익</t>
        </is>
      </c>
      <c r="F249" s="20" t="n">
        <v>-83</v>
      </c>
      <c r="J249" s="20" t="n">
        <v>-4</v>
      </c>
      <c r="P249" s="20" t="n">
        <v>0</v>
      </c>
      <c r="Q249" s="20" t="n">
        <v>-15</v>
      </c>
      <c r="R249" s="20" t="n">
        <v>-397</v>
      </c>
      <c r="S249" s="20" t="n">
        <v>0</v>
      </c>
    </row>
    <row r="250">
      <c r="A250" s="18" t="inlineStr">
        <is>
          <t>관계회사 주식 매각손익</t>
        </is>
      </c>
      <c r="P250" s="20" t="n">
        <v>0</v>
      </c>
      <c r="Q250" s="20" t="n">
        <v>13</v>
      </c>
      <c r="R250" s="20" t="n">
        <v>0</v>
      </c>
    </row>
    <row r="251">
      <c r="A251" s="18" t="inlineStr">
        <is>
          <t>투자유가증권 매각·평가손익</t>
        </is>
      </c>
      <c r="D251" s="20" t="n">
        <v>0</v>
      </c>
      <c r="H251" s="20" t="n">
        <v>-65</v>
      </c>
      <c r="J251" s="20" t="n">
        <v>-4</v>
      </c>
      <c r="L251" s="20" t="n">
        <v>-24</v>
      </c>
      <c r="N251" s="20" t="n">
        <v>27</v>
      </c>
      <c r="V251" s="20" t="n">
        <v>0</v>
      </c>
      <c r="W251" s="20" t="n">
        <v>-65</v>
      </c>
      <c r="X251" s="20" t="n">
        <v>-24</v>
      </c>
    </row>
    <row r="252">
      <c r="A252" s="18" t="inlineStr">
        <is>
          <t>고정자산 매각이익</t>
        </is>
      </c>
      <c r="D252" s="20" t="n">
        <v>0</v>
      </c>
      <c r="H252" s="20" t="n">
        <v>0</v>
      </c>
      <c r="L252" s="20" t="n">
        <v>-11863</v>
      </c>
      <c r="R252" s="20" t="n">
        <v>-1</v>
      </c>
      <c r="S252" s="20" t="n">
        <v>-1054</v>
      </c>
      <c r="T252" s="20" t="n">
        <v>-322</v>
      </c>
      <c r="U252" s="20" t="n">
        <v>-914</v>
      </c>
      <c r="V252" s="20" t="n">
        <v>0</v>
      </c>
      <c r="W252" s="20" t="n">
        <v>0</v>
      </c>
      <c r="X252" s="20" t="n">
        <v>-11863</v>
      </c>
    </row>
    <row r="253">
      <c r="A253" s="18" t="inlineStr">
        <is>
          <t>이자·배당금 수익</t>
        </is>
      </c>
      <c r="D253" s="20" t="n">
        <v>-16</v>
      </c>
      <c r="F253" s="20" t="n">
        <v>-26</v>
      </c>
      <c r="H253" s="20" t="n">
        <v>-46</v>
      </c>
      <c r="J253" s="20" t="n">
        <v>-191</v>
      </c>
      <c r="L253" s="20" t="n">
        <v>-244</v>
      </c>
      <c r="N253" s="20" t="n">
        <v>-308</v>
      </c>
      <c r="O253" s="20" t="n">
        <v>-8</v>
      </c>
      <c r="P253" s="20" t="n">
        <v>-8</v>
      </c>
      <c r="Q253" s="20" t="n">
        <v>-58</v>
      </c>
      <c r="R253" s="20" t="n">
        <v>-13</v>
      </c>
      <c r="S253" s="20" t="n">
        <v>-6</v>
      </c>
      <c r="T253" s="20" t="n">
        <v>-6</v>
      </c>
      <c r="U253" s="20" t="n">
        <v>-28</v>
      </c>
      <c r="V253" s="20" t="n">
        <v>-16</v>
      </c>
      <c r="W253" s="20" t="n">
        <v>-46</v>
      </c>
      <c r="X253" s="20" t="n">
        <v>-244</v>
      </c>
    </row>
    <row r="254">
      <c r="A254" s="18" t="inlineStr">
        <is>
          <t>이자비용</t>
        </is>
      </c>
      <c r="O254" s="20" t="n">
        <v>117</v>
      </c>
      <c r="P254" s="20" t="n">
        <v>144</v>
      </c>
      <c r="Q254" s="20" t="n">
        <v>186</v>
      </c>
      <c r="R254" s="20" t="n">
        <v>411</v>
      </c>
    </row>
    <row r="255">
      <c r="A255" s="18" t="inlineStr">
        <is>
          <t>사채이자</t>
        </is>
      </c>
      <c r="Q255" s="20" t="n">
        <v>24</v>
      </c>
      <c r="R255" s="20" t="n">
        <v>24</v>
      </c>
    </row>
    <row r="256">
      <c r="A256" s="18" t="inlineStr">
        <is>
          <t>이자비용·사채이자</t>
        </is>
      </c>
      <c r="D256" s="20" t="n">
        <v>269</v>
      </c>
      <c r="F256" s="20" t="n">
        <v>148</v>
      </c>
      <c r="H256" s="20" t="n">
        <v>353</v>
      </c>
      <c r="J256" s="20" t="n">
        <v>442</v>
      </c>
      <c r="L256" s="20" t="n">
        <v>935</v>
      </c>
      <c r="N256" s="20" t="n">
        <v>641</v>
      </c>
      <c r="R256" s="20" t="n">
        <v>436</v>
      </c>
      <c r="S256" s="20" t="n">
        <v>600</v>
      </c>
      <c r="T256" s="20" t="n">
        <v>554</v>
      </c>
      <c r="U256" s="20" t="n">
        <v>550</v>
      </c>
      <c r="V256" s="20" t="n">
        <v>269</v>
      </c>
      <c r="W256" s="20" t="n">
        <v>353</v>
      </c>
      <c r="X256" s="20" t="n">
        <v>935</v>
      </c>
    </row>
    <row r="257">
      <c r="A257" s="18" t="inlineStr">
        <is>
          <t>매출채권 증감</t>
        </is>
      </c>
      <c r="D257" s="20" t="n">
        <v>-451</v>
      </c>
      <c r="F257" s="20" t="n">
        <v>665</v>
      </c>
      <c r="H257" s="20" t="n">
        <v>-1215</v>
      </c>
      <c r="J257" s="20" t="n">
        <v>1220</v>
      </c>
      <c r="L257" s="20" t="n">
        <v>324</v>
      </c>
      <c r="N257" s="20" t="n">
        <v>537</v>
      </c>
      <c r="O257" s="20" t="n">
        <v>-593</v>
      </c>
      <c r="P257" s="20" t="n">
        <v>-637</v>
      </c>
      <c r="Q257" s="20" t="n">
        <v>-485</v>
      </c>
      <c r="R257" s="20" t="n">
        <v>-638</v>
      </c>
      <c r="S257" s="20" t="n">
        <v>792</v>
      </c>
      <c r="T257" s="20" t="n">
        <v>-237</v>
      </c>
      <c r="U257" s="20" t="n">
        <v>-163</v>
      </c>
      <c r="V257" s="20" t="n">
        <v>-451</v>
      </c>
      <c r="W257" s="20" t="n">
        <v>-1215</v>
      </c>
      <c r="X257" s="20" t="n">
        <v>324</v>
      </c>
    </row>
    <row r="258">
      <c r="A258" s="18" t="inlineStr">
        <is>
          <t>재고자산 증감</t>
        </is>
      </c>
      <c r="O258" s="20" t="n">
        <v>-6</v>
      </c>
      <c r="P258" s="20" t="n">
        <v>-27</v>
      </c>
    </row>
    <row r="259">
      <c r="A259" s="18" t="inlineStr">
        <is>
          <t>미수금 증감</t>
        </is>
      </c>
      <c r="F259" s="20" t="n">
        <v>-45</v>
      </c>
      <c r="R259" s="20" t="n">
        <v>51</v>
      </c>
      <c r="S259" s="20" t="n">
        <v>432</v>
      </c>
      <c r="T259" s="20" t="n">
        <v>-2270</v>
      </c>
      <c r="U259" s="20" t="n">
        <v>-158</v>
      </c>
    </row>
    <row r="260">
      <c r="A260" s="18" t="inlineStr">
        <is>
          <t>선급비용 증감</t>
        </is>
      </c>
      <c r="D260" s="20" t="n">
        <v>-131</v>
      </c>
      <c r="F260" s="20" t="n">
        <v>123</v>
      </c>
      <c r="H260" s="20" t="n">
        <v>-240</v>
      </c>
      <c r="J260" s="20" t="n">
        <v>-42</v>
      </c>
      <c r="O260" s="20" t="n">
        <v>-110</v>
      </c>
      <c r="P260" s="20" t="n">
        <v>-601</v>
      </c>
      <c r="Q260" s="20" t="n">
        <v>-352</v>
      </c>
      <c r="R260" s="20" t="n">
        <v>-1026</v>
      </c>
      <c r="S260" s="20" t="n">
        <v>-40</v>
      </c>
      <c r="T260" s="20" t="n">
        <v>-212</v>
      </c>
      <c r="U260" s="20" t="n">
        <v>-49</v>
      </c>
      <c r="V260" s="20" t="n">
        <v>-131</v>
      </c>
      <c r="W260" s="20" t="n">
        <v>-240</v>
      </c>
    </row>
    <row r="261">
      <c r="A261" s="18" t="inlineStr">
        <is>
          <t>입체금 증감</t>
        </is>
      </c>
      <c r="F261" s="20" t="n">
        <v>-101</v>
      </c>
    </row>
    <row r="262">
      <c r="A262" s="18" t="inlineStr">
        <is>
          <t>매입채무 증감</t>
        </is>
      </c>
      <c r="D262" s="20" t="n">
        <v>209</v>
      </c>
      <c r="F262" s="20" t="n">
        <v>-158</v>
      </c>
      <c r="H262" s="20" t="n">
        <v>-34</v>
      </c>
      <c r="J262" s="20" t="n">
        <v>-98</v>
      </c>
      <c r="L262" s="20" t="n">
        <v>501</v>
      </c>
      <c r="N262" s="20" t="n">
        <v>-1754</v>
      </c>
      <c r="O262" s="20" t="n">
        <v>-22</v>
      </c>
      <c r="P262" s="20" t="n">
        <v>70</v>
      </c>
      <c r="Q262" s="20" t="n">
        <v>81</v>
      </c>
      <c r="R262" s="20" t="n">
        <v>509</v>
      </c>
      <c r="S262" s="20" t="n">
        <v>-211</v>
      </c>
      <c r="T262" s="20" t="n">
        <v>-28</v>
      </c>
      <c r="U262" s="20" t="n">
        <v>129</v>
      </c>
      <c r="V262" s="20" t="n">
        <v>209</v>
      </c>
      <c r="W262" s="20" t="n">
        <v>-34</v>
      </c>
      <c r="X262" s="20" t="n">
        <v>501</v>
      </c>
    </row>
    <row r="263">
      <c r="A263" s="18" t="inlineStr">
        <is>
          <t>미지급금 증감</t>
        </is>
      </c>
      <c r="D263" s="20" t="n">
        <v>-111</v>
      </c>
      <c r="F263" s="20" t="n">
        <v>-335</v>
      </c>
      <c r="H263" s="20" t="n">
        <v>-196</v>
      </c>
      <c r="J263" s="20" t="n">
        <v>-112</v>
      </c>
      <c r="O263" s="20" t="n">
        <v>139</v>
      </c>
      <c r="P263" s="20" t="n">
        <v>304</v>
      </c>
      <c r="Q263" s="20" t="n">
        <v>20</v>
      </c>
      <c r="R263" s="20" t="n">
        <v>0</v>
      </c>
      <c r="S263" s="20" t="n">
        <v>934</v>
      </c>
      <c r="T263" s="20" t="n">
        <v>-760</v>
      </c>
      <c r="U263" s="20" t="n">
        <v>269</v>
      </c>
      <c r="V263" s="20" t="n">
        <v>-111</v>
      </c>
      <c r="W263" s="20" t="n">
        <v>-196</v>
      </c>
    </row>
    <row r="264">
      <c r="A264" s="18" t="inlineStr">
        <is>
          <t>미지급비용 증감</t>
        </is>
      </c>
      <c r="D264" s="20" t="n">
        <v>244</v>
      </c>
      <c r="F264" s="20" t="n">
        <v>44</v>
      </c>
      <c r="H264" s="20" t="n">
        <v>22</v>
      </c>
      <c r="O264" s="20" t="n">
        <v>48</v>
      </c>
      <c r="P264" s="20" t="n">
        <v>155</v>
      </c>
      <c r="Q264" s="20" t="n">
        <v>41</v>
      </c>
      <c r="R264" s="20" t="n">
        <v>386</v>
      </c>
      <c r="S264" s="20" t="n">
        <v>508</v>
      </c>
      <c r="T264" s="20" t="n">
        <v>-350</v>
      </c>
      <c r="U264" s="20" t="n">
        <v>384</v>
      </c>
      <c r="V264" s="20" t="n">
        <v>244</v>
      </c>
      <c r="W264" s="20" t="n">
        <v>22</v>
      </c>
    </row>
    <row r="265">
      <c r="A265" s="18" t="inlineStr">
        <is>
          <t>선수금 증감</t>
        </is>
      </c>
      <c r="O265" s="20" t="n">
        <v>7</v>
      </c>
      <c r="P265" s="20" t="n">
        <v>87</v>
      </c>
      <c r="Q265" s="20" t="n">
        <v>-13</v>
      </c>
      <c r="R265" s="20" t="n">
        <v>480</v>
      </c>
    </row>
    <row r="266">
      <c r="A266" s="18" t="inlineStr">
        <is>
          <t>미지급 소비세 증감</t>
        </is>
      </c>
      <c r="D266" s="20" t="n">
        <v>-195</v>
      </c>
      <c r="F266" s="20" t="n">
        <v>-250</v>
      </c>
      <c r="H266" s="20" t="n">
        <v>-133</v>
      </c>
      <c r="J266" s="20" t="n">
        <v>-125</v>
      </c>
      <c r="L266" s="20" t="n">
        <v>1110</v>
      </c>
      <c r="N266" s="20" t="n">
        <v>-1062</v>
      </c>
      <c r="R266" s="20" t="n">
        <v>114</v>
      </c>
      <c r="S266" s="20" t="n">
        <v>1527</v>
      </c>
      <c r="T266" s="20" t="n">
        <v>-569</v>
      </c>
      <c r="U266" s="20" t="n">
        <v>41</v>
      </c>
      <c r="V266" s="20" t="n">
        <v>-195</v>
      </c>
      <c r="W266" s="20" t="n">
        <v>-133</v>
      </c>
      <c r="X266" s="20" t="n">
        <v>1110</v>
      </c>
    </row>
    <row r="267">
      <c r="A267" s="18" t="inlineStr">
        <is>
          <t>미지급법인세(외형표준과세) 증감</t>
        </is>
      </c>
      <c r="D267" s="20" t="n">
        <v>9</v>
      </c>
      <c r="F267" s="20" t="n">
        <v>18</v>
      </c>
      <c r="H267" s="20" t="n">
        <v>53</v>
      </c>
      <c r="J267" s="20" t="n">
        <v>-14</v>
      </c>
      <c r="L267" s="20" t="n">
        <v>197</v>
      </c>
      <c r="N267" s="20" t="n">
        <v>-40</v>
      </c>
      <c r="R267" s="20" t="n">
        <v>197</v>
      </c>
      <c r="S267" s="20" t="n">
        <v>377</v>
      </c>
      <c r="T267" s="20" t="n">
        <v>-323</v>
      </c>
      <c r="U267" s="20" t="n">
        <v>8</v>
      </c>
      <c r="V267" s="20" t="n">
        <v>9</v>
      </c>
      <c r="W267" s="20" t="n">
        <v>53</v>
      </c>
      <c r="X267" s="20" t="n">
        <v>197</v>
      </c>
    </row>
    <row r="268">
      <c r="A268" s="18" t="inlineStr">
        <is>
          <t>계약부채 증감</t>
        </is>
      </c>
      <c r="D268" s="20" t="n">
        <v>229</v>
      </c>
      <c r="F268" s="20" t="n">
        <v>209</v>
      </c>
      <c r="U268" s="20" t="n">
        <v>-340</v>
      </c>
      <c r="V268" s="20" t="n">
        <v>229</v>
      </c>
    </row>
    <row r="269">
      <c r="A269" s="18" t="inlineStr">
        <is>
          <t>계약부채 증감</t>
        </is>
      </c>
      <c r="D269" s="20" t="n">
        <v>229</v>
      </c>
      <c r="F269" s="20" t="n">
        <v>209</v>
      </c>
      <c r="H269" s="20" t="n">
        <v>-135</v>
      </c>
      <c r="J269" s="20" t="n">
        <v>394</v>
      </c>
      <c r="L269" s="20" t="n">
        <v>-312</v>
      </c>
      <c r="N269" s="20" t="n">
        <v>391</v>
      </c>
      <c r="V269" s="20" t="n">
        <v>229</v>
      </c>
      <c r="W269" s="20" t="n">
        <v>-135</v>
      </c>
      <c r="X269" s="20" t="n">
        <v>-312</v>
      </c>
    </row>
    <row r="270">
      <c r="A270" s="18" t="inlineStr">
        <is>
          <t>기타</t>
        </is>
      </c>
      <c r="D270" s="20" t="n">
        <v>-257</v>
      </c>
      <c r="F270" s="20" t="n">
        <v>131</v>
      </c>
      <c r="H270" s="20" t="n">
        <v>-258</v>
      </c>
      <c r="J270" s="20" t="n">
        <v>443</v>
      </c>
      <c r="L270" s="20" t="n">
        <v>1546</v>
      </c>
      <c r="N270" s="20" t="n">
        <v>-594</v>
      </c>
      <c r="O270" s="20" t="n">
        <v>-105</v>
      </c>
      <c r="P270" s="20" t="n">
        <v>-52</v>
      </c>
      <c r="Q270" s="20" t="n">
        <v>-25</v>
      </c>
      <c r="R270" s="20" t="n">
        <v>1078</v>
      </c>
      <c r="S270" s="20" t="n">
        <v>347</v>
      </c>
      <c r="T270" s="20" t="n">
        <v>841</v>
      </c>
      <c r="U270" s="20" t="n">
        <v>484</v>
      </c>
      <c r="V270" s="20" t="n">
        <v>-257</v>
      </c>
      <c r="W270" s="20" t="n">
        <v>-258</v>
      </c>
      <c r="X270" s="20" t="n">
        <v>1546</v>
      </c>
    </row>
    <row r="271">
      <c r="A271" s="18" t="inlineStr">
        <is>
          <t>소계</t>
        </is>
      </c>
      <c r="D271" s="20" t="n">
        <v>5511</v>
      </c>
      <c r="F271" s="20" t="n">
        <v>3868</v>
      </c>
      <c r="H271" s="20" t="n">
        <v>6112</v>
      </c>
      <c r="J271" s="20" t="n">
        <v>7080</v>
      </c>
      <c r="L271" s="20" t="n">
        <v>18049</v>
      </c>
      <c r="N271" s="20" t="n">
        <v>5070</v>
      </c>
      <c r="O271" s="20" t="n">
        <v>2510</v>
      </c>
      <c r="P271" s="20" t="n">
        <v>3292</v>
      </c>
      <c r="Q271" s="20" t="n">
        <v>4364</v>
      </c>
      <c r="R271" s="20" t="n">
        <v>9600</v>
      </c>
      <c r="S271" s="20" t="n">
        <v>8053</v>
      </c>
      <c r="T271" s="20" t="n">
        <v>721</v>
      </c>
      <c r="U271" s="20" t="n">
        <v>8833</v>
      </c>
      <c r="V271" s="20" t="n">
        <v>5511</v>
      </c>
      <c r="W271" s="20" t="n">
        <v>6112</v>
      </c>
      <c r="X271" s="20" t="n">
        <v>18049</v>
      </c>
    </row>
    <row r="272">
      <c r="A272" s="18" t="inlineStr">
        <is>
          <t>이자·배당금 수취</t>
        </is>
      </c>
      <c r="D272" s="20" t="n">
        <v>16</v>
      </c>
      <c r="F272" s="20" t="n">
        <v>26</v>
      </c>
      <c r="H272" s="20" t="n">
        <v>94</v>
      </c>
      <c r="J272" s="20" t="n">
        <v>191</v>
      </c>
      <c r="L272" s="20" t="n">
        <v>219</v>
      </c>
      <c r="N272" s="20" t="n">
        <v>119</v>
      </c>
      <c r="O272" s="20" t="n">
        <v>8</v>
      </c>
      <c r="P272" s="20" t="n">
        <v>8</v>
      </c>
      <c r="Q272" s="20" t="n">
        <v>58</v>
      </c>
      <c r="R272" s="20" t="n">
        <v>13</v>
      </c>
      <c r="S272" s="20" t="n">
        <v>6</v>
      </c>
      <c r="T272" s="20" t="n">
        <v>6</v>
      </c>
      <c r="U272" s="20" t="n">
        <v>28</v>
      </c>
      <c r="V272" s="20" t="n">
        <v>16</v>
      </c>
      <c r="W272" s="20" t="n">
        <v>94</v>
      </c>
      <c r="X272" s="20" t="n">
        <v>219</v>
      </c>
    </row>
    <row r="273">
      <c r="A273" s="18" t="inlineStr">
        <is>
          <t>이자 지급</t>
        </is>
      </c>
      <c r="D273" s="20" t="n">
        <v>-273</v>
      </c>
      <c r="F273" s="20" t="n">
        <v>-149</v>
      </c>
      <c r="H273" s="20" t="n">
        <v>-362</v>
      </c>
      <c r="J273" s="20" t="n">
        <v>-426</v>
      </c>
      <c r="L273" s="20" t="n">
        <v>-921</v>
      </c>
      <c r="N273" s="20" t="n">
        <v>-638</v>
      </c>
      <c r="O273" s="20" t="n">
        <v>-118</v>
      </c>
      <c r="P273" s="20" t="n">
        <v>-144</v>
      </c>
      <c r="Q273" s="20" t="n">
        <v>-208</v>
      </c>
      <c r="R273" s="20" t="n">
        <v>-432</v>
      </c>
      <c r="S273" s="20" t="n">
        <v>-598</v>
      </c>
      <c r="T273" s="20" t="n">
        <v>-558</v>
      </c>
      <c r="U273" s="20" t="n">
        <v>-551</v>
      </c>
      <c r="V273" s="20" t="n">
        <v>-273</v>
      </c>
      <c r="W273" s="20" t="n">
        <v>-362</v>
      </c>
      <c r="X273" s="20" t="n">
        <v>-921</v>
      </c>
    </row>
    <row r="274">
      <c r="A274" s="18" t="inlineStr">
        <is>
          <t>사업정리 손실 지급</t>
        </is>
      </c>
      <c r="D274" s="20" t="n">
        <v>0</v>
      </c>
      <c r="T274" s="20" t="n">
        <v>0</v>
      </c>
      <c r="U274" s="20" t="n">
        <v>-2957</v>
      </c>
      <c r="V274" s="20" t="n">
        <v>0</v>
      </c>
    </row>
    <row r="275">
      <c r="A275" s="18" t="inlineStr">
        <is>
          <t>법인세 납부</t>
        </is>
      </c>
      <c r="D275" s="20" t="n">
        <v>-1536</v>
      </c>
      <c r="F275" s="20" t="n">
        <v>-170</v>
      </c>
      <c r="H275" s="20" t="n">
        <v>-748</v>
      </c>
      <c r="J275" s="20" t="n">
        <v>-2113</v>
      </c>
      <c r="L275" s="20" t="n">
        <v>-3418</v>
      </c>
      <c r="N275" s="20" t="n">
        <v>-3729</v>
      </c>
      <c r="O275" s="20" t="n">
        <v>-1303</v>
      </c>
      <c r="P275" s="20" t="n">
        <v>-1161</v>
      </c>
      <c r="Q275" s="20" t="n">
        <v>-1728</v>
      </c>
      <c r="R275" s="20" t="n">
        <v>-2198</v>
      </c>
      <c r="S275" s="20" t="n">
        <v>-599</v>
      </c>
      <c r="T275" s="20" t="n">
        <v>-3329</v>
      </c>
      <c r="U275" s="20" t="n">
        <v>-918</v>
      </c>
      <c r="V275" s="20" t="n">
        <v>-1536</v>
      </c>
      <c r="W275" s="20" t="n">
        <v>-748</v>
      </c>
      <c r="X275" s="20" t="n">
        <v>-3418</v>
      </c>
    </row>
    <row r="276">
      <c r="A276" s="18" t="inlineStr">
        <is>
          <t>법인세 환급</t>
        </is>
      </c>
      <c r="D276" s="20" t="n">
        <v>3</v>
      </c>
      <c r="F276" s="20" t="n">
        <v>0</v>
      </c>
      <c r="H276" s="20" t="n">
        <v>0</v>
      </c>
      <c r="J276" s="20" t="n">
        <v>28</v>
      </c>
      <c r="L276" s="20" t="n">
        <v>28</v>
      </c>
      <c r="N276" s="20" t="n">
        <v>0</v>
      </c>
      <c r="R276" s="20" t="n">
        <v>5</v>
      </c>
      <c r="S276" s="20" t="n">
        <v>159</v>
      </c>
      <c r="T276" s="20" t="n">
        <v>266</v>
      </c>
      <c r="U276" s="20" t="n">
        <v>415</v>
      </c>
      <c r="V276" s="20" t="n">
        <v>3</v>
      </c>
      <c r="W276" s="20" t="n">
        <v>0</v>
      </c>
      <c r="X276" s="20" t="n">
        <v>28</v>
      </c>
    </row>
    <row r="277">
      <c r="A277" s="9" t="inlineStr">
        <is>
          <t>영업활동 현금흐름</t>
        </is>
      </c>
      <c r="D277" s="12" t="n">
        <v>3722</v>
      </c>
      <c r="F277" s="12" t="n">
        <v>3575</v>
      </c>
      <c r="H277" s="12" t="n">
        <v>5095</v>
      </c>
      <c r="J277" s="12" t="n">
        <v>4761</v>
      </c>
      <c r="L277" s="12" t="n">
        <v>13957</v>
      </c>
      <c r="N277" s="12" t="n">
        <v>823</v>
      </c>
      <c r="O277" s="12" t="n">
        <v>1096</v>
      </c>
      <c r="P277" s="12" t="n">
        <v>1995</v>
      </c>
      <c r="Q277" s="12" t="n">
        <v>2485</v>
      </c>
      <c r="R277" s="12" t="n">
        <v>6989</v>
      </c>
      <c r="S277" s="12" t="n">
        <v>7022</v>
      </c>
      <c r="T277" s="12" t="n">
        <v>-2892</v>
      </c>
      <c r="U277" s="12" t="n">
        <v>4849</v>
      </c>
      <c r="V277" s="12" t="n">
        <v>3722</v>
      </c>
      <c r="W277" s="12" t="n">
        <v>5095</v>
      </c>
      <c r="X277" s="12" t="n">
        <v>13957</v>
      </c>
    </row>
    <row r="278">
      <c r="A278" s="18" t="inlineStr">
        <is>
          <t>유형자산 취득(설비투자)</t>
        </is>
      </c>
      <c r="D278" s="20" t="n">
        <v>-1404</v>
      </c>
      <c r="F278" s="20" t="n">
        <v>-8023</v>
      </c>
      <c r="H278" s="20" t="n">
        <v>-16150</v>
      </c>
      <c r="J278" s="20" t="n">
        <v>-6793</v>
      </c>
      <c r="L278" s="20" t="n">
        <v>-9742</v>
      </c>
      <c r="N278" s="20" t="n">
        <v>-6458</v>
      </c>
      <c r="O278" s="20" t="n">
        <v>-6769</v>
      </c>
      <c r="P278" s="20" t="n">
        <v>-9498</v>
      </c>
      <c r="Q278" s="20" t="n">
        <v>-9515</v>
      </c>
      <c r="R278" s="20" t="n">
        <v>-9808</v>
      </c>
      <c r="S278" s="20" t="n">
        <v>-4922</v>
      </c>
      <c r="T278" s="20" t="n">
        <v>-1510</v>
      </c>
      <c r="U278" s="20" t="n">
        <v>-1311</v>
      </c>
      <c r="V278" s="20" t="n">
        <v>-1404</v>
      </c>
      <c r="W278" s="20" t="n">
        <v>-16150</v>
      </c>
      <c r="X278" s="20" t="n">
        <v>-9742</v>
      </c>
    </row>
    <row r="279">
      <c r="A279" s="18" t="inlineStr">
        <is>
          <t>유형자산 매각</t>
        </is>
      </c>
      <c r="D279" s="20" t="n">
        <v>0</v>
      </c>
      <c r="H279" s="20" t="n">
        <v>0</v>
      </c>
      <c r="L279" s="20" t="n">
        <v>13941</v>
      </c>
      <c r="O279" s="20" t="n">
        <v>0</v>
      </c>
      <c r="P279" s="20" t="n">
        <v>3130</v>
      </c>
      <c r="Q279" s="20" t="n">
        <v>4</v>
      </c>
      <c r="R279" s="20" t="n">
        <v>5</v>
      </c>
      <c r="S279" s="20" t="n">
        <v>4034</v>
      </c>
      <c r="T279" s="20" t="n">
        <v>2930</v>
      </c>
      <c r="U279" s="20" t="n">
        <v>1210</v>
      </c>
      <c r="V279" s="20" t="n">
        <v>0</v>
      </c>
      <c r="W279" s="20" t="n">
        <v>0</v>
      </c>
      <c r="X279" s="20" t="n">
        <v>13941</v>
      </c>
    </row>
    <row r="280">
      <c r="A280" s="18" t="inlineStr">
        <is>
          <t>무형자산 취득</t>
        </is>
      </c>
      <c r="O280" s="20" t="n">
        <v>-31</v>
      </c>
      <c r="P280" s="20" t="n">
        <v>-83</v>
      </c>
    </row>
    <row r="281">
      <c r="A281" s="18" t="inlineStr">
        <is>
          <t>투자유가증권 취득</t>
        </is>
      </c>
      <c r="D281" s="20" t="n">
        <v>-3259</v>
      </c>
      <c r="F281" s="20" t="n">
        <v>-3423</v>
      </c>
      <c r="H281" s="20" t="n">
        <v>-7619</v>
      </c>
      <c r="J281" s="20" t="n">
        <v>-577</v>
      </c>
      <c r="L281" s="20" t="n">
        <v>-3332</v>
      </c>
      <c r="N281" s="20" t="n">
        <v>-754</v>
      </c>
      <c r="O281" s="20" t="n">
        <v>-400</v>
      </c>
      <c r="P281" s="20" t="n">
        <v>-1058</v>
      </c>
      <c r="Q281" s="20" t="n">
        <v>-9</v>
      </c>
      <c r="R281" s="20" t="n">
        <v>-50</v>
      </c>
      <c r="S281" s="20" t="n">
        <v>-572</v>
      </c>
      <c r="T281" s="20" t="n">
        <v>0</v>
      </c>
      <c r="U281" s="20" t="n">
        <v>-499</v>
      </c>
      <c r="V281" s="20" t="n">
        <v>-3259</v>
      </c>
      <c r="W281" s="20" t="n">
        <v>-7619</v>
      </c>
      <c r="X281" s="20" t="n">
        <v>-3332</v>
      </c>
    </row>
    <row r="282">
      <c r="A282" s="18" t="inlineStr">
        <is>
          <t>장기대여</t>
        </is>
      </c>
      <c r="O282" s="20" t="n">
        <v>0</v>
      </c>
      <c r="P282" s="20" t="n">
        <v>-178</v>
      </c>
    </row>
    <row r="283">
      <c r="A283" s="18" t="inlineStr">
        <is>
          <t>투자유가증권 매각</t>
        </is>
      </c>
      <c r="D283" s="20" t="n">
        <v>0</v>
      </c>
      <c r="F283" s="20" t="n">
        <v>106</v>
      </c>
      <c r="H283" s="20" t="n">
        <v>2222</v>
      </c>
      <c r="J283" s="20" t="n">
        <v>85</v>
      </c>
      <c r="L283" s="20" t="n">
        <v>210</v>
      </c>
      <c r="N283" s="20" t="n">
        <v>0</v>
      </c>
      <c r="Q283" s="20" t="n">
        <v>0</v>
      </c>
      <c r="R283" s="20" t="n">
        <v>399</v>
      </c>
      <c r="S283" s="20" t="n">
        <v>0</v>
      </c>
      <c r="V283" s="20" t="n">
        <v>0</v>
      </c>
      <c r="W283" s="20" t="n">
        <v>2222</v>
      </c>
      <c r="X283" s="20" t="n">
        <v>210</v>
      </c>
    </row>
    <row r="284">
      <c r="A284" s="18" t="inlineStr">
        <is>
          <t>예수보증금 수입</t>
        </is>
      </c>
      <c r="Q284" s="20" t="n">
        <v>0</v>
      </c>
      <c r="R284" s="20" t="n">
        <v>262</v>
      </c>
    </row>
    <row r="285">
      <c r="A285" s="18" t="inlineStr">
        <is>
          <t>장기대여금 회수</t>
        </is>
      </c>
      <c r="D285" s="20" t="n">
        <v>2</v>
      </c>
      <c r="H285" s="20" t="n">
        <v>74</v>
      </c>
      <c r="L285" s="20" t="n">
        <v>26</v>
      </c>
      <c r="O285" s="20" t="n">
        <v>16</v>
      </c>
      <c r="P285" s="20" t="n">
        <v>43</v>
      </c>
      <c r="T285" s="20" t="n">
        <v>22</v>
      </c>
      <c r="U285" s="20" t="n">
        <v>3116</v>
      </c>
      <c r="V285" s="20" t="n">
        <v>2</v>
      </c>
      <c r="W285" s="20" t="n">
        <v>74</v>
      </c>
      <c r="X285" s="20" t="n">
        <v>26</v>
      </c>
    </row>
    <row r="286">
      <c r="A286" s="18" t="inlineStr">
        <is>
          <t>임차보증금·보증금 납입</t>
        </is>
      </c>
      <c r="D286" s="20" t="n">
        <v>-1567</v>
      </c>
      <c r="F286" s="20" t="n">
        <v>-369</v>
      </c>
      <c r="H286" s="20" t="n">
        <v>-840</v>
      </c>
      <c r="J286" s="20" t="n">
        <v>-2063</v>
      </c>
      <c r="L286" s="20" t="n">
        <v>-2966</v>
      </c>
      <c r="N286" s="20" t="n">
        <v>-432</v>
      </c>
      <c r="O286" s="20" t="n">
        <v>-776</v>
      </c>
      <c r="P286" s="20" t="n">
        <v>-983</v>
      </c>
      <c r="Q286" s="20" t="n">
        <v>-1656</v>
      </c>
      <c r="R286" s="20" t="n">
        <v>-4104</v>
      </c>
      <c r="S286" s="20" t="n">
        <v>-572</v>
      </c>
      <c r="T286" s="20" t="n">
        <v>-462</v>
      </c>
      <c r="U286" s="20" t="n">
        <v>-259</v>
      </c>
      <c r="V286" s="20" t="n">
        <v>-1567</v>
      </c>
      <c r="W286" s="20" t="n">
        <v>-840</v>
      </c>
      <c r="X286" s="20" t="n">
        <v>-2966</v>
      </c>
    </row>
    <row r="287">
      <c r="A287" s="18" t="inlineStr">
        <is>
          <t>임차보증금·보증금 회수</t>
        </is>
      </c>
      <c r="D287" s="20" t="n">
        <v>818</v>
      </c>
      <c r="F287" s="20" t="n">
        <v>80</v>
      </c>
      <c r="H287" s="20" t="n">
        <v>215</v>
      </c>
      <c r="J287" s="20" t="n">
        <v>111</v>
      </c>
      <c r="L287" s="20" t="n">
        <v>146</v>
      </c>
      <c r="N287" s="20" t="n">
        <v>160</v>
      </c>
      <c r="O287" s="20" t="n">
        <v>252</v>
      </c>
      <c r="P287" s="20" t="n">
        <v>67</v>
      </c>
      <c r="Q287" s="20" t="n">
        <v>199</v>
      </c>
      <c r="R287" s="20" t="n">
        <v>542</v>
      </c>
      <c r="S287" s="20" t="n">
        <v>3563</v>
      </c>
      <c r="T287" s="20" t="n">
        <v>403</v>
      </c>
      <c r="U287" s="20" t="n">
        <v>391</v>
      </c>
      <c r="V287" s="20" t="n">
        <v>818</v>
      </c>
      <c r="W287" s="20" t="n">
        <v>215</v>
      </c>
      <c r="X287" s="20" t="n">
        <v>146</v>
      </c>
    </row>
    <row r="288">
      <c r="A288" s="18" t="inlineStr">
        <is>
          <t>자산복구부채 이행 지출</t>
        </is>
      </c>
      <c r="O288" s="20" t="n">
        <v>-2</v>
      </c>
      <c r="P288" s="20" t="n">
        <v>-7</v>
      </c>
    </row>
    <row r="289">
      <c r="A289" s="18" t="inlineStr">
        <is>
          <t>사업양수 지출</t>
        </is>
      </c>
      <c r="D289" s="20" t="n">
        <v>0</v>
      </c>
      <c r="H289" s="20" t="n">
        <v>-967</v>
      </c>
      <c r="L289" s="20" t="n">
        <v>0</v>
      </c>
      <c r="V289" s="20" t="n">
        <v>0</v>
      </c>
      <c r="W289" s="20" t="n">
        <v>-967</v>
      </c>
      <c r="X289" s="20" t="n">
        <v>0</v>
      </c>
    </row>
    <row r="290">
      <c r="A290" s="18" t="inlineStr">
        <is>
          <t>연결범위 변경 자회사 주식 취득</t>
        </is>
      </c>
      <c r="F290" s="20" t="n">
        <v>0</v>
      </c>
      <c r="H290" s="20" t="n">
        <v>0</v>
      </c>
      <c r="J290" s="20" t="n">
        <v>-73</v>
      </c>
      <c r="L290" s="20" t="n">
        <v>-73</v>
      </c>
      <c r="N290" s="20" t="n">
        <v>-1725</v>
      </c>
      <c r="Q290" s="20" t="n">
        <v>0</v>
      </c>
      <c r="R290" s="20" t="n">
        <v>-45570</v>
      </c>
      <c r="S290" s="20" t="n">
        <v>0</v>
      </c>
      <c r="W290" s="20" t="n">
        <v>0</v>
      </c>
      <c r="X290" s="20" t="n">
        <v>-73</v>
      </c>
    </row>
    <row r="291">
      <c r="A291" s="18" t="inlineStr">
        <is>
          <t>연결범위 변경 자회사 주식 취득(수입)</t>
        </is>
      </c>
      <c r="D291" s="20" t="n">
        <v>0</v>
      </c>
      <c r="F291" s="20" t="n">
        <v>1236</v>
      </c>
      <c r="H291" s="20" t="n">
        <v>2219</v>
      </c>
      <c r="J291" s="20" t="n">
        <v>0</v>
      </c>
      <c r="L291" s="20" t="n">
        <v>4268</v>
      </c>
      <c r="O291" s="20" t="n">
        <v>0</v>
      </c>
      <c r="P291" s="20" t="n">
        <v>15</v>
      </c>
      <c r="Q291" s="20" t="n">
        <v>0</v>
      </c>
      <c r="V291" s="20" t="n">
        <v>0</v>
      </c>
      <c r="W291" s="20" t="n">
        <v>2219</v>
      </c>
      <c r="X291" s="20" t="n">
        <v>4268</v>
      </c>
    </row>
    <row r="292">
      <c r="A292" s="18" t="inlineStr">
        <is>
          <t>연결범위 변경 자회사 주식 매각</t>
        </is>
      </c>
      <c r="D292" s="20" t="n">
        <v>685</v>
      </c>
      <c r="F292" s="20" t="n">
        <v>0</v>
      </c>
      <c r="H292" s="20" t="n">
        <v>0</v>
      </c>
      <c r="P292" s="20" t="n">
        <v>0</v>
      </c>
      <c r="Q292" s="20" t="n">
        <v>45</v>
      </c>
      <c r="R292" s="20" t="n">
        <v>0</v>
      </c>
      <c r="T292" s="20" t="n">
        <v>0</v>
      </c>
      <c r="U292" s="20" t="n">
        <v>34727</v>
      </c>
      <c r="V292" s="20" t="n">
        <v>685</v>
      </c>
      <c r="W292" s="20" t="n">
        <v>0</v>
      </c>
    </row>
    <row r="293">
      <c r="A293" s="18" t="inlineStr">
        <is>
          <t>기타</t>
        </is>
      </c>
      <c r="D293" s="20" t="n">
        <v>-282</v>
      </c>
      <c r="F293" s="20" t="n">
        <v>-226</v>
      </c>
      <c r="H293" s="20" t="n">
        <v>-453</v>
      </c>
      <c r="J293" s="20" t="n">
        <v>-246</v>
      </c>
      <c r="L293" s="20" t="n">
        <v>-438</v>
      </c>
      <c r="N293" s="20" t="n">
        <v>-98</v>
      </c>
      <c r="O293" s="20" t="n">
        <v>6</v>
      </c>
      <c r="P293" s="20" t="n">
        <v>-188</v>
      </c>
      <c r="Q293" s="20" t="n">
        <v>-351</v>
      </c>
      <c r="R293" s="20" t="n">
        <v>-132</v>
      </c>
      <c r="S293" s="20" t="n">
        <v>-390</v>
      </c>
      <c r="T293" s="20" t="n">
        <v>-154</v>
      </c>
      <c r="U293" s="20" t="n">
        <v>-410</v>
      </c>
      <c r="V293" s="20" t="n">
        <v>-282</v>
      </c>
      <c r="W293" s="20" t="n">
        <v>-453</v>
      </c>
      <c r="X293" s="20" t="n">
        <v>-438</v>
      </c>
    </row>
    <row r="294">
      <c r="A294" s="9" t="inlineStr">
        <is>
          <t>투자활동 현금흐름</t>
        </is>
      </c>
      <c r="D294" s="12" t="n">
        <v>-5006</v>
      </c>
      <c r="F294" s="12" t="n">
        <v>-10620</v>
      </c>
      <c r="H294" s="12" t="n">
        <v>-21300</v>
      </c>
      <c r="J294" s="12" t="n">
        <v>-9557</v>
      </c>
      <c r="L294" s="12" t="n">
        <v>2039</v>
      </c>
      <c r="N294" s="12" t="n">
        <v>-9308</v>
      </c>
      <c r="O294" s="12" t="n">
        <v>-7705</v>
      </c>
      <c r="P294" s="12" t="n">
        <v>-8515</v>
      </c>
      <c r="Q294" s="12" t="n">
        <v>-11283</v>
      </c>
      <c r="R294" s="12" t="n">
        <v>-58718</v>
      </c>
      <c r="S294" s="12" t="n">
        <v>1140</v>
      </c>
      <c r="T294" s="12" t="n">
        <v>1228</v>
      </c>
      <c r="U294" s="12" t="n">
        <v>36963</v>
      </c>
      <c r="V294" s="12" t="n">
        <v>-5006</v>
      </c>
      <c r="W294" s="12" t="n">
        <v>-21300</v>
      </c>
      <c r="X294" s="12" t="n">
        <v>2039</v>
      </c>
    </row>
    <row r="295">
      <c r="A295" s="18" t="inlineStr">
        <is>
          <t>단기차입</t>
        </is>
      </c>
      <c r="O295" s="20" t="n">
        <v>200</v>
      </c>
      <c r="P295" s="20" t="n">
        <v>3300</v>
      </c>
    </row>
    <row r="296">
      <c r="A296" s="18" t="inlineStr">
        <is>
          <t>단기차입금 상환</t>
        </is>
      </c>
      <c r="O296" s="20" t="n">
        <v>-210</v>
      </c>
      <c r="P296" s="20" t="n">
        <v>-3300</v>
      </c>
    </row>
    <row r="297">
      <c r="A297" s="18" t="inlineStr">
        <is>
          <t>신주예약권 발행</t>
        </is>
      </c>
      <c r="R297" s="20" t="n">
        <v>0</v>
      </c>
      <c r="S297" s="20" t="n">
        <v>57</v>
      </c>
      <c r="T297" s="20" t="n">
        <v>0</v>
      </c>
    </row>
    <row r="298">
      <c r="A298" s="18" t="inlineStr">
        <is>
          <t>주식 발행</t>
        </is>
      </c>
      <c r="Q298" s="20" t="n">
        <v>0</v>
      </c>
      <c r="R298" s="20" t="n">
        <v>23418</v>
      </c>
      <c r="S298" s="20" t="n">
        <v>0</v>
      </c>
    </row>
    <row r="299">
      <c r="A299" s="18" t="inlineStr">
        <is>
          <t>신주예약권 행사에 따른 주식 발행</t>
        </is>
      </c>
      <c r="D299" s="20" t="n">
        <v>49</v>
      </c>
      <c r="F299" s="20" t="n">
        <v>0</v>
      </c>
      <c r="H299" s="20" t="n">
        <v>30</v>
      </c>
      <c r="J299" s="20" t="n">
        <v>4</v>
      </c>
      <c r="L299" s="20" t="n">
        <v>47</v>
      </c>
      <c r="N299" s="20" t="n">
        <v>155</v>
      </c>
      <c r="P299" s="20" t="n">
        <v>0</v>
      </c>
      <c r="Q299" s="20" t="n">
        <v>53</v>
      </c>
      <c r="R299" s="20" t="n">
        <v>57</v>
      </c>
      <c r="S299" s="20" t="n">
        <v>789</v>
      </c>
      <c r="T299" s="20" t="n">
        <v>7659</v>
      </c>
      <c r="U299" s="20" t="n">
        <v>37</v>
      </c>
      <c r="V299" s="20" t="n">
        <v>49</v>
      </c>
      <c r="W299" s="20" t="n">
        <v>30</v>
      </c>
      <c r="X299" s="20" t="n">
        <v>47</v>
      </c>
    </row>
    <row r="300">
      <c r="A300" s="18" t="inlineStr">
        <is>
          <t>사채 발행</t>
        </is>
      </c>
      <c r="O300" s="20" t="n">
        <v>1853</v>
      </c>
      <c r="P300" s="20" t="n">
        <v>983</v>
      </c>
      <c r="Q300" s="20" t="n">
        <v>2953</v>
      </c>
      <c r="R300" s="20" t="n">
        <v>0</v>
      </c>
    </row>
    <row r="301">
      <c r="A301" s="18" t="inlineStr">
        <is>
          <t>자기주식 취득</t>
        </is>
      </c>
      <c r="D301" s="20" t="n">
        <v>0</v>
      </c>
      <c r="F301" s="20" t="n">
        <v>0</v>
      </c>
      <c r="H301" s="20" t="n">
        <v>-2870</v>
      </c>
      <c r="J301" s="20" t="n">
        <v>-4049</v>
      </c>
      <c r="L301" s="20" t="n">
        <v>-4049</v>
      </c>
      <c r="N301" s="20" t="n">
        <v>-3499</v>
      </c>
      <c r="V301" s="20" t="n">
        <v>0</v>
      </c>
      <c r="W301" s="20" t="n">
        <v>-2870</v>
      </c>
      <c r="X301" s="20" t="n">
        <v>-4049</v>
      </c>
    </row>
    <row r="302">
      <c r="A302" s="18" t="inlineStr">
        <is>
          <t>단기차입금 순증감</t>
        </is>
      </c>
      <c r="J302" s="20" t="n">
        <v>52</v>
      </c>
      <c r="N302" s="20" t="n">
        <v>920</v>
      </c>
    </row>
    <row r="303">
      <c r="A303" s="18" t="inlineStr">
        <is>
          <t>장기차입</t>
        </is>
      </c>
      <c r="D303" s="20" t="n">
        <v>7500</v>
      </c>
      <c r="F303" s="20" t="n">
        <v>3348</v>
      </c>
      <c r="H303" s="20" t="n">
        <v>7550</v>
      </c>
      <c r="J303" s="20" t="n">
        <v>16965</v>
      </c>
      <c r="L303" s="20" t="n">
        <v>32995</v>
      </c>
      <c r="N303" s="20" t="n">
        <v>3550</v>
      </c>
      <c r="O303" s="20" t="n">
        <v>6737</v>
      </c>
      <c r="P303" s="20" t="n">
        <v>9250</v>
      </c>
      <c r="Q303" s="20" t="n">
        <v>16543</v>
      </c>
      <c r="R303" s="20" t="n">
        <v>34304</v>
      </c>
      <c r="S303" s="20" t="n">
        <v>5855</v>
      </c>
      <c r="T303" s="20" t="n">
        <v>5200</v>
      </c>
      <c r="U303" s="20" t="n">
        <v>1300</v>
      </c>
      <c r="V303" s="20" t="n">
        <v>7500</v>
      </c>
      <c r="W303" s="20" t="n">
        <v>7550</v>
      </c>
      <c r="X303" s="20" t="n">
        <v>32995</v>
      </c>
    </row>
    <row r="304">
      <c r="A304" s="18" t="inlineStr">
        <is>
          <t>장기차입금 상환</t>
        </is>
      </c>
      <c r="D304" s="20" t="n">
        <v>-6471</v>
      </c>
      <c r="F304" s="20" t="n">
        <v>-2487</v>
      </c>
      <c r="H304" s="20" t="n">
        <v>-5620</v>
      </c>
      <c r="J304" s="20" t="n">
        <v>-5584</v>
      </c>
      <c r="L304" s="20" t="n">
        <v>-12190</v>
      </c>
      <c r="N304" s="20" t="n">
        <v>-6865</v>
      </c>
      <c r="O304" s="20" t="n">
        <v>-1490</v>
      </c>
      <c r="P304" s="20" t="n">
        <v>-4816</v>
      </c>
      <c r="Q304" s="20" t="n">
        <v>-3490</v>
      </c>
      <c r="R304" s="20" t="n">
        <v>-7371</v>
      </c>
      <c r="S304" s="20" t="n">
        <v>-9119</v>
      </c>
      <c r="T304" s="20" t="n">
        <v>-11061</v>
      </c>
      <c r="U304" s="20" t="n">
        <v>-20718</v>
      </c>
      <c r="V304" s="20" t="n">
        <v>-6471</v>
      </c>
      <c r="W304" s="20" t="n">
        <v>-5620</v>
      </c>
      <c r="X304" s="20" t="n">
        <v>-12190</v>
      </c>
    </row>
    <row r="305">
      <c r="A305" s="18" t="inlineStr">
        <is>
          <t>사채 상환</t>
        </is>
      </c>
      <c r="D305" s="20" t="n">
        <v>-485</v>
      </c>
      <c r="F305" s="20" t="n">
        <v>-217</v>
      </c>
      <c r="H305" s="20" t="n">
        <v>-390</v>
      </c>
      <c r="J305" s="20" t="n">
        <v>-172</v>
      </c>
      <c r="L305" s="20" t="n">
        <v>-840</v>
      </c>
      <c r="N305" s="20" t="n">
        <v>-180</v>
      </c>
      <c r="O305" s="20" t="n">
        <v>-780</v>
      </c>
      <c r="P305" s="20" t="n">
        <v>-805</v>
      </c>
      <c r="Q305" s="20" t="n">
        <v>-990</v>
      </c>
      <c r="R305" s="20" t="n">
        <v>-1040</v>
      </c>
      <c r="S305" s="20" t="n">
        <v>-1015</v>
      </c>
      <c r="T305" s="20" t="n">
        <v>-855</v>
      </c>
      <c r="U305" s="20" t="n">
        <v>-1169</v>
      </c>
      <c r="V305" s="20" t="n">
        <v>-485</v>
      </c>
      <c r="W305" s="20" t="n">
        <v>-390</v>
      </c>
      <c r="X305" s="20" t="n">
        <v>-840</v>
      </c>
    </row>
    <row r="306">
      <c r="A306" s="18" t="inlineStr">
        <is>
          <t>자기주식 매각</t>
        </is>
      </c>
      <c r="O306" s="20" t="n">
        <v>0</v>
      </c>
      <c r="P306" s="20" t="n">
        <v>2153</v>
      </c>
      <c r="Q306" s="20" t="n">
        <v>0</v>
      </c>
    </row>
    <row r="307">
      <c r="A307" s="18" t="inlineStr">
        <is>
          <t>리스부채 상환</t>
        </is>
      </c>
      <c r="O307" s="20" t="n">
        <v>-27</v>
      </c>
      <c r="P307" s="20" t="n">
        <v>-29</v>
      </c>
      <c r="R307" s="20" t="n">
        <v>-137</v>
      </c>
      <c r="S307" s="20" t="n">
        <v>-507</v>
      </c>
      <c r="T307" s="20" t="n">
        <v>-601</v>
      </c>
      <c r="U307" s="20" t="n">
        <v>-718</v>
      </c>
    </row>
    <row r="308">
      <c r="A308" s="18" t="inlineStr">
        <is>
          <t>비지배주주 납입</t>
        </is>
      </c>
      <c r="O308" s="20" t="n">
        <v>28</v>
      </c>
      <c r="P308" s="20" t="n">
        <v>0</v>
      </c>
      <c r="Q308" s="20" t="n">
        <v>0</v>
      </c>
      <c r="R308" s="20" t="n">
        <v>13000</v>
      </c>
      <c r="S308" s="20" t="n">
        <v>1800</v>
      </c>
      <c r="T308" s="20" t="n">
        <v>0</v>
      </c>
    </row>
    <row r="309">
      <c r="A309" s="18" t="inlineStr">
        <is>
          <t>기타 수입</t>
        </is>
      </c>
      <c r="O309" s="20" t="n">
        <v>0</v>
      </c>
      <c r="P309" s="20" t="n">
        <v>0</v>
      </c>
    </row>
    <row r="310">
      <c r="A310" s="18" t="inlineStr">
        <is>
          <t>비지배주주 환급</t>
        </is>
      </c>
      <c r="D310" s="20" t="n">
        <v>0</v>
      </c>
      <c r="Q310" s="20" t="n">
        <v>0</v>
      </c>
      <c r="R310" s="20" t="n">
        <v>-13149</v>
      </c>
      <c r="S310" s="20" t="n">
        <v>-44</v>
      </c>
      <c r="T310" s="20" t="n">
        <v>-15</v>
      </c>
      <c r="U310" s="20" t="n">
        <v>-1800</v>
      </c>
      <c r="V310" s="20" t="n">
        <v>0</v>
      </c>
    </row>
    <row r="311">
      <c r="A311" s="18" t="inlineStr">
        <is>
          <t>비지배주주 배당금 지급</t>
        </is>
      </c>
      <c r="F311" s="20" t="n">
        <v>0</v>
      </c>
      <c r="H311" s="20" t="n">
        <v>0</v>
      </c>
      <c r="J311" s="20" t="n">
        <v>-208</v>
      </c>
      <c r="L311" s="20" t="n">
        <v>-208</v>
      </c>
      <c r="N311" s="20" t="n">
        <v>-208</v>
      </c>
      <c r="Q311" s="20" t="n">
        <v>0</v>
      </c>
      <c r="R311" s="20" t="n">
        <v>-149</v>
      </c>
      <c r="W311" s="20" t="n">
        <v>0</v>
      </c>
      <c r="X311" s="20" t="n">
        <v>-208</v>
      </c>
    </row>
    <row r="312">
      <c r="A312" s="18" t="inlineStr">
        <is>
          <t>기타</t>
        </is>
      </c>
      <c r="D312" s="20" t="n">
        <v>99</v>
      </c>
      <c r="F312" s="20" t="n">
        <v>0</v>
      </c>
      <c r="H312" s="20" t="n">
        <v>-36</v>
      </c>
      <c r="J312" s="20" t="n">
        <v>-21</v>
      </c>
      <c r="L312" s="20" t="n">
        <v>-710</v>
      </c>
      <c r="N312" s="20" t="n">
        <v>-43</v>
      </c>
      <c r="P312" s="20" t="n">
        <v>-29</v>
      </c>
      <c r="Q312" s="20" t="n">
        <v>-3</v>
      </c>
      <c r="R312" s="20" t="n">
        <v>2</v>
      </c>
      <c r="S312" s="20" t="n">
        <v>-50</v>
      </c>
      <c r="T312" s="20" t="n">
        <v>-32</v>
      </c>
      <c r="U312" s="20" t="n">
        <v>-812</v>
      </c>
      <c r="V312" s="20" t="n">
        <v>99</v>
      </c>
      <c r="W312" s="20" t="n">
        <v>-36</v>
      </c>
      <c r="X312" s="20" t="n">
        <v>-710</v>
      </c>
    </row>
    <row r="313">
      <c r="A313" s="9" t="inlineStr">
        <is>
          <t>재무활동 현금흐름</t>
        </is>
      </c>
      <c r="D313" s="12" t="n">
        <v>692</v>
      </c>
      <c r="F313" s="12" t="n">
        <v>643</v>
      </c>
      <c r="H313" s="12" t="n">
        <v>-1336</v>
      </c>
      <c r="J313" s="12" t="n">
        <v>6984</v>
      </c>
      <c r="L313" s="12" t="n">
        <v>15043</v>
      </c>
      <c r="N313" s="12" t="n">
        <v>-6171</v>
      </c>
      <c r="O313" s="12" t="n">
        <v>6310</v>
      </c>
      <c r="P313" s="12" t="n">
        <v>6735</v>
      </c>
      <c r="Q313" s="12" t="n">
        <v>15064</v>
      </c>
      <c r="R313" s="12" t="n">
        <v>49082</v>
      </c>
      <c r="S313" s="12" t="n">
        <v>-2191</v>
      </c>
      <c r="T313" s="12" t="n">
        <v>292</v>
      </c>
      <c r="U313" s="12" t="n">
        <v>-23162</v>
      </c>
      <c r="V313" s="12" t="n">
        <v>692</v>
      </c>
      <c r="W313" s="12" t="n">
        <v>-1336</v>
      </c>
      <c r="X313" s="12" t="n">
        <v>15043</v>
      </c>
    </row>
    <row r="314">
      <c r="A314" s="18" t="inlineStr">
        <is>
          <t>현금성자산 환산차이</t>
        </is>
      </c>
      <c r="D314" s="20" t="n">
        <v>0</v>
      </c>
      <c r="F314" s="20" t="n">
        <v>0</v>
      </c>
      <c r="H314" s="20" t="n">
        <v>0</v>
      </c>
      <c r="J314" s="20" t="n">
        <v>-4</v>
      </c>
      <c r="L314" s="20" t="n">
        <v>0</v>
      </c>
      <c r="N314" s="20" t="n">
        <v>0</v>
      </c>
      <c r="O314" s="20" t="n">
        <v>-7</v>
      </c>
      <c r="P314" s="20" t="n">
        <v>-3</v>
      </c>
      <c r="Q314" s="20" t="n">
        <v>-4</v>
      </c>
      <c r="R314" s="20" t="n">
        <v>-189</v>
      </c>
      <c r="S314" s="20" t="n">
        <v>92</v>
      </c>
      <c r="T314" s="20" t="n">
        <v>106</v>
      </c>
      <c r="U314" s="20" t="n">
        <v>79</v>
      </c>
      <c r="V314" s="20" t="n">
        <v>0</v>
      </c>
      <c r="W314" s="20" t="n">
        <v>0</v>
      </c>
      <c r="X314" s="20" t="n">
        <v>0</v>
      </c>
    </row>
    <row r="315">
      <c r="A315" s="18" t="inlineStr">
        <is>
          <t>현금성자산 증감</t>
        </is>
      </c>
      <c r="D315" s="20" t="n">
        <v>-592</v>
      </c>
      <c r="F315" s="20" t="n">
        <v>-6400</v>
      </c>
      <c r="H315" s="20" t="n">
        <v>-17540</v>
      </c>
      <c r="J315" s="20" t="n">
        <v>2183</v>
      </c>
      <c r="L315" s="20" t="n">
        <v>31040</v>
      </c>
      <c r="N315" s="20" t="n">
        <v>-14657</v>
      </c>
      <c r="O315" s="20" t="n">
        <v>-305</v>
      </c>
      <c r="P315" s="20" t="n">
        <v>211</v>
      </c>
      <c r="Q315" s="20" t="n">
        <v>6261</v>
      </c>
      <c r="R315" s="20" t="n">
        <v>-2835</v>
      </c>
      <c r="S315" s="20" t="n">
        <v>6063</v>
      </c>
      <c r="T315" s="20" t="n">
        <v>-1264</v>
      </c>
      <c r="U315" s="20" t="n">
        <v>18729</v>
      </c>
      <c r="V315" s="20" t="n">
        <v>-592</v>
      </c>
      <c r="W315" s="20" t="n">
        <v>-17540</v>
      </c>
      <c r="X315" s="20" t="n">
        <v>31040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TKP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36467</v>
      </c>
      <c r="D5" s="12" t="n">
        <v>47013</v>
      </c>
      <c r="E5" s="12" t="n">
        <v>68561</v>
      </c>
      <c r="F5" s="12" t="n">
        <v>60942</v>
      </c>
      <c r="G5" s="12" t="n">
        <v>54186</v>
      </c>
      <c r="H5" s="11" t="n">
        <v>22803</v>
      </c>
      <c r="I5" s="12" t="n">
        <v>38301</v>
      </c>
      <c r="J5" s="12" t="n">
        <v>37436</v>
      </c>
      <c r="K5" s="12" t="n">
        <v>35274</v>
      </c>
      <c r="L5" s="12" t="n">
        <v>68561</v>
      </c>
    </row>
    <row r="6">
      <c r="A6" s="18" t="inlineStr">
        <is>
          <t>현금및현금성자산</t>
        </is>
      </c>
      <c r="B6" s="10" t="n"/>
      <c r="C6" s="19" t="n">
        <v>16711</v>
      </c>
      <c r="D6" s="20" t="n">
        <v>22518</v>
      </c>
      <c r="E6" s="20" t="n">
        <v>45569</v>
      </c>
      <c r="F6" s="20" t="n">
        <v>35373</v>
      </c>
      <c r="G6" s="20" t="n">
        <v>30726</v>
      </c>
      <c r="H6" s="19" t="n">
        <v>13931</v>
      </c>
      <c r="I6" s="20" t="n">
        <v>32661</v>
      </c>
      <c r="J6" s="20" t="n">
        <v>32069</v>
      </c>
      <c r="K6" s="20" t="n">
        <v>14528</v>
      </c>
      <c r="L6" s="20" t="n">
        <v>45569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9447</v>
      </c>
      <c r="D8" s="20" t="n">
        <v>12031</v>
      </c>
      <c r="E8" s="20" t="n">
        <v>10734</v>
      </c>
      <c r="F8" s="20" t="n">
        <v>11800</v>
      </c>
      <c r="G8" s="20" t="n">
        <v>10060</v>
      </c>
      <c r="H8" s="19" t="n">
        <v>3558</v>
      </c>
      <c r="I8" s="20" t="n">
        <v>3464</v>
      </c>
      <c r="J8" s="20" t="n">
        <v>3915</v>
      </c>
      <c r="K8" s="20" t="n">
        <v>10553</v>
      </c>
      <c r="L8" s="20" t="n">
        <v>10734</v>
      </c>
    </row>
    <row r="9">
      <c r="A9" s="18" t="inlineStr">
        <is>
          <t>재고자산</t>
        </is>
      </c>
      <c r="B9" s="10" t="n"/>
      <c r="C9" s="19" t="n">
        <v>3791</v>
      </c>
      <c r="D9" s="20" t="n">
        <v>4773</v>
      </c>
      <c r="E9" s="20" t="n">
        <v>4461</v>
      </c>
      <c r="F9" s="20" t="n">
        <v>4487</v>
      </c>
      <c r="G9" s="20" t="n">
        <v>3954</v>
      </c>
      <c r="H9" s="19" t="n"/>
      <c r="I9" s="20" t="n"/>
      <c r="J9" s="20" t="n">
        <v>0</v>
      </c>
      <c r="K9" s="20" t="n">
        <v>6792</v>
      </c>
      <c r="L9" s="20" t="n">
        <v>4461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93492</v>
      </c>
      <c r="D11" s="12" t="n">
        <v>104271</v>
      </c>
      <c r="E11" s="12" t="n">
        <v>102393</v>
      </c>
      <c r="F11" s="12" t="n">
        <v>109705</v>
      </c>
      <c r="G11" s="12" t="n">
        <v>110816</v>
      </c>
      <c r="H11" s="11" t="n">
        <v>88477</v>
      </c>
      <c r="I11" s="12" t="n">
        <v>33788</v>
      </c>
      <c r="J11" s="12" t="n">
        <v>42235</v>
      </c>
      <c r="K11" s="12" t="n">
        <v>86119</v>
      </c>
      <c r="L11" s="12" t="n">
        <v>102393</v>
      </c>
    </row>
    <row r="12">
      <c r="A12" s="18" t="inlineStr">
        <is>
          <t>유형자산</t>
        </is>
      </c>
      <c r="B12" s="10" t="n"/>
      <c r="C12" s="19" t="n">
        <v>57046</v>
      </c>
      <c r="D12" s="20" t="n">
        <v>62514</v>
      </c>
      <c r="E12" s="20" t="n">
        <v>59826</v>
      </c>
      <c r="F12" s="20" t="n">
        <v>65660</v>
      </c>
      <c r="G12" s="20" t="n">
        <v>66519</v>
      </c>
      <c r="H12" s="19" t="n">
        <v>35564</v>
      </c>
      <c r="I12" s="20" t="n">
        <v>23765</v>
      </c>
      <c r="J12" s="20" t="n">
        <v>24414</v>
      </c>
      <c r="K12" s="20" t="n">
        <v>51870</v>
      </c>
      <c r="L12" s="20" t="n">
        <v>59826</v>
      </c>
    </row>
    <row r="13">
      <c r="A13" s="18" t="inlineStr">
        <is>
          <t>무형자산</t>
        </is>
      </c>
      <c r="B13" s="10" t="n"/>
      <c r="C13" s="19" t="n">
        <v>12753</v>
      </c>
      <c r="D13" s="20" t="n">
        <v>13068</v>
      </c>
      <c r="E13" s="20" t="n">
        <v>12937</v>
      </c>
      <c r="F13" s="20" t="n">
        <v>13067</v>
      </c>
      <c r="G13" s="20" t="n">
        <v>13421</v>
      </c>
      <c r="H13" s="19" t="n">
        <v>37883</v>
      </c>
      <c r="I13" s="20" t="n">
        <v>783</v>
      </c>
      <c r="J13" s="20" t="n">
        <v>836</v>
      </c>
      <c r="K13" s="20" t="n">
        <v>12897</v>
      </c>
      <c r="L13" s="20" t="n">
        <v>12937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129960</v>
      </c>
      <c r="D16" s="12" t="n">
        <v>151284</v>
      </c>
      <c r="E16" s="12" t="n">
        <v>170954</v>
      </c>
      <c r="F16" s="12" t="n">
        <v>170648</v>
      </c>
      <c r="G16" s="12" t="n">
        <v>165002</v>
      </c>
      <c r="H16" s="11" t="n">
        <v>111280</v>
      </c>
      <c r="I16" s="12" t="n">
        <v>72089</v>
      </c>
      <c r="J16" s="12" t="n">
        <v>79672</v>
      </c>
      <c r="K16" s="12" t="n">
        <v>121394</v>
      </c>
      <c r="L16" s="12" t="n">
        <v>170954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32664</v>
      </c>
      <c r="D18" s="12" t="n">
        <v>39691</v>
      </c>
      <c r="E18" s="12" t="n">
        <v>43413</v>
      </c>
      <c r="F18" s="12" t="n">
        <v>42817</v>
      </c>
      <c r="G18" s="12" t="n">
        <v>42424</v>
      </c>
      <c r="H18" s="11" t="n">
        <v>20156</v>
      </c>
      <c r="I18" s="12" t="n">
        <v>12467</v>
      </c>
      <c r="J18" s="12" t="n">
        <v>10584</v>
      </c>
      <c r="K18" s="12" t="n">
        <v>32786</v>
      </c>
      <c r="L18" s="12" t="n">
        <v>43413</v>
      </c>
    </row>
    <row r="19">
      <c r="A19" s="18" t="inlineStr">
        <is>
          <t>매입채무</t>
        </is>
      </c>
      <c r="B19" s="10" t="n"/>
      <c r="C19" s="19" t="n">
        <v>5988</v>
      </c>
      <c r="D19" s="20" t="n">
        <v>7175</v>
      </c>
      <c r="E19" s="20" t="n">
        <v>7280</v>
      </c>
      <c r="F19" s="20" t="n">
        <v>6870</v>
      </c>
      <c r="G19" s="20" t="n">
        <v>6006</v>
      </c>
      <c r="H19" s="19" t="n">
        <v>678</v>
      </c>
      <c r="I19" s="20" t="n">
        <v>588</v>
      </c>
      <c r="J19" s="20" t="n">
        <v>797</v>
      </c>
      <c r="K19" s="20" t="n">
        <v>6320</v>
      </c>
      <c r="L19" s="20" t="n">
        <v>7280</v>
      </c>
    </row>
    <row r="20">
      <c r="A20" s="18" t="inlineStr">
        <is>
          <t>단기차입금</t>
        </is>
      </c>
      <c r="B20" s="10" t="n"/>
      <c r="C20" s="19" t="n">
        <v>3456</v>
      </c>
      <c r="D20" s="20" t="n">
        <v>2752</v>
      </c>
      <c r="E20" s="20" t="n">
        <v>2756</v>
      </c>
      <c r="F20" s="20" t="n">
        <v>4680</v>
      </c>
      <c r="G20" s="20" t="n">
        <v>4526</v>
      </c>
      <c r="H20" s="19" t="n"/>
      <c r="I20" s="20" t="n"/>
      <c r="J20" s="20" t="n">
        <v>100</v>
      </c>
      <c r="K20" s="20" t="n">
        <v>3402</v>
      </c>
      <c r="L20" s="20" t="n">
        <v>2756</v>
      </c>
    </row>
    <row r="21">
      <c r="A21" s="18" t="inlineStr">
        <is>
          <t>유동성장기부채</t>
        </is>
      </c>
      <c r="B21" s="10" t="n"/>
      <c r="C21" s="19" t="n">
        <v>10503</v>
      </c>
      <c r="D21" s="20" t="n">
        <v>13006</v>
      </c>
      <c r="E21" s="20" t="n">
        <v>13675</v>
      </c>
      <c r="F21" s="20" t="n">
        <v>13508</v>
      </c>
      <c r="G21" s="20" t="n">
        <v>14258</v>
      </c>
      <c r="H21" s="19" t="n">
        <v>8807</v>
      </c>
      <c r="I21" s="20" t="n">
        <v>6856</v>
      </c>
      <c r="J21" s="20" t="n">
        <v>5468</v>
      </c>
      <c r="K21" s="20" t="n">
        <v>10309</v>
      </c>
      <c r="L21" s="20" t="n">
        <v>13675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54287</v>
      </c>
      <c r="D23" s="12" t="n">
        <v>64990</v>
      </c>
      <c r="E23" s="12" t="n">
        <v>70363</v>
      </c>
      <c r="F23" s="12" t="n">
        <v>70014</v>
      </c>
      <c r="G23" s="12" t="n">
        <v>66641</v>
      </c>
      <c r="H23" s="11" t="n">
        <v>51377</v>
      </c>
      <c r="I23" s="12" t="n">
        <v>26753</v>
      </c>
      <c r="J23" s="12" t="n">
        <v>28852</v>
      </c>
      <c r="K23" s="12" t="n">
        <v>43148</v>
      </c>
      <c r="L23" s="12" t="n">
        <v>70363</v>
      </c>
    </row>
    <row r="24">
      <c r="A24" s="18" t="inlineStr">
        <is>
          <t>장기차입금</t>
        </is>
      </c>
      <c r="B24" s="10" t="n"/>
      <c r="C24" s="19" t="n">
        <v>47246</v>
      </c>
      <c r="D24" s="20" t="n">
        <v>55170</v>
      </c>
      <c r="E24" s="20" t="n">
        <v>62006</v>
      </c>
      <c r="F24" s="20" t="n">
        <v>61751</v>
      </c>
      <c r="G24" s="20" t="n">
        <v>58534</v>
      </c>
      <c r="H24" s="19" t="n">
        <v>42028</v>
      </c>
      <c r="I24" s="20" t="n">
        <v>23507</v>
      </c>
      <c r="J24" s="20" t="n">
        <v>25829</v>
      </c>
      <c r="K24" s="20" t="n">
        <v>35878</v>
      </c>
      <c r="L24" s="20" t="n">
        <v>62006</v>
      </c>
    </row>
    <row r="25">
      <c r="A25" s="18" t="inlineStr">
        <is>
          <t>사채</t>
        </is>
      </c>
      <c r="B25" s="10" t="n"/>
      <c r="C25" s="19" t="n">
        <v>1072</v>
      </c>
      <c r="D25" s="20" t="n">
        <v>1072</v>
      </c>
      <c r="E25" s="20" t="n">
        <v>450</v>
      </c>
      <c r="F25" s="20" t="n">
        <v>450</v>
      </c>
      <c r="G25" s="20" t="n">
        <v>300</v>
      </c>
      <c r="H25" s="19" t="n">
        <v>2465</v>
      </c>
      <c r="I25" s="20" t="n">
        <v>1980</v>
      </c>
      <c r="J25" s="20" t="n">
        <v>1590</v>
      </c>
      <c r="K25" s="20" t="n">
        <v>1245</v>
      </c>
      <c r="L25" s="20" t="n">
        <v>450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86951</v>
      </c>
      <c r="D27" s="12" t="n">
        <v>104681</v>
      </c>
      <c r="E27" s="12" t="n">
        <v>113776</v>
      </c>
      <c r="F27" s="12" t="n">
        <v>112832</v>
      </c>
      <c r="G27" s="12" t="n">
        <v>109065</v>
      </c>
      <c r="H27" s="11" t="n">
        <v>71533</v>
      </c>
      <c r="I27" s="12" t="n">
        <v>39221</v>
      </c>
      <c r="J27" s="12" t="n">
        <v>39437</v>
      </c>
      <c r="K27" s="12" t="n">
        <v>75934</v>
      </c>
      <c r="L27" s="12" t="n">
        <v>113776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39086</v>
      </c>
      <c r="D31" s="12" t="n">
        <v>40648</v>
      </c>
      <c r="E31" s="12" t="n">
        <v>50103</v>
      </c>
      <c r="F31" s="12" t="n">
        <v>51143</v>
      </c>
      <c r="G31" s="12" t="n">
        <v>49083</v>
      </c>
      <c r="H31" s="11" t="n">
        <v>37842</v>
      </c>
      <c r="I31" s="12" t="n">
        <v>32821</v>
      </c>
      <c r="J31" s="12" t="n">
        <v>40155</v>
      </c>
      <c r="K31" s="12" t="n">
        <v>41341</v>
      </c>
      <c r="L31" s="12" t="n">
        <v>50103</v>
      </c>
    </row>
    <row r="32">
      <c r="A32" s="18" t="inlineStr">
        <is>
          <t>자본금</t>
        </is>
      </c>
      <c r="B32" s="10" t="n"/>
      <c r="C32" s="19" t="n">
        <v>16391</v>
      </c>
      <c r="D32" s="20" t="n">
        <v>16402</v>
      </c>
      <c r="E32" s="20" t="n">
        <v>16429</v>
      </c>
      <c r="F32" s="20" t="n">
        <v>16492</v>
      </c>
      <c r="G32" s="20" t="n">
        <v>16509</v>
      </c>
      <c r="H32" s="19" t="n">
        <v>16295</v>
      </c>
      <c r="I32" s="20" t="n">
        <v>16320</v>
      </c>
      <c r="J32" s="20" t="n">
        <v>16357</v>
      </c>
      <c r="K32" s="20" t="n">
        <v>16388</v>
      </c>
      <c r="L32" s="20" t="n">
        <v>16429</v>
      </c>
    </row>
    <row r="33">
      <c r="A33" s="18" t="inlineStr">
        <is>
          <t>이익잉여금</t>
        </is>
      </c>
      <c r="B33" s="10" t="n"/>
      <c r="C33" s="19" t="n">
        <v>10714</v>
      </c>
      <c r="D33" s="20" t="n">
        <v>12189</v>
      </c>
      <c r="E33" s="20" t="n">
        <v>21448</v>
      </c>
      <c r="F33" s="20" t="n">
        <v>22643</v>
      </c>
      <c r="G33" s="20" t="n">
        <v>23905</v>
      </c>
      <c r="H33" s="19" t="n">
        <v>2917</v>
      </c>
      <c r="I33" s="20" t="n">
        <v>-2019</v>
      </c>
      <c r="J33" s="20" t="n">
        <v>5302</v>
      </c>
      <c r="K33" s="20" t="n">
        <v>9091</v>
      </c>
      <c r="L33" s="20" t="n">
        <v>21448</v>
      </c>
    </row>
    <row r="34">
      <c r="A34" s="18" t="inlineStr">
        <is>
          <t>비지배지분</t>
        </is>
      </c>
      <c r="B34" s="10" t="n"/>
      <c r="C34" s="19" t="n">
        <v>3779</v>
      </c>
      <c r="D34" s="20" t="n">
        <v>5800</v>
      </c>
      <c r="E34" s="20" t="n">
        <v>6908</v>
      </c>
      <c r="F34" s="20" t="n">
        <v>6494</v>
      </c>
      <c r="G34" s="20" t="n">
        <v>6666</v>
      </c>
      <c r="H34" s="19" t="n">
        <v>1854</v>
      </c>
      <c r="I34" s="20" t="n">
        <v>0</v>
      </c>
      <c r="J34" s="20" t="n">
        <v>0</v>
      </c>
      <c r="K34" s="20" t="n">
        <v>4005</v>
      </c>
      <c r="L34" s="20" t="n">
        <v>6908</v>
      </c>
    </row>
    <row r="35">
      <c r="A35" s="9" t="inlineStr">
        <is>
          <t>자본총계</t>
        </is>
      </c>
      <c r="B35" s="10" t="n"/>
      <c r="C35" s="11" t="n">
        <v>43008</v>
      </c>
      <c r="D35" s="12" t="n">
        <v>46603</v>
      </c>
      <c r="E35" s="12" t="n">
        <v>57177</v>
      </c>
      <c r="F35" s="12" t="n">
        <v>57816</v>
      </c>
      <c r="G35" s="12" t="n">
        <v>55936</v>
      </c>
      <c r="H35" s="11" t="n">
        <v>39746</v>
      </c>
      <c r="I35" s="12" t="n">
        <v>32868</v>
      </c>
      <c r="J35" s="12" t="n">
        <v>40235</v>
      </c>
      <c r="K35" s="12" t="n">
        <v>45459</v>
      </c>
      <c r="L35" s="12" t="n">
        <v>57177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6281</v>
      </c>
      <c r="D37" s="12" t="n"/>
      <c r="E37" s="12" t="n">
        <v>13957</v>
      </c>
      <c r="F37" s="12" t="n"/>
      <c r="G37" s="12" t="n">
        <v>10019</v>
      </c>
      <c r="H37" s="11" t="n">
        <v>-2892</v>
      </c>
      <c r="I37" s="12" t="n">
        <v>4849</v>
      </c>
      <c r="J37" s="12" t="n">
        <v>3722</v>
      </c>
      <c r="K37" s="12" t="n">
        <v>5095</v>
      </c>
      <c r="L37" s="12" t="n">
        <v>13957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14920</v>
      </c>
      <c r="D38" s="20" t="n"/>
      <c r="E38" s="20" t="n">
        <v>9742</v>
      </c>
      <c r="F38" s="20" t="n"/>
      <c r="G38" s="20" t="n">
        <v>9407</v>
      </c>
      <c r="H38" s="19" t="n">
        <v>1510</v>
      </c>
      <c r="I38" s="20" t="n">
        <v>1311</v>
      </c>
      <c r="J38" s="20" t="n">
        <v>1404</v>
      </c>
      <c r="K38" s="20" t="n">
        <v>16150</v>
      </c>
      <c r="L38" s="20" t="n">
        <v>9742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/>
      <c r="G40" s="20" t="n"/>
      <c r="H40" s="19" t="n"/>
      <c r="I40" s="20" t="n"/>
      <c r="J40" s="20" t="n"/>
      <c r="K40" s="20" t="n"/>
      <c r="L40" s="20" t="n"/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IFERROR(IF((IF(COUNT('연간'!G59:J59)&lt;4,"",SUM('연간'!G59:J59)))&lt;=0,"적자",C28/(IF(COUNT('연간'!G59:J59)&lt;4,"",SUM('연간'!G59:J59)))),"")</f>
        <v/>
      </c>
      <c r="D49" s="47">
        <f>IFERROR(IF((IF(COUNT('연간'!H59:K59)&lt;4,"",SUM('연간'!H59:K59)))&lt;=0,"적자",D28/(IF(COUNT('연간'!H59:K59)&lt;4,"",SUM('연간'!H59:K59)))),"")</f>
        <v/>
      </c>
      <c r="E49" s="47">
        <f>IFERROR(IF((IF(COUNT('연간'!I59:L59)&lt;4,"",SUM('연간'!I59:L59)))&lt;=0,"적자",E28/(IF(COUNT('연간'!I59:L59)&lt;4,"",SUM('연간'!I59:L59)))),"")</f>
        <v/>
      </c>
      <c r="F49" s="47">
        <f>IFERROR(IF((IF(COUNT('연간'!J59:M59)&lt;4,"",SUM('연간'!J59:M59)))&lt;=0,"적자",F28/(IF(COUNT('연간'!J59:M59)&lt;4,"",SUM('연간'!J59:M59)))),"")</f>
        <v/>
      </c>
      <c r="G49" s="47">
        <f>IFERROR(IF((IF(COUNT('연간'!K59:N59)&lt;4,"",SUM('연간'!K59:N59)))&lt;=0,"적자",G28/(IF(COUNT('연간'!K59:N59)&lt;4,"",SUM('연간'!K59:N59)))),"")</f>
        <v/>
      </c>
      <c r="H49" s="46">
        <f>IFERROR(IF(('연간'!T59)&lt;=0,"적자",H28/('연간'!T59)),"")</f>
        <v/>
      </c>
      <c r="I49" s="47">
        <f>IFERROR(IF(('연간'!U59)&lt;=0,"적자",I28/('연간'!U59)),"")</f>
        <v/>
      </c>
      <c r="J49" s="47">
        <f>IFERROR(IF(('연간'!V59)&lt;=0,"적자",J28/('연간'!V59)),"")</f>
        <v/>
      </c>
      <c r="K49" s="47">
        <f>IFERROR(IF(('연간'!W59)&lt;=0,"적자",K28/('연간'!W59)),"")</f>
        <v/>
      </c>
      <c r="L49" s="47">
        <f>IFERROR(IF(('연간'!X59)&lt;=0,"적자",L28/('연간'!X59)),"")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IFERROR((IF(COUNT('연간'!G59:J59)&lt;4,"",SUM('연간'!G59:J59)))/C31,"")</f>
        <v/>
      </c>
      <c r="D51" s="36">
        <f>IFERROR((IF(COUNT('연간'!H59:K59)&lt;4,"",SUM('연간'!H59:K59)))/D31,"")</f>
        <v/>
      </c>
      <c r="E51" s="36">
        <f>IFERROR((IF(COUNT('연간'!I59:L59)&lt;4,"",SUM('연간'!I59:L59)))/E31,"")</f>
        <v/>
      </c>
      <c r="F51" s="36">
        <f>IFERROR((IF(COUNT('연간'!J59:M59)&lt;4,"",SUM('연간'!J59:M59)))/F31,"")</f>
        <v/>
      </c>
      <c r="G51" s="36">
        <f>IFERROR((IF(COUNT('연간'!K59:N59)&lt;4,"",SUM('연간'!K59:N59)))/G31,"")</f>
        <v/>
      </c>
      <c r="H51" s="35">
        <f>IFERROR(('연간'!T59)/H31,"")</f>
        <v/>
      </c>
      <c r="I51" s="36">
        <f>IFERROR(('연간'!U59)/I31,"")</f>
        <v/>
      </c>
      <c r="J51" s="36">
        <f>IFERROR(('연간'!V59)/J31,"")</f>
        <v/>
      </c>
      <c r="K51" s="36">
        <f>IFERROR(('연간'!W59)/K31,"")</f>
        <v/>
      </c>
      <c r="L51" s="36">
        <f>IFERROR(('연간'!X59)/L31,"")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IFERROR((IF(COUNT('연간'!G58:J58)&lt;4,"",SUM('연간'!G58:J58)))/C16,"")</f>
        <v/>
      </c>
      <c r="D52" s="36">
        <f>IFERROR((IF(COUNT('연간'!H58:K58)&lt;4,"",SUM('연간'!H58:K58)))/D16,"")</f>
        <v/>
      </c>
      <c r="E52" s="36">
        <f>IFERROR((IF(COUNT('연간'!I58:L58)&lt;4,"",SUM('연간'!I58:L58)))/E16,"")</f>
        <v/>
      </c>
      <c r="F52" s="36">
        <f>IFERROR((IF(COUNT('연간'!J58:M58)&lt;4,"",SUM('연간'!J58:M58)))/F16,"")</f>
        <v/>
      </c>
      <c r="G52" s="36">
        <f>IFERROR((IF(COUNT('연간'!K58:N58)&lt;4,"",SUM('연간'!K58:N58)))/G16,"")</f>
        <v/>
      </c>
      <c r="H52" s="35">
        <f>IFERROR(('연간'!T58)/H16,"")</f>
        <v/>
      </c>
      <c r="I52" s="36">
        <f>IFERROR(('연간'!U58)/I16,"")</f>
        <v/>
      </c>
      <c r="J52" s="36">
        <f>IFERROR(('연간'!V58)/J16,"")</f>
        <v/>
      </c>
      <c r="K52" s="36">
        <f>IFERROR(('연간'!W58)/K16,"")</f>
        <v/>
      </c>
      <c r="L52" s="36">
        <f>IFERROR(('연간'!X58)/L16,"")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IFERROR((IF(COUNT('연간'!G27:J27)&lt;4,"",SUM('연간'!G27:J27)))/(IF(COUNT('연간'!G4:J4)&lt;4,"",SUM('연간'!G4:J4))),"")</f>
        <v/>
      </c>
      <c r="D54" s="36">
        <f>IFERROR((IF(COUNT('연간'!H27:K27)&lt;4,"",SUM('연간'!H27:K27)))/(IF(COUNT('연간'!H4:K4)&lt;4,"",SUM('연간'!H4:K4))),"")</f>
        <v/>
      </c>
      <c r="E54" s="36">
        <f>IFERROR((IF(COUNT('연간'!I27:L27)&lt;4,"",SUM('연간'!I27:L27)))/(IF(COUNT('연간'!I4:L4)&lt;4,"",SUM('연간'!I4:L4))),"")</f>
        <v/>
      </c>
      <c r="F54" s="36">
        <f>IFERROR((IF(COUNT('연간'!J27:M27)&lt;4,"",SUM('연간'!J27:M27)))/(IF(COUNT('연간'!J4:M4)&lt;4,"",SUM('연간'!J4:M4))),"")</f>
        <v/>
      </c>
      <c r="G54" s="36">
        <f>IFERROR((IF(COUNT('연간'!K27:N27)&lt;4,"",SUM('연간'!K27:N27)))/(IF(COUNT('연간'!K4:N4)&lt;4,"",SUM('연간'!K4:N4))),"")</f>
        <v/>
      </c>
      <c r="H54" s="35">
        <f>IFERROR(('연간'!T27)/('연간'!T4),"")</f>
        <v/>
      </c>
      <c r="I54" s="36">
        <f>IFERROR(('연간'!U27)/('연간'!U4),"")</f>
        <v/>
      </c>
      <c r="J54" s="36">
        <f>IFERROR(('연간'!V27)/('연간'!V4),"")</f>
        <v/>
      </c>
      <c r="K54" s="36">
        <f>IFERROR(('연간'!W27)/('연간'!W4),"")</f>
        <v/>
      </c>
      <c r="L54" s="36">
        <f>IFERROR(('연간'!X27)/('연간'!X4),"")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IFERROR((IF(COUNT('연간'!G58:J58)&lt;4,"",SUM('연간'!G58:J58)))/(IF(COUNT('연간'!G4:J4)&lt;4,"",SUM('연간'!G4:J4))),"")</f>
        <v/>
      </c>
      <c r="D56" s="36">
        <f>IFERROR((IF(COUNT('연간'!H58:K58)&lt;4,"",SUM('연간'!H58:K58)))/(IF(COUNT('연간'!H4:K4)&lt;4,"",SUM('연간'!H4:K4))),"")</f>
        <v/>
      </c>
      <c r="E56" s="36">
        <f>IFERROR((IF(COUNT('연간'!I58:L58)&lt;4,"",SUM('연간'!I58:L58)))/(IF(COUNT('연간'!I4:L4)&lt;4,"",SUM('연간'!I4:L4))),"")</f>
        <v/>
      </c>
      <c r="F56" s="36">
        <f>IFERROR((IF(COUNT('연간'!J58:M58)&lt;4,"",SUM('연간'!J58:M58)))/(IF(COUNT('연간'!J4:M4)&lt;4,"",SUM('연간'!J4:M4))),"")</f>
        <v/>
      </c>
      <c r="G56" s="36">
        <f>IFERROR((IF(COUNT('연간'!K58:N58)&lt;4,"",SUM('연간'!K58:N58)))/(IF(COUNT('연간'!K4:N4)&lt;4,"",SUM('연간'!K4:N4))),"")</f>
        <v/>
      </c>
      <c r="H56" s="35">
        <f>IFERROR(('연간'!T58)/('연간'!T4),"")</f>
        <v/>
      </c>
      <c r="I56" s="36">
        <f>IFERROR(('연간'!U58)/('연간'!U4),"")</f>
        <v/>
      </c>
      <c r="J56" s="36">
        <f>IFERROR(('연간'!V58)/('연간'!V4),"")</f>
        <v/>
      </c>
      <c r="K56" s="36">
        <f>IFERROR(('연간'!W58)/('연간'!W4),"")</f>
        <v/>
      </c>
      <c r="L56" s="36">
        <f>IFERROR(('연간'!X58)/('연간'!X4),"")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IFERROR(C9/(IF(COUNT('연간'!G26:J26)&lt;4,"",SUM('연간'!G26:J26)))*365,"")</f>
        <v/>
      </c>
      <c r="D60" s="49">
        <f>IFERROR(D9/(IF(COUNT('연간'!H26:K26)&lt;4,"",SUM('연간'!H26:K26)))*365,"")</f>
        <v/>
      </c>
      <c r="E60" s="49">
        <f>IFERROR(E9/(IF(COUNT('연간'!I26:L26)&lt;4,"",SUM('연간'!I26:L26)))*365,"")</f>
        <v/>
      </c>
      <c r="F60" s="49">
        <f>IFERROR(F9/(IF(COUNT('연간'!J26:M26)&lt;4,"",SUM('연간'!J26:M26)))*365,"")</f>
        <v/>
      </c>
      <c r="G60" s="49">
        <f>IFERROR(G9/(IF(COUNT('연간'!K26:N26)&lt;4,"",SUM('연간'!K26:N26)))*365,"")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  <c r="L60" s="49">
        <f>IFERROR(L9/('연간'!X26)*365,"")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IFERROR(C19/(IF(COUNT('연간'!G26:J26)&lt;4,"",SUM('연간'!G26:J26)))*365,"")</f>
        <v/>
      </c>
      <c r="D61" s="49">
        <f>IFERROR(D19/(IF(COUNT('연간'!H26:K26)&lt;4,"",SUM('연간'!H26:K26)))*365,"")</f>
        <v/>
      </c>
      <c r="E61" s="49">
        <f>IFERROR(E19/(IF(COUNT('연간'!I26:L26)&lt;4,"",SUM('연간'!I26:L26)))*365,"")</f>
        <v/>
      </c>
      <c r="F61" s="49">
        <f>IFERROR(F19/(IF(COUNT('연간'!J26:M26)&lt;4,"",SUM('연간'!J26:M26)))*365,"")</f>
        <v/>
      </c>
      <c r="G61" s="49">
        <f>IFERROR(G19/(IF(COUNT('연간'!K26:N26)&lt;4,"",SUM('연간'!K26:N26)))*365,"")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  <c r="L61" s="49">
        <f>IFERROR(L19/('연간'!X26)*365,"")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IF(C37="","",IFERROR(C37/(IF(COUNT('연간'!G58:J58)&lt;4,"",SUM('연간'!G58:J58))),""))</f>
        <v/>
      </c>
      <c r="D64" s="31">
        <f>IF(D37="","",IFERROR(D37/(IF(COUNT('연간'!H58:K58)&lt;4,"",SUM('연간'!H58:K58))),""))</f>
        <v/>
      </c>
      <c r="E64" s="31">
        <f>IF(E37="","",IFERROR(E37/(IF(COUNT('연간'!I58:L58)&lt;4,"",SUM('연간'!I58:L58))),""))</f>
        <v/>
      </c>
      <c r="F64" s="31">
        <f>IF(F37="","",IFERROR(F37/(IF(COUNT('연간'!J58:M58)&lt;4,"",SUM('연간'!J58:M58))),""))</f>
        <v/>
      </c>
      <c r="G64" s="31">
        <f>IF(G37="","",IFERROR(G37/(IF(COUNT('연간'!K58:N58)&lt;4,"",SUM('연간'!K58:N58))),""))</f>
        <v/>
      </c>
      <c r="H64" s="30">
        <f>IF(H37="","",IFERROR(H37/('연간'!T58),""))</f>
        <v/>
      </c>
      <c r="I64" s="31">
        <f>IF(I37="","",IFERROR(I37/('연간'!U58),""))</f>
        <v/>
      </c>
      <c r="J64" s="31">
        <f>IF(J37="","",IFERROR(J37/('연간'!V58),""))</f>
        <v/>
      </c>
      <c r="K64" s="31">
        <f>IF(K37="","",IFERROR(K37/('연간'!W58),""))</f>
        <v/>
      </c>
      <c r="L64" s="31">
        <f>IF(L37="","",IFERROR(L37/('연간'!X58),""))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IF(C40="","",IFERROR(C40/(IF(COUNT('연간'!G59:J59)&lt;4,"",SUM('연간'!G59:J59))),""))</f>
        <v/>
      </c>
      <c r="D67" s="36">
        <f>IF(D40="","",IFERROR(D40/(IF(COUNT('연간'!H59:K59)&lt;4,"",SUM('연간'!H59:K59))),""))</f>
        <v/>
      </c>
      <c r="E67" s="36">
        <f>IF(E40="","",IFERROR(E40/(IF(COUNT('연간'!I59:L59)&lt;4,"",SUM('연간'!I59:L59))),""))</f>
        <v/>
      </c>
      <c r="F67" s="36">
        <f>IF(F40="","",IFERROR(F40/(IF(COUNT('연간'!J59:M59)&lt;4,"",SUM('연간'!J59:M59))),""))</f>
        <v/>
      </c>
      <c r="G67" s="36">
        <f>IF(G40="","",IFERROR(G40/(IF(COUNT('연간'!K59:N59)&lt;4,"",SUM('연간'!K59:N59))),""))</f>
        <v/>
      </c>
      <c r="H67" s="35">
        <f>IF(H40="","",IFERROR(H40/('연간'!T59),""))</f>
        <v/>
      </c>
      <c r="I67" s="36">
        <f>IF(I40="","",IFERROR(I40/('연간'!U59),""))</f>
        <v/>
      </c>
      <c r="J67" s="36">
        <f>IF(J40="","",IFERROR(J40/('연간'!V59),""))</f>
        <v/>
      </c>
      <c r="K67" s="36">
        <f>IF(K40="","",IFERROR(K40/('연간'!W59),""))</f>
        <v/>
      </c>
      <c r="L67" s="36">
        <f>IF(L40="","",IFERROR(L40/('연간'!X59),""))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16711</v>
      </c>
      <c r="D71" s="20" t="n">
        <v>22518</v>
      </c>
      <c r="E71" s="20" t="n">
        <v>45569</v>
      </c>
      <c r="F71" s="20" t="n">
        <v>35373</v>
      </c>
      <c r="G71" s="20" t="n">
        <v>30726</v>
      </c>
      <c r="H71" s="20" t="n">
        <v>13931</v>
      </c>
      <c r="I71" s="20" t="n">
        <v>32661</v>
      </c>
      <c r="J71" s="20" t="n">
        <v>32069</v>
      </c>
      <c r="K71" s="20" t="n">
        <v>14528</v>
      </c>
      <c r="L71" s="20" t="n">
        <v>45569</v>
      </c>
    </row>
    <row r="72">
      <c r="A72" s="18" t="inlineStr">
        <is>
          <t>매출채권</t>
        </is>
      </c>
      <c r="H72" s="20" t="n">
        <v>3558</v>
      </c>
      <c r="I72" s="20" t="n">
        <v>3464</v>
      </c>
      <c r="J72" s="20" t="n">
        <v>3915</v>
      </c>
    </row>
    <row r="73">
      <c r="A73" s="18" t="inlineStr">
        <is>
          <t>받을어음·매출채권·계약자산</t>
        </is>
      </c>
      <c r="C73" s="20" t="n">
        <v>9447</v>
      </c>
      <c r="D73" s="20" t="n">
        <v>12031</v>
      </c>
      <c r="E73" s="20" t="n">
        <v>10734</v>
      </c>
      <c r="F73" s="20" t="n">
        <v>11800</v>
      </c>
      <c r="G73" s="20" t="n">
        <v>10060</v>
      </c>
      <c r="J73" s="20" t="n">
        <v>3915</v>
      </c>
      <c r="K73" s="20" t="n">
        <v>10553</v>
      </c>
      <c r="L73" s="20" t="n">
        <v>10734</v>
      </c>
    </row>
    <row r="74">
      <c r="A74" s="18" t="inlineStr">
        <is>
          <t>전자기록채권</t>
        </is>
      </c>
      <c r="C74" s="20" t="n">
        <v>2025</v>
      </c>
      <c r="D74" s="20" t="n">
        <v>1990</v>
      </c>
      <c r="E74" s="20" t="n">
        <v>2237</v>
      </c>
      <c r="F74" s="20" t="n">
        <v>2701</v>
      </c>
      <c r="G74" s="20" t="n">
        <v>2496</v>
      </c>
      <c r="J74" s="20" t="n">
        <v>0</v>
      </c>
      <c r="K74" s="20" t="n">
        <v>2085</v>
      </c>
      <c r="L74" s="20" t="n">
        <v>2237</v>
      </c>
    </row>
    <row r="75">
      <c r="A75" s="18" t="inlineStr">
        <is>
          <t>상품</t>
        </is>
      </c>
      <c r="C75" s="20" t="n">
        <v>3243</v>
      </c>
      <c r="J75" s="20" t="n">
        <v>0</v>
      </c>
      <c r="K75" s="20" t="n">
        <v>3120</v>
      </c>
    </row>
    <row r="76">
      <c r="A76" s="18" t="inlineStr">
        <is>
          <t>상품·제품</t>
        </is>
      </c>
      <c r="D76" s="20" t="n">
        <v>3679</v>
      </c>
      <c r="E76" s="20" t="n">
        <v>3497</v>
      </c>
      <c r="F76" s="20" t="n">
        <v>3608</v>
      </c>
      <c r="G76" s="20" t="n">
        <v>3636</v>
      </c>
      <c r="K76" s="20" t="n">
        <v>3120</v>
      </c>
      <c r="L76" s="20" t="n">
        <v>3497</v>
      </c>
    </row>
    <row r="77">
      <c r="A77" s="18" t="inlineStr">
        <is>
          <t>판매용 부동산</t>
        </is>
      </c>
      <c r="C77" s="20" t="n">
        <v>548</v>
      </c>
      <c r="D77" s="20" t="n">
        <v>1094</v>
      </c>
      <c r="E77" s="20" t="n">
        <v>964</v>
      </c>
      <c r="F77" s="20" t="n">
        <v>879</v>
      </c>
      <c r="G77" s="20" t="n">
        <v>318</v>
      </c>
      <c r="K77" s="20" t="n">
        <v>552</v>
      </c>
      <c r="L77" s="20" t="n">
        <v>964</v>
      </c>
    </row>
    <row r="78">
      <c r="A78" s="18" t="inlineStr">
        <is>
          <t>개발 중 판매용 부동산</t>
        </is>
      </c>
      <c r="C78" s="20" t="n">
        <v>967</v>
      </c>
      <c r="D78" s="20" t="n">
        <v>1166</v>
      </c>
      <c r="E78" s="20" t="n">
        <v>505</v>
      </c>
      <c r="F78" s="20" t="n">
        <v>1065</v>
      </c>
      <c r="G78" s="20" t="n">
        <v>1543</v>
      </c>
      <c r="J78" s="20" t="n">
        <v>0</v>
      </c>
      <c r="K78" s="20" t="n">
        <v>454</v>
      </c>
      <c r="L78" s="20" t="n">
        <v>505</v>
      </c>
    </row>
    <row r="79">
      <c r="A79" s="18" t="inlineStr">
        <is>
          <t>기타</t>
        </is>
      </c>
      <c r="C79" s="20" t="n">
        <v>3567</v>
      </c>
      <c r="D79" s="20" t="n">
        <v>4614</v>
      </c>
      <c r="E79" s="20" t="n">
        <v>5123</v>
      </c>
      <c r="F79" s="20" t="n">
        <v>5590</v>
      </c>
      <c r="G79" s="20" t="n">
        <v>5473</v>
      </c>
      <c r="H79" s="20" t="n">
        <v>5318</v>
      </c>
      <c r="I79" s="20" t="n">
        <v>2191</v>
      </c>
      <c r="J79" s="20" t="n">
        <v>1486</v>
      </c>
      <c r="K79" s="20" t="n">
        <v>4003</v>
      </c>
      <c r="L79" s="20" t="n">
        <v>5123</v>
      </c>
    </row>
    <row r="80">
      <c r="A80" s="18" t="inlineStr">
        <is>
          <t>대손충당금</t>
        </is>
      </c>
      <c r="C80" s="20" t="n">
        <v>-43</v>
      </c>
      <c r="D80" s="20" t="n">
        <v>-81</v>
      </c>
      <c r="E80" s="20" t="n">
        <v>-70</v>
      </c>
      <c r="F80" s="20" t="n">
        <v>-75</v>
      </c>
      <c r="G80" s="20" t="n">
        <v>-68</v>
      </c>
      <c r="H80" s="20" t="n">
        <v>-4</v>
      </c>
      <c r="I80" s="20" t="n">
        <v>-16</v>
      </c>
      <c r="J80" s="20" t="n">
        <v>-35</v>
      </c>
      <c r="K80" s="20" t="n">
        <v>-23</v>
      </c>
      <c r="L80" s="20" t="n">
        <v>-70</v>
      </c>
    </row>
    <row r="81">
      <c r="A81" s="9" t="inlineStr">
        <is>
          <t>유동자산 합계</t>
        </is>
      </c>
      <c r="C81" s="12" t="n">
        <v>36467</v>
      </c>
      <c r="D81" s="12" t="n">
        <v>47013</v>
      </c>
      <c r="E81" s="12" t="n">
        <v>68561</v>
      </c>
      <c r="F81" s="12" t="n">
        <v>60942</v>
      </c>
      <c r="G81" s="12" t="n">
        <v>54186</v>
      </c>
      <c r="H81" s="12" t="n">
        <v>22803</v>
      </c>
      <c r="I81" s="12" t="n">
        <v>38301</v>
      </c>
      <c r="J81" s="12" t="n">
        <v>37436</v>
      </c>
      <c r="K81" s="12" t="n">
        <v>35274</v>
      </c>
      <c r="L81" s="12" t="n">
        <v>68561</v>
      </c>
    </row>
    <row r="82">
      <c r="A82" s="18" t="inlineStr">
        <is>
          <t>건물·구축물(순액)</t>
        </is>
      </c>
      <c r="C82" s="20" t="n">
        <v>35109</v>
      </c>
      <c r="D82" s="20" t="n">
        <v>41705</v>
      </c>
      <c r="E82" s="20" t="n">
        <v>40239</v>
      </c>
      <c r="F82" s="20" t="n">
        <v>44605</v>
      </c>
      <c r="G82" s="20" t="n">
        <v>44228</v>
      </c>
      <c r="H82" s="20" t="n">
        <v>24126</v>
      </c>
      <c r="I82" s="20" t="n">
        <v>15753</v>
      </c>
      <c r="J82" s="20" t="n">
        <v>15700</v>
      </c>
      <c r="K82" s="20" t="n">
        <v>31759</v>
      </c>
      <c r="L82" s="20" t="n">
        <v>40239</v>
      </c>
    </row>
    <row r="83">
      <c r="A83" s="18" t="inlineStr">
        <is>
          <t>공구·기구·비품(순액)</t>
        </is>
      </c>
      <c r="H83" s="20" t="n">
        <v>882</v>
      </c>
    </row>
    <row r="84">
      <c r="A84" s="18" t="inlineStr">
        <is>
          <t>토지</t>
        </is>
      </c>
      <c r="C84" s="20" t="n">
        <v>17131</v>
      </c>
      <c r="D84" s="20" t="n">
        <v>17531</v>
      </c>
      <c r="E84" s="20" t="n">
        <v>16164</v>
      </c>
      <c r="F84" s="20" t="n">
        <v>17949</v>
      </c>
      <c r="G84" s="20" t="n">
        <v>19290</v>
      </c>
      <c r="H84" s="20" t="n">
        <v>7585</v>
      </c>
      <c r="I84" s="20" t="n">
        <v>7859</v>
      </c>
      <c r="J84" s="20" t="n">
        <v>7970</v>
      </c>
      <c r="K84" s="20" t="n">
        <v>15904</v>
      </c>
      <c r="L84" s="20" t="n">
        <v>16164</v>
      </c>
    </row>
    <row r="85">
      <c r="A85" s="18" t="inlineStr">
        <is>
          <t>리스자산(순액)</t>
        </is>
      </c>
      <c r="H85" s="20" t="n">
        <v>2930</v>
      </c>
    </row>
    <row r="86">
      <c r="A86" s="18" t="inlineStr">
        <is>
          <t>건설중인자산</t>
        </is>
      </c>
      <c r="C86" s="20" t="n">
        <v>3270</v>
      </c>
      <c r="D86" s="20" t="n">
        <v>1217</v>
      </c>
      <c r="E86" s="20" t="n">
        <v>1679</v>
      </c>
      <c r="F86" s="20" t="n">
        <v>760</v>
      </c>
      <c r="G86" s="20" t="n">
        <v>643</v>
      </c>
      <c r="H86" s="20" t="n">
        <v>27</v>
      </c>
      <c r="J86" s="20" t="n">
        <v>604</v>
      </c>
      <c r="K86" s="20" t="n">
        <v>2959</v>
      </c>
      <c r="L86" s="20" t="n">
        <v>1679</v>
      </c>
    </row>
    <row r="87">
      <c r="A87" s="18" t="inlineStr">
        <is>
          <t>기타(순액)</t>
        </is>
      </c>
      <c r="C87" s="20" t="n">
        <v>1535</v>
      </c>
      <c r="D87" s="20" t="n">
        <v>2059</v>
      </c>
      <c r="E87" s="20" t="n">
        <v>1742</v>
      </c>
      <c r="F87" s="20" t="n">
        <v>2344</v>
      </c>
      <c r="G87" s="20" t="n">
        <v>2357</v>
      </c>
      <c r="H87" s="20" t="n">
        <v>3852</v>
      </c>
      <c r="I87" s="20" t="n">
        <v>152</v>
      </c>
      <c r="J87" s="20" t="n">
        <v>138</v>
      </c>
      <c r="K87" s="20" t="n">
        <v>1246</v>
      </c>
      <c r="L87" s="20" t="n">
        <v>1742</v>
      </c>
    </row>
    <row r="88">
      <c r="A88" s="18" t="inlineStr">
        <is>
          <t>유형자산 합계</t>
        </is>
      </c>
      <c r="C88" s="20" t="n">
        <v>57046</v>
      </c>
      <c r="D88" s="20" t="n">
        <v>62514</v>
      </c>
      <c r="E88" s="20" t="n">
        <v>59826</v>
      </c>
      <c r="F88" s="20" t="n">
        <v>65660</v>
      </c>
      <c r="G88" s="20" t="n">
        <v>66519</v>
      </c>
      <c r="H88" s="20" t="n">
        <v>35564</v>
      </c>
      <c r="I88" s="20" t="n">
        <v>23765</v>
      </c>
      <c r="J88" s="20" t="n">
        <v>24414</v>
      </c>
      <c r="K88" s="20" t="n">
        <v>51870</v>
      </c>
      <c r="L88" s="20" t="n">
        <v>59826</v>
      </c>
    </row>
    <row r="89">
      <c r="A89" s="18" t="inlineStr">
        <is>
          <t>상표권</t>
        </is>
      </c>
      <c r="C89" s="20" t="n">
        <v>5412</v>
      </c>
      <c r="D89" s="20" t="n">
        <v>5324</v>
      </c>
      <c r="E89" s="20" t="n">
        <v>5231</v>
      </c>
      <c r="F89" s="20" t="n">
        <v>5132</v>
      </c>
      <c r="G89" s="20" t="n">
        <v>5038</v>
      </c>
      <c r="J89" s="20" t="n">
        <v>0</v>
      </c>
      <c r="K89" s="20" t="n">
        <v>5571</v>
      </c>
      <c r="L89" s="20" t="n">
        <v>5231</v>
      </c>
    </row>
    <row r="90">
      <c r="A90" s="18" t="inlineStr">
        <is>
          <t>영업권</t>
        </is>
      </c>
      <c r="C90" s="20" t="n">
        <v>5745</v>
      </c>
      <c r="D90" s="20" t="n">
        <v>5944</v>
      </c>
      <c r="E90" s="20" t="n">
        <v>5992</v>
      </c>
      <c r="F90" s="20" t="n">
        <v>6273</v>
      </c>
      <c r="G90" s="20" t="n">
        <v>6682</v>
      </c>
      <c r="H90" s="20" t="n">
        <v>34817</v>
      </c>
      <c r="I90" s="20" t="n">
        <v>90</v>
      </c>
      <c r="J90" s="20" t="n">
        <v>76</v>
      </c>
      <c r="K90" s="20" t="n">
        <v>5749</v>
      </c>
      <c r="L90" s="20" t="n">
        <v>5992</v>
      </c>
    </row>
    <row r="91">
      <c r="A91" s="18" t="inlineStr">
        <is>
          <t>고객관계자산</t>
        </is>
      </c>
      <c r="C91" s="20" t="n">
        <v>392</v>
      </c>
      <c r="D91" s="20" t="n">
        <v>460</v>
      </c>
      <c r="E91" s="20" t="n">
        <v>447</v>
      </c>
      <c r="F91" s="20" t="n">
        <v>434</v>
      </c>
      <c r="G91" s="20" t="n">
        <v>421</v>
      </c>
      <c r="H91" s="20" t="n">
        <v>2890</v>
      </c>
      <c r="I91" s="20" t="n">
        <v>193</v>
      </c>
      <c r="J91" s="20" t="n">
        <v>170</v>
      </c>
      <c r="K91" s="20" t="n">
        <v>412</v>
      </c>
      <c r="L91" s="20" t="n">
        <v>447</v>
      </c>
    </row>
    <row r="92">
      <c r="A92" s="18" t="inlineStr">
        <is>
          <t>기타</t>
        </is>
      </c>
      <c r="C92" s="20" t="n">
        <v>1203</v>
      </c>
      <c r="D92" s="20" t="n">
        <v>1337</v>
      </c>
      <c r="E92" s="20" t="n">
        <v>1266</v>
      </c>
      <c r="F92" s="20" t="n">
        <v>1226</v>
      </c>
      <c r="G92" s="20" t="n">
        <v>1278</v>
      </c>
      <c r="H92" s="20" t="n">
        <v>175</v>
      </c>
      <c r="I92" s="20" t="n">
        <v>499</v>
      </c>
      <c r="J92" s="20" t="n">
        <v>589</v>
      </c>
      <c r="K92" s="20" t="n">
        <v>1164</v>
      </c>
      <c r="L92" s="20" t="n">
        <v>1266</v>
      </c>
    </row>
    <row r="93">
      <c r="A93" s="18" t="inlineStr">
        <is>
          <t>무형자산 합계</t>
        </is>
      </c>
      <c r="C93" s="20" t="n">
        <v>12753</v>
      </c>
      <c r="D93" s="20" t="n">
        <v>13068</v>
      </c>
      <c r="E93" s="20" t="n">
        <v>12937</v>
      </c>
      <c r="F93" s="20" t="n">
        <v>13067</v>
      </c>
      <c r="G93" s="20" t="n">
        <v>13421</v>
      </c>
      <c r="H93" s="20" t="n">
        <v>37883</v>
      </c>
      <c r="I93" s="20" t="n">
        <v>783</v>
      </c>
      <c r="J93" s="20" t="n">
        <v>836</v>
      </c>
      <c r="K93" s="20" t="n">
        <v>12897</v>
      </c>
      <c r="L93" s="20" t="n">
        <v>12937</v>
      </c>
    </row>
    <row r="94">
      <c r="A94" s="18" t="inlineStr">
        <is>
          <t>투자유가증권</t>
        </is>
      </c>
      <c r="C94" s="20" t="n">
        <v>7279</v>
      </c>
      <c r="D94" s="20" t="n">
        <v>3770</v>
      </c>
      <c r="E94" s="20" t="n">
        <v>6756</v>
      </c>
      <c r="F94" s="20" t="n">
        <v>7000</v>
      </c>
      <c r="G94" s="20" t="n">
        <v>6744</v>
      </c>
      <c r="H94" s="20" t="n">
        <v>1245</v>
      </c>
      <c r="I94" s="20" t="n">
        <v>1716</v>
      </c>
      <c r="J94" s="20" t="n">
        <v>5414</v>
      </c>
      <c r="K94" s="20" t="n">
        <v>6618</v>
      </c>
      <c r="L94" s="20" t="n">
        <v>6756</v>
      </c>
    </row>
    <row r="95">
      <c r="A95" s="18" t="inlineStr">
        <is>
          <t>임차보증금·보증금</t>
        </is>
      </c>
      <c r="C95" s="20" t="n">
        <v>11764</v>
      </c>
      <c r="D95" s="20" t="n">
        <v>15555</v>
      </c>
      <c r="E95" s="20" t="n">
        <v>16064</v>
      </c>
      <c r="F95" s="20" t="n">
        <v>16981</v>
      </c>
      <c r="G95" s="20" t="n">
        <v>17306</v>
      </c>
      <c r="H95" s="20" t="n">
        <v>10082</v>
      </c>
      <c r="I95" s="20" t="n">
        <v>5802</v>
      </c>
      <c r="J95" s="20" t="n">
        <v>6595</v>
      </c>
      <c r="K95" s="20" t="n">
        <v>9838</v>
      </c>
      <c r="L95" s="20" t="n">
        <v>16064</v>
      </c>
    </row>
    <row r="96">
      <c r="A96" s="18" t="inlineStr">
        <is>
          <t>이연법인세자산</t>
        </is>
      </c>
      <c r="C96" s="20" t="n">
        <v>3537</v>
      </c>
      <c r="D96" s="20" t="n">
        <v>8047</v>
      </c>
      <c r="E96" s="20" t="n">
        <v>5424</v>
      </c>
      <c r="F96" s="20" t="n">
        <v>5601</v>
      </c>
      <c r="G96" s="20" t="n">
        <v>5147</v>
      </c>
      <c r="H96" s="20" t="n">
        <v>2653</v>
      </c>
      <c r="I96" s="20" t="n">
        <v>715</v>
      </c>
      <c r="J96" s="20" t="n">
        <v>3982</v>
      </c>
      <c r="K96" s="20" t="n">
        <v>3795</v>
      </c>
      <c r="L96" s="20" t="n">
        <v>5424</v>
      </c>
    </row>
    <row r="97">
      <c r="A97" s="18" t="inlineStr">
        <is>
          <t>퇴직급여자산</t>
        </is>
      </c>
      <c r="E97" s="20" t="n">
        <v>65</v>
      </c>
      <c r="F97" s="20" t="n">
        <v>65</v>
      </c>
      <c r="G97" s="20" t="n">
        <v>65</v>
      </c>
      <c r="K97" s="20" t="n">
        <v>0</v>
      </c>
      <c r="L97" s="20" t="n">
        <v>65</v>
      </c>
    </row>
    <row r="98">
      <c r="A98" s="18" t="inlineStr">
        <is>
          <t>기타</t>
        </is>
      </c>
      <c r="C98" s="20" t="n">
        <v>1183</v>
      </c>
      <c r="D98" s="20" t="n">
        <v>1434</v>
      </c>
      <c r="E98" s="20" t="n">
        <v>1406</v>
      </c>
      <c r="F98" s="20" t="n">
        <v>1409</v>
      </c>
      <c r="G98" s="20" t="n">
        <v>1695</v>
      </c>
      <c r="H98" s="20" t="n">
        <v>1047</v>
      </c>
      <c r="I98" s="20" t="n">
        <v>1004</v>
      </c>
      <c r="J98" s="20" t="n">
        <v>991</v>
      </c>
      <c r="K98" s="20" t="n">
        <v>1161</v>
      </c>
      <c r="L98" s="20" t="n">
        <v>1406</v>
      </c>
    </row>
    <row r="99">
      <c r="A99" s="18" t="inlineStr">
        <is>
          <t>대손충당금</t>
        </is>
      </c>
      <c r="C99" s="20" t="n">
        <v>-73</v>
      </c>
      <c r="D99" s="20" t="n">
        <v>-118</v>
      </c>
      <c r="E99" s="20" t="n">
        <v>-87</v>
      </c>
      <c r="F99" s="20" t="n">
        <v>-82</v>
      </c>
      <c r="G99" s="20" t="n">
        <v>-84</v>
      </c>
      <c r="J99" s="20" t="n">
        <v>0</v>
      </c>
      <c r="K99" s="20" t="n">
        <v>-62</v>
      </c>
      <c r="L99" s="20" t="n">
        <v>-87</v>
      </c>
    </row>
    <row r="100">
      <c r="A100" s="18" t="inlineStr">
        <is>
          <t>투자 및 기타자산 합계</t>
        </is>
      </c>
      <c r="C100" s="20" t="n">
        <v>23692</v>
      </c>
      <c r="D100" s="20" t="n">
        <v>28689</v>
      </c>
      <c r="E100" s="20" t="n">
        <v>29629</v>
      </c>
      <c r="F100" s="20" t="n">
        <v>30976</v>
      </c>
      <c r="G100" s="20" t="n">
        <v>30874</v>
      </c>
      <c r="H100" s="20" t="n">
        <v>15029</v>
      </c>
      <c r="I100" s="20" t="n">
        <v>9239</v>
      </c>
      <c r="J100" s="20" t="n">
        <v>16984</v>
      </c>
      <c r="K100" s="20" t="n">
        <v>21351</v>
      </c>
      <c r="L100" s="20" t="n">
        <v>29629</v>
      </c>
    </row>
    <row r="101">
      <c r="A101" s="9" t="inlineStr">
        <is>
          <t>비유동자산 합계</t>
        </is>
      </c>
      <c r="C101" s="12" t="n">
        <v>93492</v>
      </c>
      <c r="D101" s="12" t="n">
        <v>104271</v>
      </c>
      <c r="E101" s="12" t="n">
        <v>102393</v>
      </c>
      <c r="F101" s="12" t="n">
        <v>109705</v>
      </c>
      <c r="G101" s="12" t="n">
        <v>110816</v>
      </c>
      <c r="H101" s="12" t="n">
        <v>88477</v>
      </c>
      <c r="I101" s="12" t="n">
        <v>33788</v>
      </c>
      <c r="J101" s="12" t="n">
        <v>42235</v>
      </c>
      <c r="K101" s="12" t="n">
        <v>86119</v>
      </c>
      <c r="L101" s="12" t="n">
        <v>102393</v>
      </c>
    </row>
    <row r="102">
      <c r="A102" s="9" t="inlineStr">
        <is>
          <t>자산 합계</t>
        </is>
      </c>
      <c r="C102" s="12" t="n">
        <v>129960</v>
      </c>
      <c r="D102" s="12" t="n">
        <v>151284</v>
      </c>
      <c r="E102" s="12" t="n">
        <v>170954</v>
      </c>
      <c r="F102" s="12" t="n">
        <v>170648</v>
      </c>
      <c r="G102" s="12" t="n">
        <v>165002</v>
      </c>
      <c r="H102" s="12" t="n">
        <v>111280</v>
      </c>
      <c r="I102" s="12" t="n">
        <v>72089</v>
      </c>
      <c r="J102" s="12" t="n">
        <v>79672</v>
      </c>
      <c r="K102" s="12" t="n">
        <v>121394</v>
      </c>
      <c r="L102" s="12" t="n">
        <v>170954</v>
      </c>
    </row>
    <row r="103">
      <c r="A103" s="18" t="inlineStr">
        <is>
          <t>매입채무</t>
        </is>
      </c>
      <c r="H103" s="20" t="n">
        <v>678</v>
      </c>
      <c r="I103" s="20" t="n">
        <v>588</v>
      </c>
      <c r="J103" s="20" t="n">
        <v>797</v>
      </c>
    </row>
    <row r="104">
      <c r="A104" s="18" t="inlineStr">
        <is>
          <t>지급어음·매입채무</t>
        </is>
      </c>
      <c r="C104" s="20" t="n">
        <v>5988</v>
      </c>
      <c r="D104" s="20" t="n">
        <v>7175</v>
      </c>
      <c r="E104" s="20" t="n">
        <v>7280</v>
      </c>
      <c r="F104" s="20" t="n">
        <v>6870</v>
      </c>
      <c r="G104" s="20" t="n">
        <v>6006</v>
      </c>
      <c r="J104" s="20" t="n">
        <v>797</v>
      </c>
      <c r="K104" s="20" t="n">
        <v>6320</v>
      </c>
      <c r="L104" s="20" t="n">
        <v>7280</v>
      </c>
    </row>
    <row r="105">
      <c r="A105" s="18" t="inlineStr">
        <is>
          <t>전자기록채무</t>
        </is>
      </c>
      <c r="C105" s="20" t="n">
        <v>2749</v>
      </c>
      <c r="D105" s="20" t="n">
        <v>2593</v>
      </c>
      <c r="E105" s="20" t="n">
        <v>2663</v>
      </c>
      <c r="F105" s="20" t="n">
        <v>2081</v>
      </c>
      <c r="G105" s="20" t="n">
        <v>2218</v>
      </c>
      <c r="J105" s="20" t="n">
        <v>0</v>
      </c>
      <c r="K105" s="20" t="n">
        <v>2488</v>
      </c>
      <c r="L105" s="20" t="n">
        <v>2663</v>
      </c>
    </row>
    <row r="106">
      <c r="A106" s="18" t="inlineStr">
        <is>
          <t>단기차입금</t>
        </is>
      </c>
      <c r="C106" s="20" t="n">
        <v>3456</v>
      </c>
      <c r="D106" s="20" t="n">
        <v>2752</v>
      </c>
      <c r="E106" s="20" t="n">
        <v>2756</v>
      </c>
      <c r="F106" s="20" t="n">
        <v>4680</v>
      </c>
      <c r="G106" s="20" t="n">
        <v>4526</v>
      </c>
      <c r="J106" s="20" t="n">
        <v>100</v>
      </c>
      <c r="K106" s="20" t="n">
        <v>3402</v>
      </c>
      <c r="L106" s="20" t="n">
        <v>2756</v>
      </c>
    </row>
    <row r="107">
      <c r="A107" s="18" t="inlineStr">
        <is>
          <t>1년 내 상환 사채</t>
        </is>
      </c>
      <c r="C107" s="20" t="n">
        <v>345</v>
      </c>
      <c r="D107" s="20" t="n">
        <v>405</v>
      </c>
      <c r="E107" s="20" t="n">
        <v>360</v>
      </c>
      <c r="F107" s="20" t="n">
        <v>330</v>
      </c>
      <c r="G107" s="20" t="n">
        <v>330</v>
      </c>
      <c r="H107" s="20" t="n">
        <v>1169</v>
      </c>
      <c r="I107" s="20" t="n">
        <v>485</v>
      </c>
      <c r="J107" s="20" t="n">
        <v>390</v>
      </c>
      <c r="K107" s="20" t="n">
        <v>345</v>
      </c>
      <c r="L107" s="20" t="n">
        <v>360</v>
      </c>
    </row>
    <row r="108">
      <c r="A108" s="18" t="inlineStr">
        <is>
          <t>1년 내 상환 장기차입금</t>
        </is>
      </c>
      <c r="C108" s="20" t="n">
        <v>10158</v>
      </c>
      <c r="D108" s="20" t="n">
        <v>12601</v>
      </c>
      <c r="E108" s="20" t="n">
        <v>13315</v>
      </c>
      <c r="F108" s="20" t="n">
        <v>13178</v>
      </c>
      <c r="G108" s="20" t="n">
        <v>13928</v>
      </c>
      <c r="H108" s="20" t="n">
        <v>7638</v>
      </c>
      <c r="I108" s="20" t="n">
        <v>6371</v>
      </c>
      <c r="J108" s="20" t="n">
        <v>5078</v>
      </c>
      <c r="K108" s="20" t="n">
        <v>9964</v>
      </c>
      <c r="L108" s="20" t="n">
        <v>13315</v>
      </c>
    </row>
    <row r="109">
      <c r="A109" s="18" t="inlineStr">
        <is>
          <t>미지급법인세</t>
        </is>
      </c>
      <c r="C109" s="20" t="n">
        <v>1269</v>
      </c>
      <c r="D109" s="20" t="n">
        <v>949</v>
      </c>
      <c r="E109" s="20" t="n">
        <v>3891</v>
      </c>
      <c r="F109" s="20" t="n">
        <v>952</v>
      </c>
      <c r="G109" s="20" t="n">
        <v>1627</v>
      </c>
      <c r="H109" s="20" t="n">
        <v>681</v>
      </c>
      <c r="I109" s="20" t="n">
        <v>1173</v>
      </c>
      <c r="J109" s="20" t="n">
        <v>336</v>
      </c>
      <c r="K109" s="20" t="n">
        <v>2358</v>
      </c>
      <c r="L109" s="20" t="n">
        <v>3891</v>
      </c>
    </row>
    <row r="110">
      <c r="A110" s="18" t="inlineStr">
        <is>
          <t>계약부채</t>
        </is>
      </c>
      <c r="C110" s="20" t="n">
        <v>2629</v>
      </c>
      <c r="D110" s="20" t="n">
        <v>4786</v>
      </c>
      <c r="E110" s="20" t="n">
        <v>3408</v>
      </c>
      <c r="F110" s="20" t="n">
        <v>4595</v>
      </c>
      <c r="G110" s="20" t="n">
        <v>3920</v>
      </c>
      <c r="I110" s="20" t="n">
        <v>611</v>
      </c>
      <c r="J110" s="20" t="n">
        <v>841</v>
      </c>
      <c r="K110" s="20" t="n">
        <v>2237</v>
      </c>
      <c r="L110" s="20" t="n">
        <v>3408</v>
      </c>
    </row>
    <row r="111">
      <c r="A111" s="18" t="inlineStr">
        <is>
          <t>기타</t>
        </is>
      </c>
      <c r="C111" s="20" t="n">
        <v>6066</v>
      </c>
      <c r="D111" s="20" t="n">
        <v>8428</v>
      </c>
      <c r="E111" s="20" t="n">
        <v>9737</v>
      </c>
      <c r="F111" s="20" t="n">
        <v>10129</v>
      </c>
      <c r="G111" s="20" t="n">
        <v>9865</v>
      </c>
      <c r="H111" s="20" t="n">
        <v>9988</v>
      </c>
      <c r="I111" s="20" t="n">
        <v>3238</v>
      </c>
      <c r="J111" s="20" t="n">
        <v>3041</v>
      </c>
      <c r="K111" s="20" t="n">
        <v>5669</v>
      </c>
      <c r="L111" s="20" t="n">
        <v>9737</v>
      </c>
    </row>
    <row r="112">
      <c r="A112" s="9" t="inlineStr">
        <is>
          <t>유동부채 합계</t>
        </is>
      </c>
      <c r="C112" s="12" t="n">
        <v>32664</v>
      </c>
      <c r="D112" s="12" t="n">
        <v>39691</v>
      </c>
      <c r="E112" s="12" t="n">
        <v>43413</v>
      </c>
      <c r="F112" s="12" t="n">
        <v>42817</v>
      </c>
      <c r="G112" s="12" t="n">
        <v>42424</v>
      </c>
      <c r="H112" s="12" t="n">
        <v>20156</v>
      </c>
      <c r="I112" s="12" t="n">
        <v>12467</v>
      </c>
      <c r="J112" s="12" t="n">
        <v>10584</v>
      </c>
      <c r="K112" s="12" t="n">
        <v>32786</v>
      </c>
      <c r="L112" s="12" t="n">
        <v>43413</v>
      </c>
    </row>
    <row r="113">
      <c r="A113" s="18" t="inlineStr">
        <is>
          <t>사채</t>
        </is>
      </c>
      <c r="C113" s="20" t="n">
        <v>1072</v>
      </c>
      <c r="D113" s="20" t="n">
        <v>1072</v>
      </c>
      <c r="E113" s="20" t="n">
        <v>450</v>
      </c>
      <c r="F113" s="20" t="n">
        <v>450</v>
      </c>
      <c r="G113" s="20" t="n">
        <v>300</v>
      </c>
      <c r="H113" s="20" t="n">
        <v>2465</v>
      </c>
      <c r="I113" s="20" t="n">
        <v>1980</v>
      </c>
      <c r="J113" s="20" t="n">
        <v>1590</v>
      </c>
      <c r="K113" s="20" t="n">
        <v>1245</v>
      </c>
      <c r="L113" s="20" t="n">
        <v>450</v>
      </c>
    </row>
    <row r="114">
      <c r="A114" s="18" t="inlineStr">
        <is>
          <t>장기차입금</t>
        </is>
      </c>
      <c r="C114" s="20" t="n">
        <v>47246</v>
      </c>
      <c r="D114" s="20" t="n">
        <v>55170</v>
      </c>
      <c r="E114" s="20" t="n">
        <v>62006</v>
      </c>
      <c r="F114" s="20" t="n">
        <v>61751</v>
      </c>
      <c r="G114" s="20" t="n">
        <v>58534</v>
      </c>
      <c r="H114" s="20" t="n">
        <v>42028</v>
      </c>
      <c r="I114" s="20" t="n">
        <v>23507</v>
      </c>
      <c r="J114" s="20" t="n">
        <v>25829</v>
      </c>
      <c r="K114" s="20" t="n">
        <v>35878</v>
      </c>
      <c r="L114" s="20" t="n">
        <v>62006</v>
      </c>
    </row>
    <row r="115">
      <c r="A115" s="18" t="inlineStr">
        <is>
          <t>이연법인세부채</t>
        </is>
      </c>
      <c r="C115" s="20" t="n">
        <v>2206</v>
      </c>
      <c r="D115" s="20" t="n">
        <v>2206</v>
      </c>
      <c r="E115" s="20" t="n">
        <v>825</v>
      </c>
      <c r="F115" s="20" t="n">
        <v>836</v>
      </c>
      <c r="G115" s="20" t="n">
        <v>516</v>
      </c>
      <c r="H115" s="20" t="n">
        <v>883</v>
      </c>
      <c r="I115" s="20" t="n">
        <v>67</v>
      </c>
      <c r="J115" s="20" t="n">
        <v>59</v>
      </c>
      <c r="K115" s="20" t="n">
        <v>2214</v>
      </c>
      <c r="L115" s="20" t="n">
        <v>825</v>
      </c>
    </row>
    <row r="116">
      <c r="A116" s="18" t="inlineStr">
        <is>
          <t>퇴직급여부채</t>
        </is>
      </c>
      <c r="C116" s="20" t="n">
        <v>210</v>
      </c>
      <c r="D116" s="20" t="n">
        <v>169</v>
      </c>
      <c r="E116" s="20" t="n">
        <v>123</v>
      </c>
      <c r="F116" s="20" t="n">
        <v>94</v>
      </c>
      <c r="G116" s="20" t="n">
        <v>111</v>
      </c>
      <c r="J116" s="20" t="n">
        <v>0</v>
      </c>
      <c r="K116" s="20" t="n">
        <v>186</v>
      </c>
      <c r="L116" s="20" t="n">
        <v>123</v>
      </c>
    </row>
    <row r="117">
      <c r="A117" s="18" t="inlineStr">
        <is>
          <t>자산복구부채</t>
        </is>
      </c>
      <c r="C117" s="20" t="n">
        <v>2548</v>
      </c>
      <c r="D117" s="20" t="n">
        <v>5084</v>
      </c>
      <c r="E117" s="20" t="n">
        <v>5662</v>
      </c>
      <c r="F117" s="20" t="n">
        <v>5435</v>
      </c>
      <c r="G117" s="20" t="n">
        <v>5642</v>
      </c>
      <c r="H117" s="20" t="n">
        <v>2544</v>
      </c>
      <c r="I117" s="20" t="n">
        <v>896</v>
      </c>
      <c r="J117" s="20" t="n">
        <v>953</v>
      </c>
      <c r="K117" s="20" t="n">
        <v>2530</v>
      </c>
      <c r="L117" s="20" t="n">
        <v>5662</v>
      </c>
    </row>
    <row r="118">
      <c r="A118" s="18" t="inlineStr">
        <is>
          <t>리스부채</t>
        </is>
      </c>
      <c r="H118" s="20" t="n">
        <v>2469</v>
      </c>
    </row>
    <row r="119">
      <c r="A119" s="18" t="inlineStr">
        <is>
          <t>기타</t>
        </is>
      </c>
      <c r="C119" s="20" t="n">
        <v>1002</v>
      </c>
      <c r="D119" s="20" t="n">
        <v>1286</v>
      </c>
      <c r="E119" s="20" t="n">
        <v>1295</v>
      </c>
      <c r="F119" s="20" t="n">
        <v>1446</v>
      </c>
      <c r="G119" s="20" t="n">
        <v>1536</v>
      </c>
      <c r="H119" s="20" t="n">
        <v>3456</v>
      </c>
      <c r="I119" s="20" t="n">
        <v>302</v>
      </c>
      <c r="J119" s="20" t="n">
        <v>420</v>
      </c>
      <c r="K119" s="20" t="n">
        <v>1091</v>
      </c>
      <c r="L119" s="20" t="n">
        <v>1295</v>
      </c>
    </row>
    <row r="120">
      <c r="A120" s="9" t="inlineStr">
        <is>
          <t>비유동부채 합계</t>
        </is>
      </c>
      <c r="C120" s="12" t="n">
        <v>54287</v>
      </c>
      <c r="D120" s="12" t="n">
        <v>64990</v>
      </c>
      <c r="E120" s="12" t="n">
        <v>70363</v>
      </c>
      <c r="F120" s="12" t="n">
        <v>70014</v>
      </c>
      <c r="G120" s="12" t="n">
        <v>66641</v>
      </c>
      <c r="H120" s="12" t="n">
        <v>51377</v>
      </c>
      <c r="I120" s="12" t="n">
        <v>26753</v>
      </c>
      <c r="J120" s="12" t="n">
        <v>28852</v>
      </c>
      <c r="K120" s="12" t="n">
        <v>43148</v>
      </c>
      <c r="L120" s="12" t="n">
        <v>70363</v>
      </c>
    </row>
    <row r="121">
      <c r="A121" s="9" t="inlineStr">
        <is>
          <t>부채 합계</t>
        </is>
      </c>
      <c r="C121" s="12" t="n">
        <v>86951</v>
      </c>
      <c r="D121" s="12" t="n">
        <v>104681</v>
      </c>
      <c r="E121" s="12" t="n">
        <v>113776</v>
      </c>
      <c r="F121" s="12" t="n">
        <v>112832</v>
      </c>
      <c r="G121" s="12" t="n">
        <v>109065</v>
      </c>
      <c r="H121" s="12" t="n">
        <v>71533</v>
      </c>
      <c r="I121" s="12" t="n">
        <v>39221</v>
      </c>
      <c r="J121" s="12" t="n">
        <v>39437</v>
      </c>
      <c r="K121" s="12" t="n">
        <v>75934</v>
      </c>
      <c r="L121" s="12" t="n">
        <v>113776</v>
      </c>
    </row>
    <row r="122">
      <c r="A122" s="18" t="inlineStr">
        <is>
          <t>자본금</t>
        </is>
      </c>
      <c r="C122" s="20" t="n">
        <v>16391</v>
      </c>
      <c r="D122" s="20" t="n">
        <v>16402</v>
      </c>
      <c r="E122" s="20" t="n">
        <v>16429</v>
      </c>
      <c r="F122" s="20" t="n">
        <v>16492</v>
      </c>
      <c r="G122" s="20" t="n">
        <v>16509</v>
      </c>
      <c r="H122" s="20" t="n">
        <v>16295</v>
      </c>
      <c r="I122" s="20" t="n">
        <v>16320</v>
      </c>
      <c r="J122" s="20" t="n">
        <v>16357</v>
      </c>
      <c r="K122" s="20" t="n">
        <v>16388</v>
      </c>
      <c r="L122" s="20" t="n">
        <v>16429</v>
      </c>
    </row>
    <row r="123">
      <c r="A123" s="18" t="inlineStr">
        <is>
          <t>자본잉여금</t>
        </is>
      </c>
      <c r="C123" s="20" t="n">
        <v>18432</v>
      </c>
      <c r="D123" s="20" t="n">
        <v>18453</v>
      </c>
      <c r="E123" s="20" t="n">
        <v>18456</v>
      </c>
      <c r="F123" s="20" t="n">
        <v>18528</v>
      </c>
      <c r="G123" s="20" t="n">
        <v>18651</v>
      </c>
      <c r="H123" s="20" t="n">
        <v>18310</v>
      </c>
      <c r="I123" s="20" t="n">
        <v>18336</v>
      </c>
      <c r="J123" s="20" t="n">
        <v>18372</v>
      </c>
      <c r="K123" s="20" t="n">
        <v>18403</v>
      </c>
      <c r="L123" s="20" t="n">
        <v>18456</v>
      </c>
    </row>
    <row r="124">
      <c r="A124" s="18" t="inlineStr">
        <is>
          <t>이익잉여금</t>
        </is>
      </c>
      <c r="C124" s="20" t="n">
        <v>10714</v>
      </c>
      <c r="D124" s="20" t="n">
        <v>12189</v>
      </c>
      <c r="E124" s="20" t="n">
        <v>21448</v>
      </c>
      <c r="F124" s="20" t="n">
        <v>22643</v>
      </c>
      <c r="G124" s="20" t="n">
        <v>23905</v>
      </c>
      <c r="H124" s="20" t="n">
        <v>2917</v>
      </c>
      <c r="I124" s="20" t="n">
        <v>-2019</v>
      </c>
      <c r="J124" s="20" t="n">
        <v>5302</v>
      </c>
      <c r="K124" s="20" t="n">
        <v>9091</v>
      </c>
      <c r="L124" s="20" t="n">
        <v>21448</v>
      </c>
    </row>
    <row r="125">
      <c r="A125" s="18" t="inlineStr">
        <is>
          <t>자기주식</t>
        </is>
      </c>
      <c r="C125" s="20" t="n">
        <v>-6937</v>
      </c>
      <c r="D125" s="20" t="n">
        <v>-6937</v>
      </c>
      <c r="E125" s="20" t="n">
        <v>-6937</v>
      </c>
      <c r="F125" s="20" t="n">
        <v>-6937</v>
      </c>
      <c r="G125" s="20" t="n">
        <v>-10437</v>
      </c>
      <c r="H125" s="20" t="n">
        <v>-17</v>
      </c>
      <c r="I125" s="20" t="n">
        <v>-18</v>
      </c>
      <c r="J125" s="20" t="n">
        <v>-18</v>
      </c>
      <c r="K125" s="20" t="n">
        <v>-2888</v>
      </c>
      <c r="L125" s="20" t="n">
        <v>-6937</v>
      </c>
    </row>
    <row r="126">
      <c r="A126" s="9" t="inlineStr">
        <is>
          <t>주주자본 합계</t>
        </is>
      </c>
      <c r="C126" s="12" t="n">
        <v>38601</v>
      </c>
      <c r="D126" s="12" t="n">
        <v>40107</v>
      </c>
      <c r="E126" s="12" t="n">
        <v>49397</v>
      </c>
      <c r="F126" s="12" t="n">
        <v>50725</v>
      </c>
      <c r="G126" s="12" t="n">
        <v>48628</v>
      </c>
      <c r="H126" s="12" t="n">
        <v>37505</v>
      </c>
      <c r="I126" s="12" t="n">
        <v>32620</v>
      </c>
      <c r="J126" s="12" t="n">
        <v>40014</v>
      </c>
      <c r="K126" s="12" t="n">
        <v>40994</v>
      </c>
      <c r="L126" s="12" t="n">
        <v>49397</v>
      </c>
    </row>
    <row r="127">
      <c r="A127" s="18" t="inlineStr">
        <is>
          <t>기타유가증권 평가차액</t>
        </is>
      </c>
      <c r="C127" s="20" t="n">
        <v>519</v>
      </c>
      <c r="D127" s="20" t="n">
        <v>583</v>
      </c>
      <c r="E127" s="20" t="n">
        <v>727</v>
      </c>
      <c r="F127" s="20" t="n">
        <v>442</v>
      </c>
      <c r="G127" s="20" t="n">
        <v>485</v>
      </c>
      <c r="H127" s="20" t="n">
        <v>255</v>
      </c>
      <c r="I127" s="20" t="n">
        <v>236</v>
      </c>
      <c r="J127" s="20" t="n">
        <v>201</v>
      </c>
      <c r="K127" s="20" t="n">
        <v>429</v>
      </c>
      <c r="L127" s="20" t="n">
        <v>727</v>
      </c>
    </row>
    <row r="128">
      <c r="A128" s="18" t="inlineStr">
        <is>
          <t>이연헤지손익</t>
        </is>
      </c>
      <c r="C128" s="20" t="n">
        <v>22</v>
      </c>
      <c r="D128" s="20" t="n">
        <v>28</v>
      </c>
      <c r="E128" s="20" t="n">
        <v>41</v>
      </c>
      <c r="F128" s="20" t="n">
        <v>46</v>
      </c>
      <c r="G128" s="20" t="n">
        <v>53</v>
      </c>
      <c r="H128" s="20" t="n">
        <v>-57</v>
      </c>
      <c r="I128" s="20" t="n">
        <v>-0</v>
      </c>
      <c r="J128" s="20" t="n">
        <v>-2</v>
      </c>
      <c r="K128" s="20" t="n">
        <v>18</v>
      </c>
      <c r="L128" s="20" t="n">
        <v>41</v>
      </c>
    </row>
    <row r="129">
      <c r="A129" s="18" t="inlineStr">
        <is>
          <t>해외사업환산조정</t>
        </is>
      </c>
      <c r="C129" s="20" t="n">
        <v>-57</v>
      </c>
      <c r="D129" s="20" t="n">
        <v>-71</v>
      </c>
      <c r="E129" s="20" t="n">
        <v>-102</v>
      </c>
      <c r="F129" s="20" t="n">
        <v>-111</v>
      </c>
      <c r="G129" s="20" t="n">
        <v>-121</v>
      </c>
      <c r="H129" s="20" t="n">
        <v>138</v>
      </c>
      <c r="I129" s="20" t="n">
        <v>-34</v>
      </c>
      <c r="J129" s="20" t="n">
        <v>-58</v>
      </c>
      <c r="K129" s="20" t="n">
        <v>-101</v>
      </c>
      <c r="L129" s="20" t="n">
        <v>-102</v>
      </c>
    </row>
    <row r="130">
      <c r="A130" s="18" t="inlineStr">
        <is>
          <t>퇴직급여 조정누계액</t>
        </is>
      </c>
      <c r="C130" s="20" t="n">
        <v>-1</v>
      </c>
      <c r="D130" s="20" t="n">
        <v>-1</v>
      </c>
      <c r="E130" s="20" t="n">
        <v>38</v>
      </c>
      <c r="F130" s="20" t="n">
        <v>37</v>
      </c>
      <c r="G130" s="20" t="n">
        <v>36</v>
      </c>
      <c r="J130" s="20" t="n">
        <v>0</v>
      </c>
      <c r="K130" s="20" t="n">
        <v>-1</v>
      </c>
      <c r="L130" s="20" t="n">
        <v>38</v>
      </c>
    </row>
    <row r="131">
      <c r="A131" s="18" t="inlineStr">
        <is>
          <t>기타포괄손익누계액 합계</t>
        </is>
      </c>
      <c r="C131" s="20" t="n">
        <v>483</v>
      </c>
      <c r="D131" s="20" t="n">
        <v>539</v>
      </c>
      <c r="E131" s="20" t="n">
        <v>705</v>
      </c>
      <c r="F131" s="20" t="n">
        <v>415</v>
      </c>
      <c r="G131" s="20" t="n">
        <v>454</v>
      </c>
      <c r="H131" s="20" t="n">
        <v>336</v>
      </c>
      <c r="I131" s="20" t="n">
        <v>201</v>
      </c>
      <c r="J131" s="20" t="n">
        <v>140</v>
      </c>
      <c r="K131" s="20" t="n">
        <v>344</v>
      </c>
      <c r="L131" s="20" t="n">
        <v>705</v>
      </c>
    </row>
    <row r="132">
      <c r="A132" s="18" t="inlineStr">
        <is>
          <t>신주예약권</t>
        </is>
      </c>
      <c r="C132" s="20" t="n">
        <v>143</v>
      </c>
      <c r="D132" s="20" t="n">
        <v>155</v>
      </c>
      <c r="E132" s="20" t="n">
        <v>166</v>
      </c>
      <c r="F132" s="20" t="n">
        <v>179</v>
      </c>
      <c r="G132" s="20" t="n">
        <v>187</v>
      </c>
      <c r="H132" s="20" t="n">
        <v>50</v>
      </c>
      <c r="I132" s="20" t="n">
        <v>47</v>
      </c>
      <c r="J132" s="20" t="n">
        <v>80</v>
      </c>
      <c r="K132" s="20" t="n">
        <v>113</v>
      </c>
      <c r="L132" s="20" t="n">
        <v>166</v>
      </c>
    </row>
    <row r="133">
      <c r="A133" s="18" t="inlineStr">
        <is>
          <t>비지배지분</t>
        </is>
      </c>
      <c r="C133" s="20" t="n">
        <v>3779</v>
      </c>
      <c r="D133" s="20" t="n">
        <v>5800</v>
      </c>
      <c r="E133" s="20" t="n">
        <v>6908</v>
      </c>
      <c r="F133" s="20" t="n">
        <v>6494</v>
      </c>
      <c r="G133" s="20" t="n">
        <v>6666</v>
      </c>
      <c r="H133" s="20" t="n">
        <v>1854</v>
      </c>
      <c r="I133" s="20" t="n">
        <v>0</v>
      </c>
      <c r="J133" s="20" t="n">
        <v>0</v>
      </c>
      <c r="K133" s="20" t="n">
        <v>4005</v>
      </c>
      <c r="L133" s="20" t="n">
        <v>6908</v>
      </c>
    </row>
    <row r="134">
      <c r="A134" s="9" t="inlineStr">
        <is>
          <t>순자산 합계</t>
        </is>
      </c>
      <c r="C134" s="12" t="n">
        <v>43008</v>
      </c>
      <c r="D134" s="12" t="n">
        <v>46603</v>
      </c>
      <c r="E134" s="12" t="n">
        <v>57177</v>
      </c>
      <c r="F134" s="12" t="n">
        <v>57816</v>
      </c>
      <c r="G134" s="12" t="n">
        <v>55936</v>
      </c>
      <c r="H134" s="12" t="n">
        <v>39746</v>
      </c>
      <c r="I134" s="12" t="n">
        <v>32868</v>
      </c>
      <c r="J134" s="12" t="n">
        <v>40235</v>
      </c>
      <c r="K134" s="12" t="n">
        <v>45459</v>
      </c>
      <c r="L134" s="12" t="n">
        <v>57177</v>
      </c>
    </row>
    <row r="135">
      <c r="A135" s="9" t="inlineStr">
        <is>
          <t>부채·순자산 합계</t>
        </is>
      </c>
      <c r="C135" s="12" t="n">
        <v>129960</v>
      </c>
      <c r="D135" s="12" t="n">
        <v>151284</v>
      </c>
      <c r="E135" s="12" t="n">
        <v>170954</v>
      </c>
      <c r="F135" s="12" t="n">
        <v>170648</v>
      </c>
      <c r="G135" s="12" t="n">
        <v>165002</v>
      </c>
      <c r="H135" s="12" t="n">
        <v>111280</v>
      </c>
      <c r="I135" s="12" t="n">
        <v>72089</v>
      </c>
      <c r="J135" s="12" t="n">
        <v>79672</v>
      </c>
      <c r="K135" s="12" t="n">
        <v>121394</v>
      </c>
      <c r="L135" s="12" t="n">
        <v>170954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TKP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PER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lo</t>
        </is>
      </c>
      <c r="B6" s="55" t="n">
        <v>9.300000000000001</v>
      </c>
      <c r="C6" s="56" t="inlineStr">
        <is>
          <t>2단계 보고서 자료(회사 설명회 자료·공시)</t>
        </is>
      </c>
    </row>
    <row r="7">
      <c r="A7" s="54" t="inlineStr">
        <is>
          <t>hi</t>
        </is>
      </c>
      <c r="B7" s="55" t="n">
        <v>25.2</v>
      </c>
    </row>
    <row r="8">
      <c r="A8" s="54" t="inlineStr">
        <is>
          <t>avg</t>
        </is>
      </c>
      <c r="B8" s="55" t="n">
        <v>17.3</v>
      </c>
    </row>
    <row r="9">
      <c r="A9" s="54" t="inlineStr">
        <is>
          <t>cur</t>
        </is>
      </c>
      <c r="B9" s="55" t="n">
        <v>18</v>
      </c>
    </row>
    <row r="10">
      <c r="A10" s="54" t="inlineStr">
        <is>
          <t>pos</t>
        </is>
      </c>
      <c r="B10" s="57" t="n">
        <v>55</v>
      </c>
    </row>
    <row r="12">
      <c r="A12" s="52" t="inlineStr">
        <is>
          <t>contrib · 1Q</t>
        </is>
      </c>
      <c r="B12" s="52" t="n"/>
      <c r="C12" s="52" t="n"/>
    </row>
    <row r="13">
      <c r="A13" s="53" t="inlineStr">
        <is>
          <t>항목</t>
        </is>
      </c>
      <c r="B13" s="53" t="inlineStr">
        <is>
          <t>값</t>
        </is>
      </c>
      <c r="C13" s="53" t="inlineStr">
        <is>
          <t>출처</t>
        </is>
      </c>
    </row>
    <row r="14">
      <c r="A14" s="54" t="inlineStr">
        <is>
          <t>space</t>
        </is>
      </c>
      <c r="B14" s="55" t="n">
        <v>10.4</v>
      </c>
      <c r="C14" s="56" t="inlineStr">
        <is>
          <t>2단계 보고서 자료(회사 설명회 자료·공시)</t>
        </is>
      </c>
    </row>
    <row r="15">
      <c r="A15" s="54" t="inlineStr">
        <is>
          <t>lily</t>
        </is>
      </c>
      <c r="B15" s="55" t="n">
        <v>0.9</v>
      </c>
    </row>
    <row r="16">
      <c r="A16" s="54" t="inlineStr">
        <is>
          <t>otp</t>
        </is>
      </c>
      <c r="B16" s="55" t="n">
        <v>30.2</v>
      </c>
    </row>
    <row r="18">
      <c r="A18" s="52" t="inlineStr">
        <is>
          <t>contrib · 2Q</t>
        </is>
      </c>
      <c r="B18" s="52" t="n"/>
      <c r="C18" s="52" t="n"/>
    </row>
    <row r="19">
      <c r="A19" s="53" t="inlineStr">
        <is>
          <t>항목</t>
        </is>
      </c>
      <c r="B19" s="53" t="inlineStr">
        <is>
          <t>값</t>
        </is>
      </c>
      <c r="C19" s="53" t="inlineStr">
        <is>
          <t>출처</t>
        </is>
      </c>
    </row>
    <row r="20">
      <c r="A20" s="54" t="inlineStr">
        <is>
          <t>space</t>
        </is>
      </c>
      <c r="B20" s="55" t="n">
        <v>7.7</v>
      </c>
      <c r="C20" s="56" t="inlineStr">
        <is>
          <t>2단계 보고서 자료(회사 설명회 자료·공시)</t>
        </is>
      </c>
    </row>
    <row r="21">
      <c r="A21" s="54" t="inlineStr">
        <is>
          <t>lily</t>
        </is>
      </c>
      <c r="B21" s="55" t="n">
        <v>3.4</v>
      </c>
    </row>
    <row r="22">
      <c r="A22" s="54" t="inlineStr">
        <is>
          <t>otp</t>
        </is>
      </c>
      <c r="B22" s="55" t="n">
        <v>25.7</v>
      </c>
    </row>
    <row r="24">
      <c r="A24" s="52" t="inlineStr">
        <is>
          <t>guide</t>
        </is>
      </c>
      <c r="B24" s="52" t="n"/>
      <c r="C24" s="52" t="n"/>
    </row>
    <row r="25">
      <c r="A25" s="53" t="inlineStr">
        <is>
          <t>항목</t>
        </is>
      </c>
      <c r="B25" s="53" t="inlineStr">
        <is>
          <t>값</t>
        </is>
      </c>
      <c r="C25" s="53" t="inlineStr">
        <is>
          <t>출처</t>
        </is>
      </c>
    </row>
    <row r="26">
      <c r="A26" s="54" t="inlineStr">
        <is>
          <t>FY 매출</t>
        </is>
      </c>
      <c r="B26" s="57" t="n">
        <v>1460</v>
      </c>
      <c r="C26" s="56" t="inlineStr">
        <is>
          <t>2단계 보고서 자료(회사 설명회 자료·공시)</t>
        </is>
      </c>
    </row>
    <row r="27">
      <c r="A27" s="54" t="inlineStr">
        <is>
          <t>FY 영업이익</t>
        </is>
      </c>
      <c r="B27" s="57" t="n">
        <v>110</v>
      </c>
    </row>
    <row r="28">
      <c r="A28" s="54" t="inlineStr">
        <is>
          <t>FY 순이익</t>
        </is>
      </c>
      <c r="B28" s="57" t="n">
        <v>40</v>
      </c>
    </row>
    <row r="29">
      <c r="A29" s="54" t="inlineStr">
        <is>
          <t>FY EPS</t>
        </is>
      </c>
      <c r="B29" s="55" t="n">
        <v>108.11</v>
      </c>
    </row>
    <row r="30">
      <c r="A30" s="54" t="inlineStr">
        <is>
          <t>상반기 매출</t>
        </is>
      </c>
      <c r="B30" s="55" t="n">
        <v>694.03</v>
      </c>
    </row>
    <row r="31">
      <c r="A31" s="54" t="inlineStr">
        <is>
          <t>상반기 영업이익</t>
        </is>
      </c>
      <c r="B31" s="55" t="n">
        <v>46.8</v>
      </c>
    </row>
    <row r="32">
      <c r="A32" s="54" t="inlineStr">
        <is>
          <t>prog 영업이익</t>
        </is>
      </c>
      <c r="B32" s="55" t="n">
        <v>42.6</v>
      </c>
    </row>
    <row r="33">
      <c r="A33" s="54" t="inlineStr">
        <is>
          <t>prog 영업이익 ly</t>
        </is>
      </c>
      <c r="B33" s="55" t="n">
        <v>31.4</v>
      </c>
    </row>
    <row r="34">
      <c r="A34" s="54" t="inlineStr">
        <is>
          <t>하반기 영업이익 implied</t>
        </is>
      </c>
      <c r="B34" s="55" t="n">
        <v>63.2</v>
      </c>
    </row>
    <row r="35">
      <c r="A35" s="54" t="inlineStr">
        <is>
          <t>하반기 영업이익 ly</t>
        </is>
      </c>
      <c r="B35" s="55" t="n">
        <v>70.62</v>
      </c>
    </row>
    <row r="37">
      <c r="A37" s="52" t="inlineStr">
        <is>
          <t>cons</t>
        </is>
      </c>
      <c r="B37" s="52" t="n"/>
      <c r="C37" s="52" t="n"/>
    </row>
    <row r="38">
      <c r="A38" s="53" t="inlineStr">
        <is>
          <t>항목</t>
        </is>
      </c>
      <c r="B38" s="53" t="inlineStr">
        <is>
          <t>값</t>
        </is>
      </c>
      <c r="C38" s="53" t="inlineStr">
        <is>
          <t>출처</t>
        </is>
      </c>
    </row>
    <row r="39">
      <c r="A39" s="54" t="inlineStr">
        <is>
          <t>3Q 매출</t>
        </is>
      </c>
      <c r="B39" s="55" t="n">
        <v>359.5</v>
      </c>
      <c r="C39" s="56" t="inlineStr">
        <is>
          <t>2단계 보고서 자료(회사 설명회 자료·공시)</t>
        </is>
      </c>
    </row>
    <row r="40">
      <c r="A40" s="54" t="inlineStr">
        <is>
          <t>4Q 매출</t>
        </is>
      </c>
      <c r="B40" s="55" t="n">
        <v>396.5</v>
      </c>
    </row>
    <row r="41">
      <c r="A41" s="54" t="inlineStr">
        <is>
          <t>FY EPS</t>
        </is>
      </c>
      <c r="B41" s="55" t="n">
        <v>116.8</v>
      </c>
    </row>
    <row r="42">
      <c r="A42" s="54" t="inlineStr">
        <is>
          <t>fy1 EPS</t>
        </is>
      </c>
      <c r="B42" s="55" t="n">
        <v>136.98</v>
      </c>
    </row>
    <row r="43">
      <c r="A43" s="54" t="inlineStr">
        <is>
          <t>tp</t>
        </is>
      </c>
      <c r="B43" s="57" t="n">
        <v>2275</v>
      </c>
    </row>
    <row r="44">
      <c r="A44" s="54" t="inlineStr">
        <is>
          <t>EPS 90d</t>
        </is>
      </c>
      <c r="B44" s="55" t="n">
        <v>120.35</v>
      </c>
    </row>
    <row r="46">
      <c r="A46" s="52" t="inlineStr">
        <is>
          <t>gp q</t>
        </is>
      </c>
      <c r="B46" s="52" t="n"/>
      <c r="C46" s="52" t="n"/>
    </row>
    <row r="47">
      <c r="A47" s="53" t="inlineStr">
        <is>
          <t>항목</t>
        </is>
      </c>
      <c r="B47" s="53" t="inlineStr">
        <is>
          <t>값</t>
        </is>
      </c>
      <c r="C47" s="53" t="inlineStr">
        <is>
          <t>출처</t>
        </is>
      </c>
    </row>
    <row r="48">
      <c r="A48" s="54" t="inlineStr">
        <is>
          <t>FY2/25 1Q</t>
        </is>
      </c>
      <c r="B48" s="55" t="n">
        <v>43.63</v>
      </c>
      <c r="C48" s="56" t="inlineStr">
        <is>
          <t>2단계 보고서 자료(회사 설명회 자료·공시)</t>
        </is>
      </c>
    </row>
    <row r="49">
      <c r="A49" s="54" t="inlineStr">
        <is>
          <t>FY2/25 2Q</t>
        </is>
      </c>
      <c r="B49" s="55" t="n">
        <v>37.69</v>
      </c>
    </row>
    <row r="50">
      <c r="A50" s="54" t="inlineStr">
        <is>
          <t>FY2/25 3Q</t>
        </is>
      </c>
      <c r="B50" s="55" t="n">
        <v>69.20999999999999</v>
      </c>
    </row>
    <row r="51">
      <c r="A51" s="54" t="inlineStr">
        <is>
          <t>FY2/25 4Q</t>
        </is>
      </c>
      <c r="B51" s="55" t="n">
        <v>64.56999999999999</v>
      </c>
    </row>
    <row r="52">
      <c r="A52" s="54" t="inlineStr">
        <is>
          <t>FY2/26 1Q</t>
        </is>
      </c>
      <c r="B52" s="55" t="n">
        <v>100.53</v>
      </c>
    </row>
    <row r="53">
      <c r="A53" s="54" t="inlineStr">
        <is>
          <t>FY2/26 2Q</t>
        </is>
      </c>
      <c r="B53" s="55" t="n">
        <v>102.44</v>
      </c>
    </row>
    <row r="54">
      <c r="A54" s="54" t="inlineStr">
        <is>
          <t>FY2/26 3Q</t>
        </is>
      </c>
      <c r="B54" s="55" t="n">
        <v>113.33</v>
      </c>
    </row>
    <row r="55">
      <c r="A55" s="54" t="inlineStr">
        <is>
          <t>FY2/26 4Q</t>
        </is>
      </c>
      <c r="B55" s="55" t="n">
        <v>167.91</v>
      </c>
    </row>
    <row r="56">
      <c r="A56" s="54" t="inlineStr">
        <is>
          <t>FY2/27 1Q</t>
        </is>
      </c>
      <c r="B56" s="55" t="n">
        <v>149.98</v>
      </c>
    </row>
    <row r="57">
      <c r="A57" s="54" t="inlineStr">
        <is>
          <t>FY2/27 2Q</t>
        </is>
      </c>
      <c r="B57" s="55" t="n">
        <v>144.99</v>
      </c>
    </row>
    <row r="59">
      <c r="A59" s="52" t="inlineStr">
        <is>
          <t>bs cf 1h</t>
        </is>
      </c>
      <c r="B59" s="52" t="n"/>
      <c r="C59" s="52" t="n"/>
    </row>
    <row r="60">
      <c r="A60" s="53" t="inlineStr">
        <is>
          <t>항목</t>
        </is>
      </c>
      <c r="B60" s="53" t="inlineStr">
        <is>
          <t>값</t>
        </is>
      </c>
      <c r="C60" s="53" t="inlineStr">
        <is>
          <t>출처</t>
        </is>
      </c>
    </row>
    <row r="61">
      <c r="A61" s="54" t="inlineStr">
        <is>
          <t>cash</t>
        </is>
      </c>
      <c r="B61" s="55" t="n">
        <v>307.26</v>
      </c>
      <c r="C61" s="56" t="inlineStr">
        <is>
          <t>2단계 보고서 자료(회사 설명회 자료·공시)</t>
        </is>
      </c>
    </row>
    <row r="62">
      <c r="A62" s="54" t="inlineStr">
        <is>
          <t>debt</t>
        </is>
      </c>
      <c r="B62" s="55" t="n">
        <v>778.83</v>
      </c>
    </row>
    <row r="63">
      <c r="A63" s="54" t="inlineStr">
        <is>
          <t>equity ratio</t>
        </is>
      </c>
      <c r="B63" s="55" t="n">
        <v>29.7</v>
      </c>
    </row>
    <row r="64">
      <c r="A64" s="54" t="inlineStr">
        <is>
          <t>ocf 1h</t>
        </is>
      </c>
      <c r="B64" s="55" t="n">
        <v>8.23</v>
      </c>
    </row>
    <row r="65">
      <c r="A65" s="54" t="inlineStr">
        <is>
          <t>ocf 1h ly</t>
        </is>
      </c>
      <c r="B65" s="55" t="n">
        <v>47.61</v>
      </c>
    </row>
    <row r="66">
      <c r="A66" s="54" t="inlineStr">
        <is>
          <t>icf 1h</t>
        </is>
      </c>
      <c r="B66" s="55" t="n">
        <v>-93.08</v>
      </c>
    </row>
    <row r="67">
      <c r="A67" s="54" t="inlineStr">
        <is>
          <t>buyback</t>
        </is>
      </c>
      <c r="B67" s="55" t="n">
        <v>34.99</v>
      </c>
    </row>
    <row r="69">
      <c r="A69" s="52" t="inlineStr">
        <is>
          <t>opening</t>
        </is>
      </c>
      <c r="B69" s="52" t="n"/>
      <c r="C69" s="52" t="n"/>
    </row>
    <row r="70">
      <c r="A70" s="53" t="inlineStr">
        <is>
          <t>항목</t>
        </is>
      </c>
      <c r="B70" s="53" t="inlineStr">
        <is>
          <t>값</t>
        </is>
      </c>
      <c r="C70" s="53" t="inlineStr">
        <is>
          <t>출처</t>
        </is>
      </c>
    </row>
    <row r="71">
      <c r="A71" s="54" t="inlineStr">
        <is>
          <t>fy27 1h new</t>
        </is>
      </c>
      <c r="B71" s="57" t="n">
        <v>26</v>
      </c>
      <c r="C71" s="56" t="inlineStr">
        <is>
          <t>2단계 보고서 자료(회사 설명회 자료·공시)</t>
        </is>
      </c>
    </row>
    <row r="72">
      <c r="A72" s="54" t="inlineStr">
        <is>
          <t>fy27 1h tsubo</t>
        </is>
      </c>
      <c r="B72" s="57" t="n">
        <v>15220</v>
      </c>
    </row>
    <row r="73">
      <c r="A73" s="54" t="inlineStr">
        <is>
          <t>fy26 new</t>
        </is>
      </c>
      <c r="B73" s="57" t="n">
        <v>49</v>
      </c>
    </row>
    <row r="74">
      <c r="A74" s="54" t="inlineStr">
        <is>
          <t>fy26 tsubo</t>
        </is>
      </c>
      <c r="B74" s="57" t="n">
        <v>20625</v>
      </c>
    </row>
    <row r="75">
      <c r="A75" s="54" t="inlineStr">
        <is>
          <t>direct tsubo 2Q</t>
        </is>
      </c>
      <c r="B75" s="57" t="n">
        <v>127407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https://www2.jpx.co.jp/disc/34790/140120261015551385.pdf</t>
        </is>
      </c>
    </row>
    <row r="5">
      <c r="A5" t="inlineStr">
        <is>
          <t>2026-07-15</t>
        </is>
      </c>
      <c r="B5" t="inlineStr">
        <is>
          <t>2027년 2월 결산기 １분기 결산단신</t>
        </is>
      </c>
      <c r="C5" t="inlineStr">
        <is>
          <t>https://www2.jpx.co.jp/disc/34790/140120260715594163.pdf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https://www2.jpx.co.jp/disc/34790/140120260414504024.pdf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https://www2.jpx.co.jp/disc/34790/140120260114533295.pdf</t>
        </is>
      </c>
    </row>
    <row r="8">
      <c r="A8" t="inlineStr">
        <is>
          <t>2025-10-15</t>
        </is>
      </c>
      <c r="B8" t="inlineStr">
        <is>
          <t>2026년 2월 결산기 ２분기 결산단신</t>
        </is>
      </c>
      <c r="C8" t="inlineStr">
        <is>
          <t>https://www2.jpx.co.jp/disc/34790/140120251015574087.pdf</t>
        </is>
      </c>
    </row>
    <row r="9">
      <c r="A9" t="inlineStr">
        <is>
          <t>2025-07-15</t>
        </is>
      </c>
      <c r="B9" t="inlineStr">
        <is>
          <t>2026년 2월 결산기 １분기 결산단신</t>
        </is>
      </c>
      <c r="C9" t="inlineStr">
        <is>
          <t>https://www2.jpx.co.jp/disc/34790/140120250715514815.pdf</t>
        </is>
      </c>
    </row>
    <row r="10">
      <c r="A10" t="inlineStr">
        <is>
          <t>2025-04-14</t>
        </is>
      </c>
      <c r="B10" t="inlineStr">
        <is>
          <t>2025년 2월 결산기 연간 결산단신</t>
        </is>
      </c>
      <c r="C10" t="inlineStr">
        <is>
          <t>https://www2.jpx.co.jp/disc/34790/140120250414515278.pdf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https://www2.jpx.co.jp/disc/34790/140120250114550447.pdf</t>
        </is>
      </c>
    </row>
    <row r="12">
      <c r="A12" t="inlineStr">
        <is>
          <t>2024-10-15</t>
        </is>
      </c>
      <c r="B12" t="inlineStr">
        <is>
          <t>2025년 2월 결산기 ２분기 결산단신</t>
        </is>
      </c>
      <c r="C12" t="inlineStr">
        <is>
          <t>https://www2.jpx.co.jp/disc/34790/140120241015597634.pdf</t>
        </is>
      </c>
    </row>
    <row r="13">
      <c r="A13" t="inlineStr">
        <is>
          <t>2024-07-11</t>
        </is>
      </c>
      <c r="B13" t="inlineStr">
        <is>
          <t>2025년 2월 결산기 １분기 결산단신</t>
        </is>
      </c>
      <c r="C13" t="inlineStr">
        <is>
          <t>https://www2.jpx.co.jp/disc/34790/140120240711547468.pdf</t>
        </is>
      </c>
    </row>
    <row r="14">
      <c r="A14" t="inlineStr">
        <is>
          <t>2024-04-15</t>
        </is>
      </c>
      <c r="B14" t="inlineStr">
        <is>
          <t>2024년 2월 결산기 연간 결산단신</t>
        </is>
      </c>
      <c r="C14" t="inlineStr">
        <is>
          <t>https://www2.jpx.co.jp/disc/34790/140120240415571145.pdf</t>
        </is>
      </c>
    </row>
    <row r="15">
      <c r="A15" t="inlineStr">
        <is>
          <t>2024-01-15</t>
        </is>
      </c>
      <c r="B15" t="inlineStr">
        <is>
          <t>2024년 2월 결산기 ３분기 결산단신</t>
        </is>
      </c>
      <c r="C15" t="inlineStr">
        <is>
          <t>https://www2.jpx.co.jp/disc/34790/140120240115515166.pdf</t>
        </is>
      </c>
    </row>
    <row r="16">
      <c r="A16" t="inlineStr">
        <is>
          <t>2023-10-12</t>
        </is>
      </c>
      <c r="B16" t="inlineStr">
        <is>
          <t>2024년 2월 결산기 ２분기 결산단신</t>
        </is>
      </c>
      <c r="C16" t="inlineStr">
        <is>
          <t>https://www2.jpx.co.jp/disc/34790/140120231012565724.pdf</t>
        </is>
      </c>
    </row>
    <row r="17">
      <c r="A17" t="inlineStr">
        <is>
          <t>2023-07-13</t>
        </is>
      </c>
      <c r="B17" t="inlineStr">
        <is>
          <t>2024년 2월 결산기 １분기 결산단신</t>
        </is>
      </c>
      <c r="C17" t="inlineStr">
        <is>
          <t>https://www2.jpx.co.jp/disc/34790/140120230711520321.pdf</t>
        </is>
      </c>
    </row>
    <row r="18">
      <c r="A18" t="inlineStr">
        <is>
          <t>2023-04-13</t>
        </is>
      </c>
      <c r="B18" t="inlineStr">
        <is>
          <t>2023년 2월 결산기 연간 결산단신</t>
        </is>
      </c>
      <c r="C18" t="inlineStr">
        <is>
          <t>https://www2.jpx.co.jp/disc/34790/140120230413546457.pdf</t>
        </is>
      </c>
    </row>
    <row r="19">
      <c r="A19" t="inlineStr">
        <is>
          <t>2023-01-12</t>
        </is>
      </c>
      <c r="B19" t="inlineStr">
        <is>
          <t>2023년 2월 결산기 ３분기 결산단신</t>
        </is>
      </c>
      <c r="C19" t="inlineStr">
        <is>
          <t>https://www2.jpx.co.jp/disc/34790/140120230112588278.pdf</t>
        </is>
      </c>
    </row>
    <row r="20">
      <c r="A20" t="inlineStr">
        <is>
          <t>2022-04-14</t>
        </is>
      </c>
      <c r="B20" t="inlineStr">
        <is>
          <t>2022년 2월 결산기 연간 결산단신</t>
        </is>
      </c>
      <c r="C20" t="inlineStr">
        <is>
          <t>https://www2.jpx.co.jp/disc/34790/140120220414521769.pdf</t>
        </is>
      </c>
    </row>
    <row r="21">
      <c r="A21" t="inlineStr">
        <is>
          <t>2021-04-14</t>
        </is>
      </c>
      <c r="B21" t="inlineStr">
        <is>
          <t>2021년 2월 결산기 연간 결산단신</t>
        </is>
      </c>
      <c r="C21" t="inlineStr">
        <is>
          <t>https://www2.jpx.co.jp/disc/34790/140120210414494149.pdf</t>
        </is>
      </c>
    </row>
    <row r="22">
      <c r="A22" t="inlineStr">
        <is>
          <t>2020-04-21</t>
        </is>
      </c>
      <c r="B22" t="inlineStr">
        <is>
          <t>2020년 2월 결산기 연간 결산단신</t>
        </is>
      </c>
      <c r="C22" t="inlineStr">
        <is>
          <t>https://www2.jpx.co.jp/disc/34790/140120200421496936.pdf</t>
        </is>
      </c>
    </row>
    <row r="23">
      <c r="A23" t="inlineStr">
        <is>
          <t>2019-04-15</t>
        </is>
      </c>
      <c r="B23" t="inlineStr">
        <is>
          <t>2019년 2월 결산기 연간 결산단신</t>
        </is>
      </c>
      <c r="C23" t="inlineStr">
        <is>
          <t>https://www2.jpx.co.jp/disc/34790/140120190415404899.pdf</t>
        </is>
      </c>
    </row>
    <row r="24">
      <c r="A24" t="inlineStr">
        <is>
          <t>2018-04-16</t>
        </is>
      </c>
      <c r="B24" t="inlineStr">
        <is>
          <t>연간 결산단신</t>
        </is>
      </c>
      <c r="C24" t="inlineStr">
        <is>
          <t>https://www2.jpx.co.jp/disc/34790/140120180416412323.pdf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2026-10-26T10:53:38Z</dcterms:created>
  <dcterms:modified xmlns:dcterms="http://purl.org/dc/terms/" xmlns:xsi="http://www.w3.org/2001/XMLSchema-instance" xsi:type="dcterms:W3CDTF">2026-10-26T10:53:38Z</dcterms:modified>
</cp:coreProperties>
</file>