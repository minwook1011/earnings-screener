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손익계산서" sheetId="1" state="visible" r:id="rId1"/>
    <sheet xmlns:r="http://schemas.openxmlformats.org/officeDocument/2006/relationships" name="포괄손익" sheetId="2" state="visible" r:id="rId2"/>
    <sheet xmlns:r="http://schemas.openxmlformats.org/officeDocument/2006/relationships" name="재무상태표" sheetId="3" state="visible" r:id="rId3"/>
    <sheet xmlns:r="http://schemas.openxmlformats.org/officeDocument/2006/relationships" name="현금흐름표" sheetId="4" state="visible" r:id="rId4"/>
    <sheet xmlns:r="http://schemas.openxmlformats.org/officeDocument/2006/relationships" name="부문" sheetId="5" state="visible" r:id="rId5"/>
    <sheet xmlns:r="http://schemas.openxmlformats.org/officeDocument/2006/relationships" name="섹터 데이터" sheetId="6" state="visible" r:id="rId6"/>
    <sheet xmlns:r="http://schemas.openxmlformats.org/officeDocument/2006/relationships" name="출처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;\(#,##0.0\);&quot;-&quot;"/>
    <numFmt numFmtId="165" formatCode="0.0%;\-0.0%;&quot;-&quot;"/>
  </numFmts>
  <fonts count="9">
    <font>
      <name val="Calibri"/>
      <family val="2"/>
      <color theme="1"/>
      <sz val="11"/>
      <scheme val="minor"/>
    </font>
    <font>
      <name val="맑은 고딕"/>
      <b val="1"/>
      <sz val="20"/>
    </font>
    <font>
      <name val="맑은 고딕"/>
      <color rgb="FFFF0000"/>
      <sz val="9"/>
    </font>
    <font>
      <name val="맑은 고딕"/>
      <color rgb="FF808080"/>
      <sz val="9"/>
    </font>
    <font>
      <name val="맑은 고딕"/>
      <b val="1"/>
      <sz val="10"/>
    </font>
    <font>
      <name val="맑은 고딕"/>
      <b val="1"/>
      <sz val="11"/>
    </font>
    <font>
      <name val="맑은 고딕"/>
      <color rgb="FF808080"/>
      <sz val="11"/>
    </font>
    <font>
      <name val="맑은 고딕"/>
      <sz val="11"/>
    </font>
    <font>
      <name val="맑은 고딕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D9D9D9"/>
      </patternFill>
    </fill>
    <fill>
      <patternFill patternType="solid">
        <fgColor rgb="FF808080"/>
      </patternFill>
    </fill>
  </fills>
  <borders count="2">
    <border>
      <left/>
      <right/>
      <top/>
      <bottom/>
      <diagonal/>
    </border>
    <border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top" wrapText="1"/>
    </xf>
    <xf numFmtId="0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164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7" fillId="0" borderId="0" pivotButton="0" quotePrefix="0" xfId="0"/>
    <xf numFmtId="3" fontId="7" fillId="0" borderId="0" applyAlignment="1" pivotButton="0" quotePrefix="0" xfId="0">
      <alignment horizontal="center" vertical="center"/>
    </xf>
    <xf numFmtId="0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0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40" customWidth="1" min="31" max="31"/>
  </cols>
  <sheetData>
    <row r="1">
      <c r="A1" s="1" t="inlineStr">
        <is>
          <t>TKP 손익계산서</t>
        </is>
      </c>
    </row>
    <row r="2">
      <c r="A2" s="2" t="inlineStr">
        <is>
          <t>결산기 기준(27.2Q = 2027년 결산기 2분기) · 2월 결산 · 연결 · 분기 단독(누계 차분) · 오른쪽 FY = 연간</t>
        </is>
      </c>
      <c r="B2" s="3" t="inlineStr">
        <is>
          <t>(단위: 억엔)</t>
        </is>
      </c>
    </row>
    <row r="3">
      <c r="A3" s="4" t="inlineStr">
        <is>
          <t>항목</t>
        </is>
      </c>
      <c r="B3" s="4" t="inlineStr">
        <is>
          <t>참고</t>
        </is>
      </c>
      <c r="C3" s="4" t="inlineStr">
        <is>
          <t>22.3Q</t>
        </is>
      </c>
      <c r="D3" s="4" t="inlineStr">
        <is>
          <t>22.4Q</t>
        </is>
      </c>
      <c r="E3" s="4" t="inlineStr">
        <is>
          <t>23.1Q</t>
        </is>
      </c>
      <c r="F3" s="4" t="inlineStr">
        <is>
          <t>23.2Q</t>
        </is>
      </c>
      <c r="G3" s="4" t="inlineStr">
        <is>
          <t>23.3Q</t>
        </is>
      </c>
      <c r="H3" s="4" t="inlineStr">
        <is>
          <t>23.4Q</t>
        </is>
      </c>
      <c r="I3" s="4" t="inlineStr">
        <is>
          <t>24.1Q</t>
        </is>
      </c>
      <c r="J3" s="4" t="inlineStr">
        <is>
          <t>24.2Q</t>
        </is>
      </c>
      <c r="K3" s="4" t="inlineStr">
        <is>
          <t>24.3Q</t>
        </is>
      </c>
      <c r="L3" s="4" t="inlineStr">
        <is>
          <t>24.4Q</t>
        </is>
      </c>
      <c r="M3" s="4" t="inlineStr">
        <is>
          <t>25.1Q</t>
        </is>
      </c>
      <c r="N3" s="4" t="inlineStr">
        <is>
          <t>25.2Q</t>
        </is>
      </c>
      <c r="O3" s="4" t="inlineStr">
        <is>
          <t>25.3Q</t>
        </is>
      </c>
      <c r="P3" s="4" t="inlineStr">
        <is>
          <t>25.4Q</t>
        </is>
      </c>
      <c r="Q3" s="4" t="inlineStr">
        <is>
          <t>26.1Q</t>
        </is>
      </c>
      <c r="R3" s="4" t="inlineStr">
        <is>
          <t>26.2Q</t>
        </is>
      </c>
      <c r="S3" s="4" t="inlineStr">
        <is>
          <t>26.3Q</t>
        </is>
      </c>
      <c r="T3" s="4" t="inlineStr">
        <is>
          <t>26.4Q</t>
        </is>
      </c>
      <c r="U3" s="4" t="inlineStr">
        <is>
          <t>27.1Q</t>
        </is>
      </c>
      <c r="V3" s="4" t="inlineStr">
        <is>
          <t>27.2Q</t>
        </is>
      </c>
      <c r="W3" s="4" t="inlineStr">
        <is>
          <t>FY19</t>
        </is>
      </c>
      <c r="X3" s="4" t="inlineStr">
        <is>
          <t>FY20</t>
        </is>
      </c>
      <c r="Y3" s="4" t="inlineStr">
        <is>
          <t>FY21</t>
        </is>
      </c>
      <c r="Z3" s="4" t="inlineStr">
        <is>
          <t>FY22</t>
        </is>
      </c>
      <c r="AA3" s="4" t="inlineStr">
        <is>
          <t>FY23</t>
        </is>
      </c>
      <c r="AB3" s="4" t="inlineStr">
        <is>
          <t>FY24</t>
        </is>
      </c>
      <c r="AC3" s="4" t="inlineStr">
        <is>
          <t>FY25</t>
        </is>
      </c>
      <c r="AD3" s="4" t="inlineStr">
        <is>
          <t>FY26</t>
        </is>
      </c>
      <c r="AE3" s="4" t="inlineStr">
        <is>
          <t>출처</t>
        </is>
      </c>
    </row>
    <row r="4">
      <c r="A4" s="5" t="inlineStr">
        <is>
          <t>매출액</t>
        </is>
      </c>
      <c r="C4" s="6" t="n">
        <v>109.48</v>
      </c>
      <c r="D4" s="6" t="n">
        <v>117.82</v>
      </c>
      <c r="E4" s="6" t="n">
        <v>131.8</v>
      </c>
      <c r="F4" s="6" t="n">
        <v>124.75</v>
      </c>
      <c r="G4" s="6" t="n">
        <v>129.96</v>
      </c>
      <c r="H4" s="6" t="n">
        <v>118.53</v>
      </c>
      <c r="I4" s="6" t="n">
        <v>90.22</v>
      </c>
      <c r="J4" s="6" t="n">
        <v>87.28</v>
      </c>
      <c r="K4" s="6" t="n">
        <v>96.53</v>
      </c>
      <c r="L4" s="6" t="n">
        <v>91.42</v>
      </c>
      <c r="M4" s="6" t="n">
        <v>105.62</v>
      </c>
      <c r="N4" s="6" t="n">
        <v>97.18000000000001</v>
      </c>
      <c r="O4" s="6" t="n">
        <v>198.5</v>
      </c>
      <c r="P4" s="6" t="n">
        <v>190.78</v>
      </c>
      <c r="Q4" s="6" t="n">
        <v>244.65</v>
      </c>
      <c r="R4" s="6" t="n">
        <v>254.33</v>
      </c>
      <c r="S4" s="6" t="n">
        <v>270.87</v>
      </c>
      <c r="T4" s="6" t="n">
        <v>373.72</v>
      </c>
      <c r="U4" s="6" t="n">
        <v>346.09</v>
      </c>
      <c r="V4" s="6" t="n">
        <v>347.94</v>
      </c>
      <c r="W4" s="6" t="n">
        <v>355.23</v>
      </c>
      <c r="X4" s="6" t="n">
        <v>543.4299999999999</v>
      </c>
      <c r="Y4" s="6" t="n">
        <v>431.38</v>
      </c>
      <c r="Z4" s="6" t="n">
        <v>446.85</v>
      </c>
      <c r="AA4" s="6" t="n">
        <v>505.04</v>
      </c>
      <c r="AB4" s="6" t="n">
        <v>365.45</v>
      </c>
      <c r="AC4" s="6" t="n">
        <v>592.08</v>
      </c>
      <c r="AD4" s="6" t="n">
        <v>1143.57</v>
      </c>
      <c r="AE4" s="7" t="inlineStr">
        <is>
          <t>결산단신 XBRL(거래소 공시, TDnet·JPX 보관소). 쓴 문서: 2026-10-15, 2026-07-15, 2026-04-14, 2026-01-14 외 26건 — '출처' 시트에 전부</t>
        </is>
      </c>
    </row>
    <row r="5">
      <c r="A5" s="8" t="inlineStr">
        <is>
          <t>YoY</t>
        </is>
      </c>
      <c r="G5" s="9">
        <f>IF(OR(G4="",C4=""),"",IFERROR(G4/C4-1,""))</f>
        <v/>
      </c>
      <c r="H5" s="9">
        <f>IF(OR(H4="",D4=""),"",IFERROR(H4/D4-1,""))</f>
        <v/>
      </c>
      <c r="I5" s="9">
        <f>IF(OR(I4="",E4=""),"",IFERROR(I4/E4-1,""))</f>
        <v/>
      </c>
      <c r="J5" s="9">
        <f>IF(OR(J4="",F4=""),"",IFERROR(J4/F4-1,""))</f>
        <v/>
      </c>
      <c r="K5" s="9">
        <f>IF(OR(K4="",G4=""),"",IFERROR(K4/G4-1,""))</f>
        <v/>
      </c>
      <c r="L5" s="9">
        <f>IF(OR(L4="",H4=""),"",IFERROR(L4/H4-1,""))</f>
        <v/>
      </c>
      <c r="M5" s="9">
        <f>IF(OR(M4="",I4=""),"",IFERROR(M4/I4-1,""))</f>
        <v/>
      </c>
      <c r="N5" s="9">
        <f>IF(OR(N4="",J4=""),"",IFERROR(N4/J4-1,""))</f>
        <v/>
      </c>
      <c r="O5" s="9">
        <f>IF(OR(O4="",K4=""),"",IFERROR(O4/K4-1,""))</f>
        <v/>
      </c>
      <c r="P5" s="9">
        <f>IF(OR(P4="",L4=""),"",IFERROR(P4/L4-1,""))</f>
        <v/>
      </c>
      <c r="Q5" s="9">
        <f>IF(OR(Q4="",M4=""),"",IFERROR(Q4/M4-1,""))</f>
        <v/>
      </c>
      <c r="R5" s="9">
        <f>IF(OR(R4="",N4=""),"",IFERROR(R4/N4-1,""))</f>
        <v/>
      </c>
      <c r="S5" s="9">
        <f>IF(OR(S4="",O4=""),"",IFERROR(S4/O4-1,""))</f>
        <v/>
      </c>
      <c r="T5" s="9">
        <f>IF(OR(T4="",P4=""),"",IFERROR(T4/P4-1,""))</f>
        <v/>
      </c>
      <c r="U5" s="9">
        <f>IF(OR(U4="",Q4=""),"",IFERROR(U4/Q4-1,""))</f>
        <v/>
      </c>
      <c r="V5" s="9">
        <f>IF(OR(V4="",R4=""),"",IFERROR(V4/R4-1,""))</f>
        <v/>
      </c>
      <c r="X5" s="9">
        <f>IF(OR(X4="",W4=""),"",IFERROR(X4/W4-1,""))</f>
        <v/>
      </c>
      <c r="Y5" s="9">
        <f>IF(OR(Y4="",X4=""),"",IFERROR(Y4/X4-1,""))</f>
        <v/>
      </c>
      <c r="Z5" s="9">
        <f>IF(OR(Z4="",Y4=""),"",IFERROR(Z4/Y4-1,""))</f>
        <v/>
      </c>
      <c r="AA5" s="9">
        <f>IF(OR(AA4="",Z4=""),"",IFERROR(AA4/Z4-1,""))</f>
        <v/>
      </c>
      <c r="AB5" s="9">
        <f>IF(OR(AB4="",AA4=""),"",IFERROR(AB4/AA4-1,""))</f>
        <v/>
      </c>
      <c r="AC5" s="9">
        <f>IF(OR(AC4="",AB4=""),"",IFERROR(AC4/AB4-1,""))</f>
        <v/>
      </c>
      <c r="AD5" s="9">
        <f>IF(OR(AD4="",AC4=""),"",IFERROR(AD4/AC4-1,""))</f>
        <v/>
      </c>
    </row>
    <row r="6">
      <c r="A6" s="5" t="inlineStr">
        <is>
          <t>매출원가</t>
        </is>
      </c>
      <c r="C6" s="6" t="n">
        <v>83.45</v>
      </c>
      <c r="D6" s="6" t="n">
        <v>85.89</v>
      </c>
      <c r="E6" s="6" t="n">
        <v>88.20999999999999</v>
      </c>
      <c r="F6" s="6" t="n">
        <v>85.77</v>
      </c>
      <c r="G6" s="6" t="n">
        <v>89.22</v>
      </c>
      <c r="H6" s="6" t="n">
        <v>80.34</v>
      </c>
      <c r="I6" s="6" t="n">
        <v>52.74</v>
      </c>
      <c r="J6" s="6" t="n">
        <v>54.04</v>
      </c>
      <c r="K6" s="6" t="n">
        <v>60.56</v>
      </c>
      <c r="L6" s="6" t="n">
        <v>59.25</v>
      </c>
      <c r="M6" s="6" t="n">
        <v>61.98</v>
      </c>
      <c r="N6" s="6" t="n">
        <v>59.49</v>
      </c>
      <c r="O6" s="6" t="n">
        <v>129.29</v>
      </c>
      <c r="P6" s="6" t="n">
        <v>126.21</v>
      </c>
      <c r="Q6" s="6" t="n">
        <v>144.12</v>
      </c>
      <c r="R6" s="6" t="n">
        <v>151.89</v>
      </c>
      <c r="S6" s="6" t="n">
        <v>157.54</v>
      </c>
      <c r="T6" s="6" t="n">
        <v>205.81</v>
      </c>
      <c r="U6" s="6" t="n">
        <v>196.1</v>
      </c>
      <c r="V6" s="6" t="n">
        <v>202.96</v>
      </c>
      <c r="W6" s="6" t="n">
        <v>218.01</v>
      </c>
      <c r="X6" s="6" t="n">
        <v>336.2</v>
      </c>
      <c r="Y6" s="6" t="n">
        <v>319.27</v>
      </c>
      <c r="Z6" s="6" t="n">
        <v>326.11</v>
      </c>
      <c r="AA6" s="6" t="n">
        <v>343.54</v>
      </c>
      <c r="AB6" s="6" t="n">
        <v>226.59</v>
      </c>
      <c r="AC6" s="6" t="n">
        <v>376.97</v>
      </c>
      <c r="AD6" s="6" t="n">
        <v>659.36</v>
      </c>
    </row>
    <row r="7">
      <c r="A7" s="5" t="inlineStr">
        <is>
          <t>매출총이익</t>
        </is>
      </c>
      <c r="C7" s="6" t="n">
        <v>26.03</v>
      </c>
      <c r="D7" s="6" t="n">
        <v>31.93</v>
      </c>
      <c r="E7" s="6" t="n">
        <v>43.58</v>
      </c>
      <c r="F7" s="6" t="n">
        <v>38.98</v>
      </c>
      <c r="G7" s="6" t="n">
        <v>40.75</v>
      </c>
      <c r="H7" s="6" t="n">
        <v>38.18</v>
      </c>
      <c r="I7" s="6" t="n">
        <v>37.48</v>
      </c>
      <c r="J7" s="6" t="n">
        <v>33.24</v>
      </c>
      <c r="K7" s="6" t="n">
        <v>35.97</v>
      </c>
      <c r="L7" s="6" t="n">
        <v>32.16</v>
      </c>
      <c r="M7" s="6" t="n">
        <v>43.63</v>
      </c>
      <c r="N7" s="6" t="n">
        <v>37.69</v>
      </c>
      <c r="O7" s="6" t="n">
        <v>69.20999999999999</v>
      </c>
      <c r="P7" s="6" t="n">
        <v>64.56999999999999</v>
      </c>
      <c r="Q7" s="6" t="n">
        <v>100.53</v>
      </c>
      <c r="R7" s="6" t="n">
        <v>102.44</v>
      </c>
      <c r="S7" s="6" t="n">
        <v>113.33</v>
      </c>
      <c r="T7" s="6" t="n">
        <v>167.91</v>
      </c>
      <c r="U7" s="6" t="n">
        <v>149.98</v>
      </c>
      <c r="V7" s="6" t="n">
        <v>144.99</v>
      </c>
      <c r="W7" s="6" t="n">
        <v>137.22</v>
      </c>
      <c r="X7" s="6" t="n">
        <v>207.22</v>
      </c>
      <c r="Y7" s="6" t="n">
        <v>112.1</v>
      </c>
      <c r="Z7" s="6" t="n">
        <v>120.73</v>
      </c>
      <c r="AA7" s="6" t="n">
        <v>161.49</v>
      </c>
      <c r="AB7" s="6" t="n">
        <v>138.85</v>
      </c>
      <c r="AC7" s="6" t="n">
        <v>215.1</v>
      </c>
      <c r="AD7" s="6" t="n">
        <v>484.21</v>
      </c>
    </row>
    <row r="8">
      <c r="A8" s="8" t="inlineStr">
        <is>
          <t>매출총이익률</t>
        </is>
      </c>
      <c r="C8" s="9">
        <f>IF(OR(C7="",C4=""),"",IFERROR(C7/C4,""))</f>
        <v/>
      </c>
      <c r="D8" s="9">
        <f>IF(OR(D7="",D4=""),"",IFERROR(D7/D4,""))</f>
        <v/>
      </c>
      <c r="E8" s="9">
        <f>IF(OR(E7="",E4=""),"",IFERROR(E7/E4,""))</f>
        <v/>
      </c>
      <c r="F8" s="9">
        <f>IF(OR(F7="",F4=""),"",IFERROR(F7/F4,""))</f>
        <v/>
      </c>
      <c r="G8" s="9">
        <f>IF(OR(G7="",G4=""),"",IFERROR(G7/G4,""))</f>
        <v/>
      </c>
      <c r="H8" s="9">
        <f>IF(OR(H7="",H4=""),"",IFERROR(H7/H4,""))</f>
        <v/>
      </c>
      <c r="I8" s="9">
        <f>IF(OR(I7="",I4=""),"",IFERROR(I7/I4,""))</f>
        <v/>
      </c>
      <c r="J8" s="9">
        <f>IF(OR(J7="",J4=""),"",IFERROR(J7/J4,""))</f>
        <v/>
      </c>
      <c r="K8" s="9">
        <f>IF(OR(K7="",K4=""),"",IFERROR(K7/K4,""))</f>
        <v/>
      </c>
      <c r="L8" s="9">
        <f>IF(OR(L7="",L4=""),"",IFERROR(L7/L4,""))</f>
        <v/>
      </c>
      <c r="M8" s="9">
        <f>IF(OR(M7="",M4=""),"",IFERROR(M7/M4,""))</f>
        <v/>
      </c>
      <c r="N8" s="9">
        <f>IF(OR(N7="",N4=""),"",IFERROR(N7/N4,""))</f>
        <v/>
      </c>
      <c r="O8" s="9">
        <f>IF(OR(O7="",O4=""),"",IFERROR(O7/O4,""))</f>
        <v/>
      </c>
      <c r="P8" s="9">
        <f>IF(OR(P7="",P4=""),"",IFERROR(P7/P4,""))</f>
        <v/>
      </c>
      <c r="Q8" s="9">
        <f>IF(OR(Q7="",Q4=""),"",IFERROR(Q7/Q4,""))</f>
        <v/>
      </c>
      <c r="R8" s="9">
        <f>IF(OR(R7="",R4=""),"",IFERROR(R7/R4,""))</f>
        <v/>
      </c>
      <c r="S8" s="9">
        <f>IF(OR(S7="",S4=""),"",IFERROR(S7/S4,""))</f>
        <v/>
      </c>
      <c r="T8" s="9">
        <f>IF(OR(T7="",T4=""),"",IFERROR(T7/T4,""))</f>
        <v/>
      </c>
      <c r="U8" s="9">
        <f>IF(OR(U7="",U4=""),"",IFERROR(U7/U4,""))</f>
        <v/>
      </c>
      <c r="V8" s="9">
        <f>IF(OR(V7="",V4=""),"",IFERROR(V7/V4,""))</f>
        <v/>
      </c>
      <c r="W8" s="9">
        <f>IF(OR(W7="",W4=""),"",IFERROR(W7/W4,""))</f>
        <v/>
      </c>
      <c r="X8" s="9">
        <f>IF(OR(X7="",X4=""),"",IFERROR(X7/X4,""))</f>
        <v/>
      </c>
      <c r="Y8" s="9">
        <f>IF(OR(Y7="",Y4=""),"",IFERROR(Y7/Y4,""))</f>
        <v/>
      </c>
      <c r="Z8" s="9">
        <f>IF(OR(Z7="",Z4=""),"",IFERROR(Z7/Z4,""))</f>
        <v/>
      </c>
      <c r="AA8" s="9">
        <f>IF(OR(AA7="",AA4=""),"",IFERROR(AA7/AA4,""))</f>
        <v/>
      </c>
      <c r="AB8" s="9">
        <f>IF(OR(AB7="",AB4=""),"",IFERROR(AB7/AB4,""))</f>
        <v/>
      </c>
      <c r="AC8" s="9">
        <f>IF(OR(AC7="",AC4=""),"",IFERROR(AC7/AC4,""))</f>
        <v/>
      </c>
      <c r="AD8" s="9">
        <f>IF(OR(AD7="",AD4=""),"",IFERROR(AD7/AD4,""))</f>
        <v/>
      </c>
    </row>
    <row r="9">
      <c r="A9" s="10" t="inlineStr">
        <is>
          <t>판매비와 관리비</t>
        </is>
      </c>
      <c r="C9" s="11" t="n">
        <v>32.2</v>
      </c>
      <c r="D9" s="11" t="n">
        <v>29.62</v>
      </c>
      <c r="E9" s="11" t="n">
        <v>31.43</v>
      </c>
      <c r="F9" s="11" t="n">
        <v>31.85</v>
      </c>
      <c r="G9" s="11" t="n">
        <v>32.33</v>
      </c>
      <c r="H9" s="11" t="n">
        <v>30.13</v>
      </c>
      <c r="I9" s="11" t="n">
        <v>20</v>
      </c>
      <c r="J9" s="11" t="n">
        <v>23.13</v>
      </c>
      <c r="K9" s="11" t="n">
        <v>24.27</v>
      </c>
      <c r="L9" s="11" t="n">
        <v>25.38</v>
      </c>
      <c r="M9" s="11" t="n">
        <v>26.7</v>
      </c>
      <c r="N9" s="11" t="n">
        <v>27.28</v>
      </c>
      <c r="O9" s="11" t="n">
        <v>51.94</v>
      </c>
      <c r="P9" s="11" t="n">
        <v>50.03</v>
      </c>
      <c r="Q9" s="11" t="n">
        <v>82.52</v>
      </c>
      <c r="R9" s="11" t="n">
        <v>88.06</v>
      </c>
      <c r="S9" s="11" t="n">
        <v>84.39</v>
      </c>
      <c r="T9" s="11" t="n">
        <v>126.23</v>
      </c>
      <c r="U9" s="11" t="n">
        <v>124.45</v>
      </c>
      <c r="V9" s="11" t="n">
        <v>123.71</v>
      </c>
      <c r="W9" s="11" t="n">
        <v>94.33</v>
      </c>
      <c r="X9" s="11" t="n">
        <v>144.04</v>
      </c>
      <c r="Y9" s="11" t="n">
        <v>137.08</v>
      </c>
      <c r="Z9" s="11" t="n">
        <v>129.57</v>
      </c>
      <c r="AA9" s="11" t="n">
        <v>125.74</v>
      </c>
      <c r="AB9" s="11" t="n">
        <v>92.78</v>
      </c>
      <c r="AC9" s="11" t="n">
        <v>155.95</v>
      </c>
      <c r="AD9" s="11" t="n">
        <v>381.2</v>
      </c>
    </row>
    <row r="10">
      <c r="A10" s="5" t="inlineStr">
        <is>
          <t>영업이익</t>
        </is>
      </c>
      <c r="C10" s="6" t="n">
        <v>-6.16</v>
      </c>
      <c r="D10" s="6" t="n">
        <v>2.31</v>
      </c>
      <c r="E10" s="6" t="n">
        <v>12.15</v>
      </c>
      <c r="F10" s="6" t="n">
        <v>7.13</v>
      </c>
      <c r="G10" s="6" t="n">
        <v>8.42</v>
      </c>
      <c r="H10" s="6" t="n">
        <v>8.050000000000001</v>
      </c>
      <c r="I10" s="6" t="n">
        <v>17.47</v>
      </c>
      <c r="J10" s="6" t="n">
        <v>10.11</v>
      </c>
      <c r="K10" s="6" t="n">
        <v>11.7</v>
      </c>
      <c r="L10" s="6" t="n">
        <v>6.79</v>
      </c>
      <c r="M10" s="6" t="n">
        <v>16.92</v>
      </c>
      <c r="N10" s="6" t="n">
        <v>10.41</v>
      </c>
      <c r="O10" s="6" t="n">
        <v>17.28</v>
      </c>
      <c r="P10" s="6" t="n">
        <v>14.54</v>
      </c>
      <c r="Q10" s="6" t="n">
        <v>18</v>
      </c>
      <c r="R10" s="6" t="n">
        <v>14.39</v>
      </c>
      <c r="S10" s="6" t="n">
        <v>28.94</v>
      </c>
      <c r="T10" s="6" t="n">
        <v>41.68</v>
      </c>
      <c r="U10" s="6" t="n">
        <v>25.53</v>
      </c>
      <c r="V10" s="6" t="n">
        <v>21.27</v>
      </c>
      <c r="W10" s="6" t="n">
        <v>42.89</v>
      </c>
      <c r="X10" s="6" t="n">
        <v>63.17</v>
      </c>
      <c r="Y10" s="6" t="n">
        <v>-24.97</v>
      </c>
      <c r="Z10" s="6" t="n">
        <v>-8.83</v>
      </c>
      <c r="AA10" s="6" t="n">
        <v>35.75</v>
      </c>
      <c r="AB10" s="6" t="n">
        <v>46.07</v>
      </c>
      <c r="AC10" s="6" t="n">
        <v>59.15</v>
      </c>
      <c r="AD10" s="6" t="n">
        <v>103.01</v>
      </c>
    </row>
    <row r="11">
      <c r="A11" s="8" t="inlineStr">
        <is>
          <t>영업이익률</t>
        </is>
      </c>
      <c r="C11" s="9">
        <f>IF(OR(C10="",C4=""),"",IFERROR(C10/C4,""))</f>
        <v/>
      </c>
      <c r="D11" s="9">
        <f>IF(OR(D10="",D4=""),"",IFERROR(D10/D4,""))</f>
        <v/>
      </c>
      <c r="E11" s="9">
        <f>IF(OR(E10="",E4=""),"",IFERROR(E10/E4,""))</f>
        <v/>
      </c>
      <c r="F11" s="9">
        <f>IF(OR(F10="",F4=""),"",IFERROR(F10/F4,""))</f>
        <v/>
      </c>
      <c r="G11" s="9">
        <f>IF(OR(G10="",G4=""),"",IFERROR(G10/G4,""))</f>
        <v/>
      </c>
      <c r="H11" s="9">
        <f>IF(OR(H10="",H4=""),"",IFERROR(H10/H4,""))</f>
        <v/>
      </c>
      <c r="I11" s="9">
        <f>IF(OR(I10="",I4=""),"",IFERROR(I10/I4,""))</f>
        <v/>
      </c>
      <c r="J11" s="9">
        <f>IF(OR(J10="",J4=""),"",IFERROR(J10/J4,""))</f>
        <v/>
      </c>
      <c r="K11" s="9">
        <f>IF(OR(K10="",K4=""),"",IFERROR(K10/K4,""))</f>
        <v/>
      </c>
      <c r="L11" s="9">
        <f>IF(OR(L10="",L4=""),"",IFERROR(L10/L4,""))</f>
        <v/>
      </c>
      <c r="M11" s="9">
        <f>IF(OR(M10="",M4=""),"",IFERROR(M10/M4,""))</f>
        <v/>
      </c>
      <c r="N11" s="9">
        <f>IF(OR(N10="",N4=""),"",IFERROR(N10/N4,""))</f>
        <v/>
      </c>
      <c r="O11" s="9">
        <f>IF(OR(O10="",O4=""),"",IFERROR(O10/O4,""))</f>
        <v/>
      </c>
      <c r="P11" s="9">
        <f>IF(OR(P10="",P4=""),"",IFERROR(P10/P4,""))</f>
        <v/>
      </c>
      <c r="Q11" s="9">
        <f>IF(OR(Q10="",Q4=""),"",IFERROR(Q10/Q4,""))</f>
        <v/>
      </c>
      <c r="R11" s="9">
        <f>IF(OR(R10="",R4=""),"",IFERROR(R10/R4,""))</f>
        <v/>
      </c>
      <c r="S11" s="9">
        <f>IF(OR(S10="",S4=""),"",IFERROR(S10/S4,""))</f>
        <v/>
      </c>
      <c r="T11" s="9">
        <f>IF(OR(T10="",T4=""),"",IFERROR(T10/T4,""))</f>
        <v/>
      </c>
      <c r="U11" s="9">
        <f>IF(OR(U10="",U4=""),"",IFERROR(U10/U4,""))</f>
        <v/>
      </c>
      <c r="V11" s="9">
        <f>IF(OR(V10="",V4=""),"",IFERROR(V10/V4,""))</f>
        <v/>
      </c>
      <c r="W11" s="9">
        <f>IF(OR(W10="",W4=""),"",IFERROR(W10/W4,""))</f>
        <v/>
      </c>
      <c r="X11" s="9">
        <f>IF(OR(X10="",X4=""),"",IFERROR(X10/X4,""))</f>
        <v/>
      </c>
      <c r="Y11" s="9">
        <f>IF(OR(Y10="",Y4=""),"",IFERROR(Y10/Y4,""))</f>
        <v/>
      </c>
      <c r="Z11" s="9">
        <f>IF(OR(Z10="",Z4=""),"",IFERROR(Z10/Z4,""))</f>
        <v/>
      </c>
      <c r="AA11" s="9">
        <f>IF(OR(AA10="",AA4=""),"",IFERROR(AA10/AA4,""))</f>
        <v/>
      </c>
      <c r="AB11" s="9">
        <f>IF(OR(AB10="",AB4=""),"",IFERROR(AB10/AB4,""))</f>
        <v/>
      </c>
      <c r="AC11" s="9">
        <f>IF(OR(AC10="",AC4=""),"",IFERROR(AC10/AC4,""))</f>
        <v/>
      </c>
      <c r="AD11" s="9">
        <f>IF(OR(AD10="",AD4=""),"",IFERROR(AD10/AD4,""))</f>
        <v/>
      </c>
    </row>
    <row r="12">
      <c r="A12" s="8" t="inlineStr">
        <is>
          <t>YoY</t>
        </is>
      </c>
      <c r="G12" s="9">
        <f>IF(OR(G10="",C10=""),"",IFERROR(G10/C10-1,""))</f>
        <v/>
      </c>
      <c r="H12" s="9">
        <f>IF(OR(H10="",D10=""),"",IFERROR(H10/D10-1,""))</f>
        <v/>
      </c>
      <c r="I12" s="9">
        <f>IF(OR(I10="",E10=""),"",IFERROR(I10/E10-1,""))</f>
        <v/>
      </c>
      <c r="J12" s="9">
        <f>IF(OR(J10="",F10=""),"",IFERROR(J10/F10-1,""))</f>
        <v/>
      </c>
      <c r="K12" s="9">
        <f>IF(OR(K10="",G10=""),"",IFERROR(K10/G10-1,""))</f>
        <v/>
      </c>
      <c r="L12" s="9">
        <f>IF(OR(L10="",H10=""),"",IFERROR(L10/H10-1,""))</f>
        <v/>
      </c>
      <c r="M12" s="9">
        <f>IF(OR(M10="",I10=""),"",IFERROR(M10/I10-1,""))</f>
        <v/>
      </c>
      <c r="N12" s="9">
        <f>IF(OR(N10="",J10=""),"",IFERROR(N10/J10-1,""))</f>
        <v/>
      </c>
      <c r="O12" s="9">
        <f>IF(OR(O10="",K10=""),"",IFERROR(O10/K10-1,""))</f>
        <v/>
      </c>
      <c r="P12" s="9">
        <f>IF(OR(P10="",L10=""),"",IFERROR(P10/L10-1,""))</f>
        <v/>
      </c>
      <c r="Q12" s="9">
        <f>IF(OR(Q10="",M10=""),"",IFERROR(Q10/M10-1,""))</f>
        <v/>
      </c>
      <c r="R12" s="9">
        <f>IF(OR(R10="",N10=""),"",IFERROR(R10/N10-1,""))</f>
        <v/>
      </c>
      <c r="S12" s="9">
        <f>IF(OR(S10="",O10=""),"",IFERROR(S10/O10-1,""))</f>
        <v/>
      </c>
      <c r="T12" s="9">
        <f>IF(OR(T10="",P10=""),"",IFERROR(T10/P10-1,""))</f>
        <v/>
      </c>
      <c r="U12" s="9">
        <f>IF(OR(U10="",Q10=""),"",IFERROR(U10/Q10-1,""))</f>
        <v/>
      </c>
      <c r="V12" s="9">
        <f>IF(OR(V10="",R10=""),"",IFERROR(V10/R10-1,""))</f>
        <v/>
      </c>
      <c r="X12" s="9">
        <f>IF(OR(X10="",W10=""),"",IFERROR(X10/W10-1,""))</f>
        <v/>
      </c>
      <c r="Y12" s="9">
        <f>IF(OR(Y10="",X10=""),"",IFERROR(Y10/X10-1,""))</f>
        <v/>
      </c>
      <c r="Z12" s="9">
        <f>IF(OR(Z10="",Y10=""),"",IFERROR(Z10/Y10-1,""))</f>
        <v/>
      </c>
      <c r="AA12" s="9">
        <f>IF(OR(AA10="",Z10=""),"",IFERROR(AA10/Z10-1,""))</f>
        <v/>
      </c>
      <c r="AB12" s="9">
        <f>IF(OR(AB10="",AA10=""),"",IFERROR(AB10/AA10-1,""))</f>
        <v/>
      </c>
      <c r="AC12" s="9">
        <f>IF(OR(AC10="",AB10=""),"",IFERROR(AC10/AB10-1,""))</f>
        <v/>
      </c>
      <c r="AD12" s="9">
        <f>IF(OR(AD10="",AC10=""),"",IFERROR(AD10/AC10-1,""))</f>
        <v/>
      </c>
    </row>
    <row r="13">
      <c r="A13" s="10" t="inlineStr">
        <is>
          <t>이자수익</t>
        </is>
      </c>
      <c r="C13" s="11" t="n">
        <v>0</v>
      </c>
      <c r="D13" s="11" t="n">
        <v>0.01</v>
      </c>
      <c r="E13" s="11" t="n">
        <v>0</v>
      </c>
      <c r="F13" s="11" t="n">
        <v>0.01</v>
      </c>
      <c r="G13" s="11" t="n">
        <v>0.02</v>
      </c>
      <c r="H13" s="11" t="n">
        <v>0.04</v>
      </c>
      <c r="I13" s="11" t="n">
        <v>0</v>
      </c>
      <c r="J13" s="11" t="n">
        <v>0.01</v>
      </c>
      <c r="K13" s="11" t="n">
        <v>0</v>
      </c>
      <c r="L13" s="11" t="n">
        <v>0.01</v>
      </c>
      <c r="M13" s="11" t="n">
        <v>0</v>
      </c>
      <c r="N13" s="11" t="n">
        <v>0.03</v>
      </c>
      <c r="O13" s="11" t="n">
        <v>0.01</v>
      </c>
      <c r="P13" s="11" t="n">
        <v>0.1</v>
      </c>
      <c r="Q13" s="11" t="n">
        <v>0.04</v>
      </c>
      <c r="R13" s="11" t="n">
        <v>0.12</v>
      </c>
      <c r="S13" s="11" t="n">
        <v>0.07000000000000001</v>
      </c>
      <c r="T13" s="11" t="n">
        <v>0.42</v>
      </c>
      <c r="U13" s="11" t="n">
        <v>1.19</v>
      </c>
      <c r="V13" s="11" t="n">
        <v>1.52</v>
      </c>
      <c r="W13" s="11" t="n">
        <v>0.03</v>
      </c>
      <c r="X13" s="11" t="n">
        <v>0.04</v>
      </c>
      <c r="Y13" s="11" t="n">
        <v>0.02</v>
      </c>
      <c r="Z13" s="11" t="n">
        <v>0.02</v>
      </c>
      <c r="AA13" s="11" t="n">
        <v>0.07000000000000001</v>
      </c>
      <c r="AB13" s="11" t="n">
        <v>0.02</v>
      </c>
      <c r="AC13" s="11" t="n">
        <v>0.14</v>
      </c>
      <c r="AD13" s="11" t="n">
        <v>0.65</v>
      </c>
    </row>
    <row r="14">
      <c r="A14" s="10" t="inlineStr">
        <is>
          <t>배당금수익</t>
        </is>
      </c>
      <c r="C14" s="11" t="n">
        <v>0.01</v>
      </c>
      <c r="D14" s="11" t="n">
        <v>0.02</v>
      </c>
      <c r="E14" s="11" t="n">
        <v>0</v>
      </c>
      <c r="F14" s="11" t="n">
        <v>0.16</v>
      </c>
      <c r="G14" s="11" t="n">
        <v>0.04</v>
      </c>
      <c r="H14" s="11" t="n">
        <v>0</v>
      </c>
      <c r="I14" s="11" t="n">
        <v>0</v>
      </c>
      <c r="J14" s="11" t="n">
        <v>0.12</v>
      </c>
      <c r="K14" s="11" t="n">
        <v>0.01</v>
      </c>
      <c r="L14" s="11" t="n">
        <v>0.01</v>
      </c>
      <c r="M14" s="11" t="n">
        <v>0.08</v>
      </c>
      <c r="N14" s="11" t="n">
        <v>0.15</v>
      </c>
      <c r="O14" s="11" t="n">
        <v>0.01</v>
      </c>
      <c r="P14" s="11" t="n">
        <v>0.08</v>
      </c>
      <c r="Q14" s="11" t="n">
        <v>1.57</v>
      </c>
      <c r="R14" s="11" t="n">
        <v>0.18</v>
      </c>
      <c r="S14" s="11" t="n">
        <v>0.03</v>
      </c>
      <c r="T14" s="11" t="n">
        <v>0.01</v>
      </c>
      <c r="U14" s="11" t="n">
        <v>0.13</v>
      </c>
      <c r="V14" s="11" t="n">
        <v>0.24</v>
      </c>
      <c r="W14" s="11" t="n">
        <v>0.55</v>
      </c>
      <c r="X14" s="11" t="n">
        <v>0.08</v>
      </c>
      <c r="Y14" s="11" t="n">
        <v>0.04</v>
      </c>
      <c r="Z14" s="11" t="n">
        <v>0.04</v>
      </c>
      <c r="AA14" s="11" t="n">
        <v>0.2</v>
      </c>
      <c r="AB14" s="11" t="n">
        <v>0.14</v>
      </c>
      <c r="AC14" s="11" t="n">
        <v>0.32</v>
      </c>
      <c r="AD14" s="11" t="n">
        <v>1.79</v>
      </c>
    </row>
    <row r="15">
      <c r="A15" s="10" t="inlineStr">
        <is>
          <t>영업보상금</t>
        </is>
      </c>
      <c r="C15" s="11" t="n">
        <v>0</v>
      </c>
    </row>
    <row r="16">
      <c r="A16" s="10" t="inlineStr">
        <is>
          <t>수입보증금 상각이익</t>
        </is>
      </c>
      <c r="Z16" s="11" t="n">
        <v>0</v>
      </c>
      <c r="AA16" s="11" t="n">
        <v>1.2</v>
      </c>
    </row>
    <row r="17">
      <c r="A17" s="10" t="inlineStr">
        <is>
          <t>지분법이익</t>
        </is>
      </c>
      <c r="H17" s="11" t="n">
        <v>0</v>
      </c>
      <c r="I17" s="11" t="n">
        <v>0</v>
      </c>
      <c r="J17" s="11" t="n">
        <v>3.45</v>
      </c>
      <c r="K17" s="11" t="n">
        <v>0.47</v>
      </c>
      <c r="L17" s="11" t="n">
        <v>0.2</v>
      </c>
      <c r="M17" s="11" t="n">
        <v>0.52</v>
      </c>
      <c r="N17" s="11" t="n">
        <v>-0.52</v>
      </c>
      <c r="O17" s="11" t="n">
        <v>0</v>
      </c>
      <c r="P17" s="11" t="n">
        <v>0.32</v>
      </c>
      <c r="Q17" s="11" t="n">
        <v>0.18</v>
      </c>
      <c r="U17" s="11" t="n">
        <v>0.02</v>
      </c>
      <c r="AA17" s="11" t="n">
        <v>0</v>
      </c>
      <c r="AB17" s="11" t="n">
        <v>4.12</v>
      </c>
      <c r="AC17" s="11" t="n">
        <v>0.32</v>
      </c>
      <c r="AD17" s="11" t="n">
        <v>0</v>
      </c>
    </row>
    <row r="18">
      <c r="A18" s="10" t="inlineStr">
        <is>
          <t>외환차익</t>
        </is>
      </c>
      <c r="H18" s="11" t="n">
        <v>1.43</v>
      </c>
      <c r="L18" s="11" t="n">
        <v>0</v>
      </c>
      <c r="P18" s="11" t="n">
        <v>0</v>
      </c>
      <c r="Q18" s="11" t="n">
        <v>0</v>
      </c>
      <c r="R18" s="11" t="n">
        <v>0</v>
      </c>
      <c r="U18" s="11" t="n">
        <v>0.64</v>
      </c>
      <c r="V18" s="11" t="n">
        <v>0.2</v>
      </c>
      <c r="W18" s="11" t="n">
        <v>0</v>
      </c>
      <c r="X18" s="11" t="n">
        <v>0.26</v>
      </c>
      <c r="Y18" s="11" t="n">
        <v>0</v>
      </c>
      <c r="Z18" s="11" t="n">
        <v>0</v>
      </c>
      <c r="AA18" s="11" t="n">
        <v>1.43</v>
      </c>
      <c r="AB18" s="11" t="n">
        <v>1.1</v>
      </c>
      <c r="AC18" s="11" t="n">
        <v>0</v>
      </c>
    </row>
    <row r="19">
      <c r="A19" s="10" t="inlineStr">
        <is>
          <t>대손충당금 환입</t>
        </is>
      </c>
      <c r="W19" s="11" t="n">
        <v>0</v>
      </c>
      <c r="X19" s="11" t="n">
        <v>0.16</v>
      </c>
    </row>
    <row r="20">
      <c r="A20" s="10" t="inlineStr">
        <is>
          <t>법인세 환급가산금</t>
        </is>
      </c>
      <c r="W20" s="11" t="n">
        <v>0</v>
      </c>
      <c r="X20" s="11" t="n">
        <v>0.31</v>
      </c>
    </row>
    <row r="21">
      <c r="A21" s="10" t="inlineStr">
        <is>
          <t>수입보증금 상각이익</t>
        </is>
      </c>
      <c r="C21" s="11" t="n">
        <v>0</v>
      </c>
      <c r="G21" s="11" t="n">
        <v>0.14</v>
      </c>
      <c r="K21" s="11" t="n">
        <v>0</v>
      </c>
    </row>
    <row r="22">
      <c r="A22" s="10" t="inlineStr">
        <is>
          <t>수입보증금 상각이익</t>
        </is>
      </c>
      <c r="AA22" s="11" t="n">
        <v>1.2</v>
      </c>
      <c r="AB22" s="11" t="n">
        <v>0</v>
      </c>
    </row>
    <row r="23">
      <c r="A23" s="10" t="inlineStr">
        <is>
          <t>보상금 수취</t>
        </is>
      </c>
      <c r="L23" s="11" t="n">
        <v>0</v>
      </c>
      <c r="P23" s="11" t="n">
        <v>0.08</v>
      </c>
      <c r="Q23" s="11" t="n">
        <v>0</v>
      </c>
      <c r="R23" s="11" t="n">
        <v>0</v>
      </c>
      <c r="S23" s="11" t="n">
        <v>0</v>
      </c>
      <c r="T23" s="11" t="n">
        <v>0.38</v>
      </c>
      <c r="U23" s="11" t="n">
        <v>1.74</v>
      </c>
      <c r="V23" s="11" t="n">
        <v>1.23</v>
      </c>
      <c r="AB23" s="11" t="n">
        <v>0</v>
      </c>
      <c r="AC23" s="11" t="n">
        <v>0.8100000000000001</v>
      </c>
      <c r="AD23" s="11" t="n">
        <v>0.38</v>
      </c>
    </row>
    <row r="24">
      <c r="A24" s="10" t="inlineStr">
        <is>
          <t>보조금 수입</t>
        </is>
      </c>
      <c r="C24" s="11" t="n">
        <v>0.54</v>
      </c>
      <c r="D24" s="11" t="n">
        <v>0.28</v>
      </c>
      <c r="E24" s="11" t="n">
        <v>0.61</v>
      </c>
      <c r="F24" s="11" t="n">
        <v>0.09</v>
      </c>
      <c r="G24" s="11" t="n">
        <v>0.03</v>
      </c>
      <c r="H24" s="11" t="n">
        <v>0.04</v>
      </c>
      <c r="I24" s="11" t="n">
        <v>0.9399999999999999</v>
      </c>
      <c r="J24" s="11" t="n">
        <v>0.02</v>
      </c>
      <c r="K24" s="11" t="n">
        <v>0</v>
      </c>
      <c r="L24" s="11" t="n">
        <v>0.07000000000000001</v>
      </c>
      <c r="M24" s="11" t="n">
        <v>1.37</v>
      </c>
      <c r="N24" s="11" t="n">
        <v>0.02</v>
      </c>
      <c r="O24" s="11" t="n">
        <v>0</v>
      </c>
      <c r="P24" s="11" t="n">
        <v>1.34</v>
      </c>
      <c r="Q24" s="11" t="n">
        <v>0</v>
      </c>
      <c r="R24" s="11" t="n">
        <v>0.01</v>
      </c>
      <c r="S24" s="11" t="n">
        <v>0</v>
      </c>
      <c r="T24" s="11" t="n">
        <v>0.01</v>
      </c>
      <c r="X24" s="11" t="n">
        <v>0.04</v>
      </c>
      <c r="Y24" s="11" t="n">
        <v>3.51</v>
      </c>
      <c r="Z24" s="11" t="n">
        <v>1.64</v>
      </c>
      <c r="AA24" s="11" t="n">
        <v>0.77</v>
      </c>
      <c r="AB24" s="11" t="n">
        <v>1.03</v>
      </c>
      <c r="AC24" s="11" t="n">
        <v>2.73</v>
      </c>
      <c r="AD24" s="11" t="n">
        <v>0.02</v>
      </c>
    </row>
    <row r="25">
      <c r="A25" s="10" t="inlineStr">
        <is>
          <t>영업보상금</t>
        </is>
      </c>
      <c r="X25" s="11" t="n">
        <v>0.03</v>
      </c>
      <c r="Y25" s="11" t="n">
        <v>6.65</v>
      </c>
      <c r="Z25" s="11" t="n">
        <v>0.2</v>
      </c>
    </row>
    <row r="26">
      <c r="A26" s="10" t="inlineStr">
        <is>
          <t>기타</t>
        </is>
      </c>
      <c r="C26" s="11" t="n">
        <v>0.28</v>
      </c>
      <c r="D26" s="11" t="n">
        <v>0.33</v>
      </c>
      <c r="E26" s="11" t="n">
        <v>0.32</v>
      </c>
      <c r="F26" s="11" t="n">
        <v>0.27</v>
      </c>
      <c r="G26" s="11" t="n">
        <v>0.2</v>
      </c>
      <c r="H26" s="11" t="n">
        <v>0.36</v>
      </c>
      <c r="I26" s="11" t="n">
        <v>0.06</v>
      </c>
      <c r="J26" s="11" t="n">
        <v>0.53</v>
      </c>
      <c r="K26" s="11" t="n">
        <v>0.02</v>
      </c>
      <c r="L26" s="11" t="n">
        <v>0.1</v>
      </c>
      <c r="M26" s="11" t="n">
        <v>0.04</v>
      </c>
      <c r="N26" s="11" t="n">
        <v>0.45</v>
      </c>
      <c r="O26" s="11" t="n">
        <v>0.18</v>
      </c>
      <c r="P26" s="11" t="n">
        <v>0.18</v>
      </c>
      <c r="Q26" s="11" t="n">
        <v>0.19</v>
      </c>
      <c r="R26" s="11" t="n">
        <v>0.27</v>
      </c>
      <c r="S26" s="11" t="n">
        <v>0.31</v>
      </c>
      <c r="T26" s="11" t="n">
        <v>0.44</v>
      </c>
      <c r="U26" s="11" t="n">
        <v>0.36</v>
      </c>
      <c r="V26" s="11" t="n">
        <v>0.35</v>
      </c>
      <c r="W26" s="11" t="n">
        <v>0.36</v>
      </c>
      <c r="X26" s="11" t="n">
        <v>1.07</v>
      </c>
      <c r="Y26" s="11" t="n">
        <v>1.98</v>
      </c>
      <c r="Z26" s="11" t="n">
        <v>1.2</v>
      </c>
      <c r="AA26" s="11" t="n">
        <v>1.15</v>
      </c>
      <c r="AB26" s="11" t="n">
        <v>0.71</v>
      </c>
      <c r="AC26" s="11" t="n">
        <v>0.85</v>
      </c>
      <c r="AD26" s="11" t="n">
        <v>1.21</v>
      </c>
    </row>
    <row r="27">
      <c r="A27" s="5" t="inlineStr">
        <is>
          <t>영업외수익 합계</t>
        </is>
      </c>
      <c r="C27" s="6" t="n">
        <v>0.84</v>
      </c>
      <c r="D27" s="6" t="n">
        <v>0.64</v>
      </c>
      <c r="E27" s="6" t="n">
        <v>0.9399999999999999</v>
      </c>
      <c r="F27" s="6" t="n">
        <v>1.6</v>
      </c>
      <c r="G27" s="6" t="n">
        <v>0.42</v>
      </c>
      <c r="H27" s="6" t="n">
        <v>1.87</v>
      </c>
      <c r="I27" s="6" t="n">
        <v>1.01</v>
      </c>
      <c r="J27" s="6" t="n">
        <v>4.13</v>
      </c>
      <c r="K27" s="6" t="n">
        <v>1.62</v>
      </c>
      <c r="L27" s="6" t="n">
        <v>0.38</v>
      </c>
      <c r="M27" s="6" t="n">
        <v>2.03</v>
      </c>
      <c r="N27" s="6" t="n">
        <v>0.12</v>
      </c>
      <c r="O27" s="6" t="n">
        <v>0.93</v>
      </c>
      <c r="P27" s="6" t="n">
        <v>2.12</v>
      </c>
      <c r="Q27" s="6" t="n">
        <v>2</v>
      </c>
      <c r="R27" s="6" t="n">
        <v>0.38</v>
      </c>
      <c r="S27" s="6" t="n">
        <v>0.43</v>
      </c>
      <c r="T27" s="6" t="n">
        <v>1.26</v>
      </c>
      <c r="U27" s="6" t="n">
        <v>4.11</v>
      </c>
      <c r="V27" s="6" t="n">
        <v>3.51</v>
      </c>
      <c r="W27" s="6" t="n">
        <v>0.95</v>
      </c>
      <c r="X27" s="6" t="n">
        <v>1.55</v>
      </c>
      <c r="Y27" s="6" t="n">
        <v>12.22</v>
      </c>
      <c r="Z27" s="6" t="n">
        <v>2.91</v>
      </c>
      <c r="AA27" s="6" t="n">
        <v>4.83</v>
      </c>
      <c r="AB27" s="6" t="n">
        <v>7.14</v>
      </c>
      <c r="AC27" s="6" t="n">
        <v>5.2</v>
      </c>
      <c r="AD27" s="6" t="n">
        <v>4.07</v>
      </c>
    </row>
    <row r="28">
      <c r="A28" s="10" t="inlineStr">
        <is>
          <t>이자비용</t>
        </is>
      </c>
      <c r="C28" s="11" t="n">
        <v>1.3</v>
      </c>
      <c r="D28" s="11" t="n">
        <v>1.27</v>
      </c>
      <c r="E28" s="11" t="n">
        <v>1.41</v>
      </c>
      <c r="F28" s="11" t="n">
        <v>1.4</v>
      </c>
      <c r="G28" s="11" t="n">
        <v>1.33</v>
      </c>
      <c r="H28" s="11" t="n">
        <v>1.24</v>
      </c>
      <c r="I28" s="11" t="n">
        <v>0.68</v>
      </c>
      <c r="J28" s="11" t="n">
        <v>0.66</v>
      </c>
      <c r="K28" s="11" t="n">
        <v>0.64</v>
      </c>
      <c r="L28" s="11" t="n">
        <v>0.61</v>
      </c>
      <c r="M28" s="11" t="n">
        <v>0.6899999999999999</v>
      </c>
      <c r="N28" s="11" t="n">
        <v>0.75</v>
      </c>
      <c r="O28" s="11" t="n">
        <v>1</v>
      </c>
      <c r="P28" s="11" t="n">
        <v>1.01</v>
      </c>
      <c r="Q28" s="11" t="n">
        <v>1.96</v>
      </c>
      <c r="R28" s="11" t="n">
        <v>2.42</v>
      </c>
      <c r="S28" s="11" t="n">
        <v>2.18</v>
      </c>
      <c r="T28" s="11" t="n">
        <v>2.73</v>
      </c>
      <c r="U28" s="11" t="n">
        <v>3.08</v>
      </c>
      <c r="V28" s="11" t="n">
        <v>3.31</v>
      </c>
      <c r="W28" s="11" t="n">
        <v>1.86</v>
      </c>
      <c r="X28" s="11" t="n">
        <v>4.11</v>
      </c>
      <c r="Y28" s="11" t="n">
        <v>5.8</v>
      </c>
      <c r="Z28" s="11" t="n">
        <v>5.37</v>
      </c>
      <c r="AA28" s="11" t="n">
        <v>5.38</v>
      </c>
      <c r="AB28" s="11" t="n">
        <v>2.59</v>
      </c>
      <c r="AC28" s="11" t="n">
        <v>3.45</v>
      </c>
      <c r="AD28" s="11" t="n">
        <v>9.289999999999999</v>
      </c>
    </row>
    <row r="29">
      <c r="A29" s="10" t="inlineStr">
        <is>
          <t>사채이자</t>
        </is>
      </c>
      <c r="C29" s="11" t="n">
        <v>0.04</v>
      </c>
      <c r="D29" s="11" t="n">
        <v>0.04</v>
      </c>
      <c r="E29" s="11" t="n">
        <v>0.03</v>
      </c>
      <c r="F29" s="11" t="n">
        <v>0.03</v>
      </c>
      <c r="G29" s="11" t="n">
        <v>0.02</v>
      </c>
      <c r="H29" s="11" t="n">
        <v>0.03</v>
      </c>
      <c r="I29" s="11" t="n">
        <v>0.02</v>
      </c>
      <c r="J29" s="11" t="n">
        <v>0.02</v>
      </c>
      <c r="K29" s="11" t="n">
        <v>0.03</v>
      </c>
      <c r="L29" s="11" t="n">
        <v>0.02</v>
      </c>
      <c r="M29" s="11" t="n">
        <v>0.02</v>
      </c>
      <c r="N29" s="11" t="n">
        <v>0.01</v>
      </c>
      <c r="O29" s="11" t="n">
        <v>0.02</v>
      </c>
      <c r="P29" s="11" t="n">
        <v>0.02</v>
      </c>
      <c r="Q29" s="11" t="n">
        <v>0.01</v>
      </c>
      <c r="R29" s="11" t="n">
        <v>0.02</v>
      </c>
      <c r="S29" s="11" t="n">
        <v>0.01</v>
      </c>
      <c r="T29" s="11" t="n">
        <v>0.01</v>
      </c>
      <c r="U29" s="11" t="n">
        <v>0</v>
      </c>
      <c r="V29" s="11" t="n">
        <v>0.01</v>
      </c>
      <c r="W29" s="11" t="n">
        <v>0.24</v>
      </c>
      <c r="X29" s="11" t="n">
        <v>0.24</v>
      </c>
      <c r="Y29" s="11" t="n">
        <v>0.2</v>
      </c>
      <c r="Z29" s="11" t="n">
        <v>0.16</v>
      </c>
      <c r="AA29" s="11" t="n">
        <v>0.11</v>
      </c>
      <c r="AB29" s="11" t="n">
        <v>0.09</v>
      </c>
      <c r="AC29" s="11" t="n">
        <v>0.07000000000000001</v>
      </c>
      <c r="AD29" s="11" t="n">
        <v>0.05</v>
      </c>
    </row>
    <row r="30">
      <c r="A30" s="10" t="inlineStr">
        <is>
          <t>대손손실</t>
        </is>
      </c>
      <c r="C30" s="11" t="n">
        <v>0</v>
      </c>
      <c r="E30" s="11" t="n">
        <v>0.82</v>
      </c>
      <c r="F30" s="11" t="n">
        <v>0.01</v>
      </c>
      <c r="G30" s="11" t="n">
        <v>0</v>
      </c>
      <c r="I30" s="11" t="n">
        <v>0</v>
      </c>
      <c r="J30" s="11" t="n">
        <v>0</v>
      </c>
      <c r="K30" s="11" t="n">
        <v>0</v>
      </c>
    </row>
    <row r="31">
      <c r="A31" s="10" t="inlineStr">
        <is>
          <t>지분법손실</t>
        </is>
      </c>
      <c r="K31" s="11" t="n">
        <v>0</v>
      </c>
      <c r="O31" s="11" t="n">
        <v>2.08</v>
      </c>
      <c r="P31" s="11" t="n">
        <v>-2.53</v>
      </c>
      <c r="S31" s="11" t="n">
        <v>1.18</v>
      </c>
      <c r="T31" s="11" t="n">
        <v>-0.31</v>
      </c>
      <c r="AC31" s="11" t="n">
        <v>0</v>
      </c>
      <c r="AD31" s="11" t="n">
        <v>0.88</v>
      </c>
    </row>
    <row r="32">
      <c r="A32" s="10" t="inlineStr">
        <is>
          <t>외환차손</t>
        </is>
      </c>
      <c r="C32" s="11" t="n">
        <v>0.02</v>
      </c>
      <c r="M32" s="11" t="n">
        <v>0</v>
      </c>
      <c r="N32" s="11" t="n">
        <v>0</v>
      </c>
      <c r="O32" s="11" t="n">
        <v>0</v>
      </c>
      <c r="Q32" s="11" t="n">
        <v>0.11</v>
      </c>
      <c r="R32" s="11" t="n">
        <v>0.06</v>
      </c>
      <c r="S32" s="11" t="n">
        <v>-0.09</v>
      </c>
      <c r="U32" s="11" t="n">
        <v>0</v>
      </c>
      <c r="V32" s="11" t="n">
        <v>0</v>
      </c>
      <c r="X32" s="11" t="n">
        <v>0</v>
      </c>
      <c r="Y32" s="11" t="n">
        <v>0.22</v>
      </c>
    </row>
    <row r="33">
      <c r="A33" s="10" t="inlineStr">
        <is>
          <t>지급수수료</t>
        </is>
      </c>
      <c r="C33" s="11" t="n">
        <v>0.18</v>
      </c>
      <c r="D33" s="11" t="n">
        <v>1.92</v>
      </c>
      <c r="E33" s="11" t="n">
        <v>0.12</v>
      </c>
      <c r="F33" s="11" t="n">
        <v>0.83</v>
      </c>
      <c r="G33" s="11" t="n">
        <v>0.9</v>
      </c>
      <c r="H33" s="11" t="n">
        <v>0.97</v>
      </c>
      <c r="I33" s="11" t="n">
        <v>0.15</v>
      </c>
      <c r="J33" s="11" t="n">
        <v>1.15</v>
      </c>
      <c r="K33" s="11" t="n">
        <v>0.26</v>
      </c>
      <c r="L33" s="11" t="n">
        <v>0.08</v>
      </c>
      <c r="M33" s="11" t="n">
        <v>0.52</v>
      </c>
      <c r="N33" s="11" t="n">
        <v>0.55</v>
      </c>
      <c r="O33" s="11" t="n">
        <v>0.12</v>
      </c>
      <c r="P33" s="11" t="n">
        <v>0.93</v>
      </c>
      <c r="Q33" s="11" t="n">
        <v>1.21</v>
      </c>
      <c r="R33" s="11" t="n">
        <v>0.43</v>
      </c>
      <c r="S33" s="11" t="n">
        <v>0.29</v>
      </c>
      <c r="T33" s="11" t="n">
        <v>3.39</v>
      </c>
      <c r="U33" s="11" t="n">
        <v>2.12</v>
      </c>
      <c r="V33" s="11" t="n">
        <v>0.92</v>
      </c>
      <c r="W33" s="11" t="n">
        <v>0.51</v>
      </c>
      <c r="X33" s="11" t="n">
        <v>12.06</v>
      </c>
      <c r="Y33" s="11" t="n">
        <v>2.11</v>
      </c>
      <c r="Z33" s="11" t="n">
        <v>2.7</v>
      </c>
      <c r="AA33" s="11" t="n">
        <v>2.82</v>
      </c>
      <c r="AB33" s="11" t="n">
        <v>1.64</v>
      </c>
      <c r="AC33" s="11" t="n">
        <v>2.12</v>
      </c>
      <c r="AD33" s="11" t="n">
        <v>5.32</v>
      </c>
    </row>
    <row r="34">
      <c r="A34" s="10" t="inlineStr">
        <is>
          <t>사채발행비</t>
        </is>
      </c>
      <c r="W34" s="11" t="n">
        <v>0.46</v>
      </c>
      <c r="X34" s="11" t="n">
        <v>0</v>
      </c>
    </row>
    <row r="35">
      <c r="A35" s="10" t="inlineStr">
        <is>
          <t>기타</t>
        </is>
      </c>
      <c r="C35" s="11" t="n">
        <v>0.08</v>
      </c>
      <c r="D35" s="11" t="n">
        <v>1.18</v>
      </c>
      <c r="E35" s="11" t="n">
        <v>0.13</v>
      </c>
      <c r="F35" s="11" t="n">
        <v>0.52</v>
      </c>
      <c r="G35" s="11" t="n">
        <v>0.03</v>
      </c>
      <c r="H35" s="11" t="n">
        <v>0.95</v>
      </c>
      <c r="I35" s="11" t="n">
        <v>0.04</v>
      </c>
      <c r="J35" s="11" t="n">
        <v>0.06</v>
      </c>
      <c r="K35" s="11" t="n">
        <v>0.03</v>
      </c>
      <c r="L35" s="11" t="n">
        <v>0.13</v>
      </c>
      <c r="M35" s="11" t="n">
        <v>0.09</v>
      </c>
      <c r="N35" s="11" t="n">
        <v>0.15</v>
      </c>
      <c r="O35" s="11" t="n">
        <v>0.12</v>
      </c>
      <c r="P35" s="11" t="n">
        <v>0.09</v>
      </c>
      <c r="Q35" s="11" t="n">
        <v>0.11</v>
      </c>
      <c r="R35" s="11" t="n">
        <v>0.13</v>
      </c>
      <c r="S35" s="11" t="n">
        <v>0.05</v>
      </c>
      <c r="T35" s="11" t="n">
        <v>0.24</v>
      </c>
      <c r="U35" s="11" t="n">
        <v>0.75</v>
      </c>
      <c r="V35" s="11" t="n">
        <v>0.24</v>
      </c>
      <c r="W35" s="11" t="n">
        <v>0.23</v>
      </c>
      <c r="X35" s="11" t="n">
        <v>0.77</v>
      </c>
      <c r="Y35" s="11" t="n">
        <v>2.34</v>
      </c>
      <c r="Z35" s="11" t="n">
        <v>1.68</v>
      </c>
      <c r="AA35" s="11" t="n">
        <v>1.63</v>
      </c>
      <c r="AB35" s="11" t="n">
        <v>0.26</v>
      </c>
      <c r="AC35" s="11" t="n">
        <v>0.45</v>
      </c>
      <c r="AD35" s="11" t="n">
        <v>0.53</v>
      </c>
    </row>
    <row r="36">
      <c r="A36" s="10" t="inlineStr">
        <is>
          <t>영업외비용 합계</t>
        </is>
      </c>
      <c r="C36" s="11" t="n">
        <v>1.6</v>
      </c>
      <c r="D36" s="11" t="n">
        <v>4.42</v>
      </c>
      <c r="E36" s="11" t="n">
        <v>2.52</v>
      </c>
      <c r="F36" s="11" t="n">
        <v>2.79</v>
      </c>
      <c r="G36" s="11" t="n">
        <v>2.29</v>
      </c>
      <c r="H36" s="11" t="n">
        <v>2.36</v>
      </c>
      <c r="I36" s="11" t="n">
        <v>0.9</v>
      </c>
      <c r="J36" s="11" t="n">
        <v>1.9</v>
      </c>
      <c r="K36" s="11" t="n">
        <v>0.95</v>
      </c>
      <c r="L36" s="11" t="n">
        <v>0.85</v>
      </c>
      <c r="M36" s="11" t="n">
        <v>1.33</v>
      </c>
      <c r="N36" s="11" t="n">
        <v>1.93</v>
      </c>
      <c r="O36" s="11" t="n">
        <v>3.32</v>
      </c>
      <c r="P36" s="11" t="n">
        <v>-0.48</v>
      </c>
      <c r="Q36" s="11" t="n">
        <v>3.42</v>
      </c>
      <c r="R36" s="11" t="n">
        <v>3.08</v>
      </c>
      <c r="S36" s="11" t="n">
        <v>3.62</v>
      </c>
      <c r="T36" s="11" t="n">
        <v>5.98</v>
      </c>
      <c r="U36" s="11" t="n">
        <v>5.97</v>
      </c>
      <c r="V36" s="11" t="n">
        <v>4.83</v>
      </c>
      <c r="W36" s="11" t="n">
        <v>3.31</v>
      </c>
      <c r="X36" s="11" t="n">
        <v>17.2</v>
      </c>
      <c r="Y36" s="11" t="n">
        <v>10.46</v>
      </c>
      <c r="Z36" s="11" t="n">
        <v>9.93</v>
      </c>
      <c r="AA36" s="11" t="n">
        <v>9.960000000000001</v>
      </c>
      <c r="AB36" s="11" t="n">
        <v>4.6</v>
      </c>
      <c r="AC36" s="11" t="n">
        <v>6.1</v>
      </c>
      <c r="AD36" s="11" t="n">
        <v>16.1</v>
      </c>
    </row>
    <row r="37">
      <c r="A37" s="5" t="inlineStr">
        <is>
          <t>경상이익</t>
        </is>
      </c>
      <c r="C37" s="6" t="n">
        <v>-6.92</v>
      </c>
      <c r="D37" s="6" t="n">
        <v>-1.47</v>
      </c>
      <c r="E37" s="6" t="n">
        <v>10.56</v>
      </c>
      <c r="F37" s="6" t="n">
        <v>5.95</v>
      </c>
      <c r="G37" s="6" t="n">
        <v>6.55</v>
      </c>
      <c r="H37" s="6" t="n">
        <v>7.56</v>
      </c>
      <c r="I37" s="6" t="n">
        <v>17.58</v>
      </c>
      <c r="J37" s="6" t="n">
        <v>12.34</v>
      </c>
      <c r="K37" s="6" t="n">
        <v>12.37</v>
      </c>
      <c r="L37" s="6" t="n">
        <v>6.33</v>
      </c>
      <c r="M37" s="6" t="n">
        <v>17.62</v>
      </c>
      <c r="N37" s="6" t="n">
        <v>8.6</v>
      </c>
      <c r="O37" s="6" t="n">
        <v>14.89</v>
      </c>
      <c r="P37" s="6" t="n">
        <v>17.14</v>
      </c>
      <c r="Q37" s="6" t="n">
        <v>16.58</v>
      </c>
      <c r="R37" s="6" t="n">
        <v>11.69</v>
      </c>
      <c r="S37" s="6" t="n">
        <v>25.75</v>
      </c>
      <c r="T37" s="6" t="n">
        <v>36.96</v>
      </c>
      <c r="U37" s="6" t="n">
        <v>23.66</v>
      </c>
      <c r="V37" s="6" t="n">
        <v>19.96</v>
      </c>
      <c r="W37" s="6" t="n">
        <v>40.53</v>
      </c>
      <c r="X37" s="6" t="n">
        <v>47.52</v>
      </c>
      <c r="Y37" s="6" t="n">
        <v>-23.21</v>
      </c>
      <c r="Z37" s="6" t="n">
        <v>-15.85</v>
      </c>
      <c r="AA37" s="6" t="n">
        <v>30.62</v>
      </c>
      <c r="AB37" s="6" t="n">
        <v>48.62</v>
      </c>
      <c r="AC37" s="6" t="n">
        <v>58.25</v>
      </c>
      <c r="AD37" s="6" t="n">
        <v>90.98</v>
      </c>
    </row>
    <row r="38">
      <c r="A38" s="8" t="inlineStr">
        <is>
          <t>경상이익률</t>
        </is>
      </c>
      <c r="C38" s="9">
        <f>IF(OR(C37="",C4=""),"",IFERROR(C37/C4,""))</f>
        <v/>
      </c>
      <c r="D38" s="9">
        <f>IF(OR(D37="",D4=""),"",IFERROR(D37/D4,""))</f>
        <v/>
      </c>
      <c r="E38" s="9">
        <f>IF(OR(E37="",E4=""),"",IFERROR(E37/E4,""))</f>
        <v/>
      </c>
      <c r="F38" s="9">
        <f>IF(OR(F37="",F4=""),"",IFERROR(F37/F4,""))</f>
        <v/>
      </c>
      <c r="G38" s="9">
        <f>IF(OR(G37="",G4=""),"",IFERROR(G37/G4,""))</f>
        <v/>
      </c>
      <c r="H38" s="9">
        <f>IF(OR(H37="",H4=""),"",IFERROR(H37/H4,""))</f>
        <v/>
      </c>
      <c r="I38" s="9">
        <f>IF(OR(I37="",I4=""),"",IFERROR(I37/I4,""))</f>
        <v/>
      </c>
      <c r="J38" s="9">
        <f>IF(OR(J37="",J4=""),"",IFERROR(J37/J4,""))</f>
        <v/>
      </c>
      <c r="K38" s="9">
        <f>IF(OR(K37="",K4=""),"",IFERROR(K37/K4,""))</f>
        <v/>
      </c>
      <c r="L38" s="9">
        <f>IF(OR(L37="",L4=""),"",IFERROR(L37/L4,""))</f>
        <v/>
      </c>
      <c r="M38" s="9">
        <f>IF(OR(M37="",M4=""),"",IFERROR(M37/M4,""))</f>
        <v/>
      </c>
      <c r="N38" s="9">
        <f>IF(OR(N37="",N4=""),"",IFERROR(N37/N4,""))</f>
        <v/>
      </c>
      <c r="O38" s="9">
        <f>IF(OR(O37="",O4=""),"",IFERROR(O37/O4,""))</f>
        <v/>
      </c>
      <c r="P38" s="9">
        <f>IF(OR(P37="",P4=""),"",IFERROR(P37/P4,""))</f>
        <v/>
      </c>
      <c r="Q38" s="9">
        <f>IF(OR(Q37="",Q4=""),"",IFERROR(Q37/Q4,""))</f>
        <v/>
      </c>
      <c r="R38" s="9">
        <f>IF(OR(R37="",R4=""),"",IFERROR(R37/R4,""))</f>
        <v/>
      </c>
      <c r="S38" s="9">
        <f>IF(OR(S37="",S4=""),"",IFERROR(S37/S4,""))</f>
        <v/>
      </c>
      <c r="T38" s="9">
        <f>IF(OR(T37="",T4=""),"",IFERROR(T37/T4,""))</f>
        <v/>
      </c>
      <c r="U38" s="9">
        <f>IF(OR(U37="",U4=""),"",IFERROR(U37/U4,""))</f>
        <v/>
      </c>
      <c r="V38" s="9">
        <f>IF(OR(V37="",V4=""),"",IFERROR(V37/V4,""))</f>
        <v/>
      </c>
      <c r="W38" s="9">
        <f>IF(OR(W37="",W4=""),"",IFERROR(W37/W4,""))</f>
        <v/>
      </c>
      <c r="X38" s="9">
        <f>IF(OR(X37="",X4=""),"",IFERROR(X37/X4,""))</f>
        <v/>
      </c>
      <c r="Y38" s="9">
        <f>IF(OR(Y37="",Y4=""),"",IFERROR(Y37/Y4,""))</f>
        <v/>
      </c>
      <c r="Z38" s="9">
        <f>IF(OR(Z37="",Z4=""),"",IFERROR(Z37/Z4,""))</f>
        <v/>
      </c>
      <c r="AA38" s="9">
        <f>IF(OR(AA37="",AA4=""),"",IFERROR(AA37/AA4,""))</f>
        <v/>
      </c>
      <c r="AB38" s="9">
        <f>IF(OR(AB37="",AB4=""),"",IFERROR(AB37/AB4,""))</f>
        <v/>
      </c>
      <c r="AC38" s="9">
        <f>IF(OR(AC37="",AC4=""),"",IFERROR(AC37/AC4,""))</f>
        <v/>
      </c>
      <c r="AD38" s="9">
        <f>IF(OR(AD37="",AD4=""),"",IFERROR(AD37/AD4,""))</f>
        <v/>
      </c>
    </row>
    <row r="39">
      <c r="A39" s="10" t="inlineStr">
        <is>
          <t>고정자산 매각이익</t>
        </is>
      </c>
      <c r="C39" s="11" t="n">
        <v>0</v>
      </c>
      <c r="D39" s="11" t="n">
        <v>0</v>
      </c>
      <c r="E39" s="11" t="n">
        <v>0</v>
      </c>
      <c r="F39" s="11" t="n">
        <v>0</v>
      </c>
      <c r="G39" s="11" t="n">
        <v>9.140000000000001</v>
      </c>
      <c r="H39" s="11" t="n">
        <v>0</v>
      </c>
      <c r="L39" s="11" t="n">
        <v>0</v>
      </c>
      <c r="X39" s="11" t="n">
        <v>0.01</v>
      </c>
      <c r="Y39" s="11" t="n">
        <v>10.54</v>
      </c>
      <c r="Z39" s="11" t="n">
        <v>3.22</v>
      </c>
      <c r="AA39" s="11" t="n">
        <v>9.140000000000001</v>
      </c>
      <c r="AB39" s="11" t="n">
        <v>0</v>
      </c>
      <c r="AC39" s="11" t="n">
        <v>0</v>
      </c>
      <c r="AD39" s="11" t="n">
        <v>118.63</v>
      </c>
    </row>
    <row r="40">
      <c r="A40" s="10" t="inlineStr">
        <is>
          <t>고용조정 보조금</t>
        </is>
      </c>
      <c r="C40" s="11" t="n">
        <v>0</v>
      </c>
    </row>
    <row r="41">
      <c r="A41" s="10" t="inlineStr">
        <is>
          <t>고용조정 보조금</t>
        </is>
      </c>
      <c r="X41" s="11" t="n">
        <v>0</v>
      </c>
      <c r="Y41" s="11" t="n">
        <v>2.33</v>
      </c>
      <c r="Z41" s="11" t="n">
        <v>0</v>
      </c>
    </row>
    <row r="42">
      <c r="A42" s="10" t="inlineStr">
        <is>
          <t>위약금 수입</t>
        </is>
      </c>
      <c r="X42" s="11" t="n">
        <v>0</v>
      </c>
      <c r="Y42" s="11" t="n">
        <v>1</v>
      </c>
    </row>
    <row r="43">
      <c r="A43" s="10" t="inlineStr">
        <is>
          <t>단계적 취득 차익</t>
        </is>
      </c>
      <c r="K43" s="11" t="n">
        <v>0</v>
      </c>
      <c r="L43" s="11" t="n">
        <v>0</v>
      </c>
      <c r="O43" s="11" t="n">
        <v>0</v>
      </c>
      <c r="P43" s="11" t="n">
        <v>0</v>
      </c>
      <c r="S43" s="11" t="n">
        <v>1.89</v>
      </c>
      <c r="T43" s="11" t="n">
        <v>0</v>
      </c>
      <c r="AB43" s="11" t="n">
        <v>0</v>
      </c>
      <c r="AC43" s="11" t="n">
        <v>1.69</v>
      </c>
      <c r="AD43" s="11" t="n">
        <v>1.89</v>
      </c>
    </row>
    <row r="44">
      <c r="A44" s="10" t="inlineStr">
        <is>
          <t>투자유가증권 매각이익</t>
        </is>
      </c>
      <c r="I44" s="11" t="n">
        <v>0</v>
      </c>
      <c r="J44" s="11" t="n">
        <v>0</v>
      </c>
      <c r="K44" s="11" t="n">
        <v>0</v>
      </c>
      <c r="L44" s="11" t="n">
        <v>0</v>
      </c>
      <c r="M44" s="11" t="n">
        <v>0.66</v>
      </c>
      <c r="N44" s="11" t="n">
        <v>0.17</v>
      </c>
      <c r="O44" s="11" t="n">
        <v>5.8</v>
      </c>
      <c r="P44" s="11" t="n">
        <v>0</v>
      </c>
      <c r="Q44" s="11" t="n">
        <v>0.01</v>
      </c>
      <c r="R44" s="11" t="n">
        <v>0.03</v>
      </c>
      <c r="S44" s="11" t="n">
        <v>0.2</v>
      </c>
      <c r="T44" s="11" t="n">
        <v>0</v>
      </c>
      <c r="U44" s="11" t="n">
        <v>0</v>
      </c>
      <c r="V44" s="11" t="n">
        <v>0</v>
      </c>
      <c r="W44" s="11" t="n">
        <v>0.15</v>
      </c>
      <c r="X44" s="11" t="n">
        <v>3.97</v>
      </c>
      <c r="Y44" s="11" t="n">
        <v>0</v>
      </c>
      <c r="AB44" s="11" t="n">
        <v>0</v>
      </c>
      <c r="AC44" s="11" t="n">
        <v>6.63</v>
      </c>
      <c r="AD44" s="11" t="n">
        <v>0.24</v>
      </c>
    </row>
    <row r="45">
      <c r="A45" s="10" t="inlineStr">
        <is>
          <t>관계회사 주식 매각이익</t>
        </is>
      </c>
      <c r="W45" s="11" t="n">
        <v>0.1</v>
      </c>
      <c r="X45" s="11" t="n">
        <v>0</v>
      </c>
    </row>
    <row r="46">
      <c r="A46" s="10" t="inlineStr">
        <is>
          <t>국고보조금</t>
        </is>
      </c>
      <c r="W46" s="11" t="n">
        <v>0</v>
      </c>
      <c r="X46" s="11" t="n">
        <v>0.17</v>
      </c>
      <c r="Y46" s="11" t="n">
        <v>0</v>
      </c>
    </row>
    <row r="47">
      <c r="A47" s="10" t="inlineStr">
        <is>
          <t>투자유가증권 수증이익</t>
        </is>
      </c>
      <c r="G47" s="11" t="n">
        <v>0</v>
      </c>
      <c r="K47" s="11" t="n">
        <v>0.34</v>
      </c>
    </row>
    <row r="48">
      <c r="A48" s="10" t="inlineStr">
        <is>
          <t>투자유가증권 수증이익</t>
        </is>
      </c>
      <c r="AA48" s="11" t="n">
        <v>0</v>
      </c>
      <c r="AB48" s="11" t="n">
        <v>0.79</v>
      </c>
      <c r="AC48" s="11" t="n">
        <v>0</v>
      </c>
      <c r="AD48" s="11" t="n">
        <v>0.31</v>
      </c>
    </row>
    <row r="49">
      <c r="A49" s="10" t="inlineStr">
        <is>
          <t>채무면제이익</t>
        </is>
      </c>
      <c r="Q49" s="11" t="n">
        <v>0</v>
      </c>
      <c r="R49" s="11" t="n">
        <v>0</v>
      </c>
      <c r="U49" s="11" t="n">
        <v>0.19</v>
      </c>
      <c r="V49" s="11" t="n">
        <v>0</v>
      </c>
      <c r="Y49" s="11" t="n">
        <v>0</v>
      </c>
      <c r="Z49" s="11" t="n">
        <v>3.48</v>
      </c>
      <c r="AA49" s="11" t="n">
        <v>0</v>
      </c>
    </row>
    <row r="50">
      <c r="A50" s="10" t="inlineStr">
        <is>
          <t>기타</t>
        </is>
      </c>
      <c r="C50" s="11" t="n">
        <v>0</v>
      </c>
      <c r="D50" s="11" t="n">
        <v>0</v>
      </c>
      <c r="E50" s="11" t="n">
        <v>0</v>
      </c>
      <c r="F50" s="11" t="n">
        <v>0</v>
      </c>
      <c r="G50" s="11" t="n">
        <v>0</v>
      </c>
      <c r="H50" s="11" t="n">
        <v>0</v>
      </c>
      <c r="Y50" s="11" t="n">
        <v>1</v>
      </c>
      <c r="Z50" s="11" t="n">
        <v>0.12</v>
      </c>
      <c r="AA50" s="11" t="n">
        <v>0</v>
      </c>
    </row>
    <row r="51">
      <c r="A51" s="10" t="inlineStr">
        <is>
          <t>특별이익 합계</t>
        </is>
      </c>
      <c r="C51" s="11" t="n">
        <v>0</v>
      </c>
      <c r="D51" s="11" t="n">
        <v>3.48</v>
      </c>
      <c r="E51" s="11" t="n">
        <v>0</v>
      </c>
      <c r="F51" s="11" t="n">
        <v>0</v>
      </c>
      <c r="G51" s="11" t="n">
        <v>9.140000000000001</v>
      </c>
      <c r="H51" s="11" t="n">
        <v>0</v>
      </c>
      <c r="I51" s="11" t="n">
        <v>0</v>
      </c>
      <c r="J51" s="11" t="n">
        <v>0.45</v>
      </c>
      <c r="K51" s="11" t="n">
        <v>0.34</v>
      </c>
      <c r="L51" s="11" t="n">
        <v>0</v>
      </c>
      <c r="M51" s="11" t="n">
        <v>0.66</v>
      </c>
      <c r="N51" s="11" t="n">
        <v>1.86</v>
      </c>
      <c r="O51" s="11" t="n">
        <v>5.8</v>
      </c>
      <c r="P51" s="11" t="n">
        <v>0</v>
      </c>
      <c r="Q51" s="11" t="n">
        <v>0.01</v>
      </c>
      <c r="R51" s="11" t="n">
        <v>0.34</v>
      </c>
      <c r="S51" s="11" t="n">
        <v>2.1</v>
      </c>
      <c r="T51" s="11" t="n">
        <v>118.65</v>
      </c>
      <c r="U51" s="11" t="n">
        <v>0.19</v>
      </c>
      <c r="V51" s="11" t="n">
        <v>1.14</v>
      </c>
      <c r="W51" s="11" t="n">
        <v>0.25</v>
      </c>
      <c r="X51" s="11" t="n">
        <v>4.16</v>
      </c>
      <c r="Y51" s="11" t="n">
        <v>13.87</v>
      </c>
      <c r="Z51" s="11" t="n">
        <v>6.82</v>
      </c>
      <c r="AA51" s="11" t="n">
        <v>9.140000000000001</v>
      </c>
      <c r="AB51" s="11" t="n">
        <v>0.79</v>
      </c>
      <c r="AC51" s="11" t="n">
        <v>8.32</v>
      </c>
      <c r="AD51" s="11" t="n">
        <v>121.1</v>
      </c>
    </row>
    <row r="52">
      <c r="A52" s="10" t="inlineStr">
        <is>
          <t>채권포기 손실</t>
        </is>
      </c>
      <c r="C52" s="11" t="n">
        <v>0</v>
      </c>
      <c r="G52" s="11" t="n">
        <v>0</v>
      </c>
      <c r="K52" s="11" t="n">
        <v>0</v>
      </c>
    </row>
    <row r="53">
      <c r="A53" s="10" t="inlineStr">
        <is>
          <t>단계적 취득 차손</t>
        </is>
      </c>
      <c r="AB53" s="11" t="n">
        <v>0</v>
      </c>
      <c r="AC53" s="11" t="n">
        <v>0.9399999999999999</v>
      </c>
      <c r="AD53" s="11" t="n">
        <v>0</v>
      </c>
    </row>
    <row r="54">
      <c r="A54" s="10" t="inlineStr">
        <is>
          <t>손상차손</t>
        </is>
      </c>
      <c r="C54" s="11" t="n">
        <v>1.08</v>
      </c>
      <c r="D54" s="11" t="n">
        <v>4.75</v>
      </c>
      <c r="E54" s="11" t="n">
        <v>0.08</v>
      </c>
      <c r="F54" s="11" t="n">
        <v>0</v>
      </c>
      <c r="G54" s="11" t="n">
        <v>28.35</v>
      </c>
      <c r="H54" s="11" t="n">
        <v>0.88</v>
      </c>
      <c r="I54" s="11" t="n">
        <v>0.02</v>
      </c>
      <c r="J54" s="11" t="n">
        <v>0.27</v>
      </c>
      <c r="K54" s="11" t="n">
        <v>0.74</v>
      </c>
      <c r="L54" s="11" t="n">
        <v>0.55</v>
      </c>
      <c r="M54" s="11" t="n">
        <v>0.05</v>
      </c>
      <c r="N54" s="11" t="n">
        <v>0.05</v>
      </c>
      <c r="O54" s="11" t="n">
        <v>0.33</v>
      </c>
      <c r="P54" s="11" t="n">
        <v>0.06</v>
      </c>
      <c r="Q54" s="11" t="n">
        <v>0.1</v>
      </c>
      <c r="R54" s="11" t="n">
        <v>0.13</v>
      </c>
      <c r="S54" s="11" t="n">
        <v>0.58</v>
      </c>
      <c r="T54" s="11" t="n">
        <v>9.460000000000001</v>
      </c>
      <c r="U54" s="11" t="n">
        <v>5.82</v>
      </c>
      <c r="V54" s="11" t="n">
        <v>1.36</v>
      </c>
      <c r="W54" s="11" t="n">
        <v>0.15</v>
      </c>
      <c r="X54" s="11" t="n">
        <v>6.63</v>
      </c>
      <c r="Y54" s="11" t="n">
        <v>7.86</v>
      </c>
      <c r="Z54" s="11" t="n">
        <v>23.44</v>
      </c>
      <c r="AA54" s="11" t="n">
        <v>29.31</v>
      </c>
      <c r="AB54" s="11" t="n">
        <v>1.58</v>
      </c>
      <c r="AC54" s="11" t="n">
        <v>0.49</v>
      </c>
      <c r="AD54" s="11" t="n">
        <v>10.27</v>
      </c>
    </row>
    <row r="55">
      <c r="A55" s="10" t="inlineStr">
        <is>
          <t>고정자산 제각손실</t>
        </is>
      </c>
      <c r="W55" s="11" t="n">
        <v>0.65</v>
      </c>
      <c r="X55" s="11" t="n">
        <v>0.58</v>
      </c>
      <c r="Y55" s="11" t="n">
        <v>1.91</v>
      </c>
      <c r="Z55" s="11" t="n">
        <v>0.03</v>
      </c>
      <c r="AA55" s="11" t="n">
        <v>0</v>
      </c>
    </row>
    <row r="56">
      <c r="A56" s="10" t="inlineStr">
        <is>
          <t>코로나19 관련 손실</t>
        </is>
      </c>
      <c r="X56" s="11" t="n">
        <v>0</v>
      </c>
      <c r="Y56" s="11" t="n">
        <v>2.51</v>
      </c>
      <c r="Z56" s="11" t="n">
        <v>0</v>
      </c>
    </row>
    <row r="57">
      <c r="A57" s="10" t="inlineStr">
        <is>
          <t>자회사 정리손실</t>
        </is>
      </c>
      <c r="X57" s="11" t="n">
        <v>0</v>
      </c>
      <c r="Y57" s="11" t="n">
        <v>0.95</v>
      </c>
      <c r="Z57" s="11" t="n">
        <v>0.62</v>
      </c>
    </row>
    <row r="58">
      <c r="A58" s="10" t="inlineStr">
        <is>
          <t>특별퇴직금</t>
        </is>
      </c>
      <c r="X58" s="11" t="n">
        <v>0</v>
      </c>
      <c r="Y58" s="11" t="n">
        <v>1.26</v>
      </c>
    </row>
    <row r="59">
      <c r="A59" s="10" t="inlineStr">
        <is>
          <t>해약 위약금</t>
        </is>
      </c>
      <c r="X59" s="11" t="n">
        <v>0</v>
      </c>
      <c r="Y59" s="11" t="n">
        <v>0.87</v>
      </c>
    </row>
    <row r="60">
      <c r="A60" s="10" t="inlineStr">
        <is>
          <t>자산복구부채 이행차액</t>
        </is>
      </c>
      <c r="X60" s="11" t="n">
        <v>0</v>
      </c>
      <c r="Y60" s="11" t="n">
        <v>1.51</v>
      </c>
    </row>
    <row r="61">
      <c r="A61" s="10" t="inlineStr">
        <is>
          <t>투자유가증권 매각손실</t>
        </is>
      </c>
      <c r="AB61" s="11" t="n">
        <v>0</v>
      </c>
      <c r="AC61" s="11" t="n">
        <v>0.7</v>
      </c>
      <c r="AD61" s="11" t="n">
        <v>0</v>
      </c>
    </row>
    <row r="62">
      <c r="A62" s="10" t="inlineStr">
        <is>
          <t>투자유가증권 평가손실</t>
        </is>
      </c>
      <c r="C62" s="11" t="n">
        <v>0</v>
      </c>
      <c r="L62" s="11" t="n">
        <v>0</v>
      </c>
      <c r="P62" s="11" t="n">
        <v>2.8</v>
      </c>
      <c r="Q62" s="11" t="n">
        <v>0</v>
      </c>
      <c r="R62" s="11" t="n">
        <v>0</v>
      </c>
      <c r="S62" s="11" t="n">
        <v>0</v>
      </c>
      <c r="T62" s="11" t="n">
        <v>0</v>
      </c>
      <c r="U62" s="11" t="n">
        <v>0.27</v>
      </c>
      <c r="V62" s="11" t="n">
        <v>0</v>
      </c>
      <c r="W62" s="11" t="n">
        <v>8.210000000000001</v>
      </c>
      <c r="X62" s="11" t="n">
        <v>2.15</v>
      </c>
      <c r="Y62" s="11" t="n">
        <v>1.8</v>
      </c>
      <c r="AB62" s="11" t="n">
        <v>0</v>
      </c>
      <c r="AC62" s="11" t="n">
        <v>5.27</v>
      </c>
      <c r="AD62" s="11" t="n">
        <v>0</v>
      </c>
    </row>
    <row r="63">
      <c r="A63" s="10" t="inlineStr">
        <is>
          <t>관계회사 주식 매각손실</t>
        </is>
      </c>
      <c r="W63" s="11" t="n">
        <v>0.23</v>
      </c>
      <c r="X63" s="11" t="n">
        <v>0</v>
      </c>
    </row>
    <row r="64">
      <c r="A64" s="10" t="inlineStr">
        <is>
          <t>코로나19 관련 손실</t>
        </is>
      </c>
      <c r="C64" s="11" t="n">
        <v>0</v>
      </c>
    </row>
    <row r="65">
      <c r="A65" s="10" t="inlineStr">
        <is>
          <t>사업정리 손실</t>
        </is>
      </c>
      <c r="E65" s="11" t="n">
        <v>0</v>
      </c>
      <c r="F65" s="11" t="n">
        <v>0</v>
      </c>
      <c r="G65" s="11" t="n">
        <v>0</v>
      </c>
      <c r="H65" s="11" t="n">
        <v>31.59</v>
      </c>
      <c r="I65" s="11" t="n">
        <v>0.48</v>
      </c>
      <c r="J65" s="11" t="n">
        <v>0</v>
      </c>
      <c r="K65" s="11" t="n">
        <v>-0.44</v>
      </c>
      <c r="L65" s="11" t="n">
        <v>0</v>
      </c>
      <c r="M65" s="11" t="n">
        <v>0</v>
      </c>
      <c r="N65" s="11" t="n">
        <v>0</v>
      </c>
      <c r="O65" s="11" t="n">
        <v>0</v>
      </c>
      <c r="P65" s="11" t="n">
        <v>0</v>
      </c>
      <c r="Z65" s="11" t="n">
        <v>0</v>
      </c>
      <c r="AA65" s="11" t="n">
        <v>31.59</v>
      </c>
      <c r="AB65" s="11" t="n">
        <v>0.04</v>
      </c>
      <c r="AC65" s="11" t="n">
        <v>0</v>
      </c>
    </row>
    <row r="66">
      <c r="A66" s="10" t="inlineStr">
        <is>
          <t>채권포기 손실</t>
        </is>
      </c>
      <c r="Z66" s="11" t="n">
        <v>0</v>
      </c>
      <c r="AA66" s="11" t="n">
        <v>2.71</v>
      </c>
      <c r="AB66" s="11" t="n">
        <v>0</v>
      </c>
    </row>
    <row r="67">
      <c r="A67" s="10" t="inlineStr">
        <is>
          <t>보상금 지급</t>
        </is>
      </c>
      <c r="E67" s="11" t="n">
        <v>0</v>
      </c>
      <c r="F67" s="11" t="n">
        <v>0</v>
      </c>
      <c r="I67" s="11" t="n">
        <v>0.14</v>
      </c>
      <c r="J67" s="11" t="n">
        <v>0</v>
      </c>
      <c r="M67" s="11" t="n">
        <v>0</v>
      </c>
    </row>
    <row r="68">
      <c r="A68" s="10" t="inlineStr">
        <is>
          <t>기타</t>
        </is>
      </c>
      <c r="C68" s="11" t="n">
        <v>0.11</v>
      </c>
      <c r="D68" s="11" t="n">
        <v>0.5</v>
      </c>
      <c r="E68" s="11" t="n">
        <v>0</v>
      </c>
      <c r="F68" s="11" t="n">
        <v>0</v>
      </c>
      <c r="G68" s="11" t="n">
        <v>0.11</v>
      </c>
      <c r="H68" s="11" t="n">
        <v>4.8</v>
      </c>
      <c r="L68" s="11" t="n">
        <v>0</v>
      </c>
      <c r="P68" s="11" t="n">
        <v>0</v>
      </c>
      <c r="Y68" s="11" t="n">
        <v>5.45</v>
      </c>
      <c r="Z68" s="11" t="n">
        <v>1.7</v>
      </c>
      <c r="AA68" s="11" t="n">
        <v>4.91</v>
      </c>
      <c r="AB68" s="11" t="n">
        <v>0.14</v>
      </c>
      <c r="AC68" s="11" t="n">
        <v>0</v>
      </c>
    </row>
    <row r="69">
      <c r="A69" s="10" t="inlineStr">
        <is>
          <t>해약 위약금</t>
        </is>
      </c>
      <c r="AC69" s="11" t="n">
        <v>0</v>
      </c>
      <c r="AD69" s="11" t="n">
        <v>0.33</v>
      </c>
    </row>
    <row r="70">
      <c r="A70" s="10" t="inlineStr">
        <is>
          <t>해약 위약금</t>
        </is>
      </c>
      <c r="Q70" s="11" t="n">
        <v>0</v>
      </c>
      <c r="U70" s="11" t="n">
        <v>0.35</v>
      </c>
    </row>
    <row r="71">
      <c r="A71" s="10" t="inlineStr">
        <is>
          <t>특별손실 합계</t>
        </is>
      </c>
      <c r="C71" s="11" t="n">
        <v>1.19</v>
      </c>
      <c r="D71" s="11" t="n">
        <v>5.29</v>
      </c>
      <c r="E71" s="11" t="n">
        <v>0.08</v>
      </c>
      <c r="F71" s="11" t="n">
        <v>2.72</v>
      </c>
      <c r="G71" s="11" t="n">
        <v>28.46</v>
      </c>
      <c r="H71" s="11" t="n">
        <v>37.27</v>
      </c>
      <c r="I71" s="11" t="n">
        <v>0.64</v>
      </c>
      <c r="J71" s="11" t="n">
        <v>0.28</v>
      </c>
      <c r="K71" s="11" t="n">
        <v>0.29</v>
      </c>
      <c r="L71" s="11" t="n">
        <v>0.5600000000000001</v>
      </c>
      <c r="M71" s="11" t="n">
        <v>0.05</v>
      </c>
      <c r="N71" s="11" t="n">
        <v>0.05</v>
      </c>
      <c r="O71" s="11" t="n">
        <v>2.8</v>
      </c>
      <c r="P71" s="11" t="n">
        <v>4.52</v>
      </c>
      <c r="Q71" s="11" t="n">
        <v>0.1</v>
      </c>
      <c r="R71" s="11" t="n">
        <v>0.46</v>
      </c>
      <c r="S71" s="11" t="n">
        <v>0.58</v>
      </c>
      <c r="T71" s="11" t="n">
        <v>9.460000000000001</v>
      </c>
      <c r="U71" s="11" t="n">
        <v>6.45</v>
      </c>
      <c r="V71" s="11" t="n">
        <v>1.36</v>
      </c>
      <c r="W71" s="11" t="n">
        <v>9.25</v>
      </c>
      <c r="X71" s="11" t="n">
        <v>9.369999999999999</v>
      </c>
      <c r="Y71" s="11" t="n">
        <v>18.7</v>
      </c>
      <c r="Z71" s="11" t="n">
        <v>25.18</v>
      </c>
      <c r="AA71" s="11" t="n">
        <v>68.53</v>
      </c>
      <c r="AB71" s="11" t="n">
        <v>1.77</v>
      </c>
      <c r="AC71" s="11" t="n">
        <v>7.42</v>
      </c>
      <c r="AD71" s="11" t="n">
        <v>10.6</v>
      </c>
    </row>
    <row r="72">
      <c r="A72" s="10" t="inlineStr">
        <is>
          <t>법인세차감전 순이익</t>
        </is>
      </c>
      <c r="C72" s="11" t="n">
        <v>-8.109999999999999</v>
      </c>
      <c r="D72" s="11" t="n">
        <v>-3.27</v>
      </c>
      <c r="E72" s="11" t="n">
        <v>10.48</v>
      </c>
      <c r="F72" s="11" t="n">
        <v>3.23</v>
      </c>
      <c r="G72" s="11" t="n">
        <v>-12.78</v>
      </c>
      <c r="H72" s="11" t="n">
        <v>-29.7</v>
      </c>
      <c r="I72" s="11" t="n">
        <v>16.94</v>
      </c>
      <c r="J72" s="11" t="n">
        <v>12.51</v>
      </c>
      <c r="K72" s="11" t="n">
        <v>12.42</v>
      </c>
      <c r="L72" s="11" t="n">
        <v>5.77</v>
      </c>
      <c r="M72" s="11" t="n">
        <v>18.23</v>
      </c>
      <c r="N72" s="11" t="n">
        <v>10.41</v>
      </c>
      <c r="O72" s="11" t="n">
        <v>17.89</v>
      </c>
      <c r="P72" s="11" t="n">
        <v>12.62</v>
      </c>
      <c r="Q72" s="11" t="n">
        <v>16.49</v>
      </c>
      <c r="R72" s="11" t="n">
        <v>11.58</v>
      </c>
      <c r="S72" s="11" t="n">
        <v>27.27</v>
      </c>
      <c r="T72" s="11" t="n">
        <v>146.14</v>
      </c>
      <c r="U72" s="11" t="n">
        <v>17.4</v>
      </c>
      <c r="V72" s="11" t="n">
        <v>19.74</v>
      </c>
      <c r="W72" s="11" t="n">
        <v>31.52</v>
      </c>
      <c r="X72" s="11" t="n">
        <v>42.31</v>
      </c>
      <c r="Y72" s="11" t="n">
        <v>-28.04</v>
      </c>
      <c r="Z72" s="11" t="n">
        <v>-34.2</v>
      </c>
      <c r="AA72" s="11" t="n">
        <v>-28.77</v>
      </c>
      <c r="AB72" s="11" t="n">
        <v>47.64</v>
      </c>
      <c r="AC72" s="11" t="n">
        <v>59.15</v>
      </c>
      <c r="AD72" s="11" t="n">
        <v>201.48</v>
      </c>
    </row>
    <row r="73">
      <c r="A73" s="10" t="inlineStr">
        <is>
          <t>법인세·주민세·사업세</t>
        </is>
      </c>
      <c r="C73" s="11" t="n">
        <v>-0.53</v>
      </c>
      <c r="D73" s="11" t="n">
        <v>3.74</v>
      </c>
      <c r="E73" s="11" t="n">
        <v>4.1</v>
      </c>
      <c r="F73" s="11" t="n">
        <v>7.34</v>
      </c>
      <c r="G73" s="11" t="n">
        <v>5.96</v>
      </c>
      <c r="H73" s="11" t="n">
        <v>-1.52</v>
      </c>
      <c r="I73" s="11" t="n">
        <v>3.26</v>
      </c>
      <c r="J73" s="11" t="n">
        <v>3.54</v>
      </c>
      <c r="K73" s="11" t="n">
        <v>3.12</v>
      </c>
      <c r="L73" s="11" t="n">
        <v>-2.9</v>
      </c>
      <c r="M73" s="11" t="n">
        <v>4.24</v>
      </c>
      <c r="N73" s="11" t="n">
        <v>3.97</v>
      </c>
      <c r="O73" s="11" t="n">
        <v>6.17</v>
      </c>
      <c r="P73" s="11" t="n">
        <v>4.51</v>
      </c>
      <c r="Q73" s="11" t="n">
        <v>4.32</v>
      </c>
      <c r="R73" s="11" t="n">
        <v>5.88</v>
      </c>
      <c r="S73" s="11" t="n">
        <v>7.98</v>
      </c>
      <c r="T73" s="11" t="n">
        <v>28.57</v>
      </c>
      <c r="U73" s="11" t="n">
        <v>8.470000000000001</v>
      </c>
      <c r="V73" s="11" t="n">
        <v>6.51</v>
      </c>
      <c r="W73" s="11" t="n">
        <v>13</v>
      </c>
      <c r="X73" s="11" t="n">
        <v>29.7</v>
      </c>
      <c r="Y73" s="11" t="n">
        <v>13.98</v>
      </c>
      <c r="Z73" s="11" t="n">
        <v>7.79</v>
      </c>
      <c r="AA73" s="11" t="n">
        <v>15.88</v>
      </c>
      <c r="AB73" s="11" t="n">
        <v>7.02</v>
      </c>
      <c r="AC73" s="11" t="n">
        <v>18.89</v>
      </c>
      <c r="AD73" s="11" t="n">
        <v>46.75</v>
      </c>
    </row>
    <row r="74">
      <c r="A74" s="10" t="inlineStr">
        <is>
          <t>법인세 조정액</t>
        </is>
      </c>
      <c r="C74" s="11" t="n">
        <v>0.34</v>
      </c>
      <c r="D74" s="11" t="n">
        <v>-4.42</v>
      </c>
      <c r="E74" s="11" t="n">
        <v>2.29</v>
      </c>
      <c r="F74" s="11" t="n">
        <v>0.85</v>
      </c>
      <c r="G74" s="11" t="n">
        <v>2.51</v>
      </c>
      <c r="H74" s="11" t="n">
        <v>-1.09</v>
      </c>
      <c r="I74" s="11" t="n">
        <v>-32.6</v>
      </c>
      <c r="J74" s="11" t="n">
        <v>-1.87</v>
      </c>
      <c r="K74" s="11" t="n">
        <v>1.53</v>
      </c>
      <c r="L74" s="11" t="n">
        <v>0.35</v>
      </c>
      <c r="M74" s="11" t="n">
        <v>-4.74</v>
      </c>
      <c r="N74" s="11" t="n">
        <v>0.95</v>
      </c>
      <c r="O74" s="11" t="n">
        <v>3.26</v>
      </c>
      <c r="P74" s="11" t="n">
        <v>2.22</v>
      </c>
      <c r="Q74" s="11" t="n">
        <v>1.92</v>
      </c>
      <c r="R74" s="11" t="n">
        <v>0.01</v>
      </c>
      <c r="S74" s="11" t="n">
        <v>3.97</v>
      </c>
      <c r="T74" s="11" t="n">
        <v>12.91</v>
      </c>
      <c r="U74" s="11" t="n">
        <v>-0.95</v>
      </c>
      <c r="V74" s="11" t="n">
        <v>-2.11</v>
      </c>
      <c r="W74" s="11" t="n">
        <v>-0.47</v>
      </c>
      <c r="X74" s="11" t="n">
        <v>-6.46</v>
      </c>
      <c r="Y74" s="11" t="n">
        <v>-7.31</v>
      </c>
      <c r="Z74" s="11" t="n">
        <v>-10.43</v>
      </c>
      <c r="AA74" s="11" t="n">
        <v>4.56</v>
      </c>
      <c r="AB74" s="11" t="n">
        <v>-32.59</v>
      </c>
      <c r="AC74" s="11" t="n">
        <v>1.69</v>
      </c>
      <c r="AD74" s="11" t="n">
        <v>18.81</v>
      </c>
    </row>
    <row r="75">
      <c r="A75" s="10" t="inlineStr">
        <is>
          <t>법인세 등 합계</t>
        </is>
      </c>
      <c r="C75" s="11" t="n">
        <v>-0.19</v>
      </c>
      <c r="D75" s="11" t="n">
        <v>-0.68</v>
      </c>
      <c r="E75" s="11" t="n">
        <v>6.4</v>
      </c>
      <c r="F75" s="11" t="n">
        <v>8.19</v>
      </c>
      <c r="G75" s="11" t="n">
        <v>8.470000000000001</v>
      </c>
      <c r="H75" s="11" t="n">
        <v>-2.62</v>
      </c>
      <c r="I75" s="11" t="n">
        <v>-29.34</v>
      </c>
      <c r="J75" s="11" t="n">
        <v>1.68</v>
      </c>
      <c r="K75" s="11" t="n">
        <v>4.64</v>
      </c>
      <c r="L75" s="11" t="n">
        <v>-2.54</v>
      </c>
      <c r="M75" s="11" t="n">
        <v>-0.5</v>
      </c>
      <c r="N75" s="11" t="n">
        <v>4.91</v>
      </c>
      <c r="O75" s="11" t="n">
        <v>9.43</v>
      </c>
      <c r="P75" s="11" t="n">
        <v>6.75</v>
      </c>
      <c r="Q75" s="11" t="n">
        <v>6.24</v>
      </c>
      <c r="R75" s="11" t="n">
        <v>5.89</v>
      </c>
      <c r="S75" s="11" t="n">
        <v>11.96</v>
      </c>
      <c r="T75" s="11" t="n">
        <v>41.48</v>
      </c>
      <c r="U75" s="11" t="n">
        <v>7.51</v>
      </c>
      <c r="V75" s="11" t="n">
        <v>4.41</v>
      </c>
      <c r="W75" s="11" t="n">
        <v>12.52</v>
      </c>
      <c r="X75" s="11" t="n">
        <v>23.24</v>
      </c>
      <c r="Y75" s="11" t="n">
        <v>6.66</v>
      </c>
      <c r="Z75" s="11" t="n">
        <v>-2.63</v>
      </c>
      <c r="AA75" s="11" t="n">
        <v>20.44</v>
      </c>
      <c r="AB75" s="11" t="n">
        <v>-25.56</v>
      </c>
      <c r="AC75" s="11" t="n">
        <v>20.59</v>
      </c>
      <c r="AD75" s="11" t="n">
        <v>65.56999999999999</v>
      </c>
    </row>
    <row r="76">
      <c r="A76" s="5" t="inlineStr">
        <is>
          <t>순이익</t>
        </is>
      </c>
      <c r="C76" s="6" t="n">
        <v>-7.92</v>
      </c>
      <c r="D76" s="6" t="n">
        <v>-2.59</v>
      </c>
      <c r="E76" s="6" t="n">
        <v>4.08</v>
      </c>
      <c r="F76" s="6" t="n">
        <v>-4.96</v>
      </c>
      <c r="G76" s="6" t="n">
        <v>-21.24</v>
      </c>
      <c r="H76" s="6" t="n">
        <v>-27.09</v>
      </c>
      <c r="I76" s="6" t="n">
        <v>46.28</v>
      </c>
      <c r="J76" s="6" t="n">
        <v>10.84</v>
      </c>
      <c r="K76" s="6" t="n">
        <v>7.77</v>
      </c>
      <c r="L76" s="6" t="n">
        <v>8.32</v>
      </c>
      <c r="M76" s="6" t="n">
        <v>18.73</v>
      </c>
      <c r="N76" s="6" t="n">
        <v>5.49</v>
      </c>
      <c r="O76" s="6" t="n">
        <v>8.460000000000001</v>
      </c>
      <c r="P76" s="6" t="n">
        <v>5.88</v>
      </c>
      <c r="Q76" s="6" t="n">
        <v>10.24</v>
      </c>
      <c r="R76" s="6" t="n">
        <v>5.69</v>
      </c>
      <c r="S76" s="6" t="n">
        <v>15.31</v>
      </c>
      <c r="T76" s="6" t="n">
        <v>104.67</v>
      </c>
      <c r="U76" s="6" t="n">
        <v>9.890000000000001</v>
      </c>
      <c r="V76" s="6" t="n">
        <v>15.33</v>
      </c>
      <c r="W76" s="6" t="n">
        <v>19</v>
      </c>
      <c r="X76" s="6" t="n">
        <v>19.06</v>
      </c>
      <c r="Y76" s="6" t="n">
        <v>-34.71</v>
      </c>
      <c r="Z76" s="6" t="n">
        <v>-31.57</v>
      </c>
      <c r="AA76" s="6" t="n">
        <v>-49.21</v>
      </c>
      <c r="AB76" s="6" t="n">
        <v>73.20999999999999</v>
      </c>
      <c r="AC76" s="6" t="n">
        <v>38.56</v>
      </c>
      <c r="AD76" s="6" t="n">
        <v>135.91</v>
      </c>
    </row>
    <row r="77">
      <c r="A77" s="5" t="inlineStr">
        <is>
          <t>비지배주주 순손익</t>
        </is>
      </c>
      <c r="C77" s="6" t="n">
        <v>0.13</v>
      </c>
      <c r="D77" s="6" t="n">
        <v>0.13</v>
      </c>
      <c r="E77" s="6" t="n">
        <v>0.14</v>
      </c>
      <c r="F77" s="6" t="n">
        <v>0</v>
      </c>
      <c r="G77" s="6" t="n">
        <v>0</v>
      </c>
      <c r="H77" s="6" t="n">
        <v>0</v>
      </c>
      <c r="I77" s="6" t="n">
        <v>0</v>
      </c>
      <c r="J77" s="6" t="n">
        <v>0</v>
      </c>
      <c r="K77" s="6" t="n">
        <v>0</v>
      </c>
      <c r="L77" s="6" t="n">
        <v>0</v>
      </c>
      <c r="M77" s="6" t="n">
        <v>0</v>
      </c>
      <c r="N77" s="6" t="n">
        <v>0</v>
      </c>
      <c r="O77" s="6" t="n">
        <v>-0.27</v>
      </c>
      <c r="P77" s="6" t="n">
        <v>0.93</v>
      </c>
      <c r="Q77" s="6" t="n">
        <v>-0.54</v>
      </c>
      <c r="R77" s="6" t="n">
        <v>0.25</v>
      </c>
      <c r="S77" s="6" t="n">
        <v>0.5600000000000001</v>
      </c>
      <c r="T77" s="6" t="n">
        <v>12.71</v>
      </c>
      <c r="U77" s="6" t="n">
        <v>-2.04</v>
      </c>
      <c r="V77" s="6" t="n">
        <v>2.69</v>
      </c>
      <c r="W77" s="6" t="n">
        <v>0.06</v>
      </c>
      <c r="X77" s="6" t="n">
        <v>1.66</v>
      </c>
      <c r="Y77" s="6" t="n">
        <v>0.31</v>
      </c>
      <c r="Z77" s="6" t="n">
        <v>0.53</v>
      </c>
      <c r="AA77" s="6" t="n">
        <v>0.14</v>
      </c>
      <c r="AB77" s="6" t="n">
        <v>0</v>
      </c>
      <c r="AC77" s="6" t="n">
        <v>0.66</v>
      </c>
      <c r="AD77" s="6" t="n">
        <v>12.98</v>
      </c>
    </row>
    <row r="78">
      <c r="A78" s="5" t="inlineStr">
        <is>
          <t>지배주주 순이익</t>
        </is>
      </c>
      <c r="C78" s="6" t="n">
        <v>-8.050000000000001</v>
      </c>
      <c r="D78" s="6" t="n">
        <v>-2.73</v>
      </c>
      <c r="E78" s="6" t="n">
        <v>3.93</v>
      </c>
      <c r="F78" s="6" t="n">
        <v>-4.95</v>
      </c>
      <c r="G78" s="6" t="n">
        <v>-21.24</v>
      </c>
      <c r="H78" s="6" t="n">
        <v>-27.1</v>
      </c>
      <c r="I78" s="6" t="n">
        <v>46.28</v>
      </c>
      <c r="J78" s="6" t="n">
        <v>10.84</v>
      </c>
      <c r="K78" s="6" t="n">
        <v>7.77</v>
      </c>
      <c r="L78" s="6" t="n">
        <v>8.32</v>
      </c>
      <c r="M78" s="6" t="n">
        <v>18.73</v>
      </c>
      <c r="N78" s="6" t="n">
        <v>5.49</v>
      </c>
      <c r="O78" s="6" t="n">
        <v>8.74</v>
      </c>
      <c r="P78" s="6" t="n">
        <v>4.93</v>
      </c>
      <c r="Q78" s="6" t="n">
        <v>10.78</v>
      </c>
      <c r="R78" s="6" t="n">
        <v>5.45</v>
      </c>
      <c r="S78" s="6" t="n">
        <v>14.74</v>
      </c>
      <c r="T78" s="6" t="n">
        <v>91.95999999999999</v>
      </c>
      <c r="U78" s="6" t="n">
        <v>11.94</v>
      </c>
      <c r="V78" s="6" t="n">
        <v>12.62</v>
      </c>
      <c r="W78" s="6" t="n">
        <v>18.93</v>
      </c>
      <c r="X78" s="6" t="n">
        <v>17.39</v>
      </c>
      <c r="Y78" s="6" t="n">
        <v>-35.03</v>
      </c>
      <c r="Z78" s="6" t="n">
        <v>-32.11</v>
      </c>
      <c r="AA78" s="6" t="n">
        <v>-49.36</v>
      </c>
      <c r="AB78" s="6" t="n">
        <v>73.20999999999999</v>
      </c>
      <c r="AC78" s="6" t="n">
        <v>37.89</v>
      </c>
      <c r="AD78" s="6" t="n">
        <v>122.93</v>
      </c>
    </row>
    <row r="79">
      <c r="A79" s="8" t="inlineStr">
        <is>
          <t>순이익률</t>
        </is>
      </c>
      <c r="C79" s="9">
        <f>IF(OR(C78="",C4=""),"",IFERROR(C78/C4,""))</f>
        <v/>
      </c>
      <c r="D79" s="9">
        <f>IF(OR(D78="",D4=""),"",IFERROR(D78/D4,""))</f>
        <v/>
      </c>
      <c r="E79" s="9">
        <f>IF(OR(E78="",E4=""),"",IFERROR(E78/E4,""))</f>
        <v/>
      </c>
      <c r="F79" s="9">
        <f>IF(OR(F78="",F4=""),"",IFERROR(F78/F4,""))</f>
        <v/>
      </c>
      <c r="G79" s="9">
        <f>IF(OR(G78="",G4=""),"",IFERROR(G78/G4,""))</f>
        <v/>
      </c>
      <c r="H79" s="9">
        <f>IF(OR(H78="",H4=""),"",IFERROR(H78/H4,""))</f>
        <v/>
      </c>
      <c r="I79" s="9">
        <f>IF(OR(I78="",I4=""),"",IFERROR(I78/I4,""))</f>
        <v/>
      </c>
      <c r="J79" s="9">
        <f>IF(OR(J78="",J4=""),"",IFERROR(J78/J4,""))</f>
        <v/>
      </c>
      <c r="K79" s="9">
        <f>IF(OR(K78="",K4=""),"",IFERROR(K78/K4,""))</f>
        <v/>
      </c>
      <c r="L79" s="9">
        <f>IF(OR(L78="",L4=""),"",IFERROR(L78/L4,""))</f>
        <v/>
      </c>
      <c r="M79" s="9">
        <f>IF(OR(M78="",M4=""),"",IFERROR(M78/M4,""))</f>
        <v/>
      </c>
      <c r="N79" s="9">
        <f>IF(OR(N78="",N4=""),"",IFERROR(N78/N4,""))</f>
        <v/>
      </c>
      <c r="O79" s="9">
        <f>IF(OR(O78="",O4=""),"",IFERROR(O78/O4,""))</f>
        <v/>
      </c>
      <c r="P79" s="9">
        <f>IF(OR(P78="",P4=""),"",IFERROR(P78/P4,""))</f>
        <v/>
      </c>
      <c r="Q79" s="9">
        <f>IF(OR(Q78="",Q4=""),"",IFERROR(Q78/Q4,""))</f>
        <v/>
      </c>
      <c r="R79" s="9">
        <f>IF(OR(R78="",R4=""),"",IFERROR(R78/R4,""))</f>
        <v/>
      </c>
      <c r="S79" s="9">
        <f>IF(OR(S78="",S4=""),"",IFERROR(S78/S4,""))</f>
        <v/>
      </c>
      <c r="T79" s="9">
        <f>IF(OR(T78="",T4=""),"",IFERROR(T78/T4,""))</f>
        <v/>
      </c>
      <c r="U79" s="9">
        <f>IF(OR(U78="",U4=""),"",IFERROR(U78/U4,""))</f>
        <v/>
      </c>
      <c r="V79" s="9">
        <f>IF(OR(V78="",V4=""),"",IFERROR(V78/V4,""))</f>
        <v/>
      </c>
      <c r="W79" s="9">
        <f>IF(OR(W78="",W4=""),"",IFERROR(W78/W4,""))</f>
        <v/>
      </c>
      <c r="X79" s="9">
        <f>IF(OR(X78="",X4=""),"",IFERROR(X78/X4,""))</f>
        <v/>
      </c>
      <c r="Y79" s="9">
        <f>IF(OR(Y78="",Y4=""),"",IFERROR(Y78/Y4,""))</f>
        <v/>
      </c>
      <c r="Z79" s="9">
        <f>IF(OR(Z78="",Z4=""),"",IFERROR(Z78/Z4,""))</f>
        <v/>
      </c>
      <c r="AA79" s="9">
        <f>IF(OR(AA78="",AA4=""),"",IFERROR(AA78/AA4,""))</f>
        <v/>
      </c>
      <c r="AB79" s="9">
        <f>IF(OR(AB78="",AB4=""),"",IFERROR(AB78/AB4,""))</f>
        <v/>
      </c>
      <c r="AC79" s="9">
        <f>IF(OR(AC78="",AC4=""),"",IFERROR(AC78/AC4,""))</f>
        <v/>
      </c>
      <c r="AD79" s="9">
        <f>IF(OR(AD78="",AD4=""),"",IFERROR(AD78/AD4,""))</f>
        <v/>
      </c>
    </row>
    <row r="80">
      <c r="A80" s="8" t="inlineStr">
        <is>
          <t>YoY</t>
        </is>
      </c>
      <c r="G80" s="9">
        <f>IF(OR(G78="",C78=""),"",IFERROR(G78/C78-1,""))</f>
        <v/>
      </c>
      <c r="H80" s="9">
        <f>IF(OR(H78="",D78=""),"",IFERROR(H78/D78-1,""))</f>
        <v/>
      </c>
      <c r="I80" s="9">
        <f>IF(OR(I78="",E78=""),"",IFERROR(I78/E78-1,""))</f>
        <v/>
      </c>
      <c r="J80" s="9">
        <f>IF(OR(J78="",F78=""),"",IFERROR(J78/F78-1,""))</f>
        <v/>
      </c>
      <c r="K80" s="9">
        <f>IF(OR(K78="",G78=""),"",IFERROR(K78/G78-1,""))</f>
        <v/>
      </c>
      <c r="L80" s="9">
        <f>IF(OR(L78="",H78=""),"",IFERROR(L78/H78-1,""))</f>
        <v/>
      </c>
      <c r="M80" s="9">
        <f>IF(OR(M78="",I78=""),"",IFERROR(M78/I78-1,""))</f>
        <v/>
      </c>
      <c r="N80" s="9">
        <f>IF(OR(N78="",J78=""),"",IFERROR(N78/J78-1,""))</f>
        <v/>
      </c>
      <c r="O80" s="9">
        <f>IF(OR(O78="",K78=""),"",IFERROR(O78/K78-1,""))</f>
        <v/>
      </c>
      <c r="P80" s="9">
        <f>IF(OR(P78="",L78=""),"",IFERROR(P78/L78-1,""))</f>
        <v/>
      </c>
      <c r="Q80" s="9">
        <f>IF(OR(Q78="",M78=""),"",IFERROR(Q78/M78-1,""))</f>
        <v/>
      </c>
      <c r="R80" s="9">
        <f>IF(OR(R78="",N78=""),"",IFERROR(R78/N78-1,""))</f>
        <v/>
      </c>
      <c r="S80" s="9">
        <f>IF(OR(S78="",O78=""),"",IFERROR(S78/O78-1,""))</f>
        <v/>
      </c>
      <c r="T80" s="9">
        <f>IF(OR(T78="",P78=""),"",IFERROR(T78/P78-1,""))</f>
        <v/>
      </c>
      <c r="U80" s="9">
        <f>IF(OR(U78="",Q78=""),"",IFERROR(U78/Q78-1,""))</f>
        <v/>
      </c>
      <c r="V80" s="9">
        <f>IF(OR(V78="",R78=""),"",IFERROR(V78/R78-1,""))</f>
        <v/>
      </c>
      <c r="X80" s="9">
        <f>IF(OR(X78="",W78=""),"",IFERROR(X78/W78-1,""))</f>
        <v/>
      </c>
      <c r="Y80" s="9">
        <f>IF(OR(Y78="",X78=""),"",IFERROR(Y78/X78-1,""))</f>
        <v/>
      </c>
      <c r="Z80" s="9">
        <f>IF(OR(Z78="",Y78=""),"",IFERROR(Z78/Y78-1,""))</f>
        <v/>
      </c>
      <c r="AA80" s="9">
        <f>IF(OR(AA78="",Z78=""),"",IFERROR(AA78/Z78-1,""))</f>
        <v/>
      </c>
      <c r="AB80" s="9">
        <f>IF(OR(AB78="",AA78=""),"",IFERROR(AB78/AA78-1,""))</f>
        <v/>
      </c>
      <c r="AC80" s="9">
        <f>IF(OR(AC78="",AB78=""),"",IFERROR(AC78/AB78-1,""))</f>
        <v/>
      </c>
      <c r="AD80" s="9">
        <f>IF(OR(AD78="",AC78=""),"",IFERROR(AD78/AC78-1,""))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1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40" customWidth="1" min="31" max="31"/>
  </cols>
  <sheetData>
    <row r="1">
      <c r="A1" s="1" t="inlineStr">
        <is>
          <t>TKP 포괄손익</t>
        </is>
      </c>
    </row>
    <row r="2">
      <c r="A2" s="2" t="inlineStr">
        <is>
          <t>결산기 기준(27.2Q = 2027년 결산기 2분기) · 2월 결산 · 연결 · 분기 단독(누계 차분) · 오른쪽 FY = 연간</t>
        </is>
      </c>
      <c r="B2" s="3" t="inlineStr">
        <is>
          <t>(단위: 억엔)</t>
        </is>
      </c>
    </row>
    <row r="3">
      <c r="A3" s="4" t="inlineStr">
        <is>
          <t>항목</t>
        </is>
      </c>
      <c r="B3" s="4" t="inlineStr">
        <is>
          <t>참고</t>
        </is>
      </c>
      <c r="C3" s="4" t="inlineStr">
        <is>
          <t>22.3Q</t>
        </is>
      </c>
      <c r="D3" s="4" t="inlineStr">
        <is>
          <t>22.4Q</t>
        </is>
      </c>
      <c r="E3" s="4" t="inlineStr">
        <is>
          <t>23.1Q</t>
        </is>
      </c>
      <c r="F3" s="4" t="inlineStr">
        <is>
          <t>23.2Q</t>
        </is>
      </c>
      <c r="G3" s="4" t="inlineStr">
        <is>
          <t>23.3Q</t>
        </is>
      </c>
      <c r="H3" s="4" t="inlineStr">
        <is>
          <t>23.4Q</t>
        </is>
      </c>
      <c r="I3" s="4" t="inlineStr">
        <is>
          <t>24.1Q</t>
        </is>
      </c>
      <c r="J3" s="4" t="inlineStr">
        <is>
          <t>24.2Q</t>
        </is>
      </c>
      <c r="K3" s="4" t="inlineStr">
        <is>
          <t>24.3Q</t>
        </is>
      </c>
      <c r="L3" s="4" t="inlineStr">
        <is>
          <t>24.4Q</t>
        </is>
      </c>
      <c r="M3" s="4" t="inlineStr">
        <is>
          <t>25.1Q</t>
        </is>
      </c>
      <c r="N3" s="4" t="inlineStr">
        <is>
          <t>25.2Q</t>
        </is>
      </c>
      <c r="O3" s="4" t="inlineStr">
        <is>
          <t>25.3Q</t>
        </is>
      </c>
      <c r="P3" s="4" t="inlineStr">
        <is>
          <t>25.4Q</t>
        </is>
      </c>
      <c r="Q3" s="4" t="inlineStr">
        <is>
          <t>26.1Q</t>
        </is>
      </c>
      <c r="R3" s="4" t="inlineStr">
        <is>
          <t>26.2Q</t>
        </is>
      </c>
      <c r="S3" s="4" t="inlineStr">
        <is>
          <t>26.3Q</t>
        </is>
      </c>
      <c r="T3" s="4" t="inlineStr">
        <is>
          <t>26.4Q</t>
        </is>
      </c>
      <c r="U3" s="4" t="inlineStr">
        <is>
          <t>27.1Q</t>
        </is>
      </c>
      <c r="V3" s="4" t="inlineStr">
        <is>
          <t>27.2Q</t>
        </is>
      </c>
      <c r="W3" s="4" t="inlineStr">
        <is>
          <t>FY19</t>
        </is>
      </c>
      <c r="X3" s="4" t="inlineStr">
        <is>
          <t>FY20</t>
        </is>
      </c>
      <c r="Y3" s="4" t="inlineStr">
        <is>
          <t>FY21</t>
        </is>
      </c>
      <c r="Z3" s="4" t="inlineStr">
        <is>
          <t>FY22</t>
        </is>
      </c>
      <c r="AA3" s="4" t="inlineStr">
        <is>
          <t>FY23</t>
        </is>
      </c>
      <c r="AB3" s="4" t="inlineStr">
        <is>
          <t>FY24</t>
        </is>
      </c>
      <c r="AC3" s="4" t="inlineStr">
        <is>
          <t>FY25</t>
        </is>
      </c>
      <c r="AD3" s="4" t="inlineStr">
        <is>
          <t>FY26</t>
        </is>
      </c>
      <c r="AE3" s="4" t="inlineStr">
        <is>
          <t>출처</t>
        </is>
      </c>
    </row>
    <row r="4">
      <c r="A4" s="5" t="inlineStr">
        <is>
          <t>순이익</t>
        </is>
      </c>
      <c r="C4" s="6" t="n">
        <v>-7.92</v>
      </c>
      <c r="D4" s="6" t="n">
        <v>-2.59</v>
      </c>
      <c r="E4" s="6" t="n">
        <v>4.08</v>
      </c>
      <c r="F4" s="6" t="n">
        <v>-4.96</v>
      </c>
      <c r="G4" s="6" t="n">
        <v>-21.24</v>
      </c>
      <c r="H4" s="6" t="n">
        <v>-27.09</v>
      </c>
      <c r="I4" s="6" t="n">
        <v>46.28</v>
      </c>
      <c r="J4" s="6" t="n">
        <v>10.84</v>
      </c>
      <c r="K4" s="6" t="n">
        <v>7.77</v>
      </c>
      <c r="L4" s="6" t="n">
        <v>8.32</v>
      </c>
      <c r="M4" s="6" t="n">
        <v>18.73</v>
      </c>
      <c r="N4" s="6" t="n">
        <v>5.49</v>
      </c>
      <c r="O4" s="6" t="n">
        <v>8.460000000000001</v>
      </c>
      <c r="P4" s="6" t="n">
        <v>5.88</v>
      </c>
      <c r="Q4" s="6" t="n">
        <v>10.24</v>
      </c>
      <c r="R4" s="6" t="n">
        <v>5.69</v>
      </c>
      <c r="S4" s="6" t="n">
        <v>15.31</v>
      </c>
      <c r="T4" s="6" t="n">
        <v>104.67</v>
      </c>
      <c r="U4" s="6" t="n">
        <v>9.890000000000001</v>
      </c>
      <c r="V4" s="6" t="n">
        <v>15.33</v>
      </c>
      <c r="W4" s="6" t="n">
        <v>19</v>
      </c>
      <c r="X4" s="6" t="n">
        <v>19.06</v>
      </c>
      <c r="Y4" s="6" t="n">
        <v>-34.71</v>
      </c>
      <c r="Z4" s="6" t="n">
        <v>-31.57</v>
      </c>
      <c r="AA4" s="6" t="n">
        <v>-49.21</v>
      </c>
      <c r="AB4" s="6" t="n">
        <v>73.20999999999999</v>
      </c>
      <c r="AC4" s="6" t="n">
        <v>38.56</v>
      </c>
      <c r="AD4" s="6" t="n">
        <v>135.91</v>
      </c>
      <c r="AE4" s="7" t="inlineStr">
        <is>
          <t>결산단신 XBRL(거래소 공시, TDnet·JPX 보관소). 쓴 문서: 2026-10-15, 2026-07-15, 2026-04-14, 2026-01-14 외 26건 — '출처' 시트에 전부</t>
        </is>
      </c>
    </row>
    <row r="5">
      <c r="A5" s="10" t="inlineStr">
        <is>
          <t>기타유가증권 평가차액</t>
        </is>
      </c>
      <c r="C5" s="11" t="n">
        <v>-1.08</v>
      </c>
      <c r="D5" s="11" t="n">
        <v>0.34</v>
      </c>
      <c r="E5" s="11" t="n">
        <v>0.17</v>
      </c>
      <c r="F5" s="11" t="n">
        <v>0.19</v>
      </c>
      <c r="G5" s="11" t="n">
        <v>-0.49</v>
      </c>
      <c r="H5" s="11" t="n">
        <v>-0.06</v>
      </c>
      <c r="I5" s="11" t="n">
        <v>1.86</v>
      </c>
      <c r="J5" s="11" t="n">
        <v>-1.58</v>
      </c>
      <c r="K5" s="11" t="n">
        <v>-1.56</v>
      </c>
      <c r="L5" s="11" t="n">
        <v>0.9399999999999999</v>
      </c>
      <c r="M5" s="11" t="n">
        <v>-2.19</v>
      </c>
      <c r="N5" s="11" t="n">
        <v>6.88</v>
      </c>
      <c r="O5" s="11" t="n">
        <v>-4.16</v>
      </c>
      <c r="P5" s="11" t="n">
        <v>1.75</v>
      </c>
      <c r="Q5" s="11" t="n">
        <v>0.6899999999999999</v>
      </c>
      <c r="R5" s="11" t="n">
        <v>0.17</v>
      </c>
      <c r="S5" s="11" t="n">
        <v>0.64</v>
      </c>
      <c r="T5" s="11" t="n">
        <v>1.48</v>
      </c>
      <c r="U5" s="11" t="n">
        <v>-2.84</v>
      </c>
      <c r="V5" s="11" t="n">
        <v>0.38</v>
      </c>
      <c r="W5" s="11" t="n">
        <v>1.82</v>
      </c>
      <c r="X5" s="11" t="n">
        <v>-1.22</v>
      </c>
      <c r="Y5" s="11" t="n">
        <v>2.1</v>
      </c>
      <c r="Z5" s="11" t="n">
        <v>-0.21</v>
      </c>
      <c r="AA5" s="11" t="n">
        <v>-0.19</v>
      </c>
      <c r="AB5" s="11" t="n">
        <v>-0.34</v>
      </c>
      <c r="AC5" s="11" t="n">
        <v>2.28</v>
      </c>
      <c r="AD5" s="11" t="n">
        <v>2.98</v>
      </c>
    </row>
    <row r="6">
      <c r="A6" s="10" t="inlineStr">
        <is>
          <t>이연헤지손익</t>
        </is>
      </c>
      <c r="C6" s="11" t="n">
        <v>0.21</v>
      </c>
      <c r="D6" s="11" t="n">
        <v>0.28</v>
      </c>
      <c r="E6" s="11" t="n">
        <v>0.11</v>
      </c>
      <c r="F6" s="11" t="n">
        <v>0.09</v>
      </c>
      <c r="G6" s="11" t="n">
        <v>0.35</v>
      </c>
      <c r="H6" s="11" t="n">
        <v>0.02</v>
      </c>
      <c r="I6" s="11" t="n">
        <v>-0.12</v>
      </c>
      <c r="J6" s="11" t="n">
        <v>0.09</v>
      </c>
      <c r="K6" s="11" t="n">
        <v>0.02</v>
      </c>
      <c r="L6" s="11" t="n">
        <v>0</v>
      </c>
      <c r="M6" s="11" t="n">
        <v>0.12</v>
      </c>
      <c r="N6" s="11" t="n">
        <v>-0.05</v>
      </c>
      <c r="O6" s="11" t="n">
        <v>0.05</v>
      </c>
      <c r="P6" s="11" t="n">
        <v>0.09</v>
      </c>
      <c r="Q6" s="11" t="n">
        <v>0.01</v>
      </c>
      <c r="R6" s="11" t="n">
        <v>0.03</v>
      </c>
      <c r="S6" s="11" t="n">
        <v>0.05</v>
      </c>
      <c r="T6" s="11" t="n">
        <v>0.14</v>
      </c>
      <c r="U6" s="11" t="n">
        <v>0.05</v>
      </c>
      <c r="V6" s="11" t="n">
        <v>0.06</v>
      </c>
      <c r="W6" s="11" t="n">
        <v>-0.33</v>
      </c>
      <c r="X6" s="11" t="n">
        <v>-1.37</v>
      </c>
      <c r="Y6" s="11" t="n">
        <v>0.66</v>
      </c>
      <c r="Z6" s="11" t="n">
        <v>0.53</v>
      </c>
      <c r="AA6" s="11" t="n">
        <v>0.57</v>
      </c>
      <c r="AB6" s="11" t="n">
        <v>-0.01</v>
      </c>
      <c r="AC6" s="11" t="n">
        <v>0.21</v>
      </c>
      <c r="AD6" s="11" t="n">
        <v>0.23</v>
      </c>
    </row>
    <row r="7">
      <c r="A7" s="10" t="inlineStr">
        <is>
          <t>해외사업환산조정</t>
        </is>
      </c>
      <c r="C7" s="11" t="n">
        <v>0.18</v>
      </c>
      <c r="D7" s="11" t="n">
        <v>0.57</v>
      </c>
      <c r="E7" s="11" t="n">
        <v>0.38</v>
      </c>
      <c r="F7" s="11" t="n">
        <v>1.09</v>
      </c>
      <c r="G7" s="11" t="n">
        <v>-0.42</v>
      </c>
      <c r="H7" s="11" t="n">
        <v>-2.78</v>
      </c>
      <c r="I7" s="11" t="n">
        <v>-0.02</v>
      </c>
      <c r="J7" s="11" t="n">
        <v>-0.3</v>
      </c>
      <c r="K7" s="11" t="n">
        <v>-0.12</v>
      </c>
      <c r="L7" s="11" t="n">
        <v>0.2</v>
      </c>
      <c r="M7" s="11" t="n">
        <v>-0.25</v>
      </c>
      <c r="N7" s="11" t="n">
        <v>-0.25</v>
      </c>
      <c r="O7" s="11" t="n">
        <v>0.48</v>
      </c>
      <c r="P7" s="11" t="n">
        <v>-0.41</v>
      </c>
      <c r="Q7" s="11" t="n">
        <v>0.33</v>
      </c>
      <c r="R7" s="11" t="n">
        <v>0.17</v>
      </c>
      <c r="S7" s="11" t="n">
        <v>-0.16</v>
      </c>
      <c r="T7" s="11" t="n">
        <v>-0.37</v>
      </c>
      <c r="U7" s="11" t="n">
        <v>-0.09</v>
      </c>
      <c r="V7" s="11" t="n">
        <v>-0.11</v>
      </c>
      <c r="W7" s="11" t="n">
        <v>-0.02</v>
      </c>
      <c r="X7" s="11" t="n">
        <v>0.5600000000000001</v>
      </c>
      <c r="Y7" s="11" t="n">
        <v>-0.59</v>
      </c>
      <c r="Z7" s="11" t="n">
        <v>1.1</v>
      </c>
      <c r="AA7" s="11" t="n">
        <v>-1.73</v>
      </c>
      <c r="AB7" s="11" t="n">
        <v>-0.24</v>
      </c>
      <c r="AC7" s="11" t="n">
        <v>-0.43</v>
      </c>
      <c r="AD7" s="11" t="n">
        <v>-0.03</v>
      </c>
    </row>
    <row r="8">
      <c r="A8" s="10" t="inlineStr">
        <is>
          <t>퇴직급여 조정액</t>
        </is>
      </c>
      <c r="M8" s="11" t="n">
        <v>0</v>
      </c>
      <c r="N8" s="11" t="n">
        <v>0</v>
      </c>
      <c r="O8" s="11" t="n">
        <v>0</v>
      </c>
      <c r="P8" s="11" t="n">
        <v>-0.01</v>
      </c>
      <c r="Q8" s="11" t="n">
        <v>0.01</v>
      </c>
      <c r="R8" s="11" t="n">
        <v>0</v>
      </c>
      <c r="S8" s="11" t="n">
        <v>0</v>
      </c>
      <c r="T8" s="11" t="n">
        <v>0.76</v>
      </c>
      <c r="U8" s="11" t="n">
        <v>-0.02</v>
      </c>
      <c r="V8" s="11" t="n">
        <v>-0.02</v>
      </c>
      <c r="AB8" s="11" t="n">
        <v>0</v>
      </c>
      <c r="AC8" s="11" t="n">
        <v>-0.01</v>
      </c>
      <c r="AD8" s="11" t="n">
        <v>0.77</v>
      </c>
    </row>
    <row r="9">
      <c r="A9" s="10" t="inlineStr">
        <is>
          <t>지분법 적용회사 지분 해당액</t>
        </is>
      </c>
      <c r="H9" s="11" t="n">
        <v>0</v>
      </c>
      <c r="I9" s="11" t="n">
        <v>0</v>
      </c>
      <c r="L9" s="11" t="n">
        <v>-0.02</v>
      </c>
      <c r="M9" s="11" t="n">
        <v>0.14</v>
      </c>
      <c r="P9" s="11" t="n">
        <v>-0.05</v>
      </c>
      <c r="Q9" s="11" t="n">
        <v>0</v>
      </c>
      <c r="R9" s="11" t="n">
        <v>0</v>
      </c>
      <c r="S9" s="11" t="n">
        <v>0</v>
      </c>
      <c r="T9" s="11" t="n">
        <v>0</v>
      </c>
      <c r="AA9" s="11" t="n">
        <v>0</v>
      </c>
      <c r="AB9" s="11" t="n">
        <v>0</v>
      </c>
      <c r="AC9" s="11" t="n">
        <v>-0</v>
      </c>
      <c r="AD9" s="11" t="n">
        <v>0</v>
      </c>
    </row>
    <row r="10">
      <c r="A10" s="10" t="inlineStr">
        <is>
          <t>기타포괄손익 합계</t>
        </is>
      </c>
      <c r="C10" s="11" t="n">
        <v>-0.71</v>
      </c>
      <c r="D10" s="11" t="n">
        <v>1.19</v>
      </c>
      <c r="E10" s="11" t="n">
        <v>0.68</v>
      </c>
      <c r="F10" s="11" t="n">
        <v>1.35</v>
      </c>
      <c r="G10" s="11" t="n">
        <v>-0.5600000000000001</v>
      </c>
      <c r="H10" s="11" t="n">
        <v>-2.82</v>
      </c>
      <c r="I10" s="11" t="n">
        <v>1.72</v>
      </c>
      <c r="J10" s="11" t="n">
        <v>-1.79</v>
      </c>
      <c r="K10" s="11" t="n">
        <v>-1.65</v>
      </c>
      <c r="L10" s="11" t="n">
        <v>1.12</v>
      </c>
      <c r="M10" s="11" t="n">
        <v>-2.17</v>
      </c>
      <c r="N10" s="11" t="n">
        <v>6.43</v>
      </c>
      <c r="O10" s="11" t="n">
        <v>-3.57</v>
      </c>
      <c r="P10" s="11" t="n">
        <v>1.35</v>
      </c>
      <c r="Q10" s="11" t="n">
        <v>1.05</v>
      </c>
      <c r="R10" s="11" t="n">
        <v>0.37</v>
      </c>
      <c r="S10" s="11" t="n">
        <v>0.54</v>
      </c>
      <c r="T10" s="11" t="n">
        <v>1.98</v>
      </c>
      <c r="U10" s="11" t="n">
        <v>-2.9</v>
      </c>
      <c r="V10" s="11" t="n">
        <v>0.31</v>
      </c>
      <c r="W10" s="11" t="n">
        <v>1.46</v>
      </c>
      <c r="X10" s="11" t="n">
        <v>-2.02</v>
      </c>
      <c r="Y10" s="11" t="n">
        <v>2.17</v>
      </c>
      <c r="Z10" s="11" t="n">
        <v>1.41</v>
      </c>
      <c r="AA10" s="11" t="n">
        <v>-1.35</v>
      </c>
      <c r="AB10" s="11" t="n">
        <v>-0.6</v>
      </c>
      <c r="AC10" s="11" t="n">
        <v>2.04</v>
      </c>
      <c r="AD10" s="11" t="n">
        <v>3.94</v>
      </c>
    </row>
    <row r="11">
      <c r="A11" s="10" t="inlineStr">
        <is>
          <t>포괄이익</t>
        </is>
      </c>
      <c r="C11" s="11" t="n">
        <v>-8.630000000000001</v>
      </c>
      <c r="D11" s="11" t="n">
        <v>-1.4</v>
      </c>
      <c r="E11" s="11" t="n">
        <v>4.76</v>
      </c>
      <c r="F11" s="11" t="n">
        <v>-3.61</v>
      </c>
      <c r="G11" s="11" t="n">
        <v>-21.79</v>
      </c>
      <c r="H11" s="11" t="n">
        <v>-29.93</v>
      </c>
      <c r="I11" s="11" t="n">
        <v>48</v>
      </c>
      <c r="J11" s="11" t="n">
        <v>9.050000000000001</v>
      </c>
      <c r="K11" s="11" t="n">
        <v>6.12</v>
      </c>
      <c r="L11" s="11" t="n">
        <v>9.43</v>
      </c>
      <c r="M11" s="11" t="n">
        <v>16.55</v>
      </c>
      <c r="N11" s="11" t="n">
        <v>11.94</v>
      </c>
      <c r="O11" s="11" t="n">
        <v>4.88</v>
      </c>
      <c r="P11" s="11" t="n">
        <v>7.23</v>
      </c>
      <c r="Q11" s="11" t="n">
        <v>11.3</v>
      </c>
      <c r="R11" s="11" t="n">
        <v>6.05</v>
      </c>
      <c r="S11" s="11" t="n">
        <v>15.86</v>
      </c>
      <c r="T11" s="11" t="n">
        <v>106.65</v>
      </c>
      <c r="U11" s="11" t="n">
        <v>6.99</v>
      </c>
      <c r="V11" s="11" t="n">
        <v>15.63</v>
      </c>
      <c r="W11" s="11" t="n">
        <v>20.46</v>
      </c>
      <c r="X11" s="11" t="n">
        <v>17.03</v>
      </c>
      <c r="Y11" s="11" t="n">
        <v>-32.54</v>
      </c>
      <c r="Z11" s="11" t="n">
        <v>-30.15</v>
      </c>
      <c r="AA11" s="11" t="n">
        <v>-50.57</v>
      </c>
      <c r="AB11" s="11" t="n">
        <v>72.59999999999999</v>
      </c>
      <c r="AC11" s="11" t="n">
        <v>40.6</v>
      </c>
      <c r="AD11" s="11" t="n">
        <v>139.86</v>
      </c>
    </row>
    <row r="12">
      <c r="A12" s="10" t="inlineStr">
        <is>
          <t>지배주주 포괄이익</t>
        </is>
      </c>
      <c r="C12" s="11" t="n">
        <v>-8.76</v>
      </c>
      <c r="D12" s="11" t="n">
        <v>-1.54</v>
      </c>
      <c r="E12" s="11" t="n">
        <v>4.61</v>
      </c>
      <c r="F12" s="11" t="n">
        <v>-3.61</v>
      </c>
      <c r="G12" s="11" t="n">
        <v>-21.79</v>
      </c>
      <c r="H12" s="11" t="n">
        <v>-29.92</v>
      </c>
      <c r="I12" s="11" t="n">
        <v>48</v>
      </c>
      <c r="J12" s="11" t="n">
        <v>9.050000000000001</v>
      </c>
      <c r="K12" s="11" t="n">
        <v>6.12</v>
      </c>
      <c r="L12" s="11" t="n">
        <v>9.43</v>
      </c>
      <c r="M12" s="11" t="n">
        <v>16.55</v>
      </c>
      <c r="N12" s="11" t="n">
        <v>11.94</v>
      </c>
      <c r="O12" s="11" t="n">
        <v>5.46</v>
      </c>
      <c r="P12" s="11" t="n">
        <v>5.97</v>
      </c>
      <c r="Q12" s="11" t="n">
        <v>11.79</v>
      </c>
      <c r="R12" s="11" t="n">
        <v>5.82</v>
      </c>
      <c r="S12" s="11" t="n">
        <v>15.31</v>
      </c>
      <c r="T12" s="11" t="n">
        <v>93.62</v>
      </c>
      <c r="U12" s="11" t="n">
        <v>9.039999999999999</v>
      </c>
      <c r="V12" s="11" t="n">
        <v>13.01</v>
      </c>
      <c r="W12" s="11" t="n">
        <v>20.39</v>
      </c>
      <c r="X12" s="11" t="n">
        <v>15.36</v>
      </c>
      <c r="Y12" s="11" t="n">
        <v>-32.85</v>
      </c>
      <c r="Z12" s="11" t="n">
        <v>-30.69</v>
      </c>
      <c r="AA12" s="11" t="n">
        <v>-50.71</v>
      </c>
      <c r="AB12" s="11" t="n">
        <v>72.59999999999999</v>
      </c>
      <c r="AC12" s="11" t="n">
        <v>39.92</v>
      </c>
      <c r="AD12" s="11" t="n">
        <v>126.54</v>
      </c>
    </row>
    <row r="13">
      <c r="A13" s="10" t="inlineStr">
        <is>
          <t>비지배주주 포괄이익</t>
        </is>
      </c>
      <c r="C13" s="11" t="n">
        <v>0.13</v>
      </c>
      <c r="D13" s="11" t="n">
        <v>0.13</v>
      </c>
      <c r="E13" s="11" t="n">
        <v>0.14</v>
      </c>
      <c r="F13" s="11" t="n">
        <v>0</v>
      </c>
      <c r="G13" s="11" t="n">
        <v>0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0</v>
      </c>
      <c r="M13" s="11" t="n">
        <v>0</v>
      </c>
      <c r="N13" s="11" t="n">
        <v>0</v>
      </c>
      <c r="O13" s="11" t="n">
        <v>-0.58</v>
      </c>
      <c r="P13" s="11" t="n">
        <v>1.25</v>
      </c>
      <c r="Q13" s="11" t="n">
        <v>-0.49</v>
      </c>
      <c r="R13" s="11" t="n">
        <v>0.23</v>
      </c>
      <c r="S13" s="11" t="n">
        <v>0.54</v>
      </c>
      <c r="T13" s="11" t="n">
        <v>13.03</v>
      </c>
      <c r="U13" s="11" t="n">
        <v>-2.05</v>
      </c>
      <c r="V13" s="11" t="n">
        <v>2.61</v>
      </c>
      <c r="W13" s="11" t="n">
        <v>0.07000000000000001</v>
      </c>
      <c r="X13" s="11" t="n">
        <v>1.66</v>
      </c>
      <c r="Y13" s="11" t="n">
        <v>0.31</v>
      </c>
      <c r="Z13" s="11" t="n">
        <v>0.53</v>
      </c>
      <c r="AA13" s="11" t="n">
        <v>0.14</v>
      </c>
      <c r="AB13" s="11" t="n">
        <v>0</v>
      </c>
      <c r="AC13" s="11" t="n">
        <v>0.67</v>
      </c>
      <c r="AD13" s="11" t="n">
        <v>13.31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72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40" customWidth="1" min="31" max="31"/>
  </cols>
  <sheetData>
    <row r="1">
      <c r="A1" s="1" t="inlineStr">
        <is>
          <t>TKP 재무상태표</t>
        </is>
      </c>
    </row>
    <row r="2">
      <c r="A2" s="2" t="inlineStr">
        <is>
          <t>결산기 기준(27.2Q = 2027년 결산기 2분기) · 2월 결산 · 연결 · 분기 말 잔액 · 오른쪽 FY = 연간</t>
        </is>
      </c>
      <c r="B2" s="3" t="inlineStr">
        <is>
          <t>(단위: 억엔)</t>
        </is>
      </c>
    </row>
    <row r="3">
      <c r="A3" s="4" t="inlineStr">
        <is>
          <t>항목</t>
        </is>
      </c>
      <c r="B3" s="4" t="inlineStr">
        <is>
          <t>참고</t>
        </is>
      </c>
      <c r="C3" s="4" t="inlineStr">
        <is>
          <t>22.3Q</t>
        </is>
      </c>
      <c r="D3" s="4" t="inlineStr">
        <is>
          <t>22.4Q</t>
        </is>
      </c>
      <c r="E3" s="4" t="inlineStr">
        <is>
          <t>23.1Q</t>
        </is>
      </c>
      <c r="F3" s="4" t="inlineStr">
        <is>
          <t>23.2Q</t>
        </is>
      </c>
      <c r="G3" s="4" t="inlineStr">
        <is>
          <t>23.3Q</t>
        </is>
      </c>
      <c r="H3" s="4" t="inlineStr">
        <is>
          <t>23.4Q</t>
        </is>
      </c>
      <c r="I3" s="4" t="inlineStr">
        <is>
          <t>24.1Q</t>
        </is>
      </c>
      <c r="J3" s="4" t="inlineStr">
        <is>
          <t>24.2Q</t>
        </is>
      </c>
      <c r="K3" s="4" t="inlineStr">
        <is>
          <t>24.3Q</t>
        </is>
      </c>
      <c r="L3" s="4" t="inlineStr">
        <is>
          <t>24.4Q</t>
        </is>
      </c>
      <c r="M3" s="4" t="inlineStr">
        <is>
          <t>25.1Q</t>
        </is>
      </c>
      <c r="N3" s="4" t="inlineStr">
        <is>
          <t>25.2Q</t>
        </is>
      </c>
      <c r="O3" s="4" t="inlineStr">
        <is>
          <t>25.3Q</t>
        </is>
      </c>
      <c r="P3" s="4" t="inlineStr">
        <is>
          <t>25.4Q</t>
        </is>
      </c>
      <c r="Q3" s="4" t="inlineStr">
        <is>
          <t>26.1Q</t>
        </is>
      </c>
      <c r="R3" s="4" t="inlineStr">
        <is>
          <t>26.2Q</t>
        </is>
      </c>
      <c r="S3" s="4" t="inlineStr">
        <is>
          <t>26.3Q</t>
        </is>
      </c>
      <c r="T3" s="4" t="inlineStr">
        <is>
          <t>26.4Q</t>
        </is>
      </c>
      <c r="U3" s="4" t="inlineStr">
        <is>
          <t>27.1Q</t>
        </is>
      </c>
      <c r="V3" s="4" t="inlineStr">
        <is>
          <t>27.2Q</t>
        </is>
      </c>
      <c r="W3" s="4" t="inlineStr">
        <is>
          <t>FY19</t>
        </is>
      </c>
      <c r="X3" s="4" t="inlineStr">
        <is>
          <t>FY20</t>
        </is>
      </c>
      <c r="Y3" s="4" t="inlineStr">
        <is>
          <t>FY21</t>
        </is>
      </c>
      <c r="Z3" s="4" t="inlineStr">
        <is>
          <t>FY22</t>
        </is>
      </c>
      <c r="AA3" s="4" t="inlineStr">
        <is>
          <t>FY23</t>
        </is>
      </c>
      <c r="AB3" s="4" t="inlineStr">
        <is>
          <t>FY24</t>
        </is>
      </c>
      <c r="AC3" s="4" t="inlineStr">
        <is>
          <t>FY25</t>
        </is>
      </c>
      <c r="AD3" s="4" t="inlineStr">
        <is>
          <t>FY26</t>
        </is>
      </c>
      <c r="AE3" s="4" t="inlineStr">
        <is>
          <t>출처</t>
        </is>
      </c>
    </row>
    <row r="4">
      <c r="A4" s="10" t="inlineStr">
        <is>
          <t>현금 및 예금</t>
        </is>
      </c>
      <c r="C4" s="11" t="n">
        <v>110.1</v>
      </c>
      <c r="D4" s="11" t="n">
        <v>139.31</v>
      </c>
      <c r="E4" s="11" t="n">
        <v>109.47</v>
      </c>
      <c r="F4" s="11" t="n">
        <v>123.61</v>
      </c>
      <c r="G4" s="11" t="n">
        <v>115.55</v>
      </c>
      <c r="H4" s="11" t="n">
        <v>326.61</v>
      </c>
      <c r="I4" s="11" t="n">
        <v>286.64</v>
      </c>
      <c r="J4" s="11" t="n">
        <v>286.06</v>
      </c>
      <c r="K4" s="11" t="n">
        <v>283.99</v>
      </c>
      <c r="L4" s="11" t="n">
        <v>320.69</v>
      </c>
      <c r="M4" s="11" t="n">
        <v>279.13</v>
      </c>
      <c r="N4" s="11" t="n">
        <v>256.68</v>
      </c>
      <c r="O4" s="11" t="n">
        <v>217.74</v>
      </c>
      <c r="P4" s="11" t="n">
        <v>145.28</v>
      </c>
      <c r="Q4" s="11" t="n">
        <v>202.98</v>
      </c>
      <c r="R4" s="11" t="n">
        <v>167.11</v>
      </c>
      <c r="S4" s="11" t="n">
        <v>225.18</v>
      </c>
      <c r="T4" s="11" t="n">
        <v>455.69</v>
      </c>
      <c r="U4" s="11" t="n">
        <v>353.73</v>
      </c>
      <c r="V4" s="11" t="n">
        <v>307.26</v>
      </c>
      <c r="W4" s="11" t="n">
        <v>119.67</v>
      </c>
      <c r="X4" s="11" t="n">
        <v>91.31</v>
      </c>
      <c r="Y4" s="11" t="n">
        <v>151.95</v>
      </c>
      <c r="Z4" s="11" t="n">
        <v>139.31</v>
      </c>
      <c r="AA4" s="11" t="n">
        <v>326.61</v>
      </c>
      <c r="AB4" s="11" t="n">
        <v>320.69</v>
      </c>
      <c r="AC4" s="11" t="n">
        <v>145.28</v>
      </c>
      <c r="AD4" s="11" t="n">
        <v>455.69</v>
      </c>
      <c r="AE4" s="7" t="inlineStr">
        <is>
          <t>결산단신 XBRL(거래소 공시, TDnet·JPX 보관소). 쓴 문서: 2026-10-15, 2026-07-15, 2026-04-14, 2026-01-14 외 26건 — '출처' 시트에 전부</t>
        </is>
      </c>
    </row>
    <row r="5">
      <c r="A5" s="10" t="inlineStr">
        <is>
          <t>매출채권</t>
        </is>
      </c>
      <c r="C5" s="11" t="n">
        <v>30.08</v>
      </c>
      <c r="D5" s="11" t="n">
        <v>35.58</v>
      </c>
      <c r="E5" s="11" t="n">
        <v>32.08</v>
      </c>
      <c r="F5" s="11" t="n">
        <v>32.05</v>
      </c>
      <c r="G5" s="11" t="n">
        <v>36.99</v>
      </c>
      <c r="H5" s="11" t="n">
        <v>34.64</v>
      </c>
      <c r="I5" s="11" t="n">
        <v>31.07</v>
      </c>
      <c r="J5" s="11" t="n">
        <v>34.86</v>
      </c>
      <c r="K5" s="11" t="n">
        <v>47.44</v>
      </c>
      <c r="L5" s="11" t="n">
        <v>39.15</v>
      </c>
      <c r="M5" s="11" t="n">
        <v>38.58</v>
      </c>
      <c r="W5" s="11" t="n">
        <v>33.55</v>
      </c>
      <c r="X5" s="11" t="n">
        <v>41.14</v>
      </c>
      <c r="Y5" s="11" t="n">
        <v>33.18</v>
      </c>
      <c r="Z5" s="11" t="n">
        <v>35.58</v>
      </c>
      <c r="AA5" s="11" t="n">
        <v>34.64</v>
      </c>
      <c r="AB5" s="11" t="n">
        <v>39.15</v>
      </c>
    </row>
    <row r="6">
      <c r="A6" s="10" t="inlineStr">
        <is>
          <t>받을어음·매출채권·계약자산</t>
        </is>
      </c>
      <c r="L6" s="11" t="n">
        <v>39.15</v>
      </c>
      <c r="N6" s="11" t="n">
        <v>86.69</v>
      </c>
      <c r="O6" s="11" t="n">
        <v>109.2</v>
      </c>
      <c r="P6" s="11" t="n">
        <v>105.53</v>
      </c>
      <c r="Q6" s="11" t="n">
        <v>109.36</v>
      </c>
      <c r="R6" s="11" t="n">
        <v>94.47</v>
      </c>
      <c r="S6" s="11" t="n">
        <v>120.31</v>
      </c>
      <c r="T6" s="11" t="n">
        <v>107.34</v>
      </c>
      <c r="U6" s="11" t="n">
        <v>118</v>
      </c>
      <c r="V6" s="11" t="n">
        <v>100.6</v>
      </c>
      <c r="AB6" s="11" t="n">
        <v>39.15</v>
      </c>
      <c r="AC6" s="11" t="n">
        <v>105.53</v>
      </c>
      <c r="AD6" s="11" t="n">
        <v>107.34</v>
      </c>
    </row>
    <row r="7">
      <c r="A7" s="10" t="inlineStr">
        <is>
          <t>전자기록채권</t>
        </is>
      </c>
      <c r="L7" s="11" t="n">
        <v>0</v>
      </c>
      <c r="N7" s="11" t="n">
        <v>16.72</v>
      </c>
      <c r="O7" s="11" t="n">
        <v>15.99</v>
      </c>
      <c r="P7" s="11" t="n">
        <v>20.85</v>
      </c>
      <c r="Q7" s="11" t="n">
        <v>20.83</v>
      </c>
      <c r="R7" s="11" t="n">
        <v>20.25</v>
      </c>
      <c r="S7" s="11" t="n">
        <v>19.9</v>
      </c>
      <c r="T7" s="11" t="n">
        <v>22.37</v>
      </c>
      <c r="U7" s="11" t="n">
        <v>27.01</v>
      </c>
      <c r="V7" s="11" t="n">
        <v>24.96</v>
      </c>
      <c r="AB7" s="11" t="n">
        <v>0</v>
      </c>
      <c r="AC7" s="11" t="n">
        <v>20.85</v>
      </c>
      <c r="AD7" s="11" t="n">
        <v>22.37</v>
      </c>
    </row>
    <row r="8">
      <c r="A8" s="10" t="inlineStr">
        <is>
          <t>상품</t>
        </is>
      </c>
      <c r="L8" s="11" t="n">
        <v>0</v>
      </c>
      <c r="N8" s="11" t="n">
        <v>33.9</v>
      </c>
      <c r="O8" s="11" t="n">
        <v>31.62</v>
      </c>
      <c r="P8" s="11" t="n">
        <v>31.2</v>
      </c>
      <c r="Q8" s="11" t="n">
        <v>33.18</v>
      </c>
      <c r="R8" s="11" t="n">
        <v>32.43</v>
      </c>
      <c r="AB8" s="11" t="n">
        <v>0</v>
      </c>
      <c r="AC8" s="11" t="n">
        <v>31.2</v>
      </c>
    </row>
    <row r="9">
      <c r="A9" s="10" t="inlineStr">
        <is>
          <t>상품·제품</t>
        </is>
      </c>
      <c r="P9" s="11" t="n">
        <v>31.2</v>
      </c>
      <c r="S9" s="11" t="n">
        <v>36.79</v>
      </c>
      <c r="T9" s="11" t="n">
        <v>34.97</v>
      </c>
      <c r="U9" s="11" t="n">
        <v>36.08</v>
      </c>
      <c r="V9" s="11" t="n">
        <v>36.36</v>
      </c>
      <c r="AC9" s="11" t="n">
        <v>31.2</v>
      </c>
      <c r="AD9" s="11" t="n">
        <v>34.97</v>
      </c>
    </row>
    <row r="10">
      <c r="A10" s="10" t="inlineStr">
        <is>
          <t>판매용 부동산</t>
        </is>
      </c>
      <c r="P10" s="11" t="n">
        <v>5.52</v>
      </c>
      <c r="Q10" s="11" t="n">
        <v>5.49</v>
      </c>
      <c r="R10" s="11" t="n">
        <v>5.48</v>
      </c>
      <c r="S10" s="11" t="n">
        <v>10.94</v>
      </c>
      <c r="T10" s="11" t="n">
        <v>9.640000000000001</v>
      </c>
      <c r="U10" s="11" t="n">
        <v>8.789999999999999</v>
      </c>
      <c r="V10" s="11" t="n">
        <v>3.18</v>
      </c>
      <c r="AC10" s="11" t="n">
        <v>5.52</v>
      </c>
      <c r="AD10" s="11" t="n">
        <v>9.640000000000001</v>
      </c>
    </row>
    <row r="11">
      <c r="A11" s="10" t="inlineStr">
        <is>
          <t>개발 중 판매용 부동산</t>
        </is>
      </c>
      <c r="L11" s="11" t="n">
        <v>0</v>
      </c>
      <c r="N11" s="11" t="n">
        <v>9.06</v>
      </c>
      <c r="O11" s="11" t="n">
        <v>10.11</v>
      </c>
      <c r="P11" s="11" t="n">
        <v>4.54</v>
      </c>
      <c r="Q11" s="11" t="n">
        <v>8.49</v>
      </c>
      <c r="R11" s="11" t="n">
        <v>9.67</v>
      </c>
      <c r="S11" s="11" t="n">
        <v>11.66</v>
      </c>
      <c r="T11" s="11" t="n">
        <v>5.05</v>
      </c>
      <c r="U11" s="11" t="n">
        <v>10.65</v>
      </c>
      <c r="V11" s="11" t="n">
        <v>15.43</v>
      </c>
      <c r="AB11" s="11" t="n">
        <v>0</v>
      </c>
      <c r="AC11" s="11" t="n">
        <v>4.54</v>
      </c>
      <c r="AD11" s="11" t="n">
        <v>5.05</v>
      </c>
    </row>
    <row r="12">
      <c r="A12" s="10" t="inlineStr">
        <is>
          <t>기타</t>
        </is>
      </c>
      <c r="C12" s="11" t="n">
        <v>46.43</v>
      </c>
      <c r="D12" s="11" t="n">
        <v>53.18</v>
      </c>
      <c r="E12" s="11" t="n">
        <v>54.27</v>
      </c>
      <c r="F12" s="11" t="n">
        <v>43.6</v>
      </c>
      <c r="G12" s="11" t="n">
        <v>45.44</v>
      </c>
      <c r="H12" s="11" t="n">
        <v>21.91</v>
      </c>
      <c r="I12" s="11" t="n">
        <v>23.56</v>
      </c>
      <c r="J12" s="11" t="n">
        <v>21.48</v>
      </c>
      <c r="K12" s="11" t="n">
        <v>15.9</v>
      </c>
      <c r="L12" s="11" t="n">
        <v>14.86</v>
      </c>
      <c r="M12" s="11" t="n">
        <v>15.94</v>
      </c>
      <c r="N12" s="11" t="n">
        <v>29.97</v>
      </c>
      <c r="O12" s="11" t="n">
        <v>31.24</v>
      </c>
      <c r="P12" s="11" t="n">
        <v>40.03</v>
      </c>
      <c r="Q12" s="11" t="n">
        <v>40.2</v>
      </c>
      <c r="R12" s="11" t="n">
        <v>35.67</v>
      </c>
      <c r="S12" s="11" t="n">
        <v>46.14</v>
      </c>
      <c r="T12" s="11" t="n">
        <v>51.23</v>
      </c>
      <c r="U12" s="11" t="n">
        <v>55.9</v>
      </c>
      <c r="V12" s="11" t="n">
        <v>54.73</v>
      </c>
      <c r="W12" s="11" t="n">
        <v>14.48</v>
      </c>
      <c r="X12" s="11" t="n">
        <v>36.13</v>
      </c>
      <c r="Y12" s="11" t="n">
        <v>28.75</v>
      </c>
      <c r="Z12" s="11" t="n">
        <v>53.18</v>
      </c>
      <c r="AA12" s="11" t="n">
        <v>21.91</v>
      </c>
      <c r="AB12" s="11" t="n">
        <v>14.86</v>
      </c>
      <c r="AC12" s="11" t="n">
        <v>40.03</v>
      </c>
      <c r="AD12" s="11" t="n">
        <v>51.23</v>
      </c>
    </row>
    <row r="13">
      <c r="A13" s="10" t="inlineStr">
        <is>
          <t>대손충당금</t>
        </is>
      </c>
      <c r="C13" s="11" t="n">
        <v>-0.28</v>
      </c>
      <c r="D13" s="11" t="n">
        <v>-0.04</v>
      </c>
      <c r="E13" s="11" t="n">
        <v>-0.09</v>
      </c>
      <c r="F13" s="11" t="n">
        <v>-0.09</v>
      </c>
      <c r="G13" s="11" t="n">
        <v>-0.27</v>
      </c>
      <c r="H13" s="11" t="n">
        <v>-0.16</v>
      </c>
      <c r="I13" s="11" t="n">
        <v>-0.07000000000000001</v>
      </c>
      <c r="J13" s="11" t="n">
        <v>-0.16</v>
      </c>
      <c r="K13" s="11" t="n">
        <v>-0.15</v>
      </c>
      <c r="L13" s="11" t="n">
        <v>-0.35</v>
      </c>
      <c r="M13" s="11" t="n">
        <v>-0.33</v>
      </c>
      <c r="N13" s="11" t="n">
        <v>-0.33</v>
      </c>
      <c r="O13" s="11" t="n">
        <v>-0.38</v>
      </c>
      <c r="P13" s="11" t="n">
        <v>-0.23</v>
      </c>
      <c r="Q13" s="11" t="n">
        <v>-0.46</v>
      </c>
      <c r="R13" s="11" t="n">
        <v>-0.43</v>
      </c>
      <c r="S13" s="11" t="n">
        <v>-0.8100000000000001</v>
      </c>
      <c r="T13" s="11" t="n">
        <v>-0.7</v>
      </c>
      <c r="U13" s="11" t="n">
        <v>-0.75</v>
      </c>
      <c r="V13" s="11" t="n">
        <v>-0.68</v>
      </c>
      <c r="W13" s="11" t="n">
        <v>-0.24</v>
      </c>
      <c r="X13" s="11" t="n">
        <v>-0.12</v>
      </c>
      <c r="Y13" s="11" t="n">
        <v>-0.17</v>
      </c>
      <c r="Z13" s="11" t="n">
        <v>-0.04</v>
      </c>
      <c r="AA13" s="11" t="n">
        <v>-0.16</v>
      </c>
      <c r="AB13" s="11" t="n">
        <v>-0.35</v>
      </c>
      <c r="AC13" s="11" t="n">
        <v>-0.23</v>
      </c>
      <c r="AD13" s="11" t="n">
        <v>-0.7</v>
      </c>
    </row>
    <row r="14">
      <c r="A14" s="10" t="inlineStr">
        <is>
          <t>유동자산 합계</t>
        </is>
      </c>
      <c r="C14" s="11" t="n">
        <v>186.33</v>
      </c>
      <c r="D14" s="11" t="n">
        <v>228.03</v>
      </c>
      <c r="E14" s="11" t="n">
        <v>195.73</v>
      </c>
      <c r="F14" s="11" t="n">
        <v>199.18</v>
      </c>
      <c r="G14" s="11" t="n">
        <v>197.72</v>
      </c>
      <c r="H14" s="11" t="n">
        <v>383.01</v>
      </c>
      <c r="I14" s="11" t="n">
        <v>341.22</v>
      </c>
      <c r="J14" s="11" t="n">
        <v>342.26</v>
      </c>
      <c r="K14" s="11" t="n">
        <v>347.19</v>
      </c>
      <c r="L14" s="11" t="n">
        <v>374.36</v>
      </c>
      <c r="M14" s="11" t="n">
        <v>333.32</v>
      </c>
      <c r="N14" s="11" t="n">
        <v>432.72</v>
      </c>
      <c r="O14" s="11" t="n">
        <v>415.54</v>
      </c>
      <c r="P14" s="11" t="n">
        <v>352.74</v>
      </c>
      <c r="Q14" s="11" t="n">
        <v>420.1</v>
      </c>
      <c r="R14" s="11" t="n">
        <v>364.67</v>
      </c>
      <c r="S14" s="11" t="n">
        <v>470.13</v>
      </c>
      <c r="T14" s="11" t="n">
        <v>685.61</v>
      </c>
      <c r="U14" s="11" t="n">
        <v>609.42</v>
      </c>
      <c r="V14" s="11" t="n">
        <v>541.86</v>
      </c>
      <c r="W14" s="11" t="n">
        <v>167.47</v>
      </c>
      <c r="X14" s="11" t="n">
        <v>168.47</v>
      </c>
      <c r="Y14" s="11" t="n">
        <v>213.73</v>
      </c>
      <c r="Z14" s="11" t="n">
        <v>228.03</v>
      </c>
      <c r="AA14" s="11" t="n">
        <v>383.01</v>
      </c>
      <c r="AB14" s="11" t="n">
        <v>374.36</v>
      </c>
      <c r="AC14" s="11" t="n">
        <v>352.74</v>
      </c>
      <c r="AD14" s="11" t="n">
        <v>685.61</v>
      </c>
    </row>
    <row r="15">
      <c r="A15" s="10" t="inlineStr">
        <is>
          <t>건물·구축물(순액)</t>
        </is>
      </c>
      <c r="C15" s="11" t="n">
        <v>246.25</v>
      </c>
      <c r="D15" s="11" t="n">
        <v>241.26</v>
      </c>
      <c r="E15" s="11" t="n">
        <v>237.95</v>
      </c>
      <c r="F15" s="11" t="n">
        <v>236.07</v>
      </c>
      <c r="G15" s="11" t="n">
        <v>229.74</v>
      </c>
      <c r="H15" s="11" t="n">
        <v>157.53</v>
      </c>
      <c r="I15" s="11" t="n">
        <v>156.06</v>
      </c>
      <c r="J15" s="11" t="n">
        <v>153.6</v>
      </c>
      <c r="K15" s="11" t="n">
        <v>153.86</v>
      </c>
      <c r="L15" s="11" t="n">
        <v>157</v>
      </c>
      <c r="M15" s="11" t="n">
        <v>171.01</v>
      </c>
      <c r="N15" s="11" t="n">
        <v>199.49</v>
      </c>
      <c r="O15" s="11" t="n">
        <v>219.23</v>
      </c>
      <c r="P15" s="11" t="n">
        <v>317.59</v>
      </c>
      <c r="Q15" s="11" t="n">
        <v>315.81</v>
      </c>
      <c r="R15" s="11" t="n">
        <v>351.09</v>
      </c>
      <c r="S15" s="11" t="n">
        <v>417.05</v>
      </c>
      <c r="T15" s="11" t="n">
        <v>402.39</v>
      </c>
      <c r="U15" s="11" t="n">
        <v>446.05</v>
      </c>
      <c r="V15" s="11" t="n">
        <v>442.28</v>
      </c>
      <c r="W15" s="11" t="n">
        <v>123.16</v>
      </c>
      <c r="X15" s="11" t="n">
        <v>222.16</v>
      </c>
      <c r="Y15" s="11" t="n">
        <v>248.05</v>
      </c>
      <c r="Z15" s="11" t="n">
        <v>241.26</v>
      </c>
      <c r="AA15" s="11" t="n">
        <v>157.53</v>
      </c>
      <c r="AB15" s="11" t="n">
        <v>157</v>
      </c>
      <c r="AC15" s="11" t="n">
        <v>317.59</v>
      </c>
      <c r="AD15" s="11" t="n">
        <v>402.39</v>
      </c>
    </row>
    <row r="16">
      <c r="A16" s="10" t="inlineStr">
        <is>
          <t>공구·기구·비품(순액)</t>
        </is>
      </c>
      <c r="C16" s="11" t="n">
        <v>9.279999999999999</v>
      </c>
      <c r="D16" s="11" t="n">
        <v>8.82</v>
      </c>
      <c r="E16" s="11" t="n">
        <v>8.91</v>
      </c>
      <c r="F16" s="11" t="n">
        <v>8.77</v>
      </c>
      <c r="G16" s="11" t="n">
        <v>8.31</v>
      </c>
      <c r="W16" s="11" t="n">
        <v>4.16</v>
      </c>
      <c r="X16" s="11" t="n">
        <v>10.41</v>
      </c>
      <c r="Y16" s="11" t="n">
        <v>9.73</v>
      </c>
      <c r="Z16" s="11" t="n">
        <v>8.82</v>
      </c>
    </row>
    <row r="17">
      <c r="A17" s="10" t="inlineStr">
        <is>
          <t>토지</t>
        </is>
      </c>
      <c r="C17" s="11" t="n">
        <v>75.84999999999999</v>
      </c>
      <c r="D17" s="11" t="n">
        <v>75.84999999999999</v>
      </c>
      <c r="E17" s="11" t="n">
        <v>75.84999999999999</v>
      </c>
      <c r="F17" s="11" t="n">
        <v>75.84999999999999</v>
      </c>
      <c r="G17" s="11" t="n">
        <v>74.77</v>
      </c>
      <c r="H17" s="11" t="n">
        <v>78.59</v>
      </c>
      <c r="I17" s="11" t="n">
        <v>78.59</v>
      </c>
      <c r="J17" s="11" t="n">
        <v>78.62</v>
      </c>
      <c r="K17" s="11" t="n">
        <v>78.92</v>
      </c>
      <c r="L17" s="11" t="n">
        <v>79.7</v>
      </c>
      <c r="M17" s="11" t="n">
        <v>96.42</v>
      </c>
      <c r="N17" s="11" t="n">
        <v>114.03</v>
      </c>
      <c r="O17" s="11" t="n">
        <v>124.05</v>
      </c>
      <c r="P17" s="11" t="n">
        <v>159.04</v>
      </c>
      <c r="Q17" s="11" t="n">
        <v>161.16</v>
      </c>
      <c r="R17" s="11" t="n">
        <v>171.31</v>
      </c>
      <c r="S17" s="11" t="n">
        <v>175.31</v>
      </c>
      <c r="T17" s="11" t="n">
        <v>161.64</v>
      </c>
      <c r="U17" s="11" t="n">
        <v>179.49</v>
      </c>
      <c r="V17" s="11" t="n">
        <v>192.9</v>
      </c>
      <c r="W17" s="11" t="n">
        <v>84.25</v>
      </c>
      <c r="X17" s="11" t="n">
        <v>109.32</v>
      </c>
      <c r="Y17" s="11" t="n">
        <v>101.93</v>
      </c>
      <c r="Z17" s="11" t="n">
        <v>75.84999999999999</v>
      </c>
      <c r="AA17" s="11" t="n">
        <v>78.59</v>
      </c>
      <c r="AB17" s="11" t="n">
        <v>79.7</v>
      </c>
      <c r="AC17" s="11" t="n">
        <v>159.04</v>
      </c>
      <c r="AD17" s="11" t="n">
        <v>161.64</v>
      </c>
    </row>
    <row r="18">
      <c r="A18" s="10" t="inlineStr">
        <is>
          <t>리스자산(순액)</t>
        </is>
      </c>
      <c r="C18" s="11" t="n">
        <v>23.64</v>
      </c>
      <c r="D18" s="11" t="n">
        <v>29.3</v>
      </c>
      <c r="E18" s="11" t="n">
        <v>28.41</v>
      </c>
      <c r="F18" s="11" t="n">
        <v>28.59</v>
      </c>
      <c r="G18" s="11" t="n">
        <v>26.43</v>
      </c>
      <c r="X18" s="11" t="n">
        <v>13.88</v>
      </c>
      <c r="Y18" s="11" t="n">
        <v>25.24</v>
      </c>
      <c r="Z18" s="11" t="n">
        <v>29.3</v>
      </c>
    </row>
    <row r="19">
      <c r="A19" s="10" t="inlineStr">
        <is>
          <t>건설중인자산</t>
        </is>
      </c>
      <c r="C19" s="11" t="n">
        <v>0.41</v>
      </c>
      <c r="D19" s="11" t="n">
        <v>0.27</v>
      </c>
      <c r="E19" s="11" t="n">
        <v>0.12</v>
      </c>
      <c r="F19" s="11" t="n">
        <v>0.01</v>
      </c>
      <c r="G19" s="11" t="n">
        <v>0.6</v>
      </c>
      <c r="L19" s="11" t="n">
        <v>6.04</v>
      </c>
      <c r="P19" s="11" t="n">
        <v>29.59</v>
      </c>
      <c r="Q19" s="11" t="n">
        <v>28.3</v>
      </c>
      <c r="R19" s="11" t="n">
        <v>32.7</v>
      </c>
      <c r="S19" s="11" t="n">
        <v>12.17</v>
      </c>
      <c r="T19" s="11" t="n">
        <v>16.79</v>
      </c>
      <c r="U19" s="11" t="n">
        <v>7.6</v>
      </c>
      <c r="V19" s="11" t="n">
        <v>6.43</v>
      </c>
      <c r="W19" s="11" t="n">
        <v>37.84</v>
      </c>
      <c r="X19" s="11" t="n">
        <v>34.52</v>
      </c>
      <c r="Y19" s="11" t="n">
        <v>2.19</v>
      </c>
      <c r="Z19" s="11" t="n">
        <v>0.27</v>
      </c>
      <c r="AB19" s="11" t="n">
        <v>6.04</v>
      </c>
      <c r="AC19" s="11" t="n">
        <v>29.59</v>
      </c>
      <c r="AD19" s="11" t="n">
        <v>16.79</v>
      </c>
    </row>
    <row r="20">
      <c r="A20" s="10" t="inlineStr">
        <is>
          <t>기타(순액)</t>
        </is>
      </c>
      <c r="C20" s="11" t="n">
        <v>0.12</v>
      </c>
      <c r="D20" s="11" t="n">
        <v>38.52</v>
      </c>
      <c r="E20" s="11" t="n">
        <v>0.1</v>
      </c>
      <c r="F20" s="11" t="n">
        <v>0.09</v>
      </c>
      <c r="G20" s="11" t="n">
        <v>0.08</v>
      </c>
      <c r="H20" s="11" t="n">
        <v>1.52</v>
      </c>
      <c r="I20" s="11" t="n">
        <v>1.52</v>
      </c>
      <c r="J20" s="11" t="n">
        <v>1.61</v>
      </c>
      <c r="K20" s="11" t="n">
        <v>2.04</v>
      </c>
      <c r="L20" s="11" t="n">
        <v>1.38</v>
      </c>
      <c r="M20" s="11" t="n">
        <v>14.98</v>
      </c>
      <c r="N20" s="11" t="n">
        <v>19.23</v>
      </c>
      <c r="O20" s="11" t="n">
        <v>20.49</v>
      </c>
      <c r="P20" s="11" t="n">
        <v>12.46</v>
      </c>
      <c r="Q20" s="11" t="n">
        <v>15.13</v>
      </c>
      <c r="R20" s="11" t="n">
        <v>15.35</v>
      </c>
      <c r="S20" s="11" t="n">
        <v>20.59</v>
      </c>
      <c r="T20" s="11" t="n">
        <v>17.42</v>
      </c>
      <c r="U20" s="11" t="n">
        <v>23.44</v>
      </c>
      <c r="V20" s="11" t="n">
        <v>23.57</v>
      </c>
      <c r="W20" s="11" t="n">
        <v>0.16</v>
      </c>
      <c r="X20" s="11" t="n">
        <v>0.17</v>
      </c>
      <c r="Y20" s="11" t="n">
        <v>0.18</v>
      </c>
      <c r="Z20" s="11" t="n">
        <v>38.52</v>
      </c>
      <c r="AA20" s="11" t="n">
        <v>1.52</v>
      </c>
      <c r="AB20" s="11" t="n">
        <v>1.38</v>
      </c>
      <c r="AC20" s="11" t="n">
        <v>12.46</v>
      </c>
      <c r="AD20" s="11" t="n">
        <v>17.42</v>
      </c>
    </row>
    <row r="21">
      <c r="A21" s="10" t="inlineStr">
        <is>
          <t>유형자산 합계</t>
        </is>
      </c>
      <c r="C21" s="11" t="n">
        <v>355.58</v>
      </c>
      <c r="D21" s="11" t="n">
        <v>355.64</v>
      </c>
      <c r="E21" s="11" t="n">
        <v>351.37</v>
      </c>
      <c r="F21" s="11" t="n">
        <v>349.4</v>
      </c>
      <c r="G21" s="11" t="n">
        <v>339.95</v>
      </c>
      <c r="H21" s="11" t="n">
        <v>237.65</v>
      </c>
      <c r="I21" s="11" t="n">
        <v>236.18</v>
      </c>
      <c r="J21" s="11" t="n">
        <v>233.84</v>
      </c>
      <c r="K21" s="11" t="n">
        <v>234.83</v>
      </c>
      <c r="L21" s="11" t="n">
        <v>244.14</v>
      </c>
      <c r="M21" s="11" t="n">
        <v>282.42</v>
      </c>
      <c r="N21" s="11" t="n">
        <v>332.76</v>
      </c>
      <c r="O21" s="11" t="n">
        <v>363.78</v>
      </c>
      <c r="P21" s="11" t="n">
        <v>518.7</v>
      </c>
      <c r="Q21" s="11" t="n">
        <v>520.41</v>
      </c>
      <c r="R21" s="11" t="n">
        <v>570.46</v>
      </c>
      <c r="S21" s="11" t="n">
        <v>625.14</v>
      </c>
      <c r="T21" s="11" t="n">
        <v>598.26</v>
      </c>
      <c r="U21" s="11" t="n">
        <v>656.6</v>
      </c>
      <c r="V21" s="11" t="n">
        <v>665.1900000000001</v>
      </c>
      <c r="W21" s="11" t="n">
        <v>249.59</v>
      </c>
      <c r="X21" s="11" t="n">
        <v>390.49</v>
      </c>
      <c r="Y21" s="11" t="n">
        <v>387.35</v>
      </c>
      <c r="Z21" s="11" t="n">
        <v>355.64</v>
      </c>
      <c r="AA21" s="11" t="n">
        <v>237.65</v>
      </c>
      <c r="AB21" s="11" t="n">
        <v>244.14</v>
      </c>
      <c r="AC21" s="11" t="n">
        <v>518.7</v>
      </c>
      <c r="AD21" s="11" t="n">
        <v>598.26</v>
      </c>
    </row>
    <row r="22">
      <c r="A22" s="10" t="inlineStr">
        <is>
          <t>상표권</t>
        </is>
      </c>
      <c r="L22" s="11" t="n">
        <v>0</v>
      </c>
      <c r="P22" s="11" t="n">
        <v>55.71</v>
      </c>
      <c r="Q22" s="11" t="n">
        <v>55.05</v>
      </c>
      <c r="R22" s="11" t="n">
        <v>54.12</v>
      </c>
      <c r="S22" s="11" t="n">
        <v>53.24</v>
      </c>
      <c r="T22" s="11" t="n">
        <v>52.31</v>
      </c>
      <c r="U22" s="11" t="n">
        <v>51.32</v>
      </c>
      <c r="V22" s="11" t="n">
        <v>50.38</v>
      </c>
      <c r="AB22" s="11" t="n">
        <v>0</v>
      </c>
      <c r="AC22" s="11" t="n">
        <v>55.71</v>
      </c>
      <c r="AD22" s="11" t="n">
        <v>52.31</v>
      </c>
    </row>
    <row r="23">
      <c r="A23" s="10" t="inlineStr">
        <is>
          <t>영업권</t>
        </is>
      </c>
      <c r="C23" s="11" t="n">
        <v>353.51</v>
      </c>
      <c r="D23" s="11" t="n">
        <v>348.17</v>
      </c>
      <c r="E23" s="11" t="n">
        <v>342.82</v>
      </c>
      <c r="F23" s="11" t="n">
        <v>337.47</v>
      </c>
      <c r="G23" s="11" t="n">
        <v>303.91</v>
      </c>
      <c r="H23" s="11" t="n">
        <v>0.9</v>
      </c>
      <c r="I23" s="11" t="n">
        <v>0.87</v>
      </c>
      <c r="J23" s="11" t="n">
        <v>0.83</v>
      </c>
      <c r="K23" s="11" t="n">
        <v>0.8</v>
      </c>
      <c r="L23" s="11" t="n">
        <v>0.76</v>
      </c>
      <c r="M23" s="11" t="n">
        <v>0.73</v>
      </c>
      <c r="N23" s="11" t="n">
        <v>1.74</v>
      </c>
      <c r="O23" s="11" t="n">
        <v>1.72</v>
      </c>
      <c r="P23" s="11" t="n">
        <v>57.49</v>
      </c>
      <c r="Q23" s="11" t="n">
        <v>59.15</v>
      </c>
      <c r="R23" s="11" t="n">
        <v>57.45</v>
      </c>
      <c r="S23" s="11" t="n">
        <v>59.44</v>
      </c>
      <c r="T23" s="11" t="n">
        <v>59.92</v>
      </c>
      <c r="U23" s="11" t="n">
        <v>62.73</v>
      </c>
      <c r="V23" s="11" t="n">
        <v>66.81999999999999</v>
      </c>
      <c r="W23" s="11" t="n">
        <v>1.12</v>
      </c>
      <c r="X23" s="11" t="n">
        <v>392.9</v>
      </c>
      <c r="Y23" s="11" t="n">
        <v>371.02</v>
      </c>
      <c r="Z23" s="11" t="n">
        <v>348.17</v>
      </c>
      <c r="AA23" s="11" t="n">
        <v>0.9</v>
      </c>
      <c r="AB23" s="11" t="n">
        <v>0.76</v>
      </c>
      <c r="AC23" s="11" t="n">
        <v>57.49</v>
      </c>
      <c r="AD23" s="11" t="n">
        <v>59.92</v>
      </c>
    </row>
    <row r="24">
      <c r="A24" s="10" t="inlineStr">
        <is>
          <t>고객관계자산</t>
        </is>
      </c>
      <c r="D24" s="11" t="n">
        <v>28.9</v>
      </c>
      <c r="H24" s="11" t="n">
        <v>1.93</v>
      </c>
      <c r="L24" s="11" t="n">
        <v>1.7</v>
      </c>
      <c r="P24" s="11" t="n">
        <v>4.12</v>
      </c>
      <c r="T24" s="11" t="n">
        <v>4.47</v>
      </c>
      <c r="W24" s="11" t="n">
        <v>0</v>
      </c>
      <c r="X24" s="11" t="n">
        <v>54.98</v>
      </c>
      <c r="Y24" s="11" t="n">
        <v>49.45</v>
      </c>
      <c r="Z24" s="11" t="n">
        <v>28.9</v>
      </c>
      <c r="AA24" s="11" t="n">
        <v>1.93</v>
      </c>
      <c r="AB24" s="11" t="n">
        <v>1.7</v>
      </c>
      <c r="AC24" s="11" t="n">
        <v>4.12</v>
      </c>
      <c r="AD24" s="11" t="n">
        <v>4.47</v>
      </c>
    </row>
    <row r="25">
      <c r="A25" s="10" t="inlineStr">
        <is>
          <t>고객관계자산</t>
        </is>
      </c>
      <c r="C25" s="11" t="n">
        <v>29.82</v>
      </c>
      <c r="D25" s="11" t="n">
        <v>28.9</v>
      </c>
      <c r="E25" s="11" t="n">
        <v>27.99</v>
      </c>
      <c r="F25" s="11" t="n">
        <v>27.08</v>
      </c>
      <c r="G25" s="11" t="n">
        <v>26.17</v>
      </c>
      <c r="H25" s="11" t="n">
        <v>1.93</v>
      </c>
      <c r="I25" s="11" t="n">
        <v>1.87</v>
      </c>
      <c r="J25" s="11" t="n">
        <v>1.82</v>
      </c>
      <c r="K25" s="11" t="n">
        <v>1.76</v>
      </c>
      <c r="L25" s="11" t="n">
        <v>1.7</v>
      </c>
      <c r="M25" s="11" t="n">
        <v>1.65</v>
      </c>
      <c r="O25" s="11" t="n">
        <v>1.53</v>
      </c>
      <c r="P25" s="11" t="n">
        <v>4.12</v>
      </c>
      <c r="Q25" s="11" t="n">
        <v>3.12</v>
      </c>
      <c r="S25" s="11" t="n">
        <v>4.6</v>
      </c>
      <c r="T25" s="11" t="n">
        <v>4.47</v>
      </c>
      <c r="U25" s="11" t="n">
        <v>4.34</v>
      </c>
      <c r="X25" s="11" t="n">
        <v>54.98</v>
      </c>
      <c r="Y25" s="11" t="n">
        <v>49.45</v>
      </c>
      <c r="Z25" s="11" t="n">
        <v>28.9</v>
      </c>
      <c r="AA25" s="11" t="n">
        <v>1.93</v>
      </c>
      <c r="AB25" s="11" t="n">
        <v>1.7</v>
      </c>
      <c r="AC25" s="11" t="n">
        <v>4.12</v>
      </c>
      <c r="AD25" s="11" t="n">
        <v>4.47</v>
      </c>
    </row>
    <row r="26">
      <c r="A26" s="10" t="inlineStr">
        <is>
          <t>고객관계자산</t>
        </is>
      </c>
      <c r="L26" s="11" t="n">
        <v>1.7</v>
      </c>
      <c r="N26" s="11" t="n">
        <v>1.59</v>
      </c>
      <c r="P26" s="11" t="n">
        <v>4.12</v>
      </c>
      <c r="R26" s="11" t="n">
        <v>3.92</v>
      </c>
      <c r="T26" s="11" t="n">
        <v>4.47</v>
      </c>
      <c r="V26" s="11" t="n">
        <v>4.21</v>
      </c>
      <c r="AB26" s="11" t="n">
        <v>1.7</v>
      </c>
      <c r="AC26" s="11" t="n">
        <v>4.12</v>
      </c>
      <c r="AD26" s="11" t="n">
        <v>4.47</v>
      </c>
    </row>
    <row r="27">
      <c r="A27" s="10" t="inlineStr">
        <is>
          <t>기타</t>
        </is>
      </c>
      <c r="C27" s="11" t="n">
        <v>1.18</v>
      </c>
      <c r="D27" s="11" t="n">
        <v>1.75</v>
      </c>
      <c r="E27" s="11" t="n">
        <v>2.16</v>
      </c>
      <c r="F27" s="11" t="n">
        <v>3.34</v>
      </c>
      <c r="G27" s="11" t="n">
        <v>4.24</v>
      </c>
      <c r="H27" s="11" t="n">
        <v>4.99</v>
      </c>
      <c r="I27" s="11" t="n">
        <v>5.85</v>
      </c>
      <c r="J27" s="11" t="n">
        <v>5.62</v>
      </c>
      <c r="K27" s="11" t="n">
        <v>5.72</v>
      </c>
      <c r="L27" s="11" t="n">
        <v>5.89</v>
      </c>
      <c r="M27" s="11" t="n">
        <v>6.97</v>
      </c>
      <c r="N27" s="11" t="n">
        <v>10.22</v>
      </c>
      <c r="O27" s="11" t="n">
        <v>10.34</v>
      </c>
      <c r="P27" s="11" t="n">
        <v>11.64</v>
      </c>
      <c r="Q27" s="11" t="n">
        <v>12.11</v>
      </c>
      <c r="R27" s="11" t="n">
        <v>12.03</v>
      </c>
      <c r="S27" s="11" t="n">
        <v>13.37</v>
      </c>
      <c r="T27" s="11" t="n">
        <v>12.66</v>
      </c>
      <c r="U27" s="11" t="n">
        <v>12.26</v>
      </c>
      <c r="V27" s="11" t="n">
        <v>12.78</v>
      </c>
      <c r="W27" s="11" t="n">
        <v>1.42</v>
      </c>
      <c r="X27" s="11" t="n">
        <v>1.72</v>
      </c>
      <c r="Y27" s="11" t="n">
        <v>1.48</v>
      </c>
      <c r="Z27" s="11" t="n">
        <v>1.75</v>
      </c>
      <c r="AA27" s="11" t="n">
        <v>4.99</v>
      </c>
      <c r="AB27" s="11" t="n">
        <v>5.89</v>
      </c>
      <c r="AC27" s="11" t="n">
        <v>11.64</v>
      </c>
      <c r="AD27" s="11" t="n">
        <v>12.66</v>
      </c>
    </row>
    <row r="28">
      <c r="A28" s="10" t="inlineStr">
        <is>
          <t>무형자산 합계</t>
        </is>
      </c>
      <c r="C28" s="11" t="n">
        <v>384.52</v>
      </c>
      <c r="D28" s="11" t="n">
        <v>378.83</v>
      </c>
      <c r="E28" s="11" t="n">
        <v>372.99</v>
      </c>
      <c r="F28" s="11" t="n">
        <v>367.91</v>
      </c>
      <c r="G28" s="11" t="n">
        <v>334.33</v>
      </c>
      <c r="H28" s="11" t="n">
        <v>7.83</v>
      </c>
      <c r="I28" s="11" t="n">
        <v>8.6</v>
      </c>
      <c r="J28" s="11" t="n">
        <v>8.279999999999999</v>
      </c>
      <c r="K28" s="11" t="n">
        <v>8.279999999999999</v>
      </c>
      <c r="L28" s="11" t="n">
        <v>8.359999999999999</v>
      </c>
      <c r="M28" s="11" t="n">
        <v>9.35</v>
      </c>
      <c r="N28" s="11" t="n">
        <v>13.56</v>
      </c>
      <c r="O28" s="11" t="n">
        <v>13.6</v>
      </c>
      <c r="P28" s="11" t="n">
        <v>128.97</v>
      </c>
      <c r="Q28" s="11" t="n">
        <v>129.45</v>
      </c>
      <c r="R28" s="11" t="n">
        <v>127.53</v>
      </c>
      <c r="S28" s="11" t="n">
        <v>130.68</v>
      </c>
      <c r="T28" s="11" t="n">
        <v>129.37</v>
      </c>
      <c r="U28" s="11" t="n">
        <v>130.67</v>
      </c>
      <c r="V28" s="11" t="n">
        <v>134.21</v>
      </c>
      <c r="W28" s="11" t="n">
        <v>2.54</v>
      </c>
      <c r="X28" s="11" t="n">
        <v>449.6</v>
      </c>
      <c r="Y28" s="11" t="n">
        <v>421.96</v>
      </c>
      <c r="Z28" s="11" t="n">
        <v>378.83</v>
      </c>
      <c r="AA28" s="11" t="n">
        <v>7.83</v>
      </c>
      <c r="AB28" s="11" t="n">
        <v>8.359999999999999</v>
      </c>
      <c r="AC28" s="11" t="n">
        <v>128.97</v>
      </c>
      <c r="AD28" s="11" t="n">
        <v>129.37</v>
      </c>
    </row>
    <row r="29">
      <c r="A29" s="10" t="inlineStr">
        <is>
          <t>투자유가증권</t>
        </is>
      </c>
      <c r="C29" s="11" t="n">
        <v>12.46</v>
      </c>
      <c r="D29" s="11" t="n">
        <v>12.45</v>
      </c>
      <c r="E29" s="11" t="n">
        <v>12.71</v>
      </c>
      <c r="F29" s="11" t="n">
        <v>12.97</v>
      </c>
      <c r="G29" s="11" t="n">
        <v>12.25</v>
      </c>
      <c r="H29" s="11" t="n">
        <v>17.16</v>
      </c>
      <c r="I29" s="11" t="n">
        <v>32.97</v>
      </c>
      <c r="J29" s="11" t="n">
        <v>36.49</v>
      </c>
      <c r="K29" s="11" t="n">
        <v>35.06</v>
      </c>
      <c r="L29" s="11" t="n">
        <v>54.14</v>
      </c>
      <c r="M29" s="11" t="n">
        <v>47.41</v>
      </c>
      <c r="N29" s="11" t="n">
        <v>80.23</v>
      </c>
      <c r="O29" s="11" t="n">
        <v>68.28</v>
      </c>
      <c r="P29" s="11" t="n">
        <v>66.18000000000001</v>
      </c>
      <c r="Q29" s="11" t="n">
        <v>71.02</v>
      </c>
      <c r="R29" s="11" t="n">
        <v>72.79000000000001</v>
      </c>
      <c r="S29" s="11" t="n">
        <v>37.7</v>
      </c>
      <c r="T29" s="11" t="n">
        <v>67.56</v>
      </c>
      <c r="U29" s="11" t="n">
        <v>70</v>
      </c>
      <c r="V29" s="11" t="n">
        <v>67.44</v>
      </c>
      <c r="W29" s="11" t="n">
        <v>9.66</v>
      </c>
      <c r="X29" s="11" t="n">
        <v>6.31</v>
      </c>
      <c r="Y29" s="11" t="n">
        <v>13.26</v>
      </c>
      <c r="Z29" s="11" t="n">
        <v>12.45</v>
      </c>
      <c r="AA29" s="11" t="n">
        <v>17.16</v>
      </c>
      <c r="AB29" s="11" t="n">
        <v>54.14</v>
      </c>
      <c r="AC29" s="11" t="n">
        <v>66.18000000000001</v>
      </c>
      <c r="AD29" s="11" t="n">
        <v>67.56</v>
      </c>
    </row>
    <row r="30">
      <c r="A30" s="10" t="inlineStr">
        <is>
          <t>장기대여금</t>
        </is>
      </c>
      <c r="W30" s="11" t="n">
        <v>3.42</v>
      </c>
    </row>
    <row r="31">
      <c r="A31" s="10" t="inlineStr">
        <is>
          <t>임차보증금·보증금</t>
        </is>
      </c>
      <c r="C31" s="11" t="n">
        <v>100.8</v>
      </c>
      <c r="D31" s="11" t="n">
        <v>100.82</v>
      </c>
      <c r="E31" s="11" t="n">
        <v>99.77</v>
      </c>
      <c r="F31" s="11" t="n">
        <v>98.91</v>
      </c>
      <c r="G31" s="11" t="n">
        <v>100.74</v>
      </c>
      <c r="H31" s="11" t="n">
        <v>58.02</v>
      </c>
      <c r="I31" s="11" t="n">
        <v>66.09999999999999</v>
      </c>
      <c r="J31" s="11" t="n">
        <v>66</v>
      </c>
      <c r="K31" s="11" t="n">
        <v>64.26000000000001</v>
      </c>
      <c r="L31" s="11" t="n">
        <v>65.95</v>
      </c>
      <c r="M31" s="11" t="n">
        <v>66.64</v>
      </c>
      <c r="N31" s="11" t="n">
        <v>81.3</v>
      </c>
      <c r="O31" s="11" t="n">
        <v>84.28</v>
      </c>
      <c r="P31" s="11" t="n">
        <v>98.38</v>
      </c>
      <c r="Q31" s="11" t="n">
        <v>114.78</v>
      </c>
      <c r="R31" s="11" t="n">
        <v>117.64</v>
      </c>
      <c r="S31" s="11" t="n">
        <v>155.55</v>
      </c>
      <c r="T31" s="11" t="n">
        <v>160.64</v>
      </c>
      <c r="U31" s="11" t="n">
        <v>169.81</v>
      </c>
      <c r="V31" s="11" t="n">
        <v>173.06</v>
      </c>
      <c r="W31" s="11" t="n">
        <v>64.16</v>
      </c>
      <c r="X31" s="11" t="n">
        <v>131.47</v>
      </c>
      <c r="Y31" s="11" t="n">
        <v>99.98</v>
      </c>
      <c r="Z31" s="11" t="n">
        <v>100.82</v>
      </c>
      <c r="AA31" s="11" t="n">
        <v>58.02</v>
      </c>
      <c r="AB31" s="11" t="n">
        <v>65.95</v>
      </c>
      <c r="AC31" s="11" t="n">
        <v>98.38</v>
      </c>
      <c r="AD31" s="11" t="n">
        <v>160.64</v>
      </c>
    </row>
    <row r="32">
      <c r="A32" s="10" t="inlineStr">
        <is>
          <t>이연법인세자산</t>
        </is>
      </c>
      <c r="W32" s="11" t="n">
        <v>4.68</v>
      </c>
      <c r="X32" s="11" t="n">
        <v>18.35</v>
      </c>
    </row>
    <row r="33">
      <c r="A33" s="10" t="inlineStr">
        <is>
          <t>이연법인세자산</t>
        </is>
      </c>
      <c r="C33" s="11" t="n">
        <v>22.92</v>
      </c>
      <c r="D33" s="11" t="n">
        <v>26.53</v>
      </c>
      <c r="E33" s="11" t="n">
        <v>23.8</v>
      </c>
      <c r="F33" s="11" t="n">
        <v>22.56</v>
      </c>
      <c r="G33" s="11" t="n">
        <v>19.85</v>
      </c>
      <c r="H33" s="11" t="n">
        <v>7.15</v>
      </c>
      <c r="I33" s="11" t="n">
        <v>38.96</v>
      </c>
      <c r="J33" s="11" t="n">
        <v>41.48</v>
      </c>
      <c r="K33" s="11" t="n">
        <v>40.61</v>
      </c>
      <c r="L33" s="11" t="n">
        <v>39.82</v>
      </c>
      <c r="M33" s="11" t="n">
        <v>45.52</v>
      </c>
      <c r="N33" s="11" t="n">
        <v>43.31</v>
      </c>
      <c r="O33" s="11" t="n">
        <v>42.01</v>
      </c>
      <c r="P33" s="11" t="n">
        <v>37.95</v>
      </c>
      <c r="Q33" s="11" t="n">
        <v>35.57</v>
      </c>
      <c r="R33" s="11" t="n">
        <v>35.37</v>
      </c>
      <c r="S33" s="11" t="n">
        <v>80.47</v>
      </c>
      <c r="T33" s="11" t="n">
        <v>54.24</v>
      </c>
      <c r="U33" s="11" t="n">
        <v>56.01</v>
      </c>
      <c r="V33" s="11" t="n">
        <v>51.47</v>
      </c>
      <c r="X33" s="11" t="n">
        <v>18.35</v>
      </c>
      <c r="Y33" s="11" t="n">
        <v>22.51</v>
      </c>
      <c r="Z33" s="11" t="n">
        <v>26.53</v>
      </c>
      <c r="AA33" s="11" t="n">
        <v>7.15</v>
      </c>
      <c r="AB33" s="11" t="n">
        <v>39.82</v>
      </c>
      <c r="AC33" s="11" t="n">
        <v>37.95</v>
      </c>
      <c r="AD33" s="11" t="n">
        <v>54.24</v>
      </c>
    </row>
    <row r="34">
      <c r="A34" s="10" t="inlineStr">
        <is>
          <t>퇴직급여자산</t>
        </is>
      </c>
      <c r="P34" s="11" t="n">
        <v>0</v>
      </c>
      <c r="T34" s="11" t="n">
        <v>0.65</v>
      </c>
      <c r="U34" s="11" t="n">
        <v>0.65</v>
      </c>
      <c r="V34" s="11" t="n">
        <v>0.65</v>
      </c>
      <c r="AC34" s="11" t="n">
        <v>0</v>
      </c>
      <c r="AD34" s="11" t="n">
        <v>0.65</v>
      </c>
    </row>
    <row r="35">
      <c r="A35" s="10" t="inlineStr">
        <is>
          <t>기타</t>
        </is>
      </c>
      <c r="C35" s="11" t="n">
        <v>10.34</v>
      </c>
      <c r="D35" s="11" t="n">
        <v>10.47</v>
      </c>
      <c r="E35" s="11" t="n">
        <v>10.3</v>
      </c>
      <c r="F35" s="11" t="n">
        <v>10.09</v>
      </c>
      <c r="G35" s="11" t="n">
        <v>10</v>
      </c>
      <c r="H35" s="11" t="n">
        <v>10.04</v>
      </c>
      <c r="I35" s="11" t="n">
        <v>9.859999999999999</v>
      </c>
      <c r="J35" s="11" t="n">
        <v>10.97</v>
      </c>
      <c r="K35" s="11" t="n">
        <v>10.82</v>
      </c>
      <c r="L35" s="11" t="n">
        <v>9.91</v>
      </c>
      <c r="M35" s="11" t="n">
        <v>9.890000000000001</v>
      </c>
      <c r="N35" s="11" t="n">
        <v>10.79</v>
      </c>
      <c r="O35" s="11" t="n">
        <v>10.18</v>
      </c>
      <c r="P35" s="11" t="n">
        <v>11.61</v>
      </c>
      <c r="Q35" s="11" t="n">
        <v>11.67</v>
      </c>
      <c r="R35" s="11" t="n">
        <v>11.83</v>
      </c>
      <c r="S35" s="11" t="n">
        <v>14.34</v>
      </c>
      <c r="T35" s="11" t="n">
        <v>14.06</v>
      </c>
      <c r="U35" s="11" t="n">
        <v>14.09</v>
      </c>
      <c r="V35" s="11" t="n">
        <v>16.95</v>
      </c>
      <c r="W35" s="11" t="n">
        <v>12.52</v>
      </c>
      <c r="X35" s="11" t="n">
        <v>10.79</v>
      </c>
      <c r="Y35" s="11" t="n">
        <v>10.64</v>
      </c>
      <c r="Z35" s="11" t="n">
        <v>10.47</v>
      </c>
      <c r="AA35" s="11" t="n">
        <v>10.04</v>
      </c>
      <c r="AB35" s="11" t="n">
        <v>9.91</v>
      </c>
      <c r="AC35" s="11" t="n">
        <v>11.61</v>
      </c>
      <c r="AD35" s="11" t="n">
        <v>14.06</v>
      </c>
    </row>
    <row r="36">
      <c r="A36" s="10" t="inlineStr">
        <is>
          <t>대손충당금</t>
        </is>
      </c>
      <c r="L36" s="11" t="n">
        <v>0</v>
      </c>
      <c r="N36" s="11" t="n">
        <v>-0.61</v>
      </c>
      <c r="O36" s="11" t="n">
        <v>-0.62</v>
      </c>
      <c r="P36" s="11" t="n">
        <v>-0.62</v>
      </c>
      <c r="Q36" s="11" t="n">
        <v>-0.73</v>
      </c>
      <c r="R36" s="11" t="n">
        <v>-0.73</v>
      </c>
      <c r="S36" s="11" t="n">
        <v>-1.18</v>
      </c>
      <c r="T36" s="11" t="n">
        <v>-0.87</v>
      </c>
      <c r="U36" s="11" t="n">
        <v>-0.82</v>
      </c>
      <c r="V36" s="11" t="n">
        <v>-0.84</v>
      </c>
      <c r="AB36" s="11" t="n">
        <v>0</v>
      </c>
      <c r="AC36" s="11" t="n">
        <v>-0.62</v>
      </c>
      <c r="AD36" s="11" t="n">
        <v>-0.87</v>
      </c>
    </row>
    <row r="37">
      <c r="A37" s="10" t="inlineStr">
        <is>
          <t>투자 및 기타자산 합계</t>
        </is>
      </c>
      <c r="C37" s="11" t="n">
        <v>146.53</v>
      </c>
      <c r="D37" s="11" t="n">
        <v>150.29</v>
      </c>
      <c r="E37" s="11" t="n">
        <v>146.6</v>
      </c>
      <c r="F37" s="11" t="n">
        <v>144.55</v>
      </c>
      <c r="G37" s="11" t="n">
        <v>142.86</v>
      </c>
      <c r="H37" s="11" t="n">
        <v>92.39</v>
      </c>
      <c r="I37" s="11" t="n">
        <v>147.91</v>
      </c>
      <c r="J37" s="11" t="n">
        <v>154.96</v>
      </c>
      <c r="K37" s="11" t="n">
        <v>150.77</v>
      </c>
      <c r="L37" s="11" t="n">
        <v>169.84</v>
      </c>
      <c r="M37" s="11" t="n">
        <v>169.47</v>
      </c>
      <c r="N37" s="11" t="n">
        <v>215.03</v>
      </c>
      <c r="O37" s="11" t="n">
        <v>204.14</v>
      </c>
      <c r="P37" s="11" t="n">
        <v>213.51</v>
      </c>
      <c r="Q37" s="11" t="n">
        <v>232.33</v>
      </c>
      <c r="R37" s="11" t="n">
        <v>236.92</v>
      </c>
      <c r="S37" s="11" t="n">
        <v>286.89</v>
      </c>
      <c r="T37" s="11" t="n">
        <v>296.29</v>
      </c>
      <c r="U37" s="11" t="n">
        <v>309.76</v>
      </c>
      <c r="V37" s="11" t="n">
        <v>308.74</v>
      </c>
      <c r="W37" s="11" t="n">
        <v>91.03</v>
      </c>
      <c r="X37" s="11" t="n">
        <v>166.94</v>
      </c>
      <c r="Y37" s="11" t="n">
        <v>146.41</v>
      </c>
      <c r="Z37" s="11" t="n">
        <v>150.29</v>
      </c>
      <c r="AA37" s="11" t="n">
        <v>92.39</v>
      </c>
      <c r="AB37" s="11" t="n">
        <v>169.84</v>
      </c>
      <c r="AC37" s="11" t="n">
        <v>213.51</v>
      </c>
      <c r="AD37" s="11" t="n">
        <v>296.29</v>
      </c>
    </row>
    <row r="38">
      <c r="A38" s="10" t="inlineStr">
        <is>
          <t>비유동자산 합계</t>
        </is>
      </c>
      <c r="C38" s="11" t="n">
        <v>886.64</v>
      </c>
      <c r="D38" s="11" t="n">
        <v>884.77</v>
      </c>
      <c r="E38" s="11" t="n">
        <v>870.96</v>
      </c>
      <c r="F38" s="11" t="n">
        <v>861.87</v>
      </c>
      <c r="G38" s="11" t="n">
        <v>817.16</v>
      </c>
      <c r="H38" s="11" t="n">
        <v>337.88</v>
      </c>
      <c r="I38" s="11" t="n">
        <v>392.69</v>
      </c>
      <c r="J38" s="11" t="n">
        <v>397.08</v>
      </c>
      <c r="K38" s="11" t="n">
        <v>393.89</v>
      </c>
      <c r="L38" s="11" t="n">
        <v>422.35</v>
      </c>
      <c r="M38" s="11" t="n">
        <v>461.26</v>
      </c>
      <c r="N38" s="11" t="n">
        <v>561.37</v>
      </c>
      <c r="O38" s="11" t="n">
        <v>581.53</v>
      </c>
      <c r="P38" s="11" t="n">
        <v>861.1900000000001</v>
      </c>
      <c r="Q38" s="11" t="n">
        <v>882.2</v>
      </c>
      <c r="R38" s="11" t="n">
        <v>934.92</v>
      </c>
      <c r="S38" s="11" t="n">
        <v>1042.71</v>
      </c>
      <c r="T38" s="11" t="n">
        <v>1023.93</v>
      </c>
      <c r="U38" s="11" t="n">
        <v>1097.05</v>
      </c>
      <c r="V38" s="11" t="n">
        <v>1108.16</v>
      </c>
      <c r="W38" s="11" t="n">
        <v>343.18</v>
      </c>
      <c r="X38" s="11" t="n">
        <v>1007.04</v>
      </c>
      <c r="Y38" s="11" t="n">
        <v>955.73</v>
      </c>
      <c r="Z38" s="11" t="n">
        <v>884.77</v>
      </c>
      <c r="AA38" s="11" t="n">
        <v>337.88</v>
      </c>
      <c r="AB38" s="11" t="n">
        <v>422.35</v>
      </c>
      <c r="AC38" s="11" t="n">
        <v>861.1900000000001</v>
      </c>
      <c r="AD38" s="11" t="n">
        <v>1023.93</v>
      </c>
    </row>
    <row r="39">
      <c r="A39" s="10" t="inlineStr">
        <is>
          <t>자산 합계</t>
        </is>
      </c>
      <c r="C39" s="11" t="n">
        <v>1072.97</v>
      </c>
      <c r="D39" s="11" t="n">
        <v>1112.8</v>
      </c>
      <c r="E39" s="11" t="n">
        <v>1066.7</v>
      </c>
      <c r="F39" s="11" t="n">
        <v>1061.06</v>
      </c>
      <c r="G39" s="11" t="n">
        <v>1014.88</v>
      </c>
      <c r="H39" s="11" t="n">
        <v>720.89</v>
      </c>
      <c r="I39" s="11" t="n">
        <v>733.91</v>
      </c>
      <c r="J39" s="11" t="n">
        <v>739.34</v>
      </c>
      <c r="K39" s="11" t="n">
        <v>741.09</v>
      </c>
      <c r="L39" s="11" t="n">
        <v>796.72</v>
      </c>
      <c r="M39" s="11" t="n">
        <v>794.58</v>
      </c>
      <c r="N39" s="11" t="n">
        <v>994.09</v>
      </c>
      <c r="O39" s="11" t="n">
        <v>997.0700000000001</v>
      </c>
      <c r="P39" s="11" t="n">
        <v>1213.94</v>
      </c>
      <c r="Q39" s="11" t="n">
        <v>1302.31</v>
      </c>
      <c r="R39" s="11" t="n">
        <v>1299.6</v>
      </c>
      <c r="S39" s="11" t="n">
        <v>1512.84</v>
      </c>
      <c r="T39" s="11" t="n">
        <v>1709.54</v>
      </c>
      <c r="U39" s="11" t="n">
        <v>1706.48</v>
      </c>
      <c r="V39" s="11" t="n">
        <v>1650.02</v>
      </c>
      <c r="W39" s="11" t="n">
        <v>510.66</v>
      </c>
      <c r="X39" s="11" t="n">
        <v>1175.51</v>
      </c>
      <c r="Y39" s="11" t="n">
        <v>1169.46</v>
      </c>
      <c r="Z39" s="11" t="n">
        <v>1112.8</v>
      </c>
      <c r="AA39" s="11" t="n">
        <v>720.89</v>
      </c>
      <c r="AB39" s="11" t="n">
        <v>796.72</v>
      </c>
      <c r="AC39" s="11" t="n">
        <v>1213.94</v>
      </c>
      <c r="AD39" s="11" t="n">
        <v>1709.54</v>
      </c>
    </row>
    <row r="40">
      <c r="A40" s="10" t="inlineStr">
        <is>
          <t>매입채무</t>
        </is>
      </c>
      <c r="C40" s="11" t="n">
        <v>8.4</v>
      </c>
      <c r="D40" s="11" t="n">
        <v>6.78</v>
      </c>
      <c r="E40" s="11" t="n">
        <v>6.6</v>
      </c>
      <c r="F40" s="11" t="n">
        <v>6.48</v>
      </c>
      <c r="G40" s="11" t="n">
        <v>7.11</v>
      </c>
      <c r="H40" s="11" t="n">
        <v>5.88</v>
      </c>
      <c r="I40" s="11" t="n">
        <v>5.16</v>
      </c>
      <c r="J40" s="11" t="n">
        <v>5.76</v>
      </c>
      <c r="K40" s="11" t="n">
        <v>8.390000000000001</v>
      </c>
      <c r="L40" s="11" t="n">
        <v>7.97</v>
      </c>
      <c r="M40" s="11" t="n">
        <v>6.98</v>
      </c>
      <c r="W40" s="11" t="n">
        <v>6.72</v>
      </c>
      <c r="X40" s="11" t="n">
        <v>9.17</v>
      </c>
      <c r="Y40" s="11" t="n">
        <v>7.06</v>
      </c>
      <c r="Z40" s="11" t="n">
        <v>6.78</v>
      </c>
      <c r="AA40" s="11" t="n">
        <v>5.88</v>
      </c>
      <c r="AB40" s="11" t="n">
        <v>7.97</v>
      </c>
    </row>
    <row r="41">
      <c r="A41" s="10" t="inlineStr">
        <is>
          <t>지급어음·매입채무</t>
        </is>
      </c>
      <c r="L41" s="11" t="n">
        <v>7.97</v>
      </c>
      <c r="N41" s="11" t="n">
        <v>56.47</v>
      </c>
      <c r="O41" s="11" t="n">
        <v>56.41</v>
      </c>
      <c r="P41" s="11" t="n">
        <v>63.2</v>
      </c>
      <c r="Q41" s="11" t="n">
        <v>68.16</v>
      </c>
      <c r="R41" s="11" t="n">
        <v>59.88</v>
      </c>
      <c r="S41" s="11" t="n">
        <v>71.75</v>
      </c>
      <c r="T41" s="11" t="n">
        <v>72.8</v>
      </c>
      <c r="U41" s="11" t="n">
        <v>68.7</v>
      </c>
      <c r="V41" s="11" t="n">
        <v>60.06</v>
      </c>
      <c r="AB41" s="11" t="n">
        <v>7.97</v>
      </c>
      <c r="AC41" s="11" t="n">
        <v>63.2</v>
      </c>
      <c r="AD41" s="11" t="n">
        <v>72.8</v>
      </c>
    </row>
    <row r="42">
      <c r="A42" s="10" t="inlineStr">
        <is>
          <t>전자기록채무</t>
        </is>
      </c>
      <c r="L42" s="11" t="n">
        <v>0</v>
      </c>
      <c r="N42" s="11" t="n">
        <v>24.26</v>
      </c>
      <c r="O42" s="11" t="n">
        <v>21.83</v>
      </c>
      <c r="P42" s="11" t="n">
        <v>24.88</v>
      </c>
      <c r="Q42" s="11" t="n">
        <v>23.9</v>
      </c>
      <c r="R42" s="11" t="n">
        <v>27.49</v>
      </c>
      <c r="S42" s="11" t="n">
        <v>25.93</v>
      </c>
      <c r="T42" s="11" t="n">
        <v>26.63</v>
      </c>
      <c r="U42" s="11" t="n">
        <v>20.81</v>
      </c>
      <c r="V42" s="11" t="n">
        <v>22.18</v>
      </c>
      <c r="AB42" s="11" t="n">
        <v>0</v>
      </c>
      <c r="AC42" s="11" t="n">
        <v>24.88</v>
      </c>
      <c r="AD42" s="11" t="n">
        <v>26.63</v>
      </c>
    </row>
    <row r="43">
      <c r="A43" s="10" t="inlineStr">
        <is>
          <t>단기차입금</t>
        </is>
      </c>
      <c r="L43" s="11" t="n">
        <v>1</v>
      </c>
      <c r="N43" s="11" t="n">
        <v>16.08</v>
      </c>
      <c r="O43" s="11" t="n">
        <v>17.95</v>
      </c>
      <c r="P43" s="11" t="n">
        <v>34.02</v>
      </c>
      <c r="Q43" s="11" t="n">
        <v>40.02</v>
      </c>
      <c r="R43" s="11" t="n">
        <v>34.56</v>
      </c>
      <c r="S43" s="11" t="n">
        <v>27.52</v>
      </c>
      <c r="T43" s="11" t="n">
        <v>27.56</v>
      </c>
      <c r="U43" s="11" t="n">
        <v>46.8</v>
      </c>
      <c r="V43" s="11" t="n">
        <v>45.26</v>
      </c>
      <c r="W43" s="11" t="n">
        <v>0</v>
      </c>
      <c r="X43" s="11" t="n">
        <v>0</v>
      </c>
      <c r="Y43" s="11" t="n">
        <v>0</v>
      </c>
      <c r="AB43" s="11" t="n">
        <v>1</v>
      </c>
      <c r="AC43" s="11" t="n">
        <v>34.02</v>
      </c>
      <c r="AD43" s="11" t="n">
        <v>27.56</v>
      </c>
    </row>
    <row r="44">
      <c r="A44" s="10" t="inlineStr">
        <is>
          <t>1년 내 상환 사채</t>
        </is>
      </c>
      <c r="C44" s="11" t="n">
        <v>11.93</v>
      </c>
      <c r="D44" s="11" t="n">
        <v>11.69</v>
      </c>
      <c r="E44" s="11" t="n">
        <v>5.66</v>
      </c>
      <c r="F44" s="11" t="n">
        <v>5.14</v>
      </c>
      <c r="G44" s="11" t="n">
        <v>5.13</v>
      </c>
      <c r="H44" s="11" t="n">
        <v>4.85</v>
      </c>
      <c r="I44" s="11" t="n">
        <v>4.59</v>
      </c>
      <c r="J44" s="11" t="n">
        <v>4.59</v>
      </c>
      <c r="K44" s="11" t="n">
        <v>3.9</v>
      </c>
      <c r="L44" s="11" t="n">
        <v>3.9</v>
      </c>
      <c r="M44" s="11" t="n">
        <v>3.45</v>
      </c>
      <c r="N44" s="11" t="n">
        <v>3.45</v>
      </c>
      <c r="O44" s="11" t="n">
        <v>3.45</v>
      </c>
      <c r="P44" s="11" t="n">
        <v>3.45</v>
      </c>
      <c r="Q44" s="11" t="n">
        <v>3.45</v>
      </c>
      <c r="R44" s="11" t="n">
        <v>3.45</v>
      </c>
      <c r="S44" s="11" t="n">
        <v>4.05</v>
      </c>
      <c r="T44" s="11" t="n">
        <v>3.6</v>
      </c>
      <c r="U44" s="11" t="n">
        <v>3.3</v>
      </c>
      <c r="V44" s="11" t="n">
        <v>3.3</v>
      </c>
      <c r="W44" s="11" t="n">
        <v>10.4</v>
      </c>
      <c r="X44" s="11" t="n">
        <v>10.15</v>
      </c>
      <c r="Y44" s="11" t="n">
        <v>8.550000000000001</v>
      </c>
      <c r="Z44" s="11" t="n">
        <v>11.69</v>
      </c>
      <c r="AA44" s="11" t="n">
        <v>4.85</v>
      </c>
      <c r="AB44" s="11" t="n">
        <v>3.9</v>
      </c>
      <c r="AC44" s="11" t="n">
        <v>3.45</v>
      </c>
      <c r="AD44" s="11" t="n">
        <v>3.6</v>
      </c>
    </row>
    <row r="45">
      <c r="A45" s="10" t="inlineStr">
        <is>
          <t>1년 내 상환 장기차입금</t>
        </is>
      </c>
      <c r="C45" s="11" t="n">
        <v>67.59</v>
      </c>
      <c r="D45" s="11" t="n">
        <v>76.38</v>
      </c>
      <c r="E45" s="11" t="n">
        <v>83.63</v>
      </c>
      <c r="F45" s="11" t="n">
        <v>87.73999999999999</v>
      </c>
      <c r="G45" s="11" t="n">
        <v>80.81</v>
      </c>
      <c r="H45" s="11" t="n">
        <v>63.71</v>
      </c>
      <c r="I45" s="11" t="n">
        <v>53.44</v>
      </c>
      <c r="J45" s="11" t="n">
        <v>50.38</v>
      </c>
      <c r="K45" s="11" t="n">
        <v>50.56</v>
      </c>
      <c r="L45" s="11" t="n">
        <v>50.78</v>
      </c>
      <c r="M45" s="11" t="n">
        <v>62.99</v>
      </c>
      <c r="N45" s="11" t="n">
        <v>70.42</v>
      </c>
      <c r="O45" s="11" t="n">
        <v>74.92</v>
      </c>
      <c r="P45" s="11" t="n">
        <v>99.64</v>
      </c>
      <c r="Q45" s="11" t="n">
        <v>101.35</v>
      </c>
      <c r="R45" s="11" t="n">
        <v>101.58</v>
      </c>
      <c r="S45" s="11" t="n">
        <v>126.01</v>
      </c>
      <c r="T45" s="11" t="n">
        <v>133.15</v>
      </c>
      <c r="U45" s="11" t="n">
        <v>131.78</v>
      </c>
      <c r="V45" s="11" t="n">
        <v>139.28</v>
      </c>
      <c r="W45" s="11" t="n">
        <v>45.4</v>
      </c>
      <c r="X45" s="11" t="n">
        <v>69.29000000000001</v>
      </c>
      <c r="Y45" s="11" t="n">
        <v>110.48</v>
      </c>
      <c r="Z45" s="11" t="n">
        <v>76.38</v>
      </c>
      <c r="AA45" s="11" t="n">
        <v>63.71</v>
      </c>
      <c r="AB45" s="11" t="n">
        <v>50.78</v>
      </c>
      <c r="AC45" s="11" t="n">
        <v>99.64</v>
      </c>
      <c r="AD45" s="11" t="n">
        <v>133.15</v>
      </c>
    </row>
    <row r="46">
      <c r="A46" s="10" t="inlineStr">
        <is>
          <t>미지급법인세</t>
        </is>
      </c>
      <c r="C46" s="11" t="n">
        <v>2.83</v>
      </c>
      <c r="D46" s="11" t="n">
        <v>6.81</v>
      </c>
      <c r="E46" s="11" t="n">
        <v>4.81</v>
      </c>
      <c r="F46" s="11" t="n">
        <v>12.63</v>
      </c>
      <c r="G46" s="11" t="n">
        <v>14.58</v>
      </c>
      <c r="H46" s="11" t="n">
        <v>11.73</v>
      </c>
      <c r="I46" s="11" t="n">
        <v>4.18</v>
      </c>
      <c r="J46" s="11" t="n">
        <v>8.56</v>
      </c>
      <c r="K46" s="11" t="n">
        <v>5.34</v>
      </c>
      <c r="L46" s="11" t="n">
        <v>3.36</v>
      </c>
      <c r="M46" s="11" t="n">
        <v>5.03</v>
      </c>
      <c r="N46" s="11" t="n">
        <v>10.73</v>
      </c>
      <c r="O46" s="11" t="n">
        <v>12.26</v>
      </c>
      <c r="P46" s="11" t="n">
        <v>23.58</v>
      </c>
      <c r="Q46" s="11" t="n">
        <v>5.52</v>
      </c>
      <c r="R46" s="11" t="n">
        <v>12.69</v>
      </c>
      <c r="S46" s="11" t="n">
        <v>9.49</v>
      </c>
      <c r="T46" s="11" t="n">
        <v>38.91</v>
      </c>
      <c r="U46" s="11" t="n">
        <v>9.52</v>
      </c>
      <c r="V46" s="11" t="n">
        <v>16.27</v>
      </c>
      <c r="W46" s="11" t="n">
        <v>6.73</v>
      </c>
      <c r="X46" s="11" t="n">
        <v>17.89</v>
      </c>
      <c r="Y46" s="11" t="n">
        <v>31.57</v>
      </c>
      <c r="Z46" s="11" t="n">
        <v>6.81</v>
      </c>
      <c r="AA46" s="11" t="n">
        <v>11.73</v>
      </c>
      <c r="AB46" s="11" t="n">
        <v>3.36</v>
      </c>
      <c r="AC46" s="11" t="n">
        <v>23.58</v>
      </c>
      <c r="AD46" s="11" t="n">
        <v>38.91</v>
      </c>
    </row>
    <row r="47">
      <c r="A47" s="10" t="inlineStr">
        <is>
          <t>계약부채</t>
        </is>
      </c>
      <c r="H47" s="11" t="n">
        <v>6.11</v>
      </c>
      <c r="L47" s="11" t="n">
        <v>8.41</v>
      </c>
      <c r="M47" s="11" t="n">
        <v>10.91</v>
      </c>
      <c r="N47" s="11" t="n">
        <v>13.49</v>
      </c>
      <c r="O47" s="11" t="n">
        <v>10.35</v>
      </c>
      <c r="P47" s="11" t="n">
        <v>22.37</v>
      </c>
      <c r="Q47" s="11" t="n">
        <v>28.17</v>
      </c>
      <c r="R47" s="11" t="n">
        <v>26.29</v>
      </c>
      <c r="S47" s="11" t="n">
        <v>47.86</v>
      </c>
      <c r="T47" s="11" t="n">
        <v>34.08</v>
      </c>
      <c r="U47" s="11" t="n">
        <v>45.95</v>
      </c>
      <c r="V47" s="11" t="n">
        <v>39.2</v>
      </c>
      <c r="AA47" s="11" t="n">
        <v>6.11</v>
      </c>
      <c r="AB47" s="11" t="n">
        <v>8.41</v>
      </c>
      <c r="AC47" s="11" t="n">
        <v>22.37</v>
      </c>
      <c r="AD47" s="11" t="n">
        <v>34.08</v>
      </c>
    </row>
    <row r="48">
      <c r="A48" s="10" t="inlineStr">
        <is>
          <t>기타</t>
        </is>
      </c>
      <c r="C48" s="11" t="n">
        <v>96.72</v>
      </c>
      <c r="D48" s="11" t="n">
        <v>99.88</v>
      </c>
      <c r="E48" s="11" t="n">
        <v>91.08</v>
      </c>
      <c r="F48" s="11" t="n">
        <v>97.51000000000001</v>
      </c>
      <c r="G48" s="11" t="n">
        <v>99.45</v>
      </c>
      <c r="H48" s="11" t="n">
        <v>32.38</v>
      </c>
      <c r="I48" s="11" t="n">
        <v>30.15</v>
      </c>
      <c r="J48" s="11" t="n">
        <v>28.99</v>
      </c>
      <c r="K48" s="11" t="n">
        <v>35.52</v>
      </c>
      <c r="L48" s="11" t="n">
        <v>30.41</v>
      </c>
      <c r="M48" s="11" t="n">
        <v>24.04</v>
      </c>
      <c r="N48" s="11" t="n">
        <v>40.17</v>
      </c>
      <c r="O48" s="11" t="n">
        <v>42.5</v>
      </c>
      <c r="P48" s="11" t="n">
        <v>56.69</v>
      </c>
      <c r="Q48" s="11" t="n">
        <v>51.68</v>
      </c>
      <c r="R48" s="11" t="n">
        <v>60.66</v>
      </c>
      <c r="S48" s="11" t="n">
        <v>84.28</v>
      </c>
      <c r="T48" s="11" t="n">
        <v>97.37</v>
      </c>
      <c r="U48" s="11" t="n">
        <v>101.29</v>
      </c>
      <c r="V48" s="11" t="n">
        <v>98.65000000000001</v>
      </c>
      <c r="W48" s="11" t="n">
        <v>23.71</v>
      </c>
      <c r="X48" s="11" t="n">
        <v>95.19</v>
      </c>
      <c r="Y48" s="11" t="n">
        <v>111.87</v>
      </c>
      <c r="Z48" s="11" t="n">
        <v>99.88</v>
      </c>
      <c r="AA48" s="11" t="n">
        <v>32.38</v>
      </c>
      <c r="AB48" s="11" t="n">
        <v>30.41</v>
      </c>
      <c r="AC48" s="11" t="n">
        <v>56.69</v>
      </c>
      <c r="AD48" s="11" t="n">
        <v>97.37</v>
      </c>
    </row>
    <row r="49">
      <c r="A49" s="10" t="inlineStr">
        <is>
          <t>유동부채 합계</t>
        </is>
      </c>
      <c r="C49" s="11" t="n">
        <v>187.49</v>
      </c>
      <c r="D49" s="11" t="n">
        <v>201.56</v>
      </c>
      <c r="E49" s="11" t="n">
        <v>191.8</v>
      </c>
      <c r="F49" s="11" t="n">
        <v>209.52</v>
      </c>
      <c r="G49" s="11" t="n">
        <v>207.1</v>
      </c>
      <c r="H49" s="11" t="n">
        <v>124.67</v>
      </c>
      <c r="I49" s="11" t="n">
        <v>97.54000000000001</v>
      </c>
      <c r="J49" s="11" t="n">
        <v>98.3</v>
      </c>
      <c r="K49" s="11" t="n">
        <v>103.72</v>
      </c>
      <c r="L49" s="11" t="n">
        <v>105.84</v>
      </c>
      <c r="M49" s="11" t="n">
        <v>113.43</v>
      </c>
      <c r="N49" s="11" t="n">
        <v>235.11</v>
      </c>
      <c r="O49" s="11" t="n">
        <v>239.71</v>
      </c>
      <c r="P49" s="11" t="n">
        <v>327.86</v>
      </c>
      <c r="Q49" s="11" t="n">
        <v>322.28</v>
      </c>
      <c r="R49" s="11" t="n">
        <v>326.64</v>
      </c>
      <c r="S49" s="11" t="n">
        <v>396.91</v>
      </c>
      <c r="T49" s="11" t="n">
        <v>434.13</v>
      </c>
      <c r="U49" s="11" t="n">
        <v>428.17</v>
      </c>
      <c r="V49" s="11" t="n">
        <v>424.24</v>
      </c>
      <c r="W49" s="11" t="n">
        <v>92.98999999999999</v>
      </c>
      <c r="X49" s="11" t="n">
        <v>201.71</v>
      </c>
      <c r="Y49" s="11" t="n">
        <v>269.55</v>
      </c>
      <c r="Z49" s="11" t="n">
        <v>201.56</v>
      </c>
      <c r="AA49" s="11" t="n">
        <v>124.67</v>
      </c>
      <c r="AB49" s="11" t="n">
        <v>105.84</v>
      </c>
      <c r="AC49" s="11" t="n">
        <v>327.86</v>
      </c>
      <c r="AD49" s="11" t="n">
        <v>434.13</v>
      </c>
    </row>
    <row r="50">
      <c r="A50" s="10" t="inlineStr">
        <is>
          <t>사채</t>
        </is>
      </c>
      <c r="C50" s="11" t="n">
        <v>26.65</v>
      </c>
      <c r="D50" s="11" t="n">
        <v>24.65</v>
      </c>
      <c r="E50" s="11" t="n">
        <v>23.94</v>
      </c>
      <c r="F50" s="11" t="n">
        <v>22.22</v>
      </c>
      <c r="G50" s="11" t="n">
        <v>21.52</v>
      </c>
      <c r="H50" s="11" t="n">
        <v>19.8</v>
      </c>
      <c r="I50" s="11" t="n">
        <v>19.35</v>
      </c>
      <c r="J50" s="11" t="n">
        <v>17.62</v>
      </c>
      <c r="K50" s="11" t="n">
        <v>17.62</v>
      </c>
      <c r="L50" s="11" t="n">
        <v>15.9</v>
      </c>
      <c r="M50" s="11" t="n">
        <v>15.9</v>
      </c>
      <c r="N50" s="11" t="n">
        <v>14.17</v>
      </c>
      <c r="O50" s="11" t="n">
        <v>14.17</v>
      </c>
      <c r="P50" s="11" t="n">
        <v>12.45</v>
      </c>
      <c r="Q50" s="11" t="n">
        <v>12.45</v>
      </c>
      <c r="R50" s="11" t="n">
        <v>10.72</v>
      </c>
      <c r="S50" s="11" t="n">
        <v>10.72</v>
      </c>
      <c r="T50" s="11" t="n">
        <v>4.5</v>
      </c>
      <c r="U50" s="11" t="n">
        <v>4.5</v>
      </c>
      <c r="V50" s="11" t="n">
        <v>3</v>
      </c>
      <c r="W50" s="11" t="n">
        <v>55.05</v>
      </c>
      <c r="X50" s="11" t="n">
        <v>44.9</v>
      </c>
      <c r="Y50" s="11" t="n">
        <v>36.34</v>
      </c>
      <c r="Z50" s="11" t="n">
        <v>24.65</v>
      </c>
      <c r="AA50" s="11" t="n">
        <v>19.8</v>
      </c>
      <c r="AB50" s="11" t="n">
        <v>15.9</v>
      </c>
      <c r="AC50" s="11" t="n">
        <v>12.45</v>
      </c>
      <c r="AD50" s="11" t="n">
        <v>4.5</v>
      </c>
    </row>
    <row r="51">
      <c r="A51" s="10" t="inlineStr">
        <is>
          <t>장기차입금</t>
        </is>
      </c>
      <c r="C51" s="11" t="n">
        <v>396.59</v>
      </c>
      <c r="D51" s="11" t="n">
        <v>420.28</v>
      </c>
      <c r="E51" s="11" t="n">
        <v>398.88</v>
      </c>
      <c r="F51" s="11" t="n">
        <v>380.71</v>
      </c>
      <c r="G51" s="11" t="n">
        <v>361.16</v>
      </c>
      <c r="H51" s="11" t="n">
        <v>235.07</v>
      </c>
      <c r="I51" s="11" t="n">
        <v>226.01</v>
      </c>
      <c r="J51" s="11" t="n">
        <v>226.66</v>
      </c>
      <c r="K51" s="11" t="n">
        <v>216.25</v>
      </c>
      <c r="L51" s="11" t="n">
        <v>258.29</v>
      </c>
      <c r="M51" s="11" t="n">
        <v>235.27</v>
      </c>
      <c r="N51" s="11" t="n">
        <v>258.59</v>
      </c>
      <c r="O51" s="11" t="n">
        <v>252.25</v>
      </c>
      <c r="P51" s="11" t="n">
        <v>358.78</v>
      </c>
      <c r="Q51" s="11" t="n">
        <v>475.79</v>
      </c>
      <c r="R51" s="11" t="n">
        <v>472.46</v>
      </c>
      <c r="S51" s="11" t="n">
        <v>551.7</v>
      </c>
      <c r="T51" s="11" t="n">
        <v>620.0599999999999</v>
      </c>
      <c r="U51" s="11" t="n">
        <v>617.51</v>
      </c>
      <c r="V51" s="11" t="n">
        <v>585.34</v>
      </c>
      <c r="W51" s="11" t="n">
        <v>248.26</v>
      </c>
      <c r="X51" s="11" t="n">
        <v>518.63</v>
      </c>
      <c r="Y51" s="11" t="n">
        <v>444.8</v>
      </c>
      <c r="Z51" s="11" t="n">
        <v>420.28</v>
      </c>
      <c r="AA51" s="11" t="n">
        <v>235.07</v>
      </c>
      <c r="AB51" s="11" t="n">
        <v>258.29</v>
      </c>
      <c r="AC51" s="11" t="n">
        <v>358.78</v>
      </c>
      <c r="AD51" s="11" t="n">
        <v>620.0599999999999</v>
      </c>
    </row>
    <row r="52">
      <c r="A52" s="10" t="inlineStr">
        <is>
          <t>이연법인세부채</t>
        </is>
      </c>
      <c r="C52" s="11" t="n">
        <v>9.35</v>
      </c>
      <c r="D52" s="11" t="n">
        <v>8.83</v>
      </c>
      <c r="E52" s="11" t="n">
        <v>8.529999999999999</v>
      </c>
      <c r="F52" s="11" t="n">
        <v>8.26</v>
      </c>
      <c r="G52" s="11" t="n">
        <v>7.98</v>
      </c>
      <c r="H52" s="11" t="n">
        <v>0.67</v>
      </c>
      <c r="I52" s="11" t="n">
        <v>0.64</v>
      </c>
      <c r="J52" s="11" t="n">
        <v>0.63</v>
      </c>
      <c r="K52" s="11" t="n">
        <v>0.61</v>
      </c>
      <c r="L52" s="11" t="n">
        <v>0.59</v>
      </c>
      <c r="M52" s="11" t="n">
        <v>0.57</v>
      </c>
      <c r="N52" s="11" t="n">
        <v>0.55</v>
      </c>
      <c r="O52" s="11" t="n">
        <v>0.53</v>
      </c>
      <c r="P52" s="11" t="n">
        <v>22.14</v>
      </c>
      <c r="Q52" s="11" t="n">
        <v>21.86</v>
      </c>
      <c r="R52" s="11" t="n">
        <v>22.06</v>
      </c>
      <c r="S52" s="11" t="n">
        <v>22.06</v>
      </c>
      <c r="T52" s="11" t="n">
        <v>8.25</v>
      </c>
      <c r="U52" s="11" t="n">
        <v>8.359999999999999</v>
      </c>
      <c r="V52" s="11" t="n">
        <v>5.16</v>
      </c>
      <c r="X52" s="11" t="n">
        <v>17.03</v>
      </c>
      <c r="Y52" s="11" t="n">
        <v>15.1</v>
      </c>
      <c r="Z52" s="11" t="n">
        <v>8.83</v>
      </c>
      <c r="AA52" s="11" t="n">
        <v>0.67</v>
      </c>
      <c r="AB52" s="11" t="n">
        <v>0.59</v>
      </c>
      <c r="AC52" s="11" t="n">
        <v>22.14</v>
      </c>
      <c r="AD52" s="11" t="n">
        <v>8.25</v>
      </c>
    </row>
    <row r="53">
      <c r="A53" s="10" t="inlineStr">
        <is>
          <t>퇴직급여부채</t>
        </is>
      </c>
      <c r="L53" s="11" t="n">
        <v>0</v>
      </c>
      <c r="N53" s="11" t="n">
        <v>1.48</v>
      </c>
      <c r="O53" s="11" t="n">
        <v>1.84</v>
      </c>
      <c r="P53" s="11" t="n">
        <v>1.86</v>
      </c>
      <c r="Q53" s="11" t="n">
        <v>1.75</v>
      </c>
      <c r="R53" s="11" t="n">
        <v>2.1</v>
      </c>
      <c r="S53" s="11" t="n">
        <v>1.69</v>
      </c>
      <c r="T53" s="11" t="n">
        <v>1.23</v>
      </c>
      <c r="U53" s="11" t="n">
        <v>0.9399999999999999</v>
      </c>
      <c r="V53" s="11" t="n">
        <v>1.11</v>
      </c>
      <c r="AB53" s="11" t="n">
        <v>0</v>
      </c>
      <c r="AC53" s="11" t="n">
        <v>1.86</v>
      </c>
      <c r="AD53" s="11" t="n">
        <v>1.23</v>
      </c>
    </row>
    <row r="54">
      <c r="A54" s="10" t="inlineStr">
        <is>
          <t>자산복구부채</t>
        </is>
      </c>
      <c r="C54" s="11" t="n">
        <v>25.25</v>
      </c>
      <c r="D54" s="11" t="n">
        <v>25.44</v>
      </c>
      <c r="E54" s="11" t="n">
        <v>25.72</v>
      </c>
      <c r="F54" s="11" t="n">
        <v>25.89</v>
      </c>
      <c r="G54" s="11" t="n">
        <v>25.82</v>
      </c>
      <c r="H54" s="11" t="n">
        <v>8.960000000000001</v>
      </c>
      <c r="I54" s="11" t="n">
        <v>9.18</v>
      </c>
      <c r="J54" s="11" t="n">
        <v>9.199999999999999</v>
      </c>
      <c r="K54" s="11" t="n">
        <v>9.41</v>
      </c>
      <c r="L54" s="11" t="n">
        <v>9.529999999999999</v>
      </c>
      <c r="M54" s="11" t="n">
        <v>9.48</v>
      </c>
      <c r="N54" s="11" t="n">
        <v>10.35</v>
      </c>
      <c r="O54" s="11" t="n">
        <v>10.33</v>
      </c>
      <c r="P54" s="11" t="n">
        <v>25.3</v>
      </c>
      <c r="Q54" s="11" t="n">
        <v>25.38</v>
      </c>
      <c r="R54" s="11" t="n">
        <v>25.48</v>
      </c>
      <c r="S54" s="11" t="n">
        <v>50.84</v>
      </c>
      <c r="T54" s="11" t="n">
        <v>56.62</v>
      </c>
      <c r="U54" s="11" t="n">
        <v>54.35</v>
      </c>
      <c r="V54" s="11" t="n">
        <v>56.42</v>
      </c>
      <c r="W54" s="11" t="n">
        <v>4.04</v>
      </c>
      <c r="X54" s="11" t="n">
        <v>20.15</v>
      </c>
      <c r="Y54" s="11" t="n">
        <v>26.28</v>
      </c>
      <c r="Z54" s="11" t="n">
        <v>25.44</v>
      </c>
      <c r="AA54" s="11" t="n">
        <v>8.960000000000001</v>
      </c>
      <c r="AB54" s="11" t="n">
        <v>9.529999999999999</v>
      </c>
      <c r="AC54" s="11" t="n">
        <v>25.3</v>
      </c>
      <c r="AD54" s="11" t="n">
        <v>56.62</v>
      </c>
    </row>
    <row r="55">
      <c r="A55" s="10" t="inlineStr">
        <is>
          <t>리스부채</t>
        </is>
      </c>
      <c r="C55" s="11" t="n">
        <v>20.29</v>
      </c>
      <c r="D55" s="11" t="n">
        <v>24.69</v>
      </c>
      <c r="E55" s="11" t="n">
        <v>23.48</v>
      </c>
      <c r="F55" s="11" t="n">
        <v>23.23</v>
      </c>
      <c r="G55" s="11" t="n">
        <v>21.6</v>
      </c>
      <c r="X55" s="11" t="n">
        <v>9.6</v>
      </c>
      <c r="Y55" s="11" t="n">
        <v>17.7</v>
      </c>
      <c r="Z55" s="11" t="n">
        <v>24.69</v>
      </c>
    </row>
    <row r="56">
      <c r="A56" s="10" t="inlineStr">
        <is>
          <t>기타</t>
        </is>
      </c>
      <c r="C56" s="11" t="n">
        <v>8.68</v>
      </c>
      <c r="D56" s="11" t="n">
        <v>34.56</v>
      </c>
      <c r="E56" s="11" t="n">
        <v>10.75</v>
      </c>
      <c r="F56" s="11" t="n">
        <v>11.11</v>
      </c>
      <c r="G56" s="11" t="n">
        <v>11.22</v>
      </c>
      <c r="H56" s="11" t="n">
        <v>3.02</v>
      </c>
      <c r="I56" s="11" t="n">
        <v>4.09</v>
      </c>
      <c r="J56" s="11" t="n">
        <v>3.97</v>
      </c>
      <c r="K56" s="11" t="n">
        <v>4.14</v>
      </c>
      <c r="L56" s="11" t="n">
        <v>4.2</v>
      </c>
      <c r="M56" s="11" t="n">
        <v>4.31</v>
      </c>
      <c r="N56" s="11" t="n">
        <v>6.03</v>
      </c>
      <c r="O56" s="11" t="n">
        <v>5.54</v>
      </c>
      <c r="P56" s="11" t="n">
        <v>10.91</v>
      </c>
      <c r="Q56" s="11" t="n">
        <v>10.66</v>
      </c>
      <c r="R56" s="11" t="n">
        <v>10.02</v>
      </c>
      <c r="S56" s="11" t="n">
        <v>12.86</v>
      </c>
      <c r="T56" s="11" t="n">
        <v>12.95</v>
      </c>
      <c r="U56" s="11" t="n">
        <v>14.46</v>
      </c>
      <c r="V56" s="11" t="n">
        <v>15.36</v>
      </c>
      <c r="W56" s="11" t="n">
        <v>2.67</v>
      </c>
      <c r="X56" s="11" t="n">
        <v>5.47</v>
      </c>
      <c r="Y56" s="11" t="n">
        <v>8.23</v>
      </c>
      <c r="Z56" s="11" t="n">
        <v>34.56</v>
      </c>
      <c r="AA56" s="11" t="n">
        <v>3.02</v>
      </c>
      <c r="AB56" s="11" t="n">
        <v>4.2</v>
      </c>
      <c r="AC56" s="11" t="n">
        <v>10.91</v>
      </c>
      <c r="AD56" s="11" t="n">
        <v>12.95</v>
      </c>
    </row>
    <row r="57">
      <c r="A57" s="10" t="inlineStr">
        <is>
          <t>비유동부채 합계</t>
        </is>
      </c>
      <c r="C57" s="11" t="n">
        <v>486.84</v>
      </c>
      <c r="D57" s="11" t="n">
        <v>513.77</v>
      </c>
      <c r="E57" s="11" t="n">
        <v>491.33</v>
      </c>
      <c r="F57" s="11" t="n">
        <v>471.43</v>
      </c>
      <c r="G57" s="11" t="n">
        <v>449.33</v>
      </c>
      <c r="H57" s="11" t="n">
        <v>267.53</v>
      </c>
      <c r="I57" s="11" t="n">
        <v>259.29</v>
      </c>
      <c r="J57" s="11" t="n">
        <v>258.09</v>
      </c>
      <c r="K57" s="11" t="n">
        <v>248.04</v>
      </c>
      <c r="L57" s="11" t="n">
        <v>288.52</v>
      </c>
      <c r="M57" s="11" t="n">
        <v>265.54</v>
      </c>
      <c r="N57" s="11" t="n">
        <v>291.19</v>
      </c>
      <c r="O57" s="11" t="n">
        <v>284.68</v>
      </c>
      <c r="P57" s="11" t="n">
        <v>431.48</v>
      </c>
      <c r="Q57" s="11" t="n">
        <v>547.91</v>
      </c>
      <c r="R57" s="11" t="n">
        <v>542.87</v>
      </c>
      <c r="S57" s="11" t="n">
        <v>649.9</v>
      </c>
      <c r="T57" s="11" t="n">
        <v>703.63</v>
      </c>
      <c r="U57" s="11" t="n">
        <v>700.14</v>
      </c>
      <c r="V57" s="11" t="n">
        <v>666.41</v>
      </c>
      <c r="W57" s="11" t="n">
        <v>310.03</v>
      </c>
      <c r="X57" s="11" t="n">
        <v>615.8099999999999</v>
      </c>
      <c r="Y57" s="11" t="n">
        <v>548.49</v>
      </c>
      <c r="Z57" s="11" t="n">
        <v>513.77</v>
      </c>
      <c r="AA57" s="11" t="n">
        <v>267.53</v>
      </c>
      <c r="AB57" s="11" t="n">
        <v>288.52</v>
      </c>
      <c r="AC57" s="11" t="n">
        <v>431.48</v>
      </c>
      <c r="AD57" s="11" t="n">
        <v>703.63</v>
      </c>
    </row>
    <row r="58">
      <c r="A58" s="10" t="inlineStr">
        <is>
          <t>부채 합계</t>
        </is>
      </c>
      <c r="C58" s="11" t="n">
        <v>674.33</v>
      </c>
      <c r="D58" s="11" t="n">
        <v>715.33</v>
      </c>
      <c r="E58" s="11" t="n">
        <v>683.13</v>
      </c>
      <c r="F58" s="11" t="n">
        <v>680.96</v>
      </c>
      <c r="G58" s="11" t="n">
        <v>656.4299999999999</v>
      </c>
      <c r="H58" s="11" t="n">
        <v>392.21</v>
      </c>
      <c r="I58" s="11" t="n">
        <v>356.84</v>
      </c>
      <c r="J58" s="11" t="n">
        <v>356.4</v>
      </c>
      <c r="K58" s="11" t="n">
        <v>351.77</v>
      </c>
      <c r="L58" s="11" t="n">
        <v>394.37</v>
      </c>
      <c r="M58" s="11" t="n">
        <v>378.97</v>
      </c>
      <c r="N58" s="11" t="n">
        <v>526.3099999999999</v>
      </c>
      <c r="O58" s="11" t="n">
        <v>524.39</v>
      </c>
      <c r="P58" s="11" t="n">
        <v>759.34</v>
      </c>
      <c r="Q58" s="11" t="n">
        <v>870.2</v>
      </c>
      <c r="R58" s="11" t="n">
        <v>869.51</v>
      </c>
      <c r="S58" s="11" t="n">
        <v>1046.81</v>
      </c>
      <c r="T58" s="11" t="n">
        <v>1137.76</v>
      </c>
      <c r="U58" s="11" t="n">
        <v>1128.32</v>
      </c>
      <c r="V58" s="11" t="n">
        <v>1090.65</v>
      </c>
      <c r="W58" s="11" t="n">
        <v>403.02</v>
      </c>
      <c r="X58" s="11" t="n">
        <v>817.52</v>
      </c>
      <c r="Y58" s="11" t="n">
        <v>818.04</v>
      </c>
      <c r="Z58" s="11" t="n">
        <v>715.33</v>
      </c>
      <c r="AA58" s="11" t="n">
        <v>392.21</v>
      </c>
      <c r="AB58" s="11" t="n">
        <v>394.37</v>
      </c>
      <c r="AC58" s="11" t="n">
        <v>759.34</v>
      </c>
      <c r="AD58" s="11" t="n">
        <v>1137.76</v>
      </c>
    </row>
    <row r="59">
      <c r="A59" s="10" t="inlineStr">
        <is>
          <t>자본금</t>
        </is>
      </c>
      <c r="C59" s="11" t="n">
        <v>162.82</v>
      </c>
      <c r="D59" s="11" t="n">
        <v>162.95</v>
      </c>
      <c r="E59" s="11" t="n">
        <v>162.95</v>
      </c>
      <c r="F59" s="11" t="n">
        <v>162.97</v>
      </c>
      <c r="G59" s="11" t="n">
        <v>162.97</v>
      </c>
      <c r="H59" s="11" t="n">
        <v>163.2</v>
      </c>
      <c r="I59" s="11" t="n">
        <v>163.34</v>
      </c>
      <c r="J59" s="11" t="n">
        <v>163.4</v>
      </c>
      <c r="K59" s="11" t="n">
        <v>163.45</v>
      </c>
      <c r="L59" s="11" t="n">
        <v>163.57</v>
      </c>
      <c r="M59" s="11" t="n">
        <v>163.57</v>
      </c>
      <c r="N59" s="11" t="n">
        <v>163.58</v>
      </c>
      <c r="O59" s="11" t="n">
        <v>163.58</v>
      </c>
      <c r="P59" s="11" t="n">
        <v>163.88</v>
      </c>
      <c r="Q59" s="11" t="n">
        <v>163.89</v>
      </c>
      <c r="R59" s="11" t="n">
        <v>163.91</v>
      </c>
      <c r="S59" s="11" t="n">
        <v>164.02</v>
      </c>
      <c r="T59" s="11" t="n">
        <v>164.29</v>
      </c>
      <c r="U59" s="11" t="n">
        <v>164.92</v>
      </c>
      <c r="V59" s="11" t="n">
        <v>165.09</v>
      </c>
      <c r="W59" s="11" t="n">
        <v>3.14</v>
      </c>
      <c r="X59" s="11" t="n">
        <v>120.52</v>
      </c>
      <c r="Y59" s="11" t="n">
        <v>124.48</v>
      </c>
      <c r="Z59" s="11" t="n">
        <v>162.95</v>
      </c>
      <c r="AA59" s="11" t="n">
        <v>163.2</v>
      </c>
      <c r="AB59" s="11" t="n">
        <v>163.57</v>
      </c>
      <c r="AC59" s="11" t="n">
        <v>163.88</v>
      </c>
      <c r="AD59" s="11" t="n">
        <v>164.29</v>
      </c>
    </row>
    <row r="60">
      <c r="A60" s="10" t="inlineStr">
        <is>
          <t>자본잉여금</t>
        </is>
      </c>
      <c r="C60" s="11" t="n">
        <v>183.01</v>
      </c>
      <c r="D60" s="11" t="n">
        <v>183.1</v>
      </c>
      <c r="E60" s="11" t="n">
        <v>183.12</v>
      </c>
      <c r="F60" s="11" t="n">
        <v>183.17</v>
      </c>
      <c r="G60" s="11" t="n">
        <v>183.22</v>
      </c>
      <c r="H60" s="11" t="n">
        <v>183.36</v>
      </c>
      <c r="I60" s="11" t="n">
        <v>183.53</v>
      </c>
      <c r="J60" s="11" t="n">
        <v>183.65</v>
      </c>
      <c r="K60" s="11" t="n">
        <v>183.77</v>
      </c>
      <c r="L60" s="11" t="n">
        <v>183.72</v>
      </c>
      <c r="M60" s="11" t="n">
        <v>183.79</v>
      </c>
      <c r="N60" s="11" t="n">
        <v>183.86</v>
      </c>
      <c r="O60" s="11" t="n">
        <v>183.94</v>
      </c>
      <c r="P60" s="11" t="n">
        <v>184.03</v>
      </c>
      <c r="Q60" s="11" t="n">
        <v>184.13</v>
      </c>
      <c r="R60" s="11" t="n">
        <v>184.32</v>
      </c>
      <c r="S60" s="11" t="n">
        <v>184.53</v>
      </c>
      <c r="T60" s="11" t="n">
        <v>184.56</v>
      </c>
      <c r="U60" s="11" t="n">
        <v>185.28</v>
      </c>
      <c r="V60" s="11" t="n">
        <v>186.51</v>
      </c>
      <c r="W60" s="11" t="n">
        <v>23.29</v>
      </c>
      <c r="X60" s="11" t="n">
        <v>140.67</v>
      </c>
      <c r="Y60" s="11" t="n">
        <v>144.66</v>
      </c>
      <c r="Z60" s="11" t="n">
        <v>183.1</v>
      </c>
      <c r="AA60" s="11" t="n">
        <v>183.36</v>
      </c>
      <c r="AB60" s="11" t="n">
        <v>183.72</v>
      </c>
      <c r="AC60" s="11" t="n">
        <v>184.03</v>
      </c>
      <c r="AD60" s="11" t="n">
        <v>184.56</v>
      </c>
    </row>
    <row r="61">
      <c r="A61" s="10" t="inlineStr">
        <is>
          <t>이익잉여금</t>
        </is>
      </c>
      <c r="C61" s="11" t="n">
        <v>31.89</v>
      </c>
      <c r="D61" s="11" t="n">
        <v>29.17</v>
      </c>
      <c r="E61" s="11" t="n">
        <v>33.1</v>
      </c>
      <c r="F61" s="11" t="n">
        <v>28.14</v>
      </c>
      <c r="G61" s="11" t="n">
        <v>6.9</v>
      </c>
      <c r="H61" s="11" t="n">
        <v>-20.19</v>
      </c>
      <c r="I61" s="11" t="n">
        <v>26.09</v>
      </c>
      <c r="J61" s="11" t="n">
        <v>33.48</v>
      </c>
      <c r="K61" s="11" t="n">
        <v>41.25</v>
      </c>
      <c r="L61" s="11" t="n">
        <v>53.02</v>
      </c>
      <c r="M61" s="11" t="n">
        <v>68.3</v>
      </c>
      <c r="N61" s="11" t="n">
        <v>77.23999999999999</v>
      </c>
      <c r="O61" s="11" t="n">
        <v>86.17</v>
      </c>
      <c r="P61" s="11" t="n">
        <v>90.91</v>
      </c>
      <c r="Q61" s="11" t="n">
        <v>101.71</v>
      </c>
      <c r="R61" s="11" t="n">
        <v>107.14</v>
      </c>
      <c r="S61" s="11" t="n">
        <v>121.89</v>
      </c>
      <c r="T61" s="11" t="n">
        <v>214.48</v>
      </c>
      <c r="U61" s="11" t="n">
        <v>226.43</v>
      </c>
      <c r="V61" s="11" t="n">
        <v>239.05</v>
      </c>
      <c r="W61" s="11" t="n">
        <v>78.92</v>
      </c>
      <c r="X61" s="11" t="n">
        <v>96.31</v>
      </c>
      <c r="Y61" s="11" t="n">
        <v>61.28</v>
      </c>
      <c r="Z61" s="11" t="n">
        <v>29.17</v>
      </c>
      <c r="AA61" s="11" t="n">
        <v>-20.19</v>
      </c>
      <c r="AB61" s="11" t="n">
        <v>53.02</v>
      </c>
      <c r="AC61" s="11" t="n">
        <v>90.91</v>
      </c>
      <c r="AD61" s="11" t="n">
        <v>214.48</v>
      </c>
    </row>
    <row r="62">
      <c r="A62" s="10" t="inlineStr">
        <is>
          <t>자기주식</t>
        </is>
      </c>
      <c r="C62" s="11" t="n">
        <v>-0.17</v>
      </c>
      <c r="D62" s="11" t="n">
        <v>-0.17</v>
      </c>
      <c r="E62" s="11" t="n">
        <v>-0.17</v>
      </c>
      <c r="F62" s="11" t="n">
        <v>-0.18</v>
      </c>
      <c r="G62" s="11" t="n">
        <v>-0.18</v>
      </c>
      <c r="H62" s="11" t="n">
        <v>-0.18</v>
      </c>
      <c r="I62" s="11" t="n">
        <v>-0.18</v>
      </c>
      <c r="J62" s="11" t="n">
        <v>-0.18</v>
      </c>
      <c r="K62" s="11" t="n">
        <v>-0.18</v>
      </c>
      <c r="L62" s="11" t="n">
        <v>-0.18</v>
      </c>
      <c r="M62" s="11" t="n">
        <v>-0.18</v>
      </c>
      <c r="N62" s="11" t="n">
        <v>-0.18</v>
      </c>
      <c r="O62" s="11" t="n">
        <v>-0.18</v>
      </c>
      <c r="P62" s="11" t="n">
        <v>-28.88</v>
      </c>
      <c r="Q62" s="11" t="n">
        <v>-60.86</v>
      </c>
      <c r="R62" s="11" t="n">
        <v>-69.37</v>
      </c>
      <c r="S62" s="11" t="n">
        <v>-69.37</v>
      </c>
      <c r="T62" s="11" t="n">
        <v>-69.37</v>
      </c>
      <c r="U62" s="11" t="n">
        <v>-69.37</v>
      </c>
      <c r="V62" s="11" t="n">
        <v>-104.37</v>
      </c>
      <c r="W62" s="11" t="n">
        <v>-0.17</v>
      </c>
      <c r="X62" s="11" t="n">
        <v>-0.17</v>
      </c>
      <c r="Y62" s="11" t="n">
        <v>-0.17</v>
      </c>
      <c r="Z62" s="11" t="n">
        <v>-0.17</v>
      </c>
      <c r="AA62" s="11" t="n">
        <v>-0.18</v>
      </c>
      <c r="AB62" s="11" t="n">
        <v>-0.18</v>
      </c>
      <c r="AC62" s="11" t="n">
        <v>-28.88</v>
      </c>
      <c r="AD62" s="11" t="n">
        <v>-69.37</v>
      </c>
    </row>
    <row r="63">
      <c r="A63" s="10" t="inlineStr">
        <is>
          <t>주주자본 합계</t>
        </is>
      </c>
      <c r="C63" s="11" t="n">
        <v>377.56</v>
      </c>
      <c r="D63" s="11" t="n">
        <v>375.05</v>
      </c>
      <c r="E63" s="11" t="n">
        <v>379.01</v>
      </c>
      <c r="F63" s="11" t="n">
        <v>374.1</v>
      </c>
      <c r="G63" s="11" t="n">
        <v>352.92</v>
      </c>
      <c r="H63" s="11" t="n">
        <v>326.2</v>
      </c>
      <c r="I63" s="11" t="n">
        <v>372.78</v>
      </c>
      <c r="J63" s="11" t="n">
        <v>380.35</v>
      </c>
      <c r="K63" s="11" t="n">
        <v>388.3</v>
      </c>
      <c r="L63" s="11" t="n">
        <v>400.14</v>
      </c>
      <c r="M63" s="11" t="n">
        <v>415.49</v>
      </c>
      <c r="N63" s="11" t="n">
        <v>424.51</v>
      </c>
      <c r="O63" s="11" t="n">
        <v>433.52</v>
      </c>
      <c r="P63" s="11" t="n">
        <v>409.94</v>
      </c>
      <c r="Q63" s="11" t="n">
        <v>388.87</v>
      </c>
      <c r="R63" s="11" t="n">
        <v>386.01</v>
      </c>
      <c r="S63" s="11" t="n">
        <v>401.07</v>
      </c>
      <c r="T63" s="11" t="n">
        <v>493.97</v>
      </c>
      <c r="U63" s="11" t="n">
        <v>507.25</v>
      </c>
      <c r="V63" s="11" t="n">
        <v>486.28</v>
      </c>
      <c r="W63" s="11" t="n">
        <v>105.18</v>
      </c>
      <c r="X63" s="11" t="n">
        <v>357.34</v>
      </c>
      <c r="Y63" s="11" t="n">
        <v>330.25</v>
      </c>
      <c r="Z63" s="11" t="n">
        <v>375.05</v>
      </c>
      <c r="AA63" s="11" t="n">
        <v>326.2</v>
      </c>
      <c r="AB63" s="11" t="n">
        <v>400.14</v>
      </c>
      <c r="AC63" s="11" t="n">
        <v>409.94</v>
      </c>
      <c r="AD63" s="11" t="n">
        <v>493.97</v>
      </c>
    </row>
    <row r="64">
      <c r="A64" s="10" t="inlineStr">
        <is>
          <t>기타유가증권 평가차액</t>
        </is>
      </c>
      <c r="C64" s="11" t="n">
        <v>2.21</v>
      </c>
      <c r="D64" s="11" t="n">
        <v>2.55</v>
      </c>
      <c r="E64" s="11" t="n">
        <v>2.73</v>
      </c>
      <c r="F64" s="11" t="n">
        <v>2.92</v>
      </c>
      <c r="G64" s="11" t="n">
        <v>2.42</v>
      </c>
      <c r="H64" s="11" t="n">
        <v>2.36</v>
      </c>
      <c r="I64" s="11" t="n">
        <v>4.22</v>
      </c>
      <c r="J64" s="11" t="n">
        <v>2.64</v>
      </c>
      <c r="K64" s="11" t="n">
        <v>1.1</v>
      </c>
      <c r="L64" s="11" t="n">
        <v>2.01</v>
      </c>
      <c r="M64" s="11" t="n">
        <v>-0.03</v>
      </c>
      <c r="N64" s="11" t="n">
        <v>6.71</v>
      </c>
      <c r="O64" s="11" t="n">
        <v>2.55</v>
      </c>
      <c r="P64" s="11" t="n">
        <v>4.29</v>
      </c>
      <c r="Q64" s="11" t="n">
        <v>4.99</v>
      </c>
      <c r="R64" s="11" t="n">
        <v>5.19</v>
      </c>
      <c r="S64" s="11" t="n">
        <v>5.83</v>
      </c>
      <c r="T64" s="11" t="n">
        <v>7.27</v>
      </c>
      <c r="U64" s="11" t="n">
        <v>4.42</v>
      </c>
      <c r="V64" s="11" t="n">
        <v>4.85</v>
      </c>
      <c r="W64" s="11" t="n">
        <v>1.9</v>
      </c>
      <c r="X64" s="11" t="n">
        <v>0.67</v>
      </c>
      <c r="Y64" s="11" t="n">
        <v>2.77</v>
      </c>
      <c r="Z64" s="11" t="n">
        <v>2.55</v>
      </c>
      <c r="AA64" s="11" t="n">
        <v>2.36</v>
      </c>
      <c r="AB64" s="11" t="n">
        <v>2.01</v>
      </c>
      <c r="AC64" s="11" t="n">
        <v>4.29</v>
      </c>
      <c r="AD64" s="11" t="n">
        <v>7.27</v>
      </c>
    </row>
    <row r="65">
      <c r="A65" s="10" t="inlineStr">
        <is>
          <t>이연헤지손익</t>
        </is>
      </c>
      <c r="C65" s="11" t="n">
        <v>-0.86</v>
      </c>
      <c r="D65" s="11" t="n">
        <v>-0.57</v>
      </c>
      <c r="E65" s="11" t="n">
        <v>-0.45</v>
      </c>
      <c r="F65" s="11" t="n">
        <v>-0.37</v>
      </c>
      <c r="G65" s="11" t="n">
        <v>-0.02</v>
      </c>
      <c r="H65" s="11" t="n">
        <v>-0</v>
      </c>
      <c r="I65" s="11" t="n">
        <v>-0.12</v>
      </c>
      <c r="J65" s="11" t="n">
        <v>-0.04</v>
      </c>
      <c r="K65" s="11" t="n">
        <v>-0.02</v>
      </c>
      <c r="L65" s="11" t="n">
        <v>-0.02</v>
      </c>
      <c r="M65" s="11" t="n">
        <v>0.1</v>
      </c>
      <c r="N65" s="11" t="n">
        <v>0.05</v>
      </c>
      <c r="O65" s="11" t="n">
        <v>0.1</v>
      </c>
      <c r="P65" s="11" t="n">
        <v>0.18</v>
      </c>
      <c r="Q65" s="11" t="n">
        <v>0.2</v>
      </c>
      <c r="R65" s="11" t="n">
        <v>0.22</v>
      </c>
      <c r="S65" s="11" t="n">
        <v>0.28</v>
      </c>
      <c r="T65" s="11" t="n">
        <v>0.41</v>
      </c>
      <c r="U65" s="11" t="n">
        <v>0.46</v>
      </c>
      <c r="V65" s="11" t="n">
        <v>0.53</v>
      </c>
      <c r="W65" s="11" t="n">
        <v>-0.4</v>
      </c>
      <c r="X65" s="11" t="n">
        <v>-1.78</v>
      </c>
      <c r="Y65" s="11" t="n">
        <v>-1.11</v>
      </c>
      <c r="Z65" s="11" t="n">
        <v>-0.57</v>
      </c>
      <c r="AA65" s="11" t="n">
        <v>-0</v>
      </c>
      <c r="AB65" s="11" t="n">
        <v>-0.02</v>
      </c>
      <c r="AC65" s="11" t="n">
        <v>0.18</v>
      </c>
      <c r="AD65" s="11" t="n">
        <v>0.41</v>
      </c>
    </row>
    <row r="66">
      <c r="A66" s="10" t="inlineStr">
        <is>
          <t>해외사업환산조정</t>
        </is>
      </c>
      <c r="C66" s="11" t="n">
        <v>0.8100000000000001</v>
      </c>
      <c r="D66" s="11" t="n">
        <v>1.38</v>
      </c>
      <c r="E66" s="11" t="n">
        <v>1.77</v>
      </c>
      <c r="F66" s="11" t="n">
        <v>2.86</v>
      </c>
      <c r="G66" s="11" t="n">
        <v>2.44</v>
      </c>
      <c r="H66" s="11" t="n">
        <v>-0.34</v>
      </c>
      <c r="I66" s="11" t="n">
        <v>-0.36</v>
      </c>
      <c r="J66" s="11" t="n">
        <v>-0.67</v>
      </c>
      <c r="K66" s="11" t="n">
        <v>-0.79</v>
      </c>
      <c r="L66" s="11" t="n">
        <v>-0.58</v>
      </c>
      <c r="M66" s="11" t="n">
        <v>-0.83</v>
      </c>
      <c r="N66" s="11" t="n">
        <v>-1.09</v>
      </c>
      <c r="O66" s="11" t="n">
        <v>-0.55</v>
      </c>
      <c r="P66" s="11" t="n">
        <v>-1.01</v>
      </c>
      <c r="Q66" s="11" t="n">
        <v>-0.72</v>
      </c>
      <c r="R66" s="11" t="n">
        <v>-0.57</v>
      </c>
      <c r="S66" s="11" t="n">
        <v>-0.71</v>
      </c>
      <c r="T66" s="11" t="n">
        <v>-1.02</v>
      </c>
      <c r="U66" s="11" t="n">
        <v>-1.11</v>
      </c>
      <c r="V66" s="11" t="n">
        <v>-1.21</v>
      </c>
      <c r="W66" s="11" t="n">
        <v>0.3</v>
      </c>
      <c r="X66" s="11" t="n">
        <v>0.87</v>
      </c>
      <c r="Y66" s="11" t="n">
        <v>0.28</v>
      </c>
      <c r="Z66" s="11" t="n">
        <v>1.38</v>
      </c>
      <c r="AA66" s="11" t="n">
        <v>-0.34</v>
      </c>
      <c r="AB66" s="11" t="n">
        <v>-0.58</v>
      </c>
      <c r="AC66" s="11" t="n">
        <v>-1.01</v>
      </c>
      <c r="AD66" s="11" t="n">
        <v>-1.02</v>
      </c>
    </row>
    <row r="67">
      <c r="A67" s="10" t="inlineStr">
        <is>
          <t>퇴직급여 조정누계액</t>
        </is>
      </c>
      <c r="L67" s="11" t="n">
        <v>0</v>
      </c>
      <c r="P67" s="11" t="n">
        <v>-0.01</v>
      </c>
      <c r="Q67" s="11" t="n">
        <v>-0.01</v>
      </c>
      <c r="R67" s="11" t="n">
        <v>-0.01</v>
      </c>
      <c r="S67" s="11" t="n">
        <v>-0.01</v>
      </c>
      <c r="T67" s="11" t="n">
        <v>0.38</v>
      </c>
      <c r="U67" s="11" t="n">
        <v>0.37</v>
      </c>
      <c r="V67" s="11" t="n">
        <v>0.36</v>
      </c>
      <c r="AB67" s="11" t="n">
        <v>0</v>
      </c>
      <c r="AC67" s="11" t="n">
        <v>-0.01</v>
      </c>
      <c r="AD67" s="11" t="n">
        <v>0.38</v>
      </c>
    </row>
    <row r="68">
      <c r="A68" s="10" t="inlineStr">
        <is>
          <t>기타포괄손익누계액 합계</t>
        </is>
      </c>
      <c r="C68" s="11" t="n">
        <v>2.17</v>
      </c>
      <c r="D68" s="11" t="n">
        <v>3.36</v>
      </c>
      <c r="E68" s="11" t="n">
        <v>4.04</v>
      </c>
      <c r="F68" s="11" t="n">
        <v>5.4</v>
      </c>
      <c r="G68" s="11" t="n">
        <v>4.84</v>
      </c>
      <c r="H68" s="11" t="n">
        <v>2.01</v>
      </c>
      <c r="I68" s="11" t="n">
        <v>3.73</v>
      </c>
      <c r="J68" s="11" t="n">
        <v>1.93</v>
      </c>
      <c r="K68" s="11" t="n">
        <v>0.28</v>
      </c>
      <c r="L68" s="11" t="n">
        <v>1.4</v>
      </c>
      <c r="M68" s="11" t="n">
        <v>-0.76</v>
      </c>
      <c r="N68" s="11" t="n">
        <v>5.67</v>
      </c>
      <c r="O68" s="11" t="n">
        <v>2.09</v>
      </c>
      <c r="P68" s="11" t="n">
        <v>3.44</v>
      </c>
      <c r="Q68" s="11" t="n">
        <v>4.45</v>
      </c>
      <c r="R68" s="11" t="n">
        <v>4.83</v>
      </c>
      <c r="S68" s="11" t="n">
        <v>5.39</v>
      </c>
      <c r="T68" s="11" t="n">
        <v>7.05</v>
      </c>
      <c r="U68" s="11" t="n">
        <v>4.15</v>
      </c>
      <c r="V68" s="11" t="n">
        <v>4.54</v>
      </c>
      <c r="W68" s="11" t="n">
        <v>1.8</v>
      </c>
      <c r="X68" s="11" t="n">
        <v>-0.22</v>
      </c>
      <c r="Y68" s="11" t="n">
        <v>1.94</v>
      </c>
      <c r="Z68" s="11" t="n">
        <v>3.36</v>
      </c>
      <c r="AA68" s="11" t="n">
        <v>2.01</v>
      </c>
      <c r="AB68" s="11" t="n">
        <v>1.4</v>
      </c>
      <c r="AC68" s="11" t="n">
        <v>3.44</v>
      </c>
      <c r="AD68" s="11" t="n">
        <v>7.05</v>
      </c>
    </row>
    <row r="69">
      <c r="A69" s="10" t="inlineStr">
        <is>
          <t>신주예약권</t>
        </is>
      </c>
      <c r="C69" s="11" t="n">
        <v>0.49</v>
      </c>
      <c r="D69" s="11" t="n">
        <v>0.5</v>
      </c>
      <c r="E69" s="11" t="n">
        <v>0.5</v>
      </c>
      <c r="F69" s="11" t="n">
        <v>0.57</v>
      </c>
      <c r="G69" s="11" t="n">
        <v>0.67</v>
      </c>
      <c r="H69" s="11" t="n">
        <v>0.47</v>
      </c>
      <c r="I69" s="11" t="n">
        <v>0.55</v>
      </c>
      <c r="J69" s="11" t="n">
        <v>0.64</v>
      </c>
      <c r="K69" s="11" t="n">
        <v>0.72</v>
      </c>
      <c r="L69" s="11" t="n">
        <v>0.8</v>
      </c>
      <c r="M69" s="11" t="n">
        <v>0.88</v>
      </c>
      <c r="N69" s="11" t="n">
        <v>0.89</v>
      </c>
      <c r="O69" s="11" t="n">
        <v>0.9399999999999999</v>
      </c>
      <c r="P69" s="11" t="n">
        <v>1.13</v>
      </c>
      <c r="Q69" s="11" t="n">
        <v>1.29</v>
      </c>
      <c r="R69" s="11" t="n">
        <v>1.43</v>
      </c>
      <c r="S69" s="11" t="n">
        <v>1.55</v>
      </c>
      <c r="T69" s="11" t="n">
        <v>1.66</v>
      </c>
      <c r="U69" s="11" t="n">
        <v>1.79</v>
      </c>
      <c r="V69" s="11" t="n">
        <v>1.87</v>
      </c>
      <c r="W69" s="11" t="n">
        <v>0.13</v>
      </c>
      <c r="X69" s="11" t="n">
        <v>0.19</v>
      </c>
      <c r="Y69" s="11" t="n">
        <v>0.75</v>
      </c>
      <c r="Z69" s="11" t="n">
        <v>0.5</v>
      </c>
      <c r="AA69" s="11" t="n">
        <v>0.47</v>
      </c>
      <c r="AB69" s="11" t="n">
        <v>0.8</v>
      </c>
      <c r="AC69" s="11" t="n">
        <v>1.13</v>
      </c>
      <c r="AD69" s="11" t="n">
        <v>1.66</v>
      </c>
    </row>
    <row r="70">
      <c r="A70" s="10" t="inlineStr">
        <is>
          <t>비지배지분</t>
        </is>
      </c>
      <c r="C70" s="11" t="n">
        <v>18.4</v>
      </c>
      <c r="D70" s="11" t="n">
        <v>18.54</v>
      </c>
      <c r="E70" s="11" t="n">
        <v>0</v>
      </c>
      <c r="F70" s="11" t="n">
        <v>0</v>
      </c>
      <c r="G70" s="11" t="n">
        <v>0</v>
      </c>
      <c r="H70" s="11" t="n">
        <v>0</v>
      </c>
      <c r="L70" s="11" t="n">
        <v>0</v>
      </c>
      <c r="N70" s="11" t="n">
        <v>36.69</v>
      </c>
      <c r="O70" s="11" t="n">
        <v>36.11</v>
      </c>
      <c r="P70" s="11" t="n">
        <v>40.05</v>
      </c>
      <c r="Q70" s="11" t="n">
        <v>37.48</v>
      </c>
      <c r="R70" s="11" t="n">
        <v>37.79</v>
      </c>
      <c r="S70" s="11" t="n">
        <v>58</v>
      </c>
      <c r="T70" s="11" t="n">
        <v>69.08</v>
      </c>
      <c r="U70" s="11" t="n">
        <v>64.94</v>
      </c>
      <c r="V70" s="11" t="n">
        <v>66.66</v>
      </c>
      <c r="W70" s="11" t="n">
        <v>0.5</v>
      </c>
      <c r="X70" s="11" t="n">
        <v>0.67</v>
      </c>
      <c r="Y70" s="11" t="n">
        <v>18.46</v>
      </c>
      <c r="Z70" s="11" t="n">
        <v>18.54</v>
      </c>
      <c r="AA70" s="11" t="n">
        <v>0</v>
      </c>
      <c r="AB70" s="11" t="n">
        <v>0</v>
      </c>
      <c r="AC70" s="11" t="n">
        <v>40.05</v>
      </c>
      <c r="AD70" s="11" t="n">
        <v>69.08</v>
      </c>
    </row>
    <row r="71">
      <c r="A71" s="10" t="inlineStr">
        <is>
          <t>순자산 합계</t>
        </is>
      </c>
      <c r="C71" s="11" t="n">
        <v>398.64</v>
      </c>
      <c r="D71" s="11" t="n">
        <v>397.46</v>
      </c>
      <c r="E71" s="11" t="n">
        <v>383.56</v>
      </c>
      <c r="F71" s="11" t="n">
        <v>380.09</v>
      </c>
      <c r="G71" s="11" t="n">
        <v>358.44</v>
      </c>
      <c r="H71" s="11" t="n">
        <v>328.68</v>
      </c>
      <c r="I71" s="11" t="n">
        <v>377.07</v>
      </c>
      <c r="J71" s="11" t="n">
        <v>382.93</v>
      </c>
      <c r="K71" s="11" t="n">
        <v>389.32</v>
      </c>
      <c r="L71" s="11" t="n">
        <v>402.35</v>
      </c>
      <c r="M71" s="11" t="n">
        <v>415.6</v>
      </c>
      <c r="N71" s="11" t="n">
        <v>467.78</v>
      </c>
      <c r="O71" s="11" t="n">
        <v>472.67</v>
      </c>
      <c r="P71" s="11" t="n">
        <v>454.59</v>
      </c>
      <c r="Q71" s="11" t="n">
        <v>432.1</v>
      </c>
      <c r="R71" s="11" t="n">
        <v>430.08</v>
      </c>
      <c r="S71" s="11" t="n">
        <v>466.03</v>
      </c>
      <c r="T71" s="11" t="n">
        <v>571.77</v>
      </c>
      <c r="U71" s="11" t="n">
        <v>578.16</v>
      </c>
      <c r="V71" s="11" t="n">
        <v>559.36</v>
      </c>
      <c r="W71" s="11" t="n">
        <v>107.63</v>
      </c>
      <c r="X71" s="11" t="n">
        <v>357.98</v>
      </c>
      <c r="Y71" s="11" t="n">
        <v>351.42</v>
      </c>
      <c r="Z71" s="11" t="n">
        <v>397.46</v>
      </c>
      <c r="AA71" s="11" t="n">
        <v>328.68</v>
      </c>
      <c r="AB71" s="11" t="n">
        <v>402.35</v>
      </c>
      <c r="AC71" s="11" t="n">
        <v>454.59</v>
      </c>
      <c r="AD71" s="11" t="n">
        <v>571.77</v>
      </c>
    </row>
    <row r="72">
      <c r="A72" s="10" t="inlineStr">
        <is>
          <t>부채·순자산 합계</t>
        </is>
      </c>
      <c r="C72" s="11" t="n">
        <v>1072.97</v>
      </c>
      <c r="D72" s="11" t="n">
        <v>1112.8</v>
      </c>
      <c r="E72" s="11" t="n">
        <v>1066.7</v>
      </c>
      <c r="F72" s="11" t="n">
        <v>1061.06</v>
      </c>
      <c r="G72" s="11" t="n">
        <v>1014.88</v>
      </c>
      <c r="H72" s="11" t="n">
        <v>720.89</v>
      </c>
      <c r="I72" s="11" t="n">
        <v>733.91</v>
      </c>
      <c r="J72" s="11" t="n">
        <v>739.34</v>
      </c>
      <c r="K72" s="11" t="n">
        <v>741.09</v>
      </c>
      <c r="L72" s="11" t="n">
        <v>796.72</v>
      </c>
      <c r="M72" s="11" t="n">
        <v>794.58</v>
      </c>
      <c r="N72" s="11" t="n">
        <v>994.09</v>
      </c>
      <c r="O72" s="11" t="n">
        <v>997.0700000000001</v>
      </c>
      <c r="P72" s="11" t="n">
        <v>1213.94</v>
      </c>
      <c r="Q72" s="11" t="n">
        <v>1302.31</v>
      </c>
      <c r="R72" s="11" t="n">
        <v>1299.6</v>
      </c>
      <c r="S72" s="11" t="n">
        <v>1512.84</v>
      </c>
      <c r="T72" s="11" t="n">
        <v>1709.54</v>
      </c>
      <c r="U72" s="11" t="n">
        <v>1706.48</v>
      </c>
      <c r="V72" s="11" t="n">
        <v>1650.02</v>
      </c>
      <c r="W72" s="11" t="n">
        <v>510.66</v>
      </c>
      <c r="X72" s="11" t="n">
        <v>1175.51</v>
      </c>
      <c r="Y72" s="11" t="n">
        <v>1169.46</v>
      </c>
      <c r="Z72" s="11" t="n">
        <v>1112.8</v>
      </c>
      <c r="AA72" s="11" t="n">
        <v>720.89</v>
      </c>
      <c r="AB72" s="11" t="n">
        <v>796.72</v>
      </c>
      <c r="AC72" s="11" t="n">
        <v>1213.94</v>
      </c>
      <c r="AD72" s="11" t="n">
        <v>1709.54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84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40" customWidth="1" min="31" max="31"/>
  </cols>
  <sheetData>
    <row r="1">
      <c r="A1" s="1" t="inlineStr">
        <is>
          <t>TKP 현금흐름표</t>
        </is>
      </c>
    </row>
    <row r="2">
      <c r="A2" s="2" t="inlineStr">
        <is>
          <t>결산기 기준(27.2Q = 2027년 결산기 2분기) · 2월 결산 · 연결 · 누계(그 분기까지) · 오른쪽 FY = 연간</t>
        </is>
      </c>
      <c r="B2" s="3" t="inlineStr">
        <is>
          <t>(단위: 억엔)</t>
        </is>
      </c>
    </row>
    <row r="3">
      <c r="A3" s="4" t="inlineStr">
        <is>
          <t>항목</t>
        </is>
      </c>
      <c r="B3" s="4" t="inlineStr">
        <is>
          <t>참고</t>
        </is>
      </c>
      <c r="C3" s="4" t="inlineStr">
        <is>
          <t>22.3Q</t>
        </is>
      </c>
      <c r="D3" s="4" t="inlineStr">
        <is>
          <t>22.4Q</t>
        </is>
      </c>
      <c r="E3" s="4" t="inlineStr">
        <is>
          <t>23.1Q</t>
        </is>
      </c>
      <c r="F3" s="4" t="inlineStr">
        <is>
          <t>23.2Q</t>
        </is>
      </c>
      <c r="G3" s="4" t="inlineStr">
        <is>
          <t>23.3Q</t>
        </is>
      </c>
      <c r="H3" s="4" t="inlineStr">
        <is>
          <t>23.4Q</t>
        </is>
      </c>
      <c r="I3" s="4" t="inlineStr">
        <is>
          <t>24.1Q</t>
        </is>
      </c>
      <c r="J3" s="4" t="inlineStr">
        <is>
          <t>24.2Q</t>
        </is>
      </c>
      <c r="K3" s="4" t="inlineStr">
        <is>
          <t>24.3Q</t>
        </is>
      </c>
      <c r="L3" s="4" t="inlineStr">
        <is>
          <t>24.4Q</t>
        </is>
      </c>
      <c r="M3" s="4" t="inlineStr">
        <is>
          <t>25.1Q</t>
        </is>
      </c>
      <c r="N3" s="4" t="inlineStr">
        <is>
          <t>25.2Q</t>
        </is>
      </c>
      <c r="O3" s="4" t="inlineStr">
        <is>
          <t>25.3Q</t>
        </is>
      </c>
      <c r="P3" s="4" t="inlineStr">
        <is>
          <t>25.4Q</t>
        </is>
      </c>
      <c r="Q3" s="4" t="inlineStr">
        <is>
          <t>26.1Q</t>
        </is>
      </c>
      <c r="R3" s="4" t="inlineStr">
        <is>
          <t>26.2Q</t>
        </is>
      </c>
      <c r="S3" s="4" t="inlineStr">
        <is>
          <t>26.3Q</t>
        </is>
      </c>
      <c r="T3" s="4" t="inlineStr">
        <is>
          <t>26.4Q</t>
        </is>
      </c>
      <c r="U3" s="4" t="inlineStr">
        <is>
          <t>27.1Q</t>
        </is>
      </c>
      <c r="V3" s="4" t="inlineStr">
        <is>
          <t>27.2Q</t>
        </is>
      </c>
      <c r="W3" s="4" t="inlineStr">
        <is>
          <t>FY19</t>
        </is>
      </c>
      <c r="X3" s="4" t="inlineStr">
        <is>
          <t>FY20</t>
        </is>
      </c>
      <c r="Y3" s="4" t="inlineStr">
        <is>
          <t>FY21</t>
        </is>
      </c>
      <c r="Z3" s="4" t="inlineStr">
        <is>
          <t>FY22</t>
        </is>
      </c>
      <c r="AA3" s="4" t="inlineStr">
        <is>
          <t>FY23</t>
        </is>
      </c>
      <c r="AB3" s="4" t="inlineStr">
        <is>
          <t>FY24</t>
        </is>
      </c>
      <c r="AC3" s="4" t="inlineStr">
        <is>
          <t>FY25</t>
        </is>
      </c>
      <c r="AD3" s="4" t="inlineStr">
        <is>
          <t>FY26</t>
        </is>
      </c>
      <c r="AE3" s="4" t="inlineStr">
        <is>
          <t>출처</t>
        </is>
      </c>
    </row>
    <row r="4">
      <c r="A4" s="10" t="inlineStr">
        <is>
          <t>법인세차감전 순이익</t>
        </is>
      </c>
      <c r="D4" s="11" t="n">
        <v>-34.2</v>
      </c>
      <c r="F4" s="11" t="n">
        <v>13.71</v>
      </c>
      <c r="H4" s="11" t="n">
        <v>-28.77</v>
      </c>
      <c r="J4" s="11" t="n">
        <v>29.45</v>
      </c>
      <c r="L4" s="11" t="n">
        <v>47.64</v>
      </c>
      <c r="N4" s="11" t="n">
        <v>28.64</v>
      </c>
      <c r="P4" s="11" t="n">
        <v>59.15</v>
      </c>
      <c r="R4" s="11" t="n">
        <v>28.07</v>
      </c>
      <c r="T4" s="11" t="n">
        <v>201.48</v>
      </c>
      <c r="V4" s="11" t="n">
        <v>37.14</v>
      </c>
      <c r="W4" s="11" t="n">
        <v>31.52</v>
      </c>
      <c r="X4" s="11" t="n">
        <v>42.31</v>
      </c>
      <c r="Y4" s="11" t="n">
        <v>-28.04</v>
      </c>
      <c r="Z4" s="11" t="n">
        <v>-34.2</v>
      </c>
      <c r="AA4" s="11" t="n">
        <v>-28.77</v>
      </c>
      <c r="AB4" s="11" t="n">
        <v>47.64</v>
      </c>
      <c r="AC4" s="11" t="n">
        <v>59.15</v>
      </c>
      <c r="AD4" s="11" t="n">
        <v>201.48</v>
      </c>
      <c r="AE4" s="7" t="inlineStr">
        <is>
          <t>결산단신 XBRL(거래소 공시, TDnet·JPX 보관소). 쓴 문서: 2026-10-15, 2026-07-15, 2026-04-14, 2026-01-14 외 26건 — '출처' 시트에 전부</t>
        </is>
      </c>
    </row>
    <row r="5">
      <c r="A5" s="10" t="inlineStr">
        <is>
          <t>감가상각비</t>
        </is>
      </c>
      <c r="D5" s="11" t="n">
        <v>28.64</v>
      </c>
      <c r="F5" s="11" t="n">
        <v>14.06</v>
      </c>
      <c r="H5" s="11" t="n">
        <v>28.19</v>
      </c>
      <c r="J5" s="11" t="n">
        <v>5.99</v>
      </c>
      <c r="L5" s="11" t="n">
        <v>12.41</v>
      </c>
      <c r="N5" s="11" t="n">
        <v>6.86</v>
      </c>
      <c r="P5" s="11" t="n">
        <v>17.2</v>
      </c>
      <c r="R5" s="11" t="n">
        <v>20.05</v>
      </c>
      <c r="T5" s="11" t="n">
        <v>44.13</v>
      </c>
      <c r="V5" s="11" t="n">
        <v>26.41</v>
      </c>
      <c r="W5" s="11" t="n">
        <v>8.130000000000001</v>
      </c>
      <c r="X5" s="11" t="n">
        <v>18.3</v>
      </c>
      <c r="Y5" s="11" t="n">
        <v>27.5</v>
      </c>
      <c r="Z5" s="11" t="n">
        <v>28.64</v>
      </c>
      <c r="AA5" s="11" t="n">
        <v>28.19</v>
      </c>
      <c r="AB5" s="11" t="n">
        <v>12.41</v>
      </c>
      <c r="AC5" s="11" t="n">
        <v>17.2</v>
      </c>
      <c r="AD5" s="11" t="n">
        <v>44.13</v>
      </c>
    </row>
    <row r="6">
      <c r="A6" s="10" t="inlineStr">
        <is>
          <t>고객관계자산 상각비</t>
        </is>
      </c>
      <c r="F6" s="11" t="n">
        <v>1.82</v>
      </c>
      <c r="J6" s="11" t="n">
        <v>0.11</v>
      </c>
    </row>
    <row r="7">
      <c r="A7" s="10" t="inlineStr">
        <is>
          <t>고객관계자산 상각비</t>
        </is>
      </c>
      <c r="J7" s="11" t="n">
        <v>0.11</v>
      </c>
      <c r="N7" s="11" t="n">
        <v>0.11</v>
      </c>
    </row>
    <row r="8">
      <c r="A8" s="10" t="inlineStr">
        <is>
          <t>고객관계자산 상각비</t>
        </is>
      </c>
      <c r="D8" s="11" t="n">
        <v>4.11</v>
      </c>
      <c r="H8" s="11" t="n">
        <v>3.33</v>
      </c>
      <c r="L8" s="11" t="n">
        <v>0.22</v>
      </c>
      <c r="P8" s="11" t="n">
        <v>0.27</v>
      </c>
      <c r="W8" s="11" t="n">
        <v>0</v>
      </c>
      <c r="X8" s="11" t="n">
        <v>3.83</v>
      </c>
      <c r="Y8" s="11" t="n">
        <v>5.53</v>
      </c>
      <c r="Z8" s="11" t="n">
        <v>4.11</v>
      </c>
      <c r="AA8" s="11" t="n">
        <v>3.33</v>
      </c>
      <c r="AB8" s="11" t="n">
        <v>0.22</v>
      </c>
      <c r="AC8" s="11" t="n">
        <v>0.27</v>
      </c>
    </row>
    <row r="9">
      <c r="A9" s="10" t="inlineStr">
        <is>
          <t>영업권 상각</t>
        </is>
      </c>
      <c r="D9" s="11" t="n">
        <v>21.59</v>
      </c>
      <c r="F9" s="11" t="n">
        <v>10.69</v>
      </c>
      <c r="H9" s="11" t="n">
        <v>19.42</v>
      </c>
      <c r="J9" s="11" t="n">
        <v>0.06</v>
      </c>
      <c r="L9" s="11" t="n">
        <v>0.13</v>
      </c>
      <c r="N9" s="11" t="n">
        <v>0.06</v>
      </c>
      <c r="P9" s="11" t="n">
        <v>0.15</v>
      </c>
      <c r="R9" s="11" t="n">
        <v>2.07</v>
      </c>
      <c r="T9" s="11" t="n">
        <v>4.22</v>
      </c>
      <c r="V9" s="11" t="n">
        <v>2.38</v>
      </c>
      <c r="W9" s="11" t="n">
        <v>0.32</v>
      </c>
      <c r="X9" s="11" t="n">
        <v>15.21</v>
      </c>
      <c r="Y9" s="11" t="n">
        <v>21.87</v>
      </c>
      <c r="Z9" s="11" t="n">
        <v>21.59</v>
      </c>
      <c r="AA9" s="11" t="n">
        <v>19.42</v>
      </c>
      <c r="AB9" s="11" t="n">
        <v>0.13</v>
      </c>
      <c r="AC9" s="11" t="n">
        <v>0.15</v>
      </c>
      <c r="AD9" s="11" t="n">
        <v>4.22</v>
      </c>
    </row>
    <row r="10">
      <c r="A10" s="10" t="inlineStr">
        <is>
          <t>고정자산 제각손실</t>
        </is>
      </c>
      <c r="D10" s="11" t="n">
        <v>0.03</v>
      </c>
      <c r="W10" s="11" t="n">
        <v>0.65</v>
      </c>
      <c r="X10" s="11" t="n">
        <v>0.58</v>
      </c>
      <c r="Y10" s="11" t="n">
        <v>1.91</v>
      </c>
      <c r="Z10" s="11" t="n">
        <v>0.03</v>
      </c>
    </row>
    <row r="11">
      <c r="A11" s="10" t="inlineStr">
        <is>
          <t>수입보증금 상각이익</t>
        </is>
      </c>
      <c r="F11" s="11" t="n">
        <v>-1.06</v>
      </c>
      <c r="J11" s="11" t="n">
        <v>0</v>
      </c>
    </row>
    <row r="12">
      <c r="A12" s="10" t="inlineStr">
        <is>
          <t>투자유가증권 수증이익</t>
        </is>
      </c>
      <c r="F12" s="11" t="n">
        <v>0</v>
      </c>
      <c r="J12" s="11" t="n">
        <v>-0.45</v>
      </c>
    </row>
    <row r="13">
      <c r="A13" s="10" t="inlineStr">
        <is>
          <t>투자유가증권 수증이익</t>
        </is>
      </c>
      <c r="J13" s="11" t="n">
        <v>-0.45</v>
      </c>
      <c r="N13" s="11" t="n">
        <v>0</v>
      </c>
      <c r="R13" s="11" t="n">
        <v>-0.31</v>
      </c>
      <c r="V13" s="11" t="n">
        <v>0</v>
      </c>
    </row>
    <row r="14">
      <c r="A14" s="10" t="inlineStr">
        <is>
          <t>단계적 취득 차손익</t>
        </is>
      </c>
      <c r="J14" s="11" t="n">
        <v>0</v>
      </c>
      <c r="L14" s="11" t="n">
        <v>0</v>
      </c>
      <c r="N14" s="11" t="n">
        <v>-1.69</v>
      </c>
      <c r="P14" s="11" t="n">
        <v>-0.74</v>
      </c>
      <c r="R14" s="11" t="n">
        <v>0</v>
      </c>
      <c r="T14" s="11" t="n">
        <v>-1.89</v>
      </c>
      <c r="V14" s="11" t="n">
        <v>-1.14</v>
      </c>
      <c r="AB14" s="11" t="n">
        <v>0</v>
      </c>
      <c r="AC14" s="11" t="n">
        <v>-0.74</v>
      </c>
      <c r="AD14" s="11" t="n">
        <v>-1.89</v>
      </c>
    </row>
    <row r="15">
      <c r="A15" s="10" t="inlineStr">
        <is>
          <t>투자유가증권 수증이익</t>
        </is>
      </c>
      <c r="H15" s="11" t="n">
        <v>0</v>
      </c>
      <c r="L15" s="11" t="n">
        <v>-0.79</v>
      </c>
      <c r="P15" s="11" t="n">
        <v>0</v>
      </c>
      <c r="T15" s="11" t="n">
        <v>-0.31</v>
      </c>
      <c r="AA15" s="11" t="n">
        <v>0</v>
      </c>
      <c r="AB15" s="11" t="n">
        <v>-0.79</v>
      </c>
      <c r="AC15" s="11" t="n">
        <v>0</v>
      </c>
      <c r="AD15" s="11" t="n">
        <v>-0.31</v>
      </c>
    </row>
    <row r="16">
      <c r="A16" s="10" t="inlineStr">
        <is>
          <t>사업정리 손실</t>
        </is>
      </c>
      <c r="D16" s="11" t="n">
        <v>0</v>
      </c>
      <c r="F16" s="11" t="n">
        <v>0</v>
      </c>
      <c r="H16" s="11" t="n">
        <v>31.59</v>
      </c>
      <c r="J16" s="11" t="n">
        <v>0.48</v>
      </c>
      <c r="L16" s="11" t="n">
        <v>0.04</v>
      </c>
      <c r="N16" s="11" t="n">
        <v>0</v>
      </c>
      <c r="P16" s="11" t="n">
        <v>0</v>
      </c>
      <c r="Z16" s="11" t="n">
        <v>0</v>
      </c>
      <c r="AA16" s="11" t="n">
        <v>31.59</v>
      </c>
      <c r="AB16" s="11" t="n">
        <v>0.04</v>
      </c>
      <c r="AC16" s="11" t="n">
        <v>0</v>
      </c>
    </row>
    <row r="17">
      <c r="A17" s="10" t="inlineStr">
        <is>
          <t>채권포기 손실</t>
        </is>
      </c>
      <c r="F17" s="11" t="n">
        <v>2.71</v>
      </c>
      <c r="J17" s="11" t="n">
        <v>0</v>
      </c>
    </row>
    <row r="18">
      <c r="A18" s="10" t="inlineStr">
        <is>
          <t>지분법손익</t>
        </is>
      </c>
      <c r="H18" s="11" t="n">
        <v>0</v>
      </c>
      <c r="J18" s="11" t="n">
        <v>-3.45</v>
      </c>
      <c r="L18" s="11" t="n">
        <v>-4.12</v>
      </c>
      <c r="N18" s="11" t="n">
        <v>0.45</v>
      </c>
      <c r="P18" s="11" t="n">
        <v>-0.32</v>
      </c>
      <c r="R18" s="11" t="n">
        <v>0.01</v>
      </c>
      <c r="T18" s="11" t="n">
        <v>0.88</v>
      </c>
      <c r="V18" s="11" t="n">
        <v>0.34</v>
      </c>
      <c r="AA18" s="11" t="n">
        <v>0</v>
      </c>
      <c r="AB18" s="11" t="n">
        <v>-4.12</v>
      </c>
      <c r="AC18" s="11" t="n">
        <v>-0.32</v>
      </c>
      <c r="AD18" s="11" t="n">
        <v>0.88</v>
      </c>
    </row>
    <row r="19">
      <c r="A19" s="10" t="inlineStr">
        <is>
          <t>수입보증금 상각이익</t>
        </is>
      </c>
      <c r="D19" s="11" t="n">
        <v>0</v>
      </c>
      <c r="H19" s="11" t="n">
        <v>-1.2</v>
      </c>
      <c r="L19" s="11" t="n">
        <v>0</v>
      </c>
      <c r="Z19" s="11" t="n">
        <v>0</v>
      </c>
      <c r="AA19" s="11" t="n">
        <v>-1.2</v>
      </c>
      <c r="AB19" s="11" t="n">
        <v>0</v>
      </c>
    </row>
    <row r="20">
      <c r="A20" s="10" t="inlineStr">
        <is>
          <t>손상차손</t>
        </is>
      </c>
      <c r="D20" s="11" t="n">
        <v>23.44</v>
      </c>
      <c r="F20" s="11" t="n">
        <v>0.08</v>
      </c>
      <c r="H20" s="11" t="n">
        <v>29.31</v>
      </c>
      <c r="J20" s="11" t="n">
        <v>0.29</v>
      </c>
      <c r="L20" s="11" t="n">
        <v>1.58</v>
      </c>
      <c r="N20" s="11" t="n">
        <v>0.1</v>
      </c>
      <c r="P20" s="11" t="n">
        <v>0.49</v>
      </c>
      <c r="R20" s="11" t="n">
        <v>0.23</v>
      </c>
      <c r="T20" s="11" t="n">
        <v>10.27</v>
      </c>
      <c r="V20" s="11" t="n">
        <v>7.18</v>
      </c>
      <c r="W20" s="11" t="n">
        <v>0.15</v>
      </c>
      <c r="X20" s="11" t="n">
        <v>6.63</v>
      </c>
      <c r="Y20" s="11" t="n">
        <v>7.86</v>
      </c>
      <c r="Z20" s="11" t="n">
        <v>23.44</v>
      </c>
      <c r="AA20" s="11" t="n">
        <v>29.31</v>
      </c>
      <c r="AB20" s="11" t="n">
        <v>1.58</v>
      </c>
      <c r="AC20" s="11" t="n">
        <v>0.49</v>
      </c>
      <c r="AD20" s="11" t="n">
        <v>10.27</v>
      </c>
    </row>
    <row r="21">
      <c r="A21" s="10" t="inlineStr">
        <is>
          <t>투자유가증권 평가손익</t>
        </is>
      </c>
      <c r="D21" s="11" t="n">
        <v>0.49</v>
      </c>
      <c r="H21" s="11" t="n">
        <v>0</v>
      </c>
      <c r="W21" s="11" t="n">
        <v>8.210000000000001</v>
      </c>
      <c r="X21" s="11" t="n">
        <v>2.15</v>
      </c>
      <c r="Y21" s="11" t="n">
        <v>1.8</v>
      </c>
      <c r="Z21" s="11" t="n">
        <v>0.49</v>
      </c>
      <c r="AA21" s="11" t="n">
        <v>0</v>
      </c>
    </row>
    <row r="22">
      <c r="A22" s="10" t="inlineStr">
        <is>
          <t>대손충당금 증감</t>
        </is>
      </c>
      <c r="W22" s="11" t="n">
        <v>0</v>
      </c>
      <c r="X22" s="11" t="n">
        <v>-0.29</v>
      </c>
    </row>
    <row r="23">
      <c r="A23" s="10" t="inlineStr">
        <is>
          <t>사채발행비</t>
        </is>
      </c>
      <c r="W23" s="11" t="n">
        <v>0.46</v>
      </c>
      <c r="X23" s="11" t="n">
        <v>0</v>
      </c>
    </row>
    <row r="24">
      <c r="A24" s="10" t="inlineStr">
        <is>
          <t>채권포기 손실</t>
        </is>
      </c>
      <c r="D24" s="11" t="n">
        <v>0</v>
      </c>
      <c r="H24" s="11" t="n">
        <v>2.71</v>
      </c>
      <c r="L24" s="11" t="n">
        <v>0</v>
      </c>
      <c r="Z24" s="11" t="n">
        <v>0</v>
      </c>
      <c r="AA24" s="11" t="n">
        <v>2.71</v>
      </c>
      <c r="AB24" s="11" t="n">
        <v>0</v>
      </c>
    </row>
    <row r="25">
      <c r="A25" s="10" t="inlineStr">
        <is>
          <t>투자유가증권 매각손익</t>
        </is>
      </c>
      <c r="J25" s="11" t="n">
        <v>0</v>
      </c>
      <c r="N25" s="11" t="n">
        <v>-0.83</v>
      </c>
      <c r="R25" s="11" t="n">
        <v>-0.04</v>
      </c>
      <c r="W25" s="11" t="n">
        <v>-0.15</v>
      </c>
      <c r="X25" s="11" t="n">
        <v>-3.97</v>
      </c>
      <c r="Y25" s="11" t="n">
        <v>0</v>
      </c>
    </row>
    <row r="26">
      <c r="A26" s="10" t="inlineStr">
        <is>
          <t>관계회사 주식 매각손익</t>
        </is>
      </c>
      <c r="W26" s="11" t="n">
        <v>0.13</v>
      </c>
      <c r="X26" s="11" t="n">
        <v>0</v>
      </c>
    </row>
    <row r="27">
      <c r="A27" s="10" t="inlineStr">
        <is>
          <t>투자유가증권 매각·평가손익</t>
        </is>
      </c>
      <c r="L27" s="11" t="n">
        <v>0</v>
      </c>
      <c r="P27" s="11" t="n">
        <v>-0.65</v>
      </c>
      <c r="R27" s="11" t="n">
        <v>-0.04</v>
      </c>
      <c r="T27" s="11" t="n">
        <v>-0.24</v>
      </c>
      <c r="V27" s="11" t="n">
        <v>0.27</v>
      </c>
      <c r="AB27" s="11" t="n">
        <v>0</v>
      </c>
      <c r="AC27" s="11" t="n">
        <v>-0.65</v>
      </c>
      <c r="AD27" s="11" t="n">
        <v>-0.24</v>
      </c>
    </row>
    <row r="28">
      <c r="A28" s="10" t="inlineStr">
        <is>
          <t>고정자산 매각이익</t>
        </is>
      </c>
      <c r="D28" s="11" t="n">
        <v>-3.22</v>
      </c>
      <c r="F28" s="11" t="n">
        <v>0</v>
      </c>
      <c r="H28" s="11" t="n">
        <v>-9.140000000000001</v>
      </c>
      <c r="L28" s="11" t="n">
        <v>0</v>
      </c>
      <c r="P28" s="11" t="n">
        <v>0</v>
      </c>
      <c r="T28" s="11" t="n">
        <v>-118.63</v>
      </c>
      <c r="X28" s="11" t="n">
        <v>-0.01</v>
      </c>
      <c r="Y28" s="11" t="n">
        <v>-10.54</v>
      </c>
      <c r="Z28" s="11" t="n">
        <v>-3.22</v>
      </c>
      <c r="AA28" s="11" t="n">
        <v>-9.140000000000001</v>
      </c>
      <c r="AB28" s="11" t="n">
        <v>0</v>
      </c>
      <c r="AC28" s="11" t="n">
        <v>0</v>
      </c>
      <c r="AD28" s="11" t="n">
        <v>-118.63</v>
      </c>
    </row>
    <row r="29">
      <c r="A29" s="10" t="inlineStr">
        <is>
          <t>이자·배당금 수익</t>
        </is>
      </c>
      <c r="D29" s="11" t="n">
        <v>-0.06</v>
      </c>
      <c r="F29" s="11" t="n">
        <v>-0.17</v>
      </c>
      <c r="H29" s="11" t="n">
        <v>-0.28</v>
      </c>
      <c r="J29" s="11" t="n">
        <v>-0.13</v>
      </c>
      <c r="L29" s="11" t="n">
        <v>-0.16</v>
      </c>
      <c r="N29" s="11" t="n">
        <v>-0.26</v>
      </c>
      <c r="P29" s="11" t="n">
        <v>-0.46</v>
      </c>
      <c r="R29" s="11" t="n">
        <v>-1.91</v>
      </c>
      <c r="T29" s="11" t="n">
        <v>-2.44</v>
      </c>
      <c r="V29" s="11" t="n">
        <v>-3.08</v>
      </c>
      <c r="W29" s="11" t="n">
        <v>-0.58</v>
      </c>
      <c r="X29" s="11" t="n">
        <v>-0.13</v>
      </c>
      <c r="Y29" s="11" t="n">
        <v>-0.06</v>
      </c>
      <c r="Z29" s="11" t="n">
        <v>-0.06</v>
      </c>
      <c r="AA29" s="11" t="n">
        <v>-0.28</v>
      </c>
      <c r="AB29" s="11" t="n">
        <v>-0.16</v>
      </c>
      <c r="AC29" s="11" t="n">
        <v>-0.46</v>
      </c>
      <c r="AD29" s="11" t="n">
        <v>-2.44</v>
      </c>
    </row>
    <row r="30">
      <c r="A30" s="10" t="inlineStr">
        <is>
          <t>이자비용</t>
        </is>
      </c>
      <c r="W30" s="11" t="n">
        <v>1.86</v>
      </c>
      <c r="X30" s="11" t="n">
        <v>4.11</v>
      </c>
    </row>
    <row r="31">
      <c r="A31" s="10" t="inlineStr">
        <is>
          <t>사채이자</t>
        </is>
      </c>
      <c r="W31" s="11" t="n">
        <v>0.24</v>
      </c>
      <c r="X31" s="11" t="n">
        <v>0.24</v>
      </c>
    </row>
    <row r="32">
      <c r="A32" s="10" t="inlineStr">
        <is>
          <t>이자비용·사채이자</t>
        </is>
      </c>
      <c r="D32" s="11" t="n">
        <v>5.54</v>
      </c>
      <c r="F32" s="11" t="n">
        <v>2.87</v>
      </c>
      <c r="H32" s="11" t="n">
        <v>5.5</v>
      </c>
      <c r="J32" s="11" t="n">
        <v>1.39</v>
      </c>
      <c r="L32" s="11" t="n">
        <v>2.69</v>
      </c>
      <c r="N32" s="11" t="n">
        <v>1.48</v>
      </c>
      <c r="P32" s="11" t="n">
        <v>3.53</v>
      </c>
      <c r="R32" s="11" t="n">
        <v>4.42</v>
      </c>
      <c r="T32" s="11" t="n">
        <v>9.35</v>
      </c>
      <c r="V32" s="11" t="n">
        <v>6.41</v>
      </c>
      <c r="X32" s="11" t="n">
        <v>4.36</v>
      </c>
      <c r="Y32" s="11" t="n">
        <v>6</v>
      </c>
      <c r="Z32" s="11" t="n">
        <v>5.54</v>
      </c>
      <c r="AA32" s="11" t="n">
        <v>5.5</v>
      </c>
      <c r="AB32" s="11" t="n">
        <v>2.69</v>
      </c>
      <c r="AC32" s="11" t="n">
        <v>3.53</v>
      </c>
      <c r="AD32" s="11" t="n">
        <v>9.35</v>
      </c>
    </row>
    <row r="33">
      <c r="A33" s="10" t="inlineStr">
        <is>
          <t>매출채권 증감</t>
        </is>
      </c>
      <c r="D33" s="11" t="n">
        <v>-2.37</v>
      </c>
      <c r="F33" s="11" t="n">
        <v>3.53</v>
      </c>
      <c r="H33" s="11" t="n">
        <v>-1.63</v>
      </c>
      <c r="J33" s="11" t="n">
        <v>-0.22</v>
      </c>
      <c r="L33" s="11" t="n">
        <v>-4.51</v>
      </c>
      <c r="N33" s="11" t="n">
        <v>6.65</v>
      </c>
      <c r="P33" s="11" t="n">
        <v>-12.15</v>
      </c>
      <c r="R33" s="11" t="n">
        <v>12.2</v>
      </c>
      <c r="T33" s="11" t="n">
        <v>3.24</v>
      </c>
      <c r="V33" s="11" t="n">
        <v>5.37</v>
      </c>
      <c r="W33" s="11" t="n">
        <v>-4.85</v>
      </c>
      <c r="X33" s="11" t="n">
        <v>-6.38</v>
      </c>
      <c r="Y33" s="11" t="n">
        <v>7.92</v>
      </c>
      <c r="Z33" s="11" t="n">
        <v>-2.37</v>
      </c>
      <c r="AA33" s="11" t="n">
        <v>-1.63</v>
      </c>
      <c r="AB33" s="11" t="n">
        <v>-4.51</v>
      </c>
      <c r="AC33" s="11" t="n">
        <v>-12.15</v>
      </c>
      <c r="AD33" s="11" t="n">
        <v>3.24</v>
      </c>
    </row>
    <row r="34">
      <c r="A34" s="10" t="inlineStr">
        <is>
          <t>미수금 증감</t>
        </is>
      </c>
      <c r="D34" s="11" t="n">
        <v>-22.7</v>
      </c>
      <c r="F34" s="11" t="n">
        <v>4.64</v>
      </c>
      <c r="H34" s="11" t="n">
        <v>-1.58</v>
      </c>
      <c r="J34" s="11" t="n">
        <v>-0.16</v>
      </c>
      <c r="N34" s="11" t="n">
        <v>-0.45</v>
      </c>
      <c r="X34" s="11" t="n">
        <v>0.51</v>
      </c>
      <c r="Y34" s="11" t="n">
        <v>4.32</v>
      </c>
      <c r="Z34" s="11" t="n">
        <v>-22.7</v>
      </c>
      <c r="AA34" s="11" t="n">
        <v>-1.58</v>
      </c>
    </row>
    <row r="35">
      <c r="A35" s="10" t="inlineStr">
        <is>
          <t>선급비용 증감</t>
        </is>
      </c>
      <c r="D35" s="11" t="n">
        <v>-2.12</v>
      </c>
      <c r="F35" s="11" t="n">
        <v>-0.28</v>
      </c>
      <c r="H35" s="11" t="n">
        <v>-0.49</v>
      </c>
      <c r="J35" s="11" t="n">
        <v>0.03</v>
      </c>
      <c r="L35" s="11" t="n">
        <v>-1.31</v>
      </c>
      <c r="N35" s="11" t="n">
        <v>1.23</v>
      </c>
      <c r="P35" s="11" t="n">
        <v>-2.4</v>
      </c>
      <c r="R35" s="11" t="n">
        <v>-0.42</v>
      </c>
      <c r="W35" s="11" t="n">
        <v>-3.52</v>
      </c>
      <c r="X35" s="11" t="n">
        <v>-10.26</v>
      </c>
      <c r="Y35" s="11" t="n">
        <v>-0.4</v>
      </c>
      <c r="Z35" s="11" t="n">
        <v>-2.12</v>
      </c>
      <c r="AA35" s="11" t="n">
        <v>-0.49</v>
      </c>
      <c r="AB35" s="11" t="n">
        <v>-1.31</v>
      </c>
      <c r="AC35" s="11" t="n">
        <v>-2.4</v>
      </c>
    </row>
    <row r="36">
      <c r="A36" s="10" t="inlineStr">
        <is>
          <t>입체금 증감</t>
        </is>
      </c>
      <c r="F36" s="11" t="n">
        <v>0.01</v>
      </c>
      <c r="J36" s="11" t="n">
        <v>-5.39</v>
      </c>
      <c r="N36" s="11" t="n">
        <v>-1.01</v>
      </c>
    </row>
    <row r="37">
      <c r="A37" s="10" t="inlineStr">
        <is>
          <t>매입채무 증감</t>
        </is>
      </c>
      <c r="D37" s="11" t="n">
        <v>-0.28</v>
      </c>
      <c r="F37" s="11" t="n">
        <v>-0.29</v>
      </c>
      <c r="H37" s="11" t="n">
        <v>1.29</v>
      </c>
      <c r="J37" s="11" t="n">
        <v>-0.11</v>
      </c>
      <c r="L37" s="11" t="n">
        <v>2.09</v>
      </c>
      <c r="N37" s="11" t="n">
        <v>-1.58</v>
      </c>
      <c r="P37" s="11" t="n">
        <v>-0.34</v>
      </c>
      <c r="R37" s="11" t="n">
        <v>-0.98</v>
      </c>
      <c r="T37" s="11" t="n">
        <v>5.01</v>
      </c>
      <c r="V37" s="11" t="n">
        <v>-17.54</v>
      </c>
      <c r="W37" s="11" t="n">
        <v>0.8100000000000001</v>
      </c>
      <c r="X37" s="11" t="n">
        <v>5.09</v>
      </c>
      <c r="Y37" s="11" t="n">
        <v>-2.11</v>
      </c>
      <c r="Z37" s="11" t="n">
        <v>-0.28</v>
      </c>
      <c r="AA37" s="11" t="n">
        <v>1.29</v>
      </c>
      <c r="AB37" s="11" t="n">
        <v>2.09</v>
      </c>
      <c r="AC37" s="11" t="n">
        <v>-0.34</v>
      </c>
      <c r="AD37" s="11" t="n">
        <v>5.01</v>
      </c>
    </row>
    <row r="38">
      <c r="A38" s="10" t="inlineStr">
        <is>
          <t>미지급금 증감</t>
        </is>
      </c>
      <c r="D38" s="11" t="n">
        <v>-7.6</v>
      </c>
      <c r="F38" s="11" t="n">
        <v>-2.44</v>
      </c>
      <c r="H38" s="11" t="n">
        <v>2.69</v>
      </c>
      <c r="J38" s="11" t="n">
        <v>-4.69</v>
      </c>
      <c r="L38" s="11" t="n">
        <v>-1.11</v>
      </c>
      <c r="N38" s="11" t="n">
        <v>-3.35</v>
      </c>
      <c r="P38" s="11" t="n">
        <v>-1.96</v>
      </c>
      <c r="R38" s="11" t="n">
        <v>-1.12</v>
      </c>
      <c r="W38" s="11" t="n">
        <v>0.2</v>
      </c>
      <c r="X38" s="11" t="n">
        <v>0</v>
      </c>
      <c r="Y38" s="11" t="n">
        <v>9.34</v>
      </c>
      <c r="Z38" s="11" t="n">
        <v>-7.6</v>
      </c>
      <c r="AA38" s="11" t="n">
        <v>2.69</v>
      </c>
      <c r="AB38" s="11" t="n">
        <v>-1.11</v>
      </c>
      <c r="AC38" s="11" t="n">
        <v>-1.96</v>
      </c>
    </row>
    <row r="39">
      <c r="A39" s="10" t="inlineStr">
        <is>
          <t>미지급비용 증감</t>
        </is>
      </c>
      <c r="D39" s="11" t="n">
        <v>-3.5</v>
      </c>
      <c r="F39" s="11" t="n">
        <v>1.96</v>
      </c>
      <c r="H39" s="11" t="n">
        <v>3.84</v>
      </c>
      <c r="J39" s="11" t="n">
        <v>1.08</v>
      </c>
      <c r="L39" s="11" t="n">
        <v>2.44</v>
      </c>
      <c r="N39" s="11" t="n">
        <v>0.44</v>
      </c>
      <c r="P39" s="11" t="n">
        <v>0.22</v>
      </c>
      <c r="W39" s="11" t="n">
        <v>0.41</v>
      </c>
      <c r="X39" s="11" t="n">
        <v>3.86</v>
      </c>
      <c r="Y39" s="11" t="n">
        <v>5.08</v>
      </c>
      <c r="Z39" s="11" t="n">
        <v>-3.5</v>
      </c>
      <c r="AA39" s="11" t="n">
        <v>3.84</v>
      </c>
      <c r="AB39" s="11" t="n">
        <v>2.44</v>
      </c>
      <c r="AC39" s="11" t="n">
        <v>0.22</v>
      </c>
    </row>
    <row r="40">
      <c r="A40" s="10" t="inlineStr">
        <is>
          <t>선수금 증감</t>
        </is>
      </c>
      <c r="W40" s="11" t="n">
        <v>-0.13</v>
      </c>
      <c r="X40" s="11" t="n">
        <v>4.8</v>
      </c>
    </row>
    <row r="41">
      <c r="A41" s="10" t="inlineStr">
        <is>
          <t>미지급 소비세 증감</t>
        </is>
      </c>
      <c r="D41" s="11" t="n">
        <v>-5.69</v>
      </c>
      <c r="F41" s="11" t="n">
        <v>-2.3</v>
      </c>
      <c r="H41" s="11" t="n">
        <v>0.41</v>
      </c>
      <c r="J41" s="11" t="n">
        <v>-2.74</v>
      </c>
      <c r="L41" s="11" t="n">
        <v>-1.95</v>
      </c>
      <c r="N41" s="11" t="n">
        <v>-2.5</v>
      </c>
      <c r="P41" s="11" t="n">
        <v>-1.33</v>
      </c>
      <c r="R41" s="11" t="n">
        <v>-1.25</v>
      </c>
      <c r="T41" s="11" t="n">
        <v>11.1</v>
      </c>
      <c r="V41" s="11" t="n">
        <v>-10.62</v>
      </c>
      <c r="X41" s="11" t="n">
        <v>1.14</v>
      </c>
      <c r="Y41" s="11" t="n">
        <v>15.27</v>
      </c>
      <c r="Z41" s="11" t="n">
        <v>-5.69</v>
      </c>
      <c r="AA41" s="11" t="n">
        <v>0.41</v>
      </c>
      <c r="AB41" s="11" t="n">
        <v>-1.95</v>
      </c>
      <c r="AC41" s="11" t="n">
        <v>-1.33</v>
      </c>
      <c r="AD41" s="11" t="n">
        <v>11.1</v>
      </c>
    </row>
    <row r="42">
      <c r="A42" s="10" t="inlineStr">
        <is>
          <t>미지급법인세(외형표준과세) 증감</t>
        </is>
      </c>
      <c r="D42" s="11" t="n">
        <v>-3.23</v>
      </c>
      <c r="F42" s="11" t="n">
        <v>-0.09</v>
      </c>
      <c r="H42" s="11" t="n">
        <v>0.08</v>
      </c>
      <c r="J42" s="11" t="n">
        <v>-0.04</v>
      </c>
      <c r="L42" s="11" t="n">
        <v>0.09</v>
      </c>
      <c r="N42" s="11" t="n">
        <v>0.18</v>
      </c>
      <c r="P42" s="11" t="n">
        <v>0.53</v>
      </c>
      <c r="R42" s="11" t="n">
        <v>-0.14</v>
      </c>
      <c r="T42" s="11" t="n">
        <v>1.97</v>
      </c>
      <c r="V42" s="11" t="n">
        <v>-0.4</v>
      </c>
      <c r="X42" s="11" t="n">
        <v>1.97</v>
      </c>
      <c r="Y42" s="11" t="n">
        <v>3.77</v>
      </c>
      <c r="Z42" s="11" t="n">
        <v>-3.23</v>
      </c>
      <c r="AA42" s="11" t="n">
        <v>0.08</v>
      </c>
      <c r="AB42" s="11" t="n">
        <v>0.09</v>
      </c>
      <c r="AC42" s="11" t="n">
        <v>0.53</v>
      </c>
      <c r="AD42" s="11" t="n">
        <v>1.97</v>
      </c>
    </row>
    <row r="43">
      <c r="A43" s="10" t="inlineStr">
        <is>
          <t>계약부채 증감</t>
        </is>
      </c>
      <c r="H43" s="11" t="n">
        <v>-3.4</v>
      </c>
      <c r="L43" s="11" t="n">
        <v>2.29</v>
      </c>
      <c r="AA43" s="11" t="n">
        <v>-3.4</v>
      </c>
      <c r="AB43" s="11" t="n">
        <v>2.29</v>
      </c>
    </row>
    <row r="44">
      <c r="A44" s="10" t="inlineStr">
        <is>
          <t>계약부채 증감</t>
        </is>
      </c>
      <c r="J44" s="11" t="n">
        <v>-0.35</v>
      </c>
      <c r="N44" s="11" t="n">
        <v>2.09</v>
      </c>
    </row>
    <row r="45">
      <c r="A45" s="10" t="inlineStr">
        <is>
          <t>계약부채 증감</t>
        </is>
      </c>
      <c r="L45" s="11" t="n">
        <v>2.29</v>
      </c>
      <c r="N45" s="11" t="n">
        <v>2.09</v>
      </c>
      <c r="P45" s="11" t="n">
        <v>-1.35</v>
      </c>
      <c r="R45" s="11" t="n">
        <v>3.94</v>
      </c>
      <c r="T45" s="11" t="n">
        <v>-3.12</v>
      </c>
      <c r="V45" s="11" t="n">
        <v>3.91</v>
      </c>
      <c r="AB45" s="11" t="n">
        <v>2.29</v>
      </c>
      <c r="AC45" s="11" t="n">
        <v>-1.35</v>
      </c>
      <c r="AD45" s="11" t="n">
        <v>-3.12</v>
      </c>
    </row>
    <row r="46">
      <c r="A46" s="10" t="inlineStr">
        <is>
          <t>기타</t>
        </is>
      </c>
      <c r="D46" s="11" t="n">
        <v>8.41</v>
      </c>
      <c r="F46" s="11" t="n">
        <v>0.3</v>
      </c>
      <c r="H46" s="11" t="n">
        <v>4.84</v>
      </c>
      <c r="J46" s="11" t="n">
        <v>-0.62</v>
      </c>
      <c r="L46" s="11" t="n">
        <v>-2.57</v>
      </c>
      <c r="N46" s="11" t="n">
        <v>1.31</v>
      </c>
      <c r="P46" s="11" t="n">
        <v>-2.58</v>
      </c>
      <c r="R46" s="11" t="n">
        <v>4.43</v>
      </c>
      <c r="T46" s="11" t="n">
        <v>15.46</v>
      </c>
      <c r="V46" s="11" t="n">
        <v>-5.94</v>
      </c>
      <c r="W46" s="11" t="n">
        <v>-0.25</v>
      </c>
      <c r="X46" s="11" t="n">
        <v>10.78</v>
      </c>
      <c r="Y46" s="11" t="n">
        <v>3.47</v>
      </c>
      <c r="Z46" s="11" t="n">
        <v>8.41</v>
      </c>
      <c r="AA46" s="11" t="n">
        <v>4.84</v>
      </c>
      <c r="AB46" s="11" t="n">
        <v>-2.57</v>
      </c>
      <c r="AC46" s="11" t="n">
        <v>-2.58</v>
      </c>
      <c r="AD46" s="11" t="n">
        <v>15.46</v>
      </c>
    </row>
    <row r="47">
      <c r="A47" s="10" t="inlineStr">
        <is>
          <t>소계</t>
        </is>
      </c>
      <c r="D47" s="11" t="n">
        <v>7.21</v>
      </c>
      <c r="F47" s="11" t="n">
        <v>49.76</v>
      </c>
      <c r="H47" s="11" t="n">
        <v>88.33</v>
      </c>
      <c r="J47" s="11" t="n">
        <v>20.51</v>
      </c>
      <c r="L47" s="11" t="n">
        <v>55.11</v>
      </c>
      <c r="N47" s="11" t="n">
        <v>38.68</v>
      </c>
      <c r="P47" s="11" t="n">
        <v>61.12</v>
      </c>
      <c r="R47" s="11" t="n">
        <v>70.8</v>
      </c>
      <c r="T47" s="11" t="n">
        <v>180.49</v>
      </c>
      <c r="V47" s="11" t="n">
        <v>50.7</v>
      </c>
      <c r="W47" s="11" t="n">
        <v>43.64</v>
      </c>
      <c r="X47" s="11" t="n">
        <v>96</v>
      </c>
      <c r="Y47" s="11" t="n">
        <v>80.53</v>
      </c>
      <c r="Z47" s="11" t="n">
        <v>7.21</v>
      </c>
      <c r="AA47" s="11" t="n">
        <v>88.33</v>
      </c>
      <c r="AB47" s="11" t="n">
        <v>55.11</v>
      </c>
      <c r="AC47" s="11" t="n">
        <v>61.12</v>
      </c>
      <c r="AD47" s="11" t="n">
        <v>180.49</v>
      </c>
    </row>
    <row r="48">
      <c r="A48" s="10" t="inlineStr">
        <is>
          <t>이자·배당금 수취</t>
        </is>
      </c>
      <c r="D48" s="11" t="n">
        <v>0.06</v>
      </c>
      <c r="F48" s="11" t="n">
        <v>0.17</v>
      </c>
      <c r="H48" s="11" t="n">
        <v>0.28</v>
      </c>
      <c r="J48" s="11" t="n">
        <v>0.13</v>
      </c>
      <c r="L48" s="11" t="n">
        <v>0.16</v>
      </c>
      <c r="N48" s="11" t="n">
        <v>0.26</v>
      </c>
      <c r="P48" s="11" t="n">
        <v>0.9399999999999999</v>
      </c>
      <c r="R48" s="11" t="n">
        <v>1.91</v>
      </c>
      <c r="T48" s="11" t="n">
        <v>2.19</v>
      </c>
      <c r="V48" s="11" t="n">
        <v>1.19</v>
      </c>
      <c r="W48" s="11" t="n">
        <v>0.58</v>
      </c>
      <c r="X48" s="11" t="n">
        <v>0.13</v>
      </c>
      <c r="Y48" s="11" t="n">
        <v>0.06</v>
      </c>
      <c r="Z48" s="11" t="n">
        <v>0.06</v>
      </c>
      <c r="AA48" s="11" t="n">
        <v>0.28</v>
      </c>
      <c r="AB48" s="11" t="n">
        <v>0.16</v>
      </c>
      <c r="AC48" s="11" t="n">
        <v>0.9399999999999999</v>
      </c>
      <c r="AD48" s="11" t="n">
        <v>2.19</v>
      </c>
    </row>
    <row r="49">
      <c r="A49" s="10" t="inlineStr">
        <is>
          <t>이자 지급</t>
        </is>
      </c>
      <c r="D49" s="11" t="n">
        <v>-5.58</v>
      </c>
      <c r="F49" s="11" t="n">
        <v>-2.86</v>
      </c>
      <c r="H49" s="11" t="n">
        <v>-5.51</v>
      </c>
      <c r="J49" s="11" t="n">
        <v>-1.41</v>
      </c>
      <c r="L49" s="11" t="n">
        <v>-2.73</v>
      </c>
      <c r="N49" s="11" t="n">
        <v>-1.49</v>
      </c>
      <c r="P49" s="11" t="n">
        <v>-3.62</v>
      </c>
      <c r="R49" s="11" t="n">
        <v>-4.26</v>
      </c>
      <c r="T49" s="11" t="n">
        <v>-9.210000000000001</v>
      </c>
      <c r="V49" s="11" t="n">
        <v>-6.38</v>
      </c>
      <c r="W49" s="11" t="n">
        <v>-2.08</v>
      </c>
      <c r="X49" s="11" t="n">
        <v>-4.32</v>
      </c>
      <c r="Y49" s="11" t="n">
        <v>-5.98</v>
      </c>
      <c r="Z49" s="11" t="n">
        <v>-5.58</v>
      </c>
      <c r="AA49" s="11" t="n">
        <v>-5.51</v>
      </c>
      <c r="AB49" s="11" t="n">
        <v>-2.73</v>
      </c>
      <c r="AC49" s="11" t="n">
        <v>-3.62</v>
      </c>
      <c r="AD49" s="11" t="n">
        <v>-9.210000000000001</v>
      </c>
    </row>
    <row r="50">
      <c r="A50" s="10" t="inlineStr">
        <is>
          <t>사업정리 손실 지급</t>
        </is>
      </c>
      <c r="D50" s="11" t="n">
        <v>0</v>
      </c>
      <c r="H50" s="11" t="n">
        <v>-29.57</v>
      </c>
      <c r="L50" s="11" t="n">
        <v>0</v>
      </c>
      <c r="Z50" s="11" t="n">
        <v>0</v>
      </c>
      <c r="AA50" s="11" t="n">
        <v>-29.57</v>
      </c>
      <c r="AB50" s="11" t="n">
        <v>0</v>
      </c>
    </row>
    <row r="51">
      <c r="A51" s="10" t="inlineStr">
        <is>
          <t>법인세 납부</t>
        </is>
      </c>
      <c r="D51" s="11" t="n">
        <v>-33.29</v>
      </c>
      <c r="F51" s="11" t="n">
        <v>-5.67</v>
      </c>
      <c r="H51" s="11" t="n">
        <v>-9.18</v>
      </c>
      <c r="J51" s="11" t="n">
        <v>-9.81</v>
      </c>
      <c r="L51" s="11" t="n">
        <v>-15.36</v>
      </c>
      <c r="N51" s="11" t="n">
        <v>-1.7</v>
      </c>
      <c r="P51" s="11" t="n">
        <v>-7.48</v>
      </c>
      <c r="R51" s="11" t="n">
        <v>-21.13</v>
      </c>
      <c r="T51" s="11" t="n">
        <v>-34.18</v>
      </c>
      <c r="V51" s="11" t="n">
        <v>-37.29</v>
      </c>
      <c r="W51" s="11" t="n">
        <v>-17.28</v>
      </c>
      <c r="X51" s="11" t="n">
        <v>-21.98</v>
      </c>
      <c r="Y51" s="11" t="n">
        <v>-5.99</v>
      </c>
      <c r="Z51" s="11" t="n">
        <v>-33.29</v>
      </c>
      <c r="AA51" s="11" t="n">
        <v>-9.18</v>
      </c>
      <c r="AB51" s="11" t="n">
        <v>-15.36</v>
      </c>
      <c r="AC51" s="11" t="n">
        <v>-7.48</v>
      </c>
      <c r="AD51" s="11" t="n">
        <v>-34.18</v>
      </c>
    </row>
    <row r="52">
      <c r="A52" s="10" t="inlineStr">
        <is>
          <t>법인세 환급</t>
        </is>
      </c>
      <c r="D52" s="11" t="n">
        <v>2.66</v>
      </c>
      <c r="F52" s="11" t="n">
        <v>4.04</v>
      </c>
      <c r="H52" s="11" t="n">
        <v>4.15</v>
      </c>
      <c r="J52" s="11" t="n">
        <v>0.03</v>
      </c>
      <c r="L52" s="11" t="n">
        <v>0.03</v>
      </c>
      <c r="N52" s="11" t="n">
        <v>0</v>
      </c>
      <c r="P52" s="11" t="n">
        <v>0</v>
      </c>
      <c r="R52" s="11" t="n">
        <v>0.28</v>
      </c>
      <c r="T52" s="11" t="n">
        <v>0.28</v>
      </c>
      <c r="V52" s="11" t="n">
        <v>0</v>
      </c>
      <c r="X52" s="11" t="n">
        <v>0.05</v>
      </c>
      <c r="Y52" s="11" t="n">
        <v>1.59</v>
      </c>
      <c r="Z52" s="11" t="n">
        <v>2.66</v>
      </c>
      <c r="AA52" s="11" t="n">
        <v>4.15</v>
      </c>
      <c r="AB52" s="11" t="n">
        <v>0.03</v>
      </c>
      <c r="AC52" s="11" t="n">
        <v>0</v>
      </c>
      <c r="AD52" s="11" t="n">
        <v>0.28</v>
      </c>
    </row>
    <row r="53">
      <c r="A53" s="10" t="inlineStr">
        <is>
          <t>영업활동 현금흐름</t>
        </is>
      </c>
      <c r="D53" s="11" t="n">
        <v>-28.92</v>
      </c>
      <c r="F53" s="11" t="n">
        <v>45.44</v>
      </c>
      <c r="H53" s="11" t="n">
        <v>48.49</v>
      </c>
      <c r="J53" s="11" t="n">
        <v>9.449999999999999</v>
      </c>
      <c r="L53" s="11" t="n">
        <v>37.22</v>
      </c>
      <c r="N53" s="11" t="n">
        <v>35.75</v>
      </c>
      <c r="P53" s="11" t="n">
        <v>50.95</v>
      </c>
      <c r="R53" s="11" t="n">
        <v>47.61</v>
      </c>
      <c r="T53" s="11" t="n">
        <v>139.57</v>
      </c>
      <c r="V53" s="11" t="n">
        <v>8.23</v>
      </c>
      <c r="W53" s="11" t="n">
        <v>24.85</v>
      </c>
      <c r="X53" s="11" t="n">
        <v>69.89</v>
      </c>
      <c r="Y53" s="11" t="n">
        <v>70.22</v>
      </c>
      <c r="Z53" s="11" t="n">
        <v>-28.92</v>
      </c>
      <c r="AA53" s="11" t="n">
        <v>48.49</v>
      </c>
      <c r="AB53" s="11" t="n">
        <v>37.22</v>
      </c>
      <c r="AC53" s="11" t="n">
        <v>50.95</v>
      </c>
      <c r="AD53" s="11" t="n">
        <v>139.57</v>
      </c>
    </row>
    <row r="54">
      <c r="A54" s="10" t="inlineStr">
        <is>
          <t>유형자산 취득(설비투자)</t>
        </is>
      </c>
      <c r="D54" s="11" t="n">
        <v>-15.1</v>
      </c>
      <c r="F54" s="11" t="n">
        <v>-5.76</v>
      </c>
      <c r="H54" s="11" t="n">
        <v>-13.11</v>
      </c>
      <c r="J54" s="11" t="n">
        <v>-2.28</v>
      </c>
      <c r="L54" s="11" t="n">
        <v>-14.04</v>
      </c>
      <c r="N54" s="11" t="n">
        <v>-80.23</v>
      </c>
      <c r="P54" s="11" t="n">
        <v>-161.5</v>
      </c>
      <c r="R54" s="11" t="n">
        <v>-67.93000000000001</v>
      </c>
      <c r="T54" s="11" t="n">
        <v>-97.42</v>
      </c>
      <c r="V54" s="11" t="n">
        <v>-64.58</v>
      </c>
      <c r="W54" s="11" t="n">
        <v>-95.15000000000001</v>
      </c>
      <c r="X54" s="11" t="n">
        <v>-98.08</v>
      </c>
      <c r="Y54" s="11" t="n">
        <v>-49.22</v>
      </c>
      <c r="Z54" s="11" t="n">
        <v>-15.1</v>
      </c>
      <c r="AA54" s="11" t="n">
        <v>-13.11</v>
      </c>
      <c r="AB54" s="11" t="n">
        <v>-14.04</v>
      </c>
      <c r="AC54" s="11" t="n">
        <v>-161.5</v>
      </c>
      <c r="AD54" s="11" t="n">
        <v>-97.42</v>
      </c>
    </row>
    <row r="55">
      <c r="A55" s="10" t="inlineStr">
        <is>
          <t>유형자산 매각</t>
        </is>
      </c>
      <c r="D55" s="11" t="n">
        <v>29.3</v>
      </c>
      <c r="F55" s="11" t="n">
        <v>2.59</v>
      </c>
      <c r="H55" s="11" t="n">
        <v>12.1</v>
      </c>
      <c r="J55" s="11" t="n">
        <v>0</v>
      </c>
      <c r="L55" s="11" t="n">
        <v>0</v>
      </c>
      <c r="P55" s="11" t="n">
        <v>0</v>
      </c>
      <c r="T55" s="11" t="n">
        <v>139.41</v>
      </c>
      <c r="W55" s="11" t="n">
        <v>0.04</v>
      </c>
      <c r="X55" s="11" t="n">
        <v>0.05</v>
      </c>
      <c r="Y55" s="11" t="n">
        <v>40.34</v>
      </c>
      <c r="Z55" s="11" t="n">
        <v>29.3</v>
      </c>
      <c r="AA55" s="11" t="n">
        <v>12.1</v>
      </c>
      <c r="AB55" s="11" t="n">
        <v>0</v>
      </c>
      <c r="AC55" s="11" t="n">
        <v>0</v>
      </c>
      <c r="AD55" s="11" t="n">
        <v>139.41</v>
      </c>
    </row>
    <row r="56">
      <c r="A56" s="10" t="inlineStr">
        <is>
          <t>투자유가증권 취득</t>
        </is>
      </c>
      <c r="D56" s="11" t="n">
        <v>0</v>
      </c>
      <c r="F56" s="11" t="n">
        <v>0</v>
      </c>
      <c r="H56" s="11" t="n">
        <v>-4.99</v>
      </c>
      <c r="J56" s="11" t="n">
        <v>-18.45</v>
      </c>
      <c r="L56" s="11" t="n">
        <v>-32.59</v>
      </c>
      <c r="N56" s="11" t="n">
        <v>-34.23</v>
      </c>
      <c r="P56" s="11" t="n">
        <v>-76.19</v>
      </c>
      <c r="R56" s="11" t="n">
        <v>-5.77</v>
      </c>
      <c r="T56" s="11" t="n">
        <v>-33.32</v>
      </c>
      <c r="V56" s="11" t="n">
        <v>-7.54</v>
      </c>
      <c r="W56" s="11" t="n">
        <v>-0.09</v>
      </c>
      <c r="X56" s="11" t="n">
        <v>-0.5</v>
      </c>
      <c r="Y56" s="11" t="n">
        <v>-5.72</v>
      </c>
      <c r="Z56" s="11" t="n">
        <v>0</v>
      </c>
      <c r="AA56" s="11" t="n">
        <v>-4.99</v>
      </c>
      <c r="AB56" s="11" t="n">
        <v>-32.59</v>
      </c>
      <c r="AC56" s="11" t="n">
        <v>-76.19</v>
      </c>
      <c r="AD56" s="11" t="n">
        <v>-33.32</v>
      </c>
    </row>
    <row r="57">
      <c r="A57" s="10" t="inlineStr">
        <is>
          <t>투자유가증권 매각</t>
        </is>
      </c>
      <c r="J57" s="11" t="n">
        <v>0</v>
      </c>
      <c r="L57" s="11" t="n">
        <v>0</v>
      </c>
      <c r="N57" s="11" t="n">
        <v>1.06</v>
      </c>
      <c r="P57" s="11" t="n">
        <v>22.22</v>
      </c>
      <c r="R57" s="11" t="n">
        <v>0.85</v>
      </c>
      <c r="T57" s="11" t="n">
        <v>2.1</v>
      </c>
      <c r="V57" s="11" t="n">
        <v>0</v>
      </c>
      <c r="W57" s="11" t="n">
        <v>0</v>
      </c>
      <c r="X57" s="11" t="n">
        <v>3.99</v>
      </c>
      <c r="Y57" s="11" t="n">
        <v>0</v>
      </c>
      <c r="AB57" s="11" t="n">
        <v>0</v>
      </c>
      <c r="AC57" s="11" t="n">
        <v>22.22</v>
      </c>
      <c r="AD57" s="11" t="n">
        <v>2.1</v>
      </c>
    </row>
    <row r="58">
      <c r="A58" s="10" t="inlineStr">
        <is>
          <t>예수보증금 수입</t>
        </is>
      </c>
      <c r="W58" s="11" t="n">
        <v>0</v>
      </c>
      <c r="X58" s="11" t="n">
        <v>2.62</v>
      </c>
    </row>
    <row r="59">
      <c r="A59" s="10" t="inlineStr">
        <is>
          <t>장기대여금 회수</t>
        </is>
      </c>
      <c r="D59" s="11" t="n">
        <v>0.22</v>
      </c>
      <c r="H59" s="11" t="n">
        <v>31.16</v>
      </c>
      <c r="L59" s="11" t="n">
        <v>0.02</v>
      </c>
      <c r="P59" s="11" t="n">
        <v>0.74</v>
      </c>
      <c r="T59" s="11" t="n">
        <v>0.26</v>
      </c>
      <c r="Z59" s="11" t="n">
        <v>0.22</v>
      </c>
      <c r="AA59" s="11" t="n">
        <v>31.16</v>
      </c>
      <c r="AB59" s="11" t="n">
        <v>0.02</v>
      </c>
      <c r="AC59" s="11" t="n">
        <v>0.74</v>
      </c>
      <c r="AD59" s="11" t="n">
        <v>0.26</v>
      </c>
    </row>
    <row r="60">
      <c r="A60" s="10" t="inlineStr">
        <is>
          <t>임차보증금·보증금 납입</t>
        </is>
      </c>
      <c r="D60" s="11" t="n">
        <v>-4.62</v>
      </c>
      <c r="F60" s="11" t="n">
        <v>-0.5</v>
      </c>
      <c r="H60" s="11" t="n">
        <v>-2.59</v>
      </c>
      <c r="J60" s="11" t="n">
        <v>-13.02</v>
      </c>
      <c r="L60" s="11" t="n">
        <v>-15.67</v>
      </c>
      <c r="N60" s="11" t="n">
        <v>-3.69</v>
      </c>
      <c r="P60" s="11" t="n">
        <v>-8.4</v>
      </c>
      <c r="R60" s="11" t="n">
        <v>-20.63</v>
      </c>
      <c r="T60" s="11" t="n">
        <v>-29.66</v>
      </c>
      <c r="V60" s="11" t="n">
        <v>-4.32</v>
      </c>
      <c r="W60" s="11" t="n">
        <v>-16.56</v>
      </c>
      <c r="X60" s="11" t="n">
        <v>-41.04</v>
      </c>
      <c r="Y60" s="11" t="n">
        <v>-5.72</v>
      </c>
      <c r="Z60" s="11" t="n">
        <v>-4.62</v>
      </c>
      <c r="AA60" s="11" t="n">
        <v>-2.59</v>
      </c>
      <c r="AB60" s="11" t="n">
        <v>-15.67</v>
      </c>
      <c r="AC60" s="11" t="n">
        <v>-8.4</v>
      </c>
      <c r="AD60" s="11" t="n">
        <v>-29.66</v>
      </c>
    </row>
    <row r="61">
      <c r="A61" s="10" t="inlineStr">
        <is>
          <t>임차보증금·보증금 회수</t>
        </is>
      </c>
      <c r="D61" s="11" t="n">
        <v>4.03</v>
      </c>
      <c r="F61" s="11" t="n">
        <v>2.65</v>
      </c>
      <c r="H61" s="11" t="n">
        <v>3.91</v>
      </c>
      <c r="J61" s="11" t="n">
        <v>5.48</v>
      </c>
      <c r="L61" s="11" t="n">
        <v>8.18</v>
      </c>
      <c r="N61" s="11" t="n">
        <v>0.8</v>
      </c>
      <c r="P61" s="11" t="n">
        <v>2.15</v>
      </c>
      <c r="R61" s="11" t="n">
        <v>1.11</v>
      </c>
      <c r="T61" s="11" t="n">
        <v>1.46</v>
      </c>
      <c r="V61" s="11" t="n">
        <v>1.6</v>
      </c>
      <c r="W61" s="11" t="n">
        <v>1.99</v>
      </c>
      <c r="X61" s="11" t="n">
        <v>5.42</v>
      </c>
      <c r="Y61" s="11" t="n">
        <v>35.63</v>
      </c>
      <c r="Z61" s="11" t="n">
        <v>4.03</v>
      </c>
      <c r="AA61" s="11" t="n">
        <v>3.91</v>
      </c>
      <c r="AB61" s="11" t="n">
        <v>8.18</v>
      </c>
      <c r="AC61" s="11" t="n">
        <v>2.15</v>
      </c>
      <c r="AD61" s="11" t="n">
        <v>1.46</v>
      </c>
    </row>
    <row r="62">
      <c r="A62" s="10" t="inlineStr">
        <is>
          <t>사업양수 지출</t>
        </is>
      </c>
      <c r="L62" s="11" t="n">
        <v>0</v>
      </c>
      <c r="P62" s="11" t="n">
        <v>-9.67</v>
      </c>
      <c r="T62" s="11" t="n">
        <v>0</v>
      </c>
      <c r="AB62" s="11" t="n">
        <v>0</v>
      </c>
      <c r="AC62" s="11" t="n">
        <v>-9.67</v>
      </c>
      <c r="AD62" s="11" t="n">
        <v>0</v>
      </c>
    </row>
    <row r="63">
      <c r="A63" s="10" t="inlineStr">
        <is>
          <t>연결범위 변경 자회사 주식 취득</t>
        </is>
      </c>
      <c r="N63" s="11" t="n">
        <v>0</v>
      </c>
      <c r="P63" s="11" t="n">
        <v>0</v>
      </c>
      <c r="R63" s="11" t="n">
        <v>-0.73</v>
      </c>
      <c r="T63" s="11" t="n">
        <v>-0.73</v>
      </c>
      <c r="V63" s="11" t="n">
        <v>-17.25</v>
      </c>
      <c r="W63" s="11" t="n">
        <v>0</v>
      </c>
      <c r="X63" s="11" t="n">
        <v>-455.7</v>
      </c>
      <c r="Y63" s="11" t="n">
        <v>0</v>
      </c>
      <c r="AC63" s="11" t="n">
        <v>0</v>
      </c>
      <c r="AD63" s="11" t="n">
        <v>-0.73</v>
      </c>
    </row>
    <row r="64">
      <c r="A64" s="10" t="inlineStr">
        <is>
          <t>연결범위 변경 자회사 주식 취득(수입)</t>
        </is>
      </c>
      <c r="J64" s="11" t="n">
        <v>0</v>
      </c>
      <c r="L64" s="11" t="n">
        <v>0</v>
      </c>
      <c r="N64" s="11" t="n">
        <v>12.36</v>
      </c>
      <c r="P64" s="11" t="n">
        <v>22.19</v>
      </c>
      <c r="R64" s="11" t="n">
        <v>0</v>
      </c>
      <c r="T64" s="11" t="n">
        <v>42.68</v>
      </c>
      <c r="AB64" s="11" t="n">
        <v>0</v>
      </c>
      <c r="AC64" s="11" t="n">
        <v>22.19</v>
      </c>
      <c r="AD64" s="11" t="n">
        <v>42.68</v>
      </c>
    </row>
    <row r="65">
      <c r="A65" s="10" t="inlineStr">
        <is>
          <t>연결범위 변경 자회사 주식 매각</t>
        </is>
      </c>
      <c r="D65" s="11" t="n">
        <v>0</v>
      </c>
      <c r="F65" s="11" t="n">
        <v>0</v>
      </c>
      <c r="H65" s="11" t="n">
        <v>347.27</v>
      </c>
      <c r="J65" s="11" t="n">
        <v>4.95</v>
      </c>
      <c r="L65" s="11" t="n">
        <v>6.85</v>
      </c>
      <c r="N65" s="11" t="n">
        <v>0</v>
      </c>
      <c r="P65" s="11" t="n">
        <v>0</v>
      </c>
      <c r="W65" s="11" t="n">
        <v>0.45</v>
      </c>
      <c r="X65" s="11" t="n">
        <v>0</v>
      </c>
      <c r="Z65" s="11" t="n">
        <v>0</v>
      </c>
      <c r="AA65" s="11" t="n">
        <v>347.27</v>
      </c>
      <c r="AB65" s="11" t="n">
        <v>6.85</v>
      </c>
      <c r="AC65" s="11" t="n">
        <v>0</v>
      </c>
    </row>
    <row r="66">
      <c r="A66" s="10" t="inlineStr">
        <is>
          <t>기타</t>
        </is>
      </c>
      <c r="D66" s="11" t="n">
        <v>-1.54</v>
      </c>
      <c r="F66" s="11" t="n">
        <v>-2.18</v>
      </c>
      <c r="H66" s="11" t="n">
        <v>-4.1</v>
      </c>
      <c r="J66" s="11" t="n">
        <v>-2.87</v>
      </c>
      <c r="L66" s="11" t="n">
        <v>-2.82</v>
      </c>
      <c r="N66" s="11" t="n">
        <v>-2.26</v>
      </c>
      <c r="P66" s="11" t="n">
        <v>-4.53</v>
      </c>
      <c r="R66" s="11" t="n">
        <v>-2.46</v>
      </c>
      <c r="T66" s="11" t="n">
        <v>-4.38</v>
      </c>
      <c r="V66" s="11" t="n">
        <v>-0.98</v>
      </c>
      <c r="W66" s="11" t="n">
        <v>-3.51</v>
      </c>
      <c r="X66" s="11" t="n">
        <v>-1.32</v>
      </c>
      <c r="Y66" s="11" t="n">
        <v>-3.9</v>
      </c>
      <c r="Z66" s="11" t="n">
        <v>-1.54</v>
      </c>
      <c r="AA66" s="11" t="n">
        <v>-4.1</v>
      </c>
      <c r="AB66" s="11" t="n">
        <v>-2.82</v>
      </c>
      <c r="AC66" s="11" t="n">
        <v>-4.53</v>
      </c>
      <c r="AD66" s="11" t="n">
        <v>-4.38</v>
      </c>
    </row>
    <row r="67">
      <c r="A67" s="10" t="inlineStr">
        <is>
          <t>투자활동 현금흐름</t>
        </is>
      </c>
      <c r="D67" s="11" t="n">
        <v>12.28</v>
      </c>
      <c r="F67" s="11" t="n">
        <v>-3.2</v>
      </c>
      <c r="H67" s="11" t="n">
        <v>369.63</v>
      </c>
      <c r="J67" s="11" t="n">
        <v>-26.2</v>
      </c>
      <c r="L67" s="11" t="n">
        <v>-50.06</v>
      </c>
      <c r="N67" s="11" t="n">
        <v>-106.2</v>
      </c>
      <c r="P67" s="11" t="n">
        <v>-213</v>
      </c>
      <c r="R67" s="11" t="n">
        <v>-95.56999999999999</v>
      </c>
      <c r="T67" s="11" t="n">
        <v>20.39</v>
      </c>
      <c r="V67" s="11" t="n">
        <v>-93.08</v>
      </c>
      <c r="W67" s="11" t="n">
        <v>-112.83</v>
      </c>
      <c r="X67" s="11" t="n">
        <v>-587.1799999999999</v>
      </c>
      <c r="Y67" s="11" t="n">
        <v>11.4</v>
      </c>
      <c r="Z67" s="11" t="n">
        <v>12.28</v>
      </c>
      <c r="AA67" s="11" t="n">
        <v>369.63</v>
      </c>
      <c r="AB67" s="11" t="n">
        <v>-50.06</v>
      </c>
      <c r="AC67" s="11" t="n">
        <v>-213</v>
      </c>
      <c r="AD67" s="11" t="n">
        <v>20.39</v>
      </c>
    </row>
    <row r="68">
      <c r="A68" s="10" t="inlineStr">
        <is>
          <t>신주예약권 발행</t>
        </is>
      </c>
      <c r="D68" s="11" t="n">
        <v>0</v>
      </c>
      <c r="X68" s="11" t="n">
        <v>0</v>
      </c>
      <c r="Y68" s="11" t="n">
        <v>0.57</v>
      </c>
      <c r="Z68" s="11" t="n">
        <v>0</v>
      </c>
    </row>
    <row r="69">
      <c r="A69" s="10" t="inlineStr">
        <is>
          <t>주식 발행</t>
        </is>
      </c>
      <c r="W69" s="11" t="n">
        <v>0</v>
      </c>
      <c r="X69" s="11" t="n">
        <v>234.18</v>
      </c>
      <c r="Y69" s="11" t="n">
        <v>0</v>
      </c>
    </row>
    <row r="70">
      <c r="A70" s="10" t="inlineStr">
        <is>
          <t>신주예약권 행사에 따른 주식 발행</t>
        </is>
      </c>
      <c r="D70" s="11" t="n">
        <v>76.59</v>
      </c>
      <c r="F70" s="11" t="n">
        <v>0.03</v>
      </c>
      <c r="H70" s="11" t="n">
        <v>0.37</v>
      </c>
      <c r="J70" s="11" t="n">
        <v>0.38</v>
      </c>
      <c r="L70" s="11" t="n">
        <v>0.49</v>
      </c>
      <c r="N70" s="11" t="n">
        <v>0</v>
      </c>
      <c r="P70" s="11" t="n">
        <v>0.3</v>
      </c>
      <c r="R70" s="11" t="n">
        <v>0.04</v>
      </c>
      <c r="T70" s="11" t="n">
        <v>0.47</v>
      </c>
      <c r="V70" s="11" t="n">
        <v>1.55</v>
      </c>
      <c r="W70" s="11" t="n">
        <v>0.53</v>
      </c>
      <c r="X70" s="11" t="n">
        <v>0.57</v>
      </c>
      <c r="Y70" s="11" t="n">
        <v>7.89</v>
      </c>
      <c r="Z70" s="11" t="n">
        <v>76.59</v>
      </c>
      <c r="AA70" s="11" t="n">
        <v>0.37</v>
      </c>
      <c r="AB70" s="11" t="n">
        <v>0.49</v>
      </c>
      <c r="AC70" s="11" t="n">
        <v>0.3</v>
      </c>
      <c r="AD70" s="11" t="n">
        <v>0.47</v>
      </c>
    </row>
    <row r="71">
      <c r="A71" s="10" t="inlineStr">
        <is>
          <t>사채 발행</t>
        </is>
      </c>
      <c r="W71" s="11" t="n">
        <v>29.53</v>
      </c>
      <c r="X71" s="11" t="n">
        <v>0</v>
      </c>
    </row>
    <row r="72">
      <c r="A72" s="10" t="inlineStr">
        <is>
          <t>자기주식 취득</t>
        </is>
      </c>
      <c r="L72" s="11" t="n">
        <v>0</v>
      </c>
      <c r="N72" s="11" t="n">
        <v>0</v>
      </c>
      <c r="P72" s="11" t="n">
        <v>-28.7</v>
      </c>
      <c r="R72" s="11" t="n">
        <v>-40.49</v>
      </c>
      <c r="T72" s="11" t="n">
        <v>-40.49</v>
      </c>
      <c r="V72" s="11" t="n">
        <v>-34.99</v>
      </c>
      <c r="AB72" s="11" t="n">
        <v>0</v>
      </c>
      <c r="AC72" s="11" t="n">
        <v>-28.7</v>
      </c>
      <c r="AD72" s="11" t="n">
        <v>-40.49</v>
      </c>
    </row>
    <row r="73">
      <c r="A73" s="10" t="inlineStr">
        <is>
          <t>단기차입금 순증감</t>
        </is>
      </c>
      <c r="R73" s="11" t="n">
        <v>0.52</v>
      </c>
      <c r="V73" s="11" t="n">
        <v>9.199999999999999</v>
      </c>
    </row>
    <row r="74">
      <c r="A74" s="10" t="inlineStr">
        <is>
          <t>장기차입</t>
        </is>
      </c>
      <c r="D74" s="11" t="n">
        <v>52</v>
      </c>
      <c r="F74" s="11" t="n">
        <v>8</v>
      </c>
      <c r="H74" s="11" t="n">
        <v>13</v>
      </c>
      <c r="J74" s="11" t="n">
        <v>15</v>
      </c>
      <c r="L74" s="11" t="n">
        <v>75</v>
      </c>
      <c r="N74" s="11" t="n">
        <v>33.48</v>
      </c>
      <c r="P74" s="11" t="n">
        <v>75.5</v>
      </c>
      <c r="R74" s="11" t="n">
        <v>169.65</v>
      </c>
      <c r="T74" s="11" t="n">
        <v>329.95</v>
      </c>
      <c r="V74" s="11" t="n">
        <v>35.5</v>
      </c>
      <c r="W74" s="11" t="n">
        <v>165.43</v>
      </c>
      <c r="X74" s="11" t="n">
        <v>343.04</v>
      </c>
      <c r="Y74" s="11" t="n">
        <v>58.55</v>
      </c>
      <c r="Z74" s="11" t="n">
        <v>52</v>
      </c>
      <c r="AA74" s="11" t="n">
        <v>13</v>
      </c>
      <c r="AB74" s="11" t="n">
        <v>75</v>
      </c>
      <c r="AC74" s="11" t="n">
        <v>75.5</v>
      </c>
      <c r="AD74" s="11" t="n">
        <v>329.95</v>
      </c>
    </row>
    <row r="75">
      <c r="A75" s="10" t="inlineStr">
        <is>
          <t>장기차입금 상환</t>
        </is>
      </c>
      <c r="D75" s="11" t="n">
        <v>-110.61</v>
      </c>
      <c r="F75" s="11" t="n">
        <v>-36.21</v>
      </c>
      <c r="H75" s="11" t="n">
        <v>-207.18</v>
      </c>
      <c r="J75" s="11" t="n">
        <v>-36.74</v>
      </c>
      <c r="L75" s="11" t="n">
        <v>-64.70999999999999</v>
      </c>
      <c r="N75" s="11" t="n">
        <v>-24.87</v>
      </c>
      <c r="P75" s="11" t="n">
        <v>-56.2</v>
      </c>
      <c r="R75" s="11" t="n">
        <v>-55.84</v>
      </c>
      <c r="T75" s="11" t="n">
        <v>-121.9</v>
      </c>
      <c r="V75" s="11" t="n">
        <v>-68.65000000000001</v>
      </c>
      <c r="W75" s="11" t="n">
        <v>-34.9</v>
      </c>
      <c r="X75" s="11" t="n">
        <v>-73.70999999999999</v>
      </c>
      <c r="Y75" s="11" t="n">
        <v>-91.19</v>
      </c>
      <c r="Z75" s="11" t="n">
        <v>-110.61</v>
      </c>
      <c r="AA75" s="11" t="n">
        <v>-207.18</v>
      </c>
      <c r="AB75" s="11" t="n">
        <v>-64.70999999999999</v>
      </c>
      <c r="AC75" s="11" t="n">
        <v>-56.2</v>
      </c>
      <c r="AD75" s="11" t="n">
        <v>-121.9</v>
      </c>
    </row>
    <row r="76">
      <c r="A76" s="10" t="inlineStr">
        <is>
          <t>사채 상환</t>
        </is>
      </c>
      <c r="D76" s="11" t="n">
        <v>-8.550000000000001</v>
      </c>
      <c r="F76" s="11" t="n">
        <v>-8.970000000000001</v>
      </c>
      <c r="H76" s="11" t="n">
        <v>-11.69</v>
      </c>
      <c r="J76" s="11" t="n">
        <v>-2.43</v>
      </c>
      <c r="L76" s="11" t="n">
        <v>-4.85</v>
      </c>
      <c r="N76" s="11" t="n">
        <v>-2.17</v>
      </c>
      <c r="P76" s="11" t="n">
        <v>-3.9</v>
      </c>
      <c r="R76" s="11" t="n">
        <v>-1.72</v>
      </c>
      <c r="T76" s="11" t="n">
        <v>-8.4</v>
      </c>
      <c r="V76" s="11" t="n">
        <v>-1.8</v>
      </c>
      <c r="W76" s="11" t="n">
        <v>-9.9</v>
      </c>
      <c r="X76" s="11" t="n">
        <v>-10.4</v>
      </c>
      <c r="Y76" s="11" t="n">
        <v>-10.15</v>
      </c>
      <c r="Z76" s="11" t="n">
        <v>-8.550000000000001</v>
      </c>
      <c r="AA76" s="11" t="n">
        <v>-11.69</v>
      </c>
      <c r="AB76" s="11" t="n">
        <v>-4.85</v>
      </c>
      <c r="AC76" s="11" t="n">
        <v>-3.9</v>
      </c>
      <c r="AD76" s="11" t="n">
        <v>-8.4</v>
      </c>
    </row>
    <row r="77">
      <c r="A77" s="10" t="inlineStr">
        <is>
          <t>리스부채 상환</t>
        </is>
      </c>
      <c r="D77" s="11" t="n">
        <v>-6.01</v>
      </c>
      <c r="F77" s="11" t="n">
        <v>-3.59</v>
      </c>
      <c r="H77" s="11" t="n">
        <v>-7.18</v>
      </c>
      <c r="X77" s="11" t="n">
        <v>-1.37</v>
      </c>
      <c r="Y77" s="11" t="n">
        <v>-5.07</v>
      </c>
      <c r="Z77" s="11" t="n">
        <v>-6.01</v>
      </c>
      <c r="AA77" s="11" t="n">
        <v>-7.18</v>
      </c>
    </row>
    <row r="78">
      <c r="A78" s="10" t="inlineStr">
        <is>
          <t>비지배주주 납입</t>
        </is>
      </c>
      <c r="D78" s="11" t="n">
        <v>0</v>
      </c>
      <c r="W78" s="11" t="n">
        <v>0</v>
      </c>
      <c r="X78" s="11" t="n">
        <v>130</v>
      </c>
      <c r="Y78" s="11" t="n">
        <v>18</v>
      </c>
      <c r="Z78" s="11" t="n">
        <v>0</v>
      </c>
    </row>
    <row r="79">
      <c r="A79" s="10" t="inlineStr">
        <is>
          <t>비지배주주 환급</t>
        </is>
      </c>
      <c r="D79" s="11" t="n">
        <v>-0.15</v>
      </c>
      <c r="F79" s="11" t="n">
        <v>-18</v>
      </c>
      <c r="H79" s="11" t="n">
        <v>-18</v>
      </c>
      <c r="J79" s="11" t="n">
        <v>0</v>
      </c>
      <c r="L79" s="11" t="n">
        <v>0</v>
      </c>
      <c r="W79" s="11" t="n">
        <v>0</v>
      </c>
      <c r="X79" s="11" t="n">
        <v>-131.49</v>
      </c>
      <c r="Y79" s="11" t="n">
        <v>-0.44</v>
      </c>
      <c r="Z79" s="11" t="n">
        <v>-0.15</v>
      </c>
      <c r="AA79" s="11" t="n">
        <v>-18</v>
      </c>
      <c r="AB79" s="11" t="n">
        <v>0</v>
      </c>
    </row>
    <row r="80">
      <c r="A80" s="10" t="inlineStr">
        <is>
          <t>비지배주주 배당금 지급</t>
        </is>
      </c>
      <c r="F80" s="11" t="n">
        <v>-0.68</v>
      </c>
      <c r="J80" s="11" t="n">
        <v>0</v>
      </c>
      <c r="N80" s="11" t="n">
        <v>0</v>
      </c>
      <c r="P80" s="11" t="n">
        <v>0</v>
      </c>
      <c r="R80" s="11" t="n">
        <v>-2.08</v>
      </c>
      <c r="T80" s="11" t="n">
        <v>-2.08</v>
      </c>
      <c r="V80" s="11" t="n">
        <v>-2.08</v>
      </c>
      <c r="W80" s="11" t="n">
        <v>0</v>
      </c>
      <c r="X80" s="11" t="n">
        <v>-1.49</v>
      </c>
      <c r="AC80" s="11" t="n">
        <v>0</v>
      </c>
      <c r="AD80" s="11" t="n">
        <v>-2.08</v>
      </c>
    </row>
    <row r="81">
      <c r="A81" s="10" t="inlineStr">
        <is>
          <t>기타</t>
        </is>
      </c>
      <c r="D81" s="11" t="n">
        <v>-0.32</v>
      </c>
      <c r="F81" s="11" t="n">
        <v>-3.59</v>
      </c>
      <c r="H81" s="11" t="n">
        <v>-8.119999999999999</v>
      </c>
      <c r="J81" s="11" t="n">
        <v>0</v>
      </c>
      <c r="L81" s="11" t="n">
        <v>0.99</v>
      </c>
      <c r="N81" s="11" t="n">
        <v>0</v>
      </c>
      <c r="P81" s="11" t="n">
        <v>-0.36</v>
      </c>
      <c r="R81" s="11" t="n">
        <v>-0.21</v>
      </c>
      <c r="T81" s="11" t="n">
        <v>-7.1</v>
      </c>
      <c r="V81" s="11" t="n">
        <v>-0.43</v>
      </c>
      <c r="W81" s="11" t="n">
        <v>-0.03</v>
      </c>
      <c r="X81" s="11" t="n">
        <v>0.02</v>
      </c>
      <c r="Y81" s="11" t="n">
        <v>-0.5</v>
      </c>
      <c r="Z81" s="11" t="n">
        <v>-0.32</v>
      </c>
      <c r="AA81" s="11" t="n">
        <v>-8.119999999999999</v>
      </c>
      <c r="AB81" s="11" t="n">
        <v>0.99</v>
      </c>
      <c r="AC81" s="11" t="n">
        <v>-0.36</v>
      </c>
      <c r="AD81" s="11" t="n">
        <v>-7.1</v>
      </c>
    </row>
    <row r="82">
      <c r="A82" s="10" t="inlineStr">
        <is>
          <t>재무활동 현금흐름</t>
        </is>
      </c>
      <c r="D82" s="11" t="n">
        <v>2.92</v>
      </c>
      <c r="F82" s="11" t="n">
        <v>-59.43</v>
      </c>
      <c r="H82" s="11" t="n">
        <v>-231.62</v>
      </c>
      <c r="J82" s="11" t="n">
        <v>-23.79</v>
      </c>
      <c r="L82" s="11" t="n">
        <v>6.92</v>
      </c>
      <c r="N82" s="11" t="n">
        <v>6.43</v>
      </c>
      <c r="P82" s="11" t="n">
        <v>-13.36</v>
      </c>
      <c r="R82" s="11" t="n">
        <v>69.84</v>
      </c>
      <c r="T82" s="11" t="n">
        <v>150.43</v>
      </c>
      <c r="V82" s="11" t="n">
        <v>-61.71</v>
      </c>
      <c r="W82" s="11" t="n">
        <v>150.64</v>
      </c>
      <c r="X82" s="11" t="n">
        <v>490.82</v>
      </c>
      <c r="Y82" s="11" t="n">
        <v>-21.91</v>
      </c>
      <c r="Z82" s="11" t="n">
        <v>2.92</v>
      </c>
      <c r="AA82" s="11" t="n">
        <v>-231.62</v>
      </c>
      <c r="AB82" s="11" t="n">
        <v>6.92</v>
      </c>
      <c r="AC82" s="11" t="n">
        <v>-13.36</v>
      </c>
      <c r="AD82" s="11" t="n">
        <v>150.43</v>
      </c>
    </row>
    <row r="83">
      <c r="A83" s="10" t="inlineStr">
        <is>
          <t>현금성자산 환산차이</t>
        </is>
      </c>
      <c r="D83" s="11" t="n">
        <v>1.06</v>
      </c>
      <c r="F83" s="11" t="n">
        <v>1.5</v>
      </c>
      <c r="H83" s="11" t="n">
        <v>0.79</v>
      </c>
      <c r="J83" s="11" t="n">
        <v>0</v>
      </c>
      <c r="L83" s="11" t="n">
        <v>0</v>
      </c>
      <c r="N83" s="11" t="n">
        <v>0</v>
      </c>
      <c r="P83" s="11" t="n">
        <v>0</v>
      </c>
      <c r="R83" s="11" t="n">
        <v>-0.04</v>
      </c>
      <c r="T83" s="11" t="n">
        <v>0</v>
      </c>
      <c r="V83" s="11" t="n">
        <v>0</v>
      </c>
      <c r="W83" s="11" t="n">
        <v>-0.04</v>
      </c>
      <c r="X83" s="11" t="n">
        <v>-1.89</v>
      </c>
      <c r="Y83" s="11" t="n">
        <v>0.92</v>
      </c>
      <c r="Z83" s="11" t="n">
        <v>1.06</v>
      </c>
      <c r="AA83" s="11" t="n">
        <v>0.79</v>
      </c>
      <c r="AB83" s="11" t="n">
        <v>0</v>
      </c>
      <c r="AC83" s="11" t="n">
        <v>0</v>
      </c>
      <c r="AD83" s="11" t="n">
        <v>0</v>
      </c>
    </row>
    <row r="84">
      <c r="A84" s="10" t="inlineStr">
        <is>
          <t>현금성자산 증감</t>
        </is>
      </c>
      <c r="D84" s="11" t="n">
        <v>-12.64</v>
      </c>
      <c r="F84" s="11" t="n">
        <v>-15.69</v>
      </c>
      <c r="H84" s="11" t="n">
        <v>187.29</v>
      </c>
      <c r="J84" s="11" t="n">
        <v>-40.54</v>
      </c>
      <c r="L84" s="11" t="n">
        <v>-5.92</v>
      </c>
      <c r="N84" s="11" t="n">
        <v>-64</v>
      </c>
      <c r="P84" s="11" t="n">
        <v>-175.4</v>
      </c>
      <c r="R84" s="11" t="n">
        <v>21.83</v>
      </c>
      <c r="T84" s="11" t="n">
        <v>310.4</v>
      </c>
      <c r="V84" s="11" t="n">
        <v>-146.57</v>
      </c>
      <c r="W84" s="11" t="n">
        <v>62.61</v>
      </c>
      <c r="X84" s="11" t="n">
        <v>-28.35</v>
      </c>
      <c r="Y84" s="11" t="n">
        <v>60.63</v>
      </c>
      <c r="Z84" s="11" t="n">
        <v>-12.64</v>
      </c>
      <c r="AA84" s="11" t="n">
        <v>187.29</v>
      </c>
      <c r="AB84" s="11" t="n">
        <v>-5.92</v>
      </c>
      <c r="AC84" s="11" t="n">
        <v>-175.4</v>
      </c>
      <c r="AD84" s="11" t="n">
        <v>310.4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E87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40" customWidth="1" min="31" max="31"/>
  </cols>
  <sheetData>
    <row r="1">
      <c r="A1" s="1" t="inlineStr">
        <is>
          <t>TKP 부문</t>
        </is>
      </c>
    </row>
    <row r="2">
      <c r="A2" s="2" t="inlineStr">
        <is>
          <t>결산기 기준(27.2Q = 2027년 결산기 2분기) · 2월 결산 · 연결 · 분기 단독(누계 차분) · 오른쪽 FY = 연간</t>
        </is>
      </c>
      <c r="B2" s="3" t="inlineStr">
        <is>
          <t>(단위: 억엔)</t>
        </is>
      </c>
    </row>
    <row r="3">
      <c r="A3" s="4" t="inlineStr">
        <is>
          <t>항목</t>
        </is>
      </c>
      <c r="B3" s="4" t="inlineStr">
        <is>
          <t>참고</t>
        </is>
      </c>
      <c r="C3" s="4" t="inlineStr">
        <is>
          <t>22.3Q</t>
        </is>
      </c>
      <c r="D3" s="4" t="inlineStr">
        <is>
          <t>22.4Q</t>
        </is>
      </c>
      <c r="E3" s="4" t="inlineStr">
        <is>
          <t>23.1Q</t>
        </is>
      </c>
      <c r="F3" s="4" t="inlineStr">
        <is>
          <t>23.2Q</t>
        </is>
      </c>
      <c r="G3" s="4" t="inlineStr">
        <is>
          <t>23.3Q</t>
        </is>
      </c>
      <c r="H3" s="4" t="inlineStr">
        <is>
          <t>23.4Q</t>
        </is>
      </c>
      <c r="I3" s="4" t="inlineStr">
        <is>
          <t>24.1Q</t>
        </is>
      </c>
      <c r="J3" s="4" t="inlineStr">
        <is>
          <t>24.2Q</t>
        </is>
      </c>
      <c r="K3" s="4" t="inlineStr">
        <is>
          <t>24.3Q</t>
        </is>
      </c>
      <c r="L3" s="4" t="inlineStr">
        <is>
          <t>24.4Q</t>
        </is>
      </c>
      <c r="M3" s="4" t="inlineStr">
        <is>
          <t>25.1Q</t>
        </is>
      </c>
      <c r="N3" s="4" t="inlineStr">
        <is>
          <t>25.2Q</t>
        </is>
      </c>
      <c r="O3" s="4" t="inlineStr">
        <is>
          <t>25.3Q</t>
        </is>
      </c>
      <c r="P3" s="4" t="inlineStr">
        <is>
          <t>25.4Q</t>
        </is>
      </c>
      <c r="Q3" s="4" t="inlineStr">
        <is>
          <t>26.1Q</t>
        </is>
      </c>
      <c r="R3" s="4" t="inlineStr">
        <is>
          <t>26.2Q</t>
        </is>
      </c>
      <c r="S3" s="4" t="inlineStr">
        <is>
          <t>26.3Q</t>
        </is>
      </c>
      <c r="T3" s="4" t="inlineStr">
        <is>
          <t>26.4Q</t>
        </is>
      </c>
      <c r="U3" s="4" t="inlineStr">
        <is>
          <t>27.1Q</t>
        </is>
      </c>
      <c r="V3" s="4" t="inlineStr">
        <is>
          <t>27.2Q</t>
        </is>
      </c>
      <c r="W3" s="4" t="inlineStr">
        <is>
          <t>FY19</t>
        </is>
      </c>
      <c r="X3" s="4" t="inlineStr">
        <is>
          <t>FY20</t>
        </is>
      </c>
      <c r="Y3" s="4" t="inlineStr">
        <is>
          <t>FY21</t>
        </is>
      </c>
      <c r="Z3" s="4" t="inlineStr">
        <is>
          <t>FY22</t>
        </is>
      </c>
      <c r="AA3" s="4" t="inlineStr">
        <is>
          <t>FY23</t>
        </is>
      </c>
      <c r="AB3" s="4" t="inlineStr">
        <is>
          <t>FY24</t>
        </is>
      </c>
      <c r="AC3" s="4" t="inlineStr">
        <is>
          <t>FY25</t>
        </is>
      </c>
      <c r="AD3" s="4" t="inlineStr">
        <is>
          <t>FY26</t>
        </is>
      </c>
      <c r="AE3" s="4" t="inlineStr">
        <is>
          <t>출처</t>
        </is>
      </c>
    </row>
    <row r="4">
      <c r="A4" s="10" t="inlineStr">
        <is>
          <t>TotalOfReportableSegmentsAndOthersMember · 외부 고객 매출</t>
        </is>
      </c>
      <c r="P4" s="11" t="n">
        <v>190.78</v>
      </c>
      <c r="Q4" s="11" t="n">
        <v>244.65</v>
      </c>
      <c r="R4" s="11" t="n">
        <v>254.33</v>
      </c>
      <c r="S4" s="11" t="n">
        <v>270.87</v>
      </c>
      <c r="T4" s="11" t="n">
        <v>373.72</v>
      </c>
      <c r="U4" s="11" t="n">
        <v>346.09</v>
      </c>
      <c r="V4" s="11" t="n">
        <v>347.94</v>
      </c>
      <c r="AC4" s="11" t="n">
        <v>592.08</v>
      </c>
      <c r="AD4" s="11" t="n">
        <v>1143.57</v>
      </c>
      <c r="AE4" s="7" t="inlineStr">
        <is>
          <t>결산단신 XBRL(거래소 공시, TDnet·JPX 보관소). 쓴 문서: 2026-10-15, 2026-07-15, 2026-04-14, 2026-01-14 외 26건 — '출처' 시트에 전부</t>
        </is>
      </c>
    </row>
    <row r="5">
      <c r="A5" s="10" t="inlineStr">
        <is>
          <t>ReconcilingItemsMember · 외부 고객 매출</t>
        </is>
      </c>
      <c r="P5" s="11" t="n">
        <v>0</v>
      </c>
      <c r="Q5" s="11" t="n">
        <v>0</v>
      </c>
      <c r="R5" s="11" t="n">
        <v>0</v>
      </c>
      <c r="S5" s="11" t="n">
        <v>0</v>
      </c>
      <c r="T5" s="11" t="n">
        <v>0</v>
      </c>
      <c r="U5" s="11" t="n">
        <v>0</v>
      </c>
      <c r="V5" s="11" t="n">
        <v>0</v>
      </c>
      <c r="AC5" s="11" t="n">
        <v>0</v>
      </c>
      <c r="AD5" s="11" t="n">
        <v>0</v>
      </c>
    </row>
    <row r="6">
      <c r="A6" s="5" t="inlineStr">
        <is>
          <t>외부 고객 매출</t>
        </is>
      </c>
      <c r="P6" s="6" t="n">
        <v>190.78</v>
      </c>
      <c r="Q6" s="6" t="n">
        <v>244.65</v>
      </c>
      <c r="R6" s="6" t="n">
        <v>254.33</v>
      </c>
      <c r="S6" s="6" t="n">
        <v>270.87</v>
      </c>
      <c r="T6" s="6" t="n">
        <v>373.72</v>
      </c>
      <c r="U6" s="6" t="n">
        <v>346.09</v>
      </c>
      <c r="V6" s="6" t="n">
        <v>347.94</v>
      </c>
      <c r="AC6" s="6" t="n">
        <v>592.08</v>
      </c>
      <c r="AD6" s="6" t="n">
        <v>1143.57</v>
      </c>
    </row>
    <row r="7">
      <c r="A7" s="10" t="inlineStr">
        <is>
          <t>SpaceRegenerationAndDistributionBusinessReportableSegmentMember · 부문 간 내부매출·대체</t>
        </is>
      </c>
      <c r="AC7" s="11" t="n">
        <v>0.02</v>
      </c>
      <c r="AD7" s="11" t="n">
        <v>0.51</v>
      </c>
    </row>
    <row r="8">
      <c r="A8" s="10" t="inlineStr">
        <is>
          <t>LilycolorBusinessReportableSegment · 부문 간 내부매출·대체</t>
        </is>
      </c>
      <c r="AC8" s="11" t="n">
        <v>0.78</v>
      </c>
    </row>
    <row r="9">
      <c r="A9" s="10" t="inlineStr">
        <is>
          <t>NovareseBusinessReportableSegmentMember · 부문 간 내부매출·대체</t>
        </is>
      </c>
      <c r="AC9" s="11" t="n">
        <v>0</v>
      </c>
    </row>
    <row r="10">
      <c r="A10" s="10" t="inlineStr">
        <is>
          <t>LilycolorBusinessReportableSegmentMember · 부문 간 내부매출·대체</t>
        </is>
      </c>
      <c r="AC10" s="11" t="n">
        <v>0.78</v>
      </c>
      <c r="AD10" s="11" t="n">
        <v>1.81</v>
      </c>
    </row>
    <row r="11">
      <c r="A11" s="10" t="inlineStr">
        <is>
          <t>NovareseAndEscritBusinessReportableSegmentMember · 부문 간 내부매출·대체</t>
        </is>
      </c>
      <c r="AC11" s="11" t="n">
        <v>0</v>
      </c>
      <c r="AD11" s="11" t="n">
        <v>0.78</v>
      </c>
    </row>
    <row r="12">
      <c r="A12" s="10" t="inlineStr">
        <is>
          <t>SpaceRegenerationAndDistributionBusinessReportableSegmentMember · 부문 간 내부매출·대체</t>
        </is>
      </c>
      <c r="Q12" s="11" t="n">
        <v>0.05</v>
      </c>
      <c r="U12" s="11" t="n">
        <v>0.28</v>
      </c>
    </row>
    <row r="13">
      <c r="A13" s="10" t="inlineStr">
        <is>
          <t>LilycolorBusinessReportableSegmentMember · 부문 간 내부매출·대체</t>
        </is>
      </c>
      <c r="Q13" s="11" t="n">
        <v>0.2</v>
      </c>
      <c r="U13" s="11" t="n">
        <v>0.09</v>
      </c>
    </row>
    <row r="14">
      <c r="A14" s="10" t="inlineStr">
        <is>
          <t>NovareseBusinessReportableSegmentMember · 부문 간 내부매출·대체</t>
        </is>
      </c>
      <c r="Q14" s="11" t="n">
        <v>0.01</v>
      </c>
    </row>
    <row r="15">
      <c r="A15" s="10" t="inlineStr">
        <is>
          <t>OnThePageBusinessReportableSegmentMember · 부문 간 내부매출·대체</t>
        </is>
      </c>
      <c r="Q15" s="11" t="n">
        <v>0.01</v>
      </c>
      <c r="U15" s="11" t="n">
        <v>0.43</v>
      </c>
    </row>
    <row r="16">
      <c r="A16" s="10" t="inlineStr">
        <is>
          <t>TotalOfReportableSegmentsAndOthersMember · 부문 간 내부매출·대체</t>
        </is>
      </c>
      <c r="P16" s="11" t="n">
        <v>0.46</v>
      </c>
      <c r="Q16" s="11" t="n">
        <v>0.28</v>
      </c>
      <c r="R16" s="11" t="n">
        <v>0.93</v>
      </c>
      <c r="S16" s="11" t="n">
        <v>0.72</v>
      </c>
      <c r="T16" s="11" t="n">
        <v>1.18</v>
      </c>
      <c r="U16" s="11" t="n">
        <v>0.8100000000000001</v>
      </c>
      <c r="V16" s="11" t="n">
        <v>0.7</v>
      </c>
      <c r="AC16" s="11" t="n">
        <v>0.8100000000000001</v>
      </c>
      <c r="AD16" s="11" t="n">
        <v>3.11</v>
      </c>
    </row>
    <row r="17">
      <c r="A17" s="10" t="inlineStr">
        <is>
          <t>ReconcilingItemsMember · 부문 간 내부매출·대체</t>
        </is>
      </c>
      <c r="P17" s="11" t="n">
        <v>-0.46</v>
      </c>
      <c r="Q17" s="11" t="n">
        <v>-0.28</v>
      </c>
      <c r="R17" s="11" t="n">
        <v>-0.93</v>
      </c>
      <c r="S17" s="11" t="n">
        <v>-0.72</v>
      </c>
      <c r="T17" s="11" t="n">
        <v>-1.18</v>
      </c>
      <c r="U17" s="11" t="n">
        <v>-0.8100000000000001</v>
      </c>
      <c r="V17" s="11" t="n">
        <v>-0.7</v>
      </c>
      <c r="AC17" s="11" t="n">
        <v>-0.8100000000000001</v>
      </c>
      <c r="AD17" s="11" t="n">
        <v>-3.11</v>
      </c>
    </row>
    <row r="18">
      <c r="A18" s="10" t="inlineStr">
        <is>
          <t>부문 간 내부매출·대체</t>
        </is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  <c r="V18" s="11" t="n">
        <v>0</v>
      </c>
      <c r="AC18" s="11" t="n">
        <v>0</v>
      </c>
      <c r="AD18" s="11" t="n">
        <v>0</v>
      </c>
    </row>
    <row r="19">
      <c r="A19" s="10" t="inlineStr">
        <is>
          <t>SpaceRegenerationAndDistributionBusinessReportableSegmentMember · 계</t>
        </is>
      </c>
      <c r="AC19" s="11" t="n">
        <v>421.6</v>
      </c>
      <c r="AD19" s="11" t="n">
        <v>522.77</v>
      </c>
    </row>
    <row r="20">
      <c r="A20" s="10" t="inlineStr">
        <is>
          <t>LilycolorBusinessReportableSegment · 계</t>
        </is>
      </c>
      <c r="AC20" s="11" t="n">
        <v>171.28</v>
      </c>
    </row>
    <row r="21">
      <c r="A21" s="10" t="inlineStr">
        <is>
          <t>NovareseBusinessReportableSegmentMember · 계</t>
        </is>
      </c>
      <c r="AC21" s="11" t="n">
        <v>0</v>
      </c>
    </row>
    <row r="22">
      <c r="A22" s="10" t="inlineStr">
        <is>
          <t>LilycolorBusinessReportableSegmentMember · 계</t>
        </is>
      </c>
      <c r="AC22" s="11" t="n">
        <v>171.28</v>
      </c>
      <c r="AD22" s="11" t="n">
        <v>332.01</v>
      </c>
    </row>
    <row r="23">
      <c r="A23" s="10" t="inlineStr">
        <is>
          <t>NovareseAndEscritBusinessReportableSegmentMember · 계</t>
        </is>
      </c>
      <c r="AC23" s="11" t="n">
        <v>0</v>
      </c>
      <c r="AD23" s="11" t="n">
        <v>291.9</v>
      </c>
    </row>
    <row r="24">
      <c r="A24" s="10" t="inlineStr">
        <is>
          <t>SpaceRegenerationAndDistributionBusinessReportableSegmentMember · 계</t>
        </is>
      </c>
      <c r="Q24" s="11" t="n">
        <v>125.18</v>
      </c>
      <c r="U24" s="11" t="n">
        <v>150.89</v>
      </c>
    </row>
    <row r="25">
      <c r="A25" s="10" t="inlineStr">
        <is>
          <t>LilycolorBusinessReportableSegmentMember · 계</t>
        </is>
      </c>
      <c r="Q25" s="11" t="n">
        <v>78.15000000000001</v>
      </c>
      <c r="U25" s="11" t="n">
        <v>80.16</v>
      </c>
    </row>
    <row r="26">
      <c r="A26" s="10" t="inlineStr">
        <is>
          <t>NovareseBusinessReportableSegmentMember · 계</t>
        </is>
      </c>
      <c r="Q26" s="11" t="n">
        <v>41.6</v>
      </c>
    </row>
    <row r="27">
      <c r="A27" s="10" t="inlineStr">
        <is>
          <t>OnThePageBusinessReportableSegmentMember · 계</t>
        </is>
      </c>
      <c r="Q27" s="11" t="n">
        <v>41.6</v>
      </c>
      <c r="U27" s="11" t="n">
        <v>115.85</v>
      </c>
    </row>
    <row r="28">
      <c r="A28" s="10" t="inlineStr">
        <is>
          <t>TotalOfReportableSegmentsAndOthersMember · 계</t>
        </is>
      </c>
      <c r="P28" s="11" t="n">
        <v>191.24</v>
      </c>
      <c r="Q28" s="11" t="n">
        <v>244.94</v>
      </c>
      <c r="R28" s="11" t="n">
        <v>255.26</v>
      </c>
      <c r="S28" s="11" t="n">
        <v>271.58</v>
      </c>
      <c r="T28" s="11" t="n">
        <v>374.91</v>
      </c>
      <c r="U28" s="11" t="n">
        <v>346.9</v>
      </c>
      <c r="V28" s="11" t="n">
        <v>348.65</v>
      </c>
      <c r="AC28" s="11" t="n">
        <v>592.89</v>
      </c>
      <c r="AD28" s="11" t="n">
        <v>1146.69</v>
      </c>
    </row>
    <row r="29">
      <c r="A29" s="10" t="inlineStr">
        <is>
          <t>ReconcilingItemsMember · 계</t>
        </is>
      </c>
      <c r="P29" s="11" t="n">
        <v>-0.46</v>
      </c>
      <c r="Q29" s="11" t="n">
        <v>-0.28</v>
      </c>
      <c r="R29" s="11" t="n">
        <v>-0.93</v>
      </c>
      <c r="S29" s="11" t="n">
        <v>-0.72</v>
      </c>
      <c r="T29" s="11" t="n">
        <v>-1.18</v>
      </c>
      <c r="U29" s="11" t="n">
        <v>-0.8100000000000001</v>
      </c>
      <c r="V29" s="11" t="n">
        <v>-0.7</v>
      </c>
      <c r="AC29" s="11" t="n">
        <v>-0.8100000000000001</v>
      </c>
      <c r="AD29" s="11" t="n">
        <v>-3.11</v>
      </c>
    </row>
    <row r="30">
      <c r="A30" s="5" t="inlineStr">
        <is>
          <t>계</t>
        </is>
      </c>
      <c r="P30" s="6" t="n">
        <v>190.78</v>
      </c>
      <c r="Q30" s="6" t="n">
        <v>244.65</v>
      </c>
      <c r="R30" s="6" t="n">
        <v>254.33</v>
      </c>
      <c r="S30" s="6" t="n">
        <v>270.87</v>
      </c>
      <c r="T30" s="6" t="n">
        <v>373.72</v>
      </c>
      <c r="U30" s="6" t="n">
        <v>346.09</v>
      </c>
      <c r="V30" s="6" t="n">
        <v>347.94</v>
      </c>
      <c r="AC30" s="6" t="n">
        <v>592.08</v>
      </c>
      <c r="AD30" s="6" t="n">
        <v>1143.57</v>
      </c>
    </row>
    <row r="31">
      <c r="A31" s="10" t="inlineStr">
        <is>
          <t>SpaceRegenerationAndDistributionBusinessReportableSegmentMember · 부문 이익</t>
        </is>
      </c>
      <c r="AC31" s="11" t="n">
        <v>54.83</v>
      </c>
      <c r="AD31" s="11" t="n">
        <v>67.48999999999999</v>
      </c>
    </row>
    <row r="32">
      <c r="A32" s="10" t="inlineStr">
        <is>
          <t>LilycolorBusinessReportableSegment · 부문 이익(손실)</t>
        </is>
      </c>
      <c r="AC32" s="11" t="n">
        <v>4.42</v>
      </c>
    </row>
    <row r="33">
      <c r="A33" s="10" t="inlineStr">
        <is>
          <t>NovareseBusinessReportableSegmentMember · 부문 이익(손실)</t>
        </is>
      </c>
      <c r="AC33" s="11" t="n">
        <v>0</v>
      </c>
    </row>
    <row r="34">
      <c r="A34" s="10" t="inlineStr">
        <is>
          <t>LilycolorBusinessReportableSegmentMember · 부문 이익</t>
        </is>
      </c>
      <c r="AC34" s="11" t="n">
        <v>4.42</v>
      </c>
      <c r="AD34" s="11" t="n">
        <v>8.56</v>
      </c>
    </row>
    <row r="35">
      <c r="A35" s="10" t="inlineStr">
        <is>
          <t>NovareseAndEscritBusinessReportableSegmentMember · 부문 이익</t>
        </is>
      </c>
      <c r="AC35" s="11" t="n">
        <v>0</v>
      </c>
      <c r="AD35" s="11" t="n">
        <v>27.43</v>
      </c>
    </row>
    <row r="36">
      <c r="A36" s="10" t="inlineStr">
        <is>
          <t>SpaceRegenerationAndDistributionBusinessReportableSegmentMember · 부문 이익(손실)</t>
        </is>
      </c>
      <c r="Q36" s="11" t="n">
        <v>20.08</v>
      </c>
      <c r="U36" s="11" t="n">
        <v>23.05</v>
      </c>
    </row>
    <row r="37">
      <c r="A37" s="10" t="inlineStr">
        <is>
          <t>LilycolorBusinessReportableSegmentMember · 부문 이익(손실)</t>
        </is>
      </c>
      <c r="Q37" s="11" t="n">
        <v>1.13</v>
      </c>
      <c r="U37" s="11" t="n">
        <v>0.87</v>
      </c>
    </row>
    <row r="38">
      <c r="A38" s="10" t="inlineStr">
        <is>
          <t>NovareseBusinessReportableSegmentMember · 부문 이익(손실)</t>
        </is>
      </c>
      <c r="Q38" s="11" t="n">
        <v>-3.18</v>
      </c>
    </row>
    <row r="39">
      <c r="A39" s="10" t="inlineStr">
        <is>
          <t>OnThePageBusinessReportableSegmentMember · 부문 이익(손실)</t>
        </is>
      </c>
      <c r="Q39" s="11" t="n">
        <v>-3.18</v>
      </c>
      <c r="U39" s="11" t="n">
        <v>1.68</v>
      </c>
    </row>
    <row r="40">
      <c r="A40" s="10" t="inlineStr">
        <is>
          <t>TotalOfReportableSegmentsAndOthersMember · 부문 이익(손실)</t>
        </is>
      </c>
      <c r="P40" s="11" t="n">
        <v>14.57</v>
      </c>
      <c r="Q40" s="11" t="n">
        <v>18.03</v>
      </c>
      <c r="R40" s="11" t="n">
        <v>14.6</v>
      </c>
      <c r="S40" s="11" t="n">
        <v>28.87</v>
      </c>
      <c r="T40" s="11" t="n">
        <v>42</v>
      </c>
      <c r="U40" s="11" t="n">
        <v>25.62</v>
      </c>
      <c r="V40" s="11" t="n">
        <v>21.28</v>
      </c>
      <c r="AC40" s="11" t="n">
        <v>59.25</v>
      </c>
      <c r="AD40" s="11" t="n">
        <v>103.5</v>
      </c>
    </row>
    <row r="41">
      <c r="A41" s="10" t="inlineStr">
        <is>
          <t>ReconcilingItemsMember · 부문 이익(손실)</t>
        </is>
      </c>
      <c r="P41" s="11" t="n">
        <v>-0.03</v>
      </c>
      <c r="Q41" s="11" t="n">
        <v>-0.02</v>
      </c>
      <c r="R41" s="11" t="n">
        <v>-0.22</v>
      </c>
      <c r="S41" s="11" t="n">
        <v>0.07000000000000001</v>
      </c>
      <c r="T41" s="11" t="n">
        <v>-0.31</v>
      </c>
      <c r="U41" s="11" t="n">
        <v>-0.08</v>
      </c>
      <c r="V41" s="11" t="n">
        <v>-0.02</v>
      </c>
      <c r="AC41" s="11" t="n">
        <v>-0.1</v>
      </c>
      <c r="AD41" s="11" t="n">
        <v>-0.48</v>
      </c>
    </row>
    <row r="42">
      <c r="A42" s="5" t="inlineStr">
        <is>
          <t>부문 이익(손실)</t>
        </is>
      </c>
      <c r="P42" s="6" t="n">
        <v>14.54</v>
      </c>
      <c r="Q42" s="6" t="n">
        <v>18</v>
      </c>
      <c r="R42" s="6" t="n">
        <v>14.39</v>
      </c>
      <c r="S42" s="6" t="n">
        <v>28.94</v>
      </c>
      <c r="T42" s="6" t="n">
        <v>41.68</v>
      </c>
      <c r="U42" s="6" t="n">
        <v>25.53</v>
      </c>
      <c r="V42" s="6" t="n">
        <v>21.27</v>
      </c>
      <c r="AC42" s="6" t="n">
        <v>59.15</v>
      </c>
      <c r="AD42" s="6" t="n">
        <v>103.01</v>
      </c>
    </row>
    <row r="43">
      <c r="A43" s="10" t="inlineStr">
        <is>
          <t>SpaceRegenerationAndDistributionBusinessReportableSegmentMember · 감가상각비</t>
        </is>
      </c>
      <c r="AC43" s="11" t="n">
        <v>15.91</v>
      </c>
      <c r="AD43" s="11" t="n">
        <v>23.27</v>
      </c>
    </row>
    <row r="44">
      <c r="A44" s="10" t="inlineStr">
        <is>
          <t>LilycolorBusinessReportableSegment · 감가상각비</t>
        </is>
      </c>
      <c r="AC44" s="11" t="n">
        <v>1.28</v>
      </c>
    </row>
    <row r="45">
      <c r="A45" s="10" t="inlineStr">
        <is>
          <t>NovareseBusinessReportableSegmentMember · 감가상각비</t>
        </is>
      </c>
      <c r="AC45" s="11" t="n">
        <v>0</v>
      </c>
    </row>
    <row r="46">
      <c r="A46" s="10" t="inlineStr">
        <is>
          <t>LilycolorBusinessReportableSegmentMember · 감가상각비</t>
        </is>
      </c>
      <c r="AC46" s="11" t="n">
        <v>1.28</v>
      </c>
      <c r="AD46" s="11" t="n">
        <v>2.11</v>
      </c>
    </row>
    <row r="47">
      <c r="A47" s="10" t="inlineStr">
        <is>
          <t>NovareseAndEscritBusinessReportableSegmentMember · 감가상각비</t>
        </is>
      </c>
      <c r="AC47" s="11" t="n">
        <v>0</v>
      </c>
      <c r="AD47" s="11" t="n">
        <v>18.75</v>
      </c>
    </row>
    <row r="48">
      <c r="A48" s="10" t="inlineStr">
        <is>
          <t>TotalOfReportableSegmentsAndOthersMember · 감가상각비</t>
        </is>
      </c>
      <c r="AC48" s="11" t="n">
        <v>17.2</v>
      </c>
      <c r="AD48" s="11" t="n">
        <v>44.13</v>
      </c>
    </row>
    <row r="49">
      <c r="A49" s="10" t="inlineStr">
        <is>
          <t>ReconcilingItemsMember · 감가상각비</t>
        </is>
      </c>
      <c r="AC49" s="11" t="n">
        <v>0</v>
      </c>
      <c r="AD49" s="11" t="n">
        <v>0</v>
      </c>
    </row>
    <row r="50">
      <c r="A50" s="10" t="inlineStr">
        <is>
          <t>감가상각비</t>
        </is>
      </c>
      <c r="AC50" s="11" t="n">
        <v>17.2</v>
      </c>
      <c r="AD50" s="11" t="n">
        <v>44.13</v>
      </c>
    </row>
    <row r="51">
      <c r="A51" s="10" t="inlineStr">
        <is>
          <t>SpaceRegenerationAndDistributionBusinessReportableSegmentMember · 영업권 상각</t>
        </is>
      </c>
      <c r="AC51" s="11" t="n">
        <v>0.13</v>
      </c>
      <c r="AD51" s="11" t="n">
        <v>0.55</v>
      </c>
    </row>
    <row r="52">
      <c r="A52" s="10" t="inlineStr">
        <is>
          <t>LilycolorBusinessReportableSegment · 영업권 상각</t>
        </is>
      </c>
      <c r="AC52" s="11" t="n">
        <v>0.01</v>
      </c>
    </row>
    <row r="53">
      <c r="A53" s="10" t="inlineStr">
        <is>
          <t>NovareseBusinessReportableSegmentMember · 영업권 상각</t>
        </is>
      </c>
      <c r="AC53" s="11" t="n">
        <v>0</v>
      </c>
    </row>
    <row r="54">
      <c r="A54" s="10" t="inlineStr">
        <is>
          <t>LilycolorBusinessReportableSegmentMember · 영업권 상각</t>
        </is>
      </c>
      <c r="AC54" s="11" t="n">
        <v>0.01</v>
      </c>
      <c r="AD54" s="11" t="n">
        <v>0.02</v>
      </c>
    </row>
    <row r="55">
      <c r="A55" s="10" t="inlineStr">
        <is>
          <t>NovareseAndEscritBusinessReportableSegmentMember · 영업권 상각</t>
        </is>
      </c>
      <c r="AC55" s="11" t="n">
        <v>0</v>
      </c>
      <c r="AD55" s="11" t="n">
        <v>3.64</v>
      </c>
    </row>
    <row r="56">
      <c r="A56" s="10" t="inlineStr">
        <is>
          <t>TotalOfReportableSegmentsAndOthersMember · 영업권 상각</t>
        </is>
      </c>
      <c r="AC56" s="11" t="n">
        <v>0.15</v>
      </c>
      <c r="AD56" s="11" t="n">
        <v>4.22</v>
      </c>
    </row>
    <row r="57">
      <c r="A57" s="10" t="inlineStr">
        <is>
          <t>ReconcilingItemsMember · 영업권 상각</t>
        </is>
      </c>
      <c r="AC57" s="11" t="n">
        <v>0</v>
      </c>
      <c r="AD57" s="11" t="n">
        <v>0</v>
      </c>
    </row>
    <row r="58">
      <c r="A58" s="10" t="inlineStr">
        <is>
          <t>영업권 상각</t>
        </is>
      </c>
      <c r="AC58" s="11" t="n">
        <v>0.15</v>
      </c>
      <c r="AD58" s="11" t="n">
        <v>4.22</v>
      </c>
    </row>
    <row r="59">
      <c r="A59" s="10" t="inlineStr">
        <is>
          <t>SpaceRegenerationAndDistributionBusinessReportableSegmentMember · 손상차손</t>
        </is>
      </c>
      <c r="AC59" s="11" t="n">
        <v>0.49</v>
      </c>
      <c r="AD59" s="11" t="n">
        <v>6.7</v>
      </c>
    </row>
    <row r="60">
      <c r="A60" s="10" t="inlineStr">
        <is>
          <t>LilycolorBusinessReportableSegmentMember · 손상차손</t>
        </is>
      </c>
      <c r="AC60" s="11" t="n">
        <v>0</v>
      </c>
      <c r="AD60" s="11" t="n">
        <v>0.33</v>
      </c>
    </row>
    <row r="61">
      <c r="A61" s="10" t="inlineStr">
        <is>
          <t>NovareseAndEscritBusinessReportableSegmentMember · 손상차손</t>
        </is>
      </c>
      <c r="AC61" s="11" t="n">
        <v>0</v>
      </c>
      <c r="AD61" s="11" t="n">
        <v>3.22</v>
      </c>
    </row>
    <row r="62">
      <c r="A62" s="10" t="inlineStr">
        <is>
          <t>TotalOfReportableSegmentsAndOthersMember · 손상차손</t>
        </is>
      </c>
      <c r="AC62" s="11" t="n">
        <v>0.49</v>
      </c>
      <c r="AD62" s="11" t="n">
        <v>10.27</v>
      </c>
    </row>
    <row r="63">
      <c r="A63" s="10" t="inlineStr">
        <is>
          <t>ReconcilingItemsMember · 손상차손</t>
        </is>
      </c>
      <c r="AC63" s="11" t="n">
        <v>0</v>
      </c>
      <c r="AD63" s="11" t="n">
        <v>0</v>
      </c>
    </row>
    <row r="64">
      <c r="A64" s="10" t="inlineStr">
        <is>
          <t>손상차손</t>
        </is>
      </c>
      <c r="AC64" s="11" t="n">
        <v>0.49</v>
      </c>
      <c r="AD64" s="11" t="n">
        <v>10.27</v>
      </c>
    </row>
    <row r="65">
      <c r="A65" s="10" t="inlineStr">
        <is>
          <t>SpaceRegenerationAndDistributionBusinessReportableSegmentMember · 지분법 적용회사 투자액</t>
        </is>
      </c>
      <c r="AC65" s="11" t="n">
        <v>9.66</v>
      </c>
      <c r="AD65" s="11" t="n">
        <v>12.85</v>
      </c>
    </row>
    <row r="66">
      <c r="A66" s="10" t="inlineStr">
        <is>
          <t>LilycolorBusinessReportableSegmentMember · 지분법 적용회사 투자액</t>
        </is>
      </c>
      <c r="AC66" s="11" t="n">
        <v>0</v>
      </c>
      <c r="AD66" s="11" t="n">
        <v>0</v>
      </c>
    </row>
    <row r="67">
      <c r="A67" s="10" t="inlineStr">
        <is>
          <t>NovareseAndEscritBusinessReportableSegmentMember · 지분법 적용회사 투자액</t>
        </is>
      </c>
      <c r="AC67" s="11" t="n">
        <v>0.3</v>
      </c>
      <c r="AD67" s="11" t="n">
        <v>0.57</v>
      </c>
    </row>
    <row r="68">
      <c r="A68" s="10" t="inlineStr">
        <is>
          <t>TotalOfReportableSegmentsAndOthersMember · 지분법 적용회사 투자액</t>
        </is>
      </c>
      <c r="AC68" s="11" t="n">
        <v>9.960000000000001</v>
      </c>
      <c r="AD68" s="11" t="n">
        <v>13.43</v>
      </c>
    </row>
    <row r="69">
      <c r="A69" s="10" t="inlineStr">
        <is>
          <t>ReconcilingItemsMember · 지분법 적용회사 투자액</t>
        </is>
      </c>
      <c r="AC69" s="11" t="n">
        <v>0</v>
      </c>
      <c r="AD69" s="11" t="n">
        <v>0</v>
      </c>
    </row>
    <row r="70">
      <c r="A70" s="10" t="inlineStr">
        <is>
          <t>지분법 적용회사 투자액</t>
        </is>
      </c>
      <c r="AC70" s="11" t="n">
        <v>9.960000000000001</v>
      </c>
      <c r="AD70" s="11" t="n">
        <v>13.43</v>
      </c>
    </row>
    <row r="71">
      <c r="A71" s="10" t="inlineStr">
        <is>
          <t>SpaceRegenerationAndDistributionBusinessReportableSegmentMember · 유형·무형자산 증가액</t>
        </is>
      </c>
      <c r="AC71" s="11" t="n">
        <v>149.89</v>
      </c>
      <c r="AD71" s="11" t="n">
        <v>78.83</v>
      </c>
    </row>
    <row r="72">
      <c r="A72" s="10" t="inlineStr">
        <is>
          <t>LilycolorBusinessReportableSegment · 유형·무형자산 증가액</t>
        </is>
      </c>
      <c r="AC72" s="11" t="n">
        <v>21.8</v>
      </c>
    </row>
    <row r="73">
      <c r="A73" s="10" t="inlineStr">
        <is>
          <t>NovareseBusinessReportableSegmentMember · 유형·무형자산 증가액</t>
        </is>
      </c>
      <c r="AC73" s="11" t="n">
        <v>223.53</v>
      </c>
    </row>
    <row r="74">
      <c r="A74" s="10" t="inlineStr">
        <is>
          <t>LilycolorBusinessReportableSegmentMember · 유형·무형자산 증가액</t>
        </is>
      </c>
      <c r="AC74" s="11" t="n">
        <v>21.8</v>
      </c>
      <c r="AD74" s="11" t="n">
        <v>1.1</v>
      </c>
    </row>
    <row r="75">
      <c r="A75" s="10" t="inlineStr">
        <is>
          <t>NovareseAndEscritBusinessReportableSegmentMember · 유형·무형자산 증가액</t>
        </is>
      </c>
      <c r="AC75" s="11" t="n">
        <v>223.53</v>
      </c>
      <c r="AD75" s="11" t="n">
        <v>25.83</v>
      </c>
    </row>
    <row r="76">
      <c r="A76" s="10" t="inlineStr">
        <is>
          <t>TotalOfReportableSegmentsAndOthersMember · 유형·무형자산 증가액</t>
        </is>
      </c>
      <c r="AC76" s="11" t="n">
        <v>395.23</v>
      </c>
      <c r="AD76" s="11" t="n">
        <v>105.77</v>
      </c>
    </row>
    <row r="77">
      <c r="A77" s="10" t="inlineStr">
        <is>
          <t>ReconcilingItemsMember · 유형·무형자산 증가액</t>
        </is>
      </c>
      <c r="AC77" s="11" t="n">
        <v>0</v>
      </c>
      <c r="AD77" s="11" t="n">
        <v>0</v>
      </c>
    </row>
    <row r="78">
      <c r="A78" s="10" t="inlineStr">
        <is>
          <t>유형·무형자산 증가액</t>
        </is>
      </c>
      <c r="AC78" s="11" t="n">
        <v>395.23</v>
      </c>
      <c r="AD78" s="11" t="n">
        <v>105.77</v>
      </c>
    </row>
    <row r="79">
      <c r="A79" s="10" t="inlineStr">
        <is>
          <t>SpaceRegenerationAndDistributionBusinessReportableSegmentMember · 외부 고객 매출</t>
        </is>
      </c>
      <c r="Q79" s="11" t="n">
        <v>125.12</v>
      </c>
      <c r="U79" s="11" t="n">
        <v>150.6</v>
      </c>
    </row>
    <row r="80">
      <c r="A80" s="10" t="inlineStr">
        <is>
          <t>LilycolorBusinessReportableSegmentMember · 외부 고객 매출</t>
        </is>
      </c>
      <c r="Q80" s="11" t="n">
        <v>77.94</v>
      </c>
      <c r="U80" s="11" t="n">
        <v>80.06999999999999</v>
      </c>
    </row>
    <row r="81">
      <c r="A81" s="10" t="inlineStr">
        <is>
          <t>NovareseBusinessReportableSegmentMember · 외부 고객 매출</t>
        </is>
      </c>
      <c r="Q81" s="11" t="n">
        <v>41.58</v>
      </c>
    </row>
    <row r="82">
      <c r="A82" s="10" t="inlineStr">
        <is>
          <t>OnThePageBusinessReportableSegmentMember · 외부 고객 매출</t>
        </is>
      </c>
      <c r="Q82" s="11" t="n">
        <v>41.58</v>
      </c>
      <c r="U82" s="11" t="n">
        <v>115.41</v>
      </c>
    </row>
    <row r="83">
      <c r="A83" s="10" t="inlineStr">
        <is>
          <t>SpaceRegenerationAndDistributionBusinessReportableSegmentMember · 외부 고객 매출</t>
        </is>
      </c>
      <c r="AC83" s="11" t="n">
        <v>421.58</v>
      </c>
      <c r="AD83" s="11" t="n">
        <v>522.26</v>
      </c>
    </row>
    <row r="84">
      <c r="A84" s="10" t="inlineStr">
        <is>
          <t>LilycolorBusinessReportableSegment · 외부 고객 매출</t>
        </is>
      </c>
      <c r="AC84" s="11" t="n">
        <v>170.5</v>
      </c>
    </row>
    <row r="85">
      <c r="A85" s="10" t="inlineStr">
        <is>
          <t>NovareseBusinessReportableSegmentMember · 외부 고객 매출</t>
        </is>
      </c>
      <c r="AC85" s="11" t="n">
        <v>0</v>
      </c>
    </row>
    <row r="86">
      <c r="A86" s="10" t="inlineStr">
        <is>
          <t>LilycolorBusinessReportableSegmentMember · 외부 고객 매출</t>
        </is>
      </c>
      <c r="AC86" s="11" t="n">
        <v>170.5</v>
      </c>
      <c r="AD86" s="11" t="n">
        <v>330.19</v>
      </c>
    </row>
    <row r="87">
      <c r="A87" s="10" t="inlineStr">
        <is>
          <t>NovareseAndEscritBusinessReportableSegmentMember · 외부 고객 매출</t>
        </is>
      </c>
      <c r="AC87" s="11" t="n">
        <v>0</v>
      </c>
      <c r="AD87" s="11" t="n">
        <v>291.11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7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44" customWidth="1" min="3" max="3"/>
  </cols>
  <sheetData>
    <row r="1">
      <c r="A1" s="1" t="inlineStr">
        <is>
          <t>TKP 섹터·사업 데이터</t>
        </is>
      </c>
    </row>
    <row r="2">
      <c r="A2" s="2" t="inlineStr">
        <is>
          <t>2단계 보고서를 만들 때 모은 자료 · 월차 · 출처는 맨 오른쪽</t>
        </is>
      </c>
    </row>
    <row r="4">
      <c r="A4" s="12" t="inlineStr">
        <is>
          <t>PER</t>
        </is>
      </c>
      <c r="B4" s="12" t="n"/>
      <c r="C4" s="12" t="n"/>
    </row>
    <row r="5">
      <c r="A5" s="13" t="inlineStr">
        <is>
          <t>항목</t>
        </is>
      </c>
      <c r="B5" s="13" t="inlineStr">
        <is>
          <t>값</t>
        </is>
      </c>
      <c r="C5" s="13" t="inlineStr">
        <is>
          <t>출처</t>
        </is>
      </c>
    </row>
    <row r="6">
      <c r="A6" s="14" t="inlineStr">
        <is>
          <t>lo</t>
        </is>
      </c>
      <c r="B6" s="11" t="n">
        <v>9.300000000000001</v>
      </c>
      <c r="C6" s="3" t="inlineStr">
        <is>
          <t>2단계 보고서 자료(회사 설명회 자료·공시)</t>
        </is>
      </c>
    </row>
    <row r="7">
      <c r="A7" s="14" t="inlineStr">
        <is>
          <t>hi</t>
        </is>
      </c>
      <c r="B7" s="11" t="n">
        <v>25.2</v>
      </c>
    </row>
    <row r="8">
      <c r="A8" s="14" t="inlineStr">
        <is>
          <t>avg</t>
        </is>
      </c>
      <c r="B8" s="11" t="n">
        <v>17.3</v>
      </c>
    </row>
    <row r="9">
      <c r="A9" s="14" t="inlineStr">
        <is>
          <t>cur</t>
        </is>
      </c>
      <c r="B9" s="11" t="n">
        <v>18</v>
      </c>
    </row>
    <row r="10">
      <c r="A10" s="14" t="inlineStr">
        <is>
          <t>pos</t>
        </is>
      </c>
      <c r="B10" s="15" t="n">
        <v>55</v>
      </c>
    </row>
    <row r="12">
      <c r="A12" s="12" t="inlineStr">
        <is>
          <t>contrib · 1Q</t>
        </is>
      </c>
      <c r="B12" s="12" t="n"/>
      <c r="C12" s="12" t="n"/>
    </row>
    <row r="13">
      <c r="A13" s="13" t="inlineStr">
        <is>
          <t>항목</t>
        </is>
      </c>
      <c r="B13" s="13" t="inlineStr">
        <is>
          <t>값</t>
        </is>
      </c>
      <c r="C13" s="13" t="inlineStr">
        <is>
          <t>출처</t>
        </is>
      </c>
    </row>
    <row r="14">
      <c r="A14" s="14" t="inlineStr">
        <is>
          <t>space</t>
        </is>
      </c>
      <c r="B14" s="11" t="n">
        <v>10.4</v>
      </c>
      <c r="C14" s="3" t="inlineStr">
        <is>
          <t>2단계 보고서 자료(회사 설명회 자료·공시)</t>
        </is>
      </c>
    </row>
    <row r="15">
      <c r="A15" s="14" t="inlineStr">
        <is>
          <t>lily</t>
        </is>
      </c>
      <c r="B15" s="11" t="n">
        <v>0.9</v>
      </c>
    </row>
    <row r="16">
      <c r="A16" s="14" t="inlineStr">
        <is>
          <t>otp</t>
        </is>
      </c>
      <c r="B16" s="11" t="n">
        <v>30.2</v>
      </c>
    </row>
    <row r="18">
      <c r="A18" s="12" t="inlineStr">
        <is>
          <t>contrib · 2Q</t>
        </is>
      </c>
      <c r="B18" s="12" t="n"/>
      <c r="C18" s="12" t="n"/>
    </row>
    <row r="19">
      <c r="A19" s="13" t="inlineStr">
        <is>
          <t>항목</t>
        </is>
      </c>
      <c r="B19" s="13" t="inlineStr">
        <is>
          <t>값</t>
        </is>
      </c>
      <c r="C19" s="13" t="inlineStr">
        <is>
          <t>출처</t>
        </is>
      </c>
    </row>
    <row r="20">
      <c r="A20" s="14" t="inlineStr">
        <is>
          <t>space</t>
        </is>
      </c>
      <c r="B20" s="11" t="n">
        <v>7.7</v>
      </c>
      <c r="C20" s="3" t="inlineStr">
        <is>
          <t>2단계 보고서 자료(회사 설명회 자료·공시)</t>
        </is>
      </c>
    </row>
    <row r="21">
      <c r="A21" s="14" t="inlineStr">
        <is>
          <t>lily</t>
        </is>
      </c>
      <c r="B21" s="11" t="n">
        <v>3.4</v>
      </c>
    </row>
    <row r="22">
      <c r="A22" s="14" t="inlineStr">
        <is>
          <t>otp</t>
        </is>
      </c>
      <c r="B22" s="11" t="n">
        <v>25.7</v>
      </c>
    </row>
    <row r="24">
      <c r="A24" s="12" t="inlineStr">
        <is>
          <t>guide</t>
        </is>
      </c>
      <c r="B24" s="12" t="n"/>
      <c r="C24" s="12" t="n"/>
    </row>
    <row r="25">
      <c r="A25" s="13" t="inlineStr">
        <is>
          <t>항목</t>
        </is>
      </c>
      <c r="B25" s="13" t="inlineStr">
        <is>
          <t>값</t>
        </is>
      </c>
      <c r="C25" s="13" t="inlineStr">
        <is>
          <t>출처</t>
        </is>
      </c>
    </row>
    <row r="26">
      <c r="A26" s="14" t="inlineStr">
        <is>
          <t>FY 매출</t>
        </is>
      </c>
      <c r="B26" s="15" t="n">
        <v>1460</v>
      </c>
      <c r="C26" s="3" t="inlineStr">
        <is>
          <t>2단계 보고서 자료(회사 설명회 자료·공시)</t>
        </is>
      </c>
    </row>
    <row r="27">
      <c r="A27" s="14" t="inlineStr">
        <is>
          <t>FY 영업이익</t>
        </is>
      </c>
      <c r="B27" s="15" t="n">
        <v>110</v>
      </c>
    </row>
    <row r="28">
      <c r="A28" s="14" t="inlineStr">
        <is>
          <t>FY 순이익</t>
        </is>
      </c>
      <c r="B28" s="15" t="n">
        <v>40</v>
      </c>
    </row>
    <row r="29">
      <c r="A29" s="14" t="inlineStr">
        <is>
          <t>FY EPS</t>
        </is>
      </c>
      <c r="B29" s="11" t="n">
        <v>108.11</v>
      </c>
    </row>
    <row r="30">
      <c r="A30" s="14" t="inlineStr">
        <is>
          <t>상반기 매출</t>
        </is>
      </c>
      <c r="B30" s="11" t="n">
        <v>694.03</v>
      </c>
    </row>
    <row r="31">
      <c r="A31" s="14" t="inlineStr">
        <is>
          <t>상반기 영업이익</t>
        </is>
      </c>
      <c r="B31" s="11" t="n">
        <v>46.8</v>
      </c>
    </row>
    <row r="32">
      <c r="A32" s="14" t="inlineStr">
        <is>
          <t>prog 영업이익</t>
        </is>
      </c>
      <c r="B32" s="11" t="n">
        <v>42.6</v>
      </c>
    </row>
    <row r="33">
      <c r="A33" s="14" t="inlineStr">
        <is>
          <t>prog 영업이익 ly</t>
        </is>
      </c>
      <c r="B33" s="11" t="n">
        <v>31.4</v>
      </c>
    </row>
    <row r="34">
      <c r="A34" s="14" t="inlineStr">
        <is>
          <t>하반기 영업이익 implied</t>
        </is>
      </c>
      <c r="B34" s="11" t="n">
        <v>63.2</v>
      </c>
    </row>
    <row r="35">
      <c r="A35" s="14" t="inlineStr">
        <is>
          <t>하반기 영업이익 ly</t>
        </is>
      </c>
      <c r="B35" s="11" t="n">
        <v>70.62</v>
      </c>
    </row>
    <row r="37">
      <c r="A37" s="12" t="inlineStr">
        <is>
          <t>cons</t>
        </is>
      </c>
      <c r="B37" s="12" t="n"/>
      <c r="C37" s="12" t="n"/>
    </row>
    <row r="38">
      <c r="A38" s="13" t="inlineStr">
        <is>
          <t>항목</t>
        </is>
      </c>
      <c r="B38" s="13" t="inlineStr">
        <is>
          <t>값</t>
        </is>
      </c>
      <c r="C38" s="13" t="inlineStr">
        <is>
          <t>출처</t>
        </is>
      </c>
    </row>
    <row r="39">
      <c r="A39" s="14" t="inlineStr">
        <is>
          <t>3Q 매출</t>
        </is>
      </c>
      <c r="B39" s="11" t="n">
        <v>359.5</v>
      </c>
      <c r="C39" s="3" t="inlineStr">
        <is>
          <t>2단계 보고서 자료(회사 설명회 자료·공시)</t>
        </is>
      </c>
    </row>
    <row r="40">
      <c r="A40" s="14" t="inlineStr">
        <is>
          <t>4Q 매출</t>
        </is>
      </c>
      <c r="B40" s="11" t="n">
        <v>396.5</v>
      </c>
    </row>
    <row r="41">
      <c r="A41" s="14" t="inlineStr">
        <is>
          <t>FY EPS</t>
        </is>
      </c>
      <c r="B41" s="11" t="n">
        <v>116.8</v>
      </c>
    </row>
    <row r="42">
      <c r="A42" s="14" t="inlineStr">
        <is>
          <t>fy1 EPS</t>
        </is>
      </c>
      <c r="B42" s="11" t="n">
        <v>136.98</v>
      </c>
    </row>
    <row r="43">
      <c r="A43" s="14" t="inlineStr">
        <is>
          <t>tp</t>
        </is>
      </c>
      <c r="B43" s="15" t="n">
        <v>2275</v>
      </c>
    </row>
    <row r="44">
      <c r="A44" s="14" t="inlineStr">
        <is>
          <t>EPS 90d</t>
        </is>
      </c>
      <c r="B44" s="11" t="n">
        <v>120.35</v>
      </c>
    </row>
    <row r="46">
      <c r="A46" s="12" t="inlineStr">
        <is>
          <t>gp q</t>
        </is>
      </c>
      <c r="B46" s="12" t="n"/>
      <c r="C46" s="12" t="n"/>
    </row>
    <row r="47">
      <c r="A47" s="13" t="inlineStr">
        <is>
          <t>항목</t>
        </is>
      </c>
      <c r="B47" s="13" t="inlineStr">
        <is>
          <t>값</t>
        </is>
      </c>
      <c r="C47" s="13" t="inlineStr">
        <is>
          <t>출처</t>
        </is>
      </c>
    </row>
    <row r="48">
      <c r="A48" s="14" t="inlineStr">
        <is>
          <t>FY2/25 1Q</t>
        </is>
      </c>
      <c r="B48" s="11" t="n">
        <v>43.63</v>
      </c>
      <c r="C48" s="3" t="inlineStr">
        <is>
          <t>2단계 보고서 자료(회사 설명회 자료·공시)</t>
        </is>
      </c>
    </row>
    <row r="49">
      <c r="A49" s="14" t="inlineStr">
        <is>
          <t>FY2/25 2Q</t>
        </is>
      </c>
      <c r="B49" s="11" t="n">
        <v>37.69</v>
      </c>
    </row>
    <row r="50">
      <c r="A50" s="14" t="inlineStr">
        <is>
          <t>FY2/25 3Q</t>
        </is>
      </c>
      <c r="B50" s="11" t="n">
        <v>69.20999999999999</v>
      </c>
    </row>
    <row r="51">
      <c r="A51" s="14" t="inlineStr">
        <is>
          <t>FY2/25 4Q</t>
        </is>
      </c>
      <c r="B51" s="11" t="n">
        <v>64.56999999999999</v>
      </c>
    </row>
    <row r="52">
      <c r="A52" s="14" t="inlineStr">
        <is>
          <t>FY2/26 1Q</t>
        </is>
      </c>
      <c r="B52" s="11" t="n">
        <v>100.53</v>
      </c>
    </row>
    <row r="53">
      <c r="A53" s="14" t="inlineStr">
        <is>
          <t>FY2/26 2Q</t>
        </is>
      </c>
      <c r="B53" s="11" t="n">
        <v>102.44</v>
      </c>
    </row>
    <row r="54">
      <c r="A54" s="14" t="inlineStr">
        <is>
          <t>FY2/26 3Q</t>
        </is>
      </c>
      <c r="B54" s="11" t="n">
        <v>113.33</v>
      </c>
    </row>
    <row r="55">
      <c r="A55" s="14" t="inlineStr">
        <is>
          <t>FY2/26 4Q</t>
        </is>
      </c>
      <c r="B55" s="11" t="n">
        <v>167.91</v>
      </c>
    </row>
    <row r="56">
      <c r="A56" s="14" t="inlineStr">
        <is>
          <t>FY2/27 1Q</t>
        </is>
      </c>
      <c r="B56" s="11" t="n">
        <v>149.98</v>
      </c>
    </row>
    <row r="57">
      <c r="A57" s="14" t="inlineStr">
        <is>
          <t>FY2/27 2Q</t>
        </is>
      </c>
      <c r="B57" s="11" t="n">
        <v>144.99</v>
      </c>
    </row>
    <row r="59">
      <c r="A59" s="12" t="inlineStr">
        <is>
          <t>bs cf 1h</t>
        </is>
      </c>
      <c r="B59" s="12" t="n"/>
      <c r="C59" s="12" t="n"/>
    </row>
    <row r="60">
      <c r="A60" s="13" t="inlineStr">
        <is>
          <t>항목</t>
        </is>
      </c>
      <c r="B60" s="13" t="inlineStr">
        <is>
          <t>값</t>
        </is>
      </c>
      <c r="C60" s="13" t="inlineStr">
        <is>
          <t>출처</t>
        </is>
      </c>
    </row>
    <row r="61">
      <c r="A61" s="14" t="inlineStr">
        <is>
          <t>cash</t>
        </is>
      </c>
      <c r="B61" s="11" t="n">
        <v>307.26</v>
      </c>
      <c r="C61" s="3" t="inlineStr">
        <is>
          <t>2단계 보고서 자료(회사 설명회 자료·공시)</t>
        </is>
      </c>
    </row>
    <row r="62">
      <c r="A62" s="14" t="inlineStr">
        <is>
          <t>debt</t>
        </is>
      </c>
      <c r="B62" s="11" t="n">
        <v>778.83</v>
      </c>
    </row>
    <row r="63">
      <c r="A63" s="14" t="inlineStr">
        <is>
          <t>equity ratio</t>
        </is>
      </c>
      <c r="B63" s="11" t="n">
        <v>29.7</v>
      </c>
    </row>
    <row r="64">
      <c r="A64" s="14" t="inlineStr">
        <is>
          <t>ocf 1h</t>
        </is>
      </c>
      <c r="B64" s="11" t="n">
        <v>8.23</v>
      </c>
    </row>
    <row r="65">
      <c r="A65" s="14" t="inlineStr">
        <is>
          <t>ocf 1h ly</t>
        </is>
      </c>
      <c r="B65" s="11" t="n">
        <v>47.61</v>
      </c>
    </row>
    <row r="66">
      <c r="A66" s="14" t="inlineStr">
        <is>
          <t>icf 1h</t>
        </is>
      </c>
      <c r="B66" s="11" t="n">
        <v>-93.08</v>
      </c>
    </row>
    <row r="67">
      <c r="A67" s="14" t="inlineStr">
        <is>
          <t>buyback</t>
        </is>
      </c>
      <c r="B67" s="11" t="n">
        <v>34.99</v>
      </c>
    </row>
    <row r="69">
      <c r="A69" s="12" t="inlineStr">
        <is>
          <t>opening</t>
        </is>
      </c>
      <c r="B69" s="12" t="n"/>
      <c r="C69" s="12" t="n"/>
    </row>
    <row r="70">
      <c r="A70" s="13" t="inlineStr">
        <is>
          <t>항목</t>
        </is>
      </c>
      <c r="B70" s="13" t="inlineStr">
        <is>
          <t>값</t>
        </is>
      </c>
      <c r="C70" s="13" t="inlineStr">
        <is>
          <t>출처</t>
        </is>
      </c>
    </row>
    <row r="71">
      <c r="A71" s="14" t="inlineStr">
        <is>
          <t>fy27 1h new</t>
        </is>
      </c>
      <c r="B71" s="15" t="n">
        <v>26</v>
      </c>
      <c r="C71" s="3" t="inlineStr">
        <is>
          <t>2단계 보고서 자료(회사 설명회 자료·공시)</t>
        </is>
      </c>
    </row>
    <row r="72">
      <c r="A72" s="14" t="inlineStr">
        <is>
          <t>fy27 1h tsubo</t>
        </is>
      </c>
      <c r="B72" s="15" t="n">
        <v>15220</v>
      </c>
    </row>
    <row r="73">
      <c r="A73" s="14" t="inlineStr">
        <is>
          <t>fy26 new</t>
        </is>
      </c>
      <c r="B73" s="15" t="n">
        <v>49</v>
      </c>
    </row>
    <row r="74">
      <c r="A74" s="14" t="inlineStr">
        <is>
          <t>fy26 tsubo</t>
        </is>
      </c>
      <c r="B74" s="15" t="n">
        <v>20625</v>
      </c>
    </row>
    <row r="75">
      <c r="A75" s="14" t="inlineStr">
        <is>
          <t>direct tsubo 2Q</t>
        </is>
      </c>
      <c r="B75" s="15" t="n">
        <v>127407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3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1" t="inlineStr">
        <is>
          <t>출처 · 쓴 결산단신</t>
        </is>
      </c>
    </row>
    <row r="3">
      <c r="A3" s="16" t="inlineStr">
        <is>
          <t>공시일</t>
        </is>
      </c>
      <c r="B3" s="16" t="inlineStr">
        <is>
          <t>문서</t>
        </is>
      </c>
      <c r="C3" s="16" t="inlineStr">
        <is>
          <t>PDF</t>
        </is>
      </c>
    </row>
    <row r="4">
      <c r="A4" t="inlineStr">
        <is>
          <t>2026-10-15</t>
        </is>
      </c>
      <c r="B4" t="inlineStr">
        <is>
          <t>2027년 2월 결산기 ２분기 결산단신</t>
        </is>
      </c>
      <c r="C4" t="inlineStr">
        <is>
          <t>https://www2.jpx.co.jp/disc/34790/140120261015551385.pdf</t>
        </is>
      </c>
    </row>
    <row r="5">
      <c r="A5" t="inlineStr">
        <is>
          <t>2026-07-15</t>
        </is>
      </c>
      <c r="B5" t="inlineStr">
        <is>
          <t>2027년 2월 결산기 １분기 결산단신</t>
        </is>
      </c>
      <c r="C5" t="inlineStr">
        <is>
          <t>https://www2.jpx.co.jp/disc/34790/140120260715594163.pdf</t>
        </is>
      </c>
    </row>
    <row r="6">
      <c r="A6" t="inlineStr">
        <is>
          <t>2026-04-14</t>
        </is>
      </c>
      <c r="B6" t="inlineStr">
        <is>
          <t>2026년 2월 결산기 연간 결산단신</t>
        </is>
      </c>
      <c r="C6" t="inlineStr">
        <is>
          <t>https://www2.jpx.co.jp/disc/34790/140120260414504024.pdf</t>
        </is>
      </c>
    </row>
    <row r="7">
      <c r="A7" t="inlineStr">
        <is>
          <t>2026-01-14</t>
        </is>
      </c>
      <c r="B7" t="inlineStr">
        <is>
          <t>2026년 2월 결산기 ３분기 결산단신</t>
        </is>
      </c>
      <c r="C7" t="inlineStr">
        <is>
          <t>https://www2.jpx.co.jp/disc/34790/140120260114533295.pdf</t>
        </is>
      </c>
    </row>
    <row r="8">
      <c r="A8" t="inlineStr">
        <is>
          <t>2025-10-15</t>
        </is>
      </c>
      <c r="B8" t="inlineStr">
        <is>
          <t>2026년 2월 결산기 ２분기 결산단신</t>
        </is>
      </c>
      <c r="C8" t="inlineStr">
        <is>
          <t>https://www2.jpx.co.jp/disc/34790/140120251015574087.pdf</t>
        </is>
      </c>
    </row>
    <row r="9">
      <c r="A9" t="inlineStr">
        <is>
          <t>2025-07-15</t>
        </is>
      </c>
      <c r="B9" t="inlineStr">
        <is>
          <t>2026년 2월 결산기 １분기 결산단신</t>
        </is>
      </c>
      <c r="C9" t="inlineStr">
        <is>
          <t>https://www2.jpx.co.jp/disc/34790/140120250715514815.pdf</t>
        </is>
      </c>
    </row>
    <row r="10">
      <c r="A10" t="inlineStr">
        <is>
          <t>2025-04-14</t>
        </is>
      </c>
      <c r="B10" t="inlineStr">
        <is>
          <t>2025년 2월 결산기 연간 결산단신</t>
        </is>
      </c>
      <c r="C10" t="inlineStr">
        <is>
          <t>https://www2.jpx.co.jp/disc/34790/140120250414515278.pdf</t>
        </is>
      </c>
    </row>
    <row r="11">
      <c r="A11" t="inlineStr">
        <is>
          <t>2025-01-14</t>
        </is>
      </c>
      <c r="B11" t="inlineStr">
        <is>
          <t>2025년 2월 결산기 ３분기 결산단신</t>
        </is>
      </c>
      <c r="C11" t="inlineStr">
        <is>
          <t>https://www2.jpx.co.jp/disc/34790/140120250114550447.pdf</t>
        </is>
      </c>
    </row>
    <row r="12">
      <c r="A12" t="inlineStr">
        <is>
          <t>2024-10-15</t>
        </is>
      </c>
      <c r="B12" t="inlineStr">
        <is>
          <t>2025년 2월 결산기 ２분기 결산단신</t>
        </is>
      </c>
      <c r="C12" t="inlineStr">
        <is>
          <t>https://www2.jpx.co.jp/disc/34790/140120241015597634.pdf</t>
        </is>
      </c>
    </row>
    <row r="13">
      <c r="A13" t="inlineStr">
        <is>
          <t>2024-07-11</t>
        </is>
      </c>
      <c r="B13" t="inlineStr">
        <is>
          <t>2025년 2월 결산기 １분기 결산단신</t>
        </is>
      </c>
      <c r="C13" t="inlineStr">
        <is>
          <t>https://www2.jpx.co.jp/disc/34790/140120240711547468.pdf</t>
        </is>
      </c>
    </row>
    <row r="14">
      <c r="A14" t="inlineStr">
        <is>
          <t>2024-04-15</t>
        </is>
      </c>
      <c r="B14" t="inlineStr">
        <is>
          <t>2024년 2월 결산기 연간 결산단신</t>
        </is>
      </c>
      <c r="C14" t="inlineStr">
        <is>
          <t>https://www2.jpx.co.jp/disc/34790/140120240415571145.pdf</t>
        </is>
      </c>
    </row>
    <row r="15">
      <c r="A15" t="inlineStr">
        <is>
          <t>2024-01-15</t>
        </is>
      </c>
      <c r="B15" t="inlineStr">
        <is>
          <t>2024년 2월 결산기 ３분기 결산단신</t>
        </is>
      </c>
      <c r="C15" t="inlineStr">
        <is>
          <t>https://www2.jpx.co.jp/disc/34790/140120240115515166.pdf</t>
        </is>
      </c>
    </row>
    <row r="16">
      <c r="A16" t="inlineStr">
        <is>
          <t>2023-10-12</t>
        </is>
      </c>
      <c r="B16" t="inlineStr">
        <is>
          <t>2024년 2월 결산기 ２분기 결산단신</t>
        </is>
      </c>
      <c r="C16" t="inlineStr">
        <is>
          <t>https://www2.jpx.co.jp/disc/34790/140120231012565724.pdf</t>
        </is>
      </c>
    </row>
    <row r="17">
      <c r="A17" t="inlineStr">
        <is>
          <t>2023-07-13</t>
        </is>
      </c>
      <c r="B17" t="inlineStr">
        <is>
          <t>2024년 2월 결산기 １분기 결산단신</t>
        </is>
      </c>
      <c r="C17" t="inlineStr">
        <is>
          <t>https://www2.jpx.co.jp/disc/34790/140120230711520321.pdf</t>
        </is>
      </c>
    </row>
    <row r="18">
      <c r="A18" t="inlineStr">
        <is>
          <t>2023-04-13</t>
        </is>
      </c>
      <c r="B18" t="inlineStr">
        <is>
          <t>2023년 2월 결산기 연간 결산단신</t>
        </is>
      </c>
      <c r="C18" t="inlineStr">
        <is>
          <t>https://www2.jpx.co.jp/disc/34790/140120230413546457.pdf</t>
        </is>
      </c>
    </row>
    <row r="19">
      <c r="A19" t="inlineStr">
        <is>
          <t>2023-01-12</t>
        </is>
      </c>
      <c r="B19" t="inlineStr">
        <is>
          <t>2023년 2월 결산기 ３분기 결산단신</t>
        </is>
      </c>
      <c r="C19" t="inlineStr">
        <is>
          <t>https://www2.jpx.co.jp/disc/34790/140120230112588278.pdf</t>
        </is>
      </c>
    </row>
    <row r="20">
      <c r="A20" t="inlineStr">
        <is>
          <t>2022-10-13</t>
        </is>
      </c>
      <c r="B20" t="inlineStr">
        <is>
          <t>2023년 2월 결산기 ２분기 결산단신</t>
        </is>
      </c>
      <c r="C20" t="inlineStr">
        <is>
          <t>https://www2.jpx.co.jp/disc/34790/140120221013543868.pdf</t>
        </is>
      </c>
    </row>
    <row r="21">
      <c r="A21" t="inlineStr">
        <is>
          <t>2022-07-14</t>
        </is>
      </c>
      <c r="B21" t="inlineStr">
        <is>
          <t>2023년 2월 결산기 １분기 결산단신</t>
        </is>
      </c>
      <c r="C21" t="inlineStr">
        <is>
          <t>https://www2.jpx.co.jp/disc/34790/140120220714599954.pdf</t>
        </is>
      </c>
    </row>
    <row r="22">
      <c r="A22" t="inlineStr">
        <is>
          <t>2022-04-14</t>
        </is>
      </c>
      <c r="B22" t="inlineStr">
        <is>
          <t>2022년 2월 결산기 연간 결산단신</t>
        </is>
      </c>
      <c r="C22" t="inlineStr">
        <is>
          <t>https://www2.jpx.co.jp/disc/34790/140120220414521769.pdf</t>
        </is>
      </c>
    </row>
    <row r="23">
      <c r="A23" t="inlineStr">
        <is>
          <t>2022-01-13</t>
        </is>
      </c>
      <c r="B23" t="inlineStr">
        <is>
          <t>2022년 2월 결산기 ３분기 결산단신</t>
        </is>
      </c>
      <c r="C23" t="inlineStr">
        <is>
          <t>https://www2.jpx.co.jp/disc/34790/140120220113567360.pdf</t>
        </is>
      </c>
    </row>
    <row r="24">
      <c r="A24" t="inlineStr">
        <is>
          <t>2021-10-13</t>
        </is>
      </c>
      <c r="B24" t="inlineStr">
        <is>
          <t>2022년 2월 결산기 ２분기 결산단신</t>
        </is>
      </c>
      <c r="C24" t="inlineStr">
        <is>
          <t>https://www2.jpx.co.jp/disc/34790/140120211013410415.pdf</t>
        </is>
      </c>
    </row>
    <row r="25">
      <c r="A25" t="inlineStr">
        <is>
          <t>2021-07-15</t>
        </is>
      </c>
      <c r="B25" t="inlineStr">
        <is>
          <t>2022년 2월 결산기 １분기 결산단신</t>
        </is>
      </c>
      <c r="C25" t="inlineStr">
        <is>
          <t>https://www2.jpx.co.jp/disc/34790/140120210715467409.pdf</t>
        </is>
      </c>
    </row>
    <row r="26">
      <c r="A26" t="inlineStr">
        <is>
          <t>2021-04-14</t>
        </is>
      </c>
      <c r="B26" t="inlineStr">
        <is>
          <t>2021년 2월 결산기 연간 결산단신</t>
        </is>
      </c>
      <c r="C26" t="inlineStr">
        <is>
          <t>https://www2.jpx.co.jp/disc/34790/140120210414494149.pdf</t>
        </is>
      </c>
    </row>
    <row r="27">
      <c r="A27" t="inlineStr">
        <is>
          <t>2021-01-14</t>
        </is>
      </c>
      <c r="B27" t="inlineStr">
        <is>
          <t>2021년 2월 결산기 ３분기 결산단신</t>
        </is>
      </c>
      <c r="C27" t="inlineStr">
        <is>
          <t>https://www2.jpx.co.jp/disc/34790/140120210114444372.pdf</t>
        </is>
      </c>
    </row>
    <row r="28">
      <c r="A28" t="inlineStr">
        <is>
          <t>2020-10-15</t>
        </is>
      </c>
      <c r="B28" t="inlineStr">
        <is>
          <t>2021년 2월 결산기 ２분기 결산단신</t>
        </is>
      </c>
      <c r="C28" t="inlineStr">
        <is>
          <t>https://www2.jpx.co.jp/disc/34790/140120201015404390.pdf</t>
        </is>
      </c>
    </row>
    <row r="29">
      <c r="A29" t="inlineStr">
        <is>
          <t>2020-07-15</t>
        </is>
      </c>
      <c r="B29" t="inlineStr">
        <is>
          <t>2021년 2월 결산기 １분기 결산단신</t>
        </is>
      </c>
      <c r="C29" t="inlineStr">
        <is>
          <t>https://www2.jpx.co.jp/disc/34790/140120200715463131.pdf</t>
        </is>
      </c>
    </row>
    <row r="30">
      <c r="A30" t="inlineStr">
        <is>
          <t>2020-04-21</t>
        </is>
      </c>
      <c r="B30" t="inlineStr">
        <is>
          <t>2020년 2월 결산기 연간 결산단신</t>
        </is>
      </c>
      <c r="C30" t="inlineStr">
        <is>
          <t>https://www2.jpx.co.jp/disc/34790/140120200421496936.pdf</t>
        </is>
      </c>
    </row>
    <row r="31">
      <c r="A31" t="inlineStr">
        <is>
          <t>2020-01-14</t>
        </is>
      </c>
      <c r="B31" t="inlineStr">
        <is>
          <t>2020년 2월 결산기 ３분기 결산단신</t>
        </is>
      </c>
      <c r="C31" t="inlineStr">
        <is>
          <t>https://www2.jpx.co.jp/disc/34790/140120200114446617.pdf</t>
        </is>
      </c>
    </row>
    <row r="32">
      <c r="A32" t="inlineStr">
        <is>
          <t>2019-10-15</t>
        </is>
      </c>
      <c r="B32" t="inlineStr">
        <is>
          <t>2020년 2월 결산기 ２분기 결산단신</t>
        </is>
      </c>
      <c r="C32" t="inlineStr">
        <is>
          <t>https://www2.jpx.co.jp/disc/34790/140120191015408231.pdf</t>
        </is>
      </c>
    </row>
    <row r="33">
      <c r="A33" t="inlineStr">
        <is>
          <t>2019-07-16</t>
        </is>
      </c>
      <c r="B33" t="inlineStr">
        <is>
          <t>2020년 2월 결산기 １분기 결산단신</t>
        </is>
      </c>
      <c r="C33" t="inlineStr">
        <is>
          <t>https://www2.jpx.co.jp/disc/34790/140120190716472091.pdf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2026-10-25T06:58:57Z</dcterms:created>
  <dcterms:modified xmlns:dcterms="http://purl.org/dc/terms/" xmlns:xsi="http://www.w3.org/2001/XMLSchema-instance" xsi:type="dcterms:W3CDTF">2026-10-25T06:58:57Z</dcterms:modified>
</cp:coreProperties>
</file>