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ser>
          <idx val="5"/>
          <order val="5"/>
          <tx>
            <strRef>
              <f>'재무제표 한눈에 보기'!A29</f>
            </strRef>
          </tx>
          <spPr>
            <a:ln xmlns:a="http://schemas.openxmlformats.org/drawingml/2006/main" w="22000">
              <a:solidFill>
                <a:srgbClr val="264478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보기'!$B$29:$AO$29</f>
            </numRef>
          </val>
          <smooth val="0"/>
        </ser>
        <ser>
          <idx val="6"/>
          <order val="6"/>
          <tx>
            <strRef>
              <f>'재무제표 한눈에 보기'!A30</f>
            </strRef>
          </tx>
          <spPr>
            <a:ln xmlns:a="http://schemas.openxmlformats.org/drawingml/2006/main" w="22000">
              <a:solidFill>
                <a:srgbClr val="9E480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보기'!$B$30:$AO$30</f>
            </numRef>
          </val>
          <smooth val="0"/>
        </ser>
        <ser>
          <idx val="7"/>
          <order val="7"/>
          <tx>
            <strRef>
              <f>'재무제표 한눈에 보기'!A31</f>
            </strRef>
          </tx>
          <spPr>
            <a:ln xmlns:a="http://schemas.openxmlformats.org/drawingml/2006/main" w="22000">
              <a:solidFill>
                <a:srgbClr val="636363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보기'!$B$31:$AO$31</f>
            </numRef>
          </val>
          <smooth val="0"/>
        </ser>
        <ser>
          <idx val="8"/>
          <order val="8"/>
          <tx>
            <strRef>
              <f>'재무제표 한눈에 보기'!A32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보기'!$B$32:$AO$32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34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53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53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7442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11102.634</v>
      </c>
      <c r="D4" s="12" t="n">
        <v>9185.072</v>
      </c>
      <c r="E4" s="12" t="n">
        <v>9764.652</v>
      </c>
      <c r="F4" s="12" t="n">
        <v>9940.687</v>
      </c>
      <c r="G4" s="12" t="n">
        <v>11275.662</v>
      </c>
      <c r="H4" s="12" t="n">
        <v>9968.508</v>
      </c>
      <c r="I4" s="12" t="n">
        <v>10293.367</v>
      </c>
      <c r="J4" s="12" t="n">
        <v>10027.648</v>
      </c>
      <c r="K4" s="12" t="n">
        <v>11675.945</v>
      </c>
      <c r="L4" s="12" t="n">
        <v>11055.543</v>
      </c>
      <c r="M4" s="12" t="n">
        <v>11732.276</v>
      </c>
      <c r="N4" s="12" t="n">
        <v>11034.046</v>
      </c>
      <c r="O4" s="11" t="n">
        <v>47983.783</v>
      </c>
      <c r="P4" s="12" t="n">
        <v>47398.065</v>
      </c>
      <c r="Q4" s="12" t="n">
        <v>48494.965</v>
      </c>
      <c r="R4" s="12" t="n">
        <v>46657.451</v>
      </c>
      <c r="S4" s="12" t="n">
        <v>47865.673</v>
      </c>
      <c r="T4" s="12" t="n">
        <v>42720.495</v>
      </c>
      <c r="U4" s="12" t="n">
        <v>39887.453</v>
      </c>
      <c r="V4" s="12" t="n">
        <v>38593.175</v>
      </c>
      <c r="W4" s="12" t="n">
        <v>40949.509</v>
      </c>
      <c r="X4" s="12" t="n">
        <v>43052.503</v>
      </c>
      <c r="Y4" s="11">
        <f>IF(COUNT(Y7,Y10,Y13,Y16,Y19,Y22,Y25,Y28,Y31,Y34,Y37,Y40)=0,"",SUM(Y7,Y10,Y13,Y16,Y19,Y22,Y25,Y28,Y31,Y34,Y37,Y40))</f>
        <v/>
      </c>
      <c r="Z4" s="12">
        <f>IF(COUNT(Z7,Z10,Z13,Z16,Z19,Z22,Z25,Z28,Z31,Z34,Z37,Z40)=0,"",SUM(Z7,Z10,Z13,Z16,Z19,Z22,Z25,Z28,Z31,Z34,Z37,Z40))</f>
        <v/>
      </c>
      <c r="AA4" s="12">
        <f>IF(COUNT(AA7,AA10,AA13,AA16,AA19,AA22,AA25,AA28,AA31,AA34,AA37,AA40)=0,"",SUM(AA7,AA10,AA13,AA16,AA19,AA22,AA25,AA28,AA31,AA34,AA37,AA40))</f>
        <v/>
      </c>
      <c r="AB4" s="12">
        <f>IF(COUNT(AB7,AB10,AB13,AB16,AB19,AB22,AB25,AB28,AB31,AB34,AB37,AB40)=0,"",SUM(AB7,AB10,AB13,AB16,AB19,AB22,AB25,AB28,AB31,AB34,AB37,AB40))</f>
        <v/>
      </c>
      <c r="AC4" s="12">
        <f>IF(COUNT(AC7,AC10,AC13,AC16,AC19,AC22,AC25,AC28,AC31,AC34,AC37,AC40)=0,"",SUM(AC7,AC10,AC13,AC16,AC19,AC22,AC25,AC28,AC31,AC34,AC37,AC40))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Hokkaidoo Region Reportable Segments</t>
        </is>
      </c>
      <c r="B7" s="10" t="n"/>
      <c r="C7" s="19" t="n"/>
      <c r="D7" s="20" t="n"/>
      <c r="E7" s="20" t="n">
        <v>323.754</v>
      </c>
      <c r="F7" s="20" t="n"/>
      <c r="G7" s="20" t="n"/>
      <c r="H7" s="20" t="n"/>
      <c r="I7" s="20" t="n">
        <v>341.332</v>
      </c>
      <c r="J7" s="20" t="n"/>
      <c r="K7" s="20" t="n"/>
      <c r="L7" s="20" t="n"/>
      <c r="M7" s="20" t="n">
        <v>347.71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Touhoku Kanto Region Reportable Segments</t>
        </is>
      </c>
      <c r="B10" s="10" t="n"/>
      <c r="C10" s="19" t="n"/>
      <c r="D10" s="20" t="n"/>
      <c r="E10" s="20" t="n">
        <v>4028.919</v>
      </c>
      <c r="F10" s="20" t="n"/>
      <c r="G10" s="20" t="n"/>
      <c r="H10" s="20" t="n"/>
      <c r="I10" s="20" t="n">
        <v>4067.303</v>
      </c>
      <c r="J10" s="20" t="n"/>
      <c r="K10" s="20" t="n"/>
      <c r="L10" s="20" t="n"/>
      <c r="M10" s="20" t="n">
        <v>4714.64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Chubu Region Reportable Segments</t>
        </is>
      </c>
      <c r="B13" s="10" t="n"/>
      <c r="C13" s="19" t="n"/>
      <c r="D13" s="20" t="n">
        <v>756.777</v>
      </c>
      <c r="E13" s="20" t="n">
        <v>865.418</v>
      </c>
      <c r="F13" s="20" t="n"/>
      <c r="G13" s="20" t="n"/>
      <c r="H13" s="20" t="n">
        <v>900.481</v>
      </c>
      <c r="I13" s="20" t="n">
        <v>1016.25</v>
      </c>
      <c r="J13" s="20" t="n"/>
      <c r="K13" s="20" t="n"/>
      <c r="L13" s="20" t="n">
        <v>1198.032</v>
      </c>
      <c r="M13" s="20" t="n">
        <v>1296.414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3090.092</v>
      </c>
      <c r="W13" s="20" t="n">
        <v>3552.031</v>
      </c>
      <c r="X13" s="20" t="n">
        <v>4251.304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Kinki Chugoku Shikoku Region Reportable Segments</t>
        </is>
      </c>
      <c r="B16" s="10" t="n"/>
      <c r="C16" s="19" t="n"/>
      <c r="D16" s="20" t="n">
        <v>2164.383</v>
      </c>
      <c r="E16" s="20" t="n">
        <v>2440.647</v>
      </c>
      <c r="F16" s="20" t="n"/>
      <c r="G16" s="20" t="n"/>
      <c r="H16" s="20" t="n">
        <v>2468.651</v>
      </c>
      <c r="I16" s="20" t="n">
        <v>2566.939</v>
      </c>
      <c r="J16" s="20" t="n"/>
      <c r="K16" s="20" t="n"/>
      <c r="L16" s="20" t="n">
        <v>2676.348</v>
      </c>
      <c r="M16" s="20" t="n">
        <v>2826.767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8799.571</v>
      </c>
      <c r="W16" s="20" t="n">
        <v>10044.768</v>
      </c>
      <c r="X16" s="20" t="n">
        <v>10453.491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Kyushu Okinawa Region Reportable Segments</t>
        </is>
      </c>
      <c r="B19" s="10" t="n"/>
      <c r="C19" s="19" t="n"/>
      <c r="D19" s="20" t="n">
        <v>1300.736</v>
      </c>
      <c r="E19" s="20" t="n">
        <v>1358.495</v>
      </c>
      <c r="F19" s="20" t="n"/>
      <c r="G19" s="20" t="n"/>
      <c r="H19" s="20" t="n">
        <v>1413.048</v>
      </c>
      <c r="I19" s="20" t="n">
        <v>1446.648</v>
      </c>
      <c r="J19" s="20" t="n"/>
      <c r="K19" s="20" t="n"/>
      <c r="L19" s="20" t="n">
        <v>1557.803</v>
      </c>
      <c r="M19" s="20" t="n">
        <v>1629.551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5323.28</v>
      </c>
      <c r="W19" s="20" t="n">
        <v>5733.057</v>
      </c>
      <c r="X19" s="20" t="n">
        <v>6110.354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Household Goods Wholesale Business Reportable Segments</t>
        </is>
      </c>
      <c r="B22" s="10" t="n"/>
      <c r="C22" s="19" t="n"/>
      <c r="D22" s="20" t="n">
        <v>8257.691999999999</v>
      </c>
      <c r="E22" s="20" t="n">
        <v>9017.234</v>
      </c>
      <c r="F22" s="20" t="n"/>
      <c r="G22" s="20" t="n"/>
      <c r="H22" s="20" t="n">
        <v>9114.804</v>
      </c>
      <c r="I22" s="20" t="n">
        <v>9438.474</v>
      </c>
      <c r="J22" s="20" t="n"/>
      <c r="K22" s="20" t="n"/>
      <c r="L22" s="20" t="n">
        <v>10100.729</v>
      </c>
      <c r="M22" s="20" t="n">
        <v>10815.083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34574.014</v>
      </c>
      <c r="W22" s="20" t="n">
        <v>37759.798</v>
      </c>
      <c r="X22" s="20" t="n">
        <v>39486.488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Hokkaido Region Reportable Segments</t>
        </is>
      </c>
      <c r="B25" s="10" t="n"/>
      <c r="C25" s="19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1356.154</v>
      </c>
      <c r="W25" s="20" t="n">
        <v>1399.661</v>
      </c>
      <c r="X25" s="20" t="n">
        <v>1447.575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Tohoku Kanto Region Reportable Segments</t>
        </is>
      </c>
      <c r="B28" s="10" t="n"/>
      <c r="C28" s="19" t="n"/>
      <c r="D28" s="20" t="n">
        <v>3739.153</v>
      </c>
      <c r="E28" s="20" t="n"/>
      <c r="F28" s="20" t="n"/>
      <c r="G28" s="20" t="n"/>
      <c r="H28" s="20" t="n">
        <v>4012.265</v>
      </c>
      <c r="I28" s="20" t="n"/>
      <c r="J28" s="20" t="n"/>
      <c r="K28" s="20" t="n"/>
      <c r="L28" s="20" t="n">
        <v>4332.523</v>
      </c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>
        <v>16020.404</v>
      </c>
      <c r="W28" s="20" t="n">
        <v>17031.756</v>
      </c>
      <c r="X28" s="20" t="n">
        <v>17234.077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Plastic Daily Tem Manufacturing Business Reportable Segments</t>
        </is>
      </c>
      <c r="B31" s="10" t="n"/>
      <c r="C31" s="19" t="n"/>
      <c r="D31" s="20" t="n">
        <v>443.811</v>
      </c>
      <c r="E31" s="20" t="n">
        <v>412.728</v>
      </c>
      <c r="F31" s="20" t="n"/>
      <c r="G31" s="20" t="n"/>
      <c r="H31" s="20" t="n">
        <v>469.971</v>
      </c>
      <c r="I31" s="20" t="n">
        <v>473.548</v>
      </c>
      <c r="J31" s="20" t="n"/>
      <c r="K31" s="20" t="n"/>
      <c r="L31" s="20" t="n">
        <v>536.9400000000001</v>
      </c>
      <c r="M31" s="20" t="n">
        <v>533.985</v>
      </c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>
        <v>2034.966</v>
      </c>
      <c r="W31" s="20" t="n">
        <v>1760.787</v>
      </c>
      <c r="X31" s="20" t="n">
        <v>2044.174</v>
      </c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Intelia Goods Manufacturing And Sales Business Reportable Segments</t>
        </is>
      </c>
      <c r="B34" s="10" t="n"/>
      <c r="C34" s="19" t="n"/>
      <c r="D34" s="20" t="n">
        <v>360.578</v>
      </c>
      <c r="E34" s="20" t="n">
        <v>334.69</v>
      </c>
      <c r="F34" s="20" t="n"/>
      <c r="G34" s="20" t="n"/>
      <c r="H34" s="20" t="n">
        <v>378.007</v>
      </c>
      <c r="I34" s="20" t="n">
        <v>352.62</v>
      </c>
      <c r="J34" s="20" t="n"/>
      <c r="K34" s="20" t="n"/>
      <c r="L34" s="20" t="n">
        <v>409.74</v>
      </c>
      <c r="M34" s="20" t="n">
        <v>381.734</v>
      </c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>
        <v>1372.759</v>
      </c>
      <c r="W34" s="20" t="n">
        <v>1421.56</v>
      </c>
      <c r="X34" s="20" t="n">
        <v>1479.145</v>
      </c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8" t="inlineStr">
        <is>
          <t>Household Goods Manufacturing And Sales Business</t>
        </is>
      </c>
      <c r="B37" s="10" t="n"/>
      <c r="C37" s="19" t="n"/>
      <c r="D37" s="20" t="n"/>
      <c r="E37" s="20" t="n">
        <v>0</v>
      </c>
      <c r="F37" s="20" t="n"/>
      <c r="G37" s="20" t="n"/>
      <c r="H37" s="20" t="n">
        <v>5.726</v>
      </c>
      <c r="I37" s="20" t="n">
        <v>28.724</v>
      </c>
      <c r="J37" s="20" t="n"/>
      <c r="K37" s="20" t="n"/>
      <c r="L37" s="20" t="n">
        <v>8.135</v>
      </c>
      <c r="M37" s="20" t="n">
        <v>1.472</v>
      </c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>
        <v>7.362</v>
      </c>
      <c r="X37" s="20" t="n">
        <v>42.695</v>
      </c>
      <c r="Y37" s="21" t="n"/>
      <c r="Z37" s="22" t="n"/>
      <c r="AA37" s="22" t="n"/>
      <c r="AB37" s="22" t="n"/>
      <c r="AC37" s="22" t="n"/>
    </row>
    <row r="38">
      <c r="A38" s="13" t="inlineStr">
        <is>
          <t>비중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8" t="inlineStr">
        <is>
          <t>기타</t>
        </is>
      </c>
      <c r="B40" s="10" t="n"/>
      <c r="C40" s="19" t="n"/>
      <c r="D40" s="20" t="n">
        <v>122.99</v>
      </c>
      <c r="E40" s="20" t="n">
        <v>130.883</v>
      </c>
      <c r="F40" s="20" t="n"/>
      <c r="G40" s="20" t="n"/>
      <c r="H40" s="20" t="n">
        <v>111.162</v>
      </c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>
        <v>611.4349999999999</v>
      </c>
      <c r="W40" s="20" t="n">
        <v>458.608</v>
      </c>
      <c r="X40" s="20" t="n"/>
      <c r="Y40" s="21" t="n"/>
      <c r="Z40" s="22" t="n"/>
      <c r="AA40" s="22" t="n"/>
      <c r="AB40" s="22" t="n"/>
      <c r="AC40" s="22" t="n"/>
    </row>
    <row r="41">
      <c r="A41" s="13" t="inlineStr">
        <is>
          <t>비중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>
        <f>IF(OR(Y40="",Y4=""),"",IFERROR(Y40/Y4,""))</f>
        <v/>
      </c>
      <c r="Z41" s="15">
        <f>IF(OR(Z40="",Z4=""),"",IFERROR(Z40/Z4,""))</f>
        <v/>
      </c>
      <c r="AA41" s="15">
        <f>IF(OR(AA40="",AA4=""),"",IFERROR(AA40/AA4,""))</f>
        <v/>
      </c>
      <c r="AB41" s="15">
        <f>IF(OR(AB40="",AB4=""),"",IFERROR(AB40/AB4,""))</f>
        <v/>
      </c>
      <c r="AC41" s="15">
        <f>IF(OR(AC40="",AC4=""),"",IFERROR(AC40/AC4,""))</f>
        <v/>
      </c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매출원가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전체 매출원가</t>
        </is>
      </c>
      <c r="B44" s="10" t="n"/>
      <c r="C44" s="19" t="n">
        <v>9204.987999999999</v>
      </c>
      <c r="D44" s="20" t="n">
        <v>7544.066</v>
      </c>
      <c r="E44" s="20" t="n">
        <v>7896.995</v>
      </c>
      <c r="F44" s="20" t="n">
        <v>7994.923</v>
      </c>
      <c r="G44" s="20" t="n">
        <v>9236.227000000001</v>
      </c>
      <c r="H44" s="20" t="n">
        <v>8001.904</v>
      </c>
      <c r="I44" s="20" t="n">
        <v>8252.692999999999</v>
      </c>
      <c r="J44" s="20" t="n">
        <v>8039.917</v>
      </c>
      <c r="K44" s="20" t="n">
        <v>9543.164000000001</v>
      </c>
      <c r="L44" s="20" t="n">
        <v>8821.204</v>
      </c>
      <c r="M44" s="20" t="n">
        <v>9351.190000000001</v>
      </c>
      <c r="N44" s="20" t="n">
        <v>8757.726000000001</v>
      </c>
      <c r="O44" s="19" t="n">
        <v>38919.566</v>
      </c>
      <c r="P44" s="20" t="n">
        <v>38672.533</v>
      </c>
      <c r="Q44" s="20" t="n">
        <v>39363.197</v>
      </c>
      <c r="R44" s="20" t="n">
        <v>37720.444</v>
      </c>
      <c r="S44" s="20" t="n">
        <v>38103.909</v>
      </c>
      <c r="T44" s="20" t="n">
        <v>34339.998</v>
      </c>
      <c r="U44" s="20" t="n">
        <v>31982.106</v>
      </c>
      <c r="V44" s="20" t="n">
        <v>31417.21</v>
      </c>
      <c r="W44" s="20" t="n">
        <v>33130.049</v>
      </c>
      <c r="X44" s="20" t="n">
        <v>34656.978</v>
      </c>
      <c r="Y44" s="19" t="n"/>
      <c r="Z44" s="20" t="n"/>
      <c r="AA44" s="20" t="n"/>
      <c r="AB44" s="20" t="n"/>
      <c r="AC44" s="20" t="n"/>
    </row>
    <row r="45">
      <c r="A45" s="13" t="inlineStr">
        <is>
          <t>YoY</t>
        </is>
      </c>
      <c r="B45" s="10" t="n"/>
      <c r="C45" s="14" t="n"/>
      <c r="D45" s="15" t="n"/>
      <c r="E45" s="15" t="n"/>
      <c r="F45" s="15" t="n"/>
      <c r="G45" s="15">
        <f>IF(OR(G44="",C44=""),"",IF(C44&lt;=0,"",IFERROR(G44/C44-1,"")))</f>
        <v/>
      </c>
      <c r="H45" s="15">
        <f>IF(OR(H44="",D44=""),"",IF(D44&lt;=0,"",IFERROR(H44/D44-1,"")))</f>
        <v/>
      </c>
      <c r="I45" s="15">
        <f>IF(OR(I44="",E44=""),"",IF(E44&lt;=0,"",IFERROR(I44/E44-1,"")))</f>
        <v/>
      </c>
      <c r="J45" s="15">
        <f>IF(OR(J44="",F44=""),"",IF(F44&lt;=0,"",IFERROR(J44/F44-1,"")))</f>
        <v/>
      </c>
      <c r="K45" s="15">
        <f>IF(OR(K44="",G44=""),"",IF(G44&lt;=0,"",IFERROR(K44/G44-1,"")))</f>
        <v/>
      </c>
      <c r="L45" s="15">
        <f>IF(OR(L44="",H44=""),"",IF(H44&lt;=0,"",IFERROR(L44/H44-1,"")))</f>
        <v/>
      </c>
      <c r="M45" s="15">
        <f>IF(OR(M44="",I44=""),"",IF(I44&lt;=0,"",IFERROR(M44/I44-1,"")))</f>
        <v/>
      </c>
      <c r="N45" s="15">
        <f>IF(OR(N44="",J44=""),"",IF(J44&lt;=0,"",IFERROR(N44/J44-1,"")))</f>
        <v/>
      </c>
      <c r="O45" s="14" t="n"/>
      <c r="P45" s="15">
        <f>IF(OR(P44="",O44=""),"",IF(O44&lt;=0,"",IFERROR(P44/O44-1,"")))</f>
        <v/>
      </c>
      <c r="Q45" s="15">
        <f>IF(OR(Q44="",P44=""),"",IF(P44&lt;=0,"",IFERROR(Q44/P44-1,"")))</f>
        <v/>
      </c>
      <c r="R45" s="15">
        <f>IF(OR(R44="",Q44=""),"",IF(Q44&lt;=0,"",IFERROR(R44/Q44-1,"")))</f>
        <v/>
      </c>
      <c r="S45" s="15">
        <f>IF(OR(S44="",R44=""),"",IF(R44&lt;=0,"",IFERROR(S44/R44-1,"")))</f>
        <v/>
      </c>
      <c r="T45" s="15">
        <f>IF(OR(T44="",S44=""),"",IF(S44&lt;=0,"",IFERROR(T44/S44-1,"")))</f>
        <v/>
      </c>
      <c r="U45" s="15">
        <f>IF(OR(U44="",T44=""),"",IF(T44&lt;=0,"",IFERROR(U44/T44-1,"")))</f>
        <v/>
      </c>
      <c r="V45" s="15">
        <f>IF(OR(V44="",U44=""),"",IF(U44&lt;=0,"",IFERROR(V44/U44-1,"")))</f>
        <v/>
      </c>
      <c r="W45" s="15">
        <f>IF(OR(W44="",V44=""),"",IF(V44&lt;=0,"",IFERROR(W44/V44-1,"")))</f>
        <v/>
      </c>
      <c r="X45" s="15">
        <f>IF(OR(X44="",W44=""),"",IF(W44&lt;=0,"",IFERROR(X44/W44-1,"")))</f>
        <v/>
      </c>
      <c r="Y45" s="14">
        <f>IF(OR(Y44="",X44=""),"",IF(X44&lt;=0,"",IFERROR(Y44/X44-1,"")))</f>
        <v/>
      </c>
      <c r="Z45" s="15">
        <f>IF(OR(Z44="",Y44=""),"",IF(Y44&lt;=0,"",IFERROR(Z44/Y44-1,"")))</f>
        <v/>
      </c>
      <c r="AA45" s="15">
        <f>IF(OR(AA44="",Z44=""),"",IF(Z44&lt;=0,"",IFERROR(AA44/Z44-1,"")))</f>
        <v/>
      </c>
      <c r="AB45" s="15">
        <f>IF(OR(AB44="",AA44=""),"",IF(AA44&lt;=0,"",IFERROR(AB44/AA44-1,"")))</f>
        <v/>
      </c>
      <c r="AC45" s="15">
        <f>IF(OR(AC44="",AB44=""),"",IF(AB44&lt;=0,"",IFERROR(AC44/AB44-1,"")))</f>
        <v/>
      </c>
    </row>
    <row r="46">
      <c r="A46" s="18" t="inlineStr">
        <is>
          <t>매출총이익</t>
        </is>
      </c>
      <c r="B46" s="10" t="n"/>
      <c r="C46" s="19">
        <f>IF(OR(C4="",C44=""),"",IFERROR(C4-C44,""))</f>
        <v/>
      </c>
      <c r="D46" s="20">
        <f>IF(OR(D4="",D44=""),"",IFERROR(D4-D44,""))</f>
        <v/>
      </c>
      <c r="E46" s="20">
        <f>IF(OR(E4="",E44=""),"",IFERROR(E4-E44,""))</f>
        <v/>
      </c>
      <c r="F46" s="20">
        <f>IF(OR(F4="",F44=""),"",IFERROR(F4-F44,""))</f>
        <v/>
      </c>
      <c r="G46" s="20">
        <f>IF(OR(G4="",G44=""),"",IFERROR(G4-G44,""))</f>
        <v/>
      </c>
      <c r="H46" s="20">
        <f>IF(OR(H4="",H44=""),"",IFERROR(H4-H44,""))</f>
        <v/>
      </c>
      <c r="I46" s="20">
        <f>IF(OR(I4="",I44=""),"",IFERROR(I4-I44,""))</f>
        <v/>
      </c>
      <c r="J46" s="20">
        <f>IF(OR(J4="",J44=""),"",IFERROR(J4-J44,""))</f>
        <v/>
      </c>
      <c r="K46" s="20">
        <f>IF(OR(K4="",K44=""),"",IFERROR(K4-K44,""))</f>
        <v/>
      </c>
      <c r="L46" s="20">
        <f>IF(OR(L4="",L44=""),"",IFERROR(L4-L44,""))</f>
        <v/>
      </c>
      <c r="M46" s="20">
        <f>IF(OR(M4="",M44=""),"",IFERROR(M4-M44,""))</f>
        <v/>
      </c>
      <c r="N46" s="20">
        <f>IF(OR(N4="",N44=""),"",IFERROR(N4-N44,""))</f>
        <v/>
      </c>
      <c r="O46" s="19">
        <f>IF(OR(O4="",O44=""),"",IFERROR(O4-O44,""))</f>
        <v/>
      </c>
      <c r="P46" s="20">
        <f>IF(OR(P4="",P44=""),"",IFERROR(P4-P44,""))</f>
        <v/>
      </c>
      <c r="Q46" s="20">
        <f>IF(OR(Q4="",Q44=""),"",IFERROR(Q4-Q44,""))</f>
        <v/>
      </c>
      <c r="R46" s="20">
        <f>IF(OR(R4="",R44=""),"",IFERROR(R4-R44,""))</f>
        <v/>
      </c>
      <c r="S46" s="20">
        <f>IF(OR(S4="",S44=""),"",IFERROR(S4-S44,""))</f>
        <v/>
      </c>
      <c r="T46" s="20">
        <f>IF(OR(T4="",T44=""),"",IFERROR(T4-T44,""))</f>
        <v/>
      </c>
      <c r="U46" s="20">
        <f>IF(OR(U4="",U44=""),"",IFERROR(U4-U44,""))</f>
        <v/>
      </c>
      <c r="V46" s="20">
        <f>IF(OR(V4="",V44=""),"",IFERROR(V4-V44,""))</f>
        <v/>
      </c>
      <c r="W46" s="20">
        <f>IF(OR(W4="",W44=""),"",IFERROR(W4-W44,""))</f>
        <v/>
      </c>
      <c r="X46" s="20">
        <f>IF(OR(X4="",X44=""),"",IFERROR(X4-X44,""))</f>
        <v/>
      </c>
      <c r="Y46" s="19" t="n"/>
      <c r="Z46" s="20" t="n"/>
      <c r="AA46" s="20" t="n"/>
      <c r="AB46" s="20" t="n"/>
      <c r="AC46" s="20" t="n"/>
    </row>
    <row r="47">
      <c r="A47" s="13" t="inlineStr">
        <is>
          <t>GPM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>
        <f>IF(OR(Y46="",Y4=""),"",IFERROR(Y46/Y4,""))</f>
        <v/>
      </c>
      <c r="Z47" s="15">
        <f>IF(OR(Z46="",Z4=""),"",IFERROR(Z46/Z4,""))</f>
        <v/>
      </c>
      <c r="AA47" s="15">
        <f>IF(OR(AA46="",AA4=""),"",IFERROR(AA46/AA4,""))</f>
        <v/>
      </c>
      <c r="AB47" s="15">
        <f>IF(OR(AB46="",AB4=""),"",IFERROR(AB46/AB4,""))</f>
        <v/>
      </c>
      <c r="AC47" s="15">
        <f>IF(OR(AC46="",AC4=""),"",IFERROR(AC46/AC4,""))</f>
        <v/>
      </c>
    </row>
    <row r="48">
      <c r="A48" s="13" t="inlineStr">
        <is>
          <t>YoY</t>
        </is>
      </c>
      <c r="B48" s="10" t="n"/>
      <c r="C48" s="14" t="n"/>
      <c r="D48" s="15" t="n"/>
      <c r="E48" s="15" t="n"/>
      <c r="F48" s="15" t="n"/>
      <c r="G48" s="15">
        <f>IF(OR(G46="",C46=""),"",IF(C46&lt;=0,"",IFERROR(G46/C46-1,"")))</f>
        <v/>
      </c>
      <c r="H48" s="15">
        <f>IF(OR(H46="",D46=""),"",IF(D46&lt;=0,"",IFERROR(H46/D46-1,"")))</f>
        <v/>
      </c>
      <c r="I48" s="15">
        <f>IF(OR(I46="",E46=""),"",IF(E46&lt;=0,"",IFERROR(I46/E46-1,"")))</f>
        <v/>
      </c>
      <c r="J48" s="15">
        <f>IF(OR(J46="",F46=""),"",IF(F46&lt;=0,"",IFERROR(J46/F46-1,"")))</f>
        <v/>
      </c>
      <c r="K48" s="15">
        <f>IF(OR(K46="",G46=""),"",IF(G46&lt;=0,"",IFERROR(K46/G46-1,"")))</f>
        <v/>
      </c>
      <c r="L48" s="15">
        <f>IF(OR(L46="",H46=""),"",IF(H46&lt;=0,"",IFERROR(L46/H46-1,"")))</f>
        <v/>
      </c>
      <c r="M48" s="15">
        <f>IF(OR(M46="",I46=""),"",IF(I46&lt;=0,"",IFERROR(M46/I46-1,"")))</f>
        <v/>
      </c>
      <c r="N48" s="15">
        <f>IF(OR(N46="",J46=""),"",IF(J46&lt;=0,"",IFERROR(N46/J46-1,"")))</f>
        <v/>
      </c>
      <c r="O48" s="14" t="n"/>
      <c r="P48" s="15">
        <f>IF(OR(P46="",O46=""),"",IF(O46&lt;=0,"",IFERROR(P46/O46-1,"")))</f>
        <v/>
      </c>
      <c r="Q48" s="15">
        <f>IF(OR(Q46="",P46=""),"",IF(P46&lt;=0,"",IFERROR(Q46/P46-1,"")))</f>
        <v/>
      </c>
      <c r="R48" s="15">
        <f>IF(OR(R46="",Q46=""),"",IF(Q46&lt;=0,"",IFERROR(R46/Q46-1,"")))</f>
        <v/>
      </c>
      <c r="S48" s="15">
        <f>IF(OR(S46="",R46=""),"",IF(R46&lt;=0,"",IFERROR(S46/R46-1,"")))</f>
        <v/>
      </c>
      <c r="T48" s="15">
        <f>IF(OR(T46="",S46=""),"",IF(S46&lt;=0,"",IFERROR(T46/S46-1,"")))</f>
        <v/>
      </c>
      <c r="U48" s="15">
        <f>IF(OR(U46="",T46=""),"",IF(T46&lt;=0,"",IFERROR(U46/T46-1,"")))</f>
        <v/>
      </c>
      <c r="V48" s="15">
        <f>IF(OR(V46="",U46=""),"",IF(U46&lt;=0,"",IFERROR(V46/U46-1,"")))</f>
        <v/>
      </c>
      <c r="W48" s="15">
        <f>IF(OR(W46="",V46=""),"",IF(V46&lt;=0,"",IFERROR(W46/V46-1,"")))</f>
        <v/>
      </c>
      <c r="X48" s="15">
        <f>IF(OR(X46="",W46=""),"",IF(W46&lt;=0,"",IFERROR(X46/W46-1,"")))</f>
        <v/>
      </c>
      <c r="Y48" s="14">
        <f>IF(OR(Y46="",X46=""),"",IF(X46&lt;=0,"",IFERROR(Y46/X46-1,"")))</f>
        <v/>
      </c>
      <c r="Z48" s="15">
        <f>IF(OR(Z46="",Y46=""),"",IF(Y46&lt;=0,"",IFERROR(Z46/Y46-1,"")))</f>
        <v/>
      </c>
      <c r="AA48" s="15">
        <f>IF(OR(AA46="",Z46=""),"",IF(Z46&lt;=0,"",IFERROR(AA46/Z46-1,"")))</f>
        <v/>
      </c>
      <c r="AB48" s="15">
        <f>IF(OR(AB46="",AA46=""),"",IF(AA46&lt;=0,"",IFERROR(AB46/AA46-1,"")))</f>
        <v/>
      </c>
      <c r="AC48" s="15">
        <f>IF(OR(AC46="",AB46=""),"",IF(AB46&lt;=0,"",IFERROR(AC46/AB46-1,"")))</f>
        <v/>
      </c>
    </row>
    <row r="49">
      <c r="A49" s="23" t="inlineStr">
        <is>
          <t>판매관리비</t>
        </is>
      </c>
      <c r="B49" s="23" t="n"/>
      <c r="C49" s="24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4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4" t="n"/>
      <c r="Z49" s="23" t="n"/>
      <c r="AA49" s="23" t="n"/>
      <c r="AB49" s="23" t="n"/>
      <c r="AC49" s="23" t="n"/>
    </row>
    <row r="50">
      <c r="A50" s="18" t="inlineStr">
        <is>
          <t>전체 판관비</t>
        </is>
      </c>
      <c r="B50" s="10" t="n"/>
      <c r="C50" s="19" t="n">
        <v>1916.651</v>
      </c>
      <c r="D50" s="20" t="n">
        <v>1893.997</v>
      </c>
      <c r="E50" s="20" t="n">
        <v>1903.758</v>
      </c>
      <c r="F50" s="20" t="n">
        <v>1902.678</v>
      </c>
      <c r="G50" s="20" t="n">
        <v>1914.348</v>
      </c>
      <c r="H50" s="20" t="n">
        <v>1944.102</v>
      </c>
      <c r="I50" s="20" t="n">
        <v>1913.254</v>
      </c>
      <c r="J50" s="20" t="n">
        <v>1922.124</v>
      </c>
      <c r="K50" s="20" t="n">
        <v>1998.862</v>
      </c>
      <c r="L50" s="20" t="n">
        <v>2029.913</v>
      </c>
      <c r="M50" s="20" t="n">
        <v>1998.447</v>
      </c>
      <c r="N50" s="20" t="n">
        <v>2020.153</v>
      </c>
      <c r="O50" s="19" t="n">
        <v>8430.523999999999</v>
      </c>
      <c r="P50" s="20" t="n">
        <v>8516.412</v>
      </c>
      <c r="Q50" s="20" t="n">
        <v>8989.454</v>
      </c>
      <c r="R50" s="20" t="n">
        <v>8888.679</v>
      </c>
      <c r="S50" s="20" t="n">
        <v>8889.069</v>
      </c>
      <c r="T50" s="20" t="n">
        <v>7826.737</v>
      </c>
      <c r="U50" s="20" t="n">
        <v>7789.665</v>
      </c>
      <c r="V50" s="20" t="n">
        <v>7646.104</v>
      </c>
      <c r="W50" s="20" t="n">
        <v>7664.886</v>
      </c>
      <c r="X50" s="20" t="n">
        <v>7864.153</v>
      </c>
      <c r="Y50" s="19" t="n"/>
      <c r="Z50" s="20" t="n"/>
      <c r="AA50" s="20" t="n"/>
      <c r="AB50" s="20" t="n"/>
      <c r="AC50" s="20" t="n"/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영업이익</t>
        </is>
      </c>
      <c r="B52" s="10" t="inlineStr">
        <is>
          <t>MW = 매출 × OPM</t>
        </is>
      </c>
      <c r="C52" s="11" t="n">
        <v>-19.005</v>
      </c>
      <c r="D52" s="12" t="n">
        <v>-252.99</v>
      </c>
      <c r="E52" s="12" t="n">
        <v>-36.101</v>
      </c>
      <c r="F52" s="12" t="n">
        <v>43.085</v>
      </c>
      <c r="G52" s="12" t="n">
        <v>125.086</v>
      </c>
      <c r="H52" s="12" t="n">
        <v>22.503</v>
      </c>
      <c r="I52" s="12" t="n">
        <v>127.418</v>
      </c>
      <c r="J52" s="12" t="n">
        <v>65.608</v>
      </c>
      <c r="K52" s="12" t="n">
        <v>133.919</v>
      </c>
      <c r="L52" s="12" t="n">
        <v>204.425</v>
      </c>
      <c r="M52" s="12" t="n">
        <v>382.637</v>
      </c>
      <c r="N52" s="12" t="n">
        <v>256.167</v>
      </c>
      <c r="O52" s="11" t="n">
        <v>633.692</v>
      </c>
      <c r="P52" s="12" t="n">
        <v>209.119</v>
      </c>
      <c r="Q52" s="12" t="n">
        <v>142.313</v>
      </c>
      <c r="R52" s="12" t="n">
        <v>48.328</v>
      </c>
      <c r="S52" s="12" t="n">
        <v>872.694</v>
      </c>
      <c r="T52" s="12" t="n">
        <v>553.758</v>
      </c>
      <c r="U52" s="12" t="n">
        <v>115.681</v>
      </c>
      <c r="V52" s="12" t="n">
        <v>-470.138</v>
      </c>
      <c r="W52" s="12" t="n">
        <v>154.573</v>
      </c>
      <c r="X52" s="12" t="n">
        <v>531.37</v>
      </c>
      <c r="Y52" s="11">
        <f>IF(OR(Y4="",Y53=""),"",IFERROR(Y4*Y53,""))</f>
        <v/>
      </c>
      <c r="Z52" s="12">
        <f>IF(OR(Z4="",Z53=""),"",IFERROR(Z4*Z53,""))</f>
        <v/>
      </c>
      <c r="AA52" s="12">
        <f>IF(OR(AA4="",AA53=""),"",IFERROR(AA4*AA53,""))</f>
        <v/>
      </c>
      <c r="AB52" s="12">
        <f>IF(OR(AB4="",AB53=""),"",IFERROR(AB4*AB53,""))</f>
        <v/>
      </c>
      <c r="AC52" s="12">
        <f>IF(OR(AC4="",AC53=""),"",IFERROR(AC4*AC53,""))</f>
        <v/>
      </c>
    </row>
    <row r="53">
      <c r="A53" s="13" t="inlineStr">
        <is>
          <t>OPM</t>
        </is>
      </c>
      <c r="B53" s="10" t="inlineStr">
        <is>
          <t>MW 입력</t>
        </is>
      </c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 t="n"/>
      <c r="Z53" s="26" t="n"/>
      <c r="AA53" s="26" t="n"/>
      <c r="AB53" s="26" t="n"/>
      <c r="AC53" s="26" t="n"/>
    </row>
    <row r="54">
      <c r="A54" s="13" t="inlineStr">
        <is>
          <t>증가율</t>
        </is>
      </c>
      <c r="B54" s="10" t="n"/>
      <c r="C54" s="14" t="n"/>
      <c r="D54" s="15" t="n"/>
      <c r="E54" s="15" t="n"/>
      <c r="F54" s="15" t="n"/>
      <c r="G54" s="15">
        <f>IF(OR(G52="",C52=""),"",IFERROR(G52/C52-1,""))</f>
        <v/>
      </c>
      <c r="H54" s="15">
        <f>IF(OR(H52="",D52=""),"",IFERROR(H52/D52-1,""))</f>
        <v/>
      </c>
      <c r="I54" s="15">
        <f>IF(OR(I52="",E52=""),"",IFERROR(I52/E52-1,""))</f>
        <v/>
      </c>
      <c r="J54" s="15">
        <f>IF(OR(J52="",F52=""),"",IFERROR(J52/F52-1,""))</f>
        <v/>
      </c>
      <c r="K54" s="15">
        <f>IF(OR(K52="",G52=""),"",IFERROR(K52/G52-1,""))</f>
        <v/>
      </c>
      <c r="L54" s="15">
        <f>IF(OR(L52="",H52=""),"",IFERROR(L52/H52-1,""))</f>
        <v/>
      </c>
      <c r="M54" s="15">
        <f>IF(OR(M52="",I52=""),"",IFERROR(M52/I52-1,""))</f>
        <v/>
      </c>
      <c r="N54" s="15">
        <f>IF(OR(N52="",J52=""),"",IFERROR(N52/J52-1,""))</f>
        <v/>
      </c>
      <c r="O54" s="14" t="n"/>
      <c r="P54" s="15">
        <f>IF(OR(P52="",O52=""),"",IFERROR(P52/O52-1,""))</f>
        <v/>
      </c>
      <c r="Q54" s="15">
        <f>IF(OR(Q52="",P52=""),"",IFERROR(Q52/P52-1,""))</f>
        <v/>
      </c>
      <c r="R54" s="15">
        <f>IF(OR(R52="",Q52=""),"",IFERROR(R52/Q52-1,""))</f>
        <v/>
      </c>
      <c r="S54" s="15">
        <f>IF(OR(S52="",R52=""),"",IFERROR(S52/R52-1,""))</f>
        <v/>
      </c>
      <c r="T54" s="15">
        <f>IF(OR(T52="",S52=""),"",IFERROR(T52/S52-1,""))</f>
        <v/>
      </c>
      <c r="U54" s="15">
        <f>IF(OR(U52="",T52=""),"",IFERROR(U52/T52-1,""))</f>
        <v/>
      </c>
      <c r="V54" s="15">
        <f>IF(OR(V52="",U52=""),"",IFERROR(V52/U52-1,""))</f>
        <v/>
      </c>
      <c r="W54" s="15">
        <f>IF(OR(W52="",V52=""),"",IFERROR(W52/V52-1,""))</f>
        <v/>
      </c>
      <c r="X54" s="15">
        <f>IF(OR(X52="",W52=""),"",IFERROR(X52/W52-1,""))</f>
        <v/>
      </c>
      <c r="Y54" s="14">
        <f>IF(OR(Y52="",X52=""),"",IFERROR(Y52/X52-1,""))</f>
        <v/>
      </c>
      <c r="Z54" s="15">
        <f>IF(OR(Z52="",Y52=""),"",IFERROR(Z52/Y52-1,""))</f>
        <v/>
      </c>
      <c r="AA54" s="15">
        <f>IF(OR(AA52="",Z52=""),"",IFERROR(AA52/Z52-1,""))</f>
        <v/>
      </c>
      <c r="AB54" s="15">
        <f>IF(OR(AB52="",AA52=""),"",IFERROR(AB52/AA52-1,""))</f>
        <v/>
      </c>
      <c r="AC54" s="15">
        <f>IF(OR(AC52="",AB52=""),"",IFERROR(AC52/AB52-1,""))</f>
        <v/>
      </c>
    </row>
    <row r="55">
      <c r="A55" s="16" t="inlineStr">
        <is>
          <t>비용의 성격별 분류</t>
        </is>
      </c>
      <c r="B55" s="16" t="inlineStr">
        <is>
          <t>참고 데이터</t>
        </is>
      </c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9" t="inlineStr">
        <is>
          <t>총 판관비</t>
        </is>
      </c>
      <c r="B56" s="10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1">
        <f>IF(O50="","",O50)</f>
        <v/>
      </c>
      <c r="P56" s="12">
        <f>IF(P50="","",P50)</f>
        <v/>
      </c>
      <c r="Q56" s="12">
        <f>IF(Q50="","",Q50)</f>
        <v/>
      </c>
      <c r="R56" s="12">
        <f>IF(R50="","",R50)</f>
        <v/>
      </c>
      <c r="S56" s="12">
        <f>IF(S50="","",S50)</f>
        <v/>
      </c>
      <c r="T56" s="12">
        <f>IF(T50="","",T50)</f>
        <v/>
      </c>
      <c r="U56" s="12">
        <f>IF(U50="","",U50)</f>
        <v/>
      </c>
      <c r="V56" s="12">
        <f>IF(V50="","",V50)</f>
        <v/>
      </c>
      <c r="W56" s="12">
        <f>IF(W50="","",W50)</f>
        <v/>
      </c>
      <c r="X56" s="12">
        <f>IF(X50="","",X50)</f>
        <v/>
      </c>
      <c r="Y56" s="11" t="n"/>
      <c r="Z56" s="12" t="n"/>
      <c r="AA56" s="12" t="n"/>
      <c r="AB56" s="12" t="n"/>
      <c r="AC56" s="12" t="n"/>
    </row>
    <row r="57">
      <c r="A57" s="18" t="inlineStr">
        <is>
          <t>급여</t>
        </is>
      </c>
      <c r="B57" s="10" t="inlineStr">
        <is>
          <t>고정비</t>
        </is>
      </c>
      <c r="C57" s="19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19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19" t="n"/>
      <c r="Z57" s="20" t="n"/>
      <c r="AA57" s="20" t="n"/>
      <c r="AB57" s="20" t="n"/>
      <c r="AC57" s="20" t="n"/>
    </row>
    <row r="58">
      <c r="A58" s="13" t="inlineStr">
        <is>
          <t>% of Sales</t>
        </is>
      </c>
      <c r="B58" s="10" t="n"/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14" t="n"/>
      <c r="Z58" s="15" t="n"/>
      <c r="AA58" s="15" t="n"/>
      <c r="AB58" s="15" t="n"/>
      <c r="AC58" s="15" t="n"/>
    </row>
    <row r="59">
      <c r="A59" s="18" t="inlineStr">
        <is>
          <t>감가상각비</t>
        </is>
      </c>
      <c r="B59" s="10" t="inlineStr">
        <is>
          <t>고정비</t>
        </is>
      </c>
      <c r="C59" s="19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19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19" t="n"/>
      <c r="Z59" s="20" t="n"/>
      <c r="AA59" s="20" t="n"/>
      <c r="AB59" s="20" t="n"/>
      <c r="AC59" s="20" t="n"/>
    </row>
    <row r="60">
      <c r="A60" s="13" t="inlineStr">
        <is>
          <t>% of Sales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14" t="n"/>
      <c r="Z60" s="15" t="n"/>
      <c r="AA60" s="15" t="n"/>
      <c r="AB60" s="15" t="n"/>
      <c r="AC60" s="15" t="n"/>
    </row>
    <row r="61">
      <c r="A61" s="18" t="inlineStr">
        <is>
          <t>지급수수료</t>
        </is>
      </c>
      <c r="B61" s="10" t="inlineStr">
        <is>
          <t>고정비</t>
        </is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% of Sales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14" t="n"/>
      <c r="Z62" s="15" t="n"/>
      <c r="AA62" s="15" t="n"/>
      <c r="AB62" s="15" t="n"/>
      <c r="AC62" s="15" t="n"/>
    </row>
    <row r="63">
      <c r="A63" s="18" t="inlineStr">
        <is>
          <t>연구개발비</t>
        </is>
      </c>
      <c r="B63" s="10" t="inlineStr">
        <is>
          <t>변동비</t>
        </is>
      </c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19" t="n"/>
      <c r="Z63" s="20" t="n"/>
      <c r="AA63" s="20" t="n"/>
      <c r="AB63" s="20" t="n"/>
      <c r="AC63" s="20" t="n"/>
    </row>
    <row r="64">
      <c r="A64" s="13" t="inlineStr">
        <is>
          <t>% of Sales</t>
        </is>
      </c>
      <c r="B64" s="10" t="n"/>
      <c r="C64" s="14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4">
        <f>IF(OR(O63="",O4=""),"",IFERROR(O63/O4,""))</f>
        <v/>
      </c>
      <c r="P64" s="15">
        <f>IF(OR(P63="",P4=""),"",IFERROR(P63/P4,""))</f>
        <v/>
      </c>
      <c r="Q64" s="15">
        <f>IF(OR(Q63="",Q4=""),"",IFERROR(Q63/Q4,""))</f>
        <v/>
      </c>
      <c r="R64" s="15">
        <f>IF(OR(R63="",R4=""),"",IFERROR(R63/R4,""))</f>
        <v/>
      </c>
      <c r="S64" s="15">
        <f>IF(OR(S63="",S4=""),"",IFERROR(S63/S4,""))</f>
        <v/>
      </c>
      <c r="T64" s="15">
        <f>IF(OR(T63="",T4=""),"",IFERROR(T63/T4,""))</f>
        <v/>
      </c>
      <c r="U64" s="15">
        <f>IF(OR(U63="",U4=""),"",IFERROR(U63/U4,""))</f>
        <v/>
      </c>
      <c r="V64" s="15">
        <f>IF(OR(V63="",V4=""),"",IFERROR(V63/V4,""))</f>
        <v/>
      </c>
      <c r="W64" s="15">
        <f>IF(OR(W63="",W4=""),"",IFERROR(W63/W4,""))</f>
        <v/>
      </c>
      <c r="X64" s="15">
        <f>IF(OR(X63="",X4=""),"",IFERROR(X63/X4,""))</f>
        <v/>
      </c>
      <c r="Y64" s="14" t="n"/>
      <c r="Z64" s="15" t="n"/>
      <c r="AA64" s="15" t="n"/>
      <c r="AB64" s="15" t="n"/>
      <c r="AC64" s="15" t="n"/>
    </row>
    <row r="65">
      <c r="A65" s="18" t="inlineStr">
        <is>
          <t>기타비용</t>
        </is>
      </c>
      <c r="B65" s="10" t="inlineStr">
        <is>
          <t>변동비</t>
        </is>
      </c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>
        <f>IF(OR(O56="",O57="",O59="",O61="",O63=""),"",IFERROR(O56-O57-O59-O61-O63,""))</f>
        <v/>
      </c>
      <c r="P65" s="20">
        <f>IF(OR(P56="",P57="",P59="",P61="",P63=""),"",IFERROR(P56-P57-P59-P61-P63,""))</f>
        <v/>
      </c>
      <c r="Q65" s="20">
        <f>IF(OR(Q56="",Q57="",Q59="",Q61="",Q63=""),"",IFERROR(Q56-Q57-Q59-Q61-Q63,""))</f>
        <v/>
      </c>
      <c r="R65" s="20">
        <f>IF(OR(R56="",R57="",R59="",R61="",R63=""),"",IFERROR(R56-R57-R59-R61-R63,""))</f>
        <v/>
      </c>
      <c r="S65" s="20">
        <f>IF(OR(S56="",S57="",S59="",S61="",S63=""),"",IFERROR(S56-S57-S59-S61-S63,""))</f>
        <v/>
      </c>
      <c r="T65" s="20">
        <f>IF(OR(T56="",T57="",T59="",T61="",T63=""),"",IFERROR(T56-T57-T59-T61-T63,""))</f>
        <v/>
      </c>
      <c r="U65" s="20">
        <f>IF(OR(U56="",U57="",U59="",U61="",U63=""),"",IFERROR(U56-U57-U59-U61-U63,""))</f>
        <v/>
      </c>
      <c r="V65" s="20">
        <f>IF(OR(V56="",V57="",V59="",V61="",V63=""),"",IFERROR(V56-V57-V59-V61-V63,""))</f>
        <v/>
      </c>
      <c r="W65" s="20">
        <f>IF(OR(W56="",W57="",W59="",W61="",W63=""),"",IFERROR(W56-W57-W59-W61-W63,""))</f>
        <v/>
      </c>
      <c r="X65" s="20">
        <f>IF(OR(X56="",X57="",X59="",X61="",X63=""),"",IFERROR(X56-X57-X59-X61-X63,""))</f>
        <v/>
      </c>
      <c r="Y65" s="19" t="n"/>
      <c r="Z65" s="20" t="n"/>
      <c r="AA65" s="20" t="n"/>
      <c r="AB65" s="20" t="n"/>
      <c r="AC65" s="20" t="n"/>
    </row>
    <row r="66">
      <c r="A66" s="13" t="inlineStr">
        <is>
          <t>% of Sales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>
        <f>IF(OR(O65="",O4=""),"",IFERROR(O65/O4,""))</f>
        <v/>
      </c>
      <c r="P66" s="15">
        <f>IF(OR(P65="",P4=""),"",IFERROR(P65/P4,""))</f>
        <v/>
      </c>
      <c r="Q66" s="15">
        <f>IF(OR(Q65="",Q4=""),"",IFERROR(Q65/Q4,""))</f>
        <v/>
      </c>
      <c r="R66" s="15">
        <f>IF(OR(R65="",R4=""),"",IFERROR(R65/R4,""))</f>
        <v/>
      </c>
      <c r="S66" s="15">
        <f>IF(OR(S65="",S4=""),"",IFERROR(S65/S4,""))</f>
        <v/>
      </c>
      <c r="T66" s="15">
        <f>IF(OR(T65="",T4=""),"",IFERROR(T65/T4,""))</f>
        <v/>
      </c>
      <c r="U66" s="15">
        <f>IF(OR(U65="",U4=""),"",IFERROR(U65/U4,""))</f>
        <v/>
      </c>
      <c r="V66" s="15">
        <f>IF(OR(V65="",V4=""),"",IFERROR(V65/V4,""))</f>
        <v/>
      </c>
      <c r="W66" s="15">
        <f>IF(OR(W65="",W4=""),"",IFERROR(W65/W4,""))</f>
        <v/>
      </c>
      <c r="X66" s="15">
        <f>IF(OR(X65="",X4=""),"",IFERROR(X65/X4,""))</f>
        <v/>
      </c>
      <c r="Y66" s="14" t="n"/>
      <c r="Z66" s="15" t="n"/>
      <c r="AA66" s="15" t="n"/>
      <c r="AB66" s="15" t="n"/>
      <c r="AC66" s="15" t="n"/>
    </row>
    <row r="67">
      <c r="A67" s="16" t="inlineStr">
        <is>
          <t>당기순이익 추정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특별이익</t>
        </is>
      </c>
      <c r="B68" s="10" t="n"/>
      <c r="C68" s="19" t="n">
        <v>79.995</v>
      </c>
      <c r="D68" s="20" t="n">
        <v>65.696</v>
      </c>
      <c r="E68" s="20" t="n">
        <v>0</v>
      </c>
      <c r="F68" s="20" t="n">
        <v>7.979</v>
      </c>
      <c r="G68" s="20" t="n">
        <v>367.29</v>
      </c>
      <c r="H68" s="20" t="n">
        <v>0</v>
      </c>
      <c r="I68" s="20" t="n">
        <v>232.425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19" t="n"/>
      <c r="P68" s="20" t="n">
        <v>0</v>
      </c>
      <c r="Q68" s="20" t="n">
        <v>226.634</v>
      </c>
      <c r="R68" s="20" t="n">
        <v>0</v>
      </c>
      <c r="S68" s="20" t="n">
        <v>383.445</v>
      </c>
      <c r="T68" s="20" t="n">
        <v>0.927</v>
      </c>
      <c r="U68" s="20" t="n">
        <v>475.203</v>
      </c>
      <c r="V68" s="20" t="n">
        <v>318.104</v>
      </c>
      <c r="W68" s="20" t="n">
        <v>375.269</v>
      </c>
      <c r="X68" s="20" t="n">
        <v>232.425</v>
      </c>
      <c r="Y68" s="19">
        <f>IF(OR(Y4="",Y69=""),"",IFERROR(Y4*Y69,""))</f>
        <v/>
      </c>
      <c r="Z68" s="20">
        <f>IF(OR(Z4="",Z69=""),"",IFERROR(Z4*Z69,""))</f>
        <v/>
      </c>
      <c r="AA68" s="20">
        <f>IF(OR(AA4="",AA69=""),"",IFERROR(AA4*AA69,""))</f>
        <v/>
      </c>
      <c r="AB68" s="20">
        <f>IF(OR(AB4="",AB69=""),"",IFERROR(AB4*AB69,""))</f>
        <v/>
      </c>
      <c r="AC68" s="20">
        <f>IF(OR(AC4="",AC69=""),"",IFERROR(AC4*AC69,""))</f>
        <v/>
      </c>
    </row>
    <row r="69">
      <c r="A69" s="13" t="inlineStr">
        <is>
          <t>% of Sales</t>
        </is>
      </c>
      <c r="B69" s="10" t="inlineStr">
        <is>
          <t>MW = 최근 3년 평균</t>
        </is>
      </c>
      <c r="C69" s="14">
        <f>IF(OR(C68="",C4=""),"",IFERROR(C68/C4,""))</f>
        <v/>
      </c>
      <c r="D69" s="15">
        <f>IF(OR(D68="",D4=""),"",IFERROR(D68/D4,""))</f>
        <v/>
      </c>
      <c r="E69" s="15">
        <f>IF(OR(E68="",E4=""),"",IFERROR(E68/E4,""))</f>
        <v/>
      </c>
      <c r="F69" s="15">
        <f>IF(OR(F68="",F4=""),"",IFERROR(F68/F4,""))</f>
        <v/>
      </c>
      <c r="G69" s="15">
        <f>IF(OR(G68="",G4=""),"",IFERROR(G68/G4,""))</f>
        <v/>
      </c>
      <c r="H69" s="15">
        <f>IF(OR(H68="",H4=""),"",IFERROR(H68/H4,""))</f>
        <v/>
      </c>
      <c r="I69" s="15">
        <f>IF(OR(I68="",I4=""),"",IFERROR(I68/I4,""))</f>
        <v/>
      </c>
      <c r="J69" s="15">
        <f>IF(OR(J68="",J4=""),"",IFERROR(J68/J4,""))</f>
        <v/>
      </c>
      <c r="K69" s="15">
        <f>IF(OR(K68="",K4=""),"",IFERROR(K68/K4,""))</f>
        <v/>
      </c>
      <c r="L69" s="15">
        <f>IF(OR(L68="",L4=""),"",IFERROR(L68/L4,""))</f>
        <v/>
      </c>
      <c r="M69" s="15">
        <f>IF(OR(M68="",M4=""),"",IFERROR(M68/M4,""))</f>
        <v/>
      </c>
      <c r="N69" s="15">
        <f>IF(OR(N68="",N4=""),"",IFERROR(N68/N4,""))</f>
        <v/>
      </c>
      <c r="O69" s="14">
        <f>IF(OR(O68="",O4=""),"",IFERROR(O68/O4,""))</f>
        <v/>
      </c>
      <c r="P69" s="15">
        <f>IF(OR(P68="",P4=""),"",IFERROR(P68/P4,""))</f>
        <v/>
      </c>
      <c r="Q69" s="15">
        <f>IF(OR(Q68="",Q4=""),"",IFERROR(Q68/Q4,""))</f>
        <v/>
      </c>
      <c r="R69" s="15">
        <f>IF(OR(R68="",R4=""),"",IFERROR(R68/R4,""))</f>
        <v/>
      </c>
      <c r="S69" s="15">
        <f>IF(OR(S68="",S4=""),"",IFERROR(S68/S4,""))</f>
        <v/>
      </c>
      <c r="T69" s="15">
        <f>IF(OR(T68="",T4=""),"",IFERROR(T68/T4,""))</f>
        <v/>
      </c>
      <c r="U69" s="15">
        <f>IF(OR(U68="",U4=""),"",IFERROR(U68/U4,""))</f>
        <v/>
      </c>
      <c r="V69" s="15">
        <f>IF(OR(V68="",V4=""),"",IFERROR(V68/V4,""))</f>
        <v/>
      </c>
      <c r="W69" s="15">
        <f>IF(OR(W68="",W4=""),"",IFERROR(W68/W4,""))</f>
        <v/>
      </c>
      <c r="X69" s="15">
        <f>IF(OR(X68="",X4=""),"",IFERROR(X68/X4,""))</f>
        <v/>
      </c>
      <c r="Y69" s="25">
        <f>IFERROR(AVERAGE(V69,W69,X69),"")</f>
        <v/>
      </c>
      <c r="Z69" s="26">
        <f>Y69</f>
        <v/>
      </c>
      <c r="AA69" s="26">
        <f>Z69</f>
        <v/>
      </c>
      <c r="AB69" s="26">
        <f>AA69</f>
        <v/>
      </c>
      <c r="AC69" s="26">
        <f>AB69</f>
        <v/>
      </c>
    </row>
    <row r="70">
      <c r="A70" s="18" t="inlineStr">
        <is>
          <t>특별손실</t>
        </is>
      </c>
      <c r="B70" s="10" t="n"/>
      <c r="C70" s="19" t="n">
        <v>0</v>
      </c>
      <c r="D70" s="20" t="n">
        <v>6.117</v>
      </c>
      <c r="E70" s="20" t="n"/>
      <c r="F70" s="20" t="n"/>
      <c r="G70" s="20" t="n">
        <v>0</v>
      </c>
      <c r="H70" s="20" t="n">
        <v>0</v>
      </c>
      <c r="I70" s="20" t="n">
        <v>0</v>
      </c>
      <c r="J70" s="20" t="n">
        <v>50.292</v>
      </c>
      <c r="K70" s="20" t="n">
        <v>0</v>
      </c>
      <c r="L70" s="20" t="n">
        <v>0</v>
      </c>
      <c r="M70" s="20" t="n">
        <v>6.943</v>
      </c>
      <c r="N70" s="20" t="n">
        <v>0.371</v>
      </c>
      <c r="O70" s="19" t="n">
        <v>0.141</v>
      </c>
      <c r="P70" s="20" t="n">
        <v>86.839</v>
      </c>
      <c r="Q70" s="20" t="n">
        <v>252.229</v>
      </c>
      <c r="R70" s="20" t="n">
        <v>4.099</v>
      </c>
      <c r="S70" s="20" t="n">
        <v>129.14</v>
      </c>
      <c r="T70" s="20" t="n">
        <v>0</v>
      </c>
      <c r="U70" s="20" t="n">
        <v>1.491</v>
      </c>
      <c r="V70" s="20" t="n">
        <v>7.181</v>
      </c>
      <c r="W70" s="20" t="n">
        <v>0</v>
      </c>
      <c r="X70" s="20" t="n">
        <v>50.292</v>
      </c>
      <c r="Y70" s="19">
        <f>IF(OR(Y4="",Y71=""),"",IFERROR(Y4*Y71,""))</f>
        <v/>
      </c>
      <c r="Z70" s="20">
        <f>IF(OR(Z4="",Z71=""),"",IFERROR(Z4*Z71,""))</f>
        <v/>
      </c>
      <c r="AA70" s="20">
        <f>IF(OR(AA4="",AA71=""),"",IFERROR(AA4*AA71,""))</f>
        <v/>
      </c>
      <c r="AB70" s="20">
        <f>IF(OR(AB4="",AB71=""),"",IFERROR(AB4*AB71,""))</f>
        <v/>
      </c>
      <c r="AC70" s="20">
        <f>IF(OR(AC4="",AC71=""),"",IFERROR(AC4*AC71,""))</f>
        <v/>
      </c>
    </row>
    <row r="71">
      <c r="A71" s="13" t="inlineStr">
        <is>
          <t>% of Sales</t>
        </is>
      </c>
      <c r="B71" s="10" t="n"/>
      <c r="C71" s="14">
        <f>IF(OR(C70="",C4=""),"",IFERROR(C70/C4,""))</f>
        <v/>
      </c>
      <c r="D71" s="15">
        <f>IF(OR(D70="",D4=""),"",IFERROR(D70/D4,""))</f>
        <v/>
      </c>
      <c r="E71" s="15">
        <f>IF(OR(E70="",E4=""),"",IFERROR(E70/E4,""))</f>
        <v/>
      </c>
      <c r="F71" s="15">
        <f>IF(OR(F70="",F4=""),"",IFERROR(F70/F4,""))</f>
        <v/>
      </c>
      <c r="G71" s="15">
        <f>IF(OR(G70="",G4=""),"",IFERROR(G70/G4,""))</f>
        <v/>
      </c>
      <c r="H71" s="15">
        <f>IF(OR(H70="",H4=""),"",IFERROR(H70/H4,""))</f>
        <v/>
      </c>
      <c r="I71" s="15">
        <f>IF(OR(I70="",I4=""),"",IFERROR(I70/I4,""))</f>
        <v/>
      </c>
      <c r="J71" s="15">
        <f>IF(OR(J70="",J4=""),"",IFERROR(J70/J4,""))</f>
        <v/>
      </c>
      <c r="K71" s="15">
        <f>IF(OR(K70="",K4=""),"",IFERROR(K70/K4,""))</f>
        <v/>
      </c>
      <c r="L71" s="15">
        <f>IF(OR(L70="",L4=""),"",IFERROR(L70/L4,""))</f>
        <v/>
      </c>
      <c r="M71" s="15">
        <f>IF(OR(M70="",M4=""),"",IFERROR(M70/M4,""))</f>
        <v/>
      </c>
      <c r="N71" s="15">
        <f>IF(OR(N70="",N4=""),"",IFERROR(N70/N4,""))</f>
        <v/>
      </c>
      <c r="O71" s="14">
        <f>IF(OR(O70="",O4=""),"",IFERROR(O70/O4,""))</f>
        <v/>
      </c>
      <c r="P71" s="15">
        <f>IF(OR(P70="",P4=""),"",IFERROR(P70/P4,""))</f>
        <v/>
      </c>
      <c r="Q71" s="15">
        <f>IF(OR(Q70="",Q4=""),"",IFERROR(Q70/Q4,""))</f>
        <v/>
      </c>
      <c r="R71" s="15">
        <f>IF(OR(R70="",R4=""),"",IFERROR(R70/R4,""))</f>
        <v/>
      </c>
      <c r="S71" s="15">
        <f>IF(OR(S70="",S4=""),"",IFERROR(S70/S4,""))</f>
        <v/>
      </c>
      <c r="T71" s="15">
        <f>IF(OR(T70="",T4=""),"",IFERROR(T70/T4,""))</f>
        <v/>
      </c>
      <c r="U71" s="15">
        <f>IF(OR(U70="",U4=""),"",IFERROR(U70/U4,""))</f>
        <v/>
      </c>
      <c r="V71" s="15">
        <f>IF(OR(V70="",V4=""),"",IFERROR(V70/V4,""))</f>
        <v/>
      </c>
      <c r="W71" s="15">
        <f>IF(OR(W70="",W4=""),"",IFERROR(W70/W4,""))</f>
        <v/>
      </c>
      <c r="X71" s="15">
        <f>IF(OR(X70="",X4=""),"",IFERROR(X70/X4,""))</f>
        <v/>
      </c>
      <c r="Y71" s="25">
        <f>IFERROR(AVERAGE(V71,W71,X71),"")</f>
        <v/>
      </c>
      <c r="Z71" s="26">
        <f>Y71</f>
        <v/>
      </c>
      <c r="AA71" s="26">
        <f>Z71</f>
        <v/>
      </c>
      <c r="AB71" s="26">
        <f>AA71</f>
        <v/>
      </c>
      <c r="AC71" s="26">
        <f>AB71</f>
        <v/>
      </c>
    </row>
    <row r="72">
      <c r="A72" s="18" t="inlineStr">
        <is>
          <t>영업외수익</t>
        </is>
      </c>
      <c r="B72" s="10" t="n"/>
      <c r="C72" s="19" t="n">
        <v>87.18300000000001</v>
      </c>
      <c r="D72" s="20" t="n">
        <v>94.70999999999999</v>
      </c>
      <c r="E72" s="20" t="n">
        <v>96.06</v>
      </c>
      <c r="F72" s="20" t="n">
        <v>98.36199999999999</v>
      </c>
      <c r="G72" s="20" t="n">
        <v>91.863</v>
      </c>
      <c r="H72" s="20" t="n">
        <v>90.661</v>
      </c>
      <c r="I72" s="20" t="n">
        <v>89.639</v>
      </c>
      <c r="J72" s="20" t="n">
        <v>83.604</v>
      </c>
      <c r="K72" s="20" t="n">
        <v>79.869</v>
      </c>
      <c r="L72" s="20" t="n">
        <v>95.093</v>
      </c>
      <c r="M72" s="20" t="n">
        <v>72.53</v>
      </c>
      <c r="N72" s="20" t="n">
        <v>65.58</v>
      </c>
      <c r="O72" s="19" t="n">
        <v>713.265</v>
      </c>
      <c r="P72" s="20" t="n">
        <v>706.4349999999999</v>
      </c>
      <c r="Q72" s="20" t="n">
        <v>743.303</v>
      </c>
      <c r="R72" s="20" t="n">
        <v>457.765</v>
      </c>
      <c r="S72" s="20" t="n">
        <v>437.427</v>
      </c>
      <c r="T72" s="20" t="n">
        <v>418.447</v>
      </c>
      <c r="U72" s="20" t="n">
        <v>393.16</v>
      </c>
      <c r="V72" s="20" t="n">
        <v>376.74</v>
      </c>
      <c r="W72" s="20" t="n">
        <v>376.946</v>
      </c>
      <c r="X72" s="20" t="n">
        <v>348.205</v>
      </c>
      <c r="Y72" s="19">
        <f>IF(OR(Y4="",Y73=""),"",IFERROR(Y4*Y73,""))</f>
        <v/>
      </c>
      <c r="Z72" s="20">
        <f>IF(OR(Z4="",Z73=""),"",IFERROR(Z4*Z73,""))</f>
        <v/>
      </c>
      <c r="AA72" s="20">
        <f>IF(OR(AA4="",AA73=""),"",IFERROR(AA4*AA73,""))</f>
        <v/>
      </c>
      <c r="AB72" s="20">
        <f>IF(OR(AB4="",AB73=""),"",IFERROR(AB4*AB73,""))</f>
        <v/>
      </c>
      <c r="AC72" s="20">
        <f>IF(OR(AC4="",AC73=""),"",IFERROR(AC4*AC73,""))</f>
        <v/>
      </c>
    </row>
    <row r="73">
      <c r="A73" s="13" t="inlineStr">
        <is>
          <t>% of Sales</t>
        </is>
      </c>
      <c r="B73" s="10" t="n"/>
      <c r="C73" s="14">
        <f>IF(OR(C72="",C4=""),"",IFERROR(C72/C4,""))</f>
        <v/>
      </c>
      <c r="D73" s="15">
        <f>IF(OR(D72="",D4=""),"",IFERROR(D72/D4,""))</f>
        <v/>
      </c>
      <c r="E73" s="15">
        <f>IF(OR(E72="",E4=""),"",IFERROR(E72/E4,""))</f>
        <v/>
      </c>
      <c r="F73" s="15">
        <f>IF(OR(F72="",F4=""),"",IFERROR(F72/F4,""))</f>
        <v/>
      </c>
      <c r="G73" s="15">
        <f>IF(OR(G72="",G4=""),"",IFERROR(G72/G4,""))</f>
        <v/>
      </c>
      <c r="H73" s="15">
        <f>IF(OR(H72="",H4=""),"",IFERROR(H72/H4,""))</f>
        <v/>
      </c>
      <c r="I73" s="15">
        <f>IF(OR(I72="",I4=""),"",IFERROR(I72/I4,""))</f>
        <v/>
      </c>
      <c r="J73" s="15">
        <f>IF(OR(J72="",J4=""),"",IFERROR(J72/J4,""))</f>
        <v/>
      </c>
      <c r="K73" s="15">
        <f>IF(OR(K72="",K4=""),"",IFERROR(K72/K4,""))</f>
        <v/>
      </c>
      <c r="L73" s="15">
        <f>IF(OR(L72="",L4=""),"",IFERROR(L72/L4,""))</f>
        <v/>
      </c>
      <c r="M73" s="15">
        <f>IF(OR(M72="",M4=""),"",IFERROR(M72/M4,""))</f>
        <v/>
      </c>
      <c r="N73" s="15">
        <f>IF(OR(N72="",N4=""),"",IFERROR(N72/N4,""))</f>
        <v/>
      </c>
      <c r="O73" s="14">
        <f>IF(OR(O72="",O4=""),"",IFERROR(O72/O4,""))</f>
        <v/>
      </c>
      <c r="P73" s="15">
        <f>IF(OR(P72="",P4=""),"",IFERROR(P72/P4,""))</f>
        <v/>
      </c>
      <c r="Q73" s="15">
        <f>IF(OR(Q72="",Q4=""),"",IFERROR(Q72/Q4,""))</f>
        <v/>
      </c>
      <c r="R73" s="15">
        <f>IF(OR(R72="",R4=""),"",IFERROR(R72/R4,""))</f>
        <v/>
      </c>
      <c r="S73" s="15">
        <f>IF(OR(S72="",S4=""),"",IFERROR(S72/S4,""))</f>
        <v/>
      </c>
      <c r="T73" s="15">
        <f>IF(OR(T72="",T4=""),"",IFERROR(T72/T4,""))</f>
        <v/>
      </c>
      <c r="U73" s="15">
        <f>IF(OR(U72="",U4=""),"",IFERROR(U72/U4,""))</f>
        <v/>
      </c>
      <c r="V73" s="15">
        <f>IF(OR(V72="",V4=""),"",IFERROR(V72/V4,""))</f>
        <v/>
      </c>
      <c r="W73" s="15">
        <f>IF(OR(W72="",W4=""),"",IFERROR(W72/W4,""))</f>
        <v/>
      </c>
      <c r="X73" s="15">
        <f>IF(OR(X72="",X4=""),"",IFERROR(X72/X4,""))</f>
        <v/>
      </c>
      <c r="Y73" s="25">
        <f>IFERROR(AVERAGE(V73,W73,X73),"")</f>
        <v/>
      </c>
      <c r="Z73" s="26">
        <f>Y73</f>
        <v/>
      </c>
      <c r="AA73" s="26">
        <f>Z73</f>
        <v/>
      </c>
      <c r="AB73" s="26">
        <f>AA73</f>
        <v/>
      </c>
      <c r="AC73" s="26">
        <f>AB73</f>
        <v/>
      </c>
    </row>
    <row r="74">
      <c r="A74" s="18" t="inlineStr">
        <is>
          <t>영업외비용</t>
        </is>
      </c>
      <c r="B74" s="10" t="n"/>
      <c r="C74" s="19" t="n">
        <v>6.99</v>
      </c>
      <c r="D74" s="20" t="n">
        <v>6.659</v>
      </c>
      <c r="E74" s="20" t="n">
        <v>8.223000000000001</v>
      </c>
      <c r="F74" s="20" t="n">
        <v>8.326000000000001</v>
      </c>
      <c r="G74" s="20" t="n">
        <v>9.879</v>
      </c>
      <c r="H74" s="20" t="n">
        <v>13.156</v>
      </c>
      <c r="I74" s="20" t="n">
        <v>10.437</v>
      </c>
      <c r="J74" s="20" t="n">
        <v>7.59</v>
      </c>
      <c r="K74" s="20" t="n">
        <v>7.462</v>
      </c>
      <c r="L74" s="20" t="n">
        <v>11.103</v>
      </c>
      <c r="M74" s="20" t="n">
        <v>10.575</v>
      </c>
      <c r="N74" s="20" t="n">
        <v>23.096</v>
      </c>
      <c r="O74" s="19" t="n">
        <v>13.841</v>
      </c>
      <c r="P74" s="20" t="n">
        <v>14.708</v>
      </c>
      <c r="Q74" s="20" t="n">
        <v>29.634</v>
      </c>
      <c r="R74" s="20" t="n">
        <v>33.921</v>
      </c>
      <c r="S74" s="20" t="n">
        <v>36.593</v>
      </c>
      <c r="T74" s="20" t="n">
        <v>38.649</v>
      </c>
      <c r="U74" s="20" t="n">
        <v>26.664</v>
      </c>
      <c r="V74" s="20" t="n">
        <v>38.406</v>
      </c>
      <c r="W74" s="20" t="n">
        <v>39.584</v>
      </c>
      <c r="X74" s="20" t="n">
        <v>36.592</v>
      </c>
      <c r="Y74" s="19">
        <f>IF(OR(Y4="",Y75=""),"",IFERROR(Y4*Y75,""))</f>
        <v/>
      </c>
      <c r="Z74" s="20">
        <f>IF(OR(Z4="",Z75=""),"",IFERROR(Z4*Z75,""))</f>
        <v/>
      </c>
      <c r="AA74" s="20">
        <f>IF(OR(AA4="",AA75=""),"",IFERROR(AA4*AA75,""))</f>
        <v/>
      </c>
      <c r="AB74" s="20">
        <f>IF(OR(AB4="",AB75=""),"",IFERROR(AB4*AB75,""))</f>
        <v/>
      </c>
      <c r="AC74" s="20">
        <f>IF(OR(AC4="",AC75=""),"",IFERROR(AC4*AC75,""))</f>
        <v/>
      </c>
    </row>
    <row r="75">
      <c r="A75" s="13" t="inlineStr">
        <is>
          <t>% of Sales</t>
        </is>
      </c>
      <c r="B75" s="10" t="n"/>
      <c r="C75" s="14">
        <f>IF(OR(C74="",C4=""),"",IFERROR(C74/C4,""))</f>
        <v/>
      </c>
      <c r="D75" s="15">
        <f>IF(OR(D74="",D4=""),"",IFERROR(D74/D4,""))</f>
        <v/>
      </c>
      <c r="E75" s="15">
        <f>IF(OR(E74="",E4=""),"",IFERROR(E74/E4,""))</f>
        <v/>
      </c>
      <c r="F75" s="15">
        <f>IF(OR(F74="",F4=""),"",IFERROR(F74/F4,""))</f>
        <v/>
      </c>
      <c r="G75" s="15">
        <f>IF(OR(G74="",G4=""),"",IFERROR(G74/G4,""))</f>
        <v/>
      </c>
      <c r="H75" s="15">
        <f>IF(OR(H74="",H4=""),"",IFERROR(H74/H4,""))</f>
        <v/>
      </c>
      <c r="I75" s="15">
        <f>IF(OR(I74="",I4=""),"",IFERROR(I74/I4,""))</f>
        <v/>
      </c>
      <c r="J75" s="15">
        <f>IF(OR(J74="",J4=""),"",IFERROR(J74/J4,""))</f>
        <v/>
      </c>
      <c r="K75" s="15">
        <f>IF(OR(K74="",K4=""),"",IFERROR(K74/K4,""))</f>
        <v/>
      </c>
      <c r="L75" s="15">
        <f>IF(OR(L74="",L4=""),"",IFERROR(L74/L4,""))</f>
        <v/>
      </c>
      <c r="M75" s="15">
        <f>IF(OR(M74="",M4=""),"",IFERROR(M74/M4,""))</f>
        <v/>
      </c>
      <c r="N75" s="15">
        <f>IF(OR(N74="",N4=""),"",IFERROR(N74/N4,""))</f>
        <v/>
      </c>
      <c r="O75" s="14">
        <f>IF(OR(O74="",O4=""),"",IFERROR(O74/O4,""))</f>
        <v/>
      </c>
      <c r="P75" s="15">
        <f>IF(OR(P74="",P4=""),"",IFERROR(P74/P4,""))</f>
        <v/>
      </c>
      <c r="Q75" s="15">
        <f>IF(OR(Q74="",Q4=""),"",IFERROR(Q74/Q4,""))</f>
        <v/>
      </c>
      <c r="R75" s="15">
        <f>IF(OR(R74="",R4=""),"",IFERROR(R74/R4,""))</f>
        <v/>
      </c>
      <c r="S75" s="15">
        <f>IF(OR(S74="",S4=""),"",IFERROR(S74/S4,""))</f>
        <v/>
      </c>
      <c r="T75" s="15">
        <f>IF(OR(T74="",T4=""),"",IFERROR(T74/T4,""))</f>
        <v/>
      </c>
      <c r="U75" s="15">
        <f>IF(OR(U74="",U4=""),"",IFERROR(U74/U4,""))</f>
        <v/>
      </c>
      <c r="V75" s="15">
        <f>IF(OR(V74="",V4=""),"",IFERROR(V74/V4,""))</f>
        <v/>
      </c>
      <c r="W75" s="15">
        <f>IF(OR(W74="",W4=""),"",IFERROR(W74/W4,""))</f>
        <v/>
      </c>
      <c r="X75" s="15">
        <f>IF(OR(X74="",X4=""),"",IFERROR(X74/X4,""))</f>
        <v/>
      </c>
      <c r="Y75" s="25">
        <f>IFERROR(AVERAGE(V75,W75,X75),"")</f>
        <v/>
      </c>
      <c r="Z75" s="26">
        <f>Y75</f>
        <v/>
      </c>
      <c r="AA75" s="26">
        <f>Z75</f>
        <v/>
      </c>
      <c r="AB75" s="26">
        <f>AA75</f>
        <v/>
      </c>
      <c r="AC75" s="26">
        <f>AB75</f>
        <v/>
      </c>
    </row>
    <row r="76">
      <c r="A76" s="9" t="inlineStr">
        <is>
          <t>법인세비용차감전순이익(손실)</t>
        </is>
      </c>
      <c r="B76" s="10" t="n"/>
      <c r="C76" s="11" t="n">
        <v>141.184</v>
      </c>
      <c r="D76" s="12" t="n">
        <v>-105.362</v>
      </c>
      <c r="E76" s="12" t="n">
        <v>51.734</v>
      </c>
      <c r="F76" s="12" t="n">
        <v>141.103</v>
      </c>
      <c r="G76" s="12" t="n">
        <v>574.36</v>
      </c>
      <c r="H76" s="12" t="n">
        <v>100.008</v>
      </c>
      <c r="I76" s="12" t="n">
        <v>439.045</v>
      </c>
      <c r="J76" s="12" t="n">
        <v>91.33</v>
      </c>
      <c r="K76" s="12" t="n">
        <v>206.325</v>
      </c>
      <c r="L76" s="12" t="n">
        <v>288.415</v>
      </c>
      <c r="M76" s="12" t="n">
        <v>437.649</v>
      </c>
      <c r="N76" s="12" t="n">
        <v>298.28</v>
      </c>
      <c r="O76" s="11" t="n">
        <v>1332.975</v>
      </c>
      <c r="P76" s="12" t="n">
        <v>814.006</v>
      </c>
      <c r="Q76" s="12" t="n">
        <v>830.3869999999999</v>
      </c>
      <c r="R76" s="12" t="n">
        <v>468.073</v>
      </c>
      <c r="S76" s="12" t="n">
        <v>1527.834</v>
      </c>
      <c r="T76" s="12" t="n">
        <v>934.484</v>
      </c>
      <c r="U76" s="12" t="n">
        <v>955.889</v>
      </c>
      <c r="V76" s="12" t="n">
        <v>179.117</v>
      </c>
      <c r="W76" s="12" t="n">
        <v>867.205</v>
      </c>
      <c r="X76" s="12" t="n">
        <v>1025.115</v>
      </c>
      <c r="Y76" s="11">
        <f>IF(OR(Y52=""),"",IFERROR(Y52+N(Y68)-N(Y70)+N(Y72)-N(Y74),""))</f>
        <v/>
      </c>
      <c r="Z76" s="12">
        <f>IF(OR(Z52=""),"",IFERROR(Z52+N(Z68)-N(Z70)+N(Z72)-N(Z74),""))</f>
        <v/>
      </c>
      <c r="AA76" s="12">
        <f>IF(OR(AA52=""),"",IFERROR(AA52+N(AA68)-N(AA70)+N(AA72)-N(AA74),""))</f>
        <v/>
      </c>
      <c r="AB76" s="12">
        <f>IF(OR(AB52=""),"",IFERROR(AB52+N(AB68)-N(AB70)+N(AB72)-N(AB74),""))</f>
        <v/>
      </c>
      <c r="AC76" s="12">
        <f>IF(OR(AC52=""),"",IFERROR(AC52+N(AC68)-N(AC70)+N(AC72)-N(AC74),""))</f>
        <v/>
      </c>
    </row>
    <row r="77">
      <c r="A77" s="13" t="inlineStr">
        <is>
          <t>YoY</t>
        </is>
      </c>
      <c r="B77" s="10" t="n"/>
      <c r="C77" s="14" t="n"/>
      <c r="D77" s="15" t="n"/>
      <c r="E77" s="15" t="n"/>
      <c r="F77" s="15" t="n"/>
      <c r="G77" s="15">
        <f>IF(OR(G76="",C76=""),"",IF(C76&lt;=0,"",IFERROR(G76/C76-1,"")))</f>
        <v/>
      </c>
      <c r="H77" s="15">
        <f>IF(OR(H76="",D76=""),"",IF(D76&lt;=0,"",IFERROR(H76/D76-1,"")))</f>
        <v/>
      </c>
      <c r="I77" s="15">
        <f>IF(OR(I76="",E76=""),"",IF(E76&lt;=0,"",IFERROR(I76/E76-1,"")))</f>
        <v/>
      </c>
      <c r="J77" s="15">
        <f>IF(OR(J76="",F76=""),"",IF(F76&lt;=0,"",IFERROR(J76/F76-1,"")))</f>
        <v/>
      </c>
      <c r="K77" s="15">
        <f>IF(OR(K76="",G76=""),"",IF(G76&lt;=0,"",IFERROR(K76/G76-1,"")))</f>
        <v/>
      </c>
      <c r="L77" s="15">
        <f>IF(OR(L76="",H76=""),"",IF(H76&lt;=0,"",IFERROR(L76/H76-1,"")))</f>
        <v/>
      </c>
      <c r="M77" s="15">
        <f>IF(OR(M76="",I76=""),"",IF(I76&lt;=0,"",IFERROR(M76/I76-1,"")))</f>
        <v/>
      </c>
      <c r="N77" s="15">
        <f>IF(OR(N76="",J76=""),"",IF(J76&lt;=0,"",IFERROR(N76/J76-1,"")))</f>
        <v/>
      </c>
      <c r="O77" s="14" t="n"/>
      <c r="P77" s="15">
        <f>IF(OR(P76="",O76=""),"",IF(O76&lt;=0,"",IFERROR(P76/O76-1,"")))</f>
        <v/>
      </c>
      <c r="Q77" s="15">
        <f>IF(OR(Q76="",P76=""),"",IF(P76&lt;=0,"",IFERROR(Q76/P76-1,"")))</f>
        <v/>
      </c>
      <c r="R77" s="15">
        <f>IF(OR(R76="",Q76=""),"",IF(Q76&lt;=0,"",IFERROR(R76/Q76-1,"")))</f>
        <v/>
      </c>
      <c r="S77" s="15">
        <f>IF(OR(S76="",R76=""),"",IF(R76&lt;=0,"",IFERROR(S76/R76-1,"")))</f>
        <v/>
      </c>
      <c r="T77" s="15">
        <f>IF(OR(T76="",S76=""),"",IF(S76&lt;=0,"",IFERROR(T76/S76-1,"")))</f>
        <v/>
      </c>
      <c r="U77" s="15">
        <f>IF(OR(U76="",T76=""),"",IF(T76&lt;=0,"",IFERROR(U76/T76-1,"")))</f>
        <v/>
      </c>
      <c r="V77" s="15">
        <f>IF(OR(V76="",U76=""),"",IF(U76&lt;=0,"",IFERROR(V76/U76-1,"")))</f>
        <v/>
      </c>
      <c r="W77" s="15">
        <f>IF(OR(W76="",V76=""),"",IF(V76&lt;=0,"",IFERROR(W76/V76-1,"")))</f>
        <v/>
      </c>
      <c r="X77" s="15">
        <f>IF(OR(X76="",W76=""),"",IF(W76&lt;=0,"",IFERROR(X76/W76-1,"")))</f>
        <v/>
      </c>
      <c r="Y77" s="14">
        <f>IF(OR(Y76="",X76=""),"",IF(X76&lt;=0,"",IFERROR(Y76/X76-1,"")))</f>
        <v/>
      </c>
      <c r="Z77" s="15">
        <f>IF(OR(Z76="",Y76=""),"",IF(Y76&lt;=0,"",IFERROR(Z76/Y76-1,"")))</f>
        <v/>
      </c>
      <c r="AA77" s="15">
        <f>IF(OR(AA76="",Z76=""),"",IF(Z76&lt;=0,"",IFERROR(AA76/Z76-1,"")))</f>
        <v/>
      </c>
      <c r="AB77" s="15">
        <f>IF(OR(AB76="",AA76=""),"",IF(AA76&lt;=0,"",IFERROR(AB76/AA76-1,"")))</f>
        <v/>
      </c>
      <c r="AC77" s="15">
        <f>IF(OR(AC76="",AB76=""),"",IF(AB76&lt;=0,"",IFERROR(AC76/AB76-1,"")))</f>
        <v/>
      </c>
    </row>
    <row r="78">
      <c r="A78" s="18" t="inlineStr">
        <is>
          <t>법인세비용(수익)</t>
        </is>
      </c>
      <c r="B78" s="10" t="n"/>
      <c r="C78" s="19" t="n">
        <v>155.155</v>
      </c>
      <c r="D78" s="20" t="n">
        <v>-54.092</v>
      </c>
      <c r="E78" s="20" t="n">
        <v>40.653</v>
      </c>
      <c r="F78" s="20" t="n">
        <v>66.129</v>
      </c>
      <c r="G78" s="20" t="n">
        <v>218.745</v>
      </c>
      <c r="H78" s="20" t="n">
        <v>14.694</v>
      </c>
      <c r="I78" s="20" t="n">
        <v>171.202</v>
      </c>
      <c r="J78" s="20" t="n">
        <v>59.125</v>
      </c>
      <c r="K78" s="20" t="n">
        <v>68.092</v>
      </c>
      <c r="L78" s="20" t="n">
        <v>59.148</v>
      </c>
      <c r="M78" s="20" t="n">
        <v>160.017</v>
      </c>
      <c r="N78" s="20" t="n">
        <v>125.323</v>
      </c>
      <c r="O78" s="19" t="n">
        <v>473.06</v>
      </c>
      <c r="P78" s="20" t="n">
        <v>346.473</v>
      </c>
      <c r="Q78" s="20" t="n">
        <v>384.698</v>
      </c>
      <c r="R78" s="20" t="n">
        <v>247.982</v>
      </c>
      <c r="S78" s="20" t="n">
        <v>525.492</v>
      </c>
      <c r="T78" s="20" t="n">
        <v>366.449</v>
      </c>
      <c r="U78" s="20" t="n">
        <v>355.333</v>
      </c>
      <c r="V78" s="20" t="n">
        <v>164.679</v>
      </c>
      <c r="W78" s="20" t="n">
        <v>340.221</v>
      </c>
      <c r="X78" s="20" t="n">
        <v>357.567</v>
      </c>
      <c r="Y78" s="19">
        <f>IF(OR(Y76="",Y79=""),"",IFERROR(MAX(Y76,0)*Y79,""))</f>
        <v/>
      </c>
      <c r="Z78" s="20">
        <f>IF(OR(Z76="",Z79=""),"",IFERROR(MAX(Z76,0)*Z79,""))</f>
        <v/>
      </c>
      <c r="AA78" s="20">
        <f>IF(OR(AA76="",AA79=""),"",IFERROR(MAX(AA76,0)*AA79,""))</f>
        <v/>
      </c>
      <c r="AB78" s="20">
        <f>IF(OR(AB76="",AB79=""),"",IFERROR(MAX(AB76,0)*AB79,""))</f>
        <v/>
      </c>
      <c r="AC78" s="20">
        <f>IF(OR(AC76="",AC79=""),"",IFERROR(MAX(AC76,0)*AC79,""))</f>
        <v/>
      </c>
    </row>
    <row r="79">
      <c r="A79" s="13" t="inlineStr">
        <is>
          <t>법인세율</t>
        </is>
      </c>
      <c r="B79" s="10" t="inlineStr">
        <is>
          <t>MW 기본 30%</t>
        </is>
      </c>
      <c r="C79" s="14">
        <f>IF(OR(C78="",C76=""),"",IFERROR(C78/C76,""))</f>
        <v/>
      </c>
      <c r="D79" s="15">
        <f>IF(OR(D78="",D76=""),"",IFERROR(D78/D76,""))</f>
        <v/>
      </c>
      <c r="E79" s="15">
        <f>IF(OR(E78="",E76=""),"",IFERROR(E78/E76,""))</f>
        <v/>
      </c>
      <c r="F79" s="15">
        <f>IF(OR(F78="",F76=""),"",IFERROR(F78/F76,""))</f>
        <v/>
      </c>
      <c r="G79" s="15">
        <f>IF(OR(G78="",G76=""),"",IFERROR(G78/G76,""))</f>
        <v/>
      </c>
      <c r="H79" s="15">
        <f>IF(OR(H78="",H76=""),"",IFERROR(H78/H76,""))</f>
        <v/>
      </c>
      <c r="I79" s="15">
        <f>IF(OR(I78="",I76=""),"",IFERROR(I78/I76,""))</f>
        <v/>
      </c>
      <c r="J79" s="15">
        <f>IF(OR(J78="",J76=""),"",IFERROR(J78/J76,""))</f>
        <v/>
      </c>
      <c r="K79" s="15">
        <f>IF(OR(K78="",K76=""),"",IFERROR(K78/K76,""))</f>
        <v/>
      </c>
      <c r="L79" s="15">
        <f>IF(OR(L78="",L76=""),"",IFERROR(L78/L76,""))</f>
        <v/>
      </c>
      <c r="M79" s="15">
        <f>IF(OR(M78="",M76=""),"",IFERROR(M78/M76,""))</f>
        <v/>
      </c>
      <c r="N79" s="15">
        <f>IF(OR(N78="",N76=""),"",IFERROR(N78/N76,""))</f>
        <v/>
      </c>
      <c r="O79" s="14">
        <f>IF(OR(O78="",O76=""),"",IFERROR(O78/O76,""))</f>
        <v/>
      </c>
      <c r="P79" s="15">
        <f>IF(OR(P78="",P76=""),"",IFERROR(P78/P76,""))</f>
        <v/>
      </c>
      <c r="Q79" s="15">
        <f>IF(OR(Q78="",Q76=""),"",IFERROR(Q78/Q76,""))</f>
        <v/>
      </c>
      <c r="R79" s="15">
        <f>IF(OR(R78="",R76=""),"",IFERROR(R78/R76,""))</f>
        <v/>
      </c>
      <c r="S79" s="15">
        <f>IF(OR(S78="",S76=""),"",IFERROR(S78/S76,""))</f>
        <v/>
      </c>
      <c r="T79" s="15">
        <f>IF(OR(T78="",T76=""),"",IFERROR(T78/T76,""))</f>
        <v/>
      </c>
      <c r="U79" s="15">
        <f>IF(OR(U78="",U76=""),"",IFERROR(U78/U76,""))</f>
        <v/>
      </c>
      <c r="V79" s="15">
        <f>IF(OR(V78="",V76=""),"",IFERROR(V78/V76,""))</f>
        <v/>
      </c>
      <c r="W79" s="15">
        <f>IF(OR(W78="",W76=""),"",IFERROR(W78/W76,""))</f>
        <v/>
      </c>
      <c r="X79" s="15">
        <f>IF(OR(X78="",X76=""),"",IFERROR(X78/X76,""))</f>
        <v/>
      </c>
      <c r="Y79" s="25" t="n">
        <v>0.3</v>
      </c>
      <c r="Z79" s="26" t="n">
        <v>0.3</v>
      </c>
      <c r="AA79" s="26" t="n">
        <v>0.3</v>
      </c>
      <c r="AB79" s="26" t="n">
        <v>0.3</v>
      </c>
      <c r="AC79" s="26" t="n">
        <v>0.3</v>
      </c>
    </row>
    <row r="80">
      <c r="A80" s="9" t="inlineStr">
        <is>
          <t>당기순이익(손실)</t>
        </is>
      </c>
      <c r="B80" s="10" t="n"/>
      <c r="C80" s="11" t="n">
        <v>-13.971</v>
      </c>
      <c r="D80" s="12" t="n">
        <v>-51.269</v>
      </c>
      <c r="E80" s="12" t="n">
        <v>11.081</v>
      </c>
      <c r="F80" s="12" t="n">
        <v>74.974</v>
      </c>
      <c r="G80" s="12" t="n">
        <v>355.615</v>
      </c>
      <c r="H80" s="12" t="n">
        <v>85.313</v>
      </c>
      <c r="I80" s="12" t="n">
        <v>267.843</v>
      </c>
      <c r="J80" s="12" t="n">
        <v>32.204</v>
      </c>
      <c r="K80" s="12" t="n">
        <v>138.233</v>
      </c>
      <c r="L80" s="12" t="n">
        <v>229.267</v>
      </c>
      <c r="M80" s="12" t="n">
        <v>277.631</v>
      </c>
      <c r="N80" s="12" t="n">
        <v>172.958</v>
      </c>
      <c r="O80" s="11" t="n">
        <v>859.915</v>
      </c>
      <c r="P80" s="12" t="n">
        <v>467.532</v>
      </c>
      <c r="Q80" s="12" t="n">
        <v>445.689</v>
      </c>
      <c r="R80" s="12" t="n">
        <v>220.091</v>
      </c>
      <c r="S80" s="12" t="n">
        <v>1002.341</v>
      </c>
      <c r="T80" s="12" t="n">
        <v>568.035</v>
      </c>
      <c r="U80" s="12" t="n">
        <v>600.5549999999999</v>
      </c>
      <c r="V80" s="12" t="n">
        <v>14.438</v>
      </c>
      <c r="W80" s="12" t="n">
        <v>526.9829999999999</v>
      </c>
      <c r="X80" s="12" t="n">
        <v>667.547</v>
      </c>
      <c r="Y80" s="11">
        <f>IF(OR(Y76=""),"",IFERROR(Y76-Y78,""))</f>
        <v/>
      </c>
      <c r="Z80" s="12">
        <f>IF(OR(Z76=""),"",IFERROR(Z76-Z78,""))</f>
        <v/>
      </c>
      <c r="AA80" s="12">
        <f>IF(OR(AA76=""),"",IFERROR(AA76-AA78,""))</f>
        <v/>
      </c>
      <c r="AB80" s="12">
        <f>IF(OR(AB76=""),"",IFERROR(AB76-AB78,""))</f>
        <v/>
      </c>
      <c r="AC80" s="12">
        <f>IF(OR(AC76=""),"",IFERROR(AC76-AC78,""))</f>
        <v/>
      </c>
    </row>
    <row r="81">
      <c r="A81" s="13" t="inlineStr">
        <is>
          <t>YoY</t>
        </is>
      </c>
      <c r="B81" s="10" t="n"/>
      <c r="C81" s="14" t="n"/>
      <c r="D81" s="15" t="n"/>
      <c r="E81" s="15" t="n"/>
      <c r="F81" s="15" t="n"/>
      <c r="G81" s="15">
        <f>IF(OR(G80="",C80=""),"",IF(C80&lt;=0,"",IFERROR(G80/C80-1,"")))</f>
        <v/>
      </c>
      <c r="H81" s="15">
        <f>IF(OR(H80="",D80=""),"",IF(D80&lt;=0,"",IFERROR(H80/D80-1,"")))</f>
        <v/>
      </c>
      <c r="I81" s="15">
        <f>IF(OR(I80="",E80=""),"",IF(E80&lt;=0,"",IFERROR(I80/E80-1,"")))</f>
        <v/>
      </c>
      <c r="J81" s="15">
        <f>IF(OR(J80="",F80=""),"",IF(F80&lt;=0,"",IFERROR(J80/F80-1,"")))</f>
        <v/>
      </c>
      <c r="K81" s="15">
        <f>IF(OR(K80="",G80=""),"",IF(G80&lt;=0,"",IFERROR(K80/G80-1,"")))</f>
        <v/>
      </c>
      <c r="L81" s="15">
        <f>IF(OR(L80="",H80=""),"",IF(H80&lt;=0,"",IFERROR(L80/H80-1,"")))</f>
        <v/>
      </c>
      <c r="M81" s="15">
        <f>IF(OR(M80="",I80=""),"",IF(I80&lt;=0,"",IFERROR(M80/I80-1,"")))</f>
        <v/>
      </c>
      <c r="N81" s="15">
        <f>IF(OR(N80="",J80=""),"",IF(J80&lt;=0,"",IFERROR(N80/J80-1,"")))</f>
        <v/>
      </c>
      <c r="O81" s="14" t="n"/>
      <c r="P81" s="15">
        <f>IF(OR(P80="",O80=""),"",IF(O80&lt;=0,"",IFERROR(P80/O80-1,"")))</f>
        <v/>
      </c>
      <c r="Q81" s="15">
        <f>IF(OR(Q80="",P80=""),"",IF(P80&lt;=0,"",IFERROR(Q80/P80-1,"")))</f>
        <v/>
      </c>
      <c r="R81" s="15">
        <f>IF(OR(R80="",Q80=""),"",IF(Q80&lt;=0,"",IFERROR(R80/Q80-1,"")))</f>
        <v/>
      </c>
      <c r="S81" s="15">
        <f>IF(OR(S80="",R80=""),"",IF(R80&lt;=0,"",IFERROR(S80/R80-1,"")))</f>
        <v/>
      </c>
      <c r="T81" s="15">
        <f>IF(OR(T80="",S80=""),"",IF(S80&lt;=0,"",IFERROR(T80/S80-1,"")))</f>
        <v/>
      </c>
      <c r="U81" s="15">
        <f>IF(OR(U80="",T80=""),"",IF(T80&lt;=0,"",IFERROR(U80/T80-1,"")))</f>
        <v/>
      </c>
      <c r="V81" s="15">
        <f>IF(OR(V80="",U80=""),"",IF(U80&lt;=0,"",IFERROR(V80/U80-1,"")))</f>
        <v/>
      </c>
      <c r="W81" s="15">
        <f>IF(OR(W80="",V80=""),"",IF(V80&lt;=0,"",IFERROR(W80/V80-1,"")))</f>
        <v/>
      </c>
      <c r="X81" s="15">
        <f>IF(OR(X80="",W80=""),"",IF(W80&lt;=0,"",IFERROR(X80/W80-1,"")))</f>
        <v/>
      </c>
      <c r="Y81" s="14">
        <f>IF(OR(Y80="",X80=""),"",IF(X80&lt;=0,"",IFERROR(Y80/X80-1,"")))</f>
        <v/>
      </c>
      <c r="Z81" s="15">
        <f>IF(OR(Z80="",Y80=""),"",IF(Y80&lt;=0,"",IFERROR(Z80/Y80-1,"")))</f>
        <v/>
      </c>
      <c r="AA81" s="15">
        <f>IF(OR(AA80="",Z80=""),"",IF(Z80&lt;=0,"",IFERROR(AA80/Z80-1,"")))</f>
        <v/>
      </c>
      <c r="AB81" s="15">
        <f>IF(OR(AB80="",AA80=""),"",IF(AA80&lt;=0,"",IFERROR(AB80/AA80-1,"")))</f>
        <v/>
      </c>
      <c r="AC81" s="15">
        <f>IF(OR(AC80="",AB80=""),"",IF(AB80&lt;=0,"",IFERROR(AC80/AB80-1,"")))</f>
        <v/>
      </c>
    </row>
    <row r="82">
      <c r="A82" s="9" t="inlineStr">
        <is>
          <t>지배주주 순이익</t>
        </is>
      </c>
      <c r="B82" s="10" t="n"/>
      <c r="C82" s="11" t="n">
        <v>-13.971</v>
      </c>
      <c r="D82" s="12" t="n">
        <v>-51.269</v>
      </c>
      <c r="E82" s="12" t="n">
        <v>11.081</v>
      </c>
      <c r="F82" s="12" t="n">
        <v>74.974</v>
      </c>
      <c r="G82" s="12" t="n">
        <v>355.615</v>
      </c>
      <c r="H82" s="12" t="n">
        <v>85.313</v>
      </c>
      <c r="I82" s="12" t="n">
        <v>267.843</v>
      </c>
      <c r="J82" s="12" t="n">
        <v>32.204</v>
      </c>
      <c r="K82" s="12" t="n">
        <v>138.233</v>
      </c>
      <c r="L82" s="12" t="n">
        <v>229.267</v>
      </c>
      <c r="M82" s="12" t="n">
        <v>277.631</v>
      </c>
      <c r="N82" s="12" t="n">
        <v>172.958</v>
      </c>
      <c r="O82" s="11" t="n">
        <v>859.915</v>
      </c>
      <c r="P82" s="12" t="n">
        <v>467.532</v>
      </c>
      <c r="Q82" s="12" t="n">
        <v>445.689</v>
      </c>
      <c r="R82" s="12" t="n">
        <v>220.091</v>
      </c>
      <c r="S82" s="12" t="n">
        <v>1002.341</v>
      </c>
      <c r="T82" s="12" t="n">
        <v>568.035</v>
      </c>
      <c r="U82" s="12" t="n">
        <v>600.5549999999999</v>
      </c>
      <c r="V82" s="12" t="n">
        <v>14.438</v>
      </c>
      <c r="W82" s="12" t="n">
        <v>526.9829999999999</v>
      </c>
      <c r="X82" s="12" t="n">
        <v>667.547</v>
      </c>
      <c r="Y82" s="11">
        <f>IF(OR(Y80="",Y83=""),"",IFERROR(Y80*Y83,""))</f>
        <v/>
      </c>
      <c r="Z82" s="12">
        <f>IF(OR(Z80="",Z83=""),"",IFERROR(Z80*Z83,""))</f>
        <v/>
      </c>
      <c r="AA82" s="12">
        <f>IF(OR(AA80="",AA83=""),"",IFERROR(AA80*AA83,""))</f>
        <v/>
      </c>
      <c r="AB82" s="12">
        <f>IF(OR(AB80="",AB83=""),"",IFERROR(AB80*AB83,""))</f>
        <v/>
      </c>
      <c r="AC82" s="12">
        <f>IF(OR(AC80="",AC83=""),"",IFERROR(AC80*AC83,""))</f>
        <v/>
      </c>
    </row>
    <row r="83">
      <c r="A83" s="13" t="inlineStr">
        <is>
          <t>지배주주 순이익률</t>
        </is>
      </c>
      <c r="B83" s="10" t="inlineStr">
        <is>
          <t>MW 기본 100%</t>
        </is>
      </c>
      <c r="C83" s="14">
        <f>IF(OR(C82="",C80=""),"",IFERROR(C82/C80,""))</f>
        <v/>
      </c>
      <c r="D83" s="15">
        <f>IF(OR(D82="",D80=""),"",IFERROR(D82/D80,""))</f>
        <v/>
      </c>
      <c r="E83" s="15">
        <f>IF(OR(E82="",E80=""),"",IFERROR(E82/E80,""))</f>
        <v/>
      </c>
      <c r="F83" s="15">
        <f>IF(OR(F82="",F80=""),"",IFERROR(F82/F80,""))</f>
        <v/>
      </c>
      <c r="G83" s="15">
        <f>IF(OR(G82="",G80=""),"",IFERROR(G82/G80,""))</f>
        <v/>
      </c>
      <c r="H83" s="15">
        <f>IF(OR(H82="",H80=""),"",IFERROR(H82/H80,""))</f>
        <v/>
      </c>
      <c r="I83" s="15">
        <f>IF(OR(I82="",I80=""),"",IFERROR(I82/I80,""))</f>
        <v/>
      </c>
      <c r="J83" s="15">
        <f>IF(OR(J82="",J80=""),"",IFERROR(J82/J80,""))</f>
        <v/>
      </c>
      <c r="K83" s="15">
        <f>IF(OR(K82="",K80=""),"",IFERROR(K82/K80,""))</f>
        <v/>
      </c>
      <c r="L83" s="15">
        <f>IF(OR(L82="",L80=""),"",IFERROR(L82/L80,""))</f>
        <v/>
      </c>
      <c r="M83" s="15">
        <f>IF(OR(M82="",M80=""),"",IFERROR(M82/M80,""))</f>
        <v/>
      </c>
      <c r="N83" s="15">
        <f>IF(OR(N82="",N80=""),"",IFERROR(N82/N80,""))</f>
        <v/>
      </c>
      <c r="O83" s="14">
        <f>IF(OR(O82="",O80=""),"",IFERROR(O82/O80,""))</f>
        <v/>
      </c>
      <c r="P83" s="15">
        <f>IF(OR(P82="",P80=""),"",IFERROR(P82/P80,""))</f>
        <v/>
      </c>
      <c r="Q83" s="15">
        <f>IF(OR(Q82="",Q80=""),"",IFERROR(Q82/Q80,""))</f>
        <v/>
      </c>
      <c r="R83" s="15">
        <f>IF(OR(R82="",R80=""),"",IFERROR(R82/R80,""))</f>
        <v/>
      </c>
      <c r="S83" s="15">
        <f>IF(OR(S82="",S80=""),"",IFERROR(S82/S80,""))</f>
        <v/>
      </c>
      <c r="T83" s="15">
        <f>IF(OR(T82="",T80=""),"",IFERROR(T82/T80,""))</f>
        <v/>
      </c>
      <c r="U83" s="15">
        <f>IF(OR(U82="",U80=""),"",IFERROR(U82/U80,""))</f>
        <v/>
      </c>
      <c r="V83" s="15">
        <f>IF(OR(V82="",V80=""),"",IFERROR(V82/V80,""))</f>
        <v/>
      </c>
      <c r="W83" s="15">
        <f>IF(OR(W82="",W80=""),"",IFERROR(W82/W80,""))</f>
        <v/>
      </c>
      <c r="X83" s="15">
        <f>IF(OR(X82="",X80=""),"",IFERROR(X82/X80,""))</f>
        <v/>
      </c>
      <c r="Y83" s="25" t="n">
        <v>1</v>
      </c>
      <c r="Z83" s="26" t="n">
        <v>1</v>
      </c>
      <c r="AA83" s="26" t="n">
        <v>1</v>
      </c>
      <c r="AB83" s="26" t="n">
        <v>1</v>
      </c>
      <c r="AC83" s="26" t="n">
        <v>1</v>
      </c>
    </row>
    <row r="84">
      <c r="A84" s="13" t="inlineStr">
        <is>
          <t>지배주주 순이익 YoY</t>
        </is>
      </c>
      <c r="B84" s="10" t="n"/>
      <c r="C84" s="14" t="n"/>
      <c r="D84" s="15" t="n"/>
      <c r="E84" s="15" t="n"/>
      <c r="F84" s="15" t="n"/>
      <c r="G84" s="15">
        <f>IF(OR(G82="",C82=""),"",IF(C82&lt;=0,"",IFERROR(G82/C82-1,"")))</f>
        <v/>
      </c>
      <c r="H84" s="15">
        <f>IF(OR(H82="",D82=""),"",IF(D82&lt;=0,"",IFERROR(H82/D82-1,"")))</f>
        <v/>
      </c>
      <c r="I84" s="15">
        <f>IF(OR(I82="",E82=""),"",IF(E82&lt;=0,"",IFERROR(I82/E82-1,"")))</f>
        <v/>
      </c>
      <c r="J84" s="15">
        <f>IF(OR(J82="",F82=""),"",IF(F82&lt;=0,"",IFERROR(J82/F82-1,"")))</f>
        <v/>
      </c>
      <c r="K84" s="15">
        <f>IF(OR(K82="",G82=""),"",IF(G82&lt;=0,"",IFERROR(K82/G82-1,"")))</f>
        <v/>
      </c>
      <c r="L84" s="15">
        <f>IF(OR(L82="",H82=""),"",IF(H82&lt;=0,"",IFERROR(L82/H82-1,"")))</f>
        <v/>
      </c>
      <c r="M84" s="15">
        <f>IF(OR(M82="",I82=""),"",IF(I82&lt;=0,"",IFERROR(M82/I82-1,"")))</f>
        <v/>
      </c>
      <c r="N84" s="15">
        <f>IF(OR(N82="",J82=""),"",IF(J82&lt;=0,"",IFERROR(N82/J82-1,"")))</f>
        <v/>
      </c>
      <c r="O84" s="14" t="n"/>
      <c r="P84" s="15">
        <f>IF(OR(P82="",O82=""),"",IF(O82&lt;=0,"",IFERROR(P82/O82-1,"")))</f>
        <v/>
      </c>
      <c r="Q84" s="15">
        <f>IF(OR(Q82="",P82=""),"",IF(P82&lt;=0,"",IFERROR(Q82/P82-1,"")))</f>
        <v/>
      </c>
      <c r="R84" s="15">
        <f>IF(OR(R82="",Q82=""),"",IF(Q82&lt;=0,"",IFERROR(R82/Q82-1,"")))</f>
        <v/>
      </c>
      <c r="S84" s="15">
        <f>IF(OR(S82="",R82=""),"",IF(R82&lt;=0,"",IFERROR(S82/R82-1,"")))</f>
        <v/>
      </c>
      <c r="T84" s="15">
        <f>IF(OR(T82="",S82=""),"",IF(S82&lt;=0,"",IFERROR(T82/S82-1,"")))</f>
        <v/>
      </c>
      <c r="U84" s="15">
        <f>IF(OR(U82="",T82=""),"",IF(T82&lt;=0,"",IFERROR(U82/T82-1,"")))</f>
        <v/>
      </c>
      <c r="V84" s="15">
        <f>IF(OR(V82="",U82=""),"",IF(U82&lt;=0,"",IFERROR(V82/U82-1,"")))</f>
        <v/>
      </c>
      <c r="W84" s="15">
        <f>IF(OR(W82="",V82=""),"",IF(V82&lt;=0,"",IFERROR(W82/V82-1,"")))</f>
        <v/>
      </c>
      <c r="X84" s="15">
        <f>IF(OR(X82="",W82=""),"",IF(W82&lt;=0,"",IFERROR(X82/W82-1,"")))</f>
        <v/>
      </c>
      <c r="Y84" s="14">
        <f>IF(OR(Y82="",X82=""),"",IF(X82&lt;=0,"",IFERROR(Y82/X82-1,"")))</f>
        <v/>
      </c>
      <c r="Z84" s="15">
        <f>IF(OR(Z82="",Y82=""),"",IF(Y82&lt;=0,"",IFERROR(Z82/Y82-1,"")))</f>
        <v/>
      </c>
      <c r="AA84" s="15">
        <f>IF(OR(AA82="",Z82=""),"",IF(Z82&lt;=0,"",IFERROR(AA82/Z82-1,"")))</f>
        <v/>
      </c>
      <c r="AB84" s="15">
        <f>IF(OR(AB82="",AA82=""),"",IF(AA82&lt;=0,"",IFERROR(AB82/AA82-1,"")))</f>
        <v/>
      </c>
      <c r="AC84" s="15">
        <f>IF(OR(AC82="",AB82=""),"",IF(AB82&lt;=0,"",IFERROR(AC82/AB82-1,"")))</f>
        <v/>
      </c>
    </row>
    <row r="85">
      <c r="A85" s="16" t="inlineStr">
        <is>
          <t>목표주가 산출</t>
        </is>
      </c>
      <c r="B85" s="16" t="n"/>
      <c r="C85" s="17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7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7" t="n"/>
      <c r="Z85" s="16" t="n"/>
      <c r="AA85" s="16" t="n"/>
      <c r="AB85" s="16" t="n"/>
      <c r="AC85" s="16" t="n"/>
    </row>
    <row r="86">
      <c r="A86" s="18" t="inlineStr">
        <is>
          <t>현재 주가 ()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8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8" t="n"/>
      <c r="Z86" s="29" t="n"/>
      <c r="AA86" s="29" t="n"/>
      <c r="AB86" s="29" t="n"/>
      <c r="AC86" s="29" t="n"/>
    </row>
    <row r="87">
      <c r="A87" s="18" t="inlineStr">
        <is>
          <t>발행주식수 (보통주)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8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8" t="n"/>
      <c r="Z87" s="29" t="n"/>
      <c r="AA87" s="29" t="n"/>
      <c r="AB87" s="29" t="n"/>
      <c r="AC87" s="29" t="n"/>
    </row>
    <row r="88">
      <c r="A88" s="18" t="inlineStr">
        <is>
          <t>시가총액 (백만엔)</t>
        </is>
      </c>
      <c r="B88" s="12">
        <f>IF(OR(B86="",B87=""),"",B86*B87/1000000.0)</f>
        <v/>
      </c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19" t="n"/>
      <c r="Z88" s="20" t="n"/>
      <c r="AA88" s="20" t="n"/>
      <c r="AB88" s="20" t="n"/>
      <c r="AC88" s="20" t="n"/>
    </row>
    <row r="89">
      <c r="A89" s="13" t="inlineStr">
        <is>
          <t>OPM</t>
        </is>
      </c>
      <c r="B89" s="10" t="n"/>
      <c r="C89" s="14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4">
        <f>IF(O53="","",O53)</f>
        <v/>
      </c>
      <c r="P89" s="15">
        <f>IF(P53="","",P53)</f>
        <v/>
      </c>
      <c r="Q89" s="15">
        <f>IF(Q53="","",Q53)</f>
        <v/>
      </c>
      <c r="R89" s="15">
        <f>IF(R53="","",R53)</f>
        <v/>
      </c>
      <c r="S89" s="15">
        <f>IF(S53="","",S53)</f>
        <v/>
      </c>
      <c r="T89" s="15">
        <f>IF(T53="","",T53)</f>
        <v/>
      </c>
      <c r="U89" s="15">
        <f>IF(U53="","",U53)</f>
        <v/>
      </c>
      <c r="V89" s="15">
        <f>IF(V53="","",V53)</f>
        <v/>
      </c>
      <c r="W89" s="15">
        <f>IF(W53="","",W53)</f>
        <v/>
      </c>
      <c r="X89" s="15">
        <f>IF(X53="","",X53)</f>
        <v/>
      </c>
      <c r="Y89" s="14">
        <f>IF(Y53="","",Y53)</f>
        <v/>
      </c>
      <c r="Z89" s="15">
        <f>IF(Z53="","",Z53)</f>
        <v/>
      </c>
      <c r="AA89" s="15">
        <f>IF(AA53="","",AA53)</f>
        <v/>
      </c>
      <c r="AB89" s="15">
        <f>IF(AB53="","",AB53)</f>
        <v/>
      </c>
      <c r="AC89" s="15">
        <f>IF(AC53="","",AC53)</f>
        <v/>
      </c>
    </row>
    <row r="90">
      <c r="A90" s="13" t="inlineStr">
        <is>
          <t>지배주주 순이익 증가율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>
        <f>IF(OR(P82="",O82=""),"",IFERROR(P82/O82-1,""))</f>
        <v/>
      </c>
      <c r="Q90" s="15">
        <f>IF(OR(Q82="",P82=""),"",IFERROR(Q82/P82-1,""))</f>
        <v/>
      </c>
      <c r="R90" s="15">
        <f>IF(OR(R82="",Q82=""),"",IFERROR(R82/Q82-1,""))</f>
        <v/>
      </c>
      <c r="S90" s="15">
        <f>IF(OR(S82="",R82=""),"",IFERROR(S82/R82-1,""))</f>
        <v/>
      </c>
      <c r="T90" s="15">
        <f>IF(OR(T82="",S82=""),"",IFERROR(T82/S82-1,""))</f>
        <v/>
      </c>
      <c r="U90" s="15">
        <f>IF(OR(U82="",T82=""),"",IFERROR(U82/T82-1,""))</f>
        <v/>
      </c>
      <c r="V90" s="15">
        <f>IF(OR(V82="",U82=""),"",IFERROR(V82/U82-1,""))</f>
        <v/>
      </c>
      <c r="W90" s="15">
        <f>IF(OR(W82="",V82=""),"",IFERROR(W82/V82-1,""))</f>
        <v/>
      </c>
      <c r="X90" s="15">
        <f>IF(OR(X82="",W82=""),"",IFERROR(X82/W82-1,""))</f>
        <v/>
      </c>
      <c r="Y90" s="14">
        <f>IF(OR(Y82="",X82=""),"",IFERROR(Y82/X82-1,""))</f>
        <v/>
      </c>
      <c r="Z90" s="15">
        <f>IF(OR(Z82="",Y82=""),"",IFERROR(Z82/Y82-1,""))</f>
        <v/>
      </c>
      <c r="AA90" s="15">
        <f>IF(OR(AA82="",Z82=""),"",IFERROR(AA82/Z82-1,""))</f>
        <v/>
      </c>
      <c r="AB90" s="15">
        <f>IF(OR(AB82="",AA82=""),"",IFERROR(AB82/AA82-1,""))</f>
        <v/>
      </c>
      <c r="AC90" s="15">
        <f>IF(OR(AC82="",AB82=""),"",IFERROR(AC82/AB82-1,""))</f>
        <v/>
      </c>
    </row>
    <row r="91">
      <c r="A91" s="18" t="inlineStr">
        <is>
          <t>P/E (현재 주가)</t>
        </is>
      </c>
      <c r="B91" s="10" t="inlineStr">
        <is>
          <t>시총 ÷ 지배순이익</t>
        </is>
      </c>
      <c r="C91" s="30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0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>
        <f>IF(OR($B$88="",X82=""),"",IFERROR($B$88/X82,""))</f>
        <v/>
      </c>
      <c r="Y91" s="30">
        <f>IF(OR($B$88="",Y82=""),"",IFERROR($B$88/Y82,""))</f>
        <v/>
      </c>
      <c r="Z91" s="31">
        <f>IF(OR($B$88="",Z82=""),"",IFERROR($B$88/Z82,""))</f>
        <v/>
      </c>
      <c r="AA91" s="31">
        <f>IF(OR($B$88="",AA82=""),"",IFERROR($B$88/AA82,""))</f>
        <v/>
      </c>
      <c r="AB91" s="31">
        <f>IF(OR($B$88="",AB82=""),"",IFERROR($B$88/AB82,""))</f>
        <v/>
      </c>
      <c r="AC91" s="31">
        <f>IF(OR($B$88="",AC82=""),"",IFERROR($B$88/AC82,""))</f>
        <v/>
      </c>
    </row>
    <row r="92">
      <c r="A92" s="18" t="inlineStr">
        <is>
          <t>Target P/E</t>
        </is>
      </c>
      <c r="B92" s="10" t="inlineStr">
        <is>
          <t>직접 입력</t>
        </is>
      </c>
      <c r="C92" s="30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0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2" t="n"/>
      <c r="Z92" s="33" t="n"/>
      <c r="AA92" s="33" t="n"/>
      <c r="AB92" s="33" t="n"/>
      <c r="AC92" s="33" t="n"/>
    </row>
    <row r="93">
      <c r="A93" s="18" t="inlineStr">
        <is>
          <t>EPS</t>
        </is>
      </c>
      <c r="B93" s="10" t="inlineStr">
        <is>
          <t>지배순이익 ÷ 주식수</t>
        </is>
      </c>
      <c r="C93" s="28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8">
        <f>IF(OR(O82="",$B$87=""),"",IFERROR(O82*1000000.0/$B$87,""))</f>
        <v/>
      </c>
      <c r="P93" s="29">
        <f>IF(OR(P82="",$B$87=""),"",IFERROR(P82*1000000.0/$B$87,""))</f>
        <v/>
      </c>
      <c r="Q93" s="29">
        <f>IF(OR(Q82="",$B$87=""),"",IFERROR(Q82*1000000.0/$B$87,""))</f>
        <v/>
      </c>
      <c r="R93" s="29">
        <f>IF(OR(R82="",$B$87=""),"",IFERROR(R82*1000000.0/$B$87,""))</f>
        <v/>
      </c>
      <c r="S93" s="29">
        <f>IF(OR(S82="",$B$87=""),"",IFERROR(S82*1000000.0/$B$87,""))</f>
        <v/>
      </c>
      <c r="T93" s="29">
        <f>IF(OR(T82="",$B$87=""),"",IFERROR(T82*1000000.0/$B$87,""))</f>
        <v/>
      </c>
      <c r="U93" s="29">
        <f>IF(OR(U82="",$B$87=""),"",IFERROR(U82*1000000.0/$B$87,""))</f>
        <v/>
      </c>
      <c r="V93" s="29">
        <f>IF(OR(V82="",$B$87=""),"",IFERROR(V82*1000000.0/$B$87,""))</f>
        <v/>
      </c>
      <c r="W93" s="29">
        <f>IF(OR(W82="",$B$87=""),"",IFERROR(W82*1000000.0/$B$87,""))</f>
        <v/>
      </c>
      <c r="X93" s="29">
        <f>IF(OR(X82="",$B$87=""),"",IFERROR(X82*1000000.0/$B$87,""))</f>
        <v/>
      </c>
      <c r="Y93" s="28">
        <f>IF(OR(Y82="",$B$87=""),"",IFERROR(Y82*1000000.0/$B$87,""))</f>
        <v/>
      </c>
      <c r="Z93" s="29">
        <f>IF(OR(Z82="",$B$87=""),"",IFERROR(Z82*1000000.0/$B$87,""))</f>
        <v/>
      </c>
      <c r="AA93" s="29">
        <f>IF(OR(AA82="",$B$87=""),"",IFERROR(AA82*1000000.0/$B$87,""))</f>
        <v/>
      </c>
      <c r="AB93" s="29">
        <f>IF(OR(AB82="",$B$87=""),"",IFERROR(AB82*1000000.0/$B$87,""))</f>
        <v/>
      </c>
      <c r="AC93" s="29">
        <f>IF(OR(AC82="",$B$87=""),"",IFERROR(AC82*1000000.0/$B$87,""))</f>
        <v/>
      </c>
    </row>
    <row r="94">
      <c r="A94" s="9" t="inlineStr">
        <is>
          <t>목표주가</t>
        </is>
      </c>
      <c r="B94" s="10" t="n"/>
      <c r="C94" s="34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34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34">
        <f>IF(OR(Y93="",Y92=""),"",IFERROR(Y93*Y92,""))</f>
        <v/>
      </c>
      <c r="Z94" s="27">
        <f>IF(OR(Z93="",Z92=""),"",IFERROR(Z93*Z92,""))</f>
        <v/>
      </c>
      <c r="AA94" s="27">
        <f>IF(OR(AA93="",AA92=""),"",IFERROR(AA93*AA92,""))</f>
        <v/>
      </c>
      <c r="AB94" s="27">
        <f>IF(OR(AB93="",AB92=""),"",IFERROR(AB93*AB92,""))</f>
        <v/>
      </c>
      <c r="AC94" s="27">
        <f>IF(OR(AC93="",AC92=""),"",IFERROR(AC93*AC92,""))</f>
        <v/>
      </c>
    </row>
    <row r="95">
      <c r="A95" s="18" t="inlineStr">
        <is>
          <t>상승여력</t>
        </is>
      </c>
      <c r="B95" s="10" t="n"/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5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7">
        <f>IF(OR(Y94="",$B$86=""),"",IFERROR(Y94/$B$86-1,""))</f>
        <v/>
      </c>
      <c r="Z95" s="38">
        <f>IF(OR(Z94="",$B$86=""),"",IFERROR(Z94/$B$86-1,""))</f>
        <v/>
      </c>
      <c r="AA95" s="38">
        <f>IF(OR(AA94="",$B$86=""),"",IFERROR(AA94/$B$86-1,""))</f>
        <v/>
      </c>
      <c r="AB95" s="38">
        <f>IF(OR(AB94="",$B$86=""),"",IFERROR(AB94/$B$86-1,""))</f>
        <v/>
      </c>
      <c r="AC95" s="38">
        <f>IF(OR(AC94="",$B$86=""),"",IFERROR(AC94/$B$86-1,""))</f>
        <v/>
      </c>
    </row>
    <row r="96">
      <c r="A96" s="16" t="inlineStr">
        <is>
          <t>자산가치 산출</t>
        </is>
      </c>
      <c r="B96" s="16" t="inlineStr">
        <is>
          <t>최신 분기 BS</t>
        </is>
      </c>
      <c r="C96" s="17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7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7" t="n"/>
      <c r="Z96" s="16" t="n"/>
      <c r="AA96" s="16" t="n"/>
      <c r="AB96" s="16" t="n"/>
      <c r="AC96" s="16" t="n"/>
    </row>
    <row r="97">
      <c r="A97" s="18" t="inlineStr">
        <is>
          <t>현금및현금성자산</t>
        </is>
      </c>
      <c r="B97" s="10" t="n"/>
      <c r="C97" s="19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19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>
        <f>'재무상태표'!G6</f>
        <v/>
      </c>
      <c r="Y97" s="19">
        <f>'재무상태표'!G6</f>
        <v/>
      </c>
      <c r="Z97" s="20">
        <f>'재무상태표'!G6</f>
        <v/>
      </c>
      <c r="AA97" s="20">
        <f>'재무상태표'!G6</f>
        <v/>
      </c>
      <c r="AB97" s="20">
        <f>'재무상태표'!G6</f>
        <v/>
      </c>
      <c r="AC97" s="20">
        <f>'재무상태표'!G6</f>
        <v/>
      </c>
    </row>
    <row r="98">
      <c r="A98" s="18" t="inlineStr">
        <is>
          <t>단기금융상품</t>
        </is>
      </c>
      <c r="B98" s="10" t="n"/>
      <c r="C98" s="19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19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>
        <f>'재무상태표'!G7</f>
        <v/>
      </c>
      <c r="Y98" s="19">
        <f>'재무상태표'!G7</f>
        <v/>
      </c>
      <c r="Z98" s="20">
        <f>'재무상태표'!G7</f>
        <v/>
      </c>
      <c r="AA98" s="20">
        <f>'재무상태표'!G7</f>
        <v/>
      </c>
      <c r="AB98" s="20">
        <f>'재무상태표'!G7</f>
        <v/>
      </c>
      <c r="AC98" s="20">
        <f>'재무상태표'!G7</f>
        <v/>
      </c>
    </row>
    <row r="99">
      <c r="A99" s="18" t="inlineStr">
        <is>
          <t>투자부동산</t>
        </is>
      </c>
      <c r="B99" s="10" t="n"/>
      <c r="C99" s="19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19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>
        <f>'재무상태표'!G14</f>
        <v/>
      </c>
      <c r="Y99" s="19">
        <f>'재무상태표'!G14</f>
        <v/>
      </c>
      <c r="Z99" s="20">
        <f>'재무상태표'!G14</f>
        <v/>
      </c>
      <c r="AA99" s="20">
        <f>'재무상태표'!G14</f>
        <v/>
      </c>
      <c r="AB99" s="20">
        <f>'재무상태표'!G14</f>
        <v/>
      </c>
      <c r="AC99" s="20">
        <f>'재무상태표'!G14</f>
        <v/>
      </c>
    </row>
    <row r="100">
      <c r="A100" s="18" t="inlineStr">
        <is>
          <t>지배자본</t>
        </is>
      </c>
      <c r="B100" s="10" t="n"/>
      <c r="C100" s="19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19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>
        <f>'재무상태표'!G31</f>
        <v/>
      </c>
      <c r="Y100" s="19">
        <f>'재무상태표'!G31</f>
        <v/>
      </c>
      <c r="Z100" s="20">
        <f>'재무상태표'!G31</f>
        <v/>
      </c>
      <c r="AA100" s="20">
        <f>'재무상태표'!G31</f>
        <v/>
      </c>
      <c r="AB100" s="20">
        <f>'재무상태표'!G31</f>
        <v/>
      </c>
      <c r="AC100" s="20">
        <f>'재무상태표'!G31</f>
        <v/>
      </c>
    </row>
    <row r="101">
      <c r="A101" s="18" t="inlineStr">
        <is>
          <t>부채</t>
        </is>
      </c>
      <c r="B101" s="10" t="n"/>
      <c r="C101" s="19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19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>
        <f>'재무상태표'!G27</f>
        <v/>
      </c>
      <c r="Y101" s="19">
        <f>'재무상태표'!G27</f>
        <v/>
      </c>
      <c r="Z101" s="20">
        <f>'재무상태표'!G27</f>
        <v/>
      </c>
      <c r="AA101" s="20">
        <f>'재무상태표'!G27</f>
        <v/>
      </c>
      <c r="AB101" s="20">
        <f>'재무상태표'!G27</f>
        <v/>
      </c>
      <c r="AC101" s="20">
        <f>'재무상태표'!G27</f>
        <v/>
      </c>
    </row>
    <row r="102">
      <c r="A102" s="13" t="inlineStr">
        <is>
          <t>부채비율</t>
        </is>
      </c>
      <c r="B102" s="10" t="n"/>
      <c r="C102" s="14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4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>
        <f>IF(OR(X101="",X100=""),"",IFERROR(X101/X100,""))</f>
        <v/>
      </c>
      <c r="Y102" s="14">
        <f>IF(OR(Y101="",Y100=""),"",IFERROR(Y101/Y100,""))</f>
        <v/>
      </c>
      <c r="Z102" s="15">
        <f>IF(OR(Z101="",Z100=""),"",IFERROR(Z101/Z100,""))</f>
        <v/>
      </c>
      <c r="AA102" s="15">
        <f>IF(OR(AA101="",AA100=""),"",IFERROR(AA101/AA100,""))</f>
        <v/>
      </c>
      <c r="AB102" s="15">
        <f>IF(OR(AB101="",AB100=""),"",IFERROR(AB101/AB100,""))</f>
        <v/>
      </c>
      <c r="AC102" s="15">
        <f>IF(OR(AC101="",AC100=""),"",IFERROR(AC101/AC100,""))</f>
        <v/>
      </c>
    </row>
    <row r="103">
      <c r="A103" s="9" t="inlineStr">
        <is>
          <t>자산가치</t>
        </is>
      </c>
      <c r="B103" s="10" t="inlineStr">
        <is>
          <t>현금+단기금융+투자부동산</t>
        </is>
      </c>
      <c r="C103" s="11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1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>
        <f>SUM(X97,X98,X99)</f>
        <v/>
      </c>
      <c r="Y103" s="11">
        <f>SUM(Y97,Y98,Y99)</f>
        <v/>
      </c>
      <c r="Z103" s="12">
        <f>SUM(Z97,Z98,Z99)</f>
        <v/>
      </c>
      <c r="AA103" s="12">
        <f>SUM(AA97,AA98,AA99)</f>
        <v/>
      </c>
      <c r="AB103" s="12">
        <f>SUM(AB97,AB98,AB99)</f>
        <v/>
      </c>
      <c r="AC103" s="12">
        <f>SUM(AC97,AC98,AC99)</f>
        <v/>
      </c>
    </row>
    <row r="104">
      <c r="A104" s="16" t="inlineStr">
        <is>
          <t>기업가치 산출</t>
        </is>
      </c>
      <c r="B104" s="16" t="n"/>
      <c r="C104" s="17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7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7" t="n"/>
      <c r="Z104" s="16" t="n"/>
      <c r="AA104" s="16" t="n"/>
      <c r="AB104" s="16" t="n"/>
      <c r="AC104" s="16" t="n"/>
    </row>
    <row r="105">
      <c r="A105" s="18" t="inlineStr">
        <is>
          <t>목표 시가총액 (P/E)</t>
        </is>
      </c>
      <c r="B105" s="10" t="inlineStr">
        <is>
          <t>지배순이익 × Target P/E</t>
        </is>
      </c>
      <c r="C105" s="19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19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19">
        <f>IF(OR(Y82="",Y92=""),"",IFERROR(Y82*Y92,""))</f>
        <v/>
      </c>
      <c r="Z105" s="20">
        <f>IF(OR(Z82="",Z92=""),"",IFERROR(Z82*Z92,""))</f>
        <v/>
      </c>
      <c r="AA105" s="20">
        <f>IF(OR(AA82="",AA92=""),"",IFERROR(AA82*AA92,""))</f>
        <v/>
      </c>
      <c r="AB105" s="20">
        <f>IF(OR(AB82="",AB92=""),"",IFERROR(AB82*AB92,""))</f>
        <v/>
      </c>
      <c r="AC105" s="20">
        <f>IF(OR(AC82="",AC92=""),"",IFERROR(AC82*AC92,""))</f>
        <v/>
      </c>
    </row>
    <row r="106">
      <c r="A106" s="9" t="inlineStr">
        <is>
          <t>기업가치</t>
        </is>
      </c>
      <c r="B106" s="10" t="inlineStr">
        <is>
          <t>목표시총 + 자산가치</t>
        </is>
      </c>
      <c r="C106" s="11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1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1">
        <f>IF(OR(Y105=""),"",IFERROR(Y105+Y103,""))</f>
        <v/>
      </c>
      <c r="Z106" s="12">
        <f>IF(OR(Z105=""),"",IFERROR(Z105+Z103,""))</f>
        <v/>
      </c>
      <c r="AA106" s="12">
        <f>IF(OR(AA105=""),"",IFERROR(AA105+AA103,""))</f>
        <v/>
      </c>
      <c r="AB106" s="12">
        <f>IF(OR(AB105=""),"",IFERROR(AB105+AB103,""))</f>
        <v/>
      </c>
      <c r="AC106" s="12">
        <f>IF(OR(AC105=""),"",IFERROR(AC105+AC103,""))</f>
        <v/>
      </c>
    </row>
    <row r="107">
      <c r="A107" s="18" t="inlineStr">
        <is>
          <t>현재 시가총액</t>
        </is>
      </c>
      <c r="B107" s="10" t="n"/>
      <c r="C107" s="19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19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19">
        <f>$B$88</f>
        <v/>
      </c>
      <c r="Z107" s="20">
        <f>$B$88</f>
        <v/>
      </c>
      <c r="AA107" s="20">
        <f>$B$88</f>
        <v/>
      </c>
      <c r="AB107" s="20">
        <f>$B$88</f>
        <v/>
      </c>
      <c r="AC107" s="20">
        <f>$B$88</f>
        <v/>
      </c>
    </row>
    <row r="108">
      <c r="A108" s="18" t="inlineStr">
        <is>
          <t>상승여력</t>
        </is>
      </c>
      <c r="B108" s="10" t="n"/>
      <c r="C108" s="35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5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7">
        <f>IF(OR(Y106="",Y107=""),"",IFERROR(Y106/Y107-1,""))</f>
        <v/>
      </c>
      <c r="Z108" s="38">
        <f>IF(OR(Z106="",Z107=""),"",IFERROR(Z106/Z107-1,""))</f>
        <v/>
      </c>
      <c r="AA108" s="38">
        <f>IF(OR(AA106="",AA107=""),"",IFERROR(AA106/AA107-1,""))</f>
        <v/>
      </c>
      <c r="AB108" s="38">
        <f>IF(OR(AB106="",AB107=""),"",IFERROR(AB106/AB107-1,""))</f>
        <v/>
      </c>
      <c r="AC108" s="38">
        <f>IF(OR(AC106="",AC107=""),"",IFERROR(AC106/AC107-1,""))</f>
        <v/>
      </c>
    </row>
    <row r="109">
      <c r="C109" s="39" t="n"/>
      <c r="O109" s="39" t="n"/>
      <c r="Y109" s="39" t="n"/>
    </row>
    <row r="110">
      <c r="A110" s="40" t="inlineStr">
        <is>
          <t>출처</t>
        </is>
      </c>
      <c r="C110" s="39" t="n"/>
      <c r="O110" s="39" t="n"/>
      <c r="Y110" s="39" t="n"/>
    </row>
    <row r="111">
      <c r="A111" s="41" t="inlineStr">
        <is>
          <t>결산단신 XBRL(TDnet·JPX 보관소) — 쓴 문서는 '출처' 시트</t>
        </is>
      </c>
      <c r="C111" s="39" t="n"/>
      <c r="O111" s="39" t="n"/>
      <c r="Y111" s="39" t="n"/>
    </row>
    <row r="112">
      <c r="A112" s="41" t="inlineStr">
        <is>
          <t>분기 = 누계에서 앞 분기를 뺀 3개월 값</t>
        </is>
      </c>
      <c r="C112" s="39" t="n"/>
      <c r="O112" s="39" t="n"/>
      <c r="Y112" s="39" t="n"/>
    </row>
    <row r="113">
      <c r="A113" s="41" t="inlineStr">
        <is>
          <t>주가: 야후 파이낸스 일봉</t>
        </is>
      </c>
      <c r="C113" s="39" t="n"/>
      <c r="O113" s="39" t="n"/>
      <c r="Y113" s="39" t="n"/>
    </row>
    <row r="115">
      <c r="A115" s="16" t="inlineStr">
        <is>
          <t>손익계산서 · 전 항목</t>
        </is>
      </c>
      <c r="B115" s="42" t="inlineStr">
        <is>
          <t>분기 = 3개월 단독</t>
        </is>
      </c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</row>
    <row r="116">
      <c r="A116" s="5" t="inlineStr">
        <is>
          <t>항목</t>
        </is>
      </c>
      <c r="B116" s="5" t="inlineStr">
        <is>
          <t>참고</t>
        </is>
      </c>
      <c r="C116" s="5" t="inlineStr">
        <is>
          <t>2024.3Q</t>
        </is>
      </c>
      <c r="D116" s="5" t="inlineStr">
        <is>
          <t>2024.4Q</t>
        </is>
      </c>
      <c r="E116" s="5" t="inlineStr">
        <is>
          <t>2025.1Q</t>
        </is>
      </c>
      <c r="F116" s="5" t="inlineStr">
        <is>
          <t>2025.2Q</t>
        </is>
      </c>
      <c r="G116" s="5" t="inlineStr">
        <is>
          <t>2025.3Q</t>
        </is>
      </c>
      <c r="H116" s="5" t="inlineStr">
        <is>
          <t>2025.4Q</t>
        </is>
      </c>
      <c r="I116" s="5" t="inlineStr">
        <is>
          <t>2026.1Q</t>
        </is>
      </c>
      <c r="J116" s="5" t="inlineStr">
        <is>
          <t>2026.2Q</t>
        </is>
      </c>
      <c r="K116" s="5" t="inlineStr">
        <is>
          <t>2026.3Q</t>
        </is>
      </c>
      <c r="L116" s="5" t="inlineStr">
        <is>
          <t>2026.4Q</t>
        </is>
      </c>
      <c r="M116" s="5" t="inlineStr">
        <is>
          <t>2027.1Q</t>
        </is>
      </c>
      <c r="N116" s="5" t="inlineStr">
        <is>
          <t>2027.2Q</t>
        </is>
      </c>
      <c r="O116" s="5" t="inlineStr">
        <is>
          <t>2017</t>
        </is>
      </c>
      <c r="P116" s="5" t="inlineStr">
        <is>
          <t>2018</t>
        </is>
      </c>
      <c r="Q116" s="5" t="inlineStr">
        <is>
          <t>2019</t>
        </is>
      </c>
      <c r="R116" s="5" t="inlineStr">
        <is>
          <t>2020</t>
        </is>
      </c>
      <c r="S116" s="5" t="inlineStr">
        <is>
          <t>2021</t>
        </is>
      </c>
      <c r="T116" s="5" t="inlineStr">
        <is>
          <t>2022</t>
        </is>
      </c>
      <c r="U116" s="5" t="inlineStr">
        <is>
          <t>2023</t>
        </is>
      </c>
      <c r="V116" s="5" t="inlineStr">
        <is>
          <t>2024</t>
        </is>
      </c>
      <c r="W116" s="5" t="inlineStr">
        <is>
          <t>2025</t>
        </is>
      </c>
      <c r="X116" s="5" t="inlineStr">
        <is>
          <t>2026</t>
        </is>
      </c>
      <c r="Y116" s="5" t="inlineStr">
        <is>
          <t>2027(MW)</t>
        </is>
      </c>
      <c r="Z116" s="5" t="inlineStr">
        <is>
          <t>2028(MW)</t>
        </is>
      </c>
      <c r="AA116" s="5" t="inlineStr">
        <is>
          <t>2029(MW)</t>
        </is>
      </c>
      <c r="AB116" s="5" t="inlineStr">
        <is>
          <t>2030(MW)</t>
        </is>
      </c>
      <c r="AC116" s="5" t="inlineStr">
        <is>
          <t>2031(MW)</t>
        </is>
      </c>
    </row>
    <row r="117">
      <c r="A117" s="9" t="inlineStr">
        <is>
          <t>매출액</t>
        </is>
      </c>
      <c r="C117" s="12" t="n">
        <v>11102.634</v>
      </c>
      <c r="D117" s="12" t="n">
        <v>9185.072</v>
      </c>
      <c r="E117" s="12" t="n">
        <v>9764.652</v>
      </c>
      <c r="F117" s="12" t="n">
        <v>9940.687</v>
      </c>
      <c r="G117" s="12" t="n">
        <v>11275.662</v>
      </c>
      <c r="H117" s="12" t="n">
        <v>9968.508</v>
      </c>
      <c r="I117" s="12" t="n">
        <v>10293.367</v>
      </c>
      <c r="J117" s="12" t="n">
        <v>10027.648</v>
      </c>
      <c r="K117" s="12" t="n">
        <v>11675.945</v>
      </c>
      <c r="L117" s="12" t="n">
        <v>11055.543</v>
      </c>
      <c r="M117" s="12" t="n">
        <v>11732.276</v>
      </c>
      <c r="N117" s="12" t="n">
        <v>11034.046</v>
      </c>
      <c r="T117" s="12" t="n">
        <v>9949.507</v>
      </c>
      <c r="U117" s="12" t="n">
        <v>9309.982</v>
      </c>
      <c r="V117" s="12" t="n">
        <v>9185.072</v>
      </c>
      <c r="W117" s="12" t="n">
        <v>9968.508</v>
      </c>
      <c r="X117" s="12" t="n">
        <v>11055.543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T118" s="15">
        <f>IF(OR(T117="",S117=""),"",IF(S117&lt;=0,"",IFERROR(T117/S117-1,"")))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매출원가</t>
        </is>
      </c>
      <c r="C119" s="20" t="n">
        <v>9204.987999999999</v>
      </c>
      <c r="D119" s="20" t="n">
        <v>7544.066</v>
      </c>
      <c r="E119" s="20" t="n">
        <v>7896.995</v>
      </c>
      <c r="F119" s="20" t="n">
        <v>7994.923</v>
      </c>
      <c r="G119" s="20" t="n">
        <v>9236.227000000001</v>
      </c>
      <c r="H119" s="20" t="n">
        <v>8001.904</v>
      </c>
      <c r="I119" s="20" t="n">
        <v>8252.692999999999</v>
      </c>
      <c r="J119" s="20" t="n">
        <v>8039.917</v>
      </c>
      <c r="K119" s="20" t="n">
        <v>9543.164000000001</v>
      </c>
      <c r="L119" s="20" t="n">
        <v>8821.204</v>
      </c>
      <c r="M119" s="20" t="n">
        <v>9351.190000000001</v>
      </c>
      <c r="N119" s="20" t="n">
        <v>8757.726000000001</v>
      </c>
      <c r="T119" s="20" t="n">
        <v>7686.476</v>
      </c>
      <c r="U119" s="20" t="n">
        <v>7377.701</v>
      </c>
      <c r="V119" s="20" t="n">
        <v>7544.066</v>
      </c>
      <c r="W119" s="20" t="n">
        <v>8001.904</v>
      </c>
      <c r="X119" s="20" t="n">
        <v>8821.204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매출총이익</t>
        </is>
      </c>
      <c r="C121" s="12" t="n">
        <v>1897.646</v>
      </c>
      <c r="D121" s="12" t="n">
        <v>1641.006</v>
      </c>
      <c r="E121" s="12" t="n">
        <v>1867.657</v>
      </c>
      <c r="F121" s="12" t="n">
        <v>1945.764</v>
      </c>
      <c r="G121" s="12" t="n">
        <v>2039.434</v>
      </c>
      <c r="H121" s="12" t="n">
        <v>1966.604</v>
      </c>
      <c r="I121" s="12" t="n">
        <v>2040.673</v>
      </c>
      <c r="J121" s="12" t="n">
        <v>1987.731</v>
      </c>
      <c r="K121" s="12" t="n">
        <v>2132.781</v>
      </c>
      <c r="L121" s="12" t="n">
        <v>2234.339</v>
      </c>
      <c r="M121" s="12" t="n">
        <v>2381.085</v>
      </c>
      <c r="N121" s="12" t="n">
        <v>2276.32</v>
      </c>
      <c r="T121" s="12" t="n">
        <v>2263.031</v>
      </c>
      <c r="U121" s="12" t="n">
        <v>1932.281</v>
      </c>
      <c r="V121" s="12" t="n">
        <v>1641.006</v>
      </c>
      <c r="W121" s="12" t="n">
        <v>1966.604</v>
      </c>
      <c r="X121" s="12" t="n">
        <v>2234.339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판매비와 관리비</t>
        </is>
      </c>
      <c r="C123" s="20" t="n">
        <v>1916.651</v>
      </c>
      <c r="D123" s="20" t="n">
        <v>1893.997</v>
      </c>
      <c r="E123" s="20" t="n">
        <v>1903.758</v>
      </c>
      <c r="F123" s="20" t="n">
        <v>1902.678</v>
      </c>
      <c r="G123" s="20" t="n">
        <v>1914.348</v>
      </c>
      <c r="H123" s="20" t="n">
        <v>1944.102</v>
      </c>
      <c r="I123" s="20" t="n">
        <v>1913.254</v>
      </c>
      <c r="J123" s="20" t="n">
        <v>1922.124</v>
      </c>
      <c r="K123" s="20" t="n">
        <v>1998.862</v>
      </c>
      <c r="L123" s="20" t="n">
        <v>2029.913</v>
      </c>
      <c r="M123" s="20" t="n">
        <v>1998.447</v>
      </c>
      <c r="N123" s="20" t="n">
        <v>2020.153</v>
      </c>
      <c r="T123" s="20" t="n">
        <v>1987.894</v>
      </c>
      <c r="U123" s="20" t="n">
        <v>1978.419</v>
      </c>
      <c r="V123" s="20" t="n">
        <v>1893.997</v>
      </c>
      <c r="W123" s="20" t="n">
        <v>1944.102</v>
      </c>
      <c r="X123" s="20" t="n">
        <v>2029.913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영업이익</t>
        </is>
      </c>
      <c r="C125" s="12" t="n">
        <v>-19.005</v>
      </c>
      <c r="D125" s="12" t="n">
        <v>-252.99</v>
      </c>
      <c r="E125" s="12" t="n">
        <v>-36.101</v>
      </c>
      <c r="F125" s="12" t="n">
        <v>43.085</v>
      </c>
      <c r="G125" s="12" t="n">
        <v>125.086</v>
      </c>
      <c r="H125" s="12" t="n">
        <v>22.503</v>
      </c>
      <c r="I125" s="12" t="n">
        <v>127.418</v>
      </c>
      <c r="J125" s="12" t="n">
        <v>65.608</v>
      </c>
      <c r="K125" s="12" t="n">
        <v>133.919</v>
      </c>
      <c r="L125" s="12" t="n">
        <v>204.425</v>
      </c>
      <c r="M125" s="12" t="n">
        <v>382.637</v>
      </c>
      <c r="N125" s="12" t="n">
        <v>256.167</v>
      </c>
      <c r="T125" s="12" t="n">
        <v>275.136</v>
      </c>
      <c r="U125" s="12" t="n">
        <v>-46.138</v>
      </c>
      <c r="V125" s="12" t="n">
        <v>-252.99</v>
      </c>
      <c r="W125" s="12" t="n">
        <v>22.503</v>
      </c>
      <c r="X125" s="12" t="n">
        <v>204.425</v>
      </c>
    </row>
    <row r="126">
      <c r="A126" s="43" t="inlineStr">
        <is>
          <t>OPM</t>
        </is>
      </c>
      <c r="B126" s="3" t="inlineStr">
        <is>
          <t>영업이익 ÷ 매출</t>
        </is>
      </c>
      <c r="C126" s="15">
        <f>IF(OR(C125="",C117=""),"",IF(C117&lt;=0,"",IFERROR(C125/C117,"")))</f>
        <v/>
      </c>
      <c r="D126" s="15">
        <f>IF(OR(D125="",D117=""),"",IF(D117&lt;=0,"",IFERROR(D125/D117,"")))</f>
        <v/>
      </c>
      <c r="E126" s="15">
        <f>IF(OR(E125="",E117=""),"",IF(E117&lt;=0,"",IFERROR(E125/E117,"")))</f>
        <v/>
      </c>
      <c r="F126" s="15">
        <f>IF(OR(F125="",F117=""),"",IF(F117&lt;=0,"",IFERROR(F125/F117,"")))</f>
        <v/>
      </c>
      <c r="G126" s="15">
        <f>IF(OR(G125="",G117=""),"",IF(G117&lt;=0,"",IFERROR(G125/G117,"")))</f>
        <v/>
      </c>
      <c r="H126" s="15">
        <f>IF(OR(H125="",H117=""),"",IF(H117&lt;=0,"",IFERROR(H125/H117,"")))</f>
        <v/>
      </c>
      <c r="I126" s="15">
        <f>IF(OR(I125="",I117=""),"",IF(I117&lt;=0,"",IFERROR(I125/I117,"")))</f>
        <v/>
      </c>
      <c r="J126" s="15">
        <f>IF(OR(J125="",J117=""),"",IF(J117&lt;=0,"",IFERROR(J125/J117,"")))</f>
        <v/>
      </c>
      <c r="K126" s="15">
        <f>IF(OR(K125="",K117=""),"",IF(K117&lt;=0,"",IFERROR(K125/K117,"")))</f>
        <v/>
      </c>
      <c r="L126" s="15">
        <f>IF(OR(L125="",L117=""),"",IF(L117&lt;=0,"",IFERROR(L125/L117,"")))</f>
        <v/>
      </c>
      <c r="M126" s="15">
        <f>IF(OR(M125="",M117=""),"",IF(M117&lt;=0,"",IFERROR(M125/M117,"")))</f>
        <v/>
      </c>
      <c r="N126" s="15">
        <f>IF(OR(N125="",N117=""),"",IF(N117&lt;=0,"",IFERROR(N125/N117,"")))</f>
        <v/>
      </c>
      <c r="T126" s="15">
        <f>IF(OR(T125="",T117=""),"",IF(T117&lt;=0,"",IFERROR(T125/T117,"")))</f>
        <v/>
      </c>
      <c r="U126" s="15">
        <f>IF(OR(U125="",U117=""),"",IF(U117&lt;=0,"",IFERROR(U125/U117,"")))</f>
        <v/>
      </c>
      <c r="V126" s="15">
        <f>IF(OR(V125="",V117=""),"",IF(V117&lt;=0,"",IFERROR(V125/V117,"")))</f>
        <v/>
      </c>
      <c r="W126" s="15">
        <f>IF(OR(W125="",W117=""),"",IF(W117&lt;=0,"",IFERROR(W125/W117,"")))</f>
        <v/>
      </c>
      <c r="X126" s="15">
        <f>IF(OR(X125="",X117=""),"",IF(X117&lt;=0,"",IFERROR(X125/X117,"")))</f>
        <v/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IF(OR(G125="",C125=""),"",IF(C125&lt;=0,"",IFERROR(G125/C125-1,"")))</f>
        <v/>
      </c>
      <c r="H127" s="15">
        <f>IF(OR(H125="",D125=""),"",IF(D125&lt;=0,"",IFERROR(H125/D125-1,"")))</f>
        <v/>
      </c>
      <c r="I127" s="15">
        <f>IF(OR(I125="",E125=""),"",IF(E125&lt;=0,"",IFERROR(I125/E125-1,"")))</f>
        <v/>
      </c>
      <c r="J127" s="15">
        <f>IF(OR(J125="",F125=""),"",IF(F125&lt;=0,"",IFERROR(J125/F125-1,"")))</f>
        <v/>
      </c>
      <c r="K127" s="15">
        <f>IF(OR(K125="",G125=""),"",IF(G125&lt;=0,"",IFERROR(K125/G125-1,"")))</f>
        <v/>
      </c>
      <c r="L127" s="15">
        <f>IF(OR(L125="",H125=""),"",IF(H125&lt;=0,"",IFERROR(L125/H125-1,"")))</f>
        <v/>
      </c>
      <c r="M127" s="15">
        <f>IF(OR(M125="",I125=""),"",IF(I125&lt;=0,"",IFERROR(M125/I125-1,"")))</f>
        <v/>
      </c>
      <c r="N127" s="15">
        <f>IF(OR(N125="",J125=""),"",IF(J125&lt;=0,"",IFERROR(N125/J125-1,"")))</f>
        <v/>
      </c>
      <c r="T127" s="15">
        <f>IF(OR(T125="",S125=""),"",IF(S125&lt;=0,"",IFERROR(T125/S125-1,"")))</f>
        <v/>
      </c>
      <c r="U127" s="15">
        <f>IF(OR(U125="",T125=""),"",IF(T125&lt;=0,"",IFERROR(U125/T125-1,"")))</f>
        <v/>
      </c>
      <c r="V127" s="15">
        <f>IF(OR(V125="",U125=""),"",IF(U125&lt;=0,"",IFERROR(V125/U125-1,"")))</f>
        <v/>
      </c>
      <c r="W127" s="15">
        <f>IF(OR(W125="",V125=""),"",IF(V125&lt;=0,"",IFERROR(W125/V125-1,"")))</f>
        <v/>
      </c>
      <c r="X127" s="15">
        <f>IF(OR(X125="",W125=""),"",IF(W125&lt;=0,"",IFERROR(X125/W125-1,"")))</f>
        <v/>
      </c>
    </row>
    <row r="128">
      <c r="A128" s="18" t="inlineStr">
        <is>
          <t>이자수익</t>
        </is>
      </c>
      <c r="C128" s="20" t="n">
        <v>0.008</v>
      </c>
      <c r="D128" s="20" t="n">
        <v>0.014</v>
      </c>
      <c r="E128" s="20" t="n">
        <v>0.028</v>
      </c>
      <c r="F128" s="20" t="n">
        <v>0.052</v>
      </c>
      <c r="G128" s="20" t="n">
        <v>0.123</v>
      </c>
      <c r="H128" s="20" t="n">
        <v>0.284</v>
      </c>
      <c r="I128" s="20" t="n">
        <v>0.27</v>
      </c>
      <c r="J128" s="20" t="n">
        <v>0.412</v>
      </c>
      <c r="K128" s="20" t="n">
        <v>0.31</v>
      </c>
      <c r="L128" s="20" t="n">
        <v>0.524</v>
      </c>
      <c r="M128" s="20" t="n">
        <v>0.479</v>
      </c>
      <c r="N128" s="20" t="n">
        <v>0.599</v>
      </c>
      <c r="T128" s="20" t="n">
        <v>0.008</v>
      </c>
      <c r="U128" s="20" t="n">
        <v>0.008</v>
      </c>
      <c r="V128" s="20" t="n">
        <v>0.014</v>
      </c>
      <c r="W128" s="20" t="n">
        <v>0.284</v>
      </c>
      <c r="X128" s="20" t="n">
        <v>0.524</v>
      </c>
    </row>
    <row r="129">
      <c r="A129" s="18" t="inlineStr">
        <is>
          <t>배당금수익</t>
        </is>
      </c>
      <c r="C129" s="20" t="n">
        <v>18.781</v>
      </c>
      <c r="D129" s="20" t="n">
        <v>21.208</v>
      </c>
      <c r="E129" s="20" t="n">
        <v>15.679</v>
      </c>
      <c r="F129" s="20" t="n">
        <v>26.143</v>
      </c>
      <c r="G129" s="20" t="n">
        <v>18.765</v>
      </c>
      <c r="H129" s="20" t="n">
        <v>18.221</v>
      </c>
      <c r="I129" s="20" t="n">
        <v>20.307</v>
      </c>
      <c r="J129" s="20" t="n">
        <v>24.298</v>
      </c>
      <c r="K129" s="20" t="n">
        <v>19.068</v>
      </c>
      <c r="L129" s="20" t="n">
        <v>31.395</v>
      </c>
      <c r="M129" s="20" t="n">
        <v>19.291</v>
      </c>
      <c r="N129" s="20" t="n">
        <v>20.254</v>
      </c>
      <c r="T129" s="20" t="n">
        <v>21.492</v>
      </c>
      <c r="U129" s="20" t="n">
        <v>19.94</v>
      </c>
      <c r="V129" s="20" t="n">
        <v>21.208</v>
      </c>
      <c r="W129" s="20" t="n">
        <v>18.221</v>
      </c>
      <c r="X129" s="20" t="n">
        <v>31.395</v>
      </c>
    </row>
    <row r="130">
      <c r="A130" s="18" t="inlineStr">
        <is>
          <t>매입할인</t>
        </is>
      </c>
      <c r="C130" s="20" t="n">
        <v>47.48</v>
      </c>
      <c r="D130" s="20" t="n">
        <v>46.025</v>
      </c>
      <c r="E130" s="20" t="n">
        <v>57.149</v>
      </c>
      <c r="F130" s="20" t="n">
        <v>42.735</v>
      </c>
      <c r="G130" s="20" t="n">
        <v>49.202</v>
      </c>
      <c r="H130" s="20" t="n">
        <v>48.031</v>
      </c>
      <c r="I130" s="20" t="n">
        <v>52.085</v>
      </c>
      <c r="J130" s="20" t="n">
        <v>38.04</v>
      </c>
      <c r="K130" s="20" t="n">
        <v>41.739</v>
      </c>
      <c r="L130" s="20" t="n">
        <v>41.645</v>
      </c>
      <c r="M130" s="20" t="n">
        <v>33.005</v>
      </c>
      <c r="N130" s="20" t="n">
        <v>19.877</v>
      </c>
      <c r="T130" s="20" t="n">
        <v>48.426</v>
      </c>
      <c r="U130" s="20" t="n">
        <v>46.579</v>
      </c>
      <c r="V130" s="20" t="n">
        <v>46.025</v>
      </c>
      <c r="W130" s="20" t="n">
        <v>48.031</v>
      </c>
      <c r="X130" s="20" t="n">
        <v>41.645</v>
      </c>
    </row>
    <row r="131">
      <c r="A131" s="18" t="inlineStr">
        <is>
          <t>임대수입</t>
        </is>
      </c>
      <c r="C131" s="20" t="n">
        <v>9.750999999999999</v>
      </c>
      <c r="D131" s="20" t="n">
        <v>9.456</v>
      </c>
      <c r="E131" s="20" t="n">
        <v>9.455</v>
      </c>
      <c r="F131" s="20" t="n">
        <v>9.456</v>
      </c>
      <c r="G131" s="20" t="n">
        <v>9.455</v>
      </c>
      <c r="H131" s="20" t="n">
        <v>9.456</v>
      </c>
      <c r="I131" s="20" t="n">
        <v>9.455</v>
      </c>
      <c r="J131" s="20" t="n">
        <v>9.456</v>
      </c>
      <c r="K131" s="20" t="n">
        <v>9.455</v>
      </c>
      <c r="L131" s="20" t="n">
        <v>9.456</v>
      </c>
      <c r="M131" s="20" t="n">
        <v>9.455</v>
      </c>
      <c r="N131" s="20" t="n">
        <v>7.323</v>
      </c>
      <c r="T131" s="20" t="n">
        <v>20.032</v>
      </c>
      <c r="U131" s="20" t="n">
        <v>9.9</v>
      </c>
      <c r="V131" s="20" t="n">
        <v>9.456</v>
      </c>
      <c r="W131" s="20" t="n">
        <v>9.456</v>
      </c>
      <c r="X131" s="20" t="n">
        <v>9.456</v>
      </c>
    </row>
    <row r="132">
      <c r="A132" s="18" t="inlineStr">
        <is>
          <t>기타</t>
        </is>
      </c>
      <c r="C132" s="20" t="n">
        <v>11.162</v>
      </c>
      <c r="D132" s="20" t="n">
        <v>18.007</v>
      </c>
      <c r="E132" s="20" t="n">
        <v>13.747</v>
      </c>
      <c r="F132" s="20" t="n">
        <v>19.976</v>
      </c>
      <c r="G132" s="20" t="n">
        <v>14.319</v>
      </c>
      <c r="H132" s="20" t="n">
        <v>14.669</v>
      </c>
      <c r="I132" s="20" t="n">
        <v>7.52</v>
      </c>
      <c r="J132" s="20" t="n">
        <v>11.399</v>
      </c>
      <c r="K132" s="20" t="n">
        <v>9.295999999999999</v>
      </c>
      <c r="L132" s="20" t="n">
        <v>12.073</v>
      </c>
      <c r="M132" s="20" t="n">
        <v>10.298</v>
      </c>
      <c r="N132" s="20" t="n">
        <v>17.527</v>
      </c>
      <c r="T132" s="20" t="n">
        <v>18.149</v>
      </c>
      <c r="U132" s="20" t="n">
        <v>16.945</v>
      </c>
      <c r="V132" s="20" t="n">
        <v>18.007</v>
      </c>
      <c r="W132" s="20" t="n">
        <v>14.669</v>
      </c>
      <c r="X132" s="20" t="n">
        <v>12.073</v>
      </c>
    </row>
    <row r="133">
      <c r="A133" s="18" t="inlineStr">
        <is>
          <t>영업외수익 합계</t>
        </is>
      </c>
      <c r="C133" s="20" t="n">
        <v>87.18300000000001</v>
      </c>
      <c r="D133" s="20" t="n">
        <v>94.70999999999999</v>
      </c>
      <c r="E133" s="20" t="n">
        <v>96.06</v>
      </c>
      <c r="F133" s="20" t="n">
        <v>98.36199999999999</v>
      </c>
      <c r="G133" s="20" t="n">
        <v>91.863</v>
      </c>
      <c r="H133" s="20" t="n">
        <v>90.661</v>
      </c>
      <c r="I133" s="20" t="n">
        <v>89.639</v>
      </c>
      <c r="J133" s="20" t="n">
        <v>83.604</v>
      </c>
      <c r="K133" s="20" t="n">
        <v>79.869</v>
      </c>
      <c r="L133" s="20" t="n">
        <v>95.093</v>
      </c>
      <c r="M133" s="20" t="n">
        <v>72.53</v>
      </c>
      <c r="N133" s="20" t="n">
        <v>65.58</v>
      </c>
      <c r="T133" s="20" t="n">
        <v>108.108</v>
      </c>
      <c r="U133" s="20" t="n">
        <v>93.373</v>
      </c>
      <c r="V133" s="20" t="n">
        <v>94.70999999999999</v>
      </c>
      <c r="W133" s="20" t="n">
        <v>90.661</v>
      </c>
      <c r="X133" s="20" t="n">
        <v>95.093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18" t="inlineStr">
        <is>
          <t>이자비용</t>
        </is>
      </c>
      <c r="C135" s="20" t="n">
        <v>4.398</v>
      </c>
      <c r="D135" s="20" t="n">
        <v>5.443</v>
      </c>
      <c r="E135" s="20" t="n">
        <v>5.192</v>
      </c>
      <c r="F135" s="20" t="n">
        <v>6.85</v>
      </c>
      <c r="G135" s="20" t="n">
        <v>6.798</v>
      </c>
      <c r="H135" s="20" t="n">
        <v>10.829</v>
      </c>
      <c r="I135" s="20" t="n">
        <v>8.199</v>
      </c>
      <c r="J135" s="20" t="n">
        <v>5.417</v>
      </c>
      <c r="K135" s="20" t="n">
        <v>5.297</v>
      </c>
      <c r="L135" s="20" t="n">
        <v>9.034000000000001</v>
      </c>
      <c r="M135" s="20" t="n">
        <v>8.188000000000001</v>
      </c>
      <c r="N135" s="20" t="n">
        <v>10.483</v>
      </c>
      <c r="T135" s="20" t="n">
        <v>7.552</v>
      </c>
      <c r="U135" s="20" t="n">
        <v>5.673</v>
      </c>
      <c r="V135" s="20" t="n">
        <v>5.443</v>
      </c>
      <c r="W135" s="20" t="n">
        <v>10.829</v>
      </c>
      <c r="X135" s="20" t="n">
        <v>9.034000000000001</v>
      </c>
    </row>
    <row r="136">
      <c r="A136" s="18" t="inlineStr">
        <is>
          <t>임대비용</t>
        </is>
      </c>
      <c r="C136" s="20" t="n">
        <v>1.559</v>
      </c>
      <c r="D136" s="20" t="n">
        <v>1.558</v>
      </c>
      <c r="E136" s="20" t="n">
        <v>1.672</v>
      </c>
      <c r="F136" s="20" t="n">
        <v>1.673</v>
      </c>
      <c r="G136" s="20" t="n">
        <v>1.673</v>
      </c>
      <c r="H136" s="20" t="n">
        <v>1.672</v>
      </c>
      <c r="I136" s="20" t="n">
        <v>1.71</v>
      </c>
      <c r="J136" s="20" t="n">
        <v>1.708</v>
      </c>
      <c r="K136" s="20" t="n">
        <v>1.707</v>
      </c>
      <c r="L136" s="20" t="n">
        <v>1.708</v>
      </c>
      <c r="M136" s="20" t="n">
        <v>1.71</v>
      </c>
      <c r="N136" s="20" t="n">
        <v>1.708</v>
      </c>
      <c r="T136" s="20" t="n">
        <v>1.472</v>
      </c>
      <c r="U136" s="20" t="n">
        <v>0</v>
      </c>
      <c r="V136" s="20" t="n">
        <v>1.558</v>
      </c>
      <c r="W136" s="20" t="n">
        <v>1.672</v>
      </c>
      <c r="X136" s="20" t="n">
        <v>1.708</v>
      </c>
    </row>
    <row r="137">
      <c r="A137" s="18" t="inlineStr">
        <is>
          <t>화해금</t>
        </is>
      </c>
      <c r="C137" s="20" t="n">
        <v>0</v>
      </c>
      <c r="D137" s="20" t="n">
        <v>0</v>
      </c>
      <c r="G137" s="20" t="n">
        <v>0</v>
      </c>
      <c r="H137" s="20" t="n">
        <v>0</v>
      </c>
      <c r="U137" s="20" t="n">
        <v>0</v>
      </c>
      <c r="V137" s="20" t="n">
        <v>0</v>
      </c>
      <c r="W137" s="20" t="n">
        <v>0</v>
      </c>
    </row>
    <row r="138">
      <c r="A138" s="18" t="inlineStr">
        <is>
          <t>기타</t>
        </is>
      </c>
      <c r="C138" s="20" t="n">
        <v>1.034</v>
      </c>
      <c r="D138" s="20" t="n">
        <v>-0.342</v>
      </c>
      <c r="E138" s="20" t="n">
        <v>1.357</v>
      </c>
      <c r="F138" s="20" t="n">
        <v>-0.196</v>
      </c>
      <c r="G138" s="20" t="n">
        <v>1.409</v>
      </c>
      <c r="H138" s="20" t="n">
        <v>0.654</v>
      </c>
      <c r="I138" s="20" t="n">
        <v>0.527</v>
      </c>
      <c r="J138" s="20" t="n">
        <v>0.465</v>
      </c>
      <c r="K138" s="20" t="n">
        <v>0.457</v>
      </c>
      <c r="L138" s="20" t="n">
        <v>0.363</v>
      </c>
      <c r="M138" s="20" t="n">
        <v>0.676</v>
      </c>
      <c r="N138" s="20" t="n">
        <v>10.905</v>
      </c>
      <c r="T138" s="20" t="n">
        <v>0.676</v>
      </c>
      <c r="U138" s="20" t="n">
        <v>-2.058</v>
      </c>
      <c r="V138" s="20" t="n">
        <v>-0.342</v>
      </c>
      <c r="W138" s="20" t="n">
        <v>0.654</v>
      </c>
      <c r="X138" s="20" t="n">
        <v>0.363</v>
      </c>
    </row>
    <row r="139">
      <c r="A139" s="18" t="inlineStr">
        <is>
          <t>영업외비용 합계</t>
        </is>
      </c>
      <c r="C139" s="20" t="n">
        <v>6.99</v>
      </c>
      <c r="D139" s="20" t="n">
        <v>6.659</v>
      </c>
      <c r="E139" s="20" t="n">
        <v>8.223000000000001</v>
      </c>
      <c r="F139" s="20" t="n">
        <v>8.326000000000001</v>
      </c>
      <c r="G139" s="20" t="n">
        <v>9.879</v>
      </c>
      <c r="H139" s="20" t="n">
        <v>13.156</v>
      </c>
      <c r="I139" s="20" t="n">
        <v>10.437</v>
      </c>
      <c r="J139" s="20" t="n">
        <v>7.59</v>
      </c>
      <c r="K139" s="20" t="n">
        <v>7.462</v>
      </c>
      <c r="L139" s="20" t="n">
        <v>11.103</v>
      </c>
      <c r="M139" s="20" t="n">
        <v>10.575</v>
      </c>
      <c r="N139" s="20" t="n">
        <v>23.096</v>
      </c>
      <c r="T139" s="20" t="n">
        <v>9.699</v>
      </c>
      <c r="U139" s="20" t="n">
        <v>3.615</v>
      </c>
      <c r="V139" s="20" t="n">
        <v>6.659</v>
      </c>
      <c r="W139" s="20" t="n">
        <v>13.156</v>
      </c>
      <c r="X139" s="20" t="n">
        <v>11.103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T140" s="15">
        <f>IF(OR(T139="",S139=""),"",IF(T139*S139&lt;=0,"",IFERROR(T139/S139-1,"")))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9" t="inlineStr">
        <is>
          <t>경상이익</t>
        </is>
      </c>
      <c r="C141" s="12" t="n">
        <v>61.187</v>
      </c>
      <c r="D141" s="12" t="n">
        <v>-164.939</v>
      </c>
      <c r="E141" s="12" t="n">
        <v>51.734</v>
      </c>
      <c r="F141" s="12" t="n">
        <v>133.124</v>
      </c>
      <c r="G141" s="12" t="n">
        <v>207.07</v>
      </c>
      <c r="H141" s="12" t="n">
        <v>100.007</v>
      </c>
      <c r="I141" s="12" t="n">
        <v>206.62</v>
      </c>
      <c r="J141" s="12" t="n">
        <v>141.623</v>
      </c>
      <c r="K141" s="12" t="n">
        <v>206.325</v>
      </c>
      <c r="L141" s="12" t="n">
        <v>288.414</v>
      </c>
      <c r="M141" s="12" t="n">
        <v>444.592</v>
      </c>
      <c r="N141" s="12" t="n">
        <v>298.651</v>
      </c>
      <c r="T141" s="12" t="n">
        <v>373.546</v>
      </c>
      <c r="U141" s="12" t="n">
        <v>43.62</v>
      </c>
      <c r="V141" s="12" t="n">
        <v>-164.939</v>
      </c>
      <c r="W141" s="12" t="n">
        <v>100.007</v>
      </c>
      <c r="X141" s="12" t="n">
        <v>288.414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고정자산 매각이익</t>
        </is>
      </c>
      <c r="C143" s="20" t="n">
        <v>0</v>
      </c>
      <c r="D143" s="20" t="n">
        <v>0</v>
      </c>
      <c r="T143" s="20" t="n">
        <v>0.001</v>
      </c>
      <c r="U143" s="20" t="n">
        <v>0.455</v>
      </c>
      <c r="V143" s="20" t="n">
        <v>0</v>
      </c>
    </row>
    <row r="144">
      <c r="A144" s="18" t="inlineStr">
        <is>
          <t>투자유가증권 매각이익</t>
        </is>
      </c>
      <c r="C144" s="20" t="n">
        <v>79.995</v>
      </c>
      <c r="D144" s="20" t="n">
        <v>65.696</v>
      </c>
      <c r="E144" s="20" t="n">
        <v>0</v>
      </c>
      <c r="F144" s="20" t="n">
        <v>7.979</v>
      </c>
      <c r="G144" s="20" t="n">
        <v>367.29</v>
      </c>
      <c r="H144" s="20" t="n">
        <v>0</v>
      </c>
      <c r="I144" s="20" t="n">
        <v>232.425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U144" s="20" t="n">
        <v>0</v>
      </c>
      <c r="V144" s="20" t="n">
        <v>65.696</v>
      </c>
      <c r="W144" s="20" t="n">
        <v>0</v>
      </c>
      <c r="X144" s="20" t="n">
        <v>0</v>
      </c>
    </row>
    <row r="145">
      <c r="A145" s="18" t="inlineStr">
        <is>
          <t>특별이익 합계</t>
        </is>
      </c>
      <c r="C145" s="20" t="n">
        <v>79.995</v>
      </c>
      <c r="D145" s="20" t="n">
        <v>65.696</v>
      </c>
      <c r="E145" s="20" t="n">
        <v>0</v>
      </c>
      <c r="F145" s="20" t="n">
        <v>7.979</v>
      </c>
      <c r="G145" s="20" t="n">
        <v>367.29</v>
      </c>
      <c r="H145" s="20" t="n">
        <v>0</v>
      </c>
      <c r="I145" s="20" t="n">
        <v>232.425</v>
      </c>
      <c r="J145" s="20" t="n">
        <v>0</v>
      </c>
      <c r="K145" s="20" t="n">
        <v>0</v>
      </c>
      <c r="L145" s="20" t="n">
        <v>0</v>
      </c>
      <c r="M145" s="20" t="n">
        <v>0</v>
      </c>
      <c r="N145" s="20" t="n">
        <v>0</v>
      </c>
      <c r="T145" s="20" t="n">
        <v>0.001</v>
      </c>
      <c r="U145" s="20" t="n">
        <v>0.455</v>
      </c>
      <c r="V145" s="20" t="n">
        <v>65.696</v>
      </c>
      <c r="W145" s="20" t="n">
        <v>0</v>
      </c>
      <c r="X145" s="20" t="n">
        <v>0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IF(OR(G145="",C145=""),"",IF(G145*C145&lt;=0,"",IFERROR(G145/C145-1,"")))</f>
        <v/>
      </c>
      <c r="H146" s="15">
        <f>IF(OR(H145="",D145=""),"",IF(H145*D145&lt;=0,"",IFERROR(H145/D145-1,"")))</f>
        <v/>
      </c>
      <c r="I146" s="15">
        <f>IF(OR(I145="",E145=""),"",IF(I145*E145&lt;=0,"",IFERROR(I145/E145-1,"")))</f>
        <v/>
      </c>
      <c r="J146" s="15">
        <f>IF(OR(J145="",F145=""),"",IF(J145*F145&lt;=0,"",IFERROR(J145/F145-1,"")))</f>
        <v/>
      </c>
      <c r="K146" s="15">
        <f>IF(OR(K145="",G145=""),"",IF(K145*G145&lt;=0,"",IFERROR(K145/G145-1,"")))</f>
        <v/>
      </c>
      <c r="L146" s="15">
        <f>IF(OR(L145="",H145=""),"",IF(L145*H145&lt;=0,"",IFERROR(L145/H145-1,"")))</f>
        <v/>
      </c>
      <c r="M146" s="15">
        <f>IF(OR(M145="",I145=""),"",IF(M145*I145&lt;=0,"",IFERROR(M145/I145-1,"")))</f>
        <v/>
      </c>
      <c r="N146" s="15">
        <f>IF(OR(N145="",J145=""),"",IF(N145*J145&lt;=0,"",IFERROR(N145/J145-1,"")))</f>
        <v/>
      </c>
      <c r="T146" s="15">
        <f>IF(OR(T145="",S145=""),"",IF(T145*S145&lt;=0,"",IFERROR(T145/S145-1,"")))</f>
        <v/>
      </c>
      <c r="U146" s="15">
        <f>IF(OR(U145="",T145=""),"",IF(U145*T145&lt;=0,"",IFERROR(U145/T145-1,"")))</f>
        <v/>
      </c>
      <c r="V146" s="15">
        <f>IF(OR(V145="",U145=""),"",IF(V145*U145&lt;=0,"",IFERROR(V145/U145-1,"")))</f>
        <v/>
      </c>
      <c r="W146" s="15">
        <f>IF(OR(W145="",V145=""),"",IF(W145*V145&lt;=0,"",IFERROR(W145/V145-1,"")))</f>
        <v/>
      </c>
      <c r="X146" s="15">
        <f>IF(OR(X145="",W145=""),"",IF(X145*W145&lt;=0,"",IFERROR(X145/W145-1,"")))</f>
        <v/>
      </c>
    </row>
    <row r="147">
      <c r="A147" s="18" t="inlineStr">
        <is>
          <t>손상차손</t>
        </is>
      </c>
      <c r="C147" s="20" t="n">
        <v>0</v>
      </c>
      <c r="D147" s="20" t="n">
        <v>6.117</v>
      </c>
      <c r="G147" s="20" t="n">
        <v>0</v>
      </c>
      <c r="H147" s="20" t="n">
        <v>0</v>
      </c>
      <c r="U147" s="20" t="n">
        <v>1.491</v>
      </c>
      <c r="V147" s="20" t="n">
        <v>6.117</v>
      </c>
      <c r="W147" s="20" t="n">
        <v>0</v>
      </c>
    </row>
    <row r="148">
      <c r="A148" s="18" t="inlineStr">
        <is>
          <t>투자유가증권 평가손실</t>
        </is>
      </c>
      <c r="G148" s="20" t="n">
        <v>0</v>
      </c>
      <c r="H148" s="20" t="n">
        <v>0</v>
      </c>
      <c r="I148" s="20" t="n">
        <v>0</v>
      </c>
      <c r="J148" s="20" t="n">
        <v>50.292</v>
      </c>
      <c r="K148" s="20" t="n">
        <v>0</v>
      </c>
      <c r="L148" s="20" t="n">
        <v>0</v>
      </c>
      <c r="M148" s="20" t="n">
        <v>6.943</v>
      </c>
      <c r="N148" s="20" t="n">
        <v>0.371</v>
      </c>
      <c r="W148" s="20" t="n">
        <v>0</v>
      </c>
      <c r="X148" s="20" t="n">
        <v>0</v>
      </c>
    </row>
    <row r="149">
      <c r="A149" s="18" t="inlineStr">
        <is>
          <t>특별손실 합계</t>
        </is>
      </c>
      <c r="C149" s="20" t="n">
        <v>0</v>
      </c>
      <c r="D149" s="20" t="n">
        <v>6.117</v>
      </c>
      <c r="G149" s="20" t="n">
        <v>0</v>
      </c>
      <c r="H149" s="20" t="n">
        <v>0</v>
      </c>
      <c r="I149" s="20" t="n">
        <v>0</v>
      </c>
      <c r="J149" s="20" t="n">
        <v>50.292</v>
      </c>
      <c r="K149" s="20" t="n">
        <v>0</v>
      </c>
      <c r="L149" s="20" t="n">
        <v>0</v>
      </c>
      <c r="M149" s="20" t="n">
        <v>6.943</v>
      </c>
      <c r="N149" s="20" t="n">
        <v>0.371</v>
      </c>
      <c r="U149" s="20" t="n">
        <v>1.491</v>
      </c>
      <c r="V149" s="20" t="n">
        <v>6.117</v>
      </c>
      <c r="W149" s="20" t="n">
        <v>0</v>
      </c>
      <c r="X149" s="20" t="n">
        <v>0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IF(OR(G149="",C149=""),"",IF(G149*C149&lt;=0,"",IFERROR(G149/C149-1,"")))</f>
        <v/>
      </c>
      <c r="H150" s="15">
        <f>IF(OR(H149="",D149=""),"",IF(H149*D149&lt;=0,"",IFERROR(H149/D149-1,"")))</f>
        <v/>
      </c>
      <c r="I150" s="15">
        <f>IF(OR(I149="",E149=""),"",IF(I149*E149&lt;=0,"",IFERROR(I149/E149-1,"")))</f>
        <v/>
      </c>
      <c r="J150" s="15">
        <f>IF(OR(J149="",F149=""),"",IF(J149*F149&lt;=0,"",IFERROR(J149/F149-1,"")))</f>
        <v/>
      </c>
      <c r="K150" s="15">
        <f>IF(OR(K149="",G149=""),"",IF(K149*G149&lt;=0,"",IFERROR(K149/G149-1,"")))</f>
        <v/>
      </c>
      <c r="L150" s="15">
        <f>IF(OR(L149="",H149=""),"",IF(L149*H149&lt;=0,"",IFERROR(L149/H149-1,"")))</f>
        <v/>
      </c>
      <c r="M150" s="15">
        <f>IF(OR(M149="",I149=""),"",IF(M149*I149&lt;=0,"",IFERROR(M149/I149-1,"")))</f>
        <v/>
      </c>
      <c r="N150" s="15">
        <f>IF(OR(N149="",J149=""),"",IF(N149*J149&lt;=0,"",IFERROR(N149/J149-1,"")))</f>
        <v/>
      </c>
      <c r="U150" s="15">
        <f>IF(OR(U149="",T149=""),"",IF(U149*T149&lt;=0,"",IFERROR(U149/T149-1,"")))</f>
        <v/>
      </c>
      <c r="V150" s="15">
        <f>IF(OR(V149="",U149=""),"",IF(V149*U149&lt;=0,"",IFERROR(V149/U149-1,"")))</f>
        <v/>
      </c>
      <c r="W150" s="15">
        <f>IF(OR(W149="",V149=""),"",IF(W149*V149&lt;=0,"",IFERROR(W149/V149-1,"")))</f>
        <v/>
      </c>
      <c r="X150" s="15">
        <f>IF(OR(X149="",W149=""),"",IF(X149*W149&lt;=0,"",IFERROR(X149/W149-1,"")))</f>
        <v/>
      </c>
    </row>
    <row r="151">
      <c r="A151" s="9" t="inlineStr">
        <is>
          <t>법인세차감전 순이익</t>
        </is>
      </c>
      <c r="C151" s="12" t="n">
        <v>141.184</v>
      </c>
      <c r="D151" s="12" t="n">
        <v>-105.362</v>
      </c>
      <c r="E151" s="12" t="n">
        <v>51.734</v>
      </c>
      <c r="F151" s="12" t="n">
        <v>141.103</v>
      </c>
      <c r="G151" s="12" t="n">
        <v>574.36</v>
      </c>
      <c r="H151" s="12" t="n">
        <v>100.008</v>
      </c>
      <c r="I151" s="12" t="n">
        <v>439.045</v>
      </c>
      <c r="J151" s="12" t="n">
        <v>91.33</v>
      </c>
      <c r="K151" s="12" t="n">
        <v>206.325</v>
      </c>
      <c r="L151" s="12" t="n">
        <v>288.415</v>
      </c>
      <c r="M151" s="12" t="n">
        <v>437.649</v>
      </c>
      <c r="N151" s="12" t="n">
        <v>298.28</v>
      </c>
      <c r="T151" s="12" t="n">
        <v>373.546</v>
      </c>
      <c r="U151" s="12" t="n">
        <v>42.584</v>
      </c>
      <c r="V151" s="12" t="n">
        <v>-105.362</v>
      </c>
      <c r="W151" s="12" t="n">
        <v>100.008</v>
      </c>
      <c r="X151" s="12" t="n">
        <v>288.415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T152" s="15">
        <f>IF(OR(T151="",S151=""),"",IF(S151&lt;=0,"",IFERROR(T151/S151-1,"")))</f>
        <v/>
      </c>
      <c r="U152" s="15">
        <f>IF(OR(U151="",T151=""),"",IF(T151&lt;=0,"",IFERROR(U151/T151-1,"")))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법인세 등</t>
        </is>
      </c>
      <c r="C153" s="20" t="n">
        <v>155.155</v>
      </c>
      <c r="D153" s="20" t="n">
        <v>-54.092</v>
      </c>
      <c r="E153" s="20" t="n">
        <v>40.653</v>
      </c>
      <c r="F153" s="20" t="n">
        <v>66.129</v>
      </c>
      <c r="G153" s="20" t="n">
        <v>218.745</v>
      </c>
      <c r="H153" s="20" t="n">
        <v>14.694</v>
      </c>
      <c r="I153" s="20" t="n">
        <v>171.202</v>
      </c>
      <c r="J153" s="20" t="n">
        <v>59.125</v>
      </c>
      <c r="K153" s="20" t="n">
        <v>68.092</v>
      </c>
      <c r="L153" s="20" t="n">
        <v>59.148</v>
      </c>
      <c r="M153" s="20" t="n">
        <v>160.017</v>
      </c>
      <c r="N153" s="20" t="n">
        <v>125.323</v>
      </c>
      <c r="T153" s="20" t="n">
        <v>123.239</v>
      </c>
      <c r="U153" s="20" t="n">
        <v>10.646</v>
      </c>
      <c r="V153" s="20" t="n">
        <v>-54.092</v>
      </c>
      <c r="W153" s="20" t="n">
        <v>14.694</v>
      </c>
      <c r="X153" s="20" t="n">
        <v>59.148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IF(OR(G153="",C153=""),"",IF(G153*C153&lt;=0,"",IFERROR(G153/C153-1,"")))</f>
        <v/>
      </c>
      <c r="H154" s="15">
        <f>IF(OR(H153="",D153=""),"",IF(H153*D153&lt;=0,"",IFERROR(H153/D153-1,"")))</f>
        <v/>
      </c>
      <c r="I154" s="15">
        <f>IF(OR(I153="",E153=""),"",IF(I153*E153&lt;=0,"",IFERROR(I153/E153-1,"")))</f>
        <v/>
      </c>
      <c r="J154" s="15">
        <f>IF(OR(J153="",F153=""),"",IF(J153*F153&lt;=0,"",IFERROR(J153/F153-1,"")))</f>
        <v/>
      </c>
      <c r="K154" s="15">
        <f>IF(OR(K153="",G153=""),"",IF(K153*G153&lt;=0,"",IFERROR(K153/G153-1,"")))</f>
        <v/>
      </c>
      <c r="L154" s="15">
        <f>IF(OR(L153="",H153=""),"",IF(L153*H153&lt;=0,"",IFERROR(L153/H153-1,"")))</f>
        <v/>
      </c>
      <c r="M154" s="15">
        <f>IF(OR(M153="",I153=""),"",IF(M153*I153&lt;=0,"",IFERROR(M153/I153-1,"")))</f>
        <v/>
      </c>
      <c r="N154" s="15">
        <f>IF(OR(N153="",J153=""),"",IF(N153*J153&lt;=0,"",IFERROR(N153/J153-1,"")))</f>
        <v/>
      </c>
      <c r="T154" s="15">
        <f>IF(OR(T153="",S153=""),"",IF(T153*S153&lt;=0,"",IFERROR(T153/S153-1,"")))</f>
        <v/>
      </c>
      <c r="U154" s="15">
        <f>IF(OR(U153="",T153=""),"",IF(U153*T153&lt;=0,"",IFERROR(U153/T153-1,"")))</f>
        <v/>
      </c>
      <c r="V154" s="15">
        <f>IF(OR(V153="",U153=""),"",IF(V153*U153&lt;=0,"",IFERROR(V153/U153-1,"")))</f>
        <v/>
      </c>
      <c r="W154" s="15">
        <f>IF(OR(W153="",V153=""),"",IF(W153*V153&lt;=0,"",IFERROR(W153/V153-1,"")))</f>
        <v/>
      </c>
      <c r="X154" s="15">
        <f>IF(OR(X153="",W153=""),"",IF(X153*W153&lt;=0,"",IFERROR(X153/W153-1,"")))</f>
        <v/>
      </c>
    </row>
    <row r="155">
      <c r="A155" s="9" t="inlineStr">
        <is>
          <t>순이익</t>
        </is>
      </c>
      <c r="C155" s="12" t="n">
        <v>-13.971</v>
      </c>
      <c r="D155" s="12" t="n">
        <v>-51.269</v>
      </c>
      <c r="E155" s="12" t="n">
        <v>11.081</v>
      </c>
      <c r="F155" s="12" t="n">
        <v>74.974</v>
      </c>
      <c r="G155" s="12" t="n">
        <v>355.615</v>
      </c>
      <c r="H155" s="12" t="n">
        <v>85.313</v>
      </c>
      <c r="I155" s="12" t="n">
        <v>267.843</v>
      </c>
      <c r="J155" s="12" t="n">
        <v>32.204</v>
      </c>
      <c r="K155" s="12" t="n">
        <v>138.233</v>
      </c>
      <c r="L155" s="12" t="n">
        <v>229.267</v>
      </c>
      <c r="M155" s="12" t="n">
        <v>277.631</v>
      </c>
      <c r="N155" s="12" t="n">
        <v>172.958</v>
      </c>
      <c r="T155" s="12" t="n">
        <v>250.307</v>
      </c>
      <c r="U155" s="12" t="n">
        <v>31.937</v>
      </c>
      <c r="V155" s="12" t="n">
        <v>-51.269</v>
      </c>
      <c r="W155" s="12" t="n">
        <v>85.313</v>
      </c>
      <c r="X155" s="12" t="n">
        <v>229.267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T156" s="15">
        <f>IF(OR(T155="",S155=""),"",IF(S155&lt;=0,"",IFERROR(T155/S155-1,"")))</f>
        <v/>
      </c>
      <c r="U156" s="15">
        <f>IF(OR(U155="",T155=""),"",IF(T155&lt;=0,"",IFERROR(U155/T155-1,"")))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9" t="inlineStr">
        <is>
          <t>비지배주주 순이익</t>
        </is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</row>
    <row r="158">
      <c r="A158" s="9" t="inlineStr">
        <is>
          <t>지배주주 순이익</t>
        </is>
      </c>
      <c r="C158" s="12" t="n">
        <v>-13.971</v>
      </c>
      <c r="D158" s="12" t="n">
        <v>-51.269</v>
      </c>
      <c r="E158" s="12" t="n">
        <v>11.081</v>
      </c>
      <c r="F158" s="12" t="n">
        <v>74.974</v>
      </c>
      <c r="G158" s="12" t="n">
        <v>355.615</v>
      </c>
      <c r="H158" s="12" t="n">
        <v>85.313</v>
      </c>
      <c r="I158" s="12" t="n">
        <v>267.843</v>
      </c>
      <c r="J158" s="12" t="n">
        <v>32.204</v>
      </c>
      <c r="K158" s="12" t="n">
        <v>138.233</v>
      </c>
      <c r="L158" s="12" t="n">
        <v>229.267</v>
      </c>
      <c r="M158" s="12" t="n">
        <v>277.631</v>
      </c>
      <c r="N158" s="12" t="n">
        <v>172.958</v>
      </c>
      <c r="T158" s="12" t="n">
        <v>250.307</v>
      </c>
      <c r="U158" s="12" t="n">
        <v>31.937</v>
      </c>
      <c r="V158" s="12" t="n">
        <v>-51.269</v>
      </c>
      <c r="W158" s="12" t="n">
        <v>85.313</v>
      </c>
      <c r="X158" s="12" t="n">
        <v>229.267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T159" s="15">
        <f>IF(OR(T158="",S158=""),"",IF(S158&lt;=0,"",IFERROR(T158/S158-1,"")))</f>
        <v/>
      </c>
      <c r="U159" s="15">
        <f>IF(OR(U158="",T158=""),"",IF(T158&lt;=0,"",IFERROR(U158/T158-1,"")))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1">
      <c r="A161" s="16" t="inlineStr">
        <is>
          <t>포괄손익 · 전 항목</t>
        </is>
      </c>
      <c r="B161" s="42" t="inlineStr">
        <is>
          <t>분기 = 3개월 단독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2024.3Q</t>
        </is>
      </c>
      <c r="D162" s="5" t="inlineStr">
        <is>
          <t>2024.4Q</t>
        </is>
      </c>
      <c r="E162" s="5" t="inlineStr">
        <is>
          <t>2025.1Q</t>
        </is>
      </c>
      <c r="F162" s="5" t="inlineStr">
        <is>
          <t>2025.2Q</t>
        </is>
      </c>
      <c r="G162" s="5" t="inlineStr">
        <is>
          <t>2025.3Q</t>
        </is>
      </c>
      <c r="H162" s="5" t="inlineStr">
        <is>
          <t>2025.4Q</t>
        </is>
      </c>
      <c r="I162" s="5" t="inlineStr">
        <is>
          <t>2026.1Q</t>
        </is>
      </c>
      <c r="J162" s="5" t="inlineStr">
        <is>
          <t>2026.2Q</t>
        </is>
      </c>
      <c r="K162" s="5" t="inlineStr">
        <is>
          <t>2026.3Q</t>
        </is>
      </c>
      <c r="L162" s="5" t="inlineStr">
        <is>
          <t>2026.4Q</t>
        </is>
      </c>
      <c r="M162" s="5" t="inlineStr">
        <is>
          <t>2027.1Q</t>
        </is>
      </c>
      <c r="N162" s="5" t="inlineStr">
        <is>
          <t>2027.2Q</t>
        </is>
      </c>
      <c r="O162" s="5" t="inlineStr">
        <is>
          <t>2017</t>
        </is>
      </c>
      <c r="P162" s="5" t="inlineStr">
        <is>
          <t>2018</t>
        </is>
      </c>
      <c r="Q162" s="5" t="inlineStr">
        <is>
          <t>2019</t>
        </is>
      </c>
      <c r="R162" s="5" t="inlineStr">
        <is>
          <t>2020</t>
        </is>
      </c>
      <c r="S162" s="5" t="inlineStr">
        <is>
          <t>2021</t>
        </is>
      </c>
      <c r="T162" s="5" t="inlineStr">
        <is>
          <t>2022</t>
        </is>
      </c>
      <c r="U162" s="5" t="inlineStr">
        <is>
          <t>2023</t>
        </is>
      </c>
      <c r="V162" s="5" t="inlineStr">
        <is>
          <t>2024</t>
        </is>
      </c>
      <c r="W162" s="5" t="inlineStr">
        <is>
          <t>2025</t>
        </is>
      </c>
      <c r="X162" s="5" t="inlineStr">
        <is>
          <t>2026</t>
        </is>
      </c>
      <c r="Y162" s="5" t="inlineStr">
        <is>
          <t>2027(MW)</t>
        </is>
      </c>
      <c r="Z162" s="5" t="inlineStr">
        <is>
          <t>2028(MW)</t>
        </is>
      </c>
      <c r="AA162" s="5" t="inlineStr">
        <is>
          <t>2029(MW)</t>
        </is>
      </c>
      <c r="AB162" s="5" t="inlineStr">
        <is>
          <t>2030(MW)</t>
        </is>
      </c>
      <c r="AC162" s="5" t="inlineStr">
        <is>
          <t>2031(MW)</t>
        </is>
      </c>
    </row>
    <row r="163">
      <c r="A163" s="9" t="inlineStr">
        <is>
          <t>순이익</t>
        </is>
      </c>
      <c r="C163" s="12" t="n">
        <v>-13.971</v>
      </c>
      <c r="D163" s="12" t="n">
        <v>-51.269</v>
      </c>
      <c r="E163" s="12" t="n">
        <v>11.081</v>
      </c>
      <c r="F163" s="12" t="n">
        <v>74.974</v>
      </c>
      <c r="G163" s="12" t="n">
        <v>355.615</v>
      </c>
      <c r="H163" s="12" t="n">
        <v>85.313</v>
      </c>
      <c r="I163" s="12" t="n">
        <v>267.843</v>
      </c>
      <c r="J163" s="12" t="n">
        <v>32.204</v>
      </c>
      <c r="K163" s="12" t="n">
        <v>138.233</v>
      </c>
      <c r="L163" s="12" t="n">
        <v>229.267</v>
      </c>
      <c r="M163" s="12" t="n">
        <v>277.631</v>
      </c>
      <c r="N163" s="12" t="n">
        <v>172.958</v>
      </c>
      <c r="T163" s="12" t="n">
        <v>250.307</v>
      </c>
      <c r="U163" s="12" t="n">
        <v>31.937</v>
      </c>
      <c r="V163" s="12" t="n">
        <v>-51.269</v>
      </c>
      <c r="W163" s="12" t="n">
        <v>85.313</v>
      </c>
      <c r="X163" s="12" t="n">
        <v>229.267</v>
      </c>
    </row>
    <row r="164">
      <c r="A164" s="18" t="inlineStr">
        <is>
          <t>기타유가증권 평가차액</t>
        </is>
      </c>
      <c r="C164" s="20" t="n">
        <v>-163.003</v>
      </c>
      <c r="D164" s="20" t="n">
        <v>454.382</v>
      </c>
      <c r="E164" s="20" t="n">
        <v>34.106</v>
      </c>
      <c r="F164" s="20" t="n">
        <v>138.803</v>
      </c>
      <c r="G164" s="20" t="n">
        <v>-383.706</v>
      </c>
      <c r="H164" s="20" t="n">
        <v>-190.163</v>
      </c>
      <c r="I164" s="20" t="n">
        <v>-124.045</v>
      </c>
      <c r="J164" s="20" t="n">
        <v>321.207</v>
      </c>
      <c r="K164" s="20" t="n">
        <v>214.29</v>
      </c>
      <c r="L164" s="20" t="n">
        <v>27.779</v>
      </c>
      <c r="M164" s="20" t="n">
        <v>-246.436</v>
      </c>
      <c r="N164" s="20" t="n">
        <v>121.674</v>
      </c>
      <c r="T164" s="20" t="n">
        <v>-46.888</v>
      </c>
      <c r="U164" s="20" t="n">
        <v>-35.713</v>
      </c>
      <c r="V164" s="20" t="n">
        <v>454.382</v>
      </c>
      <c r="W164" s="20" t="n">
        <v>-190.163</v>
      </c>
      <c r="X164" s="20" t="n">
        <v>27.779</v>
      </c>
    </row>
    <row r="165">
      <c r="A165" s="18" t="inlineStr">
        <is>
          <t>이연헤지손익</t>
        </is>
      </c>
      <c r="C165" s="20" t="n">
        <v>-0.159</v>
      </c>
      <c r="D165" s="20" t="n">
        <v>0.159</v>
      </c>
      <c r="E165" s="20" t="n">
        <v>0</v>
      </c>
      <c r="F165" s="20" t="n">
        <v>0</v>
      </c>
      <c r="G165" s="20" t="n">
        <v>0</v>
      </c>
      <c r="H165" s="20" t="n">
        <v>-0.013</v>
      </c>
      <c r="I165" s="20" t="n">
        <v>0.013</v>
      </c>
      <c r="J165" s="20" t="n">
        <v>0</v>
      </c>
      <c r="K165" s="20" t="n">
        <v>0.186</v>
      </c>
      <c r="L165" s="20" t="n">
        <v>1.08</v>
      </c>
      <c r="M165" s="20" t="n">
        <v>-1.266</v>
      </c>
      <c r="N165" s="20" t="n">
        <v>0.035</v>
      </c>
      <c r="T165" s="20" t="n">
        <v>-0.024</v>
      </c>
      <c r="V165" s="20" t="n">
        <v>0.159</v>
      </c>
      <c r="W165" s="20" t="n">
        <v>-0.013</v>
      </c>
      <c r="X165" s="20" t="n">
        <v>1.08</v>
      </c>
    </row>
    <row r="166">
      <c r="A166" s="18" t="inlineStr">
        <is>
          <t>퇴직급여 조정액</t>
        </is>
      </c>
      <c r="C166" s="20" t="n">
        <v>-4.66</v>
      </c>
      <c r="D166" s="20" t="n">
        <v>327.846</v>
      </c>
      <c r="E166" s="20" t="n">
        <v>-13.922</v>
      </c>
      <c r="F166" s="20" t="n">
        <v>-13.923</v>
      </c>
      <c r="G166" s="20" t="n">
        <v>-13.922</v>
      </c>
      <c r="H166" s="20" t="n">
        <v>81.95099999999999</v>
      </c>
      <c r="I166" s="20" t="n">
        <v>-15.859</v>
      </c>
      <c r="J166" s="20" t="n">
        <v>-15.86</v>
      </c>
      <c r="K166" s="20" t="n">
        <v>-15.859</v>
      </c>
      <c r="L166" s="20" t="n">
        <v>429.031</v>
      </c>
      <c r="M166" s="20" t="n">
        <v>-27.919</v>
      </c>
      <c r="N166" s="20" t="n">
        <v>-27.919</v>
      </c>
      <c r="T166" s="20" t="n">
        <v>-78.255</v>
      </c>
      <c r="U166" s="20" t="n">
        <v>42.357</v>
      </c>
      <c r="V166" s="20" t="n">
        <v>327.846</v>
      </c>
      <c r="W166" s="20" t="n">
        <v>81.95099999999999</v>
      </c>
      <c r="X166" s="20" t="n">
        <v>429.031</v>
      </c>
    </row>
    <row r="167">
      <c r="A167" s="18" t="inlineStr">
        <is>
          <t>기타포괄손익 합계</t>
        </is>
      </c>
      <c r="C167" s="20" t="n">
        <v>-167.823</v>
      </c>
      <c r="D167" s="20" t="n">
        <v>782.388</v>
      </c>
      <c r="E167" s="20" t="n">
        <v>20.183</v>
      </c>
      <c r="F167" s="20" t="n">
        <v>124.881</v>
      </c>
      <c r="G167" s="20" t="n">
        <v>-397.629</v>
      </c>
      <c r="H167" s="20" t="n">
        <v>-108.224</v>
      </c>
      <c r="I167" s="20" t="n">
        <v>-139.892</v>
      </c>
      <c r="J167" s="20" t="n">
        <v>305.348</v>
      </c>
      <c r="K167" s="20" t="n">
        <v>198.616</v>
      </c>
      <c r="L167" s="20" t="n">
        <v>457.892</v>
      </c>
      <c r="M167" s="20" t="n">
        <v>-275.622</v>
      </c>
      <c r="N167" s="20" t="n">
        <v>93.789</v>
      </c>
      <c r="T167" s="20" t="n">
        <v>-125.168</v>
      </c>
      <c r="U167" s="20" t="n">
        <v>7.606</v>
      </c>
      <c r="V167" s="20" t="n">
        <v>782.388</v>
      </c>
      <c r="W167" s="20" t="n">
        <v>-108.224</v>
      </c>
      <c r="X167" s="20" t="n">
        <v>457.892</v>
      </c>
    </row>
    <row r="168">
      <c r="A168" s="9" t="inlineStr">
        <is>
          <t>포괄이익</t>
        </is>
      </c>
      <c r="C168" s="12" t="n">
        <v>-181.794</v>
      </c>
      <c r="D168" s="12" t="n">
        <v>731.119</v>
      </c>
      <c r="E168" s="12" t="n">
        <v>31.265</v>
      </c>
      <c r="F168" s="12" t="n">
        <v>199.854</v>
      </c>
      <c r="G168" s="12" t="n">
        <v>-42.014</v>
      </c>
      <c r="H168" s="12" t="n">
        <v>-22.911</v>
      </c>
      <c r="I168" s="12" t="n">
        <v>127.951</v>
      </c>
      <c r="J168" s="12" t="n">
        <v>337.553</v>
      </c>
      <c r="K168" s="12" t="n">
        <v>336.849</v>
      </c>
      <c r="L168" s="12" t="n">
        <v>687.158</v>
      </c>
      <c r="M168" s="12" t="n">
        <v>2.008</v>
      </c>
      <c r="N168" s="12" t="n">
        <v>266.748</v>
      </c>
      <c r="T168" s="12" t="n">
        <v>125.14</v>
      </c>
      <c r="U168" s="12" t="n">
        <v>39.543</v>
      </c>
      <c r="V168" s="12" t="n">
        <v>731.119</v>
      </c>
      <c r="W168" s="12" t="n">
        <v>-22.911</v>
      </c>
      <c r="X168" s="12" t="n">
        <v>687.158</v>
      </c>
    </row>
    <row r="169">
      <c r="A169" s="9" t="inlineStr">
        <is>
          <t>지배주주 포괄이익</t>
        </is>
      </c>
      <c r="C169" s="12" t="n">
        <v>-181.794</v>
      </c>
      <c r="D169" s="12" t="n">
        <v>731.119</v>
      </c>
      <c r="E169" s="12" t="n">
        <v>31.265</v>
      </c>
      <c r="F169" s="12" t="n">
        <v>199.854</v>
      </c>
      <c r="G169" s="12" t="n">
        <v>-42.014</v>
      </c>
      <c r="H169" s="12" t="n">
        <v>-22.911</v>
      </c>
      <c r="I169" s="12" t="n">
        <v>127.951</v>
      </c>
      <c r="J169" s="12" t="n">
        <v>337.553</v>
      </c>
      <c r="K169" s="12" t="n">
        <v>336.849</v>
      </c>
      <c r="L169" s="12" t="n">
        <v>687.158</v>
      </c>
      <c r="M169" s="12" t="n">
        <v>2.008</v>
      </c>
      <c r="N169" s="12" t="n">
        <v>266.748</v>
      </c>
      <c r="T169" s="12" t="n">
        <v>125.14</v>
      </c>
      <c r="U169" s="12" t="n">
        <v>39.543</v>
      </c>
      <c r="V169" s="12" t="n">
        <v>731.119</v>
      </c>
      <c r="W169" s="12" t="n">
        <v>-22.911</v>
      </c>
      <c r="X169" s="12" t="n">
        <v>687.158</v>
      </c>
    </row>
    <row r="170">
      <c r="A170" s="9" t="inlineStr">
        <is>
          <t>비지배주주 포괄이익</t>
        </is>
      </c>
      <c r="C170" s="12" t="n">
        <v>0</v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</row>
    <row r="172">
      <c r="A172" s="16" t="inlineStr">
        <is>
          <t>부문 · 전 항목</t>
        </is>
      </c>
      <c r="B172" s="42" t="inlineStr">
        <is>
          <t>부문 · 항목</t>
        </is>
      </c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</row>
    <row r="173">
      <c r="A173" s="5" t="inlineStr">
        <is>
          <t>항목</t>
        </is>
      </c>
      <c r="B173" s="5" t="inlineStr">
        <is>
          <t>참고</t>
        </is>
      </c>
      <c r="C173" s="5" t="inlineStr">
        <is>
          <t>2024.3Q</t>
        </is>
      </c>
      <c r="D173" s="5" t="inlineStr">
        <is>
          <t>2024.4Q</t>
        </is>
      </c>
      <c r="E173" s="5" t="inlineStr">
        <is>
          <t>2025.1Q</t>
        </is>
      </c>
      <c r="F173" s="5" t="inlineStr">
        <is>
          <t>2025.2Q</t>
        </is>
      </c>
      <c r="G173" s="5" t="inlineStr">
        <is>
          <t>2025.3Q</t>
        </is>
      </c>
      <c r="H173" s="5" t="inlineStr">
        <is>
          <t>2025.4Q</t>
        </is>
      </c>
      <c r="I173" s="5" t="inlineStr">
        <is>
          <t>2026.1Q</t>
        </is>
      </c>
      <c r="J173" s="5" t="inlineStr">
        <is>
          <t>2026.2Q</t>
        </is>
      </c>
      <c r="K173" s="5" t="inlineStr">
        <is>
          <t>2026.3Q</t>
        </is>
      </c>
      <c r="L173" s="5" t="inlineStr">
        <is>
          <t>2026.4Q</t>
        </is>
      </c>
      <c r="M173" s="5" t="inlineStr">
        <is>
          <t>2027.1Q</t>
        </is>
      </c>
      <c r="N173" s="5" t="inlineStr">
        <is>
          <t>2027.2Q</t>
        </is>
      </c>
      <c r="O173" s="5" t="inlineStr">
        <is>
          <t>2017</t>
        </is>
      </c>
      <c r="P173" s="5" t="inlineStr">
        <is>
          <t>2018</t>
        </is>
      </c>
      <c r="Q173" s="5" t="inlineStr">
        <is>
          <t>2019</t>
        </is>
      </c>
      <c r="R173" s="5" t="inlineStr">
        <is>
          <t>2020</t>
        </is>
      </c>
      <c r="S173" s="5" t="inlineStr">
        <is>
          <t>2021</t>
        </is>
      </c>
      <c r="T173" s="5" t="inlineStr">
        <is>
          <t>2022</t>
        </is>
      </c>
      <c r="U173" s="5" t="inlineStr">
        <is>
          <t>2023</t>
        </is>
      </c>
      <c r="V173" s="5" t="inlineStr">
        <is>
          <t>2024</t>
        </is>
      </c>
      <c r="W173" s="5" t="inlineStr">
        <is>
          <t>2025</t>
        </is>
      </c>
      <c r="X173" s="5" t="inlineStr">
        <is>
          <t>2026</t>
        </is>
      </c>
      <c r="Y173" s="5" t="inlineStr">
        <is>
          <t>2027(MW)</t>
        </is>
      </c>
      <c r="Z173" s="5" t="inlineStr">
        <is>
          <t>2028(MW)</t>
        </is>
      </c>
      <c r="AA173" s="5" t="inlineStr">
        <is>
          <t>2029(MW)</t>
        </is>
      </c>
      <c r="AB173" s="5" t="inlineStr">
        <is>
          <t>2030(MW)</t>
        </is>
      </c>
      <c r="AC173" s="5" t="inlineStr">
        <is>
          <t>2031(MW)</t>
        </is>
      </c>
    </row>
    <row r="174">
      <c r="A174" s="18" t="inlineStr">
        <is>
          <t>부문 · 외부 고객 매출</t>
        </is>
      </c>
      <c r="E174" s="20" t="n">
        <v>323.754</v>
      </c>
      <c r="I174" s="20" t="n">
        <v>341.332</v>
      </c>
      <c r="M174" s="20" t="n">
        <v>347.71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I175" s="15">
        <f>IF(OR(I174="",E174=""),"",IF(E174&lt;=0,"",IFERROR(I174/E174-1,"")))</f>
        <v/>
      </c>
      <c r="M175" s="15">
        <f>IF(OR(M174="",I174=""),"",IF(I174&lt;=0,"",IFERROR(M174/I174-1,"")))</f>
        <v/>
      </c>
    </row>
    <row r="176">
      <c r="A176" s="18" t="inlineStr">
        <is>
          <t>부문 · 외부 고객 매출</t>
        </is>
      </c>
      <c r="E176" s="20" t="n">
        <v>4028.919</v>
      </c>
      <c r="I176" s="20" t="n">
        <v>4067.303</v>
      </c>
      <c r="M176" s="20" t="n">
        <v>4714.64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I177" s="15">
        <f>IF(OR(I176="",E176=""),"",IF(E176&lt;=0,"",IFERROR(I176/E176-1,"")))</f>
        <v/>
      </c>
      <c r="M177" s="15">
        <f>IF(OR(M176="",I176=""),"",IF(I176&lt;=0,"",IFERROR(M176/I176-1,"")))</f>
        <v/>
      </c>
    </row>
    <row r="178">
      <c r="A178" s="18" t="inlineStr">
        <is>
          <t>부문 · 외부 고객 매출</t>
        </is>
      </c>
      <c r="D178" s="20" t="n">
        <v>756.777</v>
      </c>
      <c r="E178" s="20" t="n">
        <v>865.418</v>
      </c>
      <c r="H178" s="20" t="n">
        <v>900.481</v>
      </c>
      <c r="I178" s="20" t="n">
        <v>1016.25</v>
      </c>
      <c r="L178" s="20" t="n">
        <v>1198.032</v>
      </c>
      <c r="M178" s="20" t="n">
        <v>1296.414</v>
      </c>
      <c r="V178" s="20" t="n">
        <v>756.777</v>
      </c>
      <c r="W178" s="20" t="n">
        <v>900.481</v>
      </c>
      <c r="X178" s="20" t="n">
        <v>1198.032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부문 · 외부 고객 매출</t>
        </is>
      </c>
      <c r="D180" s="20" t="n">
        <v>2164.383</v>
      </c>
      <c r="E180" s="20" t="n">
        <v>2440.647</v>
      </c>
      <c r="H180" s="20" t="n">
        <v>2468.651</v>
      </c>
      <c r="I180" s="20" t="n">
        <v>2566.939</v>
      </c>
      <c r="L180" s="20" t="n">
        <v>2676.348</v>
      </c>
      <c r="M180" s="20" t="n">
        <v>2826.767</v>
      </c>
      <c r="V180" s="20" t="n">
        <v>2164.383</v>
      </c>
      <c r="W180" s="20" t="n">
        <v>2468.651</v>
      </c>
      <c r="X180" s="20" t="n">
        <v>2676.348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부문 · 외부 고객 매출</t>
        </is>
      </c>
      <c r="D182" s="20" t="n">
        <v>1300.736</v>
      </c>
      <c r="E182" s="20" t="n">
        <v>1358.495</v>
      </c>
      <c r="H182" s="20" t="n">
        <v>1413.048</v>
      </c>
      <c r="I182" s="20" t="n">
        <v>1446.648</v>
      </c>
      <c r="L182" s="20" t="n">
        <v>1557.803</v>
      </c>
      <c r="M182" s="20" t="n">
        <v>1629.551</v>
      </c>
      <c r="V182" s="20" t="n">
        <v>1300.736</v>
      </c>
      <c r="W182" s="20" t="n">
        <v>1413.048</v>
      </c>
      <c r="X182" s="20" t="n">
        <v>1557.803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부문 · 외부 고객 매출</t>
        </is>
      </c>
      <c r="D184" s="20" t="n">
        <v>8257.691999999999</v>
      </c>
      <c r="E184" s="20" t="n">
        <v>9017.234</v>
      </c>
      <c r="H184" s="20" t="n">
        <v>9114.804</v>
      </c>
      <c r="I184" s="20" t="n">
        <v>9438.474</v>
      </c>
      <c r="L184" s="20" t="n">
        <v>10100.729</v>
      </c>
      <c r="M184" s="20" t="n">
        <v>10815.083</v>
      </c>
      <c r="V184" s="20" t="n">
        <v>8257.691999999999</v>
      </c>
      <c r="W184" s="20" t="n">
        <v>9114.804</v>
      </c>
      <c r="X184" s="20" t="n">
        <v>10100.729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부문 · 부문 간 내부매출·대체</t>
        </is>
      </c>
      <c r="D186" s="20" t="n">
        <v>2.182</v>
      </c>
      <c r="H186" s="20" t="n">
        <v>1.476</v>
      </c>
      <c r="L186" s="20" t="n">
        <v>2.169</v>
      </c>
      <c r="V186" s="20" t="n">
        <v>2.182</v>
      </c>
      <c r="W186" s="20" t="n">
        <v>1.476</v>
      </c>
      <c r="X186" s="20" t="n">
        <v>2.169</v>
      </c>
    </row>
    <row r="187">
      <c r="A187" s="18" t="inlineStr">
        <is>
          <t>부문 · 부문 간 내부매출·대체</t>
        </is>
      </c>
      <c r="E187" s="20" t="n">
        <v>0</v>
      </c>
      <c r="I187" s="20" t="n">
        <v>0</v>
      </c>
      <c r="M187" s="20" t="n">
        <v>0</v>
      </c>
    </row>
    <row r="188">
      <c r="A188" s="18" t="inlineStr">
        <is>
          <t>부문 · 부문 간 내부매출·대체</t>
        </is>
      </c>
      <c r="E188" s="20" t="n">
        <v>0</v>
      </c>
      <c r="I188" s="20" t="n">
        <v>3.059</v>
      </c>
      <c r="M188" s="20" t="n">
        <v>2.346</v>
      </c>
    </row>
    <row r="189">
      <c r="A189" s="18" t="inlineStr">
        <is>
          <t>부문 · 부문 간 내부매출·대체</t>
        </is>
      </c>
      <c r="D189" s="20" t="n">
        <v>0</v>
      </c>
      <c r="E189" s="20" t="n">
        <v>0</v>
      </c>
      <c r="H189" s="20" t="n">
        <v>0</v>
      </c>
      <c r="I189" s="20" t="n">
        <v>0.1</v>
      </c>
      <c r="L189" s="20" t="n">
        <v>0</v>
      </c>
      <c r="M189" s="20" t="n">
        <v>0.02</v>
      </c>
      <c r="V189" s="20" t="n">
        <v>0</v>
      </c>
      <c r="W189" s="20" t="n">
        <v>0</v>
      </c>
      <c r="X189" s="20" t="n">
        <v>0</v>
      </c>
    </row>
    <row r="190">
      <c r="A190" s="18" t="inlineStr">
        <is>
          <t>부문 · 부문 간 내부매출·대체</t>
        </is>
      </c>
      <c r="D190" s="20" t="n">
        <v>0</v>
      </c>
      <c r="E190" s="20" t="n">
        <v>0</v>
      </c>
      <c r="H190" s="20" t="n">
        <v>0.284</v>
      </c>
      <c r="I190" s="20" t="n">
        <v>0.264</v>
      </c>
      <c r="L190" s="20" t="n">
        <v>0.177</v>
      </c>
      <c r="M190" s="20" t="n">
        <v>0.232</v>
      </c>
      <c r="V190" s="20" t="n">
        <v>0</v>
      </c>
      <c r="W190" s="20" t="n">
        <v>0.284</v>
      </c>
      <c r="X190" s="20" t="n">
        <v>0.177</v>
      </c>
    </row>
    <row r="191">
      <c r="A191" s="18" t="inlineStr">
        <is>
          <t>부문 · 부문 간 내부매출·대체</t>
        </is>
      </c>
      <c r="D191" s="20" t="n">
        <v>0</v>
      </c>
      <c r="E191" s="20" t="n">
        <v>0</v>
      </c>
      <c r="H191" s="20" t="n">
        <v>0.424</v>
      </c>
      <c r="I191" s="20" t="n">
        <v>0.491</v>
      </c>
      <c r="L191" s="20" t="n">
        <v>1.027</v>
      </c>
      <c r="M191" s="20" t="n">
        <v>1.269</v>
      </c>
      <c r="V191" s="20" t="n">
        <v>0</v>
      </c>
      <c r="W191" s="20" t="n">
        <v>0.424</v>
      </c>
      <c r="X191" s="20" t="n">
        <v>1.027</v>
      </c>
    </row>
    <row r="192">
      <c r="A192" s="18" t="inlineStr">
        <is>
          <t>부문 · 부문 간 내부매출·대체</t>
        </is>
      </c>
      <c r="D192" s="20" t="n">
        <v>2.182</v>
      </c>
      <c r="E192" s="20" t="n">
        <v>0</v>
      </c>
      <c r="H192" s="20" t="n">
        <v>2.184</v>
      </c>
      <c r="I192" s="20" t="n">
        <v>3.915</v>
      </c>
      <c r="L192" s="20" t="n">
        <v>3.372</v>
      </c>
      <c r="M192" s="20" t="n">
        <v>3.868</v>
      </c>
      <c r="V192" s="20" t="n">
        <v>2.182</v>
      </c>
      <c r="W192" s="20" t="n">
        <v>2.184</v>
      </c>
      <c r="X192" s="20" t="n">
        <v>3.372</v>
      </c>
    </row>
    <row r="193">
      <c r="A193" s="18" t="inlineStr">
        <is>
          <t>부문 · 계</t>
        </is>
      </c>
      <c r="D193" s="20" t="n">
        <v>3739.153</v>
      </c>
      <c r="H193" s="20" t="n">
        <v>4012.265</v>
      </c>
      <c r="L193" s="20" t="n">
        <v>4332.523</v>
      </c>
      <c r="V193" s="20" t="n">
        <v>3739.153</v>
      </c>
      <c r="W193" s="20" t="n">
        <v>4012.265</v>
      </c>
      <c r="X193" s="20" t="n">
        <v>4332.523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H194" s="15">
        <f>IF(OR(H193="",D193=""),"",IF(D193&lt;=0,"",IFERROR(H193/D193-1,"")))</f>
        <v/>
      </c>
      <c r="L194" s="15">
        <f>IF(OR(L193="",H193=""),"",IF(H193&lt;=0,"",IFERROR(L193/H193-1,"")))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부문 · 계</t>
        </is>
      </c>
      <c r="E195" s="20" t="n">
        <v>323.754</v>
      </c>
      <c r="I195" s="20" t="n">
        <v>341.332</v>
      </c>
      <c r="M195" s="20" t="n">
        <v>347.71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I196" s="15">
        <f>IF(OR(I195="",E195=""),"",IF(E195&lt;=0,"",IFERROR(I195/E195-1,"")))</f>
        <v/>
      </c>
      <c r="M196" s="15">
        <f>IF(OR(M195="",I195=""),"",IF(I195&lt;=0,"",IFERROR(M195/I195-1,"")))</f>
        <v/>
      </c>
    </row>
    <row r="197">
      <c r="A197" s="18" t="inlineStr">
        <is>
          <t>부문 · 계</t>
        </is>
      </c>
      <c r="E197" s="20" t="n">
        <v>4028.919</v>
      </c>
      <c r="I197" s="20" t="n">
        <v>4070.362</v>
      </c>
      <c r="M197" s="20" t="n">
        <v>4716.987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I198" s="15">
        <f>IF(OR(I197="",E197=""),"",IF(E197&lt;=0,"",IFERROR(I197/E197-1,"")))</f>
        <v/>
      </c>
      <c r="M198" s="15">
        <f>IF(OR(M197="",I197=""),"",IF(I197&lt;=0,"",IFERROR(M197/I197-1,"")))</f>
        <v/>
      </c>
    </row>
    <row r="199">
      <c r="A199" s="18" t="inlineStr">
        <is>
          <t>부문 · 계</t>
        </is>
      </c>
      <c r="D199" s="20" t="n">
        <v>756.777</v>
      </c>
      <c r="E199" s="20" t="n">
        <v>865.418</v>
      </c>
      <c r="H199" s="20" t="n">
        <v>900.481</v>
      </c>
      <c r="I199" s="20" t="n">
        <v>1016.35</v>
      </c>
      <c r="L199" s="20" t="n">
        <v>1198.032</v>
      </c>
      <c r="M199" s="20" t="n">
        <v>1296.434</v>
      </c>
      <c r="V199" s="20" t="n">
        <v>756.777</v>
      </c>
      <c r="W199" s="20" t="n">
        <v>900.481</v>
      </c>
      <c r="X199" s="20" t="n">
        <v>1198.032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V200" s="15">
        <f>IF(OR(V199="",U199=""),"",IF(U199&lt;=0,"",IFERROR(V199/U199-1,"")))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부문 · 계</t>
        </is>
      </c>
      <c r="D201" s="20" t="n">
        <v>2164.383</v>
      </c>
      <c r="E201" s="20" t="n">
        <v>2440.647</v>
      </c>
      <c r="H201" s="20" t="n">
        <v>2468.935</v>
      </c>
      <c r="I201" s="20" t="n">
        <v>2567.204</v>
      </c>
      <c r="L201" s="20" t="n">
        <v>2676.524</v>
      </c>
      <c r="M201" s="20" t="n">
        <v>2826.999</v>
      </c>
      <c r="V201" s="20" t="n">
        <v>2164.383</v>
      </c>
      <c r="W201" s="20" t="n">
        <v>2468.935</v>
      </c>
      <c r="X201" s="20" t="n">
        <v>2676.524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H202" s="15">
        <f>IF(OR(H201="",D201=""),"",IF(D201&lt;=0,"",IFERROR(H201/D201-1,"")))</f>
        <v/>
      </c>
      <c r="I202" s="15">
        <f>IF(OR(I201="",E201=""),"",IF(E201&lt;=0,"",IFERROR(I201/E201-1,"")))</f>
        <v/>
      </c>
      <c r="L202" s="15">
        <f>IF(OR(L201="",H201=""),"",IF(H201&lt;=0,"",IFERROR(L201/H201-1,"")))</f>
        <v/>
      </c>
      <c r="M202" s="15">
        <f>IF(OR(M201="",I201=""),"",IF(I201&lt;=0,"",IFERROR(M201/I201-1,"")))</f>
        <v/>
      </c>
      <c r="V202" s="15">
        <f>IF(OR(V201="",U201=""),"",IF(U201&lt;=0,"",IFERROR(V201/U201-1,"")))</f>
        <v/>
      </c>
      <c r="W202" s="15">
        <f>IF(OR(W201="",V201=""),"",IF(V201&lt;=0,"",IFERROR(W201/V201-1,"")))</f>
        <v/>
      </c>
      <c r="X202" s="15">
        <f>IF(OR(X201="",W201=""),"",IF(W201&lt;=0,"",IFERROR(X201/W201-1,"")))</f>
        <v/>
      </c>
    </row>
    <row r="203">
      <c r="A203" s="18" t="inlineStr">
        <is>
          <t>부문 · 계</t>
        </is>
      </c>
      <c r="D203" s="20" t="n">
        <v>1300.736</v>
      </c>
      <c r="E203" s="20" t="n">
        <v>1358.495</v>
      </c>
      <c r="H203" s="20" t="n">
        <v>1413.472</v>
      </c>
      <c r="I203" s="20" t="n">
        <v>1447.139</v>
      </c>
      <c r="L203" s="20" t="n">
        <v>1558.829</v>
      </c>
      <c r="M203" s="20" t="n">
        <v>1630.821</v>
      </c>
      <c r="V203" s="20" t="n">
        <v>1300.736</v>
      </c>
      <c r="W203" s="20" t="n">
        <v>1413.472</v>
      </c>
      <c r="X203" s="20" t="n">
        <v>1558.829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H204" s="15">
        <f>IF(OR(H203="",D203=""),"",IF(D203&lt;=0,"",IFERROR(H203/D203-1,"")))</f>
        <v/>
      </c>
      <c r="I204" s="15">
        <f>IF(OR(I203="",E203=""),"",IF(E203&lt;=0,"",IFERROR(I203/E203-1,"")))</f>
        <v/>
      </c>
      <c r="L204" s="15">
        <f>IF(OR(L203="",H203=""),"",IF(H203&lt;=0,"",IFERROR(L203/H203-1,"")))</f>
        <v/>
      </c>
      <c r="M204" s="15">
        <f>IF(OR(M203="",I203=""),"",IF(I203&lt;=0,"",IFERROR(M203/I203-1,"")))</f>
        <v/>
      </c>
      <c r="V204" s="15">
        <f>IF(OR(V203="",U203=""),"",IF(U203&lt;=0,"",IFERROR(V203/U203-1,"")))</f>
        <v/>
      </c>
      <c r="W204" s="15">
        <f>IF(OR(W203="",V203=""),"",IF(V203&lt;=0,"",IFERROR(W203/V203-1,"")))</f>
        <v/>
      </c>
      <c r="X204" s="15">
        <f>IF(OR(X203="",W203=""),"",IF(W203&lt;=0,"",IFERROR(X203/W203-1,"")))</f>
        <v/>
      </c>
    </row>
    <row r="205">
      <c r="A205" s="18" t="inlineStr">
        <is>
          <t>부문 · 계</t>
        </is>
      </c>
      <c r="D205" s="20" t="n">
        <v>8259.874</v>
      </c>
      <c r="E205" s="20" t="n">
        <v>9017.234</v>
      </c>
      <c r="H205" s="20" t="n">
        <v>9116.989</v>
      </c>
      <c r="I205" s="20" t="n">
        <v>9442.388999999999</v>
      </c>
      <c r="L205" s="20" t="n">
        <v>10104.101</v>
      </c>
      <c r="M205" s="20" t="n">
        <v>10818.952</v>
      </c>
      <c r="V205" s="20" t="n">
        <v>8259.874</v>
      </c>
      <c r="W205" s="20" t="n">
        <v>9116.989</v>
      </c>
      <c r="X205" s="20" t="n">
        <v>10104.101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H206" s="15">
        <f>IF(OR(H205="",D205=""),"",IF(D205&lt;=0,"",IFERROR(H205/D205-1,"")))</f>
        <v/>
      </c>
      <c r="I206" s="15">
        <f>IF(OR(I205="",E205=""),"",IF(E205&lt;=0,"",IFERROR(I205/E205-1,"")))</f>
        <v/>
      </c>
      <c r="L206" s="15">
        <f>IF(OR(L205="",H205=""),"",IF(H205&lt;=0,"",IFERROR(L205/H205-1,"")))</f>
        <v/>
      </c>
      <c r="M206" s="15">
        <f>IF(OR(M205="",I205=""),"",IF(I205&lt;=0,"",IFERROR(M205/I205-1,"")))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  <c r="X206" s="15">
        <f>IF(OR(X205="",W205=""),"",IF(W205&lt;=0,"",IFERROR(X205/W205-1,"")))</f>
        <v/>
      </c>
    </row>
    <row r="207">
      <c r="A207" s="18" t="inlineStr">
        <is>
          <t>부문 · 부문 이익(손실)</t>
        </is>
      </c>
      <c r="D207" s="20" t="n">
        <v>-38.755</v>
      </c>
      <c r="H207" s="20" t="n">
        <v>52.779</v>
      </c>
      <c r="L207" s="20" t="n">
        <v>169.008</v>
      </c>
      <c r="V207" s="20" t="n">
        <v>-38.755</v>
      </c>
      <c r="W207" s="20" t="n">
        <v>52.779</v>
      </c>
      <c r="X207" s="20" t="n">
        <v>169.008</v>
      </c>
    </row>
    <row r="208">
      <c r="A208" s="43" t="inlineStr">
        <is>
          <t>OPM</t>
        </is>
      </c>
      <c r="B208" s="3" t="inlineStr">
        <is>
          <t>영업이익 ÷ 매출</t>
        </is>
      </c>
      <c r="D208" s="15">
        <f>IF(OR(D207="",D193=""),"",IF(D193&lt;=0,"",IFERROR(D207/D193,"")))</f>
        <v/>
      </c>
      <c r="H208" s="15">
        <f>IF(OR(H207="",H193=""),"",IF(H193&lt;=0,"",IFERROR(H207/H193,"")))</f>
        <v/>
      </c>
      <c r="L208" s="15">
        <f>IF(OR(L207="",L193=""),"",IF(L193&lt;=0,"",IFERROR(L207/L193,"")))</f>
        <v/>
      </c>
      <c r="V208" s="15">
        <f>IF(OR(V207="",V193=""),"",IF(V193&lt;=0,"",IFERROR(V207/V193,"")))</f>
        <v/>
      </c>
      <c r="W208" s="15">
        <f>IF(OR(W207="",W193=""),"",IF(W193&lt;=0,"",IFERROR(W207/W193,"")))</f>
        <v/>
      </c>
      <c r="X208" s="15">
        <f>IF(OR(X207="",X193=""),"",IF(X193&lt;=0,"",IFERROR(X207/X193,"")))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H209" s="15">
        <f>IF(OR(H207="",D207=""),"",IF(D207&lt;=0,"",IFERROR(H207/D207-1,"")))</f>
        <v/>
      </c>
      <c r="L209" s="15">
        <f>IF(OR(L207="",H207=""),"",IF(H207&lt;=0,"",IFERROR(L207/H207-1,"")))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부문 · 부문 이익(손실)</t>
        </is>
      </c>
      <c r="E210" s="20" t="n">
        <v>-14.278</v>
      </c>
      <c r="I210" s="20" t="n">
        <v>-7.654</v>
      </c>
      <c r="M210" s="20" t="n">
        <v>-2.008</v>
      </c>
    </row>
    <row r="211">
      <c r="A211" s="43" t="inlineStr">
        <is>
          <t>OPM</t>
        </is>
      </c>
      <c r="B211" s="3" t="inlineStr">
        <is>
          <t>영업이익 ÷ 매출</t>
        </is>
      </c>
      <c r="E211" s="15">
        <f>IF(OR(E210="",E195=""),"",IF(E195&lt;=0,"",IFERROR(E210/E195,"")))</f>
        <v/>
      </c>
      <c r="I211" s="15">
        <f>IF(OR(I210="",I195=""),"",IF(I195&lt;=0,"",IFERROR(I210/I195,"")))</f>
        <v/>
      </c>
      <c r="M211" s="15">
        <f>IF(OR(M210="",M195=""),"",IF(M195&lt;=0,"",IFERROR(M210/M195,"")))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I212" s="15">
        <f>IF(OR(I210="",E210=""),"",IF(E210&lt;=0,"",IFERROR(I210/E210-1,"")))</f>
        <v/>
      </c>
      <c r="M212" s="15">
        <f>IF(OR(M210="",I210=""),"",IF(I210&lt;=0,"",IFERROR(M210/I210-1,"")))</f>
        <v/>
      </c>
    </row>
    <row r="213">
      <c r="A213" s="18" t="inlineStr">
        <is>
          <t>부문 · 부문 이익(손실)</t>
        </is>
      </c>
      <c r="E213" s="20" t="n">
        <v>54.105</v>
      </c>
      <c r="I213" s="20" t="n">
        <v>125.942</v>
      </c>
      <c r="M213" s="20" t="n">
        <v>250.476</v>
      </c>
    </row>
    <row r="214">
      <c r="A214" s="43" t="inlineStr">
        <is>
          <t>OPM</t>
        </is>
      </c>
      <c r="B214" s="3" t="inlineStr">
        <is>
          <t>영업이익 ÷ 매출</t>
        </is>
      </c>
      <c r="E214" s="15">
        <f>IF(OR(E213="",E197=""),"",IF(E197&lt;=0,"",IFERROR(E213/E197,"")))</f>
        <v/>
      </c>
      <c r="I214" s="15">
        <f>IF(OR(I213="",I197=""),"",IF(I197&lt;=0,"",IFERROR(I213/I197,"")))</f>
        <v/>
      </c>
      <c r="M214" s="15">
        <f>IF(OR(M213="",M197=""),"",IF(M197&lt;=0,"",IFERROR(M213/M197,"")))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I215" s="15">
        <f>IF(OR(I213="",E213=""),"",IF(E213&lt;=0,"",IFERROR(I213/E213-1,"")))</f>
        <v/>
      </c>
      <c r="M215" s="15">
        <f>IF(OR(M213="",I213=""),"",IF(I213&lt;=0,"",IFERROR(M213/I213-1,"")))</f>
        <v/>
      </c>
    </row>
    <row r="216">
      <c r="A216" s="18" t="inlineStr">
        <is>
          <t>부문 · 부문 이익(손실)</t>
        </is>
      </c>
      <c r="D216" s="20" t="n">
        <v>-17.681</v>
      </c>
      <c r="E216" s="20" t="n">
        <v>16.623</v>
      </c>
      <c r="H216" s="20" t="n">
        <v>23.808</v>
      </c>
      <c r="I216" s="20" t="n">
        <v>43.923</v>
      </c>
      <c r="L216" s="20" t="n">
        <v>43.425</v>
      </c>
      <c r="M216" s="20" t="n">
        <v>67.09399999999999</v>
      </c>
      <c r="V216" s="20" t="n">
        <v>-17.681</v>
      </c>
      <c r="W216" s="20" t="n">
        <v>23.808</v>
      </c>
      <c r="X216" s="20" t="n">
        <v>43.425</v>
      </c>
    </row>
    <row r="217">
      <c r="A217" s="43" t="inlineStr">
        <is>
          <t>OPM</t>
        </is>
      </c>
      <c r="B217" s="3" t="inlineStr">
        <is>
          <t>영업이익 ÷ 매출</t>
        </is>
      </c>
      <c r="D217" s="15">
        <f>IF(OR(D216="",D199=""),"",IF(D199&lt;=0,"",IFERROR(D216/D199,"")))</f>
        <v/>
      </c>
      <c r="E217" s="15">
        <f>IF(OR(E216="",E199=""),"",IF(E199&lt;=0,"",IFERROR(E216/E199,"")))</f>
        <v/>
      </c>
      <c r="H217" s="15">
        <f>IF(OR(H216="",H199=""),"",IF(H199&lt;=0,"",IFERROR(H216/H199,"")))</f>
        <v/>
      </c>
      <c r="I217" s="15">
        <f>IF(OR(I216="",I199=""),"",IF(I199&lt;=0,"",IFERROR(I216/I199,"")))</f>
        <v/>
      </c>
      <c r="L217" s="15">
        <f>IF(OR(L216="",L199=""),"",IF(L199&lt;=0,"",IFERROR(L216/L199,"")))</f>
        <v/>
      </c>
      <c r="M217" s="15">
        <f>IF(OR(M216="",M199=""),"",IF(M199&lt;=0,"",IFERROR(M216/M199,"")))</f>
        <v/>
      </c>
      <c r="V217" s="15">
        <f>IF(OR(V216="",V199=""),"",IF(V199&lt;=0,"",IFERROR(V216/V199,"")))</f>
        <v/>
      </c>
      <c r="W217" s="15">
        <f>IF(OR(W216="",W199=""),"",IF(W199&lt;=0,"",IFERROR(W216/W199,"")))</f>
        <v/>
      </c>
      <c r="X217" s="15">
        <f>IF(OR(X216="",X199=""),"",IF(X199&lt;=0,"",IFERROR(X216/X199,"")))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L218" s="15">
        <f>IF(OR(L216="",H216=""),"",IF(H216&lt;=0,"",IFERROR(L216/H216-1,"")))</f>
        <v/>
      </c>
      <c r="M218" s="15">
        <f>IF(OR(M216="",I216=""),"",IF(I216&lt;=0,"",IFERROR(M216/I216-1,"")))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부문 · 부문 이익(손실)</t>
        </is>
      </c>
      <c r="D219" s="20" t="n">
        <v>82.43000000000001</v>
      </c>
      <c r="E219" s="20" t="n">
        <v>70.27</v>
      </c>
      <c r="H219" s="20" t="n">
        <v>122.315</v>
      </c>
      <c r="I219" s="20" t="n">
        <v>89.98699999999999</v>
      </c>
      <c r="L219" s="20" t="n">
        <v>130.176</v>
      </c>
      <c r="M219" s="20" t="n">
        <v>103.079</v>
      </c>
      <c r="V219" s="20" t="n">
        <v>82.43000000000001</v>
      </c>
      <c r="W219" s="20" t="n">
        <v>122.315</v>
      </c>
      <c r="X219" s="20" t="n">
        <v>130.176</v>
      </c>
    </row>
    <row r="220">
      <c r="A220" s="43" t="inlineStr">
        <is>
          <t>OPM</t>
        </is>
      </c>
      <c r="B220" s="3" t="inlineStr">
        <is>
          <t>영업이익 ÷ 매출</t>
        </is>
      </c>
      <c r="D220" s="15">
        <f>IF(OR(D219="",D201=""),"",IF(D201&lt;=0,"",IFERROR(D219/D201,"")))</f>
        <v/>
      </c>
      <c r="E220" s="15">
        <f>IF(OR(E219="",E201=""),"",IF(E201&lt;=0,"",IFERROR(E219/E201,"")))</f>
        <v/>
      </c>
      <c r="H220" s="15">
        <f>IF(OR(H219="",H201=""),"",IF(H201&lt;=0,"",IFERROR(H219/H201,"")))</f>
        <v/>
      </c>
      <c r="I220" s="15">
        <f>IF(OR(I219="",I201=""),"",IF(I201&lt;=0,"",IFERROR(I219/I201,"")))</f>
        <v/>
      </c>
      <c r="L220" s="15">
        <f>IF(OR(L219="",L201=""),"",IF(L201&lt;=0,"",IFERROR(L219/L201,"")))</f>
        <v/>
      </c>
      <c r="M220" s="15">
        <f>IF(OR(M219="",M201=""),"",IF(M201&lt;=0,"",IFERROR(M219/M201,"")))</f>
        <v/>
      </c>
      <c r="V220" s="15">
        <f>IF(OR(V219="",V201=""),"",IF(V201&lt;=0,"",IFERROR(V219/V201,"")))</f>
        <v/>
      </c>
      <c r="W220" s="15">
        <f>IF(OR(W219="",W201=""),"",IF(W201&lt;=0,"",IFERROR(W219/W201,"")))</f>
        <v/>
      </c>
      <c r="X220" s="15">
        <f>IF(OR(X219="",X201=""),"",IF(X201&lt;=0,"",IFERROR(X219/X201,"")))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H221" s="15">
        <f>IF(OR(H219="",D219=""),"",IF(D219&lt;=0,"",IFERROR(H219/D219-1,"")))</f>
        <v/>
      </c>
      <c r="I221" s="15">
        <f>IF(OR(I219="",E219=""),"",IF(E219&lt;=0,"",IFERROR(I219/E219-1,"")))</f>
        <v/>
      </c>
      <c r="L221" s="15">
        <f>IF(OR(L219="",H219=""),"",IF(H219&lt;=0,"",IFERROR(L219/H219-1,"")))</f>
        <v/>
      </c>
      <c r="M221" s="15">
        <f>IF(OR(M219="",I219=""),"",IF(I219&lt;=0,"",IFERROR(M219/I219-1,"")))</f>
        <v/>
      </c>
      <c r="V221" s="15">
        <f>IF(OR(V219="",U219=""),"",IF(U219&lt;=0,"",IFERROR(V219/U219-1,"")))</f>
        <v/>
      </c>
      <c r="W221" s="15">
        <f>IF(OR(W219="",V219=""),"",IF(V219&lt;=0,"",IFERROR(W219/V219-1,"")))</f>
        <v/>
      </c>
      <c r="X221" s="15">
        <f>IF(OR(X219="",W219=""),"",IF(W219&lt;=0,"",IFERROR(X219/W219-1,"")))</f>
        <v/>
      </c>
    </row>
    <row r="222">
      <c r="A222" s="18" t="inlineStr">
        <is>
          <t>부문 · 부문 이익(손실)</t>
        </is>
      </c>
      <c r="D222" s="20" t="n">
        <v>11.443</v>
      </c>
      <c r="E222" s="20" t="n">
        <v>12.315</v>
      </c>
      <c r="H222" s="20" t="n">
        <v>46.779</v>
      </c>
      <c r="I222" s="20" t="n">
        <v>16.939</v>
      </c>
      <c r="L222" s="20" t="n">
        <v>52.478</v>
      </c>
      <c r="M222" s="20" t="n">
        <v>28.01</v>
      </c>
      <c r="V222" s="20" t="n">
        <v>11.443</v>
      </c>
      <c r="W222" s="20" t="n">
        <v>46.779</v>
      </c>
      <c r="X222" s="20" t="n">
        <v>52.478</v>
      </c>
    </row>
    <row r="223">
      <c r="A223" s="43" t="inlineStr">
        <is>
          <t>OPM</t>
        </is>
      </c>
      <c r="B223" s="3" t="inlineStr">
        <is>
          <t>영업이익 ÷ 매출</t>
        </is>
      </c>
      <c r="D223" s="15">
        <f>IF(OR(D222="",D203=""),"",IF(D203&lt;=0,"",IFERROR(D222/D203,"")))</f>
        <v/>
      </c>
      <c r="E223" s="15">
        <f>IF(OR(E222="",E203=""),"",IF(E203&lt;=0,"",IFERROR(E222/E203,"")))</f>
        <v/>
      </c>
      <c r="H223" s="15">
        <f>IF(OR(H222="",H203=""),"",IF(H203&lt;=0,"",IFERROR(H222/H203,"")))</f>
        <v/>
      </c>
      <c r="I223" s="15">
        <f>IF(OR(I222="",I203=""),"",IF(I203&lt;=0,"",IFERROR(I222/I203,"")))</f>
        <v/>
      </c>
      <c r="L223" s="15">
        <f>IF(OR(L222="",L203=""),"",IF(L203&lt;=0,"",IFERROR(L222/L203,"")))</f>
        <v/>
      </c>
      <c r="M223" s="15">
        <f>IF(OR(M222="",M203=""),"",IF(M203&lt;=0,"",IFERROR(M222/M203,"")))</f>
        <v/>
      </c>
      <c r="V223" s="15">
        <f>IF(OR(V222="",V203=""),"",IF(V203&lt;=0,"",IFERROR(V222/V203,"")))</f>
        <v/>
      </c>
      <c r="W223" s="15">
        <f>IF(OR(W222="",W203=""),"",IF(W203&lt;=0,"",IFERROR(W222/W203,"")))</f>
        <v/>
      </c>
      <c r="X223" s="15">
        <f>IF(OR(X222="",X203=""),"",IF(X203&lt;=0,"",IFERROR(X222/X203,"")))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H224" s="15">
        <f>IF(OR(H222="",D222=""),"",IF(D222&lt;=0,"",IFERROR(H222/D222-1,"")))</f>
        <v/>
      </c>
      <c r="I224" s="15">
        <f>IF(OR(I222="",E222=""),"",IF(E222&lt;=0,"",IFERROR(I222/E222-1,"")))</f>
        <v/>
      </c>
      <c r="L224" s="15">
        <f>IF(OR(L222="",H222=""),"",IF(H222&lt;=0,"",IFERROR(L222/H222-1,"")))</f>
        <v/>
      </c>
      <c r="M224" s="15">
        <f>IF(OR(M222="",I222=""),"",IF(I222&lt;=0,"",IFERROR(M222/I222-1,"")))</f>
        <v/>
      </c>
      <c r="V224" s="15">
        <f>IF(OR(V222="",U222=""),"",IF(U222&lt;=0,"",IFERROR(V222/U222-1,"")))</f>
        <v/>
      </c>
      <c r="W224" s="15">
        <f>IF(OR(W222="",V222=""),"",IF(V222&lt;=0,"",IFERROR(W222/V222-1,"")))</f>
        <v/>
      </c>
      <c r="X224" s="15">
        <f>IF(OR(X222="",W222=""),"",IF(W222&lt;=0,"",IFERROR(X222/W222-1,"")))</f>
        <v/>
      </c>
    </row>
    <row r="225">
      <c r="A225" s="18" t="inlineStr">
        <is>
          <t>부문 · 부문 이익(손실)</t>
        </is>
      </c>
      <c r="D225" s="20" t="n">
        <v>14.052</v>
      </c>
      <c r="E225" s="20" t="n">
        <v>139.037</v>
      </c>
      <c r="H225" s="20" t="n">
        <v>243.731</v>
      </c>
      <c r="I225" s="20" t="n">
        <v>269.139</v>
      </c>
      <c r="L225" s="20" t="n">
        <v>401.845</v>
      </c>
      <c r="M225" s="20" t="n">
        <v>446.653</v>
      </c>
      <c r="V225" s="20" t="n">
        <v>14.052</v>
      </c>
      <c r="W225" s="20" t="n">
        <v>243.731</v>
      </c>
      <c r="X225" s="20" t="n">
        <v>401.845</v>
      </c>
    </row>
    <row r="226">
      <c r="A226" s="43" t="inlineStr">
        <is>
          <t>OPM</t>
        </is>
      </c>
      <c r="B226" s="3" t="inlineStr">
        <is>
          <t>영업이익 ÷ 매출</t>
        </is>
      </c>
      <c r="D226" s="15">
        <f>IF(OR(D225="",D205=""),"",IF(D205&lt;=0,"",IFERROR(D225/D205,"")))</f>
        <v/>
      </c>
      <c r="E226" s="15">
        <f>IF(OR(E225="",E205=""),"",IF(E205&lt;=0,"",IFERROR(E225/E205,"")))</f>
        <v/>
      </c>
      <c r="H226" s="15">
        <f>IF(OR(H225="",H205=""),"",IF(H205&lt;=0,"",IFERROR(H225/H205,"")))</f>
        <v/>
      </c>
      <c r="I226" s="15">
        <f>IF(OR(I225="",I205=""),"",IF(I205&lt;=0,"",IFERROR(I225/I205,"")))</f>
        <v/>
      </c>
      <c r="L226" s="15">
        <f>IF(OR(L225="",L205=""),"",IF(L205&lt;=0,"",IFERROR(L225/L205,"")))</f>
        <v/>
      </c>
      <c r="M226" s="15">
        <f>IF(OR(M225="",M205=""),"",IF(M205&lt;=0,"",IFERROR(M225/M205,"")))</f>
        <v/>
      </c>
      <c r="V226" s="15">
        <f>IF(OR(V225="",V205=""),"",IF(V205&lt;=0,"",IFERROR(V225/V205,"")))</f>
        <v/>
      </c>
      <c r="W226" s="15">
        <f>IF(OR(W225="",W205=""),"",IF(W205&lt;=0,"",IFERROR(W225/W205,"")))</f>
        <v/>
      </c>
      <c r="X226" s="15">
        <f>IF(OR(X225="",X205=""),"",IF(X205&lt;=0,"",IFERROR(X225/X205,"")))</f>
        <v/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H227" s="15">
        <f>IF(OR(H225="",D225=""),"",IF(D225&lt;=0,"",IFERROR(H225/D225-1,"")))</f>
        <v/>
      </c>
      <c r="I227" s="15">
        <f>IF(OR(I225="",E225=""),"",IF(E225&lt;=0,"",IFERROR(I225/E225-1,"")))</f>
        <v/>
      </c>
      <c r="L227" s="15">
        <f>IF(OR(L225="",H225=""),"",IF(H225&lt;=0,"",IFERROR(L225/H225-1,"")))</f>
        <v/>
      </c>
      <c r="M227" s="15">
        <f>IF(OR(M225="",I225=""),"",IF(I225&lt;=0,"",IFERROR(M225/I225-1,"")))</f>
        <v/>
      </c>
      <c r="V227" s="15">
        <f>IF(OR(V225="",U225=""),"",IF(U225&lt;=0,"",IFERROR(V225/U225-1,"")))</f>
        <v/>
      </c>
      <c r="W227" s="15">
        <f>IF(OR(W225="",V225=""),"",IF(V225&lt;=0,"",IFERROR(W225/V225-1,"")))</f>
        <v/>
      </c>
      <c r="X227" s="15">
        <f>IF(OR(X225="",W225=""),"",IF(W225&lt;=0,"",IFERROR(X225/W225-1,"")))</f>
        <v/>
      </c>
    </row>
    <row r="228">
      <c r="A228" s="18" t="inlineStr">
        <is>
          <t>부문 · 외부 고객 매출</t>
        </is>
      </c>
      <c r="D228" s="20" t="n">
        <v>443.811</v>
      </c>
      <c r="E228" s="20" t="n">
        <v>412.728</v>
      </c>
      <c r="H228" s="20" t="n">
        <v>469.971</v>
      </c>
      <c r="I228" s="20" t="n">
        <v>473.548</v>
      </c>
      <c r="L228" s="20" t="n">
        <v>536.9400000000001</v>
      </c>
      <c r="M228" s="20" t="n">
        <v>533.985</v>
      </c>
      <c r="V228" s="20" t="n">
        <v>443.811</v>
      </c>
      <c r="W228" s="20" t="n">
        <v>469.971</v>
      </c>
      <c r="X228" s="20" t="n">
        <v>536.9400000000001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H229" s="15">
        <f>IF(OR(H228="",D228=""),"",IF(D228&lt;=0,"",IFERROR(H228/D228-1,"")))</f>
        <v/>
      </c>
      <c r="I229" s="15">
        <f>IF(OR(I228="",E228=""),"",IF(E228&lt;=0,"",IFERROR(I228/E228-1,"")))</f>
        <v/>
      </c>
      <c r="L229" s="15">
        <f>IF(OR(L228="",H228=""),"",IF(H228&lt;=0,"",IFERROR(L228/H228-1,"")))</f>
        <v/>
      </c>
      <c r="M229" s="15">
        <f>IF(OR(M228="",I228=""),"",IF(I228&lt;=0,"",IFERROR(M228/I228-1,"")))</f>
        <v/>
      </c>
      <c r="V229" s="15">
        <f>IF(OR(V228="",U228=""),"",IF(U228&lt;=0,"",IFERROR(V228/U228-1,"")))</f>
        <v/>
      </c>
      <c r="W229" s="15">
        <f>IF(OR(W228="",V228=""),"",IF(V228&lt;=0,"",IFERROR(W228/V228-1,"")))</f>
        <v/>
      </c>
      <c r="X229" s="15">
        <f>IF(OR(X228="",W228=""),"",IF(W228&lt;=0,"",IFERROR(X228/W228-1,"")))</f>
        <v/>
      </c>
    </row>
    <row r="230">
      <c r="A230" s="18" t="inlineStr">
        <is>
          <t>부문 · 외부 고객 매출</t>
        </is>
      </c>
      <c r="D230" s="20" t="n">
        <v>360.578</v>
      </c>
      <c r="E230" s="20" t="n">
        <v>334.69</v>
      </c>
      <c r="H230" s="20" t="n">
        <v>378.007</v>
      </c>
      <c r="I230" s="20" t="n">
        <v>352.62</v>
      </c>
      <c r="L230" s="20" t="n">
        <v>409.74</v>
      </c>
      <c r="M230" s="20" t="n">
        <v>381.734</v>
      </c>
      <c r="V230" s="20" t="n">
        <v>360.578</v>
      </c>
      <c r="W230" s="20" t="n">
        <v>378.007</v>
      </c>
      <c r="X230" s="20" t="n">
        <v>409.74</v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H231" s="15">
        <f>IF(OR(H230="",D230=""),"",IF(D230&lt;=0,"",IFERROR(H230/D230-1,"")))</f>
        <v/>
      </c>
      <c r="I231" s="15">
        <f>IF(OR(I230="",E230=""),"",IF(E230&lt;=0,"",IFERROR(I230/E230-1,"")))</f>
        <v/>
      </c>
      <c r="L231" s="15">
        <f>IF(OR(L230="",H230=""),"",IF(H230&lt;=0,"",IFERROR(L230/H230-1,"")))</f>
        <v/>
      </c>
      <c r="M231" s="15">
        <f>IF(OR(M230="",I230=""),"",IF(I230&lt;=0,"",IFERROR(M230/I230-1,"")))</f>
        <v/>
      </c>
      <c r="V231" s="15">
        <f>IF(OR(V230="",U230=""),"",IF(U230&lt;=0,"",IFERROR(V230/U230-1,"")))</f>
        <v/>
      </c>
      <c r="W231" s="15">
        <f>IF(OR(W230="",V230=""),"",IF(V230&lt;=0,"",IFERROR(W230/V230-1,"")))</f>
        <v/>
      </c>
      <c r="X231" s="15">
        <f>IF(OR(X230="",W230=""),"",IF(W230&lt;=0,"",IFERROR(X230/W230-1,"")))</f>
        <v/>
      </c>
    </row>
    <row r="232">
      <c r="A232" s="18" t="inlineStr">
        <is>
          <t xml:space="preserve">  · 외부 고객 매출</t>
        </is>
      </c>
      <c r="E232" s="20" t="n">
        <v>0</v>
      </c>
      <c r="H232" s="20" t="n">
        <v>5.726</v>
      </c>
      <c r="I232" s="20" t="n">
        <v>28.724</v>
      </c>
      <c r="L232" s="20" t="n">
        <v>8.135</v>
      </c>
      <c r="M232" s="20" t="n">
        <v>1.472</v>
      </c>
      <c r="W232" s="20" t="n">
        <v>5.726</v>
      </c>
      <c r="X232" s="20" t="n">
        <v>8.135</v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H233" s="15">
        <f>IF(OR(H232="",D232=""),"",IF(D232&lt;=0,"",IFERROR(H232/D232-1,"")))</f>
        <v/>
      </c>
      <c r="I233" s="15">
        <f>IF(OR(I232="",E232=""),"",IF(E232&lt;=0,"",IFERROR(I232/E232-1,"")))</f>
        <v/>
      </c>
      <c r="L233" s="15">
        <f>IF(OR(L232="",H232=""),"",IF(H232&lt;=0,"",IFERROR(L232/H232-1,"")))</f>
        <v/>
      </c>
      <c r="M233" s="15">
        <f>IF(OR(M232="",I232=""),"",IF(I232&lt;=0,"",IFERROR(M232/I232-1,"")))</f>
        <v/>
      </c>
      <c r="W233" s="15">
        <f>IF(OR(W232="",V232=""),"",IF(V232&lt;=0,"",IFERROR(W232/V232-1,"")))</f>
        <v/>
      </c>
      <c r="X233" s="15">
        <f>IF(OR(X232="",W232=""),"",IF(W232&lt;=0,"",IFERROR(X232/W232-1,"")))</f>
        <v/>
      </c>
    </row>
    <row r="234">
      <c r="A234" s="18" t="inlineStr">
        <is>
          <t>보고부문 합계 · 외부 고객 매출</t>
        </is>
      </c>
      <c r="D234" s="20" t="n">
        <v>9062.081</v>
      </c>
      <c r="E234" s="20" t="n">
        <v>9764.652</v>
      </c>
      <c r="H234" s="20" t="n">
        <v>9968.508</v>
      </c>
      <c r="I234" s="20" t="n">
        <v>10293.367</v>
      </c>
      <c r="L234" s="20" t="n">
        <v>11055.543</v>
      </c>
      <c r="M234" s="20" t="n">
        <v>11732.276</v>
      </c>
      <c r="V234" s="20" t="n">
        <v>9062.081</v>
      </c>
      <c r="W234" s="20" t="n">
        <v>9968.508</v>
      </c>
      <c r="X234" s="20" t="n">
        <v>11055.543</v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H235" s="15">
        <f>IF(OR(H234="",D234=""),"",IF(D234&lt;=0,"",IFERROR(H234/D234-1,"")))</f>
        <v/>
      </c>
      <c r="I235" s="15">
        <f>IF(OR(I234="",E234=""),"",IF(E234&lt;=0,"",IFERROR(I234/E234-1,"")))</f>
        <v/>
      </c>
      <c r="L235" s="15">
        <f>IF(OR(L234="",H234=""),"",IF(H234&lt;=0,"",IFERROR(L234/H234-1,"")))</f>
        <v/>
      </c>
      <c r="M235" s="15">
        <f>IF(OR(M234="",I234=""),"",IF(I234&lt;=0,"",IFERROR(M234/I234-1,"")))</f>
        <v/>
      </c>
      <c r="V235" s="15">
        <f>IF(OR(V234="",U234=""),"",IF(U234&lt;=0,"",IFERROR(V234/U234-1,"")))</f>
        <v/>
      </c>
      <c r="W235" s="15">
        <f>IF(OR(W234="",V234=""),"",IF(V234&lt;=0,"",IFERROR(W234/V234-1,"")))</f>
        <v/>
      </c>
      <c r="X235" s="15">
        <f>IF(OR(X234="",W234=""),"",IF(W234&lt;=0,"",IFERROR(X234/W234-1,"")))</f>
        <v/>
      </c>
    </row>
    <row r="236">
      <c r="A236" s="18" t="inlineStr">
        <is>
          <t>기타 · 외부 고객 매출</t>
        </is>
      </c>
      <c r="D236" s="20" t="n">
        <v>122.99</v>
      </c>
      <c r="E236" s="20" t="n">
        <v>130.883</v>
      </c>
      <c r="H236" s="20" t="n">
        <v>111.162</v>
      </c>
      <c r="V236" s="20" t="n">
        <v>122.99</v>
      </c>
      <c r="W236" s="20" t="n">
        <v>111.162</v>
      </c>
    </row>
    <row r="237">
      <c r="A237" s="43" t="inlineStr">
        <is>
          <t>YoY</t>
        </is>
      </c>
      <c r="B237" s="3" t="inlineStr">
        <is>
          <t>전년 같은 분기·전년 대비</t>
        </is>
      </c>
      <c r="H237" s="15">
        <f>IF(OR(H236="",D236=""),"",IF(D236&lt;=0,"",IFERROR(H236/D236-1,"")))</f>
        <v/>
      </c>
      <c r="V237" s="15">
        <f>IF(OR(V236="",U236=""),"",IF(U236&lt;=0,"",IFERROR(V236/U236-1,"")))</f>
        <v/>
      </c>
      <c r="W237" s="15">
        <f>IF(OR(W236="",V236=""),"",IF(V236&lt;=0,"",IFERROR(W236/V236-1,"")))</f>
        <v/>
      </c>
    </row>
    <row r="238">
      <c r="A238" s="18" t="inlineStr">
        <is>
          <t>합계 · 외부 고객 매출</t>
        </is>
      </c>
      <c r="D238" s="20" t="n">
        <v>9185.072</v>
      </c>
      <c r="E238" s="20" t="n">
        <v>9764.652</v>
      </c>
      <c r="H238" s="20" t="n">
        <v>9968.508</v>
      </c>
      <c r="V238" s="20" t="n">
        <v>9185.072</v>
      </c>
      <c r="W238" s="20" t="n">
        <v>9968.508</v>
      </c>
    </row>
    <row r="239">
      <c r="A239" s="43" t="inlineStr">
        <is>
          <t>YoY</t>
        </is>
      </c>
      <c r="B239" s="3" t="inlineStr">
        <is>
          <t>전년 같은 분기·전년 대비</t>
        </is>
      </c>
      <c r="H239" s="15">
        <f>IF(OR(H238="",D238=""),"",IF(D238&lt;=0,"",IFERROR(H238/D238-1,"")))</f>
        <v/>
      </c>
      <c r="V239" s="15">
        <f>IF(OR(V238="",U238=""),"",IF(U238&lt;=0,"",IFERROR(V238/U238-1,"")))</f>
        <v/>
      </c>
      <c r="W239" s="15">
        <f>IF(OR(W238="",V238=""),"",IF(V238&lt;=0,"",IFERROR(W238/V238-1,"")))</f>
        <v/>
      </c>
    </row>
    <row r="240">
      <c r="A240" s="18" t="inlineStr">
        <is>
          <t>조정액 · 외부 고객 매출</t>
        </is>
      </c>
      <c r="D240" s="20" t="n">
        <v>0</v>
      </c>
      <c r="E240" s="20" t="n">
        <v>0</v>
      </c>
      <c r="H240" s="20" t="n">
        <v>0</v>
      </c>
      <c r="I240" s="20" t="n">
        <v>0</v>
      </c>
      <c r="L240" s="20" t="n">
        <v>0</v>
      </c>
      <c r="M240" s="20" t="n">
        <v>0</v>
      </c>
      <c r="V240" s="20" t="n">
        <v>0</v>
      </c>
      <c r="W240" s="20" t="n">
        <v>0</v>
      </c>
      <c r="X240" s="20" t="n">
        <v>0</v>
      </c>
    </row>
    <row r="241">
      <c r="A241" s="9" t="inlineStr">
        <is>
          <t>외부 고객 매출</t>
        </is>
      </c>
      <c r="D241" s="12" t="n">
        <v>9185.072</v>
      </c>
      <c r="E241" s="12" t="n">
        <v>9764.652</v>
      </c>
      <c r="H241" s="12" t="n">
        <v>9968.508</v>
      </c>
      <c r="I241" s="12" t="n">
        <v>10293.367</v>
      </c>
      <c r="L241" s="12" t="n">
        <v>11055.543</v>
      </c>
      <c r="M241" s="12" t="n">
        <v>11732.276</v>
      </c>
      <c r="V241" s="12" t="n">
        <v>9185.072</v>
      </c>
      <c r="W241" s="12" t="n">
        <v>9968.508</v>
      </c>
      <c r="X241" s="12" t="n">
        <v>11055.543</v>
      </c>
    </row>
    <row r="242">
      <c r="A242" s="43" t="inlineStr">
        <is>
          <t>YoY</t>
        </is>
      </c>
      <c r="B242" s="3" t="inlineStr">
        <is>
          <t>전년 같은 분기·전년 대비</t>
        </is>
      </c>
      <c r="H242" s="15">
        <f>IF(OR(H241="",D241=""),"",IF(D241&lt;=0,"",IFERROR(H241/D241-1,"")))</f>
        <v/>
      </c>
      <c r="I242" s="15">
        <f>IF(OR(I241="",E241=""),"",IF(E241&lt;=0,"",IFERROR(I241/E241-1,"")))</f>
        <v/>
      </c>
      <c r="L242" s="15">
        <f>IF(OR(L241="",H241=""),"",IF(H241&lt;=0,"",IFERROR(L241/H241-1,"")))</f>
        <v/>
      </c>
      <c r="M242" s="15">
        <f>IF(OR(M241="",I241=""),"",IF(I241&lt;=0,"",IFERROR(M241/I241-1,"")))</f>
        <v/>
      </c>
      <c r="V242" s="15">
        <f>IF(OR(V241="",U241=""),"",IF(U241&lt;=0,"",IFERROR(V241/U241-1,"")))</f>
        <v/>
      </c>
      <c r="W242" s="15">
        <f>IF(OR(W241="",V241=""),"",IF(V241&lt;=0,"",IFERROR(W241/V241-1,"")))</f>
        <v/>
      </c>
      <c r="X242" s="15">
        <f>IF(OR(X241="",W241=""),"",IF(W241&lt;=0,"",IFERROR(X241/W241-1,"")))</f>
        <v/>
      </c>
    </row>
    <row r="243">
      <c r="A243" s="18" t="inlineStr">
        <is>
          <t>부문 · 부문 간 내부매출·대체</t>
        </is>
      </c>
      <c r="D243" s="20" t="n">
        <v>54.183</v>
      </c>
      <c r="E243" s="20" t="n">
        <v>90.515</v>
      </c>
      <c r="H243" s="20" t="n">
        <v>72.35299999999999</v>
      </c>
      <c r="I243" s="20" t="n">
        <v>84.399</v>
      </c>
      <c r="L243" s="20" t="n">
        <v>51.568</v>
      </c>
      <c r="M243" s="20" t="n">
        <v>88.575</v>
      </c>
      <c r="V243" s="20" t="n">
        <v>54.183</v>
      </c>
      <c r="W243" s="20" t="n">
        <v>72.35299999999999</v>
      </c>
      <c r="X243" s="20" t="n">
        <v>51.568</v>
      </c>
    </row>
    <row r="244">
      <c r="A244" s="18" t="inlineStr">
        <is>
          <t>부문 · 부문 간 내부매출·대체</t>
        </is>
      </c>
      <c r="D244" s="20" t="n">
        <v>1.059</v>
      </c>
      <c r="E244" s="20" t="n">
        <v>2.191</v>
      </c>
      <c r="H244" s="20" t="n">
        <v>1.615</v>
      </c>
      <c r="I244" s="20" t="n">
        <v>4.71</v>
      </c>
      <c r="L244" s="20" t="n">
        <v>2.5</v>
      </c>
      <c r="M244" s="20" t="n">
        <v>2.205</v>
      </c>
      <c r="V244" s="20" t="n">
        <v>1.059</v>
      </c>
      <c r="W244" s="20" t="n">
        <v>1.615</v>
      </c>
      <c r="X244" s="20" t="n">
        <v>2.5</v>
      </c>
    </row>
    <row r="245">
      <c r="A245" s="18" t="inlineStr">
        <is>
          <t xml:space="preserve">  · 부문 간 내부매출·대체</t>
        </is>
      </c>
      <c r="E245" s="20" t="n">
        <v>163.48</v>
      </c>
      <c r="H245" s="20" t="n">
        <v>364.268</v>
      </c>
      <c r="I245" s="20" t="n">
        <v>624.759</v>
      </c>
      <c r="L245" s="20" t="n">
        <v>431.669</v>
      </c>
      <c r="M245" s="20" t="n">
        <v>558.7380000000001</v>
      </c>
      <c r="W245" s="20" t="n">
        <v>364.268</v>
      </c>
      <c r="X245" s="20" t="n">
        <v>431.669</v>
      </c>
    </row>
    <row r="246">
      <c r="A246" s="18" t="inlineStr">
        <is>
          <t>보고부문 합계 · 부문 간 내부매출·대체</t>
        </is>
      </c>
      <c r="D246" s="20" t="n">
        <v>57.425</v>
      </c>
      <c r="E246" s="20" t="n">
        <v>256.188</v>
      </c>
      <c r="H246" s="20" t="n">
        <v>440.421</v>
      </c>
      <c r="I246" s="20" t="n">
        <v>717.785</v>
      </c>
      <c r="L246" s="20" t="n">
        <v>489.109</v>
      </c>
      <c r="M246" s="20" t="n">
        <v>653.388</v>
      </c>
      <c r="V246" s="20" t="n">
        <v>57.425</v>
      </c>
      <c r="W246" s="20" t="n">
        <v>440.421</v>
      </c>
      <c r="X246" s="20" t="n">
        <v>489.109</v>
      </c>
    </row>
    <row r="247">
      <c r="A247" s="18" t="inlineStr">
        <is>
          <t>기타 · 부문 간 내부매출·대체</t>
        </is>
      </c>
      <c r="D247" s="20" t="n">
        <v>0</v>
      </c>
      <c r="E247" s="20" t="n">
        <v>0</v>
      </c>
      <c r="H247" s="20" t="n">
        <v>23.578</v>
      </c>
      <c r="V247" s="20" t="n">
        <v>0</v>
      </c>
      <c r="W247" s="20" t="n">
        <v>23.578</v>
      </c>
    </row>
    <row r="248">
      <c r="A248" s="18" t="inlineStr">
        <is>
          <t>합계 · 부문 간 내부매출·대체</t>
        </is>
      </c>
      <c r="D248" s="20" t="n">
        <v>57.425</v>
      </c>
      <c r="E248" s="20" t="n">
        <v>96.834</v>
      </c>
      <c r="H248" s="20" t="n">
        <v>97.54600000000001</v>
      </c>
      <c r="V248" s="20" t="n">
        <v>57.425</v>
      </c>
      <c r="W248" s="20" t="n">
        <v>97.54600000000001</v>
      </c>
    </row>
    <row r="249">
      <c r="A249" s="18" t="inlineStr">
        <is>
          <t>조정액 · 부문 간 내부매출·대체</t>
        </is>
      </c>
      <c r="D249" s="20" t="n">
        <v>-57.425</v>
      </c>
      <c r="E249" s="20" t="n">
        <v>-256.188</v>
      </c>
      <c r="H249" s="20" t="n">
        <v>-440.421</v>
      </c>
      <c r="I249" s="20" t="n">
        <v>-717.785</v>
      </c>
      <c r="L249" s="20" t="n">
        <v>-489.109</v>
      </c>
      <c r="M249" s="20" t="n">
        <v>-653.388</v>
      </c>
      <c r="V249" s="20" t="n">
        <v>-57.425</v>
      </c>
      <c r="W249" s="20" t="n">
        <v>-440.421</v>
      </c>
      <c r="X249" s="20" t="n">
        <v>-489.109</v>
      </c>
    </row>
    <row r="250">
      <c r="A250" s="18" t="inlineStr">
        <is>
          <t>부문 간 내부매출·대체</t>
        </is>
      </c>
      <c r="D250" s="20" t="n">
        <v>0</v>
      </c>
      <c r="E250" s="20" t="n">
        <v>0</v>
      </c>
      <c r="H250" s="20" t="n">
        <v>0</v>
      </c>
      <c r="I250" s="20" t="n">
        <v>0</v>
      </c>
      <c r="L250" s="20" t="n">
        <v>0</v>
      </c>
      <c r="M250" s="20" t="n">
        <v>0</v>
      </c>
      <c r="V250" s="20" t="n">
        <v>0</v>
      </c>
      <c r="W250" s="20" t="n">
        <v>0</v>
      </c>
      <c r="X250" s="20" t="n">
        <v>0</v>
      </c>
    </row>
    <row r="251">
      <c r="A251" s="18" t="inlineStr">
        <is>
          <t>부문 · 계</t>
        </is>
      </c>
      <c r="D251" s="20" t="n">
        <v>497.995</v>
      </c>
      <c r="E251" s="20" t="n">
        <v>503.244</v>
      </c>
      <c r="H251" s="20" t="n">
        <v>542.323</v>
      </c>
      <c r="I251" s="20" t="n">
        <v>557.948</v>
      </c>
      <c r="L251" s="20" t="n">
        <v>588.509</v>
      </c>
      <c r="M251" s="20" t="n">
        <v>622.561</v>
      </c>
      <c r="V251" s="20" t="n">
        <v>497.995</v>
      </c>
      <c r="W251" s="20" t="n">
        <v>542.323</v>
      </c>
      <c r="X251" s="20" t="n">
        <v>588.509</v>
      </c>
    </row>
    <row r="252">
      <c r="A252" s="43" t="inlineStr">
        <is>
          <t>YoY</t>
        </is>
      </c>
      <c r="B252" s="3" t="inlineStr">
        <is>
          <t>전년 같은 분기·전년 대비</t>
        </is>
      </c>
      <c r="H252" s="15">
        <f>IF(OR(H251="",D251=""),"",IF(D251&lt;=0,"",IFERROR(H251/D251-1,"")))</f>
        <v/>
      </c>
      <c r="I252" s="15">
        <f>IF(OR(I251="",E251=""),"",IF(E251&lt;=0,"",IFERROR(I251/E251-1,"")))</f>
        <v/>
      </c>
      <c r="L252" s="15">
        <f>IF(OR(L251="",H251=""),"",IF(H251&lt;=0,"",IFERROR(L251/H251-1,"")))</f>
        <v/>
      </c>
      <c r="M252" s="15">
        <f>IF(OR(M251="",I251=""),"",IF(I251&lt;=0,"",IFERROR(M251/I251-1,"")))</f>
        <v/>
      </c>
      <c r="V252" s="15">
        <f>IF(OR(V251="",U251=""),"",IF(U251&lt;=0,"",IFERROR(V251/U251-1,"")))</f>
        <v/>
      </c>
      <c r="W252" s="15">
        <f>IF(OR(W251="",V251=""),"",IF(V251&lt;=0,"",IFERROR(W251/V251-1,"")))</f>
        <v/>
      </c>
      <c r="X252" s="15">
        <f>IF(OR(X251="",W251=""),"",IF(W251&lt;=0,"",IFERROR(X251/W251-1,"")))</f>
        <v/>
      </c>
    </row>
    <row r="253">
      <c r="A253" s="18" t="inlineStr">
        <is>
          <t>부문 · 계</t>
        </is>
      </c>
      <c r="D253" s="20" t="n">
        <v>361.638</v>
      </c>
      <c r="E253" s="20" t="n">
        <v>336.881</v>
      </c>
      <c r="H253" s="20" t="n">
        <v>379.623</v>
      </c>
      <c r="I253" s="20" t="n">
        <v>357.33</v>
      </c>
      <c r="L253" s="20" t="n">
        <v>412.239</v>
      </c>
      <c r="M253" s="20" t="n">
        <v>383.939</v>
      </c>
      <c r="V253" s="20" t="n">
        <v>361.638</v>
      </c>
      <c r="W253" s="20" t="n">
        <v>379.623</v>
      </c>
      <c r="X253" s="20" t="n">
        <v>412.239</v>
      </c>
    </row>
    <row r="254">
      <c r="A254" s="43" t="inlineStr">
        <is>
          <t>YoY</t>
        </is>
      </c>
      <c r="B254" s="3" t="inlineStr">
        <is>
          <t>전년 같은 분기·전년 대비</t>
        </is>
      </c>
      <c r="H254" s="15">
        <f>IF(OR(H253="",D253=""),"",IF(D253&lt;=0,"",IFERROR(H253/D253-1,"")))</f>
        <v/>
      </c>
      <c r="I254" s="15">
        <f>IF(OR(I253="",E253=""),"",IF(E253&lt;=0,"",IFERROR(I253/E253-1,"")))</f>
        <v/>
      </c>
      <c r="L254" s="15">
        <f>IF(OR(L253="",H253=""),"",IF(H253&lt;=0,"",IFERROR(L253/H253-1,"")))</f>
        <v/>
      </c>
      <c r="M254" s="15">
        <f>IF(OR(M253="",I253=""),"",IF(I253&lt;=0,"",IFERROR(M253/I253-1,"")))</f>
        <v/>
      </c>
      <c r="V254" s="15">
        <f>IF(OR(V253="",U253=""),"",IF(U253&lt;=0,"",IFERROR(V253/U253-1,"")))</f>
        <v/>
      </c>
      <c r="W254" s="15">
        <f>IF(OR(W253="",V253=""),"",IF(V253&lt;=0,"",IFERROR(W253/V253-1,"")))</f>
        <v/>
      </c>
      <c r="X254" s="15">
        <f>IF(OR(X253="",W253=""),"",IF(W253&lt;=0,"",IFERROR(X253/W253-1,"")))</f>
        <v/>
      </c>
    </row>
    <row r="255">
      <c r="A255" s="18" t="inlineStr">
        <is>
          <t xml:space="preserve">  · 계</t>
        </is>
      </c>
      <c r="E255" s="20" t="n">
        <v>163.48</v>
      </c>
      <c r="H255" s="20" t="n">
        <v>369.993</v>
      </c>
      <c r="I255" s="20" t="n">
        <v>653.4829999999999</v>
      </c>
      <c r="L255" s="20" t="n">
        <v>439.803</v>
      </c>
      <c r="M255" s="20" t="n">
        <v>560.21</v>
      </c>
      <c r="W255" s="20" t="n">
        <v>369.993</v>
      </c>
      <c r="X255" s="20" t="n">
        <v>439.803</v>
      </c>
    </row>
    <row r="256">
      <c r="A256" s="43" t="inlineStr">
        <is>
          <t>YoY</t>
        </is>
      </c>
      <c r="B256" s="3" t="inlineStr">
        <is>
          <t>전년 같은 분기·전년 대비</t>
        </is>
      </c>
      <c r="H256" s="15">
        <f>IF(OR(H255="",D255=""),"",IF(D255&lt;=0,"",IFERROR(H255/D255-1,"")))</f>
        <v/>
      </c>
      <c r="I256" s="15">
        <f>IF(OR(I255="",E255=""),"",IF(E255&lt;=0,"",IFERROR(I255/E255-1,"")))</f>
        <v/>
      </c>
      <c r="L256" s="15">
        <f>IF(OR(L255="",H255=""),"",IF(H255&lt;=0,"",IFERROR(L255/H255-1,"")))</f>
        <v/>
      </c>
      <c r="M256" s="15">
        <f>IF(OR(M255="",I255=""),"",IF(I255&lt;=0,"",IFERROR(M255/I255-1,"")))</f>
        <v/>
      </c>
      <c r="W256" s="15">
        <f>IF(OR(W255="",V255=""),"",IF(V255&lt;=0,"",IFERROR(W255/V255-1,"")))</f>
        <v/>
      </c>
      <c r="X256" s="15">
        <f>IF(OR(X255="",W255=""),"",IF(W255&lt;=0,"",IFERROR(X255/W255-1,"")))</f>
        <v/>
      </c>
    </row>
    <row r="257">
      <c r="A257" s="18" t="inlineStr">
        <is>
          <t>보고부문 합계 · 계</t>
        </is>
      </c>
      <c r="D257" s="20" t="n">
        <v>9119.505999999999</v>
      </c>
      <c r="E257" s="20" t="n">
        <v>10020.841</v>
      </c>
      <c r="H257" s="20" t="n">
        <v>10408.93</v>
      </c>
      <c r="I257" s="20" t="n">
        <v>11011.152</v>
      </c>
      <c r="L257" s="20" t="n">
        <v>11544.651</v>
      </c>
      <c r="M257" s="20" t="n">
        <v>12385.664</v>
      </c>
      <c r="V257" s="20" t="n">
        <v>9119.505999999999</v>
      </c>
      <c r="W257" s="20" t="n">
        <v>10408.93</v>
      </c>
      <c r="X257" s="20" t="n">
        <v>11544.651</v>
      </c>
    </row>
    <row r="258">
      <c r="A258" s="43" t="inlineStr">
        <is>
          <t>YoY</t>
        </is>
      </c>
      <c r="B258" s="3" t="inlineStr">
        <is>
          <t>전년 같은 분기·전년 대비</t>
        </is>
      </c>
      <c r="H258" s="15">
        <f>IF(OR(H257="",D257=""),"",IF(D257&lt;=0,"",IFERROR(H257/D257-1,"")))</f>
        <v/>
      </c>
      <c r="I258" s="15">
        <f>IF(OR(I257="",E257=""),"",IF(E257&lt;=0,"",IFERROR(I257/E257-1,"")))</f>
        <v/>
      </c>
      <c r="L258" s="15">
        <f>IF(OR(L257="",H257=""),"",IF(H257&lt;=0,"",IFERROR(L257/H257-1,"")))</f>
        <v/>
      </c>
      <c r="M258" s="15">
        <f>IF(OR(M257="",I257=""),"",IF(I257&lt;=0,"",IFERROR(M257/I257-1,"")))</f>
        <v/>
      </c>
      <c r="V258" s="15">
        <f>IF(OR(V257="",U257=""),"",IF(U257&lt;=0,"",IFERROR(V257/U257-1,"")))</f>
        <v/>
      </c>
      <c r="W258" s="15">
        <f>IF(OR(W257="",V257=""),"",IF(V257&lt;=0,"",IFERROR(W257/V257-1,"")))</f>
        <v/>
      </c>
      <c r="X258" s="15">
        <f>IF(OR(X257="",W257=""),"",IF(W257&lt;=0,"",IFERROR(X257/W257-1,"")))</f>
        <v/>
      </c>
    </row>
    <row r="259">
      <c r="A259" s="18" t="inlineStr">
        <is>
          <t>기타 · 계</t>
        </is>
      </c>
      <c r="D259" s="20" t="n">
        <v>122.99</v>
      </c>
      <c r="E259" s="20" t="n">
        <v>130.883</v>
      </c>
      <c r="H259" s="20" t="n">
        <v>134.74</v>
      </c>
      <c r="V259" s="20" t="n">
        <v>122.99</v>
      </c>
      <c r="W259" s="20" t="n">
        <v>134.74</v>
      </c>
    </row>
    <row r="260">
      <c r="A260" s="43" t="inlineStr">
        <is>
          <t>YoY</t>
        </is>
      </c>
      <c r="B260" s="3" t="inlineStr">
        <is>
          <t>전년 같은 분기·전년 대비</t>
        </is>
      </c>
      <c r="H260" s="15">
        <f>IF(OR(H259="",D259=""),"",IF(D259&lt;=0,"",IFERROR(H259/D259-1,"")))</f>
        <v/>
      </c>
      <c r="V260" s="15">
        <f>IF(OR(V259="",U259=""),"",IF(U259&lt;=0,"",IFERROR(V259/U259-1,"")))</f>
        <v/>
      </c>
      <c r="W260" s="15">
        <f>IF(OR(W259="",V259=""),"",IF(V259&lt;=0,"",IFERROR(W259/V259-1,"")))</f>
        <v/>
      </c>
    </row>
    <row r="261">
      <c r="A261" s="18" t="inlineStr">
        <is>
          <t>합계 · 계</t>
        </is>
      </c>
      <c r="D261" s="20" t="n">
        <v>9242.496999999999</v>
      </c>
      <c r="E261" s="20" t="n">
        <v>9861.486999999999</v>
      </c>
      <c r="H261" s="20" t="n">
        <v>10066.055</v>
      </c>
      <c r="V261" s="20" t="n">
        <v>9242.496999999999</v>
      </c>
      <c r="W261" s="20" t="n">
        <v>10066.055</v>
      </c>
    </row>
    <row r="262">
      <c r="A262" s="43" t="inlineStr">
        <is>
          <t>YoY</t>
        </is>
      </c>
      <c r="B262" s="3" t="inlineStr">
        <is>
          <t>전년 같은 분기·전년 대비</t>
        </is>
      </c>
      <c r="H262" s="15">
        <f>IF(OR(H261="",D261=""),"",IF(D261&lt;=0,"",IFERROR(H261/D261-1,"")))</f>
        <v/>
      </c>
      <c r="V262" s="15">
        <f>IF(OR(V261="",U261=""),"",IF(U261&lt;=0,"",IFERROR(V261/U261-1,"")))</f>
        <v/>
      </c>
      <c r="W262" s="15">
        <f>IF(OR(W261="",V261=""),"",IF(V261&lt;=0,"",IFERROR(W261/V261-1,"")))</f>
        <v/>
      </c>
    </row>
    <row r="263">
      <c r="A263" s="18" t="inlineStr">
        <is>
          <t>조정액 · 계</t>
        </is>
      </c>
      <c r="D263" s="20" t="n">
        <v>-57.425</v>
      </c>
      <c r="E263" s="20" t="n">
        <v>-256.188</v>
      </c>
      <c r="H263" s="20" t="n">
        <v>-440.421</v>
      </c>
      <c r="I263" s="20" t="n">
        <v>-717.785</v>
      </c>
      <c r="L263" s="20" t="n">
        <v>-489.109</v>
      </c>
      <c r="M263" s="20" t="n">
        <v>-653.388</v>
      </c>
      <c r="V263" s="20" t="n">
        <v>-57.425</v>
      </c>
      <c r="W263" s="20" t="n">
        <v>-440.421</v>
      </c>
      <c r="X263" s="20" t="n">
        <v>-489.109</v>
      </c>
    </row>
    <row r="264">
      <c r="A264" s="9" t="inlineStr">
        <is>
          <t>계</t>
        </is>
      </c>
      <c r="D264" s="12" t="n">
        <v>9185.072</v>
      </c>
      <c r="E264" s="12" t="n">
        <v>9764.652</v>
      </c>
      <c r="H264" s="12" t="n">
        <v>9968.508</v>
      </c>
      <c r="I264" s="12" t="n">
        <v>10293.367</v>
      </c>
      <c r="L264" s="12" t="n">
        <v>11055.543</v>
      </c>
      <c r="M264" s="12" t="n">
        <v>11732.276</v>
      </c>
      <c r="V264" s="12" t="n">
        <v>9185.072</v>
      </c>
      <c r="W264" s="12" t="n">
        <v>9968.508</v>
      </c>
      <c r="X264" s="12" t="n">
        <v>11055.543</v>
      </c>
    </row>
    <row r="265">
      <c r="A265" s="43" t="inlineStr">
        <is>
          <t>YoY</t>
        </is>
      </c>
      <c r="B265" s="3" t="inlineStr">
        <is>
          <t>전년 같은 분기·전년 대비</t>
        </is>
      </c>
      <c r="H265" s="15">
        <f>IF(OR(H264="",D264=""),"",IF(D264&lt;=0,"",IFERROR(H264/D264-1,"")))</f>
        <v/>
      </c>
      <c r="I265" s="15">
        <f>IF(OR(I264="",E264=""),"",IF(E264&lt;=0,"",IFERROR(I264/E264-1,"")))</f>
        <v/>
      </c>
      <c r="L265" s="15">
        <f>IF(OR(L264="",H264=""),"",IF(H264&lt;=0,"",IFERROR(L264/H264-1,"")))</f>
        <v/>
      </c>
      <c r="M265" s="15">
        <f>IF(OR(M264="",I264=""),"",IF(I264&lt;=0,"",IFERROR(M264/I264-1,"")))</f>
        <v/>
      </c>
      <c r="V265" s="15">
        <f>IF(OR(V264="",U264=""),"",IF(U264&lt;=0,"",IFERROR(V264/U264-1,"")))</f>
        <v/>
      </c>
      <c r="W265" s="15">
        <f>IF(OR(W264="",V264=""),"",IF(V264&lt;=0,"",IFERROR(W264/V264-1,"")))</f>
        <v/>
      </c>
      <c r="X265" s="15">
        <f>IF(OR(X264="",W264=""),"",IF(W264&lt;=0,"",IFERROR(X264/W264-1,"")))</f>
        <v/>
      </c>
    </row>
    <row r="266">
      <c r="A266" s="18" t="inlineStr">
        <is>
          <t>부문 · 부문 이익(손실)</t>
        </is>
      </c>
      <c r="D266" s="20" t="n">
        <v>9.239000000000001</v>
      </c>
      <c r="E266" s="20" t="n">
        <v>23.676</v>
      </c>
      <c r="H266" s="20" t="n">
        <v>37.719</v>
      </c>
      <c r="I266" s="20" t="n">
        <v>42.323</v>
      </c>
      <c r="L266" s="20" t="n">
        <v>9.327</v>
      </c>
      <c r="M266" s="20" t="n">
        <v>39.244</v>
      </c>
      <c r="V266" s="20" t="n">
        <v>9.239000000000001</v>
      </c>
      <c r="W266" s="20" t="n">
        <v>37.719</v>
      </c>
      <c r="X266" s="20" t="n">
        <v>9.327</v>
      </c>
    </row>
    <row r="267">
      <c r="A267" s="43" t="inlineStr">
        <is>
          <t>OPM</t>
        </is>
      </c>
      <c r="B267" s="3" t="inlineStr">
        <is>
          <t>영업이익 ÷ 매출</t>
        </is>
      </c>
      <c r="D267" s="15">
        <f>IF(OR(D266="",D251=""),"",IF(D251&lt;=0,"",IFERROR(D266/D251,"")))</f>
        <v/>
      </c>
      <c r="E267" s="15">
        <f>IF(OR(E266="",E251=""),"",IF(E251&lt;=0,"",IFERROR(E266/E251,"")))</f>
        <v/>
      </c>
      <c r="H267" s="15">
        <f>IF(OR(H266="",H251=""),"",IF(H251&lt;=0,"",IFERROR(H266/H251,"")))</f>
        <v/>
      </c>
      <c r="I267" s="15">
        <f>IF(OR(I266="",I251=""),"",IF(I251&lt;=0,"",IFERROR(I266/I251,"")))</f>
        <v/>
      </c>
      <c r="L267" s="15">
        <f>IF(OR(L266="",L251=""),"",IF(L251&lt;=0,"",IFERROR(L266/L251,"")))</f>
        <v/>
      </c>
      <c r="M267" s="15">
        <f>IF(OR(M266="",M251=""),"",IF(M251&lt;=0,"",IFERROR(M266/M251,"")))</f>
        <v/>
      </c>
      <c r="V267" s="15">
        <f>IF(OR(V266="",V251=""),"",IF(V251&lt;=0,"",IFERROR(V266/V251,"")))</f>
        <v/>
      </c>
      <c r="W267" s="15">
        <f>IF(OR(W266="",W251=""),"",IF(W251&lt;=0,"",IFERROR(W266/W251,"")))</f>
        <v/>
      </c>
      <c r="X267" s="15">
        <f>IF(OR(X266="",X251=""),"",IF(X251&lt;=0,"",IFERROR(X266/X251,"")))</f>
        <v/>
      </c>
    </row>
    <row r="268">
      <c r="A268" s="43" t="inlineStr">
        <is>
          <t>YoY</t>
        </is>
      </c>
      <c r="B268" s="3" t="inlineStr">
        <is>
          <t>전년 같은 분기·전년 대비</t>
        </is>
      </c>
      <c r="H268" s="15">
        <f>IF(OR(H266="",D266=""),"",IF(D266&lt;=0,"",IFERROR(H266/D266-1,"")))</f>
        <v/>
      </c>
      <c r="I268" s="15">
        <f>IF(OR(I266="",E266=""),"",IF(E266&lt;=0,"",IFERROR(I266/E266-1,"")))</f>
        <v/>
      </c>
      <c r="L268" s="15">
        <f>IF(OR(L266="",H266=""),"",IF(H266&lt;=0,"",IFERROR(L266/H266-1,"")))</f>
        <v/>
      </c>
      <c r="M268" s="15">
        <f>IF(OR(M266="",I266=""),"",IF(I266&lt;=0,"",IFERROR(M266/I266-1,"")))</f>
        <v/>
      </c>
      <c r="V268" s="15">
        <f>IF(OR(V266="",U266=""),"",IF(U266&lt;=0,"",IFERROR(V266/U266-1,"")))</f>
        <v/>
      </c>
      <c r="W268" s="15">
        <f>IF(OR(W266="",V266=""),"",IF(V266&lt;=0,"",IFERROR(W266/V266-1,"")))</f>
        <v/>
      </c>
      <c r="X268" s="15">
        <f>IF(OR(X266="",W266=""),"",IF(W266&lt;=0,"",IFERROR(X266/W266-1,"")))</f>
        <v/>
      </c>
    </row>
    <row r="269">
      <c r="A269" s="18" t="inlineStr">
        <is>
          <t>부문 · 부문 이익(손실)</t>
        </is>
      </c>
      <c r="D269" s="20" t="n">
        <v>101.564</v>
      </c>
      <c r="E269" s="20" t="n">
        <v>100.404</v>
      </c>
      <c r="H269" s="20" t="n">
        <v>104.985</v>
      </c>
      <c r="I269" s="20" t="n">
        <v>110.368</v>
      </c>
      <c r="L269" s="20" t="n">
        <v>114.29</v>
      </c>
      <c r="M269" s="20" t="n">
        <v>126.166</v>
      </c>
      <c r="V269" s="20" t="n">
        <v>101.564</v>
      </c>
      <c r="W269" s="20" t="n">
        <v>104.985</v>
      </c>
      <c r="X269" s="20" t="n">
        <v>114.29</v>
      </c>
    </row>
    <row r="270">
      <c r="A270" s="43" t="inlineStr">
        <is>
          <t>OPM</t>
        </is>
      </c>
      <c r="B270" s="3" t="inlineStr">
        <is>
          <t>영업이익 ÷ 매출</t>
        </is>
      </c>
      <c r="D270" s="15">
        <f>IF(OR(D269="",D253=""),"",IF(D253&lt;=0,"",IFERROR(D269/D253,"")))</f>
        <v/>
      </c>
      <c r="E270" s="15">
        <f>IF(OR(E269="",E253=""),"",IF(E253&lt;=0,"",IFERROR(E269/E253,"")))</f>
        <v/>
      </c>
      <c r="H270" s="15">
        <f>IF(OR(H269="",H253=""),"",IF(H253&lt;=0,"",IFERROR(H269/H253,"")))</f>
        <v/>
      </c>
      <c r="I270" s="15">
        <f>IF(OR(I269="",I253=""),"",IF(I253&lt;=0,"",IFERROR(I269/I253,"")))</f>
        <v/>
      </c>
      <c r="L270" s="15">
        <f>IF(OR(L269="",L253=""),"",IF(L253&lt;=0,"",IFERROR(L269/L253,"")))</f>
        <v/>
      </c>
      <c r="M270" s="15">
        <f>IF(OR(M269="",M253=""),"",IF(M253&lt;=0,"",IFERROR(M269/M253,"")))</f>
        <v/>
      </c>
      <c r="V270" s="15">
        <f>IF(OR(V269="",V253=""),"",IF(V253&lt;=0,"",IFERROR(V269/V253,"")))</f>
        <v/>
      </c>
      <c r="W270" s="15">
        <f>IF(OR(W269="",W253=""),"",IF(W253&lt;=0,"",IFERROR(W269/W253,"")))</f>
        <v/>
      </c>
      <c r="X270" s="15">
        <f>IF(OR(X269="",X253=""),"",IF(X253&lt;=0,"",IFERROR(X269/X253,"")))</f>
        <v/>
      </c>
    </row>
    <row r="271">
      <c r="A271" s="43" t="inlineStr">
        <is>
          <t>YoY</t>
        </is>
      </c>
      <c r="B271" s="3" t="inlineStr">
        <is>
          <t>전년 같은 분기·전년 대비</t>
        </is>
      </c>
      <c r="H271" s="15">
        <f>IF(OR(H269="",D269=""),"",IF(D269&lt;=0,"",IFERROR(H269/D269-1,"")))</f>
        <v/>
      </c>
      <c r="I271" s="15">
        <f>IF(OR(I269="",E269=""),"",IF(E269&lt;=0,"",IFERROR(I269/E269-1,"")))</f>
        <v/>
      </c>
      <c r="L271" s="15">
        <f>IF(OR(L269="",H269=""),"",IF(H269&lt;=0,"",IFERROR(L269/H269-1,"")))</f>
        <v/>
      </c>
      <c r="M271" s="15">
        <f>IF(OR(M269="",I269=""),"",IF(I269&lt;=0,"",IFERROR(M269/I269-1,"")))</f>
        <v/>
      </c>
      <c r="V271" s="15">
        <f>IF(OR(V269="",U269=""),"",IF(U269&lt;=0,"",IFERROR(V269/U269-1,"")))</f>
        <v/>
      </c>
      <c r="W271" s="15">
        <f>IF(OR(W269="",V269=""),"",IF(V269&lt;=0,"",IFERROR(W269/V269-1,"")))</f>
        <v/>
      </c>
      <c r="X271" s="15">
        <f>IF(OR(X269="",W269=""),"",IF(W269&lt;=0,"",IFERROR(X269/W269-1,"")))</f>
        <v/>
      </c>
    </row>
    <row r="272">
      <c r="A272" s="18" t="inlineStr">
        <is>
          <t xml:space="preserve">  · 부문 이익(손실)</t>
        </is>
      </c>
      <c r="E272" s="20" t="n">
        <v>-20.188</v>
      </c>
      <c r="H272" s="20" t="n">
        <v>5.726</v>
      </c>
      <c r="I272" s="20" t="n">
        <v>100.693</v>
      </c>
      <c r="L272" s="20" t="n">
        <v>-8.236000000000001</v>
      </c>
      <c r="M272" s="20" t="n">
        <v>38.549</v>
      </c>
      <c r="W272" s="20" t="n">
        <v>5.726</v>
      </c>
      <c r="X272" s="20" t="n">
        <v>-8.236000000000001</v>
      </c>
    </row>
    <row r="273">
      <c r="A273" s="43" t="inlineStr">
        <is>
          <t>OPM</t>
        </is>
      </c>
      <c r="B273" s="3" t="inlineStr">
        <is>
          <t>영업이익 ÷ 매출</t>
        </is>
      </c>
      <c r="E273" s="15">
        <f>IF(OR(E272="",E255=""),"",IF(E255&lt;=0,"",IFERROR(E272/E255,"")))</f>
        <v/>
      </c>
      <c r="H273" s="15">
        <f>IF(OR(H272="",H255=""),"",IF(H255&lt;=0,"",IFERROR(H272/H255,"")))</f>
        <v/>
      </c>
      <c r="I273" s="15">
        <f>IF(OR(I272="",I255=""),"",IF(I255&lt;=0,"",IFERROR(I272/I255,"")))</f>
        <v/>
      </c>
      <c r="L273" s="15">
        <f>IF(OR(L272="",L255=""),"",IF(L255&lt;=0,"",IFERROR(L272/L255,"")))</f>
        <v/>
      </c>
      <c r="M273" s="15">
        <f>IF(OR(M272="",M255=""),"",IF(M255&lt;=0,"",IFERROR(M272/M255,"")))</f>
        <v/>
      </c>
      <c r="W273" s="15">
        <f>IF(OR(W272="",W255=""),"",IF(W255&lt;=0,"",IFERROR(W272/W255,"")))</f>
        <v/>
      </c>
      <c r="X273" s="15">
        <f>IF(OR(X272="",X255=""),"",IF(X255&lt;=0,"",IFERROR(X272/X255,"")))</f>
        <v/>
      </c>
    </row>
    <row r="274">
      <c r="A274" s="43" t="inlineStr">
        <is>
          <t>YoY</t>
        </is>
      </c>
      <c r="B274" s="3" t="inlineStr">
        <is>
          <t>전년 같은 분기·전년 대비</t>
        </is>
      </c>
      <c r="H274" s="15">
        <f>IF(OR(H272="",D272=""),"",IF(D272&lt;=0,"",IFERROR(H272/D272-1,"")))</f>
        <v/>
      </c>
      <c r="I274" s="15">
        <f>IF(OR(I272="",E272=""),"",IF(E272&lt;=0,"",IFERROR(I272/E272-1,"")))</f>
        <v/>
      </c>
      <c r="L274" s="15">
        <f>IF(OR(L272="",H272=""),"",IF(H272&lt;=0,"",IFERROR(L272/H272-1,"")))</f>
        <v/>
      </c>
      <c r="M274" s="15">
        <f>IF(OR(M272="",I272=""),"",IF(I272&lt;=0,"",IFERROR(M272/I272-1,"")))</f>
        <v/>
      </c>
      <c r="W274" s="15">
        <f>IF(OR(W272="",V272=""),"",IF(V272&lt;=0,"",IFERROR(W272/V272-1,"")))</f>
        <v/>
      </c>
      <c r="X274" s="15">
        <f>IF(OR(X272="",W272=""),"",IF(W272&lt;=0,"",IFERROR(X272/W272-1,"")))</f>
        <v/>
      </c>
    </row>
    <row r="275">
      <c r="A275" s="18" t="inlineStr">
        <is>
          <t>보고부문 합계 · 부문 이익(손실)</t>
        </is>
      </c>
      <c r="D275" s="20" t="n">
        <v>124.855</v>
      </c>
      <c r="E275" s="20" t="n">
        <v>242.929</v>
      </c>
      <c r="H275" s="20" t="n">
        <v>392.162</v>
      </c>
      <c r="I275" s="20" t="n">
        <v>522.524</v>
      </c>
      <c r="L275" s="20" t="n">
        <v>517.226</v>
      </c>
      <c r="M275" s="20" t="n">
        <v>650.6130000000001</v>
      </c>
      <c r="V275" s="20" t="n">
        <v>124.855</v>
      </c>
      <c r="W275" s="20" t="n">
        <v>392.162</v>
      </c>
      <c r="X275" s="20" t="n">
        <v>517.226</v>
      </c>
    </row>
    <row r="276">
      <c r="A276" s="43" t="inlineStr">
        <is>
          <t>OPM</t>
        </is>
      </c>
      <c r="B276" s="3" t="inlineStr">
        <is>
          <t>영업이익 ÷ 매출</t>
        </is>
      </c>
      <c r="D276" s="15">
        <f>IF(OR(D275="",D257=""),"",IF(D257&lt;=0,"",IFERROR(D275/D257,"")))</f>
        <v/>
      </c>
      <c r="E276" s="15">
        <f>IF(OR(E275="",E257=""),"",IF(E257&lt;=0,"",IFERROR(E275/E257,"")))</f>
        <v/>
      </c>
      <c r="H276" s="15">
        <f>IF(OR(H275="",H257=""),"",IF(H257&lt;=0,"",IFERROR(H275/H257,"")))</f>
        <v/>
      </c>
      <c r="I276" s="15">
        <f>IF(OR(I275="",I257=""),"",IF(I257&lt;=0,"",IFERROR(I275/I257,"")))</f>
        <v/>
      </c>
      <c r="L276" s="15">
        <f>IF(OR(L275="",L257=""),"",IF(L257&lt;=0,"",IFERROR(L275/L257,"")))</f>
        <v/>
      </c>
      <c r="M276" s="15">
        <f>IF(OR(M275="",M257=""),"",IF(M257&lt;=0,"",IFERROR(M275/M257,"")))</f>
        <v/>
      </c>
      <c r="V276" s="15">
        <f>IF(OR(V275="",V257=""),"",IF(V257&lt;=0,"",IFERROR(V275/V257,"")))</f>
        <v/>
      </c>
      <c r="W276" s="15">
        <f>IF(OR(W275="",W257=""),"",IF(W257&lt;=0,"",IFERROR(W275/W257,"")))</f>
        <v/>
      </c>
      <c r="X276" s="15">
        <f>IF(OR(X275="",X257=""),"",IF(X257&lt;=0,"",IFERROR(X275/X257,"")))</f>
        <v/>
      </c>
    </row>
    <row r="277">
      <c r="A277" s="43" t="inlineStr">
        <is>
          <t>YoY</t>
        </is>
      </c>
      <c r="B277" s="3" t="inlineStr">
        <is>
          <t>전년 같은 분기·전년 대비</t>
        </is>
      </c>
      <c r="H277" s="15">
        <f>IF(OR(H275="",D275=""),"",IF(D275&lt;=0,"",IFERROR(H275/D275-1,"")))</f>
        <v/>
      </c>
      <c r="I277" s="15">
        <f>IF(OR(I275="",E275=""),"",IF(E275&lt;=0,"",IFERROR(I275/E275-1,"")))</f>
        <v/>
      </c>
      <c r="L277" s="15">
        <f>IF(OR(L275="",H275=""),"",IF(H275&lt;=0,"",IFERROR(L275/H275-1,"")))</f>
        <v/>
      </c>
      <c r="M277" s="15">
        <f>IF(OR(M275="",I275=""),"",IF(I275&lt;=0,"",IFERROR(M275/I275-1,"")))</f>
        <v/>
      </c>
      <c r="V277" s="15">
        <f>IF(OR(V275="",U275=""),"",IF(U275&lt;=0,"",IFERROR(V275/U275-1,"")))</f>
        <v/>
      </c>
      <c r="W277" s="15">
        <f>IF(OR(W275="",V275=""),"",IF(V275&lt;=0,"",IFERROR(W275/V275-1,"")))</f>
        <v/>
      </c>
      <c r="X277" s="15">
        <f>IF(OR(X275="",W275=""),"",IF(W275&lt;=0,"",IFERROR(X275/W275-1,"")))</f>
        <v/>
      </c>
    </row>
    <row r="278">
      <c r="A278" s="18" t="inlineStr">
        <is>
          <t>기타 · 부문 이익(손실)</t>
        </is>
      </c>
      <c r="D278" s="20" t="n">
        <v>-89.785</v>
      </c>
      <c r="E278" s="20" t="n">
        <v>-1.902</v>
      </c>
      <c r="H278" s="20" t="n">
        <v>14.818</v>
      </c>
      <c r="V278" s="20" t="n">
        <v>-89.785</v>
      </c>
      <c r="W278" s="20" t="n">
        <v>14.818</v>
      </c>
    </row>
    <row r="279">
      <c r="A279" s="43" t="inlineStr">
        <is>
          <t>OPM</t>
        </is>
      </c>
      <c r="B279" s="3" t="inlineStr">
        <is>
          <t>영업이익 ÷ 매출</t>
        </is>
      </c>
      <c r="D279" s="15">
        <f>IF(OR(D278="",D259=""),"",IF(D259&lt;=0,"",IFERROR(D278/D259,"")))</f>
        <v/>
      </c>
      <c r="E279" s="15">
        <f>IF(OR(E278="",E259=""),"",IF(E259&lt;=0,"",IFERROR(E278/E259,"")))</f>
        <v/>
      </c>
      <c r="H279" s="15">
        <f>IF(OR(H278="",H259=""),"",IF(H259&lt;=0,"",IFERROR(H278/H259,"")))</f>
        <v/>
      </c>
      <c r="V279" s="15">
        <f>IF(OR(V278="",V259=""),"",IF(V259&lt;=0,"",IFERROR(V278/V259,"")))</f>
        <v/>
      </c>
      <c r="W279" s="15">
        <f>IF(OR(W278="",W259=""),"",IF(W259&lt;=0,"",IFERROR(W278/W259,"")))</f>
        <v/>
      </c>
    </row>
    <row r="280">
      <c r="A280" s="43" t="inlineStr">
        <is>
          <t>YoY</t>
        </is>
      </c>
      <c r="B280" s="3" t="inlineStr">
        <is>
          <t>전년 같은 분기·전년 대비</t>
        </is>
      </c>
      <c r="H280" s="15">
        <f>IF(OR(H278="",D278=""),"",IF(D278&lt;=0,"",IFERROR(H278/D278-1,"")))</f>
        <v/>
      </c>
      <c r="V280" s="15">
        <f>IF(OR(V278="",U278=""),"",IF(U278&lt;=0,"",IFERROR(V278/U278-1,"")))</f>
        <v/>
      </c>
      <c r="W280" s="15">
        <f>IF(OR(W278="",V278=""),"",IF(V278&lt;=0,"",IFERROR(W278/V278-1,"")))</f>
        <v/>
      </c>
    </row>
    <row r="281">
      <c r="A281" s="18" t="inlineStr">
        <is>
          <t>합계 · 부문 이익(손실)</t>
        </is>
      </c>
      <c r="D281" s="20" t="n">
        <v>35.069</v>
      </c>
      <c r="E281" s="20" t="n">
        <v>272.39</v>
      </c>
      <c r="H281" s="20" t="n">
        <v>520.605</v>
      </c>
      <c r="V281" s="20" t="n">
        <v>35.069</v>
      </c>
      <c r="W281" s="20" t="n">
        <v>520.605</v>
      </c>
    </row>
    <row r="282">
      <c r="A282" s="43" t="inlineStr">
        <is>
          <t>OPM</t>
        </is>
      </c>
      <c r="B282" s="3" t="inlineStr">
        <is>
          <t>영업이익 ÷ 매출</t>
        </is>
      </c>
      <c r="D282" s="15">
        <f>IF(OR(D281="",D261=""),"",IF(D261&lt;=0,"",IFERROR(D281/D261,"")))</f>
        <v/>
      </c>
      <c r="E282" s="15">
        <f>IF(OR(E281="",E261=""),"",IF(E261&lt;=0,"",IFERROR(E281/E261,"")))</f>
        <v/>
      </c>
      <c r="H282" s="15">
        <f>IF(OR(H281="",H261=""),"",IF(H261&lt;=0,"",IFERROR(H281/H261,"")))</f>
        <v/>
      </c>
      <c r="V282" s="15">
        <f>IF(OR(V281="",V261=""),"",IF(V261&lt;=0,"",IFERROR(V281/V261,"")))</f>
        <v/>
      </c>
      <c r="W282" s="15">
        <f>IF(OR(W281="",W261=""),"",IF(W261&lt;=0,"",IFERROR(W281/W261,"")))</f>
        <v/>
      </c>
    </row>
    <row r="283">
      <c r="A283" s="43" t="inlineStr">
        <is>
          <t>YoY</t>
        </is>
      </c>
      <c r="B283" s="3" t="inlineStr">
        <is>
          <t>전년 같은 분기·전년 대비</t>
        </is>
      </c>
      <c r="H283" s="15">
        <f>IF(OR(H281="",D281=""),"",IF(D281&lt;=0,"",IFERROR(H281/D281-1,"")))</f>
        <v/>
      </c>
      <c r="V283" s="15">
        <f>IF(OR(V281="",U281=""),"",IF(U281&lt;=0,"",IFERROR(V281/U281-1,"")))</f>
        <v/>
      </c>
      <c r="W283" s="15">
        <f>IF(OR(W281="",V281=""),"",IF(V281&lt;=0,"",IFERROR(W281/V281-1,"")))</f>
        <v/>
      </c>
    </row>
    <row r="284">
      <c r="A284" s="18" t="inlineStr">
        <is>
          <t>조정액 · 부문 이익(손실)</t>
        </is>
      </c>
      <c r="D284" s="20" t="n">
        <v>-288.059</v>
      </c>
      <c r="E284" s="20" t="n">
        <v>-279.031</v>
      </c>
      <c r="H284" s="20" t="n">
        <v>-369.66</v>
      </c>
      <c r="I284" s="20" t="n">
        <v>-395.105</v>
      </c>
      <c r="L284" s="20" t="n">
        <v>-312.801</v>
      </c>
      <c r="M284" s="20" t="n">
        <v>-267.975</v>
      </c>
      <c r="V284" s="20" t="n">
        <v>-288.059</v>
      </c>
      <c r="W284" s="20" t="n">
        <v>-369.66</v>
      </c>
      <c r="X284" s="20" t="n">
        <v>-312.801</v>
      </c>
    </row>
    <row r="285">
      <c r="A285" s="9" t="inlineStr">
        <is>
          <t>부문 이익(손실)</t>
        </is>
      </c>
      <c r="D285" s="12" t="n">
        <v>-252.99</v>
      </c>
      <c r="E285" s="12" t="n">
        <v>-36.101</v>
      </c>
      <c r="H285" s="12" t="n">
        <v>22.503</v>
      </c>
      <c r="I285" s="12" t="n">
        <v>127.418</v>
      </c>
      <c r="L285" s="12" t="n">
        <v>204.425</v>
      </c>
      <c r="M285" s="12" t="n">
        <v>382.637</v>
      </c>
      <c r="V285" s="12" t="n">
        <v>-252.99</v>
      </c>
      <c r="W285" s="12" t="n">
        <v>22.503</v>
      </c>
      <c r="X285" s="12" t="n">
        <v>204.425</v>
      </c>
    </row>
    <row r="286">
      <c r="A286" s="43" t="inlineStr">
        <is>
          <t>OPM</t>
        </is>
      </c>
      <c r="B286" s="3" t="inlineStr">
        <is>
          <t>영업이익 ÷ 매출</t>
        </is>
      </c>
      <c r="D286" s="15">
        <f>IF(OR(D285="",D241=""),"",IF(D241&lt;=0,"",IFERROR(D285/D241,"")))</f>
        <v/>
      </c>
      <c r="E286" s="15">
        <f>IF(OR(E285="",E241=""),"",IF(E241&lt;=0,"",IFERROR(E285/E241,"")))</f>
        <v/>
      </c>
      <c r="H286" s="15">
        <f>IF(OR(H285="",H241=""),"",IF(H241&lt;=0,"",IFERROR(H285/H241,"")))</f>
        <v/>
      </c>
      <c r="I286" s="15">
        <f>IF(OR(I285="",I241=""),"",IF(I241&lt;=0,"",IFERROR(I285/I241,"")))</f>
        <v/>
      </c>
      <c r="L286" s="15">
        <f>IF(OR(L285="",L241=""),"",IF(L241&lt;=0,"",IFERROR(L285/L241,"")))</f>
        <v/>
      </c>
      <c r="M286" s="15">
        <f>IF(OR(M285="",M241=""),"",IF(M241&lt;=0,"",IFERROR(M285/M241,"")))</f>
        <v/>
      </c>
      <c r="V286" s="15">
        <f>IF(OR(V285="",V241=""),"",IF(V241&lt;=0,"",IFERROR(V285/V241,"")))</f>
        <v/>
      </c>
      <c r="W286" s="15">
        <f>IF(OR(W285="",W241=""),"",IF(W241&lt;=0,"",IFERROR(W285/W241,"")))</f>
        <v/>
      </c>
      <c r="X286" s="15">
        <f>IF(OR(X285="",X241=""),"",IF(X241&lt;=0,"",IFERROR(X285/X241,"")))</f>
        <v/>
      </c>
    </row>
    <row r="287">
      <c r="A287" s="43" t="inlineStr">
        <is>
          <t>YoY</t>
        </is>
      </c>
      <c r="B287" s="3" t="inlineStr">
        <is>
          <t>전년 같은 분기·전년 대비</t>
        </is>
      </c>
      <c r="H287" s="15">
        <f>IF(OR(H285="",D285=""),"",IF(D285&lt;=0,"",IFERROR(H285/D285-1,"")))</f>
        <v/>
      </c>
      <c r="I287" s="15">
        <f>IF(OR(I285="",E285=""),"",IF(E285&lt;=0,"",IFERROR(I285/E285-1,"")))</f>
        <v/>
      </c>
      <c r="L287" s="15">
        <f>IF(OR(L285="",H285=""),"",IF(H285&lt;=0,"",IFERROR(L285/H285-1,"")))</f>
        <v/>
      </c>
      <c r="M287" s="15">
        <f>IF(OR(M285="",I285=""),"",IF(I285&lt;=0,"",IFERROR(M285/I285-1,"")))</f>
        <v/>
      </c>
      <c r="V287" s="15">
        <f>IF(OR(V285="",U285=""),"",IF(U285&lt;=0,"",IFERROR(V285/U285-1,"")))</f>
        <v/>
      </c>
      <c r="W287" s="15">
        <f>IF(OR(W285="",V285=""),"",IF(V285&lt;=0,"",IFERROR(W285/V285-1,"")))</f>
        <v/>
      </c>
      <c r="X287" s="15">
        <f>IF(OR(X285="",W285=""),"",IF(W285&lt;=0,"",IFERROR(X285/W285-1,"")))</f>
        <v/>
      </c>
    </row>
    <row r="288">
      <c r="A288" s="18" t="inlineStr">
        <is>
          <t>부문 · 외부 고객 매출</t>
        </is>
      </c>
      <c r="D288" s="20" t="n">
        <v>3736.972</v>
      </c>
      <c r="H288" s="20" t="n">
        <v>4010.788</v>
      </c>
      <c r="L288" s="20" t="n">
        <v>4330.354</v>
      </c>
      <c r="V288" s="20" t="n">
        <v>3736.972</v>
      </c>
      <c r="W288" s="20" t="n">
        <v>4010.788</v>
      </c>
      <c r="X288" s="20" t="n">
        <v>4330.354</v>
      </c>
    </row>
    <row r="289">
      <c r="A289" s="43" t="inlineStr">
        <is>
          <t>YoY</t>
        </is>
      </c>
      <c r="B289" s="3" t="inlineStr">
        <is>
          <t>전년 같은 분기·전년 대비</t>
        </is>
      </c>
      <c r="H289" s="15">
        <f>IF(OR(H288="",D288=""),"",IF(D288&lt;=0,"",IFERROR(H288/D288-1,"")))</f>
        <v/>
      </c>
      <c r="L289" s="15">
        <f>IF(OR(L288="",H288=""),"",IF(H288&lt;=0,"",IFERROR(L288/H288-1,"")))</f>
        <v/>
      </c>
      <c r="V289" s="15">
        <f>IF(OR(V288="",U288=""),"",IF(U288&lt;=0,"",IFERROR(V288/U288-1,"")))</f>
        <v/>
      </c>
      <c r="W289" s="15">
        <f>IF(OR(W288="",V288=""),"",IF(V288&lt;=0,"",IFERROR(W288/V288-1,"")))</f>
        <v/>
      </c>
      <c r="X289" s="15">
        <f>IF(OR(X288="",W288=""),"",IF(W288&lt;=0,"",IFERROR(X288/W288-1,"")))</f>
        <v/>
      </c>
    </row>
    <row r="291">
      <c r="A291" s="16" t="inlineStr">
        <is>
          <t>현금흐름표 · 전 항목</t>
        </is>
      </c>
      <c r="B291" s="42" t="inlineStr">
        <is>
          <t>분기 = 결산기 첫날부터 누계(공시 그대로)</t>
        </is>
      </c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</row>
    <row r="292">
      <c r="A292" s="5" t="inlineStr">
        <is>
          <t>항목</t>
        </is>
      </c>
      <c r="B292" s="5" t="inlineStr">
        <is>
          <t>참고</t>
        </is>
      </c>
      <c r="C292" s="5" t="inlineStr">
        <is>
          <t>2024.3Q</t>
        </is>
      </c>
      <c r="D292" s="5" t="inlineStr">
        <is>
          <t>2024.4Q</t>
        </is>
      </c>
      <c r="E292" s="5" t="inlineStr">
        <is>
          <t>2025.1Q</t>
        </is>
      </c>
      <c r="F292" s="5" t="inlineStr">
        <is>
          <t>2025.2Q</t>
        </is>
      </c>
      <c r="G292" s="5" t="inlineStr">
        <is>
          <t>2025.3Q</t>
        </is>
      </c>
      <c r="H292" s="5" t="inlineStr">
        <is>
          <t>2025.4Q</t>
        </is>
      </c>
      <c r="I292" s="5" t="inlineStr">
        <is>
          <t>2026.1Q</t>
        </is>
      </c>
      <c r="J292" s="5" t="inlineStr">
        <is>
          <t>2026.2Q</t>
        </is>
      </c>
      <c r="K292" s="5" t="inlineStr">
        <is>
          <t>2026.3Q</t>
        </is>
      </c>
      <c r="L292" s="5" t="inlineStr">
        <is>
          <t>2026.4Q</t>
        </is>
      </c>
      <c r="M292" s="5" t="inlineStr">
        <is>
          <t>2027.1Q</t>
        </is>
      </c>
      <c r="N292" s="5" t="inlineStr">
        <is>
          <t>2027.2Q</t>
        </is>
      </c>
      <c r="O292" s="5" t="inlineStr">
        <is>
          <t>2017</t>
        </is>
      </c>
      <c r="P292" s="5" t="inlineStr">
        <is>
          <t>2018</t>
        </is>
      </c>
      <c r="Q292" s="5" t="inlineStr">
        <is>
          <t>2019</t>
        </is>
      </c>
      <c r="R292" s="5" t="inlineStr">
        <is>
          <t>2020</t>
        </is>
      </c>
      <c r="S292" s="5" t="inlineStr">
        <is>
          <t>2021</t>
        </is>
      </c>
      <c r="T292" s="5" t="inlineStr">
        <is>
          <t>2022</t>
        </is>
      </c>
      <c r="U292" s="5" t="inlineStr">
        <is>
          <t>2023</t>
        </is>
      </c>
      <c r="V292" s="5" t="inlineStr">
        <is>
          <t>2024</t>
        </is>
      </c>
      <c r="W292" s="5" t="inlineStr">
        <is>
          <t>2025</t>
        </is>
      </c>
      <c r="X292" s="5" t="inlineStr">
        <is>
          <t>2026</t>
        </is>
      </c>
      <c r="Y292" s="5" t="inlineStr">
        <is>
          <t>2027(MW)</t>
        </is>
      </c>
      <c r="Z292" s="5" t="inlineStr">
        <is>
          <t>2028(MW)</t>
        </is>
      </c>
      <c r="AA292" s="5" t="inlineStr">
        <is>
          <t>2029(MW)</t>
        </is>
      </c>
      <c r="AB292" s="5" t="inlineStr">
        <is>
          <t>2030(MW)</t>
        </is>
      </c>
      <c r="AC292" s="5" t="inlineStr">
        <is>
          <t>2031(MW)</t>
        </is>
      </c>
    </row>
    <row r="293">
      <c r="A293" s="9" t="inlineStr">
        <is>
          <t>법인세차감전 순이익</t>
        </is>
      </c>
      <c r="D293" s="12" t="n">
        <v>179.117</v>
      </c>
      <c r="F293" s="12" t="n">
        <v>192.837</v>
      </c>
      <c r="H293" s="12" t="n">
        <v>867.205</v>
      </c>
      <c r="J293" s="12" t="n">
        <v>530.375</v>
      </c>
      <c r="L293" s="12" t="n">
        <v>1025.115</v>
      </c>
      <c r="N293" s="12" t="n">
        <v>735.929</v>
      </c>
      <c r="O293" s="12" t="n">
        <v>1332.975</v>
      </c>
      <c r="P293" s="12" t="n">
        <v>814.006</v>
      </c>
      <c r="Q293" s="12" t="n">
        <v>830.3869999999999</v>
      </c>
      <c r="R293" s="12" t="n">
        <v>468.073</v>
      </c>
      <c r="S293" s="12" t="n">
        <v>1527.834</v>
      </c>
      <c r="T293" s="12" t="n">
        <v>934.484</v>
      </c>
      <c r="U293" s="12" t="n">
        <v>955.889</v>
      </c>
      <c r="V293" s="12" t="n">
        <v>179.117</v>
      </c>
      <c r="W293" s="12" t="n">
        <v>867.205</v>
      </c>
      <c r="X293" s="12" t="n">
        <v>1025.115</v>
      </c>
    </row>
    <row r="294">
      <c r="A294" s="18" t="inlineStr">
        <is>
          <t>감가상각비</t>
        </is>
      </c>
      <c r="D294" s="20" t="n">
        <v>361.848</v>
      </c>
      <c r="F294" s="20" t="n">
        <v>178.41</v>
      </c>
      <c r="H294" s="20" t="n">
        <v>383.248</v>
      </c>
      <c r="J294" s="20" t="n">
        <v>201.09</v>
      </c>
      <c r="L294" s="20" t="n">
        <v>422.785</v>
      </c>
      <c r="N294" s="20" t="n">
        <v>212.593</v>
      </c>
      <c r="O294" s="20" t="n">
        <v>219.4</v>
      </c>
      <c r="P294" s="20" t="n">
        <v>217.865</v>
      </c>
      <c r="Q294" s="20" t="n">
        <v>354.659</v>
      </c>
      <c r="R294" s="20" t="n">
        <v>317.325</v>
      </c>
      <c r="S294" s="20" t="n">
        <v>309.336</v>
      </c>
      <c r="T294" s="20" t="n">
        <v>309.515</v>
      </c>
      <c r="U294" s="20" t="n">
        <v>343.801</v>
      </c>
      <c r="V294" s="20" t="n">
        <v>361.848</v>
      </c>
      <c r="W294" s="20" t="n">
        <v>383.248</v>
      </c>
      <c r="X294" s="20" t="n">
        <v>422.785</v>
      </c>
    </row>
    <row r="295">
      <c r="A295" s="18" t="inlineStr">
        <is>
          <t>손상차손</t>
        </is>
      </c>
      <c r="D295" s="20" t="n">
        <v>7.181</v>
      </c>
      <c r="F295" s="20" t="n">
        <v>0</v>
      </c>
      <c r="H295" s="20" t="n">
        <v>0</v>
      </c>
      <c r="O295" s="20" t="n">
        <v>0</v>
      </c>
      <c r="P295" s="20" t="n">
        <v>80.009</v>
      </c>
      <c r="Q295" s="20" t="n">
        <v>185.895</v>
      </c>
      <c r="R295" s="20" t="n">
        <v>4.062</v>
      </c>
      <c r="S295" s="20" t="n">
        <v>48.734</v>
      </c>
      <c r="T295" s="20" t="n">
        <v>0</v>
      </c>
      <c r="U295" s="20" t="n">
        <v>1.491</v>
      </c>
      <c r="V295" s="20" t="n">
        <v>7.181</v>
      </c>
      <c r="W295" s="20" t="n">
        <v>0</v>
      </c>
    </row>
    <row r="296">
      <c r="A296" s="18" t="inlineStr">
        <is>
          <t>영업권 상각</t>
        </is>
      </c>
      <c r="D296" s="20" t="n">
        <v>70.52800000000001</v>
      </c>
      <c r="F296" s="20" t="n">
        <v>28.178</v>
      </c>
      <c r="H296" s="20" t="n">
        <v>56.356</v>
      </c>
      <c r="J296" s="20" t="n">
        <v>28.178</v>
      </c>
      <c r="L296" s="20" t="n">
        <v>46.963</v>
      </c>
      <c r="N296" s="20" t="n">
        <v>0</v>
      </c>
      <c r="O296" s="20" t="n">
        <v>41.755</v>
      </c>
      <c r="P296" s="20" t="n">
        <v>30.325</v>
      </c>
      <c r="Q296" s="20" t="n">
        <v>84.64400000000001</v>
      </c>
      <c r="R296" s="20" t="n">
        <v>75.251</v>
      </c>
      <c r="S296" s="20" t="n">
        <v>75.251</v>
      </c>
      <c r="T296" s="20" t="n">
        <v>75.251</v>
      </c>
      <c r="U296" s="20" t="n">
        <v>75.251</v>
      </c>
      <c r="V296" s="20" t="n">
        <v>70.52800000000001</v>
      </c>
      <c r="W296" s="20" t="n">
        <v>56.356</v>
      </c>
      <c r="X296" s="20" t="n">
        <v>46.963</v>
      </c>
    </row>
    <row r="297">
      <c r="A297" s="18" t="inlineStr">
        <is>
          <t>대손충당금 증감</t>
        </is>
      </c>
      <c r="O297" s="20" t="n">
        <v>26.38</v>
      </c>
      <c r="P297" s="20" t="n">
        <v>-23.821</v>
      </c>
      <c r="Q297" s="20" t="n">
        <v>46.408</v>
      </c>
      <c r="R297" s="20" t="n">
        <v>-24.872</v>
      </c>
      <c r="S297" s="20" t="n">
        <v>-34.545</v>
      </c>
      <c r="T297" s="20" t="n">
        <v>-13.75</v>
      </c>
      <c r="U297" s="20" t="n">
        <v>0</v>
      </c>
    </row>
    <row r="298">
      <c r="A298" s="18" t="inlineStr">
        <is>
          <t>상여충당금 증감</t>
        </is>
      </c>
      <c r="D298" s="20" t="n">
        <v>-3.205</v>
      </c>
      <c r="F298" s="20" t="n">
        <v>15.502</v>
      </c>
      <c r="H298" s="20" t="n">
        <v>2.302</v>
      </c>
      <c r="J298" s="20" t="n">
        <v>4.599</v>
      </c>
      <c r="L298" s="20" t="n">
        <v>-5.56</v>
      </c>
      <c r="N298" s="20" t="n">
        <v>18.239</v>
      </c>
      <c r="O298" s="20" t="n">
        <v>7.21</v>
      </c>
      <c r="P298" s="20" t="n">
        <v>1.063</v>
      </c>
      <c r="Q298" s="20" t="n">
        <v>4.129</v>
      </c>
      <c r="R298" s="20" t="n">
        <v>-9.763</v>
      </c>
      <c r="S298" s="20" t="n">
        <v>5.678</v>
      </c>
      <c r="T298" s="20" t="n">
        <v>3.233</v>
      </c>
      <c r="U298" s="20" t="n">
        <v>-6.39</v>
      </c>
      <c r="V298" s="20" t="n">
        <v>-3.205</v>
      </c>
      <c r="W298" s="20" t="n">
        <v>2.302</v>
      </c>
      <c r="X298" s="20" t="n">
        <v>-5.56</v>
      </c>
    </row>
    <row r="299">
      <c r="A299" s="18" t="inlineStr">
        <is>
          <t>임원 상여충당금 증감</t>
        </is>
      </c>
      <c r="D299" s="20" t="n">
        <v>-21.45</v>
      </c>
      <c r="F299" s="20" t="n">
        <v>-9.699999999999999</v>
      </c>
      <c r="H299" s="20" t="n">
        <v>11.7</v>
      </c>
      <c r="J299" s="20" t="n">
        <v>-21.4</v>
      </c>
      <c r="L299" s="20" t="n">
        <v>5</v>
      </c>
      <c r="N299" s="20" t="n">
        <v>-26.4</v>
      </c>
      <c r="O299" s="20" t="n">
        <v>-6.51</v>
      </c>
      <c r="P299" s="20" t="n">
        <v>-6.01</v>
      </c>
      <c r="Q299" s="20" t="n">
        <v>-7.32</v>
      </c>
      <c r="R299" s="20" t="n">
        <v>-8.16</v>
      </c>
      <c r="S299" s="20" t="n">
        <v>26.3</v>
      </c>
      <c r="T299" s="20" t="n">
        <v>1.95</v>
      </c>
      <c r="U299" s="20" t="n">
        <v>-4.3</v>
      </c>
      <c r="V299" s="20" t="n">
        <v>-21.45</v>
      </c>
      <c r="W299" s="20" t="n">
        <v>11.7</v>
      </c>
      <c r="X299" s="20" t="n">
        <v>5</v>
      </c>
    </row>
    <row r="300">
      <c r="A300" s="18" t="inlineStr">
        <is>
          <t>임원 주식급여 충당금 증감</t>
        </is>
      </c>
      <c r="D300" s="20" t="n">
        <v>1.707</v>
      </c>
      <c r="F300" s="20" t="n">
        <v>-1.587</v>
      </c>
      <c r="H300" s="20" t="n">
        <v>3.169</v>
      </c>
      <c r="J300" s="20" t="n">
        <v>8.566000000000001</v>
      </c>
      <c r="L300" s="20" t="n">
        <v>18.571</v>
      </c>
      <c r="N300" s="20" t="n">
        <v>10.893</v>
      </c>
      <c r="Q300" s="20" t="n">
        <v>0</v>
      </c>
      <c r="R300" s="20" t="n">
        <v>10.919</v>
      </c>
      <c r="S300" s="20" t="n">
        <v>20.007</v>
      </c>
      <c r="T300" s="20" t="n">
        <v>10.451</v>
      </c>
      <c r="U300" s="20" t="n">
        <v>13.803</v>
      </c>
      <c r="V300" s="20" t="n">
        <v>1.707</v>
      </c>
      <c r="W300" s="20" t="n">
        <v>3.169</v>
      </c>
      <c r="X300" s="20" t="n">
        <v>18.571</v>
      </c>
    </row>
    <row r="301">
      <c r="A301" s="18" t="inlineStr">
        <is>
          <t>임원 퇴직위로 충당금 증감</t>
        </is>
      </c>
      <c r="O301" s="20" t="n">
        <v>35.876</v>
      </c>
      <c r="P301" s="20" t="n">
        <v>4.354</v>
      </c>
      <c r="Q301" s="20" t="n">
        <v>-41.546</v>
      </c>
      <c r="R301" s="20" t="n">
        <v>-137.754</v>
      </c>
      <c r="S301" s="20" t="n">
        <v>0</v>
      </c>
    </row>
    <row r="302">
      <c r="A302" s="18" t="inlineStr">
        <is>
          <t>퇴직급여부채 증감</t>
        </is>
      </c>
      <c r="D302" s="20" t="n">
        <v>-3.093</v>
      </c>
      <c r="F302" s="20" t="n">
        <v>-10.395</v>
      </c>
      <c r="H302" s="20" t="n">
        <v>-14.008</v>
      </c>
      <c r="J302" s="20" t="n">
        <v>-3.299</v>
      </c>
      <c r="L302" s="20" t="n">
        <v>-0.916</v>
      </c>
      <c r="N302" s="20" t="n">
        <v>-6.084</v>
      </c>
      <c r="O302" s="20" t="n">
        <v>-63.258</v>
      </c>
      <c r="P302" s="20" t="n">
        <v>-60.62</v>
      </c>
      <c r="Q302" s="20" t="n">
        <v>0.534</v>
      </c>
      <c r="R302" s="20" t="n">
        <v>-0.307</v>
      </c>
      <c r="S302" s="20" t="n">
        <v>3.944</v>
      </c>
      <c r="T302" s="20" t="n">
        <v>-35.191</v>
      </c>
      <c r="U302" s="20" t="n">
        <v>3.323</v>
      </c>
      <c r="V302" s="20" t="n">
        <v>-3.093</v>
      </c>
      <c r="W302" s="20" t="n">
        <v>-14.008</v>
      </c>
      <c r="X302" s="20" t="n">
        <v>-0.916</v>
      </c>
    </row>
    <row r="303">
      <c r="A303" s="18" t="inlineStr">
        <is>
          <t>퇴직급여자산 증감</t>
        </is>
      </c>
      <c r="D303" s="20" t="n">
        <v>-13.358</v>
      </c>
      <c r="F303" s="20" t="n">
        <v>-13.174</v>
      </c>
      <c r="H303" s="20" t="n">
        <v>-26.942</v>
      </c>
      <c r="J303" s="20" t="n">
        <v>-13.929</v>
      </c>
      <c r="L303" s="20" t="n">
        <v>-28.109</v>
      </c>
      <c r="N303" s="20" t="n">
        <v>-12.369</v>
      </c>
      <c r="O303" s="20" t="n">
        <v>0</v>
      </c>
      <c r="P303" s="20" t="n">
        <v>-44.123</v>
      </c>
      <c r="Q303" s="20" t="n">
        <v>-45.396</v>
      </c>
      <c r="R303" s="20" t="n">
        <v>-34.481</v>
      </c>
      <c r="S303" s="20" t="n">
        <v>-31.016</v>
      </c>
      <c r="T303" s="20" t="n">
        <v>-23.623</v>
      </c>
      <c r="U303" s="20" t="n">
        <v>-17.05</v>
      </c>
      <c r="V303" s="20" t="n">
        <v>-13.358</v>
      </c>
      <c r="W303" s="20" t="n">
        <v>-26.942</v>
      </c>
      <c r="X303" s="20" t="n">
        <v>-28.109</v>
      </c>
    </row>
    <row r="304">
      <c r="A304" s="18" t="inlineStr">
        <is>
          <t>이자·배당금 수익</t>
        </is>
      </c>
      <c r="D304" s="20" t="n">
        <v>-86.593</v>
      </c>
      <c r="F304" s="20" t="n">
        <v>-41.903</v>
      </c>
      <c r="H304" s="20" t="n">
        <v>-79.29600000000001</v>
      </c>
      <c r="J304" s="20" t="n">
        <v>-45.288</v>
      </c>
      <c r="L304" s="20" t="n">
        <v>-96.584</v>
      </c>
      <c r="N304" s="20" t="n">
        <v>-40.623</v>
      </c>
      <c r="O304" s="20" t="n">
        <v>-54.224</v>
      </c>
      <c r="P304" s="20" t="n">
        <v>-61.833</v>
      </c>
      <c r="Q304" s="20" t="n">
        <v>-68.05</v>
      </c>
      <c r="R304" s="20" t="n">
        <v>-70.047</v>
      </c>
      <c r="S304" s="20" t="n">
        <v>-72.27200000000001</v>
      </c>
      <c r="T304" s="20" t="n">
        <v>-76.056</v>
      </c>
      <c r="U304" s="20" t="n">
        <v>-80.774</v>
      </c>
      <c r="V304" s="20" t="n">
        <v>-86.593</v>
      </c>
      <c r="W304" s="20" t="n">
        <v>-79.29600000000001</v>
      </c>
      <c r="X304" s="20" t="n">
        <v>-96.584</v>
      </c>
    </row>
    <row r="305">
      <c r="A305" s="18" t="inlineStr">
        <is>
          <t>이자비용</t>
        </is>
      </c>
      <c r="D305" s="20" t="n">
        <v>20.103</v>
      </c>
      <c r="F305" s="20" t="n">
        <v>12.042</v>
      </c>
      <c r="H305" s="20" t="n">
        <v>29.669</v>
      </c>
      <c r="J305" s="20" t="n">
        <v>13.616</v>
      </c>
      <c r="L305" s="20" t="n">
        <v>27.947</v>
      </c>
      <c r="N305" s="20" t="n">
        <v>18.671</v>
      </c>
      <c r="O305" s="20" t="n">
        <v>4.512</v>
      </c>
      <c r="P305" s="20" t="n">
        <v>4.43</v>
      </c>
      <c r="Q305" s="20" t="n">
        <v>17.306</v>
      </c>
      <c r="R305" s="20" t="n">
        <v>22.958</v>
      </c>
      <c r="S305" s="20" t="n">
        <v>24.973</v>
      </c>
      <c r="T305" s="20" t="n">
        <v>28.266</v>
      </c>
      <c r="U305" s="20" t="n">
        <v>22.471</v>
      </c>
      <c r="V305" s="20" t="n">
        <v>20.103</v>
      </c>
      <c r="W305" s="20" t="n">
        <v>29.669</v>
      </c>
      <c r="X305" s="20" t="n">
        <v>27.947</v>
      </c>
    </row>
    <row r="306">
      <c r="A306" s="18" t="inlineStr">
        <is>
          <t>보험금 수익</t>
        </is>
      </c>
      <c r="P306" s="20" t="n">
        <v>0</v>
      </c>
      <c r="Q306" s="20" t="n">
        <v>-48.592</v>
      </c>
      <c r="R306" s="20" t="n">
        <v>0</v>
      </c>
    </row>
    <row r="307">
      <c r="A307" s="18" t="inlineStr">
        <is>
          <t>재해 손실</t>
        </is>
      </c>
      <c r="P307" s="20" t="n">
        <v>0</v>
      </c>
      <c r="Q307" s="20" t="n">
        <v>51.324</v>
      </c>
      <c r="R307" s="20" t="n">
        <v>0</v>
      </c>
    </row>
    <row r="308">
      <c r="A308" s="18" t="inlineStr">
        <is>
          <t>투자유가증권 매각손익</t>
        </is>
      </c>
      <c r="D308" s="20" t="n">
        <v>-318.104</v>
      </c>
      <c r="F308" s="20" t="n">
        <v>-7.979</v>
      </c>
      <c r="H308" s="20" t="n">
        <v>-375.269</v>
      </c>
      <c r="J308" s="20" t="n">
        <v>-232.425</v>
      </c>
      <c r="L308" s="20" t="n">
        <v>-232.425</v>
      </c>
      <c r="N308" s="20" t="n">
        <v>0</v>
      </c>
      <c r="P308" s="20" t="n">
        <v>0</v>
      </c>
      <c r="Q308" s="20" t="n">
        <v>-176.7</v>
      </c>
      <c r="R308" s="20" t="n">
        <v>0</v>
      </c>
      <c r="S308" s="20" t="n">
        <v>-265.587</v>
      </c>
      <c r="T308" s="20" t="n">
        <v>0</v>
      </c>
      <c r="U308" s="20" t="n">
        <v>0</v>
      </c>
      <c r="V308" s="20" t="n">
        <v>-318.104</v>
      </c>
      <c r="W308" s="20" t="n">
        <v>-375.269</v>
      </c>
      <c r="X308" s="20" t="n">
        <v>-232.425</v>
      </c>
    </row>
    <row r="309">
      <c r="A309" s="18" t="inlineStr">
        <is>
          <t>유형자산 매각손익</t>
        </is>
      </c>
      <c r="D309" s="20" t="n">
        <v>0</v>
      </c>
      <c r="P309" s="20" t="n">
        <v>0</v>
      </c>
      <c r="Q309" s="20" t="n">
        <v>-1.342</v>
      </c>
      <c r="R309" s="20" t="n">
        <v>0</v>
      </c>
      <c r="S309" s="20" t="n">
        <v>-93.49299999999999</v>
      </c>
      <c r="T309" s="20" t="n">
        <v>-0.927</v>
      </c>
      <c r="U309" s="20" t="n">
        <v>-475.203</v>
      </c>
      <c r="V309" s="20" t="n">
        <v>0</v>
      </c>
    </row>
    <row r="310">
      <c r="A310" s="18" t="inlineStr">
        <is>
          <t>유형자산 제각손실</t>
        </is>
      </c>
      <c r="O310" s="20" t="n">
        <v>0.141</v>
      </c>
      <c r="P310" s="20" t="n">
        <v>6.83</v>
      </c>
      <c r="Q310" s="20" t="n">
        <v>0.223</v>
      </c>
      <c r="R310" s="20" t="n">
        <v>0.037</v>
      </c>
      <c r="S310" s="20" t="n">
        <v>56.042</v>
      </c>
      <c r="T310" s="20" t="n">
        <v>0</v>
      </c>
    </row>
    <row r="311">
      <c r="A311" s="18" t="inlineStr">
        <is>
          <t>투자유가증권 평가손익</t>
        </is>
      </c>
      <c r="F311" s="20" t="n">
        <v>0</v>
      </c>
      <c r="H311" s="20" t="n">
        <v>0</v>
      </c>
      <c r="J311" s="20" t="n">
        <v>50.292</v>
      </c>
      <c r="L311" s="20" t="n">
        <v>50.292</v>
      </c>
      <c r="N311" s="20" t="n">
        <v>7.314</v>
      </c>
      <c r="P311" s="20" t="n">
        <v>0</v>
      </c>
      <c r="Q311" s="20" t="n">
        <v>14.787</v>
      </c>
      <c r="R311" s="20" t="n">
        <v>0</v>
      </c>
      <c r="W311" s="20" t="n">
        <v>0</v>
      </c>
      <c r="X311" s="20" t="n">
        <v>50.292</v>
      </c>
    </row>
    <row r="312">
      <c r="A312" s="18" t="inlineStr">
        <is>
          <t>매출채권 증감</t>
        </is>
      </c>
      <c r="D312" s="20" t="n">
        <v>-402.879</v>
      </c>
      <c r="F312" s="20" t="n">
        <v>597.647</v>
      </c>
      <c r="H312" s="20" t="n">
        <v>452.031</v>
      </c>
      <c r="J312" s="20" t="n">
        <v>25.309</v>
      </c>
      <c r="L312" s="20" t="n">
        <v>-910.931</v>
      </c>
      <c r="N312" s="20" t="n">
        <v>192.215</v>
      </c>
      <c r="O312" s="20" t="n">
        <v>670.596</v>
      </c>
      <c r="P312" s="20" t="n">
        <v>-249.162</v>
      </c>
      <c r="Q312" s="20" t="n">
        <v>303.071</v>
      </c>
      <c r="R312" s="20" t="n">
        <v>1406.722</v>
      </c>
      <c r="S312" s="20" t="n">
        <v>-623.857</v>
      </c>
      <c r="T312" s="20" t="n">
        <v>1289.216</v>
      </c>
      <c r="U312" s="20" t="n">
        <v>793.515</v>
      </c>
      <c r="V312" s="20" t="n">
        <v>-402.879</v>
      </c>
      <c r="W312" s="20" t="n">
        <v>452.031</v>
      </c>
      <c r="X312" s="20" t="n">
        <v>-910.931</v>
      </c>
    </row>
    <row r="313">
      <c r="A313" s="18" t="inlineStr">
        <is>
          <t>재고자산 증감</t>
        </is>
      </c>
      <c r="D313" s="20" t="n">
        <v>714.697</v>
      </c>
      <c r="F313" s="20" t="n">
        <v>-76.93899999999999</v>
      </c>
      <c r="H313" s="20" t="n">
        <v>49.308</v>
      </c>
      <c r="J313" s="20" t="n">
        <v>-490.007</v>
      </c>
      <c r="L313" s="20" t="n">
        <v>-248.7</v>
      </c>
      <c r="N313" s="20" t="n">
        <v>-754.099</v>
      </c>
      <c r="O313" s="20" t="n">
        <v>-279.834</v>
      </c>
      <c r="P313" s="20" t="n">
        <v>-59.123</v>
      </c>
      <c r="Q313" s="20" t="n">
        <v>-163.119</v>
      </c>
      <c r="R313" s="20" t="n">
        <v>-339.012</v>
      </c>
      <c r="S313" s="20" t="n">
        <v>216.439</v>
      </c>
      <c r="T313" s="20" t="n">
        <v>-23.631</v>
      </c>
      <c r="U313" s="20" t="n">
        <v>-940.9</v>
      </c>
      <c r="V313" s="20" t="n">
        <v>714.697</v>
      </c>
      <c r="W313" s="20" t="n">
        <v>49.308</v>
      </c>
      <c r="X313" s="20" t="n">
        <v>-248.7</v>
      </c>
    </row>
    <row r="314">
      <c r="A314" s="18" t="inlineStr">
        <is>
          <t>매입채무 증감</t>
        </is>
      </c>
      <c r="D314" s="20" t="n">
        <v>1051.642</v>
      </c>
      <c r="F314" s="20" t="n">
        <v>-1205.364</v>
      </c>
      <c r="H314" s="20" t="n">
        <v>-966.242</v>
      </c>
      <c r="J314" s="20" t="n">
        <v>-253.384</v>
      </c>
      <c r="L314" s="20" t="n">
        <v>329.084</v>
      </c>
      <c r="N314" s="20" t="n">
        <v>-70.03100000000001</v>
      </c>
      <c r="O314" s="20" t="n">
        <v>-188.273</v>
      </c>
      <c r="P314" s="20" t="n">
        <v>1129.329</v>
      </c>
      <c r="Q314" s="20" t="n">
        <v>-103.818</v>
      </c>
      <c r="R314" s="20" t="n">
        <v>-2747.857</v>
      </c>
      <c r="S314" s="20" t="n">
        <v>226.414</v>
      </c>
      <c r="T314" s="20" t="n">
        <v>-466.882</v>
      </c>
      <c r="U314" s="20" t="n">
        <v>149.574</v>
      </c>
      <c r="V314" s="20" t="n">
        <v>1051.642</v>
      </c>
      <c r="W314" s="20" t="n">
        <v>-966.242</v>
      </c>
      <c r="X314" s="20" t="n">
        <v>329.084</v>
      </c>
    </row>
    <row r="315">
      <c r="A315" s="18" t="inlineStr">
        <is>
          <t>미지급·미수 소비세 등 증감액</t>
        </is>
      </c>
      <c r="D315" s="20" t="n">
        <v>-14.971</v>
      </c>
      <c r="F315" s="20" t="n">
        <v>-47.174</v>
      </c>
      <c r="H315" s="20" t="n">
        <v>-99.73999999999999</v>
      </c>
      <c r="J315" s="20" t="n">
        <v>56.872</v>
      </c>
      <c r="L315" s="20" t="n">
        <v>142.952</v>
      </c>
      <c r="N315" s="20" t="n">
        <v>-117.343</v>
      </c>
      <c r="O315" s="20" t="n">
        <v>-99.429</v>
      </c>
      <c r="P315" s="20" t="n">
        <v>10.125</v>
      </c>
      <c r="Q315" s="20" t="n">
        <v>35.969</v>
      </c>
      <c r="R315" s="20" t="n">
        <v>7.581</v>
      </c>
      <c r="S315" s="20" t="n">
        <v>160.354</v>
      </c>
      <c r="T315" s="20" t="n">
        <v>-372.294</v>
      </c>
      <c r="U315" s="20" t="n">
        <v>251.886</v>
      </c>
      <c r="V315" s="20" t="n">
        <v>-14.971</v>
      </c>
      <c r="W315" s="20" t="n">
        <v>-99.73999999999999</v>
      </c>
      <c r="X315" s="20" t="n">
        <v>142.952</v>
      </c>
    </row>
    <row r="316">
      <c r="A316" s="18" t="inlineStr">
        <is>
          <t>기타</t>
        </is>
      </c>
      <c r="D316" s="20" t="n">
        <v>42.639</v>
      </c>
      <c r="F316" s="20" t="n">
        <v>-78.57899999999999</v>
      </c>
      <c r="H316" s="20" t="n">
        <v>-58.053</v>
      </c>
      <c r="J316" s="20" t="n">
        <v>-23.791</v>
      </c>
      <c r="L316" s="20" t="n">
        <v>20.034</v>
      </c>
      <c r="N316" s="20" t="n">
        <v>-75.306</v>
      </c>
      <c r="O316" s="20" t="n">
        <v>112.99</v>
      </c>
      <c r="P316" s="20" t="n">
        <v>262.768</v>
      </c>
      <c r="Q316" s="20" t="n">
        <v>-7.594</v>
      </c>
      <c r="R316" s="20" t="n">
        <v>68.80500000000001</v>
      </c>
      <c r="S316" s="20" t="n">
        <v>26.094</v>
      </c>
      <c r="T316" s="20" t="n">
        <v>-1.067</v>
      </c>
      <c r="U316" s="20" t="n">
        <v>-42.85</v>
      </c>
      <c r="V316" s="20" t="n">
        <v>42.639</v>
      </c>
      <c r="W316" s="20" t="n">
        <v>-58.053</v>
      </c>
      <c r="X316" s="20" t="n">
        <v>20.034</v>
      </c>
    </row>
    <row r="317">
      <c r="A317" s="18" t="inlineStr">
        <is>
          <t>소계</t>
        </is>
      </c>
      <c r="D317" s="20" t="n">
        <v>1585.809</v>
      </c>
      <c r="F317" s="20" t="n">
        <v>-468.179</v>
      </c>
      <c r="H317" s="20" t="n">
        <v>235.438</v>
      </c>
      <c r="J317" s="20" t="n">
        <v>-164.623</v>
      </c>
      <c r="L317" s="20" t="n">
        <v>565.52</v>
      </c>
      <c r="N317" s="20" t="n">
        <v>93.599</v>
      </c>
      <c r="O317" s="20" t="n">
        <v>1760.307</v>
      </c>
      <c r="P317" s="20" t="n">
        <v>2056.411</v>
      </c>
      <c r="Q317" s="20" t="n">
        <v>1265.861</v>
      </c>
      <c r="R317" s="20" t="n">
        <v>-990.516</v>
      </c>
      <c r="S317" s="20" t="n">
        <v>1606.632</v>
      </c>
      <c r="T317" s="20" t="n">
        <v>1638.944</v>
      </c>
      <c r="U317" s="20" t="n">
        <v>1043.539</v>
      </c>
      <c r="V317" s="20" t="n">
        <v>1585.809</v>
      </c>
      <c r="W317" s="20" t="n">
        <v>235.438</v>
      </c>
      <c r="X317" s="20" t="n">
        <v>565.52</v>
      </c>
    </row>
    <row r="318">
      <c r="A318" s="18" t="inlineStr">
        <is>
          <t>이자·배당금 수취</t>
        </is>
      </c>
      <c r="D318" s="20" t="n">
        <v>86.593</v>
      </c>
      <c r="F318" s="20" t="n">
        <v>41.895</v>
      </c>
      <c r="H318" s="20" t="n">
        <v>79.191</v>
      </c>
      <c r="J318" s="20" t="n">
        <v>45.307</v>
      </c>
      <c r="L318" s="20" t="n">
        <v>96.289</v>
      </c>
      <c r="N318" s="20" t="n">
        <v>40.868</v>
      </c>
      <c r="O318" s="20" t="n">
        <v>54.383</v>
      </c>
      <c r="P318" s="20" t="n">
        <v>61.833</v>
      </c>
      <c r="Q318" s="20" t="n">
        <v>68.05</v>
      </c>
      <c r="R318" s="20" t="n">
        <v>70.047</v>
      </c>
      <c r="S318" s="20" t="n">
        <v>72.283</v>
      </c>
      <c r="T318" s="20" t="n">
        <v>76.057</v>
      </c>
      <c r="U318" s="20" t="n">
        <v>80.77500000000001</v>
      </c>
      <c r="V318" s="20" t="n">
        <v>86.593</v>
      </c>
      <c r="W318" s="20" t="n">
        <v>79.191</v>
      </c>
      <c r="X318" s="20" t="n">
        <v>96.289</v>
      </c>
    </row>
    <row r="319">
      <c r="A319" s="18" t="inlineStr">
        <is>
          <t>이자 지급</t>
        </is>
      </c>
      <c r="D319" s="20" t="n">
        <v>-21.195</v>
      </c>
      <c r="F319" s="20" t="n">
        <v>-13.714</v>
      </c>
      <c r="H319" s="20" t="n">
        <v>-31.276</v>
      </c>
      <c r="J319" s="20" t="n">
        <v>-12.275</v>
      </c>
      <c r="L319" s="20" t="n">
        <v>-27.114</v>
      </c>
      <c r="N319" s="20" t="n">
        <v>-19.292</v>
      </c>
      <c r="O319" s="20" t="n">
        <v>-4.512</v>
      </c>
      <c r="P319" s="20" t="n">
        <v>-4.43</v>
      </c>
      <c r="Q319" s="20" t="n">
        <v>-17.306</v>
      </c>
      <c r="R319" s="20" t="n">
        <v>-22.958</v>
      </c>
      <c r="S319" s="20" t="n">
        <v>-25.513</v>
      </c>
      <c r="T319" s="20" t="n">
        <v>-29.007</v>
      </c>
      <c r="U319" s="20" t="n">
        <v>-23.123</v>
      </c>
      <c r="V319" s="20" t="n">
        <v>-21.195</v>
      </c>
      <c r="W319" s="20" t="n">
        <v>-31.276</v>
      </c>
      <c r="X319" s="20" t="n">
        <v>-27.114</v>
      </c>
    </row>
    <row r="320">
      <c r="A320" s="18" t="inlineStr">
        <is>
          <t>보험금 수취</t>
        </is>
      </c>
      <c r="P320" s="20" t="n">
        <v>0</v>
      </c>
      <c r="Q320" s="20" t="n">
        <v>48.112</v>
      </c>
      <c r="R320" s="20" t="n">
        <v>0.479</v>
      </c>
      <c r="S320" s="20" t="n">
        <v>0</v>
      </c>
    </row>
    <row r="321">
      <c r="A321" s="18" t="inlineStr">
        <is>
          <t>재해손실 지급</t>
        </is>
      </c>
      <c r="P321" s="20" t="n">
        <v>0</v>
      </c>
      <c r="Q321" s="20" t="n">
        <v>-23.557</v>
      </c>
      <c r="R321" s="20" t="n">
        <v>-19.552</v>
      </c>
      <c r="S321" s="20" t="n">
        <v>0</v>
      </c>
    </row>
    <row r="322">
      <c r="A322" s="18" t="inlineStr">
        <is>
          <t>법인세 환급</t>
        </is>
      </c>
      <c r="D322" s="20" t="n">
        <v>0</v>
      </c>
      <c r="F322" s="20" t="n">
        <v>35.767</v>
      </c>
      <c r="H322" s="20" t="n">
        <v>35.767</v>
      </c>
      <c r="J322" s="20" t="n">
        <v>0</v>
      </c>
      <c r="L322" s="20" t="n">
        <v>0</v>
      </c>
      <c r="V322" s="20" t="n">
        <v>0</v>
      </c>
      <c r="W322" s="20" t="n">
        <v>35.767</v>
      </c>
      <c r="X322" s="20" t="n">
        <v>0</v>
      </c>
    </row>
    <row r="323">
      <c r="A323" s="18" t="inlineStr">
        <is>
          <t>법인세 납부</t>
        </is>
      </c>
      <c r="D323" s="20" t="n">
        <v>-301.748</v>
      </c>
      <c r="F323" s="20" t="n">
        <v>-153.085</v>
      </c>
      <c r="H323" s="20" t="n">
        <v>-275.274</v>
      </c>
      <c r="J323" s="20" t="n">
        <v>-143.621</v>
      </c>
      <c r="L323" s="20" t="n">
        <v>-280.868</v>
      </c>
      <c r="N323" s="20" t="n">
        <v>-203.338</v>
      </c>
      <c r="O323" s="20" t="n">
        <v>-641.971</v>
      </c>
      <c r="P323" s="20" t="n">
        <v>-430.481</v>
      </c>
      <c r="Q323" s="20" t="n">
        <v>-348.64</v>
      </c>
      <c r="R323" s="20" t="n">
        <v>-388.901</v>
      </c>
      <c r="S323" s="20" t="n">
        <v>-201.268</v>
      </c>
      <c r="T323" s="20" t="n">
        <v>-549.2430000000001</v>
      </c>
      <c r="U323" s="20" t="n">
        <v>-361.967</v>
      </c>
      <c r="V323" s="20" t="n">
        <v>-301.748</v>
      </c>
      <c r="W323" s="20" t="n">
        <v>-275.274</v>
      </c>
      <c r="X323" s="20" t="n">
        <v>-280.868</v>
      </c>
    </row>
    <row r="324">
      <c r="A324" s="9" t="inlineStr">
        <is>
          <t>영업활동 현금흐름</t>
        </is>
      </c>
      <c r="D324" s="12" t="n">
        <v>1349.459</v>
      </c>
      <c r="F324" s="12" t="n">
        <v>-557.316</v>
      </c>
      <c r="H324" s="12" t="n">
        <v>43.845</v>
      </c>
      <c r="J324" s="12" t="n">
        <v>-275.213</v>
      </c>
      <c r="L324" s="12" t="n">
        <v>353.826</v>
      </c>
      <c r="N324" s="12" t="n">
        <v>-88.16200000000001</v>
      </c>
      <c r="O324" s="12" t="n">
        <v>1168.206</v>
      </c>
      <c r="P324" s="12" t="n">
        <v>1683.333</v>
      </c>
      <c r="Q324" s="12" t="n">
        <v>992.521</v>
      </c>
      <c r="R324" s="12" t="n">
        <v>-1351.401</v>
      </c>
      <c r="S324" s="12" t="n">
        <v>1452.133</v>
      </c>
      <c r="T324" s="12" t="n">
        <v>1136.751</v>
      </c>
      <c r="U324" s="12" t="n">
        <v>739.223</v>
      </c>
      <c r="V324" s="12" t="n">
        <v>1349.459</v>
      </c>
      <c r="W324" s="12" t="n">
        <v>43.845</v>
      </c>
      <c r="X324" s="12" t="n">
        <v>353.826</v>
      </c>
    </row>
    <row r="325">
      <c r="A325" s="18" t="inlineStr">
        <is>
          <t>유형자산 취득(설비투자)</t>
        </is>
      </c>
      <c r="D325" s="20" t="n">
        <v>-375.872</v>
      </c>
      <c r="F325" s="20" t="n">
        <v>-333.07</v>
      </c>
      <c r="H325" s="20" t="n">
        <v>-595.063</v>
      </c>
      <c r="J325" s="20" t="n">
        <v>-51.051</v>
      </c>
      <c r="L325" s="20" t="n">
        <v>-74.187</v>
      </c>
      <c r="N325" s="20" t="n">
        <v>-95.113</v>
      </c>
      <c r="O325" s="20" t="n">
        <v>-23.61</v>
      </c>
      <c r="P325" s="20" t="n">
        <v>-19.883</v>
      </c>
      <c r="Q325" s="20" t="n">
        <v>-269.53</v>
      </c>
      <c r="R325" s="20" t="n">
        <v>-81.414</v>
      </c>
      <c r="S325" s="20" t="n">
        <v>-583.001</v>
      </c>
      <c r="T325" s="20" t="n">
        <v>-1132.233</v>
      </c>
      <c r="U325" s="20" t="n">
        <v>-49.782</v>
      </c>
      <c r="V325" s="20" t="n">
        <v>-375.872</v>
      </c>
      <c r="W325" s="20" t="n">
        <v>-595.063</v>
      </c>
      <c r="X325" s="20" t="n">
        <v>-74.187</v>
      </c>
    </row>
    <row r="326">
      <c r="A326" s="18" t="inlineStr">
        <is>
          <t>유형자산 매각</t>
        </is>
      </c>
      <c r="D326" s="20" t="n">
        <v>0.8169999999999999</v>
      </c>
      <c r="F326" s="20" t="n">
        <v>0.1</v>
      </c>
      <c r="H326" s="20" t="n">
        <v>0.1</v>
      </c>
      <c r="J326" s="20" t="n">
        <v>0</v>
      </c>
      <c r="L326" s="20" t="n">
        <v>0</v>
      </c>
      <c r="P326" s="20" t="n">
        <v>0</v>
      </c>
      <c r="Q326" s="20" t="n">
        <v>3.88</v>
      </c>
      <c r="R326" s="20" t="n">
        <v>0</v>
      </c>
      <c r="S326" s="20" t="n">
        <v>526.453</v>
      </c>
      <c r="T326" s="20" t="n">
        <v>24.744</v>
      </c>
      <c r="U326" s="20" t="n">
        <v>867.456</v>
      </c>
      <c r="V326" s="20" t="n">
        <v>0.8169999999999999</v>
      </c>
      <c r="W326" s="20" t="n">
        <v>0.1</v>
      </c>
      <c r="X326" s="20" t="n">
        <v>0</v>
      </c>
    </row>
    <row r="327">
      <c r="A327" s="18" t="inlineStr">
        <is>
          <t>유형자산 제각 지출</t>
        </is>
      </c>
      <c r="R327" s="20" t="n">
        <v>0</v>
      </c>
      <c r="S327" s="20" t="n">
        <v>-55.8</v>
      </c>
      <c r="T327" s="20" t="n">
        <v>0</v>
      </c>
    </row>
    <row r="328">
      <c r="A328" s="18" t="inlineStr">
        <is>
          <t>투자유가증권 취득</t>
        </is>
      </c>
      <c r="D328" s="20" t="n">
        <v>-38.876</v>
      </c>
      <c r="F328" s="20" t="n">
        <v>-21.893</v>
      </c>
      <c r="H328" s="20" t="n">
        <v>-41.331</v>
      </c>
      <c r="J328" s="20" t="n">
        <v>-19.453</v>
      </c>
      <c r="L328" s="20" t="n">
        <v>-34.017</v>
      </c>
      <c r="N328" s="20" t="n">
        <v>-15.644</v>
      </c>
      <c r="O328" s="20" t="n">
        <v>-36.838</v>
      </c>
      <c r="P328" s="20" t="n">
        <v>-87.417</v>
      </c>
      <c r="Q328" s="20" t="n">
        <v>-39.29</v>
      </c>
      <c r="R328" s="20" t="n">
        <v>-40.436</v>
      </c>
      <c r="S328" s="20" t="n">
        <v>-38.181</v>
      </c>
      <c r="T328" s="20" t="n">
        <v>-37.107</v>
      </c>
      <c r="U328" s="20" t="n">
        <v>-36.494</v>
      </c>
      <c r="V328" s="20" t="n">
        <v>-38.876</v>
      </c>
      <c r="W328" s="20" t="n">
        <v>-41.331</v>
      </c>
      <c r="X328" s="20" t="n">
        <v>-34.017</v>
      </c>
    </row>
    <row r="329">
      <c r="A329" s="18" t="inlineStr">
        <is>
          <t>투자유가증권 매각</t>
        </is>
      </c>
      <c r="D329" s="20" t="n">
        <v>492.029</v>
      </c>
      <c r="F329" s="20" t="n">
        <v>9.199</v>
      </c>
      <c r="H329" s="20" t="n">
        <v>662.0549999999999</v>
      </c>
      <c r="J329" s="20" t="n">
        <v>355.101</v>
      </c>
      <c r="L329" s="20" t="n">
        <v>355.101</v>
      </c>
      <c r="N329" s="20" t="n">
        <v>0.08699999999999999</v>
      </c>
      <c r="P329" s="20" t="n">
        <v>0</v>
      </c>
      <c r="Q329" s="20" t="n">
        <v>178.427</v>
      </c>
      <c r="R329" s="20" t="n">
        <v>0</v>
      </c>
      <c r="S329" s="20" t="n">
        <v>550.11</v>
      </c>
      <c r="T329" s="20" t="n">
        <v>0</v>
      </c>
      <c r="U329" s="20" t="n">
        <v>0</v>
      </c>
      <c r="V329" s="20" t="n">
        <v>492.029</v>
      </c>
      <c r="W329" s="20" t="n">
        <v>662.0549999999999</v>
      </c>
      <c r="X329" s="20" t="n">
        <v>355.101</v>
      </c>
    </row>
    <row r="330">
      <c r="A330" s="18" t="inlineStr">
        <is>
          <t>대여</t>
        </is>
      </c>
      <c r="D330" s="20" t="n">
        <v>-2.46</v>
      </c>
      <c r="H330" s="20" t="n">
        <v>-2.8</v>
      </c>
      <c r="L330" s="20" t="n">
        <v>-2</v>
      </c>
      <c r="O330" s="20" t="n">
        <v>-5.75</v>
      </c>
      <c r="P330" s="20" t="n">
        <v>-3.5</v>
      </c>
      <c r="Q330" s="20" t="n">
        <v>-0.3</v>
      </c>
      <c r="R330" s="20" t="n">
        <v>0</v>
      </c>
      <c r="S330" s="20" t="n">
        <v>-1.15</v>
      </c>
      <c r="T330" s="20" t="n">
        <v>0</v>
      </c>
      <c r="U330" s="20" t="n">
        <v>-1</v>
      </c>
      <c r="V330" s="20" t="n">
        <v>-2.46</v>
      </c>
      <c r="W330" s="20" t="n">
        <v>-2.8</v>
      </c>
      <c r="X330" s="20" t="n">
        <v>-2</v>
      </c>
    </row>
    <row r="331">
      <c r="A331" s="18" t="inlineStr">
        <is>
          <t>대여금 회수</t>
        </is>
      </c>
      <c r="D331" s="20" t="n">
        <v>0.98</v>
      </c>
      <c r="F331" s="20" t="n">
        <v>0.45</v>
      </c>
      <c r="H331" s="20" t="n">
        <v>0.9</v>
      </c>
      <c r="J331" s="20" t="n">
        <v>0.48</v>
      </c>
      <c r="L331" s="20" t="n">
        <v>1.03</v>
      </c>
      <c r="N331" s="20" t="n">
        <v>0.64</v>
      </c>
      <c r="O331" s="20" t="n">
        <v>2.728</v>
      </c>
      <c r="P331" s="20" t="n">
        <v>3.398</v>
      </c>
      <c r="Q331" s="20" t="n">
        <v>2.711</v>
      </c>
      <c r="R331" s="20" t="n">
        <v>2.03</v>
      </c>
      <c r="S331" s="20" t="n">
        <v>1.505</v>
      </c>
      <c r="T331" s="20" t="n">
        <v>1.29</v>
      </c>
      <c r="U331" s="20" t="n">
        <v>0.88</v>
      </c>
      <c r="V331" s="20" t="n">
        <v>0.98</v>
      </c>
      <c r="W331" s="20" t="n">
        <v>0.9</v>
      </c>
      <c r="X331" s="20" t="n">
        <v>1.03</v>
      </c>
    </row>
    <row r="332">
      <c r="A332" s="18" t="inlineStr">
        <is>
          <t>무형자산 취득</t>
        </is>
      </c>
      <c r="D332" s="20" t="n">
        <v>-19.022</v>
      </c>
      <c r="F332" s="20" t="n">
        <v>-6.191</v>
      </c>
      <c r="H332" s="20" t="n">
        <v>-5.511</v>
      </c>
      <c r="J332" s="20" t="n">
        <v>-2.16</v>
      </c>
      <c r="L332" s="20" t="n">
        <v>-10.62</v>
      </c>
      <c r="N332" s="20" t="n">
        <v>-8.115</v>
      </c>
      <c r="O332" s="20" t="n">
        <v>-13.704</v>
      </c>
      <c r="P332" s="20" t="n">
        <v>-3.556</v>
      </c>
      <c r="Q332" s="20" t="n">
        <v>-5.907</v>
      </c>
      <c r="R332" s="20" t="n">
        <v>-7.095</v>
      </c>
      <c r="S332" s="20" t="n">
        <v>-11.432</v>
      </c>
      <c r="T332" s="20" t="n">
        <v>-13.358</v>
      </c>
      <c r="U332" s="20" t="n">
        <v>-11.868</v>
      </c>
      <c r="V332" s="20" t="n">
        <v>-19.022</v>
      </c>
      <c r="W332" s="20" t="n">
        <v>-5.511</v>
      </c>
      <c r="X332" s="20" t="n">
        <v>-10.62</v>
      </c>
    </row>
    <row r="333">
      <c r="A333" s="18" t="inlineStr">
        <is>
          <t>회원권 매각 수입</t>
        </is>
      </c>
      <c r="O333" s="20" t="n">
        <v>0</v>
      </c>
      <c r="P333" s="20" t="n">
        <v>9</v>
      </c>
      <c r="Q333" s="20" t="n">
        <v>0</v>
      </c>
    </row>
    <row r="334">
      <c r="A334" s="18" t="inlineStr">
        <is>
          <t>Purchase Of Memberships Inv CF</t>
        </is>
      </c>
      <c r="O334" s="20" t="n">
        <v>-16.055</v>
      </c>
      <c r="P334" s="20" t="n">
        <v>0</v>
      </c>
    </row>
    <row r="335">
      <c r="A335" s="18" t="inlineStr">
        <is>
          <t>정기예금 인출</t>
        </is>
      </c>
      <c r="O335" s="20" t="n">
        <v>40.215</v>
      </c>
      <c r="P335" s="20" t="n">
        <v>0</v>
      </c>
    </row>
    <row r="336">
      <c r="A336" s="18" t="inlineStr">
        <is>
          <t>임차보증금·보증금 납입</t>
        </is>
      </c>
      <c r="D336" s="20" t="n">
        <v>-0.8120000000000001</v>
      </c>
      <c r="F336" s="20" t="n">
        <v>-0.641</v>
      </c>
      <c r="H336" s="20" t="n">
        <v>-1.098</v>
      </c>
      <c r="J336" s="20" t="n">
        <v>-0.402</v>
      </c>
      <c r="L336" s="20" t="n">
        <v>-0.671</v>
      </c>
      <c r="N336" s="20" t="n">
        <v>-0.21</v>
      </c>
      <c r="O336" s="20" t="n">
        <v>-1.095</v>
      </c>
      <c r="P336" s="20" t="n">
        <v>-1.044</v>
      </c>
      <c r="Q336" s="20" t="n">
        <v>-0.911</v>
      </c>
      <c r="R336" s="20" t="n">
        <v>-5.488</v>
      </c>
      <c r="S336" s="20" t="n">
        <v>-0.38</v>
      </c>
      <c r="T336" s="20" t="n">
        <v>-1.293</v>
      </c>
      <c r="U336" s="20" t="n">
        <v>-0.701</v>
      </c>
      <c r="V336" s="20" t="n">
        <v>-0.8120000000000001</v>
      </c>
      <c r="W336" s="20" t="n">
        <v>-1.098</v>
      </c>
      <c r="X336" s="20" t="n">
        <v>-0.671</v>
      </c>
    </row>
    <row r="337">
      <c r="A337" s="18" t="inlineStr">
        <is>
          <t>임차보증금·보증금 회수</t>
        </is>
      </c>
      <c r="D337" s="20" t="n">
        <v>0.333</v>
      </c>
      <c r="F337" s="20" t="n">
        <v>4.333</v>
      </c>
      <c r="H337" s="20" t="n">
        <v>5.061</v>
      </c>
      <c r="J337" s="20" t="n">
        <v>0.528</v>
      </c>
      <c r="L337" s="20" t="n">
        <v>0.653</v>
      </c>
      <c r="N337" s="20" t="n">
        <v>0.162</v>
      </c>
      <c r="O337" s="20" t="n">
        <v>10.228</v>
      </c>
      <c r="P337" s="20" t="n">
        <v>5.108</v>
      </c>
      <c r="Q337" s="20" t="n">
        <v>1.107</v>
      </c>
      <c r="R337" s="20" t="n">
        <v>1.387</v>
      </c>
      <c r="S337" s="20" t="n">
        <v>0.6860000000000001</v>
      </c>
      <c r="T337" s="20" t="n">
        <v>1.235</v>
      </c>
      <c r="U337" s="20" t="n">
        <v>1.813</v>
      </c>
      <c r="V337" s="20" t="n">
        <v>0.333</v>
      </c>
      <c r="W337" s="20" t="n">
        <v>5.061</v>
      </c>
      <c r="X337" s="20" t="n">
        <v>0.653</v>
      </c>
    </row>
    <row r="338">
      <c r="A338" s="18" t="inlineStr">
        <is>
          <t>연결범위 변경 자회사 주식 취득</t>
        </is>
      </c>
      <c r="O338" s="20" t="n">
        <v>0</v>
      </c>
      <c r="P338" s="20" t="n">
        <v>-776.3150000000001</v>
      </c>
      <c r="Q338" s="20" t="n">
        <v>0</v>
      </c>
    </row>
    <row r="339">
      <c r="A339" s="18" t="inlineStr">
        <is>
          <t>보조금 수입</t>
        </is>
      </c>
      <c r="O339" s="20" t="n">
        <v>15</v>
      </c>
      <c r="P339" s="20" t="n">
        <v>15</v>
      </c>
      <c r="Q339" s="20" t="n">
        <v>15</v>
      </c>
      <c r="R339" s="20" t="n">
        <v>0</v>
      </c>
      <c r="S339" s="20" t="n">
        <v>15</v>
      </c>
      <c r="T339" s="20" t="n">
        <v>0</v>
      </c>
    </row>
    <row r="340">
      <c r="A340" s="18" t="inlineStr">
        <is>
          <t>기타 지출</t>
        </is>
      </c>
      <c r="D340" s="20" t="n">
        <v>0</v>
      </c>
      <c r="T340" s="20" t="n">
        <v>0</v>
      </c>
      <c r="U340" s="20" t="n">
        <v>-28.014</v>
      </c>
      <c r="V340" s="20" t="n">
        <v>0</v>
      </c>
    </row>
    <row r="341">
      <c r="A341" s="18" t="inlineStr">
        <is>
          <t>예수보증금 반환</t>
        </is>
      </c>
      <c r="J341" s="20" t="n">
        <v>0</v>
      </c>
      <c r="N341" s="20" t="n">
        <v>-3.004</v>
      </c>
    </row>
    <row r="342">
      <c r="A342" s="9" t="inlineStr">
        <is>
          <t>투자활동 현금흐름</t>
        </is>
      </c>
      <c r="D342" s="12" t="n">
        <v>57.117</v>
      </c>
      <c r="F342" s="12" t="n">
        <v>-347.713</v>
      </c>
      <c r="H342" s="12" t="n">
        <v>22.312</v>
      </c>
      <c r="J342" s="12" t="n">
        <v>283.041</v>
      </c>
      <c r="L342" s="12" t="n">
        <v>235.287</v>
      </c>
      <c r="N342" s="12" t="n">
        <v>-121.198</v>
      </c>
      <c r="O342" s="12" t="n">
        <v>-28.882</v>
      </c>
      <c r="P342" s="12" t="n">
        <v>-859.21</v>
      </c>
      <c r="Q342" s="12" t="n">
        <v>-114.813</v>
      </c>
      <c r="R342" s="12" t="n">
        <v>-131.017</v>
      </c>
      <c r="S342" s="12" t="n">
        <v>403.809</v>
      </c>
      <c r="T342" s="12" t="n">
        <v>-1156.724</v>
      </c>
      <c r="U342" s="12" t="n">
        <v>742.288</v>
      </c>
      <c r="V342" s="12" t="n">
        <v>57.117</v>
      </c>
      <c r="W342" s="12" t="n">
        <v>22.312</v>
      </c>
      <c r="X342" s="12" t="n">
        <v>235.287</v>
      </c>
    </row>
    <row r="343">
      <c r="A343" s="18" t="inlineStr">
        <is>
          <t>단기차입금 순증감</t>
        </is>
      </c>
      <c r="D343" s="20" t="n">
        <v>-50</v>
      </c>
      <c r="H343" s="20" t="n">
        <v>1450</v>
      </c>
      <c r="L343" s="20" t="n">
        <v>-1700</v>
      </c>
      <c r="S343" s="20" t="n">
        <v>544.361</v>
      </c>
      <c r="T343" s="20" t="n">
        <v>-502.698</v>
      </c>
      <c r="U343" s="20" t="n">
        <v>-6.23</v>
      </c>
      <c r="V343" s="20" t="n">
        <v>-50</v>
      </c>
      <c r="W343" s="20" t="n">
        <v>1450</v>
      </c>
      <c r="X343" s="20" t="n">
        <v>-1700</v>
      </c>
    </row>
    <row r="344">
      <c r="A344" s="18" t="inlineStr">
        <is>
          <t>단기차입금 증감</t>
        </is>
      </c>
      <c r="F344" s="20" t="n">
        <v>1000</v>
      </c>
      <c r="J344" s="20" t="n">
        <v>-1700</v>
      </c>
      <c r="N344" s="20" t="n">
        <v>0</v>
      </c>
      <c r="O344" s="20" t="n">
        <v>-136.446</v>
      </c>
      <c r="P344" s="20" t="n">
        <v>762.121</v>
      </c>
      <c r="Q344" s="20" t="n">
        <v>-845.976</v>
      </c>
      <c r="R344" s="20" t="n">
        <v>1961.901</v>
      </c>
      <c r="S344" s="20" t="n">
        <v>544.361</v>
      </c>
    </row>
    <row r="345">
      <c r="A345" s="18" t="inlineStr">
        <is>
          <t>장기차입금 상환</t>
        </is>
      </c>
      <c r="D345" s="20" t="n">
        <v>-405.172</v>
      </c>
      <c r="F345" s="20" t="n">
        <v>-215.652</v>
      </c>
      <c r="H345" s="20" t="n">
        <v>-408.49</v>
      </c>
      <c r="J345" s="20" t="n">
        <v>-192.914</v>
      </c>
      <c r="L345" s="20" t="n">
        <v>-344.626</v>
      </c>
      <c r="N345" s="20" t="n">
        <v>-128.512</v>
      </c>
      <c r="O345" s="20" t="n">
        <v>-3.344</v>
      </c>
      <c r="P345" s="20" t="n">
        <v>0</v>
      </c>
      <c r="Q345" s="20" t="n">
        <v>-160.235</v>
      </c>
      <c r="R345" s="20" t="n">
        <v>-252.228</v>
      </c>
      <c r="S345" s="20" t="n">
        <v>-248.648</v>
      </c>
      <c r="T345" s="20" t="n">
        <v>-328.819</v>
      </c>
      <c r="U345" s="20" t="n">
        <v>-408.752</v>
      </c>
      <c r="V345" s="20" t="n">
        <v>-405.172</v>
      </c>
      <c r="W345" s="20" t="n">
        <v>-408.49</v>
      </c>
      <c r="X345" s="20" t="n">
        <v>-344.626</v>
      </c>
    </row>
    <row r="346">
      <c r="A346" s="18" t="inlineStr">
        <is>
          <t>장기차입</t>
        </is>
      </c>
      <c r="P346" s="20" t="n">
        <v>0</v>
      </c>
      <c r="Q346" s="20" t="n">
        <v>900</v>
      </c>
      <c r="R346" s="20" t="n">
        <v>100</v>
      </c>
      <c r="S346" s="20" t="n">
        <v>0</v>
      </c>
      <c r="T346" s="20" t="n">
        <v>960</v>
      </c>
      <c r="U346" s="20" t="n">
        <v>0</v>
      </c>
    </row>
    <row r="347">
      <c r="A347" s="18" t="inlineStr">
        <is>
          <t>배당금 지급</t>
        </is>
      </c>
      <c r="D347" s="20" t="n">
        <v>-194.866</v>
      </c>
      <c r="F347" s="20" t="n">
        <v>-194.865</v>
      </c>
      <c r="H347" s="20" t="n">
        <v>-194.865</v>
      </c>
      <c r="J347" s="20" t="n">
        <v>-233.838</v>
      </c>
      <c r="L347" s="20" t="n">
        <v>-233.838</v>
      </c>
      <c r="N347" s="20" t="n">
        <v>-236.901</v>
      </c>
      <c r="O347" s="20" t="n">
        <v>-544.901</v>
      </c>
      <c r="P347" s="20" t="n">
        <v>-543.018</v>
      </c>
      <c r="Q347" s="20" t="n">
        <v>-543.018</v>
      </c>
      <c r="R347" s="20" t="n">
        <v>-543.018</v>
      </c>
      <c r="S347" s="20" t="n">
        <v>-535.591</v>
      </c>
      <c r="T347" s="20" t="n">
        <v>-297.551</v>
      </c>
      <c r="U347" s="20" t="n">
        <v>-234.131</v>
      </c>
      <c r="V347" s="20" t="n">
        <v>-194.866</v>
      </c>
      <c r="W347" s="20" t="n">
        <v>-194.865</v>
      </c>
      <c r="X347" s="20" t="n">
        <v>-233.838</v>
      </c>
    </row>
    <row r="348">
      <c r="A348" s="18" t="inlineStr">
        <is>
          <t>자기주식 취득</t>
        </is>
      </c>
      <c r="D348" s="20" t="n">
        <v>-0.038</v>
      </c>
      <c r="F348" s="20" t="n">
        <v>-0.005</v>
      </c>
      <c r="H348" s="20" t="n">
        <v>-0.005</v>
      </c>
      <c r="J348" s="20" t="n">
        <v>-35.518</v>
      </c>
      <c r="L348" s="20" t="n">
        <v>-35.518</v>
      </c>
      <c r="N348" s="20" t="n">
        <v>-222.95</v>
      </c>
      <c r="O348" s="20" t="n">
        <v>-52.984</v>
      </c>
      <c r="P348" s="20" t="n">
        <v>0</v>
      </c>
      <c r="Q348" s="20" t="n">
        <v>0</v>
      </c>
      <c r="R348" s="20" t="n">
        <v>-312.205</v>
      </c>
      <c r="S348" s="20" t="n">
        <v>-0</v>
      </c>
      <c r="T348" s="20" t="n">
        <v>-130.16</v>
      </c>
      <c r="U348" s="20" t="n">
        <v>-8.663</v>
      </c>
      <c r="V348" s="20" t="n">
        <v>-0.038</v>
      </c>
      <c r="W348" s="20" t="n">
        <v>-0.005</v>
      </c>
      <c r="X348" s="20" t="n">
        <v>-35.518</v>
      </c>
    </row>
    <row r="349">
      <c r="A349" s="18" t="inlineStr">
        <is>
          <t>자기주식 처분</t>
        </is>
      </c>
      <c r="Q349" s="20" t="n">
        <v>0</v>
      </c>
      <c r="R349" s="20" t="n">
        <v>53.3</v>
      </c>
      <c r="S349" s="20" t="n">
        <v>0</v>
      </c>
    </row>
    <row r="350">
      <c r="A350" s="18" t="inlineStr">
        <is>
          <t>금융리스부채 상환</t>
        </is>
      </c>
      <c r="D350" s="20" t="n">
        <v>-81.621</v>
      </c>
      <c r="F350" s="20" t="n">
        <v>-49.807</v>
      </c>
      <c r="H350" s="20" t="n">
        <v>-98.931</v>
      </c>
      <c r="J350" s="20" t="n">
        <v>-53.021</v>
      </c>
      <c r="L350" s="20" t="n">
        <v>-117.928</v>
      </c>
      <c r="N350" s="20" t="n">
        <v>-66.64</v>
      </c>
      <c r="O350" s="20" t="n">
        <v>-6.283</v>
      </c>
      <c r="P350" s="20" t="n">
        <v>-7.22</v>
      </c>
      <c r="Q350" s="20" t="n">
        <v>-10.412</v>
      </c>
      <c r="R350" s="20" t="n">
        <v>-13.008</v>
      </c>
      <c r="S350" s="20" t="n">
        <v>-20.442</v>
      </c>
      <c r="T350" s="20" t="n">
        <v>-42.22</v>
      </c>
      <c r="U350" s="20" t="n">
        <v>-59.875</v>
      </c>
      <c r="V350" s="20" t="n">
        <v>-81.621</v>
      </c>
      <c r="W350" s="20" t="n">
        <v>-98.931</v>
      </c>
      <c r="X350" s="20" t="n">
        <v>-117.928</v>
      </c>
    </row>
    <row r="351">
      <c r="A351" s="9" t="inlineStr">
        <is>
          <t>재무활동 현금흐름</t>
        </is>
      </c>
      <c r="D351" s="12" t="n">
        <v>-731.698</v>
      </c>
      <c r="F351" s="12" t="n">
        <v>539.668</v>
      </c>
      <c r="H351" s="12" t="n">
        <v>747.707</v>
      </c>
      <c r="J351" s="12" t="n">
        <v>-2215.293</v>
      </c>
      <c r="L351" s="12" t="n">
        <v>-2431.911</v>
      </c>
      <c r="N351" s="12" t="n">
        <v>-655.004</v>
      </c>
      <c r="O351" s="12" t="n">
        <v>-743.96</v>
      </c>
      <c r="P351" s="12" t="n">
        <v>211.881</v>
      </c>
      <c r="Q351" s="12" t="n">
        <v>-659.643</v>
      </c>
      <c r="R351" s="12" t="n">
        <v>994.741</v>
      </c>
      <c r="S351" s="12" t="n">
        <v>-260.321</v>
      </c>
      <c r="T351" s="12" t="n">
        <v>-341.449</v>
      </c>
      <c r="U351" s="12" t="n">
        <v>-717.652</v>
      </c>
      <c r="V351" s="12" t="n">
        <v>-731.698</v>
      </c>
      <c r="W351" s="12" t="n">
        <v>747.707</v>
      </c>
      <c r="X351" s="12" t="n">
        <v>-2431.911</v>
      </c>
    </row>
    <row r="352">
      <c r="A352" s="18" t="inlineStr">
        <is>
          <t>현금성자산 환산차이</t>
        </is>
      </c>
      <c r="D352" s="20" t="n">
        <v>3.475</v>
      </c>
      <c r="F352" s="20" t="n">
        <v>-1.668</v>
      </c>
      <c r="H352" s="20" t="n">
        <v>-0.363</v>
      </c>
      <c r="J352" s="20" t="n">
        <v>-0.123</v>
      </c>
      <c r="L352" s="20" t="n">
        <v>2.027</v>
      </c>
      <c r="N352" s="20" t="n">
        <v>-0.508</v>
      </c>
      <c r="O352" s="20" t="n">
        <v>0</v>
      </c>
      <c r="P352" s="20" t="n">
        <v>-0.163</v>
      </c>
      <c r="Q352" s="20" t="n">
        <v>-0.018</v>
      </c>
      <c r="R352" s="20" t="n">
        <v>-0.115</v>
      </c>
      <c r="S352" s="20" t="n">
        <v>0.871</v>
      </c>
      <c r="T352" s="20" t="n">
        <v>1.327</v>
      </c>
      <c r="U352" s="20" t="n">
        <v>-0.544</v>
      </c>
      <c r="V352" s="20" t="n">
        <v>3.475</v>
      </c>
      <c r="W352" s="20" t="n">
        <v>-0.363</v>
      </c>
      <c r="X352" s="20" t="n">
        <v>2.027</v>
      </c>
    </row>
    <row r="353">
      <c r="A353" s="18" t="inlineStr">
        <is>
          <t>현금성자산 증감</t>
        </is>
      </c>
      <c r="D353" s="20" t="n">
        <v>678.354</v>
      </c>
      <c r="F353" s="20" t="n">
        <v>-367.03</v>
      </c>
      <c r="H353" s="20" t="n">
        <v>813.501</v>
      </c>
      <c r="J353" s="20" t="n">
        <v>-2207.588</v>
      </c>
      <c r="L353" s="20" t="n">
        <v>-1840.77</v>
      </c>
      <c r="N353" s="20" t="n">
        <v>-864.875</v>
      </c>
      <c r="O353" s="20" t="n">
        <v>395.363</v>
      </c>
      <c r="P353" s="20" t="n">
        <v>1035.84</v>
      </c>
      <c r="Q353" s="20" t="n">
        <v>218.046</v>
      </c>
      <c r="R353" s="20" t="n">
        <v>-487.792</v>
      </c>
      <c r="S353" s="20" t="n">
        <v>1596.492</v>
      </c>
      <c r="T353" s="20" t="n">
        <v>-360.094</v>
      </c>
      <c r="U353" s="20" t="n">
        <v>763.314</v>
      </c>
      <c r="V353" s="20" t="n">
        <v>678.354</v>
      </c>
      <c r="W353" s="20" t="n">
        <v>813.501</v>
      </c>
      <c r="X353" s="20" t="n">
        <v>-1840.77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7442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19030.299</v>
      </c>
      <c r="D5" s="12" t="n">
        <v>22378.116</v>
      </c>
      <c r="E5" s="12" t="n">
        <v>20115.783</v>
      </c>
      <c r="F5" s="12" t="n">
        <v>19607.823</v>
      </c>
      <c r="G5" s="12" t="n">
        <v>19812.829</v>
      </c>
      <c r="H5" s="11" t="n">
        <v>19350.447</v>
      </c>
      <c r="I5" s="12" t="n">
        <v>20076.513</v>
      </c>
      <c r="J5" s="12" t="n">
        <v>20467.286</v>
      </c>
      <c r="K5" s="12" t="n">
        <v>20783.639</v>
      </c>
      <c r="L5" s="12" t="n">
        <v>20115.783</v>
      </c>
    </row>
    <row r="6">
      <c r="A6" s="18" t="inlineStr">
        <is>
          <t>현금및현금성자산</t>
        </is>
      </c>
      <c r="B6" s="10" t="n"/>
      <c r="C6" s="19" t="n">
        <v>5045.894</v>
      </c>
      <c r="D6" s="20" t="n">
        <v>4591.114</v>
      </c>
      <c r="E6" s="20" t="n">
        <v>5411.508</v>
      </c>
      <c r="F6" s="20" t="n">
        <v>3792.116</v>
      </c>
      <c r="G6" s="20" t="n">
        <v>4550.631</v>
      </c>
      <c r="H6" s="19" t="n">
        <v>4998.991</v>
      </c>
      <c r="I6" s="20" t="n">
        <v>5762.29</v>
      </c>
      <c r="J6" s="20" t="n">
        <v>6438.782</v>
      </c>
      <c r="K6" s="20" t="n">
        <v>7250.595</v>
      </c>
      <c r="L6" s="20" t="n">
        <v>5411.508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6707.215</v>
      </c>
      <c r="D8" s="20" t="n">
        <v>8799.071</v>
      </c>
      <c r="E8" s="20" t="n">
        <v>7760.341</v>
      </c>
      <c r="F8" s="20" t="n">
        <v>7154.602</v>
      </c>
      <c r="G8" s="20" t="n">
        <v>7351.777</v>
      </c>
      <c r="H8" s="19" t="n">
        <v>7983.257</v>
      </c>
      <c r="I8" s="20" t="n">
        <v>7122.395</v>
      </c>
      <c r="J8" s="20" t="n">
        <v>7500.808</v>
      </c>
      <c r="K8" s="20" t="n">
        <v>7039.375</v>
      </c>
      <c r="L8" s="20" t="n">
        <v>7760.341</v>
      </c>
    </row>
    <row r="9">
      <c r="A9" s="18" t="inlineStr">
        <is>
          <t>재고자산</t>
        </is>
      </c>
      <c r="B9" s="10" t="n"/>
      <c r="C9" s="19" t="n">
        <v>5255.595</v>
      </c>
      <c r="D9" s="20" t="n">
        <v>6444.038</v>
      </c>
      <c r="E9" s="20" t="n">
        <v>5014.288</v>
      </c>
      <c r="F9" s="20" t="n">
        <v>6202.123</v>
      </c>
      <c r="G9" s="20" t="n">
        <v>5768.388</v>
      </c>
      <c r="H9" s="19" t="n">
        <v>4588.694</v>
      </c>
      <c r="I9" s="20" t="n">
        <v>5529.593</v>
      </c>
      <c r="J9" s="20" t="n">
        <v>4814.897</v>
      </c>
      <c r="K9" s="20" t="n">
        <v>4765.589</v>
      </c>
      <c r="L9" s="20" t="n">
        <v>5014.288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12062.2</v>
      </c>
      <c r="D11" s="12" t="n">
        <v>12357.999</v>
      </c>
      <c r="E11" s="12" t="n">
        <v>12934.556</v>
      </c>
      <c r="F11" s="12" t="n">
        <v>12542.668</v>
      </c>
      <c r="G11" s="12" t="n">
        <v>12713.825</v>
      </c>
      <c r="H11" s="11" t="n">
        <v>11688.804</v>
      </c>
      <c r="I11" s="12" t="n">
        <v>11310.073</v>
      </c>
      <c r="J11" s="12" t="n">
        <v>12421.774</v>
      </c>
      <c r="K11" s="12" t="n">
        <v>12012.634</v>
      </c>
      <c r="L11" s="12" t="n">
        <v>12934.556</v>
      </c>
    </row>
    <row r="12">
      <c r="A12" s="18" t="inlineStr">
        <is>
          <t>유형자산</t>
        </is>
      </c>
      <c r="B12" s="10" t="n"/>
      <c r="C12" s="19" t="n">
        <v>6995.389</v>
      </c>
      <c r="D12" s="20" t="n">
        <v>6983.376</v>
      </c>
      <c r="E12" s="20" t="n">
        <v>6918.818</v>
      </c>
      <c r="F12" s="20" t="n">
        <v>6891.686</v>
      </c>
      <c r="G12" s="20" t="n">
        <v>6862.531</v>
      </c>
      <c r="H12" s="19" t="n">
        <v>7202.372</v>
      </c>
      <c r="I12" s="20" t="n">
        <v>6646.236</v>
      </c>
      <c r="J12" s="20" t="n">
        <v>6764.912</v>
      </c>
      <c r="K12" s="20" t="n">
        <v>7098.509</v>
      </c>
      <c r="L12" s="20" t="n">
        <v>6918.818</v>
      </c>
    </row>
    <row r="13">
      <c r="A13" s="18" t="inlineStr">
        <is>
          <t>무형자산</t>
        </is>
      </c>
      <c r="B13" s="10" t="n"/>
      <c r="C13" s="19" t="n">
        <v>57.114</v>
      </c>
      <c r="D13" s="20" t="n">
        <v>43.622</v>
      </c>
      <c r="E13" s="20" t="n">
        <v>40.089</v>
      </c>
      <c r="F13" s="20" t="n">
        <v>40.853</v>
      </c>
      <c r="G13" s="20" t="n">
        <v>56.34</v>
      </c>
      <c r="H13" s="19" t="n">
        <v>287.123</v>
      </c>
      <c r="I13" s="20" t="n">
        <v>212.931</v>
      </c>
      <c r="J13" s="20" t="n">
        <v>150.971</v>
      </c>
      <c r="K13" s="20" t="n">
        <v>88.444</v>
      </c>
      <c r="L13" s="20" t="n">
        <v>40.089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31092.499</v>
      </c>
      <c r="D16" s="12" t="n">
        <v>34736.116</v>
      </c>
      <c r="E16" s="12" t="n">
        <v>33050.34</v>
      </c>
      <c r="F16" s="12" t="n">
        <v>32150.492</v>
      </c>
      <c r="G16" s="12" t="n">
        <v>32526.655</v>
      </c>
      <c r="H16" s="11" t="n">
        <v>31039.251</v>
      </c>
      <c r="I16" s="12" t="n">
        <v>31386.587</v>
      </c>
      <c r="J16" s="12" t="n">
        <v>32889.06</v>
      </c>
      <c r="K16" s="12" t="n">
        <v>32796.273</v>
      </c>
      <c r="L16" s="12" t="n">
        <v>33050.34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6897.698</v>
      </c>
      <c r="D18" s="12" t="n">
        <v>10141.661</v>
      </c>
      <c r="E18" s="12" t="n">
        <v>7646.543</v>
      </c>
      <c r="F18" s="12" t="n">
        <v>7418.217</v>
      </c>
      <c r="G18" s="12" t="n">
        <v>7569.259</v>
      </c>
      <c r="H18" s="11" t="n">
        <v>7258.468</v>
      </c>
      <c r="I18" s="12" t="n">
        <v>7452.121</v>
      </c>
      <c r="J18" s="12" t="n">
        <v>8456.656000000001</v>
      </c>
      <c r="K18" s="12" t="n">
        <v>8800.412</v>
      </c>
      <c r="L18" s="12" t="n">
        <v>7646.543</v>
      </c>
    </row>
    <row r="19">
      <c r="A19" s="18" t="inlineStr">
        <is>
          <t>매입채무</t>
        </is>
      </c>
      <c r="B19" s="10" t="n"/>
      <c r="C19" s="19" t="n">
        <v>3068.21</v>
      </c>
      <c r="D19" s="20" t="n">
        <v>6225.862</v>
      </c>
      <c r="E19" s="20" t="n">
        <v>3650.679</v>
      </c>
      <c r="F19" s="20" t="n">
        <v>3634.115</v>
      </c>
      <c r="G19" s="20" t="n">
        <v>3580.648</v>
      </c>
      <c r="H19" s="19" t="n">
        <v>3086.621</v>
      </c>
      <c r="I19" s="20" t="n">
        <v>3236.195</v>
      </c>
      <c r="J19" s="20" t="n">
        <v>4287.838</v>
      </c>
      <c r="K19" s="20" t="n">
        <v>3321.595</v>
      </c>
      <c r="L19" s="20" t="n">
        <v>3650.679</v>
      </c>
    </row>
    <row r="20">
      <c r="A20" s="18" t="inlineStr">
        <is>
          <t>단기차입금</t>
        </is>
      </c>
      <c r="B20" s="10" t="n"/>
      <c r="C20" s="19" t="n">
        <v>1800</v>
      </c>
      <c r="D20" s="20" t="n">
        <v>1800</v>
      </c>
      <c r="E20" s="20" t="n">
        <v>1800</v>
      </c>
      <c r="F20" s="20" t="n">
        <v>1800</v>
      </c>
      <c r="G20" s="20" t="n">
        <v>1800</v>
      </c>
      <c r="H20" s="19" t="n">
        <v>2056.23</v>
      </c>
      <c r="I20" s="20" t="n">
        <v>2050</v>
      </c>
      <c r="J20" s="20" t="n">
        <v>2000</v>
      </c>
      <c r="K20" s="20" t="n">
        <v>3500</v>
      </c>
      <c r="L20" s="20" t="n">
        <v>1800</v>
      </c>
    </row>
    <row r="21">
      <c r="A21" s="18" t="inlineStr">
        <is>
          <t>유동성장기부채</t>
        </is>
      </c>
      <c r="B21" s="10" t="n"/>
      <c r="C21" s="19" t="n">
        <v>280.224</v>
      </c>
      <c r="D21" s="20" t="n">
        <v>265.924</v>
      </c>
      <c r="E21" s="20" t="n">
        <v>257.024</v>
      </c>
      <c r="F21" s="20" t="n">
        <v>257.024</v>
      </c>
      <c r="G21" s="20" t="n">
        <v>257.024</v>
      </c>
      <c r="H21" s="19" t="n">
        <v>408.752</v>
      </c>
      <c r="I21" s="20" t="n">
        <v>408.752</v>
      </c>
      <c r="J21" s="20" t="n">
        <v>404.91</v>
      </c>
      <c r="K21" s="20" t="n">
        <v>344.626</v>
      </c>
      <c r="L21" s="20" t="n">
        <v>257.024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1537.484</v>
      </c>
      <c r="D23" s="12" t="n">
        <v>1600.288</v>
      </c>
      <c r="E23" s="12" t="n">
        <v>1722.472</v>
      </c>
      <c r="F23" s="12" t="n">
        <v>1508.793</v>
      </c>
      <c r="G23" s="12" t="n">
        <v>1467.167</v>
      </c>
      <c r="H23" s="11" t="n">
        <v>2516.154</v>
      </c>
      <c r="I23" s="12" t="n">
        <v>2169.217</v>
      </c>
      <c r="J23" s="12" t="n">
        <v>2007.232</v>
      </c>
      <c r="K23" s="12" t="n">
        <v>1592.938</v>
      </c>
      <c r="L23" s="12" t="n">
        <v>1722.472</v>
      </c>
    </row>
    <row r="24">
      <c r="A24" s="18" t="inlineStr">
        <is>
          <t>장기차입금</t>
        </is>
      </c>
      <c r="B24" s="10" t="n"/>
      <c r="C24" s="19" t="n">
        <v>462.98</v>
      </c>
      <c r="D24" s="20" t="n">
        <v>398.724</v>
      </c>
      <c r="E24" s="20" t="n">
        <v>334.468</v>
      </c>
      <c r="F24" s="20" t="n">
        <v>270.212</v>
      </c>
      <c r="G24" s="20" t="n">
        <v>205.956</v>
      </c>
      <c r="H24" s="19" t="n">
        <v>1749.78</v>
      </c>
      <c r="I24" s="20" t="n">
        <v>1341.028</v>
      </c>
      <c r="J24" s="20" t="n">
        <v>939.698</v>
      </c>
      <c r="K24" s="20" t="n">
        <v>591.492</v>
      </c>
      <c r="L24" s="20" t="n">
        <v>334.468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8435.182000000001</v>
      </c>
      <c r="D27" s="12" t="n">
        <v>11741.95</v>
      </c>
      <c r="E27" s="12" t="n">
        <v>9369.014999999999</v>
      </c>
      <c r="F27" s="12" t="n">
        <v>8927.01</v>
      </c>
      <c r="G27" s="12" t="n">
        <v>9036.425999999999</v>
      </c>
      <c r="H27" s="11" t="n">
        <v>9774.623</v>
      </c>
      <c r="I27" s="12" t="n">
        <v>9621.338</v>
      </c>
      <c r="J27" s="12" t="n">
        <v>10463.889</v>
      </c>
      <c r="K27" s="12" t="n">
        <v>10393.351</v>
      </c>
      <c r="L27" s="12" t="n">
        <v>9369.014999999999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22657.316</v>
      </c>
      <c r="D31" s="12" t="n">
        <v>22994.166</v>
      </c>
      <c r="E31" s="12" t="n">
        <v>23681.324</v>
      </c>
      <c r="F31" s="12" t="n">
        <v>23223.481</v>
      </c>
      <c r="G31" s="12" t="n">
        <v>23490.228</v>
      </c>
      <c r="H31" s="11" t="n">
        <v>21264.628</v>
      </c>
      <c r="I31" s="12" t="n">
        <v>21765.249</v>
      </c>
      <c r="J31" s="12" t="n">
        <v>22425.171</v>
      </c>
      <c r="K31" s="12" t="n">
        <v>22402.922</v>
      </c>
      <c r="L31" s="12" t="n">
        <v>23681.324</v>
      </c>
    </row>
    <row r="32">
      <c r="A32" s="18" t="inlineStr">
        <is>
          <t>자본금</t>
        </is>
      </c>
      <c r="B32" s="10" t="n"/>
      <c r="C32" s="19" t="n">
        <v>1706</v>
      </c>
      <c r="D32" s="20" t="n">
        <v>1706</v>
      </c>
      <c r="E32" s="20" t="n">
        <v>1706</v>
      </c>
      <c r="F32" s="20" t="n">
        <v>1706</v>
      </c>
      <c r="G32" s="20" t="n">
        <v>1706</v>
      </c>
      <c r="H32" s="19" t="n">
        <v>1706</v>
      </c>
      <c r="I32" s="20" t="n">
        <v>1706</v>
      </c>
      <c r="J32" s="20" t="n">
        <v>1706</v>
      </c>
      <c r="K32" s="20" t="n">
        <v>1706</v>
      </c>
      <c r="L32" s="20" t="n">
        <v>1706</v>
      </c>
    </row>
    <row r="33">
      <c r="A33" s="18" t="inlineStr">
        <is>
          <t>이익잉여금</t>
        </is>
      </c>
      <c r="B33" s="10" t="n"/>
      <c r="C33" s="19" t="n">
        <v>17698.541</v>
      </c>
      <c r="D33" s="20" t="n">
        <v>17836.774</v>
      </c>
      <c r="E33" s="20" t="n">
        <v>18067.767</v>
      </c>
      <c r="F33" s="20" t="n">
        <v>18108.496</v>
      </c>
      <c r="G33" s="20" t="n">
        <v>18281.454</v>
      </c>
      <c r="H33" s="19" t="n">
        <v>17134.627</v>
      </c>
      <c r="I33" s="20" t="n">
        <v>17501.052</v>
      </c>
      <c r="J33" s="20" t="n">
        <v>17320.624</v>
      </c>
      <c r="K33" s="20" t="n">
        <v>17652.742</v>
      </c>
      <c r="L33" s="20" t="n">
        <v>18067.767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22657.316</v>
      </c>
      <c r="D35" s="12" t="n">
        <v>22994.166</v>
      </c>
      <c r="E35" s="12" t="n">
        <v>23681.324</v>
      </c>
      <c r="F35" s="12" t="n">
        <v>23223.481</v>
      </c>
      <c r="G35" s="12" t="n">
        <v>23490.228</v>
      </c>
      <c r="H35" s="11" t="n">
        <v>21264.628</v>
      </c>
      <c r="I35" s="12" t="n">
        <v>21765.249</v>
      </c>
      <c r="J35" s="12" t="n">
        <v>22425.171</v>
      </c>
      <c r="K35" s="12" t="n">
        <v>22402.922</v>
      </c>
      <c r="L35" s="12" t="n">
        <v>23681.324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325.948</v>
      </c>
      <c r="D37" s="12" t="n"/>
      <c r="E37" s="12" t="n">
        <v>353.826</v>
      </c>
      <c r="F37" s="12" t="n"/>
      <c r="G37" s="12" t="n">
        <v>540.877</v>
      </c>
      <c r="H37" s="11" t="n">
        <v>1136.751</v>
      </c>
      <c r="I37" s="12" t="n">
        <v>739.223</v>
      </c>
      <c r="J37" s="12" t="n">
        <v>1349.459</v>
      </c>
      <c r="K37" s="12" t="n">
        <v>43.845</v>
      </c>
      <c r="L37" s="12" t="n">
        <v>353.826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314.524</v>
      </c>
      <c r="D38" s="20" t="n"/>
      <c r="E38" s="20" t="n">
        <v>84.807</v>
      </c>
      <c r="F38" s="20" t="n"/>
      <c r="G38" s="20" t="n">
        <v>134.824</v>
      </c>
      <c r="H38" s="19" t="n">
        <v>1145.591</v>
      </c>
      <c r="I38" s="20" t="n">
        <v>61.65</v>
      </c>
      <c r="J38" s="20" t="n">
        <v>394.894</v>
      </c>
      <c r="K38" s="20" t="n">
        <v>600.574</v>
      </c>
      <c r="L38" s="20" t="n">
        <v>84.807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233.838</v>
      </c>
      <c r="D40" s="20" t="n"/>
      <c r="E40" s="20" t="n">
        <v>233.838</v>
      </c>
      <c r="F40" s="20" t="n"/>
      <c r="G40" s="20" t="n">
        <v>236.901</v>
      </c>
      <c r="H40" s="19" t="n">
        <v>297.551</v>
      </c>
      <c r="I40" s="20" t="n">
        <v>234.131</v>
      </c>
      <c r="J40" s="20" t="n">
        <v>194.866</v>
      </c>
      <c r="K40" s="20" t="n">
        <v>194.865</v>
      </c>
      <c r="L40" s="20" t="n">
        <v>233.838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IFERROR((IF(COUNT('연간'!G52:J52)&lt;4,"",SUM('연간'!G52:J52)))/(IF(COUNT('연간'!G74:J74)&lt;4,"",SUM('연간'!G74:J74))),"")</f>
        <v/>
      </c>
      <c r="D48" s="31">
        <f>IFERROR((IF(COUNT('연간'!H52:K52)&lt;4,"",SUM('연간'!H52:K52)))/(IF(COUNT('연간'!H74:K74)&lt;4,"",SUM('연간'!H74:K74))),"")</f>
        <v/>
      </c>
      <c r="E48" s="31">
        <f>IFERROR((IF(COUNT('연간'!I52:L52)&lt;4,"",SUM('연간'!I52:L52)))/(IF(COUNT('연간'!I74:L74)&lt;4,"",SUM('연간'!I74:L74))),"")</f>
        <v/>
      </c>
      <c r="F48" s="31">
        <f>IFERROR((IF(COUNT('연간'!J52:M52)&lt;4,"",SUM('연간'!J52:M52)))/(IF(COUNT('연간'!J74:M74)&lt;4,"",SUM('연간'!J74:M74))),"")</f>
        <v/>
      </c>
      <c r="G48" s="31">
        <f>IFERROR((IF(COUNT('연간'!K52:N52)&lt;4,"",SUM('연간'!K52:N52)))/(IF(COUNT('연간'!K74:N74)&lt;4,"",SUM('연간'!K74:N74))),"")</f>
        <v/>
      </c>
      <c r="H48" s="30">
        <f>IFERROR(('연간'!T52)/('연간'!T74),"")</f>
        <v/>
      </c>
      <c r="I48" s="31">
        <f>IFERROR(('연간'!U52)/('연간'!U74),"")</f>
        <v/>
      </c>
      <c r="J48" s="31">
        <f>IFERROR(('연간'!V52)/('연간'!V74),"")</f>
        <v/>
      </c>
      <c r="K48" s="31">
        <f>IFERROR(('연간'!W52)/('연간'!W74),"")</f>
        <v/>
      </c>
      <c r="L48" s="31">
        <f>IFERROR(('연간'!X52)/('연간'!X74),"")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IFERROR(IF((IF(COUNT('연간'!G82:J82)&lt;4,"",SUM('연간'!G82:J82)))&lt;=0,"적자",C28/(IF(COUNT('연간'!G82:J82)&lt;4,"",SUM('연간'!G82:J82)))),"")</f>
        <v/>
      </c>
      <c r="D49" s="47">
        <f>IFERROR(IF((IF(COUNT('연간'!H82:K82)&lt;4,"",SUM('연간'!H82:K82)))&lt;=0,"적자",D28/(IF(COUNT('연간'!H82:K82)&lt;4,"",SUM('연간'!H82:K82)))),"")</f>
        <v/>
      </c>
      <c r="E49" s="47">
        <f>IFERROR(IF((IF(COUNT('연간'!I82:L82)&lt;4,"",SUM('연간'!I82:L82)))&lt;=0,"적자",E28/(IF(COUNT('연간'!I82:L82)&lt;4,"",SUM('연간'!I82:L82)))),"")</f>
        <v/>
      </c>
      <c r="F49" s="47">
        <f>IFERROR(IF((IF(COUNT('연간'!J82:M82)&lt;4,"",SUM('연간'!J82:M82)))&lt;=0,"적자",F28/(IF(COUNT('연간'!J82:M82)&lt;4,"",SUM('연간'!J82:M82)))),"")</f>
        <v/>
      </c>
      <c r="G49" s="47">
        <f>IFERROR(IF((IF(COUNT('연간'!K82:N82)&lt;4,"",SUM('연간'!K82:N82)))&lt;=0,"적자",G28/(IF(COUNT('연간'!K82:N82)&lt;4,"",SUM('연간'!K82:N82)))),"")</f>
        <v/>
      </c>
      <c r="H49" s="46">
        <f>IFERROR(IF(('연간'!T82)&lt;=0,"적자",H28/('연간'!T82)),"")</f>
        <v/>
      </c>
      <c r="I49" s="47">
        <f>IFERROR(IF(('연간'!U82)&lt;=0,"적자",I28/('연간'!U82)),"")</f>
        <v/>
      </c>
      <c r="J49" s="47">
        <f>IFERROR(IF(('연간'!V82)&lt;=0,"적자",J28/('연간'!V82)),"")</f>
        <v/>
      </c>
      <c r="K49" s="47">
        <f>IFERROR(IF(('연간'!W82)&lt;=0,"적자",K28/('연간'!W82)),"")</f>
        <v/>
      </c>
      <c r="L49" s="47">
        <f>IFERROR(IF(('연간'!X82)&lt;=0,"적자",L28/('연간'!X82)),"")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IFERROR((IF(COUNT('연간'!G82:J82)&lt;4,"",SUM('연간'!G82:J82)))/C31,"")</f>
        <v/>
      </c>
      <c r="D51" s="36">
        <f>IFERROR((IF(COUNT('연간'!H82:K82)&lt;4,"",SUM('연간'!H82:K82)))/D31,"")</f>
        <v/>
      </c>
      <c r="E51" s="36">
        <f>IFERROR((IF(COUNT('연간'!I82:L82)&lt;4,"",SUM('연간'!I82:L82)))/E31,"")</f>
        <v/>
      </c>
      <c r="F51" s="36">
        <f>IFERROR((IF(COUNT('연간'!J82:M82)&lt;4,"",SUM('연간'!J82:M82)))/F31,"")</f>
        <v/>
      </c>
      <c r="G51" s="36">
        <f>IFERROR((IF(COUNT('연간'!K82:N82)&lt;4,"",SUM('연간'!K82:N82)))/G31,"")</f>
        <v/>
      </c>
      <c r="H51" s="35">
        <f>IFERROR(('연간'!T82)/H31,"")</f>
        <v/>
      </c>
      <c r="I51" s="36">
        <f>IFERROR(('연간'!U82)/I31,"")</f>
        <v/>
      </c>
      <c r="J51" s="36">
        <f>IFERROR(('연간'!V82)/J31,"")</f>
        <v/>
      </c>
      <c r="K51" s="36">
        <f>IFERROR(('연간'!W82)/K31,"")</f>
        <v/>
      </c>
      <c r="L51" s="36">
        <f>IFERROR(('연간'!X82)/L31,"")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IFERROR((IF(COUNT('연간'!G80:J80)&lt;4,"",SUM('연간'!G80:J80)))/C16,"")</f>
        <v/>
      </c>
      <c r="D52" s="36">
        <f>IFERROR((IF(COUNT('연간'!H80:K80)&lt;4,"",SUM('연간'!H80:K80)))/D16,"")</f>
        <v/>
      </c>
      <c r="E52" s="36">
        <f>IFERROR((IF(COUNT('연간'!I80:L80)&lt;4,"",SUM('연간'!I80:L80)))/E16,"")</f>
        <v/>
      </c>
      <c r="F52" s="36">
        <f>IFERROR((IF(COUNT('연간'!J80:M80)&lt;4,"",SUM('연간'!J80:M80)))/F16,"")</f>
        <v/>
      </c>
      <c r="G52" s="36">
        <f>IFERROR((IF(COUNT('연간'!K80:N80)&lt;4,"",SUM('연간'!K80:N80)))/G16,"")</f>
        <v/>
      </c>
      <c r="H52" s="35">
        <f>IFERROR(('연간'!T80)/H16,"")</f>
        <v/>
      </c>
      <c r="I52" s="36">
        <f>IFERROR(('연간'!U80)/I16,"")</f>
        <v/>
      </c>
      <c r="J52" s="36">
        <f>IFERROR(('연간'!V80)/J16,"")</f>
        <v/>
      </c>
      <c r="K52" s="36">
        <f>IFERROR(('연간'!W80)/K16,"")</f>
        <v/>
      </c>
      <c r="L52" s="36">
        <f>IFERROR(('연간'!X80)/L16,"")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IFERROR((IF(COUNT('연간'!G52:J52)&lt;4,"",SUM('연간'!G52:J52)))*(1-0.3)/(C35+C29),"")</f>
        <v/>
      </c>
      <c r="D53" s="36">
        <f>IFERROR((IF(COUNT('연간'!H52:K52)&lt;4,"",SUM('연간'!H52:K52)))*(1-0.3)/(D35+D29),"")</f>
        <v/>
      </c>
      <c r="E53" s="36">
        <f>IFERROR((IF(COUNT('연간'!I52:L52)&lt;4,"",SUM('연간'!I52:L52)))*(1-0.3)/(E35+E29),"")</f>
        <v/>
      </c>
      <c r="F53" s="36">
        <f>IFERROR((IF(COUNT('연간'!J52:M52)&lt;4,"",SUM('연간'!J52:M52)))*(1-0.3)/(F35+F29),"")</f>
        <v/>
      </c>
      <c r="G53" s="36">
        <f>IFERROR((IF(COUNT('연간'!K52:N52)&lt;4,"",SUM('연간'!K52:N52)))*(1-0.3)/(G35+G29),"")</f>
        <v/>
      </c>
      <c r="H53" s="35">
        <f>IFERROR(('연간'!T52)*(1-0.3)/(H35+H29),"")</f>
        <v/>
      </c>
      <c r="I53" s="36">
        <f>IFERROR(('연간'!U52)*(1-0.3)/(I35+I29),"")</f>
        <v/>
      </c>
      <c r="J53" s="36">
        <f>IFERROR(('연간'!V52)*(1-0.3)/(J35+J29),"")</f>
        <v/>
      </c>
      <c r="K53" s="36">
        <f>IFERROR(('연간'!W52)*(1-0.3)/(K35+K29),"")</f>
        <v/>
      </c>
      <c r="L53" s="36">
        <f>IFERROR(('연간'!X52)*(1-0.3)/(L35+L29),"")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IFERROR((IF(COUNT('연간'!G46:J46)&lt;4,"",SUM('연간'!G46:J46)))/(IF(COUNT('연간'!G4:J4)&lt;4,"",SUM('연간'!G4:J4))),"")</f>
        <v/>
      </c>
      <c r="D54" s="36">
        <f>IFERROR((IF(COUNT('연간'!H46:K46)&lt;4,"",SUM('연간'!H46:K46)))/(IF(COUNT('연간'!H4:K4)&lt;4,"",SUM('연간'!H4:K4))),"")</f>
        <v/>
      </c>
      <c r="E54" s="36">
        <f>IFERROR((IF(COUNT('연간'!I46:L46)&lt;4,"",SUM('연간'!I46:L46)))/(IF(COUNT('연간'!I4:L4)&lt;4,"",SUM('연간'!I4:L4))),"")</f>
        <v/>
      </c>
      <c r="F54" s="36">
        <f>IFERROR((IF(COUNT('연간'!J46:M46)&lt;4,"",SUM('연간'!J46:M46)))/(IF(COUNT('연간'!J4:M4)&lt;4,"",SUM('연간'!J4:M4))),"")</f>
        <v/>
      </c>
      <c r="G54" s="36">
        <f>IFERROR((IF(COUNT('연간'!K46:N46)&lt;4,"",SUM('연간'!K46:N46)))/(IF(COUNT('연간'!K4:N4)&lt;4,"",SUM('연간'!K4:N4))),"")</f>
        <v/>
      </c>
      <c r="H54" s="35">
        <f>IFERROR(('연간'!T46)/('연간'!T4),"")</f>
        <v/>
      </c>
      <c r="I54" s="36">
        <f>IFERROR(('연간'!U46)/('연간'!U4),"")</f>
        <v/>
      </c>
      <c r="J54" s="36">
        <f>IFERROR(('연간'!V46)/('연간'!V4),"")</f>
        <v/>
      </c>
      <c r="K54" s="36">
        <f>IFERROR(('연간'!W46)/('연간'!W4),"")</f>
        <v/>
      </c>
      <c r="L54" s="36">
        <f>IFERROR(('연간'!X46)/('연간'!X4),"")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IFERROR((IF(COUNT('연간'!G52:J52)&lt;4,"",SUM('연간'!G52:J52)))/(IF(COUNT('연간'!G4:J4)&lt;4,"",SUM('연간'!G4:J4))),"")</f>
        <v/>
      </c>
      <c r="D55" s="36">
        <f>IFERROR((IF(COUNT('연간'!H52:K52)&lt;4,"",SUM('연간'!H52:K52)))/(IF(COUNT('연간'!H4:K4)&lt;4,"",SUM('연간'!H4:K4))),"")</f>
        <v/>
      </c>
      <c r="E55" s="36">
        <f>IFERROR((IF(COUNT('연간'!I52:L52)&lt;4,"",SUM('연간'!I52:L52)))/(IF(COUNT('연간'!I4:L4)&lt;4,"",SUM('연간'!I4:L4))),"")</f>
        <v/>
      </c>
      <c r="F55" s="36">
        <f>IFERROR((IF(COUNT('연간'!J52:M52)&lt;4,"",SUM('연간'!J52:M52)))/(IF(COUNT('연간'!J4:M4)&lt;4,"",SUM('연간'!J4:M4))),"")</f>
        <v/>
      </c>
      <c r="G55" s="36">
        <f>IFERROR((IF(COUNT('연간'!K52:N52)&lt;4,"",SUM('연간'!K52:N52)))/(IF(COUNT('연간'!K4:N4)&lt;4,"",SUM('연간'!K4:N4))),"")</f>
        <v/>
      </c>
      <c r="H55" s="35">
        <f>IFERROR(('연간'!T52)/('연간'!T4),"")</f>
        <v/>
      </c>
      <c r="I55" s="36">
        <f>IFERROR(('연간'!U52)/('연간'!U4),"")</f>
        <v/>
      </c>
      <c r="J55" s="36">
        <f>IFERROR(('연간'!V52)/('연간'!V4),"")</f>
        <v/>
      </c>
      <c r="K55" s="36">
        <f>IFERROR(('연간'!W52)/('연간'!W4),"")</f>
        <v/>
      </c>
      <c r="L55" s="36">
        <f>IFERROR(('연간'!X52)/('연간'!X4),"")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IFERROR((IF(COUNT('연간'!G80:J80)&lt;4,"",SUM('연간'!G80:J80)))/(IF(COUNT('연간'!G4:J4)&lt;4,"",SUM('연간'!G4:J4))),"")</f>
        <v/>
      </c>
      <c r="D56" s="36">
        <f>IFERROR((IF(COUNT('연간'!H80:K80)&lt;4,"",SUM('연간'!H80:K80)))/(IF(COUNT('연간'!H4:K4)&lt;4,"",SUM('연간'!H4:K4))),"")</f>
        <v/>
      </c>
      <c r="E56" s="36">
        <f>IFERROR((IF(COUNT('연간'!I80:L80)&lt;4,"",SUM('연간'!I80:L80)))/(IF(COUNT('연간'!I4:L4)&lt;4,"",SUM('연간'!I4:L4))),"")</f>
        <v/>
      </c>
      <c r="F56" s="36">
        <f>IFERROR((IF(COUNT('연간'!J80:M80)&lt;4,"",SUM('연간'!J80:M80)))/(IF(COUNT('연간'!J4:M4)&lt;4,"",SUM('연간'!J4:M4))),"")</f>
        <v/>
      </c>
      <c r="G56" s="36">
        <f>IFERROR((IF(COUNT('연간'!K80:N80)&lt;4,"",SUM('연간'!K80:N80)))/(IF(COUNT('연간'!K4:N4)&lt;4,"",SUM('연간'!K4:N4))),"")</f>
        <v/>
      </c>
      <c r="H56" s="35">
        <f>IFERROR(('연간'!T80)/('연간'!T4),"")</f>
        <v/>
      </c>
      <c r="I56" s="36">
        <f>IFERROR(('연간'!U80)/('연간'!U4),"")</f>
        <v/>
      </c>
      <c r="J56" s="36">
        <f>IFERROR(('연간'!V80)/('연간'!V4),"")</f>
        <v/>
      </c>
      <c r="K56" s="36">
        <f>IFERROR(('연간'!W80)/('연간'!W4),"")</f>
        <v/>
      </c>
      <c r="L56" s="36">
        <f>IFERROR(('연간'!X80)/('연간'!X4),"")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IFERROR(C9/(IF(COUNT('연간'!G44:J44)&lt;4,"",SUM('연간'!G44:J44)))*365,"")</f>
        <v/>
      </c>
      <c r="D60" s="49">
        <f>IFERROR(D9/(IF(COUNT('연간'!H44:K44)&lt;4,"",SUM('연간'!H44:K44)))*365,"")</f>
        <v/>
      </c>
      <c r="E60" s="49">
        <f>IFERROR(E9/(IF(COUNT('연간'!I44:L44)&lt;4,"",SUM('연간'!I44:L44)))*365,"")</f>
        <v/>
      </c>
      <c r="F60" s="49">
        <f>IFERROR(F9/(IF(COUNT('연간'!J44:M44)&lt;4,"",SUM('연간'!J44:M44)))*365,"")</f>
        <v/>
      </c>
      <c r="G60" s="49">
        <f>IFERROR(G9/(IF(COUNT('연간'!K44:N44)&lt;4,"",SUM('연간'!K44:N44)))*365,"")</f>
        <v/>
      </c>
      <c r="H60" s="48">
        <f>IFERROR(H9/('연간'!T44)*365,"")</f>
        <v/>
      </c>
      <c r="I60" s="49">
        <f>IFERROR(I9/('연간'!U44)*365,"")</f>
        <v/>
      </c>
      <c r="J60" s="49">
        <f>IFERROR(J9/('연간'!V44)*365,"")</f>
        <v/>
      </c>
      <c r="K60" s="49">
        <f>IFERROR(K9/('연간'!W44)*365,"")</f>
        <v/>
      </c>
      <c r="L60" s="49">
        <f>IFERROR(L9/('연간'!X44)*365,"")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IFERROR(C19/(IF(COUNT('연간'!G44:J44)&lt;4,"",SUM('연간'!G44:J44)))*365,"")</f>
        <v/>
      </c>
      <c r="D61" s="49">
        <f>IFERROR(D19/(IF(COUNT('연간'!H44:K44)&lt;4,"",SUM('연간'!H44:K44)))*365,"")</f>
        <v/>
      </c>
      <c r="E61" s="49">
        <f>IFERROR(E19/(IF(COUNT('연간'!I44:L44)&lt;4,"",SUM('연간'!I44:L44)))*365,"")</f>
        <v/>
      </c>
      <c r="F61" s="49">
        <f>IFERROR(F19/(IF(COUNT('연간'!J44:M44)&lt;4,"",SUM('연간'!J44:M44)))*365,"")</f>
        <v/>
      </c>
      <c r="G61" s="49">
        <f>IFERROR(G19/(IF(COUNT('연간'!K44:N44)&lt;4,"",SUM('연간'!K44:N44)))*365,"")</f>
        <v/>
      </c>
      <c r="H61" s="48">
        <f>IFERROR(H19/('연간'!T44)*365,"")</f>
        <v/>
      </c>
      <c r="I61" s="49">
        <f>IFERROR(I19/('연간'!U44)*365,"")</f>
        <v/>
      </c>
      <c r="J61" s="49">
        <f>IFERROR(J19/('연간'!V44)*365,"")</f>
        <v/>
      </c>
      <c r="K61" s="49">
        <f>IFERROR(K19/('연간'!W44)*365,"")</f>
        <v/>
      </c>
      <c r="L61" s="49">
        <f>IFERROR(L19/('연간'!X44)*365,"")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IF(C37="","",IFERROR(C37/(IF(COUNT('연간'!G80:J80)&lt;4,"",SUM('연간'!G80:J80))),""))</f>
        <v/>
      </c>
      <c r="D64" s="31">
        <f>IF(D37="","",IFERROR(D37/(IF(COUNT('연간'!H80:K80)&lt;4,"",SUM('연간'!H80:K80))),""))</f>
        <v/>
      </c>
      <c r="E64" s="31">
        <f>IF(E37="","",IFERROR(E37/(IF(COUNT('연간'!I80:L80)&lt;4,"",SUM('연간'!I80:L80))),""))</f>
        <v/>
      </c>
      <c r="F64" s="31">
        <f>IF(F37="","",IFERROR(F37/(IF(COUNT('연간'!J80:M80)&lt;4,"",SUM('연간'!J80:M80))),""))</f>
        <v/>
      </c>
      <c r="G64" s="31">
        <f>IF(G37="","",IFERROR(G37/(IF(COUNT('연간'!K80:N80)&lt;4,"",SUM('연간'!K80:N80))),""))</f>
        <v/>
      </c>
      <c r="H64" s="30">
        <f>IF(H37="","",IFERROR(H37/('연간'!T80),""))</f>
        <v/>
      </c>
      <c r="I64" s="31">
        <f>IF(I37="","",IFERROR(I37/('연간'!U80),""))</f>
        <v/>
      </c>
      <c r="J64" s="31">
        <f>IF(J37="","",IFERROR(J37/('연간'!V80),""))</f>
        <v/>
      </c>
      <c r="K64" s="31">
        <f>IF(K37="","",IFERROR(K37/('연간'!W80),""))</f>
        <v/>
      </c>
      <c r="L64" s="31">
        <f>IF(L37="","",IFERROR(L37/('연간'!X80),""))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IF(C40="","",IFERROR(C40/(IF(COUNT('연간'!G82:J82)&lt;4,"",SUM('연간'!G82:J82))),""))</f>
        <v/>
      </c>
      <c r="D67" s="36">
        <f>IF(D40="","",IFERROR(D40/(IF(COUNT('연간'!H82:K82)&lt;4,"",SUM('연간'!H82:K82))),""))</f>
        <v/>
      </c>
      <c r="E67" s="36">
        <f>IF(E40="","",IFERROR(E40/(IF(COUNT('연간'!I82:L82)&lt;4,"",SUM('연간'!I82:L82))),""))</f>
        <v/>
      </c>
      <c r="F67" s="36">
        <f>IF(F40="","",IFERROR(F40/(IF(COUNT('연간'!J82:M82)&lt;4,"",SUM('연간'!J82:M82))),""))</f>
        <v/>
      </c>
      <c r="G67" s="36">
        <f>IF(G40="","",IFERROR(G40/(IF(COUNT('연간'!K82:N82)&lt;4,"",SUM('연간'!K82:N82))),""))</f>
        <v/>
      </c>
      <c r="H67" s="35">
        <f>IF(H40="","",IFERROR(H40/('연간'!T82),""))</f>
        <v/>
      </c>
      <c r="I67" s="36">
        <f>IF(I40="","",IFERROR(I40/('연간'!U82),""))</f>
        <v/>
      </c>
      <c r="J67" s="36">
        <f>IF(J40="","",IFERROR(J40/('연간'!V82),""))</f>
        <v/>
      </c>
      <c r="K67" s="36">
        <f>IF(K40="","",IFERROR(K40/('연간'!W82),""))</f>
        <v/>
      </c>
      <c r="L67" s="36">
        <f>IF(L40="","",IFERROR(L40/('연간'!X82),""))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5045.894</v>
      </c>
      <c r="D71" s="20" t="n">
        <v>4591.114</v>
      </c>
      <c r="E71" s="20" t="n">
        <v>5411.508</v>
      </c>
      <c r="F71" s="20" t="n">
        <v>3792.116</v>
      </c>
      <c r="G71" s="20" t="n">
        <v>4550.631</v>
      </c>
      <c r="H71" s="20" t="n">
        <v>4998.991</v>
      </c>
      <c r="I71" s="20" t="n">
        <v>5762.29</v>
      </c>
      <c r="J71" s="20" t="n">
        <v>6438.782</v>
      </c>
      <c r="K71" s="20" t="n">
        <v>7250.595</v>
      </c>
      <c r="L71" s="20" t="n">
        <v>5411.508</v>
      </c>
    </row>
    <row r="72">
      <c r="A72" s="18" t="inlineStr">
        <is>
          <t>받을어음·매출채권</t>
        </is>
      </c>
      <c r="C72" s="20" t="n">
        <v>6707.215</v>
      </c>
      <c r="D72" s="20" t="n">
        <v>8799.071</v>
      </c>
      <c r="E72" s="20" t="n">
        <v>7760.341</v>
      </c>
      <c r="F72" s="20" t="n">
        <v>7154.602</v>
      </c>
      <c r="G72" s="20" t="n">
        <v>7351.777</v>
      </c>
      <c r="H72" s="20" t="n">
        <v>7983.257</v>
      </c>
      <c r="I72" s="20" t="n">
        <v>7122.395</v>
      </c>
      <c r="J72" s="20" t="n">
        <v>7500.808</v>
      </c>
      <c r="K72" s="20" t="n">
        <v>7039.375</v>
      </c>
      <c r="L72" s="20" t="n">
        <v>7760.341</v>
      </c>
    </row>
    <row r="73">
      <c r="A73" s="18" t="inlineStr">
        <is>
          <t>전자기록채권</t>
        </is>
      </c>
      <c r="C73" s="20" t="n">
        <v>1887.035</v>
      </c>
      <c r="D73" s="20" t="n">
        <v>2219.797</v>
      </c>
      <c r="E73" s="20" t="n">
        <v>1770.151</v>
      </c>
      <c r="F73" s="20" t="n">
        <v>2314.787</v>
      </c>
      <c r="G73" s="20" t="n">
        <v>1986.5</v>
      </c>
      <c r="H73" s="20" t="n">
        <v>1478.971</v>
      </c>
      <c r="I73" s="20" t="n">
        <v>1546.317</v>
      </c>
      <c r="J73" s="20" t="n">
        <v>1570.783</v>
      </c>
      <c r="K73" s="20" t="n">
        <v>1580.186</v>
      </c>
      <c r="L73" s="20" t="n">
        <v>1770.151</v>
      </c>
    </row>
    <row r="74">
      <c r="A74" s="18" t="inlineStr">
        <is>
          <t>상품·제품</t>
        </is>
      </c>
      <c r="C74" s="20" t="n">
        <v>4976.27</v>
      </c>
      <c r="D74" s="20" t="n">
        <v>6231.548</v>
      </c>
      <c r="E74" s="20" t="n">
        <v>4779.068</v>
      </c>
      <c r="F74" s="20" t="n">
        <v>5811.051</v>
      </c>
      <c r="G74" s="20" t="n">
        <v>5394.184</v>
      </c>
      <c r="H74" s="20" t="n">
        <v>4398.269</v>
      </c>
      <c r="I74" s="20" t="n">
        <v>5398.017</v>
      </c>
      <c r="J74" s="20" t="n">
        <v>4603.883</v>
      </c>
      <c r="K74" s="20" t="n">
        <v>4530.768</v>
      </c>
      <c r="L74" s="20" t="n">
        <v>4779.068</v>
      </c>
    </row>
    <row r="75">
      <c r="A75" s="18" t="inlineStr">
        <is>
          <t>재공품</t>
        </is>
      </c>
      <c r="C75" s="20" t="n">
        <v>16.095</v>
      </c>
      <c r="D75" s="20" t="n">
        <v>17.854</v>
      </c>
      <c r="E75" s="20" t="n">
        <v>27.263</v>
      </c>
      <c r="F75" s="20" t="n">
        <v>29.37</v>
      </c>
      <c r="G75" s="20" t="n">
        <v>52.023</v>
      </c>
      <c r="H75" s="20" t="n">
        <v>21.442</v>
      </c>
      <c r="I75" s="20" t="n">
        <v>22.104</v>
      </c>
      <c r="J75" s="20" t="n">
        <v>20.685</v>
      </c>
      <c r="K75" s="20" t="n">
        <v>18.605</v>
      </c>
      <c r="L75" s="20" t="n">
        <v>27.263</v>
      </c>
    </row>
    <row r="76">
      <c r="A76" s="18" t="inlineStr">
        <is>
          <t>원재료</t>
        </is>
      </c>
      <c r="C76" s="20" t="n">
        <v>263.23</v>
      </c>
      <c r="D76" s="20" t="n">
        <v>194.636</v>
      </c>
      <c r="E76" s="20" t="n">
        <v>207.957</v>
      </c>
      <c r="F76" s="20" t="n">
        <v>361.702</v>
      </c>
      <c r="G76" s="20" t="n">
        <v>322.181</v>
      </c>
      <c r="H76" s="20" t="n">
        <v>168.983</v>
      </c>
      <c r="I76" s="20" t="n">
        <v>109.472</v>
      </c>
      <c r="J76" s="20" t="n">
        <v>190.329</v>
      </c>
      <c r="K76" s="20" t="n">
        <v>216.216</v>
      </c>
      <c r="L76" s="20" t="n">
        <v>207.957</v>
      </c>
    </row>
    <row r="77">
      <c r="A77" s="18" t="inlineStr">
        <is>
          <t>기타</t>
        </is>
      </c>
      <c r="C77" s="20" t="n">
        <v>134.557</v>
      </c>
      <c r="D77" s="20" t="n">
        <v>324.093</v>
      </c>
      <c r="E77" s="20" t="n">
        <v>159.492</v>
      </c>
      <c r="F77" s="20" t="n">
        <v>144.191</v>
      </c>
      <c r="G77" s="20" t="n">
        <v>155.53</v>
      </c>
      <c r="H77" s="20" t="n">
        <v>300.531</v>
      </c>
      <c r="I77" s="20" t="n">
        <v>115.914</v>
      </c>
      <c r="J77" s="20" t="n">
        <v>142.013</v>
      </c>
      <c r="K77" s="20" t="n">
        <v>147.892</v>
      </c>
      <c r="L77" s="20" t="n">
        <v>159.492</v>
      </c>
    </row>
    <row r="78">
      <c r="A78" s="18" t="inlineStr">
        <is>
          <t>대손충당금</t>
        </is>
      </c>
      <c r="H78" s="20" t="n">
        <v>0</v>
      </c>
    </row>
    <row r="79">
      <c r="A79" s="9" t="inlineStr">
        <is>
          <t>유동자산 합계</t>
        </is>
      </c>
      <c r="C79" s="12" t="n">
        <v>19030.299</v>
      </c>
      <c r="D79" s="12" t="n">
        <v>22378.116</v>
      </c>
      <c r="E79" s="12" t="n">
        <v>20115.783</v>
      </c>
      <c r="F79" s="12" t="n">
        <v>19607.823</v>
      </c>
      <c r="G79" s="12" t="n">
        <v>19812.829</v>
      </c>
      <c r="H79" s="12" t="n">
        <v>19350.447</v>
      </c>
      <c r="I79" s="12" t="n">
        <v>20076.513</v>
      </c>
      <c r="J79" s="12" t="n">
        <v>20467.286</v>
      </c>
      <c r="K79" s="12" t="n">
        <v>20783.639</v>
      </c>
      <c r="L79" s="12" t="n">
        <v>20115.783</v>
      </c>
    </row>
    <row r="80">
      <c r="A80" s="18" t="inlineStr">
        <is>
          <t>건물·구축물</t>
        </is>
      </c>
      <c r="E80" s="20" t="n">
        <v>7714.325</v>
      </c>
      <c r="H80" s="20" t="n">
        <v>7237.214</v>
      </c>
      <c r="I80" s="20" t="n">
        <v>6788.746</v>
      </c>
      <c r="J80" s="20" t="n">
        <v>6832.03</v>
      </c>
      <c r="K80" s="20" t="n">
        <v>7693.584</v>
      </c>
      <c r="L80" s="20" t="n">
        <v>7714.325</v>
      </c>
    </row>
    <row r="81">
      <c r="A81" s="18" t="inlineStr">
        <is>
          <t>감가상각누계액</t>
        </is>
      </c>
      <c r="E81" s="20" t="n">
        <v>-3641.419</v>
      </c>
      <c r="H81" s="20" t="n">
        <v>-3098.294</v>
      </c>
      <c r="I81" s="20" t="n">
        <v>-2947.998</v>
      </c>
      <c r="J81" s="20" t="n">
        <v>-3169.939</v>
      </c>
      <c r="K81" s="20" t="n">
        <v>-3407.743</v>
      </c>
      <c r="L81" s="20" t="n">
        <v>-3641.419</v>
      </c>
    </row>
    <row r="82">
      <c r="A82" s="18" t="inlineStr">
        <is>
          <t>건물·구축물(순액)</t>
        </is>
      </c>
      <c r="C82" s="20" t="n">
        <v>4183.381</v>
      </c>
      <c r="D82" s="20" t="n">
        <v>4119.602</v>
      </c>
      <c r="E82" s="20" t="n">
        <v>4072.906</v>
      </c>
      <c r="F82" s="20" t="n">
        <v>4048.612</v>
      </c>
      <c r="G82" s="20" t="n">
        <v>4043.695</v>
      </c>
      <c r="H82" s="20" t="n">
        <v>4138.92</v>
      </c>
      <c r="I82" s="20" t="n">
        <v>3840.747</v>
      </c>
      <c r="J82" s="20" t="n">
        <v>3662.091</v>
      </c>
      <c r="K82" s="20" t="n">
        <v>4285.84</v>
      </c>
      <c r="L82" s="20" t="n">
        <v>4072.906</v>
      </c>
    </row>
    <row r="83">
      <c r="A83" s="18" t="inlineStr">
        <is>
          <t>기계장치·운반구</t>
        </is>
      </c>
      <c r="E83" s="20" t="n">
        <v>390.17</v>
      </c>
      <c r="H83" s="20" t="n">
        <v>339.428</v>
      </c>
      <c r="I83" s="20" t="n">
        <v>365.394</v>
      </c>
      <c r="J83" s="20" t="n">
        <v>371.589</v>
      </c>
      <c r="K83" s="20" t="n">
        <v>374.07</v>
      </c>
      <c r="L83" s="20" t="n">
        <v>390.17</v>
      </c>
    </row>
    <row r="84">
      <c r="A84" s="18" t="inlineStr">
        <is>
          <t>감가상각누계액</t>
        </is>
      </c>
      <c r="E84" s="20" t="n">
        <v>-358.807</v>
      </c>
      <c r="H84" s="20" t="n">
        <v>-269.099</v>
      </c>
      <c r="I84" s="20" t="n">
        <v>-290.803</v>
      </c>
      <c r="J84" s="20" t="n">
        <v>-317.109</v>
      </c>
      <c r="K84" s="20" t="n">
        <v>-337.115</v>
      </c>
      <c r="L84" s="20" t="n">
        <v>-358.807</v>
      </c>
    </row>
    <row r="85">
      <c r="A85" s="18" t="inlineStr">
        <is>
          <t>기계장치·운반구(순액)</t>
        </is>
      </c>
      <c r="E85" s="20" t="n">
        <v>31.363</v>
      </c>
      <c r="H85" s="20" t="n">
        <v>70.328</v>
      </c>
      <c r="I85" s="20" t="n">
        <v>74.59</v>
      </c>
      <c r="J85" s="20" t="n">
        <v>54.479</v>
      </c>
      <c r="K85" s="20" t="n">
        <v>36.954</v>
      </c>
      <c r="L85" s="20" t="n">
        <v>31.363</v>
      </c>
    </row>
    <row r="86">
      <c r="A86" s="18" t="inlineStr">
        <is>
          <t>토지</t>
        </is>
      </c>
      <c r="C86" s="20" t="n">
        <v>2516.342</v>
      </c>
      <c r="D86" s="20" t="n">
        <v>2516.342</v>
      </c>
      <c r="E86" s="20" t="n">
        <v>2516.342</v>
      </c>
      <c r="F86" s="20" t="n">
        <v>2516.342</v>
      </c>
      <c r="G86" s="20" t="n">
        <v>2516.342</v>
      </c>
      <c r="H86" s="20" t="n">
        <v>2782.27</v>
      </c>
      <c r="I86" s="20" t="n">
        <v>2516.342</v>
      </c>
      <c r="J86" s="20" t="n">
        <v>2516.342</v>
      </c>
      <c r="K86" s="20" t="n">
        <v>2516.342</v>
      </c>
      <c r="L86" s="20" t="n">
        <v>2516.342</v>
      </c>
    </row>
    <row r="87">
      <c r="A87" s="18" t="inlineStr">
        <is>
          <t>건설중인자산</t>
        </is>
      </c>
      <c r="H87" s="20" t="n">
        <v>0</v>
      </c>
      <c r="I87" s="20" t="n">
        <v>0</v>
      </c>
      <c r="J87" s="20" t="n">
        <v>292.6</v>
      </c>
      <c r="K87" s="20" t="n">
        <v>0</v>
      </c>
    </row>
    <row r="88">
      <c r="A88" s="18" t="inlineStr">
        <is>
          <t>기타</t>
        </is>
      </c>
      <c r="E88" s="20" t="n">
        <v>1451.435</v>
      </c>
      <c r="H88" s="20" t="n">
        <v>1293.155</v>
      </c>
      <c r="I88" s="20" t="n">
        <v>1333.885</v>
      </c>
      <c r="J88" s="20" t="n">
        <v>1333.416</v>
      </c>
      <c r="K88" s="20" t="n">
        <v>1380.154</v>
      </c>
      <c r="L88" s="20" t="n">
        <v>1451.435</v>
      </c>
    </row>
    <row r="89">
      <c r="A89" s="18" t="inlineStr">
        <is>
          <t>감가상각누계액</t>
        </is>
      </c>
      <c r="E89" s="20" t="n">
        <v>-1153.228</v>
      </c>
      <c r="H89" s="20" t="n">
        <v>-1082.301</v>
      </c>
      <c r="I89" s="20" t="n">
        <v>-1119.329</v>
      </c>
      <c r="J89" s="20" t="n">
        <v>-1094.016</v>
      </c>
      <c r="K89" s="20" t="n">
        <v>-1120.783</v>
      </c>
      <c r="L89" s="20" t="n">
        <v>-1153.228</v>
      </c>
    </row>
    <row r="90">
      <c r="A90" s="18" t="inlineStr">
        <is>
          <t>기타(순액)</t>
        </is>
      </c>
      <c r="C90" s="20" t="n">
        <v>295.665</v>
      </c>
      <c r="D90" s="20" t="n">
        <v>347.43</v>
      </c>
      <c r="E90" s="20" t="n">
        <v>329.569</v>
      </c>
      <c r="F90" s="20" t="n">
        <v>326.731</v>
      </c>
      <c r="G90" s="20" t="n">
        <v>302.492</v>
      </c>
      <c r="H90" s="20" t="n">
        <v>210.853</v>
      </c>
      <c r="I90" s="20" t="n">
        <v>214.556</v>
      </c>
      <c r="J90" s="20" t="n">
        <v>239.399</v>
      </c>
      <c r="K90" s="20" t="n">
        <v>259.371</v>
      </c>
      <c r="L90" s="20" t="n">
        <v>329.569</v>
      </c>
    </row>
    <row r="91">
      <c r="A91" s="18" t="inlineStr">
        <is>
          <t>유형자산 합계</t>
        </is>
      </c>
      <c r="C91" s="20" t="n">
        <v>6995.389</v>
      </c>
      <c r="D91" s="20" t="n">
        <v>6983.376</v>
      </c>
      <c r="E91" s="20" t="n">
        <v>6918.818</v>
      </c>
      <c r="F91" s="20" t="n">
        <v>6891.686</v>
      </c>
      <c r="G91" s="20" t="n">
        <v>6862.531</v>
      </c>
      <c r="H91" s="20" t="n">
        <v>7202.372</v>
      </c>
      <c r="I91" s="20" t="n">
        <v>6646.236</v>
      </c>
      <c r="J91" s="20" t="n">
        <v>6764.912</v>
      </c>
      <c r="K91" s="20" t="n">
        <v>7098.509</v>
      </c>
      <c r="L91" s="20" t="n">
        <v>6918.818</v>
      </c>
    </row>
    <row r="92">
      <c r="A92" s="18" t="inlineStr">
        <is>
          <t>영업권</t>
        </is>
      </c>
      <c r="C92" s="20" t="n">
        <v>18.785</v>
      </c>
      <c r="D92" s="20" t="n">
        <v>4.696</v>
      </c>
      <c r="E92" s="20" t="n">
        <v>0</v>
      </c>
      <c r="H92" s="20" t="n">
        <v>249.1</v>
      </c>
      <c r="I92" s="20" t="n">
        <v>173.848</v>
      </c>
      <c r="J92" s="20" t="n">
        <v>103.32</v>
      </c>
      <c r="K92" s="20" t="n">
        <v>46.963</v>
      </c>
      <c r="L92" s="20" t="n">
        <v>0</v>
      </c>
    </row>
    <row r="93">
      <c r="A93" s="18" t="inlineStr">
        <is>
          <t>기타</t>
        </is>
      </c>
      <c r="C93" s="20" t="n">
        <v>38.328</v>
      </c>
      <c r="D93" s="20" t="n">
        <v>38.926</v>
      </c>
      <c r="E93" s="20" t="n">
        <v>40.089</v>
      </c>
      <c r="F93" s="20" t="n">
        <v>40.853</v>
      </c>
      <c r="G93" s="20" t="n">
        <v>56.34</v>
      </c>
      <c r="H93" s="20" t="n">
        <v>38.022</v>
      </c>
      <c r="I93" s="20" t="n">
        <v>39.083</v>
      </c>
      <c r="J93" s="20" t="n">
        <v>47.651</v>
      </c>
      <c r="K93" s="20" t="n">
        <v>41.48</v>
      </c>
      <c r="L93" s="20" t="n">
        <v>40.089</v>
      </c>
    </row>
    <row r="94">
      <c r="A94" s="18" t="inlineStr">
        <is>
          <t>무형자산 합계</t>
        </is>
      </c>
      <c r="C94" s="20" t="n">
        <v>57.114</v>
      </c>
      <c r="D94" s="20" t="n">
        <v>43.622</v>
      </c>
      <c r="E94" s="20" t="n">
        <v>40.089</v>
      </c>
      <c r="F94" s="20" t="n">
        <v>40.853</v>
      </c>
      <c r="G94" s="20" t="n">
        <v>56.34</v>
      </c>
      <c r="H94" s="20" t="n">
        <v>287.123</v>
      </c>
      <c r="I94" s="20" t="n">
        <v>212.931</v>
      </c>
      <c r="J94" s="20" t="n">
        <v>150.971</v>
      </c>
      <c r="K94" s="20" t="n">
        <v>88.444</v>
      </c>
      <c r="L94" s="20" t="n">
        <v>40.089</v>
      </c>
    </row>
    <row r="95">
      <c r="A95" s="18" t="inlineStr">
        <is>
          <t>투자유가증권</t>
        </is>
      </c>
      <c r="C95" s="20" t="n">
        <v>3716.64</v>
      </c>
      <c r="D95" s="20" t="n">
        <v>4038.091</v>
      </c>
      <c r="E95" s="20" t="n">
        <v>4080.969</v>
      </c>
      <c r="F95" s="20" t="n">
        <v>3704.192</v>
      </c>
      <c r="G95" s="20" t="n">
        <v>3887.576</v>
      </c>
      <c r="H95" s="20" t="n">
        <v>3599.47</v>
      </c>
      <c r="I95" s="20" t="n">
        <v>3782.758</v>
      </c>
      <c r="J95" s="20" t="n">
        <v>4373.878</v>
      </c>
      <c r="K95" s="20" t="n">
        <v>3582.469</v>
      </c>
      <c r="L95" s="20" t="n">
        <v>4080.969</v>
      </c>
    </row>
    <row r="96">
      <c r="A96" s="18" t="inlineStr">
        <is>
          <t>장기대여금</t>
        </is>
      </c>
      <c r="E96" s="20" t="n">
        <v>5.01</v>
      </c>
      <c r="H96" s="20" t="n">
        <v>1</v>
      </c>
      <c r="I96" s="20" t="n">
        <v>1.12</v>
      </c>
      <c r="J96" s="20" t="n">
        <v>2.14</v>
      </c>
      <c r="K96" s="20" t="n">
        <v>4.04</v>
      </c>
      <c r="L96" s="20" t="n">
        <v>5.01</v>
      </c>
    </row>
    <row r="97">
      <c r="A97" s="18" t="inlineStr">
        <is>
          <t>퇴직급여자산</t>
        </is>
      </c>
      <c r="E97" s="20" t="n">
        <v>1661.615</v>
      </c>
      <c r="H97" s="20" t="n">
        <v>392.807</v>
      </c>
      <c r="I97" s="20" t="n">
        <v>457.135</v>
      </c>
      <c r="J97" s="20" t="n">
        <v>905.545</v>
      </c>
      <c r="K97" s="20" t="n">
        <v>1056.002</v>
      </c>
      <c r="L97" s="20" t="n">
        <v>1661.615</v>
      </c>
    </row>
    <row r="98">
      <c r="A98" s="18" t="inlineStr">
        <is>
          <t>이연법인세자산</t>
        </is>
      </c>
      <c r="E98" s="20" t="n">
        <v>84.084</v>
      </c>
      <c r="H98" s="20" t="n">
        <v>35.927</v>
      </c>
      <c r="I98" s="20" t="n">
        <v>42.772</v>
      </c>
      <c r="J98" s="20" t="n">
        <v>53.003</v>
      </c>
      <c r="K98" s="20" t="n">
        <v>54.04</v>
      </c>
      <c r="L98" s="20" t="n">
        <v>84.084</v>
      </c>
    </row>
    <row r="99">
      <c r="A99" s="18" t="inlineStr">
        <is>
          <t>기타</t>
        </is>
      </c>
      <c r="C99" s="20" t="n">
        <v>1297.155</v>
      </c>
      <c r="D99" s="20" t="n">
        <v>1297.009</v>
      </c>
      <c r="E99" s="20" t="n">
        <v>1898.779</v>
      </c>
      <c r="F99" s="20" t="n">
        <v>1910.036</v>
      </c>
      <c r="G99" s="20" t="n">
        <v>1911.477</v>
      </c>
      <c r="H99" s="20" t="n">
        <v>174.202</v>
      </c>
      <c r="I99" s="20" t="n">
        <v>171.218</v>
      </c>
      <c r="J99" s="20" t="n">
        <v>175.423</v>
      </c>
      <c r="K99" s="20" t="n">
        <v>133.228</v>
      </c>
      <c r="L99" s="20" t="n">
        <v>1898.779</v>
      </c>
    </row>
    <row r="100">
      <c r="A100" s="18" t="inlineStr">
        <is>
          <t>대손충당금</t>
        </is>
      </c>
      <c r="C100" s="20" t="n">
        <v>-4.1</v>
      </c>
      <c r="D100" s="20" t="n">
        <v>-4.1</v>
      </c>
      <c r="E100" s="20" t="n">
        <v>-4.1</v>
      </c>
      <c r="F100" s="20" t="n">
        <v>-4.1</v>
      </c>
      <c r="G100" s="20" t="n">
        <v>-4.1</v>
      </c>
      <c r="H100" s="20" t="n">
        <v>-4.1</v>
      </c>
      <c r="I100" s="20" t="n">
        <v>-4.1</v>
      </c>
      <c r="J100" s="20" t="n">
        <v>-4.1</v>
      </c>
      <c r="K100" s="20" t="n">
        <v>-4.1</v>
      </c>
      <c r="L100" s="20" t="n">
        <v>-4.1</v>
      </c>
    </row>
    <row r="101">
      <c r="A101" s="18" t="inlineStr">
        <is>
          <t>투자 및 기타자산 합계</t>
        </is>
      </c>
      <c r="C101" s="20" t="n">
        <v>5009.696</v>
      </c>
      <c r="D101" s="20" t="n">
        <v>5331.001</v>
      </c>
      <c r="E101" s="20" t="n">
        <v>5975.648</v>
      </c>
      <c r="F101" s="20" t="n">
        <v>5610.129</v>
      </c>
      <c r="G101" s="20" t="n">
        <v>5794.954</v>
      </c>
      <c r="H101" s="20" t="n">
        <v>4199.308</v>
      </c>
      <c r="I101" s="20" t="n">
        <v>4450.904</v>
      </c>
      <c r="J101" s="20" t="n">
        <v>5505.889</v>
      </c>
      <c r="K101" s="20" t="n">
        <v>4825.68</v>
      </c>
      <c r="L101" s="20" t="n">
        <v>5975.648</v>
      </c>
    </row>
    <row r="102">
      <c r="A102" s="9" t="inlineStr">
        <is>
          <t>비유동자산 합계</t>
        </is>
      </c>
      <c r="C102" s="12" t="n">
        <v>12062.2</v>
      </c>
      <c r="D102" s="12" t="n">
        <v>12357.999</v>
      </c>
      <c r="E102" s="12" t="n">
        <v>12934.556</v>
      </c>
      <c r="F102" s="12" t="n">
        <v>12542.668</v>
      </c>
      <c r="G102" s="12" t="n">
        <v>12713.825</v>
      </c>
      <c r="H102" s="12" t="n">
        <v>11688.804</v>
      </c>
      <c r="I102" s="12" t="n">
        <v>11310.073</v>
      </c>
      <c r="J102" s="12" t="n">
        <v>12421.774</v>
      </c>
      <c r="K102" s="12" t="n">
        <v>12012.634</v>
      </c>
      <c r="L102" s="12" t="n">
        <v>12934.556</v>
      </c>
    </row>
    <row r="103">
      <c r="A103" s="9" t="inlineStr">
        <is>
          <t>자산 합계</t>
        </is>
      </c>
      <c r="C103" s="12" t="n">
        <v>31092.499</v>
      </c>
      <c r="D103" s="12" t="n">
        <v>34736.116</v>
      </c>
      <c r="E103" s="12" t="n">
        <v>33050.34</v>
      </c>
      <c r="F103" s="12" t="n">
        <v>32150.492</v>
      </c>
      <c r="G103" s="12" t="n">
        <v>32526.655</v>
      </c>
      <c r="H103" s="12" t="n">
        <v>31039.251</v>
      </c>
      <c r="I103" s="12" t="n">
        <v>31386.587</v>
      </c>
      <c r="J103" s="12" t="n">
        <v>32889.06</v>
      </c>
      <c r="K103" s="12" t="n">
        <v>32796.273</v>
      </c>
      <c r="L103" s="12" t="n">
        <v>33050.34</v>
      </c>
    </row>
    <row r="104">
      <c r="A104" s="18" t="inlineStr">
        <is>
          <t>지급어음·매입채무</t>
        </is>
      </c>
      <c r="C104" s="20" t="n">
        <v>3068.21</v>
      </c>
      <c r="D104" s="20" t="n">
        <v>6225.862</v>
      </c>
      <c r="E104" s="20" t="n">
        <v>3650.679</v>
      </c>
      <c r="F104" s="20" t="n">
        <v>3634.115</v>
      </c>
      <c r="G104" s="20" t="n">
        <v>3580.648</v>
      </c>
      <c r="H104" s="20" t="n">
        <v>3086.621</v>
      </c>
      <c r="I104" s="20" t="n">
        <v>3236.195</v>
      </c>
      <c r="J104" s="20" t="n">
        <v>4287.838</v>
      </c>
      <c r="K104" s="20" t="n">
        <v>3321.595</v>
      </c>
      <c r="L104" s="20" t="n">
        <v>3650.679</v>
      </c>
    </row>
    <row r="105">
      <c r="A105" s="18" t="inlineStr">
        <is>
          <t>단기차입금</t>
        </is>
      </c>
      <c r="C105" s="20" t="n">
        <v>1800</v>
      </c>
      <c r="D105" s="20" t="n">
        <v>1800</v>
      </c>
      <c r="E105" s="20" t="n">
        <v>1800</v>
      </c>
      <c r="F105" s="20" t="n">
        <v>1800</v>
      </c>
      <c r="G105" s="20" t="n">
        <v>1800</v>
      </c>
      <c r="H105" s="20" t="n">
        <v>2056.23</v>
      </c>
      <c r="I105" s="20" t="n">
        <v>2050</v>
      </c>
      <c r="J105" s="20" t="n">
        <v>2000</v>
      </c>
      <c r="K105" s="20" t="n">
        <v>3500</v>
      </c>
      <c r="L105" s="20" t="n">
        <v>1800</v>
      </c>
    </row>
    <row r="106">
      <c r="A106" s="18" t="inlineStr">
        <is>
          <t>1년 내 상환 장기차입금</t>
        </is>
      </c>
      <c r="C106" s="20" t="n">
        <v>280.224</v>
      </c>
      <c r="D106" s="20" t="n">
        <v>265.924</v>
      </c>
      <c r="E106" s="20" t="n">
        <v>257.024</v>
      </c>
      <c r="F106" s="20" t="n">
        <v>257.024</v>
      </c>
      <c r="G106" s="20" t="n">
        <v>257.024</v>
      </c>
      <c r="H106" s="20" t="n">
        <v>408.752</v>
      </c>
      <c r="I106" s="20" t="n">
        <v>408.752</v>
      </c>
      <c r="J106" s="20" t="n">
        <v>404.91</v>
      </c>
      <c r="K106" s="20" t="n">
        <v>344.626</v>
      </c>
      <c r="L106" s="20" t="n">
        <v>257.024</v>
      </c>
    </row>
    <row r="107">
      <c r="A107" s="18" t="inlineStr">
        <is>
          <t>미지급법인세</t>
        </is>
      </c>
      <c r="C107" s="20" t="n">
        <v>258.489</v>
      </c>
      <c r="D107" s="20" t="n">
        <v>255.872</v>
      </c>
      <c r="E107" s="20" t="n">
        <v>229.427</v>
      </c>
      <c r="F107" s="20" t="n">
        <v>184.693</v>
      </c>
      <c r="G107" s="20" t="n">
        <v>319.068</v>
      </c>
      <c r="H107" s="20" t="n">
        <v>240.645</v>
      </c>
      <c r="I107" s="20" t="n">
        <v>224.832</v>
      </c>
      <c r="J107" s="20" t="n">
        <v>178.142</v>
      </c>
      <c r="K107" s="20" t="n">
        <v>180.281</v>
      </c>
      <c r="L107" s="20" t="n">
        <v>229.427</v>
      </c>
    </row>
    <row r="108">
      <c r="A108" s="18" t="inlineStr">
        <is>
          <t>상여충당금</t>
        </is>
      </c>
      <c r="C108" s="20" t="n">
        <v>235.805</v>
      </c>
      <c r="D108" s="20" t="n">
        <v>113.94</v>
      </c>
      <c r="E108" s="20" t="n">
        <v>225.646</v>
      </c>
      <c r="F108" s="20" t="n">
        <v>121.932</v>
      </c>
      <c r="G108" s="20" t="n">
        <v>243.885</v>
      </c>
      <c r="H108" s="20" t="n">
        <v>238.499</v>
      </c>
      <c r="I108" s="20" t="n">
        <v>232.109</v>
      </c>
      <c r="J108" s="20" t="n">
        <v>228.904</v>
      </c>
      <c r="K108" s="20" t="n">
        <v>231.206</v>
      </c>
      <c r="L108" s="20" t="n">
        <v>225.646</v>
      </c>
    </row>
    <row r="109">
      <c r="A109" s="18" t="inlineStr">
        <is>
          <t>임원 상여충당금</t>
        </is>
      </c>
      <c r="E109" s="20" t="n">
        <v>26.4</v>
      </c>
      <c r="H109" s="20" t="n">
        <v>35.45</v>
      </c>
      <c r="I109" s="20" t="n">
        <v>31.15</v>
      </c>
      <c r="J109" s="20" t="n">
        <v>9.699999999999999</v>
      </c>
      <c r="K109" s="20" t="n">
        <v>21.4</v>
      </c>
      <c r="L109" s="20" t="n">
        <v>26.4</v>
      </c>
    </row>
    <row r="110">
      <c r="A110" s="18" t="inlineStr">
        <is>
          <t>기타</t>
        </is>
      </c>
      <c r="C110" s="20" t="n">
        <v>1254.968</v>
      </c>
      <c r="D110" s="20" t="n">
        <v>1480.062</v>
      </c>
      <c r="E110" s="20" t="n">
        <v>1483.766</v>
      </c>
      <c r="F110" s="20" t="n">
        <v>1420.452</v>
      </c>
      <c r="G110" s="20" t="n">
        <v>1368.633</v>
      </c>
      <c r="H110" s="20" t="n">
        <v>1192.271</v>
      </c>
      <c r="I110" s="20" t="n">
        <v>1269.082</v>
      </c>
      <c r="J110" s="20" t="n">
        <v>1347.162</v>
      </c>
      <c r="K110" s="20" t="n">
        <v>1201.303</v>
      </c>
      <c r="L110" s="20" t="n">
        <v>1483.766</v>
      </c>
    </row>
    <row r="111">
      <c r="A111" s="9" t="inlineStr">
        <is>
          <t>유동부채 합계</t>
        </is>
      </c>
      <c r="C111" s="12" t="n">
        <v>6897.698</v>
      </c>
      <c r="D111" s="12" t="n">
        <v>10141.661</v>
      </c>
      <c r="E111" s="12" t="n">
        <v>7646.543</v>
      </c>
      <c r="F111" s="12" t="n">
        <v>7418.217</v>
      </c>
      <c r="G111" s="12" t="n">
        <v>7569.259</v>
      </c>
      <c r="H111" s="12" t="n">
        <v>7258.468</v>
      </c>
      <c r="I111" s="12" t="n">
        <v>7452.121</v>
      </c>
      <c r="J111" s="12" t="n">
        <v>8456.656000000001</v>
      </c>
      <c r="K111" s="12" t="n">
        <v>8800.412</v>
      </c>
      <c r="L111" s="12" t="n">
        <v>7646.543</v>
      </c>
    </row>
    <row r="112">
      <c r="A112" s="18" t="inlineStr">
        <is>
          <t>장기차입금</t>
        </is>
      </c>
      <c r="C112" s="20" t="n">
        <v>462.98</v>
      </c>
      <c r="D112" s="20" t="n">
        <v>398.724</v>
      </c>
      <c r="E112" s="20" t="n">
        <v>334.468</v>
      </c>
      <c r="F112" s="20" t="n">
        <v>270.212</v>
      </c>
      <c r="G112" s="20" t="n">
        <v>205.956</v>
      </c>
      <c r="H112" s="20" t="n">
        <v>1749.78</v>
      </c>
      <c r="I112" s="20" t="n">
        <v>1341.028</v>
      </c>
      <c r="J112" s="20" t="n">
        <v>939.698</v>
      </c>
      <c r="K112" s="20" t="n">
        <v>591.492</v>
      </c>
      <c r="L112" s="20" t="n">
        <v>334.468</v>
      </c>
    </row>
    <row r="113">
      <c r="A113" s="18" t="inlineStr">
        <is>
          <t>임원 주식급여 충당금</t>
        </is>
      </c>
      <c r="C113" s="20" t="n">
        <v>68.625</v>
      </c>
      <c r="D113" s="20" t="n">
        <v>74.00700000000001</v>
      </c>
      <c r="E113" s="20" t="n">
        <v>78.63</v>
      </c>
      <c r="F113" s="20" t="n">
        <v>83.76000000000001</v>
      </c>
      <c r="G113" s="20" t="n">
        <v>89.524</v>
      </c>
      <c r="H113" s="20" t="n">
        <v>41.377</v>
      </c>
      <c r="I113" s="20" t="n">
        <v>55.181</v>
      </c>
      <c r="J113" s="20" t="n">
        <v>56.889</v>
      </c>
      <c r="K113" s="20" t="n">
        <v>60.058</v>
      </c>
      <c r="L113" s="20" t="n">
        <v>78.63</v>
      </c>
    </row>
    <row r="114">
      <c r="A114" s="18" t="inlineStr">
        <is>
          <t>퇴직급여부채</t>
        </is>
      </c>
      <c r="C114" s="20" t="n">
        <v>113.368</v>
      </c>
      <c r="D114" s="20" t="n">
        <v>112.622</v>
      </c>
      <c r="E114" s="20" t="n">
        <v>44.063</v>
      </c>
      <c r="F114" s="20" t="n">
        <v>43.839</v>
      </c>
      <c r="G114" s="20" t="n">
        <v>37.979</v>
      </c>
      <c r="H114" s="20" t="n">
        <v>214.534</v>
      </c>
      <c r="I114" s="20" t="n">
        <v>201.762</v>
      </c>
      <c r="J114" s="20" t="n">
        <v>154.742</v>
      </c>
      <c r="K114" s="20" t="n">
        <v>116.668</v>
      </c>
      <c r="L114" s="20" t="n">
        <v>44.063</v>
      </c>
    </row>
    <row r="115">
      <c r="A115" s="18" t="inlineStr">
        <is>
          <t>이연법인세부채</t>
        </is>
      </c>
      <c r="E115" s="20" t="n">
        <v>1015.795</v>
      </c>
      <c r="H115" s="20" t="n">
        <v>296.056</v>
      </c>
      <c r="I115" s="20" t="n">
        <v>363.321</v>
      </c>
      <c r="J115" s="20" t="n">
        <v>642.886</v>
      </c>
      <c r="K115" s="20" t="n">
        <v>595.342</v>
      </c>
      <c r="L115" s="20" t="n">
        <v>1015.795</v>
      </c>
    </row>
    <row r="116">
      <c r="A116" s="18" t="inlineStr">
        <is>
          <t>기타</t>
        </is>
      </c>
      <c r="C116" s="20" t="n">
        <v>892.51</v>
      </c>
      <c r="D116" s="20" t="n">
        <v>1014.934</v>
      </c>
      <c r="E116" s="20" t="n">
        <v>1265.309</v>
      </c>
      <c r="F116" s="20" t="n">
        <v>1110.981</v>
      </c>
      <c r="G116" s="20" t="n">
        <v>1133.707</v>
      </c>
      <c r="H116" s="20" t="n">
        <v>214.405</v>
      </c>
      <c r="I116" s="20" t="n">
        <v>207.922</v>
      </c>
      <c r="J116" s="20" t="n">
        <v>213.015</v>
      </c>
      <c r="K116" s="20" t="n">
        <v>229.376</v>
      </c>
      <c r="L116" s="20" t="n">
        <v>1265.309</v>
      </c>
    </row>
    <row r="117">
      <c r="A117" s="9" t="inlineStr">
        <is>
          <t>비유동부채 합계</t>
        </is>
      </c>
      <c r="C117" s="12" t="n">
        <v>1537.484</v>
      </c>
      <c r="D117" s="12" t="n">
        <v>1600.288</v>
      </c>
      <c r="E117" s="12" t="n">
        <v>1722.472</v>
      </c>
      <c r="F117" s="12" t="n">
        <v>1508.793</v>
      </c>
      <c r="G117" s="12" t="n">
        <v>1467.167</v>
      </c>
      <c r="H117" s="12" t="n">
        <v>2516.154</v>
      </c>
      <c r="I117" s="12" t="n">
        <v>2169.217</v>
      </c>
      <c r="J117" s="12" t="n">
        <v>2007.232</v>
      </c>
      <c r="K117" s="12" t="n">
        <v>1592.938</v>
      </c>
      <c r="L117" s="12" t="n">
        <v>1722.472</v>
      </c>
    </row>
    <row r="118">
      <c r="A118" s="9" t="inlineStr">
        <is>
          <t>부채 합계</t>
        </is>
      </c>
      <c r="C118" s="12" t="n">
        <v>8435.182000000001</v>
      </c>
      <c r="D118" s="12" t="n">
        <v>11741.95</v>
      </c>
      <c r="E118" s="12" t="n">
        <v>9369.014999999999</v>
      </c>
      <c r="F118" s="12" t="n">
        <v>8927.01</v>
      </c>
      <c r="G118" s="12" t="n">
        <v>9036.425999999999</v>
      </c>
      <c r="H118" s="12" t="n">
        <v>9774.623</v>
      </c>
      <c r="I118" s="12" t="n">
        <v>9621.338</v>
      </c>
      <c r="J118" s="12" t="n">
        <v>10463.889</v>
      </c>
      <c r="K118" s="12" t="n">
        <v>10393.351</v>
      </c>
      <c r="L118" s="12" t="n">
        <v>9369.014999999999</v>
      </c>
    </row>
    <row r="119">
      <c r="A119" s="18" t="inlineStr">
        <is>
          <t>자본금</t>
        </is>
      </c>
      <c r="C119" s="20" t="n">
        <v>1706</v>
      </c>
      <c r="D119" s="20" t="n">
        <v>1706</v>
      </c>
      <c r="E119" s="20" t="n">
        <v>1706</v>
      </c>
      <c r="F119" s="20" t="n">
        <v>1706</v>
      </c>
      <c r="G119" s="20" t="n">
        <v>1706</v>
      </c>
      <c r="H119" s="20" t="n">
        <v>1706</v>
      </c>
      <c r="I119" s="20" t="n">
        <v>1706</v>
      </c>
      <c r="J119" s="20" t="n">
        <v>1706</v>
      </c>
      <c r="K119" s="20" t="n">
        <v>1706</v>
      </c>
      <c r="L119" s="20" t="n">
        <v>1706</v>
      </c>
    </row>
    <row r="120">
      <c r="A120" s="18" t="inlineStr">
        <is>
          <t>자본잉여금</t>
        </is>
      </c>
      <c r="C120" s="20" t="n">
        <v>1269</v>
      </c>
      <c r="D120" s="20" t="n">
        <v>1269</v>
      </c>
      <c r="E120" s="20" t="n">
        <v>1269</v>
      </c>
      <c r="F120" s="20" t="n">
        <v>1269</v>
      </c>
      <c r="G120" s="20" t="n">
        <v>1269</v>
      </c>
      <c r="H120" s="20" t="n">
        <v>1269</v>
      </c>
      <c r="I120" s="20" t="n">
        <v>1269</v>
      </c>
      <c r="J120" s="20" t="n">
        <v>1269</v>
      </c>
      <c r="K120" s="20" t="n">
        <v>1269</v>
      </c>
      <c r="L120" s="20" t="n">
        <v>1269</v>
      </c>
    </row>
    <row r="121">
      <c r="A121" s="18" t="inlineStr">
        <is>
          <t>이익잉여금</t>
        </is>
      </c>
      <c r="C121" s="20" t="n">
        <v>17698.541</v>
      </c>
      <c r="D121" s="20" t="n">
        <v>17836.774</v>
      </c>
      <c r="E121" s="20" t="n">
        <v>18067.767</v>
      </c>
      <c r="F121" s="20" t="n">
        <v>18108.496</v>
      </c>
      <c r="G121" s="20" t="n">
        <v>18281.454</v>
      </c>
      <c r="H121" s="20" t="n">
        <v>17134.627</v>
      </c>
      <c r="I121" s="20" t="n">
        <v>17501.052</v>
      </c>
      <c r="J121" s="20" t="n">
        <v>17320.624</v>
      </c>
      <c r="K121" s="20" t="n">
        <v>17652.742</v>
      </c>
      <c r="L121" s="20" t="n">
        <v>18067.767</v>
      </c>
    </row>
    <row r="122">
      <c r="A122" s="18" t="inlineStr">
        <is>
          <t>자기주식</t>
        </is>
      </c>
      <c r="C122" s="20" t="n">
        <v>-385.158</v>
      </c>
      <c r="D122" s="20" t="n">
        <v>-385.158</v>
      </c>
      <c r="E122" s="20" t="n">
        <v>-386.884</v>
      </c>
      <c r="F122" s="20" t="n">
        <v>-609.8339999999999</v>
      </c>
      <c r="G122" s="20" t="n">
        <v>-609.8339999999999</v>
      </c>
      <c r="H122" s="20" t="n">
        <v>-437.88</v>
      </c>
      <c r="I122" s="20" t="n">
        <v>-443.042</v>
      </c>
      <c r="J122" s="20" t="n">
        <v>-434.719</v>
      </c>
      <c r="K122" s="20" t="n">
        <v>-428.297</v>
      </c>
      <c r="L122" s="20" t="n">
        <v>-386.884</v>
      </c>
    </row>
    <row r="123">
      <c r="A123" s="9" t="inlineStr">
        <is>
          <t>주주자본 합계</t>
        </is>
      </c>
      <c r="C123" s="12" t="n">
        <v>20288.383</v>
      </c>
      <c r="D123" s="12" t="n">
        <v>20426.616</v>
      </c>
      <c r="E123" s="12" t="n">
        <v>20655.882</v>
      </c>
      <c r="F123" s="12" t="n">
        <v>20473.662</v>
      </c>
      <c r="G123" s="12" t="n">
        <v>20646.62</v>
      </c>
      <c r="H123" s="12" t="n">
        <v>19671.747</v>
      </c>
      <c r="I123" s="12" t="n">
        <v>20033.009</v>
      </c>
      <c r="J123" s="12" t="n">
        <v>19860.904</v>
      </c>
      <c r="K123" s="12" t="n">
        <v>20199.444</v>
      </c>
      <c r="L123" s="12" t="n">
        <v>20655.882</v>
      </c>
    </row>
    <row r="124">
      <c r="A124" s="18" t="inlineStr">
        <is>
          <t>기타유가증권 평가차액</t>
        </is>
      </c>
      <c r="C124" s="20" t="n">
        <v>1894.361</v>
      </c>
      <c r="D124" s="20" t="n">
        <v>2108.651</v>
      </c>
      <c r="E124" s="20" t="n">
        <v>2136.43</v>
      </c>
      <c r="F124" s="20" t="n">
        <v>1889.993</v>
      </c>
      <c r="G124" s="20" t="n">
        <v>2011.667</v>
      </c>
      <c r="H124" s="20" t="n">
        <v>1478.093</v>
      </c>
      <c r="I124" s="20" t="n">
        <v>1579.997</v>
      </c>
      <c r="J124" s="20" t="n">
        <v>2098.159</v>
      </c>
      <c r="K124" s="20" t="n">
        <v>1697.198</v>
      </c>
      <c r="L124" s="20" t="n">
        <v>2136.43</v>
      </c>
    </row>
    <row r="125">
      <c r="A125" s="18" t="inlineStr">
        <is>
          <t>이연헤지손익</t>
        </is>
      </c>
      <c r="C125" s="20" t="n">
        <v>0</v>
      </c>
      <c r="D125" s="20" t="n">
        <v>0.185</v>
      </c>
      <c r="E125" s="20" t="n">
        <v>1.266</v>
      </c>
      <c r="F125" s="20" t="n">
        <v>0</v>
      </c>
      <c r="G125" s="20" t="n">
        <v>0.035</v>
      </c>
      <c r="H125" s="20" t="n">
        <v>0</v>
      </c>
      <c r="I125" s="20" t="n">
        <v>0</v>
      </c>
      <c r="J125" s="20" t="n">
        <v>0</v>
      </c>
      <c r="K125" s="20" t="n">
        <v>-0.013</v>
      </c>
      <c r="L125" s="20" t="n">
        <v>1.266</v>
      </c>
    </row>
    <row r="126">
      <c r="A126" s="18" t="inlineStr">
        <is>
          <t>퇴직급여 조정누계액</t>
        </is>
      </c>
      <c r="C126" s="20" t="n">
        <v>474.572</v>
      </c>
      <c r="D126" s="20" t="n">
        <v>458.712</v>
      </c>
      <c r="E126" s="20" t="n">
        <v>887.744</v>
      </c>
      <c r="F126" s="20" t="n">
        <v>859.825</v>
      </c>
      <c r="G126" s="20" t="n">
        <v>831.905</v>
      </c>
      <c r="H126" s="20" t="n">
        <v>114.787</v>
      </c>
      <c r="I126" s="20" t="n">
        <v>152.242</v>
      </c>
      <c r="J126" s="20" t="n">
        <v>466.107</v>
      </c>
      <c r="K126" s="20" t="n">
        <v>506.291</v>
      </c>
      <c r="L126" s="20" t="n">
        <v>887.744</v>
      </c>
    </row>
    <row r="127">
      <c r="A127" s="18" t="inlineStr">
        <is>
          <t>기타포괄손익누계액 합계</t>
        </is>
      </c>
      <c r="C127" s="20" t="n">
        <v>2368.933</v>
      </c>
      <c r="D127" s="20" t="n">
        <v>2567.55</v>
      </c>
      <c r="E127" s="20" t="n">
        <v>3025.441</v>
      </c>
      <c r="F127" s="20" t="n">
        <v>2749.818</v>
      </c>
      <c r="G127" s="20" t="n">
        <v>2843.608</v>
      </c>
      <c r="H127" s="20" t="n">
        <v>1592.88</v>
      </c>
      <c r="I127" s="20" t="n">
        <v>1732.239</v>
      </c>
      <c r="J127" s="20" t="n">
        <v>2564.266</v>
      </c>
      <c r="K127" s="20" t="n">
        <v>2203.477</v>
      </c>
      <c r="L127" s="20" t="n">
        <v>3025.441</v>
      </c>
    </row>
    <row r="128">
      <c r="A128" s="9" t="inlineStr">
        <is>
          <t>순자산 합계</t>
        </is>
      </c>
      <c r="C128" s="12" t="n">
        <v>22657.316</v>
      </c>
      <c r="D128" s="12" t="n">
        <v>22994.166</v>
      </c>
      <c r="E128" s="12" t="n">
        <v>23681.324</v>
      </c>
      <c r="F128" s="12" t="n">
        <v>23223.481</v>
      </c>
      <c r="G128" s="12" t="n">
        <v>23490.228</v>
      </c>
      <c r="H128" s="12" t="n">
        <v>21264.628</v>
      </c>
      <c r="I128" s="12" t="n">
        <v>21765.249</v>
      </c>
      <c r="J128" s="12" t="n">
        <v>22425.171</v>
      </c>
      <c r="K128" s="12" t="n">
        <v>22402.922</v>
      </c>
      <c r="L128" s="12" t="n">
        <v>23681.324</v>
      </c>
    </row>
    <row r="129">
      <c r="A129" s="9" t="inlineStr">
        <is>
          <t>부채·순자산 합계</t>
        </is>
      </c>
      <c r="C129" s="12" t="n">
        <v>31092.499</v>
      </c>
      <c r="D129" s="12" t="n">
        <v>34736.116</v>
      </c>
      <c r="E129" s="12" t="n">
        <v>33050.34</v>
      </c>
      <c r="F129" s="12" t="n">
        <v>32150.492</v>
      </c>
      <c r="G129" s="12" t="n">
        <v>32526.655</v>
      </c>
      <c r="H129" s="12" t="n">
        <v>31039.251</v>
      </c>
      <c r="I129" s="12" t="n">
        <v>31386.587</v>
      </c>
      <c r="J129" s="12" t="n">
        <v>32889.06</v>
      </c>
      <c r="K129" s="12" t="n">
        <v>32796.273</v>
      </c>
      <c r="L129" s="12" t="n">
        <v>33050.34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7442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193.5</v>
      </c>
      <c r="C7" s="57" t="n">
        <v>200.8</v>
      </c>
      <c r="D7" s="57" t="n">
        <v>204.7</v>
      </c>
      <c r="E7" s="57" t="n">
        <v>207.8</v>
      </c>
      <c r="F7" s="57" t="n">
        <v>201.2</v>
      </c>
    </row>
    <row r="8">
      <c r="A8" s="54" t="inlineStr">
        <is>
          <t>cash</t>
        </is>
      </c>
      <c r="B8" s="57" t="n">
        <v>50</v>
      </c>
      <c r="C8" s="57" t="n">
        <v>57.6</v>
      </c>
      <c r="D8" s="57" t="n">
        <v>64.40000000000001</v>
      </c>
      <c r="E8" s="57" t="n">
        <v>72.5</v>
      </c>
      <c r="F8" s="57" t="n">
        <v>54.1</v>
      </c>
    </row>
    <row r="9">
      <c r="A9" s="54" t="inlineStr">
        <is>
          <t>st fin</t>
        </is>
      </c>
      <c r="B9" s="58" t="n"/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79.8</v>
      </c>
      <c r="C10" s="57" t="n">
        <v>71.2</v>
      </c>
      <c r="D10" s="57" t="n">
        <v>75</v>
      </c>
      <c r="E10" s="57" t="n">
        <v>70.40000000000001</v>
      </c>
      <c r="F10" s="57" t="n">
        <v>77.59999999999999</v>
      </c>
    </row>
    <row r="11">
      <c r="A11" s="54" t="inlineStr">
        <is>
          <t>inventory</t>
        </is>
      </c>
      <c r="B11" s="57" t="n">
        <v>45.9</v>
      </c>
      <c r="C11" s="57" t="n">
        <v>55.3</v>
      </c>
      <c r="D11" s="57" t="n">
        <v>48.1</v>
      </c>
      <c r="E11" s="57" t="n">
        <v>47.7</v>
      </c>
      <c r="F11" s="57" t="n">
        <v>50.1</v>
      </c>
    </row>
    <row r="12">
      <c r="A12" s="54" t="inlineStr">
        <is>
          <t>noncurrent assets</t>
        </is>
      </c>
      <c r="B12" s="57" t="n">
        <v>116.9</v>
      </c>
      <c r="C12" s="57" t="n">
        <v>113.1</v>
      </c>
      <c r="D12" s="57" t="n">
        <v>124.2</v>
      </c>
      <c r="E12" s="57" t="n">
        <v>120.1</v>
      </c>
      <c r="F12" s="57" t="n">
        <v>129.3</v>
      </c>
    </row>
    <row r="13">
      <c r="A13" s="54" t="inlineStr">
        <is>
          <t>ppe</t>
        </is>
      </c>
      <c r="B13" s="57" t="n">
        <v>72</v>
      </c>
      <c r="C13" s="57" t="n">
        <v>66.5</v>
      </c>
      <c r="D13" s="57" t="n">
        <v>67.59999999999999</v>
      </c>
      <c r="E13" s="57" t="n">
        <v>71</v>
      </c>
      <c r="F13" s="57" t="n">
        <v>69.2</v>
      </c>
    </row>
    <row r="14">
      <c r="A14" s="54" t="inlineStr">
        <is>
          <t>intangibles</t>
        </is>
      </c>
      <c r="B14" s="57" t="n">
        <v>2.9</v>
      </c>
      <c r="C14" s="57" t="n">
        <v>2.1</v>
      </c>
      <c r="D14" s="57" t="n">
        <v>1.5</v>
      </c>
      <c r="E14" s="57" t="n">
        <v>0.9</v>
      </c>
      <c r="F14" s="57" t="n">
        <v>0.4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310.4</v>
      </c>
      <c r="C16" s="57" t="n">
        <v>313.9</v>
      </c>
      <c r="D16" s="57" t="n">
        <v>328.9</v>
      </c>
      <c r="E16" s="57" t="n">
        <v>328</v>
      </c>
      <c r="F16" s="57" t="n">
        <v>330.5</v>
      </c>
    </row>
    <row r="17">
      <c r="A17" s="54" t="inlineStr">
        <is>
          <t>current liab</t>
        </is>
      </c>
      <c r="B17" s="57" t="n">
        <v>72.59999999999999</v>
      </c>
      <c r="C17" s="57" t="n">
        <v>74.5</v>
      </c>
      <c r="D17" s="57" t="n">
        <v>84.59999999999999</v>
      </c>
      <c r="E17" s="57" t="n">
        <v>88</v>
      </c>
      <c r="F17" s="57" t="n">
        <v>76.5</v>
      </c>
    </row>
    <row r="18">
      <c r="A18" s="54" t="inlineStr">
        <is>
          <t>payables</t>
        </is>
      </c>
      <c r="B18" s="57" t="n">
        <v>30.9</v>
      </c>
      <c r="C18" s="57" t="n">
        <v>32.4</v>
      </c>
      <c r="D18" s="57" t="n">
        <v>42.9</v>
      </c>
      <c r="E18" s="57" t="n">
        <v>33.2</v>
      </c>
      <c r="F18" s="57" t="n">
        <v>36.5</v>
      </c>
    </row>
    <row r="19">
      <c r="A19" s="54" t="inlineStr">
        <is>
          <t>st debt</t>
        </is>
      </c>
      <c r="B19" s="57" t="n">
        <v>20.6</v>
      </c>
      <c r="C19" s="57" t="n">
        <v>20.5</v>
      </c>
      <c r="D19" s="57" t="n">
        <v>20</v>
      </c>
      <c r="E19" s="57" t="n">
        <v>35</v>
      </c>
      <c r="F19" s="57" t="n">
        <v>18</v>
      </c>
    </row>
    <row r="20">
      <c r="A20" s="54" t="inlineStr">
        <is>
          <t>noncurrent liab</t>
        </is>
      </c>
      <c r="B20" s="57" t="n">
        <v>25.2</v>
      </c>
      <c r="C20" s="57" t="n">
        <v>21.7</v>
      </c>
      <c r="D20" s="57" t="n">
        <v>20.1</v>
      </c>
      <c r="E20" s="57" t="n">
        <v>15.9</v>
      </c>
      <c r="F20" s="57" t="n">
        <v>17.2</v>
      </c>
    </row>
    <row r="21">
      <c r="A21" s="54" t="inlineStr">
        <is>
          <t>lt debt</t>
        </is>
      </c>
      <c r="B21" s="57" t="n">
        <v>17.5</v>
      </c>
      <c r="C21" s="57" t="n">
        <v>13.4</v>
      </c>
      <c r="D21" s="57" t="n">
        <v>9.4</v>
      </c>
      <c r="E21" s="57" t="n">
        <v>5.9</v>
      </c>
      <c r="F21" s="57" t="n">
        <v>3.3</v>
      </c>
    </row>
    <row r="22">
      <c r="A22" s="54" t="inlineStr">
        <is>
          <t>bonds</t>
        </is>
      </c>
      <c r="B22" s="58" t="n"/>
      <c r="C22" s="58" t="n"/>
      <c r="D22" s="58" t="n"/>
      <c r="E22" s="58" t="n"/>
      <c r="F22" s="58" t="n"/>
    </row>
    <row r="23">
      <c r="A23" s="54" t="inlineStr">
        <is>
          <t>합계 liab</t>
        </is>
      </c>
      <c r="B23" s="57" t="n">
        <v>97.7</v>
      </c>
      <c r="C23" s="57" t="n">
        <v>96.2</v>
      </c>
      <c r="D23" s="57" t="n">
        <v>104.6</v>
      </c>
      <c r="E23" s="57" t="n">
        <v>103.9</v>
      </c>
      <c r="F23" s="57" t="n">
        <v>93.7</v>
      </c>
    </row>
    <row r="24">
      <c r="A24" s="54" t="inlineStr">
        <is>
          <t>capital stock</t>
        </is>
      </c>
      <c r="B24" s="57" t="n">
        <v>17.1</v>
      </c>
      <c r="C24" s="57" t="n">
        <v>17.1</v>
      </c>
      <c r="D24" s="57" t="n">
        <v>17.1</v>
      </c>
      <c r="E24" s="57" t="n">
        <v>17.1</v>
      </c>
      <c r="F24" s="57" t="n">
        <v>17.1</v>
      </c>
    </row>
    <row r="25">
      <c r="A25" s="54" t="inlineStr">
        <is>
          <t>retained</t>
        </is>
      </c>
      <c r="B25" s="57" t="n">
        <v>171.3</v>
      </c>
      <c r="C25" s="57" t="n">
        <v>175</v>
      </c>
      <c r="D25" s="57" t="n">
        <v>173.2</v>
      </c>
      <c r="E25" s="57" t="n">
        <v>176.5</v>
      </c>
      <c r="F25" s="57" t="n">
        <v>180.7</v>
      </c>
    </row>
    <row r="26">
      <c r="A26" s="54" t="inlineStr">
        <is>
          <t>nci</t>
        </is>
      </c>
      <c r="B26" s="58" t="n"/>
      <c r="C26" s="58" t="n"/>
      <c r="D26" s="58" t="n"/>
      <c r="E26" s="58" t="n"/>
      <c r="F26" s="58" t="n"/>
    </row>
    <row r="27">
      <c r="A27" s="54" t="inlineStr">
        <is>
          <t>합계 equity</t>
        </is>
      </c>
      <c r="B27" s="57" t="n">
        <v>212.6</v>
      </c>
      <c r="C27" s="57" t="n">
        <v>217.7</v>
      </c>
      <c r="D27" s="57" t="n">
        <v>224.3</v>
      </c>
      <c r="E27" s="57" t="n">
        <v>224</v>
      </c>
      <c r="F27" s="57" t="n">
        <v>236.8</v>
      </c>
    </row>
    <row r="28">
      <c r="A28" s="54" t="inlineStr">
        <is>
          <t>current ltd</t>
        </is>
      </c>
      <c r="B28" s="57" t="n">
        <v>4.1</v>
      </c>
      <c r="C28" s="57" t="n">
        <v>4.1</v>
      </c>
      <c r="D28" s="57" t="n">
        <v>4</v>
      </c>
      <c r="E28" s="57" t="n">
        <v>3.4</v>
      </c>
      <c r="F28" s="57" t="n">
        <v>2.6</v>
      </c>
    </row>
    <row r="29">
      <c r="A29" s="54" t="inlineStr">
        <is>
          <t>equity owner</t>
        </is>
      </c>
      <c r="B29" s="57" t="n">
        <v>212.6</v>
      </c>
      <c r="C29" s="57" t="n">
        <v>217.7</v>
      </c>
      <c r="D29" s="57" t="n">
        <v>224.3</v>
      </c>
      <c r="E29" s="57" t="n">
        <v>224</v>
      </c>
      <c r="F29" s="57" t="n">
        <v>236.8</v>
      </c>
    </row>
    <row r="31">
      <c r="A31" s="52" t="inlineStr">
        <is>
          <t>cf annual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2022</t>
        </is>
      </c>
      <c r="C32" s="53" t="inlineStr">
        <is>
          <t>2023</t>
        </is>
      </c>
      <c r="D32" s="53" t="inlineStr">
        <is>
          <t>2024</t>
        </is>
      </c>
      <c r="E32" s="53" t="inlineStr">
        <is>
          <t>2025</t>
        </is>
      </c>
      <c r="F32" s="53" t="inlineStr">
        <is>
          <t>2026</t>
        </is>
      </c>
      <c r="G32" s="53" t="inlineStr">
        <is>
          <t>출처</t>
        </is>
      </c>
    </row>
    <row r="33">
      <c r="A33" s="54" t="inlineStr">
        <is>
          <t>labels</t>
        </is>
      </c>
      <c r="B33" s="55" t="n">
        <v>2022</v>
      </c>
      <c r="C33" s="55" t="n">
        <v>2023</v>
      </c>
      <c r="D33" s="55" t="n">
        <v>2024</v>
      </c>
      <c r="E33" s="55" t="n">
        <v>2025</v>
      </c>
      <c r="F33" s="55" t="n">
        <v>2026</v>
      </c>
      <c r="G33" s="56" t="inlineStr">
        <is>
          <t>2단계 보고서 자료(회사 설명회 자료·공시)</t>
        </is>
      </c>
    </row>
    <row r="34">
      <c r="A34" s="54" t="inlineStr">
        <is>
          <t>ocf</t>
        </is>
      </c>
      <c r="B34" s="57" t="n">
        <v>11.4</v>
      </c>
      <c r="C34" s="57" t="n">
        <v>7.4</v>
      </c>
      <c r="D34" s="57" t="n">
        <v>13.5</v>
      </c>
      <c r="E34" s="57" t="n">
        <v>0.4</v>
      </c>
      <c r="F34" s="57" t="n">
        <v>3.5</v>
      </c>
    </row>
    <row r="35">
      <c r="A35" s="54" t="inlineStr">
        <is>
          <t>설비투자</t>
        </is>
      </c>
      <c r="B35" s="57" t="n">
        <v>11.5</v>
      </c>
      <c r="C35" s="57" t="n">
        <v>0.6</v>
      </c>
      <c r="D35" s="57" t="n">
        <v>3.9</v>
      </c>
      <c r="E35" s="57" t="n">
        <v>6</v>
      </c>
      <c r="F35" s="57" t="n">
        <v>0.8</v>
      </c>
    </row>
    <row r="36">
      <c r="A36" s="54" t="inlineStr">
        <is>
          <t>dividends</t>
        </is>
      </c>
      <c r="B36" s="57" t="n">
        <v>3</v>
      </c>
      <c r="C36" s="57" t="n">
        <v>2.3</v>
      </c>
      <c r="D36" s="57" t="n">
        <v>1.9</v>
      </c>
      <c r="E36" s="57" t="n">
        <v>1.9</v>
      </c>
      <c r="F36" s="57" t="n">
        <v>2.3</v>
      </c>
    </row>
    <row r="38">
      <c r="A38" s="52" t="inlineStr">
        <is>
          <t>company 예상</t>
        </is>
      </c>
      <c r="B38" s="52" t="n"/>
      <c r="C38" s="52" t="n"/>
      <c r="D38" s="52" t="n"/>
      <c r="E38" s="52" t="n"/>
      <c r="F38" s="52" t="n"/>
      <c r="G38" s="52" t="n"/>
    </row>
    <row r="39">
      <c r="A39" s="53" t="inlineStr">
        <is>
          <t>항목</t>
        </is>
      </c>
      <c r="B39" s="53" t="inlineStr">
        <is>
          <t>값</t>
        </is>
      </c>
      <c r="G39" s="53" t="inlineStr">
        <is>
          <t>출처</t>
        </is>
      </c>
    </row>
    <row r="40">
      <c r="A40" s="54" t="inlineStr">
        <is>
          <t>매출</t>
        </is>
      </c>
      <c r="B40" s="57" t="n">
        <v>420</v>
      </c>
      <c r="G40" s="56" t="inlineStr">
        <is>
          <t>2단계 보고서 자료(회사 설명회 자료·공시)</t>
        </is>
      </c>
    </row>
    <row r="41">
      <c r="A41" s="54" t="inlineStr">
        <is>
          <t>영업이익</t>
        </is>
      </c>
      <c r="B41" s="57" t="n">
        <v>6</v>
      </c>
    </row>
    <row r="42">
      <c r="A42" s="54" t="inlineStr">
        <is>
          <t>경상이익</t>
        </is>
      </c>
      <c r="B42" s="57" t="n">
        <v>9.199999999999999</v>
      </c>
    </row>
    <row r="43">
      <c r="A43" s="54" t="inlineStr">
        <is>
          <t>순이익</t>
        </is>
      </c>
      <c r="B43" s="57" t="n">
        <v>6</v>
      </c>
    </row>
    <row r="44">
      <c r="A44" s="54" t="inlineStr">
        <is>
          <t>EPS</t>
        </is>
      </c>
      <c r="B44" s="57" t="n">
        <v>30.9</v>
      </c>
    </row>
    <row r="46">
      <c r="A46" s="52" t="inlineStr">
        <is>
          <t>this quarter · 상반기</t>
        </is>
      </c>
      <c r="B46" s="52" t="n"/>
      <c r="C46" s="52" t="n"/>
      <c r="D46" s="52" t="n"/>
      <c r="E46" s="52" t="n"/>
      <c r="F46" s="52" t="n"/>
      <c r="G46" s="52" t="n"/>
    </row>
    <row r="47">
      <c r="A47" s="53" t="inlineStr">
        <is>
          <t>항목</t>
        </is>
      </c>
      <c r="B47" s="53" t="inlineStr">
        <is>
          <t>값</t>
        </is>
      </c>
      <c r="G47" s="53" t="inlineStr">
        <is>
          <t>출처</t>
        </is>
      </c>
    </row>
    <row r="48">
      <c r="A48" s="54" t="inlineStr">
        <is>
          <t>매출</t>
        </is>
      </c>
      <c r="B48" s="57" t="n">
        <v>227.66</v>
      </c>
      <c r="G48" s="56" t="inlineStr">
        <is>
          <t>2단계 보고서 자료(회사 설명회 자료·공시)</t>
        </is>
      </c>
    </row>
    <row r="49">
      <c r="A49" s="54" t="inlineStr">
        <is>
          <t>매출 ly</t>
        </is>
      </c>
      <c r="B49" s="57" t="n">
        <v>203.21</v>
      </c>
    </row>
    <row r="50">
      <c r="A50" s="54" t="inlineStr">
        <is>
          <t>cogs</t>
        </is>
      </c>
      <c r="B50" s="57" t="n">
        <v>181.09</v>
      </c>
    </row>
    <row r="51">
      <c r="A51" s="54" t="inlineStr">
        <is>
          <t>gp</t>
        </is>
      </c>
      <c r="B51" s="57" t="n">
        <v>46.57</v>
      </c>
    </row>
    <row r="52">
      <c r="A52" s="54" t="inlineStr">
        <is>
          <t>gp ly</t>
        </is>
      </c>
      <c r="B52" s="57" t="n">
        <v>40.28</v>
      </c>
    </row>
    <row r="53">
      <c r="A53" s="54" t="inlineStr">
        <is>
          <t>sga</t>
        </is>
      </c>
      <c r="B53" s="57" t="n">
        <v>40.19</v>
      </c>
    </row>
    <row r="54">
      <c r="A54" s="54" t="inlineStr">
        <is>
          <t>sga ly</t>
        </is>
      </c>
      <c r="B54" s="57" t="n">
        <v>38.35</v>
      </c>
    </row>
    <row r="55">
      <c r="A55" s="54" t="inlineStr">
        <is>
          <t>영업이익</t>
        </is>
      </c>
      <c r="B55" s="57" t="n">
        <v>6.39</v>
      </c>
    </row>
    <row r="56">
      <c r="A56" s="54" t="inlineStr">
        <is>
          <t>영업이익 ly</t>
        </is>
      </c>
      <c r="B56" s="57" t="n">
        <v>1.93</v>
      </c>
    </row>
    <row r="57">
      <c r="A57" s="54" t="inlineStr">
        <is>
          <t>ord</t>
        </is>
      </c>
      <c r="B57" s="57" t="n">
        <v>7.43</v>
      </c>
    </row>
    <row r="58">
      <c r="A58" s="54" t="inlineStr">
        <is>
          <t>ord ly</t>
        </is>
      </c>
      <c r="B58" s="57" t="n">
        <v>3.48</v>
      </c>
    </row>
    <row r="59">
      <c r="A59" s="54" t="inlineStr">
        <is>
          <t>sp loss</t>
        </is>
      </c>
      <c r="B59" s="57" t="n">
        <v>0.07000000000000001</v>
      </c>
    </row>
    <row r="60">
      <c r="A60" s="54" t="inlineStr">
        <is>
          <t>sp gain ly</t>
        </is>
      </c>
      <c r="B60" s="57" t="n">
        <v>2.32</v>
      </c>
    </row>
    <row r="61">
      <c r="A61" s="54" t="inlineStr">
        <is>
          <t>sp loss ly</t>
        </is>
      </c>
      <c r="B61" s="57" t="n">
        <v>0.5</v>
      </c>
    </row>
    <row r="62">
      <c r="A62" s="54" t="inlineStr">
        <is>
          <t>pbt</t>
        </is>
      </c>
      <c r="B62" s="57" t="n">
        <v>7.36</v>
      </c>
    </row>
    <row r="63">
      <c r="A63" s="54" t="inlineStr">
        <is>
          <t>pbt ly</t>
        </is>
      </c>
      <c r="B63" s="57" t="n">
        <v>5.3</v>
      </c>
    </row>
    <row r="64">
      <c r="A64" s="54" t="inlineStr">
        <is>
          <t>tax</t>
        </is>
      </c>
      <c r="B64" s="57" t="n">
        <v>2.85</v>
      </c>
    </row>
    <row r="65">
      <c r="A65" s="54" t="inlineStr">
        <is>
          <t>순이익</t>
        </is>
      </c>
      <c r="B65" s="57" t="n">
        <v>4.51</v>
      </c>
    </row>
    <row r="66">
      <c r="A66" s="54" t="inlineStr">
        <is>
          <t>순이익 ly</t>
        </is>
      </c>
      <c r="B66" s="57" t="n">
        <v>3</v>
      </c>
    </row>
    <row r="67">
      <c r="A67" s="54" t="inlineStr">
        <is>
          <t>EPS</t>
        </is>
      </c>
      <c r="B67" s="57" t="n">
        <v>23.64</v>
      </c>
    </row>
    <row r="68">
      <c r="A68" s="54" t="inlineStr">
        <is>
          <t>EPS ly</t>
        </is>
      </c>
      <c r="B68" s="57" t="n">
        <v>15.46</v>
      </c>
    </row>
    <row r="70">
      <c r="A70" s="52" t="inlineStr">
        <is>
          <t>this quarter · 상반기 예상 may</t>
        </is>
      </c>
      <c r="B70" s="52" t="n"/>
      <c r="C70" s="52" t="n"/>
      <c r="D70" s="52" t="n"/>
      <c r="E70" s="52" t="n"/>
      <c r="F70" s="52" t="n"/>
      <c r="G70" s="52" t="n"/>
    </row>
    <row r="71">
      <c r="A71" s="53" t="inlineStr">
        <is>
          <t>항목</t>
        </is>
      </c>
      <c r="B71" s="53" t="inlineStr">
        <is>
          <t>값</t>
        </is>
      </c>
      <c r="G71" s="53" t="inlineStr">
        <is>
          <t>출처</t>
        </is>
      </c>
    </row>
    <row r="72">
      <c r="A72" s="54" t="inlineStr">
        <is>
          <t>매출</t>
        </is>
      </c>
      <c r="B72" s="57" t="n">
        <v>198</v>
      </c>
      <c r="G72" s="56" t="inlineStr">
        <is>
          <t>2단계 보고서 자료(회사 설명회 자료·공시)</t>
        </is>
      </c>
    </row>
    <row r="73">
      <c r="A73" s="54" t="inlineStr">
        <is>
          <t>영업이익</t>
        </is>
      </c>
      <c r="B73" s="57" t="n">
        <v>1.9</v>
      </c>
    </row>
    <row r="74">
      <c r="A74" s="54" t="inlineStr">
        <is>
          <t>ord</t>
        </is>
      </c>
      <c r="B74" s="57" t="n">
        <v>3.9</v>
      </c>
    </row>
    <row r="75">
      <c r="A75" s="54" t="inlineStr">
        <is>
          <t>순이익</t>
        </is>
      </c>
      <c r="B75" s="57" t="n">
        <v>2.5</v>
      </c>
    </row>
    <row r="76">
      <c r="A76" s="54" t="inlineStr">
        <is>
          <t>EPS</t>
        </is>
      </c>
      <c r="B76" s="57" t="n">
        <v>12.88</v>
      </c>
    </row>
    <row r="78">
      <c r="A78" s="52" t="inlineStr">
        <is>
          <t>this quarter · 상반기 vs 예상 %</t>
        </is>
      </c>
      <c r="B78" s="52" t="n"/>
      <c r="C78" s="52" t="n"/>
      <c r="D78" s="52" t="n"/>
      <c r="E78" s="52" t="n"/>
      <c r="F78" s="52" t="n"/>
      <c r="G78" s="52" t="n"/>
    </row>
    <row r="79">
      <c r="A79" s="53" t="inlineStr">
        <is>
          <t>항목</t>
        </is>
      </c>
      <c r="B79" s="53" t="inlineStr">
        <is>
          <t>값</t>
        </is>
      </c>
      <c r="G79" s="53" t="inlineStr">
        <is>
          <t>출처</t>
        </is>
      </c>
    </row>
    <row r="80">
      <c r="A80" s="54" t="inlineStr">
        <is>
          <t>매출</t>
        </is>
      </c>
      <c r="B80" s="57" t="n">
        <v>15</v>
      </c>
      <c r="G80" s="56" t="inlineStr">
        <is>
          <t>2단계 보고서 자료(회사 설명회 자료·공시)</t>
        </is>
      </c>
    </row>
    <row r="81">
      <c r="A81" s="54" t="inlineStr">
        <is>
          <t>영업이익</t>
        </is>
      </c>
      <c r="B81" s="57" t="n">
        <v>235.8</v>
      </c>
    </row>
    <row r="82">
      <c r="A82" s="54" t="inlineStr">
        <is>
          <t>ord</t>
        </is>
      </c>
      <c r="B82" s="57" t="n">
        <v>90.5</v>
      </c>
    </row>
    <row r="83">
      <c r="A83" s="54" t="inlineStr">
        <is>
          <t>순이익</t>
        </is>
      </c>
      <c r="B83" s="57" t="n">
        <v>80</v>
      </c>
    </row>
    <row r="85">
      <c r="A85" s="52" t="inlineStr">
        <is>
          <t>this quarter · FY 예상</t>
        </is>
      </c>
      <c r="B85" s="52" t="n"/>
      <c r="C85" s="52" t="n"/>
      <c r="D85" s="52" t="n"/>
      <c r="E85" s="52" t="n"/>
      <c r="F85" s="52" t="n"/>
      <c r="G85" s="52" t="n"/>
    </row>
    <row r="86">
      <c r="A86" s="53" t="inlineStr">
        <is>
          <t>항목</t>
        </is>
      </c>
      <c r="B86" s="53" t="inlineStr">
        <is>
          <t>값</t>
        </is>
      </c>
      <c r="G86" s="53" t="inlineStr">
        <is>
          <t>출처</t>
        </is>
      </c>
    </row>
    <row r="87">
      <c r="A87" s="54" t="inlineStr">
        <is>
          <t>매출</t>
        </is>
      </c>
      <c r="B87" s="57" t="n">
        <v>420</v>
      </c>
      <c r="G87" s="56" t="inlineStr">
        <is>
          <t>2단계 보고서 자료(회사 설명회 자료·공시)</t>
        </is>
      </c>
    </row>
    <row r="88">
      <c r="A88" s="54" t="inlineStr">
        <is>
          <t>영업이익</t>
        </is>
      </c>
      <c r="B88" s="57" t="n">
        <v>6</v>
      </c>
    </row>
    <row r="89">
      <c r="A89" s="54" t="inlineStr">
        <is>
          <t>ord</t>
        </is>
      </c>
      <c r="B89" s="57" t="n">
        <v>9.199999999999999</v>
      </c>
    </row>
    <row r="90">
      <c r="A90" s="54" t="inlineStr">
        <is>
          <t>순이익</t>
        </is>
      </c>
      <c r="B90" s="57" t="n">
        <v>6</v>
      </c>
    </row>
    <row r="91">
      <c r="A91" s="54" t="inlineStr">
        <is>
          <t>EPS</t>
        </is>
      </c>
      <c r="B91" s="57" t="n">
        <v>30.91</v>
      </c>
    </row>
    <row r="92">
      <c r="A92" s="54" t="inlineStr">
        <is>
          <t>dps</t>
        </is>
      </c>
      <c r="B92" s="55" t="n">
        <v>12</v>
      </c>
    </row>
    <row r="94">
      <c r="A94" s="52" t="inlineStr">
        <is>
          <t>this quarter · implied 하반기</t>
        </is>
      </c>
      <c r="B94" s="52" t="n"/>
      <c r="C94" s="52" t="n"/>
      <c r="D94" s="52" t="n"/>
      <c r="E94" s="52" t="n"/>
      <c r="F94" s="52" t="n"/>
      <c r="G94" s="52" t="n"/>
    </row>
    <row r="95">
      <c r="A95" s="53" t="inlineStr">
        <is>
          <t>항목</t>
        </is>
      </c>
      <c r="B95" s="53" t="inlineStr">
        <is>
          <t>값</t>
        </is>
      </c>
      <c r="G95" s="53" t="inlineStr">
        <is>
          <t>출처</t>
        </is>
      </c>
    </row>
    <row r="96">
      <c r="A96" s="54" t="inlineStr">
        <is>
          <t>매출</t>
        </is>
      </c>
      <c r="B96" s="57" t="n">
        <v>192.3</v>
      </c>
      <c r="G96" s="56" t="inlineStr">
        <is>
          <t>2단계 보고서 자료(회사 설명회 자료·공시)</t>
        </is>
      </c>
    </row>
    <row r="97">
      <c r="A97" s="54" t="inlineStr">
        <is>
          <t>영업이익</t>
        </is>
      </c>
      <c r="B97" s="57" t="n">
        <v>-0.4</v>
      </c>
    </row>
    <row r="98">
      <c r="A98" s="54" t="inlineStr">
        <is>
          <t>ord</t>
        </is>
      </c>
      <c r="B98" s="57" t="n">
        <v>1.8</v>
      </c>
    </row>
    <row r="99">
      <c r="A99" s="54" t="inlineStr">
        <is>
          <t>순이익</t>
        </is>
      </c>
      <c r="B99" s="57" t="n">
        <v>1.5</v>
      </c>
    </row>
    <row r="100">
      <c r="A100" s="54" t="inlineStr">
        <is>
          <t>매출 ly 하반기</t>
        </is>
      </c>
      <c r="B100" s="57" t="n">
        <v>227.3</v>
      </c>
    </row>
    <row r="101">
      <c r="A101" s="54" t="inlineStr">
        <is>
          <t>영업이익 ly 하반기</t>
        </is>
      </c>
      <c r="B101" s="57" t="n">
        <v>3.4</v>
      </c>
    </row>
    <row r="102">
      <c r="A102" s="54" t="inlineStr">
        <is>
          <t>순이익 ly 하반기</t>
        </is>
      </c>
      <c r="B102" s="57" t="n">
        <v>3.7</v>
      </c>
    </row>
    <row r="104">
      <c r="A104" s="52" t="inlineStr">
        <is>
          <t>this quarter · bs 26 9</t>
        </is>
      </c>
      <c r="B104" s="52" t="n"/>
      <c r="C104" s="52" t="n"/>
      <c r="D104" s="52" t="n"/>
      <c r="E104" s="52" t="n"/>
      <c r="F104" s="52" t="n"/>
      <c r="G104" s="52" t="n"/>
    </row>
    <row r="105">
      <c r="A105" s="53" t="inlineStr">
        <is>
          <t>항목</t>
        </is>
      </c>
      <c r="B105" s="53" t="inlineStr">
        <is>
          <t>값</t>
        </is>
      </c>
      <c r="G105" s="53" t="inlineStr">
        <is>
          <t>출처</t>
        </is>
      </c>
    </row>
    <row r="106">
      <c r="A106" s="54" t="inlineStr">
        <is>
          <t>cash</t>
        </is>
      </c>
      <c r="B106" s="57" t="n">
        <v>45.51</v>
      </c>
      <c r="G106" s="56" t="inlineStr">
        <is>
          <t>2단계 보고서 자료(회사 설명회 자료·공시)</t>
        </is>
      </c>
    </row>
    <row r="107">
      <c r="A107" s="54" t="inlineStr">
        <is>
          <t>receivables</t>
        </is>
      </c>
      <c r="B107" s="57" t="n">
        <v>73.52</v>
      </c>
    </row>
    <row r="108">
      <c r="A108" s="54" t="inlineStr">
        <is>
          <t>e receivable</t>
        </is>
      </c>
      <c r="B108" s="57" t="n">
        <v>19.87</v>
      </c>
    </row>
    <row r="109">
      <c r="A109" s="54" t="inlineStr">
        <is>
          <t>goods</t>
        </is>
      </c>
      <c r="B109" s="57" t="n">
        <v>53.94</v>
      </c>
    </row>
    <row r="110">
      <c r="A110" s="54" t="inlineStr">
        <is>
          <t>wip</t>
        </is>
      </c>
      <c r="B110" s="57" t="n">
        <v>0.52</v>
      </c>
    </row>
    <row r="111">
      <c r="A111" s="54" t="inlineStr">
        <is>
          <t>raw</t>
        </is>
      </c>
      <c r="B111" s="57" t="n">
        <v>3.22</v>
      </c>
    </row>
    <row r="112">
      <c r="A112" s="54" t="inlineStr">
        <is>
          <t>current</t>
        </is>
      </c>
      <c r="B112" s="57" t="n">
        <v>198.13</v>
      </c>
    </row>
    <row r="113">
      <c r="A113" s="54" t="inlineStr">
        <is>
          <t>ppe</t>
        </is>
      </c>
      <c r="B113" s="57" t="n">
        <v>68.63</v>
      </c>
    </row>
    <row r="114">
      <c r="A114" s="54" t="inlineStr">
        <is>
          <t>land</t>
        </is>
      </c>
      <c r="B114" s="57" t="n">
        <v>25.16</v>
      </c>
    </row>
    <row r="115">
      <c r="A115" s="54" t="inlineStr">
        <is>
          <t>inv sec</t>
        </is>
      </c>
      <c r="B115" s="57" t="n">
        <v>38.88</v>
      </c>
    </row>
    <row r="116">
      <c r="A116" s="54" t="inlineStr">
        <is>
          <t>fixed</t>
        </is>
      </c>
      <c r="B116" s="57" t="n">
        <v>127.14</v>
      </c>
    </row>
    <row r="117">
      <c r="A117" s="54" t="inlineStr">
        <is>
          <t>assets</t>
        </is>
      </c>
      <c r="B117" s="57" t="n">
        <v>325.27</v>
      </c>
    </row>
    <row r="118">
      <c r="A118" s="54" t="inlineStr">
        <is>
          <t>payables</t>
        </is>
      </c>
      <c r="B118" s="57" t="n">
        <v>35.81</v>
      </c>
    </row>
    <row r="119">
      <c r="A119" s="54" t="inlineStr">
        <is>
          <t>st debt</t>
        </is>
      </c>
      <c r="B119" s="57" t="n">
        <v>18</v>
      </c>
    </row>
    <row r="120">
      <c r="A120" s="54" t="inlineStr">
        <is>
          <t>cur ltd</t>
        </is>
      </c>
      <c r="B120" s="57" t="n">
        <v>2.57</v>
      </c>
    </row>
    <row r="121">
      <c r="A121" s="54" t="inlineStr">
        <is>
          <t>lt debt</t>
        </is>
      </c>
      <c r="B121" s="57" t="n">
        <v>2.06</v>
      </c>
    </row>
    <row r="122">
      <c r="A122" s="54" t="inlineStr">
        <is>
          <t>liab</t>
        </is>
      </c>
      <c r="B122" s="57" t="n">
        <v>90.36</v>
      </c>
    </row>
    <row r="123">
      <c r="A123" s="54" t="inlineStr">
        <is>
          <t>equity</t>
        </is>
      </c>
      <c r="B123" s="57" t="n">
        <v>234.9</v>
      </c>
    </row>
    <row r="124">
      <c r="A124" s="54" t="inlineStr">
        <is>
          <t>equity ratio</t>
        </is>
      </c>
      <c r="B124" s="57" t="n">
        <v>72.2</v>
      </c>
    </row>
    <row r="125">
      <c r="A125" s="54" t="inlineStr">
        <is>
          <t>bps</t>
        </is>
      </c>
      <c r="B125" s="57" t="n">
        <v>1241.76</v>
      </c>
    </row>
    <row r="126">
      <c r="A126" s="54" t="inlineStr">
        <is>
          <t>retained</t>
        </is>
      </c>
      <c r="B126" s="57" t="n">
        <v>182.81</v>
      </c>
    </row>
    <row r="127">
      <c r="A127" s="54" t="inlineStr">
        <is>
          <t>treasury</t>
        </is>
      </c>
      <c r="B127" s="57" t="n">
        <v>-6.1</v>
      </c>
    </row>
    <row r="128">
      <c r="A128" s="54" t="inlineStr">
        <is>
          <t>net sec gain</t>
        </is>
      </c>
      <c r="B128" s="57" t="n">
        <v>20.12</v>
      </c>
    </row>
    <row r="129">
      <c r="A129" s="54" t="inlineStr">
        <is>
          <t>retire adj</t>
        </is>
      </c>
      <c r="B129" s="57" t="n">
        <v>8.32</v>
      </c>
    </row>
    <row r="131">
      <c r="A131" s="52" t="inlineStr">
        <is>
          <t>this quarter · bs 26 3</t>
        </is>
      </c>
      <c r="B131" s="52" t="n"/>
      <c r="C131" s="52" t="n"/>
      <c r="D131" s="52" t="n"/>
      <c r="E131" s="52" t="n"/>
      <c r="F131" s="52" t="n"/>
      <c r="G131" s="52" t="n"/>
    </row>
    <row r="132">
      <c r="A132" s="53" t="inlineStr">
        <is>
          <t>항목</t>
        </is>
      </c>
      <c r="B132" s="53" t="inlineStr">
        <is>
          <t>값</t>
        </is>
      </c>
      <c r="G132" s="53" t="inlineStr">
        <is>
          <t>출처</t>
        </is>
      </c>
    </row>
    <row r="133">
      <c r="A133" s="54" t="inlineStr">
        <is>
          <t>cash</t>
        </is>
      </c>
      <c r="B133" s="57" t="n">
        <v>54.12</v>
      </c>
      <c r="G133" s="56" t="inlineStr">
        <is>
          <t>2단계 보고서 자료(회사 설명회 자료·공시)</t>
        </is>
      </c>
    </row>
    <row r="134">
      <c r="A134" s="54" t="inlineStr">
        <is>
          <t>goods</t>
        </is>
      </c>
      <c r="B134" s="57" t="n">
        <v>47.79</v>
      </c>
    </row>
    <row r="135">
      <c r="A135" s="54" t="inlineStr">
        <is>
          <t>raw</t>
        </is>
      </c>
      <c r="B135" s="57" t="n">
        <v>2.08</v>
      </c>
    </row>
    <row r="136">
      <c r="A136" s="54" t="inlineStr">
        <is>
          <t>receivables</t>
        </is>
      </c>
      <c r="B136" s="57" t="n">
        <v>77.59999999999999</v>
      </c>
    </row>
    <row r="137">
      <c r="A137" s="54" t="inlineStr">
        <is>
          <t>e receivable</t>
        </is>
      </c>
      <c r="B137" s="57" t="n">
        <v>17.7</v>
      </c>
    </row>
    <row r="138">
      <c r="A138" s="54" t="inlineStr">
        <is>
          <t>equity</t>
        </is>
      </c>
      <c r="B138" s="57" t="n">
        <v>236.81</v>
      </c>
    </row>
    <row r="139">
      <c r="A139" s="54" t="inlineStr">
        <is>
          <t>bps</t>
        </is>
      </c>
      <c r="B139" s="57" t="n">
        <v>1220.01</v>
      </c>
    </row>
    <row r="140">
      <c r="A140" s="54" t="inlineStr">
        <is>
          <t>inv sec</t>
        </is>
      </c>
      <c r="B140" s="57" t="n">
        <v>40.81</v>
      </c>
    </row>
    <row r="142">
      <c r="A142" s="52" t="inlineStr">
        <is>
          <t>this quarter · cf 상반기</t>
        </is>
      </c>
      <c r="B142" s="52" t="n"/>
      <c r="C142" s="52" t="n"/>
      <c r="D142" s="52" t="n"/>
      <c r="E142" s="52" t="n"/>
      <c r="F142" s="52" t="n"/>
      <c r="G142" s="52" t="n"/>
    </row>
    <row r="143">
      <c r="A143" s="53" t="inlineStr">
        <is>
          <t>항목</t>
        </is>
      </c>
      <c r="B143" s="53" t="inlineStr">
        <is>
          <t>값</t>
        </is>
      </c>
      <c r="G143" s="53" t="inlineStr">
        <is>
          <t>출처</t>
        </is>
      </c>
    </row>
    <row r="144">
      <c r="A144" s="54" t="inlineStr">
        <is>
          <t>ocf</t>
        </is>
      </c>
      <c r="B144" s="57" t="n">
        <v>-0.88</v>
      </c>
      <c r="G144" s="56" t="inlineStr">
        <is>
          <t>2단계 보고서 자료(회사 설명회 자료·공시)</t>
        </is>
      </c>
    </row>
    <row r="145">
      <c r="A145" s="54" t="inlineStr">
        <is>
          <t>ocf ly</t>
        </is>
      </c>
      <c r="B145" s="57" t="n">
        <v>-2.75</v>
      </c>
    </row>
    <row r="146">
      <c r="A146" s="54" t="inlineStr">
        <is>
          <t>inv inc</t>
        </is>
      </c>
      <c r="B146" s="57" t="n">
        <v>-7.54</v>
      </c>
    </row>
    <row r="147">
      <c r="A147" s="54" t="inlineStr">
        <is>
          <t>inv inc ly</t>
        </is>
      </c>
      <c r="B147" s="57" t="n">
        <v>-4.9</v>
      </c>
    </row>
    <row r="148">
      <c r="A148" s="54" t="inlineStr">
        <is>
          <t>payable chg</t>
        </is>
      </c>
      <c r="B148" s="57" t="n">
        <v>-0.7</v>
      </c>
    </row>
    <row r="149">
      <c r="A149" s="54" t="inlineStr">
        <is>
          <t>tax paid</t>
        </is>
      </c>
      <c r="B149" s="57" t="n">
        <v>-2.03</v>
      </c>
    </row>
    <row r="150">
      <c r="A150" s="54" t="inlineStr">
        <is>
          <t>dep</t>
        </is>
      </c>
      <c r="B150" s="57" t="n">
        <v>2.13</v>
      </c>
    </row>
    <row r="151">
      <c r="A151" s="54" t="inlineStr">
        <is>
          <t>icf</t>
        </is>
      </c>
      <c r="B151" s="57" t="n">
        <v>-1.21</v>
      </c>
    </row>
    <row r="152">
      <c r="A152" s="54" t="inlineStr">
        <is>
          <t>설비투자</t>
        </is>
      </c>
      <c r="B152" s="57" t="n">
        <v>-0.95</v>
      </c>
    </row>
    <row r="153">
      <c r="A153" s="54" t="inlineStr">
        <is>
          <t>fcf calc</t>
        </is>
      </c>
      <c r="B153" s="57" t="n">
        <v>-2.09</v>
      </c>
    </row>
    <row r="154">
      <c r="A154" s="54" t="inlineStr">
        <is>
          <t>buyback</t>
        </is>
      </c>
      <c r="B154" s="57" t="n">
        <v>-2.23</v>
      </c>
    </row>
    <row r="155">
      <c r="A155" s="54" t="inlineStr">
        <is>
          <t>div</t>
        </is>
      </c>
      <c r="B155" s="57" t="n">
        <v>-2.37</v>
      </c>
    </row>
    <row r="156">
      <c r="A156" s="54" t="inlineStr">
        <is>
          <t>lt repay</t>
        </is>
      </c>
      <c r="B156" s="57" t="n">
        <v>-1.29</v>
      </c>
    </row>
    <row r="157">
      <c r="A157" s="54" t="inlineStr">
        <is>
          <t>lease</t>
        </is>
      </c>
      <c r="B157" s="57" t="n">
        <v>-0.67</v>
      </c>
    </row>
    <row r="158">
      <c r="A158" s="54" t="inlineStr">
        <is>
          <t>fin</t>
        </is>
      </c>
      <c r="B158" s="57" t="n">
        <v>-6.55</v>
      </c>
    </row>
    <row r="159">
      <c r="A159" s="54" t="inlineStr">
        <is>
          <t>cash end</t>
        </is>
      </c>
      <c r="B159" s="57" t="n">
        <v>45.43</v>
      </c>
    </row>
    <row r="160">
      <c r="A160" s="54" t="inlineStr">
        <is>
          <t>cash ly end</t>
        </is>
      </c>
      <c r="B160" s="57" t="n">
        <v>50.41</v>
      </c>
    </row>
    <row r="162">
      <c r="A162" s="52" t="inlineStr">
        <is>
          <t>this quarter · shares</t>
        </is>
      </c>
      <c r="B162" s="52" t="n"/>
      <c r="C162" s="52" t="n"/>
      <c r="D162" s="52" t="n"/>
      <c r="E162" s="52" t="n"/>
      <c r="F162" s="52" t="n"/>
      <c r="G162" s="52" t="n"/>
    </row>
    <row r="163">
      <c r="A163" s="53" t="inlineStr">
        <is>
          <t>항목</t>
        </is>
      </c>
      <c r="B163" s="53" t="inlineStr">
        <is>
          <t>값</t>
        </is>
      </c>
      <c r="G163" s="53" t="inlineStr">
        <is>
          <t>출처</t>
        </is>
      </c>
    </row>
    <row r="164">
      <c r="A164" s="54" t="inlineStr">
        <is>
          <t>issued</t>
        </is>
      </c>
      <c r="B164" s="55" t="n">
        <v>20214480</v>
      </c>
      <c r="G164" s="56" t="inlineStr">
        <is>
          <t>2단계 보고서 자료(회사 설명회 자료·공시)</t>
        </is>
      </c>
    </row>
    <row r="165">
      <c r="A165" s="54" t="inlineStr">
        <is>
          <t>treasury</t>
        </is>
      </c>
      <c r="B165" s="55" t="n">
        <v>1297583</v>
      </c>
    </row>
    <row r="166">
      <c r="A166" s="54" t="inlineStr">
        <is>
          <t>esop in treasury</t>
        </is>
      </c>
      <c r="B166" s="55" t="n">
        <v>331020</v>
      </c>
    </row>
    <row r="167">
      <c r="A167" s="54" t="inlineStr">
        <is>
          <t>avg 상반기</t>
        </is>
      </c>
      <c r="B167" s="55" t="n">
        <v>19058921</v>
      </c>
    </row>
    <row r="168">
      <c r="A168" s="54" t="inlineStr">
        <is>
          <t>outstanding excl treasury</t>
        </is>
      </c>
      <c r="B168" s="55" t="n">
        <v>18916897</v>
      </c>
    </row>
    <row r="170">
      <c r="A170" s="52" t="inlineStr">
        <is>
          <t>derived now</t>
        </is>
      </c>
      <c r="B170" s="52" t="n"/>
      <c r="C170" s="52" t="n"/>
      <c r="D170" s="52" t="n"/>
      <c r="E170" s="52" t="n"/>
      <c r="F170" s="52" t="n"/>
      <c r="G170" s="52" t="n"/>
    </row>
    <row r="171">
      <c r="A171" s="53" t="inlineStr">
        <is>
          <t>항목</t>
        </is>
      </c>
      <c r="B171" s="53" t="inlineStr">
        <is>
          <t>값</t>
        </is>
      </c>
      <c r="G171" s="53" t="inlineStr">
        <is>
          <t>출처</t>
        </is>
      </c>
    </row>
    <row r="172">
      <c r="A172" s="54" t="inlineStr">
        <is>
          <t>가격</t>
        </is>
      </c>
      <c r="B172" s="55" t="n">
        <v>479</v>
      </c>
      <c r="G172" s="56" t="inlineStr">
        <is>
          <t>시총=479×(발행 20,214,480−자사주 1,297,583)=90.6억. 금융자산 순액은 세금·리스 미반영</t>
        </is>
      </c>
    </row>
    <row r="173">
      <c r="A173" s="54" t="inlineStr">
        <is>
          <t>shares ex treasury m</t>
        </is>
      </c>
      <c r="B173" s="57" t="n">
        <v>18.92</v>
      </c>
    </row>
    <row r="174">
      <c r="A174" s="54" t="inlineStr">
        <is>
          <t>mcap oku</t>
        </is>
      </c>
      <c r="B174" s="57" t="n">
        <v>90.59999999999999</v>
      </c>
    </row>
    <row r="175">
      <c r="A175" s="54" t="inlineStr">
        <is>
          <t>mcap krw oku</t>
        </is>
      </c>
      <c r="B175" s="55" t="n">
        <v>761</v>
      </c>
    </row>
    <row r="176">
      <c r="A176" s="54" t="inlineStr">
        <is>
          <t>환율 100yen krw</t>
        </is>
      </c>
      <c r="B176" s="55" t="n">
        <v>840</v>
      </c>
    </row>
    <row r="177">
      <c r="A177" s="54" t="inlineStr">
        <is>
          <t>PER guide</t>
        </is>
      </c>
      <c r="B177" s="57" t="n">
        <v>15.5</v>
      </c>
    </row>
    <row r="178">
      <c r="A178" s="54" t="inlineStr">
        <is>
          <t>PBR</t>
        </is>
      </c>
      <c r="B178" s="57" t="n">
        <v>0.39</v>
      </c>
    </row>
    <row r="179">
      <c r="A179" s="54" t="inlineStr">
        <is>
          <t>dps</t>
        </is>
      </c>
      <c r="B179" s="55" t="n">
        <v>12</v>
      </c>
    </row>
    <row r="180">
      <c r="A180" s="54" t="inlineStr">
        <is>
          <t>div yield %</t>
        </is>
      </c>
      <c r="B180" s="57" t="n">
        <v>2.5</v>
      </c>
    </row>
    <row r="181">
      <c r="A181" s="54" t="inlineStr">
        <is>
          <t>net cash oku</t>
        </is>
      </c>
      <c r="B181" s="57" t="n">
        <v>22.9</v>
      </c>
    </row>
    <row r="182">
      <c r="A182" s="54" t="inlineStr">
        <is>
          <t>net cash plus sec oku</t>
        </is>
      </c>
      <c r="B182" s="57" t="n">
        <v>61.8</v>
      </c>
    </row>
    <row r="184">
      <c r="A184" s="52" t="inlineStr">
        <is>
          <t>filings</t>
        </is>
      </c>
      <c r="B184" s="52" t="n"/>
      <c r="C184" s="52" t="n"/>
      <c r="D184" s="52" t="n"/>
      <c r="E184" s="52" t="n"/>
      <c r="F184" s="52" t="n"/>
      <c r="G184" s="52" t="n"/>
    </row>
    <row r="185">
      <c r="A185" s="53" t="inlineStr">
        <is>
          <t>항목</t>
        </is>
      </c>
      <c r="B185" s="53" t="inlineStr">
        <is>
          <t>title</t>
        </is>
      </c>
      <c r="C185" s="53" t="inlineStr">
        <is>
          <t>doc</t>
        </is>
      </c>
      <c r="G185" s="53" t="inlineStr">
        <is>
          <t>출처</t>
        </is>
      </c>
    </row>
    <row r="186">
      <c r="A186" s="54" t="inlineStr">
        <is>
          <t>2026-10-30</t>
        </is>
      </c>
      <c r="B186" s="58" t="inlineStr">
        <is>
          <t>2027年３月期 第２四半期（中間期）決算短信〔日本基準〕（連結）</t>
        </is>
      </c>
      <c r="C186" s="58" t="inlineStr">
        <is>
          <t>140120261030561032</t>
        </is>
      </c>
      <c r="G186" s="56" t="inlineStr">
        <is>
          <t>2단계 보고서 자료(회사 설명회 자료·공시)</t>
        </is>
      </c>
    </row>
    <row r="187">
      <c r="A187" s="54" t="inlineStr">
        <is>
          <t>2026-07-31</t>
        </is>
      </c>
      <c r="B187" s="58" t="inlineStr">
        <is>
          <t>2027年３月期 第１四半期決算短信〔日本基準〕（連結）</t>
        </is>
      </c>
      <c r="C187" s="58" t="inlineStr">
        <is>
          <t>140120260730502759</t>
        </is>
      </c>
    </row>
    <row r="188">
      <c r="A188" s="54" t="inlineStr">
        <is>
          <t>2026-05-08</t>
        </is>
      </c>
      <c r="B188" s="58" t="inlineStr">
        <is>
          <t>2026年３月期 決算短信〔日本基準〕（連結）</t>
        </is>
      </c>
      <c r="C188" s="58" t="inlineStr">
        <is>
          <t>140120260508520508</t>
        </is>
      </c>
    </row>
    <row r="189">
      <c r="A189" s="54" t="inlineStr">
        <is>
          <t>2026-01-30</t>
        </is>
      </c>
      <c r="B189" s="58" t="inlineStr">
        <is>
          <t>2026年３月期 第３四半期決算短信〔日本基準〕（連結）</t>
        </is>
      </c>
      <c r="C189" s="58" t="inlineStr">
        <is>
          <t>140120260130543072</t>
        </is>
      </c>
    </row>
    <row r="190">
      <c r="A190" s="54" t="inlineStr">
        <is>
          <t>2025-10-31</t>
        </is>
      </c>
      <c r="B190" s="58" t="inlineStr">
        <is>
          <t>2026年３月期 第２四半期（中間期）決算短信〔日本基準〕（連結）</t>
        </is>
      </c>
      <c r="C190" s="58" t="inlineStr">
        <is>
          <t>140120251031584153</t>
        </is>
      </c>
    </row>
    <row r="191">
      <c r="A191" s="54" t="inlineStr">
        <is>
          <t>2025-07-31</t>
        </is>
      </c>
      <c r="B191" s="58" t="inlineStr">
        <is>
          <t>2026年３月期 第１四半期決算短信〔日本基準〕（連結）</t>
        </is>
      </c>
      <c r="C191" s="58" t="inlineStr">
        <is>
          <t>140120250730523601</t>
        </is>
      </c>
    </row>
    <row r="192">
      <c r="A192" s="54" t="inlineStr">
        <is>
          <t>2025-05-09</t>
        </is>
      </c>
      <c r="B192" s="58" t="inlineStr">
        <is>
          <t>2025年３月期 決算短信〔日本基準〕（連結）</t>
        </is>
      </c>
      <c r="C192" s="58" t="inlineStr">
        <is>
          <t>140120250508535420</t>
        </is>
      </c>
    </row>
    <row r="193">
      <c r="A193" s="54" t="inlineStr">
        <is>
          <t>2025-01-31</t>
        </is>
      </c>
      <c r="B193" s="58" t="inlineStr">
        <is>
          <t>2025年３月期 第３四半期決算短信〔日本基準〕（連結）</t>
        </is>
      </c>
      <c r="C193" s="58" t="inlineStr">
        <is>
          <t>140120250128556518</t>
        </is>
      </c>
    </row>
    <row r="194">
      <c r="A194" s="54" t="inlineStr">
        <is>
          <t>2024-10-31</t>
        </is>
      </c>
      <c r="B194" s="58" t="inlineStr">
        <is>
          <t>2025年３月期 第２四半期（中間期）決算短信〔日本基準〕（連結）</t>
        </is>
      </c>
      <c r="C194" s="58" t="inlineStr">
        <is>
          <t>140120241028503582</t>
        </is>
      </c>
    </row>
    <row r="195">
      <c r="A195" s="54" t="inlineStr">
        <is>
          <t>2024-07-31</t>
        </is>
      </c>
      <c r="B195" s="58" t="inlineStr">
        <is>
          <t>2025年３月期 第１四半期決算短信〔日本基準〕（連結）</t>
        </is>
      </c>
      <c r="C195" s="58" t="inlineStr">
        <is>
          <t>140120240729556374</t>
        </is>
      </c>
    </row>
    <row r="196">
      <c r="A196" s="54" t="inlineStr">
        <is>
          <t>2024-05-10</t>
        </is>
      </c>
      <c r="B196" s="58" t="inlineStr">
        <is>
          <t>2024年３月期 決算短信〔日本基準〕（連結）</t>
        </is>
      </c>
      <c r="C196" s="58" t="inlineStr">
        <is>
          <t>140120240509587500</t>
        </is>
      </c>
    </row>
    <row r="197">
      <c r="A197" s="54" t="inlineStr">
        <is>
          <t>2024-01-31</t>
        </is>
      </c>
      <c r="B197" s="58" t="inlineStr">
        <is>
          <t>2024年３月期 第３四半期決算短信〔日本基準〕（連結）</t>
        </is>
      </c>
      <c r="C197" s="58" t="inlineStr">
        <is>
          <t>140120240130522255</t>
        </is>
      </c>
    </row>
    <row r="198">
      <c r="A198" s="54" t="inlineStr">
        <is>
          <t>2023-10-31</t>
        </is>
      </c>
      <c r="B198" s="58" t="inlineStr">
        <is>
          <t>2024年３月期 第２四半期決算短信〔日本基準〕（連結）</t>
        </is>
      </c>
      <c r="C198" s="58" t="inlineStr">
        <is>
          <t>140120231030575131</t>
        </is>
      </c>
    </row>
    <row r="199">
      <c r="A199" s="54" t="inlineStr">
        <is>
          <t>2023-07-31</t>
        </is>
      </c>
      <c r="B199" s="58" t="inlineStr">
        <is>
          <t>2024年３月期 第１四半期決算短信〔日本基準〕（連結）</t>
        </is>
      </c>
      <c r="C199" s="58" t="inlineStr">
        <is>
          <t>140120230727527914</t>
        </is>
      </c>
    </row>
    <row r="200">
      <c r="A200" s="54" t="inlineStr">
        <is>
          <t>2023-05-12</t>
        </is>
      </c>
      <c r="B200" s="58" t="inlineStr">
        <is>
          <t>2023年３月期 決算短信〔日本基準〕（連結）</t>
        </is>
      </c>
      <c r="C200" s="58" t="inlineStr">
        <is>
          <t>140120230511567003</t>
        </is>
      </c>
    </row>
    <row r="201">
      <c r="A201" s="54" t="inlineStr">
        <is>
          <t>2023-01-31</t>
        </is>
      </c>
      <c r="B201" s="58" t="inlineStr">
        <is>
          <t>2023年３月期 第３四半期決算短信〔日本基準〕（連結）</t>
        </is>
      </c>
      <c r="C201" s="58" t="inlineStr">
        <is>
          <t>140120230127594554</t>
        </is>
      </c>
    </row>
    <row r="202">
      <c r="A202" s="54" t="inlineStr">
        <is>
          <t>2022-05-13</t>
        </is>
      </c>
      <c r="B202" s="58" t="inlineStr">
        <is>
          <t>2022年３月期 決算短信〔日本基準〕（連結）</t>
        </is>
      </c>
      <c r="C202" s="58" t="inlineStr">
        <is>
          <t>140120220512543004</t>
        </is>
      </c>
    </row>
    <row r="203">
      <c r="A203" s="54" t="inlineStr">
        <is>
          <t>2021-05-13</t>
        </is>
      </c>
      <c r="B203" s="58" t="inlineStr">
        <is>
          <t>2021年３月期 決算短信〔日本基準〕（連結）</t>
        </is>
      </c>
      <c r="C203" s="58" t="inlineStr">
        <is>
          <t>140120210512414067</t>
        </is>
      </c>
    </row>
    <row r="204">
      <c r="A204" s="54" t="inlineStr">
        <is>
          <t>2020-05-19</t>
        </is>
      </c>
      <c r="B204" s="58" t="inlineStr">
        <is>
          <t>2020年３月期 決算短信〔日本基準〕（連結）</t>
        </is>
      </c>
      <c r="C204" s="58" t="inlineStr">
        <is>
          <t>140120200518417514</t>
        </is>
      </c>
    </row>
    <row r="205">
      <c r="A205" s="54" t="inlineStr">
        <is>
          <t>2019-05-14</t>
        </is>
      </c>
      <c r="B205" s="58" t="inlineStr">
        <is>
          <t>2019年３月期 決算短信〔日本基準〕（連結）</t>
        </is>
      </c>
      <c r="C205" s="58" t="inlineStr">
        <is>
          <t>140120190513423992</t>
        </is>
      </c>
    </row>
    <row r="206">
      <c r="A206" s="54" t="inlineStr">
        <is>
          <t>2018-05-11</t>
        </is>
      </c>
      <c r="B206" s="58" t="inlineStr">
        <is>
          <t>平成30年３月期 決算短信〔日本基準〕（連結）</t>
        </is>
      </c>
      <c r="C206" s="58" t="inlineStr">
        <is>
          <t>140120180509431828</t>
        </is>
      </c>
    </row>
    <row r="208">
      <c r="A208" s="52" t="inlineStr">
        <is>
          <t>reactions</t>
        </is>
      </c>
      <c r="B208" s="52" t="n"/>
      <c r="C208" s="52" t="n"/>
      <c r="D208" s="52" t="n"/>
      <c r="E208" s="52" t="n"/>
      <c r="F208" s="52" t="n"/>
      <c r="G208" s="52" t="n"/>
    </row>
    <row r="209">
      <c r="A209" s="53" t="inlineStr">
        <is>
          <t>항목</t>
        </is>
      </c>
      <c r="B209" s="53" t="inlineStr">
        <is>
          <t>기준일</t>
        </is>
      </c>
      <c r="C209" s="53" t="inlineStr">
        <is>
          <t>다음날</t>
        </is>
      </c>
      <c r="D209" s="53" t="inlineStr">
        <is>
          <t>등락%</t>
        </is>
      </c>
      <c r="G209" s="53" t="inlineStr">
        <is>
          <t>출처</t>
        </is>
      </c>
    </row>
    <row r="210">
      <c r="A210" s="54" t="inlineStr">
        <is>
          <t>2025-01-31</t>
        </is>
      </c>
      <c r="B210" s="58" t="inlineStr">
        <is>
          <t>2025-01-31</t>
        </is>
      </c>
      <c r="C210" s="58" t="inlineStr">
        <is>
          <t>2025-02-03</t>
        </is>
      </c>
      <c r="D210" s="57" t="n">
        <v>-1.1</v>
      </c>
      <c r="G210" s="56" t="inlineStr">
        <is>
          <t>2단계 보고서 자료(회사 설명회 자료·공시)</t>
        </is>
      </c>
    </row>
    <row r="211">
      <c r="A211" s="54" t="inlineStr">
        <is>
          <t>2025-05-09</t>
        </is>
      </c>
      <c r="B211" s="58" t="inlineStr">
        <is>
          <t>2025-05-09</t>
        </is>
      </c>
      <c r="C211" s="58" t="inlineStr">
        <is>
          <t>2025-05-12</t>
        </is>
      </c>
      <c r="D211" s="57" t="n">
        <v>-2.8</v>
      </c>
    </row>
    <row r="212">
      <c r="A212" s="54" t="inlineStr">
        <is>
          <t>2025-07-31</t>
        </is>
      </c>
      <c r="B212" s="58" t="inlineStr">
        <is>
          <t>2025-07-31</t>
        </is>
      </c>
      <c r="C212" s="58" t="inlineStr">
        <is>
          <t>2025-08-01</t>
        </is>
      </c>
      <c r="D212" s="57" t="n">
        <v>1.7</v>
      </c>
    </row>
    <row r="213">
      <c r="A213" s="54" t="inlineStr">
        <is>
          <t>2025-10-31</t>
        </is>
      </c>
      <c r="B213" s="58" t="inlineStr">
        <is>
          <t>2025-10-31</t>
        </is>
      </c>
      <c r="C213" s="58" t="inlineStr">
        <is>
          <t>2025-11-04</t>
        </is>
      </c>
      <c r="D213" s="57" t="n">
        <v>-1.9</v>
      </c>
    </row>
    <row r="214">
      <c r="A214" s="54" t="inlineStr">
        <is>
          <t>2026-01-30</t>
        </is>
      </c>
      <c r="B214" s="58" t="inlineStr">
        <is>
          <t>2026-01-30</t>
        </is>
      </c>
      <c r="C214" s="58" t="inlineStr">
        <is>
          <t>2026-02-02</t>
        </is>
      </c>
      <c r="D214" s="57" t="n">
        <v>1.7</v>
      </c>
    </row>
    <row r="215">
      <c r="A215" s="54" t="inlineStr">
        <is>
          <t>2026-05-08</t>
        </is>
      </c>
      <c r="B215" s="58" t="inlineStr">
        <is>
          <t>2026-05-08</t>
        </is>
      </c>
      <c r="C215" s="58" t="inlineStr">
        <is>
          <t>2026-05-11</t>
        </is>
      </c>
      <c r="D215" s="57" t="n">
        <v>-1.1</v>
      </c>
    </row>
    <row r="216">
      <c r="A216" s="54" t="inlineStr">
        <is>
          <t>2026-07-31</t>
        </is>
      </c>
      <c r="B216" s="58" t="inlineStr">
        <is>
          <t>2026-07-31</t>
        </is>
      </c>
      <c r="C216" s="58" t="inlineStr">
        <is>
          <t>2026-08-03</t>
        </is>
      </c>
      <c r="D216" s="57" t="n">
        <v>-1.2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https://www2.jpx.co.jp/disc/74420/140120261030561032.pdf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https://www2.jpx.co.jp/disc/74420/140120260730502759.pdf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https://www2.jpx.co.jp/disc/74420/140120260508520508.pdf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https://www2.jpx.co.jp/disc/74420/140120260130543072.pdf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https://www2.jpx.co.jp/disc/74420/140120251031584153.pdf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https://www2.jpx.co.jp/disc/74420/140120250730523601.pdf</t>
        </is>
      </c>
    </row>
    <row r="10">
      <c r="A10" t="inlineStr">
        <is>
          <t>2025-05-09</t>
        </is>
      </c>
      <c r="B10" t="inlineStr">
        <is>
          <t>2025년 3월 결산기 연간 결산단신</t>
        </is>
      </c>
      <c r="C10" t="inlineStr">
        <is>
          <t>https://www2.jpx.co.jp/disc/74420/140120250508535420.pdf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https://www2.jpx.co.jp/disc/74420/140120250128556518.pdf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https://www2.jpx.co.jp/disc/74420/140120241028503582.pdf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https://www2.jpx.co.jp/disc/74420/140120240729556374.pdf</t>
        </is>
      </c>
    </row>
    <row r="14">
      <c r="A14" t="inlineStr">
        <is>
          <t>2024-05-10</t>
        </is>
      </c>
      <c r="B14" t="inlineStr">
        <is>
          <t>2024년 3월 결산기 연간 결산단신</t>
        </is>
      </c>
      <c r="C14" t="inlineStr">
        <is>
          <t>https://www2.jpx.co.jp/disc/74420/140120240509587500.pdf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https://www2.jpx.co.jp/disc/74420/140120240130522255.pdf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https://www2.jpx.co.jp/disc/74420/140120231030575131.pdf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https://www2.jpx.co.jp/disc/74420/140120230727527914.pdf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https://www2.jpx.co.jp/disc/74420/140120230511567003.pdf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https://www2.jpx.co.jp/disc/74420/140120230127594554.pdf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https://www2.jpx.co.jp/disc/74420/140120220512543004.pdf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https://www2.jpx.co.jp/disc/74420/140120210512414067.pdf</t>
        </is>
      </c>
    </row>
    <row r="22">
      <c r="A22" t="inlineStr">
        <is>
          <t>2020-05-19</t>
        </is>
      </c>
      <c r="B22" t="inlineStr">
        <is>
          <t>2020년 3월 결산기 연간 결산단신</t>
        </is>
      </c>
      <c r="C22" t="inlineStr">
        <is>
          <t>https://www2.jpx.co.jp/disc/74420/140120200518417514.pdf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https://www2.jpx.co.jp/disc/74420/140120190513423992.pdf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https://www2.jpx.co.jp/disc/74420/140120180509431828.pdf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7442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111.7</v>
      </c>
      <c r="D5" s="65" t="n">
        <v>116.6</v>
      </c>
      <c r="E5" s="65" t="n">
        <v>118.2</v>
      </c>
      <c r="F5" s="65" t="n">
        <v>132.2</v>
      </c>
      <c r="G5" s="65" t="n">
        <v>107</v>
      </c>
      <c r="H5" s="65" t="n">
        <v>117.3</v>
      </c>
      <c r="I5" s="65" t="n">
        <v>116.6</v>
      </c>
      <c r="J5" s="65" t="n">
        <v>134.1</v>
      </c>
      <c r="K5" s="65" t="n">
        <v>117</v>
      </c>
      <c r="L5" s="65" t="n">
        <v>116.5</v>
      </c>
      <c r="M5" s="65" t="n">
        <v>118.5</v>
      </c>
      <c r="N5" s="65" t="n">
        <v>127.5</v>
      </c>
      <c r="O5" s="65" t="n">
        <v>104.1</v>
      </c>
      <c r="P5" s="65" t="n">
        <v>115.4</v>
      </c>
      <c r="Q5" s="65" t="n">
        <v>120.2</v>
      </c>
      <c r="R5" s="65" t="n">
        <v>130.3</v>
      </c>
      <c r="S5" s="65" t="n">
        <v>112.7</v>
      </c>
      <c r="T5" s="65" t="n">
        <v>107.4</v>
      </c>
      <c r="U5" s="65" t="n">
        <v>104.5</v>
      </c>
      <c r="V5" s="65" t="n">
        <v>115.8</v>
      </c>
      <c r="W5" s="65" t="n">
        <v>99.5</v>
      </c>
      <c r="X5" s="65" t="n">
        <v>98.3</v>
      </c>
      <c r="Y5" s="65" t="n">
        <v>97.90000000000001</v>
      </c>
      <c r="Z5" s="65" t="n">
        <v>109.5</v>
      </c>
      <c r="AA5" s="65" t="n">
        <v>93.09999999999999</v>
      </c>
      <c r="AB5" s="65" t="n">
        <v>92.40000000000001</v>
      </c>
      <c r="AC5" s="65" t="n">
        <v>90.7</v>
      </c>
      <c r="AD5" s="65" t="n">
        <v>111</v>
      </c>
      <c r="AE5" s="65" t="n">
        <v>91.90000000000001</v>
      </c>
      <c r="AF5" s="65" t="n">
        <v>97.59999999999999</v>
      </c>
      <c r="AG5" s="65" t="n">
        <v>99.40000000000001</v>
      </c>
      <c r="AH5" s="65" t="n">
        <v>112.8</v>
      </c>
      <c r="AI5" s="65" t="n">
        <v>99.7</v>
      </c>
      <c r="AJ5" s="65" t="n">
        <v>102.9</v>
      </c>
      <c r="AK5" s="65" t="n">
        <v>100.3</v>
      </c>
      <c r="AL5" s="65" t="n">
        <v>116.8</v>
      </c>
      <c r="AM5" s="65" t="n">
        <v>110.6</v>
      </c>
      <c r="AN5" s="65" t="n">
        <v>117.3</v>
      </c>
      <c r="AO5" s="65" t="n">
        <v>110.3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-4.2</v>
      </c>
      <c r="H6" s="66" t="n">
        <v>0.6</v>
      </c>
      <c r="I6" s="66" t="n">
        <v>-1.4</v>
      </c>
      <c r="J6" s="66" t="n">
        <v>1.4</v>
      </c>
      <c r="K6" s="66" t="n">
        <v>9.300000000000001</v>
      </c>
      <c r="L6" s="66" t="n">
        <v>-0.7</v>
      </c>
      <c r="M6" s="66" t="n">
        <v>1.6</v>
      </c>
      <c r="N6" s="66" t="n">
        <v>-4.9</v>
      </c>
      <c r="O6" s="66" t="n">
        <v>-11</v>
      </c>
      <c r="P6" s="66" t="n">
        <v>-0.9</v>
      </c>
      <c r="Q6" s="66" t="n">
        <v>1.4</v>
      </c>
      <c r="R6" s="66" t="n">
        <v>2.2</v>
      </c>
      <c r="S6" s="66" t="n">
        <v>8.300000000000001</v>
      </c>
      <c r="T6" s="66" t="n">
        <v>-6.9</v>
      </c>
      <c r="U6" s="66" t="n">
        <v>-13.1</v>
      </c>
      <c r="V6" s="66" t="n">
        <v>-11.1</v>
      </c>
      <c r="W6" s="66" t="n">
        <v>-11.7</v>
      </c>
      <c r="X6" s="66" t="n">
        <v>-8.5</v>
      </c>
      <c r="Y6" s="66" t="n">
        <v>-6.3</v>
      </c>
      <c r="Z6" s="66" t="n">
        <v>-5.4</v>
      </c>
      <c r="AA6" s="66" t="n">
        <v>-6.4</v>
      </c>
      <c r="AB6" s="66" t="n">
        <v>-6</v>
      </c>
      <c r="AC6" s="66" t="n">
        <v>-7.4</v>
      </c>
      <c r="AD6" s="66" t="n">
        <v>1.4</v>
      </c>
      <c r="AE6" s="66" t="n">
        <v>-1.3</v>
      </c>
      <c r="AF6" s="66" t="n">
        <v>5.6</v>
      </c>
      <c r="AG6" s="66" t="n">
        <v>9.6</v>
      </c>
      <c r="AH6" s="66" t="n">
        <v>1.6</v>
      </c>
      <c r="AI6" s="66" t="n">
        <v>8.5</v>
      </c>
      <c r="AJ6" s="66" t="n">
        <v>5.4</v>
      </c>
      <c r="AK6" s="66" t="n">
        <v>0.9</v>
      </c>
      <c r="AL6" s="66" t="n">
        <v>3.5</v>
      </c>
      <c r="AM6" s="66" t="n">
        <v>10.9</v>
      </c>
      <c r="AN6" s="66" t="n">
        <v>14</v>
      </c>
      <c r="AO6" s="66" t="n">
        <v>10</v>
      </c>
    </row>
    <row r="7">
      <c r="A7" s="64" t="inlineStr">
        <is>
          <t>영업이익</t>
        </is>
      </c>
      <c r="B7" s="65" t="n"/>
      <c r="C7" s="65" t="n">
        <v>2.1</v>
      </c>
      <c r="D7" s="65" t="n">
        <v>-1.1</v>
      </c>
      <c r="E7" s="65" t="n">
        <v>2.1</v>
      </c>
      <c r="F7" s="65" t="n">
        <v>0.3</v>
      </c>
      <c r="G7" s="65" t="n">
        <v>0.8</v>
      </c>
      <c r="H7" s="65" t="n">
        <v>-1.5</v>
      </c>
      <c r="I7" s="65" t="n">
        <v>-0.2</v>
      </c>
      <c r="J7" s="65" t="n">
        <v>-0.2</v>
      </c>
      <c r="K7" s="65" t="n">
        <v>3.3</v>
      </c>
      <c r="L7" s="65" t="n">
        <v>-1.9</v>
      </c>
      <c r="M7" s="65" t="n">
        <v>1.2</v>
      </c>
      <c r="N7" s="65" t="n">
        <v>-0.8</v>
      </c>
      <c r="O7" s="65" t="n">
        <v>2.1</v>
      </c>
      <c r="P7" s="65" t="n">
        <v>0.4</v>
      </c>
      <c r="Q7" s="65" t="n">
        <v>4.2</v>
      </c>
      <c r="R7" s="65" t="n">
        <v>2</v>
      </c>
      <c r="S7" s="65" t="n">
        <v>2.1</v>
      </c>
      <c r="T7" s="65" t="n">
        <v>0.5</v>
      </c>
      <c r="U7" s="65" t="n">
        <v>1.7</v>
      </c>
      <c r="V7" s="65" t="n">
        <v>0.6</v>
      </c>
      <c r="W7" s="65" t="n">
        <v>2.8</v>
      </c>
      <c r="X7" s="65" t="n">
        <v>-1</v>
      </c>
      <c r="Y7" s="65" t="n">
        <v>0.9</v>
      </c>
      <c r="Z7" s="65" t="n">
        <v>1.6</v>
      </c>
      <c r="AA7" s="65" t="n">
        <v>-0.5</v>
      </c>
      <c r="AB7" s="65" t="n">
        <v>-1</v>
      </c>
      <c r="AC7" s="65" t="n">
        <v>-1</v>
      </c>
      <c r="AD7" s="65" t="n">
        <v>-0.2</v>
      </c>
      <c r="AE7" s="65" t="n">
        <v>-2.5</v>
      </c>
      <c r="AF7" s="65" t="n">
        <v>-0.4</v>
      </c>
      <c r="AG7" s="65" t="n">
        <v>0.4</v>
      </c>
      <c r="AH7" s="65" t="n">
        <v>1.3</v>
      </c>
      <c r="AI7" s="65" t="n">
        <v>0.2</v>
      </c>
      <c r="AJ7" s="65" t="n">
        <v>1.3</v>
      </c>
      <c r="AK7" s="65" t="n">
        <v>0.7</v>
      </c>
      <c r="AL7" s="65" t="n">
        <v>1.3</v>
      </c>
      <c r="AM7" s="65" t="n">
        <v>2</v>
      </c>
      <c r="AN7" s="65" t="n">
        <v>3.8</v>
      </c>
      <c r="AO7" s="65" t="n">
        <v>2.6</v>
      </c>
    </row>
    <row r="8">
      <c r="A8" s="64" t="inlineStr">
        <is>
          <t>영업이익률</t>
        </is>
      </c>
      <c r="B8" s="66" t="n"/>
      <c r="C8" s="66" t="n">
        <v>1.9</v>
      </c>
      <c r="D8" s="66" t="n">
        <v>-0.9</v>
      </c>
      <c r="E8" s="66" t="n">
        <v>1.8</v>
      </c>
      <c r="F8" s="66" t="n">
        <v>0.2</v>
      </c>
      <c r="G8" s="66" t="n">
        <v>0.7</v>
      </c>
      <c r="H8" s="66" t="n">
        <v>-1.3</v>
      </c>
      <c r="I8" s="66" t="n">
        <v>-0.2</v>
      </c>
      <c r="J8" s="66" t="n">
        <v>-0.1</v>
      </c>
      <c r="K8" s="66" t="n">
        <v>2.8</v>
      </c>
      <c r="L8" s="66" t="n">
        <v>-1.6</v>
      </c>
      <c r="M8" s="66" t="n">
        <v>1</v>
      </c>
      <c r="N8" s="66" t="n">
        <v>-0.6</v>
      </c>
      <c r="O8" s="66" t="n">
        <v>2</v>
      </c>
      <c r="P8" s="66" t="n">
        <v>0.3</v>
      </c>
      <c r="Q8" s="66" t="n">
        <v>3.5</v>
      </c>
      <c r="R8" s="66" t="n">
        <v>1.5</v>
      </c>
      <c r="S8" s="66" t="n">
        <v>1.9</v>
      </c>
      <c r="T8" s="66" t="n">
        <v>0.5</v>
      </c>
      <c r="U8" s="66" t="n">
        <v>1.6</v>
      </c>
      <c r="V8" s="66" t="n">
        <v>0.5</v>
      </c>
      <c r="W8" s="66" t="n">
        <v>2.8</v>
      </c>
      <c r="X8" s="66" t="n">
        <v>-1</v>
      </c>
      <c r="Y8" s="66" t="n">
        <v>0.9</v>
      </c>
      <c r="Z8" s="66" t="n">
        <v>1.5</v>
      </c>
      <c r="AA8" s="66" t="n">
        <v>-0.5</v>
      </c>
      <c r="AB8" s="66" t="n">
        <v>-1.1</v>
      </c>
      <c r="AC8" s="66" t="n">
        <v>-1.1</v>
      </c>
      <c r="AD8" s="66" t="n">
        <v>-0.2</v>
      </c>
      <c r="AE8" s="66" t="n">
        <v>-2.7</v>
      </c>
      <c r="AF8" s="66" t="n">
        <v>-0.4</v>
      </c>
      <c r="AG8" s="66" t="n">
        <v>0.4</v>
      </c>
      <c r="AH8" s="66" t="n">
        <v>1.2</v>
      </c>
      <c r="AI8" s="66" t="n">
        <v>0.2</v>
      </c>
      <c r="AJ8" s="66" t="n">
        <v>1.3</v>
      </c>
      <c r="AK8" s="66" t="n">
        <v>0.7</v>
      </c>
      <c r="AL8" s="66" t="n">
        <v>1.1</v>
      </c>
      <c r="AM8" s="66" t="n">
        <v>1.8</v>
      </c>
      <c r="AN8" s="66" t="n">
        <v>3.2</v>
      </c>
      <c r="AO8" s="66" t="n">
        <v>2.4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-61.9</v>
      </c>
      <c r="H9" s="66" t="n"/>
      <c r="I9" s="66" t="n">
        <v>-109.5</v>
      </c>
      <c r="J9" s="66" t="n">
        <v>-166.7</v>
      </c>
      <c r="K9" s="66" t="n">
        <v>312.5</v>
      </c>
      <c r="L9" s="66" t="n"/>
      <c r="M9" s="66" t="n"/>
      <c r="N9" s="66" t="n"/>
      <c r="O9" s="66" t="n">
        <v>-36.4</v>
      </c>
      <c r="P9" s="66" t="n"/>
      <c r="Q9" s="66" t="n">
        <v>250</v>
      </c>
      <c r="R9" s="66" t="n"/>
      <c r="S9" s="66" t="n">
        <v>0</v>
      </c>
      <c r="T9" s="66" t="n">
        <v>25</v>
      </c>
      <c r="U9" s="66" t="n">
        <v>-59.5</v>
      </c>
      <c r="V9" s="66" t="n">
        <v>-70</v>
      </c>
      <c r="W9" s="66" t="n">
        <v>33.3</v>
      </c>
      <c r="X9" s="66" t="n">
        <v>-300</v>
      </c>
      <c r="Y9" s="66" t="n">
        <v>-47.1</v>
      </c>
      <c r="Z9" s="66" t="n">
        <v>166.7</v>
      </c>
      <c r="AA9" s="66" t="n">
        <v>-117.9</v>
      </c>
      <c r="AB9" s="66" t="n"/>
      <c r="AC9" s="66" t="n">
        <v>-211.1</v>
      </c>
      <c r="AD9" s="66" t="n">
        <v>-112.5</v>
      </c>
      <c r="AE9" s="66" t="n"/>
      <c r="AF9" s="66" t="n"/>
      <c r="AG9" s="66" t="n"/>
      <c r="AH9" s="66" t="n"/>
      <c r="AI9" s="66" t="n"/>
      <c r="AJ9" s="66" t="n"/>
      <c r="AK9" s="66" t="n">
        <v>75</v>
      </c>
      <c r="AL9" s="66" t="n">
        <v>0</v>
      </c>
      <c r="AM9" s="66" t="n">
        <v>900</v>
      </c>
      <c r="AN9" s="66" t="n">
        <v>192.3</v>
      </c>
      <c r="AO9" s="66" t="n">
        <v>271.4</v>
      </c>
    </row>
    <row r="10">
      <c r="A10" s="64" t="inlineStr">
        <is>
          <t>유동자산</t>
        </is>
      </c>
      <c r="B10" s="65" t="n"/>
      <c r="C10" s="65" t="n">
        <v>178.1</v>
      </c>
      <c r="D10" s="65" t="n"/>
      <c r="E10" s="65" t="n"/>
      <c r="F10" s="65" t="n">
        <v>247.3</v>
      </c>
      <c r="G10" s="65" t="n">
        <v>203.7</v>
      </c>
      <c r="H10" s="65" t="n">
        <v>216.3</v>
      </c>
      <c r="I10" s="65" t="n">
        <v>205.5</v>
      </c>
      <c r="J10" s="65" t="n">
        <v>257.9</v>
      </c>
      <c r="K10" s="65" t="n">
        <v>203.8</v>
      </c>
      <c r="L10" s="65" t="n">
        <v>217.5</v>
      </c>
      <c r="M10" s="65" t="n">
        <v>191.5</v>
      </c>
      <c r="N10" s="65" t="n">
        <v>239.7</v>
      </c>
      <c r="O10" s="65" t="n">
        <v>188</v>
      </c>
      <c r="P10" s="65" t="n">
        <v>210.9</v>
      </c>
      <c r="Q10" s="65" t="n">
        <v>195.7</v>
      </c>
      <c r="R10" s="65" t="n">
        <v>257.3</v>
      </c>
      <c r="S10" s="65" t="n">
        <v>208</v>
      </c>
      <c r="T10" s="65" t="n">
        <v>216.1</v>
      </c>
      <c r="U10" s="65" t="n">
        <v>198.6</v>
      </c>
      <c r="V10" s="65" t="n">
        <v>246.1</v>
      </c>
      <c r="W10" s="65" t="n">
        <v>193.5</v>
      </c>
      <c r="X10" s="65" t="n">
        <v>196.7</v>
      </c>
      <c r="Y10" s="65" t="n">
        <v>195.8</v>
      </c>
      <c r="Z10" s="65" t="n">
        <v>236.7</v>
      </c>
      <c r="AA10" s="65" t="n">
        <v>200.8</v>
      </c>
      <c r="AB10" s="65" t="n">
        <v>199.4</v>
      </c>
      <c r="AC10" s="65" t="n">
        <v>202.5</v>
      </c>
      <c r="AD10" s="65" t="n">
        <v>239.1</v>
      </c>
      <c r="AE10" s="65" t="n">
        <v>204.7</v>
      </c>
      <c r="AF10" s="65" t="n">
        <v>207</v>
      </c>
      <c r="AG10" s="65" t="n">
        <v>195.5</v>
      </c>
      <c r="AH10" s="65" t="n">
        <v>247.9</v>
      </c>
      <c r="AI10" s="65" t="n">
        <v>207.8</v>
      </c>
      <c r="AJ10" s="65" t="n">
        <v>189.6</v>
      </c>
      <c r="AK10" s="65" t="n">
        <v>190.3</v>
      </c>
      <c r="AL10" s="65" t="n">
        <v>223.8</v>
      </c>
      <c r="AM10" s="65" t="n">
        <v>201.2</v>
      </c>
      <c r="AN10" s="65" t="n">
        <v>196.1</v>
      </c>
      <c r="AO10" s="65" t="n">
        <v>198.1</v>
      </c>
    </row>
    <row r="11">
      <c r="A11" s="64" t="inlineStr">
        <is>
          <t>유동부채</t>
        </is>
      </c>
      <c r="B11" s="65" t="n"/>
      <c r="C11" s="65" t="n">
        <v>63.1</v>
      </c>
      <c r="D11" s="65" t="n"/>
      <c r="E11" s="65" t="n"/>
      <c r="F11" s="65" t="n">
        <v>132.1</v>
      </c>
      <c r="G11" s="65" t="n">
        <v>85.90000000000001</v>
      </c>
      <c r="H11" s="65" t="n">
        <v>105.4</v>
      </c>
      <c r="I11" s="65" t="n">
        <v>92.5</v>
      </c>
      <c r="J11" s="65" t="n">
        <v>140.5</v>
      </c>
      <c r="K11" s="65" t="n">
        <v>78.2</v>
      </c>
      <c r="L11" s="65" t="n">
        <v>98.3</v>
      </c>
      <c r="M11" s="65" t="n">
        <v>71.90000000000001</v>
      </c>
      <c r="N11" s="65" t="n">
        <v>122.5</v>
      </c>
      <c r="O11" s="65" t="n">
        <v>67.90000000000001</v>
      </c>
      <c r="P11" s="65" t="n">
        <v>95.3</v>
      </c>
      <c r="Q11" s="65" t="n">
        <v>72.09999999999999</v>
      </c>
      <c r="R11" s="65" t="n">
        <v>127.6</v>
      </c>
      <c r="S11" s="65" t="n">
        <v>81.5</v>
      </c>
      <c r="T11" s="65" t="n">
        <v>101</v>
      </c>
      <c r="U11" s="65" t="n">
        <v>82.8</v>
      </c>
      <c r="V11" s="65" t="n">
        <v>125.6</v>
      </c>
      <c r="W11" s="65" t="n">
        <v>72.59999999999999</v>
      </c>
      <c r="X11" s="65" t="n">
        <v>79</v>
      </c>
      <c r="Y11" s="65" t="n">
        <v>70.5</v>
      </c>
      <c r="Z11" s="65" t="n">
        <v>110.3</v>
      </c>
      <c r="AA11" s="65" t="n">
        <v>74.5</v>
      </c>
      <c r="AB11" s="65" t="n">
        <v>75</v>
      </c>
      <c r="AC11" s="65" t="n">
        <v>77.7</v>
      </c>
      <c r="AD11" s="65" t="n">
        <v>117.3</v>
      </c>
      <c r="AE11" s="65" t="n">
        <v>84.59999999999999</v>
      </c>
      <c r="AF11" s="65" t="n">
        <v>91.3</v>
      </c>
      <c r="AG11" s="65" t="n">
        <v>80.40000000000001</v>
      </c>
      <c r="AH11" s="65" t="n">
        <v>129.5</v>
      </c>
      <c r="AI11" s="65" t="n">
        <v>88</v>
      </c>
      <c r="AJ11" s="65" t="n">
        <v>68.40000000000001</v>
      </c>
      <c r="AK11" s="65" t="n">
        <v>69</v>
      </c>
      <c r="AL11" s="65" t="n">
        <v>101.4</v>
      </c>
      <c r="AM11" s="65" t="n">
        <v>76.5</v>
      </c>
      <c r="AN11" s="65" t="n">
        <v>74.2</v>
      </c>
      <c r="AO11" s="65" t="n">
        <v>75.7</v>
      </c>
    </row>
    <row r="12">
      <c r="A12" s="64" t="inlineStr">
        <is>
          <t>부채총계</t>
        </is>
      </c>
      <c r="B12" s="65" t="n"/>
      <c r="C12" s="65" t="n">
        <v>72.3</v>
      </c>
      <c r="D12" s="65" t="n"/>
      <c r="E12" s="65" t="n"/>
      <c r="F12" s="65" t="n">
        <v>140.9</v>
      </c>
      <c r="G12" s="65" t="n">
        <v>105.1</v>
      </c>
      <c r="H12" s="65" t="n">
        <v>121.2</v>
      </c>
      <c r="I12" s="65" t="n">
        <v>111.3</v>
      </c>
      <c r="J12" s="65" t="n">
        <v>159.3</v>
      </c>
      <c r="K12" s="65" t="n">
        <v>101.2</v>
      </c>
      <c r="L12" s="65" t="n">
        <v>119.8</v>
      </c>
      <c r="M12" s="65" t="n">
        <v>93.8</v>
      </c>
      <c r="N12" s="65" t="n">
        <v>145.7</v>
      </c>
      <c r="O12" s="65" t="n">
        <v>89.40000000000001</v>
      </c>
      <c r="P12" s="65" t="n">
        <v>116.9</v>
      </c>
      <c r="Q12" s="65" t="n">
        <v>94.59999999999999</v>
      </c>
      <c r="R12" s="65" t="n">
        <v>149.5</v>
      </c>
      <c r="S12" s="65" t="n">
        <v>103.2</v>
      </c>
      <c r="T12" s="65" t="n">
        <v>120.5</v>
      </c>
      <c r="U12" s="65" t="n">
        <v>102.5</v>
      </c>
      <c r="V12" s="65" t="n">
        <v>151.8</v>
      </c>
      <c r="W12" s="65" t="n">
        <v>97.7</v>
      </c>
      <c r="X12" s="65" t="n">
        <v>102.5</v>
      </c>
      <c r="Y12" s="65" t="n">
        <v>93.59999999999999</v>
      </c>
      <c r="Z12" s="65" t="n">
        <v>132.8</v>
      </c>
      <c r="AA12" s="65" t="n">
        <v>96.2</v>
      </c>
      <c r="AB12" s="65" t="n">
        <v>96.40000000000001</v>
      </c>
      <c r="AC12" s="65" t="n">
        <v>98.5</v>
      </c>
      <c r="AD12" s="65" t="n">
        <v>136.2</v>
      </c>
      <c r="AE12" s="65" t="n">
        <v>104.6</v>
      </c>
      <c r="AF12" s="65" t="n">
        <v>110.3</v>
      </c>
      <c r="AG12" s="65" t="n">
        <v>99.2</v>
      </c>
      <c r="AH12" s="65" t="n">
        <v>145.7</v>
      </c>
      <c r="AI12" s="65" t="n">
        <v>103.9</v>
      </c>
      <c r="AJ12" s="65" t="n">
        <v>82.90000000000001</v>
      </c>
      <c r="AK12" s="65" t="n">
        <v>84.40000000000001</v>
      </c>
      <c r="AL12" s="65" t="n">
        <v>117.4</v>
      </c>
      <c r="AM12" s="65" t="n">
        <v>93.7</v>
      </c>
      <c r="AN12" s="65" t="n">
        <v>89.3</v>
      </c>
      <c r="AO12" s="65" t="n">
        <v>90.40000000000001</v>
      </c>
    </row>
    <row r="13">
      <c r="A13" s="64" t="inlineStr">
        <is>
          <t>자기자본</t>
        </is>
      </c>
      <c r="B13" s="66" t="n"/>
      <c r="C13" s="66" t="n">
        <v>215</v>
      </c>
      <c r="D13" s="66" t="n"/>
      <c r="E13" s="66" t="n"/>
      <c r="F13" s="66" t="n">
        <v>213.3</v>
      </c>
      <c r="G13" s="66" t="n">
        <v>216.7</v>
      </c>
      <c r="H13" s="66" t="n">
        <v>208.8</v>
      </c>
      <c r="I13" s="66" t="n">
        <v>213</v>
      </c>
      <c r="J13" s="66" t="n">
        <v>207.6</v>
      </c>
      <c r="K13" s="66" t="n">
        <v>210.8</v>
      </c>
      <c r="L13" s="66" t="n">
        <v>203.5</v>
      </c>
      <c r="M13" s="66" t="n">
        <v>206.2</v>
      </c>
      <c r="N13" s="66" t="n">
        <v>207.6</v>
      </c>
      <c r="O13" s="66" t="n">
        <v>205</v>
      </c>
      <c r="P13" s="66" t="n">
        <v>202.1</v>
      </c>
      <c r="Q13" s="66" t="n">
        <v>210.1</v>
      </c>
      <c r="R13" s="66" t="n">
        <v>213.3</v>
      </c>
      <c r="S13" s="66" t="n">
        <v>217</v>
      </c>
      <c r="T13" s="66" t="n">
        <v>210.4</v>
      </c>
      <c r="U13" s="66" t="n">
        <v>213.9</v>
      </c>
      <c r="V13" s="66" t="n">
        <v>212.7</v>
      </c>
      <c r="W13" s="66" t="n">
        <v>212.6</v>
      </c>
      <c r="X13" s="66" t="n">
        <v>209</v>
      </c>
      <c r="Y13" s="66" t="n">
        <v>214.8</v>
      </c>
      <c r="Z13" s="66" t="n">
        <v>217.3</v>
      </c>
      <c r="AA13" s="66" t="n">
        <v>217.7</v>
      </c>
      <c r="AB13" s="66" t="n">
        <v>217.9</v>
      </c>
      <c r="AC13" s="66" t="n">
        <v>218.8</v>
      </c>
      <c r="AD13" s="66" t="n">
        <v>216.9</v>
      </c>
      <c r="AE13" s="66" t="n">
        <v>224.3</v>
      </c>
      <c r="AF13" s="66" t="n">
        <v>222.6</v>
      </c>
      <c r="AG13" s="66" t="n">
        <v>224.7</v>
      </c>
      <c r="AH13" s="66" t="n">
        <v>224.3</v>
      </c>
      <c r="AI13" s="66" t="n">
        <v>224</v>
      </c>
      <c r="AJ13" s="66" t="n">
        <v>223.6</v>
      </c>
      <c r="AK13" s="66" t="n">
        <v>226.6</v>
      </c>
      <c r="AL13" s="66" t="n">
        <v>229.9</v>
      </c>
      <c r="AM13" s="66" t="n">
        <v>236.8</v>
      </c>
      <c r="AN13" s="66" t="n">
        <v>232.2</v>
      </c>
      <c r="AO13" s="66" t="n">
        <v>234.9</v>
      </c>
    </row>
    <row r="14">
      <c r="A14" s="64" t="inlineStr">
        <is>
          <t>유동비율</t>
        </is>
      </c>
      <c r="B14" s="66" t="n"/>
      <c r="C14" s="66" t="n">
        <v>282.3</v>
      </c>
      <c r="D14" s="66" t="n"/>
      <c r="E14" s="66" t="n"/>
      <c r="F14" s="66" t="n">
        <v>187.2</v>
      </c>
      <c r="G14" s="66" t="n">
        <v>237.1</v>
      </c>
      <c r="H14" s="66" t="n">
        <v>205.2</v>
      </c>
      <c r="I14" s="66" t="n">
        <v>222.2</v>
      </c>
      <c r="J14" s="66" t="n">
        <v>183.6</v>
      </c>
      <c r="K14" s="66" t="n">
        <v>260.6</v>
      </c>
      <c r="L14" s="66" t="n">
        <v>221.3</v>
      </c>
      <c r="M14" s="66" t="n">
        <v>266.3</v>
      </c>
      <c r="N14" s="66" t="n">
        <v>195.7</v>
      </c>
      <c r="O14" s="66" t="n">
        <v>276.9</v>
      </c>
      <c r="P14" s="66" t="n">
        <v>221.3</v>
      </c>
      <c r="Q14" s="66" t="n">
        <v>271.4</v>
      </c>
      <c r="R14" s="66" t="n">
        <v>201.6</v>
      </c>
      <c r="S14" s="66" t="n">
        <v>255.2</v>
      </c>
      <c r="T14" s="66" t="n">
        <v>214</v>
      </c>
      <c r="U14" s="66" t="n">
        <v>239.9</v>
      </c>
      <c r="V14" s="66" t="n">
        <v>195.9</v>
      </c>
      <c r="W14" s="66" t="n">
        <v>266.5</v>
      </c>
      <c r="X14" s="66" t="n">
        <v>249</v>
      </c>
      <c r="Y14" s="66" t="n">
        <v>277.7</v>
      </c>
      <c r="Z14" s="66" t="n">
        <v>214.6</v>
      </c>
      <c r="AA14" s="66" t="n">
        <v>269.5</v>
      </c>
      <c r="AB14" s="66" t="n">
        <v>265.9</v>
      </c>
      <c r="AC14" s="66" t="n">
        <v>260.6</v>
      </c>
      <c r="AD14" s="66" t="n">
        <v>203.8</v>
      </c>
      <c r="AE14" s="66" t="n">
        <v>242</v>
      </c>
      <c r="AF14" s="66" t="n">
        <v>226.7</v>
      </c>
      <c r="AG14" s="66" t="n">
        <v>243.2</v>
      </c>
      <c r="AH14" s="66" t="n">
        <v>191.4</v>
      </c>
      <c r="AI14" s="66" t="n">
        <v>236.1</v>
      </c>
      <c r="AJ14" s="66" t="n">
        <v>277.2</v>
      </c>
      <c r="AK14" s="66" t="n">
        <v>275.8</v>
      </c>
      <c r="AL14" s="66" t="n">
        <v>220.7</v>
      </c>
      <c r="AM14" s="66" t="n">
        <v>263</v>
      </c>
      <c r="AN14" s="66" t="n">
        <v>264.3</v>
      </c>
      <c r="AO14" s="66" t="n">
        <v>261.7</v>
      </c>
    </row>
    <row r="15">
      <c r="A15" s="64" t="inlineStr">
        <is>
          <t>부채비율</t>
        </is>
      </c>
      <c r="B15" s="66" t="n"/>
      <c r="C15" s="66" t="n">
        <v>33.6</v>
      </c>
      <c r="D15" s="66" t="n"/>
      <c r="E15" s="66" t="n"/>
      <c r="F15" s="66" t="n">
        <v>66.09999999999999</v>
      </c>
      <c r="G15" s="66" t="n">
        <v>48.5</v>
      </c>
      <c r="H15" s="66" t="n">
        <v>58</v>
      </c>
      <c r="I15" s="66" t="n">
        <v>52.3</v>
      </c>
      <c r="J15" s="66" t="n">
        <v>76.7</v>
      </c>
      <c r="K15" s="66" t="n">
        <v>48</v>
      </c>
      <c r="L15" s="66" t="n">
        <v>58.9</v>
      </c>
      <c r="M15" s="66" t="n">
        <v>45.5</v>
      </c>
      <c r="N15" s="66" t="n">
        <v>70.2</v>
      </c>
      <c r="O15" s="66" t="n">
        <v>43.6</v>
      </c>
      <c r="P15" s="66" t="n">
        <v>57.8</v>
      </c>
      <c r="Q15" s="66" t="n">
        <v>45</v>
      </c>
      <c r="R15" s="66" t="n">
        <v>70.09999999999999</v>
      </c>
      <c r="S15" s="66" t="n">
        <v>47.6</v>
      </c>
      <c r="T15" s="66" t="n">
        <v>57.3</v>
      </c>
      <c r="U15" s="66" t="n">
        <v>47.9</v>
      </c>
      <c r="V15" s="66" t="n">
        <v>71.40000000000001</v>
      </c>
      <c r="W15" s="66" t="n">
        <v>46</v>
      </c>
      <c r="X15" s="66" t="n">
        <v>49</v>
      </c>
      <c r="Y15" s="66" t="n">
        <v>43.6</v>
      </c>
      <c r="Z15" s="66" t="n">
        <v>61.1</v>
      </c>
      <c r="AA15" s="66" t="n">
        <v>44.2</v>
      </c>
      <c r="AB15" s="66" t="n">
        <v>44.2</v>
      </c>
      <c r="AC15" s="66" t="n">
        <v>45</v>
      </c>
      <c r="AD15" s="66" t="n">
        <v>62.8</v>
      </c>
      <c r="AE15" s="66" t="n">
        <v>46.6</v>
      </c>
      <c r="AF15" s="66" t="n">
        <v>49.6</v>
      </c>
      <c r="AG15" s="66" t="n">
        <v>44.1</v>
      </c>
      <c r="AH15" s="66" t="n">
        <v>65</v>
      </c>
      <c r="AI15" s="66" t="n">
        <v>46.4</v>
      </c>
      <c r="AJ15" s="66" t="n">
        <v>37.1</v>
      </c>
      <c r="AK15" s="66" t="n">
        <v>37.2</v>
      </c>
      <c r="AL15" s="66" t="n">
        <v>51.1</v>
      </c>
      <c r="AM15" s="66" t="n">
        <v>39.6</v>
      </c>
      <c r="AN15" s="66" t="n">
        <v>38.5</v>
      </c>
      <c r="AO15" s="66" t="n">
        <v>38.5</v>
      </c>
    </row>
    <row r="16">
      <c r="A16" s="64" t="inlineStr">
        <is>
          <t>순차입금/자기자본</t>
        </is>
      </c>
      <c r="B16" s="66" t="n"/>
      <c r="C16" s="66" t="n">
        <v>-13.3</v>
      </c>
      <c r="D16" s="66" t="n"/>
      <c r="E16" s="66" t="n"/>
      <c r="F16" s="66" t="n">
        <v>-21.8</v>
      </c>
      <c r="G16" s="66" t="n">
        <v>-8.9</v>
      </c>
      <c r="H16" s="66" t="n">
        <v>-9.1</v>
      </c>
      <c r="I16" s="66" t="n">
        <v>-12.4</v>
      </c>
      <c r="J16" s="66" t="n">
        <v>-13.3</v>
      </c>
      <c r="K16" s="66" t="n">
        <v>-10.7</v>
      </c>
      <c r="L16" s="66" t="n">
        <v>-2.1</v>
      </c>
      <c r="M16" s="66" t="n">
        <v>-0.6</v>
      </c>
      <c r="N16" s="66" t="n">
        <v>1.8</v>
      </c>
      <c r="O16" s="66" t="n">
        <v>0.2</v>
      </c>
      <c r="P16" s="66" t="n">
        <v>3.6</v>
      </c>
      <c r="Q16" s="66" t="n">
        <v>0.3</v>
      </c>
      <c r="R16" s="66" t="n">
        <v>-2.8</v>
      </c>
      <c r="S16" s="66" t="n">
        <v>-5.9</v>
      </c>
      <c r="T16" s="66" t="n">
        <v>-0.1</v>
      </c>
      <c r="U16" s="66" t="n">
        <v>-5.2</v>
      </c>
      <c r="V16" s="66" t="n">
        <v>-4.4</v>
      </c>
      <c r="W16" s="66" t="n">
        <v>-3.7</v>
      </c>
      <c r="X16" s="66" t="n">
        <v>-0.6</v>
      </c>
      <c r="Y16" s="66" t="n">
        <v>-6.9</v>
      </c>
      <c r="Z16" s="66" t="n">
        <v>-6.1</v>
      </c>
      <c r="AA16" s="66" t="n">
        <v>-9</v>
      </c>
      <c r="AB16" s="66" t="n">
        <v>-4.7</v>
      </c>
      <c r="AC16" s="66" t="n">
        <v>-11.6</v>
      </c>
      <c r="AD16" s="66" t="n">
        <v>-11.1</v>
      </c>
      <c r="AE16" s="66" t="n">
        <v>-13.8</v>
      </c>
      <c r="AF16" s="66" t="n">
        <v>-7.2</v>
      </c>
      <c r="AG16" s="66" t="n">
        <v>-8.6</v>
      </c>
      <c r="AH16" s="66" t="n">
        <v>-11.1</v>
      </c>
      <c r="AI16" s="66" t="n">
        <v>-12.6</v>
      </c>
      <c r="AJ16" s="66" t="n">
        <v>-10</v>
      </c>
      <c r="AK16" s="66" t="n">
        <v>-11.1</v>
      </c>
      <c r="AL16" s="66" t="n">
        <v>-9.199999999999999</v>
      </c>
      <c r="AM16" s="66" t="n">
        <v>-12.8</v>
      </c>
      <c r="AN16" s="66" t="n">
        <v>-6.3</v>
      </c>
      <c r="AO16" s="66" t="n">
        <v>-9.699999999999999</v>
      </c>
    </row>
    <row r="17">
      <c r="A17" s="64" t="inlineStr">
        <is>
          <t>재고자산</t>
        </is>
      </c>
      <c r="B17" s="65" t="n"/>
      <c r="C17" s="65" t="n">
        <v>39.1</v>
      </c>
      <c r="D17" s="65" t="n"/>
      <c r="E17" s="65" t="n"/>
      <c r="F17" s="65" t="n">
        <v>52</v>
      </c>
      <c r="G17" s="65" t="n">
        <v>42.9</v>
      </c>
      <c r="H17" s="65" t="n">
        <v>50.2</v>
      </c>
      <c r="I17" s="65" t="n">
        <v>45.9</v>
      </c>
      <c r="J17" s="65" t="n">
        <v>57.2</v>
      </c>
      <c r="K17" s="65" t="n">
        <v>44.4</v>
      </c>
      <c r="L17" s="65" t="n">
        <v>53.6</v>
      </c>
      <c r="M17" s="65" t="n">
        <v>47.6</v>
      </c>
      <c r="N17" s="65" t="n">
        <v>60.5</v>
      </c>
      <c r="O17" s="65" t="n">
        <v>47.9</v>
      </c>
      <c r="P17" s="65" t="n">
        <v>52.2</v>
      </c>
      <c r="Q17" s="65" t="n">
        <v>49.4</v>
      </c>
      <c r="R17" s="65" t="n">
        <v>56.6</v>
      </c>
      <c r="S17" s="65" t="n">
        <v>45.6</v>
      </c>
      <c r="T17" s="65" t="n">
        <v>50.5</v>
      </c>
      <c r="U17" s="65" t="n">
        <v>46.3</v>
      </c>
      <c r="V17" s="65" t="n">
        <v>56.2</v>
      </c>
      <c r="W17" s="65" t="n">
        <v>45.9</v>
      </c>
      <c r="X17" s="65" t="n">
        <v>53.2</v>
      </c>
      <c r="Y17" s="65" t="n">
        <v>51.6</v>
      </c>
      <c r="Z17" s="65" t="n">
        <v>64.2</v>
      </c>
      <c r="AA17" s="65" t="n">
        <v>55.3</v>
      </c>
      <c r="AB17" s="65" t="n">
        <v>60</v>
      </c>
      <c r="AC17" s="65" t="n">
        <v>54.6</v>
      </c>
      <c r="AD17" s="65" t="n">
        <v>60.4</v>
      </c>
      <c r="AE17" s="65" t="n">
        <v>48.1</v>
      </c>
      <c r="AF17" s="65" t="n">
        <v>54.5</v>
      </c>
      <c r="AG17" s="65" t="n">
        <v>48.9</v>
      </c>
      <c r="AH17" s="65" t="n">
        <v>59.9</v>
      </c>
      <c r="AI17" s="65" t="n">
        <v>47.7</v>
      </c>
      <c r="AJ17" s="65" t="n">
        <v>55.6</v>
      </c>
      <c r="AK17" s="65" t="n">
        <v>52.6</v>
      </c>
      <c r="AL17" s="65" t="n">
        <v>64.40000000000001</v>
      </c>
      <c r="AM17" s="65" t="n">
        <v>50.2</v>
      </c>
      <c r="AN17" s="65" t="n">
        <v>62</v>
      </c>
      <c r="AO17" s="65" t="n">
        <v>57.6</v>
      </c>
    </row>
    <row r="18">
      <c r="A18" s="64" t="inlineStr">
        <is>
          <t>재고자산 회전일수</t>
        </is>
      </c>
      <c r="B18" s="65" t="n"/>
      <c r="C18" s="65" t="n">
        <v>40</v>
      </c>
      <c r="D18" s="65" t="n"/>
      <c r="E18" s="65" t="n"/>
      <c r="F18" s="65" t="n">
        <v>43</v>
      </c>
      <c r="G18" s="65" t="n">
        <v>46</v>
      </c>
      <c r="H18" s="65" t="n">
        <v>47</v>
      </c>
      <c r="I18" s="65" t="n">
        <v>44</v>
      </c>
      <c r="J18" s="65" t="n">
        <v>47</v>
      </c>
      <c r="K18" s="65" t="n">
        <v>45</v>
      </c>
      <c r="L18" s="65" t="n">
        <v>51</v>
      </c>
      <c r="M18" s="65" t="n">
        <v>46</v>
      </c>
      <c r="N18" s="65" t="n">
        <v>52</v>
      </c>
      <c r="O18" s="65" t="n">
        <v>54</v>
      </c>
      <c r="P18" s="65" t="n">
        <v>51</v>
      </c>
      <c r="Q18" s="65" t="n">
        <v>48</v>
      </c>
      <c r="R18" s="65" t="n">
        <v>49</v>
      </c>
      <c r="S18" s="65" t="n">
        <v>47</v>
      </c>
      <c r="T18" s="65" t="n">
        <v>53</v>
      </c>
      <c r="U18" s="65" t="n">
        <v>50</v>
      </c>
      <c r="V18" s="65" t="n">
        <v>54</v>
      </c>
      <c r="W18" s="65" t="n">
        <v>54</v>
      </c>
      <c r="X18" s="65" t="n">
        <v>61</v>
      </c>
      <c r="Y18" s="65" t="n">
        <v>61</v>
      </c>
      <c r="Z18" s="65" t="n">
        <v>66</v>
      </c>
      <c r="AA18" s="65" t="n">
        <v>68</v>
      </c>
      <c r="AB18" s="65" t="n">
        <v>74</v>
      </c>
      <c r="AC18" s="65" t="n">
        <v>68</v>
      </c>
      <c r="AD18" s="65" t="n">
        <v>60</v>
      </c>
      <c r="AE18" s="65" t="n">
        <v>58</v>
      </c>
      <c r="AF18" s="65" t="n">
        <v>63</v>
      </c>
      <c r="AG18" s="65" t="n">
        <v>56</v>
      </c>
      <c r="AH18" s="65" t="n">
        <v>59</v>
      </c>
      <c r="AI18" s="65" t="n">
        <v>54</v>
      </c>
      <c r="AJ18" s="65" t="n">
        <v>61</v>
      </c>
      <c r="AK18" s="65" t="n">
        <v>60</v>
      </c>
      <c r="AL18" s="65" t="n">
        <v>61</v>
      </c>
      <c r="AM18" s="65" t="n">
        <v>52</v>
      </c>
      <c r="AN18" s="65" t="n">
        <v>60</v>
      </c>
      <c r="AO18" s="65" t="n">
        <v>60</v>
      </c>
    </row>
    <row r="19">
      <c r="A19" s="64" t="inlineStr">
        <is>
          <t>매출채권 회전일수</t>
        </is>
      </c>
      <c r="B19" s="65" t="n"/>
      <c r="C19" s="65" t="n">
        <v>82</v>
      </c>
      <c r="D19" s="65" t="n"/>
      <c r="E19" s="65" t="n"/>
      <c r="F19" s="65" t="n">
        <v>81</v>
      </c>
      <c r="G19" s="65" t="n">
        <v>95</v>
      </c>
      <c r="H19" s="65" t="n">
        <v>78</v>
      </c>
      <c r="I19" s="65" t="n">
        <v>78</v>
      </c>
      <c r="J19" s="65" t="n">
        <v>78</v>
      </c>
      <c r="K19" s="65" t="n">
        <v>80</v>
      </c>
      <c r="L19" s="65" t="n">
        <v>75</v>
      </c>
      <c r="M19" s="65" t="n">
        <v>71</v>
      </c>
      <c r="N19" s="65" t="n">
        <v>78</v>
      </c>
      <c r="O19" s="65" t="n">
        <v>78</v>
      </c>
      <c r="P19" s="65" t="n">
        <v>73</v>
      </c>
      <c r="Q19" s="65" t="n">
        <v>71</v>
      </c>
      <c r="R19" s="65" t="n">
        <v>80</v>
      </c>
      <c r="S19" s="65" t="n">
        <v>76</v>
      </c>
      <c r="T19" s="65" t="n">
        <v>69</v>
      </c>
      <c r="U19" s="65" t="n">
        <v>69</v>
      </c>
      <c r="V19" s="65" t="n">
        <v>74</v>
      </c>
      <c r="W19" s="65" t="n">
        <v>73</v>
      </c>
      <c r="X19" s="65" t="n">
        <v>65</v>
      </c>
      <c r="Y19" s="65" t="n">
        <v>65</v>
      </c>
      <c r="Z19" s="65" t="n">
        <v>73</v>
      </c>
      <c r="AA19" s="65" t="n">
        <v>70</v>
      </c>
      <c r="AB19" s="65" t="n">
        <v>60</v>
      </c>
      <c r="AC19" s="65" t="n">
        <v>68</v>
      </c>
      <c r="AD19" s="65" t="n">
        <v>69</v>
      </c>
      <c r="AE19" s="65" t="n">
        <v>74</v>
      </c>
      <c r="AF19" s="65" t="n">
        <v>63</v>
      </c>
      <c r="AG19" s="65" t="n">
        <v>63</v>
      </c>
      <c r="AH19" s="65" t="n">
        <v>70</v>
      </c>
      <c r="AI19" s="65" t="n">
        <v>64</v>
      </c>
      <c r="AJ19" s="65" t="n">
        <v>57</v>
      </c>
      <c r="AK19" s="65" t="n">
        <v>61</v>
      </c>
      <c r="AL19" s="65" t="n">
        <v>69</v>
      </c>
      <c r="AM19" s="65" t="n">
        <v>64</v>
      </c>
      <c r="AN19" s="65" t="n">
        <v>55</v>
      </c>
      <c r="AO19" s="65" t="n">
        <v>61</v>
      </c>
    </row>
    <row r="20">
      <c r="A20" s="64" t="inlineStr">
        <is>
          <t>매입채무 회전일수</t>
        </is>
      </c>
      <c r="B20" s="65" t="n"/>
      <c r="C20" s="65" t="n">
        <v>51</v>
      </c>
      <c r="D20" s="65" t="n"/>
      <c r="E20" s="65" t="n"/>
      <c r="F20" s="65" t="n">
        <v>83</v>
      </c>
      <c r="G20" s="65" t="n">
        <v>66</v>
      </c>
      <c r="H20" s="65" t="n">
        <v>65</v>
      </c>
      <c r="I20" s="65" t="n">
        <v>66</v>
      </c>
      <c r="J20" s="65" t="n">
        <v>79</v>
      </c>
      <c r="K20" s="65" t="n">
        <v>61</v>
      </c>
      <c r="L20" s="65" t="n">
        <v>51</v>
      </c>
      <c r="M20" s="65" t="n">
        <v>35</v>
      </c>
      <c r="N20" s="65" t="n">
        <v>58</v>
      </c>
      <c r="O20" s="65" t="n">
        <v>38</v>
      </c>
      <c r="P20" s="65" t="n">
        <v>39</v>
      </c>
      <c r="Q20" s="65" t="n">
        <v>34</v>
      </c>
      <c r="R20" s="65" t="n">
        <v>58</v>
      </c>
      <c r="S20" s="65" t="n">
        <v>37</v>
      </c>
      <c r="T20" s="65" t="n">
        <v>33</v>
      </c>
      <c r="U20" s="65" t="n">
        <v>35</v>
      </c>
      <c r="V20" s="65" t="n">
        <v>60</v>
      </c>
      <c r="W20" s="65" t="n">
        <v>37</v>
      </c>
      <c r="X20" s="65" t="n">
        <v>34</v>
      </c>
      <c r="Y20" s="65" t="n">
        <v>34</v>
      </c>
      <c r="Z20" s="65" t="n">
        <v>60</v>
      </c>
      <c r="AA20" s="65" t="n">
        <v>40</v>
      </c>
      <c r="AB20" s="65" t="n">
        <v>32</v>
      </c>
      <c r="AC20" s="65" t="n">
        <v>46</v>
      </c>
      <c r="AD20" s="65" t="n">
        <v>61</v>
      </c>
      <c r="AE20" s="65" t="n">
        <v>52</v>
      </c>
      <c r="AF20" s="65" t="n">
        <v>43</v>
      </c>
      <c r="AG20" s="65" t="n">
        <v>35</v>
      </c>
      <c r="AH20" s="65" t="n">
        <v>63</v>
      </c>
      <c r="AI20" s="65" t="n">
        <v>38</v>
      </c>
      <c r="AJ20" s="65" t="n">
        <v>34</v>
      </c>
      <c r="AK20" s="65" t="n">
        <v>35</v>
      </c>
      <c r="AL20" s="65" t="n">
        <v>59</v>
      </c>
      <c r="AM20" s="65" t="n">
        <v>38</v>
      </c>
      <c r="AN20" s="65" t="n">
        <v>35</v>
      </c>
      <c r="AO20" s="65" t="n">
        <v>37</v>
      </c>
    </row>
    <row r="21">
      <c r="A21" s="64" t="inlineStr">
        <is>
          <t>현금전환주기(CCC)</t>
        </is>
      </c>
      <c r="B21" s="65" t="n"/>
      <c r="C21" s="65" t="n">
        <v>71</v>
      </c>
      <c r="D21" s="65" t="n"/>
      <c r="E21" s="65" t="n"/>
      <c r="F21" s="65" t="n">
        <v>41</v>
      </c>
      <c r="G21" s="65" t="n">
        <v>75</v>
      </c>
      <c r="H21" s="65" t="n">
        <v>60</v>
      </c>
      <c r="I21" s="65" t="n">
        <v>56</v>
      </c>
      <c r="J21" s="65" t="n">
        <v>46</v>
      </c>
      <c r="K21" s="65" t="n">
        <v>64</v>
      </c>
      <c r="L21" s="65" t="n">
        <v>75</v>
      </c>
      <c r="M21" s="65" t="n">
        <v>82</v>
      </c>
      <c r="N21" s="65" t="n">
        <v>72</v>
      </c>
      <c r="O21" s="65" t="n">
        <v>94</v>
      </c>
      <c r="P21" s="65" t="n">
        <v>85</v>
      </c>
      <c r="Q21" s="65" t="n">
        <v>85</v>
      </c>
      <c r="R21" s="65" t="n">
        <v>71</v>
      </c>
      <c r="S21" s="65" t="n">
        <v>86</v>
      </c>
      <c r="T21" s="65" t="n">
        <v>89</v>
      </c>
      <c r="U21" s="65" t="n">
        <v>84</v>
      </c>
      <c r="V21" s="65" t="n">
        <v>68</v>
      </c>
      <c r="W21" s="65" t="n">
        <v>90</v>
      </c>
      <c r="X21" s="65" t="n">
        <v>92</v>
      </c>
      <c r="Y21" s="65" t="n">
        <v>92</v>
      </c>
      <c r="Z21" s="65" t="n">
        <v>79</v>
      </c>
      <c r="AA21" s="65" t="n">
        <v>98</v>
      </c>
      <c r="AB21" s="65" t="n">
        <v>102</v>
      </c>
      <c r="AC21" s="65" t="n">
        <v>90</v>
      </c>
      <c r="AD21" s="65" t="n">
        <v>68</v>
      </c>
      <c r="AE21" s="65" t="n">
        <v>80</v>
      </c>
      <c r="AF21" s="65" t="n">
        <v>83</v>
      </c>
      <c r="AG21" s="65" t="n">
        <v>84</v>
      </c>
      <c r="AH21" s="65" t="n">
        <v>66</v>
      </c>
      <c r="AI21" s="65" t="n">
        <v>80</v>
      </c>
      <c r="AJ21" s="65" t="n">
        <v>84</v>
      </c>
      <c r="AK21" s="65" t="n">
        <v>86</v>
      </c>
      <c r="AL21" s="65" t="n">
        <v>71</v>
      </c>
      <c r="AM21" s="65" t="n">
        <v>78</v>
      </c>
      <c r="AN21" s="65" t="n">
        <v>80</v>
      </c>
      <c r="AO21" s="65" t="n">
        <v>84</v>
      </c>
    </row>
    <row r="22">
      <c r="A22" s="64" t="inlineStr">
        <is>
          <t>총 차입금</t>
        </is>
      </c>
      <c r="B22" s="65" t="n"/>
      <c r="C22" s="65" t="n">
        <v>1.4</v>
      </c>
      <c r="D22" s="65" t="n"/>
      <c r="E22" s="65" t="n"/>
      <c r="F22" s="65" t="n">
        <v>20.3</v>
      </c>
      <c r="G22" s="65" t="n">
        <v>21</v>
      </c>
      <c r="H22" s="65" t="n">
        <v>33.1</v>
      </c>
      <c r="I22" s="65" t="n">
        <v>20.6</v>
      </c>
      <c r="J22" s="65" t="n">
        <v>44.5</v>
      </c>
      <c r="K22" s="65" t="n">
        <v>19.9</v>
      </c>
      <c r="L22" s="65" t="n">
        <v>49.1</v>
      </c>
      <c r="M22" s="65" t="n">
        <v>38.7</v>
      </c>
      <c r="N22" s="65" t="n">
        <v>57.7</v>
      </c>
      <c r="O22" s="65" t="n">
        <v>38</v>
      </c>
      <c r="P22" s="65" t="n">
        <v>57.7</v>
      </c>
      <c r="Q22" s="65" t="n">
        <v>37.1</v>
      </c>
      <c r="R22" s="65" t="n">
        <v>56.8</v>
      </c>
      <c r="S22" s="65" t="n">
        <v>40.9</v>
      </c>
      <c r="T22" s="65" t="n">
        <v>65.59999999999999</v>
      </c>
      <c r="U22" s="65" t="n">
        <v>44.9</v>
      </c>
      <c r="V22" s="65" t="n">
        <v>63.1</v>
      </c>
      <c r="W22" s="65" t="n">
        <v>42.2</v>
      </c>
      <c r="X22" s="65" t="n">
        <v>51.2</v>
      </c>
      <c r="Y22" s="65" t="n">
        <v>39.6</v>
      </c>
      <c r="Z22" s="65" t="n">
        <v>49.1</v>
      </c>
      <c r="AA22" s="65" t="n">
        <v>38</v>
      </c>
      <c r="AB22" s="65" t="n">
        <v>47</v>
      </c>
      <c r="AC22" s="65" t="n">
        <v>36</v>
      </c>
      <c r="AD22" s="65" t="n">
        <v>50</v>
      </c>
      <c r="AE22" s="65" t="n">
        <v>33.4</v>
      </c>
      <c r="AF22" s="65" t="n">
        <v>47.4</v>
      </c>
      <c r="AG22" s="65" t="n">
        <v>41.3</v>
      </c>
      <c r="AH22" s="65" t="n">
        <v>55.3</v>
      </c>
      <c r="AI22" s="65" t="n">
        <v>44.3</v>
      </c>
      <c r="AJ22" s="65" t="n">
        <v>26.4</v>
      </c>
      <c r="AK22" s="65" t="n">
        <v>25.4</v>
      </c>
      <c r="AL22" s="65" t="n">
        <v>24.7</v>
      </c>
      <c r="AM22" s="65" t="n">
        <v>23.9</v>
      </c>
      <c r="AN22" s="65" t="n">
        <v>23.3</v>
      </c>
      <c r="AO22" s="65" t="n">
        <v>22.7</v>
      </c>
    </row>
    <row r="23">
      <c r="A23" s="64" t="inlineStr">
        <is>
          <t>현금</t>
        </is>
      </c>
      <c r="B23" s="65" t="n"/>
      <c r="C23" s="65" t="n">
        <v>29.9</v>
      </c>
      <c r="D23" s="65" t="n"/>
      <c r="E23" s="65" t="n"/>
      <c r="F23" s="65" t="n">
        <v>66.90000000000001</v>
      </c>
      <c r="G23" s="65" t="n">
        <v>40.3</v>
      </c>
      <c r="H23" s="65" t="n">
        <v>52</v>
      </c>
      <c r="I23" s="65" t="n">
        <v>47.1</v>
      </c>
      <c r="J23" s="65" t="n">
        <v>72.09999999999999</v>
      </c>
      <c r="K23" s="65" t="n">
        <v>42.4</v>
      </c>
      <c r="L23" s="65" t="n">
        <v>53.4</v>
      </c>
      <c r="M23" s="65" t="n">
        <v>40</v>
      </c>
      <c r="N23" s="65" t="n">
        <v>54</v>
      </c>
      <c r="O23" s="65" t="n">
        <v>37.6</v>
      </c>
      <c r="P23" s="65" t="n">
        <v>50.4</v>
      </c>
      <c r="Q23" s="65" t="n">
        <v>36.5</v>
      </c>
      <c r="R23" s="65" t="n">
        <v>62.8</v>
      </c>
      <c r="S23" s="65" t="n">
        <v>53.6</v>
      </c>
      <c r="T23" s="65" t="n">
        <v>65.90000000000001</v>
      </c>
      <c r="U23" s="65" t="n">
        <v>56.1</v>
      </c>
      <c r="V23" s="65" t="n">
        <v>72.40000000000001</v>
      </c>
      <c r="W23" s="65" t="n">
        <v>50</v>
      </c>
      <c r="X23" s="65" t="n">
        <v>52.5</v>
      </c>
      <c r="Y23" s="65" t="n">
        <v>54.5</v>
      </c>
      <c r="Z23" s="65" t="n">
        <v>62.3</v>
      </c>
      <c r="AA23" s="65" t="n">
        <v>57.6</v>
      </c>
      <c r="AB23" s="65" t="n">
        <v>57.2</v>
      </c>
      <c r="AC23" s="65" t="n">
        <v>61.4</v>
      </c>
      <c r="AD23" s="65" t="n">
        <v>74.09999999999999</v>
      </c>
      <c r="AE23" s="65" t="n">
        <v>64.40000000000001</v>
      </c>
      <c r="AF23" s="65" t="n">
        <v>63.5</v>
      </c>
      <c r="AG23" s="65" t="n">
        <v>60.7</v>
      </c>
      <c r="AH23" s="65" t="n">
        <v>80.2</v>
      </c>
      <c r="AI23" s="65" t="n">
        <v>72.5</v>
      </c>
      <c r="AJ23" s="65" t="n">
        <v>48.8</v>
      </c>
      <c r="AK23" s="65" t="n">
        <v>50.5</v>
      </c>
      <c r="AL23" s="65" t="n">
        <v>45.9</v>
      </c>
      <c r="AM23" s="65" t="n">
        <v>54.1</v>
      </c>
      <c r="AN23" s="65" t="n">
        <v>37.9</v>
      </c>
      <c r="AO23" s="65" t="n">
        <v>45.5</v>
      </c>
    </row>
    <row r="24">
      <c r="A24" s="64" t="inlineStr">
        <is>
          <t>부문별 매출 · 北海道、報告セグメント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3.3</v>
      </c>
      <c r="AC24" s="65" t="n"/>
      <c r="AD24" s="65" t="n"/>
      <c r="AE24" s="65" t="n"/>
      <c r="AF24" s="65" t="n">
        <v>3.2</v>
      </c>
      <c r="AG24" s="65" t="n"/>
      <c r="AH24" s="65" t="n"/>
      <c r="AI24" s="65" t="n"/>
      <c r="AJ24" s="65" t="n">
        <v>3.4</v>
      </c>
      <c r="AK24" s="65" t="n"/>
      <c r="AL24" s="65" t="n"/>
      <c r="AM24" s="65" t="n"/>
      <c r="AN24" s="65" t="n">
        <v>3.5</v>
      </c>
      <c r="AO24" s="65" t="n"/>
      <c r="AP24" s="61" t="inlineStr">
        <is>
          <t>결산단신 부문 정보(외부 고객 매출)</t>
        </is>
      </c>
    </row>
    <row r="25">
      <c r="A25" s="64" t="inlineStr">
        <is>
          <t>부문별 매출 · 東北・関東、報告セグメント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38.7</v>
      </c>
      <c r="AC25" s="65" t="n"/>
      <c r="AD25" s="65" t="n"/>
      <c r="AE25" s="65" t="n"/>
      <c r="AF25" s="65" t="n">
        <v>40.3</v>
      </c>
      <c r="AG25" s="65" t="n"/>
      <c r="AH25" s="65" t="n"/>
      <c r="AI25" s="65" t="n"/>
      <c r="AJ25" s="65" t="n">
        <v>40.7</v>
      </c>
      <c r="AK25" s="65" t="n"/>
      <c r="AL25" s="65" t="n"/>
      <c r="AM25" s="65" t="n"/>
      <c r="AN25" s="65" t="n">
        <v>47.1</v>
      </c>
      <c r="AO25" s="65" t="n"/>
      <c r="AP25" s="61" t="inlineStr">
        <is>
          <t>결산단신 부문 정보(외부 고객 매출)</t>
        </is>
      </c>
    </row>
    <row r="26">
      <c r="A26" s="64" t="inlineStr">
        <is>
          <t>부문별 매출 · 中部、報告セグメント [メンバー]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7.2</v>
      </c>
      <c r="AC26" s="65" t="n"/>
      <c r="AD26" s="65" t="n"/>
      <c r="AE26" s="65" t="n">
        <v>7.6</v>
      </c>
      <c r="AF26" s="65" t="n">
        <v>8.699999999999999</v>
      </c>
      <c r="AG26" s="65" t="n"/>
      <c r="AH26" s="65" t="n"/>
      <c r="AI26" s="65" t="n">
        <v>9</v>
      </c>
      <c r="AJ26" s="65" t="n">
        <v>10.2</v>
      </c>
      <c r="AK26" s="65" t="n"/>
      <c r="AL26" s="65" t="n"/>
      <c r="AM26" s="65" t="n">
        <v>12</v>
      </c>
      <c r="AN26" s="65" t="n">
        <v>13</v>
      </c>
      <c r="AO26" s="65" t="n"/>
      <c r="AP26" s="61" t="inlineStr">
        <is>
          <t>결산단신 부문 정보(외부 고객 매출)</t>
        </is>
      </c>
    </row>
    <row r="27">
      <c r="A27" s="64" t="inlineStr">
        <is>
          <t>부문별 매출 · 近畿・中四国、報告セグメント [メンバー]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>
        <v>21.3</v>
      </c>
      <c r="AC27" s="65" t="n"/>
      <c r="AD27" s="65" t="n"/>
      <c r="AE27" s="65" t="n">
        <v>21.6</v>
      </c>
      <c r="AF27" s="65" t="n">
        <v>24.4</v>
      </c>
      <c r="AG27" s="65" t="n"/>
      <c r="AH27" s="65" t="n"/>
      <c r="AI27" s="65" t="n">
        <v>24.7</v>
      </c>
      <c r="AJ27" s="65" t="n">
        <v>25.7</v>
      </c>
      <c r="AK27" s="65" t="n"/>
      <c r="AL27" s="65" t="n"/>
      <c r="AM27" s="65" t="n">
        <v>26.8</v>
      </c>
      <c r="AN27" s="65" t="n">
        <v>28.3</v>
      </c>
      <c r="AO27" s="65" t="n"/>
      <c r="AP27" s="61" t="inlineStr">
        <is>
          <t>결산단신 부문 정보(외부 고객 매출)</t>
        </is>
      </c>
    </row>
    <row r="28">
      <c r="A28" s="64" t="inlineStr">
        <is>
          <t>부문별 매출 · 九州・沖縄、報告セグメント [メンバー]</t>
        </is>
      </c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>
        <v>12.9</v>
      </c>
      <c r="AC28" s="65" t="n"/>
      <c r="AD28" s="65" t="n"/>
      <c r="AE28" s="65" t="n">
        <v>13</v>
      </c>
      <c r="AF28" s="65" t="n">
        <v>13.6</v>
      </c>
      <c r="AG28" s="65" t="n"/>
      <c r="AH28" s="65" t="n"/>
      <c r="AI28" s="65" t="n">
        <v>14.1</v>
      </c>
      <c r="AJ28" s="65" t="n">
        <v>14.5</v>
      </c>
      <c r="AK28" s="65" t="n"/>
      <c r="AL28" s="65" t="n"/>
      <c r="AM28" s="65" t="n">
        <v>15.6</v>
      </c>
      <c r="AN28" s="65" t="n">
        <v>16.3</v>
      </c>
      <c r="AO28" s="65" t="n"/>
      <c r="AP28" s="61" t="inlineStr">
        <is>
          <t>결산단신 부문 정보(외부 고객 매출)</t>
        </is>
      </c>
    </row>
    <row r="29">
      <c r="A29" s="64" t="inlineStr">
        <is>
          <t>부문별 매출 · 家庭用品卸売事業、報告セグメント [メンバー]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>
        <v>83.3</v>
      </c>
      <c r="AC29" s="65" t="n"/>
      <c r="AD29" s="65" t="n"/>
      <c r="AE29" s="65" t="n">
        <v>82.59999999999999</v>
      </c>
      <c r="AF29" s="65" t="n">
        <v>90.2</v>
      </c>
      <c r="AG29" s="65" t="n"/>
      <c r="AH29" s="65" t="n"/>
      <c r="AI29" s="65" t="n">
        <v>91.09999999999999</v>
      </c>
      <c r="AJ29" s="65" t="n">
        <v>94.40000000000001</v>
      </c>
      <c r="AK29" s="65" t="n"/>
      <c r="AL29" s="65" t="n"/>
      <c r="AM29" s="65" t="n">
        <v>101</v>
      </c>
      <c r="AN29" s="65" t="n">
        <v>108.2</v>
      </c>
      <c r="AO29" s="65" t="n"/>
      <c r="AP29" s="61" t="inlineStr">
        <is>
          <t>결산단신 부문 정보(외부 고객 매출)</t>
        </is>
      </c>
    </row>
    <row r="30">
      <c r="A30" s="64" t="inlineStr">
        <is>
          <t>부문별 매출 · プラスチック品製造事業、報告セグメント [メンバー]</t>
        </is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>
        <v>4.3</v>
      </c>
      <c r="AC30" s="65" t="n"/>
      <c r="AD30" s="65" t="n"/>
      <c r="AE30" s="65" t="n">
        <v>4.4</v>
      </c>
      <c r="AF30" s="65" t="n">
        <v>4.1</v>
      </c>
      <c r="AG30" s="65" t="n"/>
      <c r="AH30" s="65" t="n"/>
      <c r="AI30" s="65" t="n">
        <v>4.7</v>
      </c>
      <c r="AJ30" s="65" t="n">
        <v>4.7</v>
      </c>
      <c r="AK30" s="65" t="n"/>
      <c r="AL30" s="65" t="n"/>
      <c r="AM30" s="65" t="n">
        <v>5.4</v>
      </c>
      <c r="AN30" s="65" t="n">
        <v>5.3</v>
      </c>
      <c r="AO30" s="65" t="n"/>
      <c r="AP30" s="61" t="inlineStr">
        <is>
          <t>결산단신 부문 정보(외부 고객 매출)</t>
        </is>
      </c>
    </row>
    <row r="31">
      <c r="A31" s="64" t="inlineStr">
        <is>
          <t>부문별 매출 · インテリア用品製造・販売事業、報告セグメント[メンバー]</t>
        </is>
      </c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>
        <v>3.2</v>
      </c>
      <c r="AC31" s="65" t="n"/>
      <c r="AD31" s="65" t="n"/>
      <c r="AE31" s="65" t="n">
        <v>3.6</v>
      </c>
      <c r="AF31" s="65" t="n">
        <v>3.3</v>
      </c>
      <c r="AG31" s="65" t="n"/>
      <c r="AH31" s="65" t="n"/>
      <c r="AI31" s="65" t="n">
        <v>3.8</v>
      </c>
      <c r="AJ31" s="65" t="n">
        <v>3.5</v>
      </c>
      <c r="AK31" s="65" t="n"/>
      <c r="AL31" s="65" t="n"/>
      <c r="AM31" s="65" t="n">
        <v>4.1</v>
      </c>
      <c r="AN31" s="65" t="n">
        <v>3.8</v>
      </c>
      <c r="AO31" s="65" t="n"/>
      <c r="AP31" s="61" t="inlineStr">
        <is>
          <t>결산단신 부문 정보(외부 고객 매출)</t>
        </is>
      </c>
    </row>
    <row r="32">
      <c r="A32" s="64" t="inlineStr">
        <is>
          <t>부문별 매출 · 家庭用品製造・販売事業、報告セグメント ［メンバー］</t>
        </is>
      </c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>
        <v>0</v>
      </c>
      <c r="AG32" s="65" t="n"/>
      <c r="AH32" s="65" t="n"/>
      <c r="AI32" s="65" t="n">
        <v>0.1</v>
      </c>
      <c r="AJ32" s="65" t="n">
        <v>0.3</v>
      </c>
      <c r="AK32" s="65" t="n"/>
      <c r="AL32" s="65" t="n"/>
      <c r="AM32" s="65" t="n">
        <v>0.1</v>
      </c>
      <c r="AN32" s="65" t="n">
        <v>0</v>
      </c>
      <c r="AO32" s="65" t="n"/>
      <c r="AP32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2026-10-30T08:37:13Z</dcterms:created>
  <dcterms:modified xmlns:dcterms="http://purl.org/dc/terms/" xmlns:xsi="http://www.w3.org/2001/XMLSchema-instance" xsi:type="dcterms:W3CDTF">2026-10-30T08:38:21Z</dcterms:modified>
</cp:coreProperties>
</file>