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신에츠폴리머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26833</v>
      </c>
      <c r="D4" s="12" t="n">
        <v>24090</v>
      </c>
      <c r="E4" s="12" t="n">
        <v>25625</v>
      </c>
      <c r="F4" s="12" t="n">
        <v>29112</v>
      </c>
      <c r="G4" s="12" t="n">
        <v>28781</v>
      </c>
      <c r="H4" s="12" t="n">
        <v>27064</v>
      </c>
      <c r="I4" s="12" t="n">
        <v>27977</v>
      </c>
      <c r="J4" s="12" t="n">
        <v>28238</v>
      </c>
      <c r="K4" s="12" t="n">
        <v>30353</v>
      </c>
      <c r="L4" s="12" t="n">
        <v>28548</v>
      </c>
      <c r="M4" s="12" t="n">
        <v>30585</v>
      </c>
      <c r="N4" s="12" t="n">
        <v>33740</v>
      </c>
      <c r="O4" s="11" t="n">
        <v>73979</v>
      </c>
      <c r="P4" s="12" t="n">
        <v>79343</v>
      </c>
      <c r="Q4" s="12" t="n">
        <v>85460</v>
      </c>
      <c r="R4" s="12" t="n">
        <v>80254</v>
      </c>
      <c r="S4" s="12" t="n">
        <v>76904</v>
      </c>
      <c r="T4" s="12" t="n">
        <v>92640</v>
      </c>
      <c r="U4" s="12" t="n">
        <v>108278</v>
      </c>
      <c r="V4" s="12" t="n">
        <v>104379</v>
      </c>
      <c r="W4" s="12" t="n">
        <v>110582</v>
      </c>
      <c r="X4" s="12" t="n">
        <v>115116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ElectronicDevicesReportableSegmentsMember</t>
        </is>
      </c>
      <c r="B7" s="10" t="n"/>
      <c r="C7" s="19" t="n">
        <v>6761</v>
      </c>
      <c r="D7" s="20" t="n">
        <v>6592</v>
      </c>
      <c r="E7" s="20" t="n">
        <v>6143</v>
      </c>
      <c r="F7" s="20" t="n">
        <v>6556</v>
      </c>
      <c r="G7" s="20" t="n">
        <v>6278</v>
      </c>
      <c r="H7" s="20" t="n">
        <v>5871</v>
      </c>
      <c r="I7" s="20" t="n">
        <v>6388</v>
      </c>
      <c r="J7" s="20" t="n">
        <v>6291</v>
      </c>
      <c r="K7" s="20" t="n">
        <v>6742</v>
      </c>
      <c r="L7" s="20" t="n">
        <v>6305</v>
      </c>
      <c r="M7" s="20" t="n">
        <v>6421</v>
      </c>
      <c r="N7" s="20" t="n">
        <v>6765</v>
      </c>
      <c r="O7" s="19" t="n"/>
      <c r="P7" s="20" t="n"/>
      <c r="Q7" s="20" t="n"/>
      <c r="R7" s="20" t="n"/>
      <c r="S7" s="20" t="n"/>
      <c r="T7" s="20" t="n"/>
      <c r="U7" s="20" t="n"/>
      <c r="V7" s="20" t="n">
        <v>25506</v>
      </c>
      <c r="W7" s="20" t="n">
        <v>24848</v>
      </c>
      <c r="X7" s="20" t="n">
        <v>25726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PrecisionMoldingProductsReportableSegmentsMember</t>
        </is>
      </c>
      <c r="B10" s="10" t="n"/>
      <c r="C10" s="19" t="n">
        <v>11744</v>
      </c>
      <c r="D10" s="20" t="n">
        <v>10973</v>
      </c>
      <c r="E10" s="20" t="n">
        <v>12479</v>
      </c>
      <c r="F10" s="20" t="n">
        <v>14903</v>
      </c>
      <c r="G10" s="20" t="n">
        <v>14684</v>
      </c>
      <c r="H10" s="20" t="n">
        <v>13958</v>
      </c>
      <c r="I10" s="20" t="n">
        <v>14323</v>
      </c>
      <c r="J10" s="20" t="n">
        <v>14862</v>
      </c>
      <c r="K10" s="20" t="n">
        <v>15519</v>
      </c>
      <c r="L10" s="20" t="n">
        <v>15069</v>
      </c>
      <c r="M10" s="20" t="n">
        <v>15305</v>
      </c>
      <c r="N10" s="20" t="n">
        <v>18723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47602</v>
      </c>
      <c r="W10" s="20" t="n">
        <v>56024</v>
      </c>
      <c r="X10" s="20" t="n">
        <v>59773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HousingAndLivingMaterialsReportableSegmentsMember</t>
        </is>
      </c>
      <c r="B13" s="10" t="n"/>
      <c r="C13" s="19" t="n">
        <v>6317</v>
      </c>
      <c r="D13" s="20" t="n">
        <v>5013</v>
      </c>
      <c r="E13" s="20" t="n">
        <v>5520</v>
      </c>
      <c r="F13" s="20" t="n">
        <v>5578</v>
      </c>
      <c r="G13" s="20" t="n">
        <v>5846</v>
      </c>
      <c r="H13" s="20" t="n">
        <v>5136</v>
      </c>
      <c r="I13" s="20" t="n">
        <v>5595</v>
      </c>
      <c r="J13" s="20" t="n">
        <v>5279</v>
      </c>
      <c r="K13" s="20" t="n">
        <v>5554</v>
      </c>
      <c r="L13" s="20" t="n">
        <v>5085</v>
      </c>
      <c r="M13" s="20" t="n">
        <v>6232</v>
      </c>
      <c r="N13" s="20" t="n">
        <v>5845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24184</v>
      </c>
      <c r="W13" s="20" t="n">
        <v>22080</v>
      </c>
      <c r="X13" s="20" t="n">
        <v>21513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2010</v>
      </c>
      <c r="D16" s="20" t="n">
        <v>1511</v>
      </c>
      <c r="E16" s="20" t="n">
        <v>1481</v>
      </c>
      <c r="F16" s="20" t="n">
        <v>2076</v>
      </c>
      <c r="G16" s="20" t="n">
        <v>1973</v>
      </c>
      <c r="H16" s="20" t="n">
        <v>2098</v>
      </c>
      <c r="I16" s="20" t="n">
        <v>1670</v>
      </c>
      <c r="J16" s="20" t="n">
        <v>1806</v>
      </c>
      <c r="K16" s="20" t="n">
        <v>2537</v>
      </c>
      <c r="L16" s="20" t="n">
        <v>2090</v>
      </c>
      <c r="M16" s="20" t="n">
        <v>2626</v>
      </c>
      <c r="N16" s="20" t="n">
        <v>2406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7085</v>
      </c>
      <c r="W16" s="20" t="n">
        <v>7628</v>
      </c>
      <c r="X16" s="20" t="n">
        <v>8103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25625</v>
      </c>
      <c r="F19" s="20" t="n"/>
      <c r="G19" s="20" t="n"/>
      <c r="H19" s="20" t="n"/>
      <c r="I19" s="20" t="n">
        <v>27977</v>
      </c>
      <c r="J19" s="20" t="n"/>
      <c r="K19" s="20" t="n"/>
      <c r="L19" s="20" t="n"/>
      <c r="M19" s="20" t="n">
        <v>30585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18809</v>
      </c>
      <c r="D23" s="20" t="n">
        <v>16756</v>
      </c>
      <c r="E23" s="20" t="n">
        <v>17385</v>
      </c>
      <c r="F23" s="20" t="n">
        <v>20107</v>
      </c>
      <c r="G23" s="20" t="n">
        <v>19635</v>
      </c>
      <c r="H23" s="20" t="n">
        <v>19511</v>
      </c>
      <c r="I23" s="20" t="n">
        <v>19207</v>
      </c>
      <c r="J23" s="20" t="n">
        <v>19725</v>
      </c>
      <c r="K23" s="20" t="n">
        <v>21284</v>
      </c>
      <c r="L23" s="20" t="n">
        <v>20330</v>
      </c>
      <c r="M23" s="20" t="n">
        <v>21110</v>
      </c>
      <c r="N23" s="20" t="n">
        <v>22905</v>
      </c>
      <c r="O23" s="19" t="n">
        <v>51287</v>
      </c>
      <c r="P23" s="20" t="n">
        <v>54715</v>
      </c>
      <c r="Q23" s="20" t="n">
        <v>58697</v>
      </c>
      <c r="R23" s="20" t="n">
        <v>54561</v>
      </c>
      <c r="S23" s="20" t="n">
        <v>52922</v>
      </c>
      <c r="T23" s="20" t="n">
        <v>63499</v>
      </c>
      <c r="U23" s="20" t="n">
        <v>74546</v>
      </c>
      <c r="V23" s="20" t="n">
        <v>73223</v>
      </c>
      <c r="W23" s="20" t="n">
        <v>76638</v>
      </c>
      <c r="X23" s="20" t="n">
        <v>80546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4980</v>
      </c>
      <c r="D27" s="20" t="n">
        <v>5209</v>
      </c>
      <c r="E27" s="20" t="n">
        <v>5021</v>
      </c>
      <c r="F27" s="20" t="n">
        <v>5300</v>
      </c>
      <c r="G27" s="20" t="n">
        <v>5209</v>
      </c>
      <c r="H27" s="20" t="n">
        <v>5142</v>
      </c>
      <c r="I27" s="20" t="n">
        <v>4949</v>
      </c>
      <c r="J27" s="20" t="n">
        <v>5224</v>
      </c>
      <c r="K27" s="20" t="n">
        <v>5167</v>
      </c>
      <c r="L27" s="20" t="n">
        <v>5188</v>
      </c>
      <c r="M27" s="20" t="n">
        <v>5326</v>
      </c>
      <c r="N27" s="20" t="n">
        <v>5629</v>
      </c>
      <c r="O27" s="19" t="n">
        <v>17180</v>
      </c>
      <c r="P27" s="20" t="n">
        <v>17421</v>
      </c>
      <c r="Q27" s="20" t="n">
        <v>18608</v>
      </c>
      <c r="R27" s="20" t="n">
        <v>17936</v>
      </c>
      <c r="S27" s="20" t="n">
        <v>16764</v>
      </c>
      <c r="T27" s="20" t="n">
        <v>19408</v>
      </c>
      <c r="U27" s="20" t="n">
        <v>20982</v>
      </c>
      <c r="V27" s="20" t="n">
        <v>20104</v>
      </c>
      <c r="W27" s="20" t="n">
        <v>20672</v>
      </c>
      <c r="X27" s="20" t="n">
        <v>20528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3043</v>
      </c>
      <c r="D28" s="12" t="n">
        <v>2124</v>
      </c>
      <c r="E28" s="12" t="n">
        <v>3218</v>
      </c>
      <c r="F28" s="12" t="n">
        <v>3704</v>
      </c>
      <c r="G28" s="12" t="n">
        <v>3938</v>
      </c>
      <c r="H28" s="12" t="n">
        <v>2411</v>
      </c>
      <c r="I28" s="12" t="n">
        <v>3820</v>
      </c>
      <c r="J28" s="12" t="n">
        <v>3290</v>
      </c>
      <c r="K28" s="12" t="n">
        <v>3900</v>
      </c>
      <c r="L28" s="12" t="n">
        <v>3030</v>
      </c>
      <c r="M28" s="12" t="n">
        <v>4148</v>
      </c>
      <c r="N28" s="12" t="n">
        <v>5206</v>
      </c>
      <c r="O28" s="11" t="n">
        <v>5511</v>
      </c>
      <c r="P28" s="12" t="n">
        <v>7206</v>
      </c>
      <c r="Q28" s="12" t="n">
        <v>8153</v>
      </c>
      <c r="R28" s="12" t="n">
        <v>7756</v>
      </c>
      <c r="S28" s="12" t="n">
        <v>7217</v>
      </c>
      <c r="T28" s="12" t="n">
        <v>9732</v>
      </c>
      <c r="U28" s="12" t="n">
        <v>12749</v>
      </c>
      <c r="V28" s="12" t="n">
        <v>11050</v>
      </c>
      <c r="W28" s="12" t="n">
        <v>13271</v>
      </c>
      <c r="X28" s="12" t="n">
        <v>14040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349</v>
      </c>
      <c r="D44" s="20" t="n">
        <v>367</v>
      </c>
      <c r="E44" s="20" t="n">
        <v>17</v>
      </c>
      <c r="F44" s="20" t="n">
        <v>0</v>
      </c>
      <c r="G44" s="20" t="n">
        <v>0</v>
      </c>
      <c r="H44" s="20" t="n">
        <v>200</v>
      </c>
      <c r="I44" s="20" t="n">
        <v>8</v>
      </c>
      <c r="J44" s="20" t="n">
        <v>0</v>
      </c>
      <c r="K44" s="20" t="n">
        <v>2</v>
      </c>
      <c r="L44" s="20" t="n">
        <v>59</v>
      </c>
      <c r="M44" s="20" t="n">
        <v>7</v>
      </c>
      <c r="N44" s="20" t="n">
        <v>0</v>
      </c>
      <c r="O44" s="19" t="n"/>
      <c r="P44" s="20" t="n"/>
      <c r="Q44" s="20" t="n"/>
      <c r="R44" s="20" t="n"/>
      <c r="S44" s="20" t="n">
        <v>0</v>
      </c>
      <c r="T44" s="20" t="n">
        <v>27</v>
      </c>
      <c r="U44" s="20" t="n">
        <v>3</v>
      </c>
      <c r="V44" s="20" t="n">
        <v>791</v>
      </c>
      <c r="W44" s="20" t="n">
        <v>217</v>
      </c>
      <c r="X44" s="20" t="n">
        <v>69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125</v>
      </c>
      <c r="D46" s="20" t="n">
        <v>356</v>
      </c>
      <c r="E46" s="20" t="n"/>
      <c r="F46" s="20" t="n"/>
      <c r="G46" s="20" t="n">
        <v>0</v>
      </c>
      <c r="H46" s="20" t="n">
        <v>228</v>
      </c>
      <c r="I46" s="20" t="n">
        <v>0</v>
      </c>
      <c r="J46" s="20" t="n">
        <v>0</v>
      </c>
      <c r="K46" s="20" t="n"/>
      <c r="L46" s="20" t="n"/>
      <c r="M46" s="20" t="n">
        <v>48</v>
      </c>
      <c r="N46" s="20" t="n">
        <v>1</v>
      </c>
      <c r="O46" s="19" t="n">
        <v>327</v>
      </c>
      <c r="P46" s="20" t="n">
        <v>0</v>
      </c>
      <c r="Q46" s="20" t="n"/>
      <c r="R46" s="20" t="n">
        <v>0</v>
      </c>
      <c r="S46" s="20" t="n">
        <v>619</v>
      </c>
      <c r="T46" s="20" t="n">
        <v>744</v>
      </c>
      <c r="U46" s="20" t="n">
        <v>1616</v>
      </c>
      <c r="V46" s="20" t="n">
        <v>543</v>
      </c>
      <c r="W46" s="20" t="n">
        <v>228</v>
      </c>
      <c r="X46" s="20" t="n">
        <v>447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-134</v>
      </c>
      <c r="D48" s="20" t="n">
        <v>216</v>
      </c>
      <c r="E48" s="20" t="n">
        <v>222</v>
      </c>
      <c r="F48" s="20" t="n">
        <v>78</v>
      </c>
      <c r="G48" s="20" t="n">
        <v>156</v>
      </c>
      <c r="H48" s="20" t="n">
        <v>250</v>
      </c>
      <c r="I48" s="20" t="n">
        <v>183</v>
      </c>
      <c r="J48" s="20" t="n">
        <v>107</v>
      </c>
      <c r="K48" s="20" t="n">
        <v>129</v>
      </c>
      <c r="L48" s="20" t="n">
        <v>188</v>
      </c>
      <c r="M48" s="20" t="n">
        <v>151</v>
      </c>
      <c r="N48" s="20" t="n">
        <v>123</v>
      </c>
      <c r="O48" s="19" t="n">
        <v>478</v>
      </c>
      <c r="P48" s="20" t="n">
        <v>384</v>
      </c>
      <c r="Q48" s="20" t="n">
        <v>602</v>
      </c>
      <c r="R48" s="20" t="n">
        <v>666</v>
      </c>
      <c r="S48" s="20" t="n">
        <v>443</v>
      </c>
      <c r="T48" s="20" t="n">
        <v>543</v>
      </c>
      <c r="U48" s="20" t="n">
        <v>583</v>
      </c>
      <c r="V48" s="20" t="n">
        <v>651</v>
      </c>
      <c r="W48" s="20" t="n">
        <v>706</v>
      </c>
      <c r="X48" s="20" t="n">
        <v>607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36</v>
      </c>
      <c r="D50" s="20" t="n">
        <v>86</v>
      </c>
      <c r="E50" s="20" t="n">
        <v>16</v>
      </c>
      <c r="F50" s="20" t="n">
        <v>574</v>
      </c>
      <c r="G50" s="20" t="n">
        <v>255</v>
      </c>
      <c r="H50" s="20" t="n">
        <v>-86</v>
      </c>
      <c r="I50" s="20" t="n">
        <v>19</v>
      </c>
      <c r="J50" s="20" t="n">
        <v>134</v>
      </c>
      <c r="K50" s="20" t="n">
        <v>98</v>
      </c>
      <c r="L50" s="20" t="n">
        <v>388</v>
      </c>
      <c r="M50" s="20" t="n">
        <v>174</v>
      </c>
      <c r="N50" s="20" t="n">
        <v>322</v>
      </c>
      <c r="O50" s="19" t="n">
        <v>55</v>
      </c>
      <c r="P50" s="20" t="n">
        <v>316</v>
      </c>
      <c r="Q50" s="20" t="n">
        <v>730</v>
      </c>
      <c r="R50" s="20" t="n">
        <v>326</v>
      </c>
      <c r="S50" s="20" t="n">
        <v>639</v>
      </c>
      <c r="T50" s="20" t="n">
        <v>145</v>
      </c>
      <c r="U50" s="20" t="n">
        <v>346</v>
      </c>
      <c r="V50" s="20" t="n">
        <v>171</v>
      </c>
      <c r="W50" s="20" t="n">
        <v>759</v>
      </c>
      <c r="X50" s="20" t="n">
        <v>639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3097</v>
      </c>
      <c r="D52" s="12" t="n">
        <v>2265</v>
      </c>
      <c r="E52" s="12" t="n">
        <v>3441</v>
      </c>
      <c r="F52" s="12" t="n">
        <v>3209</v>
      </c>
      <c r="G52" s="12" t="n">
        <v>3839</v>
      </c>
      <c r="H52" s="12" t="n">
        <v>2718</v>
      </c>
      <c r="I52" s="12" t="n">
        <v>3993</v>
      </c>
      <c r="J52" s="12" t="n">
        <v>3263</v>
      </c>
      <c r="K52" s="12" t="n">
        <v>3933</v>
      </c>
      <c r="L52" s="12" t="n">
        <v>2441</v>
      </c>
      <c r="M52" s="12" t="n">
        <v>4083</v>
      </c>
      <c r="N52" s="12" t="n">
        <v>5007</v>
      </c>
      <c r="O52" s="11" t="n">
        <v>5606</v>
      </c>
      <c r="P52" s="12" t="n">
        <v>7274</v>
      </c>
      <c r="Q52" s="12" t="n">
        <v>8026</v>
      </c>
      <c r="R52" s="12" t="n">
        <v>8097</v>
      </c>
      <c r="S52" s="12" t="n">
        <v>6402</v>
      </c>
      <c r="T52" s="12" t="n">
        <v>9413</v>
      </c>
      <c r="U52" s="12" t="n">
        <v>11373</v>
      </c>
      <c r="V52" s="12" t="n">
        <v>11778</v>
      </c>
      <c r="W52" s="12" t="n">
        <v>13207</v>
      </c>
      <c r="X52" s="12" t="n">
        <v>13630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863</v>
      </c>
      <c r="D53" s="20" t="n">
        <v>441</v>
      </c>
      <c r="E53" s="20" t="n">
        <v>1176</v>
      </c>
      <c r="F53" s="20" t="n">
        <v>885</v>
      </c>
      <c r="G53" s="20" t="n">
        <v>1095</v>
      </c>
      <c r="H53" s="20" t="n">
        <v>620</v>
      </c>
      <c r="I53" s="20" t="n">
        <v>884</v>
      </c>
      <c r="J53" s="20" t="n">
        <v>889</v>
      </c>
      <c r="K53" s="20" t="n">
        <v>1206</v>
      </c>
      <c r="L53" s="20" t="n">
        <v>752</v>
      </c>
      <c r="M53" s="20" t="n">
        <v>1668</v>
      </c>
      <c r="N53" s="20" t="n">
        <v>1327</v>
      </c>
      <c r="O53" s="19" t="n">
        <v>1376</v>
      </c>
      <c r="P53" s="20" t="n">
        <v>1819</v>
      </c>
      <c r="Q53" s="20" t="n">
        <v>1976</v>
      </c>
      <c r="R53" s="20" t="n">
        <v>1808</v>
      </c>
      <c r="S53" s="20" t="n">
        <v>1865</v>
      </c>
      <c r="T53" s="20" t="n">
        <v>3105</v>
      </c>
      <c r="U53" s="20" t="n">
        <v>2843</v>
      </c>
      <c r="V53" s="20" t="n">
        <v>3103</v>
      </c>
      <c r="W53" s="20" t="n">
        <v>3776</v>
      </c>
      <c r="X53" s="20" t="n">
        <v>3731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2233</v>
      </c>
      <c r="D55" s="12" t="n">
        <v>1824</v>
      </c>
      <c r="E55" s="12" t="n">
        <v>2265</v>
      </c>
      <c r="F55" s="12" t="n">
        <v>2324</v>
      </c>
      <c r="G55" s="12" t="n">
        <v>2743</v>
      </c>
      <c r="H55" s="12" t="n">
        <v>2098</v>
      </c>
      <c r="I55" s="12" t="n">
        <v>3109</v>
      </c>
      <c r="J55" s="12" t="n">
        <v>2374</v>
      </c>
      <c r="K55" s="12" t="n">
        <v>2727</v>
      </c>
      <c r="L55" s="12" t="n">
        <v>1689</v>
      </c>
      <c r="M55" s="12" t="n">
        <v>2415</v>
      </c>
      <c r="N55" s="12" t="n">
        <v>3680</v>
      </c>
      <c r="O55" s="11" t="n">
        <v>4230</v>
      </c>
      <c r="P55" s="12" t="n">
        <v>5455</v>
      </c>
      <c r="Q55" s="12" t="n">
        <v>6049</v>
      </c>
      <c r="R55" s="12" t="n">
        <v>6288</v>
      </c>
      <c r="S55" s="12" t="n">
        <v>4536</v>
      </c>
      <c r="T55" s="12" t="n">
        <v>6308</v>
      </c>
      <c r="U55" s="12" t="n">
        <v>8529</v>
      </c>
      <c r="V55" s="12" t="n">
        <v>8674</v>
      </c>
      <c r="W55" s="12" t="n">
        <v>9430</v>
      </c>
      <c r="X55" s="12" t="n">
        <v>9899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2233</v>
      </c>
      <c r="D56" s="12" t="n">
        <v>1824</v>
      </c>
      <c r="E56" s="12" t="n">
        <v>2265</v>
      </c>
      <c r="F56" s="12" t="n">
        <v>2324</v>
      </c>
      <c r="G56" s="12" t="n">
        <v>2743</v>
      </c>
      <c r="H56" s="12" t="n">
        <v>2098</v>
      </c>
      <c r="I56" s="12" t="n">
        <v>3109</v>
      </c>
      <c r="J56" s="12" t="n">
        <v>2374</v>
      </c>
      <c r="K56" s="12" t="n">
        <v>2727</v>
      </c>
      <c r="L56" s="12" t="n">
        <v>1689</v>
      </c>
      <c r="M56" s="12" t="n">
        <v>2415</v>
      </c>
      <c r="N56" s="12" t="n">
        <v>3680</v>
      </c>
      <c r="O56" s="11" t="n">
        <v>4230</v>
      </c>
      <c r="P56" s="12" t="n">
        <v>5455</v>
      </c>
      <c r="Q56" s="12" t="n">
        <v>6049</v>
      </c>
      <c r="R56" s="12" t="n">
        <v>6288</v>
      </c>
      <c r="S56" s="12" t="n">
        <v>4536</v>
      </c>
      <c r="T56" s="12" t="n">
        <v>6308</v>
      </c>
      <c r="U56" s="12" t="n">
        <v>8529</v>
      </c>
      <c r="V56" s="12" t="n">
        <v>8674</v>
      </c>
      <c r="W56" s="12" t="n">
        <v>9430</v>
      </c>
      <c r="X56" s="12" t="n">
        <v>9899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2236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82623376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26833</v>
      </c>
      <c r="D90" s="12" t="n">
        <v>24090</v>
      </c>
      <c r="E90" s="12" t="n">
        <v>25625</v>
      </c>
      <c r="F90" s="12" t="n">
        <v>29112</v>
      </c>
      <c r="G90" s="12" t="n">
        <v>28781</v>
      </c>
      <c r="H90" s="12" t="n">
        <v>27064</v>
      </c>
      <c r="I90" s="12" t="n">
        <v>27977</v>
      </c>
      <c r="J90" s="12" t="n">
        <v>28238</v>
      </c>
      <c r="K90" s="12" t="n">
        <v>30353</v>
      </c>
      <c r="L90" s="12" t="n">
        <v>28548</v>
      </c>
      <c r="M90" s="12" t="n">
        <v>30585</v>
      </c>
      <c r="N90" s="12" t="n">
        <v>33740</v>
      </c>
      <c r="T90" s="12" t="n">
        <v>23752</v>
      </c>
      <c r="U90" s="12" t="n">
        <v>26103</v>
      </c>
      <c r="V90" s="12" t="n">
        <v>24090</v>
      </c>
      <c r="W90" s="12" t="n">
        <v>27064</v>
      </c>
      <c r="X90" s="12" t="n">
        <v>28548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18809</v>
      </c>
      <c r="D92" s="20" t="n">
        <v>16756</v>
      </c>
      <c r="E92" s="20" t="n">
        <v>17385</v>
      </c>
      <c r="F92" s="20" t="n">
        <v>20107</v>
      </c>
      <c r="G92" s="20" t="n">
        <v>19635</v>
      </c>
      <c r="H92" s="20" t="n">
        <v>19511</v>
      </c>
      <c r="I92" s="20" t="n">
        <v>19207</v>
      </c>
      <c r="J92" s="20" t="n">
        <v>19725</v>
      </c>
      <c r="K92" s="20" t="n">
        <v>21284</v>
      </c>
      <c r="L92" s="20" t="n">
        <v>20330</v>
      </c>
      <c r="M92" s="20" t="n">
        <v>21110</v>
      </c>
      <c r="N92" s="20" t="n">
        <v>22905</v>
      </c>
      <c r="T92" s="20" t="n">
        <v>16305</v>
      </c>
      <c r="U92" s="20" t="n">
        <v>18752</v>
      </c>
      <c r="V92" s="20" t="n">
        <v>16756</v>
      </c>
      <c r="W92" s="20" t="n">
        <v>19511</v>
      </c>
      <c r="X92" s="20" t="n">
        <v>20330</v>
      </c>
    </row>
    <row r="93">
      <c r="A93" s="9" t="inlineStr">
        <is>
          <t>매출총이익</t>
        </is>
      </c>
      <c r="C93" s="12" t="n">
        <v>8024</v>
      </c>
      <c r="D93" s="12" t="n">
        <v>7333</v>
      </c>
      <c r="E93" s="12" t="n">
        <v>8240</v>
      </c>
      <c r="F93" s="12" t="n">
        <v>9004</v>
      </c>
      <c r="G93" s="12" t="n">
        <v>9147</v>
      </c>
      <c r="H93" s="12" t="n">
        <v>7553</v>
      </c>
      <c r="I93" s="12" t="n">
        <v>8769</v>
      </c>
      <c r="J93" s="12" t="n">
        <v>8514</v>
      </c>
      <c r="K93" s="12" t="n">
        <v>9068</v>
      </c>
      <c r="L93" s="12" t="n">
        <v>8218</v>
      </c>
      <c r="M93" s="12" t="n">
        <v>9475</v>
      </c>
      <c r="N93" s="12" t="n">
        <v>10834</v>
      </c>
      <c r="T93" s="12" t="n">
        <v>7446</v>
      </c>
      <c r="U93" s="12" t="n">
        <v>7351</v>
      </c>
      <c r="V93" s="12" t="n">
        <v>7333</v>
      </c>
      <c r="W93" s="12" t="n">
        <v>7553</v>
      </c>
      <c r="X93" s="12" t="n">
        <v>8218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판매비와 관리비</t>
        </is>
      </c>
      <c r="C95" s="20" t="n">
        <v>4980</v>
      </c>
      <c r="D95" s="20" t="n">
        <v>5209</v>
      </c>
      <c r="E95" s="20" t="n">
        <v>5021</v>
      </c>
      <c r="F95" s="20" t="n">
        <v>5300</v>
      </c>
      <c r="G95" s="20" t="n">
        <v>5209</v>
      </c>
      <c r="H95" s="20" t="n">
        <v>5142</v>
      </c>
      <c r="I95" s="20" t="n">
        <v>4949</v>
      </c>
      <c r="J95" s="20" t="n">
        <v>5224</v>
      </c>
      <c r="K95" s="20" t="n">
        <v>5167</v>
      </c>
      <c r="L95" s="20" t="n">
        <v>5188</v>
      </c>
      <c r="M95" s="20" t="n">
        <v>5326</v>
      </c>
      <c r="N95" s="20" t="n">
        <v>5629</v>
      </c>
      <c r="T95" s="20" t="n">
        <v>5170</v>
      </c>
      <c r="U95" s="20" t="n">
        <v>5352</v>
      </c>
      <c r="V95" s="20" t="n">
        <v>5209</v>
      </c>
      <c r="W95" s="20" t="n">
        <v>5142</v>
      </c>
      <c r="X95" s="20" t="n">
        <v>5188</v>
      </c>
    </row>
    <row r="96">
      <c r="A96" s="9" t="inlineStr">
        <is>
          <t>영업이익</t>
        </is>
      </c>
      <c r="C96" s="12" t="n">
        <v>3043</v>
      </c>
      <c r="D96" s="12" t="n">
        <v>2124</v>
      </c>
      <c r="E96" s="12" t="n">
        <v>3218</v>
      </c>
      <c r="F96" s="12" t="n">
        <v>3704</v>
      </c>
      <c r="G96" s="12" t="n">
        <v>3938</v>
      </c>
      <c r="H96" s="12" t="n">
        <v>2411</v>
      </c>
      <c r="I96" s="12" t="n">
        <v>3820</v>
      </c>
      <c r="J96" s="12" t="n">
        <v>3290</v>
      </c>
      <c r="K96" s="12" t="n">
        <v>3900</v>
      </c>
      <c r="L96" s="12" t="n">
        <v>3030</v>
      </c>
      <c r="M96" s="12" t="n">
        <v>4148</v>
      </c>
      <c r="N96" s="12" t="n">
        <v>5206</v>
      </c>
      <c r="T96" s="12" t="n">
        <v>2276</v>
      </c>
      <c r="U96" s="12" t="n">
        <v>1999</v>
      </c>
      <c r="V96" s="12" t="n">
        <v>2124</v>
      </c>
      <c r="W96" s="12" t="n">
        <v>2411</v>
      </c>
      <c r="X96" s="12" t="n">
        <v>3030</v>
      </c>
    </row>
    <row r="97">
      <c r="A97" s="43" t="inlineStr">
        <is>
          <t>OPM</t>
        </is>
      </c>
      <c r="B97" s="3" t="inlineStr">
        <is>
          <t>영업이익 ÷ 매출</t>
        </is>
      </c>
      <c r="C97" s="15">
        <f>IF(OR(C96="",C90=""),"",IF(C90&lt;=0,"",IFERROR(C96/C90,"")))</f>
        <v/>
      </c>
      <c r="D97" s="15">
        <f>IF(OR(D96="",D90=""),"",IF(D90&lt;=0,"",IFERROR(D96/D90,"")))</f>
        <v/>
      </c>
      <c r="E97" s="15">
        <f>IF(OR(E96="",E90=""),"",IF(E90&lt;=0,"",IFERROR(E96/E90,"")))</f>
        <v/>
      </c>
      <c r="F97" s="15">
        <f>IF(OR(F96="",F90=""),"",IF(F90&lt;=0,"",IFERROR(F96/F90,"")))</f>
        <v/>
      </c>
      <c r="G97" s="15">
        <f>IF(OR(G96="",G90=""),"",IF(G90&lt;=0,"",IFERROR(G96/G90,"")))</f>
        <v/>
      </c>
      <c r="H97" s="15">
        <f>IF(OR(H96="",H90=""),"",IF(H90&lt;=0,"",IFERROR(H96/H90,"")))</f>
        <v/>
      </c>
      <c r="I97" s="15">
        <f>IF(OR(I96="",I90=""),"",IF(I90&lt;=0,"",IFERROR(I96/I90,"")))</f>
        <v/>
      </c>
      <c r="J97" s="15">
        <f>IF(OR(J96="",J90=""),"",IF(J90&lt;=0,"",IFERROR(J96/J90,"")))</f>
        <v/>
      </c>
      <c r="K97" s="15">
        <f>IF(OR(K96="",K90=""),"",IF(K90&lt;=0,"",IFERROR(K96/K90,"")))</f>
        <v/>
      </c>
      <c r="L97" s="15">
        <f>IF(OR(L96="",L90=""),"",IF(L90&lt;=0,"",IFERROR(L96/L90,"")))</f>
        <v/>
      </c>
      <c r="M97" s="15">
        <f>IF(OR(M96="",M90=""),"",IF(M90&lt;=0,"",IFERROR(M96/M90,"")))</f>
        <v/>
      </c>
      <c r="N97" s="15">
        <f>IF(OR(N96="",N90=""),"",IF(N90&lt;=0,"",IFERROR(N96/N90,"")))</f>
        <v/>
      </c>
      <c r="T97" s="15">
        <f>IF(OR(T96="",T90=""),"",IF(T90&lt;=0,"",IFERROR(T96/T90,"")))</f>
        <v/>
      </c>
      <c r="U97" s="15">
        <f>IF(OR(U96="",U90=""),"",IF(U90&lt;=0,"",IFERROR(U96/U90,"")))</f>
        <v/>
      </c>
      <c r="V97" s="15">
        <f>IF(OR(V96="",V90=""),"",IF(V90&lt;=0,"",IFERROR(V96/V90,"")))</f>
        <v/>
      </c>
      <c r="W97" s="15">
        <f>IF(OR(W96="",W90=""),"",IF(W90&lt;=0,"",IFERROR(W96/W90,"")))</f>
        <v/>
      </c>
      <c r="X97" s="15">
        <f>IF(OR(X96="",X90=""),"",IF(X90&lt;=0,"",IFERROR(X96/X90,"")))</f>
        <v/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IF(OR(G96="",C96=""),"",IF(C96&lt;=0,"",IFERROR(G96/C96-1,"")))</f>
        <v/>
      </c>
      <c r="H98" s="15">
        <f>IF(OR(H96="",D96=""),"",IF(D96&lt;=0,"",IFERROR(H96/D96-1,"")))</f>
        <v/>
      </c>
      <c r="I98" s="15">
        <f>IF(OR(I96="",E96=""),"",IF(E96&lt;=0,"",IFERROR(I96/E96-1,"")))</f>
        <v/>
      </c>
      <c r="J98" s="15">
        <f>IF(OR(J96="",F96=""),"",IF(F96&lt;=0,"",IFERROR(J96/F96-1,"")))</f>
        <v/>
      </c>
      <c r="K98" s="15">
        <f>IF(OR(K96="",G96=""),"",IF(G96&lt;=0,"",IFERROR(K96/G96-1,"")))</f>
        <v/>
      </c>
      <c r="L98" s="15">
        <f>IF(OR(L96="",H96=""),"",IF(H96&lt;=0,"",IFERROR(L96/H96-1,"")))</f>
        <v/>
      </c>
      <c r="M98" s="15">
        <f>IF(OR(M96="",I96=""),"",IF(I96&lt;=0,"",IFERROR(M96/I96-1,"")))</f>
        <v/>
      </c>
      <c r="N98" s="15">
        <f>IF(OR(N96="",J96=""),"",IF(J96&lt;=0,"",IFERROR(N96/J96-1,"")))</f>
        <v/>
      </c>
      <c r="T98" s="15">
        <f>IF(OR(T96="",S96=""),"",IF(S96&lt;=0,"",IFERROR(T96/S96-1,"")))</f>
        <v/>
      </c>
      <c r="U98" s="15">
        <f>IF(OR(U96="",T96=""),"",IF(T96&lt;=0,"",IFERROR(U96/T96-1,"")))</f>
        <v/>
      </c>
      <c r="V98" s="15">
        <f>IF(OR(V96="",U96=""),"",IF(U96&lt;=0,"",IFERROR(V96/U96-1,"")))</f>
        <v/>
      </c>
      <c r="W98" s="15">
        <f>IF(OR(W96="",V96=""),"",IF(V96&lt;=0,"",IFERROR(W96/V96-1,"")))</f>
        <v/>
      </c>
      <c r="X98" s="15">
        <f>IF(OR(X96="",W96=""),"",IF(W96&lt;=0,"",IFERROR(X96/W96-1,"")))</f>
        <v/>
      </c>
    </row>
    <row r="99">
      <c r="A99" s="18" t="inlineStr">
        <is>
          <t>이자수익</t>
        </is>
      </c>
      <c r="C99" s="20" t="n">
        <v>36</v>
      </c>
      <c r="D99" s="20" t="n">
        <v>60</v>
      </c>
      <c r="E99" s="20" t="n">
        <v>71</v>
      </c>
      <c r="F99" s="20" t="n">
        <v>72</v>
      </c>
      <c r="G99" s="20" t="n">
        <v>70</v>
      </c>
      <c r="H99" s="20" t="n">
        <v>60</v>
      </c>
      <c r="I99" s="20" t="n">
        <v>56</v>
      </c>
      <c r="J99" s="20" t="n">
        <v>67</v>
      </c>
      <c r="K99" s="20" t="n">
        <v>82</v>
      </c>
      <c r="L99" s="20" t="n">
        <v>92</v>
      </c>
      <c r="M99" s="20" t="n">
        <v>69</v>
      </c>
      <c r="N99" s="20" t="n">
        <v>87</v>
      </c>
      <c r="T99" s="20" t="n">
        <v>27</v>
      </c>
      <c r="U99" s="20" t="n">
        <v>43</v>
      </c>
      <c r="V99" s="20" t="n">
        <v>60</v>
      </c>
      <c r="W99" s="20" t="n">
        <v>60</v>
      </c>
      <c r="X99" s="20" t="n">
        <v>92</v>
      </c>
    </row>
    <row r="100">
      <c r="A100" s="18" t="inlineStr">
        <is>
          <t>배당금수익</t>
        </is>
      </c>
      <c r="I100" s="20" t="n">
        <v>29</v>
      </c>
      <c r="M100" s="20" t="n">
        <v>30</v>
      </c>
    </row>
    <row r="101">
      <c r="A101" s="18" t="inlineStr">
        <is>
          <t>외환차익</t>
        </is>
      </c>
      <c r="C101" s="20" t="n">
        <v>-207</v>
      </c>
      <c r="D101" s="20" t="n">
        <v>115</v>
      </c>
      <c r="E101" s="20" t="n">
        <v>91</v>
      </c>
      <c r="F101" s="20" t="n">
        <v>-91</v>
      </c>
      <c r="G101" s="20" t="n">
        <v>0</v>
      </c>
      <c r="H101" s="20" t="n">
        <v>0</v>
      </c>
      <c r="I101" s="20" t="n">
        <v>45</v>
      </c>
      <c r="M101" s="20" t="n">
        <v>0</v>
      </c>
      <c r="T101" s="20" t="n">
        <v>150</v>
      </c>
      <c r="U101" s="20" t="n">
        <v>-239</v>
      </c>
      <c r="V101" s="20" t="n">
        <v>115</v>
      </c>
      <c r="W101" s="20" t="n">
        <v>0</v>
      </c>
    </row>
    <row r="102">
      <c r="A102" s="18" t="inlineStr">
        <is>
          <t>투자유가증권 매각이익</t>
        </is>
      </c>
      <c r="D102" s="20" t="n">
        <v>1</v>
      </c>
      <c r="G102" s="20" t="n">
        <v>0</v>
      </c>
      <c r="H102" s="20" t="n">
        <v>158</v>
      </c>
      <c r="K102" s="20" t="n">
        <v>0</v>
      </c>
      <c r="L102" s="20" t="n">
        <v>0</v>
      </c>
      <c r="U102" s="20" t="n">
        <v>7</v>
      </c>
      <c r="V102" s="20" t="n">
        <v>1</v>
      </c>
      <c r="W102" s="20" t="n">
        <v>158</v>
      </c>
      <c r="X102" s="20" t="n">
        <v>0</v>
      </c>
    </row>
    <row r="103">
      <c r="A103" s="18" t="inlineStr">
        <is>
          <t>기타</t>
        </is>
      </c>
      <c r="C103" s="20" t="n">
        <v>38</v>
      </c>
      <c r="D103" s="20" t="n">
        <v>-56</v>
      </c>
      <c r="E103" s="20" t="n">
        <v>59</v>
      </c>
      <c r="F103" s="20" t="n">
        <v>98</v>
      </c>
      <c r="G103" s="20" t="n">
        <v>86</v>
      </c>
      <c r="H103" s="20" t="n">
        <v>-14</v>
      </c>
      <c r="I103" s="20" t="n">
        <v>51</v>
      </c>
      <c r="J103" s="20" t="n">
        <v>48</v>
      </c>
      <c r="K103" s="20" t="n">
        <v>47</v>
      </c>
      <c r="L103" s="20" t="n">
        <v>-26</v>
      </c>
      <c r="M103" s="20" t="n">
        <v>51</v>
      </c>
      <c r="N103" s="20" t="n">
        <v>66</v>
      </c>
      <c r="T103" s="20" t="n">
        <v>20</v>
      </c>
      <c r="U103" s="20" t="n">
        <v>180</v>
      </c>
      <c r="V103" s="20" t="n">
        <v>-56</v>
      </c>
      <c r="W103" s="20" t="n">
        <v>-14</v>
      </c>
      <c r="X103" s="20" t="n">
        <v>-26</v>
      </c>
    </row>
    <row r="104">
      <c r="A104" s="18" t="inlineStr">
        <is>
          <t>영업외수익 합계</t>
        </is>
      </c>
      <c r="C104" s="20" t="n">
        <v>-134</v>
      </c>
      <c r="D104" s="20" t="n">
        <v>216</v>
      </c>
      <c r="E104" s="20" t="n">
        <v>222</v>
      </c>
      <c r="F104" s="20" t="n">
        <v>78</v>
      </c>
      <c r="G104" s="20" t="n">
        <v>156</v>
      </c>
      <c r="H104" s="20" t="n">
        <v>250</v>
      </c>
      <c r="I104" s="20" t="n">
        <v>183</v>
      </c>
      <c r="J104" s="20" t="n">
        <v>107</v>
      </c>
      <c r="K104" s="20" t="n">
        <v>129</v>
      </c>
      <c r="L104" s="20" t="n">
        <v>188</v>
      </c>
      <c r="M104" s="20" t="n">
        <v>151</v>
      </c>
      <c r="N104" s="20" t="n">
        <v>123</v>
      </c>
      <c r="T104" s="20" t="n">
        <v>225</v>
      </c>
      <c r="U104" s="20" t="n">
        <v>-9</v>
      </c>
      <c r="V104" s="20" t="n">
        <v>216</v>
      </c>
      <c r="W104" s="20" t="n">
        <v>250</v>
      </c>
      <c r="X104" s="20" t="n">
        <v>188</v>
      </c>
    </row>
    <row r="105">
      <c r="A105" s="18" t="inlineStr">
        <is>
          <t>이자비용</t>
        </is>
      </c>
      <c r="C105" s="20" t="n">
        <v>8</v>
      </c>
      <c r="D105" s="20" t="n">
        <v>8</v>
      </c>
      <c r="E105" s="20" t="n">
        <v>6</v>
      </c>
      <c r="F105" s="20" t="n">
        <v>8</v>
      </c>
      <c r="G105" s="20" t="n">
        <v>8</v>
      </c>
      <c r="H105" s="20" t="n">
        <v>13</v>
      </c>
      <c r="I105" s="20" t="n">
        <v>10</v>
      </c>
      <c r="J105" s="20" t="n">
        <v>9</v>
      </c>
      <c r="K105" s="20" t="n">
        <v>9</v>
      </c>
      <c r="L105" s="20" t="n">
        <v>12</v>
      </c>
      <c r="M105" s="20" t="n">
        <v>10</v>
      </c>
      <c r="N105" s="20" t="n">
        <v>10</v>
      </c>
      <c r="T105" s="20" t="n">
        <v>13</v>
      </c>
      <c r="U105" s="20" t="n">
        <v>16</v>
      </c>
      <c r="V105" s="20" t="n">
        <v>8</v>
      </c>
      <c r="W105" s="20" t="n">
        <v>13</v>
      </c>
      <c r="X105" s="20" t="n">
        <v>12</v>
      </c>
    </row>
    <row r="106">
      <c r="A106" s="18" t="inlineStr">
        <is>
          <t>고정자산 제각손실</t>
        </is>
      </c>
      <c r="E106" s="20" t="n">
        <v>5</v>
      </c>
      <c r="I106" s="20" t="n">
        <v>8</v>
      </c>
      <c r="T106" s="20" t="n">
        <v>41</v>
      </c>
      <c r="U106" s="20" t="n">
        <v>20</v>
      </c>
    </row>
    <row r="107">
      <c r="A107" s="18" t="inlineStr">
        <is>
          <t>재해복구 비용</t>
        </is>
      </c>
      <c r="C107" s="20" t="n">
        <v>0</v>
      </c>
      <c r="D107" s="20" t="n">
        <v>38</v>
      </c>
      <c r="U107" s="20" t="n">
        <v>11</v>
      </c>
      <c r="V107" s="20" t="n">
        <v>38</v>
      </c>
    </row>
    <row r="108">
      <c r="A108" s="18" t="inlineStr">
        <is>
          <t>외환차손</t>
        </is>
      </c>
      <c r="C108" s="20" t="n">
        <v>0</v>
      </c>
      <c r="D108" s="20" t="n">
        <v>0</v>
      </c>
      <c r="G108" s="20" t="n">
        <v>234</v>
      </c>
      <c r="H108" s="20" t="n">
        <v>-123</v>
      </c>
      <c r="I108" s="20" t="n">
        <v>0</v>
      </c>
      <c r="J108" s="20" t="n">
        <v>115</v>
      </c>
      <c r="K108" s="20" t="n">
        <v>84</v>
      </c>
      <c r="L108" s="20" t="n">
        <v>372</v>
      </c>
      <c r="M108" s="20" t="n">
        <v>160</v>
      </c>
      <c r="N108" s="20" t="n">
        <v>304</v>
      </c>
      <c r="V108" s="20" t="n">
        <v>0</v>
      </c>
      <c r="W108" s="20" t="n">
        <v>-123</v>
      </c>
      <c r="X108" s="20" t="n">
        <v>372</v>
      </c>
    </row>
    <row r="109">
      <c r="A109" s="18" t="inlineStr">
        <is>
          <t>해약 청산 비용</t>
        </is>
      </c>
      <c r="D109" s="20" t="n">
        <v>0</v>
      </c>
      <c r="U109" s="20" t="n">
        <v>0</v>
      </c>
      <c r="V109" s="20" t="n">
        <v>0</v>
      </c>
    </row>
    <row r="110">
      <c r="A110" s="18" t="inlineStr">
        <is>
          <t>기타</t>
        </is>
      </c>
      <c r="C110" s="20" t="n">
        <v>29</v>
      </c>
      <c r="D110" s="20" t="n">
        <v>54</v>
      </c>
      <c r="E110" s="20" t="n">
        <v>4</v>
      </c>
      <c r="F110" s="20" t="n">
        <v>10</v>
      </c>
      <c r="G110" s="20" t="n">
        <v>13</v>
      </c>
      <c r="H110" s="20" t="n">
        <v>25</v>
      </c>
      <c r="I110" s="20" t="n">
        <v>8</v>
      </c>
      <c r="J110" s="20" t="n">
        <v>10</v>
      </c>
      <c r="K110" s="20" t="n">
        <v>5</v>
      </c>
      <c r="L110" s="20" t="n">
        <v>4</v>
      </c>
      <c r="M110" s="20" t="n">
        <v>4</v>
      </c>
      <c r="N110" s="20" t="n">
        <v>7</v>
      </c>
      <c r="T110" s="20" t="n">
        <v>27</v>
      </c>
      <c r="U110" s="20" t="n">
        <v>-178</v>
      </c>
      <c r="V110" s="20" t="n">
        <v>54</v>
      </c>
      <c r="W110" s="20" t="n">
        <v>25</v>
      </c>
      <c r="X110" s="20" t="n">
        <v>4</v>
      </c>
    </row>
    <row r="111">
      <c r="A111" s="18" t="inlineStr">
        <is>
          <t>영업외비용 합계</t>
        </is>
      </c>
      <c r="C111" s="20" t="n">
        <v>36</v>
      </c>
      <c r="D111" s="20" t="n">
        <v>86</v>
      </c>
      <c r="E111" s="20" t="n">
        <v>16</v>
      </c>
      <c r="F111" s="20" t="n">
        <v>574</v>
      </c>
      <c r="G111" s="20" t="n">
        <v>255</v>
      </c>
      <c r="H111" s="20" t="n">
        <v>-86</v>
      </c>
      <c r="I111" s="20" t="n">
        <v>19</v>
      </c>
      <c r="J111" s="20" t="n">
        <v>134</v>
      </c>
      <c r="K111" s="20" t="n">
        <v>98</v>
      </c>
      <c r="L111" s="20" t="n">
        <v>388</v>
      </c>
      <c r="M111" s="20" t="n">
        <v>174</v>
      </c>
      <c r="N111" s="20" t="n">
        <v>322</v>
      </c>
      <c r="T111" s="20" t="n">
        <v>80</v>
      </c>
      <c r="U111" s="20" t="n">
        <v>125</v>
      </c>
      <c r="V111" s="20" t="n">
        <v>86</v>
      </c>
      <c r="W111" s="20" t="n">
        <v>-86</v>
      </c>
      <c r="X111" s="20" t="n">
        <v>388</v>
      </c>
    </row>
    <row r="112">
      <c r="A112" s="9" t="inlineStr">
        <is>
          <t>경상이익</t>
        </is>
      </c>
      <c r="C112" s="12" t="n">
        <v>2874</v>
      </c>
      <c r="D112" s="12" t="n">
        <v>2253</v>
      </c>
      <c r="E112" s="12" t="n">
        <v>3424</v>
      </c>
      <c r="F112" s="12" t="n">
        <v>3209</v>
      </c>
      <c r="G112" s="12" t="n">
        <v>3839</v>
      </c>
      <c r="H112" s="12" t="n">
        <v>2746</v>
      </c>
      <c r="I112" s="12" t="n">
        <v>3985</v>
      </c>
      <c r="J112" s="12" t="n">
        <v>3262</v>
      </c>
      <c r="K112" s="12" t="n">
        <v>3931</v>
      </c>
      <c r="L112" s="12" t="n">
        <v>2830</v>
      </c>
      <c r="M112" s="12" t="n">
        <v>4125</v>
      </c>
      <c r="N112" s="12" t="n">
        <v>5007</v>
      </c>
      <c r="T112" s="12" t="n">
        <v>2420</v>
      </c>
      <c r="U112" s="12" t="n">
        <v>1866</v>
      </c>
      <c r="V112" s="12" t="n">
        <v>2253</v>
      </c>
      <c r="W112" s="12" t="n">
        <v>2746</v>
      </c>
      <c r="X112" s="12" t="n">
        <v>2830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T113" s="15">
        <f>IF(OR(T112="",S112=""),"",IF(S112&lt;=0,"",IFERROR(T112/S112-1,"")))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신주예약권 환입이익</t>
        </is>
      </c>
      <c r="C114" s="20" t="n">
        <v>0</v>
      </c>
      <c r="D114" s="20" t="n">
        <v>0</v>
      </c>
      <c r="E114" s="20" t="n">
        <v>17</v>
      </c>
      <c r="F114" s="20" t="n">
        <v>0</v>
      </c>
      <c r="G114" s="20" t="n">
        <v>0</v>
      </c>
      <c r="H114" s="20" t="n">
        <v>0</v>
      </c>
      <c r="I114" s="20" t="n">
        <v>8</v>
      </c>
      <c r="J114" s="20" t="n">
        <v>0</v>
      </c>
      <c r="K114" s="20" t="n">
        <v>2</v>
      </c>
      <c r="L114" s="20" t="n">
        <v>0</v>
      </c>
      <c r="M114" s="20" t="n">
        <v>7</v>
      </c>
      <c r="N114" s="20" t="n">
        <v>0</v>
      </c>
      <c r="T114" s="20" t="n">
        <v>0</v>
      </c>
      <c r="U114" s="20" t="n">
        <v>1</v>
      </c>
      <c r="V114" s="20" t="n">
        <v>0</v>
      </c>
      <c r="W114" s="20" t="n">
        <v>0</v>
      </c>
      <c r="X114" s="20" t="n">
        <v>0</v>
      </c>
    </row>
    <row r="115">
      <c r="A115" s="18" t="inlineStr">
        <is>
          <t>사업 양도 이익</t>
        </is>
      </c>
      <c r="D115" s="20" t="n">
        <v>2</v>
      </c>
      <c r="H115" s="20" t="n">
        <v>0</v>
      </c>
      <c r="U115" s="20" t="n">
        <v>0</v>
      </c>
      <c r="V115" s="20" t="n">
        <v>2</v>
      </c>
      <c r="W115" s="20" t="n">
        <v>0</v>
      </c>
    </row>
    <row r="116">
      <c r="A116" s="18" t="inlineStr">
        <is>
          <t>화해금 수령</t>
        </is>
      </c>
      <c r="C116" s="20" t="n">
        <v>0</v>
      </c>
      <c r="D116" s="20" t="n">
        <v>0</v>
      </c>
      <c r="G116" s="20" t="n">
        <v>0</v>
      </c>
      <c r="H116" s="20" t="n">
        <v>0</v>
      </c>
      <c r="V116" s="20" t="n">
        <v>0</v>
      </c>
      <c r="W116" s="20" t="n">
        <v>0</v>
      </c>
    </row>
    <row r="117">
      <c r="A117" s="18" t="inlineStr">
        <is>
          <t>특별이익 합계</t>
        </is>
      </c>
      <c r="C117" s="20" t="n">
        <v>349</v>
      </c>
      <c r="D117" s="20" t="n">
        <v>367</v>
      </c>
      <c r="E117" s="20" t="n">
        <v>17</v>
      </c>
      <c r="F117" s="20" t="n">
        <v>0</v>
      </c>
      <c r="G117" s="20" t="n">
        <v>0</v>
      </c>
      <c r="H117" s="20" t="n">
        <v>200</v>
      </c>
      <c r="I117" s="20" t="n">
        <v>8</v>
      </c>
      <c r="J117" s="20" t="n">
        <v>0</v>
      </c>
      <c r="K117" s="20" t="n">
        <v>2</v>
      </c>
      <c r="L117" s="20" t="n">
        <v>59</v>
      </c>
      <c r="M117" s="20" t="n">
        <v>7</v>
      </c>
      <c r="N117" s="20" t="n">
        <v>0</v>
      </c>
      <c r="T117" s="20" t="n">
        <v>0</v>
      </c>
      <c r="U117" s="20" t="n">
        <v>1</v>
      </c>
      <c r="V117" s="20" t="n">
        <v>367</v>
      </c>
      <c r="W117" s="20" t="n">
        <v>200</v>
      </c>
      <c r="X117" s="20" t="n">
        <v>59</v>
      </c>
    </row>
    <row r="118">
      <c r="A118" s="18" t="inlineStr">
        <is>
          <t>손상차손</t>
        </is>
      </c>
      <c r="C118" s="20" t="n">
        <v>0</v>
      </c>
      <c r="D118" s="20" t="n">
        <v>318</v>
      </c>
      <c r="G118" s="20" t="n">
        <v>0</v>
      </c>
      <c r="H118" s="20" t="n">
        <v>228</v>
      </c>
      <c r="U118" s="20" t="n">
        <v>1616</v>
      </c>
      <c r="V118" s="20" t="n">
        <v>318</v>
      </c>
      <c r="W118" s="20" t="n">
        <v>228</v>
      </c>
    </row>
    <row r="119">
      <c r="A119" s="18" t="inlineStr">
        <is>
          <t>사업 양도 관련 비용</t>
        </is>
      </c>
      <c r="D119" s="20" t="n">
        <v>37</v>
      </c>
      <c r="H119" s="20" t="n">
        <v>0</v>
      </c>
      <c r="U119" s="20" t="n">
        <v>0</v>
      </c>
      <c r="V119" s="20" t="n">
        <v>37</v>
      </c>
      <c r="W119" s="20" t="n">
        <v>0</v>
      </c>
    </row>
    <row r="120">
      <c r="A120" s="18" t="inlineStr">
        <is>
          <t>업무위탁계약 해지 손실</t>
        </is>
      </c>
      <c r="I120" s="20" t="n">
        <v>0</v>
      </c>
      <c r="M120" s="20" t="n">
        <v>48</v>
      </c>
    </row>
    <row r="121">
      <c r="A121" s="18" t="inlineStr">
        <is>
          <t>특별손실 합계</t>
        </is>
      </c>
      <c r="C121" s="20" t="n">
        <v>125</v>
      </c>
      <c r="D121" s="20" t="n">
        <v>356</v>
      </c>
      <c r="G121" s="20" t="n">
        <v>0</v>
      </c>
      <c r="H121" s="20" t="n">
        <v>228</v>
      </c>
      <c r="I121" s="20" t="n">
        <v>0</v>
      </c>
      <c r="J121" s="20" t="n">
        <v>0</v>
      </c>
      <c r="M121" s="20" t="n">
        <v>48</v>
      </c>
      <c r="N121" s="20" t="n">
        <v>1</v>
      </c>
      <c r="U121" s="20" t="n">
        <v>1616</v>
      </c>
      <c r="V121" s="20" t="n">
        <v>356</v>
      </c>
      <c r="W121" s="20" t="n">
        <v>228</v>
      </c>
    </row>
    <row r="122">
      <c r="A122" s="9" t="inlineStr">
        <is>
          <t>법인세차감전 순이익</t>
        </is>
      </c>
      <c r="C122" s="12" t="n">
        <v>3097</v>
      </c>
      <c r="D122" s="12" t="n">
        <v>2265</v>
      </c>
      <c r="E122" s="12" t="n">
        <v>3441</v>
      </c>
      <c r="F122" s="12" t="n">
        <v>3209</v>
      </c>
      <c r="G122" s="12" t="n">
        <v>3839</v>
      </c>
      <c r="H122" s="12" t="n">
        <v>2718</v>
      </c>
      <c r="I122" s="12" t="n">
        <v>3993</v>
      </c>
      <c r="J122" s="12" t="n">
        <v>3263</v>
      </c>
      <c r="K122" s="12" t="n">
        <v>3933</v>
      </c>
      <c r="L122" s="12" t="n">
        <v>2441</v>
      </c>
      <c r="M122" s="12" t="n">
        <v>4083</v>
      </c>
      <c r="N122" s="12" t="n">
        <v>5007</v>
      </c>
      <c r="T122" s="12" t="n">
        <v>1676</v>
      </c>
      <c r="U122" s="12" t="n">
        <v>251</v>
      </c>
      <c r="V122" s="12" t="n">
        <v>2265</v>
      </c>
      <c r="W122" s="12" t="n">
        <v>2718</v>
      </c>
      <c r="X122" s="12" t="n">
        <v>2441</v>
      </c>
    </row>
    <row r="123">
      <c r="A123" s="18" t="inlineStr">
        <is>
          <t>법인세·주민세·사업세</t>
        </is>
      </c>
      <c r="C123" s="20" t="n">
        <v>390</v>
      </c>
      <c r="D123" s="20" t="n">
        <v>716</v>
      </c>
      <c r="E123" s="20" t="n">
        <v>1071</v>
      </c>
      <c r="F123" s="20" t="n">
        <v>1106</v>
      </c>
      <c r="G123" s="20" t="n">
        <v>949</v>
      </c>
      <c r="H123" s="20" t="n">
        <v>982</v>
      </c>
      <c r="I123" s="20" t="n">
        <v>720</v>
      </c>
      <c r="J123" s="20" t="n">
        <v>1156</v>
      </c>
      <c r="K123" s="20" t="n">
        <v>828</v>
      </c>
      <c r="L123" s="20" t="n">
        <v>971</v>
      </c>
      <c r="M123" s="20" t="n">
        <v>1207</v>
      </c>
      <c r="N123" s="20" t="n">
        <v>1754</v>
      </c>
      <c r="T123" s="20" t="n">
        <v>644</v>
      </c>
      <c r="U123" s="20" t="n">
        <v>379</v>
      </c>
      <c r="V123" s="20" t="n">
        <v>716</v>
      </c>
      <c r="W123" s="20" t="n">
        <v>982</v>
      </c>
      <c r="X123" s="20" t="n">
        <v>971</v>
      </c>
    </row>
    <row r="124">
      <c r="A124" s="18" t="inlineStr">
        <is>
          <t>법인세 조정액</t>
        </is>
      </c>
      <c r="C124" s="20" t="n">
        <v>472</v>
      </c>
      <c r="D124" s="20" t="n">
        <v>-274</v>
      </c>
      <c r="E124" s="20" t="n">
        <v>104</v>
      </c>
      <c r="F124" s="20" t="n">
        <v>-219</v>
      </c>
      <c r="G124" s="20" t="n">
        <v>145</v>
      </c>
      <c r="H124" s="20" t="n">
        <v>-362</v>
      </c>
      <c r="I124" s="20" t="n">
        <v>163</v>
      </c>
      <c r="J124" s="20" t="n">
        <v>-266</v>
      </c>
      <c r="K124" s="20" t="n">
        <v>377</v>
      </c>
      <c r="L124" s="20" t="n">
        <v>-219</v>
      </c>
      <c r="M124" s="20" t="n">
        <v>461</v>
      </c>
      <c r="N124" s="20" t="n">
        <v>-427</v>
      </c>
      <c r="T124" s="20" t="n">
        <v>371</v>
      </c>
      <c r="U124" s="20" t="n">
        <v>-1024</v>
      </c>
      <c r="V124" s="20" t="n">
        <v>-274</v>
      </c>
      <c r="W124" s="20" t="n">
        <v>-362</v>
      </c>
      <c r="X124" s="20" t="n">
        <v>-219</v>
      </c>
    </row>
    <row r="125">
      <c r="A125" s="18" t="inlineStr">
        <is>
          <t>법인세 등 합계</t>
        </is>
      </c>
      <c r="C125" s="20" t="n">
        <v>863</v>
      </c>
      <c r="D125" s="20" t="n">
        <v>441</v>
      </c>
      <c r="E125" s="20" t="n">
        <v>1176</v>
      </c>
      <c r="F125" s="20" t="n">
        <v>885</v>
      </c>
      <c r="G125" s="20" t="n">
        <v>1095</v>
      </c>
      <c r="H125" s="20" t="n">
        <v>620</v>
      </c>
      <c r="I125" s="20" t="n">
        <v>884</v>
      </c>
      <c r="J125" s="20" t="n">
        <v>889</v>
      </c>
      <c r="K125" s="20" t="n">
        <v>1206</v>
      </c>
      <c r="L125" s="20" t="n">
        <v>752</v>
      </c>
      <c r="M125" s="20" t="n">
        <v>1668</v>
      </c>
      <c r="N125" s="20" t="n">
        <v>1327</v>
      </c>
      <c r="T125" s="20" t="n">
        <v>1016</v>
      </c>
      <c r="U125" s="20" t="n">
        <v>-646</v>
      </c>
      <c r="V125" s="20" t="n">
        <v>441</v>
      </c>
      <c r="W125" s="20" t="n">
        <v>620</v>
      </c>
      <c r="X125" s="20" t="n">
        <v>752</v>
      </c>
    </row>
    <row r="126">
      <c r="A126" s="9" t="inlineStr">
        <is>
          <t>순이익</t>
        </is>
      </c>
      <c r="C126" s="12" t="n">
        <v>2233</v>
      </c>
      <c r="D126" s="12" t="n">
        <v>1824</v>
      </c>
      <c r="E126" s="12" t="n">
        <v>2265</v>
      </c>
      <c r="F126" s="12" t="n">
        <v>2324</v>
      </c>
      <c r="G126" s="12" t="n">
        <v>2743</v>
      </c>
      <c r="H126" s="12" t="n">
        <v>2098</v>
      </c>
      <c r="I126" s="12" t="n">
        <v>3109</v>
      </c>
      <c r="J126" s="12" t="n">
        <v>2374</v>
      </c>
      <c r="K126" s="12" t="n">
        <v>2727</v>
      </c>
      <c r="L126" s="12" t="n">
        <v>1689</v>
      </c>
      <c r="M126" s="12" t="n">
        <v>2415</v>
      </c>
      <c r="N126" s="12" t="n">
        <v>3680</v>
      </c>
      <c r="T126" s="12" t="n">
        <v>661</v>
      </c>
      <c r="U126" s="12" t="n">
        <v>896</v>
      </c>
      <c r="V126" s="12" t="n">
        <v>1824</v>
      </c>
      <c r="W126" s="12" t="n">
        <v>2098</v>
      </c>
      <c r="X126" s="12" t="n">
        <v>1689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9" t="inlineStr">
        <is>
          <t>지배주주 순이익</t>
        </is>
      </c>
      <c r="C128" s="12" t="n">
        <v>2233</v>
      </c>
      <c r="D128" s="12" t="n">
        <v>1824</v>
      </c>
      <c r="E128" s="12" t="n">
        <v>2265</v>
      </c>
      <c r="F128" s="12" t="n">
        <v>2324</v>
      </c>
      <c r="G128" s="12" t="n">
        <v>2743</v>
      </c>
      <c r="H128" s="12" t="n">
        <v>2098</v>
      </c>
      <c r="I128" s="12" t="n">
        <v>3109</v>
      </c>
      <c r="J128" s="12" t="n">
        <v>2374</v>
      </c>
      <c r="K128" s="12" t="n">
        <v>2727</v>
      </c>
      <c r="L128" s="12" t="n">
        <v>1689</v>
      </c>
      <c r="M128" s="12" t="n">
        <v>2415</v>
      </c>
      <c r="N128" s="12" t="n">
        <v>3680</v>
      </c>
      <c r="T128" s="12" t="n">
        <v>661</v>
      </c>
      <c r="U128" s="12" t="n">
        <v>896</v>
      </c>
      <c r="V128" s="12" t="n">
        <v>1824</v>
      </c>
      <c r="W128" s="12" t="n">
        <v>2098</v>
      </c>
      <c r="X128" s="12" t="n">
        <v>1689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1">
      <c r="A131" s="16" t="inlineStr">
        <is>
          <t>포괄손익 · 전 항목</t>
        </is>
      </c>
      <c r="B131" s="42" t="inlineStr">
        <is>
          <t>분기 = 3개월 단독</t>
        </is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2024.3Q</t>
        </is>
      </c>
      <c r="D132" s="5" t="inlineStr">
        <is>
          <t>2024.4Q</t>
        </is>
      </c>
      <c r="E132" s="5" t="inlineStr">
        <is>
          <t>2025.1Q</t>
        </is>
      </c>
      <c r="F132" s="5" t="inlineStr">
        <is>
          <t>2025.2Q</t>
        </is>
      </c>
      <c r="G132" s="5" t="inlineStr">
        <is>
          <t>2025.3Q</t>
        </is>
      </c>
      <c r="H132" s="5" t="inlineStr">
        <is>
          <t>2025.4Q</t>
        </is>
      </c>
      <c r="I132" s="5" t="inlineStr">
        <is>
          <t>2026.1Q</t>
        </is>
      </c>
      <c r="J132" s="5" t="inlineStr">
        <is>
          <t>2026.2Q</t>
        </is>
      </c>
      <c r="K132" s="5" t="inlineStr">
        <is>
          <t>2026.3Q</t>
        </is>
      </c>
      <c r="L132" s="5" t="inlineStr">
        <is>
          <t>2026.4Q</t>
        </is>
      </c>
      <c r="M132" s="5" t="inlineStr">
        <is>
          <t>2027.1Q</t>
        </is>
      </c>
      <c r="N132" s="5" t="inlineStr">
        <is>
          <t>2027.2Q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순이익</t>
        </is>
      </c>
      <c r="C133" s="12" t="n">
        <v>2233</v>
      </c>
      <c r="D133" s="12" t="n">
        <v>1824</v>
      </c>
      <c r="E133" s="12" t="n">
        <v>2265</v>
      </c>
      <c r="F133" s="12" t="n">
        <v>2324</v>
      </c>
      <c r="G133" s="12" t="n">
        <v>2743</v>
      </c>
      <c r="H133" s="12" t="n">
        <v>2098</v>
      </c>
      <c r="I133" s="12" t="n">
        <v>3109</v>
      </c>
      <c r="J133" s="12" t="n">
        <v>2374</v>
      </c>
      <c r="K133" s="12" t="n">
        <v>2727</v>
      </c>
      <c r="L133" s="12" t="n">
        <v>1689</v>
      </c>
      <c r="M133" s="12" t="n">
        <v>2415</v>
      </c>
      <c r="N133" s="12" t="n">
        <v>3680</v>
      </c>
      <c r="T133" s="12" t="n">
        <v>661</v>
      </c>
      <c r="U133" s="12" t="n">
        <v>896</v>
      </c>
      <c r="V133" s="12" t="n">
        <v>1824</v>
      </c>
      <c r="W133" s="12" t="n">
        <v>2098</v>
      </c>
      <c r="X133" s="12" t="n">
        <v>1689</v>
      </c>
    </row>
    <row r="134">
      <c r="A134" s="18" t="inlineStr">
        <is>
          <t>기타유가증권 평가차액</t>
        </is>
      </c>
      <c r="C134" s="20" t="n">
        <v>-16</v>
      </c>
      <c r="D134" s="20" t="n">
        <v>118</v>
      </c>
      <c r="E134" s="20" t="n">
        <v>34</v>
      </c>
      <c r="F134" s="20" t="n">
        <v>-61</v>
      </c>
      <c r="G134" s="20" t="n">
        <v>39</v>
      </c>
      <c r="H134" s="20" t="n">
        <v>-118</v>
      </c>
      <c r="I134" s="20" t="n">
        <v>3</v>
      </c>
      <c r="J134" s="20" t="n">
        <v>35</v>
      </c>
      <c r="K134" s="20" t="n">
        <v>78</v>
      </c>
      <c r="L134" s="20" t="n">
        <v>42</v>
      </c>
      <c r="M134" s="20" t="n">
        <v>212</v>
      </c>
      <c r="N134" s="20" t="n">
        <v>75</v>
      </c>
      <c r="T134" s="20" t="n">
        <v>11</v>
      </c>
      <c r="U134" s="20" t="n">
        <v>23</v>
      </c>
      <c r="V134" s="20" t="n">
        <v>118</v>
      </c>
      <c r="W134" s="20" t="n">
        <v>-118</v>
      </c>
      <c r="X134" s="20" t="n">
        <v>42</v>
      </c>
    </row>
    <row r="135">
      <c r="A135" s="18" t="inlineStr">
        <is>
          <t>해외사업환산조정</t>
        </is>
      </c>
      <c r="C135" s="20" t="n">
        <v>1244</v>
      </c>
      <c r="D135" s="20" t="n">
        <v>-1882</v>
      </c>
      <c r="E135" s="20" t="n">
        <v>2584</v>
      </c>
      <c r="F135" s="20" t="n">
        <v>3165</v>
      </c>
      <c r="G135" s="20" t="n">
        <v>-3789</v>
      </c>
      <c r="H135" s="20" t="n">
        <v>3469</v>
      </c>
      <c r="I135" s="20" t="n">
        <v>-2612</v>
      </c>
      <c r="J135" s="20" t="n">
        <v>-633</v>
      </c>
      <c r="K135" s="20" t="n">
        <v>1395</v>
      </c>
      <c r="L135" s="20" t="n">
        <v>3175</v>
      </c>
      <c r="M135" s="20" t="n">
        <v>918</v>
      </c>
      <c r="N135" s="20" t="n">
        <v>949</v>
      </c>
      <c r="T135" s="20" t="n">
        <v>1162</v>
      </c>
      <c r="U135" s="20" t="n">
        <v>-3120</v>
      </c>
      <c r="V135" s="20" t="n">
        <v>-1882</v>
      </c>
      <c r="W135" s="20" t="n">
        <v>3469</v>
      </c>
      <c r="X135" s="20" t="n">
        <v>3175</v>
      </c>
    </row>
    <row r="136">
      <c r="A136" s="18" t="inlineStr">
        <is>
          <t>퇴직급여 조정액</t>
        </is>
      </c>
      <c r="C136" s="20" t="n">
        <v>0</v>
      </c>
      <c r="D136" s="20" t="n">
        <v>15</v>
      </c>
      <c r="E136" s="20" t="n">
        <v>6</v>
      </c>
      <c r="F136" s="20" t="n">
        <v>-38</v>
      </c>
      <c r="G136" s="20" t="n">
        <v>0</v>
      </c>
      <c r="H136" s="20" t="n">
        <v>2</v>
      </c>
      <c r="I136" s="20" t="n">
        <v>1</v>
      </c>
      <c r="J136" s="20" t="n">
        <v>1</v>
      </c>
      <c r="K136" s="20" t="n">
        <v>1</v>
      </c>
      <c r="L136" s="20" t="n">
        <v>-23</v>
      </c>
      <c r="M136" s="20" t="n">
        <v>-0</v>
      </c>
      <c r="N136" s="20" t="n">
        <v>0</v>
      </c>
      <c r="T136" s="20" t="n">
        <v>22</v>
      </c>
      <c r="U136" s="20" t="n">
        <v>-10</v>
      </c>
      <c r="V136" s="20" t="n">
        <v>15</v>
      </c>
      <c r="W136" s="20" t="n">
        <v>2</v>
      </c>
      <c r="X136" s="20" t="n">
        <v>-23</v>
      </c>
    </row>
    <row r="137">
      <c r="A137" s="18" t="inlineStr">
        <is>
          <t>기타포괄손익 합계</t>
        </is>
      </c>
      <c r="C137" s="20" t="n">
        <v>1228</v>
      </c>
      <c r="D137" s="20" t="n">
        <v>-1749</v>
      </c>
      <c r="E137" s="20" t="n">
        <v>2625</v>
      </c>
      <c r="F137" s="20" t="n">
        <v>3064</v>
      </c>
      <c r="G137" s="20" t="n">
        <v>-3750</v>
      </c>
      <c r="H137" s="20" t="n">
        <v>3353</v>
      </c>
      <c r="I137" s="20" t="n">
        <v>-2607</v>
      </c>
      <c r="J137" s="20" t="n">
        <v>-598</v>
      </c>
      <c r="K137" s="20" t="n">
        <v>1475</v>
      </c>
      <c r="L137" s="20" t="n">
        <v>3194</v>
      </c>
      <c r="M137" s="20" t="n">
        <v>1131</v>
      </c>
      <c r="N137" s="20" t="n">
        <v>1024</v>
      </c>
      <c r="T137" s="20" t="n">
        <v>1194</v>
      </c>
      <c r="U137" s="20" t="n">
        <v>-3108</v>
      </c>
      <c r="V137" s="20" t="n">
        <v>-1749</v>
      </c>
      <c r="W137" s="20" t="n">
        <v>3353</v>
      </c>
      <c r="X137" s="20" t="n">
        <v>3194</v>
      </c>
    </row>
    <row r="138">
      <c r="A138" s="9" t="inlineStr">
        <is>
          <t>포괄이익</t>
        </is>
      </c>
      <c r="C138" s="12" t="n">
        <v>3462</v>
      </c>
      <c r="D138" s="12" t="n">
        <v>74</v>
      </c>
      <c r="E138" s="12" t="n">
        <v>4890</v>
      </c>
      <c r="F138" s="12" t="n">
        <v>5388</v>
      </c>
      <c r="G138" s="12" t="n">
        <v>-1006</v>
      </c>
      <c r="H138" s="12" t="n">
        <v>5451</v>
      </c>
      <c r="I138" s="12" t="n">
        <v>501</v>
      </c>
      <c r="J138" s="12" t="n">
        <v>1776</v>
      </c>
      <c r="K138" s="12" t="n">
        <v>4202</v>
      </c>
      <c r="L138" s="12" t="n">
        <v>4884</v>
      </c>
      <c r="M138" s="12" t="n">
        <v>3547</v>
      </c>
      <c r="N138" s="12" t="n">
        <v>4703</v>
      </c>
      <c r="T138" s="12" t="n">
        <v>1855</v>
      </c>
      <c r="U138" s="12" t="n">
        <v>-2211</v>
      </c>
      <c r="V138" s="12" t="n">
        <v>74</v>
      </c>
      <c r="W138" s="12" t="n">
        <v>5451</v>
      </c>
      <c r="X138" s="12" t="n">
        <v>4884</v>
      </c>
    </row>
    <row r="139">
      <c r="A139" s="9" t="inlineStr">
        <is>
          <t>지배주주 포괄이익</t>
        </is>
      </c>
      <c r="C139" s="12" t="n">
        <v>3462</v>
      </c>
      <c r="D139" s="12" t="n">
        <v>74</v>
      </c>
      <c r="E139" s="12" t="n">
        <v>4890</v>
      </c>
      <c r="F139" s="12" t="n">
        <v>5388</v>
      </c>
      <c r="G139" s="12" t="n">
        <v>-1006</v>
      </c>
      <c r="H139" s="12" t="n">
        <v>5451</v>
      </c>
      <c r="I139" s="12" t="n">
        <v>501</v>
      </c>
      <c r="J139" s="12" t="n">
        <v>1776</v>
      </c>
      <c r="K139" s="12" t="n">
        <v>4202</v>
      </c>
      <c r="L139" s="12" t="n">
        <v>4884</v>
      </c>
      <c r="M139" s="12" t="n">
        <v>3547</v>
      </c>
      <c r="N139" s="12" t="n">
        <v>4703</v>
      </c>
      <c r="T139" s="12" t="n">
        <v>1855</v>
      </c>
      <c r="U139" s="12" t="n">
        <v>-2211</v>
      </c>
      <c r="V139" s="12" t="n">
        <v>74</v>
      </c>
      <c r="W139" s="12" t="n">
        <v>5451</v>
      </c>
      <c r="X139" s="12" t="n">
        <v>4884</v>
      </c>
    </row>
    <row r="141">
      <c r="A141" s="16" t="inlineStr">
        <is>
          <t>부문 · 전 항목</t>
        </is>
      </c>
      <c r="B141" s="42" t="inlineStr">
        <is>
          <t>부문 · 항목</t>
        </is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2024.3Q</t>
        </is>
      </c>
      <c r="D142" s="5" t="inlineStr">
        <is>
          <t>2024.4Q</t>
        </is>
      </c>
      <c r="E142" s="5" t="inlineStr">
        <is>
          <t>2025.1Q</t>
        </is>
      </c>
      <c r="F142" s="5" t="inlineStr">
        <is>
          <t>2025.2Q</t>
        </is>
      </c>
      <c r="G142" s="5" t="inlineStr">
        <is>
          <t>2025.3Q</t>
        </is>
      </c>
      <c r="H142" s="5" t="inlineStr">
        <is>
          <t>2025.4Q</t>
        </is>
      </c>
      <c r="I142" s="5" t="inlineStr">
        <is>
          <t>2026.1Q</t>
        </is>
      </c>
      <c r="J142" s="5" t="inlineStr">
        <is>
          <t>2026.2Q</t>
        </is>
      </c>
      <c r="K142" s="5" t="inlineStr">
        <is>
          <t>2026.3Q</t>
        </is>
      </c>
      <c r="L142" s="5" t="inlineStr">
        <is>
          <t>2026.4Q</t>
        </is>
      </c>
      <c r="M142" s="5" t="inlineStr">
        <is>
          <t>2027.1Q</t>
        </is>
      </c>
      <c r="N142" s="5" t="inlineStr">
        <is>
          <t>2027.2Q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18" t="inlineStr">
        <is>
          <t>ElectronicDevicesReportableSegmentsMember · 외부 고객 매출</t>
        </is>
      </c>
      <c r="C143" s="20" t="n">
        <v>6761</v>
      </c>
      <c r="D143" s="20" t="n">
        <v>6592</v>
      </c>
      <c r="E143" s="20" t="n">
        <v>6143</v>
      </c>
      <c r="F143" s="20" t="n">
        <v>6556</v>
      </c>
      <c r="G143" s="20" t="n">
        <v>6278</v>
      </c>
      <c r="H143" s="20" t="n">
        <v>5871</v>
      </c>
      <c r="I143" s="20" t="n">
        <v>6388</v>
      </c>
      <c r="J143" s="20" t="n">
        <v>6291</v>
      </c>
      <c r="K143" s="20" t="n">
        <v>6742</v>
      </c>
      <c r="L143" s="20" t="n">
        <v>6305</v>
      </c>
      <c r="M143" s="20" t="n">
        <v>6421</v>
      </c>
      <c r="N143" s="20" t="n">
        <v>6765</v>
      </c>
      <c r="V143" s="20" t="n">
        <v>6592</v>
      </c>
      <c r="W143" s="20" t="n">
        <v>5871</v>
      </c>
      <c r="X143" s="20" t="n">
        <v>6305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PrecisionMoldingProductsReportableSegmentsMember · 외부 고객 매출</t>
        </is>
      </c>
      <c r="C145" s="20" t="n">
        <v>11744</v>
      </c>
      <c r="D145" s="20" t="n">
        <v>10973</v>
      </c>
      <c r="E145" s="20" t="n">
        <v>12479</v>
      </c>
      <c r="F145" s="20" t="n">
        <v>14903</v>
      </c>
      <c r="G145" s="20" t="n">
        <v>14684</v>
      </c>
      <c r="H145" s="20" t="n">
        <v>13958</v>
      </c>
      <c r="I145" s="20" t="n">
        <v>14323</v>
      </c>
      <c r="J145" s="20" t="n">
        <v>14862</v>
      </c>
      <c r="K145" s="20" t="n">
        <v>15519</v>
      </c>
      <c r="L145" s="20" t="n">
        <v>15069</v>
      </c>
      <c r="M145" s="20" t="n">
        <v>15305</v>
      </c>
      <c r="N145" s="20" t="n">
        <v>18723</v>
      </c>
      <c r="V145" s="20" t="n">
        <v>10973</v>
      </c>
      <c r="W145" s="20" t="n">
        <v>13958</v>
      </c>
      <c r="X145" s="20" t="n">
        <v>15069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HousingAndLivingMaterialsReportableSegmentsMember · 외부 고객 매출</t>
        </is>
      </c>
      <c r="C147" s="20" t="n">
        <v>6317</v>
      </c>
      <c r="D147" s="20" t="n">
        <v>5013</v>
      </c>
      <c r="E147" s="20" t="n">
        <v>5520</v>
      </c>
      <c r="F147" s="20" t="n">
        <v>5578</v>
      </c>
      <c r="G147" s="20" t="n">
        <v>5846</v>
      </c>
      <c r="H147" s="20" t="n">
        <v>5136</v>
      </c>
      <c r="I147" s="20" t="n">
        <v>5595</v>
      </c>
      <c r="J147" s="20" t="n">
        <v>5279</v>
      </c>
      <c r="K147" s="20" t="n">
        <v>5554</v>
      </c>
      <c r="L147" s="20" t="n">
        <v>5085</v>
      </c>
      <c r="M147" s="20" t="n">
        <v>6232</v>
      </c>
      <c r="N147" s="20" t="n">
        <v>5845</v>
      </c>
      <c r="V147" s="20" t="n">
        <v>5013</v>
      </c>
      <c r="W147" s="20" t="n">
        <v>5136</v>
      </c>
      <c r="X147" s="20" t="n">
        <v>5085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보고부문 합계 · 외부 고객 매출</t>
        </is>
      </c>
      <c r="C149" s="20" t="n">
        <v>24823</v>
      </c>
      <c r="D149" s="20" t="n">
        <v>22578</v>
      </c>
      <c r="E149" s="20" t="n">
        <v>24144</v>
      </c>
      <c r="F149" s="20" t="n">
        <v>27035</v>
      </c>
      <c r="G149" s="20" t="n">
        <v>26809</v>
      </c>
      <c r="H149" s="20" t="n">
        <v>24965</v>
      </c>
      <c r="I149" s="20" t="n">
        <v>26307</v>
      </c>
      <c r="J149" s="20" t="n">
        <v>26432</v>
      </c>
      <c r="K149" s="20" t="n">
        <v>27815</v>
      </c>
      <c r="L149" s="20" t="n">
        <v>26459</v>
      </c>
      <c r="M149" s="20" t="n">
        <v>27959</v>
      </c>
      <c r="N149" s="20" t="n">
        <v>31334</v>
      </c>
      <c r="V149" s="20" t="n">
        <v>22578</v>
      </c>
      <c r="W149" s="20" t="n">
        <v>24965</v>
      </c>
      <c r="X149" s="20" t="n">
        <v>26459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기타 · 외부 고객 매출</t>
        </is>
      </c>
      <c r="C151" s="20" t="n">
        <v>2010</v>
      </c>
      <c r="D151" s="20" t="n">
        <v>1511</v>
      </c>
      <c r="E151" s="20" t="n">
        <v>1481</v>
      </c>
      <c r="F151" s="20" t="n">
        <v>2076</v>
      </c>
      <c r="G151" s="20" t="n">
        <v>1973</v>
      </c>
      <c r="H151" s="20" t="n">
        <v>2098</v>
      </c>
      <c r="I151" s="20" t="n">
        <v>1670</v>
      </c>
      <c r="J151" s="20" t="n">
        <v>1806</v>
      </c>
      <c r="K151" s="20" t="n">
        <v>2537</v>
      </c>
      <c r="L151" s="20" t="n">
        <v>2090</v>
      </c>
      <c r="M151" s="20" t="n">
        <v>2626</v>
      </c>
      <c r="N151" s="20" t="n">
        <v>2406</v>
      </c>
      <c r="V151" s="20" t="n">
        <v>1511</v>
      </c>
      <c r="W151" s="20" t="n">
        <v>2098</v>
      </c>
      <c r="X151" s="20" t="n">
        <v>2090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EntityTotalMember · 외부 고객 매출</t>
        </is>
      </c>
      <c r="E153" s="20" t="n">
        <v>25625</v>
      </c>
      <c r="I153" s="20" t="n">
        <v>27977</v>
      </c>
      <c r="M153" s="20" t="n">
        <v>30585</v>
      </c>
    </row>
    <row r="154">
      <c r="A154" s="9" t="inlineStr">
        <is>
          <t>외부 고객 매출</t>
        </is>
      </c>
      <c r="C154" s="12" t="n">
        <v>26833</v>
      </c>
      <c r="D154" s="12" t="n">
        <v>24090</v>
      </c>
      <c r="E154" s="12" t="n">
        <v>25625</v>
      </c>
      <c r="F154" s="12" t="n">
        <v>29112</v>
      </c>
      <c r="G154" s="12" t="n">
        <v>28781</v>
      </c>
      <c r="H154" s="12" t="n">
        <v>27064</v>
      </c>
      <c r="V154" s="12" t="n">
        <v>24090</v>
      </c>
      <c r="W154" s="12" t="n">
        <v>27064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</row>
    <row r="156">
      <c r="A156" s="18" t="inlineStr">
        <is>
          <t>ElectronicDevicesReportableSegmentsMember · 부문 간 내부매출·대체</t>
        </is>
      </c>
      <c r="C156" s="20" t="n">
        <v>0</v>
      </c>
      <c r="D156" s="20" t="n">
        <v>0</v>
      </c>
      <c r="E156" s="20" t="n">
        <v>0</v>
      </c>
      <c r="F156" s="20" t="n">
        <v>0</v>
      </c>
      <c r="G156" s="20" t="n">
        <v>0</v>
      </c>
      <c r="H156" s="20" t="n">
        <v>0</v>
      </c>
      <c r="I156" s="20" t="n">
        <v>0</v>
      </c>
      <c r="J156" s="20" t="n">
        <v>0</v>
      </c>
      <c r="K156" s="20" t="n">
        <v>0</v>
      </c>
      <c r="L156" s="20" t="n">
        <v>0</v>
      </c>
      <c r="M156" s="20" t="n">
        <v>0</v>
      </c>
      <c r="N156" s="20" t="n">
        <v>0</v>
      </c>
      <c r="V156" s="20" t="n">
        <v>0</v>
      </c>
      <c r="W156" s="20" t="n">
        <v>0</v>
      </c>
      <c r="X156" s="20" t="n">
        <v>0</v>
      </c>
    </row>
    <row r="157">
      <c r="A157" s="18" t="inlineStr">
        <is>
          <t>PrecisionMoldingProductsReportableSegmentsMember · 부문 간 내부매출·대체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18" t="inlineStr">
        <is>
          <t>HousingAndLivingMaterialsReportableSegmentsMember · 부문 간 내부매출·대체</t>
        </is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  <c r="K158" s="20" t="n">
        <v>0</v>
      </c>
      <c r="L158" s="20" t="n">
        <v>0</v>
      </c>
      <c r="M158" s="20" t="n">
        <v>0</v>
      </c>
      <c r="N158" s="20" t="n">
        <v>0</v>
      </c>
      <c r="V158" s="20" t="n">
        <v>0</v>
      </c>
      <c r="W158" s="20" t="n">
        <v>0</v>
      </c>
      <c r="X158" s="20" t="n">
        <v>0</v>
      </c>
    </row>
    <row r="159">
      <c r="A159" s="18" t="inlineStr">
        <is>
          <t>보고부문 합계 · 부문 간 내부매출·대체</t>
        </is>
      </c>
      <c r="C159" s="20" t="n">
        <v>0</v>
      </c>
      <c r="D159" s="20" t="n">
        <v>0</v>
      </c>
      <c r="E159" s="20" t="n">
        <v>0</v>
      </c>
      <c r="F159" s="20" t="n">
        <v>0</v>
      </c>
      <c r="G159" s="20" t="n">
        <v>0</v>
      </c>
      <c r="H159" s="20" t="n">
        <v>0</v>
      </c>
      <c r="I159" s="20" t="n">
        <v>0</v>
      </c>
      <c r="J159" s="20" t="n">
        <v>0</v>
      </c>
      <c r="K159" s="20" t="n">
        <v>0</v>
      </c>
      <c r="L159" s="20" t="n">
        <v>0</v>
      </c>
      <c r="M159" s="20" t="n">
        <v>0</v>
      </c>
      <c r="N159" s="20" t="n">
        <v>0</v>
      </c>
      <c r="V159" s="20" t="n">
        <v>0</v>
      </c>
      <c r="W159" s="20" t="n">
        <v>0</v>
      </c>
      <c r="X159" s="20" t="n">
        <v>0</v>
      </c>
    </row>
    <row r="160">
      <c r="A160" s="18" t="inlineStr">
        <is>
          <t>기타 · 부문 간 내부매출·대체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V160" s="20" t="n">
        <v>0</v>
      </c>
      <c r="W160" s="20" t="n">
        <v>0</v>
      </c>
      <c r="X160" s="20" t="n">
        <v>0</v>
      </c>
    </row>
    <row r="161">
      <c r="A161" s="18" t="inlineStr">
        <is>
          <t>EntityTotalMember · 부문 간 내부매출·대체</t>
        </is>
      </c>
      <c r="E161" s="20" t="n">
        <v>0</v>
      </c>
      <c r="I161" s="20" t="n">
        <v>0</v>
      </c>
      <c r="M161" s="20" t="n">
        <v>0</v>
      </c>
    </row>
    <row r="162">
      <c r="A162" s="18" t="inlineStr">
        <is>
          <t>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V162" s="20" t="n">
        <v>0</v>
      </c>
      <c r="W162" s="20" t="n">
        <v>0</v>
      </c>
    </row>
    <row r="163">
      <c r="A163" s="18" t="inlineStr">
        <is>
          <t>ElectronicDevicesReportableSegmentsMember · 계</t>
        </is>
      </c>
      <c r="C163" s="20" t="n">
        <v>6761</v>
      </c>
      <c r="D163" s="20" t="n">
        <v>6592</v>
      </c>
      <c r="E163" s="20" t="n">
        <v>6143</v>
      </c>
      <c r="F163" s="20" t="n">
        <v>6556</v>
      </c>
      <c r="G163" s="20" t="n">
        <v>6278</v>
      </c>
      <c r="H163" s="20" t="n">
        <v>5871</v>
      </c>
      <c r="I163" s="20" t="n">
        <v>6388</v>
      </c>
      <c r="J163" s="20" t="n">
        <v>6291</v>
      </c>
      <c r="K163" s="20" t="n">
        <v>6742</v>
      </c>
      <c r="L163" s="20" t="n">
        <v>6305</v>
      </c>
      <c r="M163" s="20" t="n">
        <v>6421</v>
      </c>
      <c r="N163" s="20" t="n">
        <v>6765</v>
      </c>
      <c r="V163" s="20" t="n">
        <v>6592</v>
      </c>
      <c r="W163" s="20" t="n">
        <v>5871</v>
      </c>
      <c r="X163" s="20" t="n">
        <v>6305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PrecisionMoldingProductsReportableSegmentsMember · 계</t>
        </is>
      </c>
      <c r="C165" s="20" t="n">
        <v>11744</v>
      </c>
      <c r="D165" s="20" t="n">
        <v>10973</v>
      </c>
      <c r="E165" s="20" t="n">
        <v>12479</v>
      </c>
      <c r="F165" s="20" t="n">
        <v>14903</v>
      </c>
      <c r="G165" s="20" t="n">
        <v>14684</v>
      </c>
      <c r="H165" s="20" t="n">
        <v>13958</v>
      </c>
      <c r="I165" s="20" t="n">
        <v>14323</v>
      </c>
      <c r="J165" s="20" t="n">
        <v>14862</v>
      </c>
      <c r="K165" s="20" t="n">
        <v>15519</v>
      </c>
      <c r="L165" s="20" t="n">
        <v>15069</v>
      </c>
      <c r="M165" s="20" t="n">
        <v>15305</v>
      </c>
      <c r="N165" s="20" t="n">
        <v>18723</v>
      </c>
      <c r="V165" s="20" t="n">
        <v>10973</v>
      </c>
      <c r="W165" s="20" t="n">
        <v>13958</v>
      </c>
      <c r="X165" s="20" t="n">
        <v>15069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HousingAndLivingMaterialsReportableSegmentsMember · 계</t>
        </is>
      </c>
      <c r="C167" s="20" t="n">
        <v>6317</v>
      </c>
      <c r="D167" s="20" t="n">
        <v>5013</v>
      </c>
      <c r="E167" s="20" t="n">
        <v>5520</v>
      </c>
      <c r="F167" s="20" t="n">
        <v>5578</v>
      </c>
      <c r="G167" s="20" t="n">
        <v>5846</v>
      </c>
      <c r="H167" s="20" t="n">
        <v>5136</v>
      </c>
      <c r="I167" s="20" t="n">
        <v>5595</v>
      </c>
      <c r="J167" s="20" t="n">
        <v>5279</v>
      </c>
      <c r="K167" s="20" t="n">
        <v>5554</v>
      </c>
      <c r="L167" s="20" t="n">
        <v>5085</v>
      </c>
      <c r="M167" s="20" t="n">
        <v>6232</v>
      </c>
      <c r="N167" s="20" t="n">
        <v>5845</v>
      </c>
      <c r="V167" s="20" t="n">
        <v>5013</v>
      </c>
      <c r="W167" s="20" t="n">
        <v>5136</v>
      </c>
      <c r="X167" s="20" t="n">
        <v>5085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보고부문 합계 · 계</t>
        </is>
      </c>
      <c r="C169" s="20" t="n">
        <v>24823</v>
      </c>
      <c r="D169" s="20" t="n">
        <v>22578</v>
      </c>
      <c r="E169" s="20" t="n">
        <v>24144</v>
      </c>
      <c r="F169" s="20" t="n">
        <v>27035</v>
      </c>
      <c r="G169" s="20" t="n">
        <v>26809</v>
      </c>
      <c r="H169" s="20" t="n">
        <v>24965</v>
      </c>
      <c r="I169" s="20" t="n">
        <v>26307</v>
      </c>
      <c r="J169" s="20" t="n">
        <v>26432</v>
      </c>
      <c r="K169" s="20" t="n">
        <v>27815</v>
      </c>
      <c r="L169" s="20" t="n">
        <v>26459</v>
      </c>
      <c r="M169" s="20" t="n">
        <v>27959</v>
      </c>
      <c r="N169" s="20" t="n">
        <v>31334</v>
      </c>
      <c r="V169" s="20" t="n">
        <v>22578</v>
      </c>
      <c r="W169" s="20" t="n">
        <v>24965</v>
      </c>
      <c r="X169" s="20" t="n">
        <v>26459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기타 · 계</t>
        </is>
      </c>
      <c r="C171" s="20" t="n">
        <v>2010</v>
      </c>
      <c r="D171" s="20" t="n">
        <v>1511</v>
      </c>
      <c r="E171" s="20" t="n">
        <v>1481</v>
      </c>
      <c r="F171" s="20" t="n">
        <v>2076</v>
      </c>
      <c r="G171" s="20" t="n">
        <v>1973</v>
      </c>
      <c r="H171" s="20" t="n">
        <v>2098</v>
      </c>
      <c r="I171" s="20" t="n">
        <v>1670</v>
      </c>
      <c r="J171" s="20" t="n">
        <v>1806</v>
      </c>
      <c r="K171" s="20" t="n">
        <v>2537</v>
      </c>
      <c r="L171" s="20" t="n">
        <v>2090</v>
      </c>
      <c r="M171" s="20" t="n">
        <v>2626</v>
      </c>
      <c r="N171" s="20" t="n">
        <v>2406</v>
      </c>
      <c r="V171" s="20" t="n">
        <v>1511</v>
      </c>
      <c r="W171" s="20" t="n">
        <v>2098</v>
      </c>
      <c r="X171" s="20" t="n">
        <v>2090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EntityTotalMember · 계</t>
        </is>
      </c>
      <c r="E173" s="20" t="n">
        <v>25625</v>
      </c>
      <c r="I173" s="20" t="n">
        <v>27977</v>
      </c>
      <c r="M173" s="20" t="n">
        <v>30585</v>
      </c>
    </row>
    <row r="174">
      <c r="A174" s="9" t="inlineStr">
        <is>
          <t>계</t>
        </is>
      </c>
      <c r="C174" s="12" t="n">
        <v>26833</v>
      </c>
      <c r="D174" s="12" t="n">
        <v>24090</v>
      </c>
      <c r="E174" s="12" t="n">
        <v>25625</v>
      </c>
      <c r="F174" s="12" t="n">
        <v>29112</v>
      </c>
      <c r="G174" s="12" t="n">
        <v>28781</v>
      </c>
      <c r="H174" s="12" t="n">
        <v>27064</v>
      </c>
      <c r="V174" s="12" t="n">
        <v>24090</v>
      </c>
      <c r="W174" s="12" t="n">
        <v>27064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ElectronicDevicesReportableSegmentsMember · 부문 이익(영업이익)</t>
        </is>
      </c>
      <c r="C176" s="20" t="n">
        <v>674</v>
      </c>
      <c r="D176" s="20" t="n">
        <v>580</v>
      </c>
      <c r="E176" s="20" t="n">
        <v>485</v>
      </c>
      <c r="F176" s="20" t="n">
        <v>391</v>
      </c>
      <c r="G176" s="20" t="n">
        <v>343</v>
      </c>
      <c r="H176" s="20" t="n">
        <v>-29</v>
      </c>
      <c r="I176" s="20" t="n">
        <v>327</v>
      </c>
      <c r="J176" s="20" t="n">
        <v>319</v>
      </c>
      <c r="K176" s="20" t="n">
        <v>780</v>
      </c>
      <c r="L176" s="20" t="n">
        <v>287</v>
      </c>
      <c r="M176" s="20" t="n">
        <v>287</v>
      </c>
      <c r="N176" s="20" t="n">
        <v>389</v>
      </c>
      <c r="V176" s="20" t="n">
        <v>580</v>
      </c>
      <c r="W176" s="20" t="n">
        <v>-29</v>
      </c>
      <c r="X176" s="20" t="n">
        <v>287</v>
      </c>
    </row>
    <row r="177">
      <c r="A177" s="43" t="inlineStr">
        <is>
          <t>OPM</t>
        </is>
      </c>
      <c r="B177" s="3" t="inlineStr">
        <is>
          <t>영업이익 ÷ 매출</t>
        </is>
      </c>
      <c r="C177" s="15">
        <f>IF(OR(C176="",C163=""),"",IF(C163&lt;=0,"",IFERROR(C176/C163,"")))</f>
        <v/>
      </c>
      <c r="D177" s="15">
        <f>IF(OR(D176="",D163=""),"",IF(D163&lt;=0,"",IFERROR(D176/D163,"")))</f>
        <v/>
      </c>
      <c r="E177" s="15">
        <f>IF(OR(E176="",E163=""),"",IF(E163&lt;=0,"",IFERROR(E176/E163,"")))</f>
        <v/>
      </c>
      <c r="F177" s="15">
        <f>IF(OR(F176="",F163=""),"",IF(F163&lt;=0,"",IFERROR(F176/F163,"")))</f>
        <v/>
      </c>
      <c r="G177" s="15">
        <f>IF(OR(G176="",G163=""),"",IF(G163&lt;=0,"",IFERROR(G176/G163,"")))</f>
        <v/>
      </c>
      <c r="H177" s="15">
        <f>IF(OR(H176="",H163=""),"",IF(H163&lt;=0,"",IFERROR(H176/H163,"")))</f>
        <v/>
      </c>
      <c r="I177" s="15">
        <f>IF(OR(I176="",I163=""),"",IF(I163&lt;=0,"",IFERROR(I176/I163,"")))</f>
        <v/>
      </c>
      <c r="J177" s="15">
        <f>IF(OR(J176="",J163=""),"",IF(J163&lt;=0,"",IFERROR(J176/J163,"")))</f>
        <v/>
      </c>
      <c r="K177" s="15">
        <f>IF(OR(K176="",K163=""),"",IF(K163&lt;=0,"",IFERROR(K176/K163,"")))</f>
        <v/>
      </c>
      <c r="L177" s="15">
        <f>IF(OR(L176="",L163=""),"",IF(L163&lt;=0,"",IFERROR(L176/L163,"")))</f>
        <v/>
      </c>
      <c r="M177" s="15">
        <f>IF(OR(M176="",M163=""),"",IF(M163&lt;=0,"",IFERROR(M176/M163,"")))</f>
        <v/>
      </c>
      <c r="N177" s="15">
        <f>IF(OR(N176="",N163=""),"",IF(N163&lt;=0,"",IFERROR(N176/N163,"")))</f>
        <v/>
      </c>
      <c r="V177" s="15">
        <f>IF(OR(V176="",V163=""),"",IF(V163&lt;=0,"",IFERROR(V176/V163,"")))</f>
        <v/>
      </c>
      <c r="W177" s="15">
        <f>IF(OR(W176="",W163=""),"",IF(W163&lt;=0,"",IFERROR(W176/W163,"")))</f>
        <v/>
      </c>
      <c r="X177" s="15">
        <f>IF(OR(X176="",X163=""),"",IF(X163&lt;=0,"",IFERROR(X176/X163,"")))</f>
        <v/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IF(OR(G176="",C176=""),"",IF(C176&lt;=0,"",IFERROR(G176/C176-1,"")))</f>
        <v/>
      </c>
      <c r="H178" s="15">
        <f>IF(OR(H176="",D176=""),"",IF(D176&lt;=0,"",IFERROR(H176/D176-1,"")))</f>
        <v/>
      </c>
      <c r="I178" s="15">
        <f>IF(OR(I176="",E176=""),"",IF(E176&lt;=0,"",IFERROR(I176/E176-1,"")))</f>
        <v/>
      </c>
      <c r="J178" s="15">
        <f>IF(OR(J176="",F176=""),"",IF(F176&lt;=0,"",IFERROR(J176/F176-1,"")))</f>
        <v/>
      </c>
      <c r="K178" s="15">
        <f>IF(OR(K176="",G176=""),"",IF(G176&lt;=0,"",IFERROR(K176/G176-1,"")))</f>
        <v/>
      </c>
      <c r="L178" s="15">
        <f>IF(OR(L176="",H176=""),"",IF(H176&lt;=0,"",IFERROR(L176/H176-1,"")))</f>
        <v/>
      </c>
      <c r="M178" s="15">
        <f>IF(OR(M176="",I176=""),"",IF(I176&lt;=0,"",IFERROR(M176/I176-1,"")))</f>
        <v/>
      </c>
      <c r="N178" s="15">
        <f>IF(OR(N176="",J176=""),"",IF(J176&lt;=0,"",IFERROR(N176/J176-1,"")))</f>
        <v/>
      </c>
      <c r="V178" s="15">
        <f>IF(OR(V176="",U176=""),"",IF(U176&lt;=0,"",IFERROR(V176/U176-1,"")))</f>
        <v/>
      </c>
      <c r="W178" s="15">
        <f>IF(OR(W176="",V176=""),"",IF(V176&lt;=0,"",IFERROR(W176/V176-1,"")))</f>
        <v/>
      </c>
      <c r="X178" s="15">
        <f>IF(OR(X176="",W176=""),"",IF(W176&lt;=0,"",IFERROR(X176/W176-1,"")))</f>
        <v/>
      </c>
    </row>
    <row r="179">
      <c r="A179" s="18" t="inlineStr">
        <is>
          <t>PrecisionMoldingProductsReportableSegmentsMember · 부문 이익(영업이익)</t>
        </is>
      </c>
      <c r="C179" s="20" t="n">
        <v>1777</v>
      </c>
      <c r="D179" s="20" t="n">
        <v>1305</v>
      </c>
      <c r="E179" s="20" t="n">
        <v>2284</v>
      </c>
      <c r="F179" s="20" t="n">
        <v>2940</v>
      </c>
      <c r="G179" s="20" t="n">
        <v>2897</v>
      </c>
      <c r="H179" s="20" t="n">
        <v>2123</v>
      </c>
      <c r="I179" s="20" t="n">
        <v>2885</v>
      </c>
      <c r="J179" s="20" t="n">
        <v>2631</v>
      </c>
      <c r="K179" s="20" t="n">
        <v>2509</v>
      </c>
      <c r="L179" s="20" t="n">
        <v>2193</v>
      </c>
      <c r="M179" s="20" t="n">
        <v>2838</v>
      </c>
      <c r="N179" s="20" t="n">
        <v>3889</v>
      </c>
      <c r="V179" s="20" t="n">
        <v>1305</v>
      </c>
      <c r="W179" s="20" t="n">
        <v>2123</v>
      </c>
      <c r="X179" s="20" t="n">
        <v>2193</v>
      </c>
    </row>
    <row r="180">
      <c r="A180" s="43" t="inlineStr">
        <is>
          <t>OPM</t>
        </is>
      </c>
      <c r="B180" s="3" t="inlineStr">
        <is>
          <t>영업이익 ÷ 매출</t>
        </is>
      </c>
      <c r="C180" s="15">
        <f>IF(OR(C179="",C165=""),"",IF(C165&lt;=0,"",IFERROR(C179/C165,"")))</f>
        <v/>
      </c>
      <c r="D180" s="15">
        <f>IF(OR(D179="",D165=""),"",IF(D165&lt;=0,"",IFERROR(D179/D165,"")))</f>
        <v/>
      </c>
      <c r="E180" s="15">
        <f>IF(OR(E179="",E165=""),"",IF(E165&lt;=0,"",IFERROR(E179/E165,"")))</f>
        <v/>
      </c>
      <c r="F180" s="15">
        <f>IF(OR(F179="",F165=""),"",IF(F165&lt;=0,"",IFERROR(F179/F165,"")))</f>
        <v/>
      </c>
      <c r="G180" s="15">
        <f>IF(OR(G179="",G165=""),"",IF(G165&lt;=0,"",IFERROR(G179/G165,"")))</f>
        <v/>
      </c>
      <c r="H180" s="15">
        <f>IF(OR(H179="",H165=""),"",IF(H165&lt;=0,"",IFERROR(H179/H165,"")))</f>
        <v/>
      </c>
      <c r="I180" s="15">
        <f>IF(OR(I179="",I165=""),"",IF(I165&lt;=0,"",IFERROR(I179/I165,"")))</f>
        <v/>
      </c>
      <c r="J180" s="15">
        <f>IF(OR(J179="",J165=""),"",IF(J165&lt;=0,"",IFERROR(J179/J165,"")))</f>
        <v/>
      </c>
      <c r="K180" s="15">
        <f>IF(OR(K179="",K165=""),"",IF(K165&lt;=0,"",IFERROR(K179/K165,"")))</f>
        <v/>
      </c>
      <c r="L180" s="15">
        <f>IF(OR(L179="",L165=""),"",IF(L165&lt;=0,"",IFERROR(L179/L165,"")))</f>
        <v/>
      </c>
      <c r="M180" s="15">
        <f>IF(OR(M179="",M165=""),"",IF(M165&lt;=0,"",IFERROR(M179/M165,"")))</f>
        <v/>
      </c>
      <c r="N180" s="15">
        <f>IF(OR(N179="",N165=""),"",IF(N165&lt;=0,"",IFERROR(N179/N165,"")))</f>
        <v/>
      </c>
      <c r="V180" s="15">
        <f>IF(OR(V179="",V165=""),"",IF(V165&lt;=0,"",IFERROR(V179/V165,"")))</f>
        <v/>
      </c>
      <c r="W180" s="15">
        <f>IF(OR(W179="",W165=""),"",IF(W165&lt;=0,"",IFERROR(W179/W165,"")))</f>
        <v/>
      </c>
      <c r="X180" s="15">
        <f>IF(OR(X179="",X165=""),"",IF(X165&lt;=0,"",IFERROR(X179/X165,"")))</f>
        <v/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IF(OR(G179="",C179=""),"",IF(C179&lt;=0,"",IFERROR(G179/C179-1,"")))</f>
        <v/>
      </c>
      <c r="H181" s="15">
        <f>IF(OR(H179="",D179=""),"",IF(D179&lt;=0,"",IFERROR(H179/D179-1,"")))</f>
        <v/>
      </c>
      <c r="I181" s="15">
        <f>IF(OR(I179="",E179=""),"",IF(E179&lt;=0,"",IFERROR(I179/E179-1,"")))</f>
        <v/>
      </c>
      <c r="J181" s="15">
        <f>IF(OR(J179="",F179=""),"",IF(F179&lt;=0,"",IFERROR(J179/F179-1,"")))</f>
        <v/>
      </c>
      <c r="K181" s="15">
        <f>IF(OR(K179="",G179=""),"",IF(G179&lt;=0,"",IFERROR(K179/G179-1,"")))</f>
        <v/>
      </c>
      <c r="L181" s="15">
        <f>IF(OR(L179="",H179=""),"",IF(H179&lt;=0,"",IFERROR(L179/H179-1,"")))</f>
        <v/>
      </c>
      <c r="M181" s="15">
        <f>IF(OR(M179="",I179=""),"",IF(I179&lt;=0,"",IFERROR(M179/I179-1,"")))</f>
        <v/>
      </c>
      <c r="N181" s="15">
        <f>IF(OR(N179="",J179=""),"",IF(J179&lt;=0,"",IFERROR(N179/J179-1,"")))</f>
        <v/>
      </c>
      <c r="V181" s="15">
        <f>IF(OR(V179="",U179=""),"",IF(U179&lt;=0,"",IFERROR(V179/U179-1,"")))</f>
        <v/>
      </c>
      <c r="W181" s="15">
        <f>IF(OR(W179="",V179=""),"",IF(V179&lt;=0,"",IFERROR(W179/V179-1,"")))</f>
        <v/>
      </c>
      <c r="X181" s="15">
        <f>IF(OR(X179="",W179=""),"",IF(W179&lt;=0,"",IFERROR(X179/W179-1,"")))</f>
        <v/>
      </c>
    </row>
    <row r="182">
      <c r="A182" s="18" t="inlineStr">
        <is>
          <t>HousingAndLivingMaterialsReportableSegmentsMember · 부문 이익(영업이익)</t>
        </is>
      </c>
      <c r="C182" s="20" t="n">
        <v>496</v>
      </c>
      <c r="D182" s="20" t="n">
        <v>194</v>
      </c>
      <c r="E182" s="20" t="n">
        <v>367</v>
      </c>
      <c r="F182" s="20" t="n">
        <v>238</v>
      </c>
      <c r="G182" s="20" t="n">
        <v>584</v>
      </c>
      <c r="H182" s="20" t="n">
        <v>174</v>
      </c>
      <c r="I182" s="20" t="n">
        <v>495</v>
      </c>
      <c r="J182" s="20" t="n">
        <v>286</v>
      </c>
      <c r="K182" s="20" t="n">
        <v>460</v>
      </c>
      <c r="L182" s="20" t="n">
        <v>390</v>
      </c>
      <c r="M182" s="20" t="n">
        <v>841</v>
      </c>
      <c r="N182" s="20" t="n">
        <v>791</v>
      </c>
      <c r="V182" s="20" t="n">
        <v>194</v>
      </c>
      <c r="W182" s="20" t="n">
        <v>174</v>
      </c>
      <c r="X182" s="20" t="n">
        <v>390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IF(OR(C182="",C167=""),"",IF(C167&lt;=0,"",IFERROR(C182/C167,"")))</f>
        <v/>
      </c>
      <c r="D183" s="15">
        <f>IF(OR(D182="",D167=""),"",IF(D167&lt;=0,"",IFERROR(D182/D167,"")))</f>
        <v/>
      </c>
      <c r="E183" s="15">
        <f>IF(OR(E182="",E167=""),"",IF(E167&lt;=0,"",IFERROR(E182/E167,"")))</f>
        <v/>
      </c>
      <c r="F183" s="15">
        <f>IF(OR(F182="",F167=""),"",IF(F167&lt;=0,"",IFERROR(F182/F167,"")))</f>
        <v/>
      </c>
      <c r="G183" s="15">
        <f>IF(OR(G182="",G167=""),"",IF(G167&lt;=0,"",IFERROR(G182/G167,"")))</f>
        <v/>
      </c>
      <c r="H183" s="15">
        <f>IF(OR(H182="",H167=""),"",IF(H167&lt;=0,"",IFERROR(H182/H167,"")))</f>
        <v/>
      </c>
      <c r="I183" s="15">
        <f>IF(OR(I182="",I167=""),"",IF(I167&lt;=0,"",IFERROR(I182/I167,"")))</f>
        <v/>
      </c>
      <c r="J183" s="15">
        <f>IF(OR(J182="",J167=""),"",IF(J167&lt;=0,"",IFERROR(J182/J167,"")))</f>
        <v/>
      </c>
      <c r="K183" s="15">
        <f>IF(OR(K182="",K167=""),"",IF(K167&lt;=0,"",IFERROR(K182/K167,"")))</f>
        <v/>
      </c>
      <c r="L183" s="15">
        <f>IF(OR(L182="",L167=""),"",IF(L167&lt;=0,"",IFERROR(L182/L167,"")))</f>
        <v/>
      </c>
      <c r="M183" s="15">
        <f>IF(OR(M182="",M167=""),"",IF(M167&lt;=0,"",IFERROR(M182/M167,"")))</f>
        <v/>
      </c>
      <c r="N183" s="15">
        <f>IF(OR(N182="",N167=""),"",IF(N167&lt;=0,"",IFERROR(N182/N167,"")))</f>
        <v/>
      </c>
      <c r="V183" s="15">
        <f>IF(OR(V182="",V167=""),"",IF(V167&lt;=0,"",IFERROR(V182/V167,"")))</f>
        <v/>
      </c>
      <c r="W183" s="15">
        <f>IF(OR(W182="",W167=""),"",IF(W167&lt;=0,"",IFERROR(W182/W167,"")))</f>
        <v/>
      </c>
      <c r="X183" s="15">
        <f>IF(OR(X182="",X167=""),"",IF(X167&lt;=0,"",IFERROR(X182/X167,"")))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N184" s="15">
        <f>IF(OR(N182="",J182=""),"",IF(J182&lt;=0,"",IFERROR(N182/J182-1,"")))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보고부문 합계 · 부문 이익(영업이익)</t>
        </is>
      </c>
      <c r="C185" s="20" t="n">
        <v>2946</v>
      </c>
      <c r="D185" s="20" t="n">
        <v>2079</v>
      </c>
      <c r="E185" s="20" t="n">
        <v>3137</v>
      </c>
      <c r="F185" s="20" t="n">
        <v>3569</v>
      </c>
      <c r="G185" s="20" t="n">
        <v>3825</v>
      </c>
      <c r="H185" s="20" t="n">
        <v>2267</v>
      </c>
      <c r="I185" s="20" t="n">
        <v>3708</v>
      </c>
      <c r="J185" s="20" t="n">
        <v>3236</v>
      </c>
      <c r="K185" s="20" t="n">
        <v>3749</v>
      </c>
      <c r="L185" s="20" t="n">
        <v>2871</v>
      </c>
      <c r="M185" s="20" t="n">
        <v>3967</v>
      </c>
      <c r="N185" s="20" t="n">
        <v>5069</v>
      </c>
      <c r="V185" s="20" t="n">
        <v>2079</v>
      </c>
      <c r="W185" s="20" t="n">
        <v>2267</v>
      </c>
      <c r="X185" s="20" t="n">
        <v>2871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IF(OR(C185="",C169=""),"",IF(C169&lt;=0,"",IFERROR(C185/C169,"")))</f>
        <v/>
      </c>
      <c r="D186" s="15">
        <f>IF(OR(D185="",D169=""),"",IF(D169&lt;=0,"",IFERROR(D185/D169,"")))</f>
        <v/>
      </c>
      <c r="E186" s="15">
        <f>IF(OR(E185="",E169=""),"",IF(E169&lt;=0,"",IFERROR(E185/E169,"")))</f>
        <v/>
      </c>
      <c r="F186" s="15">
        <f>IF(OR(F185="",F169=""),"",IF(F169&lt;=0,"",IFERROR(F185/F169,"")))</f>
        <v/>
      </c>
      <c r="G186" s="15">
        <f>IF(OR(G185="",G169=""),"",IF(G169&lt;=0,"",IFERROR(G185/G169,"")))</f>
        <v/>
      </c>
      <c r="H186" s="15">
        <f>IF(OR(H185="",H169=""),"",IF(H169&lt;=0,"",IFERROR(H185/H169,"")))</f>
        <v/>
      </c>
      <c r="I186" s="15">
        <f>IF(OR(I185="",I169=""),"",IF(I169&lt;=0,"",IFERROR(I185/I169,"")))</f>
        <v/>
      </c>
      <c r="J186" s="15">
        <f>IF(OR(J185="",J169=""),"",IF(J169&lt;=0,"",IFERROR(J185/J169,"")))</f>
        <v/>
      </c>
      <c r="K186" s="15">
        <f>IF(OR(K185="",K169=""),"",IF(K169&lt;=0,"",IFERROR(K185/K169,"")))</f>
        <v/>
      </c>
      <c r="L186" s="15">
        <f>IF(OR(L185="",L169=""),"",IF(L169&lt;=0,"",IFERROR(L185/L169,"")))</f>
        <v/>
      </c>
      <c r="M186" s="15">
        <f>IF(OR(M185="",M169=""),"",IF(M169&lt;=0,"",IFERROR(M185/M169,"")))</f>
        <v/>
      </c>
      <c r="N186" s="15">
        <f>IF(OR(N185="",N169=""),"",IF(N169&lt;=0,"",IFERROR(N185/N169,"")))</f>
        <v/>
      </c>
      <c r="V186" s="15">
        <f>IF(OR(V185="",V169=""),"",IF(V169&lt;=0,"",IFERROR(V185/V169,"")))</f>
        <v/>
      </c>
      <c r="W186" s="15">
        <f>IF(OR(W185="",W169=""),"",IF(W169&lt;=0,"",IFERROR(W185/W169,"")))</f>
        <v/>
      </c>
      <c r="X186" s="15">
        <f>IF(OR(X185="",X169=""),"",IF(X169&lt;=0,"",IFERROR(X185/X169,"")))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기타 · 부문 이익(영업이익)</t>
        </is>
      </c>
      <c r="C188" s="20" t="n">
        <v>98</v>
      </c>
      <c r="D188" s="20" t="n">
        <v>45</v>
      </c>
      <c r="E188" s="20" t="n">
        <v>81</v>
      </c>
      <c r="F188" s="20" t="n">
        <v>135</v>
      </c>
      <c r="G188" s="20" t="n">
        <v>113</v>
      </c>
      <c r="H188" s="20" t="n">
        <v>144</v>
      </c>
      <c r="I188" s="20" t="n">
        <v>112</v>
      </c>
      <c r="J188" s="20" t="n">
        <v>54</v>
      </c>
      <c r="K188" s="20" t="n">
        <v>150</v>
      </c>
      <c r="L188" s="20" t="n">
        <v>160</v>
      </c>
      <c r="M188" s="20" t="n">
        <v>181</v>
      </c>
      <c r="N188" s="20" t="n">
        <v>136</v>
      </c>
      <c r="V188" s="20" t="n">
        <v>45</v>
      </c>
      <c r="W188" s="20" t="n">
        <v>144</v>
      </c>
      <c r="X188" s="20" t="n">
        <v>160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IF(OR(C188="",C171=""),"",IF(C171&lt;=0,"",IFERROR(C188/C171,"")))</f>
        <v/>
      </c>
      <c r="D189" s="15">
        <f>IF(OR(D188="",D171=""),"",IF(D171&lt;=0,"",IFERROR(D188/D171,"")))</f>
        <v/>
      </c>
      <c r="E189" s="15">
        <f>IF(OR(E188="",E171=""),"",IF(E171&lt;=0,"",IFERROR(E188/E171,"")))</f>
        <v/>
      </c>
      <c r="F189" s="15">
        <f>IF(OR(F188="",F171=""),"",IF(F171&lt;=0,"",IFERROR(F188/F171,"")))</f>
        <v/>
      </c>
      <c r="G189" s="15">
        <f>IF(OR(G188="",G171=""),"",IF(G171&lt;=0,"",IFERROR(G188/G171,"")))</f>
        <v/>
      </c>
      <c r="H189" s="15">
        <f>IF(OR(H188="",H171=""),"",IF(H171&lt;=0,"",IFERROR(H188/H171,"")))</f>
        <v/>
      </c>
      <c r="I189" s="15">
        <f>IF(OR(I188="",I171=""),"",IF(I171&lt;=0,"",IFERROR(I188/I171,"")))</f>
        <v/>
      </c>
      <c r="J189" s="15">
        <f>IF(OR(J188="",J171=""),"",IF(J171&lt;=0,"",IFERROR(J188/J171,"")))</f>
        <v/>
      </c>
      <c r="K189" s="15">
        <f>IF(OR(K188="",K171=""),"",IF(K171&lt;=0,"",IFERROR(K188/K171,"")))</f>
        <v/>
      </c>
      <c r="L189" s="15">
        <f>IF(OR(L188="",L171=""),"",IF(L171&lt;=0,"",IFERROR(L188/L171,"")))</f>
        <v/>
      </c>
      <c r="M189" s="15">
        <f>IF(OR(M188="",M171=""),"",IF(M171&lt;=0,"",IFERROR(M188/M171,"")))</f>
        <v/>
      </c>
      <c r="N189" s="15">
        <f>IF(OR(N188="",N171=""),"",IF(N171&lt;=0,"",IFERROR(N188/N171,"")))</f>
        <v/>
      </c>
      <c r="V189" s="15">
        <f>IF(OR(V188="",V171=""),"",IF(V171&lt;=0,"",IFERROR(V188/V171,"")))</f>
        <v/>
      </c>
      <c r="W189" s="15">
        <f>IF(OR(W188="",W171=""),"",IF(W171&lt;=0,"",IFERROR(W188/W171,"")))</f>
        <v/>
      </c>
      <c r="X189" s="15">
        <f>IF(OR(X188="",X171=""),"",IF(X171&lt;=0,"",IFERROR(X188/X171,"")))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EntityTotalMember · 부문 이익(영업이익)</t>
        </is>
      </c>
      <c r="E191" s="20" t="n">
        <v>3218</v>
      </c>
      <c r="I191" s="20" t="n">
        <v>3820</v>
      </c>
      <c r="M191" s="20" t="n">
        <v>4148</v>
      </c>
    </row>
    <row r="192">
      <c r="A192" s="9" t="inlineStr">
        <is>
          <t>부문 이익(영업이익)</t>
        </is>
      </c>
      <c r="C192" s="12" t="n">
        <v>3043</v>
      </c>
      <c r="D192" s="12" t="n">
        <v>2124</v>
      </c>
      <c r="E192" s="12" t="n">
        <v>3218</v>
      </c>
      <c r="F192" s="12" t="n">
        <v>3704</v>
      </c>
      <c r="G192" s="12" t="n">
        <v>3938</v>
      </c>
      <c r="H192" s="12" t="n">
        <v>2411</v>
      </c>
      <c r="V192" s="12" t="n">
        <v>2124</v>
      </c>
      <c r="W192" s="12" t="n">
        <v>2411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IF(OR(C192="",C154=""),"",IF(C154&lt;=0,"",IFERROR(C192/C154,"")))</f>
        <v/>
      </c>
      <c r="D193" s="15">
        <f>IF(OR(D192="",D154=""),"",IF(D154&lt;=0,"",IFERROR(D192/D154,"")))</f>
        <v/>
      </c>
      <c r="E193" s="15">
        <f>IF(OR(E192="",E154=""),"",IF(E154&lt;=0,"",IFERROR(E192/E154,"")))</f>
        <v/>
      </c>
      <c r="F193" s="15">
        <f>IF(OR(F192="",F154=""),"",IF(F154&lt;=0,"",IFERROR(F192/F154,"")))</f>
        <v/>
      </c>
      <c r="G193" s="15">
        <f>IF(OR(G192="",G154=""),"",IF(G154&lt;=0,"",IFERROR(G192/G154,"")))</f>
        <v/>
      </c>
      <c r="H193" s="15">
        <f>IF(OR(H192="",H154=""),"",IF(H154&lt;=0,"",IFERROR(H192/H154,"")))</f>
        <v/>
      </c>
      <c r="V193" s="15">
        <f>IF(OR(V192="",V154=""),"",IF(V154&lt;=0,"",IFERROR(V192/V154,"")))</f>
        <v/>
      </c>
      <c r="W193" s="15">
        <f>IF(OR(W192="",W154=""),"",IF(W154&lt;=0,"",IFERROR(W192/W154,"")))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</row>
    <row r="196">
      <c r="A196" s="16" t="inlineStr">
        <is>
          <t>현금흐름표 · 전 항목</t>
        </is>
      </c>
      <c r="B196" s="42" t="inlineStr">
        <is>
          <t>분기 = 결산기 첫날부터 누계(공시 그대로)</t>
        </is>
      </c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</row>
    <row r="197">
      <c r="A197" s="5" t="inlineStr">
        <is>
          <t>항목</t>
        </is>
      </c>
      <c r="B197" s="5" t="inlineStr">
        <is>
          <t>참고</t>
        </is>
      </c>
      <c r="C197" s="5" t="inlineStr">
        <is>
          <t>2024.3Q</t>
        </is>
      </c>
      <c r="D197" s="5" t="inlineStr">
        <is>
          <t>2024.4Q</t>
        </is>
      </c>
      <c r="E197" s="5" t="inlineStr">
        <is>
          <t>2025.1Q</t>
        </is>
      </c>
      <c r="F197" s="5" t="inlineStr">
        <is>
          <t>2025.2Q</t>
        </is>
      </c>
      <c r="G197" s="5" t="inlineStr">
        <is>
          <t>2025.3Q</t>
        </is>
      </c>
      <c r="H197" s="5" t="inlineStr">
        <is>
          <t>2025.4Q</t>
        </is>
      </c>
      <c r="I197" s="5" t="inlineStr">
        <is>
          <t>2026.1Q</t>
        </is>
      </c>
      <c r="J197" s="5" t="inlineStr">
        <is>
          <t>2026.2Q</t>
        </is>
      </c>
      <c r="K197" s="5" t="inlineStr">
        <is>
          <t>2026.3Q</t>
        </is>
      </c>
      <c r="L197" s="5" t="inlineStr">
        <is>
          <t>2026.4Q</t>
        </is>
      </c>
      <c r="M197" s="5" t="inlineStr">
        <is>
          <t>2027.1Q</t>
        </is>
      </c>
      <c r="N197" s="5" t="inlineStr">
        <is>
          <t>2027.2Q</t>
        </is>
      </c>
      <c r="O197" s="5" t="inlineStr">
        <is>
          <t>2017</t>
        </is>
      </c>
      <c r="P197" s="5" t="inlineStr">
        <is>
          <t>2018</t>
        </is>
      </c>
      <c r="Q197" s="5" t="inlineStr">
        <is>
          <t>2019</t>
        </is>
      </c>
      <c r="R197" s="5" t="inlineStr">
        <is>
          <t>2020</t>
        </is>
      </c>
      <c r="S197" s="5" t="inlineStr">
        <is>
          <t>2021</t>
        </is>
      </c>
      <c r="T197" s="5" t="inlineStr">
        <is>
          <t>2022</t>
        </is>
      </c>
      <c r="U197" s="5" t="inlineStr">
        <is>
          <t>2023</t>
        </is>
      </c>
      <c r="V197" s="5" t="inlineStr">
        <is>
          <t>2024</t>
        </is>
      </c>
      <c r="W197" s="5" t="inlineStr">
        <is>
          <t>2025</t>
        </is>
      </c>
      <c r="X197" s="5" t="inlineStr">
        <is>
          <t>2026</t>
        </is>
      </c>
      <c r="Y197" s="5" t="inlineStr">
        <is>
          <t>2027(MW)</t>
        </is>
      </c>
      <c r="Z197" s="5" t="inlineStr">
        <is>
          <t>2028(MW)</t>
        </is>
      </c>
      <c r="AA197" s="5" t="inlineStr">
        <is>
          <t>2029(MW)</t>
        </is>
      </c>
      <c r="AB197" s="5" t="inlineStr">
        <is>
          <t>2030(MW)</t>
        </is>
      </c>
      <c r="AC197" s="5" t="inlineStr">
        <is>
          <t>2031(MW)</t>
        </is>
      </c>
    </row>
    <row r="198">
      <c r="A198" s="9" t="inlineStr">
        <is>
          <t>법인세차감전 순이익</t>
        </is>
      </c>
      <c r="D198" s="12" t="n">
        <v>11778</v>
      </c>
      <c r="F198" s="12" t="n">
        <v>6650</v>
      </c>
      <c r="H198" s="12" t="n">
        <v>13207</v>
      </c>
      <c r="J198" s="12" t="n">
        <v>7256</v>
      </c>
      <c r="L198" s="12" t="n">
        <v>13630</v>
      </c>
      <c r="N198" s="12" t="n">
        <v>9090</v>
      </c>
      <c r="O198" s="12" t="n">
        <v>5606</v>
      </c>
      <c r="P198" s="12" t="n">
        <v>7274</v>
      </c>
      <c r="Q198" s="12" t="n">
        <v>8026</v>
      </c>
      <c r="R198" s="12" t="n">
        <v>8097</v>
      </c>
      <c r="S198" s="12" t="n">
        <v>6402</v>
      </c>
      <c r="T198" s="12" t="n">
        <v>9413</v>
      </c>
      <c r="U198" s="12" t="n">
        <v>11373</v>
      </c>
      <c r="V198" s="12" t="n">
        <v>11778</v>
      </c>
      <c r="W198" s="12" t="n">
        <v>13207</v>
      </c>
      <c r="X198" s="12" t="n">
        <v>13630</v>
      </c>
    </row>
    <row r="199">
      <c r="A199" s="18" t="inlineStr">
        <is>
          <t>감가상각비</t>
        </is>
      </c>
      <c r="D199" s="20" t="n">
        <v>4593</v>
      </c>
      <c r="F199" s="20" t="n">
        <v>2499</v>
      </c>
      <c r="H199" s="20" t="n">
        <v>5714</v>
      </c>
      <c r="J199" s="20" t="n">
        <v>3112</v>
      </c>
      <c r="L199" s="20" t="n">
        <v>6257</v>
      </c>
      <c r="N199" s="20" t="n">
        <v>2650</v>
      </c>
      <c r="O199" s="20" t="n">
        <v>2872</v>
      </c>
      <c r="P199" s="20" t="n">
        <v>3011</v>
      </c>
      <c r="Q199" s="20" t="n">
        <v>3790</v>
      </c>
      <c r="R199" s="20" t="n">
        <v>3939</v>
      </c>
      <c r="S199" s="20" t="n">
        <v>3511</v>
      </c>
      <c r="T199" s="20" t="n">
        <v>3543</v>
      </c>
      <c r="U199" s="20" t="n">
        <v>3935</v>
      </c>
      <c r="V199" s="20" t="n">
        <v>4593</v>
      </c>
      <c r="W199" s="20" t="n">
        <v>5714</v>
      </c>
      <c r="X199" s="20" t="n">
        <v>6257</v>
      </c>
    </row>
    <row r="200">
      <c r="A200" s="18" t="inlineStr">
        <is>
          <t>손상차손</t>
        </is>
      </c>
      <c r="D200" s="20" t="n">
        <v>380</v>
      </c>
      <c r="F200" s="20" t="n">
        <v>0</v>
      </c>
      <c r="H200" s="20" t="n">
        <v>228</v>
      </c>
      <c r="L200" s="20" t="n">
        <v>51</v>
      </c>
      <c r="O200" s="20" t="n">
        <v>210</v>
      </c>
      <c r="P200" s="20" t="n">
        <v>0</v>
      </c>
      <c r="Q200" s="20" t="n">
        <v>88</v>
      </c>
      <c r="R200" s="20" t="n">
        <v>0</v>
      </c>
      <c r="S200" s="20" t="n">
        <v>633</v>
      </c>
      <c r="T200" s="20" t="n">
        <v>744</v>
      </c>
      <c r="U200" s="20" t="n">
        <v>1616</v>
      </c>
      <c r="V200" s="20" t="n">
        <v>380</v>
      </c>
      <c r="W200" s="20" t="n">
        <v>228</v>
      </c>
      <c r="X200" s="20" t="n">
        <v>51</v>
      </c>
    </row>
    <row r="201">
      <c r="A201" s="18" t="inlineStr">
        <is>
          <t>영업권 상각</t>
        </is>
      </c>
      <c r="D201" s="20" t="n">
        <v>70</v>
      </c>
      <c r="F201" s="20" t="n">
        <v>36</v>
      </c>
      <c r="H201" s="20" t="n">
        <v>75</v>
      </c>
      <c r="J201" s="20" t="n">
        <v>38</v>
      </c>
      <c r="L201" s="20" t="n">
        <v>79</v>
      </c>
      <c r="N201" s="20" t="n">
        <v>0</v>
      </c>
      <c r="S201" s="20" t="n">
        <v>0</v>
      </c>
      <c r="T201" s="20" t="n">
        <v>247</v>
      </c>
      <c r="U201" s="20" t="n">
        <v>206</v>
      </c>
      <c r="V201" s="20" t="n">
        <v>70</v>
      </c>
      <c r="W201" s="20" t="n">
        <v>75</v>
      </c>
      <c r="X201" s="20" t="n">
        <v>79</v>
      </c>
    </row>
    <row r="202">
      <c r="A202" s="18" t="inlineStr">
        <is>
          <t>이자·배당금 수익</t>
        </is>
      </c>
      <c r="D202" s="20" t="n">
        <v>-197</v>
      </c>
      <c r="F202" s="20" t="n">
        <v>-172</v>
      </c>
      <c r="H202" s="20" t="n">
        <v>-318</v>
      </c>
      <c r="J202" s="20" t="n">
        <v>-155</v>
      </c>
      <c r="L202" s="20" t="n">
        <v>-419</v>
      </c>
      <c r="N202" s="20" t="n">
        <v>-191</v>
      </c>
      <c r="O202" s="20" t="n">
        <v>-234</v>
      </c>
      <c r="P202" s="20" t="n">
        <v>-290</v>
      </c>
      <c r="Q202" s="20" t="n">
        <v>-372</v>
      </c>
      <c r="R202" s="20" t="n">
        <v>-363</v>
      </c>
      <c r="S202" s="20" t="n">
        <v>-214</v>
      </c>
      <c r="T202" s="20" t="n">
        <v>-132</v>
      </c>
      <c r="U202" s="20" t="n">
        <v>-242</v>
      </c>
      <c r="V202" s="20" t="n">
        <v>-197</v>
      </c>
      <c r="W202" s="20" t="n">
        <v>-318</v>
      </c>
      <c r="X202" s="20" t="n">
        <v>-419</v>
      </c>
    </row>
    <row r="203">
      <c r="A203" s="18" t="inlineStr">
        <is>
          <t>이자비용</t>
        </is>
      </c>
      <c r="D203" s="20" t="n">
        <v>33</v>
      </c>
      <c r="F203" s="20" t="n">
        <v>14</v>
      </c>
      <c r="H203" s="20" t="n">
        <v>35</v>
      </c>
      <c r="J203" s="20" t="n">
        <v>19</v>
      </c>
      <c r="L203" s="20" t="n">
        <v>40</v>
      </c>
      <c r="N203" s="20" t="n">
        <v>20</v>
      </c>
      <c r="O203" s="20" t="n">
        <v>25</v>
      </c>
      <c r="P203" s="20" t="n">
        <v>24</v>
      </c>
      <c r="Q203" s="20" t="n">
        <v>24</v>
      </c>
      <c r="R203" s="20" t="n">
        <v>30</v>
      </c>
      <c r="S203" s="20" t="n">
        <v>27</v>
      </c>
      <c r="T203" s="20" t="n">
        <v>25</v>
      </c>
      <c r="U203" s="20" t="n">
        <v>34</v>
      </c>
      <c r="V203" s="20" t="n">
        <v>33</v>
      </c>
      <c r="W203" s="20" t="n">
        <v>35</v>
      </c>
      <c r="X203" s="20" t="n">
        <v>40</v>
      </c>
    </row>
    <row r="204">
      <c r="A204" s="18" t="inlineStr">
        <is>
          <t>외환차손익</t>
        </is>
      </c>
      <c r="D204" s="20" t="n">
        <v>-96</v>
      </c>
      <c r="F204" s="20" t="n">
        <v>527</v>
      </c>
      <c r="H204" s="20" t="n">
        <v>587</v>
      </c>
      <c r="J204" s="20" t="n">
        <v>31</v>
      </c>
      <c r="L204" s="20" t="n">
        <v>384</v>
      </c>
      <c r="N204" s="20" t="n">
        <v>353</v>
      </c>
      <c r="O204" s="20" t="n">
        <v>17</v>
      </c>
      <c r="P204" s="20" t="n">
        <v>-5</v>
      </c>
      <c r="Q204" s="20" t="n">
        <v>31</v>
      </c>
      <c r="R204" s="20" t="n">
        <v>132</v>
      </c>
      <c r="S204" s="20" t="n">
        <v>244</v>
      </c>
      <c r="T204" s="20" t="n">
        <v>-153</v>
      </c>
      <c r="U204" s="20" t="n">
        <v>81</v>
      </c>
      <c r="V204" s="20" t="n">
        <v>-96</v>
      </c>
      <c r="W204" s="20" t="n">
        <v>587</v>
      </c>
      <c r="X204" s="20" t="n">
        <v>384</v>
      </c>
    </row>
    <row r="205">
      <c r="A205" s="18" t="inlineStr">
        <is>
          <t>자회사 청산손익</t>
        </is>
      </c>
      <c r="O205" s="20" t="n">
        <v>59</v>
      </c>
      <c r="P205" s="20" t="n">
        <v>0</v>
      </c>
    </row>
    <row r="206">
      <c r="A206" s="18" t="inlineStr">
        <is>
          <t>투자유가증권 매각손익</t>
        </is>
      </c>
      <c r="D206" s="20" t="n">
        <v>-96</v>
      </c>
      <c r="F206" s="20" t="n">
        <v>0</v>
      </c>
      <c r="H206" s="20" t="n">
        <v>-158</v>
      </c>
      <c r="J206" s="20" t="n">
        <v>-67</v>
      </c>
      <c r="L206" s="20" t="n">
        <v>-67</v>
      </c>
      <c r="N206" s="20" t="n">
        <v>0</v>
      </c>
      <c r="Q206" s="20" t="n">
        <v>-13</v>
      </c>
      <c r="R206" s="20" t="n">
        <v>-199</v>
      </c>
      <c r="S206" s="20" t="n">
        <v>-5</v>
      </c>
      <c r="U206" s="20" t="n">
        <v>-7</v>
      </c>
      <c r="V206" s="20" t="n">
        <v>-96</v>
      </c>
      <c r="W206" s="20" t="n">
        <v>-158</v>
      </c>
      <c r="X206" s="20" t="n">
        <v>-67</v>
      </c>
    </row>
    <row r="207">
      <c r="A207" s="18" t="inlineStr">
        <is>
          <t>관계회사 주식 평가손실</t>
        </is>
      </c>
      <c r="P207" s="20" t="n">
        <v>0</v>
      </c>
      <c r="Q207" s="20" t="n">
        <v>561</v>
      </c>
      <c r="R207" s="20" t="n">
        <v>0</v>
      </c>
      <c r="S207" s="20" t="n">
        <v>279</v>
      </c>
    </row>
    <row r="208">
      <c r="A208" s="18" t="inlineStr">
        <is>
          <t>고정자산 매각손익</t>
        </is>
      </c>
      <c r="D208" s="20" t="n">
        <v>-368</v>
      </c>
      <c r="H208" s="20" t="n">
        <v>-45</v>
      </c>
      <c r="T208" s="20" t="n">
        <v>-2</v>
      </c>
      <c r="U208" s="20" t="n">
        <v>-62</v>
      </c>
      <c r="V208" s="20" t="n">
        <v>-368</v>
      </c>
      <c r="W208" s="20" t="n">
        <v>-45</v>
      </c>
    </row>
    <row r="209">
      <c r="A209" s="18" t="inlineStr">
        <is>
          <t>고정자산 제각손실</t>
        </is>
      </c>
      <c r="D209" s="20" t="n">
        <v>39</v>
      </c>
      <c r="O209" s="20" t="n">
        <v>22</v>
      </c>
      <c r="P209" s="20" t="n">
        <v>65</v>
      </c>
      <c r="S209" s="20" t="n">
        <v>22</v>
      </c>
      <c r="T209" s="20" t="n">
        <v>50</v>
      </c>
      <c r="U209" s="20" t="n">
        <v>207</v>
      </c>
      <c r="V209" s="20" t="n">
        <v>39</v>
      </c>
    </row>
    <row r="210">
      <c r="A210" s="18" t="inlineStr">
        <is>
          <t>재해복구 비용</t>
        </is>
      </c>
      <c r="D210" s="20" t="n">
        <v>57</v>
      </c>
      <c r="U210" s="20" t="n">
        <v>11</v>
      </c>
      <c r="V210" s="20" t="n">
        <v>57</v>
      </c>
    </row>
    <row r="211">
      <c r="A211" s="18" t="inlineStr">
        <is>
          <t>회원권 처분 이익</t>
        </is>
      </c>
      <c r="H211" s="20" t="n">
        <v>0</v>
      </c>
      <c r="L211" s="20" t="n">
        <v>-58</v>
      </c>
      <c r="W211" s="20" t="n">
        <v>0</v>
      </c>
      <c r="X211" s="20" t="n">
        <v>-58</v>
      </c>
    </row>
    <row r="212">
      <c r="A212" s="18" t="inlineStr">
        <is>
          <t>업무위탁계약 해지 손실</t>
        </is>
      </c>
      <c r="H212" s="20" t="n">
        <v>0</v>
      </c>
      <c r="L212" s="20" t="n">
        <v>396</v>
      </c>
      <c r="W212" s="20" t="n">
        <v>0</v>
      </c>
      <c r="X212" s="20" t="n">
        <v>396</v>
      </c>
    </row>
    <row r="213">
      <c r="A213" s="18" t="inlineStr">
        <is>
          <t>보조금 수입</t>
        </is>
      </c>
      <c r="D213" s="20" t="n">
        <v>0</v>
      </c>
      <c r="H213" s="20" t="n">
        <v>-200</v>
      </c>
      <c r="L213" s="20" t="n">
        <v>0</v>
      </c>
      <c r="V213" s="20" t="n">
        <v>0</v>
      </c>
      <c r="W213" s="20" t="n">
        <v>-200</v>
      </c>
      <c r="X213" s="20" t="n">
        <v>0</v>
      </c>
    </row>
    <row r="214">
      <c r="A214" s="18" t="inlineStr">
        <is>
          <t>해약 청산 비용</t>
        </is>
      </c>
      <c r="D214" s="20" t="n">
        <v>24</v>
      </c>
      <c r="H214" s="20" t="n">
        <v>0</v>
      </c>
      <c r="U214" s="20" t="n">
        <v>0</v>
      </c>
      <c r="V214" s="20" t="n">
        <v>24</v>
      </c>
      <c r="W214" s="20" t="n">
        <v>0</v>
      </c>
    </row>
    <row r="215">
      <c r="A215" s="18" t="inlineStr">
        <is>
          <t>사업 양도 이익</t>
        </is>
      </c>
      <c r="D215" s="20" t="n">
        <v>-350</v>
      </c>
      <c r="H215" s="20" t="n">
        <v>0</v>
      </c>
      <c r="U215" s="20" t="n">
        <v>0</v>
      </c>
      <c r="V215" s="20" t="n">
        <v>-350</v>
      </c>
      <c r="W215" s="20" t="n">
        <v>0</v>
      </c>
    </row>
    <row r="216">
      <c r="A216" s="18" t="inlineStr">
        <is>
          <t>화해금 수령</t>
        </is>
      </c>
      <c r="D216" s="20" t="n">
        <v>-40</v>
      </c>
      <c r="F216" s="20" t="n">
        <v>0</v>
      </c>
      <c r="H216" s="20" t="n">
        <v>0</v>
      </c>
      <c r="U216" s="20" t="n">
        <v>0</v>
      </c>
      <c r="V216" s="20" t="n">
        <v>-40</v>
      </c>
      <c r="W216" s="20" t="n">
        <v>0</v>
      </c>
    </row>
    <row r="217">
      <c r="A217" s="18" t="inlineStr">
        <is>
          <t>사업 양도 관련 비용</t>
        </is>
      </c>
      <c r="D217" s="20" t="n">
        <v>162</v>
      </c>
      <c r="H217" s="20" t="n">
        <v>0</v>
      </c>
      <c r="U217" s="20" t="n">
        <v>0</v>
      </c>
      <c r="V217" s="20" t="n">
        <v>162</v>
      </c>
      <c r="W217" s="20" t="n">
        <v>0</v>
      </c>
    </row>
    <row r="218">
      <c r="A218" s="18" t="inlineStr">
        <is>
          <t>건물 해체 비용</t>
        </is>
      </c>
      <c r="D218" s="20" t="n">
        <v>0</v>
      </c>
      <c r="T218" s="20" t="n">
        <v>0</v>
      </c>
      <c r="U218" s="20" t="n">
        <v>68</v>
      </c>
      <c r="V218" s="20" t="n">
        <v>0</v>
      </c>
    </row>
    <row r="219">
      <c r="A219" s="18" t="inlineStr">
        <is>
          <t>매출채권 증감</t>
        </is>
      </c>
      <c r="D219" s="20" t="n">
        <v>3093</v>
      </c>
      <c r="F219" s="20" t="n">
        <v>-121</v>
      </c>
      <c r="H219" s="20" t="n">
        <v>-441</v>
      </c>
      <c r="J219" s="20" t="n">
        <v>-824</v>
      </c>
      <c r="L219" s="20" t="n">
        <v>398</v>
      </c>
      <c r="N219" s="20" t="n">
        <v>-3714</v>
      </c>
      <c r="O219" s="20" t="n">
        <v>-2675</v>
      </c>
      <c r="P219" s="20" t="n">
        <v>-1096</v>
      </c>
      <c r="Q219" s="20" t="n">
        <v>-1730</v>
      </c>
      <c r="R219" s="20" t="n">
        <v>1330</v>
      </c>
      <c r="S219" s="20" t="n">
        <v>-317</v>
      </c>
      <c r="T219" s="20" t="n">
        <v>-786</v>
      </c>
      <c r="U219" s="20" t="n">
        <v>-1649</v>
      </c>
      <c r="V219" s="20" t="n">
        <v>3093</v>
      </c>
      <c r="W219" s="20" t="n">
        <v>-441</v>
      </c>
      <c r="X219" s="20" t="n">
        <v>398</v>
      </c>
    </row>
    <row r="220">
      <c r="A220" s="18" t="inlineStr">
        <is>
          <t>재고자산 증감</t>
        </is>
      </c>
      <c r="D220" s="20" t="n">
        <v>-215</v>
      </c>
      <c r="F220" s="20" t="n">
        <v>1093</v>
      </c>
      <c r="H220" s="20" t="n">
        <v>-671</v>
      </c>
      <c r="J220" s="20" t="n">
        <v>497</v>
      </c>
      <c r="L220" s="20" t="n">
        <v>790</v>
      </c>
      <c r="N220" s="20" t="n">
        <v>140</v>
      </c>
      <c r="O220" s="20" t="n">
        <v>86</v>
      </c>
      <c r="P220" s="20" t="n">
        <v>-1333</v>
      </c>
      <c r="Q220" s="20" t="n">
        <v>-740</v>
      </c>
      <c r="R220" s="20" t="n">
        <v>-663</v>
      </c>
      <c r="S220" s="20" t="n">
        <v>650</v>
      </c>
      <c r="T220" s="20" t="n">
        <v>-2950</v>
      </c>
      <c r="U220" s="20" t="n">
        <v>-3967</v>
      </c>
      <c r="V220" s="20" t="n">
        <v>-215</v>
      </c>
      <c r="W220" s="20" t="n">
        <v>-671</v>
      </c>
      <c r="X220" s="20" t="n">
        <v>790</v>
      </c>
    </row>
    <row r="221">
      <c r="A221" s="18" t="inlineStr">
        <is>
          <t>매입채무 증감</t>
        </is>
      </c>
      <c r="D221" s="20" t="n">
        <v>-2466</v>
      </c>
      <c r="F221" s="20" t="n">
        <v>-1848</v>
      </c>
      <c r="H221" s="20" t="n">
        <v>-1025</v>
      </c>
      <c r="J221" s="20" t="n">
        <v>-1432</v>
      </c>
      <c r="L221" s="20" t="n">
        <v>-4617</v>
      </c>
      <c r="N221" s="20" t="n">
        <v>1270</v>
      </c>
      <c r="O221" s="20" t="n">
        <v>785</v>
      </c>
      <c r="P221" s="20" t="n">
        <v>1834</v>
      </c>
      <c r="Q221" s="20" t="n">
        <v>76</v>
      </c>
      <c r="R221" s="20" t="n">
        <v>-1936</v>
      </c>
      <c r="S221" s="20" t="n">
        <v>314</v>
      </c>
      <c r="T221" s="20" t="n">
        <v>1682</v>
      </c>
      <c r="U221" s="20" t="n">
        <v>1137</v>
      </c>
      <c r="V221" s="20" t="n">
        <v>-2466</v>
      </c>
      <c r="W221" s="20" t="n">
        <v>-1025</v>
      </c>
      <c r="X221" s="20" t="n">
        <v>-4617</v>
      </c>
    </row>
    <row r="222">
      <c r="A222" s="18" t="inlineStr">
        <is>
          <t>퇴직급여부채 증감</t>
        </is>
      </c>
      <c r="D222" s="20" t="n">
        <v>39</v>
      </c>
      <c r="F222" s="20" t="n">
        <v>-33</v>
      </c>
      <c r="H222" s="20" t="n">
        <v>-61</v>
      </c>
      <c r="J222" s="20" t="n">
        <v>-45</v>
      </c>
      <c r="L222" s="20" t="n">
        <v>-37</v>
      </c>
      <c r="N222" s="20" t="n">
        <v>-27</v>
      </c>
      <c r="O222" s="20" t="n">
        <v>-86</v>
      </c>
      <c r="P222" s="20" t="n">
        <v>447</v>
      </c>
      <c r="Q222" s="20" t="n">
        <v>-200</v>
      </c>
      <c r="R222" s="20" t="n">
        <v>-171</v>
      </c>
      <c r="S222" s="20" t="n">
        <v>-145</v>
      </c>
      <c r="T222" s="20" t="n">
        <v>-184</v>
      </c>
      <c r="U222" s="20" t="n">
        <v>9</v>
      </c>
      <c r="V222" s="20" t="n">
        <v>39</v>
      </c>
      <c r="W222" s="20" t="n">
        <v>-61</v>
      </c>
      <c r="X222" s="20" t="n">
        <v>-37</v>
      </c>
    </row>
    <row r="223">
      <c r="A223" s="18" t="inlineStr">
        <is>
          <t>투자유가증권 평가손익</t>
        </is>
      </c>
      <c r="S223" s="20" t="n">
        <v>0</v>
      </c>
      <c r="T223" s="20" t="n">
        <v>31</v>
      </c>
    </row>
    <row r="224">
      <c r="A224" s="18" t="inlineStr">
        <is>
          <t>미지급·미수 소비세 등 증감액</t>
        </is>
      </c>
      <c r="D224" s="20" t="n">
        <v>-10</v>
      </c>
      <c r="F224" s="20" t="n">
        <v>-308</v>
      </c>
      <c r="H224" s="20" t="n">
        <v>-789</v>
      </c>
      <c r="J224" s="20" t="n">
        <v>1488</v>
      </c>
      <c r="L224" s="20" t="n">
        <v>1057</v>
      </c>
      <c r="N224" s="20" t="n">
        <v>323</v>
      </c>
      <c r="O224" s="20" t="n">
        <v>69</v>
      </c>
      <c r="P224" s="20" t="n">
        <v>-472</v>
      </c>
      <c r="Q224" s="20" t="n">
        <v>182</v>
      </c>
      <c r="R224" s="20" t="n">
        <v>499</v>
      </c>
      <c r="S224" s="20" t="n">
        <v>146</v>
      </c>
      <c r="T224" s="20" t="n">
        <v>-534</v>
      </c>
      <c r="U224" s="20" t="n">
        <v>-798</v>
      </c>
      <c r="V224" s="20" t="n">
        <v>-10</v>
      </c>
      <c r="W224" s="20" t="n">
        <v>-789</v>
      </c>
      <c r="X224" s="20" t="n">
        <v>1057</v>
      </c>
    </row>
    <row r="225">
      <c r="A225" s="18" t="inlineStr">
        <is>
          <t>기타</t>
        </is>
      </c>
      <c r="D225" s="20" t="n">
        <v>-639</v>
      </c>
      <c r="F225" s="20" t="n">
        <v>1054</v>
      </c>
      <c r="H225" s="20" t="n">
        <v>1833</v>
      </c>
      <c r="J225" s="20" t="n">
        <v>356</v>
      </c>
      <c r="L225" s="20" t="n">
        <v>336</v>
      </c>
      <c r="N225" s="20" t="n">
        <v>134</v>
      </c>
      <c r="O225" s="20" t="n">
        <v>1553</v>
      </c>
      <c r="P225" s="20" t="n">
        <v>390</v>
      </c>
      <c r="Q225" s="20" t="n">
        <v>1407</v>
      </c>
      <c r="R225" s="20" t="n">
        <v>-1254</v>
      </c>
      <c r="S225" s="20" t="n">
        <v>531</v>
      </c>
      <c r="T225" s="20" t="n">
        <v>790</v>
      </c>
      <c r="U225" s="20" t="n">
        <v>199</v>
      </c>
      <c r="V225" s="20" t="n">
        <v>-639</v>
      </c>
      <c r="W225" s="20" t="n">
        <v>1833</v>
      </c>
      <c r="X225" s="20" t="n">
        <v>336</v>
      </c>
    </row>
    <row r="226">
      <c r="A226" s="18" t="inlineStr">
        <is>
          <t>소계</t>
        </is>
      </c>
      <c r="D226" s="20" t="n">
        <v>15694</v>
      </c>
      <c r="F226" s="20" t="n">
        <v>9393</v>
      </c>
      <c r="H226" s="20" t="n">
        <v>18014</v>
      </c>
      <c r="J226" s="20" t="n">
        <v>10275</v>
      </c>
      <c r="L226" s="20" t="n">
        <v>18220</v>
      </c>
      <c r="N226" s="20" t="n">
        <v>10050</v>
      </c>
      <c r="O226" s="20" t="n">
        <v>8313</v>
      </c>
      <c r="P226" s="20" t="n">
        <v>9785</v>
      </c>
      <c r="Q226" s="20" t="n">
        <v>11132</v>
      </c>
      <c r="R226" s="20" t="n">
        <v>9440</v>
      </c>
      <c r="S226" s="20" t="n">
        <v>11808</v>
      </c>
      <c r="T226" s="20" t="n">
        <v>11754</v>
      </c>
      <c r="U226" s="20" t="n">
        <v>12152</v>
      </c>
      <c r="V226" s="20" t="n">
        <v>15694</v>
      </c>
      <c r="W226" s="20" t="n">
        <v>18014</v>
      </c>
      <c r="X226" s="20" t="n">
        <v>18220</v>
      </c>
    </row>
    <row r="227">
      <c r="A227" s="18" t="inlineStr">
        <is>
          <t>이자·배당금 수취</t>
        </is>
      </c>
      <c r="D227" s="20" t="n">
        <v>190</v>
      </c>
      <c r="F227" s="20" t="n">
        <v>177</v>
      </c>
      <c r="H227" s="20" t="n">
        <v>320</v>
      </c>
      <c r="J227" s="20" t="n">
        <v>163</v>
      </c>
      <c r="L227" s="20" t="n">
        <v>419</v>
      </c>
      <c r="N227" s="20" t="n">
        <v>199</v>
      </c>
      <c r="O227" s="20" t="n">
        <v>238</v>
      </c>
      <c r="P227" s="20" t="n">
        <v>288</v>
      </c>
      <c r="Q227" s="20" t="n">
        <v>376</v>
      </c>
      <c r="R227" s="20" t="n">
        <v>361</v>
      </c>
      <c r="S227" s="20" t="n">
        <v>214</v>
      </c>
      <c r="T227" s="20" t="n">
        <v>132</v>
      </c>
      <c r="U227" s="20" t="n">
        <v>240</v>
      </c>
      <c r="V227" s="20" t="n">
        <v>190</v>
      </c>
      <c r="W227" s="20" t="n">
        <v>320</v>
      </c>
      <c r="X227" s="20" t="n">
        <v>419</v>
      </c>
    </row>
    <row r="228">
      <c r="A228" s="18" t="inlineStr">
        <is>
          <t>이자 지급</t>
        </is>
      </c>
      <c r="D228" s="20" t="n">
        <v>-33</v>
      </c>
      <c r="F228" s="20" t="n">
        <v>-16</v>
      </c>
      <c r="H228" s="20" t="n">
        <v>-35</v>
      </c>
      <c r="J228" s="20" t="n">
        <v>-18</v>
      </c>
      <c r="L228" s="20" t="n">
        <v>-39</v>
      </c>
      <c r="N228" s="20" t="n">
        <v>-20</v>
      </c>
      <c r="O228" s="20" t="n">
        <v>-25</v>
      </c>
      <c r="P228" s="20" t="n">
        <v>-24</v>
      </c>
      <c r="Q228" s="20" t="n">
        <v>-23</v>
      </c>
      <c r="R228" s="20" t="n">
        <v>-30</v>
      </c>
      <c r="S228" s="20" t="n">
        <v>-27</v>
      </c>
      <c r="T228" s="20" t="n">
        <v>-25</v>
      </c>
      <c r="U228" s="20" t="n">
        <v>-35</v>
      </c>
      <c r="V228" s="20" t="n">
        <v>-33</v>
      </c>
      <c r="W228" s="20" t="n">
        <v>-35</v>
      </c>
      <c r="X228" s="20" t="n">
        <v>-39</v>
      </c>
    </row>
    <row r="229">
      <c r="A229" s="18" t="inlineStr">
        <is>
          <t>법인세 납부·환급</t>
        </is>
      </c>
      <c r="D229" s="20" t="n">
        <v>-3878</v>
      </c>
      <c r="F229" s="20" t="n">
        <v>-932</v>
      </c>
      <c r="H229" s="20" t="n">
        <v>-2286</v>
      </c>
      <c r="J229" s="20" t="n">
        <v>-2672</v>
      </c>
      <c r="L229" s="20" t="n">
        <v>-4149</v>
      </c>
      <c r="N229" s="20" t="n">
        <v>-1565</v>
      </c>
      <c r="O229" s="20" t="n">
        <v>-1247</v>
      </c>
      <c r="P229" s="20" t="n">
        <v>-1602</v>
      </c>
      <c r="Q229" s="20" t="n">
        <v>-1987</v>
      </c>
      <c r="R229" s="20" t="n">
        <v>-2082</v>
      </c>
      <c r="S229" s="20" t="n">
        <v>-1353</v>
      </c>
      <c r="T229" s="20" t="n">
        <v>-2102</v>
      </c>
      <c r="U229" s="20" t="n">
        <v>-3233</v>
      </c>
      <c r="V229" s="20" t="n">
        <v>-3878</v>
      </c>
      <c r="W229" s="20" t="n">
        <v>-2286</v>
      </c>
      <c r="X229" s="20" t="n">
        <v>-4149</v>
      </c>
    </row>
    <row r="230">
      <c r="A230" s="9" t="inlineStr">
        <is>
          <t>영업활동 현금흐름</t>
        </is>
      </c>
      <c r="D230" s="12" t="n">
        <v>11973</v>
      </c>
      <c r="F230" s="12" t="n">
        <v>8622</v>
      </c>
      <c r="H230" s="12" t="n">
        <v>16013</v>
      </c>
      <c r="J230" s="12" t="n">
        <v>7748</v>
      </c>
      <c r="L230" s="12" t="n">
        <v>14450</v>
      </c>
      <c r="N230" s="12" t="n">
        <v>8664</v>
      </c>
      <c r="O230" s="12" t="n">
        <v>7278</v>
      </c>
      <c r="P230" s="12" t="n">
        <v>8447</v>
      </c>
      <c r="Q230" s="12" t="n">
        <v>9498</v>
      </c>
      <c r="R230" s="12" t="n">
        <v>7688</v>
      </c>
      <c r="S230" s="12" t="n">
        <v>10641</v>
      </c>
      <c r="T230" s="12" t="n">
        <v>9759</v>
      </c>
      <c r="U230" s="12" t="n">
        <v>9124</v>
      </c>
      <c r="V230" s="12" t="n">
        <v>11973</v>
      </c>
      <c r="W230" s="12" t="n">
        <v>16013</v>
      </c>
      <c r="X230" s="12" t="n">
        <v>14450</v>
      </c>
    </row>
    <row r="231">
      <c r="A231" s="18" t="inlineStr">
        <is>
          <t>정기예금 증감</t>
        </is>
      </c>
      <c r="D231" s="20" t="n">
        <v>1391</v>
      </c>
      <c r="F231" s="20" t="n">
        <v>-352</v>
      </c>
      <c r="H231" s="20" t="n">
        <v>-265</v>
      </c>
      <c r="J231" s="20" t="n">
        <v>-268</v>
      </c>
      <c r="L231" s="20" t="n">
        <v>-782</v>
      </c>
      <c r="N231" s="20" t="n">
        <v>-3064</v>
      </c>
      <c r="O231" s="20" t="n">
        <v>2011</v>
      </c>
      <c r="P231" s="20" t="n">
        <v>146</v>
      </c>
      <c r="Q231" s="20" t="n">
        <v>-88</v>
      </c>
      <c r="R231" s="20" t="n">
        <v>315</v>
      </c>
      <c r="S231" s="20" t="n">
        <v>-808</v>
      </c>
      <c r="T231" s="20" t="n">
        <v>-1010</v>
      </c>
      <c r="U231" s="20" t="n">
        <v>-32</v>
      </c>
      <c r="V231" s="20" t="n">
        <v>1391</v>
      </c>
      <c r="W231" s="20" t="n">
        <v>-265</v>
      </c>
      <c r="X231" s="20" t="n">
        <v>-782</v>
      </c>
    </row>
    <row r="232">
      <c r="A232" s="18" t="inlineStr">
        <is>
          <t>유형자산 취득(설비투자)</t>
        </is>
      </c>
      <c r="D232" s="20" t="n">
        <v>-14573</v>
      </c>
      <c r="F232" s="20" t="n">
        <v>-7174</v>
      </c>
      <c r="H232" s="20" t="n">
        <v>-10679</v>
      </c>
      <c r="J232" s="20" t="n">
        <v>-2343</v>
      </c>
      <c r="L232" s="20" t="n">
        <v>-4075</v>
      </c>
      <c r="N232" s="20" t="n">
        <v>-1612</v>
      </c>
      <c r="O232" s="20" t="n">
        <v>-3572</v>
      </c>
      <c r="P232" s="20" t="n">
        <v>-4546</v>
      </c>
      <c r="Q232" s="20" t="n">
        <v>-6596</v>
      </c>
      <c r="R232" s="20" t="n">
        <v>-4956</v>
      </c>
      <c r="S232" s="20" t="n">
        <v>-2785</v>
      </c>
      <c r="T232" s="20" t="n">
        <v>-4163</v>
      </c>
      <c r="U232" s="20" t="n">
        <v>-10401</v>
      </c>
      <c r="V232" s="20" t="n">
        <v>-14573</v>
      </c>
      <c r="W232" s="20" t="n">
        <v>-10679</v>
      </c>
      <c r="X232" s="20" t="n">
        <v>-4075</v>
      </c>
    </row>
    <row r="233">
      <c r="A233" s="18" t="inlineStr">
        <is>
          <t>투자유가증권 매각</t>
        </is>
      </c>
      <c r="O233" s="20" t="n">
        <v>0</v>
      </c>
      <c r="P233" s="20" t="n">
        <v>26</v>
      </c>
      <c r="Q233" s="20" t="n">
        <v>31</v>
      </c>
      <c r="R233" s="20" t="n">
        <v>324</v>
      </c>
      <c r="S233" s="20" t="n">
        <v>28</v>
      </c>
    </row>
    <row r="234">
      <c r="A234" s="18" t="inlineStr">
        <is>
          <t>유형자산 매각</t>
        </is>
      </c>
      <c r="D234" s="20" t="n">
        <v>493</v>
      </c>
      <c r="H234" s="20" t="n">
        <v>78</v>
      </c>
      <c r="L234" s="20" t="n">
        <v>39</v>
      </c>
      <c r="U234" s="20" t="n">
        <v>64</v>
      </c>
      <c r="V234" s="20" t="n">
        <v>493</v>
      </c>
      <c r="W234" s="20" t="n">
        <v>78</v>
      </c>
      <c r="X234" s="20" t="n">
        <v>39</v>
      </c>
    </row>
    <row r="235">
      <c r="A235" s="18" t="inlineStr">
        <is>
          <t>무형자산 취득</t>
        </is>
      </c>
      <c r="D235" s="20" t="n">
        <v>-362</v>
      </c>
      <c r="F235" s="20" t="n">
        <v>-139</v>
      </c>
      <c r="H235" s="20" t="n">
        <v>-280</v>
      </c>
      <c r="J235" s="20" t="n">
        <v>-142</v>
      </c>
      <c r="L235" s="20" t="n">
        <v>-163</v>
      </c>
      <c r="N235" s="20" t="n">
        <v>-29</v>
      </c>
      <c r="O235" s="20" t="n">
        <v>-69</v>
      </c>
      <c r="P235" s="20" t="n">
        <v>-18</v>
      </c>
      <c r="Q235" s="20" t="n">
        <v>-48</v>
      </c>
      <c r="S235" s="20" t="n">
        <v>-95</v>
      </c>
      <c r="T235" s="20" t="n">
        <v>-409</v>
      </c>
      <c r="U235" s="20" t="n">
        <v>-536</v>
      </c>
      <c r="V235" s="20" t="n">
        <v>-362</v>
      </c>
      <c r="W235" s="20" t="n">
        <v>-280</v>
      </c>
      <c r="X235" s="20" t="n">
        <v>-163</v>
      </c>
    </row>
    <row r="236">
      <c r="A236" s="18" t="inlineStr">
        <is>
          <t>투자유가증권 취득</t>
        </is>
      </c>
      <c r="O236" s="20" t="n">
        <v>-4</v>
      </c>
      <c r="P236" s="20" t="n">
        <v>-33</v>
      </c>
    </row>
    <row r="237">
      <c r="A237" s="18" t="inlineStr">
        <is>
          <t>연결범위 변경 자회사 주식 취득</t>
        </is>
      </c>
      <c r="S237" s="20" t="n">
        <v>0</v>
      </c>
      <c r="T237" s="20" t="n">
        <v>-3897</v>
      </c>
      <c r="U237" s="20" t="n">
        <v>0</v>
      </c>
    </row>
    <row r="238">
      <c r="A238" s="18" t="inlineStr">
        <is>
          <t>사업양도 수입</t>
        </is>
      </c>
      <c r="D238" s="20" t="n">
        <v>790</v>
      </c>
      <c r="H238" s="20" t="n">
        <v>0</v>
      </c>
      <c r="U238" s="20" t="n">
        <v>0</v>
      </c>
      <c r="V238" s="20" t="n">
        <v>790</v>
      </c>
      <c r="W238" s="20" t="n">
        <v>0</v>
      </c>
    </row>
    <row r="239">
      <c r="A239" s="18" t="inlineStr">
        <is>
          <t>기타</t>
        </is>
      </c>
      <c r="D239" s="20" t="n">
        <v>-53</v>
      </c>
      <c r="F239" s="20" t="n">
        <v>76</v>
      </c>
      <c r="H239" s="20" t="n">
        <v>167</v>
      </c>
      <c r="J239" s="20" t="n">
        <v>199</v>
      </c>
      <c r="L239" s="20" t="n">
        <v>233</v>
      </c>
      <c r="N239" s="20" t="n">
        <v>-28</v>
      </c>
      <c r="O239" s="20" t="n">
        <v>-208</v>
      </c>
      <c r="P239" s="20" t="n">
        <v>-44</v>
      </c>
      <c r="Q239" s="20" t="n">
        <v>-92</v>
      </c>
      <c r="R239" s="20" t="n">
        <v>-312</v>
      </c>
      <c r="S239" s="20" t="n">
        <v>-47</v>
      </c>
      <c r="T239" s="20" t="n">
        <v>-182</v>
      </c>
      <c r="U239" s="20" t="n">
        <v>-295</v>
      </c>
      <c r="V239" s="20" t="n">
        <v>-53</v>
      </c>
      <c r="W239" s="20" t="n">
        <v>167</v>
      </c>
      <c r="X239" s="20" t="n">
        <v>233</v>
      </c>
    </row>
    <row r="240">
      <c r="A240" s="9" t="inlineStr">
        <is>
          <t>투자활동 현금흐름</t>
        </is>
      </c>
      <c r="D240" s="12" t="n">
        <v>-12314</v>
      </c>
      <c r="F240" s="12" t="n">
        <v>-7590</v>
      </c>
      <c r="H240" s="12" t="n">
        <v>-10979</v>
      </c>
      <c r="J240" s="12" t="n">
        <v>-2554</v>
      </c>
      <c r="L240" s="12" t="n">
        <v>-4749</v>
      </c>
      <c r="N240" s="12" t="n">
        <v>-4735</v>
      </c>
      <c r="O240" s="12" t="n">
        <v>-1843</v>
      </c>
      <c r="P240" s="12" t="n">
        <v>-4437</v>
      </c>
      <c r="Q240" s="12" t="n">
        <v>-6745</v>
      </c>
      <c r="R240" s="12" t="n">
        <v>-4629</v>
      </c>
      <c r="S240" s="12" t="n">
        <v>-3736</v>
      </c>
      <c r="T240" s="12" t="n">
        <v>-9664</v>
      </c>
      <c r="U240" s="12" t="n">
        <v>-11200</v>
      </c>
      <c r="V240" s="12" t="n">
        <v>-12314</v>
      </c>
      <c r="W240" s="12" t="n">
        <v>-10979</v>
      </c>
      <c r="X240" s="12" t="n">
        <v>-4749</v>
      </c>
    </row>
    <row r="241">
      <c r="A241" s="18" t="inlineStr">
        <is>
          <t>자기주식 취득</t>
        </is>
      </c>
      <c r="D241" s="20" t="n">
        <v>-827</v>
      </c>
      <c r="H241" s="20" t="n">
        <v>-810</v>
      </c>
      <c r="L241" s="20" t="n">
        <v>-945</v>
      </c>
      <c r="O241" s="20" t="n">
        <v>-0</v>
      </c>
      <c r="P241" s="20" t="n">
        <v>-700</v>
      </c>
      <c r="Q241" s="20" t="n">
        <v>-438</v>
      </c>
      <c r="R241" s="20" t="n">
        <v>-434</v>
      </c>
      <c r="S241" s="20" t="n">
        <v>-0</v>
      </c>
      <c r="T241" s="20" t="n">
        <v>-617</v>
      </c>
      <c r="U241" s="20" t="n">
        <v>-0</v>
      </c>
      <c r="V241" s="20" t="n">
        <v>-827</v>
      </c>
      <c r="W241" s="20" t="n">
        <v>-810</v>
      </c>
      <c r="X241" s="20" t="n">
        <v>-945</v>
      </c>
    </row>
    <row r="242">
      <c r="A242" s="18" t="inlineStr">
        <is>
          <t>배당금 지급</t>
        </is>
      </c>
      <c r="D242" s="20" t="n">
        <v>-3398</v>
      </c>
      <c r="F242" s="20" t="n">
        <v>-1935</v>
      </c>
      <c r="H242" s="20" t="n">
        <v>-3951</v>
      </c>
      <c r="J242" s="20" t="n">
        <v>-2170</v>
      </c>
      <c r="L242" s="20" t="n">
        <v>-4584</v>
      </c>
      <c r="N242" s="20" t="n">
        <v>-2572</v>
      </c>
      <c r="O242" s="20" t="n">
        <v>-859</v>
      </c>
      <c r="P242" s="20" t="n">
        <v>-984</v>
      </c>
      <c r="Q242" s="20" t="n">
        <v>-1143</v>
      </c>
      <c r="R242" s="20" t="n">
        <v>-1301</v>
      </c>
      <c r="S242" s="20" t="n">
        <v>-1536</v>
      </c>
      <c r="T242" s="20" t="n">
        <v>-1860</v>
      </c>
      <c r="U242" s="20" t="n">
        <v>-2577</v>
      </c>
      <c r="V242" s="20" t="n">
        <v>-3398</v>
      </c>
      <c r="W242" s="20" t="n">
        <v>-3951</v>
      </c>
      <c r="X242" s="20" t="n">
        <v>-4584</v>
      </c>
    </row>
    <row r="243">
      <c r="A243" s="18" t="inlineStr">
        <is>
          <t>연결범위 변경 없는 자회사 주식 취득</t>
        </is>
      </c>
      <c r="O243" s="20" t="n">
        <v>-30</v>
      </c>
      <c r="P243" s="20" t="n">
        <v>0</v>
      </c>
      <c r="Q243" s="20" t="n">
        <v>-1740</v>
      </c>
      <c r="R243" s="20" t="n">
        <v>0</v>
      </c>
    </row>
    <row r="244">
      <c r="A244" s="18" t="inlineStr">
        <is>
          <t>자기주식 매각</t>
        </is>
      </c>
      <c r="D244" s="20" t="n">
        <v>434</v>
      </c>
      <c r="F244" s="20" t="n">
        <v>80</v>
      </c>
      <c r="H244" s="20" t="n">
        <v>235</v>
      </c>
      <c r="J244" s="20" t="n">
        <v>172</v>
      </c>
      <c r="L244" s="20" t="n">
        <v>545</v>
      </c>
      <c r="N244" s="20" t="n">
        <v>107</v>
      </c>
      <c r="S244" s="20" t="n">
        <v>13</v>
      </c>
      <c r="T244" s="20" t="n">
        <v>262</v>
      </c>
      <c r="U244" s="20" t="n">
        <v>328</v>
      </c>
      <c r="V244" s="20" t="n">
        <v>434</v>
      </c>
      <c r="W244" s="20" t="n">
        <v>235</v>
      </c>
      <c r="X244" s="20" t="n">
        <v>545</v>
      </c>
    </row>
    <row r="245">
      <c r="A245" s="18" t="inlineStr">
        <is>
          <t>기타</t>
        </is>
      </c>
      <c r="D245" s="20" t="n">
        <v>-356</v>
      </c>
      <c r="F245" s="20" t="n">
        <v>-187</v>
      </c>
      <c r="H245" s="20" t="n">
        <v>-378</v>
      </c>
      <c r="J245" s="20" t="n">
        <v>-204</v>
      </c>
      <c r="L245" s="20" t="n">
        <v>-465</v>
      </c>
      <c r="N245" s="20" t="n">
        <v>-204</v>
      </c>
      <c r="O245" s="20" t="n">
        <v>100</v>
      </c>
      <c r="P245" s="20" t="n">
        <v>14</v>
      </c>
      <c r="Q245" s="20" t="n">
        <v>116</v>
      </c>
      <c r="R245" s="20" t="n">
        <v>-512</v>
      </c>
      <c r="S245" s="20" t="n">
        <v>-168</v>
      </c>
      <c r="T245" s="20" t="n">
        <v>-766</v>
      </c>
      <c r="U245" s="20" t="n">
        <v>-250</v>
      </c>
      <c r="V245" s="20" t="n">
        <v>-356</v>
      </c>
      <c r="W245" s="20" t="n">
        <v>-378</v>
      </c>
      <c r="X245" s="20" t="n">
        <v>-465</v>
      </c>
    </row>
    <row r="246">
      <c r="A246" s="9" t="inlineStr">
        <is>
          <t>재무활동 현금흐름</t>
        </is>
      </c>
      <c r="D246" s="12" t="n">
        <v>-4148</v>
      </c>
      <c r="F246" s="12" t="n">
        <v>-2042</v>
      </c>
      <c r="H246" s="12" t="n">
        <v>-4904</v>
      </c>
      <c r="J246" s="12" t="n">
        <v>-2201</v>
      </c>
      <c r="L246" s="12" t="n">
        <v>-5451</v>
      </c>
      <c r="N246" s="12" t="n">
        <v>-2669</v>
      </c>
      <c r="O246" s="12" t="n">
        <v>-789</v>
      </c>
      <c r="P246" s="12" t="n">
        <v>-1670</v>
      </c>
      <c r="Q246" s="12" t="n">
        <v>-3204</v>
      </c>
      <c r="R246" s="12" t="n">
        <v>-1813</v>
      </c>
      <c r="S246" s="12" t="n">
        <v>-1691</v>
      </c>
      <c r="T246" s="12" t="n">
        <v>-2364</v>
      </c>
      <c r="U246" s="12" t="n">
        <v>-2498</v>
      </c>
      <c r="V246" s="12" t="n">
        <v>-4148</v>
      </c>
      <c r="W246" s="12" t="n">
        <v>-4904</v>
      </c>
      <c r="X246" s="12" t="n">
        <v>-5451</v>
      </c>
    </row>
    <row r="247">
      <c r="A247" s="18" t="inlineStr">
        <is>
          <t>현금성자산 환산차이</t>
        </is>
      </c>
      <c r="D247" s="20" t="n">
        <v>1318</v>
      </c>
      <c r="F247" s="20" t="n">
        <v>2189</v>
      </c>
      <c r="H247" s="20" t="n">
        <v>1934</v>
      </c>
      <c r="J247" s="20" t="n">
        <v>-1649</v>
      </c>
      <c r="L247" s="20" t="n">
        <v>27</v>
      </c>
      <c r="N247" s="20" t="n">
        <v>569</v>
      </c>
      <c r="O247" s="20" t="n">
        <v>-1041</v>
      </c>
      <c r="P247" s="20" t="n">
        <v>310</v>
      </c>
      <c r="Q247" s="20" t="n">
        <v>-727</v>
      </c>
      <c r="R247" s="20" t="n">
        <v>-372</v>
      </c>
      <c r="S247" s="20" t="n">
        <v>-940</v>
      </c>
      <c r="T247" s="20" t="n">
        <v>2104</v>
      </c>
      <c r="U247" s="20" t="n">
        <v>2569</v>
      </c>
      <c r="V247" s="20" t="n">
        <v>1318</v>
      </c>
      <c r="W247" s="20" t="n">
        <v>1934</v>
      </c>
      <c r="X247" s="20" t="n">
        <v>27</v>
      </c>
    </row>
    <row r="248">
      <c r="A248" s="18" t="inlineStr">
        <is>
          <t>현금성자산 증감</t>
        </is>
      </c>
      <c r="D248" s="20" t="n">
        <v>-3170</v>
      </c>
      <c r="F248" s="20" t="n">
        <v>1178</v>
      </c>
      <c r="H248" s="20" t="n">
        <v>2063</v>
      </c>
      <c r="J248" s="20" t="n">
        <v>1342</v>
      </c>
      <c r="L248" s="20" t="n">
        <v>4277</v>
      </c>
      <c r="N248" s="20" t="n">
        <v>1827</v>
      </c>
      <c r="O248" s="20" t="n">
        <v>3604</v>
      </c>
      <c r="P248" s="20" t="n">
        <v>2649</v>
      </c>
      <c r="Q248" s="20" t="n">
        <v>-1179</v>
      </c>
      <c r="R248" s="20" t="n">
        <v>873</v>
      </c>
      <c r="S248" s="20" t="n">
        <v>4272</v>
      </c>
      <c r="T248" s="20" t="n">
        <v>-165</v>
      </c>
      <c r="U248" s="20" t="n">
        <v>-2005</v>
      </c>
      <c r="V248" s="20" t="n">
        <v>-3170</v>
      </c>
      <c r="W248" s="20" t="n">
        <v>2063</v>
      </c>
      <c r="X248" s="20" t="n">
        <v>4277</v>
      </c>
    </row>
    <row r="249">
      <c r="A249" s="18" t="inlineStr">
        <is>
          <t>신규 연결 현금성자산 증가</t>
        </is>
      </c>
      <c r="O249" s="20" t="n">
        <v>0</v>
      </c>
      <c r="P249" s="20" t="n">
        <v>350</v>
      </c>
      <c r="Q249" s="20" t="n">
        <v>0</v>
      </c>
      <c r="S249" s="20" t="n">
        <v>0</v>
      </c>
      <c r="T249" s="20" t="n">
        <v>64</v>
      </c>
      <c r="U249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신에츠폴리머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97668</v>
      </c>
      <c r="D5" s="12" t="n">
        <v>100251</v>
      </c>
      <c r="E5" s="12" t="n">
        <v>101964</v>
      </c>
      <c r="F5" s="12" t="n">
        <v>102875</v>
      </c>
      <c r="G5" s="12" t="n">
        <v>111290</v>
      </c>
      <c r="H5" s="11" t="n">
        <v>90945</v>
      </c>
      <c r="I5" s="12" t="n">
        <v>98072</v>
      </c>
      <c r="J5" s="12" t="n">
        <v>92712</v>
      </c>
      <c r="K5" s="12" t="n">
        <v>99414</v>
      </c>
      <c r="L5" s="12" t="n">
        <v>101964</v>
      </c>
    </row>
    <row r="6">
      <c r="A6" s="18" t="inlineStr">
        <is>
          <t>현금및현금성자산</t>
        </is>
      </c>
      <c r="B6" s="10" t="n"/>
      <c r="C6" s="19" t="n">
        <v>46392</v>
      </c>
      <c r="D6" s="20" t="n">
        <v>44587</v>
      </c>
      <c r="E6" s="20" t="n">
        <v>50073</v>
      </c>
      <c r="F6" s="20" t="n">
        <v>50431</v>
      </c>
      <c r="G6" s="20" t="n">
        <v>55107</v>
      </c>
      <c r="H6" s="19" t="n">
        <v>48749</v>
      </c>
      <c r="I6" s="20" t="n">
        <v>46900</v>
      </c>
      <c r="J6" s="20" t="n">
        <v>42453</v>
      </c>
      <c r="K6" s="20" t="n">
        <v>44901</v>
      </c>
      <c r="L6" s="20" t="n">
        <v>50073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24353</v>
      </c>
      <c r="D8" s="20" t="n">
        <v>26999</v>
      </c>
      <c r="E8" s="20" t="n">
        <v>24333</v>
      </c>
      <c r="F8" s="20" t="n">
        <v>24183</v>
      </c>
      <c r="G8" s="20" t="n">
        <v>27848</v>
      </c>
      <c r="H8" s="19" t="n">
        <v>22525</v>
      </c>
      <c r="I8" s="20" t="n">
        <v>24745</v>
      </c>
      <c r="J8" s="20" t="n">
        <v>22145</v>
      </c>
      <c r="K8" s="20" t="n">
        <v>24588</v>
      </c>
      <c r="L8" s="20" t="n">
        <v>24333</v>
      </c>
    </row>
    <row r="9">
      <c r="A9" s="18" t="inlineStr">
        <is>
          <t>재고자산</t>
        </is>
      </c>
      <c r="B9" s="10" t="n"/>
      <c r="C9" s="19" t="n">
        <v>20857</v>
      </c>
      <c r="D9" s="20" t="n">
        <v>21226</v>
      </c>
      <c r="E9" s="20" t="n">
        <v>21460</v>
      </c>
      <c r="F9" s="20" t="n">
        <v>20821</v>
      </c>
      <c r="G9" s="20" t="n">
        <v>21632</v>
      </c>
      <c r="H9" s="19" t="n">
        <v>14897</v>
      </c>
      <c r="I9" s="20" t="n">
        <v>19630</v>
      </c>
      <c r="J9" s="20" t="n">
        <v>20212</v>
      </c>
      <c r="K9" s="20" t="n">
        <v>21927</v>
      </c>
      <c r="L9" s="20" t="n">
        <v>21460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51697</v>
      </c>
      <c r="D11" s="12" t="n">
        <v>50862</v>
      </c>
      <c r="E11" s="12" t="n">
        <v>51039</v>
      </c>
      <c r="F11" s="12" t="n">
        <v>50496</v>
      </c>
      <c r="G11" s="12" t="n">
        <v>51517</v>
      </c>
      <c r="H11" s="11" t="n">
        <v>31632</v>
      </c>
      <c r="I11" s="12" t="n">
        <v>37292</v>
      </c>
      <c r="J11" s="12" t="n">
        <v>48066</v>
      </c>
      <c r="K11" s="12" t="n">
        <v>53573</v>
      </c>
      <c r="L11" s="12" t="n">
        <v>51039</v>
      </c>
    </row>
    <row r="12">
      <c r="A12" s="18" t="inlineStr">
        <is>
          <t>유형자산</t>
        </is>
      </c>
      <c r="B12" s="10" t="n"/>
      <c r="C12" s="19" t="n">
        <v>47971</v>
      </c>
      <c r="D12" s="20" t="n">
        <v>47498</v>
      </c>
      <c r="E12" s="20" t="n">
        <v>47459</v>
      </c>
      <c r="F12" s="20" t="n">
        <v>47055</v>
      </c>
      <c r="G12" s="20" t="n">
        <v>47766</v>
      </c>
      <c r="H12" s="19" t="n">
        <v>27164</v>
      </c>
      <c r="I12" s="20" t="n">
        <v>33689</v>
      </c>
      <c r="J12" s="20" t="n">
        <v>44420</v>
      </c>
      <c r="K12" s="20" t="n">
        <v>49793</v>
      </c>
      <c r="L12" s="20" t="n">
        <v>47459</v>
      </c>
    </row>
    <row r="13">
      <c r="A13" s="18" t="inlineStr">
        <is>
          <t>무형자산</t>
        </is>
      </c>
      <c r="B13" s="10" t="n"/>
      <c r="C13" s="19" t="n">
        <v>909</v>
      </c>
      <c r="D13" s="20" t="n">
        <v>829</v>
      </c>
      <c r="E13" s="20" t="n">
        <v>760</v>
      </c>
      <c r="F13" s="20" t="n">
        <v>715</v>
      </c>
      <c r="G13" s="20" t="n">
        <v>657</v>
      </c>
      <c r="H13" s="19" t="n">
        <v>2301</v>
      </c>
      <c r="I13" s="20" t="n">
        <v>872</v>
      </c>
      <c r="J13" s="20" t="n">
        <v>986</v>
      </c>
      <c r="K13" s="20" t="n">
        <v>978</v>
      </c>
      <c r="L13" s="20" t="n">
        <v>760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149365</v>
      </c>
      <c r="D16" s="12" t="n">
        <v>151113</v>
      </c>
      <c r="E16" s="12" t="n">
        <v>153003</v>
      </c>
      <c r="F16" s="12" t="n">
        <v>153372</v>
      </c>
      <c r="G16" s="12" t="n">
        <v>162808</v>
      </c>
      <c r="H16" s="11" t="n">
        <v>122577</v>
      </c>
      <c r="I16" s="12" t="n">
        <v>135364</v>
      </c>
      <c r="J16" s="12" t="n">
        <v>140778</v>
      </c>
      <c r="K16" s="12" t="n">
        <v>152988</v>
      </c>
      <c r="L16" s="12" t="n">
        <v>153003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22463</v>
      </c>
      <c r="D18" s="12" t="n">
        <v>23289</v>
      </c>
      <c r="E18" s="12" t="n">
        <v>19968</v>
      </c>
      <c r="F18" s="12" t="n">
        <v>19174</v>
      </c>
      <c r="G18" s="12" t="n">
        <v>23926</v>
      </c>
      <c r="H18" s="11" t="n">
        <v>25707</v>
      </c>
      <c r="I18" s="12" t="n">
        <v>27489</v>
      </c>
      <c r="J18" s="12" t="n">
        <v>24870</v>
      </c>
      <c r="K18" s="12" t="n">
        <v>26566</v>
      </c>
      <c r="L18" s="12" t="n">
        <v>19968</v>
      </c>
    </row>
    <row r="19">
      <c r="A19" s="18" t="inlineStr">
        <is>
          <t>매입채무</t>
        </is>
      </c>
      <c r="B19" s="10" t="n"/>
      <c r="C19" s="19" t="n">
        <v>11308</v>
      </c>
      <c r="D19" s="20" t="n">
        <v>12672</v>
      </c>
      <c r="E19" s="20" t="n">
        <v>10638</v>
      </c>
      <c r="F19" s="20" t="n">
        <v>10396</v>
      </c>
      <c r="G19" s="20" t="n">
        <v>12383</v>
      </c>
      <c r="H19" s="19" t="n">
        <v>12817</v>
      </c>
      <c r="I19" s="20" t="n">
        <v>15065</v>
      </c>
      <c r="J19" s="20" t="n">
        <v>13333</v>
      </c>
      <c r="K19" s="20" t="n">
        <v>12917</v>
      </c>
      <c r="L19" s="20" t="n">
        <v>10638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3371</v>
      </c>
      <c r="D23" s="12" t="n">
        <v>3385</v>
      </c>
      <c r="E23" s="12" t="n">
        <v>3482</v>
      </c>
      <c r="F23" s="12" t="n">
        <v>3600</v>
      </c>
      <c r="G23" s="12" t="n">
        <v>3411</v>
      </c>
      <c r="H23" s="11" t="n">
        <v>2533</v>
      </c>
      <c r="I23" s="12" t="n">
        <v>2746</v>
      </c>
      <c r="J23" s="12" t="n">
        <v>2941</v>
      </c>
      <c r="K23" s="12" t="n">
        <v>3268</v>
      </c>
      <c r="L23" s="12" t="n">
        <v>3482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25835</v>
      </c>
      <c r="D27" s="12" t="n">
        <v>26674</v>
      </c>
      <c r="E27" s="12" t="n">
        <v>23450</v>
      </c>
      <c r="F27" s="12" t="n">
        <v>22775</v>
      </c>
      <c r="G27" s="12" t="n">
        <v>27337</v>
      </c>
      <c r="H27" s="11" t="n">
        <v>28240</v>
      </c>
      <c r="I27" s="12" t="n">
        <v>30236</v>
      </c>
      <c r="J27" s="12" t="n">
        <v>27811</v>
      </c>
      <c r="K27" s="12" t="n">
        <v>29834</v>
      </c>
      <c r="L27" s="12" t="n">
        <v>23450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123026</v>
      </c>
      <c r="D31" s="12" t="n">
        <v>123950</v>
      </c>
      <c r="E31" s="12" t="n">
        <v>129107</v>
      </c>
      <c r="F31" s="12" t="n">
        <v>130171</v>
      </c>
      <c r="G31" s="12" t="n">
        <v>134909</v>
      </c>
      <c r="H31" s="11" t="n">
        <v>93996</v>
      </c>
      <c r="I31" s="12" t="n">
        <v>104734</v>
      </c>
      <c r="J31" s="12" t="n">
        <v>112579</v>
      </c>
      <c r="K31" s="12" t="n">
        <v>122744</v>
      </c>
      <c r="L31" s="12" t="n">
        <v>129107</v>
      </c>
    </row>
    <row r="32">
      <c r="A32" s="18" t="inlineStr">
        <is>
          <t>자본금</t>
        </is>
      </c>
      <c r="B32" s="10" t="n"/>
      <c r="C32" s="19" t="n">
        <v>11635</v>
      </c>
      <c r="D32" s="20" t="n">
        <v>11635</v>
      </c>
      <c r="E32" s="20" t="n">
        <v>11635</v>
      </c>
      <c r="F32" s="20" t="n">
        <v>11635</v>
      </c>
      <c r="G32" s="20" t="n">
        <v>11635</v>
      </c>
      <c r="H32" s="19" t="n">
        <v>11635</v>
      </c>
      <c r="I32" s="20" t="n">
        <v>11635</v>
      </c>
      <c r="J32" s="20" t="n">
        <v>11635</v>
      </c>
      <c r="K32" s="20" t="n">
        <v>11635</v>
      </c>
      <c r="L32" s="20" t="n">
        <v>11635</v>
      </c>
    </row>
    <row r="33">
      <c r="A33" s="18" t="inlineStr">
        <is>
          <t>이익잉여금</t>
        </is>
      </c>
      <c r="B33" s="10" t="n"/>
      <c r="C33" s="19" t="n">
        <v>93806</v>
      </c>
      <c r="D33" s="20" t="n">
        <v>94116</v>
      </c>
      <c r="E33" s="20" t="n">
        <v>95795</v>
      </c>
      <c r="F33" s="20" t="n">
        <v>95639</v>
      </c>
      <c r="G33" s="20" t="n">
        <v>99318</v>
      </c>
      <c r="H33" s="19" t="n">
        <v>73670</v>
      </c>
      <c r="I33" s="20" t="n">
        <v>79619</v>
      </c>
      <c r="J33" s="20" t="n">
        <v>85022</v>
      </c>
      <c r="K33" s="20" t="n">
        <v>90495</v>
      </c>
      <c r="L33" s="20" t="n">
        <v>95795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123530</v>
      </c>
      <c r="D35" s="12" t="n">
        <v>124438</v>
      </c>
      <c r="E35" s="12" t="n">
        <v>129553</v>
      </c>
      <c r="F35" s="12" t="n">
        <v>130597</v>
      </c>
      <c r="G35" s="12" t="n">
        <v>135470</v>
      </c>
      <c r="H35" s="11" t="n">
        <v>94337</v>
      </c>
      <c r="I35" s="12" t="n">
        <v>105128</v>
      </c>
      <c r="J35" s="12" t="n">
        <v>112967</v>
      </c>
      <c r="K35" s="12" t="n">
        <v>123154</v>
      </c>
      <c r="L35" s="12" t="n">
        <v>129553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15139</v>
      </c>
      <c r="D37" s="12" t="n"/>
      <c r="E37" s="12" t="n">
        <v>14450</v>
      </c>
      <c r="F37" s="12" t="n"/>
      <c r="G37" s="12" t="n">
        <v>15366</v>
      </c>
      <c r="H37" s="11" t="n">
        <v>9759</v>
      </c>
      <c r="I37" s="12" t="n">
        <v>9124</v>
      </c>
      <c r="J37" s="12" t="n">
        <v>11973</v>
      </c>
      <c r="K37" s="12" t="n">
        <v>16013</v>
      </c>
      <c r="L37" s="12" t="n">
        <v>14450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6131</v>
      </c>
      <c r="D38" s="20" t="n"/>
      <c r="E38" s="20" t="n">
        <v>4238</v>
      </c>
      <c r="F38" s="20" t="n"/>
      <c r="G38" s="20" t="n">
        <v>3394</v>
      </c>
      <c r="H38" s="19" t="n">
        <v>4572</v>
      </c>
      <c r="I38" s="20" t="n">
        <v>10937</v>
      </c>
      <c r="J38" s="20" t="n">
        <v>14935</v>
      </c>
      <c r="K38" s="20" t="n">
        <v>10959</v>
      </c>
      <c r="L38" s="20" t="n">
        <v>4238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4186</v>
      </c>
      <c r="D40" s="20" t="n"/>
      <c r="E40" s="20" t="n">
        <v>4584</v>
      </c>
      <c r="F40" s="20" t="n"/>
      <c r="G40" s="20" t="n">
        <v>4986</v>
      </c>
      <c r="H40" s="19" t="n">
        <v>1860</v>
      </c>
      <c r="I40" s="20" t="n">
        <v>2577</v>
      </c>
      <c r="J40" s="20" t="n">
        <v>3398</v>
      </c>
      <c r="K40" s="20" t="n">
        <v>3951</v>
      </c>
      <c r="L40" s="20" t="n">
        <v>4584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46392</v>
      </c>
      <c r="D71" s="20" t="n">
        <v>44587</v>
      </c>
      <c r="E71" s="20" t="n">
        <v>50073</v>
      </c>
      <c r="F71" s="20" t="n">
        <v>50431</v>
      </c>
      <c r="G71" s="20" t="n">
        <v>55107</v>
      </c>
      <c r="H71" s="20" t="n">
        <v>48749</v>
      </c>
      <c r="I71" s="20" t="n">
        <v>46900</v>
      </c>
      <c r="J71" s="20" t="n">
        <v>42453</v>
      </c>
      <c r="K71" s="20" t="n">
        <v>44901</v>
      </c>
      <c r="L71" s="20" t="n">
        <v>50073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24353</v>
      </c>
      <c r="D73" s="20" t="n">
        <v>26999</v>
      </c>
      <c r="E73" s="20" t="n">
        <v>24333</v>
      </c>
      <c r="F73" s="20" t="n">
        <v>24183</v>
      </c>
      <c r="G73" s="20" t="n">
        <v>27848</v>
      </c>
      <c r="H73" s="20" t="n">
        <v>22525</v>
      </c>
      <c r="I73" s="20" t="n">
        <v>24745</v>
      </c>
      <c r="J73" s="20" t="n">
        <v>22145</v>
      </c>
      <c r="K73" s="20" t="n">
        <v>24588</v>
      </c>
      <c r="L73" s="20" t="n">
        <v>24333</v>
      </c>
    </row>
    <row r="74">
      <c r="A74" s="18" t="inlineStr">
        <is>
          <t>전자기록채권</t>
        </is>
      </c>
      <c r="C74" s="20" t="n">
        <v>3613</v>
      </c>
      <c r="D74" s="20" t="n">
        <v>4461</v>
      </c>
      <c r="E74" s="20" t="n">
        <v>3610</v>
      </c>
      <c r="F74" s="20" t="n">
        <v>4479</v>
      </c>
      <c r="G74" s="20" t="n">
        <v>4374</v>
      </c>
      <c r="H74" s="20" t="n">
        <v>2571</v>
      </c>
      <c r="I74" s="20" t="n">
        <v>3509</v>
      </c>
      <c r="J74" s="20" t="n">
        <v>3934</v>
      </c>
      <c r="K74" s="20" t="n">
        <v>3449</v>
      </c>
      <c r="L74" s="20" t="n">
        <v>3610</v>
      </c>
    </row>
    <row r="75">
      <c r="A75" s="18" t="inlineStr">
        <is>
          <t>상품·제품</t>
        </is>
      </c>
      <c r="C75" s="20" t="n">
        <v>12834</v>
      </c>
      <c r="D75" s="20" t="n">
        <v>12990</v>
      </c>
      <c r="E75" s="20" t="n">
        <v>12974</v>
      </c>
      <c r="F75" s="20" t="n">
        <v>12376</v>
      </c>
      <c r="G75" s="20" t="n">
        <v>12223</v>
      </c>
      <c r="H75" s="20" t="n">
        <v>8152</v>
      </c>
      <c r="I75" s="20" t="n">
        <v>11291</v>
      </c>
      <c r="J75" s="20" t="n">
        <v>12833</v>
      </c>
      <c r="K75" s="20" t="n">
        <v>13563</v>
      </c>
      <c r="L75" s="20" t="n">
        <v>12974</v>
      </c>
    </row>
    <row r="76">
      <c r="A76" s="18" t="inlineStr">
        <is>
          <t>재공품</t>
        </is>
      </c>
      <c r="C76" s="20" t="n">
        <v>1687</v>
      </c>
      <c r="D76" s="20" t="n">
        <v>1716</v>
      </c>
      <c r="E76" s="20" t="n">
        <v>2067</v>
      </c>
      <c r="F76" s="20" t="n">
        <v>1920</v>
      </c>
      <c r="G76" s="20" t="n">
        <v>2172</v>
      </c>
      <c r="H76" s="20" t="n">
        <v>1720</v>
      </c>
      <c r="I76" s="20" t="n">
        <v>2006</v>
      </c>
      <c r="J76" s="20" t="n">
        <v>1628</v>
      </c>
      <c r="K76" s="20" t="n">
        <v>1672</v>
      </c>
      <c r="L76" s="20" t="n">
        <v>2067</v>
      </c>
    </row>
    <row r="77">
      <c r="A77" s="18" t="inlineStr">
        <is>
          <t>원재료·저장품</t>
        </is>
      </c>
      <c r="C77" s="20" t="n">
        <v>6336</v>
      </c>
      <c r="D77" s="20" t="n">
        <v>6520</v>
      </c>
      <c r="E77" s="20" t="n">
        <v>6419</v>
      </c>
      <c r="F77" s="20" t="n">
        <v>6525</v>
      </c>
      <c r="G77" s="20" t="n">
        <v>7237</v>
      </c>
      <c r="H77" s="20" t="n">
        <v>5025</v>
      </c>
      <c r="I77" s="20" t="n">
        <v>6333</v>
      </c>
      <c r="J77" s="20" t="n">
        <v>5751</v>
      </c>
      <c r="K77" s="20" t="n">
        <v>6692</v>
      </c>
      <c r="L77" s="20" t="n">
        <v>6419</v>
      </c>
    </row>
    <row r="78">
      <c r="A78" s="18" t="inlineStr">
        <is>
          <t>미수금</t>
        </is>
      </c>
      <c r="C78" s="20" t="n">
        <v>2194</v>
      </c>
      <c r="D78" s="20" t="n">
        <v>2404</v>
      </c>
      <c r="E78" s="20" t="n">
        <v>2121</v>
      </c>
      <c r="F78" s="20" t="n">
        <v>2448</v>
      </c>
      <c r="G78" s="20" t="n">
        <v>1804</v>
      </c>
      <c r="H78" s="20" t="n">
        <v>1911</v>
      </c>
      <c r="I78" s="20" t="n">
        <v>2723</v>
      </c>
      <c r="J78" s="20" t="n">
        <v>2823</v>
      </c>
      <c r="K78" s="20" t="n">
        <v>4065</v>
      </c>
      <c r="L78" s="20" t="n">
        <v>2121</v>
      </c>
    </row>
    <row r="79">
      <c r="A79" s="18" t="inlineStr">
        <is>
          <t>기타</t>
        </is>
      </c>
      <c r="C79" s="20" t="n">
        <v>536</v>
      </c>
      <c r="D79" s="20" t="n">
        <v>800</v>
      </c>
      <c r="E79" s="20" t="n">
        <v>548</v>
      </c>
      <c r="F79" s="20" t="n">
        <v>685</v>
      </c>
      <c r="G79" s="20" t="n">
        <v>631</v>
      </c>
      <c r="H79" s="20" t="n">
        <v>583</v>
      </c>
      <c r="I79" s="20" t="n">
        <v>922</v>
      </c>
      <c r="J79" s="20" t="n">
        <v>1294</v>
      </c>
      <c r="K79" s="20" t="n">
        <v>597</v>
      </c>
      <c r="L79" s="20" t="n">
        <v>548</v>
      </c>
    </row>
    <row r="80">
      <c r="A80" s="18" t="inlineStr">
        <is>
          <t>대손충당금</t>
        </is>
      </c>
      <c r="C80" s="20" t="n">
        <v>-281</v>
      </c>
      <c r="D80" s="20" t="n">
        <v>-231</v>
      </c>
      <c r="E80" s="20" t="n">
        <v>-186</v>
      </c>
      <c r="F80" s="20" t="n">
        <v>-176</v>
      </c>
      <c r="G80" s="20" t="n">
        <v>-109</v>
      </c>
      <c r="H80" s="20" t="n">
        <v>-293</v>
      </c>
      <c r="I80" s="20" t="n">
        <v>-360</v>
      </c>
      <c r="J80" s="20" t="n">
        <v>-153</v>
      </c>
      <c r="K80" s="20" t="n">
        <v>-116</v>
      </c>
      <c r="L80" s="20" t="n">
        <v>-186</v>
      </c>
    </row>
    <row r="81">
      <c r="A81" s="9" t="inlineStr">
        <is>
          <t>유동자산 합계</t>
        </is>
      </c>
      <c r="C81" s="12" t="n">
        <v>97668</v>
      </c>
      <c r="D81" s="12" t="n">
        <v>100251</v>
      </c>
      <c r="E81" s="12" t="n">
        <v>101964</v>
      </c>
      <c r="F81" s="12" t="n">
        <v>102875</v>
      </c>
      <c r="G81" s="12" t="n">
        <v>111290</v>
      </c>
      <c r="H81" s="12" t="n">
        <v>90945</v>
      </c>
      <c r="I81" s="12" t="n">
        <v>98072</v>
      </c>
      <c r="J81" s="12" t="n">
        <v>92712</v>
      </c>
      <c r="K81" s="12" t="n">
        <v>99414</v>
      </c>
      <c r="L81" s="12" t="n">
        <v>101964</v>
      </c>
    </row>
    <row r="82">
      <c r="A82" s="18" t="inlineStr">
        <is>
          <t>건물·구축물(순액)</t>
        </is>
      </c>
      <c r="C82" s="20" t="n">
        <v>27101</v>
      </c>
      <c r="D82" s="20" t="n">
        <v>26927</v>
      </c>
      <c r="E82" s="20" t="n">
        <v>26939</v>
      </c>
      <c r="F82" s="20" t="n">
        <v>26646</v>
      </c>
      <c r="G82" s="20" t="n">
        <v>26427</v>
      </c>
      <c r="H82" s="20" t="n">
        <v>8965</v>
      </c>
      <c r="I82" s="20" t="n">
        <v>12885</v>
      </c>
      <c r="J82" s="20" t="n">
        <v>17181</v>
      </c>
      <c r="K82" s="20" t="n">
        <v>27292</v>
      </c>
      <c r="L82" s="20" t="n">
        <v>26939</v>
      </c>
    </row>
    <row r="83">
      <c r="A83" s="18" t="inlineStr">
        <is>
          <t>기계장치·운반구(순액)</t>
        </is>
      </c>
      <c r="C83" s="20" t="n">
        <v>8719</v>
      </c>
      <c r="D83" s="20" t="n">
        <v>8628</v>
      </c>
      <c r="E83" s="20" t="n">
        <v>8330</v>
      </c>
      <c r="F83" s="20" t="n">
        <v>8006</v>
      </c>
      <c r="G83" s="20" t="n">
        <v>7951</v>
      </c>
      <c r="H83" s="20" t="n">
        <v>5243</v>
      </c>
      <c r="I83" s="20" t="n">
        <v>7245</v>
      </c>
      <c r="J83" s="20" t="n">
        <v>6865</v>
      </c>
      <c r="K83" s="20" t="n">
        <v>9016</v>
      </c>
      <c r="L83" s="20" t="n">
        <v>8330</v>
      </c>
    </row>
    <row r="84">
      <c r="A84" s="18" t="inlineStr">
        <is>
          <t>토지</t>
        </is>
      </c>
      <c r="C84" s="20" t="n">
        <v>6741</v>
      </c>
      <c r="D84" s="20" t="n">
        <v>6765</v>
      </c>
      <c r="E84" s="20" t="n">
        <v>6849</v>
      </c>
      <c r="F84" s="20" t="n">
        <v>6846</v>
      </c>
      <c r="G84" s="20" t="n">
        <v>6861</v>
      </c>
      <c r="H84" s="20" t="n">
        <v>6864</v>
      </c>
      <c r="I84" s="20" t="n">
        <v>6975</v>
      </c>
      <c r="J84" s="20" t="n">
        <v>6696</v>
      </c>
      <c r="K84" s="20" t="n">
        <v>6825</v>
      </c>
      <c r="L84" s="20" t="n">
        <v>6849</v>
      </c>
    </row>
    <row r="85">
      <c r="A85" s="18" t="inlineStr">
        <is>
          <t>건설중인자산</t>
        </is>
      </c>
      <c r="C85" s="20" t="n">
        <v>2796</v>
      </c>
      <c r="D85" s="20" t="n">
        <v>2623</v>
      </c>
      <c r="E85" s="20" t="n">
        <v>2816</v>
      </c>
      <c r="F85" s="20" t="n">
        <v>2979</v>
      </c>
      <c r="G85" s="20" t="n">
        <v>3940</v>
      </c>
      <c r="H85" s="20" t="n">
        <v>4049</v>
      </c>
      <c r="I85" s="20" t="n">
        <v>4457</v>
      </c>
      <c r="J85" s="20" t="n">
        <v>11487</v>
      </c>
      <c r="K85" s="20" t="n">
        <v>3688</v>
      </c>
      <c r="L85" s="20" t="n">
        <v>2816</v>
      </c>
    </row>
    <row r="86">
      <c r="A86" s="18" t="inlineStr">
        <is>
          <t>기타(순액)</t>
        </is>
      </c>
      <c r="C86" s="20" t="n">
        <v>2612</v>
      </c>
      <c r="D86" s="20" t="n">
        <v>2554</v>
      </c>
      <c r="E86" s="20" t="n">
        <v>2522</v>
      </c>
      <c r="F86" s="20" t="n">
        <v>2577</v>
      </c>
      <c r="G86" s="20" t="n">
        <v>2585</v>
      </c>
      <c r="H86" s="20" t="n">
        <v>2041</v>
      </c>
      <c r="I86" s="20" t="n">
        <v>2125</v>
      </c>
      <c r="J86" s="20" t="n">
        <v>2190</v>
      </c>
      <c r="K86" s="20" t="n">
        <v>2970</v>
      </c>
      <c r="L86" s="20" t="n">
        <v>2522</v>
      </c>
    </row>
    <row r="87">
      <c r="A87" s="18" t="inlineStr">
        <is>
          <t>유형자산 합계</t>
        </is>
      </c>
      <c r="C87" s="20" t="n">
        <v>47971</v>
      </c>
      <c r="D87" s="20" t="n">
        <v>47498</v>
      </c>
      <c r="E87" s="20" t="n">
        <v>47459</v>
      </c>
      <c r="F87" s="20" t="n">
        <v>47055</v>
      </c>
      <c r="G87" s="20" t="n">
        <v>47766</v>
      </c>
      <c r="H87" s="20" t="n">
        <v>27164</v>
      </c>
      <c r="I87" s="20" t="n">
        <v>33689</v>
      </c>
      <c r="J87" s="20" t="n">
        <v>44420</v>
      </c>
      <c r="K87" s="20" t="n">
        <v>49793</v>
      </c>
      <c r="L87" s="20" t="n">
        <v>47459</v>
      </c>
    </row>
    <row r="88">
      <c r="A88" s="18" t="inlineStr">
        <is>
          <t>소프트웨어</t>
        </is>
      </c>
      <c r="C88" s="20" t="n">
        <v>811</v>
      </c>
      <c r="D88" s="20" t="n">
        <v>749</v>
      </c>
      <c r="E88" s="20" t="n">
        <v>715</v>
      </c>
      <c r="F88" s="20" t="n">
        <v>663</v>
      </c>
      <c r="G88" s="20" t="n">
        <v>608</v>
      </c>
      <c r="H88" s="20" t="n">
        <v>114</v>
      </c>
      <c r="I88" s="20" t="n">
        <v>126</v>
      </c>
      <c r="J88" s="20" t="n">
        <v>776</v>
      </c>
      <c r="K88" s="20" t="n">
        <v>836</v>
      </c>
      <c r="L88" s="20" t="n">
        <v>715</v>
      </c>
    </row>
    <row r="89">
      <c r="A89" s="18" t="inlineStr">
        <is>
          <t>영업권</t>
        </is>
      </c>
      <c r="C89" s="20" t="n">
        <v>38</v>
      </c>
      <c r="D89" s="20" t="n">
        <v>20</v>
      </c>
      <c r="E89" s="20" t="n">
        <v>0</v>
      </c>
      <c r="H89" s="20" t="n">
        <v>1574</v>
      </c>
      <c r="I89" s="20" t="n">
        <v>199</v>
      </c>
      <c r="J89" s="20" t="n">
        <v>144</v>
      </c>
      <c r="K89" s="20" t="n">
        <v>81</v>
      </c>
      <c r="L89" s="20" t="n">
        <v>0</v>
      </c>
    </row>
    <row r="90">
      <c r="A90" s="18" t="inlineStr">
        <is>
          <t>기타</t>
        </is>
      </c>
      <c r="C90" s="20" t="n">
        <v>59</v>
      </c>
      <c r="D90" s="20" t="n">
        <v>59</v>
      </c>
      <c r="E90" s="20" t="n">
        <v>44</v>
      </c>
      <c r="F90" s="20" t="n">
        <v>52</v>
      </c>
      <c r="G90" s="20" t="n">
        <v>48</v>
      </c>
      <c r="H90" s="20" t="n">
        <v>612</v>
      </c>
      <c r="I90" s="20" t="n">
        <v>546</v>
      </c>
      <c r="J90" s="20" t="n">
        <v>65</v>
      </c>
      <c r="K90" s="20" t="n">
        <v>61</v>
      </c>
      <c r="L90" s="20" t="n">
        <v>44</v>
      </c>
    </row>
    <row r="91">
      <c r="A91" s="18" t="inlineStr">
        <is>
          <t>무형자산 합계</t>
        </is>
      </c>
      <c r="C91" s="20" t="n">
        <v>909</v>
      </c>
      <c r="D91" s="20" t="n">
        <v>829</v>
      </c>
      <c r="E91" s="20" t="n">
        <v>760</v>
      </c>
      <c r="F91" s="20" t="n">
        <v>715</v>
      </c>
      <c r="G91" s="20" t="n">
        <v>657</v>
      </c>
      <c r="H91" s="20" t="n">
        <v>2301</v>
      </c>
      <c r="I91" s="20" t="n">
        <v>872</v>
      </c>
      <c r="J91" s="20" t="n">
        <v>986</v>
      </c>
      <c r="K91" s="20" t="n">
        <v>978</v>
      </c>
      <c r="L91" s="20" t="n">
        <v>760</v>
      </c>
    </row>
    <row r="92">
      <c r="A92" s="18" t="inlineStr">
        <is>
          <t>투자유가증권</t>
        </is>
      </c>
      <c r="C92" s="20" t="n">
        <v>974</v>
      </c>
      <c r="D92" s="20" t="n">
        <v>1088</v>
      </c>
      <c r="E92" s="20" t="n">
        <v>1149</v>
      </c>
      <c r="F92" s="20" t="n">
        <v>1459</v>
      </c>
      <c r="G92" s="20" t="n">
        <v>1569</v>
      </c>
      <c r="H92" s="20" t="n">
        <v>895</v>
      </c>
      <c r="I92" s="20" t="n">
        <v>934</v>
      </c>
      <c r="J92" s="20" t="n">
        <v>1112</v>
      </c>
      <c r="K92" s="20" t="n">
        <v>929</v>
      </c>
      <c r="L92" s="20" t="n">
        <v>1149</v>
      </c>
    </row>
    <row r="93">
      <c r="A93" s="18" t="inlineStr">
        <is>
          <t>이연법인세자산</t>
        </is>
      </c>
      <c r="C93" s="20" t="n">
        <v>969</v>
      </c>
      <c r="D93" s="20" t="n">
        <v>570</v>
      </c>
      <c r="E93" s="20" t="n">
        <v>781</v>
      </c>
      <c r="F93" s="20" t="n">
        <v>374</v>
      </c>
      <c r="G93" s="20" t="n">
        <v>632</v>
      </c>
      <c r="H93" s="20" t="n">
        <v>293</v>
      </c>
      <c r="I93" s="20" t="n">
        <v>639</v>
      </c>
      <c r="J93" s="20" t="n">
        <v>501</v>
      </c>
      <c r="K93" s="20" t="n">
        <v>881</v>
      </c>
      <c r="L93" s="20" t="n">
        <v>781</v>
      </c>
    </row>
    <row r="94">
      <c r="A94" s="18" t="inlineStr">
        <is>
          <t>기타</t>
        </is>
      </c>
      <c r="C94" s="20" t="n">
        <v>872</v>
      </c>
      <c r="D94" s="20" t="n">
        <v>876</v>
      </c>
      <c r="E94" s="20" t="n">
        <v>888</v>
      </c>
      <c r="F94" s="20" t="n">
        <v>890</v>
      </c>
      <c r="G94" s="20" t="n">
        <v>892</v>
      </c>
      <c r="H94" s="20" t="n">
        <v>977</v>
      </c>
      <c r="I94" s="20" t="n">
        <v>1155</v>
      </c>
      <c r="J94" s="20" t="n">
        <v>1044</v>
      </c>
      <c r="K94" s="20" t="n">
        <v>990</v>
      </c>
      <c r="L94" s="20" t="n">
        <v>888</v>
      </c>
    </row>
    <row r="95">
      <c r="A95" s="18" t="inlineStr">
        <is>
          <t>투자 및 기타자산 합계</t>
        </is>
      </c>
      <c r="C95" s="20" t="n">
        <v>2815</v>
      </c>
      <c r="D95" s="20" t="n">
        <v>2534</v>
      </c>
      <c r="E95" s="20" t="n">
        <v>2820</v>
      </c>
      <c r="F95" s="20" t="n">
        <v>2724</v>
      </c>
      <c r="G95" s="20" t="n">
        <v>3093</v>
      </c>
      <c r="H95" s="20" t="n">
        <v>2165</v>
      </c>
      <c r="I95" s="20" t="n">
        <v>2730</v>
      </c>
      <c r="J95" s="20" t="n">
        <v>2658</v>
      </c>
      <c r="K95" s="20" t="n">
        <v>2801</v>
      </c>
      <c r="L95" s="20" t="n">
        <v>2820</v>
      </c>
    </row>
    <row r="96">
      <c r="A96" s="9" t="inlineStr">
        <is>
          <t>비유동자산 합계</t>
        </is>
      </c>
      <c r="C96" s="12" t="n">
        <v>51697</v>
      </c>
      <c r="D96" s="12" t="n">
        <v>50862</v>
      </c>
      <c r="E96" s="12" t="n">
        <v>51039</v>
      </c>
      <c r="F96" s="12" t="n">
        <v>50496</v>
      </c>
      <c r="G96" s="12" t="n">
        <v>51517</v>
      </c>
      <c r="H96" s="12" t="n">
        <v>31632</v>
      </c>
      <c r="I96" s="12" t="n">
        <v>37292</v>
      </c>
      <c r="J96" s="12" t="n">
        <v>48066</v>
      </c>
      <c r="K96" s="12" t="n">
        <v>53573</v>
      </c>
      <c r="L96" s="12" t="n">
        <v>51039</v>
      </c>
    </row>
    <row r="97">
      <c r="A97" s="9" t="inlineStr">
        <is>
          <t>자산 합계</t>
        </is>
      </c>
      <c r="C97" s="12" t="n">
        <v>149365</v>
      </c>
      <c r="D97" s="12" t="n">
        <v>151113</v>
      </c>
      <c r="E97" s="12" t="n">
        <v>153003</v>
      </c>
      <c r="F97" s="12" t="n">
        <v>153372</v>
      </c>
      <c r="G97" s="12" t="n">
        <v>162808</v>
      </c>
      <c r="H97" s="12" t="n">
        <v>122577</v>
      </c>
      <c r="I97" s="12" t="n">
        <v>135364</v>
      </c>
      <c r="J97" s="12" t="n">
        <v>140778</v>
      </c>
      <c r="K97" s="12" t="n">
        <v>152988</v>
      </c>
      <c r="L97" s="12" t="n">
        <v>153003</v>
      </c>
    </row>
    <row r="98">
      <c r="A98" s="18" t="inlineStr">
        <is>
          <t>지급어음·매입채무</t>
        </is>
      </c>
      <c r="C98" s="20" t="n">
        <v>11308</v>
      </c>
      <c r="D98" s="20" t="n">
        <v>12672</v>
      </c>
      <c r="E98" s="20" t="n">
        <v>10638</v>
      </c>
      <c r="F98" s="20" t="n">
        <v>10396</v>
      </c>
      <c r="G98" s="20" t="n">
        <v>12383</v>
      </c>
      <c r="H98" s="20" t="n">
        <v>12817</v>
      </c>
      <c r="I98" s="20" t="n">
        <v>15065</v>
      </c>
      <c r="J98" s="20" t="n">
        <v>13333</v>
      </c>
      <c r="K98" s="20" t="n">
        <v>12917</v>
      </c>
      <c r="L98" s="20" t="n">
        <v>10638</v>
      </c>
    </row>
    <row r="99">
      <c r="A99" s="18" t="inlineStr">
        <is>
          <t>전자기록채무</t>
        </is>
      </c>
      <c r="C99" s="20" t="n">
        <v>2739</v>
      </c>
      <c r="D99" s="20" t="n">
        <v>3349</v>
      </c>
      <c r="E99" s="20" t="n">
        <v>984</v>
      </c>
      <c r="F99" s="20" t="n">
        <v>911</v>
      </c>
      <c r="G99" s="20" t="n">
        <v>825</v>
      </c>
      <c r="H99" s="20" t="n">
        <v>2885</v>
      </c>
      <c r="I99" s="20" t="n">
        <v>2948</v>
      </c>
      <c r="J99" s="20" t="n">
        <v>2917</v>
      </c>
      <c r="K99" s="20" t="n">
        <v>3281</v>
      </c>
      <c r="L99" s="20" t="n">
        <v>984</v>
      </c>
    </row>
    <row r="100">
      <c r="A100" s="18" t="inlineStr">
        <is>
          <t>미지급금</t>
        </is>
      </c>
      <c r="C100" s="20" t="n">
        <v>762</v>
      </c>
      <c r="D100" s="20" t="n">
        <v>437</v>
      </c>
      <c r="E100" s="20" t="n">
        <v>514</v>
      </c>
      <c r="F100" s="20" t="n">
        <v>594</v>
      </c>
      <c r="G100" s="20" t="n">
        <v>1497</v>
      </c>
      <c r="H100" s="20" t="n">
        <v>2906</v>
      </c>
      <c r="I100" s="20" t="n">
        <v>735</v>
      </c>
      <c r="J100" s="20" t="n">
        <v>1648</v>
      </c>
      <c r="K100" s="20" t="n">
        <v>1057</v>
      </c>
      <c r="L100" s="20" t="n">
        <v>514</v>
      </c>
    </row>
    <row r="101">
      <c r="A101" s="18" t="inlineStr">
        <is>
          <t>미지급법인세</t>
        </is>
      </c>
      <c r="C101" s="20" t="n">
        <v>1946</v>
      </c>
      <c r="D101" s="20" t="n">
        <v>920</v>
      </c>
      <c r="E101" s="20" t="n">
        <v>1680</v>
      </c>
      <c r="F101" s="20" t="n">
        <v>1397</v>
      </c>
      <c r="G101" s="20" t="n">
        <v>2990</v>
      </c>
      <c r="H101" s="20" t="n">
        <v>1670</v>
      </c>
      <c r="I101" s="20" t="n">
        <v>1719</v>
      </c>
      <c r="J101" s="20" t="n">
        <v>888</v>
      </c>
      <c r="K101" s="20" t="n">
        <v>2776</v>
      </c>
      <c r="L101" s="20" t="n">
        <v>1680</v>
      </c>
    </row>
    <row r="102">
      <c r="A102" s="18" t="inlineStr">
        <is>
          <t>미지급비용</t>
        </is>
      </c>
      <c r="C102" s="20" t="n">
        <v>2695</v>
      </c>
      <c r="D102" s="20" t="n">
        <v>3029</v>
      </c>
      <c r="E102" s="20" t="n">
        <v>3012</v>
      </c>
      <c r="F102" s="20" t="n">
        <v>2786</v>
      </c>
      <c r="G102" s="20" t="n">
        <v>2820</v>
      </c>
      <c r="H102" s="20" t="n">
        <v>2081</v>
      </c>
      <c r="I102" s="20" t="n">
        <v>2361</v>
      </c>
      <c r="J102" s="20" t="n">
        <v>2182</v>
      </c>
      <c r="K102" s="20" t="n">
        <v>2739</v>
      </c>
      <c r="L102" s="20" t="n">
        <v>3012</v>
      </c>
    </row>
    <row r="103">
      <c r="A103" s="18" t="inlineStr">
        <is>
          <t>상여충당금</t>
        </is>
      </c>
      <c r="C103" s="20" t="n">
        <v>1746</v>
      </c>
      <c r="D103" s="20" t="n">
        <v>1332</v>
      </c>
      <c r="E103" s="20" t="n">
        <v>1579</v>
      </c>
      <c r="F103" s="20" t="n">
        <v>1034</v>
      </c>
      <c r="G103" s="20" t="n">
        <v>1778</v>
      </c>
      <c r="H103" s="20" t="n">
        <v>1506</v>
      </c>
      <c r="I103" s="20" t="n">
        <v>1713</v>
      </c>
      <c r="J103" s="20" t="n">
        <v>1526</v>
      </c>
      <c r="K103" s="20" t="n">
        <v>1695</v>
      </c>
      <c r="L103" s="20" t="n">
        <v>1579</v>
      </c>
    </row>
    <row r="104">
      <c r="A104" s="18" t="inlineStr">
        <is>
          <t>임원 상여충당금</t>
        </is>
      </c>
      <c r="C104" s="20" t="n">
        <v>29</v>
      </c>
      <c r="D104" s="20" t="n">
        <v>44</v>
      </c>
      <c r="E104" s="20" t="n">
        <v>59</v>
      </c>
      <c r="F104" s="20" t="n">
        <v>13</v>
      </c>
      <c r="G104" s="20" t="n">
        <v>27</v>
      </c>
      <c r="H104" s="20" t="n">
        <v>31</v>
      </c>
      <c r="I104" s="20" t="n">
        <v>34</v>
      </c>
      <c r="J104" s="20" t="n">
        <v>43</v>
      </c>
      <c r="K104" s="20" t="n">
        <v>73</v>
      </c>
      <c r="L104" s="20" t="n">
        <v>59</v>
      </c>
    </row>
    <row r="105">
      <c r="A105" s="18" t="inlineStr">
        <is>
          <t>기타</t>
        </is>
      </c>
      <c r="C105" s="20" t="n">
        <v>1235</v>
      </c>
      <c r="D105" s="20" t="n">
        <v>1502</v>
      </c>
      <c r="E105" s="20" t="n">
        <v>1497</v>
      </c>
      <c r="F105" s="20" t="n">
        <v>2039</v>
      </c>
      <c r="G105" s="20" t="n">
        <v>1602</v>
      </c>
      <c r="H105" s="20" t="n">
        <v>1808</v>
      </c>
      <c r="I105" s="20" t="n">
        <v>2911</v>
      </c>
      <c r="J105" s="20" t="n">
        <v>2330</v>
      </c>
      <c r="K105" s="20" t="n">
        <v>2023</v>
      </c>
      <c r="L105" s="20" t="n">
        <v>1497</v>
      </c>
    </row>
    <row r="106">
      <c r="A106" s="9" t="inlineStr">
        <is>
          <t>유동부채 합계</t>
        </is>
      </c>
      <c r="C106" s="12" t="n">
        <v>22463</v>
      </c>
      <c r="D106" s="12" t="n">
        <v>23289</v>
      </c>
      <c r="E106" s="12" t="n">
        <v>19968</v>
      </c>
      <c r="F106" s="12" t="n">
        <v>19174</v>
      </c>
      <c r="G106" s="12" t="n">
        <v>23926</v>
      </c>
      <c r="H106" s="12" t="n">
        <v>25707</v>
      </c>
      <c r="I106" s="12" t="n">
        <v>27489</v>
      </c>
      <c r="J106" s="12" t="n">
        <v>24870</v>
      </c>
      <c r="K106" s="12" t="n">
        <v>26566</v>
      </c>
      <c r="L106" s="12" t="n">
        <v>19968</v>
      </c>
    </row>
    <row r="107">
      <c r="A107" s="18" t="inlineStr">
        <is>
          <t>퇴직급여부채</t>
        </is>
      </c>
      <c r="C107" s="20" t="n">
        <v>1295</v>
      </c>
      <c r="D107" s="20" t="n">
        <v>1268</v>
      </c>
      <c r="E107" s="20" t="n">
        <v>1342</v>
      </c>
      <c r="F107" s="20" t="n">
        <v>1333</v>
      </c>
      <c r="G107" s="20" t="n">
        <v>1316</v>
      </c>
      <c r="H107" s="20" t="n">
        <v>1303</v>
      </c>
      <c r="I107" s="20" t="n">
        <v>1335</v>
      </c>
      <c r="J107" s="20" t="n">
        <v>1369</v>
      </c>
      <c r="K107" s="20" t="n">
        <v>1358</v>
      </c>
      <c r="L107" s="20" t="n">
        <v>1342</v>
      </c>
    </row>
    <row r="108">
      <c r="A108" s="18" t="inlineStr">
        <is>
          <t>기타</t>
        </is>
      </c>
      <c r="C108" s="20" t="n">
        <v>2076</v>
      </c>
      <c r="D108" s="20" t="n">
        <v>2117</v>
      </c>
      <c r="E108" s="20" t="n">
        <v>2139</v>
      </c>
      <c r="F108" s="20" t="n">
        <v>2267</v>
      </c>
      <c r="G108" s="20" t="n">
        <v>2094</v>
      </c>
      <c r="H108" s="20" t="n">
        <v>1229</v>
      </c>
      <c r="I108" s="20" t="n">
        <v>1410</v>
      </c>
      <c r="J108" s="20" t="n">
        <v>1571</v>
      </c>
      <c r="K108" s="20" t="n">
        <v>1909</v>
      </c>
      <c r="L108" s="20" t="n">
        <v>2139</v>
      </c>
    </row>
    <row r="109">
      <c r="A109" s="9" t="inlineStr">
        <is>
          <t>비유동부채 합계</t>
        </is>
      </c>
      <c r="C109" s="12" t="n">
        <v>3371</v>
      </c>
      <c r="D109" s="12" t="n">
        <v>3385</v>
      </c>
      <c r="E109" s="12" t="n">
        <v>3482</v>
      </c>
      <c r="F109" s="12" t="n">
        <v>3600</v>
      </c>
      <c r="G109" s="12" t="n">
        <v>3411</v>
      </c>
      <c r="H109" s="12" t="n">
        <v>2533</v>
      </c>
      <c r="I109" s="12" t="n">
        <v>2746</v>
      </c>
      <c r="J109" s="12" t="n">
        <v>2941</v>
      </c>
      <c r="K109" s="12" t="n">
        <v>3268</v>
      </c>
      <c r="L109" s="12" t="n">
        <v>3482</v>
      </c>
    </row>
    <row r="110">
      <c r="A110" s="9" t="inlineStr">
        <is>
          <t>부채 합계</t>
        </is>
      </c>
      <c r="C110" s="12" t="n">
        <v>25835</v>
      </c>
      <c r="D110" s="12" t="n">
        <v>26674</v>
      </c>
      <c r="E110" s="12" t="n">
        <v>23450</v>
      </c>
      <c r="F110" s="12" t="n">
        <v>22775</v>
      </c>
      <c r="G110" s="12" t="n">
        <v>27337</v>
      </c>
      <c r="H110" s="12" t="n">
        <v>28240</v>
      </c>
      <c r="I110" s="12" t="n">
        <v>30236</v>
      </c>
      <c r="J110" s="12" t="n">
        <v>27811</v>
      </c>
      <c r="K110" s="12" t="n">
        <v>29834</v>
      </c>
      <c r="L110" s="12" t="n">
        <v>23450</v>
      </c>
    </row>
    <row r="111">
      <c r="A111" s="18" t="inlineStr">
        <is>
          <t>자본금</t>
        </is>
      </c>
      <c r="C111" s="20" t="n">
        <v>11635</v>
      </c>
      <c r="D111" s="20" t="n">
        <v>11635</v>
      </c>
      <c r="E111" s="20" t="n">
        <v>11635</v>
      </c>
      <c r="F111" s="20" t="n">
        <v>11635</v>
      </c>
      <c r="G111" s="20" t="n">
        <v>11635</v>
      </c>
      <c r="H111" s="20" t="n">
        <v>11635</v>
      </c>
      <c r="I111" s="20" t="n">
        <v>11635</v>
      </c>
      <c r="J111" s="20" t="n">
        <v>11635</v>
      </c>
      <c r="K111" s="20" t="n">
        <v>11635</v>
      </c>
      <c r="L111" s="20" t="n">
        <v>11635</v>
      </c>
    </row>
    <row r="112">
      <c r="A112" s="18" t="inlineStr">
        <is>
          <t>자본잉여금</t>
        </is>
      </c>
      <c r="C112" s="20" t="n">
        <v>10733</v>
      </c>
      <c r="D112" s="20" t="n">
        <v>10720</v>
      </c>
      <c r="E112" s="20" t="n">
        <v>10718</v>
      </c>
      <c r="F112" s="20" t="n">
        <v>10723</v>
      </c>
      <c r="G112" s="20" t="n">
        <v>10727</v>
      </c>
      <c r="H112" s="20" t="n">
        <v>10718</v>
      </c>
      <c r="I112" s="20" t="n">
        <v>10764</v>
      </c>
      <c r="J112" s="20" t="n">
        <v>10755</v>
      </c>
      <c r="K112" s="20" t="n">
        <v>10730</v>
      </c>
      <c r="L112" s="20" t="n">
        <v>10718</v>
      </c>
    </row>
    <row r="113">
      <c r="A113" s="18" t="inlineStr">
        <is>
          <t>이익잉여금</t>
        </is>
      </c>
      <c r="C113" s="20" t="n">
        <v>93806</v>
      </c>
      <c r="D113" s="20" t="n">
        <v>94116</v>
      </c>
      <c r="E113" s="20" t="n">
        <v>95795</v>
      </c>
      <c r="F113" s="20" t="n">
        <v>95639</v>
      </c>
      <c r="G113" s="20" t="n">
        <v>99318</v>
      </c>
      <c r="H113" s="20" t="n">
        <v>73670</v>
      </c>
      <c r="I113" s="20" t="n">
        <v>79619</v>
      </c>
      <c r="J113" s="20" t="n">
        <v>85022</v>
      </c>
      <c r="K113" s="20" t="n">
        <v>90495</v>
      </c>
      <c r="L113" s="20" t="n">
        <v>95795</v>
      </c>
    </row>
    <row r="114">
      <c r="A114" s="18" t="inlineStr">
        <is>
          <t>자기주식</t>
        </is>
      </c>
      <c r="C114" s="20" t="n">
        <v>-2455</v>
      </c>
      <c r="D114" s="20" t="n">
        <v>-3301</v>
      </c>
      <c r="E114" s="20" t="n">
        <v>-3017</v>
      </c>
      <c r="F114" s="20" t="n">
        <v>-2933</v>
      </c>
      <c r="G114" s="20" t="n">
        <v>-2902</v>
      </c>
      <c r="H114" s="20" t="n">
        <v>-1988</v>
      </c>
      <c r="I114" s="20" t="n">
        <v>-1660</v>
      </c>
      <c r="J114" s="20" t="n">
        <v>-2052</v>
      </c>
      <c r="K114" s="20" t="n">
        <v>-2628</v>
      </c>
      <c r="L114" s="20" t="n">
        <v>-3017</v>
      </c>
    </row>
    <row r="115">
      <c r="A115" s="9" t="inlineStr">
        <is>
          <t>주주자본 합계</t>
        </is>
      </c>
      <c r="C115" s="12" t="n">
        <v>113720</v>
      </c>
      <c r="D115" s="12" t="n">
        <v>113170</v>
      </c>
      <c r="E115" s="12" t="n">
        <v>115132</v>
      </c>
      <c r="F115" s="12" t="n">
        <v>115064</v>
      </c>
      <c r="G115" s="12" t="n">
        <v>118779</v>
      </c>
      <c r="H115" s="12" t="n">
        <v>94036</v>
      </c>
      <c r="I115" s="12" t="n">
        <v>100360</v>
      </c>
      <c r="J115" s="12" t="n">
        <v>105361</v>
      </c>
      <c r="K115" s="12" t="n">
        <v>110234</v>
      </c>
      <c r="L115" s="12" t="n">
        <v>115132</v>
      </c>
    </row>
    <row r="116">
      <c r="A116" s="18" t="inlineStr">
        <is>
          <t>기타유가증권 평가차액</t>
        </is>
      </c>
      <c r="C116" s="20" t="n">
        <v>409</v>
      </c>
      <c r="D116" s="20" t="n">
        <v>487</v>
      </c>
      <c r="E116" s="20" t="n">
        <v>529</v>
      </c>
      <c r="F116" s="20" t="n">
        <v>742</v>
      </c>
      <c r="G116" s="20" t="n">
        <v>817</v>
      </c>
      <c r="H116" s="20" t="n">
        <v>303</v>
      </c>
      <c r="I116" s="20" t="n">
        <v>338</v>
      </c>
      <c r="J116" s="20" t="n">
        <v>477</v>
      </c>
      <c r="K116" s="20" t="n">
        <v>371</v>
      </c>
      <c r="L116" s="20" t="n">
        <v>529</v>
      </c>
    </row>
    <row r="117">
      <c r="A117" s="18" t="inlineStr">
        <is>
          <t>해외사업환산조정</t>
        </is>
      </c>
      <c r="C117" s="20" t="n">
        <v>8903</v>
      </c>
      <c r="D117" s="20" t="n">
        <v>10298</v>
      </c>
      <c r="E117" s="20" t="n">
        <v>13474</v>
      </c>
      <c r="F117" s="20" t="n">
        <v>14393</v>
      </c>
      <c r="G117" s="20" t="n">
        <v>15342</v>
      </c>
      <c r="H117" s="20" t="n">
        <v>-357</v>
      </c>
      <c r="I117" s="20" t="n">
        <v>4030</v>
      </c>
      <c r="J117" s="20" t="n">
        <v>6719</v>
      </c>
      <c r="K117" s="20" t="n">
        <v>12149</v>
      </c>
      <c r="L117" s="20" t="n">
        <v>13474</v>
      </c>
    </row>
    <row r="118">
      <c r="A118" s="18" t="inlineStr">
        <is>
          <t>퇴직급여 조정누계액</t>
        </is>
      </c>
      <c r="C118" s="20" t="n">
        <v>-8</v>
      </c>
      <c r="D118" s="20" t="n">
        <v>-6</v>
      </c>
      <c r="E118" s="20" t="n">
        <v>-30</v>
      </c>
      <c r="F118" s="20" t="n">
        <v>-30</v>
      </c>
      <c r="G118" s="20" t="n">
        <v>-30</v>
      </c>
      <c r="H118" s="20" t="n">
        <v>12</v>
      </c>
      <c r="I118" s="20" t="n">
        <v>4</v>
      </c>
      <c r="J118" s="20" t="n">
        <v>19</v>
      </c>
      <c r="K118" s="20" t="n">
        <v>-10</v>
      </c>
      <c r="L118" s="20" t="n">
        <v>-30</v>
      </c>
    </row>
    <row r="119">
      <c r="A119" s="18" t="inlineStr">
        <is>
          <t>기타포괄손익누계액 합계</t>
        </is>
      </c>
      <c r="C119" s="20" t="n">
        <v>9304</v>
      </c>
      <c r="D119" s="20" t="n">
        <v>10779</v>
      </c>
      <c r="E119" s="20" t="n">
        <v>13974</v>
      </c>
      <c r="F119" s="20" t="n">
        <v>15105</v>
      </c>
      <c r="G119" s="20" t="n">
        <v>16129</v>
      </c>
      <c r="H119" s="20" t="n">
        <v>-41</v>
      </c>
      <c r="I119" s="20" t="n">
        <v>4373</v>
      </c>
      <c r="J119" s="20" t="n">
        <v>7217</v>
      </c>
      <c r="K119" s="20" t="n">
        <v>12509</v>
      </c>
      <c r="L119" s="20" t="n">
        <v>13974</v>
      </c>
    </row>
    <row r="120">
      <c r="A120" s="18" t="inlineStr">
        <is>
          <t>신주예약권</t>
        </is>
      </c>
      <c r="C120" s="20" t="n">
        <v>504</v>
      </c>
      <c r="D120" s="20" t="n">
        <v>488</v>
      </c>
      <c r="E120" s="20" t="n">
        <v>446</v>
      </c>
      <c r="F120" s="20" t="n">
        <v>426</v>
      </c>
      <c r="G120" s="20" t="n">
        <v>561</v>
      </c>
      <c r="H120" s="20" t="n">
        <v>341</v>
      </c>
      <c r="I120" s="20" t="n">
        <v>394</v>
      </c>
      <c r="J120" s="20" t="n">
        <v>388</v>
      </c>
      <c r="K120" s="20" t="n">
        <v>410</v>
      </c>
      <c r="L120" s="20" t="n">
        <v>446</v>
      </c>
    </row>
    <row r="121">
      <c r="A121" s="9" t="inlineStr">
        <is>
          <t>순자산 합계</t>
        </is>
      </c>
      <c r="C121" s="12" t="n">
        <v>123530</v>
      </c>
      <c r="D121" s="12" t="n">
        <v>124438</v>
      </c>
      <c r="E121" s="12" t="n">
        <v>129553</v>
      </c>
      <c r="F121" s="12" t="n">
        <v>130597</v>
      </c>
      <c r="G121" s="12" t="n">
        <v>135470</v>
      </c>
      <c r="H121" s="12" t="n">
        <v>94337</v>
      </c>
      <c r="I121" s="12" t="n">
        <v>105128</v>
      </c>
      <c r="J121" s="12" t="n">
        <v>112967</v>
      </c>
      <c r="K121" s="12" t="n">
        <v>123154</v>
      </c>
      <c r="L121" s="12" t="n">
        <v>129553</v>
      </c>
    </row>
    <row r="122">
      <c r="A122" s="9" t="inlineStr">
        <is>
          <t>부채·순자산 합계</t>
        </is>
      </c>
      <c r="C122" s="12" t="n">
        <v>149365</v>
      </c>
      <c r="D122" s="12" t="n">
        <v>151113</v>
      </c>
      <c r="E122" s="12" t="n">
        <v>153003</v>
      </c>
      <c r="F122" s="12" t="n">
        <v>153372</v>
      </c>
      <c r="G122" s="12" t="n">
        <v>162808</v>
      </c>
      <c r="H122" s="12" t="n">
        <v>122577</v>
      </c>
      <c r="I122" s="12" t="n">
        <v>135364</v>
      </c>
      <c r="J122" s="12" t="n">
        <v>140778</v>
      </c>
      <c r="K122" s="12" t="n">
        <v>152988</v>
      </c>
      <c r="L122" s="12" t="n">
        <v>153003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신에츠폴리머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337.4</v>
      </c>
      <c r="C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52.1</v>
      </c>
    </row>
    <row r="8">
      <c r="A8" s="54" t="inlineStr">
        <is>
          <t>매출 YoY</t>
        </is>
      </c>
      <c r="B8" s="55" t="n">
        <v>19.5</v>
      </c>
    </row>
    <row r="9">
      <c r="A9" s="54" t="inlineStr">
        <is>
          <t>영업이익 YoY</t>
        </is>
      </c>
      <c r="B9" s="55" t="n">
        <v>58.4</v>
      </c>
    </row>
    <row r="11">
      <c r="A11" s="52" t="inlineStr">
        <is>
          <t>guide fy2027</t>
        </is>
      </c>
      <c r="B11" s="52" t="n"/>
      <c r="C11" s="52" t="n"/>
    </row>
    <row r="12">
      <c r="A12" s="53" t="inlineStr">
        <is>
          <t>항목</t>
        </is>
      </c>
      <c r="B12" s="53" t="inlineStr">
        <is>
          <t>값</t>
        </is>
      </c>
      <c r="C12" s="53" t="inlineStr">
        <is>
          <t>출처</t>
        </is>
      </c>
    </row>
    <row r="13">
      <c r="A13" s="54" t="inlineStr">
        <is>
          <t>매출</t>
        </is>
      </c>
      <c r="B13" s="57" t="n">
        <v>1270</v>
      </c>
      <c r="C13" s="56" t="inlineStr">
        <is>
          <t>2단계 보고서 자료(회사 설명회 자료·공시)</t>
        </is>
      </c>
    </row>
    <row r="14">
      <c r="A14" s="54" t="inlineStr">
        <is>
          <t>영업이익</t>
        </is>
      </c>
      <c r="B14" s="57" t="n">
        <v>182</v>
      </c>
    </row>
    <row r="15">
      <c r="A15" s="54" t="inlineStr">
        <is>
          <t>ordinary</t>
        </is>
      </c>
      <c r="B15" s="57" t="n">
        <v>180</v>
      </c>
    </row>
    <row r="16">
      <c r="A16" s="54" t="inlineStr">
        <is>
          <t>순이익</t>
        </is>
      </c>
      <c r="B16" s="57" t="n">
        <v>118</v>
      </c>
    </row>
    <row r="17">
      <c r="A17" s="54" t="inlineStr">
        <is>
          <t>EPS</t>
        </is>
      </c>
      <c r="B17" s="55" t="n">
        <v>146.82</v>
      </c>
    </row>
    <row r="18">
      <c r="A18" s="54" t="inlineStr">
        <is>
          <t>dps</t>
        </is>
      </c>
      <c r="B18" s="57" t="n">
        <v>72</v>
      </c>
    </row>
    <row r="20">
      <c r="A20" s="52" t="inlineStr">
        <is>
          <t>guide fy2027 · 직전</t>
        </is>
      </c>
      <c r="B20" s="52" t="n"/>
      <c r="C20" s="52" t="n"/>
    </row>
    <row r="21">
      <c r="A21" s="53" t="inlineStr">
        <is>
          <t>항목</t>
        </is>
      </c>
      <c r="B21" s="53" t="inlineStr">
        <is>
          <t>값</t>
        </is>
      </c>
      <c r="C21" s="53" t="inlineStr">
        <is>
          <t>출처</t>
        </is>
      </c>
    </row>
    <row r="22">
      <c r="A22" s="54" t="inlineStr">
        <is>
          <t>매출</t>
        </is>
      </c>
      <c r="B22" s="57" t="n">
        <v>1200</v>
      </c>
      <c r="C22" s="56" t="inlineStr">
        <is>
          <t>2단계 보고서 자료(회사 설명회 자료·공시)</t>
        </is>
      </c>
    </row>
    <row r="23">
      <c r="A23" s="54" t="inlineStr">
        <is>
          <t>영업이익</t>
        </is>
      </c>
      <c r="B23" s="57" t="n">
        <v>160</v>
      </c>
    </row>
    <row r="24">
      <c r="A24" s="54" t="inlineStr">
        <is>
          <t>순이익</t>
        </is>
      </c>
      <c r="B24" s="57" t="n">
        <v>105</v>
      </c>
    </row>
    <row r="25">
      <c r="A25" s="54" t="inlineStr">
        <is>
          <t>EPS</t>
        </is>
      </c>
      <c r="B25" s="55" t="n">
        <v>130.64</v>
      </c>
    </row>
    <row r="27">
      <c r="A27" s="52" t="inlineStr">
        <is>
          <t>밸류에이션</t>
        </is>
      </c>
      <c r="B27" s="52" t="n"/>
      <c r="C27" s="52" t="n"/>
    </row>
    <row r="28">
      <c r="A28" s="53" t="inlineStr">
        <is>
          <t>항목</t>
        </is>
      </c>
      <c r="B28" s="53" t="inlineStr">
        <is>
          <t>값</t>
        </is>
      </c>
      <c r="C28" s="53" t="inlineStr">
        <is>
          <t>출처</t>
        </is>
      </c>
    </row>
    <row r="29">
      <c r="A29" s="54" t="inlineStr">
        <is>
          <t>PER guide</t>
        </is>
      </c>
      <c r="B29" s="55" t="n">
        <v>15.2</v>
      </c>
      <c r="C29" s="56" t="inlineStr">
        <is>
          <t>2단계 보고서 자료(회사 설명회 자료·공시)</t>
        </is>
      </c>
    </row>
    <row r="30">
      <c r="A30" s="54" t="inlineStr">
        <is>
          <t>grid avg 가격</t>
        </is>
      </c>
      <c r="B30" s="57" t="n">
        <v>2290</v>
      </c>
    </row>
    <row r="32">
      <c r="A32" s="52" t="inlineStr">
        <is>
          <t>밸류에이션 · band</t>
        </is>
      </c>
      <c r="B32" s="52" t="n"/>
      <c r="C32" s="52" t="n"/>
    </row>
    <row r="33">
      <c r="A33" s="53" t="inlineStr">
        <is>
          <t>항목</t>
        </is>
      </c>
      <c r="B33" s="53" t="inlineStr">
        <is>
          <t>값</t>
        </is>
      </c>
      <c r="C33" s="53" t="inlineStr">
        <is>
          <t>출처</t>
        </is>
      </c>
    </row>
    <row r="34">
      <c r="A34" s="54" t="inlineStr">
        <is>
          <t>lo</t>
        </is>
      </c>
      <c r="B34" s="55" t="n">
        <v>12.2</v>
      </c>
      <c r="C34" s="56" t="inlineStr">
        <is>
          <t>2단계 보고서 자료(회사 설명회 자료·공시)</t>
        </is>
      </c>
    </row>
    <row r="35">
      <c r="A35" s="54" t="inlineStr">
        <is>
          <t>avg</t>
        </is>
      </c>
      <c r="B35" s="55" t="n">
        <v>15.6</v>
      </c>
    </row>
    <row r="36">
      <c r="A36" s="54" t="inlineStr">
        <is>
          <t>hi</t>
        </is>
      </c>
      <c r="B36" s="55" t="n">
        <v>19</v>
      </c>
    </row>
    <row r="37">
      <c r="A37" s="54" t="inlineStr">
        <is>
          <t>애널리스트 수</t>
        </is>
      </c>
      <c r="B37" s="57" t="n">
        <v>119</v>
      </c>
    </row>
    <row r="39">
      <c r="A39" s="52" t="inlineStr">
        <is>
          <t>lead</t>
        </is>
      </c>
      <c r="B39" s="52" t="n"/>
      <c r="C39" s="52" t="n"/>
    </row>
    <row r="40">
      <c r="A40" s="53" t="inlineStr">
        <is>
          <t>항목</t>
        </is>
      </c>
      <c r="B40" s="53" t="inlineStr">
        <is>
          <t>값</t>
        </is>
      </c>
      <c r="C40" s="53" t="inlineStr">
        <is>
          <t>출처</t>
        </is>
      </c>
    </row>
    <row r="41">
      <c r="A41" s="54" t="inlineStr">
        <is>
          <t>r lag1</t>
        </is>
      </c>
      <c r="B41" s="55" t="n">
        <v>0.88</v>
      </c>
      <c r="C41" s="56" t="inlineStr">
        <is>
          <t>2단계 보고서 자료(회사 설명회 자료·공시)</t>
        </is>
      </c>
    </row>
    <row r="42">
      <c r="A42" s="54" t="inlineStr">
        <is>
          <t>애널리스트 수</t>
        </is>
      </c>
      <c r="B42" s="5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2026-10-26</t>
        </is>
      </c>
      <c r="B4" t="inlineStr">
        <is>
          <t>2027년 3월 결산기 ２분기 결산단신</t>
        </is>
      </c>
      <c r="C4" t="inlineStr">
        <is>
          <t>https://www2.jpx.co.jp/disc/79700/140120261026555690.pdf</t>
        </is>
      </c>
    </row>
    <row r="5">
      <c r="A5" t="inlineStr">
        <is>
          <t>2026-07-23</t>
        </is>
      </c>
      <c r="B5" t="inlineStr">
        <is>
          <t>2027년 3월 결산기 １분기 결산단신</t>
        </is>
      </c>
      <c r="C5" t="inlineStr">
        <is>
          <t>https://www2.jpx.co.jp/disc/79700/140120260723598058.pdf</t>
        </is>
      </c>
    </row>
    <row r="6">
      <c r="A6" t="inlineStr">
        <is>
          <t>2026-04-27</t>
        </is>
      </c>
      <c r="B6" t="inlineStr">
        <is>
          <t>2026년 3월 결산기 연간 결산단신</t>
        </is>
      </c>
      <c r="C6" t="inlineStr">
        <is>
          <t>https://www2.jpx.co.jp/disc/79700/140120260424510388.pdf</t>
        </is>
      </c>
    </row>
    <row r="7">
      <c r="A7" t="inlineStr">
        <is>
          <t>2026-01-26</t>
        </is>
      </c>
      <c r="B7" t="inlineStr">
        <is>
          <t>2026년 3월 결산기 ３분기 결산단신</t>
        </is>
      </c>
      <c r="C7" t="inlineStr">
        <is>
          <t>https://www2.jpx.co.jp/disc/79700/140120260126538122.pdf</t>
        </is>
      </c>
    </row>
    <row r="8">
      <c r="A8" t="inlineStr">
        <is>
          <t>2025-10-23</t>
        </is>
      </c>
      <c r="B8" t="inlineStr">
        <is>
          <t>2026년 3월 결산기 ２분기 결산단신</t>
        </is>
      </c>
      <c r="C8" t="inlineStr">
        <is>
          <t>https://www2.jpx.co.jp/disc/79700/140120251022577194.pdf</t>
        </is>
      </c>
    </row>
    <row r="9">
      <c r="A9" t="inlineStr">
        <is>
          <t>2025-07-23</t>
        </is>
      </c>
      <c r="B9" t="inlineStr">
        <is>
          <t>2026년 3월 결산기 １분기 결산단신</t>
        </is>
      </c>
      <c r="C9" t="inlineStr">
        <is>
          <t>https://www2.jpx.co.jp/disc/79700/140120250723518232.pdf</t>
        </is>
      </c>
    </row>
    <row r="10">
      <c r="A10" t="inlineStr">
        <is>
          <t>2025-04-24</t>
        </is>
      </c>
      <c r="B10" t="inlineStr">
        <is>
          <t>2025년 3월 결산기 연간 결산단신</t>
        </is>
      </c>
      <c r="C10" t="inlineStr">
        <is>
          <t>https://www2.jpx.co.jp/disc/79700/140120250423521485.pdf</t>
        </is>
      </c>
    </row>
    <row r="11">
      <c r="A11" t="inlineStr">
        <is>
          <t>2025-01-28</t>
        </is>
      </c>
      <c r="B11" t="inlineStr">
        <is>
          <t>2025년 3월 결산기 ３분기 결산단신</t>
        </is>
      </c>
      <c r="C11" t="inlineStr">
        <is>
          <t>https://www2.jpx.co.jp/disc/79700/140120250128556081.pdf</t>
        </is>
      </c>
    </row>
    <row r="12">
      <c r="A12" t="inlineStr">
        <is>
          <t>2024-10-24</t>
        </is>
      </c>
      <c r="B12" t="inlineStr">
        <is>
          <t>2025년 3월 결산기 ２분기 결산단신</t>
        </is>
      </c>
      <c r="C12" t="inlineStr">
        <is>
          <t>https://www2.jpx.co.jp/disc/79700/140120241023501649.pdf</t>
        </is>
      </c>
    </row>
    <row r="13">
      <c r="A13" t="inlineStr">
        <is>
          <t>2024-07-25</t>
        </is>
      </c>
      <c r="B13" t="inlineStr">
        <is>
          <t>2025년 3월 결산기 １분기 결산단신</t>
        </is>
      </c>
      <c r="C13" t="inlineStr">
        <is>
          <t>https://www2.jpx.co.jp/disc/79700/140120240724554347.pdf</t>
        </is>
      </c>
    </row>
    <row r="14">
      <c r="A14" t="inlineStr">
        <is>
          <t>2024-04-24</t>
        </is>
      </c>
      <c r="B14" t="inlineStr">
        <is>
          <t>2024년 3월 결산기 연간 결산단신</t>
        </is>
      </c>
      <c r="C14" t="inlineStr">
        <is>
          <t>https://www2.jpx.co.jp/disc/79700/140120240423574704.pdf</t>
        </is>
      </c>
    </row>
    <row r="15">
      <c r="A15" t="inlineStr">
        <is>
          <t>2024-01-25</t>
        </is>
      </c>
      <c r="B15" t="inlineStr">
        <is>
          <t>2024년 3월 결산기 ３분기 결산단신</t>
        </is>
      </c>
      <c r="C15" t="inlineStr">
        <is>
          <t>https://www2.jpx.co.jp/disc/79700/140120240124518542.pdf</t>
        </is>
      </c>
    </row>
    <row r="16">
      <c r="A16" t="inlineStr">
        <is>
          <t>2023-10-26</t>
        </is>
      </c>
      <c r="B16" t="inlineStr">
        <is>
          <t>2024년 3월 결산기 ２분기 결산단신</t>
        </is>
      </c>
      <c r="C16" t="inlineStr">
        <is>
          <t>https://www2.jpx.co.jp/disc/79700/140120231025571485.pdf</t>
        </is>
      </c>
    </row>
    <row r="17">
      <c r="A17" t="inlineStr">
        <is>
          <t>2023-07-26</t>
        </is>
      </c>
      <c r="B17" t="inlineStr">
        <is>
          <t>2024년 3월 결산기 １분기 결산단신</t>
        </is>
      </c>
      <c r="C17" t="inlineStr">
        <is>
          <t>https://www2.jpx.co.jp/disc/79700/140120230726527093.pdf</t>
        </is>
      </c>
    </row>
    <row r="18">
      <c r="A18" t="inlineStr">
        <is>
          <t>2023-04-26</t>
        </is>
      </c>
      <c r="B18" t="inlineStr">
        <is>
          <t>2023년 3월 결산기 연간 결산단신</t>
        </is>
      </c>
      <c r="C18" t="inlineStr">
        <is>
          <t>https://www2.jpx.co.jp/disc/79700/140120230425552527.pdf</t>
        </is>
      </c>
    </row>
    <row r="19">
      <c r="A19" t="inlineStr">
        <is>
          <t>2023-01-25</t>
        </is>
      </c>
      <c r="B19" t="inlineStr">
        <is>
          <t>2023년 3월 결산기 ３분기 결산단신</t>
        </is>
      </c>
      <c r="C19" t="inlineStr">
        <is>
          <t>https://www2.jpx.co.jp/disc/79700/140120230124593078.pdf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https://www2.jpx.co.jp/disc/79700/140120220425527287.pdf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https://www2.jpx.co.jp/disc/79700/140120210426400379.pdf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https://www2.jpx.co.jp/disc/79700/140120200426499696.pdf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https://www2.jpx.co.jp/disc/79700/140120190424410279.pdf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https://www2.jpx.co.jp/disc/79700/140120180425420187.pdf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2026-10-26T10:59:06Z</dcterms:created>
  <dcterms:modified xmlns:dcterms="http://purl.org/dc/terms/" xmlns:xsi="http://www.w3.org/2001/XMLSchema-instance" xsi:type="dcterms:W3CDTF">2026-10-26T10:59:07Z</dcterms:modified>
</cp:coreProperties>
</file>