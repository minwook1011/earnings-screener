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5992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27259.039</v>
      </c>
      <c r="D4" s="12" t="n">
        <v>23371.48</v>
      </c>
      <c r="E4" s="12" t="n">
        <v>25520.937</v>
      </c>
      <c r="F4" s="12" t="n">
        <v>27735.484</v>
      </c>
      <c r="G4" s="12" t="n">
        <v>28993.994</v>
      </c>
      <c r="H4" s="12" t="n">
        <v>27906.817</v>
      </c>
      <c r="I4" s="12" t="n">
        <v>26306.367</v>
      </c>
      <c r="J4" s="12" t="n">
        <v>27751.463</v>
      </c>
      <c r="K4" s="12" t="n">
        <v>29071.088</v>
      </c>
      <c r="L4" s="12" t="n">
        <v>27739.729</v>
      </c>
      <c r="M4" s="12" t="n">
        <v>27559.118</v>
      </c>
      <c r="N4" s="12" t="n">
        <v>28692.653</v>
      </c>
      <c r="O4" s="11" t="n">
        <v>81500.704</v>
      </c>
      <c r="P4" s="12" t="n">
        <v>83655.26700000001</v>
      </c>
      <c r="Q4" s="12" t="n">
        <v>83017.352</v>
      </c>
      <c r="R4" s="12" t="n">
        <v>83394.656</v>
      </c>
      <c r="S4" s="12" t="n">
        <v>74655.364</v>
      </c>
      <c r="T4" s="12" t="n">
        <v>82144.72100000001</v>
      </c>
      <c r="U4" s="12" t="n">
        <v>92766.164</v>
      </c>
      <c r="V4" s="12" t="n">
        <v>100975.203</v>
      </c>
      <c r="W4" s="12" t="n">
        <v>110157.232</v>
      </c>
      <c r="X4" s="12" t="n">
        <v>110868.647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JapanReportableSegmentsMember</t>
        </is>
      </c>
      <c r="B7" s="10" t="n"/>
      <c r="C7" s="19" t="n">
        <v>18648.668</v>
      </c>
      <c r="D7" s="20" t="n">
        <v>16072.227</v>
      </c>
      <c r="E7" s="20" t="n">
        <v>17943.227</v>
      </c>
      <c r="F7" s="20" t="n">
        <v>20326.958</v>
      </c>
      <c r="G7" s="20" t="n">
        <v>20716.321</v>
      </c>
      <c r="H7" s="20" t="n">
        <v>20856.554</v>
      </c>
      <c r="I7" s="20" t="n">
        <v>19123.198</v>
      </c>
      <c r="J7" s="20" t="n">
        <v>20107.982</v>
      </c>
      <c r="K7" s="20" t="n">
        <v>20975.193</v>
      </c>
      <c r="L7" s="20" t="n">
        <v>20357.486</v>
      </c>
      <c r="M7" s="20" t="n">
        <v>19826.788</v>
      </c>
      <c r="N7" s="20" t="n">
        <v>21074.065</v>
      </c>
      <c r="O7" s="19" t="n"/>
      <c r="P7" s="20" t="n"/>
      <c r="Q7" s="20" t="n"/>
      <c r="R7" s="20" t="n"/>
      <c r="S7" s="20" t="n"/>
      <c r="T7" s="20" t="n"/>
      <c r="U7" s="20" t="n"/>
      <c r="V7" s="20" t="n">
        <v>68366.51300000001</v>
      </c>
      <c r="W7" s="20" t="n">
        <v>79843.06</v>
      </c>
      <c r="X7" s="20" t="n">
        <v>80563.859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NorthAmericaReportableSegmentsMember</t>
        </is>
      </c>
      <c r="B10" s="10" t="n"/>
      <c r="C10" s="19" t="n">
        <v>2543.931</v>
      </c>
      <c r="D10" s="20" t="n">
        <v>2413.995</v>
      </c>
      <c r="E10" s="20" t="n">
        <v>2422.324</v>
      </c>
      <c r="F10" s="20" t="n">
        <v>1910.082</v>
      </c>
      <c r="G10" s="20" t="n">
        <v>2263.899</v>
      </c>
      <c r="H10" s="20" t="n">
        <v>2509.48</v>
      </c>
      <c r="I10" s="20" t="n">
        <v>2286.564</v>
      </c>
      <c r="J10" s="20" t="n">
        <v>2229.249</v>
      </c>
      <c r="K10" s="20" t="n">
        <v>2272.184</v>
      </c>
      <c r="L10" s="20" t="n">
        <v>2269.029</v>
      </c>
      <c r="M10" s="20" t="n">
        <v>2506.662</v>
      </c>
      <c r="N10" s="20" t="n">
        <v>2422.365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9877.797</v>
      </c>
      <c r="W10" s="20" t="n">
        <v>9105.785</v>
      </c>
      <c r="X10" s="20" t="n">
        <v>9057.026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ChinaReportableSegmentsMember</t>
        </is>
      </c>
      <c r="B13" s="10" t="n"/>
      <c r="C13" s="19" t="n">
        <v>2308.6</v>
      </c>
      <c r="D13" s="20" t="n">
        <v>1533.019</v>
      </c>
      <c r="E13" s="20" t="n">
        <v>1726.952</v>
      </c>
      <c r="F13" s="20" t="n">
        <v>1865.755</v>
      </c>
      <c r="G13" s="20" t="n">
        <v>2335.802</v>
      </c>
      <c r="H13" s="20" t="n">
        <v>1259.443</v>
      </c>
      <c r="I13" s="20" t="n">
        <v>1655.157</v>
      </c>
      <c r="J13" s="20" t="n">
        <v>1863.497</v>
      </c>
      <c r="K13" s="20" t="n">
        <v>2061.518</v>
      </c>
      <c r="L13" s="20" t="n">
        <v>1550.603</v>
      </c>
      <c r="M13" s="20" t="n">
        <v>1598.974</v>
      </c>
      <c r="N13" s="20" t="n">
        <v>1545.927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8330.691000000001</v>
      </c>
      <c r="W13" s="20" t="n">
        <v>7187.952</v>
      </c>
      <c r="X13" s="20" t="n">
        <v>7130.775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AsiaReportableSegmentsMember</t>
        </is>
      </c>
      <c r="B16" s="10" t="n"/>
      <c r="C16" s="19" t="n">
        <v>3757.84</v>
      </c>
      <c r="D16" s="20" t="n">
        <v>3352.238</v>
      </c>
      <c r="E16" s="20" t="n">
        <v>3428.432</v>
      </c>
      <c r="F16" s="20" t="n">
        <v>3632.69</v>
      </c>
      <c r="G16" s="20" t="n">
        <v>3677.971</v>
      </c>
      <c r="H16" s="20" t="n">
        <v>3281.341</v>
      </c>
      <c r="I16" s="20" t="n">
        <v>3241.448</v>
      </c>
      <c r="J16" s="20" t="n">
        <v>3550.733</v>
      </c>
      <c r="K16" s="20" t="n">
        <v>3762.193</v>
      </c>
      <c r="L16" s="20" t="n">
        <v>3562.612</v>
      </c>
      <c r="M16" s="20" t="n">
        <v>3626.693</v>
      </c>
      <c r="N16" s="20" t="n">
        <v>3650.296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14400.2</v>
      </c>
      <c r="W16" s="20" t="n">
        <v>14020.434</v>
      </c>
      <c r="X16" s="20" t="n">
        <v>14116.986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24544.927</v>
      </c>
      <c r="D20" s="20" t="n">
        <v>21081.212</v>
      </c>
      <c r="E20" s="20" t="n">
        <v>23028.753</v>
      </c>
      <c r="F20" s="20" t="n">
        <v>23790.12</v>
      </c>
      <c r="G20" s="20" t="n">
        <v>25216.622</v>
      </c>
      <c r="H20" s="20" t="n">
        <v>24039.036</v>
      </c>
      <c r="I20" s="20" t="n">
        <v>23219.635</v>
      </c>
      <c r="J20" s="20" t="n">
        <v>24443.776</v>
      </c>
      <c r="K20" s="20" t="n">
        <v>25791.53</v>
      </c>
      <c r="L20" s="20" t="n">
        <v>24450.092</v>
      </c>
      <c r="M20" s="20" t="n">
        <v>24898.692</v>
      </c>
      <c r="N20" s="20" t="n">
        <v>25744.547</v>
      </c>
      <c r="O20" s="19" t="n">
        <v>70735.27</v>
      </c>
      <c r="P20" s="20" t="n">
        <v>71971.07399999999</v>
      </c>
      <c r="Q20" s="20" t="n">
        <v>72350.086</v>
      </c>
      <c r="R20" s="20" t="n">
        <v>72370.417</v>
      </c>
      <c r="S20" s="20" t="n">
        <v>65131.127</v>
      </c>
      <c r="T20" s="20" t="n">
        <v>71922.53</v>
      </c>
      <c r="U20" s="20" t="n">
        <v>83748.689</v>
      </c>
      <c r="V20" s="20" t="n">
        <v>90782.52899999999</v>
      </c>
      <c r="W20" s="20" t="n">
        <v>96074.531</v>
      </c>
      <c r="X20" s="20" t="n">
        <v>97905.033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18" t="inlineStr">
        <is>
          <t>매출총이익</t>
        </is>
      </c>
      <c r="B22" s="10" t="n"/>
      <c r="C22" s="19">
        <f>IF(OR(C4="",C20=""),"",IFERROR(C4-C20,""))</f>
        <v/>
      </c>
      <c r="D22" s="20">
        <f>IF(OR(D4="",D20=""),"",IFERROR(D4-D20,""))</f>
        <v/>
      </c>
      <c r="E22" s="20">
        <f>IF(OR(E4="",E20=""),"",IFERROR(E4-E20,""))</f>
        <v/>
      </c>
      <c r="F22" s="20">
        <f>IF(OR(F4="",F20=""),"",IFERROR(F4-F20,""))</f>
        <v/>
      </c>
      <c r="G22" s="20">
        <f>IF(OR(G4="",G20=""),"",IFERROR(G4-G20,""))</f>
        <v/>
      </c>
      <c r="H22" s="20">
        <f>IF(OR(H4="",H20=""),"",IFERROR(H4-H20,""))</f>
        <v/>
      </c>
      <c r="I22" s="20">
        <f>IF(OR(I4="",I20=""),"",IFERROR(I4-I20,""))</f>
        <v/>
      </c>
      <c r="J22" s="20">
        <f>IF(OR(J4="",J20=""),"",IFERROR(J4-J20,""))</f>
        <v/>
      </c>
      <c r="K22" s="20">
        <f>IF(OR(K4="",K20=""),"",IFERROR(K4-K20,""))</f>
        <v/>
      </c>
      <c r="L22" s="20">
        <f>IF(OR(L4="",L20=""),"",IFERROR(L4-L20,""))</f>
        <v/>
      </c>
      <c r="M22" s="20">
        <f>IF(OR(M4="",M20=""),"",IFERROR(M4-M20,""))</f>
        <v/>
      </c>
      <c r="N22" s="20">
        <f>IF(OR(N4="",N20=""),"",IFERROR(N4-N20,""))</f>
        <v/>
      </c>
      <c r="O22" s="19">
        <f>IF(OR(O4="",O20=""),"",IFERROR(O4-O20,""))</f>
        <v/>
      </c>
      <c r="P22" s="20">
        <f>IF(OR(P4="",P20=""),"",IFERROR(P4-P20,""))</f>
        <v/>
      </c>
      <c r="Q22" s="20">
        <f>IF(OR(Q4="",Q20=""),"",IFERROR(Q4-Q20,""))</f>
        <v/>
      </c>
      <c r="R22" s="20">
        <f>IF(OR(R4="",R20=""),"",IFERROR(R4-R20,""))</f>
        <v/>
      </c>
      <c r="S22" s="20">
        <f>IF(OR(S4="",S20=""),"",IFERROR(S4-S20,""))</f>
        <v/>
      </c>
      <c r="T22" s="20">
        <f>IF(OR(T4="",T20=""),"",IFERROR(T4-T20,""))</f>
        <v/>
      </c>
      <c r="U22" s="20">
        <f>IF(OR(U4="",U20=""),"",IFERROR(U4-U20,""))</f>
        <v/>
      </c>
      <c r="V22" s="20">
        <f>IF(OR(V4="",V20=""),"",IFERROR(V4-V20,""))</f>
        <v/>
      </c>
      <c r="W22" s="20">
        <f>IF(OR(W4="",W20=""),"",IFERROR(W4-W20,""))</f>
        <v/>
      </c>
      <c r="X22" s="20">
        <f>IF(OR(X4="",X20=""),"",IFERROR(X4-X20,""))</f>
        <v/>
      </c>
      <c r="Y22" s="19" t="n"/>
      <c r="Z22" s="20" t="n"/>
      <c r="AA22" s="20" t="n"/>
      <c r="AB22" s="20" t="n"/>
      <c r="AC22" s="20" t="n"/>
    </row>
    <row r="23">
      <c r="A23" s="13" t="inlineStr">
        <is>
          <t>GPM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IF(OR(G22="",C22=""),"",IF(C22&lt;=0,"",IFERROR(G22/C22-1,"")))</f>
        <v/>
      </c>
      <c r="H24" s="15">
        <f>IF(OR(H22="",D22=""),"",IF(D22&lt;=0,"",IFERROR(H22/D22-1,"")))</f>
        <v/>
      </c>
      <c r="I24" s="15">
        <f>IF(OR(I22="",E22=""),"",IF(E22&lt;=0,"",IFERROR(I22/E22-1,"")))</f>
        <v/>
      </c>
      <c r="J24" s="15">
        <f>IF(OR(J22="",F22=""),"",IF(F22&lt;=0,"",IFERROR(J22/F22-1,"")))</f>
        <v/>
      </c>
      <c r="K24" s="15">
        <f>IF(OR(K22="",G22=""),"",IF(G22&lt;=0,"",IFERROR(K22/G22-1,"")))</f>
        <v/>
      </c>
      <c r="L24" s="15">
        <f>IF(OR(L22="",H22=""),"",IF(H22&lt;=0,"",IFERROR(L22/H22-1,"")))</f>
        <v/>
      </c>
      <c r="M24" s="15">
        <f>IF(OR(M22="",I22=""),"",IF(I22&lt;=0,"",IFERROR(M22/I22-1,"")))</f>
        <v/>
      </c>
      <c r="N24" s="15">
        <f>IF(OR(N22="",J22=""),"",IF(J22&lt;=0,"",IFERROR(N22/J22-1,"")))</f>
        <v/>
      </c>
      <c r="O24" s="14" t="n"/>
      <c r="P24" s="15">
        <f>IF(OR(P22="",O22=""),"",IF(O22&lt;=0,"",IFERROR(P22/O22-1,"")))</f>
        <v/>
      </c>
      <c r="Q24" s="15">
        <f>IF(OR(Q22="",P22=""),"",IF(P22&lt;=0,"",IFERROR(Q22/P22-1,"")))</f>
        <v/>
      </c>
      <c r="R24" s="15">
        <f>IF(OR(R22="",Q22=""),"",IF(Q22&lt;=0,"",IFERROR(R22/Q22-1,"")))</f>
        <v/>
      </c>
      <c r="S24" s="15">
        <f>IF(OR(S22="",R22=""),"",IF(R22&lt;=0,"",IFERROR(S22/R22-1,"")))</f>
        <v/>
      </c>
      <c r="T24" s="15">
        <f>IF(OR(T22="",S22=""),"",IF(S22&lt;=0,"",IFERROR(T22/S22-1,"")))</f>
        <v/>
      </c>
      <c r="U24" s="15">
        <f>IF(OR(U22="",T22=""),"",IF(T22&lt;=0,"",IFERROR(U22/T22-1,"")))</f>
        <v/>
      </c>
      <c r="V24" s="15">
        <f>IF(OR(V22="",U22=""),"",IF(U22&lt;=0,"",IFERROR(V22/U22-1,"")))</f>
        <v/>
      </c>
      <c r="W24" s="15">
        <f>IF(OR(W22="",V22=""),"",IF(V22&lt;=0,"",IFERROR(W22/V22-1,"")))</f>
        <v/>
      </c>
      <c r="X24" s="15">
        <f>IF(OR(X22="",W22=""),"",IF(W22&lt;=0,"",IFERROR(X22/W22-1,"")))</f>
        <v/>
      </c>
      <c r="Y24" s="14">
        <f>IF(OR(Y22="",X22=""),"",IF(X22&lt;=0,"",IFERROR(Y22/X22-1,"")))</f>
        <v/>
      </c>
      <c r="Z24" s="15">
        <f>IF(OR(Z22="",Y22=""),"",IF(Y22&lt;=0,"",IFERROR(Z22/Y22-1,"")))</f>
        <v/>
      </c>
      <c r="AA24" s="15">
        <f>IF(OR(AA22="",Z22=""),"",IF(Z22&lt;=0,"",IFERROR(AA22/Z22-1,"")))</f>
        <v/>
      </c>
      <c r="AB24" s="15">
        <f>IF(OR(AB22="",AA22=""),"",IF(AA22&lt;=0,"",IFERROR(AB22/AA22-1,"")))</f>
        <v/>
      </c>
      <c r="AC24" s="15">
        <f>IF(OR(AC22="",AB22=""),"",IF(AB22&lt;=0,"",IFERROR(AC22/AB22-1,"")))</f>
        <v/>
      </c>
    </row>
    <row r="25">
      <c r="A25" s="23" t="inlineStr">
        <is>
          <t>판매관리비</t>
        </is>
      </c>
      <c r="B25" s="23" t="n"/>
      <c r="C25" s="24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4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4" t="n"/>
      <c r="Z25" s="23" t="n"/>
      <c r="AA25" s="23" t="n"/>
      <c r="AB25" s="23" t="n"/>
      <c r="AC25" s="23" t="n"/>
    </row>
    <row r="26">
      <c r="A26" s="18" t="inlineStr">
        <is>
          <t>전체 판관비</t>
        </is>
      </c>
      <c r="B26" s="10" t="n"/>
      <c r="C26" s="19" t="n">
        <v>2402.946</v>
      </c>
      <c r="D26" s="20" t="n">
        <v>2209.208</v>
      </c>
      <c r="E26" s="20" t="n">
        <v>2355.872</v>
      </c>
      <c r="F26" s="20" t="n">
        <v>2320.678</v>
      </c>
      <c r="G26" s="20" t="n">
        <v>2542.021</v>
      </c>
      <c r="H26" s="20" t="n">
        <v>2479.66</v>
      </c>
      <c r="I26" s="20" t="n">
        <v>2484.613</v>
      </c>
      <c r="J26" s="20" t="n">
        <v>2414.63</v>
      </c>
      <c r="K26" s="20" t="n">
        <v>2687.791</v>
      </c>
      <c r="L26" s="20" t="n">
        <v>2528.742</v>
      </c>
      <c r="M26" s="20" t="n">
        <v>2636.831</v>
      </c>
      <c r="N26" s="20" t="n">
        <v>2583.018</v>
      </c>
      <c r="O26" s="19" t="n">
        <v>8028.386</v>
      </c>
      <c r="P26" s="20" t="n">
        <v>8325.663</v>
      </c>
      <c r="Q26" s="20" t="n">
        <v>8439.013999999999</v>
      </c>
      <c r="R26" s="20" t="n">
        <v>8332.223</v>
      </c>
      <c r="S26" s="20" t="n">
        <v>8263.516</v>
      </c>
      <c r="T26" s="20" t="n">
        <v>8395.473</v>
      </c>
      <c r="U26" s="20" t="n">
        <v>8662.944</v>
      </c>
      <c r="V26" s="20" t="n">
        <v>9118.959000000001</v>
      </c>
      <c r="W26" s="20" t="n">
        <v>9698.231</v>
      </c>
      <c r="X26" s="20" t="n">
        <v>10115.776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311.166</v>
      </c>
      <c r="D28" s="12" t="n">
        <v>81.06</v>
      </c>
      <c r="E28" s="12" t="n">
        <v>136.31</v>
      </c>
      <c r="F28" s="12" t="n">
        <v>1624.687</v>
      </c>
      <c r="G28" s="12" t="n">
        <v>1235.351</v>
      </c>
      <c r="H28" s="12" t="n">
        <v>1388.121</v>
      </c>
      <c r="I28" s="12" t="n">
        <v>602.119</v>
      </c>
      <c r="J28" s="12" t="n">
        <v>893.056</v>
      </c>
      <c r="K28" s="12" t="n">
        <v>591.7670000000001</v>
      </c>
      <c r="L28" s="12" t="n">
        <v>760.896</v>
      </c>
      <c r="M28" s="12" t="n">
        <v>23.594</v>
      </c>
      <c r="N28" s="12" t="n">
        <v>365.088</v>
      </c>
      <c r="O28" s="11" t="n">
        <v>2737.046</v>
      </c>
      <c r="P28" s="12" t="n">
        <v>3358.53</v>
      </c>
      <c r="Q28" s="12" t="n">
        <v>2228.252</v>
      </c>
      <c r="R28" s="12" t="n">
        <v>2692.015</v>
      </c>
      <c r="S28" s="12" t="n">
        <v>1260.721</v>
      </c>
      <c r="T28" s="12" t="n">
        <v>1826.717</v>
      </c>
      <c r="U28" s="12" t="n">
        <v>354.53</v>
      </c>
      <c r="V28" s="12" t="n">
        <v>1073.714</v>
      </c>
      <c r="W28" s="12" t="n">
        <v>4384.469</v>
      </c>
      <c r="X28" s="12" t="n">
        <v>2847.838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IF(O26="","",O26)</f>
        <v/>
      </c>
      <c r="P32" s="12">
        <f>IF(P26="","",P26)</f>
        <v/>
      </c>
      <c r="Q32" s="12">
        <f>IF(Q26="","",Q26)</f>
        <v/>
      </c>
      <c r="R32" s="12">
        <f>IF(R26="","",R26)</f>
        <v/>
      </c>
      <c r="S32" s="12">
        <f>IF(S26="","",S26)</f>
        <v/>
      </c>
      <c r="T32" s="12">
        <f>IF(T26="","",T26)</f>
        <v/>
      </c>
      <c r="U32" s="12">
        <f>IF(U26="","",U26)</f>
        <v/>
      </c>
      <c r="V32" s="12">
        <f>IF(V26="","",V26)</f>
        <v/>
      </c>
      <c r="W32" s="12">
        <f>IF(W26="","",W26)</f>
        <v/>
      </c>
      <c r="X32" s="12">
        <f>IF(X26="","",X26)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0</v>
      </c>
      <c r="D44" s="20" t="n">
        <v>227.099</v>
      </c>
      <c r="E44" s="20" t="n"/>
      <c r="F44" s="20" t="n"/>
      <c r="G44" s="20" t="n">
        <v>24.91</v>
      </c>
      <c r="H44" s="20" t="n">
        <v>347.658</v>
      </c>
      <c r="I44" s="20" t="n"/>
      <c r="J44" s="20" t="n"/>
      <c r="K44" s="20" t="n">
        <v>13001.294</v>
      </c>
      <c r="L44" s="20" t="n">
        <v>466.733</v>
      </c>
      <c r="M44" s="20" t="n"/>
      <c r="N44" s="20" t="n"/>
      <c r="O44" s="19" t="n">
        <v>0</v>
      </c>
      <c r="P44" s="20" t="n">
        <v>0</v>
      </c>
      <c r="Q44" s="20" t="n">
        <v>138.839</v>
      </c>
      <c r="R44" s="20" t="n">
        <v>0</v>
      </c>
      <c r="S44" s="20" t="n">
        <v>707.941</v>
      </c>
      <c r="T44" s="20" t="n">
        <v>0</v>
      </c>
      <c r="U44" s="20" t="n">
        <v>0</v>
      </c>
      <c r="V44" s="20" t="n">
        <v>227.099</v>
      </c>
      <c r="W44" s="20" t="n">
        <v>417.464</v>
      </c>
      <c r="X44" s="20" t="n">
        <v>13551.621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/>
      <c r="D46" s="20" t="n">
        <v>126.785</v>
      </c>
      <c r="E46" s="20" t="n"/>
      <c r="F46" s="20" t="n"/>
      <c r="G46" s="20" t="n"/>
      <c r="H46" s="20" t="n">
        <v>2582.757</v>
      </c>
      <c r="I46" s="20" t="n"/>
      <c r="J46" s="20" t="n"/>
      <c r="K46" s="20" t="n">
        <v>0</v>
      </c>
      <c r="L46" s="20" t="n">
        <v>318.616</v>
      </c>
      <c r="M46" s="20" t="n"/>
      <c r="N46" s="20" t="n"/>
      <c r="O46" s="19" t="n">
        <v>39.93</v>
      </c>
      <c r="P46" s="20" t="n">
        <v>230.637</v>
      </c>
      <c r="Q46" s="20" t="n">
        <v>3.842</v>
      </c>
      <c r="R46" s="20" t="n">
        <v>176.104</v>
      </c>
      <c r="S46" s="20" t="n">
        <v>433.589</v>
      </c>
      <c r="T46" s="20" t="n">
        <v>24.514</v>
      </c>
      <c r="U46" s="20" t="n">
        <v>120.988</v>
      </c>
      <c r="V46" s="20" t="n">
        <v>180.891</v>
      </c>
      <c r="W46" s="20" t="n">
        <v>2992.81</v>
      </c>
      <c r="X46" s="20" t="n">
        <v>318.616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-86.444</v>
      </c>
      <c r="D48" s="20" t="n">
        <v>732.627</v>
      </c>
      <c r="E48" s="20" t="n">
        <v>1305.416</v>
      </c>
      <c r="F48" s="20" t="n">
        <v>-581.846</v>
      </c>
      <c r="G48" s="20" t="n">
        <v>1007.849</v>
      </c>
      <c r="H48" s="20" t="n">
        <v>-362.118</v>
      </c>
      <c r="I48" s="20" t="n">
        <v>705.521</v>
      </c>
      <c r="J48" s="20" t="n">
        <v>67.696</v>
      </c>
      <c r="K48" s="20" t="n">
        <v>1060.536</v>
      </c>
      <c r="L48" s="20" t="n">
        <v>315.786</v>
      </c>
      <c r="M48" s="20" t="n">
        <v>777.283</v>
      </c>
      <c r="N48" s="20" t="n">
        <v>-86.59999999999999</v>
      </c>
      <c r="O48" s="19" t="n">
        <v>648.529</v>
      </c>
      <c r="P48" s="20" t="n">
        <v>602.268</v>
      </c>
      <c r="Q48" s="20" t="n">
        <v>884.58</v>
      </c>
      <c r="R48" s="20" t="n">
        <v>698.929</v>
      </c>
      <c r="S48" s="20" t="n">
        <v>1216.797</v>
      </c>
      <c r="T48" s="20" t="n">
        <v>1765.595</v>
      </c>
      <c r="U48" s="20" t="n">
        <v>1468.68</v>
      </c>
      <c r="V48" s="20" t="n">
        <v>2356.898</v>
      </c>
      <c r="W48" s="20" t="n">
        <v>1369.301</v>
      </c>
      <c r="X48" s="20" t="n">
        <v>2149.539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58.555</v>
      </c>
      <c r="D50" s="20" t="n">
        <v>142.202</v>
      </c>
      <c r="E50" s="20" t="n">
        <v>47.318</v>
      </c>
      <c r="F50" s="20" t="n">
        <v>649.574</v>
      </c>
      <c r="G50" s="20" t="n">
        <v>-478.14</v>
      </c>
      <c r="H50" s="20" t="n">
        <v>386.33</v>
      </c>
      <c r="I50" s="20" t="n">
        <v>419.134</v>
      </c>
      <c r="J50" s="20" t="n">
        <v>-106.919</v>
      </c>
      <c r="K50" s="20" t="n">
        <v>36.96</v>
      </c>
      <c r="L50" s="20" t="n">
        <v>151.721</v>
      </c>
      <c r="M50" s="20" t="n">
        <v>100.349</v>
      </c>
      <c r="N50" s="20" t="n">
        <v>278.716</v>
      </c>
      <c r="O50" s="19" t="n">
        <v>457.152</v>
      </c>
      <c r="P50" s="20" t="n">
        <v>610.266</v>
      </c>
      <c r="Q50" s="20" t="n">
        <v>321.018</v>
      </c>
      <c r="R50" s="20" t="n">
        <v>401.145</v>
      </c>
      <c r="S50" s="20" t="n">
        <v>219.107</v>
      </c>
      <c r="T50" s="20" t="n">
        <v>157.314</v>
      </c>
      <c r="U50" s="20" t="n">
        <v>251.049</v>
      </c>
      <c r="V50" s="20" t="n">
        <v>336.868</v>
      </c>
      <c r="W50" s="20" t="n">
        <v>605.082</v>
      </c>
      <c r="X50" s="20" t="n">
        <v>500.896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112.059</v>
      </c>
      <c r="D52" s="12" t="n">
        <v>771.801</v>
      </c>
      <c r="E52" s="12" t="n">
        <v>1394.408</v>
      </c>
      <c r="F52" s="12" t="n">
        <v>438.164</v>
      </c>
      <c r="G52" s="12" t="n">
        <v>2336.196</v>
      </c>
      <c r="H52" s="12" t="n">
        <v>-1595.427</v>
      </c>
      <c r="I52" s="12" t="n">
        <v>888.506</v>
      </c>
      <c r="J52" s="12" t="n">
        <v>1151.266</v>
      </c>
      <c r="K52" s="12" t="n">
        <v>14616.636</v>
      </c>
      <c r="L52" s="12" t="n">
        <v>1073.078</v>
      </c>
      <c r="M52" s="12" t="n">
        <v>700.529</v>
      </c>
      <c r="N52" s="12" t="n">
        <v>441.678</v>
      </c>
      <c r="O52" s="11" t="n">
        <v>2888.493</v>
      </c>
      <c r="P52" s="12" t="n">
        <v>3119.894</v>
      </c>
      <c r="Q52" s="12" t="n">
        <v>2926.812</v>
      </c>
      <c r="R52" s="12" t="n">
        <v>2813.695</v>
      </c>
      <c r="S52" s="12" t="n">
        <v>2532.762</v>
      </c>
      <c r="T52" s="12" t="n">
        <v>3410.483</v>
      </c>
      <c r="U52" s="12" t="n">
        <v>1451.173</v>
      </c>
      <c r="V52" s="12" t="n">
        <v>3139.952</v>
      </c>
      <c r="W52" s="12" t="n">
        <v>2573.341</v>
      </c>
      <c r="X52" s="12" t="n">
        <v>17729.486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3" t="inlineStr">
        <is>
          <t>YoY</t>
        </is>
      </c>
      <c r="B53" s="10" t="n"/>
      <c r="C53" s="14" t="n"/>
      <c r="D53" s="15" t="n"/>
      <c r="E53" s="15" t="n"/>
      <c r="F53" s="15" t="n"/>
      <c r="G53" s="15">
        <f>IF(OR(G52="",C52=""),"",IF(C52&lt;=0,"",IFERROR(G52/C52-1,"")))</f>
        <v/>
      </c>
      <c r="H53" s="15">
        <f>IF(OR(H52="",D52=""),"",IF(D52&lt;=0,"",IFERROR(H52/D52-1,"")))</f>
        <v/>
      </c>
      <c r="I53" s="15">
        <f>IF(OR(I52="",E52=""),"",IF(E52&lt;=0,"",IFERROR(I52/E52-1,"")))</f>
        <v/>
      </c>
      <c r="J53" s="15">
        <f>IF(OR(J52="",F52=""),"",IF(F52&lt;=0,"",IFERROR(J52/F52-1,"")))</f>
        <v/>
      </c>
      <c r="K53" s="15">
        <f>IF(OR(K52="",G52=""),"",IF(G52&lt;=0,"",IFERROR(K52/G52-1,"")))</f>
        <v/>
      </c>
      <c r="L53" s="15">
        <f>IF(OR(L52="",H52=""),"",IF(H52&lt;=0,"",IFERROR(L52/H52-1,"")))</f>
        <v/>
      </c>
      <c r="M53" s="15">
        <f>IF(OR(M52="",I52=""),"",IF(I52&lt;=0,"",IFERROR(M52/I52-1,"")))</f>
        <v/>
      </c>
      <c r="N53" s="15">
        <f>IF(OR(N52="",J52=""),"",IF(J52&lt;=0,"",IFERROR(N52/J52-1,"")))</f>
        <v/>
      </c>
      <c r="O53" s="14" t="n"/>
      <c r="P53" s="15">
        <f>IF(OR(P52="",O52=""),"",IF(O52&lt;=0,"",IFERROR(P52/O52-1,"")))</f>
        <v/>
      </c>
      <c r="Q53" s="15">
        <f>IF(OR(Q52="",P52=""),"",IF(P52&lt;=0,"",IFERROR(Q52/P52-1,"")))</f>
        <v/>
      </c>
      <c r="R53" s="15">
        <f>IF(OR(R52="",Q52=""),"",IF(Q52&lt;=0,"",IFERROR(R52/Q52-1,"")))</f>
        <v/>
      </c>
      <c r="S53" s="15">
        <f>IF(OR(S52="",R52=""),"",IF(R52&lt;=0,"",IFERROR(S52/R52-1,"")))</f>
        <v/>
      </c>
      <c r="T53" s="15">
        <f>IF(OR(T52="",S52=""),"",IF(S52&lt;=0,"",IFERROR(T52/S52-1,"")))</f>
        <v/>
      </c>
      <c r="U53" s="15">
        <f>IF(OR(U52="",T52=""),"",IF(T52&lt;=0,"",IFERROR(U52/T52-1,"")))</f>
        <v/>
      </c>
      <c r="V53" s="15">
        <f>IF(OR(V52="",U52=""),"",IF(U52&lt;=0,"",IFERROR(V52/U52-1,"")))</f>
        <v/>
      </c>
      <c r="W53" s="15">
        <f>IF(OR(W52="",V52=""),"",IF(V52&lt;=0,"",IFERROR(W52/V52-1,"")))</f>
        <v/>
      </c>
      <c r="X53" s="15">
        <f>IF(OR(X52="",W52=""),"",IF(W52&lt;=0,"",IFERROR(X52/W52-1,"")))</f>
        <v/>
      </c>
      <c r="Y53" s="14">
        <f>IF(OR(Y52="",X52=""),"",IF(X52&lt;=0,"",IFERROR(Y52/X52-1,"")))</f>
        <v/>
      </c>
      <c r="Z53" s="15">
        <f>IF(OR(Z52="",Y52=""),"",IF(Y52&lt;=0,"",IFERROR(Z52/Y52-1,"")))</f>
        <v/>
      </c>
      <c r="AA53" s="15">
        <f>IF(OR(AA52="",Z52=""),"",IF(Z52&lt;=0,"",IFERROR(AA52/Z52-1,"")))</f>
        <v/>
      </c>
      <c r="AB53" s="15">
        <f>IF(OR(AB52="",AA52=""),"",IF(AA52&lt;=0,"",IFERROR(AB52/AA52-1,"")))</f>
        <v/>
      </c>
      <c r="AC53" s="15">
        <f>IF(OR(AC52="",AB52=""),"",IF(AB52&lt;=0,"",IFERROR(AC52/AB52-1,"")))</f>
        <v/>
      </c>
    </row>
    <row r="54">
      <c r="A54" s="18" t="inlineStr">
        <is>
          <t>법인세비용(수익)</t>
        </is>
      </c>
      <c r="B54" s="10" t="n"/>
      <c r="C54" s="19" t="n">
        <v>-2.552</v>
      </c>
      <c r="D54" s="20" t="n">
        <v>246.273</v>
      </c>
      <c r="E54" s="20" t="n">
        <v>398.854</v>
      </c>
      <c r="F54" s="20" t="n">
        <v>126.471</v>
      </c>
      <c r="G54" s="20" t="n">
        <v>717.992</v>
      </c>
      <c r="H54" s="20" t="n">
        <v>-605.5599999999999</v>
      </c>
      <c r="I54" s="20" t="n">
        <v>259.934</v>
      </c>
      <c r="J54" s="20" t="n">
        <v>364.082</v>
      </c>
      <c r="K54" s="20" t="n">
        <v>4391.724</v>
      </c>
      <c r="L54" s="20" t="n">
        <v>167.734</v>
      </c>
      <c r="M54" s="20" t="n">
        <v>254.333</v>
      </c>
      <c r="N54" s="20" t="n">
        <v>27.937</v>
      </c>
      <c r="O54" s="19" t="n">
        <v>708.413</v>
      </c>
      <c r="P54" s="20" t="n">
        <v>860.542</v>
      </c>
      <c r="Q54" s="20" t="n">
        <v>855.47</v>
      </c>
      <c r="R54" s="20" t="n">
        <v>937.136</v>
      </c>
      <c r="S54" s="20" t="n">
        <v>1013.396</v>
      </c>
      <c r="T54" s="20" t="n">
        <v>1255.468</v>
      </c>
      <c r="U54" s="20" t="n">
        <v>695.389</v>
      </c>
      <c r="V54" s="20" t="n">
        <v>989.338</v>
      </c>
      <c r="W54" s="20" t="n">
        <v>637.7569999999999</v>
      </c>
      <c r="X54" s="20" t="n">
        <v>5183.474</v>
      </c>
      <c r="Y54" s="19">
        <f>IF(OR(Y52="",Y55=""),"",IFERROR(MAX(Y52,0)*Y55,""))</f>
        <v/>
      </c>
      <c r="Z54" s="20">
        <f>IF(OR(Z52="",Z55=""),"",IFERROR(MAX(Z52,0)*Z55,""))</f>
        <v/>
      </c>
      <c r="AA54" s="20">
        <f>IF(OR(AA52="",AA55=""),"",IFERROR(MAX(AA52,0)*AA55,""))</f>
        <v/>
      </c>
      <c r="AB54" s="20">
        <f>IF(OR(AB52="",AB55=""),"",IFERROR(MAX(AB52,0)*AB55,""))</f>
        <v/>
      </c>
      <c r="AC54" s="20">
        <f>IF(OR(AC52="",AC55=""),"",IFERROR(MAX(AC52,0)*AC55,""))</f>
        <v/>
      </c>
    </row>
    <row r="55">
      <c r="A55" s="13" t="inlineStr">
        <is>
          <t>법인세율</t>
        </is>
      </c>
      <c r="B55" s="10" t="inlineStr">
        <is>
          <t>MW 기본 30%</t>
        </is>
      </c>
      <c r="C55" s="14">
        <f>IF(OR(C54="",C52=""),"",IFERROR(C54/C52,""))</f>
        <v/>
      </c>
      <c r="D55" s="15">
        <f>IF(OR(D54="",D52=""),"",IFERROR(D54/D52,""))</f>
        <v/>
      </c>
      <c r="E55" s="15">
        <f>IF(OR(E54="",E52=""),"",IFERROR(E54/E52,""))</f>
        <v/>
      </c>
      <c r="F55" s="15">
        <f>IF(OR(F54="",F52=""),"",IFERROR(F54/F52,""))</f>
        <v/>
      </c>
      <c r="G55" s="15">
        <f>IF(OR(G54="",G52=""),"",IFERROR(G54/G52,""))</f>
        <v/>
      </c>
      <c r="H55" s="15">
        <f>IF(OR(H54="",H52=""),"",IFERROR(H54/H52,""))</f>
        <v/>
      </c>
      <c r="I55" s="15">
        <f>IF(OR(I54="",I52=""),"",IFERROR(I54/I52,""))</f>
        <v/>
      </c>
      <c r="J55" s="15">
        <f>IF(OR(J54="",J52=""),"",IFERROR(J54/J52,""))</f>
        <v/>
      </c>
      <c r="K55" s="15">
        <f>IF(OR(K54="",K52=""),"",IFERROR(K54/K52,""))</f>
        <v/>
      </c>
      <c r="L55" s="15">
        <f>IF(OR(L54="",L52=""),"",IFERROR(L54/L52,""))</f>
        <v/>
      </c>
      <c r="M55" s="15">
        <f>IF(OR(M54="",M52=""),"",IFERROR(M54/M52,""))</f>
        <v/>
      </c>
      <c r="N55" s="15">
        <f>IF(OR(N54="",N52=""),"",IFERROR(N54/N52,""))</f>
        <v/>
      </c>
      <c r="O55" s="14">
        <f>IF(OR(O54="",O52=""),"",IFERROR(O54/O52,""))</f>
        <v/>
      </c>
      <c r="P55" s="15">
        <f>IF(OR(P54="",P52=""),"",IFERROR(P54/P52,""))</f>
        <v/>
      </c>
      <c r="Q55" s="15">
        <f>IF(OR(Q54="",Q52=""),"",IFERROR(Q54/Q52,""))</f>
        <v/>
      </c>
      <c r="R55" s="15">
        <f>IF(OR(R54="",R52=""),"",IFERROR(R54/R52,""))</f>
        <v/>
      </c>
      <c r="S55" s="15">
        <f>IF(OR(S54="",S52=""),"",IFERROR(S54/S52,""))</f>
        <v/>
      </c>
      <c r="T55" s="15">
        <f>IF(OR(T54="",T52=""),"",IFERROR(T54/T52,""))</f>
        <v/>
      </c>
      <c r="U55" s="15">
        <f>IF(OR(U54="",U52=""),"",IFERROR(U54/U52,""))</f>
        <v/>
      </c>
      <c r="V55" s="15">
        <f>IF(OR(V54="",V52=""),"",IFERROR(V54/V52,""))</f>
        <v/>
      </c>
      <c r="W55" s="15">
        <f>IF(OR(W54="",W52=""),"",IFERROR(W54/W52,""))</f>
        <v/>
      </c>
      <c r="X55" s="15">
        <f>IF(OR(X54="",X52=""),"",IFERROR(X54/X52,""))</f>
        <v/>
      </c>
      <c r="Y55" s="25" t="n">
        <v>0.3</v>
      </c>
      <c r="Z55" s="26" t="n">
        <v>0.3</v>
      </c>
      <c r="AA55" s="26" t="n">
        <v>0.3</v>
      </c>
      <c r="AB55" s="26" t="n">
        <v>0.3</v>
      </c>
      <c r="AC55" s="26" t="n">
        <v>0.3</v>
      </c>
    </row>
    <row r="56">
      <c r="A56" s="9" t="inlineStr">
        <is>
          <t>당기순이익(손실)</t>
        </is>
      </c>
      <c r="B56" s="10" t="n"/>
      <c r="C56" s="11" t="n">
        <v>114.611</v>
      </c>
      <c r="D56" s="12" t="n">
        <v>525.529</v>
      </c>
      <c r="E56" s="12" t="n">
        <v>995.553</v>
      </c>
      <c r="F56" s="12" t="n">
        <v>311.693</v>
      </c>
      <c r="G56" s="12" t="n">
        <v>1618.204</v>
      </c>
      <c r="H56" s="12" t="n">
        <v>-989.866</v>
      </c>
      <c r="I56" s="12" t="n">
        <v>628.572</v>
      </c>
      <c r="J56" s="12" t="n">
        <v>787.183</v>
      </c>
      <c r="K56" s="12" t="n">
        <v>10224.913</v>
      </c>
      <c r="L56" s="12" t="n">
        <v>905.343</v>
      </c>
      <c r="M56" s="12" t="n">
        <v>446.195</v>
      </c>
      <c r="N56" s="12" t="n">
        <v>413.742</v>
      </c>
      <c r="O56" s="11" t="n">
        <v>2180.079</v>
      </c>
      <c r="P56" s="12" t="n">
        <v>2259.351</v>
      </c>
      <c r="Q56" s="12" t="n">
        <v>2071.342</v>
      </c>
      <c r="R56" s="12" t="n">
        <v>1876.558</v>
      </c>
      <c r="S56" s="12" t="n">
        <v>1519.366</v>
      </c>
      <c r="T56" s="12" t="n">
        <v>2155.014</v>
      </c>
      <c r="U56" s="12" t="n">
        <v>755.783</v>
      </c>
      <c r="V56" s="12" t="n">
        <v>2150.614</v>
      </c>
      <c r="W56" s="12" t="n">
        <v>1935.584</v>
      </c>
      <c r="X56" s="12" t="n">
        <v>12546.011</v>
      </c>
      <c r="Y56" s="11">
        <f>IF(OR(Y52=""),"",IFERROR(Y52-Y54,""))</f>
        <v/>
      </c>
      <c r="Z56" s="12">
        <f>IF(OR(Z52=""),"",IFERROR(Z52-Z54,""))</f>
        <v/>
      </c>
      <c r="AA56" s="12">
        <f>IF(OR(AA52=""),"",IFERROR(AA52-AA54,""))</f>
        <v/>
      </c>
      <c r="AB56" s="12">
        <f>IF(OR(AB52=""),"",IFERROR(AB52-AB54,""))</f>
        <v/>
      </c>
      <c r="AC56" s="12">
        <f>IF(OR(AC52=""),"",IFERROR(AC52-AC54,""))</f>
        <v/>
      </c>
    </row>
    <row r="57">
      <c r="A57" s="13" t="inlineStr">
        <is>
          <t>YoY</t>
        </is>
      </c>
      <c r="B57" s="10" t="n"/>
      <c r="C57" s="14" t="n"/>
      <c r="D57" s="15" t="n"/>
      <c r="E57" s="15" t="n"/>
      <c r="F57" s="15" t="n"/>
      <c r="G57" s="15">
        <f>IF(OR(G56="",C56=""),"",IF(C56&lt;=0,"",IFERROR(G56/C56-1,"")))</f>
        <v/>
      </c>
      <c r="H57" s="15">
        <f>IF(OR(H56="",D56=""),"",IF(D56&lt;=0,"",IFERROR(H56/D56-1,"")))</f>
        <v/>
      </c>
      <c r="I57" s="15">
        <f>IF(OR(I56="",E56=""),"",IF(E56&lt;=0,"",IFERROR(I56/E56-1,"")))</f>
        <v/>
      </c>
      <c r="J57" s="15">
        <f>IF(OR(J56="",F56=""),"",IF(F56&lt;=0,"",IFERROR(J56/F56-1,"")))</f>
        <v/>
      </c>
      <c r="K57" s="15">
        <f>IF(OR(K56="",G56=""),"",IF(G56&lt;=0,"",IFERROR(K56/G56-1,"")))</f>
        <v/>
      </c>
      <c r="L57" s="15">
        <f>IF(OR(L56="",H56=""),"",IF(H56&lt;=0,"",IFERROR(L56/H56-1,"")))</f>
        <v/>
      </c>
      <c r="M57" s="15">
        <f>IF(OR(M56="",I56=""),"",IF(I56&lt;=0,"",IFERROR(M56/I56-1,"")))</f>
        <v/>
      </c>
      <c r="N57" s="15">
        <f>IF(OR(N56="",J56=""),"",IF(J56&lt;=0,"",IFERROR(N56/J56-1,"")))</f>
        <v/>
      </c>
      <c r="O57" s="14" t="n"/>
      <c r="P57" s="15">
        <f>IF(OR(P56="",O56=""),"",IF(O56&lt;=0,"",IFERROR(P56/O56-1,"")))</f>
        <v/>
      </c>
      <c r="Q57" s="15">
        <f>IF(OR(Q56="",P56=""),"",IF(P56&lt;=0,"",IFERROR(Q56/P56-1,"")))</f>
        <v/>
      </c>
      <c r="R57" s="15">
        <f>IF(OR(R56="",Q56=""),"",IF(Q56&lt;=0,"",IFERROR(R56/Q56-1,"")))</f>
        <v/>
      </c>
      <c r="S57" s="15">
        <f>IF(OR(S56="",R56=""),"",IF(R56&lt;=0,"",IFERROR(S56/R56-1,"")))</f>
        <v/>
      </c>
      <c r="T57" s="15">
        <f>IF(OR(T56="",S56=""),"",IF(S56&lt;=0,"",IFERROR(T56/S56-1,"")))</f>
        <v/>
      </c>
      <c r="U57" s="15">
        <f>IF(OR(U56="",T56=""),"",IF(T56&lt;=0,"",IFERROR(U56/T56-1,"")))</f>
        <v/>
      </c>
      <c r="V57" s="15">
        <f>IF(OR(V56="",U56=""),"",IF(U56&lt;=0,"",IFERROR(V56/U56-1,"")))</f>
        <v/>
      </c>
      <c r="W57" s="15">
        <f>IF(OR(W56="",V56=""),"",IF(V56&lt;=0,"",IFERROR(W56/V56-1,"")))</f>
        <v/>
      </c>
      <c r="X57" s="15">
        <f>IF(OR(X56="",W56=""),"",IF(W56&lt;=0,"",IFERROR(X56/W56-1,"")))</f>
        <v/>
      </c>
      <c r="Y57" s="14">
        <f>IF(OR(Y56="",X56=""),"",IF(X56&lt;=0,"",IFERROR(Y56/X56-1,"")))</f>
        <v/>
      </c>
      <c r="Z57" s="15">
        <f>IF(OR(Z56="",Y56=""),"",IF(Y56&lt;=0,"",IFERROR(Z56/Y56-1,"")))</f>
        <v/>
      </c>
      <c r="AA57" s="15">
        <f>IF(OR(AA56="",Z56=""),"",IF(Z56&lt;=0,"",IFERROR(AA56/Z56-1,"")))</f>
        <v/>
      </c>
      <c r="AB57" s="15">
        <f>IF(OR(AB56="",AA56=""),"",IF(AA56&lt;=0,"",IFERROR(AB56/AA56-1,"")))</f>
        <v/>
      </c>
      <c r="AC57" s="15">
        <f>IF(OR(AC56="",AB56=""),"",IF(AB56&lt;=0,"",IFERROR(AC56/AB56-1,"")))</f>
        <v/>
      </c>
    </row>
    <row r="58">
      <c r="A58" s="9" t="inlineStr">
        <is>
          <t>지배주주 순이익</t>
        </is>
      </c>
      <c r="B58" s="10" t="n"/>
      <c r="C58" s="11" t="n">
        <v>50.41</v>
      </c>
      <c r="D58" s="12" t="n">
        <v>526.122</v>
      </c>
      <c r="E58" s="12" t="n">
        <v>977.8819999999999</v>
      </c>
      <c r="F58" s="12" t="n">
        <v>270.297</v>
      </c>
      <c r="G58" s="12" t="n">
        <v>1568.466</v>
      </c>
      <c r="H58" s="12" t="n">
        <v>-961.1900000000001</v>
      </c>
      <c r="I58" s="12" t="n">
        <v>612.048</v>
      </c>
      <c r="J58" s="12" t="n">
        <v>726.712</v>
      </c>
      <c r="K58" s="12" t="n">
        <v>10159.022</v>
      </c>
      <c r="L58" s="12" t="n">
        <v>922.502</v>
      </c>
      <c r="M58" s="12" t="n">
        <v>408.581</v>
      </c>
      <c r="N58" s="12" t="n">
        <v>367.586</v>
      </c>
      <c r="O58" s="11" t="n">
        <v>2110.251</v>
      </c>
      <c r="P58" s="12" t="n">
        <v>2089.813</v>
      </c>
      <c r="Q58" s="12" t="n">
        <v>1785.744</v>
      </c>
      <c r="R58" s="12" t="n">
        <v>1640.153</v>
      </c>
      <c r="S58" s="12" t="n">
        <v>1248.872</v>
      </c>
      <c r="T58" s="12" t="n">
        <v>1801.48</v>
      </c>
      <c r="U58" s="12" t="n">
        <v>481.96</v>
      </c>
      <c r="V58" s="12" t="n">
        <v>1990.747</v>
      </c>
      <c r="W58" s="12" t="n">
        <v>1855.455</v>
      </c>
      <c r="X58" s="12" t="n">
        <v>12420.284</v>
      </c>
      <c r="Y58" s="11">
        <f>IF(OR(Y56="",Y59=""),"",IFERROR(Y56*Y59,""))</f>
        <v/>
      </c>
      <c r="Z58" s="12">
        <f>IF(OR(Z56="",Z59=""),"",IFERROR(Z56*Z59,""))</f>
        <v/>
      </c>
      <c r="AA58" s="12">
        <f>IF(OR(AA56="",AA59=""),"",IFERROR(AA56*AA59,""))</f>
        <v/>
      </c>
      <c r="AB58" s="12">
        <f>IF(OR(AB56="",AB59=""),"",IFERROR(AB56*AB59,""))</f>
        <v/>
      </c>
      <c r="AC58" s="12">
        <f>IF(OR(AC56="",AC59=""),"",IFERROR(AC56*AC59,""))</f>
        <v/>
      </c>
    </row>
    <row r="59">
      <c r="A59" s="13" t="inlineStr">
        <is>
          <t>지배주주 순이익률</t>
        </is>
      </c>
      <c r="B59" s="10" t="inlineStr">
        <is>
          <t>MW 기본 100%</t>
        </is>
      </c>
      <c r="C59" s="14">
        <f>IF(OR(C58="",C56=""),"",IFERROR(C58/C56,""))</f>
        <v/>
      </c>
      <c r="D59" s="15">
        <f>IF(OR(D58="",D56=""),"",IFERROR(D58/D56,""))</f>
        <v/>
      </c>
      <c r="E59" s="15">
        <f>IF(OR(E58="",E56=""),"",IFERROR(E58/E56,""))</f>
        <v/>
      </c>
      <c r="F59" s="15">
        <f>IF(OR(F58="",F56=""),"",IFERROR(F58/F56,""))</f>
        <v/>
      </c>
      <c r="G59" s="15">
        <f>IF(OR(G58="",G56=""),"",IFERROR(G58/G56,""))</f>
        <v/>
      </c>
      <c r="H59" s="15">
        <f>IF(OR(H58="",H56=""),"",IFERROR(H58/H56,""))</f>
        <v/>
      </c>
      <c r="I59" s="15">
        <f>IF(OR(I58="",I56=""),"",IFERROR(I58/I56,""))</f>
        <v/>
      </c>
      <c r="J59" s="15">
        <f>IF(OR(J58="",J56=""),"",IFERROR(J58/J56,""))</f>
        <v/>
      </c>
      <c r="K59" s="15">
        <f>IF(OR(K58="",K56=""),"",IFERROR(K58/K56,""))</f>
        <v/>
      </c>
      <c r="L59" s="15">
        <f>IF(OR(L58="",L56=""),"",IFERROR(L58/L56,""))</f>
        <v/>
      </c>
      <c r="M59" s="15">
        <f>IF(OR(M58="",M56=""),"",IFERROR(M58/M56,""))</f>
        <v/>
      </c>
      <c r="N59" s="15">
        <f>IF(OR(N58="",N56=""),"",IFERROR(N58/N56,""))</f>
        <v/>
      </c>
      <c r="O59" s="14">
        <f>IF(OR(O58="",O56=""),"",IFERROR(O58/O56,""))</f>
        <v/>
      </c>
      <c r="P59" s="15">
        <f>IF(OR(P58="",P56=""),"",IFERROR(P58/P56,""))</f>
        <v/>
      </c>
      <c r="Q59" s="15">
        <f>IF(OR(Q58="",Q56=""),"",IFERROR(Q58/Q56,""))</f>
        <v/>
      </c>
      <c r="R59" s="15">
        <f>IF(OR(R58="",R56=""),"",IFERROR(R58/R56,""))</f>
        <v/>
      </c>
      <c r="S59" s="15">
        <f>IF(OR(S58="",S56=""),"",IFERROR(S58/S56,""))</f>
        <v/>
      </c>
      <c r="T59" s="15">
        <f>IF(OR(T58="",T56=""),"",IFERROR(T58/T56,""))</f>
        <v/>
      </c>
      <c r="U59" s="15">
        <f>IF(OR(U58="",U56=""),"",IFERROR(U58/U56,""))</f>
        <v/>
      </c>
      <c r="V59" s="15">
        <f>IF(OR(V58="",V56=""),"",IFERROR(V58/V56,""))</f>
        <v/>
      </c>
      <c r="W59" s="15">
        <f>IF(OR(W58="",W56=""),"",IFERROR(W58/W56,""))</f>
        <v/>
      </c>
      <c r="X59" s="15">
        <f>IF(OR(X58="",X56=""),"",IFERROR(X58/X56,""))</f>
        <v/>
      </c>
      <c r="Y59" s="25" t="n">
        <v>1</v>
      </c>
      <c r="Z59" s="26" t="n">
        <v>1</v>
      </c>
      <c r="AA59" s="26" t="n">
        <v>1</v>
      </c>
      <c r="AB59" s="26" t="n">
        <v>1</v>
      </c>
      <c r="AC59" s="26" t="n">
        <v>1</v>
      </c>
    </row>
    <row r="60">
      <c r="A60" s="13" t="inlineStr">
        <is>
          <t>지배주주 순이익 YoY</t>
        </is>
      </c>
      <c r="B60" s="10" t="n"/>
      <c r="C60" s="14" t="n"/>
      <c r="D60" s="15" t="n"/>
      <c r="E60" s="15" t="n"/>
      <c r="F60" s="15" t="n"/>
      <c r="G60" s="15">
        <f>IF(OR(G58="",C58=""),"",IF(C58&lt;=0,"",IFERROR(G58/C58-1,"")))</f>
        <v/>
      </c>
      <c r="H60" s="15">
        <f>IF(OR(H58="",D58=""),"",IF(D58&lt;=0,"",IFERROR(H58/D58-1,"")))</f>
        <v/>
      </c>
      <c r="I60" s="15">
        <f>IF(OR(I58="",E58=""),"",IF(E58&lt;=0,"",IFERROR(I58/E58-1,"")))</f>
        <v/>
      </c>
      <c r="J60" s="15">
        <f>IF(OR(J58="",F58=""),"",IF(F58&lt;=0,"",IFERROR(J58/F58-1,"")))</f>
        <v/>
      </c>
      <c r="K60" s="15">
        <f>IF(OR(K58="",G58=""),"",IF(G58&lt;=0,"",IFERROR(K58/G58-1,"")))</f>
        <v/>
      </c>
      <c r="L60" s="15">
        <f>IF(OR(L58="",H58=""),"",IF(H58&lt;=0,"",IFERROR(L58/H58-1,"")))</f>
        <v/>
      </c>
      <c r="M60" s="15">
        <f>IF(OR(M58="",I58=""),"",IF(I58&lt;=0,"",IFERROR(M58/I58-1,"")))</f>
        <v/>
      </c>
      <c r="N60" s="15">
        <f>IF(OR(N58="",J58=""),"",IF(J58&lt;=0,"",IFERROR(N58/J58-1,"")))</f>
        <v/>
      </c>
      <c r="O60" s="14" t="n"/>
      <c r="P60" s="15">
        <f>IF(OR(P58="",O58=""),"",IF(O58&lt;=0,"",IFERROR(P58/O58-1,"")))</f>
        <v/>
      </c>
      <c r="Q60" s="15">
        <f>IF(OR(Q58="",P58=""),"",IF(P58&lt;=0,"",IFERROR(Q58/P58-1,"")))</f>
        <v/>
      </c>
      <c r="R60" s="15">
        <f>IF(OR(R58="",Q58=""),"",IF(Q58&lt;=0,"",IFERROR(R58/Q58-1,"")))</f>
        <v/>
      </c>
      <c r="S60" s="15">
        <f>IF(OR(S58="",R58=""),"",IF(R58&lt;=0,"",IFERROR(S58/R58-1,"")))</f>
        <v/>
      </c>
      <c r="T60" s="15">
        <f>IF(OR(T58="",S58=""),"",IF(S58&lt;=0,"",IFERROR(T58/S58-1,"")))</f>
        <v/>
      </c>
      <c r="U60" s="15">
        <f>IF(OR(U58="",T58=""),"",IF(T58&lt;=0,"",IFERROR(U58/T58-1,"")))</f>
        <v/>
      </c>
      <c r="V60" s="15">
        <f>IF(OR(V58="",U58=""),"",IF(U58&lt;=0,"",IFERROR(V58/U58-1,"")))</f>
        <v/>
      </c>
      <c r="W60" s="15">
        <f>IF(OR(W58="",V58=""),"",IF(V58&lt;=0,"",IFERROR(W58/V58-1,"")))</f>
        <v/>
      </c>
      <c r="X60" s="15">
        <f>IF(OR(X58="",W58=""),"",IF(W58&lt;=0,"",IFERROR(X58/W58-1,"")))</f>
        <v/>
      </c>
      <c r="Y60" s="14">
        <f>IF(OR(Y58="",X58=""),"",IF(X58&lt;=0,"",IFERROR(Y58/X58-1,"")))</f>
        <v/>
      </c>
      <c r="Z60" s="15">
        <f>IF(OR(Z58="",Y58=""),"",IF(Y58&lt;=0,"",IFERROR(Z58/Y58-1,"")))</f>
        <v/>
      </c>
      <c r="AA60" s="15">
        <f>IF(OR(AA58="",Z58=""),"",IF(Z58&lt;=0,"",IFERROR(AA58/Z58-1,"")))</f>
        <v/>
      </c>
      <c r="AB60" s="15">
        <f>IF(OR(AB58="",AA58=""),"",IF(AA58&lt;=0,"",IFERROR(AB58/AA58-1,"")))</f>
        <v/>
      </c>
      <c r="AC60" s="15">
        <f>IF(OR(AC58="",AB58=""),"",IF(AB58&lt;=0,"",IFERROR(AC58/AB58-1,"")))</f>
        <v/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(2026.10.28)</t>
        </is>
      </c>
      <c r="B62" s="27" t="n">
        <v>3545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25542396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IF(O29="","",O29)</f>
        <v/>
      </c>
      <c r="P65" s="15">
        <f>IF(P29="","",P29)</f>
        <v/>
      </c>
      <c r="Q65" s="15">
        <f>IF(Q29="","",Q29)</f>
        <v/>
      </c>
      <c r="R65" s="15">
        <f>IF(R29="","",R29)</f>
        <v/>
      </c>
      <c r="S65" s="15">
        <f>IF(S29="","",S29)</f>
        <v/>
      </c>
      <c r="T65" s="15">
        <f>IF(T29="","",T29)</f>
        <v/>
      </c>
      <c r="U65" s="15">
        <f>IF(U29="","",U29)</f>
        <v/>
      </c>
      <c r="V65" s="15">
        <f>IF(V29="","",V29)</f>
        <v/>
      </c>
      <c r="W65" s="15">
        <f>IF(W29="","",W29)</f>
        <v/>
      </c>
      <c r="X65" s="15">
        <f>IF(X29="","",X29)</f>
        <v/>
      </c>
      <c r="Y65" s="14">
        <f>IF(Y29="","",Y29)</f>
        <v/>
      </c>
      <c r="Z65" s="15">
        <f>IF(Z29="","",Z29)</f>
        <v/>
      </c>
      <c r="AA65" s="15">
        <f>IF(AA29="","",AA29)</f>
        <v/>
      </c>
      <c r="AB65" s="15">
        <f>IF(AB29="","",AB29)</f>
        <v/>
      </c>
      <c r="AC65" s="15">
        <f>IF(AC29="","",AC29)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IF(OR(P58="",O58=""),"",IFERROR(P58/O58-1,""))</f>
        <v/>
      </c>
      <c r="Q66" s="15">
        <f>IF(OR(Q58="",P58=""),"",IFERROR(Q58/P58-1,""))</f>
        <v/>
      </c>
      <c r="R66" s="15">
        <f>IF(OR(R58="",Q58=""),"",IFERROR(R58/Q58-1,""))</f>
        <v/>
      </c>
      <c r="S66" s="15">
        <f>IF(OR(S58="",R58=""),"",IFERROR(S58/R58-1,""))</f>
        <v/>
      </c>
      <c r="T66" s="15">
        <f>IF(OR(T58="",S58=""),"",IFERROR(T58/S58-1,""))</f>
        <v/>
      </c>
      <c r="U66" s="15">
        <f>IF(OR(U58="",T58=""),"",IFERROR(U58/T58-1,""))</f>
        <v/>
      </c>
      <c r="V66" s="15">
        <f>IF(OR(V58="",U58=""),"",IFERROR(V58/U58-1,""))</f>
        <v/>
      </c>
      <c r="W66" s="15">
        <f>IF(OR(W58="",V58=""),"",IFERROR(W58/V58-1,""))</f>
        <v/>
      </c>
      <c r="X66" s="15">
        <f>IF(OR(X58="",W58=""),"",IFERROR(X58/W58-1,""))</f>
        <v/>
      </c>
      <c r="Y66" s="14">
        <f>IF(OR(Y58="",X58=""),"",IFERROR(Y58/X58-1,""))</f>
        <v/>
      </c>
      <c r="Z66" s="15">
        <f>IF(OR(Z58="",Y58=""),"",IFERROR(Z58/Y58-1,""))</f>
        <v/>
      </c>
      <c r="AA66" s="15">
        <f>IF(OR(AA58="",Z58=""),"",IFERROR(AA58/Z58-1,""))</f>
        <v/>
      </c>
      <c r="AB66" s="15">
        <f>IF(OR(AB58="",AA58=""),"",IFERROR(AB58/AA58-1,""))</f>
        <v/>
      </c>
      <c r="AC66" s="15">
        <f>IF(OR(AC58="",AB58=""),"",IFERROR(AC58/AB58-1,""))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IF(OR($B$64="",X58=""),"",IFERROR($B$64/X58,""))</f>
        <v/>
      </c>
      <c r="Y67" s="30">
        <f>IF(OR($B$64="",Y58=""),"",IFERROR($B$64/Y58,""))</f>
        <v/>
      </c>
      <c r="Z67" s="31">
        <f>IF(OR($B$64="",Z58=""),"",IFERROR($B$64/Z58,""))</f>
        <v/>
      </c>
      <c r="AA67" s="31">
        <f>IF(OR($B$64="",AA58=""),"",IFERROR($B$64/AA58,""))</f>
        <v/>
      </c>
      <c r="AB67" s="31">
        <f>IF(OR($B$64="",AB58=""),"",IFERROR($B$64/AB58,""))</f>
        <v/>
      </c>
      <c r="AC67" s="31">
        <f>IF(OR($B$64="",AC58=""),"",IFERROR($B$64/AC58,""))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IF(OR(O58="",$B$63=""),"",IFERROR(O58*1000000.0/$B$63,""))</f>
        <v/>
      </c>
      <c r="P69" s="29">
        <f>IF(OR(P58="",$B$63=""),"",IFERROR(P58*1000000.0/$B$63,""))</f>
        <v/>
      </c>
      <c r="Q69" s="29">
        <f>IF(OR(Q58="",$B$63=""),"",IFERROR(Q58*1000000.0/$B$63,""))</f>
        <v/>
      </c>
      <c r="R69" s="29">
        <f>IF(OR(R58="",$B$63=""),"",IFERROR(R58*1000000.0/$B$63,""))</f>
        <v/>
      </c>
      <c r="S69" s="29">
        <f>IF(OR(S58="",$B$63=""),"",IFERROR(S58*1000000.0/$B$63,""))</f>
        <v/>
      </c>
      <c r="T69" s="29">
        <f>IF(OR(T58="",$B$63=""),"",IFERROR(T58*1000000.0/$B$63,""))</f>
        <v/>
      </c>
      <c r="U69" s="29">
        <f>IF(OR(U58="",$B$63=""),"",IFERROR(U58*1000000.0/$B$63,""))</f>
        <v/>
      </c>
      <c r="V69" s="29">
        <f>IF(OR(V58="",$B$63=""),"",IFERROR(V58*1000000.0/$B$63,""))</f>
        <v/>
      </c>
      <c r="W69" s="29">
        <f>IF(OR(W58="",$B$63=""),"",IFERROR(W58*1000000.0/$B$63,""))</f>
        <v/>
      </c>
      <c r="X69" s="29">
        <f>IF(OR(X58="",$B$63=""),"",IFERROR(X58*1000000.0/$B$63,""))</f>
        <v/>
      </c>
      <c r="Y69" s="28">
        <f>IF(OR(Y58="",$B$63=""),"",IFERROR(Y58*1000000.0/$B$63,""))</f>
        <v/>
      </c>
      <c r="Z69" s="29">
        <f>IF(OR(Z58="",$B$63=""),"",IFERROR(Z58*1000000.0/$B$63,""))</f>
        <v/>
      </c>
      <c r="AA69" s="29">
        <f>IF(OR(AA58="",$B$63=""),"",IFERROR(AA58*1000000.0/$B$63,""))</f>
        <v/>
      </c>
      <c r="AB69" s="29">
        <f>IF(OR(AB58="",$B$63=""),"",IFERROR(AB58*1000000.0/$B$63,""))</f>
        <v/>
      </c>
      <c r="AC69" s="29">
        <f>IF(OR(AC58="",$B$63=""),"",IFERROR(AC58*1000000.0/$B$63,""))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IF(OR(Y58="",Y68=""),"",IFERROR(Y58*Y68,""))</f>
        <v/>
      </c>
      <c r="Z81" s="20">
        <f>IF(OR(Z58="",Z68=""),"",IFERROR(Z58*Z68,""))</f>
        <v/>
      </c>
      <c r="AA81" s="20">
        <f>IF(OR(AA58="",AA68=""),"",IFERROR(AA58*AA68,""))</f>
        <v/>
      </c>
      <c r="AB81" s="20">
        <f>IF(OR(AB58="",AB68=""),"",IFERROR(AB58*AB68,""))</f>
        <v/>
      </c>
      <c r="AC81" s="20">
        <f>IF(OR(AC58="",AC68=""),"",IFERROR(AC58*AC68,""))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2026.10.28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2024.3Q</t>
        </is>
      </c>
      <c r="D92" s="5" t="inlineStr">
        <is>
          <t>2024.4Q</t>
        </is>
      </c>
      <c r="E92" s="5" t="inlineStr">
        <is>
          <t>2025.1Q</t>
        </is>
      </c>
      <c r="F92" s="5" t="inlineStr">
        <is>
          <t>2025.2Q</t>
        </is>
      </c>
      <c r="G92" s="5" t="inlineStr">
        <is>
          <t>2025.3Q</t>
        </is>
      </c>
      <c r="H92" s="5" t="inlineStr">
        <is>
          <t>2025.4Q</t>
        </is>
      </c>
      <c r="I92" s="5" t="inlineStr">
        <is>
          <t>2026.1Q</t>
        </is>
      </c>
      <c r="J92" s="5" t="inlineStr">
        <is>
          <t>2026.2Q</t>
        </is>
      </c>
      <c r="K92" s="5" t="inlineStr">
        <is>
          <t>2026.3Q</t>
        </is>
      </c>
      <c r="L92" s="5" t="inlineStr">
        <is>
          <t>2026.4Q</t>
        </is>
      </c>
      <c r="M92" s="5" t="inlineStr">
        <is>
          <t>2027.1Q</t>
        </is>
      </c>
      <c r="N92" s="5" t="inlineStr">
        <is>
          <t>2027.2Q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27259.039</v>
      </c>
      <c r="D93" s="12" t="n">
        <v>23371.48</v>
      </c>
      <c r="E93" s="12" t="n">
        <v>25520.937</v>
      </c>
      <c r="F93" s="12" t="n">
        <v>27735.484</v>
      </c>
      <c r="G93" s="12" t="n">
        <v>28993.994</v>
      </c>
      <c r="H93" s="12" t="n">
        <v>27906.817</v>
      </c>
      <c r="I93" s="12" t="n">
        <v>26306.367</v>
      </c>
      <c r="J93" s="12" t="n">
        <v>27751.463</v>
      </c>
      <c r="K93" s="12" t="n">
        <v>29071.088</v>
      </c>
      <c r="L93" s="12" t="n">
        <v>27739.729</v>
      </c>
      <c r="M93" s="12" t="n">
        <v>27559.118</v>
      </c>
      <c r="N93" s="12" t="n">
        <v>28692.653</v>
      </c>
      <c r="T93" s="12" t="n">
        <v>21899.323</v>
      </c>
      <c r="U93" s="12" t="n">
        <v>24273.983</v>
      </c>
      <c r="V93" s="12" t="n">
        <v>23371.48</v>
      </c>
      <c r="W93" s="12" t="n">
        <v>27906.817</v>
      </c>
      <c r="X93" s="12" t="n">
        <v>27739.729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24544.927</v>
      </c>
      <c r="D95" s="20" t="n">
        <v>21081.212</v>
      </c>
      <c r="E95" s="20" t="n">
        <v>23028.753</v>
      </c>
      <c r="F95" s="20" t="n">
        <v>23790.12</v>
      </c>
      <c r="G95" s="20" t="n">
        <v>25216.622</v>
      </c>
      <c r="H95" s="20" t="n">
        <v>24039.036</v>
      </c>
      <c r="I95" s="20" t="n">
        <v>23219.635</v>
      </c>
      <c r="J95" s="20" t="n">
        <v>24443.776</v>
      </c>
      <c r="K95" s="20" t="n">
        <v>25791.53</v>
      </c>
      <c r="L95" s="20" t="n">
        <v>24450.092</v>
      </c>
      <c r="M95" s="20" t="n">
        <v>24898.692</v>
      </c>
      <c r="N95" s="20" t="n">
        <v>25744.547</v>
      </c>
      <c r="T95" s="20" t="n">
        <v>18953.546</v>
      </c>
      <c r="U95" s="20" t="n">
        <v>22274.658</v>
      </c>
      <c r="V95" s="20" t="n">
        <v>21081.212</v>
      </c>
      <c r="W95" s="20" t="n">
        <v>24039.036</v>
      </c>
      <c r="X95" s="20" t="n">
        <v>24450.092</v>
      </c>
    </row>
    <row r="96">
      <c r="A96" s="43" t="inlineStr">
        <is>
          <t>YoY</t>
        </is>
      </c>
      <c r="B96" s="3" t="inlineStr">
        <is>
          <t>전년 같은 분기·전년 대비</t>
        </is>
      </c>
      <c r="G96" s="15">
        <f>IF(OR(G95="",C95=""),"",IF(G95*C95&lt;=0,"",IFERROR(G95/C95-1,"")))</f>
        <v/>
      </c>
      <c r="H96" s="15">
        <f>IF(OR(H95="",D95=""),"",IF(H95*D95&lt;=0,"",IFERROR(H95/D95-1,"")))</f>
        <v/>
      </c>
      <c r="I96" s="15">
        <f>IF(OR(I95="",E95=""),"",IF(I95*E95&lt;=0,"",IFERROR(I95/E95-1,"")))</f>
        <v/>
      </c>
      <c r="J96" s="15">
        <f>IF(OR(J95="",F95=""),"",IF(J95*F95&lt;=0,"",IFERROR(J95/F95-1,"")))</f>
        <v/>
      </c>
      <c r="K96" s="15">
        <f>IF(OR(K95="",G95=""),"",IF(K95*G95&lt;=0,"",IFERROR(K95/G95-1,"")))</f>
        <v/>
      </c>
      <c r="L96" s="15">
        <f>IF(OR(L95="",H95=""),"",IF(L95*H95&lt;=0,"",IFERROR(L95/H95-1,"")))</f>
        <v/>
      </c>
      <c r="M96" s="15">
        <f>IF(OR(M95="",I95=""),"",IF(M95*I95&lt;=0,"",IFERROR(M95/I95-1,"")))</f>
        <v/>
      </c>
      <c r="N96" s="15">
        <f>IF(OR(N95="",J95=""),"",IF(N95*J95&lt;=0,"",IFERROR(N95/J95-1,"")))</f>
        <v/>
      </c>
      <c r="T96" s="15">
        <f>IF(OR(T95="",S95=""),"",IF(T95*S95&lt;=0,"",IFERROR(T95/S95-1,"")))</f>
        <v/>
      </c>
      <c r="U96" s="15">
        <f>IF(OR(U95="",T95=""),"",IF(U95*T95&lt;=0,"",IFERROR(U95/T95-1,"")))</f>
        <v/>
      </c>
      <c r="V96" s="15">
        <f>IF(OR(V95="",U95=""),"",IF(V95*U95&lt;=0,"",IFERROR(V95/U95-1,"")))</f>
        <v/>
      </c>
      <c r="W96" s="15">
        <f>IF(OR(W95="",V95=""),"",IF(W95*V95&lt;=0,"",IFERROR(W95/V95-1,"")))</f>
        <v/>
      </c>
      <c r="X96" s="15">
        <f>IF(OR(X95="",W95=""),"",IF(X95*W95&lt;=0,"",IFERROR(X95/W95-1,"")))</f>
        <v/>
      </c>
    </row>
    <row r="97">
      <c r="A97" s="9" t="inlineStr">
        <is>
          <t>매출총이익</t>
        </is>
      </c>
      <c r="C97" s="12" t="n">
        <v>2714.113</v>
      </c>
      <c r="D97" s="12" t="n">
        <v>2290.267</v>
      </c>
      <c r="E97" s="12" t="n">
        <v>2492.183</v>
      </c>
      <c r="F97" s="12" t="n">
        <v>3945.365</v>
      </c>
      <c r="G97" s="12" t="n">
        <v>3777.371</v>
      </c>
      <c r="H97" s="12" t="n">
        <v>3867.781</v>
      </c>
      <c r="I97" s="12" t="n">
        <v>3086.732</v>
      </c>
      <c r="J97" s="12" t="n">
        <v>3307.686</v>
      </c>
      <c r="K97" s="12" t="n">
        <v>3279.559</v>
      </c>
      <c r="L97" s="12" t="n">
        <v>3289.637</v>
      </c>
      <c r="M97" s="12" t="n">
        <v>2660.426</v>
      </c>
      <c r="N97" s="12" t="n">
        <v>2948.105</v>
      </c>
      <c r="T97" s="12" t="n">
        <v>2945.777</v>
      </c>
      <c r="U97" s="12" t="n">
        <v>1999.326</v>
      </c>
      <c r="V97" s="12" t="n">
        <v>2290.267</v>
      </c>
      <c r="W97" s="12" t="n">
        <v>3867.781</v>
      </c>
      <c r="X97" s="12" t="n">
        <v>3289.637</v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IF(OR(G97="",C97=""),"",IF(C97&lt;=0,"",IFERROR(G97/C97-1,"")))</f>
        <v/>
      </c>
      <c r="H98" s="15">
        <f>IF(OR(H97="",D97=""),"",IF(D97&lt;=0,"",IFERROR(H97/D97-1,"")))</f>
        <v/>
      </c>
      <c r="I98" s="15">
        <f>IF(OR(I97="",E97=""),"",IF(E97&lt;=0,"",IFERROR(I97/E97-1,"")))</f>
        <v/>
      </c>
      <c r="J98" s="15">
        <f>IF(OR(J97="",F97=""),"",IF(F97&lt;=0,"",IFERROR(J97/F97-1,"")))</f>
        <v/>
      </c>
      <c r="K98" s="15">
        <f>IF(OR(K97="",G97=""),"",IF(G97&lt;=0,"",IFERROR(K97/G97-1,"")))</f>
        <v/>
      </c>
      <c r="L98" s="15">
        <f>IF(OR(L97="",H97=""),"",IF(H97&lt;=0,"",IFERROR(L97/H97-1,"")))</f>
        <v/>
      </c>
      <c r="M98" s="15">
        <f>IF(OR(M97="",I97=""),"",IF(I97&lt;=0,"",IFERROR(M97/I97-1,"")))</f>
        <v/>
      </c>
      <c r="N98" s="15">
        <f>IF(OR(N97="",J97=""),"",IF(J97&lt;=0,"",IFERROR(N97/J97-1,"")))</f>
        <v/>
      </c>
      <c r="T98" s="15">
        <f>IF(OR(T97="",S97=""),"",IF(S97&lt;=0,"",IFERROR(T97/S97-1,"")))</f>
        <v/>
      </c>
      <c r="U98" s="15">
        <f>IF(OR(U97="",T97=""),"",IF(T97&lt;=0,"",IFERROR(U97/T97-1,"")))</f>
        <v/>
      </c>
      <c r="V98" s="15">
        <f>IF(OR(V97="",U97=""),"",IF(U97&lt;=0,"",IFERROR(V97/U97-1,"")))</f>
        <v/>
      </c>
      <c r="W98" s="15">
        <f>IF(OR(W97="",V97=""),"",IF(V97&lt;=0,"",IFERROR(W97/V97-1,"")))</f>
        <v/>
      </c>
      <c r="X98" s="15">
        <f>IF(OR(X97="",W97=""),"",IF(W97&lt;=0,"",IFERROR(X97/W97-1,"")))</f>
        <v/>
      </c>
    </row>
    <row r="99">
      <c r="A99" s="18" t="inlineStr">
        <is>
          <t>판매비와 관리비</t>
        </is>
      </c>
      <c r="C99" s="20" t="n">
        <v>2402.946</v>
      </c>
      <c r="D99" s="20" t="n">
        <v>2209.208</v>
      </c>
      <c r="E99" s="20" t="n">
        <v>2355.872</v>
      </c>
      <c r="F99" s="20" t="n">
        <v>2320.678</v>
      </c>
      <c r="G99" s="20" t="n">
        <v>2542.021</v>
      </c>
      <c r="H99" s="20" t="n">
        <v>2479.66</v>
      </c>
      <c r="I99" s="20" t="n">
        <v>2484.613</v>
      </c>
      <c r="J99" s="20" t="n">
        <v>2414.63</v>
      </c>
      <c r="K99" s="20" t="n">
        <v>2687.791</v>
      </c>
      <c r="L99" s="20" t="n">
        <v>2528.742</v>
      </c>
      <c r="M99" s="20" t="n">
        <v>2636.831</v>
      </c>
      <c r="N99" s="20" t="n">
        <v>2583.018</v>
      </c>
      <c r="T99" s="20" t="n">
        <v>2133.38</v>
      </c>
      <c r="U99" s="20" t="n">
        <v>2129.864</v>
      </c>
      <c r="V99" s="20" t="n">
        <v>2209.208</v>
      </c>
      <c r="W99" s="20" t="n">
        <v>2479.66</v>
      </c>
      <c r="X99" s="20" t="n">
        <v>2528.742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IF(OR(G99="",C99=""),"",IF(G99*C99&lt;=0,"",IFERROR(G99/C99-1,"")))</f>
        <v/>
      </c>
      <c r="H100" s="15">
        <f>IF(OR(H99="",D99=""),"",IF(H99*D99&lt;=0,"",IFERROR(H99/D99-1,"")))</f>
        <v/>
      </c>
      <c r="I100" s="15">
        <f>IF(OR(I99="",E99=""),"",IF(I99*E99&lt;=0,"",IFERROR(I99/E99-1,"")))</f>
        <v/>
      </c>
      <c r="J100" s="15">
        <f>IF(OR(J99="",F99=""),"",IF(J99*F99&lt;=0,"",IFERROR(J99/F99-1,"")))</f>
        <v/>
      </c>
      <c r="K100" s="15">
        <f>IF(OR(K99="",G99=""),"",IF(K99*G99&lt;=0,"",IFERROR(K99/G99-1,"")))</f>
        <v/>
      </c>
      <c r="L100" s="15">
        <f>IF(OR(L99="",H99=""),"",IF(L99*H99&lt;=0,"",IFERROR(L99/H99-1,"")))</f>
        <v/>
      </c>
      <c r="M100" s="15">
        <f>IF(OR(M99="",I99=""),"",IF(M99*I99&lt;=0,"",IFERROR(M99/I99-1,"")))</f>
        <v/>
      </c>
      <c r="N100" s="15">
        <f>IF(OR(N99="",J99=""),"",IF(N99*J99&lt;=0,"",IFERROR(N99/J99-1,"")))</f>
        <v/>
      </c>
      <c r="T100" s="15">
        <f>IF(OR(T99="",S99=""),"",IF(T99*S99&lt;=0,"",IFERROR(T99/S99-1,"")))</f>
        <v/>
      </c>
      <c r="U100" s="15">
        <f>IF(OR(U99="",T99=""),"",IF(U99*T99&lt;=0,"",IFERROR(U99/T99-1,"")))</f>
        <v/>
      </c>
      <c r="V100" s="15">
        <f>IF(OR(V99="",U99=""),"",IF(V99*U99&lt;=0,"",IFERROR(V99/U99-1,"")))</f>
        <v/>
      </c>
      <c r="W100" s="15">
        <f>IF(OR(W99="",V99=""),"",IF(W99*V99&lt;=0,"",IFERROR(W99/V99-1,"")))</f>
        <v/>
      </c>
      <c r="X100" s="15">
        <f>IF(OR(X99="",W99=""),"",IF(X99*W99&lt;=0,"",IFERROR(X99/W99-1,"")))</f>
        <v/>
      </c>
    </row>
    <row r="101">
      <c r="A101" s="9" t="inlineStr">
        <is>
          <t>영업이익</t>
        </is>
      </c>
      <c r="C101" s="12" t="n">
        <v>311.166</v>
      </c>
      <c r="D101" s="12" t="n">
        <v>81.06</v>
      </c>
      <c r="E101" s="12" t="n">
        <v>136.31</v>
      </c>
      <c r="F101" s="12" t="n">
        <v>1624.687</v>
      </c>
      <c r="G101" s="12" t="n">
        <v>1235.351</v>
      </c>
      <c r="H101" s="12" t="n">
        <v>1388.121</v>
      </c>
      <c r="I101" s="12" t="n">
        <v>602.119</v>
      </c>
      <c r="J101" s="12" t="n">
        <v>893.056</v>
      </c>
      <c r="K101" s="12" t="n">
        <v>591.7670000000001</v>
      </c>
      <c r="L101" s="12" t="n">
        <v>760.896</v>
      </c>
      <c r="M101" s="12" t="n">
        <v>23.594</v>
      </c>
      <c r="N101" s="12" t="n">
        <v>365.088</v>
      </c>
      <c r="T101" s="12" t="n">
        <v>812.397</v>
      </c>
      <c r="U101" s="12" t="n">
        <v>-130.539</v>
      </c>
      <c r="V101" s="12" t="n">
        <v>81.06</v>
      </c>
      <c r="W101" s="12" t="n">
        <v>1388.121</v>
      </c>
      <c r="X101" s="12" t="n">
        <v>760.896</v>
      </c>
    </row>
    <row r="102">
      <c r="A102" s="43" t="inlineStr">
        <is>
          <t>OPM</t>
        </is>
      </c>
      <c r="B102" s="3" t="inlineStr">
        <is>
          <t>영업이익 ÷ 매출</t>
        </is>
      </c>
      <c r="C102" s="15">
        <f>IF(OR(C101="",C93=""),"",IF(C93&lt;=0,"",IFERROR(C101/C93,"")))</f>
        <v/>
      </c>
      <c r="D102" s="15">
        <f>IF(OR(D101="",D93=""),"",IF(D93&lt;=0,"",IFERROR(D101/D93,"")))</f>
        <v/>
      </c>
      <c r="E102" s="15">
        <f>IF(OR(E101="",E93=""),"",IF(E93&lt;=0,"",IFERROR(E101/E93,"")))</f>
        <v/>
      </c>
      <c r="F102" s="15">
        <f>IF(OR(F101="",F93=""),"",IF(F93&lt;=0,"",IFERROR(F101/F93,"")))</f>
        <v/>
      </c>
      <c r="G102" s="15">
        <f>IF(OR(G101="",G93=""),"",IF(G93&lt;=0,"",IFERROR(G101/G93,"")))</f>
        <v/>
      </c>
      <c r="H102" s="15">
        <f>IF(OR(H101="",H93=""),"",IF(H93&lt;=0,"",IFERROR(H101/H93,"")))</f>
        <v/>
      </c>
      <c r="I102" s="15">
        <f>IF(OR(I101="",I93=""),"",IF(I93&lt;=0,"",IFERROR(I101/I93,"")))</f>
        <v/>
      </c>
      <c r="J102" s="15">
        <f>IF(OR(J101="",J93=""),"",IF(J93&lt;=0,"",IFERROR(J101/J93,"")))</f>
        <v/>
      </c>
      <c r="K102" s="15">
        <f>IF(OR(K101="",K93=""),"",IF(K93&lt;=0,"",IFERROR(K101/K93,"")))</f>
        <v/>
      </c>
      <c r="L102" s="15">
        <f>IF(OR(L101="",L93=""),"",IF(L93&lt;=0,"",IFERROR(L101/L93,"")))</f>
        <v/>
      </c>
      <c r="M102" s="15">
        <f>IF(OR(M101="",M93=""),"",IF(M93&lt;=0,"",IFERROR(M101/M93,"")))</f>
        <v/>
      </c>
      <c r="N102" s="15">
        <f>IF(OR(N101="",N93=""),"",IF(N93&lt;=0,"",IFERROR(N101/N93,"")))</f>
        <v/>
      </c>
      <c r="T102" s="15">
        <f>IF(OR(T101="",T93=""),"",IF(T93&lt;=0,"",IFERROR(T101/T93,"")))</f>
        <v/>
      </c>
      <c r="U102" s="15">
        <f>IF(OR(U101="",U93=""),"",IF(U93&lt;=0,"",IFERROR(U101/U93,"")))</f>
        <v/>
      </c>
      <c r="V102" s="15">
        <f>IF(OR(V101="",V93=""),"",IF(V93&lt;=0,"",IFERROR(V101/V93,"")))</f>
        <v/>
      </c>
      <c r="W102" s="15">
        <f>IF(OR(W101="",W93=""),"",IF(W93&lt;=0,"",IFERROR(W101/W93,"")))</f>
        <v/>
      </c>
      <c r="X102" s="15">
        <f>IF(OR(X101="",X93=""),"",IF(X93&lt;=0,"",IFERROR(X101/X93,"")))</f>
        <v/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IF(OR(G101="",C101=""),"",IF(C101&lt;=0,"",IFERROR(G101/C101-1,"")))</f>
        <v/>
      </c>
      <c r="H103" s="15">
        <f>IF(OR(H101="",D101=""),"",IF(D101&lt;=0,"",IFERROR(H101/D101-1,"")))</f>
        <v/>
      </c>
      <c r="I103" s="15">
        <f>IF(OR(I101="",E101=""),"",IF(E101&lt;=0,"",IFERROR(I101/E101-1,"")))</f>
        <v/>
      </c>
      <c r="J103" s="15">
        <f>IF(OR(J101="",F101=""),"",IF(F101&lt;=0,"",IFERROR(J101/F101-1,"")))</f>
        <v/>
      </c>
      <c r="K103" s="15">
        <f>IF(OR(K101="",G101=""),"",IF(G101&lt;=0,"",IFERROR(K101/G101-1,"")))</f>
        <v/>
      </c>
      <c r="L103" s="15">
        <f>IF(OR(L101="",H101=""),"",IF(H101&lt;=0,"",IFERROR(L101/H101-1,"")))</f>
        <v/>
      </c>
      <c r="M103" s="15">
        <f>IF(OR(M101="",I101=""),"",IF(I101&lt;=0,"",IFERROR(M101/I101-1,"")))</f>
        <v/>
      </c>
      <c r="N103" s="15">
        <f>IF(OR(N101="",J101=""),"",IF(J101&lt;=0,"",IFERROR(N101/J101-1,"")))</f>
        <v/>
      </c>
      <c r="T103" s="15">
        <f>IF(OR(T101="",S101=""),"",IF(S101&lt;=0,"",IFERROR(T101/S101-1,"")))</f>
        <v/>
      </c>
      <c r="U103" s="15">
        <f>IF(OR(U101="",T101=""),"",IF(T101&lt;=0,"",IFERROR(U101/T101-1,"")))</f>
        <v/>
      </c>
      <c r="V103" s="15">
        <f>IF(OR(V101="",U101=""),"",IF(U101&lt;=0,"",IFERROR(V101/U101-1,"")))</f>
        <v/>
      </c>
      <c r="W103" s="15">
        <f>IF(OR(W101="",V101=""),"",IF(V101&lt;=0,"",IFERROR(W101/V101-1,"")))</f>
        <v/>
      </c>
      <c r="X103" s="15">
        <f>IF(OR(X101="",W101=""),"",IF(W101&lt;=0,"",IFERROR(X101/W101-1,"")))</f>
        <v/>
      </c>
    </row>
    <row r="104">
      <c r="A104" s="18" t="inlineStr">
        <is>
          <t>이자수익</t>
        </is>
      </c>
      <c r="C104" s="20" t="n">
        <v>18.528</v>
      </c>
      <c r="D104" s="20" t="n">
        <v>19.976</v>
      </c>
      <c r="E104" s="20" t="n">
        <v>23.555</v>
      </c>
      <c r="F104" s="20" t="n">
        <v>36.538</v>
      </c>
      <c r="G104" s="20" t="n">
        <v>36.301</v>
      </c>
      <c r="H104" s="20" t="n">
        <v>32.336</v>
      </c>
      <c r="I104" s="20" t="n">
        <v>33.696</v>
      </c>
      <c r="J104" s="20" t="n">
        <v>34.953</v>
      </c>
      <c r="K104" s="20" t="n">
        <v>40.165</v>
      </c>
      <c r="L104" s="20" t="n">
        <v>65.143</v>
      </c>
      <c r="M104" s="20" t="n">
        <v>64.73099999999999</v>
      </c>
      <c r="N104" s="20" t="n">
        <v>63.154</v>
      </c>
      <c r="T104" s="20" t="n">
        <v>3.403</v>
      </c>
      <c r="U104" s="20" t="n">
        <v>4.396</v>
      </c>
      <c r="V104" s="20" t="n">
        <v>19.976</v>
      </c>
      <c r="W104" s="20" t="n">
        <v>32.336</v>
      </c>
      <c r="X104" s="20" t="n">
        <v>65.143</v>
      </c>
    </row>
    <row r="105">
      <c r="A105" s="18" t="inlineStr">
        <is>
          <t>배당금수익</t>
        </is>
      </c>
      <c r="C105" s="20" t="n">
        <v>374.663</v>
      </c>
      <c r="D105" s="20" t="n">
        <v>5.57</v>
      </c>
      <c r="E105" s="20" t="n">
        <v>559.981</v>
      </c>
      <c r="F105" s="20" t="n">
        <v>4.88</v>
      </c>
      <c r="G105" s="20" t="n">
        <v>482.551</v>
      </c>
      <c r="H105" s="20" t="n">
        <v>5.548</v>
      </c>
      <c r="I105" s="20" t="n">
        <v>644.549</v>
      </c>
      <c r="J105" s="20" t="n">
        <v>7.03</v>
      </c>
      <c r="K105" s="20" t="n">
        <v>592.515</v>
      </c>
      <c r="L105" s="20" t="n">
        <v>4.194</v>
      </c>
      <c r="M105" s="20" t="n">
        <v>506.221</v>
      </c>
      <c r="N105" s="20" t="n">
        <v>5.565</v>
      </c>
      <c r="T105" s="20" t="n">
        <v>5.349</v>
      </c>
      <c r="U105" s="20" t="n">
        <v>5.531</v>
      </c>
      <c r="V105" s="20" t="n">
        <v>5.57</v>
      </c>
      <c r="W105" s="20" t="n">
        <v>5.548</v>
      </c>
      <c r="X105" s="20" t="n">
        <v>4.194</v>
      </c>
    </row>
    <row r="106">
      <c r="A106" s="18" t="inlineStr">
        <is>
          <t>외환차익</t>
        </is>
      </c>
      <c r="C106" s="20" t="n">
        <v>-575.852</v>
      </c>
      <c r="D106" s="20" t="n">
        <v>662.005</v>
      </c>
      <c r="E106" s="20" t="n">
        <v>664.529</v>
      </c>
      <c r="F106" s="20" t="n">
        <v>-664.529</v>
      </c>
      <c r="G106" s="20" t="n">
        <v>416.543</v>
      </c>
      <c r="H106" s="20" t="n">
        <v>-416.543</v>
      </c>
      <c r="I106" s="20" t="n">
        <v>0</v>
      </c>
      <c r="L106" s="20" t="n">
        <v>215.787</v>
      </c>
      <c r="M106" s="20" t="n">
        <v>174.263</v>
      </c>
      <c r="T106" s="20" t="n">
        <v>528.087</v>
      </c>
      <c r="U106" s="20" t="n">
        <v>160.732</v>
      </c>
      <c r="V106" s="20" t="n">
        <v>662.005</v>
      </c>
      <c r="W106" s="20" t="n">
        <v>-416.543</v>
      </c>
      <c r="X106" s="20" t="n">
        <v>215.787</v>
      </c>
    </row>
    <row r="107">
      <c r="A107" s="18" t="inlineStr">
        <is>
          <t>보조금 수입</t>
        </is>
      </c>
      <c r="C107" s="20" t="n">
        <v>8.587</v>
      </c>
      <c r="D107" s="20" t="n">
        <v>12.225</v>
      </c>
      <c r="T107" s="20" t="n">
        <v>40.651</v>
      </c>
      <c r="U107" s="20" t="n">
        <v>12.993</v>
      </c>
      <c r="V107" s="20" t="n">
        <v>12.225</v>
      </c>
    </row>
    <row r="108">
      <c r="A108" s="18" t="inlineStr">
        <is>
          <t>기타</t>
        </is>
      </c>
      <c r="C108" s="20" t="n">
        <v>96.21599999999999</v>
      </c>
      <c r="D108" s="20" t="n">
        <v>16.231</v>
      </c>
      <c r="E108" s="20" t="n">
        <v>57.35</v>
      </c>
      <c r="F108" s="20" t="n">
        <v>41.265</v>
      </c>
      <c r="G108" s="20" t="n">
        <v>72.45399999999999</v>
      </c>
      <c r="H108" s="20" t="n">
        <v>-9.272</v>
      </c>
      <c r="I108" s="20" t="n">
        <v>27.275</v>
      </c>
      <c r="J108" s="20" t="n">
        <v>25.713</v>
      </c>
      <c r="K108" s="20" t="n">
        <v>46.228</v>
      </c>
      <c r="L108" s="20" t="n">
        <v>-0.022</v>
      </c>
      <c r="M108" s="20" t="n">
        <v>32.066</v>
      </c>
      <c r="N108" s="20" t="n">
        <v>18.946</v>
      </c>
      <c r="T108" s="20" t="n">
        <v>29.324</v>
      </c>
      <c r="U108" s="20" t="n">
        <v>40.011</v>
      </c>
      <c r="V108" s="20" t="n">
        <v>16.231</v>
      </c>
      <c r="W108" s="20" t="n">
        <v>-9.272</v>
      </c>
      <c r="X108" s="20" t="n">
        <v>-0.022</v>
      </c>
    </row>
    <row r="109">
      <c r="A109" s="18" t="inlineStr">
        <is>
          <t>영업외수익 합계</t>
        </is>
      </c>
      <c r="C109" s="20" t="n">
        <v>-86.444</v>
      </c>
      <c r="D109" s="20" t="n">
        <v>732.627</v>
      </c>
      <c r="E109" s="20" t="n">
        <v>1305.416</v>
      </c>
      <c r="F109" s="20" t="n">
        <v>-581.846</v>
      </c>
      <c r="G109" s="20" t="n">
        <v>1007.849</v>
      </c>
      <c r="H109" s="20" t="n">
        <v>-362.118</v>
      </c>
      <c r="I109" s="20" t="n">
        <v>705.521</v>
      </c>
      <c r="J109" s="20" t="n">
        <v>67.696</v>
      </c>
      <c r="K109" s="20" t="n">
        <v>1060.536</v>
      </c>
      <c r="L109" s="20" t="n">
        <v>315.786</v>
      </c>
      <c r="M109" s="20" t="n">
        <v>777.283</v>
      </c>
      <c r="N109" s="20" t="n">
        <v>-86.59999999999999</v>
      </c>
      <c r="T109" s="20" t="n">
        <v>606.814</v>
      </c>
      <c r="U109" s="20" t="n">
        <v>223.663</v>
      </c>
      <c r="V109" s="20" t="n">
        <v>732.627</v>
      </c>
      <c r="W109" s="20" t="n">
        <v>-362.118</v>
      </c>
      <c r="X109" s="20" t="n">
        <v>315.786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IF(OR(G109="",C109=""),"",IF(G109*C109&lt;=0,"",IFERROR(G109/C109-1,"")))</f>
        <v/>
      </c>
      <c r="H110" s="15">
        <f>IF(OR(H109="",D109=""),"",IF(H109*D109&lt;=0,"",IFERROR(H109/D109-1,"")))</f>
        <v/>
      </c>
      <c r="I110" s="15">
        <f>IF(OR(I109="",E109=""),"",IF(I109*E109&lt;=0,"",IFERROR(I109/E109-1,"")))</f>
        <v/>
      </c>
      <c r="J110" s="15">
        <f>IF(OR(J109="",F109=""),"",IF(J109*F109&lt;=0,"",IFERROR(J109/F109-1,"")))</f>
        <v/>
      </c>
      <c r="K110" s="15">
        <f>IF(OR(K109="",G109=""),"",IF(K109*G109&lt;=0,"",IFERROR(K109/G109-1,"")))</f>
        <v/>
      </c>
      <c r="L110" s="15">
        <f>IF(OR(L109="",H109=""),"",IF(L109*H109&lt;=0,"",IFERROR(L109/H109-1,"")))</f>
        <v/>
      </c>
      <c r="M110" s="15">
        <f>IF(OR(M109="",I109=""),"",IF(M109*I109&lt;=0,"",IFERROR(M109/I109-1,"")))</f>
        <v/>
      </c>
      <c r="N110" s="15">
        <f>IF(OR(N109="",J109=""),"",IF(N109*J109&lt;=0,"",IFERROR(N109/J109-1,"")))</f>
        <v/>
      </c>
      <c r="T110" s="15">
        <f>IF(OR(T109="",S109=""),"",IF(T109*S109&lt;=0,"",IFERROR(T109/S109-1,"")))</f>
        <v/>
      </c>
      <c r="U110" s="15">
        <f>IF(OR(U109="",T109=""),"",IF(U109*T109&lt;=0,"",IFERROR(U109/T109-1,"")))</f>
        <v/>
      </c>
      <c r="V110" s="15">
        <f>IF(OR(V109="",U109=""),"",IF(V109*U109&lt;=0,"",IFERROR(V109/U109-1,"")))</f>
        <v/>
      </c>
      <c r="W110" s="15">
        <f>IF(OR(W109="",V109=""),"",IF(W109*V109&lt;=0,"",IFERROR(W109/V109-1,"")))</f>
        <v/>
      </c>
      <c r="X110" s="15">
        <f>IF(OR(X109="",W109=""),"",IF(X109*W109&lt;=0,"",IFERROR(X109/W109-1,"")))</f>
        <v/>
      </c>
    </row>
    <row r="111">
      <c r="A111" s="18" t="inlineStr">
        <is>
          <t>이자비용</t>
        </is>
      </c>
      <c r="C111" s="20" t="n">
        <v>16.319</v>
      </c>
      <c r="D111" s="20" t="n">
        <v>18.952</v>
      </c>
      <c r="E111" s="20" t="n">
        <v>30.398</v>
      </c>
      <c r="F111" s="20" t="n">
        <v>31.98</v>
      </c>
      <c r="G111" s="20" t="n">
        <v>32.626</v>
      </c>
      <c r="H111" s="20" t="n">
        <v>29.35</v>
      </c>
      <c r="I111" s="20" t="n">
        <v>35.132</v>
      </c>
      <c r="J111" s="20" t="n">
        <v>42.12</v>
      </c>
      <c r="K111" s="20" t="n">
        <v>34.637</v>
      </c>
      <c r="L111" s="20" t="n">
        <v>32.684</v>
      </c>
      <c r="M111" s="20" t="n">
        <v>35.883</v>
      </c>
      <c r="N111" s="20" t="n">
        <v>51.62</v>
      </c>
      <c r="T111" s="20" t="n">
        <v>2.928</v>
      </c>
      <c r="U111" s="20" t="n">
        <v>13.241</v>
      </c>
      <c r="V111" s="20" t="n">
        <v>18.952</v>
      </c>
      <c r="W111" s="20" t="n">
        <v>29.35</v>
      </c>
      <c r="X111" s="20" t="n">
        <v>32.684</v>
      </c>
    </row>
    <row r="112">
      <c r="A112" s="18" t="inlineStr">
        <is>
          <t>지분법손실</t>
        </is>
      </c>
      <c r="I112" s="20" t="n">
        <v>0</v>
      </c>
      <c r="J112" s="20" t="n">
        <v>0</v>
      </c>
      <c r="M112" s="20" t="n">
        <v>5.283</v>
      </c>
      <c r="N112" s="20" t="n">
        <v>15.69</v>
      </c>
    </row>
    <row r="113">
      <c r="A113" s="18" t="inlineStr">
        <is>
          <t>고정자산 제각·매각손실</t>
        </is>
      </c>
      <c r="C113" s="20" t="n">
        <v>23.596</v>
      </c>
      <c r="D113" s="20" t="n">
        <v>86.61799999999999</v>
      </c>
      <c r="E113" s="20" t="n">
        <v>4.108</v>
      </c>
      <c r="F113" s="20" t="n">
        <v>59.038</v>
      </c>
      <c r="G113" s="20" t="n">
        <v>17.348</v>
      </c>
      <c r="H113" s="20" t="n">
        <v>132.863</v>
      </c>
      <c r="I113" s="20" t="n">
        <v>67.152</v>
      </c>
      <c r="J113" s="20" t="n">
        <v>30.029</v>
      </c>
      <c r="K113" s="20" t="n">
        <v>57.024</v>
      </c>
      <c r="L113" s="20" t="n">
        <v>69.52500000000001</v>
      </c>
      <c r="M113" s="20" t="n">
        <v>44.971</v>
      </c>
      <c r="N113" s="20" t="n">
        <v>21.523</v>
      </c>
      <c r="T113" s="20" t="n">
        <v>11.009</v>
      </c>
      <c r="U113" s="20" t="n">
        <v>24.442</v>
      </c>
      <c r="V113" s="20" t="n">
        <v>86.61799999999999</v>
      </c>
      <c r="W113" s="20" t="n">
        <v>132.863</v>
      </c>
      <c r="X113" s="20" t="n">
        <v>69.52500000000001</v>
      </c>
    </row>
    <row r="114">
      <c r="A114" s="18" t="inlineStr">
        <is>
          <t>외환차손</t>
        </is>
      </c>
      <c r="E114" s="20" t="n">
        <v>0</v>
      </c>
      <c r="F114" s="20" t="n">
        <v>544.006</v>
      </c>
      <c r="I114" s="20" t="n">
        <v>303.083</v>
      </c>
      <c r="J114" s="20" t="n">
        <v>-222.673</v>
      </c>
      <c r="M114" s="20" t="n">
        <v>0</v>
      </c>
      <c r="N114" s="20" t="n">
        <v>165.234</v>
      </c>
    </row>
    <row r="115">
      <c r="A115" s="18" t="inlineStr">
        <is>
          <t>품질보증 비용</t>
        </is>
      </c>
      <c r="C115" s="20" t="n">
        <v>0</v>
      </c>
      <c r="D115" s="20" t="n">
        <v>0</v>
      </c>
      <c r="G115" s="20" t="n">
        <v>0</v>
      </c>
      <c r="H115" s="20" t="n">
        <v>0</v>
      </c>
      <c r="T115" s="20" t="n">
        <v>0</v>
      </c>
      <c r="U115" s="20" t="n">
        <v>34.477</v>
      </c>
      <c r="V115" s="20" t="n">
        <v>0</v>
      </c>
      <c r="W115" s="20" t="n">
        <v>0</v>
      </c>
    </row>
    <row r="116">
      <c r="A116" s="18" t="inlineStr">
        <is>
          <t>기타</t>
        </is>
      </c>
      <c r="C116" s="20" t="n">
        <v>18.64</v>
      </c>
      <c r="D116" s="20" t="n">
        <v>23.446</v>
      </c>
      <c r="E116" s="20" t="n">
        <v>12.811</v>
      </c>
      <c r="F116" s="20" t="n">
        <v>14.55</v>
      </c>
      <c r="G116" s="20" t="n">
        <v>15.892</v>
      </c>
      <c r="H116" s="20" t="n">
        <v>20.106</v>
      </c>
      <c r="I116" s="20" t="n">
        <v>13.765</v>
      </c>
      <c r="J116" s="20" t="n">
        <v>43.604</v>
      </c>
      <c r="K116" s="20" t="n">
        <v>25.711</v>
      </c>
      <c r="L116" s="20" t="n">
        <v>12.119</v>
      </c>
      <c r="M116" s="20" t="n">
        <v>14.211</v>
      </c>
      <c r="N116" s="20" t="n">
        <v>24.648</v>
      </c>
      <c r="T116" s="20" t="n">
        <v>4.228</v>
      </c>
      <c r="U116" s="20" t="n">
        <v>-25.852</v>
      </c>
      <c r="V116" s="20" t="n">
        <v>23.446</v>
      </c>
      <c r="W116" s="20" t="n">
        <v>20.106</v>
      </c>
      <c r="X116" s="20" t="n">
        <v>12.119</v>
      </c>
    </row>
    <row r="117">
      <c r="A117" s="18" t="inlineStr">
        <is>
          <t>영업외비용 합계</t>
        </is>
      </c>
      <c r="C117" s="20" t="n">
        <v>58.555</v>
      </c>
      <c r="D117" s="20" t="n">
        <v>142.202</v>
      </c>
      <c r="E117" s="20" t="n">
        <v>47.318</v>
      </c>
      <c r="F117" s="20" t="n">
        <v>649.574</v>
      </c>
      <c r="G117" s="20" t="n">
        <v>-478.14</v>
      </c>
      <c r="H117" s="20" t="n">
        <v>386.33</v>
      </c>
      <c r="I117" s="20" t="n">
        <v>419.134</v>
      </c>
      <c r="J117" s="20" t="n">
        <v>-106.919</v>
      </c>
      <c r="K117" s="20" t="n">
        <v>36.96</v>
      </c>
      <c r="L117" s="20" t="n">
        <v>151.721</v>
      </c>
      <c r="M117" s="20" t="n">
        <v>100.349</v>
      </c>
      <c r="N117" s="20" t="n">
        <v>278.716</v>
      </c>
      <c r="T117" s="20" t="n">
        <v>44.58</v>
      </c>
      <c r="U117" s="20" t="n">
        <v>65.56699999999999</v>
      </c>
      <c r="V117" s="20" t="n">
        <v>142.202</v>
      </c>
      <c r="W117" s="20" t="n">
        <v>386.33</v>
      </c>
      <c r="X117" s="20" t="n">
        <v>151.721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IF(OR(G117="",C117=""),"",IF(G117*C117&lt;=0,"",IFERROR(G117/C117-1,"")))</f>
        <v/>
      </c>
      <c r="H118" s="15">
        <f>IF(OR(H117="",D117=""),"",IF(H117*D117&lt;=0,"",IFERROR(H117/D117-1,"")))</f>
        <v/>
      </c>
      <c r="I118" s="15">
        <f>IF(OR(I117="",E117=""),"",IF(I117*E117&lt;=0,"",IFERROR(I117/E117-1,"")))</f>
        <v/>
      </c>
      <c r="J118" s="15">
        <f>IF(OR(J117="",F117=""),"",IF(J117*F117&lt;=0,"",IFERROR(J117/F117-1,"")))</f>
        <v/>
      </c>
      <c r="K118" s="15">
        <f>IF(OR(K117="",G117=""),"",IF(K117*G117&lt;=0,"",IFERROR(K117/G117-1,"")))</f>
        <v/>
      </c>
      <c r="L118" s="15">
        <f>IF(OR(L117="",H117=""),"",IF(L117*H117&lt;=0,"",IFERROR(L117/H117-1,"")))</f>
        <v/>
      </c>
      <c r="M118" s="15">
        <f>IF(OR(M117="",I117=""),"",IF(M117*I117&lt;=0,"",IFERROR(M117/I117-1,"")))</f>
        <v/>
      </c>
      <c r="N118" s="15">
        <f>IF(OR(N117="",J117=""),"",IF(N117*J117&lt;=0,"",IFERROR(N117/J117-1,"")))</f>
        <v/>
      </c>
      <c r="T118" s="15">
        <f>IF(OR(T117="",S117=""),"",IF(T117*S117&lt;=0,"",IFERROR(T117/S117-1,"")))</f>
        <v/>
      </c>
      <c r="U118" s="15">
        <f>IF(OR(U117="",T117=""),"",IF(U117*T117&lt;=0,"",IFERROR(U117/T117-1,"")))</f>
        <v/>
      </c>
      <c r="V118" s="15">
        <f>IF(OR(V117="",U117=""),"",IF(V117*U117&lt;=0,"",IFERROR(V117/U117-1,"")))</f>
        <v/>
      </c>
      <c r="W118" s="15">
        <f>IF(OR(W117="",V117=""),"",IF(W117*V117&lt;=0,"",IFERROR(W117/V117-1,"")))</f>
        <v/>
      </c>
      <c r="X118" s="15">
        <f>IF(OR(X117="",W117=""),"",IF(X117*W117&lt;=0,"",IFERROR(X117/W117-1,"")))</f>
        <v/>
      </c>
    </row>
    <row r="119">
      <c r="A119" s="9" t="inlineStr">
        <is>
          <t>경상이익</t>
        </is>
      </c>
      <c r="C119" s="12" t="n">
        <v>166.166</v>
      </c>
      <c r="D119" s="12" t="n">
        <v>671.486</v>
      </c>
      <c r="E119" s="12" t="n">
        <v>1394.408</v>
      </c>
      <c r="F119" s="12" t="n">
        <v>393.267</v>
      </c>
      <c r="G119" s="12" t="n">
        <v>2721.34</v>
      </c>
      <c r="H119" s="12" t="n">
        <v>639.672</v>
      </c>
      <c r="I119" s="12" t="n">
        <v>888.506</v>
      </c>
      <c r="J119" s="12" t="n">
        <v>1067.671</v>
      </c>
      <c r="K119" s="12" t="n">
        <v>1615.342</v>
      </c>
      <c r="L119" s="12" t="n">
        <v>924.962</v>
      </c>
      <c r="M119" s="12" t="n">
        <v>700.529</v>
      </c>
      <c r="N119" s="12" t="n">
        <v>-0.229</v>
      </c>
      <c r="T119" s="12" t="n">
        <v>1374.631</v>
      </c>
      <c r="U119" s="12" t="n">
        <v>27.558</v>
      </c>
      <c r="V119" s="12" t="n">
        <v>671.486</v>
      </c>
      <c r="W119" s="12" t="n">
        <v>639.672</v>
      </c>
      <c r="X119" s="12" t="n">
        <v>924.962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IF(OR(G119="",C119=""),"",IF(C119&lt;=0,"",IFERROR(G119/C119-1,"")))</f>
        <v/>
      </c>
      <c r="H120" s="15">
        <f>IF(OR(H119="",D119=""),"",IF(D119&lt;=0,"",IFERROR(H119/D119-1,"")))</f>
        <v/>
      </c>
      <c r="I120" s="15">
        <f>IF(OR(I119="",E119=""),"",IF(E119&lt;=0,"",IFERROR(I119/E119-1,"")))</f>
        <v/>
      </c>
      <c r="J120" s="15">
        <f>IF(OR(J119="",F119=""),"",IF(F119&lt;=0,"",IFERROR(J119/F119-1,"")))</f>
        <v/>
      </c>
      <c r="K120" s="15">
        <f>IF(OR(K119="",G119=""),"",IF(G119&lt;=0,"",IFERROR(K119/G119-1,"")))</f>
        <v/>
      </c>
      <c r="L120" s="15">
        <f>IF(OR(L119="",H119=""),"",IF(H119&lt;=0,"",IFERROR(L119/H119-1,"")))</f>
        <v/>
      </c>
      <c r="M120" s="15">
        <f>IF(OR(M119="",I119=""),"",IF(I119&lt;=0,"",IFERROR(M119/I119-1,"")))</f>
        <v/>
      </c>
      <c r="N120" s="15">
        <f>IF(OR(N119="",J119=""),"",IF(J119&lt;=0,"",IFERROR(N119/J119-1,"")))</f>
        <v/>
      </c>
      <c r="T120" s="15">
        <f>IF(OR(T119="",S119=""),"",IF(S119&lt;=0,"",IFERROR(T119/S119-1,"")))</f>
        <v/>
      </c>
      <c r="U120" s="15">
        <f>IF(OR(U119="",T119=""),"",IF(T119&lt;=0,"",IFERROR(U119/T119-1,"")))</f>
        <v/>
      </c>
      <c r="V120" s="15">
        <f>IF(OR(V119="",U119=""),"",IF(U119&lt;=0,"",IFERROR(V119/U119-1,"")))</f>
        <v/>
      </c>
      <c r="W120" s="15">
        <f>IF(OR(W119="",V119=""),"",IF(V119&lt;=0,"",IFERROR(W119/V119-1,"")))</f>
        <v/>
      </c>
      <c r="X120" s="15">
        <f>IF(OR(X119="",W119=""),"",IF(W119&lt;=0,"",IFERROR(X119/W119-1,"")))</f>
        <v/>
      </c>
    </row>
    <row r="121">
      <c r="A121" s="18" t="inlineStr">
        <is>
          <t>투자유가증권 매각이익</t>
        </is>
      </c>
      <c r="H121" s="20" t="n">
        <v>43.391</v>
      </c>
      <c r="L121" s="20" t="n">
        <v>0</v>
      </c>
      <c r="W121" s="20" t="n">
        <v>43.391</v>
      </c>
      <c r="X121" s="20" t="n">
        <v>0</v>
      </c>
    </row>
    <row r="122">
      <c r="A122" s="18" t="inlineStr">
        <is>
          <t>관계회사 청산이익</t>
        </is>
      </c>
      <c r="C122" s="20" t="n">
        <v>0</v>
      </c>
      <c r="D122" s="20" t="n">
        <v>0</v>
      </c>
      <c r="G122" s="20" t="n">
        <v>24.91</v>
      </c>
      <c r="H122" s="20" t="n">
        <v>0</v>
      </c>
      <c r="K122" s="20" t="n">
        <v>0</v>
      </c>
      <c r="L122" s="20" t="n">
        <v>0</v>
      </c>
      <c r="V122" s="20" t="n">
        <v>0</v>
      </c>
      <c r="W122" s="20" t="n">
        <v>0</v>
      </c>
      <c r="X122" s="20" t="n">
        <v>0</v>
      </c>
    </row>
    <row r="123">
      <c r="A123" s="18" t="inlineStr">
        <is>
          <t>보험금 수익</t>
        </is>
      </c>
      <c r="G123" s="20" t="n">
        <v>0</v>
      </c>
      <c r="H123" s="20" t="n">
        <v>304.266</v>
      </c>
      <c r="K123" s="20" t="n">
        <v>114.789</v>
      </c>
      <c r="L123" s="20" t="n">
        <v>0</v>
      </c>
      <c r="W123" s="20" t="n">
        <v>304.266</v>
      </c>
      <c r="X123" s="20" t="n">
        <v>0</v>
      </c>
    </row>
    <row r="124">
      <c r="A124" s="18" t="inlineStr">
        <is>
          <t>특별이익 합계</t>
        </is>
      </c>
      <c r="C124" s="20" t="n">
        <v>0</v>
      </c>
      <c r="D124" s="20" t="n">
        <v>227.099</v>
      </c>
      <c r="G124" s="20" t="n">
        <v>24.91</v>
      </c>
      <c r="H124" s="20" t="n">
        <v>347.658</v>
      </c>
      <c r="K124" s="20" t="n">
        <v>13001.294</v>
      </c>
      <c r="L124" s="20" t="n">
        <v>466.733</v>
      </c>
      <c r="V124" s="20" t="n">
        <v>227.099</v>
      </c>
      <c r="W124" s="20" t="n">
        <v>347.658</v>
      </c>
      <c r="X124" s="20" t="n">
        <v>466.733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IF(OR(G124="",C124=""),"",IF(G124*C124&lt;=0,"",IFERROR(G124/C124-1,"")))</f>
        <v/>
      </c>
      <c r="H125" s="15">
        <f>IF(OR(H124="",D124=""),"",IF(H124*D124&lt;=0,"",IFERROR(H124/D124-1,"")))</f>
        <v/>
      </c>
      <c r="K125" s="15">
        <f>IF(OR(K124="",G124=""),"",IF(K124*G124&lt;=0,"",IFERROR(K124/G124-1,"")))</f>
        <v/>
      </c>
      <c r="L125" s="15">
        <f>IF(OR(L124="",H124=""),"",IF(L124*H124&lt;=0,"",IFERROR(L124/H124-1,"")))</f>
        <v/>
      </c>
      <c r="V125" s="15">
        <f>IF(OR(V124="",U124=""),"",IF(V124*U124&lt;=0,"",IFERROR(V124/U124-1,"")))</f>
        <v/>
      </c>
      <c r="W125" s="15">
        <f>IF(OR(W124="",V124=""),"",IF(W124*V124&lt;=0,"",IFERROR(W124/V124-1,"")))</f>
        <v/>
      </c>
      <c r="X125" s="15">
        <f>IF(OR(X124="",W124=""),"",IF(X124*W124&lt;=0,"",IFERROR(X124/W124-1,"")))</f>
        <v/>
      </c>
    </row>
    <row r="126">
      <c r="A126" s="18" t="inlineStr">
        <is>
          <t>손상차손</t>
        </is>
      </c>
      <c r="D126" s="20" t="n">
        <v>98.64100000000001</v>
      </c>
      <c r="H126" s="20" t="n">
        <v>135.028</v>
      </c>
      <c r="L126" s="20" t="n">
        <v>152.277</v>
      </c>
      <c r="V126" s="20" t="n">
        <v>98.64100000000001</v>
      </c>
      <c r="W126" s="20" t="n">
        <v>135.028</v>
      </c>
      <c r="X126" s="20" t="n">
        <v>152.277</v>
      </c>
    </row>
    <row r="127">
      <c r="A127" s="18" t="inlineStr">
        <is>
          <t>후지오카 제4공장 사고 관련 손실</t>
        </is>
      </c>
      <c r="D127" s="20" t="n">
        <v>28.144</v>
      </c>
      <c r="H127" s="20" t="n">
        <v>0</v>
      </c>
      <c r="U127" s="20" t="n">
        <v>0</v>
      </c>
      <c r="V127" s="20" t="n">
        <v>28.144</v>
      </c>
      <c r="W127" s="20" t="n">
        <v>0</v>
      </c>
    </row>
    <row r="128">
      <c r="A128" s="18" t="inlineStr">
        <is>
          <t>사업구조개선비용</t>
        </is>
      </c>
      <c r="D128" s="20" t="n">
        <v>0</v>
      </c>
      <c r="H128" s="20" t="n">
        <v>-187.169</v>
      </c>
      <c r="L128" s="20" t="n">
        <v>0</v>
      </c>
      <c r="V128" s="20" t="n">
        <v>0</v>
      </c>
      <c r="W128" s="20" t="n">
        <v>-187.169</v>
      </c>
      <c r="X128" s="20" t="n">
        <v>0</v>
      </c>
    </row>
    <row r="129">
      <c r="A129" s="18" t="inlineStr">
        <is>
          <t>특별손실 합계</t>
        </is>
      </c>
      <c r="D129" s="20" t="n">
        <v>126.785</v>
      </c>
      <c r="H129" s="20" t="n">
        <v>2582.757</v>
      </c>
      <c r="K129" s="20" t="n">
        <v>0</v>
      </c>
      <c r="L129" s="20" t="n">
        <v>318.616</v>
      </c>
      <c r="U129" s="20" t="n">
        <v>120.988</v>
      </c>
      <c r="V129" s="20" t="n">
        <v>126.785</v>
      </c>
      <c r="W129" s="20" t="n">
        <v>2582.757</v>
      </c>
      <c r="X129" s="20" t="n">
        <v>318.616</v>
      </c>
    </row>
    <row r="130">
      <c r="A130" s="43" t="inlineStr">
        <is>
          <t>YoY</t>
        </is>
      </c>
      <c r="B130" s="3" t="inlineStr">
        <is>
          <t>전년 같은 분기·전년 대비</t>
        </is>
      </c>
      <c r="H130" s="15">
        <f>IF(OR(H129="",D129=""),"",IF(H129*D129&lt;=0,"",IFERROR(H129/D129-1,"")))</f>
        <v/>
      </c>
      <c r="K130" s="15">
        <f>IF(OR(K129="",G129=""),"",IF(K129*G129&lt;=0,"",IFERROR(K129/G129-1,"")))</f>
        <v/>
      </c>
      <c r="L130" s="15">
        <f>IF(OR(L129="",H129=""),"",IF(L129*H129&lt;=0,"",IFERROR(L129/H129-1,"")))</f>
        <v/>
      </c>
      <c r="U130" s="15">
        <f>IF(OR(U129="",T129=""),"",IF(U129*T129&lt;=0,"",IFERROR(U129/T129-1,"")))</f>
        <v/>
      </c>
      <c r="V130" s="15">
        <f>IF(OR(V129="",U129=""),"",IF(V129*U129&lt;=0,"",IFERROR(V129/U129-1,"")))</f>
        <v/>
      </c>
      <c r="W130" s="15">
        <f>IF(OR(W129="",V129=""),"",IF(W129*V129&lt;=0,"",IFERROR(W129/V129-1,"")))</f>
        <v/>
      </c>
      <c r="X130" s="15">
        <f>IF(OR(X129="",W129=""),"",IF(X129*W129&lt;=0,"",IFERROR(X129/W129-1,"")))</f>
        <v/>
      </c>
    </row>
    <row r="131">
      <c r="A131" s="9" t="inlineStr">
        <is>
          <t>법인세차감전 순이익</t>
        </is>
      </c>
      <c r="C131" s="12" t="n">
        <v>112.059</v>
      </c>
      <c r="D131" s="12" t="n">
        <v>771.801</v>
      </c>
      <c r="E131" s="12" t="n">
        <v>1394.408</v>
      </c>
      <c r="F131" s="12" t="n">
        <v>438.164</v>
      </c>
      <c r="G131" s="12" t="n">
        <v>2336.196</v>
      </c>
      <c r="H131" s="12" t="n">
        <v>-1595.427</v>
      </c>
      <c r="I131" s="12" t="n">
        <v>888.506</v>
      </c>
      <c r="J131" s="12" t="n">
        <v>1151.266</v>
      </c>
      <c r="K131" s="12" t="n">
        <v>14616.636</v>
      </c>
      <c r="L131" s="12" t="n">
        <v>1073.078</v>
      </c>
      <c r="M131" s="12" t="n">
        <v>700.529</v>
      </c>
      <c r="N131" s="12" t="n">
        <v>441.678</v>
      </c>
      <c r="T131" s="12" t="n">
        <v>1350.116</v>
      </c>
      <c r="U131" s="12" t="n">
        <v>-93.431</v>
      </c>
      <c r="V131" s="12" t="n">
        <v>771.801</v>
      </c>
      <c r="W131" s="12" t="n">
        <v>-1595.427</v>
      </c>
      <c r="X131" s="12" t="n">
        <v>1073.078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IF(OR(G131="",C131=""),"",IF(C131&lt;=0,"",IFERROR(G131/C131-1,"")))</f>
        <v/>
      </c>
      <c r="H132" s="15">
        <f>IF(OR(H131="",D131=""),"",IF(D131&lt;=0,"",IFERROR(H131/D131-1,"")))</f>
        <v/>
      </c>
      <c r="I132" s="15">
        <f>IF(OR(I131="",E131=""),"",IF(E131&lt;=0,"",IFERROR(I131/E131-1,"")))</f>
        <v/>
      </c>
      <c r="J132" s="15">
        <f>IF(OR(J131="",F131=""),"",IF(F131&lt;=0,"",IFERROR(J131/F131-1,"")))</f>
        <v/>
      </c>
      <c r="K132" s="15">
        <f>IF(OR(K131="",G131=""),"",IF(G131&lt;=0,"",IFERROR(K131/G131-1,"")))</f>
        <v/>
      </c>
      <c r="L132" s="15">
        <f>IF(OR(L131="",H131=""),"",IF(H131&lt;=0,"",IFERROR(L131/H131-1,"")))</f>
        <v/>
      </c>
      <c r="M132" s="15">
        <f>IF(OR(M131="",I131=""),"",IF(I131&lt;=0,"",IFERROR(M131/I131-1,"")))</f>
        <v/>
      </c>
      <c r="N132" s="15">
        <f>IF(OR(N131="",J131=""),"",IF(J131&lt;=0,"",IFERROR(N131/J131-1,"")))</f>
        <v/>
      </c>
      <c r="T132" s="15">
        <f>IF(OR(T131="",S131=""),"",IF(S131&lt;=0,"",IFERROR(T131/S131-1,"")))</f>
        <v/>
      </c>
      <c r="U132" s="15">
        <f>IF(OR(U131="",T131=""),"",IF(T131&lt;=0,"",IFERROR(U131/T131-1,"")))</f>
        <v/>
      </c>
      <c r="V132" s="15">
        <f>IF(OR(V131="",U131=""),"",IF(U131&lt;=0,"",IFERROR(V131/U131-1,"")))</f>
        <v/>
      </c>
      <c r="W132" s="15">
        <f>IF(OR(W131="",V131=""),"",IF(V131&lt;=0,"",IFERROR(W131/V131-1,"")))</f>
        <v/>
      </c>
      <c r="X132" s="15">
        <f>IF(OR(X131="",W131=""),"",IF(W131&lt;=0,"",IFERROR(X131/W131-1,"")))</f>
        <v/>
      </c>
    </row>
    <row r="133">
      <c r="A133" s="18" t="inlineStr">
        <is>
          <t>법인세 등</t>
        </is>
      </c>
      <c r="C133" s="20" t="n">
        <v>-2.552</v>
      </c>
      <c r="D133" s="20" t="n">
        <v>246.273</v>
      </c>
      <c r="E133" s="20" t="n">
        <v>398.854</v>
      </c>
      <c r="F133" s="20" t="n">
        <v>126.471</v>
      </c>
      <c r="G133" s="20" t="n">
        <v>717.992</v>
      </c>
      <c r="H133" s="20" t="n">
        <v>-605.5599999999999</v>
      </c>
      <c r="I133" s="20" t="n">
        <v>259.934</v>
      </c>
      <c r="J133" s="20" t="n">
        <v>364.082</v>
      </c>
      <c r="K133" s="20" t="n">
        <v>4391.724</v>
      </c>
      <c r="L133" s="20" t="n">
        <v>167.734</v>
      </c>
      <c r="M133" s="20" t="n">
        <v>254.333</v>
      </c>
      <c r="N133" s="20" t="n">
        <v>27.937</v>
      </c>
      <c r="T133" s="20" t="n">
        <v>572.018</v>
      </c>
      <c r="U133" s="20" t="n">
        <v>-159.573</v>
      </c>
      <c r="V133" s="20" t="n">
        <v>246.273</v>
      </c>
      <c r="W133" s="20" t="n">
        <v>-605.5599999999999</v>
      </c>
      <c r="X133" s="20" t="n">
        <v>167.734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IF(OR(G133="",C133=""),"",IF(G133*C133&lt;=0,"",IFERROR(G133/C133-1,"")))</f>
        <v/>
      </c>
      <c r="H134" s="15">
        <f>IF(OR(H133="",D133=""),"",IF(H133*D133&lt;=0,"",IFERROR(H133/D133-1,"")))</f>
        <v/>
      </c>
      <c r="I134" s="15">
        <f>IF(OR(I133="",E133=""),"",IF(I133*E133&lt;=0,"",IFERROR(I133/E133-1,"")))</f>
        <v/>
      </c>
      <c r="J134" s="15">
        <f>IF(OR(J133="",F133=""),"",IF(J133*F133&lt;=0,"",IFERROR(J133/F133-1,"")))</f>
        <v/>
      </c>
      <c r="K134" s="15">
        <f>IF(OR(K133="",G133=""),"",IF(K133*G133&lt;=0,"",IFERROR(K133/G133-1,"")))</f>
        <v/>
      </c>
      <c r="L134" s="15">
        <f>IF(OR(L133="",H133=""),"",IF(L133*H133&lt;=0,"",IFERROR(L133/H133-1,"")))</f>
        <v/>
      </c>
      <c r="M134" s="15">
        <f>IF(OR(M133="",I133=""),"",IF(M133*I133&lt;=0,"",IFERROR(M133/I133-1,"")))</f>
        <v/>
      </c>
      <c r="N134" s="15">
        <f>IF(OR(N133="",J133=""),"",IF(N133*J133&lt;=0,"",IFERROR(N133/J133-1,"")))</f>
        <v/>
      </c>
      <c r="T134" s="15">
        <f>IF(OR(T133="",S133=""),"",IF(T133*S133&lt;=0,"",IFERROR(T133/S133-1,"")))</f>
        <v/>
      </c>
      <c r="U134" s="15">
        <f>IF(OR(U133="",T133=""),"",IF(U133*T133&lt;=0,"",IFERROR(U133/T133-1,"")))</f>
        <v/>
      </c>
      <c r="V134" s="15">
        <f>IF(OR(V133="",U133=""),"",IF(V133*U133&lt;=0,"",IFERROR(V133/U133-1,"")))</f>
        <v/>
      </c>
      <c r="W134" s="15">
        <f>IF(OR(W133="",V133=""),"",IF(W133*V133&lt;=0,"",IFERROR(W133/V133-1,"")))</f>
        <v/>
      </c>
      <c r="X134" s="15">
        <f>IF(OR(X133="",W133=""),"",IF(X133*W133&lt;=0,"",IFERROR(X133/W133-1,"")))</f>
        <v/>
      </c>
    </row>
    <row r="135">
      <c r="A135" s="9" t="inlineStr">
        <is>
          <t>순이익</t>
        </is>
      </c>
      <c r="C135" s="12" t="n">
        <v>114.611</v>
      </c>
      <c r="D135" s="12" t="n">
        <v>525.529</v>
      </c>
      <c r="E135" s="12" t="n">
        <v>995.553</v>
      </c>
      <c r="F135" s="12" t="n">
        <v>311.693</v>
      </c>
      <c r="G135" s="12" t="n">
        <v>1618.204</v>
      </c>
      <c r="H135" s="12" t="n">
        <v>-989.866</v>
      </c>
      <c r="I135" s="12" t="n">
        <v>628.572</v>
      </c>
      <c r="J135" s="12" t="n">
        <v>787.183</v>
      </c>
      <c r="K135" s="12" t="n">
        <v>10224.913</v>
      </c>
      <c r="L135" s="12" t="n">
        <v>905.343</v>
      </c>
      <c r="M135" s="12" t="n">
        <v>446.195</v>
      </c>
      <c r="N135" s="12" t="n">
        <v>413.742</v>
      </c>
      <c r="T135" s="12" t="n">
        <v>778.098</v>
      </c>
      <c r="U135" s="12" t="n">
        <v>66.14100000000001</v>
      </c>
      <c r="V135" s="12" t="n">
        <v>525.529</v>
      </c>
      <c r="W135" s="12" t="n">
        <v>-989.866</v>
      </c>
      <c r="X135" s="12" t="n">
        <v>905.343</v>
      </c>
    </row>
    <row r="136">
      <c r="A136" s="43" t="inlineStr">
        <is>
          <t>YoY</t>
        </is>
      </c>
      <c r="B136" s="3" t="inlineStr">
        <is>
          <t>전년 같은 분기·전년 대비</t>
        </is>
      </c>
      <c r="G136" s="15">
        <f>IF(OR(G135="",C135=""),"",IF(C135&lt;=0,"",IFERROR(G135/C135-1,"")))</f>
        <v/>
      </c>
      <c r="H136" s="15">
        <f>IF(OR(H135="",D135=""),"",IF(D135&lt;=0,"",IFERROR(H135/D135-1,"")))</f>
        <v/>
      </c>
      <c r="I136" s="15">
        <f>IF(OR(I135="",E135=""),"",IF(E135&lt;=0,"",IFERROR(I135/E135-1,"")))</f>
        <v/>
      </c>
      <c r="J136" s="15">
        <f>IF(OR(J135="",F135=""),"",IF(F135&lt;=0,"",IFERROR(J135/F135-1,"")))</f>
        <v/>
      </c>
      <c r="K136" s="15">
        <f>IF(OR(K135="",G135=""),"",IF(G135&lt;=0,"",IFERROR(K135/G135-1,"")))</f>
        <v/>
      </c>
      <c r="L136" s="15">
        <f>IF(OR(L135="",H135=""),"",IF(H135&lt;=0,"",IFERROR(L135/H135-1,"")))</f>
        <v/>
      </c>
      <c r="M136" s="15">
        <f>IF(OR(M135="",I135=""),"",IF(I135&lt;=0,"",IFERROR(M135/I135-1,"")))</f>
        <v/>
      </c>
      <c r="N136" s="15">
        <f>IF(OR(N135="",J135=""),"",IF(J135&lt;=0,"",IFERROR(N135/J135-1,"")))</f>
        <v/>
      </c>
      <c r="T136" s="15">
        <f>IF(OR(T135="",S135=""),"",IF(S135&lt;=0,"",IFERROR(T135/S135-1,"")))</f>
        <v/>
      </c>
      <c r="U136" s="15">
        <f>IF(OR(U135="",T135=""),"",IF(T135&lt;=0,"",IFERROR(U135/T135-1,"")))</f>
        <v/>
      </c>
      <c r="V136" s="15">
        <f>IF(OR(V135="",U135=""),"",IF(U135&lt;=0,"",IFERROR(V135/U135-1,"")))</f>
        <v/>
      </c>
      <c r="W136" s="15">
        <f>IF(OR(W135="",V135=""),"",IF(V135&lt;=0,"",IFERROR(W135/V135-1,"")))</f>
        <v/>
      </c>
      <c r="X136" s="15">
        <f>IF(OR(X135="",W135=""),"",IF(W135&lt;=0,"",IFERROR(X135/W135-1,"")))</f>
        <v/>
      </c>
    </row>
    <row r="137">
      <c r="A137" s="9" t="inlineStr">
        <is>
          <t>비지배주주 순이익</t>
        </is>
      </c>
      <c r="C137" s="12" t="n">
        <v>64.20099999999999</v>
      </c>
      <c r="D137" s="12" t="n">
        <v>-0.594</v>
      </c>
      <c r="E137" s="12" t="n">
        <v>17.67</v>
      </c>
      <c r="F137" s="12" t="n">
        <v>41.396</v>
      </c>
      <c r="G137" s="12" t="n">
        <v>49.739</v>
      </c>
      <c r="H137" s="12" t="n">
        <v>-28.677</v>
      </c>
      <c r="I137" s="12" t="n">
        <v>16.524</v>
      </c>
      <c r="J137" s="12" t="n">
        <v>60.471</v>
      </c>
      <c r="K137" s="12" t="n">
        <v>65.89</v>
      </c>
      <c r="L137" s="12" t="n">
        <v>-17.158</v>
      </c>
      <c r="M137" s="12" t="n">
        <v>37.614</v>
      </c>
      <c r="N137" s="12" t="n">
        <v>46.156</v>
      </c>
      <c r="T137" s="12" t="n">
        <v>106.563</v>
      </c>
      <c r="U137" s="12" t="n">
        <v>58.036</v>
      </c>
      <c r="V137" s="12" t="n">
        <v>-0.594</v>
      </c>
      <c r="W137" s="12" t="n">
        <v>-28.677</v>
      </c>
      <c r="X137" s="12" t="n">
        <v>-17.158</v>
      </c>
    </row>
    <row r="138">
      <c r="A138" s="9" t="inlineStr">
        <is>
          <t>지배주주 순이익</t>
        </is>
      </c>
      <c r="C138" s="12" t="n">
        <v>50.41</v>
      </c>
      <c r="D138" s="12" t="n">
        <v>526.122</v>
      </c>
      <c r="E138" s="12" t="n">
        <v>977.8819999999999</v>
      </c>
      <c r="F138" s="12" t="n">
        <v>270.297</v>
      </c>
      <c r="G138" s="12" t="n">
        <v>1568.466</v>
      </c>
      <c r="H138" s="12" t="n">
        <v>-961.1900000000001</v>
      </c>
      <c r="I138" s="12" t="n">
        <v>612.048</v>
      </c>
      <c r="J138" s="12" t="n">
        <v>726.712</v>
      </c>
      <c r="K138" s="12" t="n">
        <v>10159.022</v>
      </c>
      <c r="L138" s="12" t="n">
        <v>922.502</v>
      </c>
      <c r="M138" s="12" t="n">
        <v>408.581</v>
      </c>
      <c r="N138" s="12" t="n">
        <v>367.586</v>
      </c>
      <c r="T138" s="12" t="n">
        <v>671.5359999999999</v>
      </c>
      <c r="U138" s="12" t="n">
        <v>8.106</v>
      </c>
      <c r="V138" s="12" t="n">
        <v>526.122</v>
      </c>
      <c r="W138" s="12" t="n">
        <v>-961.1900000000001</v>
      </c>
      <c r="X138" s="12" t="n">
        <v>922.502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T139" s="15">
        <f>IF(OR(T138="",S138=""),"",IF(S138&lt;=0,"",IFERROR(T138/S138-1,"")))</f>
        <v/>
      </c>
      <c r="U139" s="15">
        <f>IF(OR(U138="",T138=""),"",IF(T138&lt;=0,"",IFERROR(U138/T138-1,"")))</f>
        <v/>
      </c>
      <c r="V139" s="15">
        <f>IF(OR(V138="",U138=""),"",IF(U138&lt;=0,"",IFERROR(V138/U138-1,"")))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1">
      <c r="A141" s="16" t="inlineStr">
        <is>
          <t>포괄손익 · 전 항목</t>
        </is>
      </c>
      <c r="B141" s="42" t="inlineStr">
        <is>
          <t>분기 = 3개월 단독</t>
        </is>
      </c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</row>
    <row r="142">
      <c r="A142" s="5" t="inlineStr">
        <is>
          <t>항목</t>
        </is>
      </c>
      <c r="B142" s="5" t="inlineStr">
        <is>
          <t>참고</t>
        </is>
      </c>
      <c r="C142" s="5" t="inlineStr">
        <is>
          <t>2024.3Q</t>
        </is>
      </c>
      <c r="D142" s="5" t="inlineStr">
        <is>
          <t>2024.4Q</t>
        </is>
      </c>
      <c r="E142" s="5" t="inlineStr">
        <is>
          <t>2025.1Q</t>
        </is>
      </c>
      <c r="F142" s="5" t="inlineStr">
        <is>
          <t>2025.2Q</t>
        </is>
      </c>
      <c r="G142" s="5" t="inlineStr">
        <is>
          <t>2025.3Q</t>
        </is>
      </c>
      <c r="H142" s="5" t="inlineStr">
        <is>
          <t>2025.4Q</t>
        </is>
      </c>
      <c r="I142" s="5" t="inlineStr">
        <is>
          <t>2026.1Q</t>
        </is>
      </c>
      <c r="J142" s="5" t="inlineStr">
        <is>
          <t>2026.2Q</t>
        </is>
      </c>
      <c r="K142" s="5" t="inlineStr">
        <is>
          <t>2026.3Q</t>
        </is>
      </c>
      <c r="L142" s="5" t="inlineStr">
        <is>
          <t>2026.4Q</t>
        </is>
      </c>
      <c r="M142" s="5" t="inlineStr">
        <is>
          <t>2027.1Q</t>
        </is>
      </c>
      <c r="N142" s="5" t="inlineStr">
        <is>
          <t>2027.2Q</t>
        </is>
      </c>
      <c r="O142" s="5" t="inlineStr">
        <is>
          <t>2017</t>
        </is>
      </c>
      <c r="P142" s="5" t="inlineStr">
        <is>
          <t>2018</t>
        </is>
      </c>
      <c r="Q142" s="5" t="inlineStr">
        <is>
          <t>2019</t>
        </is>
      </c>
      <c r="R142" s="5" t="inlineStr">
        <is>
          <t>2020</t>
        </is>
      </c>
      <c r="S142" s="5" t="inlineStr">
        <is>
          <t>2021</t>
        </is>
      </c>
      <c r="T142" s="5" t="inlineStr">
        <is>
          <t>2022</t>
        </is>
      </c>
      <c r="U142" s="5" t="inlineStr">
        <is>
          <t>2023</t>
        </is>
      </c>
      <c r="V142" s="5" t="inlineStr">
        <is>
          <t>2024</t>
        </is>
      </c>
      <c r="W142" s="5" t="inlineStr">
        <is>
          <t>2025</t>
        </is>
      </c>
      <c r="X142" s="5" t="inlineStr">
        <is>
          <t>2026</t>
        </is>
      </c>
      <c r="Y142" s="5" t="inlineStr">
        <is>
          <t>2027(MW)</t>
        </is>
      </c>
      <c r="Z142" s="5" t="inlineStr">
        <is>
          <t>2028(MW)</t>
        </is>
      </c>
      <c r="AA142" s="5" t="inlineStr">
        <is>
          <t>2029(MW)</t>
        </is>
      </c>
      <c r="AB142" s="5" t="inlineStr">
        <is>
          <t>2030(MW)</t>
        </is>
      </c>
      <c r="AC142" s="5" t="inlineStr">
        <is>
          <t>2031(MW)</t>
        </is>
      </c>
    </row>
    <row r="143">
      <c r="A143" s="9" t="inlineStr">
        <is>
          <t>순이익</t>
        </is>
      </c>
      <c r="C143" s="12" t="n">
        <v>114.611</v>
      </c>
      <c r="D143" s="12" t="n">
        <v>525.529</v>
      </c>
      <c r="E143" s="12" t="n">
        <v>995.553</v>
      </c>
      <c r="F143" s="12" t="n">
        <v>311.693</v>
      </c>
      <c r="G143" s="12" t="n">
        <v>1618.204</v>
      </c>
      <c r="H143" s="12" t="n">
        <v>-989.866</v>
      </c>
      <c r="I143" s="12" t="n">
        <v>628.572</v>
      </c>
      <c r="J143" s="12" t="n">
        <v>787.183</v>
      </c>
      <c r="K143" s="12" t="n">
        <v>10224.913</v>
      </c>
      <c r="L143" s="12" t="n">
        <v>905.343</v>
      </c>
      <c r="M143" s="12" t="n">
        <v>446.195</v>
      </c>
      <c r="N143" s="12" t="n">
        <v>413.742</v>
      </c>
      <c r="T143" s="12" t="n">
        <v>778.098</v>
      </c>
      <c r="U143" s="12" t="n">
        <v>66.14100000000001</v>
      </c>
      <c r="V143" s="12" t="n">
        <v>525.529</v>
      </c>
      <c r="W143" s="12" t="n">
        <v>-989.866</v>
      </c>
      <c r="X143" s="12" t="n">
        <v>905.343</v>
      </c>
    </row>
    <row r="144">
      <c r="A144" s="18" t="inlineStr">
        <is>
          <t>기타유가증권 평가차액</t>
        </is>
      </c>
      <c r="C144" s="20" t="n">
        <v>-836.847</v>
      </c>
      <c r="D144" s="20" t="n">
        <v>8442.808000000001</v>
      </c>
      <c r="E144" s="20" t="n">
        <v>-3352.011</v>
      </c>
      <c r="F144" s="20" t="n">
        <v>-5130.855</v>
      </c>
      <c r="G144" s="20" t="n">
        <v>4478.163</v>
      </c>
      <c r="H144" s="20" t="n">
        <v>-3372.243</v>
      </c>
      <c r="I144" s="20" t="n">
        <v>-578.068</v>
      </c>
      <c r="J144" s="20" t="n">
        <v>3248.031</v>
      </c>
      <c r="K144" s="20" t="n">
        <v>-6029.172</v>
      </c>
      <c r="L144" s="20" t="n">
        <v>-984.535</v>
      </c>
      <c r="M144" s="20" t="n">
        <v>-831.037</v>
      </c>
      <c r="N144" s="20" t="n">
        <v>1241.402</v>
      </c>
      <c r="T144" s="20" t="n">
        <v>711.996</v>
      </c>
      <c r="U144" s="20" t="n">
        <v>719.645</v>
      </c>
      <c r="V144" s="20" t="n">
        <v>8442.808000000001</v>
      </c>
      <c r="W144" s="20" t="n">
        <v>-3372.243</v>
      </c>
      <c r="X144" s="20" t="n">
        <v>-984.535</v>
      </c>
    </row>
    <row r="145">
      <c r="A145" s="18" t="inlineStr">
        <is>
          <t>해외사업환산조정</t>
        </is>
      </c>
      <c r="C145" s="20" t="n">
        <v>-371.672</v>
      </c>
      <c r="D145" s="20" t="n">
        <v>653.106</v>
      </c>
      <c r="E145" s="20" t="n">
        <v>738.904</v>
      </c>
      <c r="F145" s="20" t="n">
        <v>-949.394</v>
      </c>
      <c r="G145" s="20" t="n">
        <v>837.919</v>
      </c>
      <c r="H145" s="20" t="n">
        <v>-807.7910000000001</v>
      </c>
      <c r="I145" s="20" t="n">
        <v>-46.422</v>
      </c>
      <c r="J145" s="20" t="n">
        <v>412.411</v>
      </c>
      <c r="K145" s="20" t="n">
        <v>980.759</v>
      </c>
      <c r="L145" s="20" t="n">
        <v>208.364</v>
      </c>
      <c r="M145" s="20" t="n">
        <v>217.438</v>
      </c>
      <c r="N145" s="20" t="n">
        <v>-471.113</v>
      </c>
      <c r="T145" s="20" t="n">
        <v>797.522</v>
      </c>
      <c r="U145" s="20" t="n">
        <v>259.466</v>
      </c>
      <c r="V145" s="20" t="n">
        <v>653.106</v>
      </c>
      <c r="W145" s="20" t="n">
        <v>-807.7910000000001</v>
      </c>
      <c r="X145" s="20" t="n">
        <v>208.364</v>
      </c>
    </row>
    <row r="146">
      <c r="A146" s="18" t="inlineStr">
        <is>
          <t>퇴직급여 조정액</t>
        </is>
      </c>
      <c r="C146" s="20" t="n">
        <v>-15.405</v>
      </c>
      <c r="D146" s="20" t="n">
        <v>7173.154</v>
      </c>
      <c r="E146" s="20" t="n">
        <v>-257.663</v>
      </c>
      <c r="F146" s="20" t="n">
        <v>-265.592</v>
      </c>
      <c r="G146" s="20" t="n">
        <v>-249.437</v>
      </c>
      <c r="H146" s="20" t="n">
        <v>-4043.231</v>
      </c>
      <c r="I146" s="20" t="n">
        <v>-146.73</v>
      </c>
      <c r="J146" s="20" t="n">
        <v>-132.654</v>
      </c>
      <c r="K146" s="20" t="n">
        <v>-126.248</v>
      </c>
      <c r="L146" s="20" t="n">
        <v>3474.404</v>
      </c>
      <c r="M146" s="20" t="n">
        <v>-138.878</v>
      </c>
      <c r="N146" s="20" t="n">
        <v>-138.871</v>
      </c>
      <c r="T146" s="20" t="n">
        <v>1476.246</v>
      </c>
      <c r="U146" s="20" t="n">
        <v>-1145.73</v>
      </c>
      <c r="V146" s="20" t="n">
        <v>7173.154</v>
      </c>
      <c r="W146" s="20" t="n">
        <v>-4043.231</v>
      </c>
      <c r="X146" s="20" t="n">
        <v>3474.404</v>
      </c>
    </row>
    <row r="147">
      <c r="A147" s="18" t="inlineStr">
        <is>
          <t>지분법 적용회사 지분 해당액</t>
        </is>
      </c>
      <c r="I147" s="20" t="n">
        <v>0</v>
      </c>
      <c r="J147" s="20" t="n">
        <v>0</v>
      </c>
      <c r="M147" s="20" t="n">
        <v>0.423</v>
      </c>
      <c r="N147" s="20" t="n">
        <v>-1.481</v>
      </c>
    </row>
    <row r="148">
      <c r="A148" s="18" t="inlineStr">
        <is>
          <t>기타포괄손익 합계</t>
        </is>
      </c>
      <c r="C148" s="20" t="n">
        <v>-1223.924</v>
      </c>
      <c r="D148" s="20" t="n">
        <v>16269.069</v>
      </c>
      <c r="E148" s="20" t="n">
        <v>-2870.77</v>
      </c>
      <c r="F148" s="20" t="n">
        <v>-6345.843</v>
      </c>
      <c r="G148" s="20" t="n">
        <v>5066.647</v>
      </c>
      <c r="H148" s="20" t="n">
        <v>-8223.266</v>
      </c>
      <c r="I148" s="20" t="n">
        <v>-771.222</v>
      </c>
      <c r="J148" s="20" t="n">
        <v>3527.79</v>
      </c>
      <c r="K148" s="20" t="n">
        <v>-5174.661</v>
      </c>
      <c r="L148" s="20" t="n">
        <v>2690.468</v>
      </c>
      <c r="M148" s="20" t="n">
        <v>-752.052</v>
      </c>
      <c r="N148" s="20" t="n">
        <v>629.9349999999999</v>
      </c>
      <c r="T148" s="20" t="n">
        <v>2985.762</v>
      </c>
      <c r="U148" s="20" t="n">
        <v>-166.62</v>
      </c>
      <c r="V148" s="20" t="n">
        <v>16269.069</v>
      </c>
      <c r="W148" s="20" t="n">
        <v>-8223.266</v>
      </c>
      <c r="X148" s="20" t="n">
        <v>2690.468</v>
      </c>
    </row>
    <row r="149">
      <c r="A149" s="9" t="inlineStr">
        <is>
          <t>포괄이익</t>
        </is>
      </c>
      <c r="C149" s="12" t="n">
        <v>-1109.314</v>
      </c>
      <c r="D149" s="12" t="n">
        <v>16794.599</v>
      </c>
      <c r="E149" s="12" t="n">
        <v>-1875.217</v>
      </c>
      <c r="F149" s="12" t="n">
        <v>-6034.149</v>
      </c>
      <c r="G149" s="12" t="n">
        <v>6684.85</v>
      </c>
      <c r="H149" s="12" t="n">
        <v>-9213.132</v>
      </c>
      <c r="I149" s="12" t="n">
        <v>-142.649</v>
      </c>
      <c r="J149" s="12" t="n">
        <v>4314.972</v>
      </c>
      <c r="K149" s="12" t="n">
        <v>5050.251</v>
      </c>
      <c r="L149" s="12" t="n">
        <v>3595.813</v>
      </c>
      <c r="M149" s="12" t="n">
        <v>-305.857</v>
      </c>
      <c r="N149" s="12" t="n">
        <v>1043.677</v>
      </c>
      <c r="T149" s="12" t="n">
        <v>3763.86</v>
      </c>
      <c r="U149" s="12" t="n">
        <v>-100.479</v>
      </c>
      <c r="V149" s="12" t="n">
        <v>16794.599</v>
      </c>
      <c r="W149" s="12" t="n">
        <v>-9213.132</v>
      </c>
      <c r="X149" s="12" t="n">
        <v>3595.813</v>
      </c>
    </row>
    <row r="150">
      <c r="A150" s="9" t="inlineStr">
        <is>
          <t>지배주주 포괄이익</t>
        </is>
      </c>
      <c r="C150" s="12" t="n">
        <v>-1090.156</v>
      </c>
      <c r="D150" s="12" t="n">
        <v>16654.752</v>
      </c>
      <c r="E150" s="12" t="n">
        <v>-2022.568</v>
      </c>
      <c r="F150" s="12" t="n">
        <v>-5881.812</v>
      </c>
      <c r="G150" s="12" t="n">
        <v>6497.916</v>
      </c>
      <c r="H150" s="12" t="n">
        <v>-9073.843999999999</v>
      </c>
      <c r="I150" s="12" t="n">
        <v>-137.811</v>
      </c>
      <c r="J150" s="12" t="n">
        <v>4179.711</v>
      </c>
      <c r="K150" s="12" t="n">
        <v>4838.968</v>
      </c>
      <c r="L150" s="12" t="n">
        <v>3563.321</v>
      </c>
      <c r="M150" s="12" t="n">
        <v>-408.948</v>
      </c>
      <c r="N150" s="12" t="n">
        <v>1053.083</v>
      </c>
      <c r="T150" s="12" t="n">
        <v>3525.855</v>
      </c>
      <c r="U150" s="12" t="n">
        <v>-191.613</v>
      </c>
      <c r="V150" s="12" t="n">
        <v>16654.752</v>
      </c>
      <c r="W150" s="12" t="n">
        <v>-9073.843999999999</v>
      </c>
      <c r="X150" s="12" t="n">
        <v>3563.321</v>
      </c>
    </row>
    <row r="151">
      <c r="A151" s="9" t="inlineStr">
        <is>
          <t>비지배주주 포괄이익</t>
        </is>
      </c>
      <c r="C151" s="12" t="n">
        <v>-19.158</v>
      </c>
      <c r="D151" s="12" t="n">
        <v>139.846</v>
      </c>
      <c r="E151" s="12" t="n">
        <v>147.351</v>
      </c>
      <c r="F151" s="12" t="n">
        <v>-152.337</v>
      </c>
      <c r="G151" s="12" t="n">
        <v>186.933</v>
      </c>
      <c r="H151" s="12" t="n">
        <v>-139.288</v>
      </c>
      <c r="I151" s="12" t="n">
        <v>-4.838</v>
      </c>
      <c r="J151" s="12" t="n">
        <v>135.261</v>
      </c>
      <c r="K151" s="12" t="n">
        <v>211.283</v>
      </c>
      <c r="L151" s="12" t="n">
        <v>32.491</v>
      </c>
      <c r="M151" s="12" t="n">
        <v>103.091</v>
      </c>
      <c r="N151" s="12" t="n">
        <v>-9.406000000000001</v>
      </c>
      <c r="T151" s="12" t="n">
        <v>238.005</v>
      </c>
      <c r="U151" s="12" t="n">
        <v>91.134</v>
      </c>
      <c r="V151" s="12" t="n">
        <v>139.846</v>
      </c>
      <c r="W151" s="12" t="n">
        <v>-139.288</v>
      </c>
      <c r="X151" s="12" t="n">
        <v>32.491</v>
      </c>
    </row>
    <row r="153">
      <c r="A153" s="16" t="inlineStr">
        <is>
          <t>부문 · 전 항목</t>
        </is>
      </c>
      <c r="B153" s="42" t="inlineStr">
        <is>
          <t>부문 · 항목</t>
        </is>
      </c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</row>
    <row r="154">
      <c r="A154" s="5" t="inlineStr">
        <is>
          <t>항목</t>
        </is>
      </c>
      <c r="B154" s="5" t="inlineStr">
        <is>
          <t>참고</t>
        </is>
      </c>
      <c r="C154" s="5" t="inlineStr">
        <is>
          <t>2024.3Q</t>
        </is>
      </c>
      <c r="D154" s="5" t="inlineStr">
        <is>
          <t>2024.4Q</t>
        </is>
      </c>
      <c r="E154" s="5" t="inlineStr">
        <is>
          <t>2025.1Q</t>
        </is>
      </c>
      <c r="F154" s="5" t="inlineStr">
        <is>
          <t>2025.2Q</t>
        </is>
      </c>
      <c r="G154" s="5" t="inlineStr">
        <is>
          <t>2025.3Q</t>
        </is>
      </c>
      <c r="H154" s="5" t="inlineStr">
        <is>
          <t>2025.4Q</t>
        </is>
      </c>
      <c r="I154" s="5" t="inlineStr">
        <is>
          <t>2026.1Q</t>
        </is>
      </c>
      <c r="J154" s="5" t="inlineStr">
        <is>
          <t>2026.2Q</t>
        </is>
      </c>
      <c r="K154" s="5" t="inlineStr">
        <is>
          <t>2026.3Q</t>
        </is>
      </c>
      <c r="L154" s="5" t="inlineStr">
        <is>
          <t>2026.4Q</t>
        </is>
      </c>
      <c r="M154" s="5" t="inlineStr">
        <is>
          <t>2027.1Q</t>
        </is>
      </c>
      <c r="N154" s="5" t="inlineStr">
        <is>
          <t>2027.2Q</t>
        </is>
      </c>
      <c r="O154" s="5" t="inlineStr">
        <is>
          <t>2017</t>
        </is>
      </c>
      <c r="P154" s="5" t="inlineStr">
        <is>
          <t>2018</t>
        </is>
      </c>
      <c r="Q154" s="5" t="inlineStr">
        <is>
          <t>2019</t>
        </is>
      </c>
      <c r="R154" s="5" t="inlineStr">
        <is>
          <t>2020</t>
        </is>
      </c>
      <c r="S154" s="5" t="inlineStr">
        <is>
          <t>2021</t>
        </is>
      </c>
      <c r="T154" s="5" t="inlineStr">
        <is>
          <t>2022</t>
        </is>
      </c>
      <c r="U154" s="5" t="inlineStr">
        <is>
          <t>2023</t>
        </is>
      </c>
      <c r="V154" s="5" t="inlineStr">
        <is>
          <t>2024</t>
        </is>
      </c>
      <c r="W154" s="5" t="inlineStr">
        <is>
          <t>2025</t>
        </is>
      </c>
      <c r="X154" s="5" t="inlineStr">
        <is>
          <t>2026</t>
        </is>
      </c>
      <c r="Y154" s="5" t="inlineStr">
        <is>
          <t>2027(MW)</t>
        </is>
      </c>
      <c r="Z154" s="5" t="inlineStr">
        <is>
          <t>2028(MW)</t>
        </is>
      </c>
      <c r="AA154" s="5" t="inlineStr">
        <is>
          <t>2029(MW)</t>
        </is>
      </c>
      <c r="AB154" s="5" t="inlineStr">
        <is>
          <t>2030(MW)</t>
        </is>
      </c>
      <c r="AC154" s="5" t="inlineStr">
        <is>
          <t>2031(MW)</t>
        </is>
      </c>
    </row>
    <row r="155">
      <c r="A155" s="18" t="inlineStr">
        <is>
          <t>JapanReportableSegmentsMember · 외부 고객 매출</t>
        </is>
      </c>
      <c r="C155" s="20" t="n">
        <v>18648.668</v>
      </c>
      <c r="D155" s="20" t="n">
        <v>16072.227</v>
      </c>
      <c r="E155" s="20" t="n">
        <v>17943.227</v>
      </c>
      <c r="F155" s="20" t="n">
        <v>20326.958</v>
      </c>
      <c r="G155" s="20" t="n">
        <v>20716.321</v>
      </c>
      <c r="H155" s="20" t="n">
        <v>20856.554</v>
      </c>
      <c r="I155" s="20" t="n">
        <v>19123.198</v>
      </c>
      <c r="J155" s="20" t="n">
        <v>20107.982</v>
      </c>
      <c r="K155" s="20" t="n">
        <v>20975.193</v>
      </c>
      <c r="L155" s="20" t="n">
        <v>20357.486</v>
      </c>
      <c r="M155" s="20" t="n">
        <v>19826.788</v>
      </c>
      <c r="N155" s="20" t="n">
        <v>21074.065</v>
      </c>
      <c r="V155" s="20" t="n">
        <v>16072.227</v>
      </c>
      <c r="W155" s="20" t="n">
        <v>20856.554</v>
      </c>
      <c r="X155" s="20" t="n">
        <v>20357.486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NorthAmericaReportableSegmentsMember · 외부 고객 매출</t>
        </is>
      </c>
      <c r="C157" s="20" t="n">
        <v>2543.931</v>
      </c>
      <c r="D157" s="20" t="n">
        <v>2413.995</v>
      </c>
      <c r="E157" s="20" t="n">
        <v>2422.324</v>
      </c>
      <c r="F157" s="20" t="n">
        <v>1910.082</v>
      </c>
      <c r="G157" s="20" t="n">
        <v>2263.899</v>
      </c>
      <c r="H157" s="20" t="n">
        <v>2509.48</v>
      </c>
      <c r="I157" s="20" t="n">
        <v>2286.564</v>
      </c>
      <c r="J157" s="20" t="n">
        <v>2229.249</v>
      </c>
      <c r="K157" s="20" t="n">
        <v>2272.184</v>
      </c>
      <c r="L157" s="20" t="n">
        <v>2269.029</v>
      </c>
      <c r="M157" s="20" t="n">
        <v>2506.662</v>
      </c>
      <c r="N157" s="20" t="n">
        <v>2422.365</v>
      </c>
      <c r="V157" s="20" t="n">
        <v>2413.995</v>
      </c>
      <c r="W157" s="20" t="n">
        <v>2509.48</v>
      </c>
      <c r="X157" s="20" t="n">
        <v>2269.029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ChinaReportableSegmentsMember · 외부 고객 매출</t>
        </is>
      </c>
      <c r="C159" s="20" t="n">
        <v>2308.6</v>
      </c>
      <c r="D159" s="20" t="n">
        <v>1533.019</v>
      </c>
      <c r="E159" s="20" t="n">
        <v>1726.952</v>
      </c>
      <c r="F159" s="20" t="n">
        <v>1865.755</v>
      </c>
      <c r="G159" s="20" t="n">
        <v>2335.802</v>
      </c>
      <c r="H159" s="20" t="n">
        <v>1259.443</v>
      </c>
      <c r="I159" s="20" t="n">
        <v>1655.157</v>
      </c>
      <c r="J159" s="20" t="n">
        <v>1863.497</v>
      </c>
      <c r="K159" s="20" t="n">
        <v>2061.518</v>
      </c>
      <c r="L159" s="20" t="n">
        <v>1550.603</v>
      </c>
      <c r="M159" s="20" t="n">
        <v>1598.974</v>
      </c>
      <c r="N159" s="20" t="n">
        <v>1545.927</v>
      </c>
      <c r="V159" s="20" t="n">
        <v>1533.019</v>
      </c>
      <c r="W159" s="20" t="n">
        <v>1259.443</v>
      </c>
      <c r="X159" s="20" t="n">
        <v>1550.603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AsiaReportableSegmentsMember · 외부 고객 매출</t>
        </is>
      </c>
      <c r="C161" s="20" t="n">
        <v>3757.84</v>
      </c>
      <c r="D161" s="20" t="n">
        <v>3352.238</v>
      </c>
      <c r="E161" s="20" t="n">
        <v>3428.432</v>
      </c>
      <c r="F161" s="20" t="n">
        <v>3632.69</v>
      </c>
      <c r="G161" s="20" t="n">
        <v>3677.971</v>
      </c>
      <c r="H161" s="20" t="n">
        <v>3281.341</v>
      </c>
      <c r="I161" s="20" t="n">
        <v>3241.448</v>
      </c>
      <c r="J161" s="20" t="n">
        <v>3550.733</v>
      </c>
      <c r="K161" s="20" t="n">
        <v>3762.193</v>
      </c>
      <c r="L161" s="20" t="n">
        <v>3562.612</v>
      </c>
      <c r="M161" s="20" t="n">
        <v>3626.693</v>
      </c>
      <c r="N161" s="20" t="n">
        <v>3650.296</v>
      </c>
      <c r="V161" s="20" t="n">
        <v>3352.238</v>
      </c>
      <c r="W161" s="20" t="n">
        <v>3281.341</v>
      </c>
      <c r="X161" s="20" t="n">
        <v>3562.612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합계 · 외부 고객 매출</t>
        </is>
      </c>
      <c r="C163" s="20" t="n">
        <v>27259.039</v>
      </c>
      <c r="D163" s="20" t="n">
        <v>23371.48</v>
      </c>
      <c r="E163" s="20" t="n">
        <v>25520.937</v>
      </c>
      <c r="F163" s="20" t="n">
        <v>27735.484</v>
      </c>
      <c r="G163" s="20" t="n">
        <v>28993.994</v>
      </c>
      <c r="H163" s="20" t="n">
        <v>27906.817</v>
      </c>
      <c r="I163" s="20" t="n">
        <v>26306.367</v>
      </c>
      <c r="J163" s="20" t="n">
        <v>27751.463</v>
      </c>
      <c r="K163" s="20" t="n">
        <v>29071.088</v>
      </c>
      <c r="L163" s="20" t="n">
        <v>27739.729</v>
      </c>
      <c r="M163" s="20" t="n">
        <v>27559.118</v>
      </c>
      <c r="N163" s="20" t="n">
        <v>28692.653</v>
      </c>
      <c r="V163" s="20" t="n">
        <v>23371.48</v>
      </c>
      <c r="W163" s="20" t="n">
        <v>27906.817</v>
      </c>
      <c r="X163" s="20" t="n">
        <v>27739.729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JapanReportableSegmentsMember · 부문 간 내부매출·대체</t>
        </is>
      </c>
      <c r="C165" s="20" t="n">
        <v>1147.453</v>
      </c>
      <c r="D165" s="20" t="n">
        <v>805.742</v>
      </c>
      <c r="E165" s="20" t="n">
        <v>792.769</v>
      </c>
      <c r="F165" s="20" t="n">
        <v>876.5650000000001</v>
      </c>
      <c r="G165" s="20" t="n">
        <v>925.668</v>
      </c>
      <c r="H165" s="20" t="n">
        <v>841.151</v>
      </c>
      <c r="I165" s="20" t="n">
        <v>989.155</v>
      </c>
      <c r="J165" s="20" t="n">
        <v>994.226</v>
      </c>
      <c r="K165" s="20" t="n">
        <v>1016.953</v>
      </c>
      <c r="L165" s="20" t="n">
        <v>938.9589999999999</v>
      </c>
      <c r="M165" s="20" t="n">
        <v>1030.065</v>
      </c>
      <c r="N165" s="20" t="n">
        <v>1032.671</v>
      </c>
      <c r="V165" s="20" t="n">
        <v>805.742</v>
      </c>
      <c r="W165" s="20" t="n">
        <v>841.151</v>
      </c>
      <c r="X165" s="20" t="n">
        <v>938.9589999999999</v>
      </c>
    </row>
    <row r="166">
      <c r="A166" s="18" t="inlineStr">
        <is>
          <t>NorthAmericaReportableSegmentsMember · 부문 간 내부매출·대체</t>
        </is>
      </c>
      <c r="C166" s="20" t="n">
        <v>1.03</v>
      </c>
      <c r="D166" s="20" t="n">
        <v>-6.079</v>
      </c>
      <c r="E166" s="20" t="n">
        <v>1.645</v>
      </c>
      <c r="F166" s="20" t="n">
        <v>9.377000000000001</v>
      </c>
      <c r="G166" s="20" t="n">
        <v>2.525</v>
      </c>
      <c r="H166" s="20" t="n">
        <v>1.65</v>
      </c>
      <c r="I166" s="20" t="n">
        <v>0.082</v>
      </c>
      <c r="J166" s="20" t="n">
        <v>2.939</v>
      </c>
      <c r="K166" s="20" t="n">
        <v>0.16</v>
      </c>
      <c r="L166" s="20" t="n">
        <v>0.536</v>
      </c>
      <c r="M166" s="20" t="n">
        <v>0.011</v>
      </c>
      <c r="N166" s="20" t="n">
        <v>4.636</v>
      </c>
      <c r="V166" s="20" t="n">
        <v>-6.079</v>
      </c>
      <c r="W166" s="20" t="n">
        <v>1.65</v>
      </c>
      <c r="X166" s="20" t="n">
        <v>0.536</v>
      </c>
    </row>
    <row r="167">
      <c r="A167" s="18" t="inlineStr">
        <is>
          <t>ChinaReportableSegmentsMember · 부문 간 내부매출·대체</t>
        </is>
      </c>
      <c r="C167" s="20" t="n">
        <v>1101.803</v>
      </c>
      <c r="D167" s="20" t="n">
        <v>771.893</v>
      </c>
      <c r="E167" s="20" t="n">
        <v>703.04</v>
      </c>
      <c r="F167" s="20" t="n">
        <v>809.155</v>
      </c>
      <c r="G167" s="20" t="n">
        <v>964.2430000000001</v>
      </c>
      <c r="H167" s="20" t="n">
        <v>926.8200000000001</v>
      </c>
      <c r="I167" s="20" t="n">
        <v>802.869</v>
      </c>
      <c r="J167" s="20" t="n">
        <v>846.67</v>
      </c>
      <c r="K167" s="20" t="n">
        <v>932.893</v>
      </c>
      <c r="L167" s="20" t="n">
        <v>953.203</v>
      </c>
      <c r="M167" s="20" t="n">
        <v>869.409</v>
      </c>
      <c r="N167" s="20" t="n">
        <v>952.292</v>
      </c>
      <c r="V167" s="20" t="n">
        <v>771.893</v>
      </c>
      <c r="W167" s="20" t="n">
        <v>926.8200000000001</v>
      </c>
      <c r="X167" s="20" t="n">
        <v>953.203</v>
      </c>
    </row>
    <row r="168">
      <c r="A168" s="18" t="inlineStr">
        <is>
          <t>AsiaReportableSegmentsMember · 부문 간 내부매출·대체</t>
        </is>
      </c>
      <c r="C168" s="20" t="n">
        <v>953.375</v>
      </c>
      <c r="D168" s="20" t="n">
        <v>702.881</v>
      </c>
      <c r="E168" s="20" t="n">
        <v>643.779</v>
      </c>
      <c r="F168" s="20" t="n">
        <v>588.763</v>
      </c>
      <c r="G168" s="20" t="n">
        <v>537.605</v>
      </c>
      <c r="H168" s="20" t="n">
        <v>898.7809999999999</v>
      </c>
      <c r="I168" s="20" t="n">
        <v>874.7089999999999</v>
      </c>
      <c r="J168" s="20" t="n">
        <v>979.623</v>
      </c>
      <c r="K168" s="20" t="n">
        <v>936.533</v>
      </c>
      <c r="L168" s="20" t="n">
        <v>785.9059999999999</v>
      </c>
      <c r="M168" s="20" t="n">
        <v>889.0940000000001</v>
      </c>
      <c r="N168" s="20" t="n">
        <v>865.856</v>
      </c>
      <c r="V168" s="20" t="n">
        <v>702.881</v>
      </c>
      <c r="W168" s="20" t="n">
        <v>898.7809999999999</v>
      </c>
      <c r="X168" s="20" t="n">
        <v>785.9059999999999</v>
      </c>
    </row>
    <row r="169">
      <c r="A169" s="18" t="inlineStr">
        <is>
          <t>합계 · 부문 간 내부매출·대체</t>
        </is>
      </c>
      <c r="C169" s="20" t="n">
        <v>3203.662</v>
      </c>
      <c r="D169" s="20" t="n">
        <v>2274.437</v>
      </c>
      <c r="E169" s="20" t="n">
        <v>2141.234</v>
      </c>
      <c r="F169" s="20" t="n">
        <v>2283.861</v>
      </c>
      <c r="G169" s="20" t="n">
        <v>2430.04</v>
      </c>
      <c r="H169" s="20" t="n">
        <v>2668.403</v>
      </c>
      <c r="I169" s="20" t="n">
        <v>2666.816</v>
      </c>
      <c r="J169" s="20" t="n">
        <v>2823.458</v>
      </c>
      <c r="K169" s="20" t="n">
        <v>2886.54</v>
      </c>
      <c r="L169" s="20" t="n">
        <v>2678.603</v>
      </c>
      <c r="M169" s="20" t="n">
        <v>2788.58</v>
      </c>
      <c r="N169" s="20" t="n">
        <v>2855.457</v>
      </c>
      <c r="V169" s="20" t="n">
        <v>2274.437</v>
      </c>
      <c r="W169" s="20" t="n">
        <v>2668.403</v>
      </c>
      <c r="X169" s="20" t="n">
        <v>2678.603</v>
      </c>
    </row>
    <row r="170">
      <c r="A170" s="18" t="inlineStr">
        <is>
          <t>JapanReportableSegmentsMember · 계</t>
        </is>
      </c>
      <c r="C170" s="20" t="n">
        <v>19796.122</v>
      </c>
      <c r="D170" s="20" t="n">
        <v>16877.969</v>
      </c>
      <c r="E170" s="20" t="n">
        <v>18735.997</v>
      </c>
      <c r="F170" s="20" t="n">
        <v>21203.523</v>
      </c>
      <c r="G170" s="20" t="n">
        <v>21641.989</v>
      </c>
      <c r="H170" s="20" t="n">
        <v>21697.705</v>
      </c>
      <c r="I170" s="20" t="n">
        <v>20112.353</v>
      </c>
      <c r="J170" s="20" t="n">
        <v>21102.208</v>
      </c>
      <c r="K170" s="20" t="n">
        <v>21992.147</v>
      </c>
      <c r="L170" s="20" t="n">
        <v>21296.445</v>
      </c>
      <c r="M170" s="20" t="n">
        <v>20856.853</v>
      </c>
      <c r="N170" s="20" t="n">
        <v>22106.737</v>
      </c>
      <c r="V170" s="20" t="n">
        <v>16877.969</v>
      </c>
      <c r="W170" s="20" t="n">
        <v>21697.705</v>
      </c>
      <c r="X170" s="20" t="n">
        <v>21296.445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NorthAmericaReportableSegmentsMember · 계</t>
        </is>
      </c>
      <c r="C172" s="20" t="n">
        <v>2544.96</v>
      </c>
      <c r="D172" s="20" t="n">
        <v>2407.916</v>
      </c>
      <c r="E172" s="20" t="n">
        <v>2423.97</v>
      </c>
      <c r="F172" s="20" t="n">
        <v>1919.458</v>
      </c>
      <c r="G172" s="20" t="n">
        <v>2266.425</v>
      </c>
      <c r="H172" s="20" t="n">
        <v>2511.129</v>
      </c>
      <c r="I172" s="20" t="n">
        <v>2286.646</v>
      </c>
      <c r="J172" s="20" t="n">
        <v>2232.188</v>
      </c>
      <c r="K172" s="20" t="n">
        <v>2272.344</v>
      </c>
      <c r="L172" s="20" t="n">
        <v>2269.566</v>
      </c>
      <c r="M172" s="20" t="n">
        <v>2506.673</v>
      </c>
      <c r="N172" s="20" t="n">
        <v>2427.002</v>
      </c>
      <c r="V172" s="20" t="n">
        <v>2407.916</v>
      </c>
      <c r="W172" s="20" t="n">
        <v>2511.129</v>
      </c>
      <c r="X172" s="20" t="n">
        <v>2269.566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ChinaReportableSegmentsMember · 계</t>
        </is>
      </c>
      <c r="C174" s="20" t="n">
        <v>3410.404</v>
      </c>
      <c r="D174" s="20" t="n">
        <v>2304.912</v>
      </c>
      <c r="E174" s="20" t="n">
        <v>2429.992</v>
      </c>
      <c r="F174" s="20" t="n">
        <v>2674.91</v>
      </c>
      <c r="G174" s="20" t="n">
        <v>3300.045</v>
      </c>
      <c r="H174" s="20" t="n">
        <v>2186.263</v>
      </c>
      <c r="I174" s="20" t="n">
        <v>2458.027</v>
      </c>
      <c r="J174" s="20" t="n">
        <v>2710.167</v>
      </c>
      <c r="K174" s="20" t="n">
        <v>2994.411</v>
      </c>
      <c r="L174" s="20" t="n">
        <v>2503.806</v>
      </c>
      <c r="M174" s="20" t="n">
        <v>2468.383</v>
      </c>
      <c r="N174" s="20" t="n">
        <v>2498.219</v>
      </c>
      <c r="V174" s="20" t="n">
        <v>2304.912</v>
      </c>
      <c r="W174" s="20" t="n">
        <v>2186.263</v>
      </c>
      <c r="X174" s="20" t="n">
        <v>2503.806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AsiaReportableSegmentsMember · 계</t>
        </is>
      </c>
      <c r="C176" s="20" t="n">
        <v>4711.215</v>
      </c>
      <c r="D176" s="20" t="n">
        <v>4055.12</v>
      </c>
      <c r="E176" s="20" t="n">
        <v>4072.211</v>
      </c>
      <c r="F176" s="20" t="n">
        <v>4221.453</v>
      </c>
      <c r="G176" s="20" t="n">
        <v>4215.577</v>
      </c>
      <c r="H176" s="20" t="n">
        <v>4180.121</v>
      </c>
      <c r="I176" s="20" t="n">
        <v>4116.157</v>
      </c>
      <c r="J176" s="20" t="n">
        <v>4530.357</v>
      </c>
      <c r="K176" s="20" t="n">
        <v>4698.726</v>
      </c>
      <c r="L176" s="20" t="n">
        <v>4348.517</v>
      </c>
      <c r="M176" s="20" t="n">
        <v>4515.788</v>
      </c>
      <c r="N176" s="20" t="n">
        <v>4516.152</v>
      </c>
      <c r="V176" s="20" t="n">
        <v>4055.12</v>
      </c>
      <c r="W176" s="20" t="n">
        <v>4180.121</v>
      </c>
      <c r="X176" s="20" t="n">
        <v>4348.517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합계 · 계</t>
        </is>
      </c>
      <c r="C178" s="20" t="n">
        <v>30462.701</v>
      </c>
      <c r="D178" s="20" t="n">
        <v>25645.916</v>
      </c>
      <c r="E178" s="20" t="n">
        <v>27662.171</v>
      </c>
      <c r="F178" s="20" t="n">
        <v>30019.345</v>
      </c>
      <c r="G178" s="20" t="n">
        <v>31424.035</v>
      </c>
      <c r="H178" s="20" t="n">
        <v>30575.219</v>
      </c>
      <c r="I178" s="20" t="n">
        <v>28973.184</v>
      </c>
      <c r="J178" s="20" t="n">
        <v>30574.92</v>
      </c>
      <c r="K178" s="20" t="n">
        <v>31957.628</v>
      </c>
      <c r="L178" s="20" t="n">
        <v>30418.333</v>
      </c>
      <c r="M178" s="20" t="n">
        <v>30347.699</v>
      </c>
      <c r="N178" s="20" t="n">
        <v>31548.109</v>
      </c>
      <c r="V178" s="20" t="n">
        <v>25645.916</v>
      </c>
      <c r="W178" s="20" t="n">
        <v>30575.219</v>
      </c>
      <c r="X178" s="20" t="n">
        <v>30418.333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JapanReportableSegmentsMember · 부문 이익</t>
        </is>
      </c>
      <c r="C180" s="20" t="n">
        <v>194.038</v>
      </c>
      <c r="D180" s="20" t="n">
        <v>371.736</v>
      </c>
      <c r="E180" s="20" t="n">
        <v>562.822</v>
      </c>
      <c r="F180" s="20" t="n">
        <v>1668.672</v>
      </c>
      <c r="G180" s="20" t="n">
        <v>1129.918</v>
      </c>
      <c r="H180" s="20" t="n">
        <v>1559.002</v>
      </c>
      <c r="I180" s="20" t="n">
        <v>696.903</v>
      </c>
      <c r="J180" s="20" t="n">
        <v>798.601</v>
      </c>
      <c r="K180" s="20" t="n">
        <v>593.15</v>
      </c>
      <c r="L180" s="20" t="n">
        <v>799.263</v>
      </c>
      <c r="M180" s="20" t="n">
        <v>518.784</v>
      </c>
      <c r="N180" s="20" t="n">
        <v>580.2089999999999</v>
      </c>
      <c r="V180" s="20" t="n">
        <v>371.736</v>
      </c>
      <c r="W180" s="20" t="n">
        <v>1559.002</v>
      </c>
      <c r="X180" s="20" t="n">
        <v>799.263</v>
      </c>
    </row>
    <row r="181">
      <c r="A181" s="43" t="inlineStr">
        <is>
          <t>OPM</t>
        </is>
      </c>
      <c r="B181" s="3" t="inlineStr">
        <is>
          <t>영업이익 ÷ 매출</t>
        </is>
      </c>
      <c r="C181" s="15">
        <f>IF(OR(C180="",C170=""),"",IF(C170&lt;=0,"",IFERROR(C180/C170,"")))</f>
        <v/>
      </c>
      <c r="D181" s="15">
        <f>IF(OR(D180="",D170=""),"",IF(D170&lt;=0,"",IFERROR(D180/D170,"")))</f>
        <v/>
      </c>
      <c r="E181" s="15">
        <f>IF(OR(E180="",E170=""),"",IF(E170&lt;=0,"",IFERROR(E180/E170,"")))</f>
        <v/>
      </c>
      <c r="F181" s="15">
        <f>IF(OR(F180="",F170=""),"",IF(F170&lt;=0,"",IFERROR(F180/F170,"")))</f>
        <v/>
      </c>
      <c r="G181" s="15">
        <f>IF(OR(G180="",G170=""),"",IF(G170&lt;=0,"",IFERROR(G180/G170,"")))</f>
        <v/>
      </c>
      <c r="H181" s="15">
        <f>IF(OR(H180="",H170=""),"",IF(H170&lt;=0,"",IFERROR(H180/H170,"")))</f>
        <v/>
      </c>
      <c r="I181" s="15">
        <f>IF(OR(I180="",I170=""),"",IF(I170&lt;=0,"",IFERROR(I180/I170,"")))</f>
        <v/>
      </c>
      <c r="J181" s="15">
        <f>IF(OR(J180="",J170=""),"",IF(J170&lt;=0,"",IFERROR(J180/J170,"")))</f>
        <v/>
      </c>
      <c r="K181" s="15">
        <f>IF(OR(K180="",K170=""),"",IF(K170&lt;=0,"",IFERROR(K180/K170,"")))</f>
        <v/>
      </c>
      <c r="L181" s="15">
        <f>IF(OR(L180="",L170=""),"",IF(L170&lt;=0,"",IFERROR(L180/L170,"")))</f>
        <v/>
      </c>
      <c r="M181" s="15">
        <f>IF(OR(M180="",M170=""),"",IF(M170&lt;=0,"",IFERROR(M180/M170,"")))</f>
        <v/>
      </c>
      <c r="N181" s="15">
        <f>IF(OR(N180="",N170=""),"",IF(N170&lt;=0,"",IFERROR(N180/N170,"")))</f>
        <v/>
      </c>
      <c r="V181" s="15">
        <f>IF(OR(V180="",V170=""),"",IF(V170&lt;=0,"",IFERROR(V180/V170,"")))</f>
        <v/>
      </c>
      <c r="W181" s="15">
        <f>IF(OR(W180="",W170=""),"",IF(W170&lt;=0,"",IFERROR(W180/W170,"")))</f>
        <v/>
      </c>
      <c r="X181" s="15">
        <f>IF(OR(X180="",X170=""),"",IF(X170&lt;=0,"",IFERROR(X180/X170,"")))</f>
        <v/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IF(OR(G180="",C180=""),"",IF(C180&lt;=0,"",IFERROR(G180/C180-1,"")))</f>
        <v/>
      </c>
      <c r="H182" s="15">
        <f>IF(OR(H180="",D180=""),"",IF(D180&lt;=0,"",IFERROR(H180/D180-1,"")))</f>
        <v/>
      </c>
      <c r="I182" s="15">
        <f>IF(OR(I180="",E180=""),"",IF(E180&lt;=0,"",IFERROR(I180/E180-1,"")))</f>
        <v/>
      </c>
      <c r="J182" s="15">
        <f>IF(OR(J180="",F180=""),"",IF(F180&lt;=0,"",IFERROR(J180/F180-1,"")))</f>
        <v/>
      </c>
      <c r="K182" s="15">
        <f>IF(OR(K180="",G180=""),"",IF(G180&lt;=0,"",IFERROR(K180/G180-1,"")))</f>
        <v/>
      </c>
      <c r="L182" s="15">
        <f>IF(OR(L180="",H180=""),"",IF(H180&lt;=0,"",IFERROR(L180/H180-1,"")))</f>
        <v/>
      </c>
      <c r="M182" s="15">
        <f>IF(OR(M180="",I180=""),"",IF(I180&lt;=0,"",IFERROR(M180/I180-1,"")))</f>
        <v/>
      </c>
      <c r="N182" s="15">
        <f>IF(OR(N180="",J180=""),"",IF(J180&lt;=0,"",IFERROR(N180/J180-1,"")))</f>
        <v/>
      </c>
      <c r="V182" s="15">
        <f>IF(OR(V180="",U180=""),"",IF(U180&lt;=0,"",IFERROR(V180/U180-1,"")))</f>
        <v/>
      </c>
      <c r="W182" s="15">
        <f>IF(OR(W180="",V180=""),"",IF(V180&lt;=0,"",IFERROR(W180/V180-1,"")))</f>
        <v/>
      </c>
      <c r="X182" s="15">
        <f>IF(OR(X180="",W180=""),"",IF(W180&lt;=0,"",IFERROR(X180/W180-1,"")))</f>
        <v/>
      </c>
    </row>
    <row r="183">
      <c r="A183" s="18" t="inlineStr">
        <is>
          <t>NorthAmericaReportableSegmentsMember · 부문 이익</t>
        </is>
      </c>
      <c r="C183" s="20" t="n">
        <v>97.24299999999999</v>
      </c>
      <c r="D183" s="20" t="n">
        <v>49.61</v>
      </c>
      <c r="E183" s="20" t="n">
        <v>-60.984</v>
      </c>
      <c r="F183" s="20" t="n">
        <v>130.859</v>
      </c>
      <c r="G183" s="20" t="n">
        <v>154.996</v>
      </c>
      <c r="H183" s="20" t="n">
        <v>101.937</v>
      </c>
      <c r="I183" s="20" t="n">
        <v>66.70699999999999</v>
      </c>
      <c r="J183" s="20" t="n">
        <v>80.858</v>
      </c>
      <c r="K183" s="20" t="n">
        <v>-3.13</v>
      </c>
      <c r="L183" s="20" t="n">
        <v>128.145</v>
      </c>
      <c r="M183" s="20" t="n">
        <v>-168.609</v>
      </c>
      <c r="N183" s="20" t="n">
        <v>29.293</v>
      </c>
      <c r="V183" s="20" t="n">
        <v>49.61</v>
      </c>
      <c r="W183" s="20" t="n">
        <v>101.937</v>
      </c>
      <c r="X183" s="20" t="n">
        <v>128.145</v>
      </c>
    </row>
    <row r="184">
      <c r="A184" s="43" t="inlineStr">
        <is>
          <t>OPM</t>
        </is>
      </c>
      <c r="B184" s="3" t="inlineStr">
        <is>
          <t>영업이익 ÷ 매출</t>
        </is>
      </c>
      <c r="C184" s="15">
        <f>IF(OR(C183="",C172=""),"",IF(C172&lt;=0,"",IFERROR(C183/C172,"")))</f>
        <v/>
      </c>
      <c r="D184" s="15">
        <f>IF(OR(D183="",D172=""),"",IF(D172&lt;=0,"",IFERROR(D183/D172,"")))</f>
        <v/>
      </c>
      <c r="E184" s="15">
        <f>IF(OR(E183="",E172=""),"",IF(E172&lt;=0,"",IFERROR(E183/E172,"")))</f>
        <v/>
      </c>
      <c r="F184" s="15">
        <f>IF(OR(F183="",F172=""),"",IF(F172&lt;=0,"",IFERROR(F183/F172,"")))</f>
        <v/>
      </c>
      <c r="G184" s="15">
        <f>IF(OR(G183="",G172=""),"",IF(G172&lt;=0,"",IFERROR(G183/G172,"")))</f>
        <v/>
      </c>
      <c r="H184" s="15">
        <f>IF(OR(H183="",H172=""),"",IF(H172&lt;=0,"",IFERROR(H183/H172,"")))</f>
        <v/>
      </c>
      <c r="I184" s="15">
        <f>IF(OR(I183="",I172=""),"",IF(I172&lt;=0,"",IFERROR(I183/I172,"")))</f>
        <v/>
      </c>
      <c r="J184" s="15">
        <f>IF(OR(J183="",J172=""),"",IF(J172&lt;=0,"",IFERROR(J183/J172,"")))</f>
        <v/>
      </c>
      <c r="K184" s="15">
        <f>IF(OR(K183="",K172=""),"",IF(K172&lt;=0,"",IFERROR(K183/K172,"")))</f>
        <v/>
      </c>
      <c r="L184" s="15">
        <f>IF(OR(L183="",L172=""),"",IF(L172&lt;=0,"",IFERROR(L183/L172,"")))</f>
        <v/>
      </c>
      <c r="M184" s="15">
        <f>IF(OR(M183="",M172=""),"",IF(M172&lt;=0,"",IFERROR(M183/M172,"")))</f>
        <v/>
      </c>
      <c r="N184" s="15">
        <f>IF(OR(N183="",N172=""),"",IF(N172&lt;=0,"",IFERROR(N183/N172,"")))</f>
        <v/>
      </c>
      <c r="V184" s="15">
        <f>IF(OR(V183="",V172=""),"",IF(V172&lt;=0,"",IFERROR(V183/V172,"")))</f>
        <v/>
      </c>
      <c r="W184" s="15">
        <f>IF(OR(W183="",W172=""),"",IF(W172&lt;=0,"",IFERROR(W183/W172,"")))</f>
        <v/>
      </c>
      <c r="X184" s="15">
        <f>IF(OR(X183="",X172=""),"",IF(X172&lt;=0,"",IFERROR(X183/X172,"")))</f>
        <v/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IF(OR(G183="",C183=""),"",IF(C183&lt;=0,"",IFERROR(G183/C183-1,"")))</f>
        <v/>
      </c>
      <c r="H185" s="15">
        <f>IF(OR(H183="",D183=""),"",IF(D183&lt;=0,"",IFERROR(H183/D183-1,"")))</f>
        <v/>
      </c>
      <c r="I185" s="15">
        <f>IF(OR(I183="",E183=""),"",IF(E183&lt;=0,"",IFERROR(I183/E183-1,"")))</f>
        <v/>
      </c>
      <c r="J185" s="15">
        <f>IF(OR(J183="",F183=""),"",IF(F183&lt;=0,"",IFERROR(J183/F183-1,"")))</f>
        <v/>
      </c>
      <c r="K185" s="15">
        <f>IF(OR(K183="",G183=""),"",IF(G183&lt;=0,"",IFERROR(K183/G183-1,"")))</f>
        <v/>
      </c>
      <c r="L185" s="15">
        <f>IF(OR(L183="",H183=""),"",IF(H183&lt;=0,"",IFERROR(L183/H183-1,"")))</f>
        <v/>
      </c>
      <c r="M185" s="15">
        <f>IF(OR(M183="",I183=""),"",IF(I183&lt;=0,"",IFERROR(M183/I183-1,"")))</f>
        <v/>
      </c>
      <c r="N185" s="15">
        <f>IF(OR(N183="",J183=""),"",IF(J183&lt;=0,"",IFERROR(N183/J183-1,"")))</f>
        <v/>
      </c>
      <c r="V185" s="15">
        <f>IF(OR(V183="",U183=""),"",IF(U183&lt;=0,"",IFERROR(V183/U183-1,"")))</f>
        <v/>
      </c>
      <c r="W185" s="15">
        <f>IF(OR(W183="",V183=""),"",IF(V183&lt;=0,"",IFERROR(W183/V183-1,"")))</f>
        <v/>
      </c>
      <c r="X185" s="15">
        <f>IF(OR(X183="",W183=""),"",IF(W183&lt;=0,"",IFERROR(X183/W183-1,"")))</f>
        <v/>
      </c>
    </row>
    <row r="186">
      <c r="A186" s="18" t="inlineStr">
        <is>
          <t>ChinaReportableSegmentsMember · 부문 이익</t>
        </is>
      </c>
      <c r="C186" s="20" t="n">
        <v>233.196</v>
      </c>
      <c r="D186" s="20" t="n">
        <v>-15.561</v>
      </c>
      <c r="E186" s="20" t="n">
        <v>-29.171</v>
      </c>
      <c r="F186" s="20" t="n">
        <v>55.549</v>
      </c>
      <c r="G186" s="20" t="n">
        <v>212.606</v>
      </c>
      <c r="H186" s="20" t="n">
        <v>18.524</v>
      </c>
      <c r="I186" s="20" t="n">
        <v>97.861</v>
      </c>
      <c r="J186" s="20" t="n">
        <v>144.817</v>
      </c>
      <c r="K186" s="20" t="n">
        <v>186.044</v>
      </c>
      <c r="L186" s="20" t="n">
        <v>78.35299999999999</v>
      </c>
      <c r="M186" s="20" t="n">
        <v>12.385</v>
      </c>
      <c r="N186" s="20" t="n">
        <v>58.244</v>
      </c>
      <c r="V186" s="20" t="n">
        <v>-15.561</v>
      </c>
      <c r="W186" s="20" t="n">
        <v>18.524</v>
      </c>
      <c r="X186" s="20" t="n">
        <v>78.35299999999999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IF(OR(C186="",C174=""),"",IF(C174&lt;=0,"",IFERROR(C186/C174,"")))</f>
        <v/>
      </c>
      <c r="D187" s="15">
        <f>IF(OR(D186="",D174=""),"",IF(D174&lt;=0,"",IFERROR(D186/D174,"")))</f>
        <v/>
      </c>
      <c r="E187" s="15">
        <f>IF(OR(E186="",E174=""),"",IF(E174&lt;=0,"",IFERROR(E186/E174,"")))</f>
        <v/>
      </c>
      <c r="F187" s="15">
        <f>IF(OR(F186="",F174=""),"",IF(F174&lt;=0,"",IFERROR(F186/F174,"")))</f>
        <v/>
      </c>
      <c r="G187" s="15">
        <f>IF(OR(G186="",G174=""),"",IF(G174&lt;=0,"",IFERROR(G186/G174,"")))</f>
        <v/>
      </c>
      <c r="H187" s="15">
        <f>IF(OR(H186="",H174=""),"",IF(H174&lt;=0,"",IFERROR(H186/H174,"")))</f>
        <v/>
      </c>
      <c r="I187" s="15">
        <f>IF(OR(I186="",I174=""),"",IF(I174&lt;=0,"",IFERROR(I186/I174,"")))</f>
        <v/>
      </c>
      <c r="J187" s="15">
        <f>IF(OR(J186="",J174=""),"",IF(J174&lt;=0,"",IFERROR(J186/J174,"")))</f>
        <v/>
      </c>
      <c r="K187" s="15">
        <f>IF(OR(K186="",K174=""),"",IF(K174&lt;=0,"",IFERROR(K186/K174,"")))</f>
        <v/>
      </c>
      <c r="L187" s="15">
        <f>IF(OR(L186="",L174=""),"",IF(L174&lt;=0,"",IFERROR(L186/L174,"")))</f>
        <v/>
      </c>
      <c r="M187" s="15">
        <f>IF(OR(M186="",M174=""),"",IF(M174&lt;=0,"",IFERROR(M186/M174,"")))</f>
        <v/>
      </c>
      <c r="N187" s="15">
        <f>IF(OR(N186="",N174=""),"",IF(N174&lt;=0,"",IFERROR(N186/N174,"")))</f>
        <v/>
      </c>
      <c r="V187" s="15">
        <f>IF(OR(V186="",V174=""),"",IF(V174&lt;=0,"",IFERROR(V186/V174,"")))</f>
        <v/>
      </c>
      <c r="W187" s="15">
        <f>IF(OR(W186="",W174=""),"",IF(W174&lt;=0,"",IFERROR(W186/W174,"")))</f>
        <v/>
      </c>
      <c r="X187" s="15">
        <f>IF(OR(X186="",X174=""),"",IF(X174&lt;=0,"",IFERROR(X186/X174,"")))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H188" s="15">
        <f>IF(OR(H186="",D186=""),"",IF(D186&lt;=0,"",IFERROR(H186/D186-1,"")))</f>
        <v/>
      </c>
      <c r="I188" s="15">
        <f>IF(OR(I186="",E186=""),"",IF(E186&lt;=0,"",IFERROR(I186/E186-1,"")))</f>
        <v/>
      </c>
      <c r="J188" s="15">
        <f>IF(OR(J186="",F186=""),"",IF(F186&lt;=0,"",IFERROR(J186/F186-1,"")))</f>
        <v/>
      </c>
      <c r="K188" s="15">
        <f>IF(OR(K186="",G186=""),"",IF(G186&lt;=0,"",IFERROR(K186/G186-1,"")))</f>
        <v/>
      </c>
      <c r="L188" s="15">
        <f>IF(OR(L186="",H186=""),"",IF(H186&lt;=0,"",IFERROR(L186/H186-1,"")))</f>
        <v/>
      </c>
      <c r="M188" s="15">
        <f>IF(OR(M186="",I186=""),"",IF(I186&lt;=0,"",IFERROR(M186/I186-1,"")))</f>
        <v/>
      </c>
      <c r="N188" s="15">
        <f>IF(OR(N186="",J186=""),"",IF(J186&lt;=0,"",IFERROR(N186/J186-1,"")))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  <c r="X188" s="15">
        <f>IF(OR(X186="",W186=""),"",IF(W186&lt;=0,"",IFERROR(X186/W186-1,"")))</f>
        <v/>
      </c>
    </row>
    <row r="189">
      <c r="A189" s="18" t="inlineStr">
        <is>
          <t>AsiaReportableSegmentsMember · 부문 이익</t>
        </is>
      </c>
      <c r="C189" s="20" t="n">
        <v>212.194</v>
      </c>
      <c r="D189" s="20" t="n">
        <v>199.344</v>
      </c>
      <c r="E189" s="20" t="n">
        <v>157.541</v>
      </c>
      <c r="F189" s="20" t="n">
        <v>268.559</v>
      </c>
      <c r="G189" s="20" t="n">
        <v>310.398</v>
      </c>
      <c r="H189" s="20" t="n">
        <v>268.9</v>
      </c>
      <c r="I189" s="20" t="n">
        <v>252.092</v>
      </c>
      <c r="J189" s="20" t="n">
        <v>442.252</v>
      </c>
      <c r="K189" s="20" t="n">
        <v>370.149</v>
      </c>
      <c r="L189" s="20" t="n">
        <v>355.929</v>
      </c>
      <c r="M189" s="20" t="n">
        <v>245.445</v>
      </c>
      <c r="N189" s="20" t="n">
        <v>355.055</v>
      </c>
      <c r="V189" s="20" t="n">
        <v>199.344</v>
      </c>
      <c r="W189" s="20" t="n">
        <v>268.9</v>
      </c>
      <c r="X189" s="20" t="n">
        <v>355.929</v>
      </c>
    </row>
    <row r="190">
      <c r="A190" s="43" t="inlineStr">
        <is>
          <t>OPM</t>
        </is>
      </c>
      <c r="B190" s="3" t="inlineStr">
        <is>
          <t>영업이익 ÷ 매출</t>
        </is>
      </c>
      <c r="C190" s="15">
        <f>IF(OR(C189="",C176=""),"",IF(C176&lt;=0,"",IFERROR(C189/C176,"")))</f>
        <v/>
      </c>
      <c r="D190" s="15">
        <f>IF(OR(D189="",D176=""),"",IF(D176&lt;=0,"",IFERROR(D189/D176,"")))</f>
        <v/>
      </c>
      <c r="E190" s="15">
        <f>IF(OR(E189="",E176=""),"",IF(E176&lt;=0,"",IFERROR(E189/E176,"")))</f>
        <v/>
      </c>
      <c r="F190" s="15">
        <f>IF(OR(F189="",F176=""),"",IF(F176&lt;=0,"",IFERROR(F189/F176,"")))</f>
        <v/>
      </c>
      <c r="G190" s="15">
        <f>IF(OR(G189="",G176=""),"",IF(G176&lt;=0,"",IFERROR(G189/G176,"")))</f>
        <v/>
      </c>
      <c r="H190" s="15">
        <f>IF(OR(H189="",H176=""),"",IF(H176&lt;=0,"",IFERROR(H189/H176,"")))</f>
        <v/>
      </c>
      <c r="I190" s="15">
        <f>IF(OR(I189="",I176=""),"",IF(I176&lt;=0,"",IFERROR(I189/I176,"")))</f>
        <v/>
      </c>
      <c r="J190" s="15">
        <f>IF(OR(J189="",J176=""),"",IF(J176&lt;=0,"",IFERROR(J189/J176,"")))</f>
        <v/>
      </c>
      <c r="K190" s="15">
        <f>IF(OR(K189="",K176=""),"",IF(K176&lt;=0,"",IFERROR(K189/K176,"")))</f>
        <v/>
      </c>
      <c r="L190" s="15">
        <f>IF(OR(L189="",L176=""),"",IF(L176&lt;=0,"",IFERROR(L189/L176,"")))</f>
        <v/>
      </c>
      <c r="M190" s="15">
        <f>IF(OR(M189="",M176=""),"",IF(M176&lt;=0,"",IFERROR(M189/M176,"")))</f>
        <v/>
      </c>
      <c r="N190" s="15">
        <f>IF(OR(N189="",N176=""),"",IF(N176&lt;=0,"",IFERROR(N189/N176,"")))</f>
        <v/>
      </c>
      <c r="V190" s="15">
        <f>IF(OR(V189="",V176=""),"",IF(V176&lt;=0,"",IFERROR(V189/V176,"")))</f>
        <v/>
      </c>
      <c r="W190" s="15">
        <f>IF(OR(W189="",W176=""),"",IF(W176&lt;=0,"",IFERROR(W189/W176,"")))</f>
        <v/>
      </c>
      <c r="X190" s="15">
        <f>IF(OR(X189="",X176=""),"",IF(X176&lt;=0,"",IFERROR(X189/X176,"")))</f>
        <v/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IF(OR(G189="",C189=""),"",IF(C189&lt;=0,"",IFERROR(G189/C189-1,"")))</f>
        <v/>
      </c>
      <c r="H191" s="15">
        <f>IF(OR(H189="",D189=""),"",IF(D189&lt;=0,"",IFERROR(H189/D189-1,"")))</f>
        <v/>
      </c>
      <c r="I191" s="15">
        <f>IF(OR(I189="",E189=""),"",IF(E189&lt;=0,"",IFERROR(I189/E189-1,"")))</f>
        <v/>
      </c>
      <c r="J191" s="15">
        <f>IF(OR(J189="",F189=""),"",IF(F189&lt;=0,"",IFERROR(J189/F189-1,"")))</f>
        <v/>
      </c>
      <c r="K191" s="15">
        <f>IF(OR(K189="",G189=""),"",IF(G189&lt;=0,"",IFERROR(K189/G189-1,"")))</f>
        <v/>
      </c>
      <c r="L191" s="15">
        <f>IF(OR(L189="",H189=""),"",IF(H189&lt;=0,"",IFERROR(L189/H189-1,"")))</f>
        <v/>
      </c>
      <c r="M191" s="15">
        <f>IF(OR(M189="",I189=""),"",IF(I189&lt;=0,"",IFERROR(M189/I189-1,"")))</f>
        <v/>
      </c>
      <c r="N191" s="15">
        <f>IF(OR(N189="",J189=""),"",IF(J189&lt;=0,"",IFERROR(N189/J189-1,"")))</f>
        <v/>
      </c>
      <c r="V191" s="15">
        <f>IF(OR(V189="",U189=""),"",IF(U189&lt;=0,"",IFERROR(V189/U189-1,"")))</f>
        <v/>
      </c>
      <c r="W191" s="15">
        <f>IF(OR(W189="",V189=""),"",IF(V189&lt;=0,"",IFERROR(W189/V189-1,"")))</f>
        <v/>
      </c>
      <c r="X191" s="15">
        <f>IF(OR(X189="",W189=""),"",IF(W189&lt;=0,"",IFERROR(X189/W189-1,"")))</f>
        <v/>
      </c>
    </row>
    <row r="192">
      <c r="A192" s="18" t="inlineStr">
        <is>
          <t>합계 · 부문 이익</t>
        </is>
      </c>
      <c r="C192" s="20" t="n">
        <v>736.672</v>
      </c>
      <c r="D192" s="20" t="n">
        <v>605.129</v>
      </c>
      <c r="E192" s="20" t="n">
        <v>630.207</v>
      </c>
      <c r="F192" s="20" t="n">
        <v>2123.642</v>
      </c>
      <c r="G192" s="20" t="n">
        <v>1807.917</v>
      </c>
      <c r="H192" s="20" t="n">
        <v>1948.363</v>
      </c>
      <c r="I192" s="20" t="n">
        <v>1113.565</v>
      </c>
      <c r="J192" s="20" t="n">
        <v>1466.528</v>
      </c>
      <c r="K192" s="20" t="n">
        <v>1146.212</v>
      </c>
      <c r="L192" s="20" t="n">
        <v>1361.69</v>
      </c>
      <c r="M192" s="20" t="n">
        <v>608.005</v>
      </c>
      <c r="N192" s="20" t="n">
        <v>1022.801</v>
      </c>
      <c r="V192" s="20" t="n">
        <v>605.129</v>
      </c>
      <c r="W192" s="20" t="n">
        <v>1948.363</v>
      </c>
      <c r="X192" s="20" t="n">
        <v>1361.69</v>
      </c>
    </row>
    <row r="193">
      <c r="A193" s="43" t="inlineStr">
        <is>
          <t>OPM</t>
        </is>
      </c>
      <c r="B193" s="3" t="inlineStr">
        <is>
          <t>영업이익 ÷ 매출</t>
        </is>
      </c>
      <c r="C193" s="15">
        <f>IF(OR(C192="",C178=""),"",IF(C178&lt;=0,"",IFERROR(C192/C178,"")))</f>
        <v/>
      </c>
      <c r="D193" s="15">
        <f>IF(OR(D192="",D178=""),"",IF(D178&lt;=0,"",IFERROR(D192/D178,"")))</f>
        <v/>
      </c>
      <c r="E193" s="15">
        <f>IF(OR(E192="",E178=""),"",IF(E178&lt;=0,"",IFERROR(E192/E178,"")))</f>
        <v/>
      </c>
      <c r="F193" s="15">
        <f>IF(OR(F192="",F178=""),"",IF(F178&lt;=0,"",IFERROR(F192/F178,"")))</f>
        <v/>
      </c>
      <c r="G193" s="15">
        <f>IF(OR(G192="",G178=""),"",IF(G178&lt;=0,"",IFERROR(G192/G178,"")))</f>
        <v/>
      </c>
      <c r="H193" s="15">
        <f>IF(OR(H192="",H178=""),"",IF(H178&lt;=0,"",IFERROR(H192/H178,"")))</f>
        <v/>
      </c>
      <c r="I193" s="15">
        <f>IF(OR(I192="",I178=""),"",IF(I178&lt;=0,"",IFERROR(I192/I178,"")))</f>
        <v/>
      </c>
      <c r="J193" s="15">
        <f>IF(OR(J192="",J178=""),"",IF(J178&lt;=0,"",IFERROR(J192/J178,"")))</f>
        <v/>
      </c>
      <c r="K193" s="15">
        <f>IF(OR(K192="",K178=""),"",IF(K178&lt;=0,"",IFERROR(K192/K178,"")))</f>
        <v/>
      </c>
      <c r="L193" s="15">
        <f>IF(OR(L192="",L178=""),"",IF(L178&lt;=0,"",IFERROR(L192/L178,"")))</f>
        <v/>
      </c>
      <c r="M193" s="15">
        <f>IF(OR(M192="",M178=""),"",IF(M178&lt;=0,"",IFERROR(M192/M178,"")))</f>
        <v/>
      </c>
      <c r="N193" s="15">
        <f>IF(OR(N192="",N178=""),"",IF(N178&lt;=0,"",IFERROR(N192/N178,"")))</f>
        <v/>
      </c>
      <c r="V193" s="15">
        <f>IF(OR(V192="",V178=""),"",IF(V178&lt;=0,"",IFERROR(V192/V178,"")))</f>
        <v/>
      </c>
      <c r="W193" s="15">
        <f>IF(OR(W192="",W178=""),"",IF(W178&lt;=0,"",IFERROR(W192/W178,"")))</f>
        <v/>
      </c>
      <c r="X193" s="15">
        <f>IF(OR(X192="",X178=""),"",IF(X178&lt;=0,"",IFERROR(X192/X178,"")))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IF(OR(G192="",C192=""),"",IF(C192&lt;=0,"",IFERROR(G192/C192-1,"")))</f>
        <v/>
      </c>
      <c r="H194" s="15">
        <f>IF(OR(H192="",D192=""),"",IF(D192&lt;=0,"",IFERROR(H192/D192-1,"")))</f>
        <v/>
      </c>
      <c r="I194" s="15">
        <f>IF(OR(I192="",E192=""),"",IF(E192&lt;=0,"",IFERROR(I192/E192-1,"")))</f>
        <v/>
      </c>
      <c r="J194" s="15">
        <f>IF(OR(J192="",F192=""),"",IF(F192&lt;=0,"",IFERROR(J192/F192-1,"")))</f>
        <v/>
      </c>
      <c r="K194" s="15">
        <f>IF(OR(K192="",G192=""),"",IF(G192&lt;=0,"",IFERROR(K192/G192-1,"")))</f>
        <v/>
      </c>
      <c r="L194" s="15">
        <f>IF(OR(L192="",H192=""),"",IF(H192&lt;=0,"",IFERROR(L192/H192-1,"")))</f>
        <v/>
      </c>
      <c r="M194" s="15">
        <f>IF(OR(M192="",I192=""),"",IF(I192&lt;=0,"",IFERROR(M192/I192-1,"")))</f>
        <v/>
      </c>
      <c r="N194" s="15">
        <f>IF(OR(N192="",J192=""),"",IF(J192&lt;=0,"",IFERROR(N192/J192-1,"")))</f>
        <v/>
      </c>
      <c r="V194" s="15">
        <f>IF(OR(V192="",U192=""),"",IF(U192&lt;=0,"",IFERROR(V192/U192-1,"")))</f>
        <v/>
      </c>
      <c r="W194" s="15">
        <f>IF(OR(W192="",V192=""),"",IF(V192&lt;=0,"",IFERROR(W192/V192-1,"")))</f>
        <v/>
      </c>
      <c r="X194" s="15">
        <f>IF(OR(X192="",W192=""),"",IF(W192&lt;=0,"",IFERROR(X192/W192-1,"")))</f>
        <v/>
      </c>
    </row>
    <row r="196">
      <c r="A196" s="16" t="inlineStr">
        <is>
          <t>현금흐름표 · 전 항목</t>
        </is>
      </c>
      <c r="B196" s="42" t="inlineStr">
        <is>
          <t>분기 = 결산기 첫날부터 누계(공시 그대로)</t>
        </is>
      </c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</row>
    <row r="197">
      <c r="A197" s="5" t="inlineStr">
        <is>
          <t>항목</t>
        </is>
      </c>
      <c r="B197" s="5" t="inlineStr">
        <is>
          <t>참고</t>
        </is>
      </c>
      <c r="C197" s="5" t="inlineStr">
        <is>
          <t>2024.3Q</t>
        </is>
      </c>
      <c r="D197" s="5" t="inlineStr">
        <is>
          <t>2024.4Q</t>
        </is>
      </c>
      <c r="E197" s="5" t="inlineStr">
        <is>
          <t>2025.1Q</t>
        </is>
      </c>
      <c r="F197" s="5" t="inlineStr">
        <is>
          <t>2025.2Q</t>
        </is>
      </c>
      <c r="G197" s="5" t="inlineStr">
        <is>
          <t>2025.3Q</t>
        </is>
      </c>
      <c r="H197" s="5" t="inlineStr">
        <is>
          <t>2025.4Q</t>
        </is>
      </c>
      <c r="I197" s="5" t="inlineStr">
        <is>
          <t>2026.1Q</t>
        </is>
      </c>
      <c r="J197" s="5" t="inlineStr">
        <is>
          <t>2026.2Q</t>
        </is>
      </c>
      <c r="K197" s="5" t="inlineStr">
        <is>
          <t>2026.3Q</t>
        </is>
      </c>
      <c r="L197" s="5" t="inlineStr">
        <is>
          <t>2026.4Q</t>
        </is>
      </c>
      <c r="M197" s="5" t="inlineStr">
        <is>
          <t>2027.1Q</t>
        </is>
      </c>
      <c r="N197" s="5" t="inlineStr">
        <is>
          <t>2027.2Q</t>
        </is>
      </c>
      <c r="O197" s="5" t="inlineStr">
        <is>
          <t>2017</t>
        </is>
      </c>
      <c r="P197" s="5" t="inlineStr">
        <is>
          <t>2018</t>
        </is>
      </c>
      <c r="Q197" s="5" t="inlineStr">
        <is>
          <t>2019</t>
        </is>
      </c>
      <c r="R197" s="5" t="inlineStr">
        <is>
          <t>2020</t>
        </is>
      </c>
      <c r="S197" s="5" t="inlineStr">
        <is>
          <t>2021</t>
        </is>
      </c>
      <c r="T197" s="5" t="inlineStr">
        <is>
          <t>2022</t>
        </is>
      </c>
      <c r="U197" s="5" t="inlineStr">
        <is>
          <t>2023</t>
        </is>
      </c>
      <c r="V197" s="5" t="inlineStr">
        <is>
          <t>2024</t>
        </is>
      </c>
      <c r="W197" s="5" t="inlineStr">
        <is>
          <t>2025</t>
        </is>
      </c>
      <c r="X197" s="5" t="inlineStr">
        <is>
          <t>2026</t>
        </is>
      </c>
      <c r="Y197" s="5" t="inlineStr">
        <is>
          <t>2027(MW)</t>
        </is>
      </c>
      <c r="Z197" s="5" t="inlineStr">
        <is>
          <t>2028(MW)</t>
        </is>
      </c>
      <c r="AA197" s="5" t="inlineStr">
        <is>
          <t>2029(MW)</t>
        </is>
      </c>
      <c r="AB197" s="5" t="inlineStr">
        <is>
          <t>2030(MW)</t>
        </is>
      </c>
      <c r="AC197" s="5" t="inlineStr">
        <is>
          <t>2031(MW)</t>
        </is>
      </c>
    </row>
    <row r="198">
      <c r="A198" s="9" t="inlineStr">
        <is>
          <t>법인세차감전 순이익</t>
        </is>
      </c>
      <c r="D198" s="12" t="n">
        <v>3139.952</v>
      </c>
      <c r="F198" s="12" t="n">
        <v>1832.572</v>
      </c>
      <c r="H198" s="12" t="n">
        <v>2573.341</v>
      </c>
      <c r="J198" s="12" t="n">
        <v>2039.772</v>
      </c>
      <c r="L198" s="12" t="n">
        <v>17729.486</v>
      </c>
      <c r="N198" s="12" t="n">
        <v>1142.207</v>
      </c>
      <c r="O198" s="12" t="n">
        <v>2888.493</v>
      </c>
      <c r="P198" s="12" t="n">
        <v>3119.894</v>
      </c>
      <c r="Q198" s="12" t="n">
        <v>2926.812</v>
      </c>
      <c r="R198" s="12" t="n">
        <v>2813.695</v>
      </c>
      <c r="S198" s="12" t="n">
        <v>2532.762</v>
      </c>
      <c r="T198" s="12" t="n">
        <v>3410.483</v>
      </c>
      <c r="U198" s="12" t="n">
        <v>1451.173</v>
      </c>
      <c r="V198" s="12" t="n">
        <v>3139.952</v>
      </c>
      <c r="W198" s="12" t="n">
        <v>2573.341</v>
      </c>
      <c r="X198" s="12" t="n">
        <v>17729.486</v>
      </c>
    </row>
    <row r="199">
      <c r="A199" s="18" t="inlineStr">
        <is>
          <t>감가상각비</t>
        </is>
      </c>
      <c r="D199" s="20" t="n">
        <v>3909.064</v>
      </c>
      <c r="F199" s="20" t="n">
        <v>2080.105</v>
      </c>
      <c r="H199" s="20" t="n">
        <v>4434.951</v>
      </c>
      <c r="J199" s="20" t="n">
        <v>2364.289</v>
      </c>
      <c r="L199" s="20" t="n">
        <v>5159.118</v>
      </c>
      <c r="N199" s="20" t="n">
        <v>2952.39</v>
      </c>
      <c r="O199" s="20" t="n">
        <v>3525.228</v>
      </c>
      <c r="P199" s="20" t="n">
        <v>3420.687</v>
      </c>
      <c r="Q199" s="20" t="n">
        <v>3410.231</v>
      </c>
      <c r="R199" s="20" t="n">
        <v>3416.674</v>
      </c>
      <c r="S199" s="20" t="n">
        <v>3349.621</v>
      </c>
      <c r="T199" s="20" t="n">
        <v>3516.473</v>
      </c>
      <c r="U199" s="20" t="n">
        <v>3765.37</v>
      </c>
      <c r="V199" s="20" t="n">
        <v>3909.064</v>
      </c>
      <c r="W199" s="20" t="n">
        <v>4434.951</v>
      </c>
      <c r="X199" s="20" t="n">
        <v>5159.118</v>
      </c>
    </row>
    <row r="200">
      <c r="A200" s="18" t="inlineStr">
        <is>
          <t>손상차손</t>
        </is>
      </c>
      <c r="D200" s="20" t="n">
        <v>98.64100000000001</v>
      </c>
      <c r="H200" s="20" t="n">
        <v>304.366</v>
      </c>
      <c r="L200" s="20" t="n">
        <v>152.277</v>
      </c>
      <c r="O200" s="20" t="n">
        <v>27.279</v>
      </c>
      <c r="P200" s="20" t="n">
        <v>228.277</v>
      </c>
      <c r="Q200" s="20" t="n">
        <v>3.842</v>
      </c>
      <c r="R200" s="20" t="n">
        <v>164.802</v>
      </c>
      <c r="S200" s="20" t="n">
        <v>391.954</v>
      </c>
      <c r="T200" s="20" t="n">
        <v>24.514</v>
      </c>
      <c r="U200" s="20" t="n">
        <v>120.988</v>
      </c>
      <c r="V200" s="20" t="n">
        <v>98.64100000000001</v>
      </c>
      <c r="W200" s="20" t="n">
        <v>304.366</v>
      </c>
      <c r="X200" s="20" t="n">
        <v>152.277</v>
      </c>
    </row>
    <row r="201">
      <c r="A201" s="18" t="inlineStr">
        <is>
          <t>영업권 상각</t>
        </is>
      </c>
      <c r="O201" s="20" t="n">
        <v>6.401</v>
      </c>
      <c r="P201" s="20" t="n">
        <v>6.401</v>
      </c>
      <c r="Q201" s="20" t="n">
        <v>6.401</v>
      </c>
      <c r="R201" s="20" t="n">
        <v>1.6</v>
      </c>
      <c r="S201" s="20" t="n">
        <v>0</v>
      </c>
    </row>
    <row r="202">
      <c r="A202" s="18" t="inlineStr">
        <is>
          <t>상여충당금 증감</t>
        </is>
      </c>
      <c r="D202" s="20" t="n">
        <v>50.237</v>
      </c>
      <c r="H202" s="20" t="n">
        <v>213.733</v>
      </c>
      <c r="L202" s="20" t="n">
        <v>56.415</v>
      </c>
      <c r="V202" s="20" t="n">
        <v>50.237</v>
      </c>
      <c r="W202" s="20" t="n">
        <v>213.733</v>
      </c>
      <c r="X202" s="20" t="n">
        <v>56.415</v>
      </c>
    </row>
    <row r="203">
      <c r="A203" s="18" t="inlineStr">
        <is>
          <t>제품보증 충당금 증감</t>
        </is>
      </c>
      <c r="D203" s="20" t="n">
        <v>-1.239</v>
      </c>
      <c r="H203" s="20" t="n">
        <v>2378.918</v>
      </c>
      <c r="J203" s="20" t="n">
        <v>0.142</v>
      </c>
      <c r="L203" s="20" t="n">
        <v>-2184.24</v>
      </c>
      <c r="N203" s="20" t="n">
        <v>183.59</v>
      </c>
      <c r="O203" s="20" t="n">
        <v>-16.708</v>
      </c>
      <c r="P203" s="20" t="n">
        <v>-9.407</v>
      </c>
      <c r="Q203" s="20" t="n">
        <v>-2.395</v>
      </c>
      <c r="R203" s="20" t="n">
        <v>-1.152</v>
      </c>
      <c r="S203" s="20" t="n">
        <v>-1.562</v>
      </c>
      <c r="T203" s="20" t="n">
        <v>4.674</v>
      </c>
      <c r="V203" s="20" t="n">
        <v>-1.239</v>
      </c>
      <c r="W203" s="20" t="n">
        <v>2378.918</v>
      </c>
      <c r="X203" s="20" t="n">
        <v>-2184.24</v>
      </c>
    </row>
    <row r="204">
      <c r="A204" s="18" t="inlineStr">
        <is>
          <t>재해손실 충당금 증감액</t>
        </is>
      </c>
      <c r="D204" s="20" t="n">
        <v>0</v>
      </c>
      <c r="F204" s="20" t="n">
        <v>0</v>
      </c>
      <c r="H204" s="20" t="n">
        <v>151.904</v>
      </c>
      <c r="J204" s="20" t="n">
        <v>-151.904</v>
      </c>
      <c r="L204" s="20" t="n">
        <v>-151.904</v>
      </c>
      <c r="N204" s="20" t="n">
        <v>0</v>
      </c>
      <c r="V204" s="20" t="n">
        <v>0</v>
      </c>
      <c r="W204" s="20" t="n">
        <v>151.904</v>
      </c>
      <c r="X204" s="20" t="n">
        <v>-151.904</v>
      </c>
    </row>
    <row r="205">
      <c r="A205" s="18" t="inlineStr">
        <is>
          <t>사업구조개선 충당금 증감액</t>
        </is>
      </c>
      <c r="D205" s="20" t="n">
        <v>0</v>
      </c>
      <c r="F205" s="20" t="n">
        <v>0</v>
      </c>
      <c r="H205" s="20" t="n">
        <v>81.78700000000001</v>
      </c>
      <c r="J205" s="20" t="n">
        <v>-64.157</v>
      </c>
      <c r="L205" s="20" t="n">
        <v>-81.78700000000001</v>
      </c>
      <c r="N205" s="20" t="n">
        <v>0</v>
      </c>
      <c r="V205" s="20" t="n">
        <v>0</v>
      </c>
      <c r="W205" s="20" t="n">
        <v>81.78700000000001</v>
      </c>
      <c r="X205" s="20" t="n">
        <v>-81.78700000000001</v>
      </c>
    </row>
    <row r="206">
      <c r="A206" s="18" t="inlineStr">
        <is>
          <t>퇴직급여자산 증감</t>
        </is>
      </c>
      <c r="D206" s="20" t="n">
        <v>-1675.132</v>
      </c>
      <c r="F206" s="20" t="n">
        <v>-1097.973</v>
      </c>
      <c r="H206" s="20" t="n">
        <v>-1764.257</v>
      </c>
      <c r="J206" s="20" t="n">
        <v>-852.893</v>
      </c>
      <c r="L206" s="20" t="n">
        <v>-2033.286</v>
      </c>
      <c r="N206" s="20" t="n">
        <v>-878.681</v>
      </c>
      <c r="O206" s="20" t="n">
        <v>201.329</v>
      </c>
      <c r="P206" s="20" t="n">
        <v>-906.91</v>
      </c>
      <c r="Q206" s="20" t="n">
        <v>-749</v>
      </c>
      <c r="R206" s="20" t="n">
        <v>-547.676</v>
      </c>
      <c r="S206" s="20" t="n">
        <v>-590.288</v>
      </c>
      <c r="T206" s="20" t="n">
        <v>-1440.912</v>
      </c>
      <c r="U206" s="20" t="n">
        <v>-621.633</v>
      </c>
      <c r="V206" s="20" t="n">
        <v>-1675.132</v>
      </c>
      <c r="W206" s="20" t="n">
        <v>-1764.257</v>
      </c>
      <c r="X206" s="20" t="n">
        <v>-2033.286</v>
      </c>
    </row>
    <row r="207">
      <c r="A207" s="18" t="inlineStr">
        <is>
          <t>퇴직급여부채 증감</t>
        </is>
      </c>
      <c r="D207" s="20" t="n">
        <v>708.129</v>
      </c>
      <c r="F207" s="20" t="n">
        <v>66.73999999999999</v>
      </c>
      <c r="H207" s="20" t="n">
        <v>-348.104</v>
      </c>
      <c r="J207" s="20" t="n">
        <v>96.494</v>
      </c>
      <c r="L207" s="20" t="n">
        <v>446.486</v>
      </c>
      <c r="N207" s="20" t="n">
        <v>36.938</v>
      </c>
      <c r="O207" s="20" t="n">
        <v>-175.953</v>
      </c>
      <c r="P207" s="20" t="n">
        <v>-680.612</v>
      </c>
      <c r="Q207" s="20" t="n">
        <v>5.031</v>
      </c>
      <c r="R207" s="20" t="n">
        <v>48.873</v>
      </c>
      <c r="S207" s="20" t="n">
        <v>-210.136</v>
      </c>
      <c r="T207" s="20" t="n">
        <v>320.977</v>
      </c>
      <c r="U207" s="20" t="n">
        <v>-186.746</v>
      </c>
      <c r="V207" s="20" t="n">
        <v>708.129</v>
      </c>
      <c r="W207" s="20" t="n">
        <v>-348.104</v>
      </c>
      <c r="X207" s="20" t="n">
        <v>446.486</v>
      </c>
    </row>
    <row r="208">
      <c r="A208" s="18" t="inlineStr">
        <is>
          <t>이자·배당금 수익</t>
        </is>
      </c>
      <c r="D208" s="20" t="n">
        <v>-870.615</v>
      </c>
      <c r="F208" s="20" t="n">
        <v>-624.954</v>
      </c>
      <c r="H208" s="20" t="n">
        <v>-1181.691</v>
      </c>
      <c r="J208" s="20" t="n">
        <v>-720.229</v>
      </c>
      <c r="L208" s="20" t="n">
        <v>-1422.246</v>
      </c>
      <c r="N208" s="20" t="n">
        <v>-639.671</v>
      </c>
      <c r="O208" s="20" t="n">
        <v>-519.09</v>
      </c>
      <c r="P208" s="20" t="n">
        <v>-537.6319999999999</v>
      </c>
      <c r="Q208" s="20" t="n">
        <v>-584.876</v>
      </c>
      <c r="R208" s="20" t="n">
        <v>-596.687</v>
      </c>
      <c r="S208" s="20" t="n">
        <v>-605.221</v>
      </c>
      <c r="T208" s="20" t="n">
        <v>-650.899</v>
      </c>
      <c r="U208" s="20" t="n">
        <v>-668.057</v>
      </c>
      <c r="V208" s="20" t="n">
        <v>-870.615</v>
      </c>
      <c r="W208" s="20" t="n">
        <v>-1181.691</v>
      </c>
      <c r="X208" s="20" t="n">
        <v>-1422.246</v>
      </c>
    </row>
    <row r="209">
      <c r="A209" s="18" t="inlineStr">
        <is>
          <t>보조금 수입</t>
        </is>
      </c>
      <c r="S209" s="20" t="n">
        <v>-376.666</v>
      </c>
      <c r="T209" s="20" t="n">
        <v>-223.4</v>
      </c>
      <c r="U209" s="20" t="n">
        <v>-107.165</v>
      </c>
    </row>
    <row r="210">
      <c r="A210" s="18" t="inlineStr">
        <is>
          <t>보험금 수익</t>
        </is>
      </c>
      <c r="F210" s="20" t="n">
        <v>0</v>
      </c>
      <c r="H210" s="20" t="n">
        <v>-304.266</v>
      </c>
      <c r="J210" s="20" t="n">
        <v>-83.59399999999999</v>
      </c>
      <c r="L210" s="20" t="n">
        <v>-198.383</v>
      </c>
      <c r="N210" s="20" t="n">
        <v>-800</v>
      </c>
      <c r="W210" s="20" t="n">
        <v>-304.266</v>
      </c>
      <c r="X210" s="20" t="n">
        <v>-198.383</v>
      </c>
    </row>
    <row r="211">
      <c r="A211" s="18" t="inlineStr">
        <is>
          <t>이자비용</t>
        </is>
      </c>
      <c r="D211" s="20" t="n">
        <v>65.383</v>
      </c>
      <c r="F211" s="20" t="n">
        <v>62.378</v>
      </c>
      <c r="H211" s="20" t="n">
        <v>124.354</v>
      </c>
      <c r="J211" s="20" t="n">
        <v>77.252</v>
      </c>
      <c r="L211" s="20" t="n">
        <v>144.573</v>
      </c>
      <c r="N211" s="20" t="n">
        <v>87.503</v>
      </c>
      <c r="O211" s="20" t="n">
        <v>166.947</v>
      </c>
      <c r="P211" s="20" t="n">
        <v>142.9</v>
      </c>
      <c r="Q211" s="20" t="n">
        <v>92.72799999999999</v>
      </c>
      <c r="R211" s="20" t="n">
        <v>47.538</v>
      </c>
      <c r="S211" s="20" t="n">
        <v>50.037</v>
      </c>
      <c r="T211" s="20" t="n">
        <v>31.912</v>
      </c>
      <c r="U211" s="20" t="n">
        <v>59.176</v>
      </c>
      <c r="V211" s="20" t="n">
        <v>65.383</v>
      </c>
      <c r="W211" s="20" t="n">
        <v>124.354</v>
      </c>
      <c r="X211" s="20" t="n">
        <v>144.573</v>
      </c>
    </row>
    <row r="212">
      <c r="A212" s="18" t="inlineStr">
        <is>
          <t>지분법손익</t>
        </is>
      </c>
      <c r="H212" s="20" t="n">
        <v>0</v>
      </c>
      <c r="J212" s="20" t="n">
        <v>0</v>
      </c>
      <c r="L212" s="20" t="n">
        <v>33.02</v>
      </c>
      <c r="N212" s="20" t="n">
        <v>20.973</v>
      </c>
      <c r="W212" s="20" t="n">
        <v>0</v>
      </c>
      <c r="X212" s="20" t="n">
        <v>33.02</v>
      </c>
    </row>
    <row r="213">
      <c r="A213" s="18" t="inlineStr">
        <is>
          <t>투자유가증권 매각손익</t>
        </is>
      </c>
      <c r="H213" s="20" t="n">
        <v>-43.391</v>
      </c>
      <c r="L213" s="20" t="n">
        <v>-12886.505</v>
      </c>
      <c r="R213" s="20" t="n">
        <v>0</v>
      </c>
      <c r="S213" s="20" t="n">
        <v>-707.941</v>
      </c>
      <c r="T213" s="20" t="n">
        <v>-2.999</v>
      </c>
      <c r="W213" s="20" t="n">
        <v>-43.391</v>
      </c>
      <c r="X213" s="20" t="n">
        <v>-12886.505</v>
      </c>
    </row>
    <row r="214">
      <c r="A214" s="18" t="inlineStr">
        <is>
          <t>유형자산 제각손실</t>
        </is>
      </c>
      <c r="D214" s="20" t="n">
        <v>138.471</v>
      </c>
      <c r="H214" s="20" t="n">
        <v>196.974</v>
      </c>
      <c r="L214" s="20" t="n">
        <v>203.028</v>
      </c>
      <c r="O214" s="20" t="n">
        <v>47.694</v>
      </c>
      <c r="P214" s="20" t="n">
        <v>37.107</v>
      </c>
      <c r="Q214" s="20" t="n">
        <v>38.841</v>
      </c>
      <c r="R214" s="20" t="n">
        <v>16.613</v>
      </c>
      <c r="S214" s="20" t="n">
        <v>59.745</v>
      </c>
      <c r="T214" s="20" t="n">
        <v>42.608</v>
      </c>
      <c r="U214" s="20" t="n">
        <v>64.893</v>
      </c>
      <c r="V214" s="20" t="n">
        <v>138.471</v>
      </c>
      <c r="W214" s="20" t="n">
        <v>196.974</v>
      </c>
      <c r="X214" s="20" t="n">
        <v>203.028</v>
      </c>
    </row>
    <row r="215">
      <c r="A215" s="18" t="inlineStr">
        <is>
          <t>관계회사 청산손익</t>
        </is>
      </c>
      <c r="H215" s="20" t="n">
        <v>-69.806</v>
      </c>
      <c r="L215" s="20" t="n">
        <v>0</v>
      </c>
      <c r="W215" s="20" t="n">
        <v>-69.806</v>
      </c>
      <c r="X215" s="20" t="n">
        <v>0</v>
      </c>
    </row>
    <row r="216">
      <c r="A216" s="18" t="inlineStr">
        <is>
          <t>외환차손익</t>
        </is>
      </c>
      <c r="D216" s="20" t="n">
        <v>-920.958</v>
      </c>
      <c r="F216" s="20" t="n">
        <v>297.32</v>
      </c>
      <c r="H216" s="20" t="n">
        <v>86.539</v>
      </c>
      <c r="J216" s="20" t="n">
        <v>37.745</v>
      </c>
      <c r="L216" s="20" t="n">
        <v>-406.807</v>
      </c>
      <c r="N216" s="20" t="n">
        <v>133.263</v>
      </c>
      <c r="O216" s="20" t="n">
        <v>6.146</v>
      </c>
      <c r="P216" s="20" t="n">
        <v>138.767</v>
      </c>
      <c r="Q216" s="20" t="n">
        <v>-55.021</v>
      </c>
      <c r="R216" s="20" t="n">
        <v>203.306</v>
      </c>
      <c r="S216" s="20" t="n">
        <v>-200.022</v>
      </c>
      <c r="T216" s="20" t="n">
        <v>-552.735</v>
      </c>
      <c r="U216" s="20" t="n">
        <v>-406.449</v>
      </c>
      <c r="V216" s="20" t="n">
        <v>-920.958</v>
      </c>
      <c r="W216" s="20" t="n">
        <v>86.539</v>
      </c>
      <c r="X216" s="20" t="n">
        <v>-406.807</v>
      </c>
    </row>
    <row r="217">
      <c r="A217" s="18" t="inlineStr">
        <is>
          <t>매출채권 증감</t>
        </is>
      </c>
      <c r="D217" s="20" t="n">
        <v>1039.212</v>
      </c>
      <c r="F217" s="20" t="n">
        <v>-537.95</v>
      </c>
      <c r="H217" s="20" t="n">
        <v>-1047.945</v>
      </c>
      <c r="J217" s="20" t="n">
        <v>1095.752</v>
      </c>
      <c r="L217" s="20" t="n">
        <v>1659.885</v>
      </c>
      <c r="N217" s="20" t="n">
        <v>-508.56</v>
      </c>
      <c r="O217" s="20" t="n">
        <v>48.907</v>
      </c>
      <c r="P217" s="20" t="n">
        <v>-463.771</v>
      </c>
      <c r="Q217" s="20" t="n">
        <v>41.506</v>
      </c>
      <c r="R217" s="20" t="n">
        <v>1164.961</v>
      </c>
      <c r="S217" s="20" t="n">
        <v>-1160.885</v>
      </c>
      <c r="T217" s="20" t="n">
        <v>-136.179</v>
      </c>
      <c r="U217" s="20" t="n">
        <v>-1730.757</v>
      </c>
      <c r="V217" s="20" t="n">
        <v>1039.212</v>
      </c>
      <c r="W217" s="20" t="n">
        <v>-1047.945</v>
      </c>
      <c r="X217" s="20" t="n">
        <v>1659.885</v>
      </c>
    </row>
    <row r="218">
      <c r="A218" s="18" t="inlineStr">
        <is>
          <t>재고자산 증감</t>
        </is>
      </c>
      <c r="D218" s="20" t="n">
        <v>34.924</v>
      </c>
      <c r="F218" s="20" t="n">
        <v>898.837</v>
      </c>
      <c r="H218" s="20" t="n">
        <v>969.633</v>
      </c>
      <c r="J218" s="20" t="n">
        <v>75.163</v>
      </c>
      <c r="L218" s="20" t="n">
        <v>9.754</v>
      </c>
      <c r="N218" s="20" t="n">
        <v>-305.434</v>
      </c>
      <c r="O218" s="20" t="n">
        <v>860.124</v>
      </c>
      <c r="P218" s="20" t="n">
        <v>562.582</v>
      </c>
      <c r="Q218" s="20" t="n">
        <v>-731.989</v>
      </c>
      <c r="R218" s="20" t="n">
        <v>-724.193</v>
      </c>
      <c r="S218" s="20" t="n">
        <v>-502.318</v>
      </c>
      <c r="T218" s="20" t="n">
        <v>-3170.232</v>
      </c>
      <c r="U218" s="20" t="n">
        <v>-462.968</v>
      </c>
      <c r="V218" s="20" t="n">
        <v>34.924</v>
      </c>
      <c r="W218" s="20" t="n">
        <v>969.633</v>
      </c>
      <c r="X218" s="20" t="n">
        <v>9.754</v>
      </c>
    </row>
    <row r="219">
      <c r="A219" s="18" t="inlineStr">
        <is>
          <t>매입채무 증감</t>
        </is>
      </c>
      <c r="D219" s="20" t="n">
        <v>-995.717</v>
      </c>
      <c r="F219" s="20" t="n">
        <v>884.199</v>
      </c>
      <c r="H219" s="20" t="n">
        <v>1136.889</v>
      </c>
      <c r="J219" s="20" t="n">
        <v>-5.432</v>
      </c>
      <c r="L219" s="20" t="n">
        <v>-1782.159</v>
      </c>
      <c r="N219" s="20" t="n">
        <v>-109.528</v>
      </c>
      <c r="O219" s="20" t="n">
        <v>-23.712</v>
      </c>
      <c r="P219" s="20" t="n">
        <v>-1017.64</v>
      </c>
      <c r="Q219" s="20" t="n">
        <v>-87.825</v>
      </c>
      <c r="R219" s="20" t="n">
        <v>-301.365</v>
      </c>
      <c r="S219" s="20" t="n">
        <v>141.327</v>
      </c>
      <c r="T219" s="20" t="n">
        <v>566.775</v>
      </c>
      <c r="U219" s="20" t="n">
        <v>1777.522</v>
      </c>
      <c r="V219" s="20" t="n">
        <v>-995.717</v>
      </c>
      <c r="W219" s="20" t="n">
        <v>1136.889</v>
      </c>
      <c r="X219" s="20" t="n">
        <v>-1782.159</v>
      </c>
    </row>
    <row r="220">
      <c r="A220" s="18" t="inlineStr">
        <is>
          <t>미수금 증감</t>
        </is>
      </c>
      <c r="D220" s="20" t="n">
        <v>571.085</v>
      </c>
      <c r="F220" s="20" t="n">
        <v>82.488</v>
      </c>
      <c r="H220" s="20" t="n">
        <v>281.851</v>
      </c>
      <c r="J220" s="20" t="n">
        <v>-300.188</v>
      </c>
      <c r="L220" s="20" t="n">
        <v>-373.018</v>
      </c>
      <c r="N220" s="20" t="n">
        <v>-715.9450000000001</v>
      </c>
      <c r="T220" s="20" t="n">
        <v>-161.816</v>
      </c>
      <c r="U220" s="20" t="n">
        <v>-548.967</v>
      </c>
      <c r="V220" s="20" t="n">
        <v>571.085</v>
      </c>
      <c r="W220" s="20" t="n">
        <v>281.851</v>
      </c>
      <c r="X220" s="20" t="n">
        <v>-373.018</v>
      </c>
    </row>
    <row r="221">
      <c r="A221" s="18" t="inlineStr">
        <is>
          <t>미지급금 증감</t>
        </is>
      </c>
      <c r="D221" s="20" t="n">
        <v>113.75</v>
      </c>
      <c r="F221" s="20" t="n">
        <v>-208.805</v>
      </c>
      <c r="H221" s="20" t="n">
        <v>-87.158</v>
      </c>
      <c r="J221" s="20" t="n">
        <v>-89.86</v>
      </c>
      <c r="L221" s="20" t="n">
        <v>1861.795</v>
      </c>
      <c r="N221" s="20" t="n">
        <v>-2002.742</v>
      </c>
      <c r="O221" s="20" t="n">
        <v>-146.269</v>
      </c>
      <c r="P221" s="20" t="n">
        <v>-376.716</v>
      </c>
      <c r="Q221" s="20" t="n">
        <v>-38.35</v>
      </c>
      <c r="R221" s="20" t="n">
        <v>114.685</v>
      </c>
      <c r="S221" s="20" t="n">
        <v>-14.391</v>
      </c>
      <c r="T221" s="20" t="n">
        <v>-92.96899999999999</v>
      </c>
      <c r="U221" s="20" t="n">
        <v>10.264</v>
      </c>
      <c r="V221" s="20" t="n">
        <v>113.75</v>
      </c>
      <c r="W221" s="20" t="n">
        <v>-87.158</v>
      </c>
      <c r="X221" s="20" t="n">
        <v>1861.795</v>
      </c>
    </row>
    <row r="222">
      <c r="A222" s="18" t="inlineStr">
        <is>
          <t>미지급비용 증감</t>
        </is>
      </c>
      <c r="D222" s="20" t="n">
        <v>119.056</v>
      </c>
      <c r="F222" s="20" t="n">
        <v>-51.586</v>
      </c>
      <c r="H222" s="20" t="n">
        <v>189.47</v>
      </c>
      <c r="J222" s="20" t="n">
        <v>122.809</v>
      </c>
      <c r="L222" s="20" t="n">
        <v>403.022</v>
      </c>
      <c r="N222" s="20" t="n">
        <v>129.402</v>
      </c>
      <c r="S222" s="20" t="n">
        <v>57.202</v>
      </c>
      <c r="T222" s="20" t="n">
        <v>-312.644</v>
      </c>
      <c r="U222" s="20" t="n">
        <v>178.141</v>
      </c>
      <c r="V222" s="20" t="n">
        <v>119.056</v>
      </c>
      <c r="W222" s="20" t="n">
        <v>189.47</v>
      </c>
      <c r="X222" s="20" t="n">
        <v>403.022</v>
      </c>
    </row>
    <row r="223">
      <c r="A223" s="18" t="inlineStr">
        <is>
          <t>미지급 소비세 증감</t>
        </is>
      </c>
      <c r="D223" s="20" t="n">
        <v>-36.402</v>
      </c>
      <c r="F223" s="20" t="n">
        <v>295.635</v>
      </c>
      <c r="H223" s="20" t="n">
        <v>316.185</v>
      </c>
      <c r="J223" s="20" t="n">
        <v>-39.342</v>
      </c>
      <c r="L223" s="20" t="n">
        <v>-64.511</v>
      </c>
      <c r="N223" s="20" t="n">
        <v>16.768</v>
      </c>
      <c r="S223" s="20" t="n">
        <v>100.804</v>
      </c>
      <c r="T223" s="20" t="n">
        <v>-395.484</v>
      </c>
      <c r="U223" s="20" t="n">
        <v>65.761</v>
      </c>
      <c r="V223" s="20" t="n">
        <v>-36.402</v>
      </c>
      <c r="W223" s="20" t="n">
        <v>316.185</v>
      </c>
      <c r="X223" s="20" t="n">
        <v>-64.511</v>
      </c>
    </row>
    <row r="224">
      <c r="A224" s="18" t="inlineStr">
        <is>
          <t>기타 유동자산 증감</t>
        </is>
      </c>
      <c r="D224" s="20" t="n">
        <v>187.158</v>
      </c>
      <c r="F224" s="20" t="n">
        <v>529.1079999999999</v>
      </c>
      <c r="H224" s="20" t="n">
        <v>307.109</v>
      </c>
      <c r="J224" s="20" t="n">
        <v>291.062</v>
      </c>
      <c r="L224" s="20" t="n">
        <v>325.114</v>
      </c>
      <c r="N224" s="20" t="n">
        <v>-510.187</v>
      </c>
      <c r="T224" s="20" t="n">
        <v>-374.295</v>
      </c>
      <c r="U224" s="20" t="n">
        <v>-293.003</v>
      </c>
      <c r="V224" s="20" t="n">
        <v>187.158</v>
      </c>
      <c r="W224" s="20" t="n">
        <v>307.109</v>
      </c>
      <c r="X224" s="20" t="n">
        <v>325.114</v>
      </c>
    </row>
    <row r="225">
      <c r="A225" s="18" t="inlineStr">
        <is>
          <t>기타 유동부채 증감</t>
        </is>
      </c>
      <c r="F225" s="20" t="n">
        <v>-58.956</v>
      </c>
      <c r="J225" s="20" t="n">
        <v>-81.104</v>
      </c>
      <c r="N225" s="20" t="n">
        <v>39.769</v>
      </c>
    </row>
    <row r="226">
      <c r="A226" s="18" t="inlineStr">
        <is>
          <t>기타</t>
        </is>
      </c>
      <c r="D226" s="20" t="n">
        <v>-60.56</v>
      </c>
      <c r="F226" s="20" t="n">
        <v>-28.703</v>
      </c>
      <c r="H226" s="20" t="n">
        <v>-11.355</v>
      </c>
      <c r="J226" s="20" t="n">
        <v>19.996</v>
      </c>
      <c r="L226" s="20" t="n">
        <v>-98.831</v>
      </c>
      <c r="N226" s="20" t="n">
        <v>4.448</v>
      </c>
      <c r="O226" s="20" t="n">
        <v>398.232</v>
      </c>
      <c r="P226" s="20" t="n">
        <v>-101.365</v>
      </c>
      <c r="Q226" s="20" t="n">
        <v>-330.961</v>
      </c>
      <c r="R226" s="20" t="n">
        <v>-382.496</v>
      </c>
      <c r="S226" s="20" t="n">
        <v>278.837</v>
      </c>
      <c r="T226" s="20" t="n">
        <v>-212.75</v>
      </c>
      <c r="U226" s="20" t="n">
        <v>-339.977</v>
      </c>
      <c r="V226" s="20" t="n">
        <v>-60.56</v>
      </c>
      <c r="W226" s="20" t="n">
        <v>-11.355</v>
      </c>
      <c r="X226" s="20" t="n">
        <v>-98.831</v>
      </c>
    </row>
    <row r="227">
      <c r="A227" s="18" t="inlineStr">
        <is>
          <t>소계</t>
        </is>
      </c>
      <c r="D227" s="20" t="n">
        <v>5614.443</v>
      </c>
      <c r="F227" s="20" t="n">
        <v>4420.455</v>
      </c>
      <c r="H227" s="20" t="n">
        <v>8890.034</v>
      </c>
      <c r="J227" s="20" t="n">
        <v>3831.773</v>
      </c>
      <c r="L227" s="20" t="n">
        <v>6500.297</v>
      </c>
      <c r="N227" s="20" t="n">
        <v>-1723.496</v>
      </c>
      <c r="O227" s="20" t="n">
        <v>7295.049</v>
      </c>
      <c r="P227" s="20" t="n">
        <v>3562.561</v>
      </c>
      <c r="Q227" s="20" t="n">
        <v>3944.976</v>
      </c>
      <c r="R227" s="20" t="n">
        <v>5439.18</v>
      </c>
      <c r="S227" s="20" t="n">
        <v>2592.859</v>
      </c>
      <c r="T227" s="20" t="n">
        <v>189.423</v>
      </c>
      <c r="U227" s="20" t="n">
        <v>2234.73</v>
      </c>
      <c r="V227" s="20" t="n">
        <v>5614.443</v>
      </c>
      <c r="W227" s="20" t="n">
        <v>8890.034</v>
      </c>
      <c r="X227" s="20" t="n">
        <v>6500.297</v>
      </c>
    </row>
    <row r="228">
      <c r="A228" s="18" t="inlineStr">
        <is>
          <t>이자·배당금 수취</t>
        </is>
      </c>
      <c r="D228" s="20" t="n">
        <v>863.4880000000001</v>
      </c>
      <c r="F228" s="20" t="n">
        <v>621.191</v>
      </c>
      <c r="H228" s="20" t="n">
        <v>1174.387</v>
      </c>
      <c r="J228" s="20" t="n">
        <v>716.684</v>
      </c>
      <c r="L228" s="20" t="n">
        <v>1415.228</v>
      </c>
      <c r="N228" s="20" t="n">
        <v>636.092</v>
      </c>
      <c r="O228" s="20" t="n">
        <v>519.09</v>
      </c>
      <c r="P228" s="20" t="n">
        <v>537.6319999999999</v>
      </c>
      <c r="Q228" s="20" t="n">
        <v>584.876</v>
      </c>
      <c r="R228" s="20" t="n">
        <v>596.687</v>
      </c>
      <c r="S228" s="20" t="n">
        <v>605.221</v>
      </c>
      <c r="T228" s="20" t="n">
        <v>650.899</v>
      </c>
      <c r="U228" s="20" t="n">
        <v>661.164</v>
      </c>
      <c r="V228" s="20" t="n">
        <v>863.4880000000001</v>
      </c>
      <c r="W228" s="20" t="n">
        <v>1174.387</v>
      </c>
      <c r="X228" s="20" t="n">
        <v>1415.228</v>
      </c>
    </row>
    <row r="229">
      <c r="A229" s="18" t="inlineStr">
        <is>
          <t>이자 지급</t>
        </is>
      </c>
      <c r="D229" s="20" t="n">
        <v>-64.943</v>
      </c>
      <c r="F229" s="20" t="n">
        <v>-62.729</v>
      </c>
      <c r="H229" s="20" t="n">
        <v>-124.705</v>
      </c>
      <c r="J229" s="20" t="n">
        <v>-77.223</v>
      </c>
      <c r="L229" s="20" t="n">
        <v>-144.536</v>
      </c>
      <c r="N229" s="20" t="n">
        <v>-88.831</v>
      </c>
      <c r="O229" s="20" t="n">
        <v>-166.661</v>
      </c>
      <c r="P229" s="20" t="n">
        <v>-142.588</v>
      </c>
      <c r="Q229" s="20" t="n">
        <v>-93.589</v>
      </c>
      <c r="R229" s="20" t="n">
        <v>-48.083</v>
      </c>
      <c r="S229" s="20" t="n">
        <v>-49.444</v>
      </c>
      <c r="T229" s="20" t="n">
        <v>-31.598</v>
      </c>
      <c r="U229" s="20" t="n">
        <v>-58.881</v>
      </c>
      <c r="V229" s="20" t="n">
        <v>-64.943</v>
      </c>
      <c r="W229" s="20" t="n">
        <v>-124.705</v>
      </c>
      <c r="X229" s="20" t="n">
        <v>-144.536</v>
      </c>
    </row>
    <row r="230">
      <c r="A230" s="18" t="inlineStr">
        <is>
          <t>보조금 수취</t>
        </is>
      </c>
      <c r="D230" s="20" t="n">
        <v>29.867</v>
      </c>
      <c r="F230" s="20" t="n">
        <v>8.074</v>
      </c>
      <c r="H230" s="20" t="n">
        <v>25.812</v>
      </c>
      <c r="J230" s="20" t="n">
        <v>10.795</v>
      </c>
      <c r="L230" s="20" t="n">
        <v>30.683</v>
      </c>
      <c r="N230" s="20" t="n">
        <v>6.08</v>
      </c>
      <c r="O230" s="20" t="n">
        <v>5.484</v>
      </c>
      <c r="P230" s="20" t="n">
        <v>13.342</v>
      </c>
      <c r="Q230" s="20" t="n">
        <v>62.825</v>
      </c>
      <c r="R230" s="20" t="n">
        <v>44.016</v>
      </c>
      <c r="S230" s="20" t="n">
        <v>376.666</v>
      </c>
      <c r="T230" s="20" t="n">
        <v>198.455</v>
      </c>
      <c r="U230" s="20" t="n">
        <v>131.088</v>
      </c>
      <c r="V230" s="20" t="n">
        <v>29.867</v>
      </c>
      <c r="W230" s="20" t="n">
        <v>25.812</v>
      </c>
      <c r="X230" s="20" t="n">
        <v>30.683</v>
      </c>
    </row>
    <row r="231">
      <c r="A231" s="18" t="inlineStr">
        <is>
          <t>법인세 납부</t>
        </is>
      </c>
      <c r="D231" s="20" t="n">
        <v>-705.295</v>
      </c>
      <c r="F231" s="20" t="n">
        <v>-515.542</v>
      </c>
      <c r="H231" s="20" t="n">
        <v>-748.708</v>
      </c>
      <c r="J231" s="20" t="n">
        <v>-624.068</v>
      </c>
      <c r="L231" s="20" t="n">
        <v>-1113.586</v>
      </c>
      <c r="N231" s="20" t="n">
        <v>-3200.178</v>
      </c>
      <c r="O231" s="20" t="n">
        <v>-433.495</v>
      </c>
      <c r="P231" s="20" t="n">
        <v>-692.03</v>
      </c>
      <c r="Q231" s="20" t="n">
        <v>-631.973</v>
      </c>
      <c r="R231" s="20" t="n">
        <v>-682.526</v>
      </c>
      <c r="S231" s="20" t="n">
        <v>-909.0890000000001</v>
      </c>
      <c r="T231" s="20" t="n">
        <v>-798.875</v>
      </c>
      <c r="U231" s="20" t="n">
        <v>-625.063</v>
      </c>
      <c r="V231" s="20" t="n">
        <v>-705.295</v>
      </c>
      <c r="W231" s="20" t="n">
        <v>-748.708</v>
      </c>
      <c r="X231" s="20" t="n">
        <v>-1113.586</v>
      </c>
    </row>
    <row r="232">
      <c r="A232" s="18" t="inlineStr">
        <is>
          <t>보험금 수취</t>
        </is>
      </c>
      <c r="F232" s="20" t="n">
        <v>0</v>
      </c>
      <c r="H232" s="20" t="n">
        <v>304.266</v>
      </c>
      <c r="J232" s="20" t="n">
        <v>83.59399999999999</v>
      </c>
      <c r="L232" s="20" t="n">
        <v>198.383</v>
      </c>
      <c r="N232" s="20" t="n">
        <v>800</v>
      </c>
      <c r="W232" s="20" t="n">
        <v>304.266</v>
      </c>
      <c r="X232" s="20" t="n">
        <v>198.383</v>
      </c>
    </row>
    <row r="233">
      <c r="A233" s="9" t="inlineStr">
        <is>
          <t>영업활동 현금흐름</t>
        </is>
      </c>
      <c r="D233" s="12" t="n">
        <v>5737.559</v>
      </c>
      <c r="F233" s="12" t="n">
        <v>4471.449</v>
      </c>
      <c r="H233" s="12" t="n">
        <v>9521.088</v>
      </c>
      <c r="J233" s="12" t="n">
        <v>3941.556</v>
      </c>
      <c r="L233" s="12" t="n">
        <v>6886.469</v>
      </c>
      <c r="N233" s="12" t="n">
        <v>-3570.334</v>
      </c>
      <c r="O233" s="12" t="n">
        <v>7219.467</v>
      </c>
      <c r="P233" s="12" t="n">
        <v>3278.917</v>
      </c>
      <c r="Q233" s="12" t="n">
        <v>3867.115</v>
      </c>
      <c r="R233" s="12" t="n">
        <v>5349.274</v>
      </c>
      <c r="S233" s="12" t="n">
        <v>2616.212</v>
      </c>
      <c r="T233" s="12" t="n">
        <v>208.304</v>
      </c>
      <c r="U233" s="12" t="n">
        <v>2343.04</v>
      </c>
      <c r="V233" s="12" t="n">
        <v>5737.559</v>
      </c>
      <c r="W233" s="12" t="n">
        <v>9521.088</v>
      </c>
      <c r="X233" s="12" t="n">
        <v>6886.469</v>
      </c>
    </row>
    <row r="234">
      <c r="A234" s="18" t="inlineStr">
        <is>
          <t>정기예금 예입</t>
        </is>
      </c>
      <c r="D234" s="20" t="n">
        <v>-20</v>
      </c>
      <c r="F234" s="20" t="n">
        <v>-106.85</v>
      </c>
      <c r="H234" s="20" t="n">
        <v>-95.715</v>
      </c>
      <c r="J234" s="20" t="n">
        <v>-122.28</v>
      </c>
      <c r="L234" s="20" t="n">
        <v>-478.016</v>
      </c>
      <c r="N234" s="20" t="n">
        <v>-962.228</v>
      </c>
      <c r="O234" s="20" t="n">
        <v>-102</v>
      </c>
      <c r="P234" s="20" t="n">
        <v>-94.40000000000001</v>
      </c>
      <c r="Q234" s="20" t="n">
        <v>-200.165</v>
      </c>
      <c r="R234" s="20" t="n">
        <v>-10</v>
      </c>
      <c r="S234" s="20" t="n">
        <v>-70</v>
      </c>
      <c r="T234" s="20" t="n">
        <v>-70</v>
      </c>
      <c r="U234" s="20" t="n">
        <v>-30</v>
      </c>
      <c r="V234" s="20" t="n">
        <v>-20</v>
      </c>
      <c r="W234" s="20" t="n">
        <v>-95.715</v>
      </c>
      <c r="X234" s="20" t="n">
        <v>-478.016</v>
      </c>
    </row>
    <row r="235">
      <c r="A235" s="18" t="inlineStr">
        <is>
          <t>정기예금 인출</t>
        </is>
      </c>
      <c r="D235" s="20" t="n">
        <v>20</v>
      </c>
      <c r="F235" s="20" t="n">
        <v>20</v>
      </c>
      <c r="H235" s="20" t="n">
        <v>20</v>
      </c>
      <c r="J235" s="20" t="n">
        <v>91.70999999999999</v>
      </c>
      <c r="L235" s="20" t="n">
        <v>96.03</v>
      </c>
      <c r="N235" s="20" t="n">
        <v>527.52</v>
      </c>
      <c r="O235" s="20" t="n">
        <v>266.3</v>
      </c>
      <c r="P235" s="20" t="n">
        <v>84.40000000000001</v>
      </c>
      <c r="Q235" s="20" t="n">
        <v>177.765</v>
      </c>
      <c r="R235" s="20" t="n">
        <v>143.28</v>
      </c>
      <c r="S235" s="20" t="n">
        <v>70</v>
      </c>
      <c r="T235" s="20" t="n">
        <v>70</v>
      </c>
      <c r="U235" s="20" t="n">
        <v>80</v>
      </c>
      <c r="V235" s="20" t="n">
        <v>20</v>
      </c>
      <c r="W235" s="20" t="n">
        <v>20</v>
      </c>
      <c r="X235" s="20" t="n">
        <v>96.03</v>
      </c>
    </row>
    <row r="236">
      <c r="A236" s="18" t="inlineStr">
        <is>
          <t>유형자산 취득(설비투자)</t>
        </is>
      </c>
      <c r="D236" s="20" t="n">
        <v>-6701.579</v>
      </c>
      <c r="F236" s="20" t="n">
        <v>-4203.276</v>
      </c>
      <c r="H236" s="20" t="n">
        <v>-8082.954</v>
      </c>
      <c r="J236" s="20" t="n">
        <v>-4667.94</v>
      </c>
      <c r="L236" s="20" t="n">
        <v>-8010.513</v>
      </c>
      <c r="N236" s="20" t="n">
        <v>-3730.241</v>
      </c>
      <c r="O236" s="20" t="n">
        <v>-2956.737</v>
      </c>
      <c r="P236" s="20" t="n">
        <v>-2909.025</v>
      </c>
      <c r="Q236" s="20" t="n">
        <v>-3957.643</v>
      </c>
      <c r="R236" s="20" t="n">
        <v>-3546.671</v>
      </c>
      <c r="S236" s="20" t="n">
        <v>-3269.093</v>
      </c>
      <c r="T236" s="20" t="n">
        <v>-3620.306</v>
      </c>
      <c r="U236" s="20" t="n">
        <v>-3709.896</v>
      </c>
      <c r="V236" s="20" t="n">
        <v>-6701.579</v>
      </c>
      <c r="W236" s="20" t="n">
        <v>-8082.954</v>
      </c>
      <c r="X236" s="20" t="n">
        <v>-8010.513</v>
      </c>
    </row>
    <row r="237">
      <c r="A237" s="18" t="inlineStr">
        <is>
          <t>유형자산 매각</t>
        </is>
      </c>
      <c r="D237" s="20" t="n">
        <v>84.152</v>
      </c>
      <c r="F237" s="20" t="n">
        <v>111.704</v>
      </c>
      <c r="H237" s="20" t="n">
        <v>226.25</v>
      </c>
      <c r="J237" s="20" t="n">
        <v>7.686</v>
      </c>
      <c r="L237" s="20" t="n">
        <v>22.202</v>
      </c>
      <c r="N237" s="20" t="n">
        <v>14.632</v>
      </c>
      <c r="O237" s="20" t="n">
        <v>41.768</v>
      </c>
      <c r="P237" s="20" t="n">
        <v>6.062</v>
      </c>
      <c r="Q237" s="20" t="n">
        <v>208.074</v>
      </c>
      <c r="R237" s="20" t="n">
        <v>7.323</v>
      </c>
      <c r="S237" s="20" t="n">
        <v>71.70699999999999</v>
      </c>
      <c r="T237" s="20" t="n">
        <v>24.763</v>
      </c>
      <c r="U237" s="20" t="n">
        <v>54.234</v>
      </c>
      <c r="V237" s="20" t="n">
        <v>84.152</v>
      </c>
      <c r="W237" s="20" t="n">
        <v>226.25</v>
      </c>
      <c r="X237" s="20" t="n">
        <v>22.202</v>
      </c>
    </row>
    <row r="238">
      <c r="A238" s="18" t="inlineStr">
        <is>
          <t>투자유가증권 매각</t>
        </is>
      </c>
      <c r="H238" s="20" t="n">
        <v>48.973</v>
      </c>
      <c r="L238" s="20" t="n">
        <v>13407.944</v>
      </c>
      <c r="R238" s="20" t="n">
        <v>0</v>
      </c>
      <c r="S238" s="20" t="n">
        <v>999.085</v>
      </c>
      <c r="T238" s="20" t="n">
        <v>3</v>
      </c>
      <c r="W238" s="20" t="n">
        <v>48.973</v>
      </c>
      <c r="X238" s="20" t="n">
        <v>13407.944</v>
      </c>
    </row>
    <row r="239">
      <c r="A239" s="18" t="inlineStr">
        <is>
          <t>무형자산 취득</t>
        </is>
      </c>
      <c r="D239" s="20" t="n">
        <v>-114.94</v>
      </c>
      <c r="F239" s="20" t="n">
        <v>-11.495</v>
      </c>
      <c r="H239" s="20" t="n">
        <v>-120.264</v>
      </c>
      <c r="J239" s="20" t="n">
        <v>-58.864</v>
      </c>
      <c r="L239" s="20" t="n">
        <v>-143.964</v>
      </c>
      <c r="N239" s="20" t="n">
        <v>-43.941</v>
      </c>
      <c r="O239" s="20" t="n">
        <v>-67.137</v>
      </c>
      <c r="P239" s="20" t="n">
        <v>-179.265</v>
      </c>
      <c r="Q239" s="20" t="n">
        <v>-87.95099999999999</v>
      </c>
      <c r="R239" s="20" t="n">
        <v>-56.781</v>
      </c>
      <c r="S239" s="20" t="n">
        <v>-61.153</v>
      </c>
      <c r="T239" s="20" t="n">
        <v>-43.427</v>
      </c>
      <c r="U239" s="20" t="n">
        <v>-34.029</v>
      </c>
      <c r="V239" s="20" t="n">
        <v>-114.94</v>
      </c>
      <c r="W239" s="20" t="n">
        <v>-120.264</v>
      </c>
      <c r="X239" s="20" t="n">
        <v>-143.964</v>
      </c>
    </row>
    <row r="240">
      <c r="A240" s="18" t="inlineStr">
        <is>
          <t>장기선급비용 회수 수입</t>
        </is>
      </c>
      <c r="D240" s="20" t="n">
        <v>62.787</v>
      </c>
      <c r="F240" s="20" t="n">
        <v>110.489</v>
      </c>
      <c r="H240" s="20" t="n">
        <v>159.094</v>
      </c>
      <c r="J240" s="20" t="n">
        <v>26.113</v>
      </c>
      <c r="L240" s="20" t="n">
        <v>25.423</v>
      </c>
      <c r="N240" s="20" t="n">
        <v>0</v>
      </c>
      <c r="V240" s="20" t="n">
        <v>62.787</v>
      </c>
      <c r="W240" s="20" t="n">
        <v>159.094</v>
      </c>
      <c r="X240" s="20" t="n">
        <v>25.423</v>
      </c>
    </row>
    <row r="241">
      <c r="A241" s="18" t="inlineStr">
        <is>
          <t>투자유가증권 취득</t>
        </is>
      </c>
      <c r="D241" s="20" t="n">
        <v>0</v>
      </c>
      <c r="F241" s="20" t="n">
        <v>-19.1</v>
      </c>
      <c r="H241" s="20" t="n">
        <v>-84.944</v>
      </c>
      <c r="J241" s="20" t="n">
        <v>0</v>
      </c>
      <c r="L241" s="20" t="n">
        <v>-36.784</v>
      </c>
      <c r="N241" s="20" t="n">
        <v>-101.753</v>
      </c>
      <c r="P241" s="20" t="n">
        <v>-3.299</v>
      </c>
      <c r="Q241" s="20" t="n">
        <v>-645.264</v>
      </c>
      <c r="R241" s="20" t="n">
        <v>-803.508</v>
      </c>
      <c r="S241" s="20" t="n">
        <v>-1.793</v>
      </c>
      <c r="T241" s="20" t="n">
        <v>0</v>
      </c>
      <c r="V241" s="20" t="n">
        <v>0</v>
      </c>
      <c r="W241" s="20" t="n">
        <v>-84.944</v>
      </c>
      <c r="X241" s="20" t="n">
        <v>-36.784</v>
      </c>
    </row>
    <row r="242">
      <c r="A242" s="18" t="inlineStr">
        <is>
          <t>대여</t>
        </is>
      </c>
      <c r="D242" s="20" t="n">
        <v>-20.37</v>
      </c>
      <c r="F242" s="20" t="n">
        <v>-10.2</v>
      </c>
      <c r="H242" s="20" t="n">
        <v>-141.57</v>
      </c>
      <c r="J242" s="20" t="n">
        <v>-2</v>
      </c>
      <c r="L242" s="20" t="n">
        <v>-2</v>
      </c>
      <c r="N242" s="20" t="n">
        <v>-1.5</v>
      </c>
      <c r="O242" s="20" t="n">
        <v>-37.035</v>
      </c>
      <c r="P242" s="20" t="n">
        <v>-35.97</v>
      </c>
      <c r="Q242" s="20" t="n">
        <v>-19.1</v>
      </c>
      <c r="R242" s="20" t="n">
        <v>-29.016</v>
      </c>
      <c r="S242" s="20" t="n">
        <v>-14.03</v>
      </c>
      <c r="T242" s="20" t="n">
        <v>-18.9</v>
      </c>
      <c r="U242" s="20" t="n">
        <v>-14.3</v>
      </c>
      <c r="V242" s="20" t="n">
        <v>-20.37</v>
      </c>
      <c r="W242" s="20" t="n">
        <v>-141.57</v>
      </c>
      <c r="X242" s="20" t="n">
        <v>-2</v>
      </c>
    </row>
    <row r="243">
      <c r="A243" s="18" t="inlineStr">
        <is>
          <t>대여금 회수</t>
        </is>
      </c>
      <c r="D243" s="20" t="n">
        <v>15.58</v>
      </c>
      <c r="F243" s="20" t="n">
        <v>8.606</v>
      </c>
      <c r="H243" s="20" t="n">
        <v>17.762</v>
      </c>
      <c r="J243" s="20" t="n">
        <v>10.786</v>
      </c>
      <c r="L243" s="20" t="n">
        <v>8.135999999999999</v>
      </c>
      <c r="N243" s="20" t="n">
        <v>6.918</v>
      </c>
      <c r="O243" s="20" t="n">
        <v>35.862</v>
      </c>
      <c r="P243" s="20" t="n">
        <v>38.736</v>
      </c>
      <c r="Q243" s="20" t="n">
        <v>30.003</v>
      </c>
      <c r="R243" s="20" t="n">
        <v>31.749</v>
      </c>
      <c r="S243" s="20" t="n">
        <v>29.514</v>
      </c>
      <c r="T243" s="20" t="n">
        <v>22.525</v>
      </c>
      <c r="U243" s="20" t="n">
        <v>18.31</v>
      </c>
      <c r="V243" s="20" t="n">
        <v>15.58</v>
      </c>
      <c r="W243" s="20" t="n">
        <v>17.762</v>
      </c>
      <c r="X243" s="20" t="n">
        <v>8.135999999999999</v>
      </c>
    </row>
    <row r="244">
      <c r="A244" s="18" t="inlineStr">
        <is>
          <t>기타</t>
        </is>
      </c>
      <c r="D244" s="20" t="n">
        <v>-7.001</v>
      </c>
      <c r="F244" s="20" t="n">
        <v>-4.166</v>
      </c>
      <c r="H244" s="20" t="n">
        <v>-13.81</v>
      </c>
      <c r="J244" s="20" t="n">
        <v>-9.484999999999999</v>
      </c>
      <c r="L244" s="20" t="n">
        <v>22.671</v>
      </c>
      <c r="N244" s="20" t="n">
        <v>-35.409</v>
      </c>
      <c r="O244" s="20" t="n">
        <v>45.895</v>
      </c>
      <c r="P244" s="20" t="n">
        <v>0.758</v>
      </c>
      <c r="Q244" s="20" t="n">
        <v>-18.589</v>
      </c>
      <c r="R244" s="20" t="n">
        <v>-11.559</v>
      </c>
      <c r="S244" s="20" t="n">
        <v>-11.317</v>
      </c>
      <c r="T244" s="20" t="n">
        <v>-167.592</v>
      </c>
      <c r="U244" s="20" t="n">
        <v>15.197</v>
      </c>
      <c r="V244" s="20" t="n">
        <v>-7.001</v>
      </c>
      <c r="W244" s="20" t="n">
        <v>-13.81</v>
      </c>
      <c r="X244" s="20" t="n">
        <v>22.671</v>
      </c>
    </row>
    <row r="245">
      <c r="A245" s="9" t="inlineStr">
        <is>
          <t>투자활동 현금흐름</t>
        </is>
      </c>
      <c r="D245" s="12" t="n">
        <v>-6681.372</v>
      </c>
      <c r="F245" s="12" t="n">
        <v>-4104.288</v>
      </c>
      <c r="H245" s="12" t="n">
        <v>-8067.175</v>
      </c>
      <c r="J245" s="12" t="n">
        <v>-4724.274</v>
      </c>
      <c r="L245" s="12" t="n">
        <v>4911.13</v>
      </c>
      <c r="N245" s="12" t="n">
        <v>-4326.004</v>
      </c>
      <c r="O245" s="12" t="n">
        <v>-2773.084</v>
      </c>
      <c r="P245" s="12" t="n">
        <v>-3092.003</v>
      </c>
      <c r="Q245" s="12" t="n">
        <v>-4512.869</v>
      </c>
      <c r="R245" s="12" t="n">
        <v>-4275.184</v>
      </c>
      <c r="S245" s="12" t="n">
        <v>-2257.08</v>
      </c>
      <c r="T245" s="12" t="n">
        <v>-3802.937</v>
      </c>
      <c r="U245" s="12" t="n">
        <v>-3620.483</v>
      </c>
      <c r="V245" s="12" t="n">
        <v>-6681.372</v>
      </c>
      <c r="W245" s="12" t="n">
        <v>-8067.175</v>
      </c>
      <c r="X245" s="12" t="n">
        <v>4911.13</v>
      </c>
    </row>
    <row r="246">
      <c r="A246" s="18" t="inlineStr">
        <is>
          <t>단기차입금 순증감</t>
        </is>
      </c>
      <c r="D246" s="20" t="n">
        <v>-50</v>
      </c>
      <c r="H246" s="20" t="n">
        <v>0</v>
      </c>
      <c r="L246" s="20" t="n">
        <v>-368.5</v>
      </c>
      <c r="O246" s="20" t="n">
        <v>-180.206</v>
      </c>
      <c r="P246" s="20" t="n">
        <v>-452.868</v>
      </c>
      <c r="Q246" s="20" t="n">
        <v>-214.2</v>
      </c>
      <c r="R246" s="20" t="n">
        <v>-297.663</v>
      </c>
      <c r="S246" s="20" t="n">
        <v>498.93</v>
      </c>
      <c r="T246" s="20" t="n">
        <v>704.02</v>
      </c>
      <c r="U246" s="20" t="n">
        <v>-1321</v>
      </c>
      <c r="V246" s="20" t="n">
        <v>-50</v>
      </c>
      <c r="W246" s="20" t="n">
        <v>0</v>
      </c>
      <c r="X246" s="20" t="n">
        <v>-368.5</v>
      </c>
    </row>
    <row r="247">
      <c r="A247" s="18" t="inlineStr">
        <is>
          <t>장기차입</t>
        </is>
      </c>
      <c r="D247" s="20" t="n">
        <v>17000</v>
      </c>
      <c r="F247" s="20" t="n">
        <v>0</v>
      </c>
      <c r="H247" s="20" t="n">
        <v>114</v>
      </c>
      <c r="J247" s="20" t="n">
        <v>0</v>
      </c>
      <c r="L247" s="20" t="n">
        <v>0</v>
      </c>
      <c r="N247" s="20" t="n">
        <v>3000</v>
      </c>
      <c r="O247" s="20" t="n">
        <v>94.995</v>
      </c>
      <c r="P247" s="20" t="n">
        <v>32.022</v>
      </c>
      <c r="Q247" s="20" t="n">
        <v>2500</v>
      </c>
      <c r="R247" s="20" t="n">
        <v>0</v>
      </c>
      <c r="S247" s="20" t="n">
        <v>2260</v>
      </c>
      <c r="T247" s="20" t="n">
        <v>210</v>
      </c>
      <c r="U247" s="20" t="n">
        <v>6000</v>
      </c>
      <c r="V247" s="20" t="n">
        <v>17000</v>
      </c>
      <c r="W247" s="20" t="n">
        <v>114</v>
      </c>
      <c r="X247" s="20" t="n">
        <v>0</v>
      </c>
    </row>
    <row r="248">
      <c r="A248" s="18" t="inlineStr">
        <is>
          <t>장기차입금 상환</t>
        </is>
      </c>
      <c r="D248" s="20" t="n">
        <v>-4623.463</v>
      </c>
      <c r="F248" s="20" t="n">
        <v>0</v>
      </c>
      <c r="H248" s="20" t="n">
        <v>0</v>
      </c>
      <c r="J248" s="20" t="n">
        <v>-10.68</v>
      </c>
      <c r="L248" s="20" t="n">
        <v>-21.84</v>
      </c>
      <c r="N248" s="20" t="n">
        <v>-3041.4</v>
      </c>
      <c r="O248" s="20" t="n">
        <v>-262.375</v>
      </c>
      <c r="P248" s="20" t="n">
        <v>-186.77</v>
      </c>
      <c r="Q248" s="20" t="n">
        <v>-4554.746</v>
      </c>
      <c r="R248" s="20" t="n">
        <v>-53.142</v>
      </c>
      <c r="S248" s="20" t="n">
        <v>-56.455</v>
      </c>
      <c r="T248" s="20" t="n">
        <v>-462.125</v>
      </c>
      <c r="U248" s="20" t="n">
        <v>-127.957</v>
      </c>
      <c r="V248" s="20" t="n">
        <v>-4623.463</v>
      </c>
      <c r="W248" s="20" t="n">
        <v>0</v>
      </c>
      <c r="X248" s="20" t="n">
        <v>-21.84</v>
      </c>
    </row>
    <row r="249">
      <c r="A249" s="18" t="inlineStr">
        <is>
          <t>세일앤리스백 수입</t>
        </is>
      </c>
      <c r="O249" s="20" t="n">
        <v>244.573</v>
      </c>
      <c r="P249" s="20" t="n">
        <v>117.165</v>
      </c>
      <c r="Q249" s="20" t="n">
        <v>0</v>
      </c>
    </row>
    <row r="250">
      <c r="A250" s="18" t="inlineStr">
        <is>
          <t>금융리스부채 상환</t>
        </is>
      </c>
      <c r="D250" s="20" t="n">
        <v>-133.158</v>
      </c>
      <c r="F250" s="20" t="n">
        <v>-67.82299999999999</v>
      </c>
      <c r="H250" s="20" t="n">
        <v>-128.3</v>
      </c>
      <c r="J250" s="20" t="n">
        <v>-89.44</v>
      </c>
      <c r="L250" s="20" t="n">
        <v>-176.904</v>
      </c>
      <c r="N250" s="20" t="n">
        <v>-132.626</v>
      </c>
      <c r="O250" s="20" t="n">
        <v>-367.521</v>
      </c>
      <c r="P250" s="20" t="n">
        <v>-428.273</v>
      </c>
      <c r="Q250" s="20" t="n">
        <v>-452.764</v>
      </c>
      <c r="R250" s="20" t="n">
        <v>-390.229</v>
      </c>
      <c r="S250" s="20" t="n">
        <v>-199.108</v>
      </c>
      <c r="T250" s="20" t="n">
        <v>-118.352</v>
      </c>
      <c r="U250" s="20" t="n">
        <v>-102.186</v>
      </c>
      <c r="V250" s="20" t="n">
        <v>-133.158</v>
      </c>
      <c r="W250" s="20" t="n">
        <v>-128.3</v>
      </c>
      <c r="X250" s="20" t="n">
        <v>-176.904</v>
      </c>
    </row>
    <row r="251">
      <c r="A251" s="18" t="inlineStr">
        <is>
          <t>비지배주주 납입</t>
        </is>
      </c>
      <c r="O251" s="20" t="n">
        <v>246.3</v>
      </c>
      <c r="P251" s="20" t="n">
        <v>0</v>
      </c>
    </row>
    <row r="252">
      <c r="A252" s="18" t="inlineStr">
        <is>
          <t>자기주식 취득</t>
        </is>
      </c>
      <c r="D252" s="20" t="n">
        <v>-0.736</v>
      </c>
      <c r="F252" s="20" t="n">
        <v>-0.678</v>
      </c>
      <c r="H252" s="20" t="n">
        <v>-0.891</v>
      </c>
      <c r="J252" s="20" t="n">
        <v>-1.796</v>
      </c>
      <c r="L252" s="20" t="n">
        <v>-3.818</v>
      </c>
      <c r="N252" s="20" t="n">
        <v>-1.791</v>
      </c>
      <c r="O252" s="20" t="n">
        <v>-4.27</v>
      </c>
      <c r="P252" s="20" t="n">
        <v>-10.774</v>
      </c>
      <c r="Q252" s="20" t="n">
        <v>-4.642</v>
      </c>
      <c r="R252" s="20" t="n">
        <v>-33.167</v>
      </c>
      <c r="S252" s="20" t="n">
        <v>-60.838</v>
      </c>
      <c r="T252" s="20" t="n">
        <v>-1.029</v>
      </c>
      <c r="U252" s="20" t="n">
        <v>-0.575</v>
      </c>
      <c r="V252" s="20" t="n">
        <v>-0.736</v>
      </c>
      <c r="W252" s="20" t="n">
        <v>-0.891</v>
      </c>
      <c r="X252" s="20" t="n">
        <v>-3.818</v>
      </c>
    </row>
    <row r="253">
      <c r="A253" s="18" t="inlineStr">
        <is>
          <t>자기주식 매각</t>
        </is>
      </c>
      <c r="O253" s="20" t="n">
        <v>0</v>
      </c>
      <c r="P253" s="20" t="n">
        <v>3.237</v>
      </c>
      <c r="Q253" s="20" t="n">
        <v>0</v>
      </c>
      <c r="R253" s="20" t="n">
        <v>0</v>
      </c>
      <c r="S253" s="20" t="n">
        <v>0.059</v>
      </c>
      <c r="T253" s="20" t="n">
        <v>0.089</v>
      </c>
      <c r="U253" s="20" t="n">
        <v>0</v>
      </c>
    </row>
    <row r="254">
      <c r="A254" s="18" t="inlineStr">
        <is>
          <t>배당금 지급</t>
        </is>
      </c>
      <c r="D254" s="20" t="n">
        <v>-253.525</v>
      </c>
      <c r="F254" s="20" t="n">
        <v>-302.203</v>
      </c>
      <c r="H254" s="20" t="n">
        <v>-655.366</v>
      </c>
      <c r="J254" s="20" t="n">
        <v>-655.192</v>
      </c>
      <c r="L254" s="20" t="n">
        <v>-1407.411</v>
      </c>
      <c r="N254" s="20" t="n">
        <v>-756.078</v>
      </c>
      <c r="O254" s="20" t="n">
        <v>-501.565</v>
      </c>
      <c r="P254" s="20" t="n">
        <v>-563.4589999999999</v>
      </c>
      <c r="Q254" s="20" t="n">
        <v>-687.8200000000001</v>
      </c>
      <c r="R254" s="20" t="n">
        <v>-626.7140000000001</v>
      </c>
      <c r="S254" s="20" t="n">
        <v>-624.657</v>
      </c>
      <c r="T254" s="20" t="n">
        <v>-710.768</v>
      </c>
      <c r="U254" s="20" t="n">
        <v>-797.208</v>
      </c>
      <c r="V254" s="20" t="n">
        <v>-253.525</v>
      </c>
      <c r="W254" s="20" t="n">
        <v>-655.366</v>
      </c>
      <c r="X254" s="20" t="n">
        <v>-1407.411</v>
      </c>
    </row>
    <row r="255">
      <c r="A255" s="18" t="inlineStr">
        <is>
          <t>비지배주주 배당금 지급</t>
        </is>
      </c>
      <c r="D255" s="20" t="n">
        <v>-223.495</v>
      </c>
      <c r="F255" s="20" t="n">
        <v>-118.443</v>
      </c>
      <c r="H255" s="20" t="n">
        <v>-230.45</v>
      </c>
      <c r="J255" s="20" t="n">
        <v>-59.571</v>
      </c>
      <c r="L255" s="20" t="n">
        <v>-168.258</v>
      </c>
      <c r="N255" s="20" t="n">
        <v>-53.269</v>
      </c>
      <c r="O255" s="20" t="n">
        <v>-42.147</v>
      </c>
      <c r="P255" s="20" t="n">
        <v>-118.872</v>
      </c>
      <c r="Q255" s="20" t="n">
        <v>-130.364</v>
      </c>
      <c r="R255" s="20" t="n">
        <v>-162.665</v>
      </c>
      <c r="S255" s="20" t="n">
        <v>-150.306</v>
      </c>
      <c r="T255" s="20" t="n">
        <v>-257.707</v>
      </c>
      <c r="U255" s="20" t="n">
        <v>-198.937</v>
      </c>
      <c r="V255" s="20" t="n">
        <v>-223.495</v>
      </c>
      <c r="W255" s="20" t="n">
        <v>-230.45</v>
      </c>
      <c r="X255" s="20" t="n">
        <v>-168.258</v>
      </c>
    </row>
    <row r="256">
      <c r="A256" s="18" t="inlineStr">
        <is>
          <t>기타</t>
        </is>
      </c>
      <c r="O256" s="20" t="n">
        <v>-0.005</v>
      </c>
      <c r="P256" s="20" t="n">
        <v>0.002</v>
      </c>
    </row>
    <row r="257">
      <c r="A257" s="18" t="inlineStr">
        <is>
          <t>연결범위 변경 없는 자회사 주식 취득</t>
        </is>
      </c>
      <c r="D257" s="20" t="n">
        <v>0</v>
      </c>
      <c r="P257" s="20" t="n">
        <v>0</v>
      </c>
      <c r="Q257" s="20" t="n">
        <v>-231.991</v>
      </c>
      <c r="R257" s="20" t="n">
        <v>0</v>
      </c>
      <c r="T257" s="20" t="n">
        <v>0</v>
      </c>
      <c r="U257" s="20" t="n">
        <v>-75.032</v>
      </c>
      <c r="V257" s="20" t="n">
        <v>0</v>
      </c>
    </row>
    <row r="258">
      <c r="A258" s="9" t="inlineStr">
        <is>
          <t>재무활동 현금흐름</t>
        </is>
      </c>
      <c r="D258" s="12" t="n">
        <v>11715.62</v>
      </c>
      <c r="F258" s="12" t="n">
        <v>-489.147</v>
      </c>
      <c r="H258" s="12" t="n">
        <v>-901.008</v>
      </c>
      <c r="J258" s="12" t="n">
        <v>-816.681</v>
      </c>
      <c r="L258" s="12" t="n">
        <v>-2146.732</v>
      </c>
      <c r="N258" s="12" t="n">
        <v>-985.164</v>
      </c>
      <c r="O258" s="12" t="n">
        <v>-772.223</v>
      </c>
      <c r="P258" s="12" t="n">
        <v>-1608.594</v>
      </c>
      <c r="Q258" s="12" t="n">
        <v>-3776.53</v>
      </c>
      <c r="R258" s="12" t="n">
        <v>-1563.582</v>
      </c>
      <c r="S258" s="12" t="n">
        <v>1667.624</v>
      </c>
      <c r="T258" s="12" t="n">
        <v>-635.873</v>
      </c>
      <c r="U258" s="12" t="n">
        <v>3377.103</v>
      </c>
      <c r="V258" s="12" t="n">
        <v>11715.62</v>
      </c>
      <c r="W258" s="12" t="n">
        <v>-901.008</v>
      </c>
      <c r="X258" s="12" t="n">
        <v>-2146.732</v>
      </c>
    </row>
    <row r="259">
      <c r="A259" s="18" t="inlineStr">
        <is>
          <t>현금성자산 환산차이</t>
        </is>
      </c>
      <c r="D259" s="20" t="n">
        <v>344.718</v>
      </c>
      <c r="F259" s="20" t="n">
        <v>-154.681</v>
      </c>
      <c r="H259" s="20" t="n">
        <v>-95.745</v>
      </c>
      <c r="J259" s="20" t="n">
        <v>91.515</v>
      </c>
      <c r="L259" s="20" t="n">
        <v>540.153</v>
      </c>
      <c r="N259" s="20" t="n">
        <v>-148.206</v>
      </c>
      <c r="O259" s="20" t="n">
        <v>-27.176</v>
      </c>
      <c r="P259" s="20" t="n">
        <v>-22.958</v>
      </c>
      <c r="Q259" s="20" t="n">
        <v>-0.032</v>
      </c>
      <c r="R259" s="20" t="n">
        <v>-154.441</v>
      </c>
      <c r="S259" s="20" t="n">
        <v>244.726</v>
      </c>
      <c r="T259" s="20" t="n">
        <v>349.048</v>
      </c>
      <c r="U259" s="20" t="n">
        <v>87.02500000000001</v>
      </c>
      <c r="V259" s="20" t="n">
        <v>344.718</v>
      </c>
      <c r="W259" s="20" t="n">
        <v>-95.745</v>
      </c>
      <c r="X259" s="20" t="n">
        <v>540.153</v>
      </c>
    </row>
    <row r="260">
      <c r="A260" s="18" t="inlineStr">
        <is>
          <t>현금성자산 증감</t>
        </is>
      </c>
      <c r="D260" s="20" t="n">
        <v>11116.525</v>
      </c>
      <c r="F260" s="20" t="n">
        <v>-276.667</v>
      </c>
      <c r="H260" s="20" t="n">
        <v>457.158</v>
      </c>
      <c r="J260" s="20" t="n">
        <v>-1507.883</v>
      </c>
      <c r="L260" s="20" t="n">
        <v>10191.02</v>
      </c>
      <c r="N260" s="20" t="n">
        <v>-9029.709999999999</v>
      </c>
      <c r="O260" s="20" t="n">
        <v>3646.981</v>
      </c>
      <c r="P260" s="20" t="n">
        <v>-1444.639</v>
      </c>
      <c r="Q260" s="20" t="n">
        <v>-4422.316</v>
      </c>
      <c r="R260" s="20" t="n">
        <v>-643.933</v>
      </c>
      <c r="S260" s="20" t="n">
        <v>2271.482</v>
      </c>
      <c r="T260" s="20" t="n">
        <v>-3881.458</v>
      </c>
      <c r="U260" s="20" t="n">
        <v>2186.686</v>
      </c>
      <c r="V260" s="20" t="n">
        <v>11116.525</v>
      </c>
      <c r="W260" s="20" t="n">
        <v>457.158</v>
      </c>
      <c r="X260" s="20" t="n">
        <v>10191.02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5992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53468.316</v>
      </c>
      <c r="D5" s="12" t="n">
        <v>66289.14</v>
      </c>
      <c r="E5" s="12" t="n">
        <v>65868.37300000001</v>
      </c>
      <c r="F5" s="12" t="n">
        <v>60308.064</v>
      </c>
      <c r="G5" s="12" t="n">
        <v>59058.628</v>
      </c>
      <c r="H5" s="11" t="n">
        <v>39581.812</v>
      </c>
      <c r="I5" s="12" t="n">
        <v>45473.415</v>
      </c>
      <c r="J5" s="12" t="n">
        <v>56123.131</v>
      </c>
      <c r="K5" s="12" t="n">
        <v>55983.645</v>
      </c>
      <c r="L5" s="12" t="n">
        <v>65868.37300000001</v>
      </c>
    </row>
    <row r="6">
      <c r="A6" s="18" t="inlineStr">
        <is>
          <t>현금및현금성자산</t>
        </is>
      </c>
      <c r="B6" s="10" t="n"/>
      <c r="C6" s="19" t="n">
        <v>20177.793</v>
      </c>
      <c r="D6" s="20" t="n">
        <v>32580.266</v>
      </c>
      <c r="E6" s="20" t="n">
        <v>32268.738</v>
      </c>
      <c r="F6" s="20" t="n">
        <v>26122.722</v>
      </c>
      <c r="G6" s="20" t="n">
        <v>23678.005</v>
      </c>
      <c r="H6" s="19" t="n">
        <v>7869.907</v>
      </c>
      <c r="I6" s="20" t="n">
        <v>10006.593</v>
      </c>
      <c r="J6" s="20" t="n">
        <v>21123.118</v>
      </c>
      <c r="K6" s="20" t="n">
        <v>21653.337</v>
      </c>
      <c r="L6" s="20" t="n">
        <v>32268.738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14924.604</v>
      </c>
      <c r="D8" s="20" t="n">
        <v>14466.669</v>
      </c>
      <c r="E8" s="20" t="n">
        <v>14619.603</v>
      </c>
      <c r="F8" s="20" t="n">
        <v>14995.672</v>
      </c>
      <c r="G8" s="20" t="n">
        <v>15007.218</v>
      </c>
      <c r="H8" s="19" t="n">
        <v>14048.426</v>
      </c>
      <c r="I8" s="20" t="n">
        <v>15840.048</v>
      </c>
      <c r="J8" s="20" t="n">
        <v>15345.922</v>
      </c>
      <c r="K8" s="20" t="n">
        <v>16005.619</v>
      </c>
      <c r="L8" s="20" t="n">
        <v>14619.603</v>
      </c>
    </row>
    <row r="9">
      <c r="A9" s="18" t="inlineStr">
        <is>
          <t>재고자산</t>
        </is>
      </c>
      <c r="B9" s="10" t="n"/>
      <c r="C9" s="19" t="n">
        <v>13955.195</v>
      </c>
      <c r="D9" s="20" t="n">
        <v>14138.726</v>
      </c>
      <c r="E9" s="20" t="n">
        <v>14425.129</v>
      </c>
      <c r="F9" s="20" t="n">
        <v>14829.629</v>
      </c>
      <c r="G9" s="20" t="n">
        <v>14585.396</v>
      </c>
      <c r="H9" s="19" t="n">
        <v>13428.05</v>
      </c>
      <c r="I9" s="20" t="n">
        <v>14329.5</v>
      </c>
      <c r="J9" s="20" t="n">
        <v>15005.34</v>
      </c>
      <c r="K9" s="20" t="n">
        <v>13966.796</v>
      </c>
      <c r="L9" s="20" t="n">
        <v>14425.129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91484.024</v>
      </c>
      <c r="D11" s="12" t="n">
        <v>83770.72100000001</v>
      </c>
      <c r="E11" s="12" t="n">
        <v>89040.197</v>
      </c>
      <c r="F11" s="12" t="n">
        <v>87647.033</v>
      </c>
      <c r="G11" s="12" t="n">
        <v>89387.76700000001</v>
      </c>
      <c r="H11" s="11" t="n">
        <v>64971.401</v>
      </c>
      <c r="I11" s="12" t="n">
        <v>61641.904</v>
      </c>
      <c r="J11" s="12" t="n">
        <v>97449.76300000001</v>
      </c>
      <c r="K11" s="12" t="n">
        <v>86923.906</v>
      </c>
      <c r="L11" s="12" t="n">
        <v>89040.197</v>
      </c>
    </row>
    <row r="12">
      <c r="A12" s="18" t="inlineStr">
        <is>
          <t>유형자산</t>
        </is>
      </c>
      <c r="B12" s="10" t="n"/>
      <c r="C12" s="19" t="n">
        <v>39740.623</v>
      </c>
      <c r="D12" s="20" t="n">
        <v>41056.009</v>
      </c>
      <c r="E12" s="20" t="n">
        <v>42298.527</v>
      </c>
      <c r="F12" s="20" t="n">
        <v>41854.007</v>
      </c>
      <c r="G12" s="20" t="n">
        <v>41447.033</v>
      </c>
      <c r="H12" s="19" t="n">
        <v>30112.539</v>
      </c>
      <c r="I12" s="20" t="n">
        <v>30399.256</v>
      </c>
      <c r="J12" s="20" t="n">
        <v>35350.077</v>
      </c>
      <c r="K12" s="20" t="n">
        <v>39552.801</v>
      </c>
      <c r="L12" s="20" t="n">
        <v>42298.527</v>
      </c>
    </row>
    <row r="13">
      <c r="A13" s="18" t="inlineStr">
        <is>
          <t>무형자산</t>
        </is>
      </c>
      <c r="B13" s="10" t="n"/>
      <c r="C13" s="19" t="n">
        <v>281.277</v>
      </c>
      <c r="D13" s="20" t="n">
        <v>295.016</v>
      </c>
      <c r="E13" s="20" t="n">
        <v>326.474</v>
      </c>
      <c r="F13" s="20" t="n">
        <v>318.76</v>
      </c>
      <c r="G13" s="20" t="n">
        <v>325.007</v>
      </c>
      <c r="H13" s="19" t="n">
        <v>209.455</v>
      </c>
      <c r="I13" s="20" t="n">
        <v>165.742</v>
      </c>
      <c r="J13" s="20" t="n">
        <v>204.136</v>
      </c>
      <c r="K13" s="20" t="n">
        <v>258.905</v>
      </c>
      <c r="L13" s="20" t="n">
        <v>326.474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144952.34</v>
      </c>
      <c r="D16" s="12" t="n">
        <v>150059.862</v>
      </c>
      <c r="E16" s="12" t="n">
        <v>154908.571</v>
      </c>
      <c r="F16" s="12" t="n">
        <v>147955.098</v>
      </c>
      <c r="G16" s="12" t="n">
        <v>148446.396</v>
      </c>
      <c r="H16" s="11" t="n">
        <v>104553.214</v>
      </c>
      <c r="I16" s="12" t="n">
        <v>107115.32</v>
      </c>
      <c r="J16" s="12" t="n">
        <v>153572.894</v>
      </c>
      <c r="K16" s="12" t="n">
        <v>142907.552</v>
      </c>
      <c r="L16" s="12" t="n">
        <v>154908.571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25957.231</v>
      </c>
      <c r="D18" s="12" t="n">
        <v>29569.543</v>
      </c>
      <c r="E18" s="12" t="n">
        <v>28438.106</v>
      </c>
      <c r="F18" s="12" t="n">
        <v>19962.396</v>
      </c>
      <c r="G18" s="12" t="n">
        <v>22011.229</v>
      </c>
      <c r="H18" s="11" t="n">
        <v>18370.661</v>
      </c>
      <c r="I18" s="12" t="n">
        <v>23707.493</v>
      </c>
      <c r="J18" s="12" t="n">
        <v>20099.707</v>
      </c>
      <c r="K18" s="12" t="n">
        <v>25694.797</v>
      </c>
      <c r="L18" s="12" t="n">
        <v>28438.106</v>
      </c>
    </row>
    <row r="19">
      <c r="A19" s="18" t="inlineStr">
        <is>
          <t>매입채무</t>
        </is>
      </c>
      <c r="B19" s="10" t="n"/>
      <c r="C19" s="19" t="n">
        <v>12400.717</v>
      </c>
      <c r="D19" s="20" t="n">
        <v>12090.241</v>
      </c>
      <c r="E19" s="20" t="n">
        <v>11135.072</v>
      </c>
      <c r="F19" s="20" t="n">
        <v>10889.798</v>
      </c>
      <c r="G19" s="20" t="n">
        <v>10957.76</v>
      </c>
      <c r="H19" s="19" t="n">
        <v>9938.722</v>
      </c>
      <c r="I19" s="20" t="n">
        <v>11791.051</v>
      </c>
      <c r="J19" s="20" t="n">
        <v>11124.427</v>
      </c>
      <c r="K19" s="20" t="n">
        <v>12435.061</v>
      </c>
      <c r="L19" s="20" t="n">
        <v>11135.072</v>
      </c>
    </row>
    <row r="20">
      <c r="A20" s="18" t="inlineStr">
        <is>
          <t>단기차입금</t>
        </is>
      </c>
      <c r="B20" s="10" t="n"/>
      <c r="C20" s="19" t="n">
        <v>665</v>
      </c>
      <c r="D20" s="20" t="n">
        <v>350</v>
      </c>
      <c r="E20" s="20" t="n">
        <v>300</v>
      </c>
      <c r="F20" s="20" t="n">
        <v>300</v>
      </c>
      <c r="G20" s="20" t="n">
        <v>300</v>
      </c>
      <c r="H20" s="19" t="n">
        <v>1948.95</v>
      </c>
      <c r="I20" s="20" t="n">
        <v>711.5</v>
      </c>
      <c r="J20" s="20" t="n">
        <v>686</v>
      </c>
      <c r="K20" s="20" t="n">
        <v>668.5</v>
      </c>
      <c r="L20" s="20" t="n">
        <v>300</v>
      </c>
    </row>
    <row r="21">
      <c r="A21" s="18" t="inlineStr">
        <is>
          <t>유동성장기부채</t>
        </is>
      </c>
      <c r="B21" s="10" t="n"/>
      <c r="C21" s="19" t="n">
        <v>3021.6</v>
      </c>
      <c r="D21" s="20" t="n">
        <v>3022.56</v>
      </c>
      <c r="E21" s="20" t="n">
        <v>3022.56</v>
      </c>
      <c r="F21" s="20" t="n">
        <v>21.84</v>
      </c>
      <c r="G21" s="20" t="n">
        <v>3040.48</v>
      </c>
      <c r="H21" s="19" t="n">
        <v>114.621</v>
      </c>
      <c r="I21" s="20" t="n">
        <v>4550.963</v>
      </c>
      <c r="J21" s="20" t="n">
        <v>0</v>
      </c>
      <c r="K21" s="20" t="n">
        <v>21.84</v>
      </c>
      <c r="L21" s="20" t="n">
        <v>3022.56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34494.66</v>
      </c>
      <c r="D23" s="12" t="n">
        <v>31806.213</v>
      </c>
      <c r="E23" s="12" t="n">
        <v>34235.37</v>
      </c>
      <c r="F23" s="12" t="n">
        <v>36874.977</v>
      </c>
      <c r="G23" s="12" t="n">
        <v>34274.033</v>
      </c>
      <c r="H23" s="11" t="n">
        <v>14757.444</v>
      </c>
      <c r="I23" s="12" t="n">
        <v>14842.407</v>
      </c>
      <c r="J23" s="12" t="n">
        <v>41077.435</v>
      </c>
      <c r="K23" s="12" t="n">
        <v>36167.204</v>
      </c>
      <c r="L23" s="12" t="n">
        <v>34235.37</v>
      </c>
    </row>
    <row r="24">
      <c r="A24" s="18" t="inlineStr">
        <is>
          <t>장기차입금</t>
        </is>
      </c>
      <c r="B24" s="10" t="n"/>
      <c r="C24" s="19" t="n">
        <v>20075.6</v>
      </c>
      <c r="D24" s="20" t="n">
        <v>20078.96</v>
      </c>
      <c r="E24" s="20" t="n">
        <v>20067.68</v>
      </c>
      <c r="F24" s="20" t="n">
        <v>23065.52</v>
      </c>
      <c r="G24" s="20" t="n">
        <v>20003.52</v>
      </c>
      <c r="H24" s="19" t="n">
        <v>4636.799</v>
      </c>
      <c r="I24" s="20" t="n">
        <v>6072.5</v>
      </c>
      <c r="J24" s="20" t="n">
        <v>23000</v>
      </c>
      <c r="K24" s="20" t="n">
        <v>23087.36</v>
      </c>
      <c r="L24" s="20" t="n">
        <v>20067.68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60451.891</v>
      </c>
      <c r="D27" s="12" t="n">
        <v>61375.757</v>
      </c>
      <c r="E27" s="12" t="n">
        <v>62673.476</v>
      </c>
      <c r="F27" s="12" t="n">
        <v>56837.374</v>
      </c>
      <c r="G27" s="12" t="n">
        <v>56285.263</v>
      </c>
      <c r="H27" s="11" t="n">
        <v>33128.106</v>
      </c>
      <c r="I27" s="12" t="n">
        <v>38549.901</v>
      </c>
      <c r="J27" s="12" t="n">
        <v>61177.142</v>
      </c>
      <c r="K27" s="12" t="n">
        <v>61862.001</v>
      </c>
      <c r="L27" s="12" t="n">
        <v>62673.476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80134.05499999999</v>
      </c>
      <c r="D31" s="12" t="n">
        <v>84215.114</v>
      </c>
      <c r="E31" s="12" t="n">
        <v>87733.613</v>
      </c>
      <c r="F31" s="12" t="n">
        <v>86566.421</v>
      </c>
      <c r="G31" s="12" t="n">
        <v>87619.236</v>
      </c>
      <c r="H31" s="11" t="n">
        <v>67103.091</v>
      </c>
      <c r="I31" s="12" t="n">
        <v>64236.884</v>
      </c>
      <c r="J31" s="12" t="n">
        <v>87912.42</v>
      </c>
      <c r="K31" s="12" t="n">
        <v>76750.00900000001</v>
      </c>
      <c r="L31" s="12" t="n">
        <v>87733.613</v>
      </c>
    </row>
    <row r="32">
      <c r="A32" s="18" t="inlineStr">
        <is>
          <t>자본금</t>
        </is>
      </c>
      <c r="B32" s="10" t="n"/>
      <c r="C32" s="19" t="n">
        <v>10837.208</v>
      </c>
      <c r="D32" s="20" t="n">
        <v>10837.208</v>
      </c>
      <c r="E32" s="20" t="n">
        <v>10837.208</v>
      </c>
      <c r="F32" s="20" t="n">
        <v>10837.208</v>
      </c>
      <c r="G32" s="20" t="n">
        <v>10837.208</v>
      </c>
      <c r="H32" s="19" t="n">
        <v>10837.208</v>
      </c>
      <c r="I32" s="20" t="n">
        <v>10837.208</v>
      </c>
      <c r="J32" s="20" t="n">
        <v>10837.208</v>
      </c>
      <c r="K32" s="20" t="n">
        <v>10837.208</v>
      </c>
      <c r="L32" s="20" t="n">
        <v>10837.208</v>
      </c>
    </row>
    <row r="33">
      <c r="A33" s="18" t="inlineStr">
        <is>
          <t>이익잉여금</t>
        </is>
      </c>
      <c r="B33" s="10" t="n"/>
      <c r="C33" s="19" t="n">
        <v>30645.458</v>
      </c>
      <c r="D33" s="20" t="n">
        <v>40047.628</v>
      </c>
      <c r="E33" s="20" t="n">
        <v>40926.273</v>
      </c>
      <c r="F33" s="20" t="n">
        <v>40578.133</v>
      </c>
      <c r="G33" s="20" t="n">
        <v>40945.719</v>
      </c>
      <c r="H33" s="19" t="n">
        <v>27482.888</v>
      </c>
      <c r="I33" s="20" t="n">
        <v>27031.972</v>
      </c>
      <c r="J33" s="20" t="n">
        <v>28770.197</v>
      </c>
      <c r="K33" s="20" t="n">
        <v>29962.755</v>
      </c>
      <c r="L33" s="20" t="n">
        <v>40926.273</v>
      </c>
    </row>
    <row r="34">
      <c r="A34" s="18" t="inlineStr">
        <is>
          <t>비지배지분</t>
        </is>
      </c>
      <c r="B34" s="10" t="n"/>
      <c r="C34" s="19" t="n">
        <v>4366.393</v>
      </c>
      <c r="D34" s="20" t="n">
        <v>4468.99</v>
      </c>
      <c r="E34" s="20" t="n">
        <v>4501.481</v>
      </c>
      <c r="F34" s="20" t="n">
        <v>4551.303</v>
      </c>
      <c r="G34" s="20" t="n">
        <v>4541.897</v>
      </c>
      <c r="H34" s="19" t="n">
        <v>4322.016</v>
      </c>
      <c r="I34" s="20" t="n">
        <v>4328.535</v>
      </c>
      <c r="J34" s="20" t="n">
        <v>4483.332</v>
      </c>
      <c r="K34" s="20" t="n">
        <v>4295.541</v>
      </c>
      <c r="L34" s="20" t="n">
        <v>4501.481</v>
      </c>
    </row>
    <row r="35">
      <c r="A35" s="9" t="inlineStr">
        <is>
          <t>자본총계</t>
        </is>
      </c>
      <c r="B35" s="10" t="n"/>
      <c r="C35" s="11" t="n">
        <v>84500.448</v>
      </c>
      <c r="D35" s="12" t="n">
        <v>88684.10400000001</v>
      </c>
      <c r="E35" s="12" t="n">
        <v>92235.094</v>
      </c>
      <c r="F35" s="12" t="n">
        <v>91117.724</v>
      </c>
      <c r="G35" s="12" t="n">
        <v>92161.133</v>
      </c>
      <c r="H35" s="11" t="n">
        <v>71425.107</v>
      </c>
      <c r="I35" s="12" t="n">
        <v>68565.41899999999</v>
      </c>
      <c r="J35" s="12" t="n">
        <v>92395.75199999999</v>
      </c>
      <c r="K35" s="12" t="n">
        <v>81045.55</v>
      </c>
      <c r="L35" s="12" t="n">
        <v>92235.094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8991.195</v>
      </c>
      <c r="D37" s="12" t="n"/>
      <c r="E37" s="12" t="n">
        <v>6886.469</v>
      </c>
      <c r="F37" s="12" t="n"/>
      <c r="G37" s="12" t="n">
        <v>-625.421</v>
      </c>
      <c r="H37" s="11" t="n">
        <v>208.304</v>
      </c>
      <c r="I37" s="12" t="n">
        <v>2343.04</v>
      </c>
      <c r="J37" s="12" t="n">
        <v>5737.559</v>
      </c>
      <c r="K37" s="12" t="n">
        <v>9521.088</v>
      </c>
      <c r="L37" s="12" t="n">
        <v>6886.469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8715.251</v>
      </c>
      <c r="D38" s="20" t="n"/>
      <c r="E38" s="20" t="n">
        <v>8154.477</v>
      </c>
      <c r="F38" s="20" t="n"/>
      <c r="G38" s="20" t="n">
        <v>7201.855</v>
      </c>
      <c r="H38" s="19" t="n">
        <v>3663.733</v>
      </c>
      <c r="I38" s="20" t="n">
        <v>3743.925</v>
      </c>
      <c r="J38" s="20" t="n">
        <v>6816.519</v>
      </c>
      <c r="K38" s="20" t="n">
        <v>8203.218000000001</v>
      </c>
      <c r="L38" s="20" t="n">
        <v>8154.477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1008.355</v>
      </c>
      <c r="D40" s="20" t="n"/>
      <c r="E40" s="20" t="n">
        <v>1407.411</v>
      </c>
      <c r="F40" s="20" t="n"/>
      <c r="G40" s="20" t="n">
        <v>1508.297</v>
      </c>
      <c r="H40" s="19" t="n">
        <v>710.768</v>
      </c>
      <c r="I40" s="20" t="n">
        <v>797.208</v>
      </c>
      <c r="J40" s="20" t="n">
        <v>253.525</v>
      </c>
      <c r="K40" s="20" t="n">
        <v>655.366</v>
      </c>
      <c r="L40" s="20" t="n">
        <v>1407.411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IFERROR(IF((IF(COUNT('연간'!G58:J58)&lt;4,"",SUM('연간'!G58:J58)))&lt;=0,"적자",C28/(IF(COUNT('연간'!G58:J58)&lt;4,"",SUM('연간'!G58:J58)))),"")</f>
        <v/>
      </c>
      <c r="D49" s="47">
        <f>IFERROR(IF((IF(COUNT('연간'!H58:K58)&lt;4,"",SUM('연간'!H58:K58)))&lt;=0,"적자",D28/(IF(COUNT('연간'!H58:K58)&lt;4,"",SUM('연간'!H58:K58)))),"")</f>
        <v/>
      </c>
      <c r="E49" s="47">
        <f>IFERROR(IF((IF(COUNT('연간'!I58:L58)&lt;4,"",SUM('연간'!I58:L58)))&lt;=0,"적자",E28/(IF(COUNT('연간'!I58:L58)&lt;4,"",SUM('연간'!I58:L58)))),"")</f>
        <v/>
      </c>
      <c r="F49" s="47">
        <f>IFERROR(IF((IF(COUNT('연간'!J58:M58)&lt;4,"",SUM('연간'!J58:M58)))&lt;=0,"적자",F28/(IF(COUNT('연간'!J58:M58)&lt;4,"",SUM('연간'!J58:M58)))),"")</f>
        <v/>
      </c>
      <c r="G49" s="47">
        <f>IFERROR(IF((IF(COUNT('연간'!K58:N58)&lt;4,"",SUM('연간'!K58:N58)))&lt;=0,"적자",G28/(IF(COUNT('연간'!K58:N58)&lt;4,"",SUM('연간'!K58:N58)))),"")</f>
        <v/>
      </c>
      <c r="H49" s="46">
        <f>IFERROR(IF(('연간'!T58)&lt;=0,"적자",H28/('연간'!T58)),"")</f>
        <v/>
      </c>
      <c r="I49" s="47">
        <f>IFERROR(IF(('연간'!U58)&lt;=0,"적자",I28/('연간'!U58)),"")</f>
        <v/>
      </c>
      <c r="J49" s="47">
        <f>IFERROR(IF(('연간'!V58)&lt;=0,"적자",J28/('연간'!V58)),"")</f>
        <v/>
      </c>
      <c r="K49" s="47">
        <f>IFERROR(IF(('연간'!W58)&lt;=0,"적자",K28/('연간'!W58)),"")</f>
        <v/>
      </c>
      <c r="L49" s="47">
        <f>IFERROR(IF(('연간'!X58)&lt;=0,"적자",L28/('연간'!X58)),"")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IFERROR((IF(COUNT('연간'!G58:J58)&lt;4,"",SUM('연간'!G58:J58)))/C31,"")</f>
        <v/>
      </c>
      <c r="D51" s="36">
        <f>IFERROR((IF(COUNT('연간'!H58:K58)&lt;4,"",SUM('연간'!H58:K58)))/D31,"")</f>
        <v/>
      </c>
      <c r="E51" s="36">
        <f>IFERROR((IF(COUNT('연간'!I58:L58)&lt;4,"",SUM('연간'!I58:L58)))/E31,"")</f>
        <v/>
      </c>
      <c r="F51" s="36">
        <f>IFERROR((IF(COUNT('연간'!J58:M58)&lt;4,"",SUM('연간'!J58:M58)))/F31,"")</f>
        <v/>
      </c>
      <c r="G51" s="36">
        <f>IFERROR((IF(COUNT('연간'!K58:N58)&lt;4,"",SUM('연간'!K58:N58)))/G31,"")</f>
        <v/>
      </c>
      <c r="H51" s="35">
        <f>IFERROR(('연간'!T58)/H31,"")</f>
        <v/>
      </c>
      <c r="I51" s="36">
        <f>IFERROR(('연간'!U58)/I31,"")</f>
        <v/>
      </c>
      <c r="J51" s="36">
        <f>IFERROR(('연간'!V58)/J31,"")</f>
        <v/>
      </c>
      <c r="K51" s="36">
        <f>IFERROR(('연간'!W58)/K31,"")</f>
        <v/>
      </c>
      <c r="L51" s="36">
        <f>IFERROR(('연간'!X58)/L31,"")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IFERROR((IF(COUNT('연간'!G56:J56)&lt;4,"",SUM('연간'!G56:J56)))/C16,"")</f>
        <v/>
      </c>
      <c r="D52" s="36">
        <f>IFERROR((IF(COUNT('연간'!H56:K56)&lt;4,"",SUM('연간'!H56:K56)))/D16,"")</f>
        <v/>
      </c>
      <c r="E52" s="36">
        <f>IFERROR((IF(COUNT('연간'!I56:L56)&lt;4,"",SUM('연간'!I56:L56)))/E16,"")</f>
        <v/>
      </c>
      <c r="F52" s="36">
        <f>IFERROR((IF(COUNT('연간'!J56:M56)&lt;4,"",SUM('연간'!J56:M56)))/F16,"")</f>
        <v/>
      </c>
      <c r="G52" s="36">
        <f>IFERROR((IF(COUNT('연간'!K56:N56)&lt;4,"",SUM('연간'!K56:N56)))/G16,"")</f>
        <v/>
      </c>
      <c r="H52" s="35">
        <f>IFERROR(('연간'!T56)/H16,"")</f>
        <v/>
      </c>
      <c r="I52" s="36">
        <f>IFERROR(('연간'!U56)/I16,"")</f>
        <v/>
      </c>
      <c r="J52" s="36">
        <f>IFERROR(('연간'!V56)/J16,"")</f>
        <v/>
      </c>
      <c r="K52" s="36">
        <f>IFERROR(('연간'!W56)/K16,"")</f>
        <v/>
      </c>
      <c r="L52" s="36">
        <f>IFERROR(('연간'!X56)/L16,"")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IFERROR((IF(COUNT('연간'!G22:J22)&lt;4,"",SUM('연간'!G22:J22)))/(IF(COUNT('연간'!G4:J4)&lt;4,"",SUM('연간'!G4:J4))),"")</f>
        <v/>
      </c>
      <c r="D54" s="36">
        <f>IFERROR((IF(COUNT('연간'!H22:K22)&lt;4,"",SUM('연간'!H22:K22)))/(IF(COUNT('연간'!H4:K4)&lt;4,"",SUM('연간'!H4:K4))),"")</f>
        <v/>
      </c>
      <c r="E54" s="36">
        <f>IFERROR((IF(COUNT('연간'!I22:L22)&lt;4,"",SUM('연간'!I22:L22)))/(IF(COUNT('연간'!I4:L4)&lt;4,"",SUM('연간'!I4:L4))),"")</f>
        <v/>
      </c>
      <c r="F54" s="36">
        <f>IFERROR((IF(COUNT('연간'!J22:M22)&lt;4,"",SUM('연간'!J22:M22)))/(IF(COUNT('연간'!J4:M4)&lt;4,"",SUM('연간'!J4:M4))),"")</f>
        <v/>
      </c>
      <c r="G54" s="36">
        <f>IFERROR((IF(COUNT('연간'!K22:N22)&lt;4,"",SUM('연간'!K22:N22)))/(IF(COUNT('연간'!K4:N4)&lt;4,"",SUM('연간'!K4:N4))),"")</f>
        <v/>
      </c>
      <c r="H54" s="35">
        <f>IFERROR(('연간'!T22)/('연간'!T4),"")</f>
        <v/>
      </c>
      <c r="I54" s="36">
        <f>IFERROR(('연간'!U22)/('연간'!U4),"")</f>
        <v/>
      </c>
      <c r="J54" s="36">
        <f>IFERROR(('연간'!V22)/('연간'!V4),"")</f>
        <v/>
      </c>
      <c r="K54" s="36">
        <f>IFERROR(('연간'!W22)/('연간'!W4),"")</f>
        <v/>
      </c>
      <c r="L54" s="36">
        <f>IFERROR(('연간'!X22)/('연간'!X4),"")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IFERROR((IF(COUNT('연간'!G56:J56)&lt;4,"",SUM('연간'!G56:J56)))/(IF(COUNT('연간'!G4:J4)&lt;4,"",SUM('연간'!G4:J4))),"")</f>
        <v/>
      </c>
      <c r="D56" s="36">
        <f>IFERROR((IF(COUNT('연간'!H56:K56)&lt;4,"",SUM('연간'!H56:K56)))/(IF(COUNT('연간'!H4:K4)&lt;4,"",SUM('연간'!H4:K4))),"")</f>
        <v/>
      </c>
      <c r="E56" s="36">
        <f>IFERROR((IF(COUNT('연간'!I56:L56)&lt;4,"",SUM('연간'!I56:L56)))/(IF(COUNT('연간'!I4:L4)&lt;4,"",SUM('연간'!I4:L4))),"")</f>
        <v/>
      </c>
      <c r="F56" s="36">
        <f>IFERROR((IF(COUNT('연간'!J56:M56)&lt;4,"",SUM('연간'!J56:M56)))/(IF(COUNT('연간'!J4:M4)&lt;4,"",SUM('연간'!J4:M4))),"")</f>
        <v/>
      </c>
      <c r="G56" s="36">
        <f>IFERROR((IF(COUNT('연간'!K56:N56)&lt;4,"",SUM('연간'!K56:N56)))/(IF(COUNT('연간'!K4:N4)&lt;4,"",SUM('연간'!K4:N4))),"")</f>
        <v/>
      </c>
      <c r="H56" s="35">
        <f>IFERROR(('연간'!T56)/('연간'!T4),"")</f>
        <v/>
      </c>
      <c r="I56" s="36">
        <f>IFERROR(('연간'!U56)/('연간'!U4),"")</f>
        <v/>
      </c>
      <c r="J56" s="36">
        <f>IFERROR(('연간'!V56)/('연간'!V4),"")</f>
        <v/>
      </c>
      <c r="K56" s="36">
        <f>IFERROR(('연간'!W56)/('연간'!W4),"")</f>
        <v/>
      </c>
      <c r="L56" s="36">
        <f>IFERROR(('연간'!X56)/('연간'!X4),"")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IF(C37="","",IFERROR(C37/(IF(COUNT('연간'!G56:J56)&lt;4,"",SUM('연간'!G56:J56))),""))</f>
        <v/>
      </c>
      <c r="D64" s="31">
        <f>IF(D37="","",IFERROR(D37/(IF(COUNT('연간'!H56:K56)&lt;4,"",SUM('연간'!H56:K56))),""))</f>
        <v/>
      </c>
      <c r="E64" s="31">
        <f>IF(E37="","",IFERROR(E37/(IF(COUNT('연간'!I56:L56)&lt;4,"",SUM('연간'!I56:L56))),""))</f>
        <v/>
      </c>
      <c r="F64" s="31">
        <f>IF(F37="","",IFERROR(F37/(IF(COUNT('연간'!J56:M56)&lt;4,"",SUM('연간'!J56:M56))),""))</f>
        <v/>
      </c>
      <c r="G64" s="31">
        <f>IF(G37="","",IFERROR(G37/(IF(COUNT('연간'!K56:N56)&lt;4,"",SUM('연간'!K56:N56))),""))</f>
        <v/>
      </c>
      <c r="H64" s="30">
        <f>IF(H37="","",IFERROR(H37/('연간'!T56),""))</f>
        <v/>
      </c>
      <c r="I64" s="31">
        <f>IF(I37="","",IFERROR(I37/('연간'!U56),""))</f>
        <v/>
      </c>
      <c r="J64" s="31">
        <f>IF(J37="","",IFERROR(J37/('연간'!V56),""))</f>
        <v/>
      </c>
      <c r="K64" s="31">
        <f>IF(K37="","",IFERROR(K37/('연간'!W56),""))</f>
        <v/>
      </c>
      <c r="L64" s="31">
        <f>IF(L37="","",IFERROR(L37/('연간'!X56),""))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IF(C40="","",IFERROR(C40/(IF(COUNT('연간'!G58:J58)&lt;4,"",SUM('연간'!G58:J58))),""))</f>
        <v/>
      </c>
      <c r="D67" s="36">
        <f>IF(D40="","",IFERROR(D40/(IF(COUNT('연간'!H58:K58)&lt;4,"",SUM('연간'!H58:K58))),""))</f>
        <v/>
      </c>
      <c r="E67" s="36">
        <f>IF(E40="","",IFERROR(E40/(IF(COUNT('연간'!I58:L58)&lt;4,"",SUM('연간'!I58:L58))),""))</f>
        <v/>
      </c>
      <c r="F67" s="36">
        <f>IF(F40="","",IFERROR(F40/(IF(COUNT('연간'!J58:M58)&lt;4,"",SUM('연간'!J58:M58))),""))</f>
        <v/>
      </c>
      <c r="G67" s="36">
        <f>IF(G40="","",IFERROR(G40/(IF(COUNT('연간'!K58:N58)&lt;4,"",SUM('연간'!K58:N58))),""))</f>
        <v/>
      </c>
      <c r="H67" s="35">
        <f>IF(H40="","",IFERROR(H40/('연간'!T58),""))</f>
        <v/>
      </c>
      <c r="I67" s="36">
        <f>IF(I40="","",IFERROR(I40/('연간'!U58),""))</f>
        <v/>
      </c>
      <c r="J67" s="36">
        <f>IF(J40="","",IFERROR(J40/('연간'!V58),""))</f>
        <v/>
      </c>
      <c r="K67" s="36">
        <f>IF(K40="","",IFERROR(K40/('연간'!W58),""))</f>
        <v/>
      </c>
      <c r="L67" s="36">
        <f>IF(L40="","",IFERROR(L40/('연간'!X58),""))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20177.793</v>
      </c>
      <c r="D71" s="20" t="n">
        <v>32580.266</v>
      </c>
      <c r="E71" s="20" t="n">
        <v>32268.738</v>
      </c>
      <c r="F71" s="20" t="n">
        <v>26122.722</v>
      </c>
      <c r="G71" s="20" t="n">
        <v>23678.005</v>
      </c>
      <c r="H71" s="20" t="n">
        <v>7869.907</v>
      </c>
      <c r="I71" s="20" t="n">
        <v>10006.593</v>
      </c>
      <c r="J71" s="20" t="n">
        <v>21123.118</v>
      </c>
      <c r="K71" s="20" t="n">
        <v>21653.337</v>
      </c>
      <c r="L71" s="20" t="n">
        <v>32268.738</v>
      </c>
    </row>
    <row r="72">
      <c r="A72" s="18" t="inlineStr">
        <is>
          <t>받을어음·매출채권</t>
        </is>
      </c>
      <c r="C72" s="20" t="n">
        <v>14924.604</v>
      </c>
      <c r="D72" s="20" t="n">
        <v>14466.669</v>
      </c>
      <c r="E72" s="20" t="n">
        <v>14619.603</v>
      </c>
      <c r="F72" s="20" t="n">
        <v>14995.672</v>
      </c>
      <c r="G72" s="20" t="n">
        <v>15007.218</v>
      </c>
      <c r="H72" s="20" t="n">
        <v>14048.426</v>
      </c>
      <c r="I72" s="20" t="n">
        <v>15840.048</v>
      </c>
      <c r="J72" s="20" t="n">
        <v>15345.922</v>
      </c>
      <c r="K72" s="20" t="n">
        <v>16005.619</v>
      </c>
      <c r="L72" s="20" t="n">
        <v>14619.603</v>
      </c>
    </row>
    <row r="73">
      <c r="A73" s="18" t="inlineStr">
        <is>
          <t>전자기록채권</t>
        </is>
      </c>
      <c r="C73" s="20" t="n">
        <v>2780.625</v>
      </c>
      <c r="D73" s="20" t="n">
        <v>3420.36</v>
      </c>
      <c r="E73" s="20" t="n">
        <v>2832.223</v>
      </c>
      <c r="F73" s="20" t="n">
        <v>2655.802</v>
      </c>
      <c r="G73" s="20" t="n">
        <v>2866.45</v>
      </c>
      <c r="H73" s="20" t="n">
        <v>2350.117</v>
      </c>
      <c r="I73" s="20" t="n">
        <v>2490.069</v>
      </c>
      <c r="J73" s="20" t="n">
        <v>2420.593</v>
      </c>
      <c r="K73" s="20" t="n">
        <v>2736.028</v>
      </c>
      <c r="L73" s="20" t="n">
        <v>2832.223</v>
      </c>
    </row>
    <row r="74">
      <c r="A74" s="18" t="inlineStr">
        <is>
          <t>상품·제품</t>
        </is>
      </c>
      <c r="C74" s="20" t="n">
        <v>3583.326</v>
      </c>
      <c r="D74" s="20" t="n">
        <v>3678.148</v>
      </c>
      <c r="E74" s="20" t="n">
        <v>3690.539</v>
      </c>
      <c r="F74" s="20" t="n">
        <v>3746.418</v>
      </c>
      <c r="G74" s="20" t="n">
        <v>3574.223</v>
      </c>
      <c r="H74" s="20" t="n">
        <v>4425.299</v>
      </c>
      <c r="I74" s="20" t="n">
        <v>4613.523</v>
      </c>
      <c r="J74" s="20" t="n">
        <v>3871.745</v>
      </c>
      <c r="K74" s="20" t="n">
        <v>3049.963</v>
      </c>
      <c r="L74" s="20" t="n">
        <v>3690.539</v>
      </c>
    </row>
    <row r="75">
      <c r="A75" s="18" t="inlineStr">
        <is>
          <t>재공품</t>
        </is>
      </c>
      <c r="C75" s="20" t="n">
        <v>1571.784</v>
      </c>
      <c r="D75" s="20" t="n">
        <v>1550.764</v>
      </c>
      <c r="E75" s="20" t="n">
        <v>1727.744</v>
      </c>
      <c r="F75" s="20" t="n">
        <v>1824.001</v>
      </c>
      <c r="G75" s="20" t="n">
        <v>1605.355</v>
      </c>
      <c r="H75" s="20" t="n">
        <v>1526.502</v>
      </c>
      <c r="I75" s="20" t="n">
        <v>1513.326</v>
      </c>
      <c r="J75" s="20" t="n">
        <v>1878.883</v>
      </c>
      <c r="K75" s="20" t="n">
        <v>1643.961</v>
      </c>
      <c r="L75" s="20" t="n">
        <v>1727.744</v>
      </c>
    </row>
    <row r="76">
      <c r="A76" s="18" t="inlineStr">
        <is>
          <t>원재료·저장품</t>
        </is>
      </c>
      <c r="C76" s="20" t="n">
        <v>8800.084999999999</v>
      </c>
      <c r="D76" s="20" t="n">
        <v>8909.814</v>
      </c>
      <c r="E76" s="20" t="n">
        <v>9006.846</v>
      </c>
      <c r="F76" s="20" t="n">
        <v>9259.209999999999</v>
      </c>
      <c r="G76" s="20" t="n">
        <v>9405.817999999999</v>
      </c>
      <c r="H76" s="20" t="n">
        <v>7476.249</v>
      </c>
      <c r="I76" s="20" t="n">
        <v>8202.651</v>
      </c>
      <c r="J76" s="20" t="n">
        <v>9254.712</v>
      </c>
      <c r="K76" s="20" t="n">
        <v>9272.871999999999</v>
      </c>
      <c r="L76" s="20" t="n">
        <v>9006.846</v>
      </c>
    </row>
    <row r="77">
      <c r="A77" s="18" t="inlineStr">
        <is>
          <t>미수금</t>
        </is>
      </c>
      <c r="C77" s="20" t="n">
        <v>565.792</v>
      </c>
      <c r="D77" s="20" t="n">
        <v>392.738</v>
      </c>
      <c r="E77" s="20" t="n">
        <v>660.76</v>
      </c>
      <c r="F77" s="20" t="n">
        <v>529.091</v>
      </c>
      <c r="G77" s="20" t="n">
        <v>1377.643</v>
      </c>
      <c r="H77" s="20" t="n">
        <v>574.3579999999999</v>
      </c>
      <c r="I77" s="20" t="n">
        <v>1094.622</v>
      </c>
      <c r="J77" s="20" t="n">
        <v>555.34</v>
      </c>
      <c r="K77" s="20" t="n">
        <v>272.523</v>
      </c>
      <c r="L77" s="20" t="n">
        <v>660.76</v>
      </c>
    </row>
    <row r="78">
      <c r="A78" s="18" t="inlineStr">
        <is>
          <t>기타</t>
        </is>
      </c>
      <c r="C78" s="20" t="n">
        <v>1086.84</v>
      </c>
      <c r="D78" s="20" t="n">
        <v>1312.143</v>
      </c>
      <c r="E78" s="20" t="n">
        <v>1085.386</v>
      </c>
      <c r="F78" s="20" t="n">
        <v>1198.11</v>
      </c>
      <c r="G78" s="20" t="n">
        <v>1565.845</v>
      </c>
      <c r="H78" s="20" t="n">
        <v>1348.58</v>
      </c>
      <c r="I78" s="20" t="n">
        <v>1774.902</v>
      </c>
      <c r="J78" s="20" t="n">
        <v>1700.483</v>
      </c>
      <c r="K78" s="20" t="n">
        <v>1374.447</v>
      </c>
      <c r="L78" s="20" t="n">
        <v>1085.386</v>
      </c>
    </row>
    <row r="79">
      <c r="A79" s="18" t="inlineStr">
        <is>
          <t>대손충당금</t>
        </is>
      </c>
      <c r="C79" s="20" t="n">
        <v>-22.537</v>
      </c>
      <c r="D79" s="20" t="n">
        <v>-21.765</v>
      </c>
      <c r="E79" s="20" t="n">
        <v>-23.467</v>
      </c>
      <c r="F79" s="20" t="n">
        <v>-22.963</v>
      </c>
      <c r="G79" s="20" t="n">
        <v>-21.933</v>
      </c>
      <c r="H79" s="20" t="n">
        <v>-37.629</v>
      </c>
      <c r="I79" s="20" t="n">
        <v>-62.322</v>
      </c>
      <c r="J79" s="20" t="n">
        <v>-27.67</v>
      </c>
      <c r="K79" s="20" t="n">
        <v>-25.107</v>
      </c>
      <c r="L79" s="20" t="n">
        <v>-23.467</v>
      </c>
    </row>
    <row r="80">
      <c r="A80" s="9" t="inlineStr">
        <is>
          <t>유동자산 합계</t>
        </is>
      </c>
      <c r="C80" s="12" t="n">
        <v>53468.316</v>
      </c>
      <c r="D80" s="12" t="n">
        <v>66289.14</v>
      </c>
      <c r="E80" s="12" t="n">
        <v>65868.37300000001</v>
      </c>
      <c r="F80" s="12" t="n">
        <v>60308.064</v>
      </c>
      <c r="G80" s="12" t="n">
        <v>59058.628</v>
      </c>
      <c r="H80" s="12" t="n">
        <v>39581.812</v>
      </c>
      <c r="I80" s="12" t="n">
        <v>45473.415</v>
      </c>
      <c r="J80" s="12" t="n">
        <v>56123.131</v>
      </c>
      <c r="K80" s="12" t="n">
        <v>55983.645</v>
      </c>
      <c r="L80" s="12" t="n">
        <v>65868.37300000001</v>
      </c>
    </row>
    <row r="81">
      <c r="A81" s="18" t="inlineStr">
        <is>
          <t>건물·구축물</t>
        </is>
      </c>
      <c r="C81" s="20" t="n">
        <v>33813.865</v>
      </c>
      <c r="D81" s="20" t="n">
        <v>34327.792</v>
      </c>
      <c r="E81" s="20" t="n">
        <v>35072.587</v>
      </c>
      <c r="F81" s="20" t="n">
        <v>35463.441</v>
      </c>
      <c r="G81" s="20" t="n">
        <v>35591.354</v>
      </c>
      <c r="H81" s="20" t="n">
        <v>30341.695</v>
      </c>
      <c r="I81" s="20" t="n">
        <v>30637.109</v>
      </c>
      <c r="J81" s="20" t="n">
        <v>31956.756</v>
      </c>
      <c r="K81" s="20" t="n">
        <v>32848.161</v>
      </c>
      <c r="L81" s="20" t="n">
        <v>35072.587</v>
      </c>
    </row>
    <row r="82">
      <c r="A82" s="18" t="inlineStr">
        <is>
          <t>감가상각누계액</t>
        </is>
      </c>
      <c r="C82" s="20" t="n">
        <v>-26714.472</v>
      </c>
      <c r="D82" s="20" t="n">
        <v>-27142.53</v>
      </c>
      <c r="E82" s="20" t="n">
        <v>-27367.542</v>
      </c>
      <c r="F82" s="20" t="n">
        <v>-27624.071</v>
      </c>
      <c r="G82" s="20" t="n">
        <v>-27678.402</v>
      </c>
      <c r="H82" s="20" t="n">
        <v>-24445.576</v>
      </c>
      <c r="I82" s="20" t="n">
        <v>-25087.79</v>
      </c>
      <c r="J82" s="20" t="n">
        <v>-25979.59</v>
      </c>
      <c r="K82" s="20" t="n">
        <v>-26330.64</v>
      </c>
      <c r="L82" s="20" t="n">
        <v>-27367.542</v>
      </c>
    </row>
    <row r="83">
      <c r="A83" s="18" t="inlineStr">
        <is>
          <t>건물·구축물(순액)</t>
        </is>
      </c>
      <c r="C83" s="20" t="n">
        <v>7099.392</v>
      </c>
      <c r="D83" s="20" t="n">
        <v>7185.262</v>
      </c>
      <c r="E83" s="20" t="n">
        <v>7705.044</v>
      </c>
      <c r="F83" s="20" t="n">
        <v>7839.37</v>
      </c>
      <c r="G83" s="20" t="n">
        <v>7912.951</v>
      </c>
      <c r="H83" s="20" t="n">
        <v>5896.119</v>
      </c>
      <c r="I83" s="20" t="n">
        <v>5549.319</v>
      </c>
      <c r="J83" s="20" t="n">
        <v>5977.165</v>
      </c>
      <c r="K83" s="20" t="n">
        <v>6517.521</v>
      </c>
      <c r="L83" s="20" t="n">
        <v>7705.044</v>
      </c>
    </row>
    <row r="84">
      <c r="A84" s="18" t="inlineStr">
        <is>
          <t>기계장치·운반구</t>
        </is>
      </c>
      <c r="C84" s="20" t="n">
        <v>74634.024</v>
      </c>
      <c r="D84" s="20" t="n">
        <v>75907.342</v>
      </c>
      <c r="E84" s="20" t="n">
        <v>78725.978</v>
      </c>
      <c r="F84" s="20" t="n">
        <v>80073.887</v>
      </c>
      <c r="G84" s="20" t="n">
        <v>79654.81</v>
      </c>
      <c r="H84" s="20" t="n">
        <v>64866.169</v>
      </c>
      <c r="I84" s="20" t="n">
        <v>66499.629</v>
      </c>
      <c r="J84" s="20" t="n">
        <v>69784.72199999999</v>
      </c>
      <c r="K84" s="20" t="n">
        <v>71344.265</v>
      </c>
      <c r="L84" s="20" t="n">
        <v>78725.978</v>
      </c>
    </row>
    <row r="85">
      <c r="A85" s="18" t="inlineStr">
        <is>
          <t>감가상각누계액</t>
        </is>
      </c>
      <c r="C85" s="20" t="n">
        <v>-56834.523</v>
      </c>
      <c r="D85" s="20" t="n">
        <v>-58152.373</v>
      </c>
      <c r="E85" s="20" t="n">
        <v>-58662.042</v>
      </c>
      <c r="F85" s="20" t="n">
        <v>-59322.324</v>
      </c>
      <c r="G85" s="20" t="n">
        <v>-59227.035</v>
      </c>
      <c r="H85" s="20" t="n">
        <v>-54341.054</v>
      </c>
      <c r="I85" s="20" t="n">
        <v>-54906.279</v>
      </c>
      <c r="J85" s="20" t="n">
        <v>-56462.842</v>
      </c>
      <c r="K85" s="20" t="n">
        <v>-56277.699</v>
      </c>
      <c r="L85" s="20" t="n">
        <v>-58662.042</v>
      </c>
    </row>
    <row r="86">
      <c r="A86" s="18" t="inlineStr">
        <is>
          <t>기계장치·운반구(순액)</t>
        </is>
      </c>
      <c r="C86" s="20" t="n">
        <v>17799.501</v>
      </c>
      <c r="D86" s="20" t="n">
        <v>17754.968</v>
      </c>
      <c r="E86" s="20" t="n">
        <v>20063.936</v>
      </c>
      <c r="F86" s="20" t="n">
        <v>20751.563</v>
      </c>
      <c r="G86" s="20" t="n">
        <v>20427.775</v>
      </c>
      <c r="H86" s="20" t="n">
        <v>10525.115</v>
      </c>
      <c r="I86" s="20" t="n">
        <v>11593.35</v>
      </c>
      <c r="J86" s="20" t="n">
        <v>13321.879</v>
      </c>
      <c r="K86" s="20" t="n">
        <v>15066.566</v>
      </c>
      <c r="L86" s="20" t="n">
        <v>20063.936</v>
      </c>
    </row>
    <row r="87">
      <c r="A87" s="18" t="inlineStr">
        <is>
          <t>토지</t>
        </is>
      </c>
      <c r="C87" s="20" t="n">
        <v>9658.296</v>
      </c>
      <c r="D87" s="20" t="n">
        <v>9948.300999999999</v>
      </c>
      <c r="E87" s="20" t="n">
        <v>9940.739</v>
      </c>
      <c r="F87" s="20" t="n">
        <v>9943.902</v>
      </c>
      <c r="G87" s="20" t="n">
        <v>9896.494000000001</v>
      </c>
      <c r="H87" s="20" t="n">
        <v>9435.162</v>
      </c>
      <c r="I87" s="20" t="n">
        <v>9386.527</v>
      </c>
      <c r="J87" s="20" t="n">
        <v>9725.718000000001</v>
      </c>
      <c r="K87" s="20" t="n">
        <v>9594.099</v>
      </c>
      <c r="L87" s="20" t="n">
        <v>9940.739</v>
      </c>
    </row>
    <row r="88">
      <c r="A88" s="18" t="inlineStr">
        <is>
          <t>건설중인자산</t>
        </is>
      </c>
      <c r="C88" s="20" t="n">
        <v>4265.193</v>
      </c>
      <c r="D88" s="20" t="n">
        <v>5215.787</v>
      </c>
      <c r="E88" s="20" t="n">
        <v>3636.981</v>
      </c>
      <c r="F88" s="20" t="n">
        <v>2279.548</v>
      </c>
      <c r="G88" s="20" t="n">
        <v>2143.435</v>
      </c>
      <c r="H88" s="20" t="n">
        <v>3065.322</v>
      </c>
      <c r="I88" s="20" t="n">
        <v>2904.094</v>
      </c>
      <c r="J88" s="20" t="n">
        <v>5346.396</v>
      </c>
      <c r="K88" s="20" t="n">
        <v>7459.31</v>
      </c>
      <c r="L88" s="20" t="n">
        <v>3636.981</v>
      </c>
    </row>
    <row r="89">
      <c r="A89" s="18" t="inlineStr">
        <is>
          <t>기타</t>
        </is>
      </c>
      <c r="C89" s="20" t="n">
        <v>11766.367</v>
      </c>
      <c r="D89" s="20" t="n">
        <v>12074.307</v>
      </c>
      <c r="E89" s="20" t="n">
        <v>12022.378</v>
      </c>
      <c r="F89" s="20" t="n">
        <v>12196.288</v>
      </c>
      <c r="G89" s="20" t="n">
        <v>12126.724</v>
      </c>
      <c r="H89" s="20" t="n">
        <v>11505.13</v>
      </c>
      <c r="I89" s="20" t="n">
        <v>11767.117</v>
      </c>
      <c r="J89" s="20" t="n">
        <v>12048.85</v>
      </c>
      <c r="K89" s="20" t="n">
        <v>11764.91</v>
      </c>
      <c r="L89" s="20" t="n">
        <v>12022.378</v>
      </c>
    </row>
    <row r="90">
      <c r="A90" s="18" t="inlineStr">
        <is>
          <t>감가상각누계액</t>
        </is>
      </c>
      <c r="C90" s="20" t="n">
        <v>-10848.128</v>
      </c>
      <c r="D90" s="20" t="n">
        <v>-11122.618</v>
      </c>
      <c r="E90" s="20" t="n">
        <v>-11070.553</v>
      </c>
      <c r="F90" s="20" t="n">
        <v>-11156.663</v>
      </c>
      <c r="G90" s="20" t="n">
        <v>-11060.348</v>
      </c>
      <c r="H90" s="20" t="n">
        <v>-10314.31</v>
      </c>
      <c r="I90" s="20" t="n">
        <v>-10801.151</v>
      </c>
      <c r="J90" s="20" t="n">
        <v>-11069.933</v>
      </c>
      <c r="K90" s="20" t="n">
        <v>-10849.605</v>
      </c>
      <c r="L90" s="20" t="n">
        <v>-11070.553</v>
      </c>
    </row>
    <row r="91">
      <c r="A91" s="18" t="inlineStr">
        <is>
          <t>기타(순액)</t>
        </is>
      </c>
      <c r="C91" s="20" t="n">
        <v>918.239</v>
      </c>
      <c r="D91" s="20" t="n">
        <v>951.689</v>
      </c>
      <c r="E91" s="20" t="n">
        <v>951.824</v>
      </c>
      <c r="F91" s="20" t="n">
        <v>1039.624</v>
      </c>
      <c r="G91" s="20" t="n">
        <v>1066.376</v>
      </c>
      <c r="H91" s="20" t="n">
        <v>1190.82</v>
      </c>
      <c r="I91" s="20" t="n">
        <v>965.965</v>
      </c>
      <c r="J91" s="20" t="n">
        <v>978.917</v>
      </c>
      <c r="K91" s="20" t="n">
        <v>915.3049999999999</v>
      </c>
      <c r="L91" s="20" t="n">
        <v>951.824</v>
      </c>
    </row>
    <row r="92">
      <c r="A92" s="18" t="inlineStr">
        <is>
          <t>유형자산 합계</t>
        </is>
      </c>
      <c r="C92" s="20" t="n">
        <v>39740.623</v>
      </c>
      <c r="D92" s="20" t="n">
        <v>41056.009</v>
      </c>
      <c r="E92" s="20" t="n">
        <v>42298.527</v>
      </c>
      <c r="F92" s="20" t="n">
        <v>41854.007</v>
      </c>
      <c r="G92" s="20" t="n">
        <v>41447.033</v>
      </c>
      <c r="H92" s="20" t="n">
        <v>30112.539</v>
      </c>
      <c r="I92" s="20" t="n">
        <v>30399.256</v>
      </c>
      <c r="J92" s="20" t="n">
        <v>35350.077</v>
      </c>
      <c r="K92" s="20" t="n">
        <v>39552.801</v>
      </c>
      <c r="L92" s="20" t="n">
        <v>42298.527</v>
      </c>
    </row>
    <row r="93">
      <c r="A93" s="18" t="inlineStr">
        <is>
          <t>소프트웨어</t>
        </is>
      </c>
      <c r="C93" s="20" t="n">
        <v>248.361</v>
      </c>
      <c r="D93" s="20" t="n">
        <v>237.389</v>
      </c>
      <c r="E93" s="20" t="n">
        <v>230.791</v>
      </c>
      <c r="F93" s="20" t="n">
        <v>224.939</v>
      </c>
      <c r="G93" s="20" t="n">
        <v>281.922</v>
      </c>
      <c r="H93" s="20" t="n">
        <v>158.869</v>
      </c>
      <c r="I93" s="20" t="n">
        <v>149.505</v>
      </c>
      <c r="J93" s="20" t="n">
        <v>171.538</v>
      </c>
      <c r="K93" s="20" t="n">
        <v>197.057</v>
      </c>
      <c r="L93" s="20" t="n">
        <v>230.791</v>
      </c>
    </row>
    <row r="94">
      <c r="A94" s="18" t="inlineStr">
        <is>
          <t>기타</t>
        </is>
      </c>
      <c r="C94" s="20" t="n">
        <v>32.915</v>
      </c>
      <c r="D94" s="20" t="n">
        <v>57.626</v>
      </c>
      <c r="E94" s="20" t="n">
        <v>95.68300000000001</v>
      </c>
      <c r="F94" s="20" t="n">
        <v>93.81999999999999</v>
      </c>
      <c r="G94" s="20" t="n">
        <v>43.085</v>
      </c>
      <c r="H94" s="20" t="n">
        <v>50.586</v>
      </c>
      <c r="I94" s="20" t="n">
        <v>16.236</v>
      </c>
      <c r="J94" s="20" t="n">
        <v>32.597</v>
      </c>
      <c r="K94" s="20" t="n">
        <v>61.848</v>
      </c>
      <c r="L94" s="20" t="n">
        <v>95.68300000000001</v>
      </c>
    </row>
    <row r="95">
      <c r="A95" s="18" t="inlineStr">
        <is>
          <t>무형자산 합계</t>
        </is>
      </c>
      <c r="C95" s="20" t="n">
        <v>281.277</v>
      </c>
      <c r="D95" s="20" t="n">
        <v>295.016</v>
      </c>
      <c r="E95" s="20" t="n">
        <v>326.474</v>
      </c>
      <c r="F95" s="20" t="n">
        <v>318.76</v>
      </c>
      <c r="G95" s="20" t="n">
        <v>325.007</v>
      </c>
      <c r="H95" s="20" t="n">
        <v>209.455</v>
      </c>
      <c r="I95" s="20" t="n">
        <v>165.742</v>
      </c>
      <c r="J95" s="20" t="n">
        <v>204.136</v>
      </c>
      <c r="K95" s="20" t="n">
        <v>258.905</v>
      </c>
      <c r="L95" s="20" t="n">
        <v>326.474</v>
      </c>
    </row>
    <row r="96">
      <c r="A96" s="18" t="inlineStr">
        <is>
          <t>투자유가증권</t>
        </is>
      </c>
      <c r="C96" s="20" t="n">
        <v>35588.36</v>
      </c>
      <c r="D96" s="20" t="n">
        <v>26355.003</v>
      </c>
      <c r="E96" s="20" t="n">
        <v>24848.358</v>
      </c>
      <c r="F96" s="20" t="n">
        <v>23609.761</v>
      </c>
      <c r="G96" s="20" t="n">
        <v>25488.776</v>
      </c>
      <c r="H96" s="20" t="n">
        <v>24759.005</v>
      </c>
      <c r="I96" s="20" t="n">
        <v>22048.931</v>
      </c>
      <c r="J96" s="20" t="n">
        <v>41827.887</v>
      </c>
      <c r="K96" s="20" t="n">
        <v>31720.071</v>
      </c>
      <c r="L96" s="20" t="n">
        <v>24848.358</v>
      </c>
    </row>
    <row r="97">
      <c r="A97" s="18" t="inlineStr">
        <is>
          <t>장기선급비용</t>
        </is>
      </c>
      <c r="C97" s="20" t="n">
        <v>400.777</v>
      </c>
      <c r="D97" s="20" t="n">
        <v>424.467</v>
      </c>
      <c r="E97" s="20" t="n">
        <v>435.417</v>
      </c>
      <c r="F97" s="20" t="n">
        <v>445.488</v>
      </c>
      <c r="G97" s="20" t="n">
        <v>438.919</v>
      </c>
      <c r="H97" s="20" t="n">
        <v>578.7910000000001</v>
      </c>
      <c r="I97" s="20" t="n">
        <v>668.525</v>
      </c>
      <c r="J97" s="20" t="n">
        <v>597.348</v>
      </c>
      <c r="K97" s="20" t="n">
        <v>427.456</v>
      </c>
      <c r="L97" s="20" t="n">
        <v>435.417</v>
      </c>
    </row>
    <row r="98">
      <c r="A98" s="18" t="inlineStr">
        <is>
          <t>이연법인세자산</t>
        </is>
      </c>
      <c r="C98" s="20" t="n">
        <v>277.493</v>
      </c>
      <c r="D98" s="20" t="n">
        <v>247.68</v>
      </c>
      <c r="E98" s="20" t="n">
        <v>220.632</v>
      </c>
      <c r="F98" s="20" t="n">
        <v>266.139</v>
      </c>
      <c r="G98" s="20" t="n">
        <v>290.912</v>
      </c>
      <c r="H98" s="20" t="n">
        <v>224.286</v>
      </c>
      <c r="I98" s="20" t="n">
        <v>199.035</v>
      </c>
      <c r="J98" s="20" t="n">
        <v>217.777</v>
      </c>
      <c r="K98" s="20" t="n">
        <v>284.938</v>
      </c>
      <c r="L98" s="20" t="n">
        <v>220.632</v>
      </c>
    </row>
    <row r="99">
      <c r="A99" s="18" t="inlineStr">
        <is>
          <t>퇴직급여자산</t>
        </is>
      </c>
      <c r="C99" s="20" t="n">
        <v>14802.88</v>
      </c>
      <c r="D99" s="20" t="n">
        <v>15025.148</v>
      </c>
      <c r="E99" s="20" t="n">
        <v>20542.098</v>
      </c>
      <c r="F99" s="20" t="n">
        <v>20791.505</v>
      </c>
      <c r="G99" s="20" t="n">
        <v>21041.297</v>
      </c>
      <c r="H99" s="20" t="n">
        <v>8854.947</v>
      </c>
      <c r="I99" s="20" t="n">
        <v>7925.067</v>
      </c>
      <c r="J99" s="20" t="n">
        <v>19018.464</v>
      </c>
      <c r="K99" s="20" t="n">
        <v>14317.554</v>
      </c>
      <c r="L99" s="20" t="n">
        <v>20542.098</v>
      </c>
    </row>
    <row r="100">
      <c r="A100" s="18" t="inlineStr">
        <is>
          <t>기타</t>
        </is>
      </c>
      <c r="C100" s="20" t="n">
        <v>403.036</v>
      </c>
      <c r="D100" s="20" t="n">
        <v>377.823</v>
      </c>
      <c r="E100" s="20" t="n">
        <v>379.114</v>
      </c>
      <c r="F100" s="20" t="n">
        <v>371.797</v>
      </c>
      <c r="G100" s="20" t="n">
        <v>366.246</v>
      </c>
      <c r="H100" s="20" t="n">
        <v>287.891</v>
      </c>
      <c r="I100" s="20" t="n">
        <v>291.4</v>
      </c>
      <c r="J100" s="20" t="n">
        <v>244.498</v>
      </c>
      <c r="K100" s="20" t="n">
        <v>372.604</v>
      </c>
      <c r="L100" s="20" t="n">
        <v>379.114</v>
      </c>
    </row>
    <row r="101">
      <c r="A101" s="18" t="inlineStr">
        <is>
          <t>대손충당금</t>
        </is>
      </c>
      <c r="C101" s="20" t="n">
        <v>-10.426</v>
      </c>
      <c r="D101" s="20" t="n">
        <v>-10.426</v>
      </c>
      <c r="E101" s="20" t="n">
        <v>-10.426</v>
      </c>
      <c r="F101" s="20" t="n">
        <v>-10.426</v>
      </c>
      <c r="G101" s="20" t="n">
        <v>-10.426</v>
      </c>
      <c r="H101" s="20" t="n">
        <v>-55.515</v>
      </c>
      <c r="I101" s="20" t="n">
        <v>-56.053</v>
      </c>
      <c r="J101" s="20" t="n">
        <v>-10.426</v>
      </c>
      <c r="K101" s="20" t="n">
        <v>-10.426</v>
      </c>
      <c r="L101" s="20" t="n">
        <v>-10.426</v>
      </c>
    </row>
    <row r="102">
      <c r="A102" s="18" t="inlineStr">
        <is>
          <t>투자 및 기타자산 합계</t>
        </is>
      </c>
      <c r="C102" s="20" t="n">
        <v>51462.122</v>
      </c>
      <c r="D102" s="20" t="n">
        <v>42419.696</v>
      </c>
      <c r="E102" s="20" t="n">
        <v>46415.195</v>
      </c>
      <c r="F102" s="20" t="n">
        <v>45474.265</v>
      </c>
      <c r="G102" s="20" t="n">
        <v>47615.725</v>
      </c>
      <c r="H102" s="20" t="n">
        <v>34649.407</v>
      </c>
      <c r="I102" s="20" t="n">
        <v>31076.906</v>
      </c>
      <c r="J102" s="20" t="n">
        <v>61895.549</v>
      </c>
      <c r="K102" s="20" t="n">
        <v>47112.199</v>
      </c>
      <c r="L102" s="20" t="n">
        <v>46415.195</v>
      </c>
    </row>
    <row r="103">
      <c r="A103" s="9" t="inlineStr">
        <is>
          <t>비유동자산 합계</t>
        </is>
      </c>
      <c r="C103" s="12" t="n">
        <v>91484.024</v>
      </c>
      <c r="D103" s="12" t="n">
        <v>83770.72100000001</v>
      </c>
      <c r="E103" s="12" t="n">
        <v>89040.197</v>
      </c>
      <c r="F103" s="12" t="n">
        <v>87647.033</v>
      </c>
      <c r="G103" s="12" t="n">
        <v>89387.76700000001</v>
      </c>
      <c r="H103" s="12" t="n">
        <v>64971.401</v>
      </c>
      <c r="I103" s="12" t="n">
        <v>61641.904</v>
      </c>
      <c r="J103" s="12" t="n">
        <v>97449.76300000001</v>
      </c>
      <c r="K103" s="12" t="n">
        <v>86923.906</v>
      </c>
      <c r="L103" s="12" t="n">
        <v>89040.197</v>
      </c>
    </row>
    <row r="104">
      <c r="A104" s="9" t="inlineStr">
        <is>
          <t>자산 합계</t>
        </is>
      </c>
      <c r="C104" s="12" t="n">
        <v>144952.34</v>
      </c>
      <c r="D104" s="12" t="n">
        <v>150059.862</v>
      </c>
      <c r="E104" s="12" t="n">
        <v>154908.571</v>
      </c>
      <c r="F104" s="12" t="n">
        <v>147955.098</v>
      </c>
      <c r="G104" s="12" t="n">
        <v>148446.396</v>
      </c>
      <c r="H104" s="12" t="n">
        <v>104553.214</v>
      </c>
      <c r="I104" s="12" t="n">
        <v>107115.32</v>
      </c>
      <c r="J104" s="12" t="n">
        <v>153572.894</v>
      </c>
      <c r="K104" s="12" t="n">
        <v>142907.552</v>
      </c>
      <c r="L104" s="12" t="n">
        <v>154908.571</v>
      </c>
    </row>
    <row r="105">
      <c r="A105" s="18" t="inlineStr">
        <is>
          <t>지급어음·매입채무</t>
        </is>
      </c>
      <c r="C105" s="20" t="n">
        <v>12400.717</v>
      </c>
      <c r="D105" s="20" t="n">
        <v>12090.241</v>
      </c>
      <c r="E105" s="20" t="n">
        <v>11135.072</v>
      </c>
      <c r="F105" s="20" t="n">
        <v>10889.798</v>
      </c>
      <c r="G105" s="20" t="n">
        <v>10957.76</v>
      </c>
      <c r="H105" s="20" t="n">
        <v>9938.722</v>
      </c>
      <c r="I105" s="20" t="n">
        <v>11791.051</v>
      </c>
      <c r="J105" s="20" t="n">
        <v>11124.427</v>
      </c>
      <c r="K105" s="20" t="n">
        <v>12435.061</v>
      </c>
      <c r="L105" s="20" t="n">
        <v>11135.072</v>
      </c>
    </row>
    <row r="106">
      <c r="A106" s="18" t="inlineStr">
        <is>
          <t>전자기록채무</t>
        </is>
      </c>
      <c r="C106" s="20" t="n">
        <v>1474.917</v>
      </c>
      <c r="D106" s="20" t="n">
        <v>1686.451</v>
      </c>
      <c r="E106" s="20" t="n">
        <v>1175.674</v>
      </c>
      <c r="F106" s="20" t="n">
        <v>1136.313</v>
      </c>
      <c r="G106" s="20" t="n">
        <v>1184.174</v>
      </c>
      <c r="H106" s="20" t="n">
        <v>1509.676</v>
      </c>
      <c r="I106" s="20" t="n">
        <v>1615.05</v>
      </c>
      <c r="J106" s="20" t="n">
        <v>1629.067</v>
      </c>
      <c r="K106" s="20" t="n">
        <v>1404.902</v>
      </c>
      <c r="L106" s="20" t="n">
        <v>1175.674</v>
      </c>
    </row>
    <row r="107">
      <c r="A107" s="18" t="inlineStr">
        <is>
          <t>단기차입금</t>
        </is>
      </c>
      <c r="C107" s="20" t="n">
        <v>665</v>
      </c>
      <c r="D107" s="20" t="n">
        <v>350</v>
      </c>
      <c r="E107" s="20" t="n">
        <v>300</v>
      </c>
      <c r="F107" s="20" t="n">
        <v>300</v>
      </c>
      <c r="G107" s="20" t="n">
        <v>300</v>
      </c>
      <c r="H107" s="20" t="n">
        <v>1948.95</v>
      </c>
      <c r="I107" s="20" t="n">
        <v>711.5</v>
      </c>
      <c r="J107" s="20" t="n">
        <v>686</v>
      </c>
      <c r="K107" s="20" t="n">
        <v>668.5</v>
      </c>
      <c r="L107" s="20" t="n">
        <v>300</v>
      </c>
    </row>
    <row r="108">
      <c r="A108" s="18" t="inlineStr">
        <is>
          <t>1년 내 상환 장기차입금</t>
        </is>
      </c>
      <c r="C108" s="20" t="n">
        <v>3021.6</v>
      </c>
      <c r="D108" s="20" t="n">
        <v>3022.56</v>
      </c>
      <c r="E108" s="20" t="n">
        <v>3022.56</v>
      </c>
      <c r="F108" s="20" t="n">
        <v>21.84</v>
      </c>
      <c r="G108" s="20" t="n">
        <v>3040.48</v>
      </c>
      <c r="H108" s="20" t="n">
        <v>114.621</v>
      </c>
      <c r="I108" s="20" t="n">
        <v>4550.963</v>
      </c>
      <c r="J108" s="20" t="n">
        <v>0</v>
      </c>
      <c r="K108" s="20" t="n">
        <v>21.84</v>
      </c>
      <c r="L108" s="20" t="n">
        <v>3022.56</v>
      </c>
    </row>
    <row r="109">
      <c r="A109" s="18" t="inlineStr">
        <is>
          <t>리스부채</t>
        </is>
      </c>
      <c r="C109" s="20" t="n">
        <v>139.882</v>
      </c>
      <c r="D109" s="20" t="n">
        <v>137.525</v>
      </c>
      <c r="E109" s="20" t="n">
        <v>149.675</v>
      </c>
      <c r="F109" s="20" t="n">
        <v>145.357</v>
      </c>
      <c r="G109" s="20" t="n">
        <v>149.715</v>
      </c>
      <c r="H109" s="20" t="n">
        <v>106.487</v>
      </c>
      <c r="I109" s="20" t="n">
        <v>95.809</v>
      </c>
      <c r="J109" s="20" t="n">
        <v>124.495</v>
      </c>
      <c r="K109" s="20" t="n">
        <v>115.216</v>
      </c>
      <c r="L109" s="20" t="n">
        <v>149.675</v>
      </c>
    </row>
    <row r="110">
      <c r="A110" s="18" t="inlineStr">
        <is>
          <t>미지급금</t>
        </is>
      </c>
      <c r="C110" s="20" t="n">
        <v>781.801</v>
      </c>
      <c r="D110" s="20" t="n">
        <v>728.0410000000001</v>
      </c>
      <c r="E110" s="20" t="n">
        <v>3960.091</v>
      </c>
      <c r="F110" s="20" t="n">
        <v>596.1660000000001</v>
      </c>
      <c r="G110" s="20" t="n">
        <v>386.924</v>
      </c>
      <c r="H110" s="20" t="n">
        <v>756.799</v>
      </c>
      <c r="I110" s="20" t="n">
        <v>982.878</v>
      </c>
      <c r="J110" s="20" t="n">
        <v>1933.551</v>
      </c>
      <c r="K110" s="20" t="n">
        <v>3250.191</v>
      </c>
      <c r="L110" s="20" t="n">
        <v>3960.091</v>
      </c>
    </row>
    <row r="111">
      <c r="A111" s="18" t="inlineStr">
        <is>
          <t>미지급비용</t>
        </is>
      </c>
      <c r="C111" s="20" t="n">
        <v>2251.575</v>
      </c>
      <c r="D111" s="20" t="n">
        <v>2446.152</v>
      </c>
      <c r="E111" s="20" t="n">
        <v>2601.198</v>
      </c>
      <c r="F111" s="20" t="n">
        <v>4429.938</v>
      </c>
      <c r="G111" s="20" t="n">
        <v>2706.797</v>
      </c>
      <c r="H111" s="20" t="n">
        <v>1505.482</v>
      </c>
      <c r="I111" s="20" t="n">
        <v>1724.824</v>
      </c>
      <c r="J111" s="20" t="n">
        <v>1947.471</v>
      </c>
      <c r="K111" s="20" t="n">
        <v>2116.873</v>
      </c>
      <c r="L111" s="20" t="n">
        <v>2601.198</v>
      </c>
    </row>
    <row r="112">
      <c r="A112" s="18" t="inlineStr">
        <is>
          <t>미지급법인세</t>
        </is>
      </c>
      <c r="C112" s="20" t="n">
        <v>388.049</v>
      </c>
      <c r="D112" s="20" t="n">
        <v>4454.234</v>
      </c>
      <c r="E112" s="20" t="n">
        <v>3238.055</v>
      </c>
      <c r="F112" s="20" t="n">
        <v>221.36</v>
      </c>
      <c r="G112" s="20" t="n">
        <v>246.665</v>
      </c>
      <c r="H112" s="20" t="n">
        <v>448.211</v>
      </c>
      <c r="I112" s="20" t="n">
        <v>316.186</v>
      </c>
      <c r="J112" s="20" t="n">
        <v>391.585</v>
      </c>
      <c r="K112" s="20" t="n">
        <v>461.365</v>
      </c>
      <c r="L112" s="20" t="n">
        <v>3238.055</v>
      </c>
    </row>
    <row r="113">
      <c r="A113" s="18" t="inlineStr">
        <is>
          <t>상여충당금</t>
        </is>
      </c>
      <c r="C113" s="20" t="n">
        <v>1676.326</v>
      </c>
      <c r="D113" s="20" t="n">
        <v>896.707</v>
      </c>
      <c r="E113" s="20" t="n">
        <v>1734.883</v>
      </c>
      <c r="F113" s="20" t="n">
        <v>909.5549999999999</v>
      </c>
      <c r="G113" s="20" t="n">
        <v>1802.295</v>
      </c>
      <c r="H113" s="20" t="n">
        <v>1531.898</v>
      </c>
      <c r="I113" s="20" t="n">
        <v>1411.775</v>
      </c>
      <c r="J113" s="20" t="n">
        <v>1465.004</v>
      </c>
      <c r="K113" s="20" t="n">
        <v>1678.122</v>
      </c>
      <c r="L113" s="20" t="n">
        <v>1734.883</v>
      </c>
    </row>
    <row r="114">
      <c r="A114" s="18" t="inlineStr">
        <is>
          <t>임원 상여충당금</t>
        </is>
      </c>
      <c r="C114" s="20" t="n">
        <v>24.151</v>
      </c>
      <c r="D114" s="20" t="n">
        <v>40.063</v>
      </c>
      <c r="E114" s="20" t="n">
        <v>55.733</v>
      </c>
      <c r="F114" s="20" t="n">
        <v>15.22</v>
      </c>
      <c r="G114" s="20" t="n">
        <v>31.363</v>
      </c>
      <c r="H114" s="20" t="n">
        <v>74.014</v>
      </c>
      <c r="I114" s="20" t="n">
        <v>60.444</v>
      </c>
      <c r="J114" s="20" t="n">
        <v>58.394</v>
      </c>
      <c r="K114" s="20" t="n">
        <v>52.6</v>
      </c>
      <c r="L114" s="20" t="n">
        <v>55.733</v>
      </c>
    </row>
    <row r="115">
      <c r="A115" s="18" t="inlineStr">
        <is>
          <t>제품보증 충당금</t>
        </is>
      </c>
      <c r="C115" s="20" t="n">
        <v>2398.221</v>
      </c>
      <c r="D115" s="20" t="n">
        <v>2397.71</v>
      </c>
      <c r="E115" s="20" t="n">
        <v>213.837</v>
      </c>
      <c r="F115" s="20" t="n">
        <v>199.713</v>
      </c>
      <c r="G115" s="20" t="n">
        <v>397.428</v>
      </c>
      <c r="H115" s="20" t="n">
        <v>21.099</v>
      </c>
      <c r="I115" s="20" t="n">
        <v>20.4</v>
      </c>
      <c r="J115" s="20" t="n">
        <v>19.16</v>
      </c>
      <c r="K115" s="20" t="n">
        <v>2398.078</v>
      </c>
      <c r="L115" s="20" t="n">
        <v>213.837</v>
      </c>
    </row>
    <row r="116">
      <c r="A116" s="18" t="inlineStr">
        <is>
          <t>재해손실 충당금</t>
        </is>
      </c>
      <c r="C116" s="20" t="n">
        <v>0</v>
      </c>
      <c r="D116" s="20" t="n">
        <v>0</v>
      </c>
      <c r="E116" s="20" t="n">
        <v>0</v>
      </c>
      <c r="J116" s="20" t="n">
        <v>0</v>
      </c>
      <c r="K116" s="20" t="n">
        <v>151.904</v>
      </c>
      <c r="L116" s="20" t="n">
        <v>0</v>
      </c>
    </row>
    <row r="117">
      <c r="A117" s="18" t="inlineStr">
        <is>
          <t>사업구조개선 충당금</t>
        </is>
      </c>
      <c r="C117" s="20" t="n">
        <v>17.629</v>
      </c>
      <c r="D117" s="20" t="n">
        <v>1.543</v>
      </c>
      <c r="E117" s="20" t="n">
        <v>0</v>
      </c>
      <c r="J117" s="20" t="n">
        <v>0</v>
      </c>
      <c r="K117" s="20" t="n">
        <v>81.78700000000001</v>
      </c>
      <c r="L117" s="20" t="n">
        <v>0</v>
      </c>
    </row>
    <row r="118">
      <c r="A118" s="18" t="inlineStr">
        <is>
          <t>기타</t>
        </is>
      </c>
      <c r="C118" s="20" t="n">
        <v>717.357</v>
      </c>
      <c r="D118" s="20" t="n">
        <v>1318.311</v>
      </c>
      <c r="E118" s="20" t="n">
        <v>851.323</v>
      </c>
      <c r="F118" s="20" t="n">
        <v>1097.132</v>
      </c>
      <c r="G118" s="20" t="n">
        <v>807.625</v>
      </c>
      <c r="H118" s="20" t="n">
        <v>414.696</v>
      </c>
      <c r="I118" s="20" t="n">
        <v>426.608</v>
      </c>
      <c r="J118" s="20" t="n">
        <v>720.548</v>
      </c>
      <c r="K118" s="20" t="n">
        <v>858.353</v>
      </c>
      <c r="L118" s="20" t="n">
        <v>851.323</v>
      </c>
    </row>
    <row r="119">
      <c r="A119" s="9" t="inlineStr">
        <is>
          <t>유동부채 합계</t>
        </is>
      </c>
      <c r="C119" s="12" t="n">
        <v>25957.231</v>
      </c>
      <c r="D119" s="12" t="n">
        <v>29569.543</v>
      </c>
      <c r="E119" s="12" t="n">
        <v>28438.106</v>
      </c>
      <c r="F119" s="12" t="n">
        <v>19962.396</v>
      </c>
      <c r="G119" s="12" t="n">
        <v>22011.229</v>
      </c>
      <c r="H119" s="12" t="n">
        <v>18370.661</v>
      </c>
      <c r="I119" s="12" t="n">
        <v>23707.493</v>
      </c>
      <c r="J119" s="12" t="n">
        <v>20099.707</v>
      </c>
      <c r="K119" s="12" t="n">
        <v>25694.797</v>
      </c>
      <c r="L119" s="12" t="n">
        <v>28438.106</v>
      </c>
    </row>
    <row r="120">
      <c r="A120" s="18" t="inlineStr">
        <is>
          <t>장기차입금</t>
        </is>
      </c>
      <c r="C120" s="20" t="n">
        <v>20075.6</v>
      </c>
      <c r="D120" s="20" t="n">
        <v>20078.96</v>
      </c>
      <c r="E120" s="20" t="n">
        <v>20067.68</v>
      </c>
      <c r="F120" s="20" t="n">
        <v>23065.52</v>
      </c>
      <c r="G120" s="20" t="n">
        <v>20003.52</v>
      </c>
      <c r="H120" s="20" t="n">
        <v>4636.799</v>
      </c>
      <c r="I120" s="20" t="n">
        <v>6072.5</v>
      </c>
      <c r="J120" s="20" t="n">
        <v>23000</v>
      </c>
      <c r="K120" s="20" t="n">
        <v>23087.36</v>
      </c>
      <c r="L120" s="20" t="n">
        <v>20067.68</v>
      </c>
    </row>
    <row r="121">
      <c r="A121" s="18" t="inlineStr">
        <is>
          <t>리스부채</t>
        </is>
      </c>
      <c r="C121" s="20" t="n">
        <v>303.531</v>
      </c>
      <c r="D121" s="20" t="n">
        <v>293.738</v>
      </c>
      <c r="E121" s="20" t="n">
        <v>318.161</v>
      </c>
      <c r="F121" s="20" t="n">
        <v>302.893</v>
      </c>
      <c r="G121" s="20" t="n">
        <v>305.165</v>
      </c>
      <c r="H121" s="20" t="n">
        <v>169.506</v>
      </c>
      <c r="I121" s="20" t="n">
        <v>130.564</v>
      </c>
      <c r="J121" s="20" t="n">
        <v>246.426</v>
      </c>
      <c r="K121" s="20" t="n">
        <v>231.694</v>
      </c>
      <c r="L121" s="20" t="n">
        <v>318.161</v>
      </c>
    </row>
    <row r="122">
      <c r="A122" s="18" t="inlineStr">
        <is>
          <t>이연법인세부채</t>
        </is>
      </c>
      <c r="C122" s="20" t="n">
        <v>12640.237</v>
      </c>
      <c r="D122" s="20" t="n">
        <v>9900.207</v>
      </c>
      <c r="E122" s="20" t="n">
        <v>12284.36</v>
      </c>
      <c r="F122" s="20" t="n">
        <v>11896.208</v>
      </c>
      <c r="G122" s="20" t="n">
        <v>12355.565</v>
      </c>
      <c r="H122" s="20" t="n">
        <v>8313.343000000001</v>
      </c>
      <c r="I122" s="20" t="n">
        <v>7165.726</v>
      </c>
      <c r="J122" s="20" t="n">
        <v>16437.938</v>
      </c>
      <c r="K122" s="20" t="n">
        <v>11445.886</v>
      </c>
      <c r="L122" s="20" t="n">
        <v>12284.36</v>
      </c>
    </row>
    <row r="123">
      <c r="A123" s="18" t="inlineStr">
        <is>
          <t>임원 퇴직위로 충당금</t>
        </is>
      </c>
      <c r="C123" s="20" t="n">
        <v>38.798</v>
      </c>
      <c r="D123" s="20" t="n">
        <v>41.51</v>
      </c>
      <c r="E123" s="20" t="n">
        <v>44.222</v>
      </c>
      <c r="F123" s="20" t="n">
        <v>47.204</v>
      </c>
      <c r="G123" s="20" t="n">
        <v>49.94</v>
      </c>
      <c r="H123" s="20" t="n">
        <v>176.313</v>
      </c>
      <c r="I123" s="20" t="n">
        <v>90.44499999999999</v>
      </c>
      <c r="J123" s="20" t="n">
        <v>68.672</v>
      </c>
      <c r="K123" s="20" t="n">
        <v>33.408</v>
      </c>
      <c r="L123" s="20" t="n">
        <v>44.222</v>
      </c>
    </row>
    <row r="124">
      <c r="A124" s="18" t="inlineStr">
        <is>
          <t>퇴직급여부채</t>
        </is>
      </c>
      <c r="C124" s="20" t="n">
        <v>1208.988</v>
      </c>
      <c r="D124" s="20" t="n">
        <v>1260.37</v>
      </c>
      <c r="E124" s="20" t="n">
        <v>1285.397</v>
      </c>
      <c r="F124" s="20" t="n">
        <v>1294.691</v>
      </c>
      <c r="G124" s="20" t="n">
        <v>1305.203</v>
      </c>
      <c r="H124" s="20" t="n">
        <v>1232.954</v>
      </c>
      <c r="I124" s="20" t="n">
        <v>1148.884</v>
      </c>
      <c r="J124" s="20" t="n">
        <v>1085.35</v>
      </c>
      <c r="K124" s="20" t="n">
        <v>1143.831</v>
      </c>
      <c r="L124" s="20" t="n">
        <v>1285.397</v>
      </c>
    </row>
    <row r="125">
      <c r="A125" s="18" t="inlineStr">
        <is>
          <t>자산복구부채</t>
        </is>
      </c>
      <c r="C125" s="20" t="n">
        <v>126.79</v>
      </c>
      <c r="D125" s="20" t="n">
        <v>127.223</v>
      </c>
      <c r="E125" s="20" t="n">
        <v>127.656</v>
      </c>
      <c r="F125" s="20" t="n">
        <v>128.098</v>
      </c>
      <c r="G125" s="20" t="n">
        <v>128.541</v>
      </c>
      <c r="H125" s="20" t="n">
        <v>133.361</v>
      </c>
      <c r="I125" s="20" t="n">
        <v>134.979</v>
      </c>
      <c r="J125" s="20" t="n">
        <v>136.633</v>
      </c>
      <c r="K125" s="20" t="n">
        <v>125.925</v>
      </c>
      <c r="L125" s="20" t="n">
        <v>127.656</v>
      </c>
    </row>
    <row r="126">
      <c r="A126" s="18" t="inlineStr">
        <is>
          <t>기타</t>
        </is>
      </c>
      <c r="C126" s="20" t="n">
        <v>100.714</v>
      </c>
      <c r="D126" s="20" t="n">
        <v>104.203</v>
      </c>
      <c r="E126" s="20" t="n">
        <v>107.894</v>
      </c>
      <c r="F126" s="20" t="n">
        <v>140.361</v>
      </c>
      <c r="G126" s="20" t="n">
        <v>126.097</v>
      </c>
      <c r="H126" s="20" t="n">
        <v>95.16500000000001</v>
      </c>
      <c r="I126" s="20" t="n">
        <v>99.307</v>
      </c>
      <c r="J126" s="20" t="n">
        <v>102.414</v>
      </c>
      <c r="K126" s="20" t="n">
        <v>99.09699999999999</v>
      </c>
      <c r="L126" s="20" t="n">
        <v>107.894</v>
      </c>
    </row>
    <row r="127">
      <c r="A127" s="9" t="inlineStr">
        <is>
          <t>비유동부채 합계</t>
        </is>
      </c>
      <c r="C127" s="12" t="n">
        <v>34494.66</v>
      </c>
      <c r="D127" s="12" t="n">
        <v>31806.213</v>
      </c>
      <c r="E127" s="12" t="n">
        <v>34235.37</v>
      </c>
      <c r="F127" s="12" t="n">
        <v>36874.977</v>
      </c>
      <c r="G127" s="12" t="n">
        <v>34274.033</v>
      </c>
      <c r="H127" s="12" t="n">
        <v>14757.444</v>
      </c>
      <c r="I127" s="12" t="n">
        <v>14842.407</v>
      </c>
      <c r="J127" s="12" t="n">
        <v>41077.435</v>
      </c>
      <c r="K127" s="12" t="n">
        <v>36167.204</v>
      </c>
      <c r="L127" s="12" t="n">
        <v>34235.37</v>
      </c>
    </row>
    <row r="128">
      <c r="A128" s="9" t="inlineStr">
        <is>
          <t>부채 합계</t>
        </is>
      </c>
      <c r="C128" s="12" t="n">
        <v>60451.891</v>
      </c>
      <c r="D128" s="12" t="n">
        <v>61375.757</v>
      </c>
      <c r="E128" s="12" t="n">
        <v>62673.476</v>
      </c>
      <c r="F128" s="12" t="n">
        <v>56837.374</v>
      </c>
      <c r="G128" s="12" t="n">
        <v>56285.263</v>
      </c>
      <c r="H128" s="12" t="n">
        <v>33128.106</v>
      </c>
      <c r="I128" s="12" t="n">
        <v>38549.901</v>
      </c>
      <c r="J128" s="12" t="n">
        <v>61177.142</v>
      </c>
      <c r="K128" s="12" t="n">
        <v>61862.001</v>
      </c>
      <c r="L128" s="12" t="n">
        <v>62673.476</v>
      </c>
    </row>
    <row r="129">
      <c r="A129" s="18" t="inlineStr">
        <is>
          <t>자본금</t>
        </is>
      </c>
      <c r="C129" s="20" t="n">
        <v>10837.208</v>
      </c>
      <c r="D129" s="20" t="n">
        <v>10837.208</v>
      </c>
      <c r="E129" s="20" t="n">
        <v>10837.208</v>
      </c>
      <c r="F129" s="20" t="n">
        <v>10837.208</v>
      </c>
      <c r="G129" s="20" t="n">
        <v>10837.208</v>
      </c>
      <c r="H129" s="20" t="n">
        <v>10837.208</v>
      </c>
      <c r="I129" s="20" t="n">
        <v>10837.208</v>
      </c>
      <c r="J129" s="20" t="n">
        <v>10837.208</v>
      </c>
      <c r="K129" s="20" t="n">
        <v>10837.208</v>
      </c>
      <c r="L129" s="20" t="n">
        <v>10837.208</v>
      </c>
    </row>
    <row r="130">
      <c r="A130" s="18" t="inlineStr">
        <is>
          <t>자본잉여금</t>
        </is>
      </c>
      <c r="C130" s="20" t="n">
        <v>11055.911</v>
      </c>
      <c r="D130" s="20" t="n">
        <v>11055.911</v>
      </c>
      <c r="E130" s="20" t="n">
        <v>11055.911</v>
      </c>
      <c r="F130" s="20" t="n">
        <v>11055.911</v>
      </c>
      <c r="G130" s="20" t="n">
        <v>11055.911</v>
      </c>
      <c r="H130" s="20" t="n">
        <v>11056.764</v>
      </c>
      <c r="I130" s="20" t="n">
        <v>11074.224</v>
      </c>
      <c r="J130" s="20" t="n">
        <v>11074.224</v>
      </c>
      <c r="K130" s="20" t="n">
        <v>11055.911</v>
      </c>
      <c r="L130" s="20" t="n">
        <v>11055.911</v>
      </c>
    </row>
    <row r="131">
      <c r="A131" s="18" t="inlineStr">
        <is>
          <t>이익잉여금</t>
        </is>
      </c>
      <c r="C131" s="20" t="n">
        <v>30645.458</v>
      </c>
      <c r="D131" s="20" t="n">
        <v>40047.628</v>
      </c>
      <c r="E131" s="20" t="n">
        <v>40926.273</v>
      </c>
      <c r="F131" s="20" t="n">
        <v>40578.133</v>
      </c>
      <c r="G131" s="20" t="n">
        <v>40945.719</v>
      </c>
      <c r="H131" s="20" t="n">
        <v>27482.888</v>
      </c>
      <c r="I131" s="20" t="n">
        <v>27031.972</v>
      </c>
      <c r="J131" s="20" t="n">
        <v>28770.197</v>
      </c>
      <c r="K131" s="20" t="n">
        <v>29962.755</v>
      </c>
      <c r="L131" s="20" t="n">
        <v>40926.273</v>
      </c>
    </row>
    <row r="132">
      <c r="A132" s="18" t="inlineStr">
        <is>
          <t>자기주식</t>
        </is>
      </c>
      <c r="C132" s="20" t="n">
        <v>-311.32</v>
      </c>
      <c r="D132" s="20" t="n">
        <v>-312.375</v>
      </c>
      <c r="E132" s="20" t="n">
        <v>-313.342</v>
      </c>
      <c r="F132" s="20" t="n">
        <v>-314.864</v>
      </c>
      <c r="G132" s="20" t="n">
        <v>-315.133</v>
      </c>
      <c r="H132" s="20" t="n">
        <v>-672.425</v>
      </c>
      <c r="I132" s="20" t="n">
        <v>-307.894</v>
      </c>
      <c r="J132" s="20" t="n">
        <v>-308.631</v>
      </c>
      <c r="K132" s="20" t="n">
        <v>-309.523</v>
      </c>
      <c r="L132" s="20" t="n">
        <v>-313.342</v>
      </c>
    </row>
    <row r="133">
      <c r="A133" s="9" t="inlineStr">
        <is>
          <t>주주자본 합계</t>
        </is>
      </c>
      <c r="C133" s="12" t="n">
        <v>52227.258</v>
      </c>
      <c r="D133" s="12" t="n">
        <v>61628.372</v>
      </c>
      <c r="E133" s="12" t="n">
        <v>62506.051</v>
      </c>
      <c r="F133" s="12" t="n">
        <v>62156.388</v>
      </c>
      <c r="G133" s="12" t="n">
        <v>62523.706</v>
      </c>
      <c r="H133" s="12" t="n">
        <v>48704.436</v>
      </c>
      <c r="I133" s="12" t="n">
        <v>48635.51</v>
      </c>
      <c r="J133" s="12" t="n">
        <v>50372.999</v>
      </c>
      <c r="K133" s="12" t="n">
        <v>51546.352</v>
      </c>
      <c r="L133" s="12" t="n">
        <v>62506.051</v>
      </c>
    </row>
    <row r="134">
      <c r="A134" s="18" t="inlineStr">
        <is>
          <t>기타유가증권 평가차액</t>
        </is>
      </c>
      <c r="C134" s="20" t="n">
        <v>22275.302</v>
      </c>
      <c r="D134" s="20" t="n">
        <v>16247.628</v>
      </c>
      <c r="E134" s="20" t="n">
        <v>15268.887</v>
      </c>
      <c r="F134" s="20" t="n">
        <v>14420.073</v>
      </c>
      <c r="G134" s="20" t="n">
        <v>15664.297</v>
      </c>
      <c r="H134" s="20" t="n">
        <v>15067.575</v>
      </c>
      <c r="I134" s="20" t="n">
        <v>13163.372</v>
      </c>
      <c r="J134" s="20" t="n">
        <v>27012.568</v>
      </c>
      <c r="K134" s="20" t="n">
        <v>19621.14</v>
      </c>
      <c r="L134" s="20" t="n">
        <v>15268.887</v>
      </c>
    </row>
    <row r="135">
      <c r="A135" s="18" t="inlineStr">
        <is>
          <t>해외사업환산조정</t>
        </is>
      </c>
      <c r="C135" s="20" t="n">
        <v>2079.913</v>
      </c>
      <c r="D135" s="20" t="n">
        <v>2914.456</v>
      </c>
      <c r="E135" s="20" t="n">
        <v>3056.82</v>
      </c>
      <c r="F135" s="20" t="n">
        <v>3226.502</v>
      </c>
      <c r="G135" s="20" t="n">
        <v>2806.169</v>
      </c>
      <c r="H135" s="20" t="n">
        <v>680.825</v>
      </c>
      <c r="I135" s="20" t="n">
        <v>928.303</v>
      </c>
      <c r="J135" s="20" t="n">
        <v>1875.903</v>
      </c>
      <c r="K135" s="20" t="n">
        <v>1750.535</v>
      </c>
      <c r="L135" s="20" t="n">
        <v>3056.82</v>
      </c>
    </row>
    <row r="136">
      <c r="A136" s="18" t="inlineStr">
        <is>
          <t>퇴직급여 조정누계액</t>
        </is>
      </c>
      <c r="C136" s="20" t="n">
        <v>3551.58</v>
      </c>
      <c r="D136" s="20" t="n">
        <v>3424.657</v>
      </c>
      <c r="E136" s="20" t="n">
        <v>6901.854</v>
      </c>
      <c r="F136" s="20" t="n">
        <v>6763.455</v>
      </c>
      <c r="G136" s="20" t="n">
        <v>6625.062</v>
      </c>
      <c r="H136" s="20" t="n">
        <v>2650.253</v>
      </c>
      <c r="I136" s="20" t="n">
        <v>1509.696</v>
      </c>
      <c r="J136" s="20" t="n">
        <v>8650.948</v>
      </c>
      <c r="K136" s="20" t="n">
        <v>3831.98</v>
      </c>
      <c r="L136" s="20" t="n">
        <v>6901.854</v>
      </c>
    </row>
    <row r="137">
      <c r="A137" s="18" t="inlineStr">
        <is>
          <t>기타포괄손익누계액 합계</t>
        </is>
      </c>
      <c r="C137" s="20" t="n">
        <v>27906.796</v>
      </c>
      <c r="D137" s="20" t="n">
        <v>22586.741</v>
      </c>
      <c r="E137" s="20" t="n">
        <v>25227.562</v>
      </c>
      <c r="F137" s="20" t="n">
        <v>24410.032</v>
      </c>
      <c r="G137" s="20" t="n">
        <v>25095.529</v>
      </c>
      <c r="H137" s="20" t="n">
        <v>18398.654</v>
      </c>
      <c r="I137" s="20" t="n">
        <v>15601.372</v>
      </c>
      <c r="J137" s="20" t="n">
        <v>37539.42</v>
      </c>
      <c r="K137" s="20" t="n">
        <v>25203.656</v>
      </c>
      <c r="L137" s="20" t="n">
        <v>25227.562</v>
      </c>
    </row>
    <row r="138">
      <c r="A138" s="18" t="inlineStr">
        <is>
          <t>비지배지분</t>
        </is>
      </c>
      <c r="C138" s="20" t="n">
        <v>4366.393</v>
      </c>
      <c r="D138" s="20" t="n">
        <v>4468.99</v>
      </c>
      <c r="E138" s="20" t="n">
        <v>4501.481</v>
      </c>
      <c r="F138" s="20" t="n">
        <v>4551.303</v>
      </c>
      <c r="G138" s="20" t="n">
        <v>4541.897</v>
      </c>
      <c r="H138" s="20" t="n">
        <v>4322.016</v>
      </c>
      <c r="I138" s="20" t="n">
        <v>4328.535</v>
      </c>
      <c r="J138" s="20" t="n">
        <v>4483.332</v>
      </c>
      <c r="K138" s="20" t="n">
        <v>4295.541</v>
      </c>
      <c r="L138" s="20" t="n">
        <v>4501.481</v>
      </c>
    </row>
    <row r="139">
      <c r="A139" s="9" t="inlineStr">
        <is>
          <t>순자산 합계</t>
        </is>
      </c>
      <c r="C139" s="12" t="n">
        <v>84500.448</v>
      </c>
      <c r="D139" s="12" t="n">
        <v>88684.10400000001</v>
      </c>
      <c r="E139" s="12" t="n">
        <v>92235.094</v>
      </c>
      <c r="F139" s="12" t="n">
        <v>91117.724</v>
      </c>
      <c r="G139" s="12" t="n">
        <v>92161.133</v>
      </c>
      <c r="H139" s="12" t="n">
        <v>71425.107</v>
      </c>
      <c r="I139" s="12" t="n">
        <v>68565.41899999999</v>
      </c>
      <c r="J139" s="12" t="n">
        <v>92395.75199999999</v>
      </c>
      <c r="K139" s="12" t="n">
        <v>81045.55</v>
      </c>
      <c r="L139" s="12" t="n">
        <v>92235.094</v>
      </c>
    </row>
    <row r="140">
      <c r="A140" s="9" t="inlineStr">
        <is>
          <t>부채·순자산 합계</t>
        </is>
      </c>
      <c r="C140" s="12" t="n">
        <v>144952.34</v>
      </c>
      <c r="D140" s="12" t="n">
        <v>150059.862</v>
      </c>
      <c r="E140" s="12" t="n">
        <v>154908.571</v>
      </c>
      <c r="F140" s="12" t="n">
        <v>147955.098</v>
      </c>
      <c r="G140" s="12" t="n">
        <v>148446.396</v>
      </c>
      <c r="H140" s="12" t="n">
        <v>104553.214</v>
      </c>
      <c r="I140" s="12" t="n">
        <v>107115.32</v>
      </c>
      <c r="J140" s="12" t="n">
        <v>153572.894</v>
      </c>
      <c r="K140" s="12" t="n">
        <v>142907.552</v>
      </c>
      <c r="L140" s="12" t="n">
        <v>154908.571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2026-10-28</t>
        </is>
      </c>
      <c r="B4" t="inlineStr">
        <is>
          <t>2027년 3월 결산기 ２분기 결산단신</t>
        </is>
      </c>
      <c r="C4" t="inlineStr">
        <is>
          <t>https://www2.jpx.co.jp/disc/59920/140120261027556817.pdf</t>
        </is>
      </c>
    </row>
    <row r="5">
      <c r="A5" t="inlineStr">
        <is>
          <t>2026-07-30</t>
        </is>
      </c>
      <c r="B5" t="inlineStr">
        <is>
          <t>2027년 3월 결산기 １분기 결산단신</t>
        </is>
      </c>
      <c r="C5" t="inlineStr">
        <is>
          <t>https://www2.jpx.co.jp/disc/59920/140120260729501524.pdf</t>
        </is>
      </c>
    </row>
    <row r="6">
      <c r="A6" t="inlineStr">
        <is>
          <t>2026-04-27</t>
        </is>
      </c>
      <c r="B6" t="inlineStr">
        <is>
          <t>2026년 3월 결산기 연간 결산단신</t>
        </is>
      </c>
      <c r="C6" t="inlineStr">
        <is>
          <t>https://www2.jpx.co.jp/disc/59920/140120260424510774.pdf</t>
        </is>
      </c>
    </row>
    <row r="7">
      <c r="A7" t="inlineStr">
        <is>
          <t>2026-02-02</t>
        </is>
      </c>
      <c r="B7" t="inlineStr">
        <is>
          <t>2026년 3월 결산기 ３분기 결산단신</t>
        </is>
      </c>
      <c r="C7" t="inlineStr">
        <is>
          <t>https://www2.jpx.co.jp/disc/59920/140120260130542943.pdf</t>
        </is>
      </c>
    </row>
    <row r="8">
      <c r="A8" t="inlineStr">
        <is>
          <t>2025-10-30</t>
        </is>
      </c>
      <c r="B8" t="inlineStr">
        <is>
          <t>2026년 3월 결산기 ２분기 결산단신</t>
        </is>
      </c>
      <c r="C8" t="inlineStr">
        <is>
          <t>https://www2.jpx.co.jp/disc/59920/140120251028580266.pdf</t>
        </is>
      </c>
    </row>
    <row r="9">
      <c r="A9" t="inlineStr">
        <is>
          <t>2025-07-30</t>
        </is>
      </c>
      <c r="B9" t="inlineStr">
        <is>
          <t>2026년 3월 결산기 １분기 결산단신</t>
        </is>
      </c>
      <c r="C9" t="inlineStr">
        <is>
          <t>https://www2.jpx.co.jp/disc/59920/140120250728521735.pdf</t>
        </is>
      </c>
    </row>
    <row r="10">
      <c r="A10" t="inlineStr">
        <is>
          <t>2025-04-24</t>
        </is>
      </c>
      <c r="B10" t="inlineStr">
        <is>
          <t>2025년 3월 결산기 연간 결산단신</t>
        </is>
      </c>
      <c r="C10" t="inlineStr">
        <is>
          <t>https://www2.jpx.co.jp/disc/59920/140120250423520984.pdf</t>
        </is>
      </c>
    </row>
    <row r="11">
      <c r="A11" t="inlineStr">
        <is>
          <t>2025-01-30</t>
        </is>
      </c>
      <c r="B11" t="inlineStr">
        <is>
          <t>2025년 3월 결산기 ３분기 결산단신</t>
        </is>
      </c>
      <c r="C11" t="inlineStr">
        <is>
          <t>https://www2.jpx.co.jp/disc/59920/140120250129557197.pdf</t>
        </is>
      </c>
    </row>
    <row r="12">
      <c r="A12" t="inlineStr">
        <is>
          <t>2024-10-30</t>
        </is>
      </c>
      <c r="B12" t="inlineStr">
        <is>
          <t>2025년 3월 결산기 ２분기 결산단신</t>
        </is>
      </c>
      <c r="C12" t="inlineStr">
        <is>
          <t>https://www2.jpx.co.jp/disc/59920/140120241029505070.pdf</t>
        </is>
      </c>
    </row>
    <row r="13">
      <c r="A13" t="inlineStr">
        <is>
          <t>2024-07-30</t>
        </is>
      </c>
      <c r="B13" t="inlineStr">
        <is>
          <t>2025년 3월 결산기 １분기 결산단신</t>
        </is>
      </c>
      <c r="C13" t="inlineStr">
        <is>
          <t>https://www2.jpx.co.jp/disc/59920/140120240729556619.pdf</t>
        </is>
      </c>
    </row>
    <row r="14">
      <c r="A14" t="inlineStr">
        <is>
          <t>2024-04-25</t>
        </is>
      </c>
      <c r="B14" t="inlineStr">
        <is>
          <t>2024년 3월 결산기 연간 결산단신</t>
        </is>
      </c>
      <c r="C14" t="inlineStr">
        <is>
          <t>https://www2.jpx.co.jp/disc/59920/140120240424575948.pdf</t>
        </is>
      </c>
    </row>
    <row r="15">
      <c r="A15" t="inlineStr">
        <is>
          <t>2024-02-01</t>
        </is>
      </c>
      <c r="B15" t="inlineStr">
        <is>
          <t>2024년 3월 결산기 ３분기 결산단신</t>
        </is>
      </c>
      <c r="C15" t="inlineStr">
        <is>
          <t>https://www2.jpx.co.jp/disc/59920/140120240131523282.pdf</t>
        </is>
      </c>
    </row>
    <row r="16">
      <c r="A16" t="inlineStr">
        <is>
          <t>2023-10-30</t>
        </is>
      </c>
      <c r="B16" t="inlineStr">
        <is>
          <t>2024년 3월 결산기 ２분기 결산단신</t>
        </is>
      </c>
      <c r="C16" t="inlineStr">
        <is>
          <t>https://www2.jpx.co.jp/disc/59920/140120231027573314.pdf</t>
        </is>
      </c>
    </row>
    <row r="17">
      <c r="A17" t="inlineStr">
        <is>
          <t>2023-07-27</t>
        </is>
      </c>
      <c r="B17" t="inlineStr">
        <is>
          <t>2024년 3월 결산기 １분기 결산단신</t>
        </is>
      </c>
      <c r="C17" t="inlineStr">
        <is>
          <t>https://www2.jpx.co.jp/disc/59920/140120230726527502.pdf</t>
        </is>
      </c>
    </row>
    <row r="18">
      <c r="A18" t="inlineStr">
        <is>
          <t>2023-04-26</t>
        </is>
      </c>
      <c r="B18" t="inlineStr">
        <is>
          <t>2023년 3월 결산기 연간 결산단신</t>
        </is>
      </c>
      <c r="C18" t="inlineStr">
        <is>
          <t>https://www2.jpx.co.jp/disc/59920/140120230425552693.pdf</t>
        </is>
      </c>
    </row>
    <row r="19">
      <c r="A19" t="inlineStr">
        <is>
          <t>2023-02-02</t>
        </is>
      </c>
      <c r="B19" t="inlineStr">
        <is>
          <t>2023년 3월 결산기 ３분기 결산단신</t>
        </is>
      </c>
      <c r="C19" t="inlineStr">
        <is>
          <t>https://www2.jpx.co.jp/disc/59920/140120230202598942.pdf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https://www2.jpx.co.jp/disc/59920/140120220426528861.pdf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https://www2.jpx.co.jp/disc/59920/140120210427400932.pdf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https://www2.jpx.co.jp/disc/59920/140120200427400639.pdf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https://www2.jpx.co.jp/disc/59920/140120190425410435.pdf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https://www2.jpx.co.jp/disc/59920/140120180426420906.pdf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2026-10-28T07:03:57Z</dcterms:created>
  <dcterms:modified xmlns:dcterms="http://purl.org/dc/terms/" xmlns:xsi="http://www.w3.org/2001/XMLSchema-instance" xsi:type="dcterms:W3CDTF">2026-10-28T07:03:58Z</dcterms:modified>
</cp:coreProperties>
</file>